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B2797ED0-5D79-4DD7-99AF-F2E0FCC7B3FB}" xr6:coauthVersionLast="47" xr6:coauthVersionMax="47" xr10:uidLastSave="{00000000-0000-0000-0000-000000000000}"/>
  <bookViews>
    <workbookView xWindow="-108" yWindow="-108" windowWidth="23256" windowHeight="12576" activeTab="1" xr2:uid="{42CD1468-76D2-4D3B-B2D7-BE92B4A8E026}"/>
  </bookViews>
  <sheets>
    <sheet name="Main" sheetId="1" r:id="rId1"/>
    <sheet name="Model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9" i="4" l="1"/>
  <c r="AD38" i="4"/>
  <c r="AD37" i="4"/>
  <c r="AE39" i="4"/>
  <c r="AE38" i="4"/>
  <c r="AE37" i="4"/>
  <c r="AE36" i="4"/>
  <c r="AE7" i="4"/>
  <c r="AE40" i="4" s="1"/>
  <c r="U7" i="4"/>
  <c r="AD7" i="4"/>
  <c r="AD40" i="4" s="1"/>
  <c r="AC7" i="4"/>
  <c r="D6" i="1" l="1"/>
  <c r="AE96" i="4"/>
  <c r="AE85" i="4"/>
  <c r="AE84" i="4"/>
  <c r="AE83" i="4"/>
  <c r="AE79" i="4"/>
  <c r="AE72" i="4"/>
  <c r="AE60" i="4"/>
  <c r="AE58" i="4"/>
  <c r="AE57" i="4" s="1"/>
  <c r="U96" i="4"/>
  <c r="U84" i="4"/>
  <c r="U60" i="4"/>
  <c r="U58" i="4"/>
  <c r="U63" i="4" s="1"/>
  <c r="U92" i="4" s="1"/>
  <c r="U83" i="4"/>
  <c r="U79" i="4"/>
  <c r="U72" i="4"/>
  <c r="AE22" i="4"/>
  <c r="U40" i="4"/>
  <c r="U39" i="4"/>
  <c r="U38" i="4"/>
  <c r="U37" i="4"/>
  <c r="U36" i="4"/>
  <c r="U31" i="4"/>
  <c r="V11" i="4"/>
  <c r="D7" i="1"/>
  <c r="Q7" i="4"/>
  <c r="U91" i="4" l="1"/>
  <c r="AE63" i="4"/>
  <c r="U85" i="4"/>
  <c r="U73" i="4"/>
  <c r="U57" i="4"/>
  <c r="U90" i="4" l="1"/>
  <c r="U97" i="4"/>
  <c r="AE73" i="4"/>
  <c r="AE92" i="4"/>
  <c r="AE91" i="4"/>
  <c r="D8" i="1"/>
  <c r="AE97" i="4" l="1"/>
  <c r="AE90" i="4"/>
  <c r="AA60" i="4"/>
  <c r="AA84" i="4"/>
  <c r="AA96" i="4" s="1"/>
  <c r="AB84" i="4"/>
  <c r="AB96" i="4" s="1"/>
  <c r="AB60" i="4"/>
  <c r="AA58" i="4"/>
  <c r="AA57" i="4" s="1"/>
  <c r="AA83" i="4"/>
  <c r="AA79" i="4"/>
  <c r="AA72" i="4"/>
  <c r="AB58" i="4"/>
  <c r="AB57" i="4" s="1"/>
  <c r="AB83" i="4"/>
  <c r="AB79" i="4"/>
  <c r="AB72" i="4"/>
  <c r="S84" i="4"/>
  <c r="S96" i="4" s="1"/>
  <c r="S60" i="4"/>
  <c r="S58" i="4"/>
  <c r="S83" i="4"/>
  <c r="S79" i="4"/>
  <c r="S72" i="4"/>
  <c r="T84" i="4"/>
  <c r="T96" i="4" s="1"/>
  <c r="T60" i="4"/>
  <c r="T58" i="4"/>
  <c r="T83" i="4"/>
  <c r="T79" i="4"/>
  <c r="T72" i="4"/>
  <c r="T39" i="4"/>
  <c r="T38" i="4"/>
  <c r="T37" i="4"/>
  <c r="T36" i="4"/>
  <c r="P7" i="4"/>
  <c r="T7" i="4"/>
  <c r="T118" i="4"/>
  <c r="AE118" i="4" s="1"/>
  <c r="T117" i="4"/>
  <c r="AE117" i="4" s="1"/>
  <c r="T115" i="4"/>
  <c r="AE115" i="4" s="1"/>
  <c r="T114" i="4"/>
  <c r="AE114" i="4" s="1"/>
  <c r="T113" i="4"/>
  <c r="AE113" i="4" s="1"/>
  <c r="T112" i="4"/>
  <c r="AE112" i="4" s="1"/>
  <c r="T111" i="4"/>
  <c r="AE111" i="4" s="1"/>
  <c r="T109" i="4"/>
  <c r="AE109" i="4" s="1"/>
  <c r="T108" i="4"/>
  <c r="AE108" i="4" s="1"/>
  <c r="T107" i="4"/>
  <c r="AE107" i="4" s="1"/>
  <c r="T106" i="4"/>
  <c r="AE106" i="4" s="1"/>
  <c r="T105" i="4"/>
  <c r="AE105" i="4" s="1"/>
  <c r="T104" i="4"/>
  <c r="AE104" i="4" s="1"/>
  <c r="T102" i="4"/>
  <c r="AE102" i="4" s="1"/>
  <c r="AF102" i="4" s="1"/>
  <c r="AG102" i="4" s="1"/>
  <c r="AH102" i="4" s="1"/>
  <c r="AI102" i="4" s="1"/>
  <c r="AJ102" i="4" s="1"/>
  <c r="AK102" i="4" s="1"/>
  <c r="AL102" i="4" s="1"/>
  <c r="AM102" i="4" s="1"/>
  <c r="AN102" i="4" s="1"/>
  <c r="AO102" i="4" s="1"/>
  <c r="T101" i="4"/>
  <c r="AE101" i="4" s="1"/>
  <c r="T134" i="4"/>
  <c r="T31" i="4"/>
  <c r="AS48" i="4"/>
  <c r="AE103" i="4"/>
  <c r="V119" i="4"/>
  <c r="U119" i="4"/>
  <c r="S110" i="4"/>
  <c r="S119" i="4"/>
  <c r="S63" i="4" l="1"/>
  <c r="S73" i="4" s="1"/>
  <c r="AA85" i="4"/>
  <c r="AA63" i="4"/>
  <c r="AB85" i="4"/>
  <c r="AB63" i="4"/>
  <c r="T110" i="4"/>
  <c r="AE110" i="4" s="1"/>
  <c r="T40" i="4"/>
  <c r="T119" i="4"/>
  <c r="S85" i="4"/>
  <c r="S57" i="4"/>
  <c r="T85" i="4"/>
  <c r="T63" i="4"/>
  <c r="T57" i="4"/>
  <c r="S39" i="4"/>
  <c r="S38" i="4"/>
  <c r="S37" i="4"/>
  <c r="S36" i="4"/>
  <c r="O7" i="4"/>
  <c r="S7" i="4"/>
  <c r="S90" i="4" l="1"/>
  <c r="S97" i="4"/>
  <c r="S40" i="4"/>
  <c r="AA73" i="4"/>
  <c r="AA92" i="4"/>
  <c r="AA91" i="4"/>
  <c r="T73" i="4"/>
  <c r="T92" i="4"/>
  <c r="T91" i="4"/>
  <c r="AB73" i="4"/>
  <c r="AB92" i="4"/>
  <c r="AB91" i="4"/>
  <c r="S92" i="4"/>
  <c r="S91" i="4"/>
  <c r="AF118" i="4"/>
  <c r="AG118" i="4" s="1"/>
  <c r="AH118" i="4" s="1"/>
  <c r="AI118" i="4" s="1"/>
  <c r="AJ118" i="4" s="1"/>
  <c r="AK118" i="4" s="1"/>
  <c r="AL118" i="4" s="1"/>
  <c r="AM118" i="4" s="1"/>
  <c r="AN118" i="4" s="1"/>
  <c r="AO118" i="4" s="1"/>
  <c r="AF117" i="4"/>
  <c r="AG117" i="4" s="1"/>
  <c r="AH117" i="4" s="1"/>
  <c r="AI117" i="4" s="1"/>
  <c r="AJ117" i="4" s="1"/>
  <c r="AK117" i="4" s="1"/>
  <c r="AL117" i="4" s="1"/>
  <c r="AM117" i="4" s="1"/>
  <c r="AN117" i="4" s="1"/>
  <c r="AO117" i="4" s="1"/>
  <c r="AB110" i="4"/>
  <c r="AB119" i="4"/>
  <c r="AS128" i="4"/>
  <c r="AD110" i="4"/>
  <c r="AE23" i="4"/>
  <c r="T90" i="4" l="1"/>
  <c r="T97" i="4"/>
  <c r="AA90" i="4"/>
  <c r="AA97" i="4"/>
  <c r="AB90" i="4"/>
  <c r="AB97" i="4"/>
  <c r="S13" i="4"/>
  <c r="V51" i="4"/>
  <c r="U51" i="4"/>
  <c r="S51" i="4"/>
  <c r="V17" i="4"/>
  <c r="AE31" i="4"/>
  <c r="AE30" i="4"/>
  <c r="AE28" i="4"/>
  <c r="AE27" i="4"/>
  <c r="AE26" i="4"/>
  <c r="AF26" i="4" s="1"/>
  <c r="AG26" i="4" s="1"/>
  <c r="AH26" i="4" s="1"/>
  <c r="AI26" i="4" s="1"/>
  <c r="AJ26" i="4" s="1"/>
  <c r="AK26" i="4" s="1"/>
  <c r="AL26" i="4" s="1"/>
  <c r="AM26" i="4" s="1"/>
  <c r="AN26" i="4" s="1"/>
  <c r="AO26" i="4" s="1"/>
  <c r="AE21" i="4"/>
  <c r="AF21" i="4" s="1"/>
  <c r="AE9" i="4"/>
  <c r="AF9" i="4" s="1"/>
  <c r="AG9" i="4" s="1"/>
  <c r="T42" i="4"/>
  <c r="S42" i="4"/>
  <c r="V52" i="4"/>
  <c r="U52" i="4"/>
  <c r="T52" i="4"/>
  <c r="S52" i="4"/>
  <c r="T51" i="4"/>
  <c r="S49" i="4"/>
  <c r="U46" i="4"/>
  <c r="T46" i="4"/>
  <c r="S46" i="4"/>
  <c r="U44" i="4"/>
  <c r="S44" i="4"/>
  <c r="T43" i="4"/>
  <c r="S43" i="4"/>
  <c r="V41" i="4"/>
  <c r="U41" i="4"/>
  <c r="T41" i="4"/>
  <c r="S41" i="4"/>
  <c r="U24" i="4"/>
  <c r="T24" i="4"/>
  <c r="U49" i="4"/>
  <c r="T47" i="4"/>
  <c r="S47" i="4"/>
  <c r="V14" i="4"/>
  <c r="AE14" i="4" s="1"/>
  <c r="V10" i="4"/>
  <c r="V42" i="4" s="1"/>
  <c r="U42" i="4"/>
  <c r="R39" i="4"/>
  <c r="R38" i="4"/>
  <c r="R37" i="4"/>
  <c r="R36" i="4"/>
  <c r="Q31" i="4"/>
  <c r="P31" i="4"/>
  <c r="O31" i="4"/>
  <c r="N31" i="4"/>
  <c r="AC31" i="4" s="1"/>
  <c r="AD84" i="4"/>
  <c r="AD96" i="4" s="1"/>
  <c r="AD83" i="4"/>
  <c r="AD79" i="4"/>
  <c r="AD72" i="4"/>
  <c r="AD60" i="4"/>
  <c r="AD58" i="4"/>
  <c r="AD57" i="4" s="1"/>
  <c r="AD23" i="4"/>
  <c r="Z24" i="4"/>
  <c r="Y24" i="4"/>
  <c r="X24" i="4"/>
  <c r="R84" i="4"/>
  <c r="R96" i="4" s="1"/>
  <c r="R60" i="4"/>
  <c r="R58" i="4"/>
  <c r="R83" i="4"/>
  <c r="R79" i="4"/>
  <c r="R72" i="4"/>
  <c r="R31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R24" i="4"/>
  <c r="N7" i="4"/>
  <c r="R7" i="4"/>
  <c r="N134" i="4"/>
  <c r="N129" i="4"/>
  <c r="AC84" i="4"/>
  <c r="AC96" i="4" s="1"/>
  <c r="AC83" i="4"/>
  <c r="AC79" i="4"/>
  <c r="AC72" i="4"/>
  <c r="AC60" i="4"/>
  <c r="AC58" i="4"/>
  <c r="AC57" i="4" s="1"/>
  <c r="P84" i="4"/>
  <c r="P96" i="4" s="1"/>
  <c r="P60" i="4"/>
  <c r="P58" i="4"/>
  <c r="P83" i="4"/>
  <c r="P79" i="4"/>
  <c r="P72" i="4"/>
  <c r="O84" i="4"/>
  <c r="O96" i="4" s="1"/>
  <c r="O60" i="4"/>
  <c r="O58" i="4"/>
  <c r="O83" i="4"/>
  <c r="O79" i="4"/>
  <c r="O72" i="4"/>
  <c r="K110" i="4"/>
  <c r="O110" i="4"/>
  <c r="L118" i="4"/>
  <c r="L117" i="4"/>
  <c r="M117" i="4" s="1"/>
  <c r="N117" i="4" s="1"/>
  <c r="L115" i="4"/>
  <c r="L114" i="4"/>
  <c r="M114" i="4" s="1"/>
  <c r="N114" i="4" s="1"/>
  <c r="L113" i="4"/>
  <c r="M113" i="4" s="1"/>
  <c r="N113" i="4" s="1"/>
  <c r="L112" i="4"/>
  <c r="M112" i="4" s="1"/>
  <c r="N112" i="4" s="1"/>
  <c r="L111" i="4"/>
  <c r="M111" i="4" s="1"/>
  <c r="N111" i="4" s="1"/>
  <c r="L109" i="4"/>
  <c r="M109" i="4" s="1"/>
  <c r="N109" i="4" s="1"/>
  <c r="L108" i="4"/>
  <c r="M108" i="4" s="1"/>
  <c r="N108" i="4" s="1"/>
  <c r="L107" i="4"/>
  <c r="M107" i="4" s="1"/>
  <c r="N107" i="4" s="1"/>
  <c r="L106" i="4"/>
  <c r="M106" i="4" s="1"/>
  <c r="N106" i="4" s="1"/>
  <c r="L105" i="4"/>
  <c r="M105" i="4" s="1"/>
  <c r="L104" i="4"/>
  <c r="M104" i="4" s="1"/>
  <c r="N104" i="4" s="1"/>
  <c r="L103" i="4"/>
  <c r="M103" i="4" s="1"/>
  <c r="N103" i="4" s="1"/>
  <c r="L102" i="4"/>
  <c r="M102" i="4" s="1"/>
  <c r="N102" i="4" s="1"/>
  <c r="L101" i="4"/>
  <c r="M101" i="4" s="1"/>
  <c r="N101" i="4" s="1"/>
  <c r="K119" i="4"/>
  <c r="L134" i="4"/>
  <c r="P134" i="4"/>
  <c r="P118" i="4"/>
  <c r="Q118" i="4" s="1"/>
  <c r="R118" i="4" s="1"/>
  <c r="P117" i="4"/>
  <c r="O119" i="4"/>
  <c r="P115" i="4"/>
  <c r="Q115" i="4" s="1"/>
  <c r="R115" i="4" s="1"/>
  <c r="P114" i="4"/>
  <c r="Q114" i="4" s="1"/>
  <c r="R114" i="4" s="1"/>
  <c r="P113" i="4"/>
  <c r="Q113" i="4" s="1"/>
  <c r="R113" i="4" s="1"/>
  <c r="P112" i="4"/>
  <c r="Q112" i="4" s="1"/>
  <c r="R112" i="4" s="1"/>
  <c r="P111" i="4"/>
  <c r="Q111" i="4" s="1"/>
  <c r="R111" i="4" s="1"/>
  <c r="P109" i="4"/>
  <c r="Q109" i="4" s="1"/>
  <c r="R109" i="4" s="1"/>
  <c r="P108" i="4"/>
  <c r="Q108" i="4" s="1"/>
  <c r="R108" i="4" s="1"/>
  <c r="P107" i="4"/>
  <c r="Q107" i="4" s="1"/>
  <c r="R107" i="4" s="1"/>
  <c r="P106" i="4"/>
  <c r="Q106" i="4" s="1"/>
  <c r="R106" i="4" s="1"/>
  <c r="P105" i="4"/>
  <c r="Q105" i="4" s="1"/>
  <c r="R105" i="4" s="1"/>
  <c r="P104" i="4"/>
  <c r="Q104" i="4" s="1"/>
  <c r="R104" i="4" s="1"/>
  <c r="P103" i="4"/>
  <c r="Q103" i="4" s="1"/>
  <c r="R103" i="4" s="1"/>
  <c r="P102" i="4"/>
  <c r="Q102" i="4" s="1"/>
  <c r="R102" i="4" s="1"/>
  <c r="P101" i="4"/>
  <c r="M134" i="4"/>
  <c r="Q134" i="4"/>
  <c r="N84" i="4"/>
  <c r="N96" i="4" s="1"/>
  <c r="N60" i="4"/>
  <c r="N58" i="4"/>
  <c r="N57" i="4" s="1"/>
  <c r="N83" i="4"/>
  <c r="N79" i="4"/>
  <c r="N72" i="4"/>
  <c r="Q84" i="4"/>
  <c r="Q96" i="4" s="1"/>
  <c r="Q83" i="4"/>
  <c r="Q79" i="4"/>
  <c r="Q72" i="4"/>
  <c r="Q60" i="4"/>
  <c r="Q58" i="4"/>
  <c r="Q57" i="4" s="1"/>
  <c r="R51" i="4"/>
  <c r="AD21" i="4"/>
  <c r="R47" i="4"/>
  <c r="AD14" i="4"/>
  <c r="R43" i="4"/>
  <c r="AD12" i="4"/>
  <c r="Z52" i="4"/>
  <c r="Z51" i="4"/>
  <c r="Z49" i="4"/>
  <c r="Z48" i="4"/>
  <c r="Z47" i="4"/>
  <c r="Z46" i="4"/>
  <c r="Z44" i="4"/>
  <c r="Z43" i="4"/>
  <c r="Z42" i="4"/>
  <c r="Z41" i="4"/>
  <c r="Y52" i="4"/>
  <c r="Y51" i="4"/>
  <c r="Y44" i="4"/>
  <c r="Y43" i="4"/>
  <c r="Y42" i="4"/>
  <c r="Y41" i="4"/>
  <c r="Y49" i="4"/>
  <c r="Y48" i="4"/>
  <c r="Y47" i="4"/>
  <c r="Y46" i="4"/>
  <c r="AD30" i="4"/>
  <c r="AD28" i="4"/>
  <c r="AD27" i="4"/>
  <c r="AD26" i="4"/>
  <c r="AD10" i="4"/>
  <c r="AD9" i="4"/>
  <c r="AC30" i="4"/>
  <c r="AC27" i="4"/>
  <c r="AC26" i="4"/>
  <c r="AC21" i="4"/>
  <c r="AC20" i="4"/>
  <c r="AC17" i="4"/>
  <c r="AC16" i="4"/>
  <c r="AC15" i="4"/>
  <c r="AC14" i="4"/>
  <c r="AC12" i="4"/>
  <c r="AC11" i="4"/>
  <c r="AC10" i="4"/>
  <c r="AC9" i="4"/>
  <c r="AB31" i="4"/>
  <c r="AB30" i="4"/>
  <c r="AB28" i="4"/>
  <c r="AB27" i="4"/>
  <c r="AB26" i="4"/>
  <c r="AB21" i="4"/>
  <c r="AB20" i="4"/>
  <c r="AB17" i="4"/>
  <c r="AB16" i="4"/>
  <c r="AB15" i="4"/>
  <c r="AB14" i="4"/>
  <c r="AB12" i="4"/>
  <c r="AB11" i="4"/>
  <c r="AB10" i="4"/>
  <c r="AB9" i="4"/>
  <c r="AA31" i="4"/>
  <c r="AA30" i="4"/>
  <c r="AA27" i="4"/>
  <c r="AA26" i="4"/>
  <c r="AA21" i="4"/>
  <c r="AA52" i="4" s="1"/>
  <c r="AA20" i="4"/>
  <c r="AA51" i="4" s="1"/>
  <c r="AA17" i="4"/>
  <c r="AA16" i="4"/>
  <c r="AA15" i="4"/>
  <c r="AA14" i="4"/>
  <c r="AA12" i="4"/>
  <c r="AA44" i="4" s="1"/>
  <c r="AA11" i="4"/>
  <c r="AA10" i="4"/>
  <c r="AA9" i="4"/>
  <c r="Z28" i="4"/>
  <c r="Z18" i="4"/>
  <c r="Z13" i="4"/>
  <c r="Y18" i="4"/>
  <c r="Y13" i="4"/>
  <c r="X18" i="4"/>
  <c r="X13" i="4"/>
  <c r="Q52" i="4"/>
  <c r="P52" i="4"/>
  <c r="O52" i="4"/>
  <c r="N52" i="4"/>
  <c r="M52" i="4"/>
  <c r="L52" i="4"/>
  <c r="K52" i="4"/>
  <c r="J52" i="4"/>
  <c r="I52" i="4"/>
  <c r="H52" i="4"/>
  <c r="Q51" i="4"/>
  <c r="P51" i="4"/>
  <c r="O51" i="4"/>
  <c r="N51" i="4"/>
  <c r="M51" i="4"/>
  <c r="L51" i="4"/>
  <c r="K51" i="4"/>
  <c r="J51" i="4"/>
  <c r="I51" i="4"/>
  <c r="H51" i="4"/>
  <c r="Q49" i="4"/>
  <c r="P49" i="4"/>
  <c r="O49" i="4"/>
  <c r="N49" i="4"/>
  <c r="M49" i="4"/>
  <c r="L49" i="4"/>
  <c r="K49" i="4"/>
  <c r="J49" i="4"/>
  <c r="I49" i="4"/>
  <c r="H49" i="4"/>
  <c r="Q48" i="4"/>
  <c r="P48" i="4"/>
  <c r="O48" i="4"/>
  <c r="N48" i="4"/>
  <c r="M48" i="4"/>
  <c r="L48" i="4"/>
  <c r="K48" i="4"/>
  <c r="J48" i="4"/>
  <c r="I48" i="4"/>
  <c r="H48" i="4"/>
  <c r="Q47" i="4"/>
  <c r="P47" i="4"/>
  <c r="O47" i="4"/>
  <c r="N47" i="4"/>
  <c r="M47" i="4"/>
  <c r="L47" i="4"/>
  <c r="K47" i="4"/>
  <c r="J47" i="4"/>
  <c r="I47" i="4"/>
  <c r="H47" i="4"/>
  <c r="Q46" i="4"/>
  <c r="P46" i="4"/>
  <c r="O46" i="4"/>
  <c r="N46" i="4"/>
  <c r="M46" i="4"/>
  <c r="L46" i="4"/>
  <c r="K46" i="4"/>
  <c r="J46" i="4"/>
  <c r="I46" i="4"/>
  <c r="H46" i="4"/>
  <c r="Q44" i="4"/>
  <c r="P44" i="4"/>
  <c r="O44" i="4"/>
  <c r="N44" i="4"/>
  <c r="M44" i="4"/>
  <c r="L44" i="4"/>
  <c r="K44" i="4"/>
  <c r="J44" i="4"/>
  <c r="I44" i="4"/>
  <c r="H44" i="4"/>
  <c r="Q43" i="4"/>
  <c r="P43" i="4"/>
  <c r="O43" i="4"/>
  <c r="N43" i="4"/>
  <c r="M43" i="4"/>
  <c r="L43" i="4"/>
  <c r="K43" i="4"/>
  <c r="J43" i="4"/>
  <c r="I43" i="4"/>
  <c r="H43" i="4"/>
  <c r="Q42" i="4"/>
  <c r="P42" i="4"/>
  <c r="O42" i="4"/>
  <c r="N42" i="4"/>
  <c r="M42" i="4"/>
  <c r="L42" i="4"/>
  <c r="K42" i="4"/>
  <c r="J42" i="4"/>
  <c r="I42" i="4"/>
  <c r="H42" i="4"/>
  <c r="R41" i="4"/>
  <c r="O41" i="4"/>
  <c r="N41" i="4"/>
  <c r="M41" i="4"/>
  <c r="L41" i="4"/>
  <c r="K41" i="4"/>
  <c r="J41" i="4"/>
  <c r="I41" i="4"/>
  <c r="H41" i="4"/>
  <c r="F49" i="4"/>
  <c r="E49" i="4"/>
  <c r="D49" i="4"/>
  <c r="C49" i="4"/>
  <c r="F48" i="4"/>
  <c r="E48" i="4"/>
  <c r="D48" i="4"/>
  <c r="C48" i="4"/>
  <c r="F47" i="4"/>
  <c r="E47" i="4"/>
  <c r="D47" i="4"/>
  <c r="C47" i="4"/>
  <c r="F46" i="4"/>
  <c r="E46" i="4"/>
  <c r="D46" i="4"/>
  <c r="C46" i="4"/>
  <c r="G52" i="4"/>
  <c r="G51" i="4"/>
  <c r="G49" i="4"/>
  <c r="G48" i="4"/>
  <c r="G47" i="4"/>
  <c r="G46" i="4"/>
  <c r="G44" i="4"/>
  <c r="G43" i="4"/>
  <c r="G42" i="4"/>
  <c r="G41" i="4"/>
  <c r="F18" i="4"/>
  <c r="F13" i="4"/>
  <c r="C28" i="4"/>
  <c r="AA28" i="4" s="1"/>
  <c r="C18" i="4"/>
  <c r="C13" i="4"/>
  <c r="G18" i="4"/>
  <c r="G13" i="4"/>
  <c r="D18" i="4"/>
  <c r="D13" i="4"/>
  <c r="H18" i="4"/>
  <c r="H13" i="4"/>
  <c r="E18" i="4"/>
  <c r="E13" i="4"/>
  <c r="I18" i="4"/>
  <c r="I13" i="4"/>
  <c r="J18" i="4"/>
  <c r="J13" i="4"/>
  <c r="N18" i="4"/>
  <c r="N13" i="4"/>
  <c r="K18" i="4"/>
  <c r="K13" i="4"/>
  <c r="O18" i="4"/>
  <c r="O13" i="4"/>
  <c r="M28" i="4"/>
  <c r="AC28" i="4" s="1"/>
  <c r="M18" i="4"/>
  <c r="M13" i="4"/>
  <c r="Q18" i="4"/>
  <c r="Q13" i="4"/>
  <c r="L18" i="4"/>
  <c r="L13" i="4"/>
  <c r="P18" i="4"/>
  <c r="P13" i="4"/>
  <c r="D5" i="1"/>
  <c r="F3" i="1"/>
  <c r="U43" i="4" l="1"/>
  <c r="AE10" i="4"/>
  <c r="AF10" i="4" s="1"/>
  <c r="AG10" i="4" s="1"/>
  <c r="AH10" i="4" s="1"/>
  <c r="AI10" i="4" s="1"/>
  <c r="AJ10" i="4" s="1"/>
  <c r="V15" i="4"/>
  <c r="S123" i="4"/>
  <c r="O123" i="4"/>
  <c r="R40" i="4"/>
  <c r="U18" i="4"/>
  <c r="V43" i="4"/>
  <c r="V16" i="4"/>
  <c r="AE16" i="4" s="1"/>
  <c r="AH9" i="4"/>
  <c r="AI9" i="4" s="1"/>
  <c r="AJ9" i="4" s="1"/>
  <c r="AK9" i="4" s="1"/>
  <c r="AL9" i="4" s="1"/>
  <c r="AM9" i="4" s="1"/>
  <c r="AN9" i="4" s="1"/>
  <c r="AO9" i="4" s="1"/>
  <c r="AF27" i="4"/>
  <c r="AG27" i="4" s="1"/>
  <c r="AH27" i="4" s="1"/>
  <c r="AI27" i="4" s="1"/>
  <c r="AJ27" i="4" s="1"/>
  <c r="AK27" i="4" s="1"/>
  <c r="AL27" i="4" s="1"/>
  <c r="AM27" i="4" s="1"/>
  <c r="AN27" i="4" s="1"/>
  <c r="AO27" i="4" s="1"/>
  <c r="AS45" i="4"/>
  <c r="AS125" i="4"/>
  <c r="V46" i="4"/>
  <c r="S24" i="4"/>
  <c r="AE20" i="4"/>
  <c r="AF20" i="4" s="1"/>
  <c r="T13" i="4"/>
  <c r="T89" i="4" s="1"/>
  <c r="AE17" i="4"/>
  <c r="T18" i="4"/>
  <c r="T49" i="4"/>
  <c r="V13" i="4"/>
  <c r="T44" i="4"/>
  <c r="AE12" i="4"/>
  <c r="AF12" i="4" s="1"/>
  <c r="AG12" i="4" s="1"/>
  <c r="V49" i="4"/>
  <c r="V44" i="4"/>
  <c r="T48" i="4"/>
  <c r="U48" i="4"/>
  <c r="U13" i="4"/>
  <c r="U89" i="4" s="1"/>
  <c r="AE11" i="4"/>
  <c r="AF11" i="4" s="1"/>
  <c r="S45" i="4"/>
  <c r="V24" i="4"/>
  <c r="AB24" i="4"/>
  <c r="AC24" i="4"/>
  <c r="R63" i="4"/>
  <c r="AD63" i="4"/>
  <c r="AD85" i="4"/>
  <c r="AA24" i="4"/>
  <c r="R85" i="4"/>
  <c r="R57" i="4"/>
  <c r="AD31" i="4"/>
  <c r="P63" i="4"/>
  <c r="P57" i="4"/>
  <c r="M115" i="4"/>
  <c r="N115" i="4" s="1"/>
  <c r="AC117" i="4"/>
  <c r="AC102" i="4"/>
  <c r="AC113" i="4"/>
  <c r="AC85" i="4"/>
  <c r="AC103" i="4"/>
  <c r="AC111" i="4"/>
  <c r="AC104" i="4"/>
  <c r="AC112" i="4"/>
  <c r="O63" i="4"/>
  <c r="N105" i="4"/>
  <c r="AC105" i="4" s="1"/>
  <c r="AC106" i="4"/>
  <c r="AC114" i="4"/>
  <c r="AC63" i="4"/>
  <c r="AC107" i="4"/>
  <c r="AC108" i="4"/>
  <c r="AC101" i="4"/>
  <c r="AC109" i="4"/>
  <c r="L110" i="4"/>
  <c r="L119" i="4"/>
  <c r="D9" i="1"/>
  <c r="P85" i="4"/>
  <c r="O85" i="4"/>
  <c r="O57" i="4"/>
  <c r="M118" i="4"/>
  <c r="P110" i="4"/>
  <c r="Q110" i="4" s="1"/>
  <c r="R110" i="4" s="1"/>
  <c r="P119" i="4"/>
  <c r="R52" i="4"/>
  <c r="Q85" i="4"/>
  <c r="Q117" i="4"/>
  <c r="Q101" i="4"/>
  <c r="Q63" i="4"/>
  <c r="Z45" i="4"/>
  <c r="AC47" i="4"/>
  <c r="AA46" i="4"/>
  <c r="AB48" i="4"/>
  <c r="AC44" i="4"/>
  <c r="N85" i="4"/>
  <c r="L45" i="4"/>
  <c r="N63" i="4"/>
  <c r="AA47" i="4"/>
  <c r="AA48" i="4"/>
  <c r="AB47" i="4"/>
  <c r="N45" i="4"/>
  <c r="H45" i="4"/>
  <c r="AC51" i="4"/>
  <c r="K45" i="4"/>
  <c r="I45" i="4"/>
  <c r="Y45" i="4"/>
  <c r="AD15" i="4"/>
  <c r="AD47" i="4" s="1"/>
  <c r="AB51" i="4"/>
  <c r="AD41" i="4"/>
  <c r="M45" i="4"/>
  <c r="AC43" i="4"/>
  <c r="R44" i="4"/>
  <c r="AB44" i="4"/>
  <c r="R13" i="4"/>
  <c r="AA42" i="4"/>
  <c r="P45" i="4"/>
  <c r="J45" i="4"/>
  <c r="AC49" i="4"/>
  <c r="AC46" i="4"/>
  <c r="AD42" i="4"/>
  <c r="R49" i="4"/>
  <c r="O45" i="4"/>
  <c r="G45" i="4"/>
  <c r="AB46" i="4"/>
  <c r="AC42" i="4"/>
  <c r="AC52" i="4"/>
  <c r="AB42" i="4"/>
  <c r="AB52" i="4"/>
  <c r="AC48" i="4"/>
  <c r="AF14" i="4"/>
  <c r="AE46" i="4"/>
  <c r="AE41" i="4"/>
  <c r="AG21" i="4"/>
  <c r="AG52" i="4" s="1"/>
  <c r="AA43" i="4"/>
  <c r="Q19" i="4"/>
  <c r="Q25" i="4" s="1"/>
  <c r="AB43" i="4"/>
  <c r="AA49" i="4"/>
  <c r="AB49" i="4"/>
  <c r="Q45" i="4"/>
  <c r="AD46" i="4"/>
  <c r="AA41" i="4"/>
  <c r="AB41" i="4"/>
  <c r="AD16" i="4"/>
  <c r="AC41" i="4"/>
  <c r="AD20" i="4"/>
  <c r="AD24" i="4" s="1"/>
  <c r="AE52" i="4"/>
  <c r="AD52" i="4"/>
  <c r="R46" i="4"/>
  <c r="AD11" i="4"/>
  <c r="AD44" i="4"/>
  <c r="AC18" i="4"/>
  <c r="AC95" i="4" s="1"/>
  <c r="AC13" i="4"/>
  <c r="AB18" i="4"/>
  <c r="AB95" i="4" s="1"/>
  <c r="AB13" i="4"/>
  <c r="AA18" i="4"/>
  <c r="AA95" i="4" s="1"/>
  <c r="AA13" i="4"/>
  <c r="Z19" i="4"/>
  <c r="Z25" i="4" s="1"/>
  <c r="Y19" i="4"/>
  <c r="Y25" i="4" s="1"/>
  <c r="X19" i="4"/>
  <c r="F19" i="4"/>
  <c r="F25" i="4" s="1"/>
  <c r="C19" i="4"/>
  <c r="C25" i="4" s="1"/>
  <c r="G19" i="4"/>
  <c r="G25" i="4" s="1"/>
  <c r="D19" i="4"/>
  <c r="D25" i="4" s="1"/>
  <c r="H19" i="4"/>
  <c r="H25" i="4" s="1"/>
  <c r="E19" i="4"/>
  <c r="E25" i="4" s="1"/>
  <c r="I19" i="4"/>
  <c r="I25" i="4" s="1"/>
  <c r="P19" i="4"/>
  <c r="P25" i="4" s="1"/>
  <c r="J19" i="4"/>
  <c r="J25" i="4" s="1"/>
  <c r="N19" i="4"/>
  <c r="N25" i="4" s="1"/>
  <c r="K19" i="4"/>
  <c r="K25" i="4" s="1"/>
  <c r="O19" i="4"/>
  <c r="O25" i="4" s="1"/>
  <c r="M19" i="4"/>
  <c r="M25" i="4" s="1"/>
  <c r="L19" i="4"/>
  <c r="L25" i="4" s="1"/>
  <c r="AC94" i="4" l="1"/>
  <c r="AC93" i="4"/>
  <c r="AA94" i="4"/>
  <c r="AA89" i="4"/>
  <c r="AA93" i="4"/>
  <c r="AB94" i="4"/>
  <c r="AB93" i="4"/>
  <c r="AB89" i="4"/>
  <c r="AC73" i="4"/>
  <c r="AC92" i="4"/>
  <c r="AC91" i="4"/>
  <c r="O73" i="4"/>
  <c r="O97" i="4" s="1"/>
  <c r="O92" i="4"/>
  <c r="O91" i="4"/>
  <c r="AD73" i="4"/>
  <c r="AD92" i="4"/>
  <c r="AD91" i="4"/>
  <c r="N73" i="4"/>
  <c r="N97" i="4" s="1"/>
  <c r="N92" i="4"/>
  <c r="N91" i="4"/>
  <c r="Q73" i="4"/>
  <c r="Q91" i="4"/>
  <c r="Q92" i="4"/>
  <c r="R73" i="4"/>
  <c r="R97" i="4" s="1"/>
  <c r="R91" i="4"/>
  <c r="R92" i="4"/>
  <c r="P73" i="4"/>
  <c r="P97" i="4" s="1"/>
  <c r="P91" i="4"/>
  <c r="P92" i="4"/>
  <c r="T45" i="4"/>
  <c r="R45" i="4"/>
  <c r="AA45" i="4"/>
  <c r="AE15" i="4"/>
  <c r="AE47" i="4" s="1"/>
  <c r="V47" i="4"/>
  <c r="V48" i="4"/>
  <c r="AE42" i="4"/>
  <c r="T123" i="4"/>
  <c r="P123" i="4"/>
  <c r="U47" i="4"/>
  <c r="AF101" i="4"/>
  <c r="AG101" i="4" s="1"/>
  <c r="AH101" i="4" s="1"/>
  <c r="AI101" i="4" s="1"/>
  <c r="AJ101" i="4" s="1"/>
  <c r="AK101" i="4" s="1"/>
  <c r="AL101" i="4" s="1"/>
  <c r="AM101" i="4" s="1"/>
  <c r="AN101" i="4" s="1"/>
  <c r="AO101" i="4" s="1"/>
  <c r="R101" i="4"/>
  <c r="Q119" i="4"/>
  <c r="R117" i="4"/>
  <c r="R119" i="4" s="1"/>
  <c r="AK10" i="4"/>
  <c r="AL10" i="4" s="1"/>
  <c r="AM10" i="4" s="1"/>
  <c r="AN10" i="4" s="1"/>
  <c r="AO10" i="4" s="1"/>
  <c r="AF15" i="4"/>
  <c r="AF47" i="4" s="1"/>
  <c r="AK14" i="4"/>
  <c r="AI14" i="4"/>
  <c r="AG14" i="4"/>
  <c r="V18" i="4"/>
  <c r="V19" i="4" s="1"/>
  <c r="AG11" i="4"/>
  <c r="AH11" i="4" s="1"/>
  <c r="AI11" i="4" s="1"/>
  <c r="AJ11" i="4" s="1"/>
  <c r="AK11" i="4" s="1"/>
  <c r="AL11" i="4" s="1"/>
  <c r="AM11" i="4" s="1"/>
  <c r="AN11" i="4" s="1"/>
  <c r="AO11" i="4" s="1"/>
  <c r="S18" i="4"/>
  <c r="S19" i="4" s="1"/>
  <c r="S50" i="4" s="1"/>
  <c r="S48" i="4"/>
  <c r="AE44" i="4"/>
  <c r="AE49" i="4"/>
  <c r="AE13" i="4"/>
  <c r="T19" i="4"/>
  <c r="T50" i="4" s="1"/>
  <c r="V45" i="4"/>
  <c r="U45" i="4"/>
  <c r="U19" i="4"/>
  <c r="X25" i="4"/>
  <c r="X29" i="4" s="1"/>
  <c r="X32" i="4" s="1"/>
  <c r="AC115" i="4"/>
  <c r="M110" i="4"/>
  <c r="N110" i="4" s="1"/>
  <c r="M119" i="4"/>
  <c r="N118" i="4"/>
  <c r="N119" i="4" s="1"/>
  <c r="AF41" i="4"/>
  <c r="AF46" i="4"/>
  <c r="AD17" i="4"/>
  <c r="AD49" i="4" s="1"/>
  <c r="R48" i="4"/>
  <c r="O50" i="4"/>
  <c r="D50" i="4"/>
  <c r="AD13" i="4"/>
  <c r="AH21" i="4"/>
  <c r="AH52" i="4" s="1"/>
  <c r="AF52" i="4"/>
  <c r="K50" i="4"/>
  <c r="G50" i="4"/>
  <c r="AB45" i="4"/>
  <c r="M50" i="4"/>
  <c r="N50" i="4"/>
  <c r="J50" i="4"/>
  <c r="AC19" i="4"/>
  <c r="AC25" i="4" s="1"/>
  <c r="AC45" i="4"/>
  <c r="Q50" i="4"/>
  <c r="H50" i="4"/>
  <c r="C50" i="4"/>
  <c r="F50" i="4"/>
  <c r="P50" i="4"/>
  <c r="R18" i="4"/>
  <c r="R19" i="4" s="1"/>
  <c r="R25" i="4" s="1"/>
  <c r="I50" i="4"/>
  <c r="Y50" i="4"/>
  <c r="L50" i="4"/>
  <c r="E50" i="4"/>
  <c r="Z50" i="4"/>
  <c r="AD51" i="4"/>
  <c r="AD43" i="4"/>
  <c r="AD48" i="4"/>
  <c r="AB19" i="4"/>
  <c r="AB25" i="4" s="1"/>
  <c r="AA19" i="4"/>
  <c r="AA25" i="4" s="1"/>
  <c r="AE94" i="4" l="1"/>
  <c r="AE89" i="4"/>
  <c r="AE93" i="4"/>
  <c r="AD90" i="4"/>
  <c r="AD97" i="4"/>
  <c r="AC90" i="4"/>
  <c r="AC97" i="4"/>
  <c r="Q90" i="4"/>
  <c r="Q97" i="4"/>
  <c r="X34" i="4"/>
  <c r="AD94" i="4"/>
  <c r="AD89" i="4"/>
  <c r="AD93" i="4"/>
  <c r="O90" i="4"/>
  <c r="P89" i="4"/>
  <c r="P90" i="4"/>
  <c r="Q89" i="4"/>
  <c r="N90" i="4"/>
  <c r="N89" i="4"/>
  <c r="O89" i="4"/>
  <c r="R90" i="4"/>
  <c r="S89" i="4"/>
  <c r="R89" i="4"/>
  <c r="AC89" i="4"/>
  <c r="AD45" i="4"/>
  <c r="U123" i="4"/>
  <c r="Q123" i="4"/>
  <c r="V123" i="4"/>
  <c r="R123" i="4"/>
  <c r="AF44" i="4"/>
  <c r="AF17" i="4"/>
  <c r="AF49" i="4" s="1"/>
  <c r="AH12" i="4"/>
  <c r="AI12" i="4" s="1"/>
  <c r="AJ12" i="4" s="1"/>
  <c r="AK12" i="4" s="1"/>
  <c r="AL12" i="4" s="1"/>
  <c r="AM12" i="4" s="1"/>
  <c r="AN12" i="4" s="1"/>
  <c r="AO12" i="4" s="1"/>
  <c r="AG17" i="4"/>
  <c r="AG49" i="4" s="1"/>
  <c r="AG44" i="4"/>
  <c r="AG15" i="4"/>
  <c r="AG47" i="4" s="1"/>
  <c r="V50" i="4"/>
  <c r="V25" i="4"/>
  <c r="V29" i="4" s="1"/>
  <c r="V32" i="4" s="1"/>
  <c r="V100" i="4" s="1"/>
  <c r="V116" i="4" s="1"/>
  <c r="V120" i="4" s="1"/>
  <c r="S25" i="4"/>
  <c r="T25" i="4"/>
  <c r="T53" i="4" s="1"/>
  <c r="U50" i="4"/>
  <c r="U25" i="4"/>
  <c r="AE51" i="4"/>
  <c r="AE24" i="4"/>
  <c r="AC118" i="4"/>
  <c r="AC119" i="4" s="1"/>
  <c r="AC123" i="4" s="1"/>
  <c r="AC110" i="4"/>
  <c r="AD119" i="4"/>
  <c r="R50" i="4"/>
  <c r="AG41" i="4"/>
  <c r="AH14" i="4"/>
  <c r="AG46" i="4"/>
  <c r="AI21" i="4"/>
  <c r="AI52" i="4" s="1"/>
  <c r="AD18" i="4"/>
  <c r="AF42" i="4"/>
  <c r="N29" i="4"/>
  <c r="N54" i="4" s="1"/>
  <c r="N53" i="4"/>
  <c r="K29" i="4"/>
  <c r="K32" i="4" s="1"/>
  <c r="K100" i="4" s="1"/>
  <c r="K116" i="4" s="1"/>
  <c r="K120" i="4" s="1"/>
  <c r="K53" i="4"/>
  <c r="L29" i="4"/>
  <c r="L32" i="4" s="1"/>
  <c r="L100" i="4" s="1"/>
  <c r="L116" i="4" s="1"/>
  <c r="L120" i="4" s="1"/>
  <c r="L53" i="4"/>
  <c r="O29" i="4"/>
  <c r="O32" i="4" s="1"/>
  <c r="O88" i="4" s="1"/>
  <c r="O53" i="4"/>
  <c r="Q29" i="4"/>
  <c r="Q54" i="4" s="1"/>
  <c r="Q53" i="4"/>
  <c r="C29" i="4"/>
  <c r="C54" i="4" s="1"/>
  <c r="C53" i="4"/>
  <c r="E29" i="4"/>
  <c r="E54" i="4" s="1"/>
  <c r="E53" i="4"/>
  <c r="D29" i="4"/>
  <c r="D32" i="4" s="1"/>
  <c r="D53" i="4"/>
  <c r="F29" i="4"/>
  <c r="F54" i="4" s="1"/>
  <c r="F53" i="4"/>
  <c r="Y29" i="4"/>
  <c r="Y32" i="4" s="1"/>
  <c r="Y53" i="4"/>
  <c r="Z29" i="4"/>
  <c r="Z32" i="4" s="1"/>
  <c r="Z53" i="4"/>
  <c r="I29" i="4"/>
  <c r="I32" i="4" s="1"/>
  <c r="I53" i="4"/>
  <c r="P29" i="4"/>
  <c r="P54" i="4" s="1"/>
  <c r="P53" i="4"/>
  <c r="M29" i="4"/>
  <c r="M54" i="4" s="1"/>
  <c r="M53" i="4"/>
  <c r="R29" i="4"/>
  <c r="R53" i="4"/>
  <c r="H29" i="4"/>
  <c r="H32" i="4" s="1"/>
  <c r="H53" i="4"/>
  <c r="J29" i="4"/>
  <c r="J32" i="4" s="1"/>
  <c r="J53" i="4"/>
  <c r="G29" i="4"/>
  <c r="G32" i="4" s="1"/>
  <c r="G53" i="4"/>
  <c r="AB50" i="4"/>
  <c r="AC50" i="4"/>
  <c r="AE18" i="4"/>
  <c r="AE95" i="4" s="1"/>
  <c r="AA50" i="4"/>
  <c r="AG42" i="4"/>
  <c r="AH15" i="4"/>
  <c r="AE43" i="4"/>
  <c r="AD19" i="4" l="1"/>
  <c r="AD25" i="4" s="1"/>
  <c r="AD29" i="4" s="1"/>
  <c r="AD95" i="4"/>
  <c r="AD123" i="4"/>
  <c r="AH44" i="4"/>
  <c r="AH17" i="4"/>
  <c r="AH49" i="4" s="1"/>
  <c r="V54" i="4"/>
  <c r="V53" i="4"/>
  <c r="S53" i="4"/>
  <c r="S29" i="4"/>
  <c r="T29" i="4"/>
  <c r="T32" i="4" s="1"/>
  <c r="V34" i="4"/>
  <c r="V55" i="4"/>
  <c r="U29" i="4"/>
  <c r="U53" i="4"/>
  <c r="AF51" i="4"/>
  <c r="AF24" i="4"/>
  <c r="Y54" i="4"/>
  <c r="AG20" i="4"/>
  <c r="O100" i="4"/>
  <c r="O116" i="4" s="1"/>
  <c r="O120" i="4" s="1"/>
  <c r="O122" i="4" s="1"/>
  <c r="AE119" i="4"/>
  <c r="AE123" i="4" s="1"/>
  <c r="AJ21" i="4"/>
  <c r="AK21" i="4" s="1"/>
  <c r="Z54" i="4"/>
  <c r="E32" i="4"/>
  <c r="E34" i="4" s="1"/>
  <c r="I54" i="4"/>
  <c r="F32" i="4"/>
  <c r="F55" i="4" s="1"/>
  <c r="AH41" i="4"/>
  <c r="Q32" i="4"/>
  <c r="K54" i="4"/>
  <c r="AH46" i="4"/>
  <c r="D54" i="4"/>
  <c r="N32" i="4"/>
  <c r="J54" i="4"/>
  <c r="P32" i="4"/>
  <c r="P88" i="4" s="1"/>
  <c r="O54" i="4"/>
  <c r="H54" i="4"/>
  <c r="L54" i="4"/>
  <c r="M32" i="4"/>
  <c r="AA29" i="4"/>
  <c r="AA32" i="4" s="1"/>
  <c r="AA88" i="4" s="1"/>
  <c r="AA53" i="4"/>
  <c r="C32" i="4"/>
  <c r="C34" i="4" s="1"/>
  <c r="R54" i="4"/>
  <c r="R32" i="4"/>
  <c r="G54" i="4"/>
  <c r="AB29" i="4"/>
  <c r="AB54" i="4" s="1"/>
  <c r="AB53" i="4"/>
  <c r="AC29" i="4"/>
  <c r="AC32" i="4" s="1"/>
  <c r="AC53" i="4"/>
  <c r="H34" i="4"/>
  <c r="H55" i="4"/>
  <c r="K34" i="4"/>
  <c r="K55" i="4"/>
  <c r="I34" i="4"/>
  <c r="I55" i="4"/>
  <c r="G34" i="4"/>
  <c r="G55" i="4"/>
  <c r="AE45" i="4"/>
  <c r="AE19" i="4"/>
  <c r="AE25" i="4" s="1"/>
  <c r="AF16" i="4"/>
  <c r="AF18" i="4" s="1"/>
  <c r="AF43" i="4"/>
  <c r="AF13" i="4"/>
  <c r="AF45" i="4" s="1"/>
  <c r="AH42" i="4"/>
  <c r="O34" i="4"/>
  <c r="O55" i="4"/>
  <c r="D34" i="4"/>
  <c r="D55" i="4"/>
  <c r="AE48" i="4"/>
  <c r="J34" i="4"/>
  <c r="J55" i="4"/>
  <c r="Z34" i="4"/>
  <c r="Z55" i="4"/>
  <c r="AI15" i="4"/>
  <c r="L34" i="4"/>
  <c r="L55" i="4"/>
  <c r="AH47" i="4"/>
  <c r="Y34" i="4"/>
  <c r="Y55" i="4"/>
  <c r="AD50" i="4" l="1"/>
  <c r="T100" i="4"/>
  <c r="T116" i="4" s="1"/>
  <c r="T120" i="4" s="1"/>
  <c r="T88" i="4"/>
  <c r="AC100" i="4"/>
  <c r="AC116" i="4" s="1"/>
  <c r="AC120" i="4" s="1"/>
  <c r="AC88" i="4"/>
  <c r="N100" i="4"/>
  <c r="N116" i="4" s="1"/>
  <c r="N120" i="4" s="1"/>
  <c r="N88" i="4"/>
  <c r="Q100" i="4"/>
  <c r="Q116" i="4" s="1"/>
  <c r="Q120" i="4" s="1"/>
  <c r="Q88" i="4"/>
  <c r="R100" i="4"/>
  <c r="R116" i="4" s="1"/>
  <c r="R120" i="4" s="1"/>
  <c r="R88" i="4"/>
  <c r="AI17" i="4"/>
  <c r="AI49" i="4" s="1"/>
  <c r="AI44" i="4"/>
  <c r="S32" i="4"/>
  <c r="S54" i="4"/>
  <c r="T54" i="4"/>
  <c r="U32" i="4"/>
  <c r="U54" i="4"/>
  <c r="T34" i="4"/>
  <c r="T55" i="4"/>
  <c r="AH20" i="4"/>
  <c r="AG24" i="4"/>
  <c r="AJ52" i="4"/>
  <c r="AG51" i="4"/>
  <c r="AF119" i="4"/>
  <c r="AF123" i="4" s="1"/>
  <c r="Q34" i="4"/>
  <c r="F34" i="4"/>
  <c r="Q55" i="4"/>
  <c r="N55" i="4"/>
  <c r="AC54" i="4"/>
  <c r="N34" i="4"/>
  <c r="P34" i="4"/>
  <c r="P100" i="4"/>
  <c r="E55" i="4"/>
  <c r="M34" i="4"/>
  <c r="M100" i="4"/>
  <c r="M116" i="4" s="1"/>
  <c r="M120" i="4" s="1"/>
  <c r="AI41" i="4"/>
  <c r="C55" i="4"/>
  <c r="AI46" i="4"/>
  <c r="AJ14" i="4"/>
  <c r="AJ46" i="4" s="1"/>
  <c r="AB32" i="4"/>
  <c r="AB88" i="4" s="1"/>
  <c r="P55" i="4"/>
  <c r="AA54" i="4"/>
  <c r="AD54" i="4"/>
  <c r="AD32" i="4"/>
  <c r="AD88" i="4" s="1"/>
  <c r="AD53" i="4"/>
  <c r="AI42" i="4"/>
  <c r="M55" i="4"/>
  <c r="AJ15" i="4"/>
  <c r="AF19" i="4"/>
  <c r="R34" i="4"/>
  <c r="R55" i="4"/>
  <c r="AG16" i="4"/>
  <c r="AG18" i="4" s="1"/>
  <c r="AG43" i="4"/>
  <c r="AG13" i="4"/>
  <c r="AG45" i="4" s="1"/>
  <c r="AI47" i="4"/>
  <c r="AE50" i="4"/>
  <c r="AC34" i="4"/>
  <c r="AC55" i="4"/>
  <c r="AA34" i="4"/>
  <c r="AA55" i="4"/>
  <c r="AF48" i="4"/>
  <c r="AL21" i="4"/>
  <c r="AK52" i="4"/>
  <c r="U100" i="4" l="1"/>
  <c r="U116" i="4" s="1"/>
  <c r="U120" i="4" s="1"/>
  <c r="U122" i="4" s="1"/>
  <c r="U88" i="4"/>
  <c r="S100" i="4"/>
  <c r="S116" i="4" s="1"/>
  <c r="S120" i="4" s="1"/>
  <c r="S122" i="4" s="1"/>
  <c r="S88" i="4"/>
  <c r="V122" i="4"/>
  <c r="R122" i="4"/>
  <c r="AB34" i="4"/>
  <c r="AB100" i="4"/>
  <c r="AB116" i="4" s="1"/>
  <c r="AB120" i="4" s="1"/>
  <c r="AC122" i="4" s="1"/>
  <c r="AJ17" i="4"/>
  <c r="AJ49" i="4" s="1"/>
  <c r="AJ44" i="4"/>
  <c r="S34" i="4"/>
  <c r="S55" i="4"/>
  <c r="U34" i="4"/>
  <c r="U55" i="4"/>
  <c r="AF50" i="4"/>
  <c r="AF25" i="4"/>
  <c r="AF29" i="4" s="1"/>
  <c r="AF32" i="4" s="1"/>
  <c r="AH51" i="4"/>
  <c r="AH24" i="4"/>
  <c r="AI20" i="4"/>
  <c r="P116" i="4"/>
  <c r="P120" i="4" s="1"/>
  <c r="AG119" i="4"/>
  <c r="AG123" i="4" s="1"/>
  <c r="AD34" i="4"/>
  <c r="AD100" i="4"/>
  <c r="AD116" i="4" s="1"/>
  <c r="AD120" i="4" s="1"/>
  <c r="AD122" i="4" s="1"/>
  <c r="Q122" i="4"/>
  <c r="AJ41" i="4"/>
  <c r="AD55" i="4"/>
  <c r="AK41" i="4"/>
  <c r="AB55" i="4"/>
  <c r="AJ47" i="4"/>
  <c r="AJ42" i="4"/>
  <c r="AK15" i="4"/>
  <c r="AE29" i="4"/>
  <c r="AE54" i="4" s="1"/>
  <c r="AE53" i="4"/>
  <c r="AG48" i="4"/>
  <c r="AG19" i="4"/>
  <c r="AG25" i="4" s="1"/>
  <c r="AH16" i="4"/>
  <c r="AH18" i="4" s="1"/>
  <c r="AH43" i="4"/>
  <c r="AH13" i="4"/>
  <c r="AL52" i="4"/>
  <c r="AM21" i="4"/>
  <c r="AL14" i="4"/>
  <c r="P122" i="4" l="1"/>
  <c r="T122" i="4"/>
  <c r="AK17" i="4"/>
  <c r="AK49" i="4" s="1"/>
  <c r="AK44" i="4"/>
  <c r="AF100" i="4"/>
  <c r="AF116" i="4" s="1"/>
  <c r="AF120" i="4" s="1"/>
  <c r="AI51" i="4"/>
  <c r="AI24" i="4"/>
  <c r="AJ20" i="4"/>
  <c r="AF53" i="4"/>
  <c r="AH119" i="4"/>
  <c r="AH123" i="4" s="1"/>
  <c r="AK46" i="4"/>
  <c r="AE32" i="4"/>
  <c r="AE88" i="4" s="1"/>
  <c r="AK42" i="4"/>
  <c r="AK47" i="4"/>
  <c r="AF54" i="4"/>
  <c r="AL15" i="4"/>
  <c r="AG50" i="4"/>
  <c r="AI16" i="4"/>
  <c r="AI18" i="4" s="1"/>
  <c r="AI43" i="4"/>
  <c r="AI13" i="4"/>
  <c r="AF34" i="4"/>
  <c r="AF55" i="4"/>
  <c r="AH45" i="4"/>
  <c r="AH19" i="4"/>
  <c r="AH25" i="4" s="1"/>
  <c r="AH48" i="4"/>
  <c r="AM52" i="4"/>
  <c r="AN21" i="4"/>
  <c r="AM14" i="4"/>
  <c r="AL46" i="4"/>
  <c r="AL41" i="4"/>
  <c r="AL17" i="4" l="1"/>
  <c r="AL49" i="4" s="1"/>
  <c r="AL44" i="4"/>
  <c r="AI48" i="4"/>
  <c r="AJ51" i="4"/>
  <c r="AJ24" i="4"/>
  <c r="AK20" i="4"/>
  <c r="AI119" i="4"/>
  <c r="AI123" i="4" s="1"/>
  <c r="AE55" i="4"/>
  <c r="AE100" i="4"/>
  <c r="AE116" i="4" s="1"/>
  <c r="AE120" i="4" s="1"/>
  <c r="AE122" i="4" s="1"/>
  <c r="AE34" i="4"/>
  <c r="AL47" i="4"/>
  <c r="AL42" i="4"/>
  <c r="AM15" i="4"/>
  <c r="AM47" i="4" s="1"/>
  <c r="AG29" i="4"/>
  <c r="AG32" i="4" s="1"/>
  <c r="AG53" i="4"/>
  <c r="AH50" i="4"/>
  <c r="AJ16" i="4"/>
  <c r="AJ18" i="4" s="1"/>
  <c r="AJ43" i="4"/>
  <c r="AJ13" i="4"/>
  <c r="AI45" i="4"/>
  <c r="AI19" i="4"/>
  <c r="AI25" i="4" s="1"/>
  <c r="AN52" i="4"/>
  <c r="AO21" i="4"/>
  <c r="AO52" i="4" s="1"/>
  <c r="AN15" i="4"/>
  <c r="AM46" i="4"/>
  <c r="AM41" i="4"/>
  <c r="AN14" i="4"/>
  <c r="AM17" i="4" l="1"/>
  <c r="AM49" i="4" s="1"/>
  <c r="AM44" i="4"/>
  <c r="AG100" i="4"/>
  <c r="AG116" i="4" s="1"/>
  <c r="AG120" i="4" s="1"/>
  <c r="AL20" i="4"/>
  <c r="AK24" i="4"/>
  <c r="AK51" i="4"/>
  <c r="AJ119" i="4"/>
  <c r="AJ123" i="4" s="1"/>
  <c r="AM42" i="4"/>
  <c r="AG54" i="4"/>
  <c r="AH29" i="4"/>
  <c r="AH54" i="4" s="1"/>
  <c r="AH53" i="4"/>
  <c r="AJ48" i="4"/>
  <c r="AJ45" i="4"/>
  <c r="AJ19" i="4"/>
  <c r="AJ25" i="4" s="1"/>
  <c r="AI50" i="4"/>
  <c r="AK16" i="4"/>
  <c r="AK18" i="4" s="1"/>
  <c r="AK43" i="4"/>
  <c r="AK13" i="4"/>
  <c r="AK45" i="4" s="1"/>
  <c r="AG34" i="4"/>
  <c r="AG55" i="4"/>
  <c r="AN47" i="4"/>
  <c r="AO15" i="4"/>
  <c r="AN42" i="4"/>
  <c r="AN46" i="4"/>
  <c r="AN41" i="4"/>
  <c r="AO14" i="4"/>
  <c r="AN17" i="4" l="1"/>
  <c r="AN49" i="4" s="1"/>
  <c r="AN44" i="4"/>
  <c r="AL24" i="4"/>
  <c r="AL51" i="4"/>
  <c r="AM20" i="4"/>
  <c r="AK119" i="4"/>
  <c r="AK123" i="4" s="1"/>
  <c r="AH32" i="4"/>
  <c r="AK19" i="4"/>
  <c r="AK48" i="4"/>
  <c r="AI29" i="4"/>
  <c r="AI32" i="4" s="1"/>
  <c r="AI100" i="4" s="1"/>
  <c r="AI116" i="4" s="1"/>
  <c r="AI120" i="4" s="1"/>
  <c r="AI53" i="4"/>
  <c r="AL16" i="4"/>
  <c r="AL18" i="4" s="1"/>
  <c r="AL43" i="4"/>
  <c r="AL13" i="4"/>
  <c r="AJ50" i="4"/>
  <c r="AO47" i="4"/>
  <c r="AO42" i="4"/>
  <c r="AO46" i="4"/>
  <c r="AO41" i="4"/>
  <c r="AO17" i="4" l="1"/>
  <c r="AO49" i="4" s="1"/>
  <c r="AO44" i="4"/>
  <c r="AH100" i="4"/>
  <c r="AH116" i="4" s="1"/>
  <c r="AH120" i="4" s="1"/>
  <c r="AK50" i="4"/>
  <c r="AK25" i="4"/>
  <c r="AK29" i="4" s="1"/>
  <c r="AK32" i="4" s="1"/>
  <c r="AK100" i="4" s="1"/>
  <c r="AK116" i="4" s="1"/>
  <c r="AK120" i="4" s="1"/>
  <c r="AM51" i="4"/>
  <c r="AM24" i="4"/>
  <c r="AN20" i="4"/>
  <c r="AL119" i="4"/>
  <c r="AL123" i="4" s="1"/>
  <c r="AH55" i="4"/>
  <c r="AH34" i="4"/>
  <c r="AL48" i="4"/>
  <c r="AI54" i="4"/>
  <c r="AJ29" i="4"/>
  <c r="AJ54" i="4" s="1"/>
  <c r="AJ53" i="4"/>
  <c r="AL45" i="4"/>
  <c r="AL19" i="4"/>
  <c r="AL25" i="4" s="1"/>
  <c r="AI34" i="4"/>
  <c r="AI55" i="4"/>
  <c r="AM16" i="4"/>
  <c r="AM18" i="4" s="1"/>
  <c r="AM43" i="4"/>
  <c r="AM13" i="4"/>
  <c r="AN24" i="4" l="1"/>
  <c r="AN51" i="4"/>
  <c r="AO20" i="4"/>
  <c r="AM119" i="4"/>
  <c r="AM123" i="4" s="1"/>
  <c r="AK53" i="4"/>
  <c r="AK54" i="4"/>
  <c r="AJ32" i="4"/>
  <c r="AL50" i="4"/>
  <c r="AN16" i="4"/>
  <c r="AN18" i="4" s="1"/>
  <c r="AN43" i="4"/>
  <c r="AN13" i="4"/>
  <c r="AK34" i="4"/>
  <c r="AK55" i="4"/>
  <c r="AM19" i="4"/>
  <c r="AM25" i="4" s="1"/>
  <c r="AM45" i="4"/>
  <c r="AM48" i="4"/>
  <c r="AJ100" i="4" l="1"/>
  <c r="AJ116" i="4" s="1"/>
  <c r="AJ120" i="4" s="1"/>
  <c r="AO51" i="4"/>
  <c r="AO24" i="4"/>
  <c r="AN119" i="4"/>
  <c r="AN123" i="4" s="1"/>
  <c r="AO119" i="4"/>
  <c r="AN48" i="4"/>
  <c r="AJ34" i="4"/>
  <c r="AJ55" i="4"/>
  <c r="AL29" i="4"/>
  <c r="AL32" i="4" s="1"/>
  <c r="AL100" i="4" s="1"/>
  <c r="AL116" i="4" s="1"/>
  <c r="AL120" i="4" s="1"/>
  <c r="AL53" i="4"/>
  <c r="AN45" i="4"/>
  <c r="AN19" i="4"/>
  <c r="AN25" i="4" s="1"/>
  <c r="AM50" i="4"/>
  <c r="AO16" i="4"/>
  <c r="AO18" i="4" s="1"/>
  <c r="AO43" i="4"/>
  <c r="AO13" i="4"/>
  <c r="AO123" i="4" l="1"/>
  <c r="AL54" i="4"/>
  <c r="AM29" i="4"/>
  <c r="AM54" i="4" s="1"/>
  <c r="AM53" i="4"/>
  <c r="AO48" i="4"/>
  <c r="AL34" i="4"/>
  <c r="AL55" i="4"/>
  <c r="AN50" i="4"/>
  <c r="AO19" i="4"/>
  <c r="AO25" i="4" s="1"/>
  <c r="AO45" i="4"/>
  <c r="AM32" i="4" l="1"/>
  <c r="AM100" i="4" s="1"/>
  <c r="AM116" i="4" s="1"/>
  <c r="AM120" i="4" s="1"/>
  <c r="AN29" i="4"/>
  <c r="AN32" i="4" s="1"/>
  <c r="AN100" i="4" s="1"/>
  <c r="AN116" i="4" s="1"/>
  <c r="AN120" i="4" s="1"/>
  <c r="AN53" i="4"/>
  <c r="AO50" i="4"/>
  <c r="AM55" i="4" l="1"/>
  <c r="AM34" i="4"/>
  <c r="AN54" i="4"/>
  <c r="AO29" i="4"/>
  <c r="AO32" i="4" s="1"/>
  <c r="AO53" i="4"/>
  <c r="AN34" i="4"/>
  <c r="AN55" i="4"/>
  <c r="AO54" i="4" l="1"/>
  <c r="AP32" i="4"/>
  <c r="AQ32" i="4" s="1"/>
  <c r="AR32" i="4" s="1"/>
  <c r="AS32" i="4" s="1"/>
  <c r="AT32" i="4" s="1"/>
  <c r="AU32" i="4" s="1"/>
  <c r="AV32" i="4" s="1"/>
  <c r="AW32" i="4" s="1"/>
  <c r="AX32" i="4" s="1"/>
  <c r="AY32" i="4" s="1"/>
  <c r="AZ32" i="4" s="1"/>
  <c r="BA32" i="4" s="1"/>
  <c r="BB32" i="4" s="1"/>
  <c r="BC32" i="4" s="1"/>
  <c r="BD32" i="4" s="1"/>
  <c r="BE32" i="4" s="1"/>
  <c r="BF32" i="4" s="1"/>
  <c r="BG32" i="4" s="1"/>
  <c r="BH32" i="4" s="1"/>
  <c r="BI32" i="4" s="1"/>
  <c r="BJ32" i="4" s="1"/>
  <c r="BK32" i="4" s="1"/>
  <c r="BL32" i="4" s="1"/>
  <c r="BM32" i="4" s="1"/>
  <c r="BN32" i="4" s="1"/>
  <c r="BO32" i="4" s="1"/>
  <c r="BP32" i="4" s="1"/>
  <c r="BQ32" i="4" s="1"/>
  <c r="BR32" i="4" s="1"/>
  <c r="BS32" i="4" s="1"/>
  <c r="BT32" i="4" s="1"/>
  <c r="BU32" i="4" s="1"/>
  <c r="BV32" i="4" s="1"/>
  <c r="BW32" i="4" s="1"/>
  <c r="BX32" i="4" s="1"/>
  <c r="BY32" i="4" s="1"/>
  <c r="BZ32" i="4" s="1"/>
  <c r="CA32" i="4" s="1"/>
  <c r="CB32" i="4" s="1"/>
  <c r="CC32" i="4" s="1"/>
  <c r="CD32" i="4" s="1"/>
  <c r="CE32" i="4" s="1"/>
  <c r="CF32" i="4" s="1"/>
  <c r="CG32" i="4" s="1"/>
  <c r="CH32" i="4" s="1"/>
  <c r="CI32" i="4" s="1"/>
  <c r="CJ32" i="4" s="1"/>
  <c r="CK32" i="4" s="1"/>
  <c r="CL32" i="4" s="1"/>
  <c r="CM32" i="4" s="1"/>
  <c r="CN32" i="4" s="1"/>
  <c r="CO32" i="4" s="1"/>
  <c r="CP32" i="4" s="1"/>
  <c r="CQ32" i="4" s="1"/>
  <c r="CR32" i="4" s="1"/>
  <c r="CS32" i="4" s="1"/>
  <c r="CT32" i="4" s="1"/>
  <c r="CU32" i="4" s="1"/>
  <c r="CV32" i="4" s="1"/>
  <c r="CW32" i="4" s="1"/>
  <c r="CX32" i="4" s="1"/>
  <c r="CY32" i="4" s="1"/>
  <c r="CZ32" i="4" s="1"/>
  <c r="DA32" i="4" s="1"/>
  <c r="DB32" i="4" s="1"/>
  <c r="DC32" i="4" s="1"/>
  <c r="DD32" i="4" s="1"/>
  <c r="DE32" i="4" s="1"/>
  <c r="DF32" i="4" s="1"/>
  <c r="DG32" i="4" s="1"/>
  <c r="DH32" i="4" s="1"/>
  <c r="DI32" i="4" s="1"/>
  <c r="DJ32" i="4" s="1"/>
  <c r="DK32" i="4" s="1"/>
  <c r="DL32" i="4" s="1"/>
  <c r="DM32" i="4" s="1"/>
  <c r="DN32" i="4" s="1"/>
  <c r="DO32" i="4" s="1"/>
  <c r="DP32" i="4" s="1"/>
  <c r="DQ32" i="4" s="1"/>
  <c r="DR32" i="4" s="1"/>
  <c r="DS32" i="4" s="1"/>
  <c r="DT32" i="4" s="1"/>
  <c r="DU32" i="4" s="1"/>
  <c r="DV32" i="4" s="1"/>
  <c r="DW32" i="4" s="1"/>
  <c r="DX32" i="4" s="1"/>
  <c r="DY32" i="4" s="1"/>
  <c r="DZ32" i="4" s="1"/>
  <c r="EA32" i="4" s="1"/>
  <c r="EB32" i="4" s="1"/>
  <c r="EC32" i="4" s="1"/>
  <c r="ED32" i="4" s="1"/>
  <c r="EE32" i="4" s="1"/>
  <c r="EF32" i="4" s="1"/>
  <c r="EG32" i="4" s="1"/>
  <c r="EH32" i="4" s="1"/>
  <c r="EI32" i="4" s="1"/>
  <c r="EJ32" i="4" s="1"/>
  <c r="EK32" i="4" s="1"/>
  <c r="EL32" i="4" s="1"/>
  <c r="EM32" i="4" s="1"/>
  <c r="EN32" i="4" s="1"/>
  <c r="EO32" i="4" s="1"/>
  <c r="EP32" i="4" s="1"/>
  <c r="EQ32" i="4" s="1"/>
  <c r="ER32" i="4" s="1"/>
  <c r="AO100" i="4"/>
  <c r="AO116" i="4" s="1"/>
  <c r="AO120" i="4" s="1"/>
  <c r="AO34" i="4"/>
  <c r="AO55" i="4"/>
  <c r="AP120" i="4" l="1"/>
  <c r="AQ120" i="4" s="1"/>
  <c r="AR120" i="4" s="1"/>
  <c r="AS120" i="4" s="1"/>
  <c r="AT120" i="4" s="1"/>
  <c r="AU120" i="4" s="1"/>
  <c r="AV120" i="4" s="1"/>
  <c r="AW120" i="4" s="1"/>
  <c r="AX120" i="4" s="1"/>
  <c r="AY120" i="4" s="1"/>
  <c r="AZ120" i="4" s="1"/>
  <c r="BA120" i="4" s="1"/>
  <c r="BB120" i="4" s="1"/>
  <c r="BC120" i="4" s="1"/>
  <c r="BD120" i="4" s="1"/>
  <c r="BE120" i="4" s="1"/>
  <c r="BF120" i="4" s="1"/>
  <c r="BG120" i="4" s="1"/>
  <c r="BH120" i="4" s="1"/>
  <c r="BI120" i="4" s="1"/>
  <c r="BJ120" i="4" s="1"/>
  <c r="BK120" i="4" s="1"/>
  <c r="BL120" i="4" s="1"/>
  <c r="BM120" i="4" s="1"/>
  <c r="BN120" i="4" s="1"/>
  <c r="BO120" i="4" s="1"/>
  <c r="BP120" i="4" s="1"/>
  <c r="BQ120" i="4" s="1"/>
  <c r="BR120" i="4" s="1"/>
  <c r="BS120" i="4" s="1"/>
  <c r="BT120" i="4" s="1"/>
  <c r="BU120" i="4" s="1"/>
  <c r="BV120" i="4" s="1"/>
  <c r="BW120" i="4" s="1"/>
  <c r="BX120" i="4" s="1"/>
  <c r="BY120" i="4" s="1"/>
  <c r="BZ120" i="4" s="1"/>
  <c r="CA120" i="4" s="1"/>
  <c r="CB120" i="4" s="1"/>
  <c r="CC120" i="4" s="1"/>
  <c r="CD120" i="4" s="1"/>
  <c r="CE120" i="4" s="1"/>
  <c r="CF120" i="4" s="1"/>
  <c r="CG120" i="4" s="1"/>
  <c r="CH120" i="4" s="1"/>
  <c r="CI120" i="4" s="1"/>
  <c r="CJ120" i="4" s="1"/>
  <c r="CK120" i="4" s="1"/>
  <c r="CL120" i="4" s="1"/>
  <c r="CM120" i="4" s="1"/>
  <c r="CN120" i="4" s="1"/>
  <c r="CO120" i="4" s="1"/>
  <c r="CP120" i="4" s="1"/>
  <c r="CQ120" i="4" s="1"/>
  <c r="CR120" i="4" s="1"/>
  <c r="CS120" i="4" s="1"/>
  <c r="CT120" i="4" s="1"/>
  <c r="CU120" i="4" s="1"/>
  <c r="CV120" i="4" s="1"/>
  <c r="CW120" i="4" s="1"/>
  <c r="CX120" i="4" s="1"/>
  <c r="CY120" i="4" s="1"/>
  <c r="CZ120" i="4" s="1"/>
  <c r="DA120" i="4" s="1"/>
  <c r="DB120" i="4" s="1"/>
  <c r="DC120" i="4" s="1"/>
  <c r="DD120" i="4" s="1"/>
  <c r="DE120" i="4" s="1"/>
  <c r="DF120" i="4" s="1"/>
  <c r="DG120" i="4" s="1"/>
  <c r="DH120" i="4" s="1"/>
  <c r="DI120" i="4" s="1"/>
  <c r="DJ120" i="4" s="1"/>
  <c r="DK120" i="4" s="1"/>
  <c r="DL120" i="4" s="1"/>
  <c r="DM120" i="4" s="1"/>
  <c r="DN120" i="4" s="1"/>
  <c r="DO120" i="4" s="1"/>
  <c r="DP120" i="4" s="1"/>
  <c r="DQ120" i="4" s="1"/>
  <c r="DR120" i="4" s="1"/>
  <c r="DS120" i="4" s="1"/>
  <c r="DT120" i="4" s="1"/>
  <c r="DU120" i="4" s="1"/>
  <c r="DV120" i="4" s="1"/>
  <c r="DW120" i="4" s="1"/>
  <c r="DX120" i="4" s="1"/>
  <c r="DY120" i="4" s="1"/>
  <c r="DZ120" i="4" s="1"/>
  <c r="EA120" i="4" s="1"/>
  <c r="EB120" i="4" s="1"/>
  <c r="EC120" i="4" s="1"/>
  <c r="ED120" i="4" s="1"/>
  <c r="EE120" i="4" s="1"/>
  <c r="EF120" i="4" s="1"/>
  <c r="EG120" i="4" s="1"/>
  <c r="EH120" i="4" s="1"/>
  <c r="EI120" i="4" s="1"/>
  <c r="EJ120" i="4" s="1"/>
  <c r="EK120" i="4" s="1"/>
  <c r="EL120" i="4" s="1"/>
  <c r="AS124" i="4" s="1"/>
  <c r="AS126" i="4" s="1"/>
  <c r="AS127" i="4" s="1"/>
  <c r="AS129" i="4" s="1"/>
  <c r="AS44" i="4"/>
  <c r="AS46" i="4" s="1"/>
  <c r="AS47" i="4" s="1"/>
  <c r="AS49" i="4" s="1"/>
</calcChain>
</file>

<file path=xl/sharedStrings.xml><?xml version="1.0" encoding="utf-8"?>
<sst xmlns="http://schemas.openxmlformats.org/spreadsheetml/2006/main" count="182" uniqueCount="137">
  <si>
    <t>FCEL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</si>
  <si>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</si>
  <si>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</si>
  <si>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</si>
  <si>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</si>
  <si>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</si>
  <si>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</si>
  <si>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</si>
  <si>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</si>
  <si>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</si>
  <si>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</si>
  <si>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</si>
  <si>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</si>
  <si>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</si>
  <si>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</si>
  <si>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</si>
  <si>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</si>
  <si>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</si>
  <si>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</si>
  <si>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</si>
  <si>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</si>
  <si>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</si>
  <si>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</si>
  <si>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Product revenue</t>
  </si>
  <si>
    <t>Service revenue</t>
  </si>
  <si>
    <t>Generation revenue</t>
  </si>
  <si>
    <t>Technology revenue</t>
  </si>
  <si>
    <t>Total revenue</t>
  </si>
  <si>
    <t>Product cost</t>
  </si>
  <si>
    <t>Service cost</t>
  </si>
  <si>
    <t>Generation cost</t>
  </si>
  <si>
    <t>Technology cost</t>
  </si>
  <si>
    <t>Total cost of sales</t>
  </si>
  <si>
    <t>Gross profit</t>
  </si>
  <si>
    <t>SG&amp;A</t>
  </si>
  <si>
    <t>R&amp;D</t>
  </si>
  <si>
    <t>Operating profit</t>
  </si>
  <si>
    <t>Interest expense</t>
  </si>
  <si>
    <t>Interest income</t>
  </si>
  <si>
    <t>Other income</t>
  </si>
  <si>
    <t>Pretax profit</t>
  </si>
  <si>
    <t>Taxes</t>
  </si>
  <si>
    <t>MI</t>
  </si>
  <si>
    <t>Net profit</t>
  </si>
  <si>
    <t>EPS</t>
  </si>
  <si>
    <t>Q121</t>
  </si>
  <si>
    <t>Q221</t>
  </si>
  <si>
    <t>Q321</t>
  </si>
  <si>
    <t>Q421</t>
  </si>
  <si>
    <t>Revenue y/y</t>
  </si>
  <si>
    <t>Product revenue y/y</t>
  </si>
  <si>
    <t>Service revenue y/y</t>
  </si>
  <si>
    <t>Generation revenue y/y</t>
  </si>
  <si>
    <t>Technology revenue y/y</t>
  </si>
  <si>
    <t>Product Margin</t>
  </si>
  <si>
    <t>Service Margin</t>
  </si>
  <si>
    <t>Generation Margin</t>
  </si>
  <si>
    <t>Technology Margin</t>
  </si>
  <si>
    <t>Gross Margin</t>
  </si>
  <si>
    <t>SG&amp;A y/y</t>
  </si>
  <si>
    <t>R&amp;D y/y</t>
  </si>
  <si>
    <t>Net Margin</t>
  </si>
  <si>
    <t>Operating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</si>
  <si>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</si>
  <si>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</si>
  <si>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</si>
  <si>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</si>
  <si>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</si>
  <si>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</si>
  <si>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</si>
  <si>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</si>
  <si>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</si>
  <si>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Investments</t>
  </si>
  <si>
    <t>A/R</t>
  </si>
  <si>
    <t>Inventories</t>
  </si>
  <si>
    <t>OCA</t>
  </si>
  <si>
    <t>PP&amp;E</t>
  </si>
  <si>
    <t>Leases</t>
  </si>
  <si>
    <t>Goodwill</t>
  </si>
  <si>
    <t>Intangibles</t>
  </si>
  <si>
    <t>ONCA</t>
  </si>
  <si>
    <t>A/P</t>
  </si>
  <si>
    <t>A/L</t>
  </si>
  <si>
    <t>D/R</t>
  </si>
  <si>
    <t>S/E</t>
  </si>
  <si>
    <t>L+S/E</t>
  </si>
  <si>
    <t>Current assets</t>
  </si>
  <si>
    <t>Non-current assets</t>
  </si>
  <si>
    <t>Current liabilities</t>
  </si>
  <si>
    <t>Non-current liabilities</t>
  </si>
  <si>
    <t>Total assets</t>
  </si>
  <si>
    <t>Project assets</t>
  </si>
  <si>
    <t>SBC</t>
  </si>
  <si>
    <t>D&amp;A</t>
  </si>
  <si>
    <t>Debt expense</t>
  </si>
  <si>
    <t>Non-cash interest expense</t>
  </si>
  <si>
    <t>Loss on derivatives</t>
  </si>
  <si>
    <t>Operating lease expense</t>
  </si>
  <si>
    <t>Operating lease income</t>
  </si>
  <si>
    <t>Impairment</t>
  </si>
  <si>
    <t>Other</t>
  </si>
  <si>
    <t>Other assets</t>
  </si>
  <si>
    <t>CFFO</t>
  </si>
  <si>
    <t>FCF</t>
  </si>
  <si>
    <t>Total CapEx</t>
  </si>
  <si>
    <t>FCF y/y</t>
  </si>
  <si>
    <t>Backlog</t>
  </si>
  <si>
    <t>Product backlog</t>
  </si>
  <si>
    <t>Service backlog</t>
  </si>
  <si>
    <t>Generation backlog</t>
  </si>
  <si>
    <t>Technology backlog</t>
  </si>
  <si>
    <t>Restructuring</t>
  </si>
  <si>
    <t>Total operating expenses</t>
  </si>
  <si>
    <t>Product backlog y/y</t>
  </si>
  <si>
    <t>Service backlog y/y</t>
  </si>
  <si>
    <t>Generation backlog y/y</t>
  </si>
  <si>
    <t>Technology backlog y/y</t>
  </si>
  <si>
    <t>Backlog y/y</t>
  </si>
  <si>
    <t>Q125</t>
  </si>
  <si>
    <t>Q225</t>
  </si>
  <si>
    <t>Q325</t>
  </si>
  <si>
    <t>Q425</t>
  </si>
  <si>
    <t>CapEx y/y</t>
  </si>
  <si>
    <t>NPV (FCF)</t>
  </si>
  <si>
    <t>Overvalued</t>
  </si>
  <si>
    <t>Return on equity</t>
  </si>
  <si>
    <t>Asset turnover</t>
  </si>
  <si>
    <t>Equity multiplier</t>
  </si>
  <si>
    <t>Current ratio</t>
  </si>
  <si>
    <t>Quick ratio</t>
  </si>
  <si>
    <t>A/R period (days)</t>
  </si>
  <si>
    <t>A/P period (days)</t>
  </si>
  <si>
    <t>Inventory turnover (days)</t>
  </si>
  <si>
    <t>Debt/equity</t>
  </si>
  <si>
    <t>Asset cover</t>
  </si>
  <si>
    <t>Price to book</t>
  </si>
  <si>
    <t>Fairly 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</si>
</sst>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0\x"/>
    <numFmt numFmtId="166" formatCode="0.00\x"/>
    <numFmt numFmtId="167" formatCode="0.0\x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1" fillId="0" borderId="0" xfId="0" applyNumberFormat="1" applyFont="1"/>
    <xf numFmtId="2" fontId="0" fillId="0" borderId="0" xfId="0" applyNumberFormat="1"/>
    <xf numFmtId="9" fontId="0" fillId="0" borderId="0" xfId="0" applyNumberFormat="1"/>
    <xf numFmtId="9" fontId="1" fillId="0" borderId="0" xfId="0" applyNumberFormat="1" applyFont="1"/>
    <xf numFmtId="3" fontId="4" fillId="0" borderId="0" xfId="0" applyNumberFormat="1" applyFont="1"/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3" fontId="5" fillId="0" borderId="0" xfId="0" applyNumberFormat="1" applyFont="1"/>
    <xf numFmtId="3" fontId="2" fillId="0" borderId="0" xfId="0" applyNumberFormat="1" applyFont="1"/>
    <xf numFmtId="3" fontId="6" fillId="0" borderId="0" xfId="0" applyNumberFormat="1" applyFont="1"/>
    <xf numFmtId="3" fontId="2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15240</xdr:colOff>
      <xdr:row>0</xdr:row>
      <xdr:rowOff>15240</xdr:rowOff>
    </xdr:from>
    <xdr:to>
      <xdr:col>21</xdr:col>
      <xdr:colOff>15240</xdr:colOff>
      <xdr:row>127</xdr:row>
      <xdr:rowOff>44450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51EFCC3-D72C-6DA4-0C76-CB5638E49903}"/>
            </a:ext>
          </a:extLst>
        </xdr:cNvPr>
        <xdr:cNvCxnSpPr/>
      </xdr:nvCxnSpPr>
      <xdr:spPr>
        <a:xfrm>
          <a:off x="16002000" y="15240"/>
          <a:ext cx="0" cy="230720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22860</xdr:colOff>
      <xdr:row>0</xdr:row>
      <xdr:rowOff>15240</xdr:rowOff>
    </xdr:from>
    <xdr:to>
      <xdr:col>30</xdr:col>
      <xdr:colOff>22860</xdr:colOff>
      <xdr:row>127</xdr:row>
      <xdr:rowOff>12700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F558B8C-7B5B-8137-06F6-438D8DF62E84}"/>
            </a:ext>
          </a:extLst>
        </xdr:cNvPr>
        <xdr:cNvCxnSpPr/>
      </xdr:nvCxnSpPr>
      <xdr:spPr>
        <a:xfrm>
          <a:off x="22463760" y="15240"/>
          <a:ext cx="0" cy="20662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BDF6-399A-4F35-8EEB-3531DF80C250}">
  <dimension ref="B2:G9"/>
  <sheetViews>
    <sheetView workbookViewId="0">
      <selection activeCell="D4" sqref="D4"/>
    </sheetView>
  </sheetViews>
  <sheetFormatPr defaultRowHeight="14.4" x14ac:dyDescent="0.3"/>
  <cols>
    <col min="5" max="7" width="13.77734375" style="3" customWidth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1" t="s">
        <v>0</v>
      </c>
      <c r="C3" t="s">
        <v>1</v>
      </c>
      <c r="D3" s="5">
        <v>7.85</v>
      </c>
      <c r="E3" s="4">
        <v>45927</v>
      </c>
      <c r="F3" s="4">
        <f ca="1">TODAY()</f>
        <v>45928</v>
      </c>
      <c r="G3" s="4">
        <v>45912</v>
      </c>
    </row>
    <row r="4" spans="2:7" x14ac:dyDescent="0.3">
      <c r="C4" t="s">
        <v>2</v>
      </c>
      <c r="D4" s="6">
        <v>24.4</v>
      </c>
      <c r="E4" s="3" t="s">
        <v>120</v>
      </c>
    </row>
    <row r="5" spans="2:7" x14ac:dyDescent="0.3">
      <c r="C5" t="s">
        <v>3</v>
      </c>
      <c r="D5" s="6">
        <f>D3*D4</f>
        <v>191.54</v>
      </c>
    </row>
    <row r="6" spans="2:7" x14ac:dyDescent="0.3">
      <c r="C6" t="s">
        <v>4</v>
      </c>
      <c r="D6" s="6">
        <f>174.7+16.1+46.1</f>
        <v>236.89999999999998</v>
      </c>
      <c r="E6" s="3" t="s">
        <v>120</v>
      </c>
    </row>
    <row r="7" spans="2:7" x14ac:dyDescent="0.3">
      <c r="C7" t="s">
        <v>5</v>
      </c>
      <c r="D7" s="6">
        <f>16.7+119.3</f>
        <v>136</v>
      </c>
      <c r="E7" s="3" t="s">
        <v>120</v>
      </c>
    </row>
    <row r="8" spans="2:7" x14ac:dyDescent="0.3">
      <c r="C8" t="s">
        <v>6</v>
      </c>
      <c r="D8" s="6">
        <f>D6-D7</f>
        <v>100.89999999999998</v>
      </c>
    </row>
    <row r="9" spans="2:7" x14ac:dyDescent="0.3">
      <c r="C9" t="s">
        <v>7</v>
      </c>
      <c r="D9" s="6">
        <f>D5-D8</f>
        <v>90.640000000000015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109B-7A3A-4569-ACD4-C92D661A6DC9}">
  <dimension ref="B1:ER141"/>
  <sheetViews>
    <sheetView tabSelected="1" zoomScaleNormal="100" workbookViewId="0">
      <pane xSplit="2" ySplit="2" topLeftCell="Z30" activePane="bottomRight" state="frozen"/>
      <selection pane="topRight" activeCell="C1" sqref="C1"/>
      <selection pane="bottomLeft" activeCell="A3" sqref="A3"/>
      <selection pane="bottomRight" activeCell="AS130" sqref="AS130"/>
    </sheetView>
  </sheetViews>
  <sheetFormatPr defaultRowHeight="14.4" x14ac:dyDescent="0.3"/>
  <cols>
    <col min="2" max="2" width="23.5546875" bestFit="1" customWidth="1"/>
    <col min="3" max="16" width="10.5546875" bestFit="1" customWidth="1"/>
    <col min="17" max="17" width="10.6640625" bestFit="1" customWidth="1"/>
    <col min="18" max="18" width="10.5546875" bestFit="1" customWidth="1"/>
    <col min="19" max="22" width="10.5546875" customWidth="1"/>
    <col min="24" max="41" width="10.6640625" bestFit="1" customWidth="1"/>
    <col min="44" max="44" width="11.88671875" bestFit="1" customWidth="1"/>
    <col min="45" max="45" width="18.44140625" bestFit="1" customWidth="1"/>
  </cols>
  <sheetData>
    <row r="1" spans="2:41" x14ac:dyDescent="0.3">
      <c r="C1" s="2">
        <v>44227</v>
      </c>
      <c r="D1" s="2">
        <v>44316</v>
      </c>
      <c r="E1" s="2">
        <v>44408</v>
      </c>
      <c r="F1" s="2">
        <v>44500</v>
      </c>
      <c r="G1" s="2">
        <v>44592</v>
      </c>
      <c r="H1" s="2">
        <v>44681</v>
      </c>
      <c r="I1" s="2">
        <v>44773</v>
      </c>
      <c r="J1" s="2">
        <v>44865</v>
      </c>
      <c r="K1" s="2">
        <v>44957</v>
      </c>
      <c r="L1" s="2">
        <v>45046</v>
      </c>
      <c r="M1" s="2">
        <v>45138</v>
      </c>
      <c r="N1" s="2">
        <v>45230</v>
      </c>
      <c r="O1" s="2">
        <v>45322</v>
      </c>
      <c r="P1" s="2">
        <v>45412</v>
      </c>
      <c r="Q1" s="2">
        <v>45504</v>
      </c>
      <c r="R1" s="2">
        <v>45596</v>
      </c>
      <c r="S1" s="2">
        <v>45688</v>
      </c>
      <c r="T1" s="2">
        <v>45777</v>
      </c>
      <c r="U1" s="2">
        <v>45869</v>
      </c>
      <c r="V1" s="2">
        <v>45961</v>
      </c>
      <c r="X1" s="2">
        <v>43404</v>
      </c>
      <c r="Y1" s="2">
        <v>43769</v>
      </c>
      <c r="Z1" s="2">
        <v>44135</v>
      </c>
      <c r="AA1" s="2">
        <v>44500</v>
      </c>
      <c r="AB1" s="2">
        <v>44865</v>
      </c>
      <c r="AC1" s="2">
        <v>45230</v>
      </c>
      <c r="AD1" s="2">
        <v>45596</v>
      </c>
      <c r="AE1" s="2">
        <v>45961</v>
      </c>
      <c r="AF1" s="2">
        <v>46326</v>
      </c>
      <c r="AG1" s="2">
        <v>46691</v>
      </c>
      <c r="AH1" s="2">
        <v>47057</v>
      </c>
      <c r="AI1" s="2">
        <v>47422</v>
      </c>
      <c r="AJ1" s="2">
        <v>47787</v>
      </c>
      <c r="AK1" s="2">
        <v>48152</v>
      </c>
      <c r="AL1" s="2">
        <v>48518</v>
      </c>
      <c r="AM1" s="2">
        <v>48883</v>
      </c>
      <c r="AN1" s="2">
        <v>49248</v>
      </c>
      <c r="AO1" s="2">
        <v>49613</v>
      </c>
    </row>
    <row r="2" spans="2:41" x14ac:dyDescent="0.3">
      <c r="C2" s="7" t="s">
        <v>45</v>
      </c>
      <c r="D2" s="7" t="s">
        <v>46</v>
      </c>
      <c r="E2" s="7" t="s">
        <v>47</v>
      </c>
      <c r="F2" s="7" t="s">
        <v>48</v>
      </c>
      <c r="G2" s="7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7" t="s">
        <v>16</v>
      </c>
      <c r="M2" s="7" t="s">
        <v>17</v>
      </c>
      <c r="N2" s="7" t="s">
        <v>18</v>
      </c>
      <c r="O2" s="7" t="s">
        <v>19</v>
      </c>
      <c r="P2" s="7" t="s">
        <v>20</v>
      </c>
      <c r="Q2" s="7" t="s">
        <v>21</v>
      </c>
      <c r="R2" s="7" t="s">
        <v>22</v>
      </c>
      <c r="S2" s="7" t="s">
        <v>118</v>
      </c>
      <c r="T2" s="7" t="s">
        <v>119</v>
      </c>
      <c r="U2" s="7" t="s">
        <v>120</v>
      </c>
      <c r="V2" s="7" t="s">
        <v>121</v>
      </c>
      <c r="X2">
        <v>2018</v>
      </c>
      <c r="Y2">
        <v>2019</v>
      </c>
      <c r="Z2">
        <v>2020</v>
      </c>
      <c r="AA2">
        <v>2021</v>
      </c>
      <c r="AB2">
        <v>2022</v>
      </c>
      <c r="AC2">
        <v>2023</v>
      </c>
      <c r="AD2">
        <v>2024</v>
      </c>
      <c r="AE2">
        <v>2025</v>
      </c>
      <c r="AF2">
        <v>2026</v>
      </c>
      <c r="AG2">
        <v>2027</v>
      </c>
      <c r="AH2">
        <v>2028</v>
      </c>
      <c r="AI2">
        <v>2029</v>
      </c>
      <c r="AJ2">
        <v>2030</v>
      </c>
      <c r="AK2">
        <v>2031</v>
      </c>
      <c r="AL2">
        <v>2032</v>
      </c>
      <c r="AM2">
        <v>2033</v>
      </c>
      <c r="AN2">
        <v>2034</v>
      </c>
      <c r="AO2">
        <v>2035</v>
      </c>
    </row>
    <row r="3" spans="2:41" x14ac:dyDescent="0.3">
      <c r="B3" t="s">
        <v>107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13">
        <v>0</v>
      </c>
      <c r="O3" s="13">
        <v>0</v>
      </c>
      <c r="P3" s="13">
        <v>12.3</v>
      </c>
      <c r="Q3" s="13">
        <v>136.69999999999999</v>
      </c>
      <c r="R3" s="13">
        <v>111.3</v>
      </c>
      <c r="S3" s="13">
        <v>111.2</v>
      </c>
      <c r="T3" s="13">
        <v>98.2</v>
      </c>
      <c r="U3" s="13">
        <v>96.2</v>
      </c>
      <c r="V3" s="13"/>
      <c r="AC3" s="13">
        <v>0</v>
      </c>
      <c r="AD3" s="13">
        <v>111.3</v>
      </c>
      <c r="AE3" s="22">
        <v>96.2</v>
      </c>
    </row>
    <row r="4" spans="2:41" x14ac:dyDescent="0.3">
      <c r="B4" t="s">
        <v>108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3">
        <v>140.80000000000001</v>
      </c>
      <c r="O4" s="13">
        <v>140.4</v>
      </c>
      <c r="P4" s="13">
        <v>145.1</v>
      </c>
      <c r="Q4" s="13">
        <v>178.4</v>
      </c>
      <c r="R4" s="13">
        <v>174.2</v>
      </c>
      <c r="S4" s="13">
        <v>172.3</v>
      </c>
      <c r="T4" s="13">
        <v>164.4</v>
      </c>
      <c r="U4" s="13">
        <v>169.4</v>
      </c>
      <c r="V4" s="13"/>
      <c r="AC4" s="13">
        <v>140.80000000000001</v>
      </c>
      <c r="AD4" s="13">
        <v>174.2</v>
      </c>
      <c r="AE4" s="22">
        <v>169.4</v>
      </c>
    </row>
    <row r="5" spans="2:41" x14ac:dyDescent="0.3">
      <c r="B5" t="s">
        <v>109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13">
        <v>872.1</v>
      </c>
      <c r="O5" s="13">
        <v>861.6</v>
      </c>
      <c r="P5" s="13">
        <v>852.9</v>
      </c>
      <c r="Q5" s="13">
        <v>839.5</v>
      </c>
      <c r="R5" s="13">
        <v>841.4</v>
      </c>
      <c r="S5" s="13">
        <v>997.4</v>
      </c>
      <c r="T5" s="13">
        <v>967.4</v>
      </c>
      <c r="U5" s="13">
        <v>955</v>
      </c>
      <c r="V5" s="13"/>
      <c r="AC5" s="13">
        <v>872.1</v>
      </c>
      <c r="AD5" s="13">
        <v>841.4</v>
      </c>
      <c r="AE5" s="22">
        <v>955</v>
      </c>
    </row>
    <row r="6" spans="2:41" x14ac:dyDescent="0.3">
      <c r="B6" t="s">
        <v>110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3">
        <v>15.3</v>
      </c>
      <c r="O6" s="13">
        <v>23.4</v>
      </c>
      <c r="P6" s="13">
        <v>51.1</v>
      </c>
      <c r="Q6" s="13">
        <v>42.5</v>
      </c>
      <c r="R6" s="13">
        <v>36</v>
      </c>
      <c r="S6" s="13">
        <v>31.6</v>
      </c>
      <c r="T6" s="13">
        <v>29.6</v>
      </c>
      <c r="U6" s="13">
        <v>24.3</v>
      </c>
      <c r="V6" s="13"/>
      <c r="AC6" s="13">
        <v>15.3</v>
      </c>
      <c r="AD6" s="13">
        <v>36</v>
      </c>
      <c r="AE6" s="22">
        <v>24.3</v>
      </c>
    </row>
    <row r="7" spans="2:41" s="1" customFormat="1" x14ac:dyDescent="0.3">
      <c r="B7" s="1" t="s">
        <v>106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5">
        <f t="shared" ref="N7:U7" si="0">SUM(N3:N6)</f>
        <v>1028.2</v>
      </c>
      <c r="O7" s="15">
        <f t="shared" si="0"/>
        <v>1025.4000000000001</v>
      </c>
      <c r="P7" s="15">
        <f t="shared" si="0"/>
        <v>1061.3999999999999</v>
      </c>
      <c r="Q7" s="15">
        <f t="shared" si="0"/>
        <v>1197.0999999999999</v>
      </c>
      <c r="R7" s="15">
        <f t="shared" si="0"/>
        <v>1162.9000000000001</v>
      </c>
      <c r="S7" s="15">
        <f t="shared" si="0"/>
        <v>1312.5</v>
      </c>
      <c r="T7" s="15">
        <f t="shared" si="0"/>
        <v>1259.5999999999999</v>
      </c>
      <c r="U7" s="15">
        <f t="shared" si="0"/>
        <v>1244.8999999999999</v>
      </c>
      <c r="V7" s="15"/>
      <c r="AC7" s="15">
        <f t="shared" ref="AC7:AE7" si="1">SUM(AC3:AC6)</f>
        <v>1028.2</v>
      </c>
      <c r="AD7" s="15">
        <f t="shared" si="1"/>
        <v>1162.9000000000001</v>
      </c>
      <c r="AE7" s="23">
        <f t="shared" si="1"/>
        <v>1244.8999999999999</v>
      </c>
    </row>
    <row r="8" spans="2:41" s="1" customFormat="1" x14ac:dyDescent="0.3"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2:41" x14ac:dyDescent="0.3">
      <c r="B9" t="s">
        <v>23</v>
      </c>
      <c r="C9" s="6">
        <v>0</v>
      </c>
      <c r="D9" s="6">
        <v>0</v>
      </c>
      <c r="E9" s="6">
        <v>0</v>
      </c>
      <c r="F9" s="6">
        <v>0</v>
      </c>
      <c r="G9" s="6">
        <v>18</v>
      </c>
      <c r="H9" s="6">
        <v>0</v>
      </c>
      <c r="I9" s="6">
        <v>18</v>
      </c>
      <c r="J9" s="6">
        <v>24</v>
      </c>
      <c r="K9" s="6">
        <v>9.1</v>
      </c>
      <c r="L9" s="6">
        <v>0</v>
      </c>
      <c r="M9" s="6">
        <v>0</v>
      </c>
      <c r="N9" s="6">
        <v>10.5</v>
      </c>
      <c r="O9" s="6">
        <v>0</v>
      </c>
      <c r="P9" s="6">
        <v>0</v>
      </c>
      <c r="Q9" s="6">
        <v>0.3</v>
      </c>
      <c r="R9" s="6">
        <v>25.4</v>
      </c>
      <c r="S9" s="6">
        <v>0.1</v>
      </c>
      <c r="T9" s="6">
        <v>13</v>
      </c>
      <c r="U9" s="6">
        <v>26</v>
      </c>
      <c r="V9" s="6">
        <v>30</v>
      </c>
      <c r="X9" s="6">
        <v>52.5</v>
      </c>
      <c r="Y9" s="6">
        <v>0.5</v>
      </c>
      <c r="Z9" s="6">
        <v>0</v>
      </c>
      <c r="AA9" s="6">
        <f>SUM(C9:F9)</f>
        <v>0</v>
      </c>
      <c r="AB9" s="6">
        <f>SUM(G9:J9)</f>
        <v>60</v>
      </c>
      <c r="AC9" s="6">
        <f>SUM(K9:N9)</f>
        <v>19.600000000000001</v>
      </c>
      <c r="AD9" s="6">
        <f>SUM(O9:R9)</f>
        <v>25.7</v>
      </c>
      <c r="AE9" s="6">
        <f t="shared" ref="AE9:AE17" si="2">SUM(S9:V9)</f>
        <v>69.099999999999994</v>
      </c>
      <c r="AF9" s="6">
        <f>AE9*1.45</f>
        <v>100.19499999999999</v>
      </c>
      <c r="AG9" s="6">
        <f>AF9*1.3</f>
        <v>130.2535</v>
      </c>
      <c r="AH9" s="6">
        <f>AG9*1.2</f>
        <v>156.30420000000001</v>
      </c>
      <c r="AI9" s="6">
        <f>AH9*1.15</f>
        <v>179.74983</v>
      </c>
      <c r="AJ9" s="6">
        <f>AI9*1.1</f>
        <v>197.72481300000001</v>
      </c>
      <c r="AK9" s="6">
        <f t="shared" ref="AK9:AO9" si="3">AJ9*1.1</f>
        <v>217.49729430000002</v>
      </c>
      <c r="AL9" s="6">
        <f t="shared" si="3"/>
        <v>239.24702373000005</v>
      </c>
      <c r="AM9" s="6">
        <f t="shared" si="3"/>
        <v>263.17172610300008</v>
      </c>
      <c r="AN9" s="6">
        <f t="shared" si="3"/>
        <v>289.4888987133001</v>
      </c>
      <c r="AO9" s="6">
        <f t="shared" si="3"/>
        <v>318.43778858463014</v>
      </c>
    </row>
    <row r="10" spans="2:41" x14ac:dyDescent="0.3">
      <c r="B10" t="s">
        <v>24</v>
      </c>
      <c r="C10" s="6">
        <v>4.9000000000000004</v>
      </c>
      <c r="D10" s="6">
        <v>0.7</v>
      </c>
      <c r="E10" s="6">
        <v>14.3</v>
      </c>
      <c r="F10" s="6">
        <v>-0.1</v>
      </c>
      <c r="G10" s="6">
        <v>2.2000000000000002</v>
      </c>
      <c r="H10" s="6">
        <v>2.6</v>
      </c>
      <c r="I10" s="6">
        <v>9.1</v>
      </c>
      <c r="J10" s="6">
        <v>-1.1000000000000001</v>
      </c>
      <c r="K10" s="6">
        <v>13.9</v>
      </c>
      <c r="L10" s="6">
        <v>26.2</v>
      </c>
      <c r="M10" s="6">
        <v>9.8000000000000007</v>
      </c>
      <c r="N10" s="6">
        <v>-0.8</v>
      </c>
      <c r="O10" s="6">
        <v>1.6</v>
      </c>
      <c r="P10" s="6">
        <v>1.4</v>
      </c>
      <c r="Q10" s="6">
        <v>1.4</v>
      </c>
      <c r="R10" s="6">
        <v>5.6</v>
      </c>
      <c r="S10" s="6">
        <v>1.8</v>
      </c>
      <c r="T10" s="6">
        <v>8.1</v>
      </c>
      <c r="U10" s="6">
        <v>3.1</v>
      </c>
      <c r="V10" s="6">
        <f t="shared" ref="V10" si="4">R10*1.2</f>
        <v>6.72</v>
      </c>
      <c r="X10" s="6">
        <v>15.8</v>
      </c>
      <c r="Y10" s="6">
        <v>26.6</v>
      </c>
      <c r="Z10" s="6">
        <v>25.1</v>
      </c>
      <c r="AA10" s="6">
        <f>SUM(C10:F10)</f>
        <v>19.8</v>
      </c>
      <c r="AB10" s="6">
        <f>SUM(G10:J10)</f>
        <v>12.8</v>
      </c>
      <c r="AC10" s="6">
        <f>SUM(K10:N10)</f>
        <v>49.100000000000009</v>
      </c>
      <c r="AD10" s="6">
        <f>SUM(O10:R10)</f>
        <v>10</v>
      </c>
      <c r="AE10" s="6">
        <f t="shared" si="2"/>
        <v>19.72</v>
      </c>
      <c r="AF10" s="6">
        <f>AE10*1.6</f>
        <v>31.552</v>
      </c>
      <c r="AG10" s="6">
        <f>AF10*1.3</f>
        <v>41.017600000000002</v>
      </c>
      <c r="AH10" s="6">
        <f>AG10*1.2</f>
        <v>49.221119999999999</v>
      </c>
      <c r="AI10" s="6">
        <f>AH10*1.15</f>
        <v>56.604287999999997</v>
      </c>
      <c r="AJ10" s="6">
        <f>AI10*1.12</f>
        <v>63.396802560000005</v>
      </c>
      <c r="AK10" s="6">
        <f t="shared" ref="AK10:AO10" si="5">AJ10*1.08</f>
        <v>68.46854676480001</v>
      </c>
      <c r="AL10" s="6">
        <f t="shared" si="5"/>
        <v>73.946030505984012</v>
      </c>
      <c r="AM10" s="6">
        <f t="shared" si="5"/>
        <v>79.861712946462745</v>
      </c>
      <c r="AN10" s="6">
        <f t="shared" si="5"/>
        <v>86.250649982179766</v>
      </c>
      <c r="AO10" s="6">
        <f t="shared" si="5"/>
        <v>93.15070198075415</v>
      </c>
    </row>
    <row r="11" spans="2:41" x14ac:dyDescent="0.3">
      <c r="B11" t="s">
        <v>25</v>
      </c>
      <c r="C11" s="6">
        <v>4.9000000000000004</v>
      </c>
      <c r="D11" s="6">
        <v>6.2</v>
      </c>
      <c r="E11" s="6">
        <v>6.2</v>
      </c>
      <c r="F11" s="6">
        <v>6.7</v>
      </c>
      <c r="G11" s="6">
        <v>7.5</v>
      </c>
      <c r="H11" s="6">
        <v>9.1</v>
      </c>
      <c r="I11" s="6">
        <v>10.9</v>
      </c>
      <c r="J11" s="6">
        <v>8.8000000000000007</v>
      </c>
      <c r="K11" s="6">
        <v>9.6</v>
      </c>
      <c r="L11" s="6">
        <v>8.4</v>
      </c>
      <c r="M11" s="6">
        <v>11</v>
      </c>
      <c r="N11" s="6">
        <v>8.5</v>
      </c>
      <c r="O11" s="6">
        <v>10.5</v>
      </c>
      <c r="P11" s="6">
        <v>14.1</v>
      </c>
      <c r="Q11" s="6">
        <v>13.4</v>
      </c>
      <c r="R11" s="6">
        <v>12</v>
      </c>
      <c r="S11" s="6">
        <v>11.3</v>
      </c>
      <c r="T11" s="6">
        <v>12.1</v>
      </c>
      <c r="U11" s="6">
        <v>12.4</v>
      </c>
      <c r="V11" s="6">
        <f>R11*1.2</f>
        <v>14.399999999999999</v>
      </c>
      <c r="X11" s="6">
        <v>7.2</v>
      </c>
      <c r="Y11" s="6">
        <v>14</v>
      </c>
      <c r="Z11" s="6">
        <v>19.899999999999999</v>
      </c>
      <c r="AA11" s="6">
        <f>SUM(C11:F11)</f>
        <v>24</v>
      </c>
      <c r="AB11" s="6">
        <f>SUM(G11:J11)</f>
        <v>36.299999999999997</v>
      </c>
      <c r="AC11" s="6">
        <f>SUM(K11:N11)</f>
        <v>37.5</v>
      </c>
      <c r="AD11" s="6">
        <f>SUM(O11:R11)</f>
        <v>50</v>
      </c>
      <c r="AE11" s="6">
        <f t="shared" si="2"/>
        <v>50.199999999999996</v>
      </c>
      <c r="AF11" s="6">
        <f>AE11*1.21</f>
        <v>60.74199999999999</v>
      </c>
      <c r="AG11" s="6">
        <f>AF11*1.15</f>
        <v>69.85329999999999</v>
      </c>
      <c r="AH11" s="6">
        <f t="shared" ref="AH11:AO11" si="6">AG11*1.15</f>
        <v>80.331294999999983</v>
      </c>
      <c r="AI11" s="6">
        <f t="shared" si="6"/>
        <v>92.380989249999971</v>
      </c>
      <c r="AJ11" s="6">
        <f t="shared" si="6"/>
        <v>106.23813763749996</v>
      </c>
      <c r="AK11" s="6">
        <f t="shared" si="6"/>
        <v>122.17385828312494</v>
      </c>
      <c r="AL11" s="6">
        <f t="shared" si="6"/>
        <v>140.49993702559368</v>
      </c>
      <c r="AM11" s="6">
        <f t="shared" si="6"/>
        <v>161.57492757943271</v>
      </c>
      <c r="AN11" s="6">
        <f t="shared" si="6"/>
        <v>185.8111667163476</v>
      </c>
      <c r="AO11" s="6">
        <f t="shared" si="6"/>
        <v>213.68284172379973</v>
      </c>
    </row>
    <row r="12" spans="2:41" x14ac:dyDescent="0.3">
      <c r="B12" t="s">
        <v>26</v>
      </c>
      <c r="C12" s="6">
        <v>5.0999999999999996</v>
      </c>
      <c r="D12" s="6">
        <v>7.1</v>
      </c>
      <c r="E12" s="6">
        <v>6.2</v>
      </c>
      <c r="F12" s="6">
        <v>7.3</v>
      </c>
      <c r="G12" s="6">
        <v>4.0999999999999996</v>
      </c>
      <c r="H12" s="6">
        <v>4.7</v>
      </c>
      <c r="I12" s="6">
        <v>5.2</v>
      </c>
      <c r="J12" s="6">
        <v>7.5</v>
      </c>
      <c r="K12" s="6">
        <v>4.5</v>
      </c>
      <c r="L12" s="6">
        <v>3.7</v>
      </c>
      <c r="M12" s="6">
        <v>4.7</v>
      </c>
      <c r="N12" s="6">
        <v>4.3</v>
      </c>
      <c r="O12" s="6">
        <v>4.5999999999999996</v>
      </c>
      <c r="P12" s="6">
        <v>6.9</v>
      </c>
      <c r="Q12" s="6">
        <v>8.6</v>
      </c>
      <c r="R12" s="6">
        <v>6.4</v>
      </c>
      <c r="S12" s="6">
        <v>5.7</v>
      </c>
      <c r="T12" s="6">
        <v>4.0999999999999996</v>
      </c>
      <c r="U12" s="6">
        <v>5.3</v>
      </c>
      <c r="V12" s="6">
        <v>6</v>
      </c>
      <c r="X12" s="6">
        <v>14</v>
      </c>
      <c r="Y12" s="6">
        <v>19.600000000000001</v>
      </c>
      <c r="Z12" s="6">
        <v>25.8</v>
      </c>
      <c r="AA12" s="6">
        <f>SUM(C12:F12)</f>
        <v>25.7</v>
      </c>
      <c r="AB12" s="6">
        <f>SUM(G12:J12)</f>
        <v>21.5</v>
      </c>
      <c r="AC12" s="6">
        <f>SUM(K12:N12)</f>
        <v>17.2</v>
      </c>
      <c r="AD12" s="6">
        <f>SUM(O12:R12)</f>
        <v>26.5</v>
      </c>
      <c r="AE12" s="6">
        <f t="shared" si="2"/>
        <v>21.1</v>
      </c>
      <c r="AF12" s="6">
        <f>AE12*1.15</f>
        <v>24.265000000000001</v>
      </c>
      <c r="AG12" s="6">
        <f>AF12*1.1</f>
        <v>26.691500000000001</v>
      </c>
      <c r="AH12" s="6">
        <f>AG12*1.15</f>
        <v>30.695225000000001</v>
      </c>
      <c r="AI12" s="6">
        <f t="shared" ref="AI12" si="7">AH12*1.15</f>
        <v>35.299508750000001</v>
      </c>
      <c r="AJ12" s="6">
        <f>AI12*1.2</f>
        <v>42.359410500000003</v>
      </c>
      <c r="AK12" s="6">
        <f t="shared" ref="AK12:AO12" si="8">AJ12*1.2</f>
        <v>50.831292600000005</v>
      </c>
      <c r="AL12" s="6">
        <f t="shared" si="8"/>
        <v>60.997551120000004</v>
      </c>
      <c r="AM12" s="6">
        <f t="shared" si="8"/>
        <v>73.197061344000005</v>
      </c>
      <c r="AN12" s="6">
        <f t="shared" si="8"/>
        <v>87.836473612800006</v>
      </c>
      <c r="AO12" s="6">
        <f t="shared" si="8"/>
        <v>105.40376833536</v>
      </c>
    </row>
    <row r="13" spans="2:41" s="1" customFormat="1" x14ac:dyDescent="0.3">
      <c r="B13" s="1" t="s">
        <v>27</v>
      </c>
      <c r="C13" s="8">
        <f t="shared" ref="C13:V13" si="9">SUM(C9:C12)</f>
        <v>14.9</v>
      </c>
      <c r="D13" s="8">
        <f t="shared" si="9"/>
        <v>14</v>
      </c>
      <c r="E13" s="8">
        <f t="shared" si="9"/>
        <v>26.7</v>
      </c>
      <c r="F13" s="8">
        <f t="shared" si="9"/>
        <v>13.9</v>
      </c>
      <c r="G13" s="8">
        <f t="shared" si="9"/>
        <v>31.799999999999997</v>
      </c>
      <c r="H13" s="8">
        <f t="shared" si="9"/>
        <v>16.399999999999999</v>
      </c>
      <c r="I13" s="8">
        <f t="shared" si="9"/>
        <v>43.2</v>
      </c>
      <c r="J13" s="8">
        <f t="shared" si="9"/>
        <v>39.200000000000003</v>
      </c>
      <c r="K13" s="8">
        <f t="shared" si="9"/>
        <v>37.1</v>
      </c>
      <c r="L13" s="8">
        <f t="shared" si="9"/>
        <v>38.300000000000004</v>
      </c>
      <c r="M13" s="8">
        <f t="shared" si="9"/>
        <v>25.5</v>
      </c>
      <c r="N13" s="8">
        <f t="shared" si="9"/>
        <v>22.5</v>
      </c>
      <c r="O13" s="8">
        <f t="shared" si="9"/>
        <v>16.7</v>
      </c>
      <c r="P13" s="8">
        <f t="shared" si="9"/>
        <v>22.4</v>
      </c>
      <c r="Q13" s="8">
        <f t="shared" si="9"/>
        <v>23.7</v>
      </c>
      <c r="R13" s="8">
        <f t="shared" si="9"/>
        <v>49.4</v>
      </c>
      <c r="S13" s="8">
        <f t="shared" si="9"/>
        <v>18.900000000000002</v>
      </c>
      <c r="T13" s="8">
        <f t="shared" si="9"/>
        <v>37.300000000000004</v>
      </c>
      <c r="U13" s="8">
        <f t="shared" si="9"/>
        <v>46.8</v>
      </c>
      <c r="V13" s="8">
        <f t="shared" si="9"/>
        <v>57.12</v>
      </c>
      <c r="X13" s="8">
        <f t="shared" ref="X13:AD13" si="10">SUM(X9:X12)</f>
        <v>89.5</v>
      </c>
      <c r="Y13" s="8">
        <f t="shared" si="10"/>
        <v>60.7</v>
      </c>
      <c r="Z13" s="8">
        <f t="shared" si="10"/>
        <v>70.8</v>
      </c>
      <c r="AA13" s="8">
        <f t="shared" si="10"/>
        <v>69.5</v>
      </c>
      <c r="AB13" s="8">
        <f t="shared" si="10"/>
        <v>130.6</v>
      </c>
      <c r="AC13" s="8">
        <f t="shared" si="10"/>
        <v>123.40000000000002</v>
      </c>
      <c r="AD13" s="8">
        <f t="shared" si="10"/>
        <v>112.2</v>
      </c>
      <c r="AE13" s="8">
        <f t="shared" si="2"/>
        <v>160.12</v>
      </c>
      <c r="AF13" s="8">
        <f t="shared" ref="AF13:AO13" si="11">SUM(AF9:AF12)</f>
        <v>216.75399999999996</v>
      </c>
      <c r="AG13" s="8">
        <f t="shared" si="11"/>
        <v>267.8159</v>
      </c>
      <c r="AH13" s="8">
        <f t="shared" si="11"/>
        <v>316.55184000000003</v>
      </c>
      <c r="AI13" s="8">
        <f t="shared" si="11"/>
        <v>364.03461599999991</v>
      </c>
      <c r="AJ13" s="8">
        <f t="shared" si="11"/>
        <v>409.71916369749999</v>
      </c>
      <c r="AK13" s="8">
        <f t="shared" si="11"/>
        <v>458.97099194792497</v>
      </c>
      <c r="AL13" s="8">
        <f t="shared" si="11"/>
        <v>514.69054238157776</v>
      </c>
      <c r="AM13" s="8">
        <f t="shared" si="11"/>
        <v>577.80542797289547</v>
      </c>
      <c r="AN13" s="8">
        <f t="shared" si="11"/>
        <v>649.38718902462745</v>
      </c>
      <c r="AO13" s="8">
        <f t="shared" si="11"/>
        <v>730.67510062454403</v>
      </c>
    </row>
    <row r="14" spans="2:41" x14ac:dyDescent="0.3">
      <c r="B14" t="s">
        <v>28</v>
      </c>
      <c r="C14" s="6">
        <v>2.4</v>
      </c>
      <c r="D14" s="6">
        <v>1.9</v>
      </c>
      <c r="E14" s="6">
        <v>1.9</v>
      </c>
      <c r="F14" s="6">
        <v>1.8</v>
      </c>
      <c r="G14" s="6">
        <v>18.2</v>
      </c>
      <c r="H14" s="6">
        <v>3</v>
      </c>
      <c r="I14" s="6">
        <v>17.899999999999999</v>
      </c>
      <c r="J14" s="6">
        <v>25.3</v>
      </c>
      <c r="K14" s="6">
        <v>1</v>
      </c>
      <c r="L14" s="6">
        <v>3.5</v>
      </c>
      <c r="M14" s="6">
        <v>2.9</v>
      </c>
      <c r="N14" s="6">
        <v>5.5</v>
      </c>
      <c r="O14" s="6">
        <v>2.4</v>
      </c>
      <c r="P14" s="6">
        <v>2.9</v>
      </c>
      <c r="Q14" s="6">
        <v>4.2</v>
      </c>
      <c r="R14" s="6">
        <v>30.1</v>
      </c>
      <c r="S14" s="6">
        <v>3</v>
      </c>
      <c r="T14" s="6">
        <v>16.3</v>
      </c>
      <c r="U14" s="6">
        <v>29.1</v>
      </c>
      <c r="V14" s="6">
        <f>V9*1.05</f>
        <v>31.5</v>
      </c>
      <c r="X14" s="6">
        <v>54.5</v>
      </c>
      <c r="Y14" s="6">
        <v>18.600000000000001</v>
      </c>
      <c r="Z14" s="6">
        <v>9.9</v>
      </c>
      <c r="AA14" s="6">
        <f>SUM(C14:F14)</f>
        <v>7.9999999999999991</v>
      </c>
      <c r="AB14" s="6">
        <f>SUM(G14:J14)</f>
        <v>64.399999999999991</v>
      </c>
      <c r="AC14" s="6">
        <f>SUM(K14:N14)</f>
        <v>12.9</v>
      </c>
      <c r="AD14" s="6">
        <f>SUM(O14:R14)</f>
        <v>39.6</v>
      </c>
      <c r="AE14" s="6">
        <f t="shared" si="2"/>
        <v>79.900000000000006</v>
      </c>
      <c r="AF14" s="6">
        <f>AF9*1</f>
        <v>100.19499999999999</v>
      </c>
      <c r="AG14" s="6">
        <f>AG9*0.95</f>
        <v>123.740825</v>
      </c>
      <c r="AH14" s="6">
        <f>AH9*0.9</f>
        <v>140.67378000000002</v>
      </c>
      <c r="AI14" s="6">
        <f>AI9*0.85</f>
        <v>152.78735549999999</v>
      </c>
      <c r="AJ14" s="6">
        <f t="shared" ref="AJ14:AO14" si="12">AJ9*0.8</f>
        <v>158.17985040000002</v>
      </c>
      <c r="AK14" s="6">
        <f t="shared" si="12"/>
        <v>173.99783544000002</v>
      </c>
      <c r="AL14" s="6">
        <f t="shared" si="12"/>
        <v>191.39761898400005</v>
      </c>
      <c r="AM14" s="6">
        <f t="shared" si="12"/>
        <v>210.53738088240007</v>
      </c>
      <c r="AN14" s="6">
        <f t="shared" si="12"/>
        <v>231.59111897064008</v>
      </c>
      <c r="AO14" s="6">
        <f t="shared" si="12"/>
        <v>254.75023086770412</v>
      </c>
    </row>
    <row r="15" spans="2:41" x14ac:dyDescent="0.3">
      <c r="B15" t="s">
        <v>29</v>
      </c>
      <c r="C15" s="6">
        <v>5.0999999999999996</v>
      </c>
      <c r="D15" s="6">
        <v>2.9</v>
      </c>
      <c r="E15" s="6">
        <v>13</v>
      </c>
      <c r="F15" s="6">
        <v>3.7</v>
      </c>
      <c r="G15" s="6">
        <v>2.4</v>
      </c>
      <c r="H15" s="6">
        <v>3</v>
      </c>
      <c r="I15" s="6">
        <v>7.7</v>
      </c>
      <c r="J15" s="6">
        <v>4.0999999999999996</v>
      </c>
      <c r="K15" s="6">
        <v>10.9</v>
      </c>
      <c r="L15" s="6">
        <v>20.100000000000001</v>
      </c>
      <c r="M15" s="6">
        <v>9.6</v>
      </c>
      <c r="N15" s="6">
        <v>4.3</v>
      </c>
      <c r="O15" s="6">
        <v>1.9</v>
      </c>
      <c r="P15" s="6">
        <v>1.3</v>
      </c>
      <c r="Q15" s="6">
        <v>1.1000000000000001</v>
      </c>
      <c r="R15" s="6">
        <v>6.8</v>
      </c>
      <c r="S15" s="6">
        <v>1.7</v>
      </c>
      <c r="T15" s="6">
        <v>9.1</v>
      </c>
      <c r="U15" s="6">
        <v>3.6</v>
      </c>
      <c r="V15" s="6">
        <f t="shared" ref="V15" si="13">V10*1.05</f>
        <v>7.056</v>
      </c>
      <c r="X15" s="6">
        <v>15.1</v>
      </c>
      <c r="Y15" s="6">
        <v>18.899999999999999</v>
      </c>
      <c r="Z15" s="6">
        <v>14.5</v>
      </c>
      <c r="AA15" s="6">
        <f>SUM(C15:F15)</f>
        <v>24.7</v>
      </c>
      <c r="AB15" s="6">
        <f>SUM(G15:J15)</f>
        <v>17.200000000000003</v>
      </c>
      <c r="AC15" s="6">
        <f>SUM(K15:N15)</f>
        <v>44.9</v>
      </c>
      <c r="AD15" s="6">
        <f>SUM(O15:R15)</f>
        <v>11.100000000000001</v>
      </c>
      <c r="AE15" s="6">
        <f t="shared" si="2"/>
        <v>21.456</v>
      </c>
      <c r="AF15" s="6">
        <f>AF10*0.9</f>
        <v>28.396799999999999</v>
      </c>
      <c r="AG15" s="6">
        <f t="shared" ref="AG15:AO15" si="14">AG10*0.8</f>
        <v>32.814080000000004</v>
      </c>
      <c r="AH15" s="6">
        <f t="shared" si="14"/>
        <v>39.376896000000002</v>
      </c>
      <c r="AI15" s="6">
        <f t="shared" si="14"/>
        <v>45.2834304</v>
      </c>
      <c r="AJ15" s="6">
        <f t="shared" si="14"/>
        <v>50.717442048000009</v>
      </c>
      <c r="AK15" s="6">
        <f t="shared" si="14"/>
        <v>54.774837411840011</v>
      </c>
      <c r="AL15" s="6">
        <f t="shared" si="14"/>
        <v>59.156824404787216</v>
      </c>
      <c r="AM15" s="6">
        <f t="shared" si="14"/>
        <v>63.889370357170201</v>
      </c>
      <c r="AN15" s="6">
        <f t="shared" si="14"/>
        <v>69.000519985743821</v>
      </c>
      <c r="AO15" s="6">
        <f t="shared" si="14"/>
        <v>74.520561584603328</v>
      </c>
    </row>
    <row r="16" spans="2:41" x14ac:dyDescent="0.3">
      <c r="B16" t="s">
        <v>30</v>
      </c>
      <c r="C16" s="6">
        <v>7.1</v>
      </c>
      <c r="D16" s="6">
        <v>9.4</v>
      </c>
      <c r="E16" s="6">
        <v>6.7</v>
      </c>
      <c r="F16" s="6">
        <v>12.8</v>
      </c>
      <c r="G16" s="6">
        <v>10.7</v>
      </c>
      <c r="H16" s="6">
        <v>14.1</v>
      </c>
      <c r="I16" s="6">
        <v>18.100000000000001</v>
      </c>
      <c r="J16" s="6">
        <v>20.2</v>
      </c>
      <c r="K16" s="6">
        <v>16.600000000000001</v>
      </c>
      <c r="L16" s="6">
        <v>17.100000000000001</v>
      </c>
      <c r="M16" s="6">
        <v>17.5</v>
      </c>
      <c r="N16" s="6">
        <v>11.7</v>
      </c>
      <c r="O16" s="6">
        <v>20.9</v>
      </c>
      <c r="P16" s="6">
        <v>21.4</v>
      </c>
      <c r="Q16" s="6">
        <v>18.8</v>
      </c>
      <c r="R16" s="6">
        <v>18.8</v>
      </c>
      <c r="S16" s="6">
        <v>15.3</v>
      </c>
      <c r="T16" s="6">
        <v>18.399999999999999</v>
      </c>
      <c r="U16" s="6">
        <v>15.3</v>
      </c>
      <c r="V16" s="6">
        <f>V11*1.4</f>
        <v>20.159999999999997</v>
      </c>
      <c r="X16" s="6">
        <v>6.4</v>
      </c>
      <c r="Y16" s="6">
        <v>31.6</v>
      </c>
      <c r="Z16" s="6">
        <v>27.9</v>
      </c>
      <c r="AA16" s="6">
        <f>SUM(C16:F16)</f>
        <v>36</v>
      </c>
      <c r="AB16" s="6">
        <f>SUM(G16:J16)</f>
        <v>63.099999999999994</v>
      </c>
      <c r="AC16" s="6">
        <f>SUM(K16:N16)</f>
        <v>62.900000000000006</v>
      </c>
      <c r="AD16" s="6">
        <f>SUM(O16:R16)</f>
        <v>79.899999999999991</v>
      </c>
      <c r="AE16" s="6">
        <f t="shared" si="2"/>
        <v>69.16</v>
      </c>
      <c r="AF16" s="6">
        <f>AF11*1.1</f>
        <v>66.816199999999995</v>
      </c>
      <c r="AG16" s="6">
        <f>AG11*0.9</f>
        <v>62.867969999999993</v>
      </c>
      <c r="AH16" s="6">
        <f>AH11*0.8</f>
        <v>64.265035999999995</v>
      </c>
      <c r="AI16" s="6">
        <f>AI11*0.8</f>
        <v>73.904791399999979</v>
      </c>
      <c r="AJ16" s="6">
        <f>AJ11*0.77</f>
        <v>81.803365980874972</v>
      </c>
      <c r="AK16" s="6">
        <f>AK11*0.75</f>
        <v>91.630393712343704</v>
      </c>
      <c r="AL16" s="6">
        <f t="shared" ref="AL16:AO16" si="15">AL11*0.74</f>
        <v>103.96995339893932</v>
      </c>
      <c r="AM16" s="6">
        <f t="shared" si="15"/>
        <v>119.5654464087802</v>
      </c>
      <c r="AN16" s="6">
        <f t="shared" si="15"/>
        <v>137.50026337009723</v>
      </c>
      <c r="AO16" s="6">
        <f t="shared" si="15"/>
        <v>158.12530287561179</v>
      </c>
    </row>
    <row r="17" spans="2:148" x14ac:dyDescent="0.3">
      <c r="B17" t="s">
        <v>31</v>
      </c>
      <c r="C17" s="6">
        <v>3.9</v>
      </c>
      <c r="D17" s="6">
        <v>4.5</v>
      </c>
      <c r="E17" s="6">
        <v>4.0999999999999996</v>
      </c>
      <c r="F17" s="6">
        <v>4</v>
      </c>
      <c r="G17" s="6">
        <v>3.4</v>
      </c>
      <c r="H17" s="6">
        <v>3.5</v>
      </c>
      <c r="I17" s="6">
        <v>3.5</v>
      </c>
      <c r="J17" s="6">
        <v>4.8</v>
      </c>
      <c r="K17" s="6">
        <v>3.3</v>
      </c>
      <c r="L17" s="6">
        <v>3.8</v>
      </c>
      <c r="M17" s="6">
        <v>3.8</v>
      </c>
      <c r="N17" s="6">
        <v>2.4</v>
      </c>
      <c r="O17" s="6">
        <v>3.2</v>
      </c>
      <c r="P17" s="6">
        <v>3.9</v>
      </c>
      <c r="Q17" s="6">
        <v>5.8</v>
      </c>
      <c r="R17" s="6">
        <v>4.5999999999999996</v>
      </c>
      <c r="S17" s="6">
        <v>4.2</v>
      </c>
      <c r="T17" s="6">
        <v>3.1</v>
      </c>
      <c r="U17" s="6">
        <v>3.8</v>
      </c>
      <c r="V17" s="6">
        <f t="shared" ref="V17" si="16">V12*0.55</f>
        <v>3.3000000000000003</v>
      </c>
      <c r="X17" s="6">
        <v>10.4</v>
      </c>
      <c r="Y17" s="6">
        <v>12.9</v>
      </c>
      <c r="Z17" s="6">
        <v>16.3</v>
      </c>
      <c r="AA17" s="6">
        <f>SUM(C17:F17)</f>
        <v>16.5</v>
      </c>
      <c r="AB17" s="6">
        <f>SUM(G17:J17)</f>
        <v>15.2</v>
      </c>
      <c r="AC17" s="6">
        <f>SUM(K17:N17)</f>
        <v>13.299999999999999</v>
      </c>
      <c r="AD17" s="6">
        <f>SUM(O17:R17)</f>
        <v>17.5</v>
      </c>
      <c r="AE17" s="6">
        <f t="shared" si="2"/>
        <v>14.400000000000002</v>
      </c>
      <c r="AF17" s="6">
        <f>AF12*0.45</f>
        <v>10.91925</v>
      </c>
      <c r="AG17" s="6">
        <f>AG12*0.4</f>
        <v>10.676600000000001</v>
      </c>
      <c r="AH17" s="6">
        <f>AH12*0.38</f>
        <v>11.6641855</v>
      </c>
      <c r="AI17" s="6">
        <f>AI12*0.37</f>
        <v>13.060818237499999</v>
      </c>
      <c r="AJ17" s="6">
        <f t="shared" ref="AJ17:AO17" si="17">AJ12*0.37</f>
        <v>15.672981885</v>
      </c>
      <c r="AK17" s="6">
        <f t="shared" si="17"/>
        <v>18.807578262</v>
      </c>
      <c r="AL17" s="6">
        <f t="shared" si="17"/>
        <v>22.5690939144</v>
      </c>
      <c r="AM17" s="6">
        <f t="shared" si="17"/>
        <v>27.082912697280001</v>
      </c>
      <c r="AN17" s="6">
        <f t="shared" si="17"/>
        <v>32.499495236736003</v>
      </c>
      <c r="AO17" s="6">
        <f t="shared" si="17"/>
        <v>38.999394284083202</v>
      </c>
    </row>
    <row r="18" spans="2:148" x14ac:dyDescent="0.3">
      <c r="B18" t="s">
        <v>32</v>
      </c>
      <c r="C18" s="6">
        <f t="shared" ref="C18:V18" si="18">SUM(C14:C17)</f>
        <v>18.5</v>
      </c>
      <c r="D18" s="6">
        <f t="shared" si="18"/>
        <v>18.7</v>
      </c>
      <c r="E18" s="6">
        <f t="shared" si="18"/>
        <v>25.700000000000003</v>
      </c>
      <c r="F18" s="6">
        <f t="shared" si="18"/>
        <v>22.3</v>
      </c>
      <c r="G18" s="6">
        <f t="shared" si="18"/>
        <v>34.699999999999996</v>
      </c>
      <c r="H18" s="6">
        <f t="shared" si="18"/>
        <v>23.6</v>
      </c>
      <c r="I18" s="6">
        <f t="shared" si="18"/>
        <v>47.2</v>
      </c>
      <c r="J18" s="6">
        <f t="shared" si="18"/>
        <v>54.399999999999991</v>
      </c>
      <c r="K18" s="6">
        <f t="shared" si="18"/>
        <v>31.8</v>
      </c>
      <c r="L18" s="6">
        <f t="shared" si="18"/>
        <v>44.5</v>
      </c>
      <c r="M18" s="6">
        <f t="shared" si="18"/>
        <v>33.799999999999997</v>
      </c>
      <c r="N18" s="6">
        <f t="shared" si="18"/>
        <v>23.9</v>
      </c>
      <c r="O18" s="6">
        <f t="shared" si="18"/>
        <v>28.4</v>
      </c>
      <c r="P18" s="6">
        <f t="shared" si="18"/>
        <v>29.499999999999996</v>
      </c>
      <c r="Q18" s="6">
        <f t="shared" si="18"/>
        <v>29.900000000000002</v>
      </c>
      <c r="R18" s="6">
        <f t="shared" si="18"/>
        <v>60.300000000000004</v>
      </c>
      <c r="S18" s="6">
        <f t="shared" si="18"/>
        <v>24.2</v>
      </c>
      <c r="T18" s="6">
        <f t="shared" si="18"/>
        <v>46.9</v>
      </c>
      <c r="U18" s="6">
        <f t="shared" si="18"/>
        <v>51.8</v>
      </c>
      <c r="V18" s="6">
        <f t="shared" si="18"/>
        <v>62.015999999999991</v>
      </c>
      <c r="X18" s="6">
        <f t="shared" ref="X18:AE18" si="19">SUM(X14:X17)</f>
        <v>86.4</v>
      </c>
      <c r="Y18" s="6">
        <f t="shared" si="19"/>
        <v>82</v>
      </c>
      <c r="Z18" s="6">
        <f t="shared" si="19"/>
        <v>68.599999999999994</v>
      </c>
      <c r="AA18" s="6">
        <f t="shared" si="19"/>
        <v>85.199999999999989</v>
      </c>
      <c r="AB18" s="6">
        <f t="shared" si="19"/>
        <v>159.89999999999998</v>
      </c>
      <c r="AC18" s="6">
        <f t="shared" si="19"/>
        <v>134</v>
      </c>
      <c r="AD18" s="6">
        <f t="shared" si="19"/>
        <v>148.1</v>
      </c>
      <c r="AE18" s="6">
        <f t="shared" si="19"/>
        <v>184.91600000000003</v>
      </c>
      <c r="AF18" s="6">
        <f t="shared" ref="AF18:AO18" si="20">SUM(AF14:AF17)</f>
        <v>206.32724999999996</v>
      </c>
      <c r="AG18" s="6">
        <f t="shared" si="20"/>
        <v>230.09947500000001</v>
      </c>
      <c r="AH18" s="6">
        <f t="shared" si="20"/>
        <v>255.97989750000002</v>
      </c>
      <c r="AI18" s="6">
        <f t="shared" si="20"/>
        <v>285.03639553749991</v>
      </c>
      <c r="AJ18" s="6">
        <f t="shared" si="20"/>
        <v>306.373640313875</v>
      </c>
      <c r="AK18" s="6">
        <f t="shared" si="20"/>
        <v>339.21064482618374</v>
      </c>
      <c r="AL18" s="6">
        <f t="shared" si="20"/>
        <v>377.09349070212659</v>
      </c>
      <c r="AM18" s="6">
        <f t="shared" si="20"/>
        <v>421.07511034563043</v>
      </c>
      <c r="AN18" s="6">
        <f t="shared" si="20"/>
        <v>470.59139756321713</v>
      </c>
      <c r="AO18" s="6">
        <f t="shared" si="20"/>
        <v>526.39548961200239</v>
      </c>
    </row>
    <row r="19" spans="2:148" s="1" customFormat="1" x14ac:dyDescent="0.3">
      <c r="B19" s="1" t="s">
        <v>33</v>
      </c>
      <c r="C19" s="8">
        <f t="shared" ref="C19:V19" si="21">C13-C18</f>
        <v>-3.5999999999999996</v>
      </c>
      <c r="D19" s="8">
        <f t="shared" si="21"/>
        <v>-4.6999999999999993</v>
      </c>
      <c r="E19" s="8">
        <f t="shared" si="21"/>
        <v>0.99999999999999645</v>
      </c>
      <c r="F19" s="8">
        <f t="shared" si="21"/>
        <v>-8.4</v>
      </c>
      <c r="G19" s="8">
        <f t="shared" si="21"/>
        <v>-2.8999999999999986</v>
      </c>
      <c r="H19" s="8">
        <f t="shared" si="21"/>
        <v>-7.2000000000000028</v>
      </c>
      <c r="I19" s="8">
        <f t="shared" si="21"/>
        <v>-4</v>
      </c>
      <c r="J19" s="8">
        <f t="shared" si="21"/>
        <v>-15.199999999999989</v>
      </c>
      <c r="K19" s="8">
        <f t="shared" si="21"/>
        <v>5.3000000000000007</v>
      </c>
      <c r="L19" s="8">
        <f t="shared" si="21"/>
        <v>-6.1999999999999957</v>
      </c>
      <c r="M19" s="8">
        <f t="shared" si="21"/>
        <v>-8.2999999999999972</v>
      </c>
      <c r="N19" s="8">
        <f t="shared" si="21"/>
        <v>-1.3999999999999986</v>
      </c>
      <c r="O19" s="8">
        <f t="shared" si="21"/>
        <v>-11.7</v>
      </c>
      <c r="P19" s="8">
        <f t="shared" si="21"/>
        <v>-7.0999999999999979</v>
      </c>
      <c r="Q19" s="8">
        <f t="shared" si="21"/>
        <v>-6.2000000000000028</v>
      </c>
      <c r="R19" s="8">
        <f t="shared" si="21"/>
        <v>-10.900000000000006</v>
      </c>
      <c r="S19" s="8">
        <f t="shared" si="21"/>
        <v>-5.2999999999999972</v>
      </c>
      <c r="T19" s="8">
        <f t="shared" si="21"/>
        <v>-9.5999999999999943</v>
      </c>
      <c r="U19" s="8">
        <f t="shared" si="21"/>
        <v>-5</v>
      </c>
      <c r="V19" s="8">
        <f t="shared" si="21"/>
        <v>-4.8959999999999937</v>
      </c>
      <c r="X19" s="8">
        <f t="shared" ref="X19:AE19" si="22">X13-X18</f>
        <v>3.0999999999999943</v>
      </c>
      <c r="Y19" s="8">
        <f t="shared" si="22"/>
        <v>-21.299999999999997</v>
      </c>
      <c r="Z19" s="8">
        <f t="shared" si="22"/>
        <v>2.2000000000000028</v>
      </c>
      <c r="AA19" s="8">
        <f t="shared" si="22"/>
        <v>-15.699999999999989</v>
      </c>
      <c r="AB19" s="8">
        <f t="shared" si="22"/>
        <v>-29.299999999999983</v>
      </c>
      <c r="AC19" s="8">
        <f t="shared" si="22"/>
        <v>-10.59999999999998</v>
      </c>
      <c r="AD19" s="8">
        <f t="shared" si="22"/>
        <v>-35.899999999999991</v>
      </c>
      <c r="AE19" s="8">
        <f t="shared" si="22"/>
        <v>-24.796000000000021</v>
      </c>
      <c r="AF19" s="8">
        <f t="shared" ref="AF19:AO19" si="23">AF13-AF18</f>
        <v>10.426749999999998</v>
      </c>
      <c r="AG19" s="8">
        <f t="shared" si="23"/>
        <v>37.716424999999987</v>
      </c>
      <c r="AH19" s="8">
        <f t="shared" si="23"/>
        <v>60.571942500000006</v>
      </c>
      <c r="AI19" s="8">
        <f t="shared" si="23"/>
        <v>78.998220462500001</v>
      </c>
      <c r="AJ19" s="8">
        <f t="shared" si="23"/>
        <v>103.34552338362499</v>
      </c>
      <c r="AK19" s="8">
        <f t="shared" si="23"/>
        <v>119.76034712174123</v>
      </c>
      <c r="AL19" s="8">
        <f t="shared" si="23"/>
        <v>137.59705167945117</v>
      </c>
      <c r="AM19" s="8">
        <f t="shared" si="23"/>
        <v>156.73031762726504</v>
      </c>
      <c r="AN19" s="8">
        <f t="shared" si="23"/>
        <v>178.79579146141032</v>
      </c>
      <c r="AO19" s="8">
        <f t="shared" si="23"/>
        <v>204.27961101254164</v>
      </c>
    </row>
    <row r="20" spans="2:148" x14ac:dyDescent="0.3">
      <c r="B20" t="s">
        <v>34</v>
      </c>
      <c r="C20" s="6">
        <v>8.9</v>
      </c>
      <c r="D20" s="6">
        <v>9.6999999999999993</v>
      </c>
      <c r="E20" s="6">
        <v>8.6999999999999993</v>
      </c>
      <c r="F20" s="6">
        <v>10.7</v>
      </c>
      <c r="G20" s="6">
        <v>37</v>
      </c>
      <c r="H20" s="6">
        <v>13.2</v>
      </c>
      <c r="I20" s="6">
        <v>14.2</v>
      </c>
      <c r="J20" s="6">
        <v>15.3</v>
      </c>
      <c r="K20" s="6">
        <v>15</v>
      </c>
      <c r="L20" s="6">
        <v>15.1</v>
      </c>
      <c r="M20" s="6">
        <v>17.600000000000001</v>
      </c>
      <c r="N20" s="6">
        <v>16.899999999999999</v>
      </c>
      <c r="O20" s="6">
        <v>16.399999999999999</v>
      </c>
      <c r="P20" s="6">
        <v>17.7</v>
      </c>
      <c r="Q20" s="6">
        <v>14.6</v>
      </c>
      <c r="R20" s="6">
        <v>15.9</v>
      </c>
      <c r="S20" s="6">
        <v>15</v>
      </c>
      <c r="T20" s="6">
        <v>16.5</v>
      </c>
      <c r="U20" s="6">
        <v>14.1</v>
      </c>
      <c r="V20" s="6">
        <v>16</v>
      </c>
      <c r="X20" s="6">
        <v>24.9</v>
      </c>
      <c r="Y20" s="6">
        <v>31.9</v>
      </c>
      <c r="Z20" s="6">
        <v>26.6</v>
      </c>
      <c r="AA20" s="6">
        <f>SUM(C20:F20)</f>
        <v>38</v>
      </c>
      <c r="AB20" s="6">
        <f>SUM(G20:J20)</f>
        <v>79.7</v>
      </c>
      <c r="AC20" s="6">
        <f>SUM(K20:N20)</f>
        <v>64.599999999999994</v>
      </c>
      <c r="AD20" s="6">
        <f>SUM(O20:R20)</f>
        <v>64.599999999999994</v>
      </c>
      <c r="AE20" s="6">
        <f>SUM(S20:V20)</f>
        <v>61.6</v>
      </c>
      <c r="AF20" s="6">
        <f>AE20*1.01</f>
        <v>62.216000000000001</v>
      </c>
      <c r="AG20" s="6">
        <f t="shared" ref="AG20:AO20" si="24">AF20*1.02</f>
        <v>63.460320000000003</v>
      </c>
      <c r="AH20" s="6">
        <f t="shared" si="24"/>
        <v>64.729526399999997</v>
      </c>
      <c r="AI20" s="6">
        <f t="shared" si="24"/>
        <v>66.024116927999998</v>
      </c>
      <c r="AJ20" s="6">
        <f t="shared" si="24"/>
        <v>67.344599266559996</v>
      </c>
      <c r="AK20" s="6">
        <f t="shared" si="24"/>
        <v>68.691491251891193</v>
      </c>
      <c r="AL20" s="6">
        <f t="shared" si="24"/>
        <v>70.065321076929024</v>
      </c>
      <c r="AM20" s="6">
        <f t="shared" si="24"/>
        <v>71.466627498467602</v>
      </c>
      <c r="AN20" s="6">
        <f t="shared" si="24"/>
        <v>72.895960048436962</v>
      </c>
      <c r="AO20" s="6">
        <f t="shared" si="24"/>
        <v>74.353879249405708</v>
      </c>
      <c r="AP20" s="6"/>
    </row>
    <row r="21" spans="2:148" x14ac:dyDescent="0.3">
      <c r="B21" t="s">
        <v>35</v>
      </c>
      <c r="C21" s="6">
        <v>1.8</v>
      </c>
      <c r="D21" s="6">
        <v>3</v>
      </c>
      <c r="E21" s="6">
        <v>3</v>
      </c>
      <c r="F21" s="6">
        <v>3.5</v>
      </c>
      <c r="G21" s="6">
        <v>5</v>
      </c>
      <c r="H21" s="6">
        <v>7.7</v>
      </c>
      <c r="I21" s="6">
        <v>9.6999999999999993</v>
      </c>
      <c r="J21" s="6">
        <v>12.2</v>
      </c>
      <c r="K21" s="6">
        <v>12.7</v>
      </c>
      <c r="L21" s="6">
        <v>14.7</v>
      </c>
      <c r="M21" s="6">
        <v>15.6</v>
      </c>
      <c r="N21" s="6">
        <v>18</v>
      </c>
      <c r="O21" s="6">
        <v>14.4</v>
      </c>
      <c r="P21" s="6">
        <v>16.600000000000001</v>
      </c>
      <c r="Q21" s="6">
        <v>12.8</v>
      </c>
      <c r="R21" s="6">
        <v>11.6</v>
      </c>
      <c r="S21" s="6">
        <v>11.1</v>
      </c>
      <c r="T21" s="6">
        <v>9.9</v>
      </c>
      <c r="U21" s="6">
        <v>7.6</v>
      </c>
      <c r="V21" s="6">
        <v>9</v>
      </c>
      <c r="X21" s="6">
        <v>22.8</v>
      </c>
      <c r="Y21" s="6">
        <v>13.8</v>
      </c>
      <c r="Z21" s="6">
        <v>4.8</v>
      </c>
      <c r="AA21" s="6">
        <f>SUM(C21:F21)</f>
        <v>11.3</v>
      </c>
      <c r="AB21" s="6">
        <f>SUM(G21:J21)</f>
        <v>34.599999999999994</v>
      </c>
      <c r="AC21" s="6">
        <f>SUM(K21:N21)</f>
        <v>61</v>
      </c>
      <c r="AD21" s="6">
        <f>SUM(O21:R21)</f>
        <v>55.4</v>
      </c>
      <c r="AE21" s="6">
        <f>SUM(S21:V21)</f>
        <v>37.6</v>
      </c>
      <c r="AF21" s="6">
        <f>AE21*1.01</f>
        <v>37.975999999999999</v>
      </c>
      <c r="AG21" s="6">
        <f t="shared" ref="AG21:AO21" si="25">AF21*1.02</f>
        <v>38.735520000000001</v>
      </c>
      <c r="AH21" s="6">
        <f t="shared" si="25"/>
        <v>39.510230400000005</v>
      </c>
      <c r="AI21" s="6">
        <f t="shared" si="25"/>
        <v>40.300435008000008</v>
      </c>
      <c r="AJ21" s="6">
        <f t="shared" si="25"/>
        <v>41.106443708160008</v>
      </c>
      <c r="AK21" s="6">
        <f t="shared" si="25"/>
        <v>41.928572582323206</v>
      </c>
      <c r="AL21" s="6">
        <f t="shared" si="25"/>
        <v>42.767144033969672</v>
      </c>
      <c r="AM21" s="6">
        <f t="shared" si="25"/>
        <v>43.622486914649066</v>
      </c>
      <c r="AN21" s="6">
        <f t="shared" si="25"/>
        <v>44.494936652942052</v>
      </c>
      <c r="AO21" s="6">
        <f t="shared" si="25"/>
        <v>45.384835386000894</v>
      </c>
    </row>
    <row r="22" spans="2:148" x14ac:dyDescent="0.3">
      <c r="B22" t="s">
        <v>99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64.5</v>
      </c>
      <c r="V22" s="6">
        <v>0</v>
      </c>
      <c r="X22" s="6"/>
      <c r="Y22" s="6"/>
      <c r="Z22" s="6"/>
      <c r="AA22" s="6"/>
      <c r="AB22" s="6"/>
      <c r="AC22" s="6"/>
      <c r="AD22" s="6"/>
      <c r="AE22" s="6">
        <f>SUM(S22:V22)</f>
        <v>64.5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spans="2:148" x14ac:dyDescent="0.3">
      <c r="B23" t="s">
        <v>111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2.6</v>
      </c>
      <c r="S23" s="6">
        <v>1.5</v>
      </c>
      <c r="T23" s="6">
        <v>0</v>
      </c>
      <c r="U23" s="6">
        <v>4.0999999999999996</v>
      </c>
      <c r="V23" s="6">
        <v>2</v>
      </c>
      <c r="X23" s="6"/>
      <c r="Y23" s="6"/>
      <c r="Z23" s="6"/>
      <c r="AA23" s="6"/>
      <c r="AB23" s="6"/>
      <c r="AC23" s="6"/>
      <c r="AD23" s="6">
        <f>SUM(O23:R23)</f>
        <v>2.6</v>
      </c>
      <c r="AE23" s="6">
        <f>SUM(S23:V23)</f>
        <v>7.6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spans="2:148" x14ac:dyDescent="0.3">
      <c r="B24" t="s">
        <v>112</v>
      </c>
      <c r="C24" s="6">
        <f t="shared" ref="C24:Q24" si="26">SUM(C20:C23)</f>
        <v>10.700000000000001</v>
      </c>
      <c r="D24" s="6">
        <f t="shared" si="26"/>
        <v>12.7</v>
      </c>
      <c r="E24" s="6">
        <f t="shared" si="26"/>
        <v>11.7</v>
      </c>
      <c r="F24" s="6">
        <f t="shared" si="26"/>
        <v>14.2</v>
      </c>
      <c r="G24" s="6">
        <f t="shared" si="26"/>
        <v>42</v>
      </c>
      <c r="H24" s="6">
        <f t="shared" si="26"/>
        <v>20.9</v>
      </c>
      <c r="I24" s="6">
        <f t="shared" si="26"/>
        <v>23.9</v>
      </c>
      <c r="J24" s="6">
        <f t="shared" si="26"/>
        <v>27.5</v>
      </c>
      <c r="K24" s="6">
        <f t="shared" si="26"/>
        <v>27.7</v>
      </c>
      <c r="L24" s="6">
        <f t="shared" si="26"/>
        <v>29.799999999999997</v>
      </c>
      <c r="M24" s="6">
        <f t="shared" si="26"/>
        <v>33.200000000000003</v>
      </c>
      <c r="N24" s="6">
        <f t="shared" si="26"/>
        <v>34.9</v>
      </c>
      <c r="O24" s="6">
        <f t="shared" si="26"/>
        <v>30.799999999999997</v>
      </c>
      <c r="P24" s="6">
        <f t="shared" si="26"/>
        <v>34.299999999999997</v>
      </c>
      <c r="Q24" s="6">
        <f t="shared" si="26"/>
        <v>27.4</v>
      </c>
      <c r="R24" s="6">
        <f>SUM(R20:R23)</f>
        <v>30.1</v>
      </c>
      <c r="S24" s="6">
        <f t="shared" ref="S24:V24" si="27">SUM(S20:S23)</f>
        <v>27.6</v>
      </c>
      <c r="T24" s="6">
        <f t="shared" si="27"/>
        <v>26.4</v>
      </c>
      <c r="U24" s="6">
        <f t="shared" si="27"/>
        <v>90.3</v>
      </c>
      <c r="V24" s="6">
        <f t="shared" si="27"/>
        <v>27</v>
      </c>
      <c r="X24" s="6">
        <f t="shared" ref="X24:AO24" si="28">SUM(X20:X23)</f>
        <v>47.7</v>
      </c>
      <c r="Y24" s="6">
        <f t="shared" si="28"/>
        <v>45.7</v>
      </c>
      <c r="Z24" s="6">
        <f t="shared" si="28"/>
        <v>31.400000000000002</v>
      </c>
      <c r="AA24" s="6">
        <f t="shared" si="28"/>
        <v>49.3</v>
      </c>
      <c r="AB24" s="6">
        <f t="shared" si="28"/>
        <v>114.3</v>
      </c>
      <c r="AC24" s="6">
        <f t="shared" si="28"/>
        <v>125.6</v>
      </c>
      <c r="AD24" s="6">
        <f t="shared" si="28"/>
        <v>122.6</v>
      </c>
      <c r="AE24" s="6">
        <f t="shared" si="28"/>
        <v>171.29999999999998</v>
      </c>
      <c r="AF24" s="6">
        <f t="shared" si="28"/>
        <v>100.19200000000001</v>
      </c>
      <c r="AG24" s="6">
        <f t="shared" si="28"/>
        <v>102.19584</v>
      </c>
      <c r="AH24" s="6">
        <f t="shared" si="28"/>
        <v>104.23975680000001</v>
      </c>
      <c r="AI24" s="6">
        <f t="shared" si="28"/>
        <v>106.32455193600001</v>
      </c>
      <c r="AJ24" s="6">
        <f t="shared" si="28"/>
        <v>108.45104297472</v>
      </c>
      <c r="AK24" s="6">
        <f t="shared" si="28"/>
        <v>110.62006383421439</v>
      </c>
      <c r="AL24" s="6">
        <f t="shared" si="28"/>
        <v>112.8324651108987</v>
      </c>
      <c r="AM24" s="6">
        <f t="shared" si="28"/>
        <v>115.08911441311668</v>
      </c>
      <c r="AN24" s="6">
        <f t="shared" si="28"/>
        <v>117.39089670137901</v>
      </c>
      <c r="AO24" s="6">
        <f t="shared" si="28"/>
        <v>119.73871463540661</v>
      </c>
    </row>
    <row r="25" spans="2:148" s="1" customFormat="1" x14ac:dyDescent="0.3">
      <c r="B25" s="1" t="s">
        <v>36</v>
      </c>
      <c r="C25" s="8">
        <f t="shared" ref="C25:Q25" si="29">C19-C24</f>
        <v>-14.3</v>
      </c>
      <c r="D25" s="8">
        <f t="shared" si="29"/>
        <v>-17.399999999999999</v>
      </c>
      <c r="E25" s="8">
        <f t="shared" si="29"/>
        <v>-10.700000000000003</v>
      </c>
      <c r="F25" s="8">
        <f t="shared" si="29"/>
        <v>-22.6</v>
      </c>
      <c r="G25" s="8">
        <f t="shared" si="29"/>
        <v>-44.9</v>
      </c>
      <c r="H25" s="8">
        <f t="shared" si="29"/>
        <v>-28.1</v>
      </c>
      <c r="I25" s="8">
        <f t="shared" si="29"/>
        <v>-27.9</v>
      </c>
      <c r="J25" s="8">
        <f t="shared" si="29"/>
        <v>-42.699999999999989</v>
      </c>
      <c r="K25" s="8">
        <f t="shared" si="29"/>
        <v>-22.4</v>
      </c>
      <c r="L25" s="8">
        <f t="shared" si="29"/>
        <v>-35.999999999999993</v>
      </c>
      <c r="M25" s="8">
        <f t="shared" si="29"/>
        <v>-41.5</v>
      </c>
      <c r="N25" s="8">
        <f t="shared" si="29"/>
        <v>-36.299999999999997</v>
      </c>
      <c r="O25" s="8">
        <f t="shared" si="29"/>
        <v>-42.5</v>
      </c>
      <c r="P25" s="8">
        <f t="shared" si="29"/>
        <v>-41.399999999999991</v>
      </c>
      <c r="Q25" s="8">
        <f t="shared" si="29"/>
        <v>-33.6</v>
      </c>
      <c r="R25" s="8">
        <f>R19-R24</f>
        <v>-41.000000000000007</v>
      </c>
      <c r="S25" s="8">
        <f t="shared" ref="S25:V25" si="30">S19-S24</f>
        <v>-32.9</v>
      </c>
      <c r="T25" s="8">
        <f t="shared" si="30"/>
        <v>-35.999999999999993</v>
      </c>
      <c r="U25" s="8">
        <f t="shared" si="30"/>
        <v>-95.3</v>
      </c>
      <c r="V25" s="8">
        <f t="shared" si="30"/>
        <v>-31.895999999999994</v>
      </c>
      <c r="X25" s="8">
        <f t="shared" ref="X25:AO25" si="31">X19-X24</f>
        <v>-44.600000000000009</v>
      </c>
      <c r="Y25" s="8">
        <f t="shared" si="31"/>
        <v>-67</v>
      </c>
      <c r="Z25" s="8">
        <f t="shared" si="31"/>
        <v>-29.2</v>
      </c>
      <c r="AA25" s="8">
        <f t="shared" si="31"/>
        <v>-64.999999999999986</v>
      </c>
      <c r="AB25" s="8">
        <f t="shared" si="31"/>
        <v>-143.59999999999997</v>
      </c>
      <c r="AC25" s="8">
        <f t="shared" si="31"/>
        <v>-136.19999999999999</v>
      </c>
      <c r="AD25" s="8">
        <f t="shared" si="31"/>
        <v>-158.5</v>
      </c>
      <c r="AE25" s="8">
        <f t="shared" si="31"/>
        <v>-196.096</v>
      </c>
      <c r="AF25" s="8">
        <f t="shared" si="31"/>
        <v>-89.765250000000009</v>
      </c>
      <c r="AG25" s="8">
        <f t="shared" si="31"/>
        <v>-64.479415000000017</v>
      </c>
      <c r="AH25" s="8">
        <f t="shared" si="31"/>
        <v>-43.667814300000003</v>
      </c>
      <c r="AI25" s="8">
        <f t="shared" si="31"/>
        <v>-27.326331473500005</v>
      </c>
      <c r="AJ25" s="8">
        <f t="shared" si="31"/>
        <v>-5.1055195910950033</v>
      </c>
      <c r="AK25" s="8">
        <f t="shared" si="31"/>
        <v>9.1402832875268416</v>
      </c>
      <c r="AL25" s="8">
        <f t="shared" si="31"/>
        <v>24.764586568552474</v>
      </c>
      <c r="AM25" s="8">
        <f t="shared" si="31"/>
        <v>41.641203214148362</v>
      </c>
      <c r="AN25" s="8">
        <f t="shared" si="31"/>
        <v>61.404894760031311</v>
      </c>
      <c r="AO25" s="8">
        <f t="shared" si="31"/>
        <v>84.540896377135027</v>
      </c>
    </row>
    <row r="26" spans="2:148" x14ac:dyDescent="0.3">
      <c r="B26" t="s">
        <v>37</v>
      </c>
      <c r="C26" s="6">
        <v>2.5</v>
      </c>
      <c r="D26" s="6">
        <v>1.6</v>
      </c>
      <c r="E26" s="6">
        <v>1.6</v>
      </c>
      <c r="F26" s="6">
        <v>1.7</v>
      </c>
      <c r="G26" s="6">
        <v>1.4</v>
      </c>
      <c r="H26" s="6">
        <v>1.7</v>
      </c>
      <c r="I26" s="6">
        <v>1.6</v>
      </c>
      <c r="J26" s="6">
        <v>1.6</v>
      </c>
      <c r="K26" s="6">
        <v>1.5</v>
      </c>
      <c r="L26" s="6">
        <v>1.5</v>
      </c>
      <c r="M26" s="6">
        <v>1.9</v>
      </c>
      <c r="N26" s="6">
        <v>2.2999999999999998</v>
      </c>
      <c r="O26" s="6">
        <v>2.2999999999999998</v>
      </c>
      <c r="P26" s="6">
        <v>2.2999999999999998</v>
      </c>
      <c r="Q26" s="6">
        <v>2.6</v>
      </c>
      <c r="R26" s="6">
        <v>2.5</v>
      </c>
      <c r="S26" s="6">
        <v>2.6</v>
      </c>
      <c r="T26" s="6">
        <v>2.5</v>
      </c>
      <c r="U26" s="6">
        <v>2.5</v>
      </c>
      <c r="V26" s="6">
        <v>3</v>
      </c>
      <c r="X26" s="6">
        <v>9.1</v>
      </c>
      <c r="Y26" s="6">
        <v>10.6</v>
      </c>
      <c r="Z26" s="6">
        <v>15.3</v>
      </c>
      <c r="AA26" s="6">
        <f>SUM(C26:F26)</f>
        <v>7.3999999999999995</v>
      </c>
      <c r="AB26" s="6">
        <f>SUM(G26:J26)</f>
        <v>6.2999999999999989</v>
      </c>
      <c r="AC26" s="6">
        <f>SUM(K26:N26)</f>
        <v>7.2</v>
      </c>
      <c r="AD26" s="6">
        <f>SUM(O26:R26)</f>
        <v>9.6999999999999993</v>
      </c>
      <c r="AE26" s="6">
        <f>SUM(S26:V26)</f>
        <v>10.6</v>
      </c>
      <c r="AF26" s="6">
        <f>AE26*1.03</f>
        <v>10.917999999999999</v>
      </c>
      <c r="AG26" s="6">
        <f t="shared" ref="AG26:AO26" si="32">AF26*1.03</f>
        <v>11.24554</v>
      </c>
      <c r="AH26" s="6">
        <f t="shared" si="32"/>
        <v>11.5829062</v>
      </c>
      <c r="AI26" s="6">
        <f t="shared" si="32"/>
        <v>11.930393386</v>
      </c>
      <c r="AJ26" s="6">
        <f t="shared" si="32"/>
        <v>12.288305187580001</v>
      </c>
      <c r="AK26" s="6">
        <f t="shared" si="32"/>
        <v>12.656954343207401</v>
      </c>
      <c r="AL26" s="6">
        <f t="shared" si="32"/>
        <v>13.036662973503624</v>
      </c>
      <c r="AM26" s="6">
        <f t="shared" si="32"/>
        <v>13.427762862708732</v>
      </c>
      <c r="AN26" s="6">
        <f t="shared" si="32"/>
        <v>13.830595748589994</v>
      </c>
      <c r="AO26" s="6">
        <f t="shared" si="32"/>
        <v>14.245513621047694</v>
      </c>
    </row>
    <row r="27" spans="2:148" x14ac:dyDescent="0.3">
      <c r="B27" t="s">
        <v>38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-2.4</v>
      </c>
      <c r="K27" s="6">
        <v>-3.4</v>
      </c>
      <c r="L27" s="6">
        <v>-3.7</v>
      </c>
      <c r="M27" s="6">
        <v>-4</v>
      </c>
      <c r="N27" s="6">
        <v>-4.7</v>
      </c>
      <c r="O27" s="6">
        <v>-4.0999999999999996</v>
      </c>
      <c r="P27" s="6">
        <v>-3.4</v>
      </c>
      <c r="Q27" s="6">
        <v>-3.3</v>
      </c>
      <c r="R27" s="6">
        <v>-3</v>
      </c>
      <c r="S27" s="6">
        <v>-2.4</v>
      </c>
      <c r="T27" s="6">
        <v>-1.8</v>
      </c>
      <c r="U27" s="6">
        <v>-2.1</v>
      </c>
      <c r="V27" s="6">
        <v>-2</v>
      </c>
      <c r="X27" s="6">
        <v>0</v>
      </c>
      <c r="Y27" s="6">
        <v>0</v>
      </c>
      <c r="Z27" s="6">
        <v>-1.8</v>
      </c>
      <c r="AA27" s="6">
        <f>SUM(C27:F27)</f>
        <v>0</v>
      </c>
      <c r="AB27" s="6">
        <f>SUM(G27:J27)</f>
        <v>-2.4</v>
      </c>
      <c r="AC27" s="6">
        <f>SUM(K27:N27)</f>
        <v>-15.8</v>
      </c>
      <c r="AD27" s="6">
        <f>SUM(O27:R27)</f>
        <v>-13.8</v>
      </c>
      <c r="AE27" s="6">
        <f>SUM(S27:V27)</f>
        <v>-8.3000000000000007</v>
      </c>
      <c r="AF27" s="6">
        <f t="shared" ref="AF27:AO27" si="33">AE27*1.03</f>
        <v>-8.5490000000000013</v>
      </c>
      <c r="AG27" s="6">
        <f t="shared" si="33"/>
        <v>-8.8054700000000015</v>
      </c>
      <c r="AH27" s="6">
        <f t="shared" si="33"/>
        <v>-9.0696341000000018</v>
      </c>
      <c r="AI27" s="6">
        <f t="shared" si="33"/>
        <v>-9.3417231230000013</v>
      </c>
      <c r="AJ27" s="6">
        <f t="shared" si="33"/>
        <v>-9.6219748166900008</v>
      </c>
      <c r="AK27" s="6">
        <f t="shared" si="33"/>
        <v>-9.9106340611907005</v>
      </c>
      <c r="AL27" s="6">
        <f t="shared" si="33"/>
        <v>-10.207953083026421</v>
      </c>
      <c r="AM27" s="6">
        <f t="shared" si="33"/>
        <v>-10.514191675517214</v>
      </c>
      <c r="AN27" s="6">
        <f t="shared" si="33"/>
        <v>-10.829617425782731</v>
      </c>
      <c r="AO27" s="6">
        <f t="shared" si="33"/>
        <v>-11.154505948556213</v>
      </c>
    </row>
    <row r="28" spans="2:148" x14ac:dyDescent="0.3">
      <c r="B28" t="s">
        <v>39</v>
      </c>
      <c r="C28" s="6">
        <f>16+11.2+0.9+1</f>
        <v>29.099999999999998</v>
      </c>
      <c r="D28" s="6">
        <v>0</v>
      </c>
      <c r="E28" s="6">
        <v>-0.2</v>
      </c>
      <c r="F28" s="6">
        <v>-0.1</v>
      </c>
      <c r="G28" s="6">
        <v>-0.2</v>
      </c>
      <c r="H28" s="6">
        <v>0.2</v>
      </c>
      <c r="I28" s="6">
        <v>-1.1000000000000001</v>
      </c>
      <c r="J28" s="6">
        <v>-0.2</v>
      </c>
      <c r="K28" s="6">
        <v>-0.1</v>
      </c>
      <c r="L28" s="6">
        <v>0.2</v>
      </c>
      <c r="M28" s="6">
        <f>-15.3-0.4</f>
        <v>-15.700000000000001</v>
      </c>
      <c r="N28" s="6">
        <v>-4.5</v>
      </c>
      <c r="O28" s="6">
        <v>3.7</v>
      </c>
      <c r="P28" s="6">
        <v>-2.6</v>
      </c>
      <c r="Q28" s="6">
        <v>2.2000000000000002</v>
      </c>
      <c r="R28" s="6">
        <v>-1</v>
      </c>
      <c r="S28" s="6">
        <v>-0.7</v>
      </c>
      <c r="T28" s="6">
        <v>1.1000000000000001</v>
      </c>
      <c r="U28" s="6">
        <v>-3.9</v>
      </c>
      <c r="V28" s="6">
        <v>0</v>
      </c>
      <c r="X28" s="6">
        <v>0</v>
      </c>
      <c r="Y28" s="6">
        <v>-0.1</v>
      </c>
      <c r="Z28" s="6">
        <f>37.1-0.7</f>
        <v>36.4</v>
      </c>
      <c r="AA28" s="6">
        <f>SUM(C28:F28)</f>
        <v>28.799999999999997</v>
      </c>
      <c r="AB28" s="6">
        <f>SUM(G28:J28)</f>
        <v>-1.3</v>
      </c>
      <c r="AC28" s="6">
        <f>SUM(K28:N28)</f>
        <v>-20.100000000000001</v>
      </c>
      <c r="AD28" s="6">
        <f>SUM(O28:R28)</f>
        <v>2.3000000000000003</v>
      </c>
      <c r="AE28" s="6">
        <f>SUM(S28:V28)</f>
        <v>-3.5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</row>
    <row r="29" spans="2:148" s="1" customFormat="1" x14ac:dyDescent="0.3">
      <c r="B29" s="1" t="s">
        <v>40</v>
      </c>
      <c r="C29" s="8">
        <f t="shared" ref="C29:V29" si="34">C25-C26-C27-C28</f>
        <v>-45.9</v>
      </c>
      <c r="D29" s="8">
        <f t="shared" si="34"/>
        <v>-19</v>
      </c>
      <c r="E29" s="8">
        <f t="shared" si="34"/>
        <v>-12.100000000000003</v>
      </c>
      <c r="F29" s="8">
        <f t="shared" si="34"/>
        <v>-24.2</v>
      </c>
      <c r="G29" s="8">
        <f t="shared" si="34"/>
        <v>-46.099999999999994</v>
      </c>
      <c r="H29" s="8">
        <f t="shared" si="34"/>
        <v>-30</v>
      </c>
      <c r="I29" s="8">
        <f t="shared" si="34"/>
        <v>-28.4</v>
      </c>
      <c r="J29" s="8">
        <f t="shared" si="34"/>
        <v>-41.699999999999989</v>
      </c>
      <c r="K29" s="8">
        <f t="shared" si="34"/>
        <v>-20.399999999999999</v>
      </c>
      <c r="L29" s="8">
        <f t="shared" si="34"/>
        <v>-33.999999999999993</v>
      </c>
      <c r="M29" s="8">
        <f t="shared" si="34"/>
        <v>-23.699999999999996</v>
      </c>
      <c r="N29" s="8">
        <f t="shared" si="34"/>
        <v>-29.399999999999991</v>
      </c>
      <c r="O29" s="8">
        <f t="shared" si="34"/>
        <v>-44.4</v>
      </c>
      <c r="P29" s="8">
        <f t="shared" si="34"/>
        <v>-37.699999999999989</v>
      </c>
      <c r="Q29" s="8">
        <f t="shared" si="34"/>
        <v>-35.100000000000009</v>
      </c>
      <c r="R29" s="8">
        <f t="shared" si="34"/>
        <v>-39.500000000000007</v>
      </c>
      <c r="S29" s="8">
        <f t="shared" si="34"/>
        <v>-32.4</v>
      </c>
      <c r="T29" s="8">
        <f t="shared" si="34"/>
        <v>-37.799999999999997</v>
      </c>
      <c r="U29" s="8">
        <f t="shared" si="34"/>
        <v>-91.8</v>
      </c>
      <c r="V29" s="8">
        <f t="shared" si="34"/>
        <v>-32.895999999999994</v>
      </c>
      <c r="X29" s="8">
        <f t="shared" ref="X29:AE29" si="35">X25-X26-X27-X28</f>
        <v>-53.70000000000001</v>
      </c>
      <c r="Y29" s="8">
        <f t="shared" si="35"/>
        <v>-77.5</v>
      </c>
      <c r="Z29" s="8">
        <f t="shared" si="35"/>
        <v>-79.099999999999994</v>
      </c>
      <c r="AA29" s="8">
        <f t="shared" si="35"/>
        <v>-101.19999999999999</v>
      </c>
      <c r="AB29" s="8">
        <f t="shared" si="35"/>
        <v>-146.19999999999996</v>
      </c>
      <c r="AC29" s="8">
        <f t="shared" si="35"/>
        <v>-107.49999999999997</v>
      </c>
      <c r="AD29" s="8">
        <f t="shared" si="35"/>
        <v>-156.69999999999999</v>
      </c>
      <c r="AE29" s="8">
        <f t="shared" si="35"/>
        <v>-194.89599999999999</v>
      </c>
      <c r="AF29" s="8">
        <f t="shared" ref="AF29:AO29" si="36">AF25-AF26-AF27-AF28</f>
        <v>-92.134250000000009</v>
      </c>
      <c r="AG29" s="8">
        <f t="shared" si="36"/>
        <v>-66.919485000000023</v>
      </c>
      <c r="AH29" s="8">
        <f t="shared" si="36"/>
        <v>-46.181086399999998</v>
      </c>
      <c r="AI29" s="8">
        <f t="shared" si="36"/>
        <v>-29.915001736500002</v>
      </c>
      <c r="AJ29" s="8">
        <f t="shared" si="36"/>
        <v>-7.7718499619850032</v>
      </c>
      <c r="AK29" s="8">
        <f t="shared" si="36"/>
        <v>6.3939630055101411</v>
      </c>
      <c r="AL29" s="8">
        <f t="shared" si="36"/>
        <v>21.935876678075271</v>
      </c>
      <c r="AM29" s="8">
        <f t="shared" si="36"/>
        <v>38.72763202695684</v>
      </c>
      <c r="AN29" s="8">
        <f t="shared" si="36"/>
        <v>58.403916437224048</v>
      </c>
      <c r="AO29" s="8">
        <f t="shared" si="36"/>
        <v>81.449888704643541</v>
      </c>
    </row>
    <row r="30" spans="2:148" x14ac:dyDescent="0.3">
      <c r="B30" t="s">
        <v>41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0.5</v>
      </c>
      <c r="J30" s="6">
        <v>0.3</v>
      </c>
      <c r="K30" s="6">
        <v>0.6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0.1</v>
      </c>
      <c r="U30" s="6">
        <v>0</v>
      </c>
      <c r="V30" s="6">
        <v>0</v>
      </c>
      <c r="X30" s="6">
        <v>-3</v>
      </c>
      <c r="Y30" s="6">
        <v>0.1</v>
      </c>
      <c r="Z30" s="6">
        <v>0.1</v>
      </c>
      <c r="AA30" s="6">
        <f>SUM(C30:F30)</f>
        <v>0</v>
      </c>
      <c r="AB30" s="6">
        <f>SUM(G30:J30)</f>
        <v>0.8</v>
      </c>
      <c r="AC30" s="6">
        <f>SUM(K30:N30)</f>
        <v>0.6</v>
      </c>
      <c r="AD30" s="6">
        <f>SUM(O30:R30)</f>
        <v>0</v>
      </c>
      <c r="AE30" s="6">
        <f>SUM(S30:V30)</f>
        <v>0.1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</row>
    <row r="31" spans="2:148" x14ac:dyDescent="0.3">
      <c r="B31" t="s">
        <v>42</v>
      </c>
      <c r="C31" s="6">
        <v>0</v>
      </c>
      <c r="D31" s="6">
        <v>0</v>
      </c>
      <c r="E31" s="6">
        <v>0</v>
      </c>
      <c r="F31" s="6">
        <v>0</v>
      </c>
      <c r="G31" s="6">
        <v>-5.5</v>
      </c>
      <c r="H31" s="6">
        <v>-0.1</v>
      </c>
      <c r="I31" s="6">
        <v>0.4</v>
      </c>
      <c r="J31" s="6">
        <v>0.5</v>
      </c>
      <c r="K31" s="6">
        <v>-2.5</v>
      </c>
      <c r="L31" s="6">
        <v>0.4</v>
      </c>
      <c r="M31" s="6">
        <v>0.7</v>
      </c>
      <c r="N31" s="6">
        <f>0.9+0.8</f>
        <v>1.7000000000000002</v>
      </c>
      <c r="O31" s="6">
        <f>-24.6+0.8</f>
        <v>-23.8</v>
      </c>
      <c r="P31" s="6">
        <f>-5.5+0.8</f>
        <v>-4.7</v>
      </c>
      <c r="Q31" s="6">
        <f>-2.5+0.8</f>
        <v>-1.7</v>
      </c>
      <c r="R31" s="6">
        <f>1.8+0.8</f>
        <v>2.6</v>
      </c>
      <c r="S31" s="6">
        <v>-4.0999999999999996</v>
      </c>
      <c r="T31" s="6">
        <f>0.3+0.8</f>
        <v>1.1000000000000001</v>
      </c>
      <c r="U31" s="6">
        <f>0.2+0.8</f>
        <v>1</v>
      </c>
      <c r="V31" s="6">
        <v>2</v>
      </c>
      <c r="X31" s="6">
        <v>0</v>
      </c>
      <c r="Y31" s="6">
        <v>0</v>
      </c>
      <c r="Z31" s="6">
        <v>0</v>
      </c>
      <c r="AA31" s="6">
        <f>SUM(C31:F31)</f>
        <v>0</v>
      </c>
      <c r="AB31" s="6">
        <f>SUM(G31:J31)</f>
        <v>-4.6999999999999993</v>
      </c>
      <c r="AC31" s="6">
        <f>SUM(K31:N31)</f>
        <v>0.30000000000000004</v>
      </c>
      <c r="AD31" s="6">
        <f>SUM(O31:R31)</f>
        <v>-27.599999999999998</v>
      </c>
      <c r="AE31" s="6">
        <f>SUM(S31:V31)</f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</row>
    <row r="32" spans="2:148" s="1" customFormat="1" x14ac:dyDescent="0.3">
      <c r="B32" s="1" t="s">
        <v>43</v>
      </c>
      <c r="C32" s="8">
        <f t="shared" ref="C32:R32" si="37">C29-C30-C31</f>
        <v>-45.9</v>
      </c>
      <c r="D32" s="8">
        <f t="shared" si="37"/>
        <v>-19</v>
      </c>
      <c r="E32" s="8">
        <f t="shared" si="37"/>
        <v>-12.100000000000003</v>
      </c>
      <c r="F32" s="8">
        <f t="shared" si="37"/>
        <v>-24.2</v>
      </c>
      <c r="G32" s="8">
        <f t="shared" si="37"/>
        <v>-40.599999999999994</v>
      </c>
      <c r="H32" s="8">
        <f t="shared" si="37"/>
        <v>-29.9</v>
      </c>
      <c r="I32" s="8">
        <f t="shared" si="37"/>
        <v>-29.299999999999997</v>
      </c>
      <c r="J32" s="8">
        <f t="shared" si="37"/>
        <v>-42.499999999999986</v>
      </c>
      <c r="K32" s="8">
        <f t="shared" si="37"/>
        <v>-18.5</v>
      </c>
      <c r="L32" s="8">
        <f t="shared" si="37"/>
        <v>-34.399999999999991</v>
      </c>
      <c r="M32" s="8">
        <f t="shared" si="37"/>
        <v>-24.399999999999995</v>
      </c>
      <c r="N32" s="8">
        <f t="shared" si="37"/>
        <v>-31.099999999999991</v>
      </c>
      <c r="O32" s="8">
        <f t="shared" si="37"/>
        <v>-20.599999999999998</v>
      </c>
      <c r="P32" s="8">
        <f t="shared" si="37"/>
        <v>-32.999999999999986</v>
      </c>
      <c r="Q32" s="8">
        <f t="shared" si="37"/>
        <v>-33.400000000000006</v>
      </c>
      <c r="R32" s="8">
        <f t="shared" si="37"/>
        <v>-42.100000000000009</v>
      </c>
      <c r="S32" s="8">
        <f t="shared" ref="S32:V32" si="38">S29-S30-S31</f>
        <v>-28.299999999999997</v>
      </c>
      <c r="T32" s="8">
        <f t="shared" si="38"/>
        <v>-39</v>
      </c>
      <c r="U32" s="8">
        <f t="shared" si="38"/>
        <v>-92.8</v>
      </c>
      <c r="V32" s="8">
        <f t="shared" si="38"/>
        <v>-34.895999999999994</v>
      </c>
      <c r="X32" s="8">
        <f t="shared" ref="X32:AE32" si="39">X29-X30-X31</f>
        <v>-50.70000000000001</v>
      </c>
      <c r="Y32" s="8">
        <f t="shared" si="39"/>
        <v>-77.599999999999994</v>
      </c>
      <c r="Z32" s="8">
        <f t="shared" si="39"/>
        <v>-79.199999999999989</v>
      </c>
      <c r="AA32" s="8">
        <f t="shared" si="39"/>
        <v>-101.19999999999999</v>
      </c>
      <c r="AB32" s="8">
        <f t="shared" si="39"/>
        <v>-142.29999999999998</v>
      </c>
      <c r="AC32" s="8">
        <f t="shared" si="39"/>
        <v>-108.39999999999996</v>
      </c>
      <c r="AD32" s="8">
        <f t="shared" si="39"/>
        <v>-129.1</v>
      </c>
      <c r="AE32" s="8">
        <f t="shared" si="39"/>
        <v>-194.99599999999998</v>
      </c>
      <c r="AF32" s="8">
        <f t="shared" ref="AF32:AO32" si="40">AF29-AF30-AF31</f>
        <v>-92.134250000000009</v>
      </c>
      <c r="AG32" s="8">
        <f t="shared" si="40"/>
        <v>-66.919485000000023</v>
      </c>
      <c r="AH32" s="8">
        <f t="shared" si="40"/>
        <v>-46.181086399999998</v>
      </c>
      <c r="AI32" s="8">
        <f t="shared" si="40"/>
        <v>-29.915001736500002</v>
      </c>
      <c r="AJ32" s="8">
        <f t="shared" si="40"/>
        <v>-7.7718499619850032</v>
      </c>
      <c r="AK32" s="8">
        <f t="shared" si="40"/>
        <v>6.3939630055101411</v>
      </c>
      <c r="AL32" s="8">
        <f t="shared" si="40"/>
        <v>21.935876678075271</v>
      </c>
      <c r="AM32" s="8">
        <f t="shared" si="40"/>
        <v>38.72763202695684</v>
      </c>
      <c r="AN32" s="8">
        <f t="shared" si="40"/>
        <v>58.403916437224048</v>
      </c>
      <c r="AO32" s="8">
        <f t="shared" si="40"/>
        <v>81.449888704643541</v>
      </c>
      <c r="AP32" s="1">
        <f>AO32*(1+$AS$42)</f>
        <v>80.635389817597101</v>
      </c>
      <c r="AQ32" s="1">
        <f t="shared" ref="AQ32:DB32" si="41">AP32*(1+$AS$42)</f>
        <v>79.829035919421131</v>
      </c>
      <c r="AR32" s="1">
        <f t="shared" si="41"/>
        <v>79.030745560226919</v>
      </c>
      <c r="AS32" s="1">
        <f t="shared" si="41"/>
        <v>78.240438104624644</v>
      </c>
      <c r="AT32" s="1">
        <f t="shared" si="41"/>
        <v>77.458033723578396</v>
      </c>
      <c r="AU32" s="1">
        <f t="shared" si="41"/>
        <v>76.683453386342606</v>
      </c>
      <c r="AV32" s="1">
        <f t="shared" si="41"/>
        <v>75.916618852479175</v>
      </c>
      <c r="AW32" s="1">
        <f t="shared" si="41"/>
        <v>75.157452663954388</v>
      </c>
      <c r="AX32" s="1">
        <f t="shared" si="41"/>
        <v>74.405878137314843</v>
      </c>
      <c r="AY32" s="1">
        <f t="shared" si="41"/>
        <v>73.661819355941688</v>
      </c>
      <c r="AZ32" s="1">
        <f t="shared" si="41"/>
        <v>72.925201162382265</v>
      </c>
      <c r="BA32" s="1">
        <f t="shared" si="41"/>
        <v>72.195949150758437</v>
      </c>
      <c r="BB32" s="1">
        <f t="shared" si="41"/>
        <v>71.473989659250847</v>
      </c>
      <c r="BC32" s="1">
        <f t="shared" si="41"/>
        <v>70.759249762658342</v>
      </c>
      <c r="BD32" s="1">
        <f t="shared" si="41"/>
        <v>70.051657265031764</v>
      </c>
      <c r="BE32" s="1">
        <f t="shared" si="41"/>
        <v>69.351140692381449</v>
      </c>
      <c r="BF32" s="1">
        <f t="shared" si="41"/>
        <v>68.657629285457631</v>
      </c>
      <c r="BG32" s="1">
        <f t="shared" si="41"/>
        <v>67.971052992603049</v>
      </c>
      <c r="BH32" s="1">
        <f t="shared" si="41"/>
        <v>67.291342462677022</v>
      </c>
      <c r="BI32" s="1">
        <f t="shared" si="41"/>
        <v>66.618429038050252</v>
      </c>
      <c r="BJ32" s="1">
        <f t="shared" si="41"/>
        <v>65.952244747669752</v>
      </c>
      <c r="BK32" s="1">
        <f t="shared" si="41"/>
        <v>65.292722300193049</v>
      </c>
      <c r="BL32" s="1">
        <f t="shared" si="41"/>
        <v>64.639795077191124</v>
      </c>
      <c r="BM32" s="1">
        <f t="shared" si="41"/>
        <v>63.993397126419211</v>
      </c>
      <c r="BN32" s="1">
        <f t="shared" si="41"/>
        <v>63.353463155155019</v>
      </c>
      <c r="BO32" s="1">
        <f t="shared" si="41"/>
        <v>62.719928523603471</v>
      </c>
      <c r="BP32" s="1">
        <f t="shared" si="41"/>
        <v>62.092729238367433</v>
      </c>
      <c r="BQ32" s="1">
        <f t="shared" si="41"/>
        <v>61.471801945983756</v>
      </c>
      <c r="BR32" s="1">
        <f t="shared" si="41"/>
        <v>60.85708392652392</v>
      </c>
      <c r="BS32" s="1">
        <f t="shared" si="41"/>
        <v>60.248513087258679</v>
      </c>
      <c r="BT32" s="1">
        <f t="shared" si="41"/>
        <v>59.646027956386092</v>
      </c>
      <c r="BU32" s="1">
        <f t="shared" si="41"/>
        <v>59.049567676822228</v>
      </c>
      <c r="BV32" s="1">
        <f t="shared" si="41"/>
        <v>58.459072000054007</v>
      </c>
      <c r="BW32" s="1">
        <f t="shared" si="41"/>
        <v>57.874481280053466</v>
      </c>
      <c r="BX32" s="1">
        <f t="shared" si="41"/>
        <v>57.295736467252929</v>
      </c>
      <c r="BY32" s="1">
        <f t="shared" si="41"/>
        <v>56.722779102580397</v>
      </c>
      <c r="BZ32" s="1">
        <f t="shared" si="41"/>
        <v>56.155551311554589</v>
      </c>
      <c r="CA32" s="1">
        <f t="shared" si="41"/>
        <v>55.593995798439046</v>
      </c>
      <c r="CB32" s="1">
        <f t="shared" si="41"/>
        <v>55.038055840454653</v>
      </c>
      <c r="CC32" s="1">
        <f t="shared" si="41"/>
        <v>54.487675282050105</v>
      </c>
      <c r="CD32" s="1">
        <f t="shared" si="41"/>
        <v>53.942798529229606</v>
      </c>
      <c r="CE32" s="1">
        <f t="shared" si="41"/>
        <v>53.403370543937307</v>
      </c>
      <c r="CF32" s="1">
        <f t="shared" si="41"/>
        <v>52.869336838497937</v>
      </c>
      <c r="CG32" s="1">
        <f t="shared" si="41"/>
        <v>52.340643470112958</v>
      </c>
      <c r="CH32" s="1">
        <f t="shared" si="41"/>
        <v>51.817237035411829</v>
      </c>
      <c r="CI32" s="1">
        <f t="shared" si="41"/>
        <v>51.299064665057713</v>
      </c>
      <c r="CJ32" s="1">
        <f t="shared" si="41"/>
        <v>50.786074018407135</v>
      </c>
      <c r="CK32" s="1">
        <f t="shared" si="41"/>
        <v>50.278213278223063</v>
      </c>
      <c r="CL32" s="1">
        <f t="shared" si="41"/>
        <v>49.775431145440834</v>
      </c>
      <c r="CM32" s="1">
        <f t="shared" si="41"/>
        <v>49.277676833986426</v>
      </c>
      <c r="CN32" s="1">
        <f t="shared" si="41"/>
        <v>48.784900065646561</v>
      </c>
      <c r="CO32" s="1">
        <f t="shared" si="41"/>
        <v>48.297051064990093</v>
      </c>
      <c r="CP32" s="1">
        <f t="shared" si="41"/>
        <v>47.814080554340194</v>
      </c>
      <c r="CQ32" s="1">
        <f t="shared" si="41"/>
        <v>47.33593974879679</v>
      </c>
      <c r="CR32" s="1">
        <f t="shared" si="41"/>
        <v>46.862580351308821</v>
      </c>
      <c r="CS32" s="1">
        <f t="shared" si="41"/>
        <v>46.39395454779573</v>
      </c>
      <c r="CT32" s="1">
        <f t="shared" si="41"/>
        <v>45.930015002317774</v>
      </c>
      <c r="CU32" s="1">
        <f t="shared" si="41"/>
        <v>45.470714852294599</v>
      </c>
      <c r="CV32" s="1">
        <f t="shared" si="41"/>
        <v>45.016007703771649</v>
      </c>
      <c r="CW32" s="1">
        <f t="shared" si="41"/>
        <v>44.565847626733934</v>
      </c>
      <c r="CX32" s="1">
        <f t="shared" si="41"/>
        <v>44.120189150466594</v>
      </c>
      <c r="CY32" s="1">
        <f t="shared" si="41"/>
        <v>43.678987258961925</v>
      </c>
      <c r="CZ32" s="1">
        <f t="shared" si="41"/>
        <v>43.242197386372304</v>
      </c>
      <c r="DA32" s="1">
        <f t="shared" si="41"/>
        <v>42.809775412508579</v>
      </c>
      <c r="DB32" s="1">
        <f t="shared" si="41"/>
        <v>42.381677658383495</v>
      </c>
      <c r="DC32" s="1">
        <f t="shared" ref="DC32:ER32" si="42">DB32*(1+$AS$42)</f>
        <v>41.957860881799661</v>
      </c>
      <c r="DD32" s="1">
        <f t="shared" si="42"/>
        <v>41.538282272981661</v>
      </c>
      <c r="DE32" s="1">
        <f t="shared" si="42"/>
        <v>41.122899450251843</v>
      </c>
      <c r="DF32" s="1">
        <f t="shared" si="42"/>
        <v>40.711670455749328</v>
      </c>
      <c r="DG32" s="1">
        <f t="shared" si="42"/>
        <v>40.304553751191833</v>
      </c>
      <c r="DH32" s="1">
        <f t="shared" si="42"/>
        <v>39.901508213679911</v>
      </c>
      <c r="DI32" s="1">
        <f t="shared" si="42"/>
        <v>39.502493131543112</v>
      </c>
      <c r="DJ32" s="1">
        <f t="shared" si="42"/>
        <v>39.107468200227679</v>
      </c>
      <c r="DK32" s="1">
        <f t="shared" si="42"/>
        <v>38.716393518225402</v>
      </c>
      <c r="DL32" s="1">
        <f t="shared" si="42"/>
        <v>38.329229583043151</v>
      </c>
      <c r="DM32" s="1">
        <f t="shared" si="42"/>
        <v>37.945937287212722</v>
      </c>
      <c r="DN32" s="1">
        <f t="shared" si="42"/>
        <v>37.566477914340595</v>
      </c>
      <c r="DO32" s="1">
        <f t="shared" si="42"/>
        <v>37.190813135197189</v>
      </c>
      <c r="DP32" s="1">
        <f t="shared" si="42"/>
        <v>36.818905003845217</v>
      </c>
      <c r="DQ32" s="1">
        <f t="shared" si="42"/>
        <v>36.450715953806764</v>
      </c>
      <c r="DR32" s="1">
        <f t="shared" si="42"/>
        <v>36.086208794268693</v>
      </c>
      <c r="DS32" s="1">
        <f t="shared" si="42"/>
        <v>35.725346706326008</v>
      </c>
      <c r="DT32" s="1">
        <f t="shared" si="42"/>
        <v>35.368093239262748</v>
      </c>
      <c r="DU32" s="1">
        <f t="shared" si="42"/>
        <v>35.014412306870121</v>
      </c>
      <c r="DV32" s="1">
        <f t="shared" si="42"/>
        <v>34.664268183801418</v>
      </c>
      <c r="DW32" s="1">
        <f t="shared" si="42"/>
        <v>34.317625501963406</v>
      </c>
      <c r="DX32" s="1">
        <f t="shared" si="42"/>
        <v>33.97444924694377</v>
      </c>
      <c r="DY32" s="1">
        <f t="shared" si="42"/>
        <v>33.634704754474335</v>
      </c>
      <c r="DZ32" s="1">
        <f t="shared" si="42"/>
        <v>33.298357706929593</v>
      </c>
      <c r="EA32" s="1">
        <f t="shared" si="42"/>
        <v>32.965374129860294</v>
      </c>
      <c r="EB32" s="1">
        <f t="shared" si="42"/>
        <v>32.635720388561694</v>
      </c>
      <c r="EC32" s="1">
        <f t="shared" si="42"/>
        <v>32.30936318467608</v>
      </c>
      <c r="ED32" s="1">
        <f t="shared" si="42"/>
        <v>31.98626955282932</v>
      </c>
      <c r="EE32" s="1">
        <f t="shared" si="42"/>
        <v>31.666406857301027</v>
      </c>
      <c r="EF32" s="1">
        <f t="shared" si="42"/>
        <v>31.349742788728015</v>
      </c>
      <c r="EG32" s="1">
        <f t="shared" si="42"/>
        <v>31.036245360840734</v>
      </c>
      <c r="EH32" s="1">
        <f t="shared" si="42"/>
        <v>30.725882907232325</v>
      </c>
      <c r="EI32" s="1">
        <f t="shared" si="42"/>
        <v>30.418624078160001</v>
      </c>
      <c r="EJ32" s="1">
        <f t="shared" si="42"/>
        <v>30.1144378373784</v>
      </c>
      <c r="EK32" s="1">
        <f t="shared" si="42"/>
        <v>29.813293459004615</v>
      </c>
      <c r="EL32" s="1">
        <f t="shared" si="42"/>
        <v>29.515160524414568</v>
      </c>
      <c r="EM32" s="1">
        <f t="shared" si="42"/>
        <v>29.220008919170422</v>
      </c>
      <c r="EN32" s="1">
        <f t="shared" si="42"/>
        <v>28.927808829978716</v>
      </c>
      <c r="EO32" s="1">
        <f t="shared" si="42"/>
        <v>28.638530741678927</v>
      </c>
      <c r="EP32" s="1">
        <f t="shared" si="42"/>
        <v>28.352145434262138</v>
      </c>
      <c r="EQ32" s="1">
        <f t="shared" si="42"/>
        <v>28.068623979919515</v>
      </c>
      <c r="ER32" s="1">
        <f t="shared" si="42"/>
        <v>27.78793774012032</v>
      </c>
    </row>
    <row r="33" spans="2:45" x14ac:dyDescent="0.3">
      <c r="B33" t="s">
        <v>2</v>
      </c>
      <c r="C33" s="6">
        <v>497</v>
      </c>
      <c r="D33" s="6">
        <v>497</v>
      </c>
      <c r="E33" s="6">
        <v>497</v>
      </c>
      <c r="F33" s="6">
        <v>497</v>
      </c>
      <c r="G33" s="6">
        <v>497</v>
      </c>
      <c r="H33" s="6">
        <v>497</v>
      </c>
      <c r="I33" s="6">
        <v>497</v>
      </c>
      <c r="J33" s="6">
        <v>497</v>
      </c>
      <c r="K33" s="6">
        <v>497</v>
      </c>
      <c r="L33" s="6">
        <v>497</v>
      </c>
      <c r="M33" s="6">
        <v>497</v>
      </c>
      <c r="N33" s="6">
        <v>497</v>
      </c>
      <c r="O33" s="6">
        <v>497</v>
      </c>
      <c r="P33" s="6">
        <v>497</v>
      </c>
      <c r="Q33" s="6">
        <v>497</v>
      </c>
      <c r="R33" s="6">
        <v>20.399999999999999</v>
      </c>
      <c r="S33" s="6">
        <v>21.1</v>
      </c>
      <c r="T33" s="6">
        <v>22.8</v>
      </c>
      <c r="U33" s="6">
        <v>24.4</v>
      </c>
      <c r="V33" s="6">
        <v>24.4</v>
      </c>
      <c r="X33" s="6">
        <v>497</v>
      </c>
      <c r="Y33" s="6">
        <v>497</v>
      </c>
      <c r="Z33" s="6">
        <v>497</v>
      </c>
      <c r="AA33" s="6">
        <v>497</v>
      </c>
      <c r="AB33" s="6">
        <v>497</v>
      </c>
      <c r="AC33" s="6">
        <v>497</v>
      </c>
      <c r="AD33" s="6">
        <v>20.399999999999999</v>
      </c>
      <c r="AE33" s="6">
        <v>24.4</v>
      </c>
      <c r="AF33" s="6">
        <v>24.4</v>
      </c>
      <c r="AG33" s="6">
        <v>24.4</v>
      </c>
      <c r="AH33" s="6">
        <v>24.4</v>
      </c>
      <c r="AI33" s="6">
        <v>24.4</v>
      </c>
      <c r="AJ33" s="6">
        <v>24.4</v>
      </c>
      <c r="AK33" s="6">
        <v>24.4</v>
      </c>
      <c r="AL33" s="6">
        <v>24.4</v>
      </c>
      <c r="AM33" s="6">
        <v>24.4</v>
      </c>
      <c r="AN33" s="6">
        <v>24.4</v>
      </c>
      <c r="AO33" s="6">
        <v>24.4</v>
      </c>
    </row>
    <row r="34" spans="2:45" x14ac:dyDescent="0.3">
      <c r="B34" t="s">
        <v>44</v>
      </c>
      <c r="C34" s="9">
        <f t="shared" ref="C34:R34" si="43">C32/C33</f>
        <v>-9.2354124748490946E-2</v>
      </c>
      <c r="D34" s="9">
        <f t="shared" si="43"/>
        <v>-3.8229376257545272E-2</v>
      </c>
      <c r="E34" s="9">
        <f t="shared" si="43"/>
        <v>-2.434607645875252E-2</v>
      </c>
      <c r="F34" s="9">
        <f t="shared" si="43"/>
        <v>-4.8692152917505026E-2</v>
      </c>
      <c r="G34" s="9">
        <f t="shared" si="43"/>
        <v>-8.1690140845070411E-2</v>
      </c>
      <c r="H34" s="9">
        <f t="shared" si="43"/>
        <v>-6.0160965794768609E-2</v>
      </c>
      <c r="I34" s="9">
        <f t="shared" si="43"/>
        <v>-5.8953722334004019E-2</v>
      </c>
      <c r="J34" s="9">
        <f t="shared" si="43"/>
        <v>-8.5513078470824927E-2</v>
      </c>
      <c r="K34" s="9">
        <f t="shared" si="43"/>
        <v>-3.722334004024145E-2</v>
      </c>
      <c r="L34" s="9">
        <f t="shared" si="43"/>
        <v>-6.9215291750503005E-2</v>
      </c>
      <c r="M34" s="9">
        <f t="shared" si="43"/>
        <v>-4.9094567404426546E-2</v>
      </c>
      <c r="N34" s="9">
        <f t="shared" si="43"/>
        <v>-6.2575452716297775E-2</v>
      </c>
      <c r="O34" s="9">
        <f t="shared" si="43"/>
        <v>-4.14486921529175E-2</v>
      </c>
      <c r="P34" s="9">
        <f t="shared" si="43"/>
        <v>-6.6398390342052291E-2</v>
      </c>
      <c r="Q34" s="9">
        <f t="shared" si="43"/>
        <v>-6.7203219315895388E-2</v>
      </c>
      <c r="R34" s="9">
        <f t="shared" si="43"/>
        <v>-2.0637254901960791</v>
      </c>
      <c r="S34" s="9">
        <f t="shared" ref="S34:V34" si="44">S32/S33</f>
        <v>-1.3412322274881514</v>
      </c>
      <c r="T34" s="9">
        <f t="shared" si="44"/>
        <v>-1.7105263157894737</v>
      </c>
      <c r="U34" s="9">
        <f t="shared" si="44"/>
        <v>-3.8032786885245904</v>
      </c>
      <c r="V34" s="9">
        <f t="shared" si="44"/>
        <v>-1.4301639344262294</v>
      </c>
      <c r="X34" s="9">
        <f t="shared" ref="X34:AE34" si="45">X32/X33</f>
        <v>-0.10201207243460766</v>
      </c>
      <c r="Y34" s="9">
        <f t="shared" si="45"/>
        <v>-0.15613682092555331</v>
      </c>
      <c r="Z34" s="9">
        <f t="shared" si="45"/>
        <v>-0.15935613682092553</v>
      </c>
      <c r="AA34" s="9">
        <f t="shared" si="45"/>
        <v>-0.20362173038229375</v>
      </c>
      <c r="AB34" s="9">
        <f t="shared" si="45"/>
        <v>-0.28631790744466795</v>
      </c>
      <c r="AC34" s="9">
        <f t="shared" si="45"/>
        <v>-0.21810865191146875</v>
      </c>
      <c r="AD34" s="9">
        <f t="shared" si="45"/>
        <v>-6.3284313725490193</v>
      </c>
      <c r="AE34" s="9">
        <f t="shared" si="45"/>
        <v>-7.9916393442622944</v>
      </c>
      <c r="AF34" s="9">
        <f t="shared" ref="AF34:AO34" si="46">AF32/AF33</f>
        <v>-3.7759938524590169</v>
      </c>
      <c r="AG34" s="9">
        <f t="shared" si="46"/>
        <v>-2.7426018442622961</v>
      </c>
      <c r="AH34" s="9">
        <f t="shared" si="46"/>
        <v>-1.892667475409836</v>
      </c>
      <c r="AI34" s="9">
        <f t="shared" si="46"/>
        <v>-1.2260246613319674</v>
      </c>
      <c r="AJ34" s="9">
        <f t="shared" si="46"/>
        <v>-0.31851844106495919</v>
      </c>
      <c r="AK34" s="9">
        <f t="shared" si="46"/>
        <v>0.26204766416025171</v>
      </c>
      <c r="AL34" s="9">
        <f t="shared" si="46"/>
        <v>0.89901133926538002</v>
      </c>
      <c r="AM34" s="9">
        <f t="shared" si="46"/>
        <v>1.5871980338916738</v>
      </c>
      <c r="AN34" s="9">
        <f t="shared" si="46"/>
        <v>2.3936031326731166</v>
      </c>
      <c r="AO34" s="9">
        <f t="shared" si="46"/>
        <v>3.3381101928132599</v>
      </c>
    </row>
    <row r="36" spans="2:45" x14ac:dyDescent="0.3">
      <c r="B36" t="s">
        <v>113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 t="e">
        <f t="shared" ref="R36:U36" si="47">R3/N3-1</f>
        <v>#DIV/0!</v>
      </c>
      <c r="S36" s="10" t="e">
        <f t="shared" si="47"/>
        <v>#DIV/0!</v>
      </c>
      <c r="T36" s="10">
        <f t="shared" si="47"/>
        <v>6.9837398373983737</v>
      </c>
      <c r="U36" s="10">
        <f t="shared" si="47"/>
        <v>-0.29626920263350398</v>
      </c>
      <c r="V36" s="10"/>
      <c r="AD36" s="10"/>
      <c r="AE36" s="10">
        <f>AE3/AD3-1</f>
        <v>-0.13566936208445635</v>
      </c>
    </row>
    <row r="37" spans="2:45" x14ac:dyDescent="0.3">
      <c r="B37" t="s">
        <v>114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>
        <f t="shared" ref="R37:U37" si="48">R4/N4-1</f>
        <v>0.23721590909090895</v>
      </c>
      <c r="S37" s="10">
        <f t="shared" si="48"/>
        <v>0.22720797720797714</v>
      </c>
      <c r="T37" s="10">
        <f t="shared" si="48"/>
        <v>0.13301171605789119</v>
      </c>
      <c r="U37" s="10">
        <f t="shared" si="48"/>
        <v>-5.0448430493273522E-2</v>
      </c>
      <c r="V37" s="10"/>
      <c r="AD37" s="10">
        <f t="shared" ref="AD37:AE40" si="49">AD4/AC4-1</f>
        <v>0.23721590909090895</v>
      </c>
      <c r="AE37" s="10">
        <f t="shared" si="49"/>
        <v>-2.7554535017221493E-2</v>
      </c>
    </row>
    <row r="38" spans="2:45" x14ac:dyDescent="0.3">
      <c r="B38" t="s">
        <v>115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>
        <f t="shared" ref="R38:U38" si="50">R5/N5-1</f>
        <v>-3.5202385047586326E-2</v>
      </c>
      <c r="S38" s="10">
        <f t="shared" si="50"/>
        <v>0.1576137418755803</v>
      </c>
      <c r="T38" s="10">
        <f t="shared" si="50"/>
        <v>0.1342478602415289</v>
      </c>
      <c r="U38" s="10">
        <f t="shared" si="50"/>
        <v>0.13758189398451459</v>
      </c>
      <c r="V38" s="10"/>
      <c r="AD38" s="10">
        <f t="shared" si="49"/>
        <v>-3.5202385047586326E-2</v>
      </c>
      <c r="AE38" s="10">
        <f t="shared" si="49"/>
        <v>0.13501307344901359</v>
      </c>
    </row>
    <row r="39" spans="2:45" x14ac:dyDescent="0.3">
      <c r="B39" t="s">
        <v>116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>
        <f t="shared" ref="R39:U39" si="51">R6/N6-1</f>
        <v>1.3529411764705883</v>
      </c>
      <c r="S39" s="10">
        <f t="shared" si="51"/>
        <v>0.35042735042735051</v>
      </c>
      <c r="T39" s="10">
        <f t="shared" si="51"/>
        <v>-0.42074363992172215</v>
      </c>
      <c r="U39" s="10">
        <f t="shared" si="51"/>
        <v>-0.42823529411764705</v>
      </c>
      <c r="V39" s="10"/>
      <c r="AD39" s="10">
        <f t="shared" si="49"/>
        <v>1.3529411764705883</v>
      </c>
      <c r="AE39" s="10">
        <f t="shared" si="49"/>
        <v>-0.32499999999999996</v>
      </c>
    </row>
    <row r="40" spans="2:45" s="1" customFormat="1" x14ac:dyDescent="0.3">
      <c r="B40" s="1" t="s">
        <v>117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>
        <f>R7/N7-1</f>
        <v>0.13100564092588995</v>
      </c>
      <c r="S40" s="11">
        <f>S7/O7-1</f>
        <v>0.27998829724985352</v>
      </c>
      <c r="T40" s="11">
        <f>T7/P7-1</f>
        <v>0.18673450160165816</v>
      </c>
      <c r="U40" s="11">
        <f>U7/Q7-1</f>
        <v>3.9929830423523383E-2</v>
      </c>
      <c r="V40" s="11"/>
      <c r="AD40" s="11">
        <f t="shared" si="49"/>
        <v>0.13100564092588995</v>
      </c>
      <c r="AE40" s="11">
        <f t="shared" si="49"/>
        <v>7.0513371743055941E-2</v>
      </c>
    </row>
    <row r="41" spans="2:45" x14ac:dyDescent="0.3">
      <c r="B41" t="s">
        <v>50</v>
      </c>
      <c r="G41" s="10" t="e">
        <f t="shared" ref="G41:O45" si="52">G9/C9-1</f>
        <v>#DIV/0!</v>
      </c>
      <c r="H41" s="10" t="e">
        <f t="shared" si="52"/>
        <v>#DIV/0!</v>
      </c>
      <c r="I41" s="10" t="e">
        <f t="shared" si="52"/>
        <v>#DIV/0!</v>
      </c>
      <c r="J41" s="10" t="e">
        <f t="shared" si="52"/>
        <v>#DIV/0!</v>
      </c>
      <c r="K41" s="10">
        <f t="shared" si="52"/>
        <v>-0.49444444444444446</v>
      </c>
      <c r="L41" s="10" t="e">
        <f t="shared" si="52"/>
        <v>#DIV/0!</v>
      </c>
      <c r="M41" s="10">
        <f t="shared" si="52"/>
        <v>-1</v>
      </c>
      <c r="N41" s="10">
        <f t="shared" si="52"/>
        <v>-0.5625</v>
      </c>
      <c r="O41" s="10">
        <f t="shared" si="52"/>
        <v>-1</v>
      </c>
      <c r="P41" s="10"/>
      <c r="Q41" s="10"/>
      <c r="R41" s="10">
        <f>R9/N9-1</f>
        <v>1.4190476190476189</v>
      </c>
      <c r="S41" s="10" t="e">
        <f t="shared" ref="S41:V41" si="53">S9/O9-1</f>
        <v>#DIV/0!</v>
      </c>
      <c r="T41" s="10" t="e">
        <f t="shared" si="53"/>
        <v>#DIV/0!</v>
      </c>
      <c r="U41" s="10">
        <f t="shared" si="53"/>
        <v>85.666666666666671</v>
      </c>
      <c r="V41" s="10">
        <f t="shared" si="53"/>
        <v>0.18110236220472453</v>
      </c>
      <c r="Y41" s="10">
        <f>Y9/X9-1</f>
        <v>-0.99047619047619051</v>
      </c>
      <c r="Z41" s="10">
        <f t="shared" ref="Z41:AO41" si="54">Z9/Y9-1</f>
        <v>-1</v>
      </c>
      <c r="AA41" s="10" t="e">
        <f t="shared" si="54"/>
        <v>#DIV/0!</v>
      </c>
      <c r="AB41" s="10" t="e">
        <f t="shared" si="54"/>
        <v>#DIV/0!</v>
      </c>
      <c r="AC41" s="10">
        <f t="shared" si="54"/>
        <v>-0.67333333333333334</v>
      </c>
      <c r="AD41" s="10">
        <f t="shared" si="54"/>
        <v>0.31122448979591821</v>
      </c>
      <c r="AE41" s="10">
        <f t="shared" si="54"/>
        <v>1.6887159533073928</v>
      </c>
      <c r="AF41" s="10">
        <f t="shared" si="54"/>
        <v>0.44999999999999996</v>
      </c>
      <c r="AG41" s="10">
        <f t="shared" si="54"/>
        <v>0.30000000000000004</v>
      </c>
      <c r="AH41" s="10">
        <f t="shared" si="54"/>
        <v>0.19999999999999996</v>
      </c>
      <c r="AI41" s="10">
        <f t="shared" si="54"/>
        <v>0.14999999999999991</v>
      </c>
      <c r="AJ41" s="10">
        <f t="shared" si="54"/>
        <v>0.10000000000000009</v>
      </c>
      <c r="AK41" s="10">
        <f t="shared" si="54"/>
        <v>0.10000000000000009</v>
      </c>
      <c r="AL41" s="10">
        <f t="shared" si="54"/>
        <v>0.10000000000000009</v>
      </c>
      <c r="AM41" s="10">
        <f t="shared" si="54"/>
        <v>0.10000000000000009</v>
      </c>
      <c r="AN41" s="10">
        <f t="shared" si="54"/>
        <v>0.10000000000000009</v>
      </c>
      <c r="AO41" s="10">
        <f t="shared" si="54"/>
        <v>0.10000000000000009</v>
      </c>
    </row>
    <row r="42" spans="2:45" x14ac:dyDescent="0.3">
      <c r="B42" t="s">
        <v>51</v>
      </c>
      <c r="G42" s="10">
        <f t="shared" si="52"/>
        <v>-0.55102040816326525</v>
      </c>
      <c r="H42" s="10">
        <f t="shared" si="52"/>
        <v>2.7142857142857149</v>
      </c>
      <c r="I42" s="10">
        <f t="shared" si="52"/>
        <v>-0.36363636363636365</v>
      </c>
      <c r="J42" s="10">
        <f t="shared" si="52"/>
        <v>10</v>
      </c>
      <c r="K42" s="10">
        <f t="shared" si="52"/>
        <v>5.3181818181818175</v>
      </c>
      <c r="L42" s="10">
        <f t="shared" si="52"/>
        <v>9.0769230769230766</v>
      </c>
      <c r="M42" s="10">
        <f t="shared" si="52"/>
        <v>7.6923076923077094E-2</v>
      </c>
      <c r="N42" s="10">
        <f t="shared" si="52"/>
        <v>-0.27272727272727271</v>
      </c>
      <c r="O42" s="10">
        <f t="shared" si="52"/>
        <v>-0.8848920863309353</v>
      </c>
      <c r="P42" s="10">
        <f t="shared" ref="P42:Q45" si="55">P10/L10-1</f>
        <v>-0.94656488549618323</v>
      </c>
      <c r="Q42" s="10">
        <f t="shared" si="55"/>
        <v>-0.85714285714285721</v>
      </c>
      <c r="R42" s="10"/>
      <c r="S42" s="10">
        <f t="shared" ref="S42:V42" si="56">S10/O10-1</f>
        <v>0.125</v>
      </c>
      <c r="T42" s="10">
        <f t="shared" si="56"/>
        <v>4.7857142857142856</v>
      </c>
      <c r="U42" s="10">
        <f t="shared" si="56"/>
        <v>1.2142857142857144</v>
      </c>
      <c r="V42" s="10">
        <f t="shared" si="56"/>
        <v>0.19999999999999996</v>
      </c>
      <c r="Y42" s="10">
        <f>Y10/X10-1</f>
        <v>0.68354430379746844</v>
      </c>
      <c r="Z42" s="10">
        <f t="shared" ref="Z42:AO42" si="57">Z10/Y10-1</f>
        <v>-5.6390977443608992E-2</v>
      </c>
      <c r="AA42" s="10">
        <f t="shared" si="57"/>
        <v>-0.21115537848605581</v>
      </c>
      <c r="AB42" s="10">
        <f t="shared" si="57"/>
        <v>-0.35353535353535348</v>
      </c>
      <c r="AC42" s="10">
        <f t="shared" si="57"/>
        <v>2.8359375000000004</v>
      </c>
      <c r="AD42" s="10">
        <f t="shared" si="57"/>
        <v>-0.79633401221995936</v>
      </c>
      <c r="AE42" s="10">
        <f t="shared" si="57"/>
        <v>0.97199999999999998</v>
      </c>
      <c r="AF42" s="10">
        <f t="shared" si="57"/>
        <v>0.60000000000000009</v>
      </c>
      <c r="AG42" s="10">
        <f t="shared" si="57"/>
        <v>0.30000000000000004</v>
      </c>
      <c r="AH42" s="10">
        <f t="shared" si="57"/>
        <v>0.19999999999999996</v>
      </c>
      <c r="AI42" s="10">
        <f t="shared" si="57"/>
        <v>0.14999999999999991</v>
      </c>
      <c r="AJ42" s="10">
        <f t="shared" si="57"/>
        <v>0.12000000000000011</v>
      </c>
      <c r="AK42" s="10">
        <f t="shared" si="57"/>
        <v>8.0000000000000071E-2</v>
      </c>
      <c r="AL42" s="10">
        <f t="shared" si="57"/>
        <v>8.0000000000000071E-2</v>
      </c>
      <c r="AM42" s="10">
        <f t="shared" si="57"/>
        <v>8.0000000000000071E-2</v>
      </c>
      <c r="AN42" s="10">
        <f t="shared" si="57"/>
        <v>8.0000000000000071E-2</v>
      </c>
      <c r="AO42" s="10">
        <f t="shared" si="57"/>
        <v>8.0000000000000071E-2</v>
      </c>
      <c r="AR42" t="s">
        <v>63</v>
      </c>
      <c r="AS42" s="10">
        <v>-0.01</v>
      </c>
    </row>
    <row r="43" spans="2:45" x14ac:dyDescent="0.3">
      <c r="B43" t="s">
        <v>52</v>
      </c>
      <c r="G43" s="10">
        <f t="shared" si="52"/>
        <v>0.53061224489795911</v>
      </c>
      <c r="H43" s="10">
        <f t="shared" si="52"/>
        <v>0.46774193548387077</v>
      </c>
      <c r="I43" s="10">
        <f t="shared" si="52"/>
        <v>0.75806451612903225</v>
      </c>
      <c r="J43" s="10">
        <f t="shared" si="52"/>
        <v>0.31343283582089554</v>
      </c>
      <c r="K43" s="10">
        <f t="shared" si="52"/>
        <v>0.28000000000000003</v>
      </c>
      <c r="L43" s="10">
        <f t="shared" si="52"/>
        <v>-7.6923076923076872E-2</v>
      </c>
      <c r="M43" s="10">
        <f t="shared" si="52"/>
        <v>9.1743119266054496E-3</v>
      </c>
      <c r="N43" s="10">
        <f t="shared" si="52"/>
        <v>-3.4090909090909172E-2</v>
      </c>
      <c r="O43" s="10">
        <f t="shared" si="52"/>
        <v>9.375E-2</v>
      </c>
      <c r="P43" s="10">
        <f t="shared" si="55"/>
        <v>0.67857142857142838</v>
      </c>
      <c r="Q43" s="10">
        <f t="shared" si="55"/>
        <v>0.21818181818181825</v>
      </c>
      <c r="R43" s="10">
        <f>R11/N11-1</f>
        <v>0.41176470588235303</v>
      </c>
      <c r="S43" s="10">
        <f t="shared" ref="S43:V43" si="58">S11/O11-1</f>
        <v>7.6190476190476364E-2</v>
      </c>
      <c r="T43" s="10">
        <f t="shared" si="58"/>
        <v>-0.14184397163120566</v>
      </c>
      <c r="U43" s="10">
        <f t="shared" si="58"/>
        <v>-7.4626865671641784E-2</v>
      </c>
      <c r="V43" s="10">
        <f t="shared" si="58"/>
        <v>0.19999999999999996</v>
      </c>
      <c r="Y43" s="10">
        <f>Y11/X11-1</f>
        <v>0.94444444444444442</v>
      </c>
      <c r="Z43" s="10">
        <f t="shared" ref="Z43:AO43" si="59">Z11/Y11-1</f>
        <v>0.42142857142857126</v>
      </c>
      <c r="AA43" s="10">
        <f t="shared" si="59"/>
        <v>0.20603015075376896</v>
      </c>
      <c r="AB43" s="10">
        <f t="shared" si="59"/>
        <v>0.51249999999999996</v>
      </c>
      <c r="AC43" s="10">
        <f t="shared" si="59"/>
        <v>3.3057851239669533E-2</v>
      </c>
      <c r="AD43" s="10">
        <f t="shared" si="59"/>
        <v>0.33333333333333326</v>
      </c>
      <c r="AE43" s="10">
        <f t="shared" si="59"/>
        <v>4.0000000000000036E-3</v>
      </c>
      <c r="AF43" s="10">
        <f t="shared" si="59"/>
        <v>0.20999999999999996</v>
      </c>
      <c r="AG43" s="10">
        <f t="shared" si="59"/>
        <v>0.15000000000000013</v>
      </c>
      <c r="AH43" s="10">
        <f t="shared" si="59"/>
        <v>0.14999999999999991</v>
      </c>
      <c r="AI43" s="10">
        <f t="shared" si="59"/>
        <v>0.14999999999999991</v>
      </c>
      <c r="AJ43" s="10">
        <f t="shared" si="59"/>
        <v>0.14999999999999991</v>
      </c>
      <c r="AK43" s="10">
        <f t="shared" si="59"/>
        <v>0.14999999999999991</v>
      </c>
      <c r="AL43" s="10">
        <f t="shared" si="59"/>
        <v>0.14999999999999991</v>
      </c>
      <c r="AM43" s="10">
        <f t="shared" si="59"/>
        <v>0.14999999999999991</v>
      </c>
      <c r="AN43" s="10">
        <f t="shared" si="59"/>
        <v>0.14999999999999991</v>
      </c>
      <c r="AO43" s="10">
        <f t="shared" si="59"/>
        <v>0.14999999999999991</v>
      </c>
      <c r="AR43" t="s">
        <v>64</v>
      </c>
      <c r="AS43" s="10">
        <v>0.12</v>
      </c>
    </row>
    <row r="44" spans="2:45" x14ac:dyDescent="0.3">
      <c r="B44" t="s">
        <v>53</v>
      </c>
      <c r="G44" s="10">
        <f t="shared" si="52"/>
        <v>-0.19607843137254899</v>
      </c>
      <c r="H44" s="10">
        <f t="shared" si="52"/>
        <v>-0.3380281690140845</v>
      </c>
      <c r="I44" s="10">
        <f t="shared" si="52"/>
        <v>-0.16129032258064513</v>
      </c>
      <c r="J44" s="10">
        <f t="shared" si="52"/>
        <v>2.7397260273972712E-2</v>
      </c>
      <c r="K44" s="10">
        <f t="shared" si="52"/>
        <v>9.7560975609756184E-2</v>
      </c>
      <c r="L44" s="10">
        <f t="shared" si="52"/>
        <v>-0.21276595744680848</v>
      </c>
      <c r="M44" s="10">
        <f t="shared" si="52"/>
        <v>-9.6153846153846145E-2</v>
      </c>
      <c r="N44" s="10">
        <f t="shared" si="52"/>
        <v>-0.42666666666666664</v>
      </c>
      <c r="O44" s="10">
        <f t="shared" si="52"/>
        <v>2.2222222222222143E-2</v>
      </c>
      <c r="P44" s="10">
        <f t="shared" si="55"/>
        <v>0.86486486486486491</v>
      </c>
      <c r="Q44" s="10">
        <f t="shared" si="55"/>
        <v>0.82978723404255295</v>
      </c>
      <c r="R44" s="10">
        <f>R12/N12-1</f>
        <v>0.48837209302325602</v>
      </c>
      <c r="S44" s="10">
        <f t="shared" ref="S44:V44" si="60">S12/O12-1</f>
        <v>0.23913043478260887</v>
      </c>
      <c r="T44" s="10">
        <f t="shared" si="60"/>
        <v>-0.4057971014492755</v>
      </c>
      <c r="U44" s="10">
        <f t="shared" si="60"/>
        <v>-0.38372093023255816</v>
      </c>
      <c r="V44" s="10">
        <f t="shared" si="60"/>
        <v>-6.25E-2</v>
      </c>
      <c r="Y44" s="10">
        <f>Y12/X12-1</f>
        <v>0.40000000000000013</v>
      </c>
      <c r="Z44" s="10">
        <f t="shared" ref="Z44:AO44" si="61">Z12/Y12-1</f>
        <v>0.31632653061224492</v>
      </c>
      <c r="AA44" s="10">
        <f t="shared" si="61"/>
        <v>-3.8759689922480689E-3</v>
      </c>
      <c r="AB44" s="10">
        <f t="shared" si="61"/>
        <v>-0.16342412451361865</v>
      </c>
      <c r="AC44" s="10">
        <f t="shared" si="61"/>
        <v>-0.20000000000000007</v>
      </c>
      <c r="AD44" s="10">
        <f t="shared" si="61"/>
        <v>0.54069767441860472</v>
      </c>
      <c r="AE44" s="10">
        <f t="shared" si="61"/>
        <v>-0.20377358490566033</v>
      </c>
      <c r="AF44" s="10">
        <f t="shared" si="61"/>
        <v>0.14999999999999991</v>
      </c>
      <c r="AG44" s="10">
        <f t="shared" si="61"/>
        <v>0.10000000000000009</v>
      </c>
      <c r="AH44" s="10">
        <f t="shared" si="61"/>
        <v>0.14999999999999991</v>
      </c>
      <c r="AI44" s="10">
        <f t="shared" si="61"/>
        <v>0.14999999999999991</v>
      </c>
      <c r="AJ44" s="10">
        <f t="shared" si="61"/>
        <v>0.19999999999999996</v>
      </c>
      <c r="AK44" s="10">
        <f t="shared" si="61"/>
        <v>0.19999999999999996</v>
      </c>
      <c r="AL44" s="10">
        <f t="shared" si="61"/>
        <v>0.19999999999999996</v>
      </c>
      <c r="AM44" s="10">
        <f t="shared" si="61"/>
        <v>0.19999999999999996</v>
      </c>
      <c r="AN44" s="10">
        <f t="shared" si="61"/>
        <v>0.19999999999999996</v>
      </c>
      <c r="AO44" s="10">
        <f t="shared" si="61"/>
        <v>0.19999999999999996</v>
      </c>
      <c r="AR44" t="s">
        <v>65</v>
      </c>
      <c r="AS44" s="6">
        <f>NPV(AS43,AE32:ER32)</f>
        <v>-99.195432403736334</v>
      </c>
    </row>
    <row r="45" spans="2:45" s="1" customFormat="1" x14ac:dyDescent="0.3">
      <c r="B45" s="1" t="s">
        <v>49</v>
      </c>
      <c r="G45" s="11">
        <f t="shared" si="52"/>
        <v>1.1342281879194629</v>
      </c>
      <c r="H45" s="11">
        <f t="shared" si="52"/>
        <v>0.17142857142857126</v>
      </c>
      <c r="I45" s="11">
        <f t="shared" si="52"/>
        <v>0.61797752808988782</v>
      </c>
      <c r="J45" s="11">
        <f t="shared" si="52"/>
        <v>1.8201438848920866</v>
      </c>
      <c r="K45" s="11">
        <f t="shared" si="52"/>
        <v>0.16666666666666674</v>
      </c>
      <c r="L45" s="11">
        <f t="shared" si="52"/>
        <v>1.3353658536585371</v>
      </c>
      <c r="M45" s="11">
        <f t="shared" si="52"/>
        <v>-0.40972222222222221</v>
      </c>
      <c r="N45" s="11">
        <f t="shared" si="52"/>
        <v>-0.42602040816326536</v>
      </c>
      <c r="O45" s="11">
        <f t="shared" si="52"/>
        <v>-0.54986522911051217</v>
      </c>
      <c r="P45" s="11">
        <f t="shared" si="55"/>
        <v>-0.41514360313315934</v>
      </c>
      <c r="Q45" s="11">
        <f t="shared" si="55"/>
        <v>-7.0588235294117729E-2</v>
      </c>
      <c r="R45" s="11">
        <f>R13/N13-1</f>
        <v>1.1955555555555555</v>
      </c>
      <c r="S45" s="11">
        <f t="shared" ref="S45:V45" si="62">S13/O13-1</f>
        <v>0.13173652694610793</v>
      </c>
      <c r="T45" s="11">
        <f t="shared" si="62"/>
        <v>0.66517857142857162</v>
      </c>
      <c r="U45" s="11">
        <f t="shared" si="62"/>
        <v>0.97468354430379733</v>
      </c>
      <c r="V45" s="11">
        <f t="shared" si="62"/>
        <v>0.15627530364372477</v>
      </c>
      <c r="Y45" s="11">
        <f>Y13/X13-1</f>
        <v>-0.3217877094972067</v>
      </c>
      <c r="Z45" s="11">
        <f t="shared" ref="Z45:AO45" si="63">Z13/Y13-1</f>
        <v>0.16639209225700147</v>
      </c>
      <c r="AA45" s="11">
        <f t="shared" si="63"/>
        <v>-1.8361581920903869E-2</v>
      </c>
      <c r="AB45" s="11">
        <f t="shared" si="63"/>
        <v>0.87913669064748201</v>
      </c>
      <c r="AC45" s="11">
        <f t="shared" si="63"/>
        <v>-5.5130168453292328E-2</v>
      </c>
      <c r="AD45" s="11">
        <f t="shared" si="63"/>
        <v>-9.0761750405186525E-2</v>
      </c>
      <c r="AE45" s="11">
        <f t="shared" si="63"/>
        <v>0.4270944741532976</v>
      </c>
      <c r="AF45" s="11">
        <f t="shared" si="63"/>
        <v>0.35369722707968987</v>
      </c>
      <c r="AG45" s="11">
        <f t="shared" si="63"/>
        <v>0.23557535270398722</v>
      </c>
      <c r="AH45" s="11">
        <f t="shared" si="63"/>
        <v>0.18197552871207434</v>
      </c>
      <c r="AI45" s="11">
        <f t="shared" si="63"/>
        <v>0.14999999999999969</v>
      </c>
      <c r="AJ45" s="11">
        <f t="shared" si="63"/>
        <v>0.12549506472620742</v>
      </c>
      <c r="AK45" s="11">
        <f t="shared" si="63"/>
        <v>0.12020874934419257</v>
      </c>
      <c r="AL45" s="11">
        <f t="shared" si="63"/>
        <v>0.12140102841177969</v>
      </c>
      <c r="AM45" s="11">
        <f t="shared" si="63"/>
        <v>0.1226268609857728</v>
      </c>
      <c r="AN45" s="11">
        <f t="shared" si="63"/>
        <v>0.12388558083100909</v>
      </c>
      <c r="AO45" s="11">
        <f t="shared" si="63"/>
        <v>0.12517634005378242</v>
      </c>
      <c r="AR45" t="s">
        <v>66</v>
      </c>
      <c r="AS45" s="6">
        <f>Main!D8</f>
        <v>100.89999999999998</v>
      </c>
    </row>
    <row r="46" spans="2:45" x14ac:dyDescent="0.3">
      <c r="B46" t="s">
        <v>54</v>
      </c>
      <c r="C46" s="10" t="e">
        <f t="shared" ref="C46:G49" si="64">(C9-C14)/C9</f>
        <v>#DIV/0!</v>
      </c>
      <c r="D46" s="10" t="e">
        <f t="shared" si="64"/>
        <v>#DIV/0!</v>
      </c>
      <c r="E46" s="10" t="e">
        <f t="shared" si="64"/>
        <v>#DIV/0!</v>
      </c>
      <c r="F46" s="10" t="e">
        <f t="shared" si="64"/>
        <v>#DIV/0!</v>
      </c>
      <c r="G46" s="10">
        <f t="shared" si="64"/>
        <v>-1.1111111111111072E-2</v>
      </c>
      <c r="H46" s="10" t="e">
        <f t="shared" ref="H46:R46" si="65">(H9-H14)/H9</f>
        <v>#DIV/0!</v>
      </c>
      <c r="I46" s="10">
        <f t="shared" si="65"/>
        <v>5.5555555555556347E-3</v>
      </c>
      <c r="J46" s="10">
        <f t="shared" si="65"/>
        <v>-5.4166666666666696E-2</v>
      </c>
      <c r="K46" s="10">
        <f t="shared" si="65"/>
        <v>0.89010989010989006</v>
      </c>
      <c r="L46" s="10" t="e">
        <f t="shared" si="65"/>
        <v>#DIV/0!</v>
      </c>
      <c r="M46" s="10" t="e">
        <f t="shared" si="65"/>
        <v>#DIV/0!</v>
      </c>
      <c r="N46" s="10">
        <f t="shared" si="65"/>
        <v>0.47619047619047616</v>
      </c>
      <c r="O46" s="10" t="e">
        <f t="shared" si="65"/>
        <v>#DIV/0!</v>
      </c>
      <c r="P46" s="10" t="e">
        <f t="shared" si="65"/>
        <v>#DIV/0!</v>
      </c>
      <c r="Q46" s="10">
        <f t="shared" si="65"/>
        <v>-13.000000000000002</v>
      </c>
      <c r="R46" s="10">
        <f t="shared" si="65"/>
        <v>-0.18503937007874027</v>
      </c>
      <c r="S46" s="10">
        <f t="shared" ref="S46:V46" si="66">(S9-S14)/S9</f>
        <v>-28.999999999999996</v>
      </c>
      <c r="T46" s="10">
        <f t="shared" si="66"/>
        <v>-0.25384615384615389</v>
      </c>
      <c r="U46" s="10">
        <f t="shared" si="66"/>
        <v>-0.11923076923076928</v>
      </c>
      <c r="V46" s="10">
        <f t="shared" si="66"/>
        <v>-0.05</v>
      </c>
      <c r="Y46" s="10">
        <f t="shared" ref="Y46:AO46" si="67">(Y9-Y14)/Y9</f>
        <v>-36.200000000000003</v>
      </c>
      <c r="Z46" s="10" t="e">
        <f t="shared" si="67"/>
        <v>#DIV/0!</v>
      </c>
      <c r="AA46" s="10" t="e">
        <f t="shared" si="67"/>
        <v>#DIV/0!</v>
      </c>
      <c r="AB46" s="10">
        <f t="shared" si="67"/>
        <v>-7.3333333333333195E-2</v>
      </c>
      <c r="AC46" s="10">
        <f t="shared" si="67"/>
        <v>0.3418367346938776</v>
      </c>
      <c r="AD46" s="10">
        <f t="shared" si="67"/>
        <v>-0.54085603112840475</v>
      </c>
      <c r="AE46" s="10">
        <f t="shared" si="67"/>
        <v>-0.15629522431259063</v>
      </c>
      <c r="AF46" s="10">
        <f t="shared" si="67"/>
        <v>0</v>
      </c>
      <c r="AG46" s="10">
        <f t="shared" si="67"/>
        <v>5.000000000000001E-2</v>
      </c>
      <c r="AH46" s="10">
        <f t="shared" si="67"/>
        <v>9.9999999999999908E-2</v>
      </c>
      <c r="AI46" s="10">
        <f t="shared" si="67"/>
        <v>0.15000000000000008</v>
      </c>
      <c r="AJ46" s="10">
        <f t="shared" si="67"/>
        <v>0.19999999999999996</v>
      </c>
      <c r="AK46" s="10">
        <f t="shared" si="67"/>
        <v>0.2</v>
      </c>
      <c r="AL46" s="10">
        <f t="shared" si="67"/>
        <v>0.19999999999999998</v>
      </c>
      <c r="AM46" s="10">
        <f t="shared" si="67"/>
        <v>0.19999999999999998</v>
      </c>
      <c r="AN46" s="10">
        <f t="shared" si="67"/>
        <v>0.2</v>
      </c>
      <c r="AO46" s="10">
        <f t="shared" si="67"/>
        <v>0.19999999999999998</v>
      </c>
      <c r="AR46" t="s">
        <v>67</v>
      </c>
      <c r="AS46" s="6">
        <f>AS44+AS45</f>
        <v>1.7045675962636437</v>
      </c>
    </row>
    <row r="47" spans="2:45" x14ac:dyDescent="0.3">
      <c r="B47" t="s">
        <v>55</v>
      </c>
      <c r="C47" s="10">
        <f t="shared" si="64"/>
        <v>-4.0816326530612096E-2</v>
      </c>
      <c r="D47" s="10">
        <f t="shared" si="64"/>
        <v>-3.1428571428571432</v>
      </c>
      <c r="E47" s="10">
        <f t="shared" si="64"/>
        <v>9.0909090909090953E-2</v>
      </c>
      <c r="F47" s="10">
        <f t="shared" si="64"/>
        <v>38</v>
      </c>
      <c r="G47" s="10">
        <f t="shared" si="64"/>
        <v>-9.0909090909090787E-2</v>
      </c>
      <c r="H47" s="10">
        <f t="shared" ref="H47:R47" si="68">(H10-H15)/H10</f>
        <v>-0.1538461538461538</v>
      </c>
      <c r="I47" s="10">
        <f t="shared" si="68"/>
        <v>0.1538461538461538</v>
      </c>
      <c r="J47" s="10">
        <f t="shared" si="68"/>
        <v>4.7272727272727266</v>
      </c>
      <c r="K47" s="10">
        <f t="shared" si="68"/>
        <v>0.21582733812949639</v>
      </c>
      <c r="L47" s="10">
        <f t="shared" si="68"/>
        <v>0.23282442748091595</v>
      </c>
      <c r="M47" s="10">
        <f t="shared" si="68"/>
        <v>2.0408163265306228E-2</v>
      </c>
      <c r="N47" s="10">
        <f t="shared" si="68"/>
        <v>6.3749999999999991</v>
      </c>
      <c r="O47" s="10">
        <f t="shared" si="68"/>
        <v>-0.18749999999999989</v>
      </c>
      <c r="P47" s="10">
        <f t="shared" si="68"/>
        <v>7.1428571428571341E-2</v>
      </c>
      <c r="Q47" s="10">
        <f t="shared" si="68"/>
        <v>0.21428571428571416</v>
      </c>
      <c r="R47" s="10">
        <f t="shared" si="68"/>
        <v>-0.21428571428571433</v>
      </c>
      <c r="S47" s="10">
        <f t="shared" ref="S47:V47" si="69">(S10-S15)/S10</f>
        <v>5.5555555555555601E-2</v>
      </c>
      <c r="T47" s="10">
        <f t="shared" si="69"/>
        <v>-0.1234567901234568</v>
      </c>
      <c r="U47" s="10">
        <f t="shared" si="69"/>
        <v>-0.16129032258064516</v>
      </c>
      <c r="V47" s="10">
        <f t="shared" si="69"/>
        <v>-5.0000000000000044E-2</v>
      </c>
      <c r="Y47" s="10">
        <f t="shared" ref="Y47:AO47" si="70">(Y10-Y15)/Y10</f>
        <v>0.28947368421052638</v>
      </c>
      <c r="Z47" s="10">
        <f t="shared" si="70"/>
        <v>0.42231075697211157</v>
      </c>
      <c r="AA47" s="10">
        <f t="shared" si="70"/>
        <v>-0.2474747474747474</v>
      </c>
      <c r="AB47" s="10">
        <f t="shared" si="70"/>
        <v>-0.34375000000000017</v>
      </c>
      <c r="AC47" s="10">
        <f t="shared" si="70"/>
        <v>8.55397148676173E-2</v>
      </c>
      <c r="AD47" s="10">
        <f t="shared" si="70"/>
        <v>-0.11000000000000014</v>
      </c>
      <c r="AE47" s="10">
        <f t="shared" si="70"/>
        <v>-8.8032454361054807E-2</v>
      </c>
      <c r="AF47" s="10">
        <f>(AF10-AF15)/AF10</f>
        <v>0.10000000000000002</v>
      </c>
      <c r="AG47" s="10">
        <f t="shared" si="70"/>
        <v>0.19999999999999993</v>
      </c>
      <c r="AH47" s="10">
        <f t="shared" si="70"/>
        <v>0.19999999999999996</v>
      </c>
      <c r="AI47" s="10">
        <f t="shared" si="70"/>
        <v>0.19999999999999996</v>
      </c>
      <c r="AJ47" s="10">
        <f t="shared" si="70"/>
        <v>0.1999999999999999</v>
      </c>
      <c r="AK47" s="10">
        <f t="shared" si="70"/>
        <v>0.19999999999999996</v>
      </c>
      <c r="AL47" s="10">
        <f t="shared" si="70"/>
        <v>0.19999999999999993</v>
      </c>
      <c r="AM47" s="10">
        <f t="shared" si="70"/>
        <v>0.19999999999999996</v>
      </c>
      <c r="AN47" s="10">
        <f t="shared" si="70"/>
        <v>0.1999999999999999</v>
      </c>
      <c r="AO47" s="10">
        <f t="shared" si="70"/>
        <v>0.1999999999999999</v>
      </c>
      <c r="AR47" t="s">
        <v>68</v>
      </c>
      <c r="AS47" s="5">
        <f>AS46/AO33</f>
        <v>6.9859327715723105E-2</v>
      </c>
    </row>
    <row r="48" spans="2:45" x14ac:dyDescent="0.3">
      <c r="B48" t="s">
        <v>56</v>
      </c>
      <c r="C48" s="10">
        <f t="shared" si="64"/>
        <v>-0.44897959183673453</v>
      </c>
      <c r="D48" s="10">
        <f t="shared" si="64"/>
        <v>-0.5161290322580645</v>
      </c>
      <c r="E48" s="10">
        <f t="shared" si="64"/>
        <v>-8.0645161290322578E-2</v>
      </c>
      <c r="F48" s="10">
        <f t="shared" si="64"/>
        <v>-0.91044776119402993</v>
      </c>
      <c r="G48" s="10">
        <f t="shared" si="64"/>
        <v>-0.42666666666666658</v>
      </c>
      <c r="H48" s="10">
        <f t="shared" ref="H48:R48" si="71">(H11-H16)/H11</f>
        <v>-0.5494505494505495</v>
      </c>
      <c r="I48" s="10">
        <f t="shared" si="71"/>
        <v>-0.66055045871559637</v>
      </c>
      <c r="J48" s="10">
        <f t="shared" si="71"/>
        <v>-1.2954545454545452</v>
      </c>
      <c r="K48" s="10">
        <f t="shared" si="71"/>
        <v>-0.72916666666666685</v>
      </c>
      <c r="L48" s="10">
        <f t="shared" si="71"/>
        <v>-1.0357142857142858</v>
      </c>
      <c r="M48" s="10">
        <f t="shared" si="71"/>
        <v>-0.59090909090909094</v>
      </c>
      <c r="N48" s="10">
        <f t="shared" si="71"/>
        <v>-0.37647058823529406</v>
      </c>
      <c r="O48" s="10">
        <f t="shared" si="71"/>
        <v>-0.99047619047619029</v>
      </c>
      <c r="P48" s="10">
        <f t="shared" si="71"/>
        <v>-0.51773049645390068</v>
      </c>
      <c r="Q48" s="10">
        <f t="shared" si="71"/>
        <v>-0.40298507462686567</v>
      </c>
      <c r="R48" s="10">
        <f t="shared" si="71"/>
        <v>-0.56666666666666676</v>
      </c>
      <c r="S48" s="10">
        <f t="shared" ref="S48:V48" si="72">(S11-S16)/S11</f>
        <v>-0.35398230088495575</v>
      </c>
      <c r="T48" s="10">
        <f t="shared" si="72"/>
        <v>-0.52066115702479332</v>
      </c>
      <c r="U48" s="10">
        <f t="shared" si="72"/>
        <v>-0.2338709677419355</v>
      </c>
      <c r="V48" s="10">
        <f t="shared" si="72"/>
        <v>-0.39999999999999991</v>
      </c>
      <c r="Y48" s="10">
        <f t="shared" ref="Y48:AO48" si="73">(Y11-Y16)/Y11</f>
        <v>-1.2571428571428573</v>
      </c>
      <c r="Z48" s="10">
        <f t="shared" si="73"/>
        <v>-0.4020100502512563</v>
      </c>
      <c r="AA48" s="10">
        <f t="shared" si="73"/>
        <v>-0.5</v>
      </c>
      <c r="AB48" s="10">
        <f t="shared" si="73"/>
        <v>-0.73829201101928377</v>
      </c>
      <c r="AC48" s="10">
        <f t="shared" si="73"/>
        <v>-0.67733333333333345</v>
      </c>
      <c r="AD48" s="10">
        <f t="shared" si="73"/>
        <v>-0.59799999999999986</v>
      </c>
      <c r="AE48" s="10">
        <f t="shared" si="73"/>
        <v>-0.37768924302788848</v>
      </c>
      <c r="AF48" s="10">
        <f t="shared" si="73"/>
        <v>-0.10000000000000009</v>
      </c>
      <c r="AG48" s="10">
        <f t="shared" si="73"/>
        <v>9.9999999999999978E-2</v>
      </c>
      <c r="AH48" s="10">
        <f t="shared" si="73"/>
        <v>0.1999999999999999</v>
      </c>
      <c r="AI48" s="10">
        <f t="shared" si="73"/>
        <v>0.19999999999999996</v>
      </c>
      <c r="AJ48" s="10">
        <f t="shared" si="73"/>
        <v>0.22999999999999998</v>
      </c>
      <c r="AK48" s="10">
        <f t="shared" si="73"/>
        <v>0.25000000000000006</v>
      </c>
      <c r="AL48" s="10">
        <f t="shared" si="73"/>
        <v>0.26</v>
      </c>
      <c r="AM48" s="10">
        <f t="shared" si="73"/>
        <v>0.26</v>
      </c>
      <c r="AN48" s="10">
        <f t="shared" si="73"/>
        <v>0.25999999999999995</v>
      </c>
      <c r="AO48" s="10">
        <f t="shared" si="73"/>
        <v>0.26</v>
      </c>
      <c r="AR48" t="s">
        <v>69</v>
      </c>
      <c r="AS48" s="5">
        <f>Main!D3</f>
        <v>7.85</v>
      </c>
    </row>
    <row r="49" spans="2:45" x14ac:dyDescent="0.3">
      <c r="B49" t="s">
        <v>57</v>
      </c>
      <c r="C49" s="10">
        <f t="shared" si="64"/>
        <v>0.23529411764705879</v>
      </c>
      <c r="D49" s="10">
        <f t="shared" si="64"/>
        <v>0.36619718309859151</v>
      </c>
      <c r="E49" s="10">
        <f t="shared" si="64"/>
        <v>0.33870967741935493</v>
      </c>
      <c r="F49" s="10">
        <f t="shared" si="64"/>
        <v>0.45205479452054792</v>
      </c>
      <c r="G49" s="10">
        <f t="shared" si="64"/>
        <v>0.17073170731707313</v>
      </c>
      <c r="H49" s="10">
        <f t="shared" ref="H49:R49" si="74">(H12-H17)/H12</f>
        <v>0.25531914893617025</v>
      </c>
      <c r="I49" s="10">
        <f t="shared" si="74"/>
        <v>0.32692307692307693</v>
      </c>
      <c r="J49" s="10">
        <f t="shared" si="74"/>
        <v>0.36000000000000004</v>
      </c>
      <c r="K49" s="10">
        <f t="shared" si="74"/>
        <v>0.26666666666666672</v>
      </c>
      <c r="L49" s="10">
        <f t="shared" si="74"/>
        <v>-2.7027027027026931E-2</v>
      </c>
      <c r="M49" s="10">
        <f t="shared" si="74"/>
        <v>0.19148936170212774</v>
      </c>
      <c r="N49" s="10">
        <f t="shared" si="74"/>
        <v>0.44186046511627908</v>
      </c>
      <c r="O49" s="10">
        <f t="shared" si="74"/>
        <v>0.30434782608695643</v>
      </c>
      <c r="P49" s="10">
        <f t="shared" si="74"/>
        <v>0.43478260869565222</v>
      </c>
      <c r="Q49" s="10">
        <f t="shared" si="74"/>
        <v>0.32558139534883718</v>
      </c>
      <c r="R49" s="10">
        <f t="shared" si="74"/>
        <v>0.28125000000000011</v>
      </c>
      <c r="S49" s="10">
        <f t="shared" ref="S49:V49" si="75">(S12-S17)/S12</f>
        <v>0.26315789473684209</v>
      </c>
      <c r="T49" s="10">
        <f t="shared" si="75"/>
        <v>0.24390243902439016</v>
      </c>
      <c r="U49" s="10">
        <f t="shared" si="75"/>
        <v>0.28301886792452829</v>
      </c>
      <c r="V49" s="10">
        <f t="shared" si="75"/>
        <v>0.44999999999999996</v>
      </c>
      <c r="Y49" s="10">
        <f t="shared" ref="Y49:AO49" si="76">(Y12-Y17)/Y12</f>
        <v>0.3418367346938776</v>
      </c>
      <c r="Z49" s="10">
        <f t="shared" si="76"/>
        <v>0.36821705426356588</v>
      </c>
      <c r="AA49" s="10">
        <f t="shared" si="76"/>
        <v>0.35797665369649806</v>
      </c>
      <c r="AB49" s="10">
        <f t="shared" si="76"/>
        <v>0.2930232558139535</v>
      </c>
      <c r="AC49" s="10">
        <f t="shared" si="76"/>
        <v>0.22674418604651167</v>
      </c>
      <c r="AD49" s="10">
        <f t="shared" si="76"/>
        <v>0.33962264150943394</v>
      </c>
      <c r="AE49" s="10">
        <f t="shared" si="76"/>
        <v>0.31753554502369663</v>
      </c>
      <c r="AF49" s="10">
        <f t="shared" si="76"/>
        <v>0.55000000000000004</v>
      </c>
      <c r="AG49" s="10">
        <f t="shared" si="76"/>
        <v>0.6</v>
      </c>
      <c r="AH49" s="10">
        <f t="shared" si="76"/>
        <v>0.61999999999999988</v>
      </c>
      <c r="AI49" s="10">
        <f t="shared" si="76"/>
        <v>0.63</v>
      </c>
      <c r="AJ49" s="10">
        <f t="shared" si="76"/>
        <v>0.63</v>
      </c>
      <c r="AK49" s="10">
        <f t="shared" si="76"/>
        <v>0.63</v>
      </c>
      <c r="AL49" s="10">
        <f t="shared" si="76"/>
        <v>0.63</v>
      </c>
      <c r="AM49" s="10">
        <f t="shared" si="76"/>
        <v>0.63</v>
      </c>
      <c r="AN49" s="10">
        <f t="shared" si="76"/>
        <v>0.63</v>
      </c>
      <c r="AO49" s="10">
        <f t="shared" si="76"/>
        <v>0.62999999999999989</v>
      </c>
      <c r="AR49" s="1" t="s">
        <v>70</v>
      </c>
      <c r="AS49" s="11">
        <f>AS47/AS48-1</f>
        <v>-0.99110072258398429</v>
      </c>
    </row>
    <row r="50" spans="2:45" s="1" customFormat="1" x14ac:dyDescent="0.3">
      <c r="B50" s="1" t="s">
        <v>58</v>
      </c>
      <c r="C50" s="11">
        <f t="shared" ref="C50:F50" si="77">C19/C13</f>
        <v>-0.24161073825503351</v>
      </c>
      <c r="D50" s="11">
        <f t="shared" si="77"/>
        <v>-0.33571428571428569</v>
      </c>
      <c r="E50" s="11">
        <f t="shared" si="77"/>
        <v>3.745318352059912E-2</v>
      </c>
      <c r="F50" s="11">
        <f t="shared" si="77"/>
        <v>-0.60431654676258995</v>
      </c>
      <c r="G50" s="11">
        <f>G19/G13</f>
        <v>-9.1194968553459085E-2</v>
      </c>
      <c r="H50" s="11">
        <f t="shared" ref="H50:R50" si="78">H19/H13</f>
        <v>-0.43902439024390266</v>
      </c>
      <c r="I50" s="11">
        <f t="shared" si="78"/>
        <v>-9.2592592592592587E-2</v>
      </c>
      <c r="J50" s="11">
        <f t="shared" si="78"/>
        <v>-0.38775510204081604</v>
      </c>
      <c r="K50" s="11">
        <f t="shared" si="78"/>
        <v>0.14285714285714288</v>
      </c>
      <c r="L50" s="11">
        <f t="shared" si="78"/>
        <v>-0.16187989556135757</v>
      </c>
      <c r="M50" s="11">
        <f t="shared" si="78"/>
        <v>-0.32549019607843127</v>
      </c>
      <c r="N50" s="11">
        <f t="shared" si="78"/>
        <v>-6.2222222222222158E-2</v>
      </c>
      <c r="O50" s="11">
        <f t="shared" si="78"/>
        <v>-0.70059880239520955</v>
      </c>
      <c r="P50" s="11">
        <f t="shared" si="78"/>
        <v>-0.31696428571428564</v>
      </c>
      <c r="Q50" s="11">
        <f t="shared" si="78"/>
        <v>-0.2616033755274263</v>
      </c>
      <c r="R50" s="11">
        <f t="shared" si="78"/>
        <v>-0.22064777327935234</v>
      </c>
      <c r="S50" s="11">
        <f t="shared" ref="S50:V50" si="79">S19/S13</f>
        <v>-0.28042328042328024</v>
      </c>
      <c r="T50" s="11">
        <f t="shared" si="79"/>
        <v>-0.25737265415549582</v>
      </c>
      <c r="U50" s="11">
        <f t="shared" si="79"/>
        <v>-0.10683760683760685</v>
      </c>
      <c r="V50" s="11">
        <f t="shared" si="79"/>
        <v>-8.5714285714285604E-2</v>
      </c>
      <c r="Y50" s="11">
        <f t="shared" ref="Y50:AO50" si="80">Y19/Y13</f>
        <v>-0.3509060955518945</v>
      </c>
      <c r="Z50" s="11">
        <f t="shared" si="80"/>
        <v>3.1073446327683656E-2</v>
      </c>
      <c r="AA50" s="11">
        <f t="shared" si="80"/>
        <v>-0.2258992805755394</v>
      </c>
      <c r="AB50" s="11">
        <f t="shared" si="80"/>
        <v>-0.22434915773353739</v>
      </c>
      <c r="AC50" s="11">
        <f t="shared" si="80"/>
        <v>-8.5899513776336936E-2</v>
      </c>
      <c r="AD50" s="11">
        <f t="shared" si="80"/>
        <v>-0.31996434937611401</v>
      </c>
      <c r="AE50" s="11">
        <f t="shared" si="80"/>
        <v>-0.15485885585810655</v>
      </c>
      <c r="AF50" s="11">
        <f t="shared" si="80"/>
        <v>4.8104071897173757E-2</v>
      </c>
      <c r="AG50" s="11">
        <f t="shared" si="80"/>
        <v>0.14082967068049354</v>
      </c>
      <c r="AH50" s="11">
        <f t="shared" si="80"/>
        <v>0.19134920365650063</v>
      </c>
      <c r="AI50" s="11">
        <f t="shared" si="80"/>
        <v>0.21700744102450967</v>
      </c>
      <c r="AJ50" s="11">
        <f t="shared" si="80"/>
        <v>0.25223502472031328</v>
      </c>
      <c r="AK50" s="11">
        <f t="shared" si="80"/>
        <v>0.26093227943113512</v>
      </c>
      <c r="AL50" s="11">
        <f t="shared" si="80"/>
        <v>0.26733938230681614</v>
      </c>
      <c r="AM50" s="11">
        <f t="shared" si="80"/>
        <v>0.27125103025964853</v>
      </c>
      <c r="AN50" s="11">
        <f t="shared" si="80"/>
        <v>0.27533002572773213</v>
      </c>
      <c r="AO50" s="11">
        <f t="shared" si="80"/>
        <v>0.2795765324943108</v>
      </c>
      <c r="AR50" t="s">
        <v>71</v>
      </c>
      <c r="AS50" s="7" t="s">
        <v>124</v>
      </c>
    </row>
    <row r="51" spans="2:45" x14ac:dyDescent="0.3">
      <c r="B51" t="s">
        <v>59</v>
      </c>
      <c r="G51" s="10">
        <f>G20/C20-1</f>
        <v>3.1573033707865168</v>
      </c>
      <c r="H51" s="10">
        <f t="shared" ref="H51:R51" si="81">H20/D20-1</f>
        <v>0.36082474226804129</v>
      </c>
      <c r="I51" s="10">
        <f t="shared" si="81"/>
        <v>0.63218390804597702</v>
      </c>
      <c r="J51" s="10">
        <f t="shared" si="81"/>
        <v>0.42990654205607504</v>
      </c>
      <c r="K51" s="10">
        <f t="shared" si="81"/>
        <v>-0.59459459459459452</v>
      </c>
      <c r="L51" s="10">
        <f t="shared" si="81"/>
        <v>0.14393939393939403</v>
      </c>
      <c r="M51" s="10">
        <f t="shared" si="81"/>
        <v>0.23943661971830998</v>
      </c>
      <c r="N51" s="10">
        <f t="shared" si="81"/>
        <v>0.10457516339869266</v>
      </c>
      <c r="O51" s="10">
        <f t="shared" si="81"/>
        <v>9.3333333333333268E-2</v>
      </c>
      <c r="P51" s="10">
        <f t="shared" si="81"/>
        <v>0.17218543046357615</v>
      </c>
      <c r="Q51" s="10">
        <f t="shared" si="81"/>
        <v>-0.17045454545454553</v>
      </c>
      <c r="R51" s="10">
        <f t="shared" si="81"/>
        <v>-5.9171597633135953E-2</v>
      </c>
      <c r="S51" s="10">
        <f t="shared" ref="S51:V52" si="82">S20/O20-1</f>
        <v>-8.536585365853655E-2</v>
      </c>
      <c r="T51" s="10">
        <f t="shared" si="82"/>
        <v>-6.7796610169491456E-2</v>
      </c>
      <c r="U51" s="10">
        <f t="shared" si="82"/>
        <v>-3.4246575342465779E-2</v>
      </c>
      <c r="V51" s="10">
        <f t="shared" si="82"/>
        <v>6.2893081761006275E-3</v>
      </c>
      <c r="Y51" s="10">
        <f>Y20/X20-1</f>
        <v>0.28112449799196781</v>
      </c>
      <c r="Z51" s="10">
        <f t="shared" ref="Z51:AO51" si="83">Z20/Y20-1</f>
        <v>-0.16614420062695912</v>
      </c>
      <c r="AA51" s="10">
        <f t="shared" si="83"/>
        <v>0.4285714285714286</v>
      </c>
      <c r="AB51" s="10">
        <f t="shared" si="83"/>
        <v>1.0973684210526318</v>
      </c>
      <c r="AC51" s="10">
        <f t="shared" si="83"/>
        <v>-0.18946047678795497</v>
      </c>
      <c r="AD51" s="10">
        <f t="shared" si="83"/>
        <v>0</v>
      </c>
      <c r="AE51" s="10">
        <f t="shared" si="83"/>
        <v>-4.6439628482972006E-2</v>
      </c>
      <c r="AF51" s="10">
        <f t="shared" si="83"/>
        <v>1.0000000000000009E-2</v>
      </c>
      <c r="AG51" s="10">
        <f t="shared" si="83"/>
        <v>2.0000000000000018E-2</v>
      </c>
      <c r="AH51" s="10">
        <f t="shared" si="83"/>
        <v>2.0000000000000018E-2</v>
      </c>
      <c r="AI51" s="10">
        <f t="shared" si="83"/>
        <v>2.0000000000000018E-2</v>
      </c>
      <c r="AJ51" s="10">
        <f t="shared" si="83"/>
        <v>2.0000000000000018E-2</v>
      </c>
      <c r="AK51" s="10">
        <f t="shared" si="83"/>
        <v>2.0000000000000018E-2</v>
      </c>
      <c r="AL51" s="10">
        <f t="shared" si="83"/>
        <v>2.0000000000000018E-2</v>
      </c>
      <c r="AM51" s="10">
        <f t="shared" si="83"/>
        <v>2.0000000000000018E-2</v>
      </c>
      <c r="AN51" s="10">
        <f t="shared" si="83"/>
        <v>2.0000000000000018E-2</v>
      </c>
      <c r="AO51" s="10">
        <f t="shared" si="83"/>
        <v>2.0000000000000018E-2</v>
      </c>
    </row>
    <row r="52" spans="2:45" x14ac:dyDescent="0.3">
      <c r="B52" t="s">
        <v>60</v>
      </c>
      <c r="G52" s="10">
        <f>G21/C21-1</f>
        <v>1.7777777777777777</v>
      </c>
      <c r="H52" s="10">
        <f t="shared" ref="H52:R52" si="84">H21/D21-1</f>
        <v>1.5666666666666669</v>
      </c>
      <c r="I52" s="10">
        <f t="shared" si="84"/>
        <v>2.2333333333333329</v>
      </c>
      <c r="J52" s="10">
        <f t="shared" si="84"/>
        <v>2.4857142857142853</v>
      </c>
      <c r="K52" s="10">
        <f t="shared" si="84"/>
        <v>1.54</v>
      </c>
      <c r="L52" s="10">
        <f t="shared" si="84"/>
        <v>0.90909090909090895</v>
      </c>
      <c r="M52" s="10">
        <f t="shared" si="84"/>
        <v>0.60824742268041243</v>
      </c>
      <c r="N52" s="10">
        <f t="shared" si="84"/>
        <v>0.47540983606557385</v>
      </c>
      <c r="O52" s="10">
        <f t="shared" si="84"/>
        <v>0.13385826771653542</v>
      </c>
      <c r="P52" s="10">
        <f t="shared" si="84"/>
        <v>0.12925170068027225</v>
      </c>
      <c r="Q52" s="10">
        <f t="shared" si="84"/>
        <v>-0.1794871794871794</v>
      </c>
      <c r="R52" s="10">
        <f t="shared" si="84"/>
        <v>-0.35555555555555562</v>
      </c>
      <c r="S52" s="10">
        <f t="shared" si="82"/>
        <v>-0.22916666666666674</v>
      </c>
      <c r="T52" s="10">
        <f t="shared" si="82"/>
        <v>-0.40361445783132532</v>
      </c>
      <c r="U52" s="10">
        <f t="shared" si="82"/>
        <v>-0.40625000000000011</v>
      </c>
      <c r="V52" s="10">
        <f t="shared" si="82"/>
        <v>-0.22413793103448276</v>
      </c>
      <c r="Y52" s="10">
        <f>Y21/X21-1</f>
        <v>-0.39473684210526316</v>
      </c>
      <c r="Z52" s="10">
        <f t="shared" ref="Z52:AO52" si="85">Z21/Y21-1</f>
        <v>-0.65217391304347827</v>
      </c>
      <c r="AA52" s="10">
        <f t="shared" si="85"/>
        <v>1.354166666666667</v>
      </c>
      <c r="AB52" s="10">
        <f t="shared" si="85"/>
        <v>2.0619469026548667</v>
      </c>
      <c r="AC52" s="10">
        <f t="shared" si="85"/>
        <v>0.76300578034682109</v>
      </c>
      <c r="AD52" s="10">
        <f t="shared" si="85"/>
        <v>-9.1803278688524559E-2</v>
      </c>
      <c r="AE52" s="10">
        <f t="shared" si="85"/>
        <v>-0.32129963898916958</v>
      </c>
      <c r="AF52" s="10">
        <f t="shared" si="85"/>
        <v>1.0000000000000009E-2</v>
      </c>
      <c r="AG52" s="10">
        <f t="shared" si="85"/>
        <v>2.0000000000000018E-2</v>
      </c>
      <c r="AH52" s="10">
        <f t="shared" si="85"/>
        <v>2.0000000000000018E-2</v>
      </c>
      <c r="AI52" s="10">
        <f t="shared" si="85"/>
        <v>2.0000000000000018E-2</v>
      </c>
      <c r="AJ52" s="10">
        <f t="shared" si="85"/>
        <v>2.0000000000000018E-2</v>
      </c>
      <c r="AK52" s="10">
        <f t="shared" si="85"/>
        <v>2.0000000000000018E-2</v>
      </c>
      <c r="AL52" s="10">
        <f t="shared" si="85"/>
        <v>2.0000000000000018E-2</v>
      </c>
      <c r="AM52" s="10">
        <f t="shared" si="85"/>
        <v>2.0000000000000018E-2</v>
      </c>
      <c r="AN52" s="10">
        <f t="shared" si="85"/>
        <v>2.0000000000000018E-2</v>
      </c>
      <c r="AO52" s="10">
        <f t="shared" si="85"/>
        <v>2.0000000000000018E-2</v>
      </c>
    </row>
    <row r="53" spans="2:45" x14ac:dyDescent="0.3">
      <c r="B53" s="1" t="s">
        <v>62</v>
      </c>
      <c r="C53" s="11">
        <f>C25/C13</f>
        <v>-0.95973154362416113</v>
      </c>
      <c r="D53" s="11">
        <f t="shared" ref="D53:R53" si="86">D25/D13</f>
        <v>-1.2428571428571427</v>
      </c>
      <c r="E53" s="11">
        <f t="shared" si="86"/>
        <v>-0.40074906367041208</v>
      </c>
      <c r="F53" s="11">
        <f t="shared" si="86"/>
        <v>-1.6258992805755397</v>
      </c>
      <c r="G53" s="11">
        <f t="shared" si="86"/>
        <v>-1.4119496855345912</v>
      </c>
      <c r="H53" s="11">
        <f t="shared" si="86"/>
        <v>-1.7134146341463417</v>
      </c>
      <c r="I53" s="11">
        <f t="shared" si="86"/>
        <v>-0.64583333333333326</v>
      </c>
      <c r="J53" s="11">
        <f t="shared" si="86"/>
        <v>-1.089285714285714</v>
      </c>
      <c r="K53" s="11">
        <f t="shared" si="86"/>
        <v>-0.60377358490566035</v>
      </c>
      <c r="L53" s="11">
        <f t="shared" si="86"/>
        <v>-0.93994778067885087</v>
      </c>
      <c r="M53" s="11">
        <f t="shared" si="86"/>
        <v>-1.6274509803921569</v>
      </c>
      <c r="N53" s="11">
        <f t="shared" si="86"/>
        <v>-1.6133333333333333</v>
      </c>
      <c r="O53" s="11">
        <f t="shared" si="86"/>
        <v>-2.5449101796407185</v>
      </c>
      <c r="P53" s="11">
        <f t="shared" si="86"/>
        <v>-1.8482142857142854</v>
      </c>
      <c r="Q53" s="11">
        <f t="shared" si="86"/>
        <v>-1.4177215189873418</v>
      </c>
      <c r="R53" s="11">
        <f t="shared" si="86"/>
        <v>-0.82995951417004066</v>
      </c>
      <c r="S53" s="11">
        <f t="shared" ref="S53:V53" si="87">S25/S13</f>
        <v>-1.7407407407407405</v>
      </c>
      <c r="T53" s="11">
        <f t="shared" si="87"/>
        <v>-0.96514745308310956</v>
      </c>
      <c r="U53" s="11">
        <f t="shared" si="87"/>
        <v>-2.0363247863247862</v>
      </c>
      <c r="V53" s="11">
        <f t="shared" si="87"/>
        <v>-0.55840336134453772</v>
      </c>
      <c r="W53" s="1"/>
      <c r="X53" s="1"/>
      <c r="Y53" s="11">
        <f t="shared" ref="Y53:AO53" si="88">Y25/Y13</f>
        <v>-1.1037891268533773</v>
      </c>
      <c r="Z53" s="11">
        <f t="shared" si="88"/>
        <v>-0.41242937853107348</v>
      </c>
      <c r="AA53" s="11">
        <f t="shared" si="88"/>
        <v>-0.93525179856115093</v>
      </c>
      <c r="AB53" s="11">
        <f t="shared" si="88"/>
        <v>-1.0995405819295556</v>
      </c>
      <c r="AC53" s="11">
        <f t="shared" si="88"/>
        <v>-1.1037277147487841</v>
      </c>
      <c r="AD53" s="11">
        <f t="shared" si="88"/>
        <v>-1.4126559714795008</v>
      </c>
      <c r="AE53" s="11">
        <f t="shared" si="88"/>
        <v>-1.2246814888833375</v>
      </c>
      <c r="AF53" s="11">
        <f t="shared" si="88"/>
        <v>-0.41413422589663867</v>
      </c>
      <c r="AG53" s="11">
        <f t="shared" si="88"/>
        <v>-0.24076021998693886</v>
      </c>
      <c r="AH53" s="11">
        <f t="shared" si="88"/>
        <v>-0.13794838248294497</v>
      </c>
      <c r="AI53" s="11">
        <f t="shared" si="88"/>
        <v>-7.5065200594824785E-2</v>
      </c>
      <c r="AJ53" s="11">
        <f t="shared" si="88"/>
        <v>-1.2461022191445414E-2</v>
      </c>
      <c r="AK53" s="11">
        <f t="shared" si="88"/>
        <v>1.9914729793127976E-2</v>
      </c>
      <c r="AL53" s="11">
        <f t="shared" si="88"/>
        <v>4.8115487908446303E-2</v>
      </c>
      <c r="AM53" s="11">
        <f t="shared" si="88"/>
        <v>7.2067864367833051E-2</v>
      </c>
      <c r="AN53" s="11">
        <f t="shared" si="88"/>
        <v>9.4558217035757661E-2</v>
      </c>
      <c r="AO53" s="11">
        <f t="shared" si="88"/>
        <v>0.11570244600489843</v>
      </c>
    </row>
    <row r="54" spans="2:45" x14ac:dyDescent="0.3">
      <c r="B54" t="s">
        <v>41</v>
      </c>
      <c r="C54" s="10">
        <f t="shared" ref="C54:F54" si="89">C30/C29</f>
        <v>0</v>
      </c>
      <c r="D54" s="10">
        <f t="shared" si="89"/>
        <v>0</v>
      </c>
      <c r="E54" s="10">
        <f t="shared" si="89"/>
        <v>0</v>
      </c>
      <c r="F54" s="10">
        <f t="shared" si="89"/>
        <v>0</v>
      </c>
      <c r="G54" s="10">
        <f>G30/G29</f>
        <v>0</v>
      </c>
      <c r="H54" s="10">
        <f t="shared" ref="H54:R54" si="90">H30/H29</f>
        <v>0</v>
      </c>
      <c r="I54" s="10">
        <f t="shared" si="90"/>
        <v>-1.7605633802816902E-2</v>
      </c>
      <c r="J54" s="10">
        <f t="shared" si="90"/>
        <v>-7.1942446043165489E-3</v>
      </c>
      <c r="K54" s="10">
        <f t="shared" si="90"/>
        <v>-2.9411764705882353E-2</v>
      </c>
      <c r="L54" s="10">
        <f t="shared" si="90"/>
        <v>0</v>
      </c>
      <c r="M54" s="10">
        <f t="shared" si="90"/>
        <v>0</v>
      </c>
      <c r="N54" s="10">
        <f t="shared" si="90"/>
        <v>0</v>
      </c>
      <c r="O54" s="10">
        <f t="shared" si="90"/>
        <v>0</v>
      </c>
      <c r="P54" s="10">
        <f t="shared" si="90"/>
        <v>0</v>
      </c>
      <c r="Q54" s="10">
        <f t="shared" si="90"/>
        <v>0</v>
      </c>
      <c r="R54" s="10">
        <f t="shared" si="90"/>
        <v>0</v>
      </c>
      <c r="S54" s="10">
        <f t="shared" ref="S54:V54" si="91">S30/S29</f>
        <v>0</v>
      </c>
      <c r="T54" s="10">
        <f t="shared" si="91"/>
        <v>-2.6455026455026458E-3</v>
      </c>
      <c r="U54" s="10">
        <f t="shared" si="91"/>
        <v>0</v>
      </c>
      <c r="V54" s="10">
        <f t="shared" si="91"/>
        <v>0</v>
      </c>
      <c r="Y54" s="10">
        <f t="shared" ref="Y54:AO54" si="92">Y30/Y29</f>
        <v>-1.2903225806451613E-3</v>
      </c>
      <c r="Z54" s="10">
        <f t="shared" si="92"/>
        <v>-1.2642225031605564E-3</v>
      </c>
      <c r="AA54" s="10">
        <f t="shared" si="92"/>
        <v>0</v>
      </c>
      <c r="AB54" s="10">
        <f t="shared" si="92"/>
        <v>-5.4719562243502069E-3</v>
      </c>
      <c r="AC54" s="10">
        <f t="shared" si="92"/>
        <v>-5.5813953488372103E-3</v>
      </c>
      <c r="AD54" s="10">
        <f t="shared" si="92"/>
        <v>0</v>
      </c>
      <c r="AE54" s="10">
        <f t="shared" si="92"/>
        <v>-5.1309416304080131E-4</v>
      </c>
      <c r="AF54" s="10">
        <f t="shared" si="92"/>
        <v>0</v>
      </c>
      <c r="AG54" s="10">
        <f t="shared" si="92"/>
        <v>0</v>
      </c>
      <c r="AH54" s="10">
        <f t="shared" si="92"/>
        <v>0</v>
      </c>
      <c r="AI54" s="10">
        <f t="shared" si="92"/>
        <v>0</v>
      </c>
      <c r="AJ54" s="10">
        <f t="shared" si="92"/>
        <v>0</v>
      </c>
      <c r="AK54" s="10">
        <f t="shared" si="92"/>
        <v>0</v>
      </c>
      <c r="AL54" s="10">
        <f t="shared" si="92"/>
        <v>0</v>
      </c>
      <c r="AM54" s="10">
        <f t="shared" si="92"/>
        <v>0</v>
      </c>
      <c r="AN54" s="10">
        <f t="shared" si="92"/>
        <v>0</v>
      </c>
      <c r="AO54" s="10">
        <f t="shared" si="92"/>
        <v>0</v>
      </c>
    </row>
    <row r="55" spans="2:45" s="1" customFormat="1" x14ac:dyDescent="0.3">
      <c r="B55" s="1" t="s">
        <v>61</v>
      </c>
      <c r="C55" s="11">
        <f t="shared" ref="C55:F55" si="93">C32/C13</f>
        <v>-3.0805369127516777</v>
      </c>
      <c r="D55" s="11">
        <f t="shared" si="93"/>
        <v>-1.3571428571428572</v>
      </c>
      <c r="E55" s="11">
        <f t="shared" si="93"/>
        <v>-0.45318352059925104</v>
      </c>
      <c r="F55" s="11">
        <f t="shared" si="93"/>
        <v>-1.7410071942446042</v>
      </c>
      <c r="G55" s="11">
        <f>G32/G13</f>
        <v>-1.2767295597484276</v>
      </c>
      <c r="H55" s="11">
        <f t="shared" ref="H55:R55" si="94">H32/H13</f>
        <v>-1.8231707317073171</v>
      </c>
      <c r="I55" s="11">
        <f t="shared" si="94"/>
        <v>-0.67824074074074059</v>
      </c>
      <c r="J55" s="11">
        <f t="shared" si="94"/>
        <v>-1.0841836734693873</v>
      </c>
      <c r="K55" s="11">
        <f t="shared" si="94"/>
        <v>-0.49865229110512127</v>
      </c>
      <c r="L55" s="11">
        <f t="shared" si="94"/>
        <v>-0.89817232375979084</v>
      </c>
      <c r="M55" s="11">
        <f t="shared" si="94"/>
        <v>-0.95686274509803904</v>
      </c>
      <c r="N55" s="11">
        <f t="shared" si="94"/>
        <v>-1.3822222222222218</v>
      </c>
      <c r="O55" s="11">
        <f t="shared" si="94"/>
        <v>-1.2335329341317365</v>
      </c>
      <c r="P55" s="11">
        <f t="shared" si="94"/>
        <v>-1.4732142857142851</v>
      </c>
      <c r="Q55" s="11">
        <f t="shared" si="94"/>
        <v>-1.4092827004219413</v>
      </c>
      <c r="R55" s="11">
        <f t="shared" si="94"/>
        <v>-0.85222672064777349</v>
      </c>
      <c r="S55" s="11">
        <f t="shared" ref="S55:V55" si="95">S32/S13</f>
        <v>-1.497354497354497</v>
      </c>
      <c r="T55" s="11">
        <f t="shared" si="95"/>
        <v>-1.0455764075067022</v>
      </c>
      <c r="U55" s="11">
        <f t="shared" si="95"/>
        <v>-1.982905982905983</v>
      </c>
      <c r="V55" s="11">
        <f t="shared" si="95"/>
        <v>-0.6109243697478991</v>
      </c>
      <c r="Y55" s="11">
        <f t="shared" ref="Y55:AO55" si="96">Y32/Y13</f>
        <v>-1.2784184514003294</v>
      </c>
      <c r="Z55" s="11">
        <f t="shared" si="96"/>
        <v>-1.1186440677966101</v>
      </c>
      <c r="AA55" s="11">
        <f t="shared" si="96"/>
        <v>-1.4561151079136689</v>
      </c>
      <c r="AB55" s="11">
        <f t="shared" si="96"/>
        <v>-1.0895865237366003</v>
      </c>
      <c r="AC55" s="11">
        <f t="shared" si="96"/>
        <v>-0.87844408427876775</v>
      </c>
      <c r="AD55" s="11">
        <f t="shared" si="96"/>
        <v>-1.1506238859180036</v>
      </c>
      <c r="AE55" s="11">
        <f t="shared" si="96"/>
        <v>-1.2178116412690481</v>
      </c>
      <c r="AF55" s="11">
        <f t="shared" si="96"/>
        <v>-0.42506366664513701</v>
      </c>
      <c r="AG55" s="11">
        <f t="shared" si="96"/>
        <v>-0.24987121750426328</v>
      </c>
      <c r="AH55" s="11">
        <f t="shared" si="96"/>
        <v>-0.14588791017610259</v>
      </c>
      <c r="AI55" s="11">
        <f t="shared" si="96"/>
        <v>-8.2176255833044207E-2</v>
      </c>
      <c r="AJ55" s="11">
        <f t="shared" si="96"/>
        <v>-1.8968724557201923E-2</v>
      </c>
      <c r="AK55" s="11">
        <f t="shared" si="96"/>
        <v>1.3931083048132164E-2</v>
      </c>
      <c r="AL55" s="11">
        <f t="shared" si="96"/>
        <v>4.2619544895022766E-2</v>
      </c>
      <c r="AM55" s="11">
        <f t="shared" si="96"/>
        <v>6.7025386318754918E-2</v>
      </c>
      <c r="AN55" s="11">
        <f t="shared" si="96"/>
        <v>8.9936970461253013E-2</v>
      </c>
      <c r="AO55" s="11">
        <f t="shared" si="96"/>
        <v>0.11147210112267998</v>
      </c>
    </row>
    <row r="57" spans="2:45" s="1" customFormat="1" x14ac:dyDescent="0.3">
      <c r="B57" s="1" t="s">
        <v>66</v>
      </c>
      <c r="N57" s="8">
        <f t="shared" ref="N57:U57" si="97">N58+N59+N64-N74-N82</f>
        <v>273.79999999999995</v>
      </c>
      <c r="O57" s="8">
        <f t="shared" si="97"/>
        <v>221</v>
      </c>
      <c r="P57" s="8">
        <f t="shared" si="97"/>
        <v>171.50000000000006</v>
      </c>
      <c r="Q57" s="8">
        <f t="shared" si="97"/>
        <v>187.00000000000006</v>
      </c>
      <c r="R57" s="8">
        <f t="shared" si="97"/>
        <v>171.20000000000002</v>
      </c>
      <c r="S57" s="8">
        <f t="shared" si="97"/>
        <v>127.99999999999999</v>
      </c>
      <c r="T57" s="8">
        <f t="shared" si="97"/>
        <v>98.800000000000011</v>
      </c>
      <c r="U57" s="8">
        <f t="shared" si="97"/>
        <v>100.89999999999999</v>
      </c>
      <c r="V57" s="8"/>
      <c r="AA57" s="8">
        <f>AA58+AA59+AA64-AA74-AA82</f>
        <v>371.5</v>
      </c>
      <c r="AB57" s="8">
        <f>AB58+AB59+AB64-AB74-AB82</f>
        <v>385</v>
      </c>
      <c r="AC57" s="8">
        <f>AC58+AC59+AC64-AC74-AC82</f>
        <v>273.79999999999995</v>
      </c>
      <c r="AD57" s="8">
        <f>AD58+AD59+AD64-AD74-AD82</f>
        <v>171.20000000000002</v>
      </c>
      <c r="AE57" s="19">
        <f t="shared" ref="AE57" si="98">AE58+AE59+AE64-AE74-AE82</f>
        <v>100.89999999999999</v>
      </c>
    </row>
    <row r="58" spans="2:45" x14ac:dyDescent="0.3">
      <c r="B58" t="s">
        <v>4</v>
      </c>
      <c r="N58" s="6">
        <f>250+5.2</f>
        <v>255.2</v>
      </c>
      <c r="O58" s="6">
        <f>297.5+6</f>
        <v>303.5</v>
      </c>
      <c r="P58" s="6">
        <f>158.8+5</f>
        <v>163.80000000000001</v>
      </c>
      <c r="Q58" s="6">
        <f>159.3+9.7</f>
        <v>169</v>
      </c>
      <c r="R58" s="6">
        <f>148.1+12.2</f>
        <v>160.29999999999998</v>
      </c>
      <c r="S58" s="6">
        <f>98.1+12.6</f>
        <v>110.69999999999999</v>
      </c>
      <c r="T58" s="6">
        <f>116.1+12.3</f>
        <v>128.4</v>
      </c>
      <c r="U58" s="6">
        <f>174.7+16.1</f>
        <v>190.79999999999998</v>
      </c>
      <c r="V58" s="6"/>
      <c r="AA58" s="6">
        <f>432.2+11.3</f>
        <v>443.5</v>
      </c>
      <c r="AB58" s="6">
        <f>458.1+4.4</f>
        <v>462.5</v>
      </c>
      <c r="AC58" s="6">
        <f>250+5.2</f>
        <v>255.2</v>
      </c>
      <c r="AD58" s="6">
        <f>148.1+12.2</f>
        <v>160.29999999999998</v>
      </c>
      <c r="AE58" s="20">
        <f>174.7+16.1</f>
        <v>190.79999999999998</v>
      </c>
    </row>
    <row r="59" spans="2:45" x14ac:dyDescent="0.3">
      <c r="B59" t="s">
        <v>72</v>
      </c>
      <c r="N59" s="6">
        <v>103.8</v>
      </c>
      <c r="O59" s="6">
        <v>0</v>
      </c>
      <c r="P59" s="6">
        <v>101.3</v>
      </c>
      <c r="Q59" s="6">
        <v>107.8</v>
      </c>
      <c r="R59" s="6">
        <v>109.1</v>
      </c>
      <c r="S59" s="6">
        <v>110.3</v>
      </c>
      <c r="T59" s="6">
        <v>60.9</v>
      </c>
      <c r="U59" s="6">
        <v>0</v>
      </c>
      <c r="V59" s="6"/>
      <c r="AA59" s="6">
        <v>0</v>
      </c>
      <c r="AB59" s="6">
        <v>0</v>
      </c>
      <c r="AC59" s="6">
        <v>103.8</v>
      </c>
      <c r="AD59" s="6">
        <v>109.1</v>
      </c>
      <c r="AE59" s="20">
        <v>0</v>
      </c>
    </row>
    <row r="60" spans="2:45" x14ac:dyDescent="0.3">
      <c r="B60" t="s">
        <v>73</v>
      </c>
      <c r="N60" s="6">
        <f>3.8+16.3</f>
        <v>20.100000000000001</v>
      </c>
      <c r="O60" s="6">
        <f>3.3+22.5</f>
        <v>25.8</v>
      </c>
      <c r="P60" s="6">
        <f>7.2+26.4</f>
        <v>33.6</v>
      </c>
      <c r="Q60" s="6">
        <f>11.2+30.2</f>
        <v>41.4</v>
      </c>
      <c r="R60" s="6">
        <f>11.8+36.9</f>
        <v>48.7</v>
      </c>
      <c r="S60" s="6">
        <f>9.2+41.9</f>
        <v>51.099999999999994</v>
      </c>
      <c r="T60" s="6">
        <f>10+45.4</f>
        <v>55.4</v>
      </c>
      <c r="U60" s="6">
        <f>10+44.7</f>
        <v>54.7</v>
      </c>
      <c r="V60" s="6"/>
      <c r="AA60" s="6">
        <f>14.7+8.9</f>
        <v>23.6</v>
      </c>
      <c r="AB60" s="6">
        <f>4.9+11</f>
        <v>15.9</v>
      </c>
      <c r="AC60" s="6">
        <f>3.8+16.3</f>
        <v>20.100000000000001</v>
      </c>
      <c r="AD60" s="6">
        <f>11.8+36.9</f>
        <v>48.7</v>
      </c>
      <c r="AE60" s="20">
        <f>10+44.7</f>
        <v>54.7</v>
      </c>
    </row>
    <row r="61" spans="2:45" x14ac:dyDescent="0.3">
      <c r="B61" t="s">
        <v>74</v>
      </c>
      <c r="N61" s="6">
        <v>84.5</v>
      </c>
      <c r="O61" s="6">
        <v>102.9</v>
      </c>
      <c r="P61" s="6">
        <v>113.9</v>
      </c>
      <c r="Q61" s="6">
        <v>129.30000000000001</v>
      </c>
      <c r="R61" s="6">
        <v>113.7</v>
      </c>
      <c r="S61" s="6">
        <v>125.8</v>
      </c>
      <c r="T61" s="6">
        <v>123.5</v>
      </c>
      <c r="U61" s="6">
        <v>104.6</v>
      </c>
      <c r="V61" s="6"/>
      <c r="AA61" s="6">
        <v>67.099999999999994</v>
      </c>
      <c r="AB61" s="6">
        <v>90.9</v>
      </c>
      <c r="AC61" s="6">
        <v>84.5</v>
      </c>
      <c r="AD61" s="6">
        <v>113.7</v>
      </c>
      <c r="AE61" s="20">
        <v>104.6</v>
      </c>
    </row>
    <row r="62" spans="2:45" x14ac:dyDescent="0.3">
      <c r="B62" t="s">
        <v>75</v>
      </c>
      <c r="N62" s="6">
        <v>12.9</v>
      </c>
      <c r="O62" s="6">
        <v>13.2</v>
      </c>
      <c r="P62" s="6">
        <v>13.3</v>
      </c>
      <c r="Q62" s="6">
        <v>12.4</v>
      </c>
      <c r="R62" s="6">
        <v>12.7</v>
      </c>
      <c r="S62" s="6">
        <v>13.4</v>
      </c>
      <c r="T62" s="6">
        <v>16.2</v>
      </c>
      <c r="U62" s="6">
        <v>20.399999999999999</v>
      </c>
      <c r="V62" s="6"/>
      <c r="AA62" s="6">
        <v>9.1999999999999993</v>
      </c>
      <c r="AB62" s="6">
        <v>11</v>
      </c>
      <c r="AC62" s="6">
        <v>12.9</v>
      </c>
      <c r="AD62" s="6">
        <v>12.7</v>
      </c>
      <c r="AE62" s="20">
        <v>20.399999999999999</v>
      </c>
    </row>
    <row r="63" spans="2:45" s="1" customFormat="1" x14ac:dyDescent="0.3">
      <c r="B63" s="1" t="s">
        <v>86</v>
      </c>
      <c r="N63" s="8">
        <f t="shared" ref="N63:U63" si="99">SUM(N58:N62)</f>
        <v>476.5</v>
      </c>
      <c r="O63" s="8">
        <f t="shared" si="99"/>
        <v>445.40000000000003</v>
      </c>
      <c r="P63" s="8">
        <f t="shared" si="99"/>
        <v>425.90000000000003</v>
      </c>
      <c r="Q63" s="8">
        <f t="shared" si="99"/>
        <v>459.9</v>
      </c>
      <c r="R63" s="8">
        <f t="shared" si="99"/>
        <v>444.49999999999994</v>
      </c>
      <c r="S63" s="8">
        <f t="shared" si="99"/>
        <v>411.3</v>
      </c>
      <c r="T63" s="8">
        <f t="shared" si="99"/>
        <v>384.40000000000003</v>
      </c>
      <c r="U63" s="8">
        <f t="shared" si="99"/>
        <v>370.5</v>
      </c>
      <c r="V63" s="8"/>
      <c r="AA63" s="8">
        <f>SUM(AA58:AA62)</f>
        <v>543.40000000000009</v>
      </c>
      <c r="AB63" s="8">
        <f>SUM(AB58:AB62)</f>
        <v>580.29999999999995</v>
      </c>
      <c r="AC63" s="8">
        <f>SUM(AC58:AC62)</f>
        <v>476.5</v>
      </c>
      <c r="AD63" s="8">
        <f>SUM(AD58:AD62)</f>
        <v>444.49999999999994</v>
      </c>
      <c r="AE63" s="19">
        <f t="shared" ref="AE63" si="100">SUM(AE58:AE62)</f>
        <v>370.5</v>
      </c>
    </row>
    <row r="64" spans="2:45" x14ac:dyDescent="0.3">
      <c r="B64" t="s">
        <v>4</v>
      </c>
      <c r="N64" s="6">
        <v>44.5</v>
      </c>
      <c r="O64" s="6">
        <v>45.4</v>
      </c>
      <c r="P64" s="6">
        <v>48.1</v>
      </c>
      <c r="Q64" s="6">
        <v>49.1</v>
      </c>
      <c r="R64" s="6">
        <v>48.6</v>
      </c>
      <c r="S64" s="6">
        <v>49.7</v>
      </c>
      <c r="T64" s="6">
        <v>50.7</v>
      </c>
      <c r="U64" s="6">
        <v>46.1</v>
      </c>
      <c r="V64" s="6"/>
      <c r="AA64" s="6">
        <v>16.7</v>
      </c>
      <c r="AB64" s="6">
        <v>18.600000000000001</v>
      </c>
      <c r="AC64" s="6">
        <v>44.5</v>
      </c>
      <c r="AD64" s="6">
        <v>48.6</v>
      </c>
      <c r="AE64" s="20">
        <v>46.1</v>
      </c>
    </row>
    <row r="65" spans="2:31" x14ac:dyDescent="0.3">
      <c r="B65" t="s">
        <v>74</v>
      </c>
      <c r="N65" s="6">
        <v>7.3</v>
      </c>
      <c r="O65" s="6">
        <v>2.7</v>
      </c>
      <c r="P65" s="6">
        <v>2.7</v>
      </c>
      <c r="Q65" s="6">
        <v>2.7</v>
      </c>
      <c r="R65" s="6">
        <v>2.7</v>
      </c>
      <c r="S65" s="6">
        <v>2.7</v>
      </c>
      <c r="T65" s="6">
        <v>2.7</v>
      </c>
      <c r="U65" s="6">
        <v>2.7</v>
      </c>
      <c r="V65" s="6"/>
      <c r="AA65" s="6">
        <v>4.5999999999999996</v>
      </c>
      <c r="AB65" s="6">
        <v>7.5</v>
      </c>
      <c r="AC65" s="6">
        <v>7.3</v>
      </c>
      <c r="AD65" s="6">
        <v>2.7</v>
      </c>
      <c r="AE65" s="20">
        <v>2.7</v>
      </c>
    </row>
    <row r="66" spans="2:31" x14ac:dyDescent="0.3">
      <c r="B66" t="s">
        <v>91</v>
      </c>
      <c r="N66" s="6">
        <v>258.10000000000002</v>
      </c>
      <c r="O66" s="6">
        <v>260.8</v>
      </c>
      <c r="P66" s="6">
        <v>256.60000000000002</v>
      </c>
      <c r="Q66" s="6">
        <v>248.8</v>
      </c>
      <c r="R66" s="6">
        <v>242.1</v>
      </c>
      <c r="S66" s="6">
        <v>236.7</v>
      </c>
      <c r="T66" s="6">
        <v>228.2</v>
      </c>
      <c r="U66" s="6">
        <v>224.5</v>
      </c>
      <c r="V66" s="6"/>
      <c r="AA66" s="6">
        <v>223.3</v>
      </c>
      <c r="AB66" s="6">
        <v>232.9</v>
      </c>
      <c r="AC66" s="6">
        <v>258.10000000000002</v>
      </c>
      <c r="AD66" s="6">
        <v>242.1</v>
      </c>
      <c r="AE66" s="20">
        <v>224.5</v>
      </c>
    </row>
    <row r="67" spans="2:31" x14ac:dyDescent="0.3">
      <c r="B67" t="s">
        <v>76</v>
      </c>
      <c r="N67" s="6">
        <v>89.7</v>
      </c>
      <c r="O67" s="6">
        <v>97.9</v>
      </c>
      <c r="P67" s="6">
        <v>111.6</v>
      </c>
      <c r="Q67" s="6">
        <v>121.4</v>
      </c>
      <c r="R67" s="6">
        <v>130.69999999999999</v>
      </c>
      <c r="S67" s="6">
        <v>135.30000000000001</v>
      </c>
      <c r="T67" s="6">
        <v>138.19999999999999</v>
      </c>
      <c r="U67" s="6">
        <v>97.8</v>
      </c>
      <c r="V67" s="6"/>
      <c r="AA67" s="6">
        <v>39.4</v>
      </c>
      <c r="AB67" s="6">
        <v>58.1</v>
      </c>
      <c r="AC67" s="6">
        <v>89.7</v>
      </c>
      <c r="AD67" s="6">
        <v>130.69999999999999</v>
      </c>
      <c r="AE67" s="20">
        <v>97.8</v>
      </c>
    </row>
    <row r="68" spans="2:31" x14ac:dyDescent="0.3">
      <c r="B68" t="s">
        <v>77</v>
      </c>
      <c r="N68" s="6">
        <v>8.4</v>
      </c>
      <c r="O68" s="6">
        <v>8.1999999999999993</v>
      </c>
      <c r="P68" s="6">
        <v>8</v>
      </c>
      <c r="Q68" s="6">
        <v>7.9</v>
      </c>
      <c r="R68" s="6">
        <v>8.1</v>
      </c>
      <c r="S68" s="6">
        <v>8</v>
      </c>
      <c r="T68" s="6">
        <v>7.6</v>
      </c>
      <c r="U68" s="6">
        <v>10.9</v>
      </c>
      <c r="V68" s="6"/>
      <c r="AA68" s="6">
        <v>8.1</v>
      </c>
      <c r="AB68" s="6">
        <v>7.2</v>
      </c>
      <c r="AC68" s="6">
        <v>8.4</v>
      </c>
      <c r="AD68" s="6">
        <v>8.1</v>
      </c>
      <c r="AE68" s="20">
        <v>10.9</v>
      </c>
    </row>
    <row r="69" spans="2:31" x14ac:dyDescent="0.3">
      <c r="B69" t="s">
        <v>78</v>
      </c>
      <c r="N69" s="6">
        <v>4.0999999999999996</v>
      </c>
      <c r="O69" s="6">
        <v>4.0999999999999996</v>
      </c>
      <c r="P69" s="6">
        <v>4.0999999999999996</v>
      </c>
      <c r="Q69" s="6">
        <v>4.0999999999999996</v>
      </c>
      <c r="R69" s="6">
        <v>4.0999999999999996</v>
      </c>
      <c r="S69" s="6">
        <v>4.0999999999999996</v>
      </c>
      <c r="T69" s="6">
        <v>4.0999999999999996</v>
      </c>
      <c r="U69" s="6">
        <v>0</v>
      </c>
      <c r="V69" s="6"/>
      <c r="AA69" s="6">
        <v>4.0999999999999996</v>
      </c>
      <c r="AB69" s="6">
        <v>4.0999999999999996</v>
      </c>
      <c r="AC69" s="6">
        <v>4.0999999999999996</v>
      </c>
      <c r="AD69" s="6">
        <v>4.0999999999999996</v>
      </c>
      <c r="AE69" s="20">
        <v>0</v>
      </c>
    </row>
    <row r="70" spans="2:31" x14ac:dyDescent="0.3">
      <c r="B70" t="s">
        <v>79</v>
      </c>
      <c r="N70" s="6">
        <v>16.100000000000001</v>
      </c>
      <c r="O70" s="6">
        <v>15.8</v>
      </c>
      <c r="P70" s="6">
        <v>15.4</v>
      </c>
      <c r="Q70" s="6">
        <v>15.1</v>
      </c>
      <c r="R70" s="6">
        <v>14.8</v>
      </c>
      <c r="S70" s="6">
        <v>14.5</v>
      </c>
      <c r="T70" s="6">
        <v>14.1</v>
      </c>
      <c r="U70" s="6">
        <v>4.2</v>
      </c>
      <c r="V70" s="6"/>
      <c r="AA70" s="6">
        <v>18.7</v>
      </c>
      <c r="AB70" s="6">
        <v>17.399999999999999</v>
      </c>
      <c r="AC70" s="6">
        <v>16.100000000000001</v>
      </c>
      <c r="AD70" s="6">
        <v>14.8</v>
      </c>
      <c r="AE70" s="20">
        <v>4.2</v>
      </c>
    </row>
    <row r="71" spans="2:31" x14ac:dyDescent="0.3">
      <c r="B71" t="s">
        <v>80</v>
      </c>
      <c r="N71" s="6">
        <v>51.2</v>
      </c>
      <c r="O71" s="6">
        <v>43.1</v>
      </c>
      <c r="P71" s="6">
        <v>44.4</v>
      </c>
      <c r="Q71" s="6">
        <v>39.799999999999997</v>
      </c>
      <c r="R71" s="6">
        <v>48.5</v>
      </c>
      <c r="S71" s="6">
        <v>45.4</v>
      </c>
      <c r="T71" s="6">
        <v>53.8</v>
      </c>
      <c r="U71" s="6">
        <v>73.900000000000006</v>
      </c>
      <c r="V71" s="6"/>
      <c r="AA71" s="6">
        <v>17</v>
      </c>
      <c r="AB71" s="6">
        <v>13.7</v>
      </c>
      <c r="AC71" s="6">
        <v>51.2</v>
      </c>
      <c r="AD71" s="6">
        <v>48.5</v>
      </c>
      <c r="AE71" s="20">
        <v>73.900000000000006</v>
      </c>
    </row>
    <row r="72" spans="2:31" s="1" customFormat="1" x14ac:dyDescent="0.3">
      <c r="B72" s="1" t="s">
        <v>87</v>
      </c>
      <c r="N72" s="8">
        <f t="shared" ref="N72:U72" si="101">SUM(N64:N71)</f>
        <v>479.40000000000003</v>
      </c>
      <c r="O72" s="8">
        <f t="shared" si="101"/>
        <v>478.00000000000011</v>
      </c>
      <c r="P72" s="8">
        <f t="shared" si="101"/>
        <v>490.9</v>
      </c>
      <c r="Q72" s="8">
        <f t="shared" si="101"/>
        <v>488.90000000000003</v>
      </c>
      <c r="R72" s="8">
        <f t="shared" si="101"/>
        <v>499.6</v>
      </c>
      <c r="S72" s="8">
        <f t="shared" si="101"/>
        <v>496.40000000000003</v>
      </c>
      <c r="T72" s="8">
        <f t="shared" si="101"/>
        <v>499.40000000000009</v>
      </c>
      <c r="U72" s="8">
        <f t="shared" si="101"/>
        <v>460.1</v>
      </c>
      <c r="V72" s="8"/>
      <c r="AA72" s="8">
        <f>SUM(AA64:AA71)</f>
        <v>331.90000000000003</v>
      </c>
      <c r="AB72" s="8">
        <f>SUM(AB64:AB71)</f>
        <v>359.5</v>
      </c>
      <c r="AC72" s="8">
        <f>SUM(AC64:AC71)</f>
        <v>479.40000000000003</v>
      </c>
      <c r="AD72" s="8">
        <f>SUM(AD64:AD71)</f>
        <v>499.6</v>
      </c>
      <c r="AE72" s="19">
        <f t="shared" ref="AE72" si="102">SUM(AE64:AE71)</f>
        <v>460.1</v>
      </c>
    </row>
    <row r="73" spans="2:31" s="1" customFormat="1" x14ac:dyDescent="0.3">
      <c r="B73" s="1" t="s">
        <v>90</v>
      </c>
      <c r="N73" s="12">
        <f t="shared" ref="N73:U73" si="103">N63+N72</f>
        <v>955.90000000000009</v>
      </c>
      <c r="O73" s="12">
        <f t="shared" si="103"/>
        <v>923.40000000000009</v>
      </c>
      <c r="P73" s="12">
        <f t="shared" si="103"/>
        <v>916.8</v>
      </c>
      <c r="Q73" s="12">
        <f t="shared" si="103"/>
        <v>948.8</v>
      </c>
      <c r="R73" s="12">
        <f t="shared" si="103"/>
        <v>944.09999999999991</v>
      </c>
      <c r="S73" s="12">
        <f t="shared" si="103"/>
        <v>907.7</v>
      </c>
      <c r="T73" s="12">
        <f t="shared" si="103"/>
        <v>883.80000000000018</v>
      </c>
      <c r="U73" s="12">
        <f t="shared" si="103"/>
        <v>830.6</v>
      </c>
      <c r="V73" s="12"/>
      <c r="AA73" s="12">
        <f>AA63+AA72</f>
        <v>875.30000000000018</v>
      </c>
      <c r="AB73" s="12">
        <f>AB63+AB72</f>
        <v>939.8</v>
      </c>
      <c r="AC73" s="12">
        <f>AC63+AC72</f>
        <v>955.90000000000009</v>
      </c>
      <c r="AD73" s="12">
        <f>AD63+AD72</f>
        <v>944.09999999999991</v>
      </c>
      <c r="AE73" s="21">
        <f t="shared" ref="AE73" si="104">AE63+AE72</f>
        <v>830.6</v>
      </c>
    </row>
    <row r="74" spans="2:31" x14ac:dyDescent="0.3">
      <c r="B74" t="s">
        <v>5</v>
      </c>
      <c r="N74" s="6">
        <v>10.1</v>
      </c>
      <c r="O74" s="6">
        <v>10.199999999999999</v>
      </c>
      <c r="P74" s="6">
        <v>11.7</v>
      </c>
      <c r="Q74" s="6">
        <v>12.2</v>
      </c>
      <c r="R74" s="6">
        <v>15.9</v>
      </c>
      <c r="S74" s="6">
        <v>16.899999999999999</v>
      </c>
      <c r="T74" s="6">
        <v>17.100000000000001</v>
      </c>
      <c r="U74" s="6">
        <v>16.7</v>
      </c>
      <c r="V74" s="6"/>
      <c r="AA74" s="6">
        <v>10.1</v>
      </c>
      <c r="AB74" s="6">
        <v>13.2</v>
      </c>
      <c r="AC74" s="6">
        <v>10.1</v>
      </c>
      <c r="AD74" s="6">
        <v>15.9</v>
      </c>
      <c r="AE74" s="20">
        <v>16.7</v>
      </c>
    </row>
    <row r="75" spans="2:31" x14ac:dyDescent="0.3">
      <c r="B75" t="s">
        <v>77</v>
      </c>
      <c r="N75" s="6">
        <v>0.6</v>
      </c>
      <c r="O75" s="6">
        <v>0.7</v>
      </c>
      <c r="P75" s="6">
        <v>0.8</v>
      </c>
      <c r="Q75" s="6">
        <v>0.8</v>
      </c>
      <c r="R75" s="6">
        <v>0.8</v>
      </c>
      <c r="S75" s="6">
        <v>0.8</v>
      </c>
      <c r="T75" s="6">
        <v>0.8</v>
      </c>
      <c r="U75" s="6">
        <v>0.8</v>
      </c>
      <c r="V75" s="6"/>
      <c r="AA75" s="6">
        <v>1</v>
      </c>
      <c r="AB75" s="6">
        <v>0.7</v>
      </c>
      <c r="AC75" s="6">
        <v>0.6</v>
      </c>
      <c r="AD75" s="6">
        <v>0.8</v>
      </c>
      <c r="AE75" s="20">
        <v>0.8</v>
      </c>
    </row>
    <row r="76" spans="2:31" x14ac:dyDescent="0.3">
      <c r="B76" t="s">
        <v>81</v>
      </c>
      <c r="N76" s="6">
        <v>26.5</v>
      </c>
      <c r="O76" s="6">
        <v>17.100000000000001</v>
      </c>
      <c r="P76" s="6">
        <v>21.6</v>
      </c>
      <c r="Q76" s="6">
        <v>16.899999999999999</v>
      </c>
      <c r="R76" s="6">
        <v>22.6</v>
      </c>
      <c r="S76" s="6">
        <v>18.399999999999999</v>
      </c>
      <c r="T76" s="6">
        <v>22.6</v>
      </c>
      <c r="U76" s="6">
        <v>16.399999999999999</v>
      </c>
      <c r="V76" s="6"/>
      <c r="AA76" s="6">
        <v>19.3</v>
      </c>
      <c r="AB76" s="6">
        <v>28.2</v>
      </c>
      <c r="AC76" s="6">
        <v>26.5</v>
      </c>
      <c r="AD76" s="6">
        <v>22.6</v>
      </c>
      <c r="AE76" s="20">
        <v>16.399999999999999</v>
      </c>
    </row>
    <row r="77" spans="2:31" x14ac:dyDescent="0.3">
      <c r="B77" t="s">
        <v>82</v>
      </c>
      <c r="N77" s="6">
        <v>26.3</v>
      </c>
      <c r="O77" s="6">
        <v>22.3</v>
      </c>
      <c r="P77" s="6">
        <v>24.1</v>
      </c>
      <c r="Q77" s="6">
        <v>26</v>
      </c>
      <c r="R77" s="6">
        <v>30.4</v>
      </c>
      <c r="S77" s="6">
        <v>23.6</v>
      </c>
      <c r="T77" s="6">
        <v>25</v>
      </c>
      <c r="U77" s="6">
        <v>29.9</v>
      </c>
      <c r="V77" s="6"/>
      <c r="AA77" s="6">
        <v>16.100000000000001</v>
      </c>
      <c r="AB77" s="6">
        <v>27.4</v>
      </c>
      <c r="AC77" s="6">
        <v>26.3</v>
      </c>
      <c r="AD77" s="6">
        <v>30.4</v>
      </c>
      <c r="AE77" s="20">
        <v>29.9</v>
      </c>
    </row>
    <row r="78" spans="2:31" x14ac:dyDescent="0.3">
      <c r="B78" t="s">
        <v>83</v>
      </c>
      <c r="N78" s="6">
        <v>2.4</v>
      </c>
      <c r="O78" s="6">
        <v>3.6</v>
      </c>
      <c r="P78" s="6">
        <v>6.8</v>
      </c>
      <c r="Q78" s="6">
        <v>10.6</v>
      </c>
      <c r="R78" s="6">
        <v>4.2</v>
      </c>
      <c r="S78" s="6">
        <v>5.2</v>
      </c>
      <c r="T78" s="6">
        <v>2.9</v>
      </c>
      <c r="U78" s="6">
        <v>5.3</v>
      </c>
      <c r="V78" s="6"/>
      <c r="AA78" s="6">
        <v>6.3</v>
      </c>
      <c r="AB78" s="6">
        <v>16.3</v>
      </c>
      <c r="AC78" s="6">
        <v>2.4</v>
      </c>
      <c r="AD78" s="6">
        <v>4.2</v>
      </c>
      <c r="AE78" s="20">
        <v>5.3</v>
      </c>
    </row>
    <row r="79" spans="2:31" s="1" customFormat="1" x14ac:dyDescent="0.3">
      <c r="B79" s="1" t="s">
        <v>88</v>
      </c>
      <c r="N79" s="8">
        <f t="shared" ref="N79:U79" si="105">SUM(N74:N78)</f>
        <v>65.900000000000006</v>
      </c>
      <c r="O79" s="8">
        <f t="shared" si="105"/>
        <v>53.9</v>
      </c>
      <c r="P79" s="8">
        <f t="shared" si="105"/>
        <v>65</v>
      </c>
      <c r="Q79" s="8">
        <f t="shared" si="105"/>
        <v>66.5</v>
      </c>
      <c r="R79" s="8">
        <f t="shared" si="105"/>
        <v>73.899999999999991</v>
      </c>
      <c r="S79" s="8">
        <f t="shared" si="105"/>
        <v>64.899999999999991</v>
      </c>
      <c r="T79" s="8">
        <f t="shared" si="105"/>
        <v>68.400000000000006</v>
      </c>
      <c r="U79" s="8">
        <f t="shared" si="105"/>
        <v>69.099999999999994</v>
      </c>
      <c r="V79" s="8"/>
      <c r="AA79" s="8">
        <f>SUM(AA74:AA78)</f>
        <v>52.8</v>
      </c>
      <c r="AB79" s="8">
        <f>SUM(AB74:AB78)</f>
        <v>85.8</v>
      </c>
      <c r="AC79" s="8">
        <f>SUM(AC74:AC78)</f>
        <v>65.900000000000006</v>
      </c>
      <c r="AD79" s="8">
        <f>SUM(AD74:AD78)</f>
        <v>73.899999999999991</v>
      </c>
      <c r="AE79" s="19">
        <f t="shared" ref="AE79" si="106">SUM(AE74:AE78)</f>
        <v>69.099999999999994</v>
      </c>
    </row>
    <row r="80" spans="2:31" x14ac:dyDescent="0.3">
      <c r="B80" t="s">
        <v>83</v>
      </c>
      <c r="N80" s="6">
        <v>0.7</v>
      </c>
      <c r="O80" s="6">
        <v>0.7</v>
      </c>
      <c r="P80" s="6">
        <v>1</v>
      </c>
      <c r="Q80" s="6">
        <v>2</v>
      </c>
      <c r="R80" s="6">
        <v>3</v>
      </c>
      <c r="S80" s="6">
        <v>3.1</v>
      </c>
      <c r="T80" s="6">
        <v>4.2</v>
      </c>
      <c r="U80" s="6">
        <v>5.4</v>
      </c>
      <c r="V80" s="6"/>
      <c r="AA80" s="6">
        <v>30.4</v>
      </c>
      <c r="AB80" s="6">
        <v>9.1</v>
      </c>
      <c r="AC80" s="6">
        <v>0.7</v>
      </c>
      <c r="AD80" s="6">
        <v>3</v>
      </c>
      <c r="AE80" s="20">
        <v>5.4</v>
      </c>
    </row>
    <row r="81" spans="2:31" x14ac:dyDescent="0.3">
      <c r="B81" t="s">
        <v>77</v>
      </c>
      <c r="N81" s="6">
        <v>9</v>
      </c>
      <c r="O81" s="6">
        <v>8.9</v>
      </c>
      <c r="P81" s="6">
        <v>8.9</v>
      </c>
      <c r="Q81" s="6">
        <v>8.6999999999999993</v>
      </c>
      <c r="R81" s="6">
        <v>8.9</v>
      </c>
      <c r="S81" s="6">
        <v>8.6999999999999993</v>
      </c>
      <c r="T81" s="6">
        <v>8.4</v>
      </c>
      <c r="U81" s="6">
        <v>11.7</v>
      </c>
      <c r="V81" s="6"/>
      <c r="AA81" s="6">
        <v>8.1</v>
      </c>
      <c r="AB81" s="6">
        <v>7.6</v>
      </c>
      <c r="AC81" s="6">
        <v>9</v>
      </c>
      <c r="AD81" s="6">
        <v>8.9</v>
      </c>
      <c r="AE81" s="20">
        <v>11.7</v>
      </c>
    </row>
    <row r="82" spans="2:31" x14ac:dyDescent="0.3">
      <c r="B82" t="s">
        <v>5</v>
      </c>
      <c r="N82" s="6">
        <v>119.6</v>
      </c>
      <c r="O82" s="6">
        <v>117.7</v>
      </c>
      <c r="P82" s="6">
        <v>130</v>
      </c>
      <c r="Q82" s="6">
        <v>126.7</v>
      </c>
      <c r="R82" s="6">
        <v>130.9</v>
      </c>
      <c r="S82" s="6">
        <v>125.8</v>
      </c>
      <c r="T82" s="6">
        <v>124.1</v>
      </c>
      <c r="U82" s="6">
        <v>119.3</v>
      </c>
      <c r="V82" s="6"/>
      <c r="AA82" s="6">
        <v>78.599999999999994</v>
      </c>
      <c r="AB82" s="6">
        <v>82.9</v>
      </c>
      <c r="AC82" s="6">
        <v>119.6</v>
      </c>
      <c r="AD82" s="6">
        <v>130.9</v>
      </c>
      <c r="AE82" s="20">
        <v>119.3</v>
      </c>
    </row>
    <row r="83" spans="2:31" s="1" customFormat="1" x14ac:dyDescent="0.3">
      <c r="B83" s="1" t="s">
        <v>89</v>
      </c>
      <c r="N83" s="8">
        <f t="shared" ref="N83:U83" si="107">SUM(N80:N82)</f>
        <v>129.29999999999998</v>
      </c>
      <c r="O83" s="8">
        <f t="shared" si="107"/>
        <v>127.3</v>
      </c>
      <c r="P83" s="8">
        <f t="shared" si="107"/>
        <v>139.9</v>
      </c>
      <c r="Q83" s="8">
        <f t="shared" si="107"/>
        <v>137.4</v>
      </c>
      <c r="R83" s="8">
        <f t="shared" si="107"/>
        <v>142.80000000000001</v>
      </c>
      <c r="S83" s="8">
        <f t="shared" si="107"/>
        <v>137.6</v>
      </c>
      <c r="T83" s="8">
        <f t="shared" si="107"/>
        <v>136.69999999999999</v>
      </c>
      <c r="U83" s="8">
        <f t="shared" si="107"/>
        <v>136.4</v>
      </c>
      <c r="V83" s="8"/>
      <c r="AA83" s="8">
        <f>SUM(AA80:AA82)</f>
        <v>117.1</v>
      </c>
      <c r="AB83" s="8">
        <f>SUM(AB80:AB82)</f>
        <v>99.600000000000009</v>
      </c>
      <c r="AC83" s="8">
        <f>SUM(AC80:AC82)</f>
        <v>129.29999999999998</v>
      </c>
      <c r="AD83" s="8">
        <f>SUM(AD80:AD82)</f>
        <v>142.80000000000001</v>
      </c>
      <c r="AE83" s="19">
        <f t="shared" ref="AE83" si="108">SUM(AE80:AE82)</f>
        <v>136.4</v>
      </c>
    </row>
    <row r="84" spans="2:31" s="1" customFormat="1" x14ac:dyDescent="0.3">
      <c r="B84" s="1" t="s">
        <v>84</v>
      </c>
      <c r="N84" s="8">
        <f>60+700.4</f>
        <v>760.4</v>
      </c>
      <c r="O84" s="8">
        <f>60+682.2</f>
        <v>742.2</v>
      </c>
      <c r="P84" s="8">
        <f>60+652</f>
        <v>712</v>
      </c>
      <c r="Q84" s="8">
        <f>685.1+60</f>
        <v>745.1</v>
      </c>
      <c r="R84" s="8">
        <f>59.9+667.6</f>
        <v>727.5</v>
      </c>
      <c r="S84" s="8">
        <f>59.9+645.2</f>
        <v>705.1</v>
      </c>
      <c r="T84" s="8">
        <f>59.9+618.9</f>
        <v>678.8</v>
      </c>
      <c r="U84" s="8">
        <f>59.9+565.2</f>
        <v>625.1</v>
      </c>
      <c r="V84" s="8"/>
      <c r="AA84" s="8">
        <f>59.9+3+642.4</f>
        <v>705.3</v>
      </c>
      <c r="AB84" s="8">
        <f>59.9+3+691.5</f>
        <v>754.4</v>
      </c>
      <c r="AC84" s="8">
        <f>60+700.4</f>
        <v>760.4</v>
      </c>
      <c r="AD84" s="8">
        <f>59.9+667.6</f>
        <v>727.5</v>
      </c>
      <c r="AE84" s="19">
        <f>59.9+565.2</f>
        <v>625.1</v>
      </c>
    </row>
    <row r="85" spans="2:31" s="1" customFormat="1" x14ac:dyDescent="0.3">
      <c r="B85" s="1" t="s">
        <v>85</v>
      </c>
      <c r="N85" s="12">
        <f t="shared" ref="N85:U85" si="109">N79+N83+N84</f>
        <v>955.59999999999991</v>
      </c>
      <c r="O85" s="12">
        <f t="shared" si="109"/>
        <v>923.40000000000009</v>
      </c>
      <c r="P85" s="12">
        <f t="shared" si="109"/>
        <v>916.9</v>
      </c>
      <c r="Q85" s="12">
        <f t="shared" si="109"/>
        <v>949</v>
      </c>
      <c r="R85" s="12">
        <f t="shared" si="109"/>
        <v>944.2</v>
      </c>
      <c r="S85" s="12">
        <f t="shared" si="109"/>
        <v>907.6</v>
      </c>
      <c r="T85" s="12">
        <f t="shared" si="109"/>
        <v>883.9</v>
      </c>
      <c r="U85" s="12">
        <f t="shared" si="109"/>
        <v>830.6</v>
      </c>
      <c r="V85" s="12"/>
      <c r="AA85" s="12">
        <f>AA79+AA83+AA84</f>
        <v>875.19999999999993</v>
      </c>
      <c r="AB85" s="12">
        <f>AB79+AB83+AB84</f>
        <v>939.8</v>
      </c>
      <c r="AC85" s="12">
        <f>AC79+AC83+AC84</f>
        <v>955.59999999999991</v>
      </c>
      <c r="AD85" s="12">
        <f>AD79+AD83+AD84</f>
        <v>944.2</v>
      </c>
      <c r="AE85" s="21">
        <f t="shared" ref="AE85" si="110">AE79+AE83+AE84</f>
        <v>830.6</v>
      </c>
    </row>
    <row r="87" spans="2:31" x14ac:dyDescent="0.3">
      <c r="B87" t="s">
        <v>135</v>
      </c>
      <c r="T87" s="17"/>
      <c r="U87" s="17"/>
    </row>
    <row r="88" spans="2:31" x14ac:dyDescent="0.3">
      <c r="B88" t="s">
        <v>125</v>
      </c>
      <c r="N88" s="10">
        <f t="shared" ref="N88:S88" si="111">N32/N84</f>
        <v>-4.0899526564965795E-2</v>
      </c>
      <c r="O88" s="10">
        <f t="shared" si="111"/>
        <v>-2.7755322015629205E-2</v>
      </c>
      <c r="P88" s="10">
        <f t="shared" si="111"/>
        <v>-4.6348314606741554E-2</v>
      </c>
      <c r="Q88" s="10">
        <f t="shared" si="111"/>
        <v>-4.4826197825795201E-2</v>
      </c>
      <c r="R88" s="10">
        <f t="shared" si="111"/>
        <v>-5.7869415807560151E-2</v>
      </c>
      <c r="S88" s="10">
        <f t="shared" si="111"/>
        <v>-4.0136150900581473E-2</v>
      </c>
      <c r="T88" s="10">
        <f>T32/T84</f>
        <v>-5.7454331172657636E-2</v>
      </c>
      <c r="U88" s="10">
        <f>U32/U84</f>
        <v>-0.14845624700047991</v>
      </c>
      <c r="AA88" s="10">
        <f t="shared" ref="AA88:AD88" si="112">AA32/AA84</f>
        <v>-0.14348504182617325</v>
      </c>
      <c r="AB88" s="10">
        <f t="shared" si="112"/>
        <v>-0.18862672322375396</v>
      </c>
      <c r="AC88" s="10">
        <f t="shared" si="112"/>
        <v>-0.14255654918463961</v>
      </c>
      <c r="AD88" s="10">
        <f t="shared" si="112"/>
        <v>-0.17745704467353951</v>
      </c>
      <c r="AE88" s="10">
        <f t="shared" ref="AE88" si="113">AE32/AE84</f>
        <v>-0.31194368900975838</v>
      </c>
    </row>
    <row r="89" spans="2:31" x14ac:dyDescent="0.3">
      <c r="B89" t="s">
        <v>126</v>
      </c>
      <c r="N89" s="17">
        <f t="shared" ref="N89:S89" si="114">N13/(AVERAGE(M73:N73))</f>
        <v>2.3538026990270945E-2</v>
      </c>
      <c r="O89" s="17">
        <f t="shared" si="114"/>
        <v>1.7772574894907675E-2</v>
      </c>
      <c r="P89" s="17">
        <f t="shared" si="114"/>
        <v>2.4345179871753067E-2</v>
      </c>
      <c r="Q89" s="17">
        <f t="shared" si="114"/>
        <v>2.5407375643224699E-2</v>
      </c>
      <c r="R89" s="17">
        <f t="shared" si="114"/>
        <v>5.2195044640498706E-2</v>
      </c>
      <c r="S89" s="17">
        <f t="shared" si="114"/>
        <v>2.0412571552003458E-2</v>
      </c>
      <c r="T89" s="17">
        <f>T13/(AVERAGE(S73:T73))</f>
        <v>4.1641082891431758E-2</v>
      </c>
      <c r="U89" s="17">
        <f>U13/(AVERAGE(T73:U73))</f>
        <v>5.4596360242650487E-2</v>
      </c>
      <c r="AA89" s="17">
        <f t="shared" ref="AA89:AE89" si="115">AA13/(AVERAGE(Z73:AA73))</f>
        <v>7.9401348109219685E-2</v>
      </c>
      <c r="AB89" s="17">
        <f t="shared" si="115"/>
        <v>0.14390391713955153</v>
      </c>
      <c r="AC89" s="17">
        <f t="shared" si="115"/>
        <v>0.13018937595611121</v>
      </c>
      <c r="AD89" s="17">
        <f t="shared" si="115"/>
        <v>0.11810526315789474</v>
      </c>
      <c r="AE89" s="17">
        <f t="shared" si="115"/>
        <v>0.18044739956048911</v>
      </c>
    </row>
    <row r="90" spans="2:31" x14ac:dyDescent="0.3">
      <c r="B90" t="s">
        <v>127</v>
      </c>
      <c r="N90" s="18">
        <f t="shared" ref="N90:S90" si="116">N73/N84</f>
        <v>1.2571015255128881</v>
      </c>
      <c r="O90" s="18">
        <f t="shared" si="116"/>
        <v>1.2441390460792239</v>
      </c>
      <c r="P90" s="18">
        <f t="shared" si="116"/>
        <v>1.2876404494382021</v>
      </c>
      <c r="Q90" s="18">
        <f t="shared" si="116"/>
        <v>1.2733861226680983</v>
      </c>
      <c r="R90" s="18">
        <f t="shared" si="116"/>
        <v>1.2977319587628864</v>
      </c>
      <c r="S90" s="18">
        <f t="shared" si="116"/>
        <v>1.2873351297688271</v>
      </c>
      <c r="T90" s="18">
        <f>T73/T84</f>
        <v>1.3020035356511495</v>
      </c>
      <c r="U90" s="18">
        <f>U73/U84</f>
        <v>1.3287474004159334</v>
      </c>
      <c r="AA90" s="18">
        <f t="shared" ref="AA90:AD90" si="117">AA73/AA84</f>
        <v>1.2410321848858645</v>
      </c>
      <c r="AB90" s="18">
        <f t="shared" si="117"/>
        <v>1.2457582184517497</v>
      </c>
      <c r="AC90" s="18">
        <f t="shared" si="117"/>
        <v>1.2571015255128881</v>
      </c>
      <c r="AD90" s="18">
        <f t="shared" si="117"/>
        <v>1.2977319587628864</v>
      </c>
      <c r="AE90" s="18">
        <f t="shared" ref="AE90" si="118">AE73/AE84</f>
        <v>1.3287474004159334</v>
      </c>
    </row>
    <row r="91" spans="2:31" x14ac:dyDescent="0.3">
      <c r="B91" t="s">
        <v>128</v>
      </c>
      <c r="N91" s="16">
        <f t="shared" ref="N91:S91" si="119">N63/N79</f>
        <v>7.2306525037936265</v>
      </c>
      <c r="O91" s="16">
        <f t="shared" si="119"/>
        <v>8.2634508348794071</v>
      </c>
      <c r="P91" s="16">
        <f t="shared" si="119"/>
        <v>6.5523076923076928</v>
      </c>
      <c r="Q91" s="16">
        <f t="shared" si="119"/>
        <v>6.9157894736842103</v>
      </c>
      <c r="R91" s="16">
        <f t="shared" si="119"/>
        <v>6.0148849797023001</v>
      </c>
      <c r="S91" s="16">
        <f t="shared" si="119"/>
        <v>6.3374422187981523</v>
      </c>
      <c r="T91" s="16">
        <f>T63/T79</f>
        <v>5.6198830409356724</v>
      </c>
      <c r="U91" s="16">
        <f>U63/U79</f>
        <v>5.3617945007235894</v>
      </c>
      <c r="AA91" s="16">
        <f t="shared" ref="AA91:AD91" si="120">AA63/AA79</f>
        <v>10.29166666666667</v>
      </c>
      <c r="AB91" s="16">
        <f t="shared" si="120"/>
        <v>6.763403263403263</v>
      </c>
      <c r="AC91" s="16">
        <f t="shared" si="120"/>
        <v>7.2306525037936265</v>
      </c>
      <c r="AD91" s="16">
        <f t="shared" si="120"/>
        <v>6.0148849797023001</v>
      </c>
      <c r="AE91" s="16">
        <f t="shared" ref="AE91" si="121">AE63/AE79</f>
        <v>5.3617945007235894</v>
      </c>
    </row>
    <row r="92" spans="2:31" x14ac:dyDescent="0.3">
      <c r="B92" t="s">
        <v>129</v>
      </c>
      <c r="N92" s="16">
        <f t="shared" ref="N92:S92" si="122">(N63-N61)/N79</f>
        <v>5.9484066767830042</v>
      </c>
      <c r="O92" s="16">
        <f t="shared" si="122"/>
        <v>6.3543599257884971</v>
      </c>
      <c r="P92" s="16">
        <f t="shared" si="122"/>
        <v>4.8</v>
      </c>
      <c r="Q92" s="16">
        <f t="shared" si="122"/>
        <v>4.9714285714285706</v>
      </c>
      <c r="R92" s="16">
        <f t="shared" si="122"/>
        <v>4.476319350473613</v>
      </c>
      <c r="S92" s="16">
        <f t="shared" si="122"/>
        <v>4.399075500770417</v>
      </c>
      <c r="T92" s="16">
        <f>(T63-T61)/T79</f>
        <v>3.814327485380117</v>
      </c>
      <c r="U92" s="16">
        <f>(U63-U61)/U79</f>
        <v>3.8480463096960924</v>
      </c>
      <c r="AA92" s="16">
        <f t="shared" ref="AA92:AD92" si="123">(AA63-AA61)/AA79</f>
        <v>9.0208333333333357</v>
      </c>
      <c r="AB92" s="16">
        <f t="shared" si="123"/>
        <v>5.7039627039627039</v>
      </c>
      <c r="AC92" s="16">
        <f t="shared" si="123"/>
        <v>5.9484066767830042</v>
      </c>
      <c r="AD92" s="16">
        <f t="shared" si="123"/>
        <v>4.476319350473613</v>
      </c>
      <c r="AE92" s="16">
        <f t="shared" ref="AE92" si="124">(AE63-AE61)/AE79</f>
        <v>3.8480463096960924</v>
      </c>
    </row>
    <row r="93" spans="2:31" x14ac:dyDescent="0.3">
      <c r="B93" t="s">
        <v>130</v>
      </c>
      <c r="N93" s="6"/>
      <c r="O93" s="6"/>
      <c r="P93" s="6"/>
      <c r="Q93" s="6"/>
      <c r="R93" s="6"/>
      <c r="S93" s="6"/>
      <c r="T93" s="6"/>
      <c r="AA93" s="6">
        <f t="shared" ref="AA93:AD93" si="125">(AA60/AA13)*365</f>
        <v>123.94244604316548</v>
      </c>
      <c r="AB93" s="6">
        <f t="shared" si="125"/>
        <v>44.437212863705973</v>
      </c>
      <c r="AC93" s="6">
        <f t="shared" si="125"/>
        <v>59.452998379254453</v>
      </c>
      <c r="AD93" s="6">
        <f t="shared" si="125"/>
        <v>158.42691622103388</v>
      </c>
      <c r="AE93" s="6">
        <f t="shared" ref="AE93" si="126">(AE60/AE13)*365</f>
        <v>124.69085685735699</v>
      </c>
    </row>
    <row r="94" spans="2:31" x14ac:dyDescent="0.3">
      <c r="B94" t="s">
        <v>131</v>
      </c>
      <c r="N94" s="16"/>
      <c r="O94" s="16"/>
      <c r="P94" s="16"/>
      <c r="Q94" s="16"/>
      <c r="R94" s="16"/>
      <c r="S94" s="16"/>
      <c r="T94" s="16"/>
      <c r="AA94" s="6">
        <f t="shared" ref="AA94:AC94" si="127">(AA76/AA13)*365</f>
        <v>101.35971223021583</v>
      </c>
      <c r="AB94" s="6">
        <f t="shared" si="127"/>
        <v>78.81316998468607</v>
      </c>
      <c r="AC94" s="6">
        <f t="shared" si="127"/>
        <v>78.383306320907607</v>
      </c>
      <c r="AD94" s="6">
        <f>(AD76/AD13)*365</f>
        <v>73.520499108734413</v>
      </c>
      <c r="AE94" s="6">
        <f>(AE76/AE13)*365</f>
        <v>37.384461653759672</v>
      </c>
    </row>
    <row r="95" spans="2:31" x14ac:dyDescent="0.3">
      <c r="B95" t="s">
        <v>132</v>
      </c>
      <c r="N95" s="16"/>
      <c r="O95" s="16"/>
      <c r="P95" s="16"/>
      <c r="Q95" s="16"/>
      <c r="R95" s="16"/>
      <c r="S95" s="16"/>
      <c r="T95" s="16"/>
      <c r="AA95" s="6">
        <f t="shared" ref="AA95:AC95" si="128">(AA61/AA18)*365</f>
        <v>287.45892018779341</v>
      </c>
      <c r="AB95" s="6">
        <f t="shared" si="128"/>
        <v>207.49530956848037</v>
      </c>
      <c r="AC95" s="6">
        <f t="shared" si="128"/>
        <v>230.16791044776119</v>
      </c>
      <c r="AD95" s="6">
        <f>(AD61/AD18)*365</f>
        <v>280.21944632005403</v>
      </c>
      <c r="AE95" s="6">
        <f>(AE61/AE18)*365</f>
        <v>206.46672002422716</v>
      </c>
    </row>
    <row r="96" spans="2:31" x14ac:dyDescent="0.3">
      <c r="B96" t="s">
        <v>133</v>
      </c>
      <c r="N96" s="10">
        <f t="shared" ref="N96:T96" si="129">(N74+N82+59.9)/N84</f>
        <v>0.24934245134139926</v>
      </c>
      <c r="O96" s="10">
        <f t="shared" si="129"/>
        <v>0.25303152789005656</v>
      </c>
      <c r="P96" s="10">
        <f t="shared" si="129"/>
        <v>0.28314606741573034</v>
      </c>
      <c r="Q96" s="10">
        <f t="shared" si="129"/>
        <v>0.26680982418467319</v>
      </c>
      <c r="R96" s="10">
        <f t="shared" si="129"/>
        <v>0.2841237113402062</v>
      </c>
      <c r="S96" s="10">
        <f t="shared" si="129"/>
        <v>0.28733512976882708</v>
      </c>
      <c r="T96" s="10">
        <f t="shared" si="129"/>
        <v>0.29625810253388335</v>
      </c>
      <c r="U96" s="10">
        <f t="shared" ref="U96" si="130">(U74+U82+59.9)/U84</f>
        <v>0.31338985762278038</v>
      </c>
      <c r="AA96" s="10">
        <f t="shared" ref="AA96:AC96" si="131">(AA74+AA82+59.9)/AA84</f>
        <v>0.21069048631787893</v>
      </c>
      <c r="AB96" s="10">
        <f t="shared" si="131"/>
        <v>0.20678685047720044</v>
      </c>
      <c r="AC96" s="10">
        <f t="shared" si="131"/>
        <v>0.24934245134139926</v>
      </c>
      <c r="AD96" s="10">
        <f>(AD74+AD82+59.9)/AD84</f>
        <v>0.2841237113402062</v>
      </c>
      <c r="AE96" s="10">
        <f>(AE74+AE82+59.9)/AE84</f>
        <v>0.31338985762278038</v>
      </c>
    </row>
    <row r="97" spans="2:41" x14ac:dyDescent="0.3">
      <c r="B97" t="s">
        <v>134</v>
      </c>
      <c r="N97" s="17">
        <f t="shared" ref="N97:T97" si="132">(N73-N79)/(N74+N82)</f>
        <v>6.8619892058596781</v>
      </c>
      <c r="O97" s="17">
        <f t="shared" si="132"/>
        <v>6.7982799061767007</v>
      </c>
      <c r="P97" s="17">
        <f t="shared" si="132"/>
        <v>6.0112914608327452</v>
      </c>
      <c r="Q97" s="17">
        <f t="shared" si="132"/>
        <v>6.352051835853131</v>
      </c>
      <c r="R97" s="17">
        <f t="shared" si="132"/>
        <v>5.9277929155313345</v>
      </c>
      <c r="S97" s="17">
        <f t="shared" si="132"/>
        <v>5.9060967063770153</v>
      </c>
      <c r="T97" s="17">
        <f t="shared" si="132"/>
        <v>5.7747875354107672</v>
      </c>
      <c r="U97" s="17">
        <f t="shared" ref="U97" si="133">(U73-U79)/(U74+U82)</f>
        <v>5.5992647058823533</v>
      </c>
      <c r="AA97" s="17">
        <f t="shared" ref="AA97:AC97" si="134">(AA73-AA79)/(AA74+AA82)</f>
        <v>9.2728297632469037</v>
      </c>
      <c r="AB97" s="17">
        <f t="shared" si="134"/>
        <v>8.8865764828303835</v>
      </c>
      <c r="AC97" s="17">
        <f t="shared" si="134"/>
        <v>6.8619892058596781</v>
      </c>
      <c r="AD97" s="17">
        <f>(AD73-AD79)/(AD74+AD82)</f>
        <v>5.9277929155313345</v>
      </c>
      <c r="AE97" s="17">
        <f>(AE73-AE79)/(AE74+AE82)</f>
        <v>5.5992647058823533</v>
      </c>
    </row>
    <row r="98" spans="2:41" x14ac:dyDescent="0.3">
      <c r="N98" s="10"/>
      <c r="O98" s="10"/>
      <c r="P98" s="10"/>
      <c r="Q98" s="10"/>
      <c r="R98" s="10"/>
      <c r="S98" s="10"/>
      <c r="T98" s="10"/>
      <c r="AA98" s="10"/>
      <c r="AB98" s="10"/>
      <c r="AC98" s="10"/>
      <c r="AD98" s="10"/>
    </row>
    <row r="100" spans="2:41" s="1" customFormat="1" x14ac:dyDescent="0.3">
      <c r="B100" s="1" t="s">
        <v>43</v>
      </c>
      <c r="K100" s="8">
        <f t="shared" ref="K100:V100" si="135">K32</f>
        <v>-18.5</v>
      </c>
      <c r="L100" s="8">
        <f t="shared" si="135"/>
        <v>-34.399999999999991</v>
      </c>
      <c r="M100" s="8">
        <f t="shared" si="135"/>
        <v>-24.399999999999995</v>
      </c>
      <c r="N100" s="8">
        <f t="shared" si="135"/>
        <v>-31.099999999999991</v>
      </c>
      <c r="O100" s="8">
        <f t="shared" si="135"/>
        <v>-20.599999999999998</v>
      </c>
      <c r="P100" s="8">
        <f t="shared" si="135"/>
        <v>-32.999999999999986</v>
      </c>
      <c r="Q100" s="8">
        <f t="shared" si="135"/>
        <v>-33.400000000000006</v>
      </c>
      <c r="R100" s="8">
        <f t="shared" si="135"/>
        <v>-42.100000000000009</v>
      </c>
      <c r="S100" s="8">
        <f t="shared" si="135"/>
        <v>-28.299999999999997</v>
      </c>
      <c r="T100" s="8">
        <f t="shared" si="135"/>
        <v>-39</v>
      </c>
      <c r="U100" s="19">
        <f t="shared" si="135"/>
        <v>-92.8</v>
      </c>
      <c r="V100" s="8">
        <f t="shared" si="135"/>
        <v>-34.895999999999994</v>
      </c>
      <c r="AB100" s="8">
        <f t="shared" ref="AB100:AO100" si="136">AB32</f>
        <v>-142.29999999999998</v>
      </c>
      <c r="AC100" s="8">
        <f t="shared" si="136"/>
        <v>-108.39999999999996</v>
      </c>
      <c r="AD100" s="8">
        <f t="shared" si="136"/>
        <v>-129.1</v>
      </c>
      <c r="AE100" s="8">
        <f t="shared" si="136"/>
        <v>-194.99599999999998</v>
      </c>
      <c r="AF100" s="8">
        <f t="shared" si="136"/>
        <v>-92.134250000000009</v>
      </c>
      <c r="AG100" s="8">
        <f t="shared" si="136"/>
        <v>-66.919485000000023</v>
      </c>
      <c r="AH100" s="8">
        <f t="shared" si="136"/>
        <v>-46.181086399999998</v>
      </c>
      <c r="AI100" s="8">
        <f t="shared" si="136"/>
        <v>-29.915001736500002</v>
      </c>
      <c r="AJ100" s="8">
        <f t="shared" si="136"/>
        <v>-7.7718499619850032</v>
      </c>
      <c r="AK100" s="8">
        <f t="shared" si="136"/>
        <v>6.3939630055101411</v>
      </c>
      <c r="AL100" s="8">
        <f t="shared" si="136"/>
        <v>21.935876678075271</v>
      </c>
      <c r="AM100" s="8">
        <f t="shared" si="136"/>
        <v>38.72763202695684</v>
      </c>
      <c r="AN100" s="8">
        <f t="shared" si="136"/>
        <v>58.403916437224048</v>
      </c>
      <c r="AO100" s="8">
        <f t="shared" si="136"/>
        <v>81.449888704643541</v>
      </c>
    </row>
    <row r="101" spans="2:41" x14ac:dyDescent="0.3">
      <c r="B101" t="s">
        <v>92</v>
      </c>
      <c r="K101" s="6">
        <v>2.6</v>
      </c>
      <c r="L101" s="6">
        <f>L125-K101</f>
        <v>3.1999999999999997</v>
      </c>
      <c r="M101" s="6">
        <f t="shared" ref="M101:M115" si="137">M125-L101-K101</f>
        <v>3.2000000000000006</v>
      </c>
      <c r="N101" s="6">
        <f>N125-M101-L101-K101</f>
        <v>2.9999999999999996</v>
      </c>
      <c r="O101" s="6">
        <v>2.9</v>
      </c>
      <c r="P101" s="6">
        <f>P125-O101</f>
        <v>3.0000000000000004</v>
      </c>
      <c r="Q101" s="6">
        <f t="shared" ref="Q101:Q115" si="138">Q125-P101-O101</f>
        <v>3.2999999999999994</v>
      </c>
      <c r="R101" s="6">
        <f>AD101-Q101-P101-O101</f>
        <v>2.6000000000000019</v>
      </c>
      <c r="S101" s="6">
        <v>2.1</v>
      </c>
      <c r="T101" s="6">
        <f>T125-S101</f>
        <v>4.9000000000000004</v>
      </c>
      <c r="U101" s="20">
        <v>2.1</v>
      </c>
      <c r="V101" s="6">
        <v>2.1</v>
      </c>
      <c r="AB101" s="6">
        <v>6.8</v>
      </c>
      <c r="AC101" s="6">
        <f>SUM(K101:N101)</f>
        <v>12</v>
      </c>
      <c r="AD101" s="6">
        <v>11.8</v>
      </c>
      <c r="AE101" s="6">
        <f>SUM(S101:V101)</f>
        <v>11.2</v>
      </c>
      <c r="AF101" s="6">
        <f t="shared" ref="AF101:AO102" si="139">AE101*1.02</f>
        <v>11.423999999999999</v>
      </c>
      <c r="AG101" s="6">
        <f t="shared" si="139"/>
        <v>11.652479999999999</v>
      </c>
      <c r="AH101" s="6">
        <f t="shared" si="139"/>
        <v>11.885529599999998</v>
      </c>
      <c r="AI101" s="6">
        <f t="shared" si="139"/>
        <v>12.123240191999999</v>
      </c>
      <c r="AJ101" s="6">
        <f t="shared" si="139"/>
        <v>12.36570499584</v>
      </c>
      <c r="AK101" s="6">
        <f t="shared" si="139"/>
        <v>12.613019095756799</v>
      </c>
      <c r="AL101" s="6">
        <f t="shared" si="139"/>
        <v>12.865279477671935</v>
      </c>
      <c r="AM101" s="6">
        <f t="shared" si="139"/>
        <v>13.122585067225375</v>
      </c>
      <c r="AN101" s="6">
        <f t="shared" si="139"/>
        <v>13.385036768569883</v>
      </c>
      <c r="AO101" s="6">
        <f t="shared" si="139"/>
        <v>13.65273750394128</v>
      </c>
    </row>
    <row r="102" spans="2:41" x14ac:dyDescent="0.3">
      <c r="B102" t="s">
        <v>93</v>
      </c>
      <c r="K102" s="6">
        <v>5.4</v>
      </c>
      <c r="L102" s="6">
        <f t="shared" ref="L102:L115" si="140">L126-K102</f>
        <v>6.6</v>
      </c>
      <c r="M102" s="6">
        <f t="shared" si="137"/>
        <v>6.6999999999999993</v>
      </c>
      <c r="N102" s="6">
        <f t="shared" ref="N102:N115" si="141">N126-M102-L102-K102</f>
        <v>6.6999999999999993</v>
      </c>
      <c r="O102" s="6">
        <v>8.6</v>
      </c>
      <c r="P102" s="6">
        <f t="shared" ref="P102:P110" si="142">P126-O102</f>
        <v>9.6</v>
      </c>
      <c r="Q102" s="6">
        <f t="shared" si="138"/>
        <v>9.1999999999999975</v>
      </c>
      <c r="R102" s="6">
        <f t="shared" ref="R102:R115" si="143">AD102-Q102-P102-O102</f>
        <v>8.800000000000006</v>
      </c>
      <c r="S102" s="6">
        <v>9.9</v>
      </c>
      <c r="T102" s="6">
        <f t="shared" ref="T102:T110" si="144">T126-S102</f>
        <v>10.9</v>
      </c>
      <c r="U102" s="20">
        <v>11</v>
      </c>
      <c r="V102" s="6">
        <v>11</v>
      </c>
      <c r="AB102" s="6">
        <v>21.3</v>
      </c>
      <c r="AC102" s="6">
        <f t="shared" ref="AC102:AC118" si="145">SUM(K102:N102)</f>
        <v>25.4</v>
      </c>
      <c r="AD102" s="6">
        <v>36.200000000000003</v>
      </c>
      <c r="AE102" s="6">
        <f t="shared" ref="AE102:AE115" si="146">SUM(S102:V102)</f>
        <v>42.8</v>
      </c>
      <c r="AF102" s="6">
        <f>AE102*1.02</f>
        <v>43.655999999999999</v>
      </c>
      <c r="AG102" s="6">
        <f t="shared" si="139"/>
        <v>44.529119999999999</v>
      </c>
      <c r="AH102" s="6">
        <f t="shared" si="139"/>
        <v>45.419702399999998</v>
      </c>
      <c r="AI102" s="6">
        <f t="shared" si="139"/>
        <v>46.328096447999997</v>
      </c>
      <c r="AJ102" s="6">
        <f t="shared" si="139"/>
        <v>47.254658376959995</v>
      </c>
      <c r="AK102" s="6">
        <f t="shared" si="139"/>
        <v>48.199751544499193</v>
      </c>
      <c r="AL102" s="6">
        <f t="shared" si="139"/>
        <v>49.163746575389176</v>
      </c>
      <c r="AM102" s="6">
        <f t="shared" si="139"/>
        <v>50.147021506896962</v>
      </c>
      <c r="AN102" s="6">
        <f t="shared" si="139"/>
        <v>51.149961937034902</v>
      </c>
      <c r="AO102" s="6">
        <f t="shared" si="139"/>
        <v>52.172961175775605</v>
      </c>
    </row>
    <row r="103" spans="2:41" x14ac:dyDescent="0.3">
      <c r="B103" t="s">
        <v>94</v>
      </c>
      <c r="K103" s="6">
        <v>0</v>
      </c>
      <c r="L103" s="6">
        <f t="shared" si="140"/>
        <v>0</v>
      </c>
      <c r="M103" s="6">
        <f t="shared" si="137"/>
        <v>-15.3</v>
      </c>
      <c r="N103" s="6">
        <f t="shared" si="141"/>
        <v>15.3</v>
      </c>
      <c r="O103" s="6">
        <v>0</v>
      </c>
      <c r="P103" s="6">
        <f t="shared" si="142"/>
        <v>0</v>
      </c>
      <c r="Q103" s="6">
        <f t="shared" si="138"/>
        <v>0</v>
      </c>
      <c r="R103" s="6">
        <f t="shared" si="143"/>
        <v>0</v>
      </c>
      <c r="S103" s="6"/>
      <c r="T103" s="6"/>
      <c r="U103" s="20"/>
      <c r="V103" s="6"/>
      <c r="AB103" s="6">
        <v>4.2</v>
      </c>
      <c r="AC103" s="6">
        <f t="shared" si="145"/>
        <v>0</v>
      </c>
      <c r="AD103" s="6">
        <v>0</v>
      </c>
      <c r="AE103" s="6">
        <f t="shared" si="146"/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</row>
    <row r="104" spans="2:41" x14ac:dyDescent="0.3">
      <c r="B104" t="s">
        <v>95</v>
      </c>
      <c r="K104" s="6">
        <v>1.1000000000000001</v>
      </c>
      <c r="L104" s="6">
        <f t="shared" si="140"/>
        <v>1</v>
      </c>
      <c r="M104" s="6">
        <f t="shared" si="137"/>
        <v>0.5</v>
      </c>
      <c r="N104" s="6">
        <f t="shared" si="141"/>
        <v>0.60000000000000009</v>
      </c>
      <c r="O104" s="6">
        <v>0.5</v>
      </c>
      <c r="P104" s="6">
        <f t="shared" si="142"/>
        <v>0.60000000000000009</v>
      </c>
      <c r="Q104" s="6">
        <f t="shared" si="138"/>
        <v>0.5</v>
      </c>
      <c r="R104" s="6">
        <f t="shared" si="143"/>
        <v>0.60000000000000009</v>
      </c>
      <c r="S104" s="6">
        <v>0.6</v>
      </c>
      <c r="T104" s="6">
        <f t="shared" si="144"/>
        <v>0.6</v>
      </c>
      <c r="U104" s="20">
        <v>1</v>
      </c>
      <c r="V104" s="6">
        <v>1</v>
      </c>
      <c r="AB104" s="6">
        <v>-0.8</v>
      </c>
      <c r="AC104" s="6">
        <f t="shared" si="145"/>
        <v>3.2</v>
      </c>
      <c r="AD104" s="6">
        <v>2.2000000000000002</v>
      </c>
      <c r="AE104" s="6">
        <f t="shared" si="146"/>
        <v>3.2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</row>
    <row r="105" spans="2:41" x14ac:dyDescent="0.3">
      <c r="B105" t="s">
        <v>96</v>
      </c>
      <c r="K105" s="6">
        <v>0</v>
      </c>
      <c r="L105" s="6">
        <f t="shared" si="140"/>
        <v>0.1</v>
      </c>
      <c r="M105" s="6">
        <f t="shared" si="137"/>
        <v>-0.6</v>
      </c>
      <c r="N105" s="6">
        <f t="shared" si="141"/>
        <v>-22.200000000000003</v>
      </c>
      <c r="O105" s="6">
        <v>5.4</v>
      </c>
      <c r="P105" s="6">
        <f t="shared" si="142"/>
        <v>-0.40000000000000036</v>
      </c>
      <c r="Q105" s="6">
        <f t="shared" si="138"/>
        <v>3.3000000000000007</v>
      </c>
      <c r="R105" s="6">
        <f t="shared" si="143"/>
        <v>1.5999999999999996</v>
      </c>
      <c r="S105" s="6">
        <v>-2.7</v>
      </c>
      <c r="T105" s="6">
        <f t="shared" si="144"/>
        <v>2.4000000000000004</v>
      </c>
      <c r="U105" s="20">
        <v>0</v>
      </c>
      <c r="V105" s="6">
        <v>0</v>
      </c>
      <c r="AB105" s="6">
        <v>1.5</v>
      </c>
      <c r="AC105" s="6">
        <f t="shared" si="145"/>
        <v>-22.700000000000003</v>
      </c>
      <c r="AD105" s="6">
        <v>9.9</v>
      </c>
      <c r="AE105" s="6">
        <f t="shared" si="146"/>
        <v>-0.29999999999999982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</row>
    <row r="106" spans="2:41" x14ac:dyDescent="0.3">
      <c r="B106" t="s">
        <v>97</v>
      </c>
      <c r="K106" s="6">
        <v>0.3</v>
      </c>
      <c r="L106" s="6">
        <f t="shared" si="140"/>
        <v>0.39999999999999997</v>
      </c>
      <c r="M106" s="6">
        <f t="shared" si="137"/>
        <v>0.5</v>
      </c>
      <c r="N106" s="6">
        <f t="shared" si="141"/>
        <v>0.3000000000000001</v>
      </c>
      <c r="O106" s="6">
        <v>0.4</v>
      </c>
      <c r="P106" s="6">
        <f t="shared" si="142"/>
        <v>0.29999999999999993</v>
      </c>
      <c r="Q106" s="6">
        <f t="shared" si="138"/>
        <v>0.40000000000000013</v>
      </c>
      <c r="R106" s="6">
        <f t="shared" si="143"/>
        <v>0.29999999999999982</v>
      </c>
      <c r="S106" s="6">
        <v>0.3</v>
      </c>
      <c r="T106" s="6">
        <f t="shared" si="144"/>
        <v>0.39999999999999997</v>
      </c>
      <c r="U106" s="20">
        <v>0</v>
      </c>
      <c r="V106" s="6">
        <v>0</v>
      </c>
      <c r="AB106" s="6">
        <v>-1.4</v>
      </c>
      <c r="AC106" s="6">
        <f t="shared" si="145"/>
        <v>1.5</v>
      </c>
      <c r="AD106" s="6">
        <v>1.4</v>
      </c>
      <c r="AE106" s="6">
        <f t="shared" si="146"/>
        <v>0.7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</row>
    <row r="107" spans="2:41" x14ac:dyDescent="0.3">
      <c r="B107" t="s">
        <v>98</v>
      </c>
      <c r="K107" s="6">
        <v>-0.3</v>
      </c>
      <c r="L107" s="6">
        <f t="shared" si="140"/>
        <v>-0.3</v>
      </c>
      <c r="M107" s="6">
        <f t="shared" si="137"/>
        <v>-0.3000000000000001</v>
      </c>
      <c r="N107" s="6">
        <f t="shared" si="141"/>
        <v>-0.29999999999999988</v>
      </c>
      <c r="O107" s="6">
        <v>-0.2</v>
      </c>
      <c r="P107" s="6">
        <f t="shared" si="142"/>
        <v>-0.49999999999999994</v>
      </c>
      <c r="Q107" s="6">
        <f t="shared" si="138"/>
        <v>-0.20000000000000007</v>
      </c>
      <c r="R107" s="6">
        <f t="shared" si="143"/>
        <v>-0.40000000000000008</v>
      </c>
      <c r="S107" s="6">
        <v>-0.3</v>
      </c>
      <c r="T107" s="6">
        <f t="shared" si="144"/>
        <v>-0.39999999999999997</v>
      </c>
      <c r="U107" s="20">
        <v>0</v>
      </c>
      <c r="V107" s="6">
        <v>0</v>
      </c>
      <c r="AB107" s="6">
        <v>1.8</v>
      </c>
      <c r="AC107" s="6">
        <f t="shared" si="145"/>
        <v>-1.2</v>
      </c>
      <c r="AD107" s="6">
        <v>-1.3</v>
      </c>
      <c r="AE107" s="6">
        <f t="shared" si="146"/>
        <v>-0.7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</row>
    <row r="108" spans="2:41" x14ac:dyDescent="0.3">
      <c r="B108" t="s">
        <v>99</v>
      </c>
      <c r="K108" s="6">
        <v>0</v>
      </c>
      <c r="L108" s="6">
        <f t="shared" si="140"/>
        <v>2.4</v>
      </c>
      <c r="M108" s="6">
        <f t="shared" si="137"/>
        <v>0</v>
      </c>
      <c r="N108" s="6">
        <f t="shared" si="141"/>
        <v>0</v>
      </c>
      <c r="O108" s="6">
        <v>0</v>
      </c>
      <c r="P108" s="6">
        <f t="shared" si="142"/>
        <v>0</v>
      </c>
      <c r="Q108" s="6">
        <f t="shared" si="138"/>
        <v>1.1000000000000001</v>
      </c>
      <c r="R108" s="6">
        <f t="shared" si="143"/>
        <v>-1.1000000000000001</v>
      </c>
      <c r="S108" s="6">
        <v>0</v>
      </c>
      <c r="T108" s="6">
        <f t="shared" si="144"/>
        <v>0</v>
      </c>
      <c r="U108" s="6">
        <v>64.5</v>
      </c>
      <c r="V108" s="6">
        <v>0</v>
      </c>
      <c r="AB108" s="6">
        <v>0.6</v>
      </c>
      <c r="AC108" s="6">
        <f t="shared" si="145"/>
        <v>2.4</v>
      </c>
      <c r="AD108" s="6">
        <v>0</v>
      </c>
      <c r="AE108" s="6">
        <f t="shared" si="146"/>
        <v>64.5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</row>
    <row r="109" spans="2:41" x14ac:dyDescent="0.3">
      <c r="B109" t="s">
        <v>100</v>
      </c>
      <c r="K109" s="6">
        <v>0.1</v>
      </c>
      <c r="L109" s="6">
        <f t="shared" si="140"/>
        <v>-0.2</v>
      </c>
      <c r="M109" s="6">
        <f t="shared" si="137"/>
        <v>0.30000000000000004</v>
      </c>
      <c r="N109" s="6">
        <f t="shared" si="141"/>
        <v>0.19999999999999998</v>
      </c>
      <c r="O109" s="6">
        <v>0.1</v>
      </c>
      <c r="P109" s="6">
        <f t="shared" si="142"/>
        <v>-0.1</v>
      </c>
      <c r="Q109" s="6">
        <f t="shared" si="138"/>
        <v>0.20000000000000004</v>
      </c>
      <c r="R109" s="6">
        <f t="shared" si="143"/>
        <v>0</v>
      </c>
      <c r="S109" s="6">
        <v>0.1</v>
      </c>
      <c r="T109" s="6">
        <f t="shared" si="144"/>
        <v>0.1</v>
      </c>
      <c r="U109" s="20">
        <v>0</v>
      </c>
      <c r="V109" s="6">
        <v>0</v>
      </c>
      <c r="AB109" s="6">
        <v>2.6</v>
      </c>
      <c r="AC109" s="6">
        <f t="shared" si="145"/>
        <v>0.4</v>
      </c>
      <c r="AD109" s="6">
        <v>0.2</v>
      </c>
      <c r="AE109" s="6">
        <f t="shared" si="146"/>
        <v>0.2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</row>
    <row r="110" spans="2:41" x14ac:dyDescent="0.3">
      <c r="B110" t="s">
        <v>73</v>
      </c>
      <c r="K110" s="6">
        <f>1.7-5</f>
        <v>-3.3</v>
      </c>
      <c r="L110" s="6">
        <f t="shared" si="140"/>
        <v>-19.5</v>
      </c>
      <c r="M110" s="6">
        <f t="shared" si="137"/>
        <v>-8</v>
      </c>
      <c r="N110" s="6">
        <f t="shared" si="141"/>
        <v>10.000000000000004</v>
      </c>
      <c r="O110" s="6">
        <f>0.4-3</f>
        <v>-2.6</v>
      </c>
      <c r="P110" s="6">
        <f t="shared" si="142"/>
        <v>-6.4</v>
      </c>
      <c r="Q110" s="6">
        <f t="shared" si="138"/>
        <v>-6.4</v>
      </c>
      <c r="R110" s="6">
        <f t="shared" si="143"/>
        <v>-15.500000000000002</v>
      </c>
      <c r="S110" s="6">
        <f>2.5-0.7</f>
        <v>1.8</v>
      </c>
      <c r="T110" s="6">
        <f t="shared" si="144"/>
        <v>-13.8</v>
      </c>
      <c r="U110" s="20">
        <v>0</v>
      </c>
      <c r="V110" s="6">
        <v>0</v>
      </c>
      <c r="AB110" s="6">
        <f>9.2-0.2</f>
        <v>9</v>
      </c>
      <c r="AC110" s="6">
        <f t="shared" si="145"/>
        <v>-20.799999999999997</v>
      </c>
      <c r="AD110" s="6">
        <f>-7.9-23</f>
        <v>-30.9</v>
      </c>
      <c r="AE110" s="6">
        <f t="shared" si="146"/>
        <v>-12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</row>
    <row r="111" spans="2:41" x14ac:dyDescent="0.3">
      <c r="B111" t="s">
        <v>74</v>
      </c>
      <c r="K111" s="6">
        <v>-10.3</v>
      </c>
      <c r="L111" s="6">
        <f t="shared" si="140"/>
        <v>13.9</v>
      </c>
      <c r="M111" s="6">
        <f t="shared" si="137"/>
        <v>1.6999999999999993</v>
      </c>
      <c r="N111" s="6">
        <f t="shared" si="141"/>
        <v>-0.59999999999999787</v>
      </c>
      <c r="O111" s="6">
        <v>-18.399999999999999</v>
      </c>
      <c r="P111" s="6">
        <f>P135-O111</f>
        <v>-11.100000000000001</v>
      </c>
      <c r="Q111" s="6">
        <f t="shared" si="138"/>
        <v>-15.399999999999999</v>
      </c>
      <c r="R111" s="6">
        <f t="shared" si="143"/>
        <v>15.7</v>
      </c>
      <c r="S111" s="6">
        <v>-14.2</v>
      </c>
      <c r="T111" s="6">
        <f>T135-S111</f>
        <v>2.1999999999999993</v>
      </c>
      <c r="U111" s="20">
        <v>0</v>
      </c>
      <c r="V111" s="6">
        <v>0</v>
      </c>
      <c r="AB111" s="6">
        <v>-28.1</v>
      </c>
      <c r="AC111" s="6">
        <f t="shared" si="145"/>
        <v>4.7000000000000011</v>
      </c>
      <c r="AD111" s="6">
        <v>-29.2</v>
      </c>
      <c r="AE111" s="6">
        <f t="shared" si="146"/>
        <v>-12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</row>
    <row r="112" spans="2:41" x14ac:dyDescent="0.3">
      <c r="B112" t="s">
        <v>101</v>
      </c>
      <c r="K112" s="6">
        <v>-1.7</v>
      </c>
      <c r="L112" s="6">
        <f t="shared" si="140"/>
        <v>-8.9</v>
      </c>
      <c r="M112" s="6">
        <f t="shared" si="137"/>
        <v>-1.3999999999999997</v>
      </c>
      <c r="N112" s="6">
        <f t="shared" si="141"/>
        <v>-1.099999999999999</v>
      </c>
      <c r="O112" s="6">
        <v>-1.6</v>
      </c>
      <c r="P112" s="6">
        <f>P136-O112</f>
        <v>-0.69999999999999973</v>
      </c>
      <c r="Q112" s="6">
        <f t="shared" si="138"/>
        <v>-30.999999999999993</v>
      </c>
      <c r="R112" s="6">
        <f t="shared" si="143"/>
        <v>27.899999999999995</v>
      </c>
      <c r="S112" s="6">
        <v>-2</v>
      </c>
      <c r="T112" s="6">
        <f>T136-S112</f>
        <v>-4.4000000000000004</v>
      </c>
      <c r="U112" s="20">
        <v>0</v>
      </c>
      <c r="V112" s="6">
        <v>0</v>
      </c>
      <c r="AB112" s="6">
        <v>-2.1</v>
      </c>
      <c r="AC112" s="6">
        <f t="shared" si="145"/>
        <v>-13.1</v>
      </c>
      <c r="AD112" s="6">
        <v>-5.4</v>
      </c>
      <c r="AE112" s="6">
        <f t="shared" si="146"/>
        <v>-6.4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</row>
    <row r="113" spans="2:142" x14ac:dyDescent="0.3">
      <c r="B113" t="s">
        <v>81</v>
      </c>
      <c r="K113" s="6">
        <v>-1.1000000000000001</v>
      </c>
      <c r="L113" s="6">
        <f t="shared" si="140"/>
        <v>-0.39999999999999991</v>
      </c>
      <c r="M113" s="6">
        <f t="shared" si="137"/>
        <v>2.4</v>
      </c>
      <c r="N113" s="6">
        <f t="shared" si="141"/>
        <v>2.1</v>
      </c>
      <c r="O113" s="6">
        <v>-6</v>
      </c>
      <c r="P113" s="6">
        <f>P137-O113</f>
        <v>-0.29999999999999982</v>
      </c>
      <c r="Q113" s="6">
        <f t="shared" si="138"/>
        <v>0.29999999999999982</v>
      </c>
      <c r="R113" s="6">
        <f t="shared" si="143"/>
        <v>5</v>
      </c>
      <c r="S113" s="6">
        <v>-3.3</v>
      </c>
      <c r="T113" s="6">
        <f>T137-S113</f>
        <v>4.3</v>
      </c>
      <c r="U113" s="20">
        <v>0</v>
      </c>
      <c r="V113" s="6">
        <v>0</v>
      </c>
      <c r="AB113" s="6">
        <v>6.3</v>
      </c>
      <c r="AC113" s="6">
        <f t="shared" si="145"/>
        <v>3</v>
      </c>
      <c r="AD113" s="6">
        <v>-1</v>
      </c>
      <c r="AE113" s="6">
        <f t="shared" si="146"/>
        <v>1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</row>
    <row r="114" spans="2:142" x14ac:dyDescent="0.3">
      <c r="B114" t="s">
        <v>82</v>
      </c>
      <c r="K114" s="6">
        <v>-7.1</v>
      </c>
      <c r="L114" s="6">
        <f t="shared" si="140"/>
        <v>2.8</v>
      </c>
      <c r="M114" s="6">
        <f t="shared" si="137"/>
        <v>9.9999999999999645E-2</v>
      </c>
      <c r="N114" s="6">
        <f t="shared" si="141"/>
        <v>-0.29999999999999982</v>
      </c>
      <c r="O114" s="6">
        <v>-4</v>
      </c>
      <c r="P114" s="6">
        <f>P138-O114</f>
        <v>3</v>
      </c>
      <c r="Q114" s="6">
        <f t="shared" si="138"/>
        <v>1.5</v>
      </c>
      <c r="R114" s="6">
        <f t="shared" si="143"/>
        <v>4.2</v>
      </c>
      <c r="S114" s="6">
        <v>-6.7</v>
      </c>
      <c r="T114" s="6">
        <f>T138-S114</f>
        <v>1.9000000000000004</v>
      </c>
      <c r="U114" s="20">
        <v>0</v>
      </c>
      <c r="V114" s="6">
        <v>0</v>
      </c>
      <c r="AB114" s="6">
        <v>24.6</v>
      </c>
      <c r="AC114" s="6">
        <f t="shared" si="145"/>
        <v>-4.5</v>
      </c>
      <c r="AD114" s="6">
        <v>4.7</v>
      </c>
      <c r="AE114" s="6">
        <f t="shared" si="146"/>
        <v>-4.8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</row>
    <row r="115" spans="2:142" x14ac:dyDescent="0.3">
      <c r="B115" t="s">
        <v>83</v>
      </c>
      <c r="K115" s="6">
        <v>-18.100000000000001</v>
      </c>
      <c r="L115" s="6">
        <f t="shared" si="140"/>
        <v>-2.5999999999999979</v>
      </c>
      <c r="M115" s="6">
        <f t="shared" si="137"/>
        <v>-1.6000000000000014</v>
      </c>
      <c r="N115" s="6">
        <f t="shared" si="141"/>
        <v>0</v>
      </c>
      <c r="O115" s="6">
        <v>1.2</v>
      </c>
      <c r="P115" s="6">
        <f>P139-O115</f>
        <v>3.3999999999999995</v>
      </c>
      <c r="Q115" s="6">
        <f t="shared" si="138"/>
        <v>4.9000000000000004</v>
      </c>
      <c r="R115" s="6">
        <f t="shared" si="143"/>
        <v>-5.4</v>
      </c>
      <c r="S115" s="6">
        <v>1</v>
      </c>
      <c r="T115" s="6">
        <f>T139-S115</f>
        <v>-1.1000000000000001</v>
      </c>
      <c r="U115" s="20">
        <v>0</v>
      </c>
      <c r="V115" s="6">
        <v>0</v>
      </c>
      <c r="AB115" s="6">
        <v>-11.3</v>
      </c>
      <c r="AC115" s="6">
        <f t="shared" si="145"/>
        <v>-22.3</v>
      </c>
      <c r="AD115" s="6">
        <v>4.0999999999999996</v>
      </c>
      <c r="AE115" s="6">
        <f t="shared" si="146"/>
        <v>-0.10000000000000009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</row>
    <row r="116" spans="2:142" s="1" customFormat="1" x14ac:dyDescent="0.3">
      <c r="B116" s="1" t="s">
        <v>102</v>
      </c>
      <c r="K116" s="8">
        <f t="shared" ref="K116:N116" si="147">K100+SUM(K101:K115)</f>
        <v>-50.900000000000006</v>
      </c>
      <c r="L116" s="8">
        <f t="shared" si="147"/>
        <v>-35.899999999999991</v>
      </c>
      <c r="M116" s="8">
        <f t="shared" si="147"/>
        <v>-36.199999999999996</v>
      </c>
      <c r="N116" s="8">
        <f t="shared" si="147"/>
        <v>-17.399999999999984</v>
      </c>
      <c r="O116" s="8">
        <f>O100+SUM(O101:O115)</f>
        <v>-34.299999999999997</v>
      </c>
      <c r="P116" s="8">
        <f t="shared" ref="P116:R116" si="148">P100+SUM(P101:P115)</f>
        <v>-32.599999999999987</v>
      </c>
      <c r="Q116" s="8">
        <f t="shared" si="148"/>
        <v>-61.7</v>
      </c>
      <c r="R116" s="8">
        <f t="shared" si="148"/>
        <v>2.1999999999999957</v>
      </c>
      <c r="S116" s="8">
        <f t="shared" ref="S116:V116" si="149">S100+SUM(S101:S115)</f>
        <v>-41.699999999999996</v>
      </c>
      <c r="T116" s="8">
        <f t="shared" si="149"/>
        <v>-30.999999999999993</v>
      </c>
      <c r="U116" s="19">
        <f t="shared" si="149"/>
        <v>-14.200000000000003</v>
      </c>
      <c r="V116" s="8">
        <f t="shared" si="149"/>
        <v>-20.795999999999992</v>
      </c>
      <c r="AB116" s="8">
        <f t="shared" ref="AB116" si="150">AB100+SUM(AB101:AB115)</f>
        <v>-107.29999999999998</v>
      </c>
      <c r="AC116" s="8">
        <f t="shared" ref="AC116:AE116" si="151">AC100+SUM(AC101:AC115)</f>
        <v>-140.39999999999998</v>
      </c>
      <c r="AD116" s="8">
        <f t="shared" si="151"/>
        <v>-126.39999999999999</v>
      </c>
      <c r="AE116" s="8">
        <f t="shared" si="151"/>
        <v>-107.69599999999997</v>
      </c>
      <c r="AF116" s="8">
        <f t="shared" ref="AF116" si="152">AF100+SUM(AF101:AF115)</f>
        <v>-37.05425000000001</v>
      </c>
      <c r="AG116" s="8">
        <f t="shared" ref="AG116" si="153">AG100+SUM(AG101:AG115)</f>
        <v>-10.737885000000027</v>
      </c>
      <c r="AH116" s="8">
        <f t="shared" ref="AH116" si="154">AH100+SUM(AH101:AH115)</f>
        <v>11.124145599999999</v>
      </c>
      <c r="AI116" s="8">
        <f t="shared" ref="AI116" si="155">AI100+SUM(AI101:AI115)</f>
        <v>28.536334903499991</v>
      </c>
      <c r="AJ116" s="8">
        <f t="shared" ref="AJ116" si="156">AJ100+SUM(AJ101:AJ115)</f>
        <v>51.848513410814988</v>
      </c>
      <c r="AK116" s="8">
        <f t="shared" ref="AK116" si="157">AK100+SUM(AK101:AK115)</f>
        <v>67.206733645766136</v>
      </c>
      <c r="AL116" s="8">
        <f t="shared" ref="AL116" si="158">AL100+SUM(AL101:AL115)</f>
        <v>83.964902731136377</v>
      </c>
      <c r="AM116" s="8">
        <f t="shared" ref="AM116" si="159">AM100+SUM(AM101:AM115)</f>
        <v>101.99723860107918</v>
      </c>
      <c r="AN116" s="8">
        <f t="shared" ref="AN116" si="160">AN100+SUM(AN101:AN115)</f>
        <v>122.93891514282882</v>
      </c>
      <c r="AO116" s="8">
        <f t="shared" ref="AO116" si="161">AO100+SUM(AO101:AO115)</f>
        <v>147.27558738436042</v>
      </c>
    </row>
    <row r="117" spans="2:142" x14ac:dyDescent="0.3">
      <c r="B117" t="s">
        <v>76</v>
      </c>
      <c r="K117" s="6">
        <v>7.8</v>
      </c>
      <c r="L117" s="6">
        <f>L140-K117</f>
        <v>9.0999999999999979</v>
      </c>
      <c r="M117" s="6">
        <f t="shared" ref="M117:M118" si="162">M140-L117-K117</f>
        <v>11.200000000000003</v>
      </c>
      <c r="N117" s="6">
        <f>N140-M117-L117-K117</f>
        <v>11.299999999999997</v>
      </c>
      <c r="O117" s="6">
        <v>10.6</v>
      </c>
      <c r="P117" s="6">
        <f>P140-O117</f>
        <v>13.200000000000001</v>
      </c>
      <c r="Q117" s="6">
        <f>Q140-P117-O117</f>
        <v>13.4</v>
      </c>
      <c r="R117" s="6">
        <f t="shared" ref="R117:R118" si="163">AD117-Q117-P117-O117</f>
        <v>10.500000000000002</v>
      </c>
      <c r="S117" s="6">
        <v>7.1</v>
      </c>
      <c r="T117" s="6">
        <f>T140-S117</f>
        <v>5.2000000000000011</v>
      </c>
      <c r="U117" s="20">
        <v>5</v>
      </c>
      <c r="V117" s="6">
        <v>5</v>
      </c>
      <c r="AB117" s="6">
        <v>21.1</v>
      </c>
      <c r="AC117" s="6">
        <f t="shared" si="145"/>
        <v>39.4</v>
      </c>
      <c r="AD117" s="6">
        <v>47.7</v>
      </c>
      <c r="AE117" s="6">
        <f t="shared" ref="AE117:AE118" si="164">SUM(S117:V117)</f>
        <v>22.3</v>
      </c>
      <c r="AF117" s="6">
        <f>AE117*1.15</f>
        <v>25.645</v>
      </c>
      <c r="AG117" s="6">
        <f t="shared" ref="AG117:AK117" si="165">AF117*1.1</f>
        <v>28.209500000000002</v>
      </c>
      <c r="AH117" s="6">
        <f t="shared" si="165"/>
        <v>31.030450000000005</v>
      </c>
      <c r="AI117" s="6">
        <f t="shared" si="165"/>
        <v>34.133495000000011</v>
      </c>
      <c r="AJ117" s="6">
        <f t="shared" si="165"/>
        <v>37.546844500000013</v>
      </c>
      <c r="AK117" s="6">
        <f t="shared" si="165"/>
        <v>41.301528950000019</v>
      </c>
      <c r="AL117" s="6">
        <f t="shared" ref="AL117" si="166">AK117*1.05</f>
        <v>43.366605397500024</v>
      </c>
      <c r="AM117" s="6">
        <f>AL117*1.05</f>
        <v>45.534935667375024</v>
      </c>
      <c r="AN117" s="6">
        <f t="shared" ref="AN117:AO117" si="167">AM117*1.05</f>
        <v>47.811682450743774</v>
      </c>
      <c r="AO117" s="6">
        <f t="shared" si="167"/>
        <v>50.202266573280966</v>
      </c>
    </row>
    <row r="118" spans="2:142" x14ac:dyDescent="0.3">
      <c r="B118" t="s">
        <v>91</v>
      </c>
      <c r="K118" s="6">
        <v>2.1</v>
      </c>
      <c r="L118" s="6">
        <f>L141-K118</f>
        <v>17.7</v>
      </c>
      <c r="M118" s="6">
        <f t="shared" si="162"/>
        <v>15.6</v>
      </c>
      <c r="N118" s="6">
        <f>N141-M118-L118-K118</f>
        <v>17.599999999999998</v>
      </c>
      <c r="O118" s="6">
        <v>7.5</v>
      </c>
      <c r="P118" s="6">
        <f>P141-O118</f>
        <v>0.69999999999999929</v>
      </c>
      <c r="Q118" s="6">
        <f>Q141-P118-O118</f>
        <v>3.6000000000000014</v>
      </c>
      <c r="R118" s="6">
        <f t="shared" si="163"/>
        <v>0</v>
      </c>
      <c r="S118" s="6">
        <v>0.3</v>
      </c>
      <c r="T118" s="6">
        <f>T141-S118</f>
        <v>-9.9999999999999978E-2</v>
      </c>
      <c r="U118" s="20">
        <v>0.4</v>
      </c>
      <c r="V118" s="6">
        <v>0.4</v>
      </c>
      <c r="AB118" s="6">
        <v>25.6</v>
      </c>
      <c r="AC118" s="6">
        <f t="shared" si="145"/>
        <v>53</v>
      </c>
      <c r="AD118" s="6">
        <v>11.8</v>
      </c>
      <c r="AE118" s="6">
        <f t="shared" si="164"/>
        <v>1</v>
      </c>
      <c r="AF118" s="6">
        <f>AE118*1.5</f>
        <v>1.5</v>
      </c>
      <c r="AG118" s="6">
        <f>AF118*1.4</f>
        <v>2.0999999999999996</v>
      </c>
      <c r="AH118" s="6">
        <f>AG118*1.3</f>
        <v>2.7299999999999995</v>
      </c>
      <c r="AI118" s="6">
        <f>AH118*1.2</f>
        <v>3.2759999999999994</v>
      </c>
      <c r="AJ118" s="6">
        <f>AI118*1.15</f>
        <v>3.767399999999999</v>
      </c>
      <c r="AK118" s="6">
        <f>AJ118*1.1</f>
        <v>4.1441399999999993</v>
      </c>
      <c r="AL118" s="6">
        <f>AK118*1.05</f>
        <v>4.3513469999999996</v>
      </c>
      <c r="AM118" s="6">
        <f t="shared" ref="AM118:AO118" si="168">AL118*1.05</f>
        <v>4.56891435</v>
      </c>
      <c r="AN118" s="6">
        <f t="shared" si="168"/>
        <v>4.7973600675000005</v>
      </c>
      <c r="AO118" s="6">
        <f t="shared" si="168"/>
        <v>5.0372280708750008</v>
      </c>
    </row>
    <row r="119" spans="2:142" x14ac:dyDescent="0.3">
      <c r="B119" t="s">
        <v>104</v>
      </c>
      <c r="K119" s="6">
        <f t="shared" ref="K119:L119" si="169">K117+K118</f>
        <v>9.9</v>
      </c>
      <c r="L119" s="6">
        <f t="shared" si="169"/>
        <v>26.799999999999997</v>
      </c>
      <c r="M119" s="6">
        <f>M117+M118</f>
        <v>26.800000000000004</v>
      </c>
      <c r="N119" s="6">
        <f t="shared" ref="N119:P119" si="170">N117+N118</f>
        <v>28.899999999999995</v>
      </c>
      <c r="O119" s="6">
        <f t="shared" si="170"/>
        <v>18.100000000000001</v>
      </c>
      <c r="P119" s="6">
        <f t="shared" si="170"/>
        <v>13.9</v>
      </c>
      <c r="Q119" s="6">
        <f>Q117+Q118</f>
        <v>17</v>
      </c>
      <c r="R119" s="6">
        <f>R117+R118</f>
        <v>10.500000000000002</v>
      </c>
      <c r="S119" s="6">
        <f>S117+S118</f>
        <v>7.3999999999999995</v>
      </c>
      <c r="T119" s="6">
        <f t="shared" ref="T119" si="171">T117+T118</f>
        <v>5.1000000000000014</v>
      </c>
      <c r="U119" s="20">
        <f t="shared" ref="U119:V119" si="172">U117+U118</f>
        <v>5.4</v>
      </c>
      <c r="V119" s="6">
        <f t="shared" si="172"/>
        <v>5.4</v>
      </c>
      <c r="AB119" s="6">
        <f>AB117+AB118</f>
        <v>46.7</v>
      </c>
      <c r="AC119" s="6">
        <f>AC117+AC118</f>
        <v>92.4</v>
      </c>
      <c r="AD119" s="6">
        <f>AD117+AD118</f>
        <v>59.5</v>
      </c>
      <c r="AE119" s="6">
        <f>AE117+AE118</f>
        <v>23.3</v>
      </c>
      <c r="AF119" s="6">
        <f t="shared" ref="AF119:AO119" si="173">AF117+AF118</f>
        <v>27.145</v>
      </c>
      <c r="AG119" s="6">
        <f t="shared" si="173"/>
        <v>30.3095</v>
      </c>
      <c r="AH119" s="6">
        <f t="shared" si="173"/>
        <v>33.760450000000006</v>
      </c>
      <c r="AI119" s="6">
        <f t="shared" si="173"/>
        <v>37.409495000000007</v>
      </c>
      <c r="AJ119" s="6">
        <f t="shared" si="173"/>
        <v>41.314244500000015</v>
      </c>
      <c r="AK119" s="6">
        <f t="shared" si="173"/>
        <v>45.445668950000019</v>
      </c>
      <c r="AL119" s="6">
        <f t="shared" si="173"/>
        <v>47.717952397500021</v>
      </c>
      <c r="AM119" s="6">
        <f t="shared" si="173"/>
        <v>50.103850017375024</v>
      </c>
      <c r="AN119" s="6">
        <f t="shared" si="173"/>
        <v>52.609042518243776</v>
      </c>
      <c r="AO119" s="6">
        <f t="shared" si="173"/>
        <v>55.239494644155968</v>
      </c>
    </row>
    <row r="120" spans="2:142" s="1" customFormat="1" x14ac:dyDescent="0.3">
      <c r="B120" s="1" t="s">
        <v>103</v>
      </c>
      <c r="K120" s="8">
        <f>K116-K119</f>
        <v>-60.800000000000004</v>
      </c>
      <c r="L120" s="8">
        <f t="shared" ref="L120:R120" si="174">L116-L119</f>
        <v>-62.699999999999989</v>
      </c>
      <c r="M120" s="8">
        <f t="shared" si="174"/>
        <v>-63</v>
      </c>
      <c r="N120" s="8">
        <f t="shared" si="174"/>
        <v>-46.299999999999983</v>
      </c>
      <c r="O120" s="8">
        <f t="shared" si="174"/>
        <v>-52.4</v>
      </c>
      <c r="P120" s="8">
        <f t="shared" si="174"/>
        <v>-46.499999999999986</v>
      </c>
      <c r="Q120" s="8">
        <f t="shared" si="174"/>
        <v>-78.7</v>
      </c>
      <c r="R120" s="8">
        <f t="shared" si="174"/>
        <v>-8.300000000000006</v>
      </c>
      <c r="S120" s="8">
        <f t="shared" ref="S120:V120" si="175">S116-S119</f>
        <v>-49.099999999999994</v>
      </c>
      <c r="T120" s="8">
        <f t="shared" si="175"/>
        <v>-36.099999999999994</v>
      </c>
      <c r="U120" s="19">
        <f t="shared" si="175"/>
        <v>-19.600000000000001</v>
      </c>
      <c r="V120" s="8">
        <f t="shared" si="175"/>
        <v>-26.195999999999991</v>
      </c>
      <c r="AB120" s="8">
        <f t="shared" ref="AB120" si="176">AB116-AB119</f>
        <v>-154</v>
      </c>
      <c r="AC120" s="8">
        <f t="shared" ref="AC120:AE120" si="177">AC116-AC119</f>
        <v>-232.79999999999998</v>
      </c>
      <c r="AD120" s="8">
        <f t="shared" si="177"/>
        <v>-185.89999999999998</v>
      </c>
      <c r="AE120" s="8">
        <f t="shared" si="177"/>
        <v>-130.99599999999998</v>
      </c>
      <c r="AF120" s="8">
        <f t="shared" ref="AF120" si="178">AF116-AF119</f>
        <v>-64.199250000000006</v>
      </c>
      <c r="AG120" s="8">
        <f t="shared" ref="AG120" si="179">AG116-AG119</f>
        <v>-41.047385000000027</v>
      </c>
      <c r="AH120" s="8">
        <f t="shared" ref="AH120" si="180">AH116-AH119</f>
        <v>-22.636304400000007</v>
      </c>
      <c r="AI120" s="8">
        <f t="shared" ref="AI120" si="181">AI116-AI119</f>
        <v>-8.8731600965000155</v>
      </c>
      <c r="AJ120" s="8">
        <f t="shared" ref="AJ120" si="182">AJ116-AJ119</f>
        <v>10.534268910814973</v>
      </c>
      <c r="AK120" s="8">
        <f t="shared" ref="AK120" si="183">AK116-AK119</f>
        <v>21.761064695766116</v>
      </c>
      <c r="AL120" s="8">
        <f t="shared" ref="AL120" si="184">AL116-AL119</f>
        <v>36.246950333636356</v>
      </c>
      <c r="AM120" s="8">
        <f t="shared" ref="AM120" si="185">AM116-AM119</f>
        <v>51.893388583704152</v>
      </c>
      <c r="AN120" s="8">
        <f t="shared" ref="AN120:AO120" si="186">AN116-AN119</f>
        <v>70.32987262458505</v>
      </c>
      <c r="AO120" s="8">
        <f t="shared" si="186"/>
        <v>92.036092740204452</v>
      </c>
      <c r="AP120" s="1">
        <f>AO120*(1+$AS$42)</f>
        <v>91.115731812802409</v>
      </c>
      <c r="AQ120" s="1">
        <f t="shared" ref="AQ120:DB120" si="187">AP120*(1+$AS$42)</f>
        <v>90.204574494674389</v>
      </c>
      <c r="AR120" s="1">
        <f t="shared" si="187"/>
        <v>89.302528749727642</v>
      </c>
      <c r="AS120" s="1">
        <f t="shared" si="187"/>
        <v>88.409503462230361</v>
      </c>
      <c r="AT120" s="1">
        <f t="shared" si="187"/>
        <v>87.525408427608056</v>
      </c>
      <c r="AU120" s="1">
        <f t="shared" si="187"/>
        <v>86.650154343331977</v>
      </c>
      <c r="AV120" s="1">
        <f t="shared" si="187"/>
        <v>85.783652799898661</v>
      </c>
      <c r="AW120" s="1">
        <f t="shared" si="187"/>
        <v>84.925816271899677</v>
      </c>
      <c r="AX120" s="1">
        <f t="shared" si="187"/>
        <v>84.076558109180681</v>
      </c>
      <c r="AY120" s="1">
        <f t="shared" si="187"/>
        <v>83.235792528088879</v>
      </c>
      <c r="AZ120" s="1">
        <f t="shared" si="187"/>
        <v>82.403434602807991</v>
      </c>
      <c r="BA120" s="1">
        <f t="shared" si="187"/>
        <v>81.579400256779905</v>
      </c>
      <c r="BB120" s="1">
        <f t="shared" si="187"/>
        <v>80.763606254212107</v>
      </c>
      <c r="BC120" s="1">
        <f t="shared" si="187"/>
        <v>79.955970191669991</v>
      </c>
      <c r="BD120" s="1">
        <f t="shared" si="187"/>
        <v>79.156410489753284</v>
      </c>
      <c r="BE120" s="1">
        <f t="shared" si="187"/>
        <v>78.364846384855753</v>
      </c>
      <c r="BF120" s="1">
        <f t="shared" si="187"/>
        <v>77.581197921007188</v>
      </c>
      <c r="BG120" s="1">
        <f t="shared" si="187"/>
        <v>76.805385941797113</v>
      </c>
      <c r="BH120" s="1">
        <f t="shared" si="187"/>
        <v>76.037332082379137</v>
      </c>
      <c r="BI120" s="1">
        <f t="shared" si="187"/>
        <v>75.276958761555349</v>
      </c>
      <c r="BJ120" s="1">
        <f t="shared" si="187"/>
        <v>74.524189173939789</v>
      </c>
      <c r="BK120" s="1">
        <f t="shared" si="187"/>
        <v>73.778947282200392</v>
      </c>
      <c r="BL120" s="1">
        <f t="shared" si="187"/>
        <v>73.04115780937839</v>
      </c>
      <c r="BM120" s="1">
        <f t="shared" si="187"/>
        <v>72.310746231284611</v>
      </c>
      <c r="BN120" s="1">
        <f t="shared" si="187"/>
        <v>71.587638768971757</v>
      </c>
      <c r="BO120" s="1">
        <f t="shared" si="187"/>
        <v>70.871762381282039</v>
      </c>
      <c r="BP120" s="1">
        <f t="shared" si="187"/>
        <v>70.163044757469223</v>
      </c>
      <c r="BQ120" s="1">
        <f t="shared" si="187"/>
        <v>69.461414309894536</v>
      </c>
      <c r="BR120" s="1">
        <f t="shared" si="187"/>
        <v>68.766800166795591</v>
      </c>
      <c r="BS120" s="1">
        <f t="shared" si="187"/>
        <v>68.079132165127632</v>
      </c>
      <c r="BT120" s="1">
        <f t="shared" si="187"/>
        <v>67.398340843476362</v>
      </c>
      <c r="BU120" s="1">
        <f t="shared" si="187"/>
        <v>66.724357435041597</v>
      </c>
      <c r="BV120" s="1">
        <f t="shared" si="187"/>
        <v>66.057113860691175</v>
      </c>
      <c r="BW120" s="1">
        <f t="shared" si="187"/>
        <v>65.396542722084263</v>
      </c>
      <c r="BX120" s="1">
        <f t="shared" si="187"/>
        <v>64.742577294863423</v>
      </c>
      <c r="BY120" s="1">
        <f t="shared" si="187"/>
        <v>64.095151521914786</v>
      </c>
      <c r="BZ120" s="1">
        <f t="shared" si="187"/>
        <v>63.454200006695636</v>
      </c>
      <c r="CA120" s="1">
        <f t="shared" si="187"/>
        <v>62.819658006628678</v>
      </c>
      <c r="CB120" s="1">
        <f t="shared" si="187"/>
        <v>62.191461426562391</v>
      </c>
      <c r="CC120" s="1">
        <f t="shared" si="187"/>
        <v>61.569546812296764</v>
      </c>
      <c r="CD120" s="1">
        <f t="shared" si="187"/>
        <v>60.953851344173799</v>
      </c>
      <c r="CE120" s="1">
        <f t="shared" si="187"/>
        <v>60.344312830732058</v>
      </c>
      <c r="CF120" s="1">
        <f t="shared" si="187"/>
        <v>59.740869702424739</v>
      </c>
      <c r="CG120" s="1">
        <f t="shared" si="187"/>
        <v>59.143461005400489</v>
      </c>
      <c r="CH120" s="1">
        <f t="shared" si="187"/>
        <v>58.552026395346481</v>
      </c>
      <c r="CI120" s="1">
        <f t="shared" si="187"/>
        <v>57.966506131393018</v>
      </c>
      <c r="CJ120" s="1">
        <f t="shared" si="187"/>
        <v>57.386841070079086</v>
      </c>
      <c r="CK120" s="1">
        <f t="shared" si="187"/>
        <v>56.812972659378296</v>
      </c>
      <c r="CL120" s="1">
        <f t="shared" si="187"/>
        <v>56.244842932784515</v>
      </c>
      <c r="CM120" s="1">
        <f t="shared" si="187"/>
        <v>55.682394503456671</v>
      </c>
      <c r="CN120" s="1">
        <f t="shared" si="187"/>
        <v>55.125570558422105</v>
      </c>
      <c r="CO120" s="1">
        <f t="shared" si="187"/>
        <v>54.574314852837887</v>
      </c>
      <c r="CP120" s="1">
        <f t="shared" si="187"/>
        <v>54.028571704309506</v>
      </c>
      <c r="CQ120" s="1">
        <f t="shared" si="187"/>
        <v>53.488285987266408</v>
      </c>
      <c r="CR120" s="1">
        <f t="shared" si="187"/>
        <v>52.953403127393742</v>
      </c>
      <c r="CS120" s="1">
        <f t="shared" si="187"/>
        <v>52.423869096119802</v>
      </c>
      <c r="CT120" s="1">
        <f t="shared" si="187"/>
        <v>51.899630405158604</v>
      </c>
      <c r="CU120" s="1">
        <f t="shared" si="187"/>
        <v>51.38063410110702</v>
      </c>
      <c r="CV120" s="1">
        <f t="shared" si="187"/>
        <v>50.866827760095951</v>
      </c>
      <c r="CW120" s="1">
        <f t="shared" si="187"/>
        <v>50.35815948249499</v>
      </c>
      <c r="CX120" s="1">
        <f t="shared" si="187"/>
        <v>49.85457788767004</v>
      </c>
      <c r="CY120" s="1">
        <f t="shared" si="187"/>
        <v>49.356032108793336</v>
      </c>
      <c r="CZ120" s="1">
        <f t="shared" si="187"/>
        <v>48.862471787705402</v>
      </c>
      <c r="DA120" s="1">
        <f t="shared" si="187"/>
        <v>48.373847069828351</v>
      </c>
      <c r="DB120" s="1">
        <f t="shared" si="187"/>
        <v>47.890108599130066</v>
      </c>
      <c r="DC120" s="1">
        <f t="shared" ref="DC120:EL120" si="188">DB120*(1+$AS$42)</f>
        <v>47.411207513138763</v>
      </c>
      <c r="DD120" s="1">
        <f t="shared" si="188"/>
        <v>46.937095438007375</v>
      </c>
      <c r="DE120" s="1">
        <f t="shared" si="188"/>
        <v>46.4677244836273</v>
      </c>
      <c r="DF120" s="1">
        <f t="shared" si="188"/>
        <v>46.003047238791027</v>
      </c>
      <c r="DG120" s="1">
        <f t="shared" si="188"/>
        <v>45.543016766403113</v>
      </c>
      <c r="DH120" s="1">
        <f t="shared" si="188"/>
        <v>45.08758659873908</v>
      </c>
      <c r="DI120" s="1">
        <f t="shared" si="188"/>
        <v>44.636710732751688</v>
      </c>
      <c r="DJ120" s="1">
        <f t="shared" si="188"/>
        <v>44.19034362542417</v>
      </c>
      <c r="DK120" s="1">
        <f t="shared" si="188"/>
        <v>43.748440189169926</v>
      </c>
      <c r="DL120" s="1">
        <f t="shared" si="188"/>
        <v>43.310955787278225</v>
      </c>
      <c r="DM120" s="1">
        <f t="shared" si="188"/>
        <v>42.877846229405442</v>
      </c>
      <c r="DN120" s="1">
        <f t="shared" si="188"/>
        <v>42.449067767111387</v>
      </c>
      <c r="DO120" s="1">
        <f t="shared" si="188"/>
        <v>42.024577089440271</v>
      </c>
      <c r="DP120" s="1">
        <f t="shared" si="188"/>
        <v>41.604331318545867</v>
      </c>
      <c r="DQ120" s="1">
        <f t="shared" si="188"/>
        <v>41.188288005360405</v>
      </c>
      <c r="DR120" s="1">
        <f t="shared" si="188"/>
        <v>40.776405125306802</v>
      </c>
      <c r="DS120" s="1">
        <f t="shared" si="188"/>
        <v>40.368641074053734</v>
      </c>
      <c r="DT120" s="1">
        <f t="shared" si="188"/>
        <v>39.964954663313193</v>
      </c>
      <c r="DU120" s="1">
        <f t="shared" si="188"/>
        <v>39.565305116680058</v>
      </c>
      <c r="DV120" s="1">
        <f t="shared" si="188"/>
        <v>39.169652065513255</v>
      </c>
      <c r="DW120" s="1">
        <f t="shared" si="188"/>
        <v>38.777955544858123</v>
      </c>
      <c r="DX120" s="1">
        <f t="shared" si="188"/>
        <v>38.390175989409542</v>
      </c>
      <c r="DY120" s="1">
        <f t="shared" si="188"/>
        <v>38.006274229515448</v>
      </c>
      <c r="DZ120" s="1">
        <f t="shared" si="188"/>
        <v>37.626211487220296</v>
      </c>
      <c r="EA120" s="1">
        <f t="shared" si="188"/>
        <v>37.249949372348091</v>
      </c>
      <c r="EB120" s="1">
        <f t="shared" si="188"/>
        <v>36.87744987862461</v>
      </c>
      <c r="EC120" s="1">
        <f t="shared" si="188"/>
        <v>36.508675379838365</v>
      </c>
      <c r="ED120" s="1">
        <f t="shared" si="188"/>
        <v>36.143588626039978</v>
      </c>
      <c r="EE120" s="1">
        <f t="shared" si="188"/>
        <v>35.782152739779576</v>
      </c>
      <c r="EF120" s="1">
        <f t="shared" si="188"/>
        <v>35.42433121238178</v>
      </c>
      <c r="EG120" s="1">
        <f t="shared" si="188"/>
        <v>35.07008790025796</v>
      </c>
      <c r="EH120" s="1">
        <f t="shared" si="188"/>
        <v>34.719387021255379</v>
      </c>
      <c r="EI120" s="1">
        <f t="shared" si="188"/>
        <v>34.372193151042822</v>
      </c>
      <c r="EJ120" s="1">
        <f t="shared" si="188"/>
        <v>34.028471219532392</v>
      </c>
      <c r="EK120" s="1">
        <f t="shared" si="188"/>
        <v>33.688186507337065</v>
      </c>
      <c r="EL120" s="1">
        <f t="shared" si="188"/>
        <v>33.351304642263692</v>
      </c>
    </row>
    <row r="122" spans="2:142" x14ac:dyDescent="0.3">
      <c r="B122" t="s">
        <v>105</v>
      </c>
      <c r="K122" s="10"/>
      <c r="L122" s="10"/>
      <c r="M122" s="10"/>
      <c r="N122" s="10"/>
      <c r="O122" s="10">
        <f t="shared" ref="O122:Q122" si="189">K120/O120-1</f>
        <v>0.16030534351145054</v>
      </c>
      <c r="P122" s="10">
        <f t="shared" si="189"/>
        <v>0.34838709677419377</v>
      </c>
      <c r="Q122" s="10">
        <f t="shared" si="189"/>
        <v>-0.19949174078780185</v>
      </c>
      <c r="R122" s="10">
        <f>N120/R120-1</f>
        <v>4.5783132530120421</v>
      </c>
      <c r="S122" s="10">
        <f>O120/S120-1</f>
        <v>6.720977596741351E-2</v>
      </c>
      <c r="T122" s="10">
        <f t="shared" ref="T122:V122" si="190">P120/T120-1</f>
        <v>0.28808864265927969</v>
      </c>
      <c r="U122" s="10">
        <f t="shared" si="190"/>
        <v>3.0153061224489797</v>
      </c>
      <c r="V122" s="10">
        <f t="shared" si="190"/>
        <v>-0.68315773400519131</v>
      </c>
      <c r="AC122" s="10">
        <f>AB120/AC120-1</f>
        <v>-0.33848797250859097</v>
      </c>
      <c r="AD122" s="10">
        <f>AC120/AD120-1</f>
        <v>0.2522861753630985</v>
      </c>
      <c r="AE122" s="10">
        <f>AD120/AE120-1</f>
        <v>0.41912730159699541</v>
      </c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</row>
    <row r="123" spans="2:142" x14ac:dyDescent="0.3">
      <c r="B123" t="s">
        <v>122</v>
      </c>
      <c r="O123" s="10">
        <f>O119/K119-1</f>
        <v>0.82828282828282829</v>
      </c>
      <c r="P123" s="10">
        <f t="shared" ref="P123:S123" si="191">P119/L119-1</f>
        <v>-0.48134328358208944</v>
      </c>
      <c r="Q123" s="10">
        <f t="shared" si="191"/>
        <v>-0.36567164179104483</v>
      </c>
      <c r="R123" s="10">
        <f t="shared" si="191"/>
        <v>-0.6366782006920414</v>
      </c>
      <c r="S123" s="10">
        <f t="shared" si="191"/>
        <v>-0.59116022099447518</v>
      </c>
      <c r="T123" s="10">
        <f t="shared" ref="T123" si="192">T119/P119-1</f>
        <v>-0.63309352517985595</v>
      </c>
      <c r="U123" s="10">
        <f t="shared" ref="U123" si="193">U119/Q119-1</f>
        <v>-0.68235294117647061</v>
      </c>
      <c r="V123" s="10">
        <f t="shared" ref="V123" si="194">V119/R119-1</f>
        <v>-0.48571428571428577</v>
      </c>
      <c r="AC123" s="10">
        <f>AC119/AB119-1</f>
        <v>0.97858672376873668</v>
      </c>
      <c r="AD123" s="10">
        <f>AD119/AC119-1</f>
        <v>-0.35606060606060608</v>
      </c>
      <c r="AE123" s="10">
        <f t="shared" ref="AE123:AO123" si="195">AE119/AD119-1</f>
        <v>-0.60840336134453787</v>
      </c>
      <c r="AF123" s="10">
        <f t="shared" si="195"/>
        <v>0.16502145922746769</v>
      </c>
      <c r="AG123" s="10">
        <f t="shared" si="195"/>
        <v>0.11657763860747838</v>
      </c>
      <c r="AH123" s="10">
        <f t="shared" si="195"/>
        <v>0.11385704152163534</v>
      </c>
      <c r="AI123" s="10">
        <f t="shared" si="195"/>
        <v>0.108086385104464</v>
      </c>
      <c r="AJ123" s="10">
        <f t="shared" si="195"/>
        <v>0.10437856752677388</v>
      </c>
      <c r="AK123" s="10">
        <f t="shared" si="195"/>
        <v>0.10000000000000009</v>
      </c>
      <c r="AL123" s="10">
        <f t="shared" si="195"/>
        <v>5.0000000000000044E-2</v>
      </c>
      <c r="AM123" s="10">
        <f t="shared" si="195"/>
        <v>5.0000000000000044E-2</v>
      </c>
      <c r="AN123" s="10">
        <f t="shared" si="195"/>
        <v>5.0000000000000044E-2</v>
      </c>
      <c r="AO123" s="10">
        <f t="shared" si="195"/>
        <v>5.0000000000000044E-2</v>
      </c>
    </row>
    <row r="124" spans="2:142" x14ac:dyDescent="0.3">
      <c r="AR124" t="s">
        <v>123</v>
      </c>
      <c r="AS124" s="6">
        <f>NPV(AS43,AE120:EL120)</f>
        <v>82.346999785845014</v>
      </c>
    </row>
    <row r="125" spans="2:142" x14ac:dyDescent="0.3">
      <c r="B125" t="s">
        <v>92</v>
      </c>
      <c r="L125">
        <v>5.8</v>
      </c>
      <c r="M125">
        <v>9</v>
      </c>
      <c r="N125">
        <v>12</v>
      </c>
      <c r="P125">
        <v>5.9</v>
      </c>
      <c r="Q125" s="6">
        <v>9.1999999999999993</v>
      </c>
      <c r="T125">
        <v>7</v>
      </c>
      <c r="AR125" t="s">
        <v>66</v>
      </c>
      <c r="AS125" s="6">
        <f>Main!D8</f>
        <v>100.89999999999998</v>
      </c>
    </row>
    <row r="126" spans="2:142" x14ac:dyDescent="0.3">
      <c r="B126" t="s">
        <v>93</v>
      </c>
      <c r="L126">
        <v>12</v>
      </c>
      <c r="M126">
        <v>18.7</v>
      </c>
      <c r="N126">
        <v>25.4</v>
      </c>
      <c r="P126">
        <v>18.2</v>
      </c>
      <c r="Q126" s="6">
        <v>27.4</v>
      </c>
      <c r="T126">
        <v>20.8</v>
      </c>
      <c r="AR126" t="s">
        <v>67</v>
      </c>
      <c r="AS126" s="6">
        <f>AS124+AS125</f>
        <v>183.24699978584499</v>
      </c>
    </row>
    <row r="127" spans="2:142" x14ac:dyDescent="0.3">
      <c r="B127" t="s">
        <v>94</v>
      </c>
      <c r="L127">
        <v>0</v>
      </c>
      <c r="M127">
        <v>-15.3</v>
      </c>
      <c r="N127">
        <v>0</v>
      </c>
      <c r="P127">
        <v>0</v>
      </c>
      <c r="Q127" s="6">
        <v>0</v>
      </c>
      <c r="T127">
        <v>0</v>
      </c>
      <c r="AR127" t="s">
        <v>68</v>
      </c>
      <c r="AS127" s="5">
        <f>AS126/AO33</f>
        <v>7.5101229420428277</v>
      </c>
    </row>
    <row r="128" spans="2:142" x14ac:dyDescent="0.3">
      <c r="B128" t="s">
        <v>95</v>
      </c>
      <c r="L128">
        <v>2.1</v>
      </c>
      <c r="M128">
        <v>2.6</v>
      </c>
      <c r="N128">
        <v>3.2</v>
      </c>
      <c r="P128">
        <v>1.1000000000000001</v>
      </c>
      <c r="Q128" s="6">
        <v>1.6</v>
      </c>
      <c r="T128">
        <v>1.2</v>
      </c>
      <c r="AR128" t="s">
        <v>69</v>
      </c>
      <c r="AS128" s="5">
        <f>Main!D3</f>
        <v>7.85</v>
      </c>
    </row>
    <row r="129" spans="2:45" x14ac:dyDescent="0.3">
      <c r="B129" t="s">
        <v>96</v>
      </c>
      <c r="L129">
        <v>0.1</v>
      </c>
      <c r="M129">
        <v>-0.5</v>
      </c>
      <c r="N129">
        <f>-15.3-7.4</f>
        <v>-22.700000000000003</v>
      </c>
      <c r="P129">
        <v>5</v>
      </c>
      <c r="Q129" s="6">
        <v>8.3000000000000007</v>
      </c>
      <c r="T129">
        <v>-0.3</v>
      </c>
      <c r="AR129" s="1" t="s">
        <v>70</v>
      </c>
      <c r="AS129" s="11">
        <f>AS127/AS128-1</f>
        <v>-4.329644050409831E-2</v>
      </c>
    </row>
    <row r="130" spans="2:45" x14ac:dyDescent="0.3">
      <c r="B130" t="s">
        <v>97</v>
      </c>
      <c r="L130">
        <v>0.7</v>
      </c>
      <c r="M130">
        <v>1.2</v>
      </c>
      <c r="N130">
        <v>1.5</v>
      </c>
      <c r="P130">
        <v>0.7</v>
      </c>
      <c r="Q130" s="6">
        <v>1.1000000000000001</v>
      </c>
      <c r="T130">
        <v>0.7</v>
      </c>
      <c r="AS130" s="7" t="s">
        <v>136</v>
      </c>
    </row>
    <row r="131" spans="2:45" x14ac:dyDescent="0.3">
      <c r="B131" t="s">
        <v>98</v>
      </c>
      <c r="L131">
        <v>-0.6</v>
      </c>
      <c r="M131">
        <v>-0.9</v>
      </c>
      <c r="N131">
        <v>-1.2</v>
      </c>
      <c r="P131">
        <v>-0.7</v>
      </c>
      <c r="Q131" s="6">
        <v>-0.9</v>
      </c>
      <c r="T131">
        <v>-0.7</v>
      </c>
    </row>
    <row r="132" spans="2:45" x14ac:dyDescent="0.3">
      <c r="B132" t="s">
        <v>99</v>
      </c>
      <c r="L132">
        <v>2.4</v>
      </c>
      <c r="M132">
        <v>2.4</v>
      </c>
      <c r="N132">
        <v>2.4</v>
      </c>
      <c r="P132">
        <v>0</v>
      </c>
      <c r="Q132" s="6">
        <v>1.1000000000000001</v>
      </c>
      <c r="T132">
        <v>0</v>
      </c>
    </row>
    <row r="133" spans="2:45" x14ac:dyDescent="0.3">
      <c r="B133" t="s">
        <v>100</v>
      </c>
      <c r="L133">
        <v>-0.1</v>
      </c>
      <c r="M133">
        <v>0.2</v>
      </c>
      <c r="N133">
        <v>0.4</v>
      </c>
      <c r="P133">
        <v>0</v>
      </c>
      <c r="Q133" s="6">
        <v>0.2</v>
      </c>
      <c r="T133">
        <v>0.2</v>
      </c>
    </row>
    <row r="134" spans="2:45" x14ac:dyDescent="0.3">
      <c r="B134" t="s">
        <v>73</v>
      </c>
      <c r="L134">
        <f>-1.6-21.2</f>
        <v>-22.8</v>
      </c>
      <c r="M134">
        <f>-5.2-25.6</f>
        <v>-30.8</v>
      </c>
      <c r="N134">
        <f>1.1-21.9</f>
        <v>-20.799999999999997</v>
      </c>
      <c r="P134">
        <f>-3.3-5.7</f>
        <v>-9</v>
      </c>
      <c r="Q134" s="6">
        <f>-7.4-8</f>
        <v>-15.4</v>
      </c>
      <c r="T134">
        <f>1.7-13.7</f>
        <v>-12</v>
      </c>
    </row>
    <row r="135" spans="2:45" x14ac:dyDescent="0.3">
      <c r="B135" t="s">
        <v>74</v>
      </c>
      <c r="L135">
        <v>3.6</v>
      </c>
      <c r="M135">
        <v>5.3</v>
      </c>
      <c r="N135">
        <v>4.7</v>
      </c>
      <c r="P135">
        <v>-29.5</v>
      </c>
      <c r="Q135" s="6">
        <v>-44.9</v>
      </c>
      <c r="T135">
        <v>-12</v>
      </c>
    </row>
    <row r="136" spans="2:45" x14ac:dyDescent="0.3">
      <c r="B136" t="s">
        <v>101</v>
      </c>
      <c r="L136">
        <v>-10.6</v>
      </c>
      <c r="M136">
        <v>-12</v>
      </c>
      <c r="N136">
        <v>-13.1</v>
      </c>
      <c r="P136">
        <v>-2.2999999999999998</v>
      </c>
      <c r="Q136" s="6">
        <v>-33.299999999999997</v>
      </c>
      <c r="T136">
        <v>-6.4</v>
      </c>
    </row>
    <row r="137" spans="2:45" x14ac:dyDescent="0.3">
      <c r="B137" t="s">
        <v>81</v>
      </c>
      <c r="L137">
        <v>-1.5</v>
      </c>
      <c r="M137">
        <v>0.9</v>
      </c>
      <c r="N137">
        <v>3</v>
      </c>
      <c r="P137">
        <v>-6.3</v>
      </c>
      <c r="Q137" s="6">
        <v>-6</v>
      </c>
      <c r="T137">
        <v>1</v>
      </c>
    </row>
    <row r="138" spans="2:45" x14ac:dyDescent="0.3">
      <c r="B138" t="s">
        <v>82</v>
      </c>
      <c r="L138">
        <v>-4.3</v>
      </c>
      <c r="M138">
        <v>-4.2</v>
      </c>
      <c r="N138">
        <v>-4.5</v>
      </c>
      <c r="P138">
        <v>-1</v>
      </c>
      <c r="Q138" s="6">
        <v>0.5</v>
      </c>
      <c r="T138">
        <v>-4.8</v>
      </c>
    </row>
    <row r="139" spans="2:45" x14ac:dyDescent="0.3">
      <c r="B139" t="s">
        <v>83</v>
      </c>
      <c r="L139">
        <v>-20.7</v>
      </c>
      <c r="M139">
        <v>-22.3</v>
      </c>
      <c r="N139">
        <v>-22.3</v>
      </c>
      <c r="P139">
        <v>4.5999999999999996</v>
      </c>
      <c r="Q139" s="6">
        <v>9.5</v>
      </c>
      <c r="T139">
        <v>-0.1</v>
      </c>
    </row>
    <row r="140" spans="2:45" x14ac:dyDescent="0.3">
      <c r="B140" t="s">
        <v>76</v>
      </c>
      <c r="L140">
        <v>16.899999999999999</v>
      </c>
      <c r="M140">
        <v>28.1</v>
      </c>
      <c r="N140">
        <v>39.4</v>
      </c>
      <c r="P140">
        <v>23.8</v>
      </c>
      <c r="Q140" s="6">
        <v>37.200000000000003</v>
      </c>
      <c r="T140">
        <v>12.3</v>
      </c>
    </row>
    <row r="141" spans="2:45" x14ac:dyDescent="0.3">
      <c r="B141" t="s">
        <v>91</v>
      </c>
      <c r="L141">
        <v>19.8</v>
      </c>
      <c r="M141">
        <v>35.4</v>
      </c>
      <c r="N141">
        <v>53</v>
      </c>
      <c r="P141">
        <v>8.1999999999999993</v>
      </c>
      <c r="Q141" s="6">
        <v>11.8</v>
      </c>
      <c r="T141">
        <v>0.2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2024-09-28T09:50:14Z</dcterms:created>
  <dcterms:modified xsi:type="dcterms:W3CDTF">2025-09-28T20:01:45Z</dcterms:modified>
</cp:coreProperties>
</file>