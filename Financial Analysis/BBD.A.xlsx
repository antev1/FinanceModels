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96F30132-8B08-4A88-A40C-462C5902DCCC}" xr6:coauthVersionLast="47" xr6:coauthVersionMax="47" xr10:uidLastSave="{00000000-0000-0000-0000-000000000000}"/>
  <bookViews>
    <workbookView xWindow="-108" yWindow="-108" windowWidth="23256" windowHeight="12576" activeTab="1" xr2:uid="{346DD61D-C15D-48A0-ADE2-5B9C576CD682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44" i="2" l="1"/>
  <c r="V43" i="2"/>
  <c r="D3" i="1"/>
  <c r="AI37" i="2" s="1"/>
  <c r="AF10" i="2"/>
  <c r="AE10" i="2"/>
  <c r="AD10" i="2"/>
  <c r="AC10" i="2"/>
  <c r="AB10" i="2"/>
  <c r="AA10" i="2"/>
  <c r="Z10" i="2"/>
  <c r="Y10" i="2"/>
  <c r="X10" i="2"/>
  <c r="W10" i="2"/>
  <c r="W5" i="2"/>
  <c r="M8" i="2"/>
  <c r="M10" i="2" s="1"/>
  <c r="D7" i="1"/>
  <c r="D6" i="1"/>
  <c r="AF24" i="2"/>
  <c r="AE24" i="2"/>
  <c r="AD24" i="2"/>
  <c r="AC24" i="2"/>
  <c r="AB24" i="2"/>
  <c r="AA24" i="2"/>
  <c r="Z24" i="2"/>
  <c r="Y24" i="2"/>
  <c r="X24" i="2"/>
  <c r="W24" i="2"/>
  <c r="V24" i="2"/>
  <c r="N24" i="2"/>
  <c r="M24" i="2"/>
  <c r="D4" i="1"/>
  <c r="M27" i="2"/>
  <c r="N27" i="2"/>
  <c r="L41" i="2"/>
  <c r="V22" i="2" l="1"/>
  <c r="W22" i="2" s="1"/>
  <c r="V21" i="2"/>
  <c r="V15" i="2"/>
  <c r="V14" i="2"/>
  <c r="V13" i="2"/>
  <c r="W13" i="2" s="1"/>
  <c r="X13" i="2" s="1"/>
  <c r="Y13" i="2" s="1"/>
  <c r="Z13" i="2" s="1"/>
  <c r="AA13" i="2" s="1"/>
  <c r="AB13" i="2" s="1"/>
  <c r="AC13" i="2" s="1"/>
  <c r="AD13" i="2" s="1"/>
  <c r="AE13" i="2" s="1"/>
  <c r="AF13" i="2" s="1"/>
  <c r="V7" i="2"/>
  <c r="W7" i="2" s="1"/>
  <c r="V27" i="2"/>
  <c r="U27" i="2"/>
  <c r="U22" i="2"/>
  <c r="U21" i="2"/>
  <c r="U19" i="2"/>
  <c r="U18" i="2"/>
  <c r="U15" i="2"/>
  <c r="U14" i="2"/>
  <c r="U13" i="2"/>
  <c r="U12" i="2"/>
  <c r="U11" i="2"/>
  <c r="U9" i="2"/>
  <c r="U7" i="2"/>
  <c r="U6" i="2"/>
  <c r="U5" i="2"/>
  <c r="U24" i="2"/>
  <c r="N19" i="2"/>
  <c r="N18" i="2"/>
  <c r="N12" i="2"/>
  <c r="N35" i="2" s="1"/>
  <c r="M35" i="2"/>
  <c r="N11" i="2"/>
  <c r="N34" i="2" s="1"/>
  <c r="M34" i="2"/>
  <c r="N6" i="2"/>
  <c r="N30" i="2" s="1"/>
  <c r="N31" i="2"/>
  <c r="M31" i="2"/>
  <c r="M30" i="2"/>
  <c r="N5" i="2"/>
  <c r="N29" i="2" s="1"/>
  <c r="K35" i="2"/>
  <c r="J35" i="2"/>
  <c r="I35" i="2"/>
  <c r="K34" i="2"/>
  <c r="J34" i="2"/>
  <c r="I34" i="2"/>
  <c r="K31" i="2"/>
  <c r="J31" i="2"/>
  <c r="I31" i="2"/>
  <c r="K30" i="2"/>
  <c r="J30" i="2"/>
  <c r="I30" i="2"/>
  <c r="K29" i="2"/>
  <c r="J29" i="2"/>
  <c r="I29" i="2"/>
  <c r="L35" i="2"/>
  <c r="L34" i="2"/>
  <c r="L31" i="2"/>
  <c r="L30" i="2"/>
  <c r="L29" i="2"/>
  <c r="E24" i="2"/>
  <c r="E16" i="2"/>
  <c r="E8" i="2"/>
  <c r="E10" i="2" s="1"/>
  <c r="E33" i="2" s="1"/>
  <c r="I24" i="2"/>
  <c r="I16" i="2"/>
  <c r="I8" i="2"/>
  <c r="I10" i="2" s="1"/>
  <c r="I33" i="2" s="1"/>
  <c r="F14" i="2"/>
  <c r="F16" i="2" s="1"/>
  <c r="F24" i="2"/>
  <c r="F8" i="2"/>
  <c r="F10" i="2" s="1"/>
  <c r="F33" i="2" s="1"/>
  <c r="J24" i="2"/>
  <c r="J16" i="2"/>
  <c r="J8" i="2"/>
  <c r="J10" i="2" s="1"/>
  <c r="J33" i="2" s="1"/>
  <c r="G24" i="2"/>
  <c r="G16" i="2"/>
  <c r="G8" i="2"/>
  <c r="G10" i="2" s="1"/>
  <c r="G33" i="2" s="1"/>
  <c r="K24" i="2"/>
  <c r="K16" i="2"/>
  <c r="K8" i="2"/>
  <c r="K10" i="2" s="1"/>
  <c r="K33" i="2" s="1"/>
  <c r="L8" i="2"/>
  <c r="L10" i="2" s="1"/>
  <c r="L33" i="2" s="1"/>
  <c r="H8" i="2"/>
  <c r="H10" i="2" s="1"/>
  <c r="H33" i="2" s="1"/>
  <c r="H24" i="2"/>
  <c r="L24" i="2"/>
  <c r="H16" i="2"/>
  <c r="L16" i="2"/>
  <c r="D8" i="1"/>
  <c r="AI34" i="2" s="1"/>
  <c r="D5" i="1"/>
  <c r="F3" i="1"/>
  <c r="D9" i="1" l="1"/>
  <c r="V19" i="2"/>
  <c r="W19" i="2" s="1"/>
  <c r="X19" i="2" s="1"/>
  <c r="Y19" i="2" s="1"/>
  <c r="Z19" i="2" s="1"/>
  <c r="AA19" i="2" s="1"/>
  <c r="AB19" i="2" s="1"/>
  <c r="AC19" i="2" s="1"/>
  <c r="AD19" i="2" s="1"/>
  <c r="AE19" i="2" s="1"/>
  <c r="AF19" i="2" s="1"/>
  <c r="V18" i="2"/>
  <c r="W18" i="2" s="1"/>
  <c r="X18" i="2" s="1"/>
  <c r="Y18" i="2" s="1"/>
  <c r="Z18" i="2" s="1"/>
  <c r="AA18" i="2" s="1"/>
  <c r="AB18" i="2" s="1"/>
  <c r="AC18" i="2" s="1"/>
  <c r="AD18" i="2" s="1"/>
  <c r="AE18" i="2" s="1"/>
  <c r="AF18" i="2" s="1"/>
  <c r="V5" i="2"/>
  <c r="V29" i="2" s="1"/>
  <c r="V6" i="2"/>
  <c r="W6" i="2" s="1"/>
  <c r="V11" i="2"/>
  <c r="X7" i="2"/>
  <c r="W31" i="2"/>
  <c r="U16" i="2"/>
  <c r="V12" i="2"/>
  <c r="N8" i="2"/>
  <c r="M16" i="2"/>
  <c r="M29" i="2"/>
  <c r="N16" i="2"/>
  <c r="V31" i="2"/>
  <c r="U8" i="2"/>
  <c r="U10" i="2" s="1"/>
  <c r="U33" i="2" s="1"/>
  <c r="K32" i="2"/>
  <c r="L32" i="2"/>
  <c r="I32" i="2"/>
  <c r="J32" i="2"/>
  <c r="E17" i="2"/>
  <c r="I17" i="2"/>
  <c r="F17" i="2"/>
  <c r="J17" i="2"/>
  <c r="G17" i="2"/>
  <c r="K17" i="2"/>
  <c r="L17" i="2"/>
  <c r="H17" i="2"/>
  <c r="V30" i="2" l="1"/>
  <c r="W29" i="2"/>
  <c r="V8" i="2"/>
  <c r="V32" i="2" s="1"/>
  <c r="V34" i="2"/>
  <c r="W11" i="2"/>
  <c r="X6" i="2"/>
  <c r="W30" i="2"/>
  <c r="Y7" i="2"/>
  <c r="X31" i="2"/>
  <c r="V16" i="2"/>
  <c r="V35" i="2"/>
  <c r="W12" i="2"/>
  <c r="U17" i="2"/>
  <c r="N10" i="2"/>
  <c r="M32" i="2"/>
  <c r="N32" i="2"/>
  <c r="J20" i="2"/>
  <c r="J36" i="2"/>
  <c r="F20" i="2"/>
  <c r="F36" i="2"/>
  <c r="G20" i="2"/>
  <c r="G36" i="2"/>
  <c r="E20" i="2"/>
  <c r="E36" i="2"/>
  <c r="L20" i="2"/>
  <c r="L36" i="2"/>
  <c r="I20" i="2"/>
  <c r="I36" i="2"/>
  <c r="H20" i="2"/>
  <c r="H36" i="2"/>
  <c r="K20" i="2"/>
  <c r="K36" i="2"/>
  <c r="W8" i="2" l="1"/>
  <c r="X5" i="2"/>
  <c r="Y5" i="2" s="1"/>
  <c r="Z7" i="2"/>
  <c r="Y31" i="2"/>
  <c r="W35" i="2"/>
  <c r="X12" i="2"/>
  <c r="X30" i="2"/>
  <c r="Y6" i="2"/>
  <c r="W34" i="2"/>
  <c r="X11" i="2"/>
  <c r="W16" i="2"/>
  <c r="U20" i="2"/>
  <c r="U36" i="2"/>
  <c r="M17" i="2"/>
  <c r="M33" i="2"/>
  <c r="N9" i="2"/>
  <c r="N17" i="2"/>
  <c r="N33" i="2"/>
  <c r="L23" i="2"/>
  <c r="L37" i="2"/>
  <c r="E23" i="2"/>
  <c r="E37" i="2"/>
  <c r="G23" i="2"/>
  <c r="G37" i="2"/>
  <c r="F23" i="2"/>
  <c r="F37" i="2"/>
  <c r="J23" i="2"/>
  <c r="J37" i="2"/>
  <c r="K23" i="2"/>
  <c r="K37" i="2"/>
  <c r="H23" i="2"/>
  <c r="H37" i="2"/>
  <c r="I23" i="2"/>
  <c r="I37" i="2"/>
  <c r="W32" i="2" l="1"/>
  <c r="X8" i="2"/>
  <c r="X32" i="2" s="1"/>
  <c r="X29" i="2"/>
  <c r="V9" i="2"/>
  <c r="V10" i="2" s="1"/>
  <c r="V17" i="2" s="1"/>
  <c r="U23" i="2"/>
  <c r="U37" i="2"/>
  <c r="X35" i="2"/>
  <c r="Y12" i="2"/>
  <c r="Z6" i="2"/>
  <c r="Y30" i="2"/>
  <c r="Y11" i="2"/>
  <c r="X34" i="2"/>
  <c r="X16" i="2"/>
  <c r="W17" i="2"/>
  <c r="W33" i="2"/>
  <c r="W9" i="2"/>
  <c r="Y8" i="2"/>
  <c r="Z5" i="2"/>
  <c r="Y29" i="2"/>
  <c r="AA7" i="2"/>
  <c r="Z31" i="2"/>
  <c r="N20" i="2"/>
  <c r="N36" i="2"/>
  <c r="M36" i="2"/>
  <c r="M20" i="2"/>
  <c r="F25" i="2"/>
  <c r="F38" i="2"/>
  <c r="H25" i="2"/>
  <c r="H38" i="2"/>
  <c r="G25" i="2"/>
  <c r="G38" i="2"/>
  <c r="E25" i="2"/>
  <c r="E38" i="2"/>
  <c r="I25" i="2"/>
  <c r="I38" i="2"/>
  <c r="K25" i="2"/>
  <c r="K38" i="2"/>
  <c r="J25" i="2"/>
  <c r="J38" i="2"/>
  <c r="L25" i="2"/>
  <c r="L38" i="2"/>
  <c r="X9" i="2" l="1"/>
  <c r="V33" i="2"/>
  <c r="Y34" i="2"/>
  <c r="Y16" i="2"/>
  <c r="Z11" i="2"/>
  <c r="Z12" i="2"/>
  <c r="Y35" i="2"/>
  <c r="AA5" i="2"/>
  <c r="Z29" i="2"/>
  <c r="Z8" i="2"/>
  <c r="AA6" i="2"/>
  <c r="Z30" i="2"/>
  <c r="Y32" i="2"/>
  <c r="W20" i="2"/>
  <c r="W21" i="2" s="1"/>
  <c r="W37" i="2" s="1"/>
  <c r="W36" i="2"/>
  <c r="U25" i="2"/>
  <c r="U38" i="2"/>
  <c r="AB7" i="2"/>
  <c r="AA31" i="2"/>
  <c r="N37" i="2"/>
  <c r="N23" i="2"/>
  <c r="V20" i="2"/>
  <c r="V36" i="2"/>
  <c r="M23" i="2"/>
  <c r="M37" i="2"/>
  <c r="X33" i="2" l="1"/>
  <c r="X17" i="2"/>
  <c r="X36" i="2" s="1"/>
  <c r="W23" i="2"/>
  <c r="W25" i="2" s="1"/>
  <c r="Z32" i="2"/>
  <c r="Z9" i="2"/>
  <c r="AA8" i="2"/>
  <c r="AB5" i="2"/>
  <c r="AA29" i="2"/>
  <c r="AB6" i="2"/>
  <c r="AA30" i="2"/>
  <c r="Y9" i="2"/>
  <c r="Y33" i="2"/>
  <c r="Y17" i="2"/>
  <c r="AA12" i="2"/>
  <c r="Z35" i="2"/>
  <c r="AC7" i="2"/>
  <c r="AB31" i="2"/>
  <c r="AA11" i="2"/>
  <c r="Z34" i="2"/>
  <c r="Z16" i="2"/>
  <c r="M25" i="2"/>
  <c r="M38" i="2"/>
  <c r="V23" i="2"/>
  <c r="V37" i="2"/>
  <c r="N25" i="2"/>
  <c r="N38" i="2"/>
  <c r="X20" i="2" l="1"/>
  <c r="X21" i="2" s="1"/>
  <c r="X37" i="2" s="1"/>
  <c r="W38" i="2"/>
  <c r="AD7" i="2"/>
  <c r="AC31" i="2"/>
  <c r="AC6" i="2"/>
  <c r="AB30" i="2"/>
  <c r="AB12" i="2"/>
  <c r="AA35" i="2"/>
  <c r="AA32" i="2"/>
  <c r="Y20" i="2"/>
  <c r="Y36" i="2"/>
  <c r="AB8" i="2"/>
  <c r="AC5" i="2"/>
  <c r="AB29" i="2"/>
  <c r="AB11" i="2"/>
  <c r="AA16" i="2"/>
  <c r="AA34" i="2"/>
  <c r="Z33" i="2"/>
  <c r="Z17" i="2"/>
  <c r="V25" i="2"/>
  <c r="V38" i="2"/>
  <c r="X23" i="2" l="1"/>
  <c r="X25" i="2" s="1"/>
  <c r="AC11" i="2"/>
  <c r="AB16" i="2"/>
  <c r="AB34" i="2"/>
  <c r="AA33" i="2"/>
  <c r="AA17" i="2"/>
  <c r="AC8" i="2"/>
  <c r="AC29" i="2"/>
  <c r="AD5" i="2"/>
  <c r="AC12" i="2"/>
  <c r="AB35" i="2"/>
  <c r="AB9" i="2"/>
  <c r="AB32" i="2"/>
  <c r="AC30" i="2"/>
  <c r="AD6" i="2"/>
  <c r="Z36" i="2"/>
  <c r="Z20" i="2"/>
  <c r="Y21" i="2"/>
  <c r="Y37" i="2" s="1"/>
  <c r="AA9" i="2"/>
  <c r="AE7" i="2"/>
  <c r="AD31" i="2"/>
  <c r="X38" i="2" l="1"/>
  <c r="Y23" i="2"/>
  <c r="Y25" i="2" s="1"/>
  <c r="AC32" i="2"/>
  <c r="AA36" i="2"/>
  <c r="AA20" i="2"/>
  <c r="AD8" i="2"/>
  <c r="AE5" i="2"/>
  <c r="AD29" i="2"/>
  <c r="AE6" i="2"/>
  <c r="AD30" i="2"/>
  <c r="AF7" i="2"/>
  <c r="AF31" i="2" s="1"/>
  <c r="AE31" i="2"/>
  <c r="AB17" i="2"/>
  <c r="AB33" i="2"/>
  <c r="Z21" i="2"/>
  <c r="Z37" i="2" s="1"/>
  <c r="AD12" i="2"/>
  <c r="AC35" i="2"/>
  <c r="AD11" i="2"/>
  <c r="AC34" i="2"/>
  <c r="AC16" i="2"/>
  <c r="Y38" i="2" l="1"/>
  <c r="Z23" i="2"/>
  <c r="Z25" i="2" s="1"/>
  <c r="AD32" i="2"/>
  <c r="AC33" i="2"/>
  <c r="AC17" i="2"/>
  <c r="AE8" i="2"/>
  <c r="AE29" i="2"/>
  <c r="AF5" i="2"/>
  <c r="AB36" i="2"/>
  <c r="AB20" i="2"/>
  <c r="AE11" i="2"/>
  <c r="AD34" i="2"/>
  <c r="AD16" i="2"/>
  <c r="AA21" i="2"/>
  <c r="AA37" i="2" s="1"/>
  <c r="AE12" i="2"/>
  <c r="AD35" i="2"/>
  <c r="AE30" i="2"/>
  <c r="AF6" i="2"/>
  <c r="AF30" i="2" s="1"/>
  <c r="AC9" i="2"/>
  <c r="AA23" i="2" l="1"/>
  <c r="AA25" i="2" s="1"/>
  <c r="Z38" i="2"/>
  <c r="AF12" i="2"/>
  <c r="AF35" i="2" s="1"/>
  <c r="AE35" i="2"/>
  <c r="AE32" i="2"/>
  <c r="AE9" i="2"/>
  <c r="AC36" i="2"/>
  <c r="AC20" i="2"/>
  <c r="AD17" i="2"/>
  <c r="AD33" i="2"/>
  <c r="AF11" i="2"/>
  <c r="AE34" i="2"/>
  <c r="AE16" i="2"/>
  <c r="AB21" i="2"/>
  <c r="AB37" i="2" s="1"/>
  <c r="AD9" i="2"/>
  <c r="AF29" i="2"/>
  <c r="AF8" i="2"/>
  <c r="AA38" i="2" l="1"/>
  <c r="AB23" i="2"/>
  <c r="AB25" i="2" s="1"/>
  <c r="AE33" i="2"/>
  <c r="AE17" i="2"/>
  <c r="AF34" i="2"/>
  <c r="AF16" i="2"/>
  <c r="AF9" i="2"/>
  <c r="AF32" i="2"/>
  <c r="AC21" i="2"/>
  <c r="AC37" i="2" s="1"/>
  <c r="AD20" i="2"/>
  <c r="AD36" i="2"/>
  <c r="AB38" i="2" l="1"/>
  <c r="AF17" i="2"/>
  <c r="AF33" i="2"/>
  <c r="AD21" i="2"/>
  <c r="AD37" i="2" s="1"/>
  <c r="AE36" i="2"/>
  <c r="AE20" i="2"/>
  <c r="AC23" i="2"/>
  <c r="AD23" i="2" l="1"/>
  <c r="AD25" i="2" s="1"/>
  <c r="AC38" i="2"/>
  <c r="AC25" i="2"/>
  <c r="AF20" i="2"/>
  <c r="AF36" i="2"/>
  <c r="AE21" i="2"/>
  <c r="AE37" i="2" s="1"/>
  <c r="AD38" i="2" l="1"/>
  <c r="AE23" i="2"/>
  <c r="AE38" i="2" s="1"/>
  <c r="AF21" i="2"/>
  <c r="AF37" i="2" s="1"/>
  <c r="AE25" i="2" l="1"/>
  <c r="AF23" i="2"/>
  <c r="AF25" i="2" l="1"/>
  <c r="AG23" i="2"/>
  <c r="AH23" i="2" s="1"/>
  <c r="AI23" i="2" s="1"/>
  <c r="AJ23" i="2" s="1"/>
  <c r="AK23" i="2" s="1"/>
  <c r="AL23" i="2" s="1"/>
  <c r="AM23" i="2" s="1"/>
  <c r="AN23" i="2" s="1"/>
  <c r="AO23" i="2" s="1"/>
  <c r="AP23" i="2" s="1"/>
  <c r="AQ23" i="2" s="1"/>
  <c r="AR23" i="2" s="1"/>
  <c r="AS23" i="2" s="1"/>
  <c r="AT23" i="2" s="1"/>
  <c r="AU23" i="2" s="1"/>
  <c r="AV23" i="2" s="1"/>
  <c r="AW23" i="2" s="1"/>
  <c r="AX23" i="2" s="1"/>
  <c r="AY23" i="2" s="1"/>
  <c r="AZ23" i="2" s="1"/>
  <c r="BA23" i="2" s="1"/>
  <c r="BB23" i="2" s="1"/>
  <c r="BC23" i="2" s="1"/>
  <c r="BD23" i="2" s="1"/>
  <c r="BE23" i="2" s="1"/>
  <c r="BF23" i="2" s="1"/>
  <c r="BG23" i="2" s="1"/>
  <c r="BH23" i="2" s="1"/>
  <c r="BI23" i="2" s="1"/>
  <c r="BJ23" i="2" s="1"/>
  <c r="BK23" i="2" s="1"/>
  <c r="BL23" i="2" s="1"/>
  <c r="BM23" i="2" s="1"/>
  <c r="BN23" i="2" s="1"/>
  <c r="BO23" i="2" s="1"/>
  <c r="BP23" i="2" s="1"/>
  <c r="BQ23" i="2" s="1"/>
  <c r="BR23" i="2" s="1"/>
  <c r="BS23" i="2" s="1"/>
  <c r="BT23" i="2" s="1"/>
  <c r="BU23" i="2" s="1"/>
  <c r="BV23" i="2" s="1"/>
  <c r="BW23" i="2" s="1"/>
  <c r="BX23" i="2" s="1"/>
  <c r="BY23" i="2" s="1"/>
  <c r="BZ23" i="2" s="1"/>
  <c r="CA23" i="2" s="1"/>
  <c r="CB23" i="2" s="1"/>
  <c r="CC23" i="2" s="1"/>
  <c r="CD23" i="2" s="1"/>
  <c r="CE23" i="2" s="1"/>
  <c r="CF23" i="2" s="1"/>
  <c r="CG23" i="2" s="1"/>
  <c r="CH23" i="2" s="1"/>
  <c r="CI23" i="2" s="1"/>
  <c r="CJ23" i="2" s="1"/>
  <c r="CK23" i="2" s="1"/>
  <c r="CL23" i="2" s="1"/>
  <c r="CM23" i="2" s="1"/>
  <c r="CN23" i="2" s="1"/>
  <c r="CO23" i="2" s="1"/>
  <c r="CP23" i="2" s="1"/>
  <c r="CQ23" i="2" s="1"/>
  <c r="CR23" i="2" s="1"/>
  <c r="CS23" i="2" s="1"/>
  <c r="CT23" i="2" s="1"/>
  <c r="CU23" i="2" s="1"/>
  <c r="CV23" i="2" s="1"/>
  <c r="CW23" i="2" s="1"/>
  <c r="CX23" i="2" s="1"/>
  <c r="CY23" i="2" s="1"/>
  <c r="CZ23" i="2" s="1"/>
  <c r="DA23" i="2" s="1"/>
  <c r="DB23" i="2" s="1"/>
  <c r="DC23" i="2" s="1"/>
  <c r="DD23" i="2" s="1"/>
  <c r="DE23" i="2" s="1"/>
  <c r="DF23" i="2" s="1"/>
  <c r="DG23" i="2" s="1"/>
  <c r="DH23" i="2" s="1"/>
  <c r="DI23" i="2" s="1"/>
  <c r="DJ23" i="2" s="1"/>
  <c r="DK23" i="2" s="1"/>
  <c r="DL23" i="2" s="1"/>
  <c r="DM23" i="2" s="1"/>
  <c r="DN23" i="2" s="1"/>
  <c r="DO23" i="2" s="1"/>
  <c r="DP23" i="2" s="1"/>
  <c r="DQ23" i="2" s="1"/>
  <c r="DR23" i="2" s="1"/>
  <c r="DS23" i="2" s="1"/>
  <c r="DT23" i="2" s="1"/>
  <c r="DU23" i="2" s="1"/>
  <c r="DV23" i="2" s="1"/>
  <c r="DW23" i="2" s="1"/>
  <c r="DX23" i="2" s="1"/>
  <c r="DY23" i="2" s="1"/>
  <c r="DZ23" i="2" s="1"/>
  <c r="EA23" i="2" s="1"/>
  <c r="EB23" i="2" s="1"/>
  <c r="EC23" i="2" s="1"/>
  <c r="ED23" i="2" s="1"/>
  <c r="EE23" i="2" s="1"/>
  <c r="EF23" i="2" s="1"/>
  <c r="EG23" i="2" s="1"/>
  <c r="EH23" i="2" s="1"/>
  <c r="EI23" i="2" s="1"/>
  <c r="AI33" i="2" s="1"/>
  <c r="AI35" i="2" s="1"/>
  <c r="AI36" i="2" s="1"/>
  <c r="AI38" i="2" s="1"/>
  <c r="AF38" i="2"/>
</calcChain>
</file>

<file path=xl/sharedStrings.xml><?xml version="1.0" encoding="utf-8"?>
<sst xmlns="http://schemas.openxmlformats.org/spreadsheetml/2006/main" count="74" uniqueCount="69">
  <si>
    <t>BBD</t>
  </si>
  <si>
    <t>Price</t>
  </si>
  <si>
    <t>Shares</t>
  </si>
  <si>
    <t>MC</t>
  </si>
  <si>
    <t>Cash</t>
  </si>
  <si>
    <t>Debt</t>
  </si>
  <si>
    <t>Net Cash</t>
  </si>
  <si>
    <t>EV</t>
  </si>
  <si>
    <t>Last checked</t>
  </si>
  <si>
    <t>Today</t>
  </si>
  <si>
    <t>Earnings</t>
  </si>
  <si>
    <t>Q225</t>
  </si>
  <si>
    <t>SG&amp;A</t>
  </si>
  <si>
    <t>Net income</t>
  </si>
  <si>
    <t>Cost of sales</t>
  </si>
  <si>
    <t>R&amp;D</t>
  </si>
  <si>
    <t>Other expense</t>
  </si>
  <si>
    <t>Restructuring</t>
  </si>
  <si>
    <t>Impairment</t>
  </si>
  <si>
    <t>Total opex</t>
  </si>
  <si>
    <t>Operating profit</t>
  </si>
  <si>
    <t>Finance expense</t>
  </si>
  <si>
    <t>Finance income</t>
  </si>
  <si>
    <t>Pretax profit</t>
  </si>
  <si>
    <t>Taxes</t>
  </si>
  <si>
    <t>MI</t>
  </si>
  <si>
    <t>EPS</t>
  </si>
  <si>
    <t>Q123</t>
  </si>
  <si>
    <t>Q223</t>
  </si>
  <si>
    <t>Q323</t>
  </si>
  <si>
    <t>Q423</t>
  </si>
  <si>
    <t>Q124</t>
  </si>
  <si>
    <t>Q224</t>
  </si>
  <si>
    <t>Q324</t>
  </si>
  <si>
    <t>Q424</t>
  </si>
  <si>
    <t>Q125</t>
  </si>
  <si>
    <t>Q325</t>
  </si>
  <si>
    <t>Q425</t>
  </si>
  <si>
    <t>Gross profit</t>
  </si>
  <si>
    <t>Manufacturing</t>
  </si>
  <si>
    <t>Services</t>
  </si>
  <si>
    <t>Others</t>
  </si>
  <si>
    <t>Total revenue</t>
  </si>
  <si>
    <t>Revenue y/y</t>
  </si>
  <si>
    <t>Gross Margin</t>
  </si>
  <si>
    <t>Manufacturing y/y</t>
  </si>
  <si>
    <t>Services y/y</t>
  </si>
  <si>
    <t>Others y/y</t>
  </si>
  <si>
    <t>SG&amp;A y/y</t>
  </si>
  <si>
    <t>R&amp;D y/y</t>
  </si>
  <si>
    <t>Operating Margin</t>
  </si>
  <si>
    <t>Net Margin</t>
  </si>
  <si>
    <t>Backlog</t>
  </si>
  <si>
    <t>Backlog y/y</t>
  </si>
  <si>
    <t>L+S/E</t>
  </si>
  <si>
    <t>EV/B</t>
  </si>
  <si>
    <t>B/EV</t>
  </si>
  <si>
    <t>Maturity</t>
  </si>
  <si>
    <t>Discount rate</t>
  </si>
  <si>
    <t>NPV</t>
  </si>
  <si>
    <t>Net cash</t>
  </si>
  <si>
    <t>Value</t>
  </si>
  <si>
    <t>Per share</t>
  </si>
  <si>
    <t>Current price</t>
  </si>
  <si>
    <t>Variance</t>
  </si>
  <si>
    <t>Consensus</t>
  </si>
  <si>
    <t>Heavily overvalued</t>
  </si>
  <si>
    <t>USD/CAD</t>
  </si>
  <si>
    <t>CAD$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</si>
</sst>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1" formatCode="_-* #,##0_-;\-* #,##0_-;_-* &quot;-&quot;_-;_-@_-"/>
    <numFmt numFmtId="43" formatCode="_-* #,##0.00_-;\-* #,##0.00_-;_-* &quot;-&quot;??_-;_-@_-"/>
    <numFmt numFmtId="164" formatCode="[$$-1009]#,##0.00"/>
    <numFmt numFmtId="165" formatCode="_(&quot;$&quot;* #,##0_);_(&quot;$&quot;* \(#,##0\);_(&quot;$&quot;* &quot;-&quot;_);_(@_)"/>
    <numFmt numFmtId="166" formatCode="_(&quot;$&quot;* #,##0.00_);_(&quot;$&quot;* \(#,##0.00\);_(&quot;$&quot;* &quot;-&quot;??_);_(@_)"/>
    <numFmt numFmtId="167" formatCode="0.000_)"/>
    <numFmt numFmtId="168" formatCode="0.00_)"/>
    <numFmt numFmtId="169" formatCode="_([$€-2]* #,##0.00_);_([$€-2]* \(#,##0.00\);_([$€-2]* &quot;-&quot;??_)"/>
    <numFmt numFmtId="170" formatCode="_(&quot;$&quot;* #,##0_);_(&quot;$&quot;* \(#,##0\);_(&quot;$&quot;* &quot;-&quot;??_);_(@_)"/>
    <numFmt numFmtId="171" formatCode="_-* #,##0\ _K_č_-;\-* #,##0\ _K_č_-;_-* &quot;-&quot;\ _K_č_-;_-@_-"/>
    <numFmt numFmtId="172" formatCode="_-* #,##0.00\ _K_č_-;\-* #,##0.00\ _K_č_-;_-* &quot;-&quot;??\ _K_č_-;_-@_-"/>
    <numFmt numFmtId="173" formatCode="_-* #,##0.00\ _€_-;\-* #,##0.00\ _€_-;_-* &quot;-&quot;??\ _€_-;_-@_-"/>
    <numFmt numFmtId="174" formatCode="_ * #,##0.00_)\ &quot;$&quot;_ ;_ * \(#,##0.00\)\ &quot;$&quot;_ ;_ * &quot;-&quot;??_)\ &quot;$&quot;_ ;_ @_ "/>
    <numFmt numFmtId="175" formatCode="#,##0.0_);\(#,##0.0\)"/>
    <numFmt numFmtId="176" formatCode="_-* #,##0.00\ _$_-;\-* #,##0.00\ _$_-;_-* &quot;-&quot;??\ _$_-;_-@_-"/>
    <numFmt numFmtId="177" formatCode="0.0\x"/>
    <numFmt numFmtId="178" formatCode="[$$-409]#,##0.00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10"/>
      <color rgb="FF000000"/>
      <name val="Times New Roman"/>
      <family val="1"/>
    </font>
    <font>
      <sz val="10"/>
      <name val="Arial"/>
      <family val="2"/>
    </font>
    <font>
      <sz val="8"/>
      <name val="Arial"/>
      <family val="2"/>
    </font>
    <font>
      <sz val="10"/>
      <color indexed="10"/>
      <name val="Arial"/>
      <family val="2"/>
    </font>
    <font>
      <u/>
      <sz val="10"/>
      <color indexed="36"/>
      <name val="Arial"/>
      <family val="2"/>
    </font>
    <font>
      <sz val="11"/>
      <name val="Tms Rmn"/>
    </font>
    <font>
      <b/>
      <i/>
      <sz val="16"/>
      <name val="Helv"/>
    </font>
    <font>
      <sz val="10"/>
      <name val="MS Sans Serif"/>
      <family val="2"/>
    </font>
    <font>
      <b/>
      <sz val="10"/>
      <name val="Univers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4"/>
      <name val="Arial"/>
      <family val="2"/>
    </font>
    <font>
      <b/>
      <sz val="7"/>
      <color indexed="9"/>
      <name val="Palatino"/>
      <family val="1"/>
    </font>
    <font>
      <b/>
      <sz val="12"/>
      <name val="Arial"/>
      <family val="2"/>
    </font>
    <font>
      <sz val="10"/>
      <name val="Arial CE"/>
      <charset val="238"/>
    </font>
    <font>
      <sz val="12"/>
      <name val="Tms Rmn"/>
    </font>
    <font>
      <sz val="12"/>
      <name val="Times New Roman"/>
      <family val="1"/>
    </font>
    <font>
      <sz val="10"/>
      <name val="Times New Roman"/>
      <family val="1"/>
    </font>
    <font>
      <sz val="9"/>
      <color indexed="20"/>
      <name val="Arial"/>
      <family val="2"/>
    </font>
    <font>
      <sz val="9"/>
      <color indexed="48"/>
      <name val="Arial"/>
      <family val="2"/>
    </font>
    <font>
      <b/>
      <sz val="12"/>
      <color indexed="20"/>
      <name val="Arial"/>
      <family val="2"/>
    </font>
    <font>
      <b/>
      <i/>
      <sz val="12"/>
      <color indexed="10"/>
      <name val="Times New Roman"/>
      <family val="1"/>
    </font>
    <font>
      <b/>
      <u/>
      <sz val="10"/>
      <name val="Geneva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10"/>
      <color indexed="12"/>
      <name val="Arial"/>
      <family val="2"/>
    </font>
    <font>
      <sz val="12"/>
      <name val="SWISS"/>
    </font>
    <font>
      <b/>
      <sz val="7"/>
      <color indexed="9"/>
      <name val="Palatino"/>
    </font>
    <font>
      <sz val="8"/>
      <name val="Calibri"/>
      <family val="2"/>
      <scheme val="minor"/>
    </font>
    <font>
      <b/>
      <u/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45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12"/>
        <bgColor indexed="12"/>
      </patternFill>
    </fill>
    <fill>
      <patternFill patternType="solid">
        <fgColor indexed="42"/>
      </patternFill>
    </fill>
    <fill>
      <patternFill patternType="solid">
        <fgColor indexed="9"/>
        <bgColor indexed="64"/>
      </patternFill>
    </fill>
    <fill>
      <patternFill patternType="mediumGray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</patternFill>
    </fill>
    <fill>
      <patternFill patternType="solid">
        <fgColor indexed="52"/>
      </patternFill>
    </fill>
    <fill>
      <patternFill patternType="solid">
        <fgColor indexed="50"/>
      </patternFill>
    </fill>
    <fill>
      <patternFill patternType="solid">
        <fgColor indexed="11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4"/>
        <bgColor indexed="64"/>
      </patternFill>
    </fill>
  </fills>
  <borders count="22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64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medium">
        <color indexed="22"/>
      </left>
      <right style="medium">
        <color indexed="22"/>
      </right>
      <top style="medium">
        <color indexed="22"/>
      </top>
      <bottom style="medium">
        <color indexed="2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2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theme="2" tint="-0.749992370372631"/>
      </left>
      <right style="thin">
        <color theme="2" tint="-0.749992370372631"/>
      </right>
      <top/>
      <bottom style="thin">
        <color theme="2" tint="-0.749992370372631"/>
      </bottom>
      <diagonal/>
    </border>
  </borders>
  <cellStyleXfs count="649">
    <xf numFmtId="0" fontId="0" fillId="0" borderId="0"/>
    <xf numFmtId="0" fontId="5" fillId="0" borderId="0"/>
    <xf numFmtId="0" fontId="6" fillId="0" borderId="0"/>
    <xf numFmtId="0" fontId="16" fillId="0" borderId="0">
      <alignment vertical="top"/>
    </xf>
    <xf numFmtId="0" fontId="32" fillId="3" borderId="0" applyNumberFormat="0" applyBorder="0" applyAlignment="0" applyProtection="0"/>
    <xf numFmtId="0" fontId="32" fillId="4" borderId="0" applyNumberFormat="0" applyBorder="0" applyAlignment="0" applyProtection="0"/>
    <xf numFmtId="0" fontId="32" fillId="5" borderId="0" applyNumberFormat="0" applyBorder="0" applyAlignment="0" applyProtection="0"/>
    <xf numFmtId="0" fontId="32" fillId="3" borderId="0" applyNumberFormat="0" applyBorder="0" applyAlignment="0" applyProtection="0"/>
    <xf numFmtId="0" fontId="32" fillId="6" borderId="0" applyNumberFormat="0" applyBorder="0" applyAlignment="0" applyProtection="0"/>
    <xf numFmtId="0" fontId="32" fillId="5" borderId="0" applyNumberFormat="0" applyBorder="0" applyAlignment="0" applyProtection="0"/>
    <xf numFmtId="0" fontId="32" fillId="3" borderId="0" applyNumberFormat="0" applyBorder="0" applyAlignment="0" applyProtection="0"/>
    <xf numFmtId="0" fontId="32" fillId="4" borderId="0" applyNumberFormat="0" applyBorder="0" applyAlignment="0" applyProtection="0"/>
    <xf numFmtId="0" fontId="32" fillId="5" borderId="0" applyNumberFormat="0" applyBorder="0" applyAlignment="0" applyProtection="0"/>
    <xf numFmtId="0" fontId="32" fillId="3" borderId="0" applyNumberFormat="0" applyBorder="0" applyAlignment="0" applyProtection="0"/>
    <xf numFmtId="0" fontId="32" fillId="6" borderId="0" applyNumberFormat="0" applyBorder="0" applyAlignment="0" applyProtection="0"/>
    <xf numFmtId="0" fontId="32" fillId="5" borderId="0" applyNumberFormat="0" applyBorder="0" applyAlignment="0" applyProtection="0"/>
    <xf numFmtId="0" fontId="32" fillId="7" borderId="0" applyNumberFormat="0" applyBorder="0" applyAlignment="0" applyProtection="0"/>
    <xf numFmtId="0" fontId="32" fillId="4" borderId="0" applyNumberFormat="0" applyBorder="0" applyAlignment="0" applyProtection="0"/>
    <xf numFmtId="0" fontId="32" fillId="8" borderId="0" applyNumberFormat="0" applyBorder="0" applyAlignment="0" applyProtection="0"/>
    <xf numFmtId="0" fontId="32" fillId="7" borderId="0" applyNumberFormat="0" applyBorder="0" applyAlignment="0" applyProtection="0"/>
    <xf numFmtId="0" fontId="32" fillId="9" borderId="0" applyNumberFormat="0" applyBorder="0" applyAlignment="0" applyProtection="0"/>
    <xf numFmtId="0" fontId="32" fillId="8" borderId="0" applyNumberFormat="0" applyBorder="0" applyAlignment="0" applyProtection="0"/>
    <xf numFmtId="0" fontId="32" fillId="7" borderId="0" applyNumberFormat="0" applyBorder="0" applyAlignment="0" applyProtection="0"/>
    <xf numFmtId="0" fontId="32" fillId="4" borderId="0" applyNumberFormat="0" applyBorder="0" applyAlignment="0" applyProtection="0"/>
    <xf numFmtId="0" fontId="32" fillId="8" borderId="0" applyNumberFormat="0" applyBorder="0" applyAlignment="0" applyProtection="0"/>
    <xf numFmtId="0" fontId="32" fillId="7" borderId="0" applyNumberFormat="0" applyBorder="0" applyAlignment="0" applyProtection="0"/>
    <xf numFmtId="0" fontId="32" fillId="9" borderId="0" applyNumberFormat="0" applyBorder="0" applyAlignment="0" applyProtection="0"/>
    <xf numFmtId="0" fontId="32" fillId="8" borderId="0" applyNumberFormat="0" applyBorder="0" applyAlignment="0" applyProtection="0"/>
    <xf numFmtId="0" fontId="33" fillId="10" borderId="0" applyNumberFormat="0" applyBorder="0" applyAlignment="0" applyProtection="0"/>
    <xf numFmtId="0" fontId="33" fillId="4" borderId="0" applyNumberFormat="0" applyBorder="0" applyAlignment="0" applyProtection="0"/>
    <xf numFmtId="0" fontId="33" fillId="8" borderId="0" applyNumberFormat="0" applyBorder="0" applyAlignment="0" applyProtection="0"/>
    <xf numFmtId="0" fontId="33" fillId="7" borderId="0" applyNumberFormat="0" applyBorder="0" applyAlignment="0" applyProtection="0"/>
    <xf numFmtId="0" fontId="33" fillId="10" borderId="0" applyNumberFormat="0" applyBorder="0" applyAlignment="0" applyProtection="0"/>
    <xf numFmtId="0" fontId="33" fillId="4" borderId="0" applyNumberFormat="0" applyBorder="0" applyAlignment="0" applyProtection="0"/>
    <xf numFmtId="0" fontId="33" fillId="10" borderId="0" applyNumberFormat="0" applyBorder="0" applyAlignment="0" applyProtection="0"/>
    <xf numFmtId="0" fontId="33" fillId="4" borderId="0" applyNumberFormat="0" applyBorder="0" applyAlignment="0" applyProtection="0"/>
    <xf numFmtId="0" fontId="33" fillId="8" borderId="0" applyNumberFormat="0" applyBorder="0" applyAlignment="0" applyProtection="0"/>
    <xf numFmtId="0" fontId="33" fillId="7" borderId="0" applyNumberFormat="0" applyBorder="0" applyAlignment="0" applyProtection="0"/>
    <xf numFmtId="0" fontId="33" fillId="10" borderId="0" applyNumberFormat="0" applyBorder="0" applyAlignment="0" applyProtection="0"/>
    <xf numFmtId="0" fontId="33" fillId="4" borderId="0" applyNumberFormat="0" applyBorder="0" applyAlignment="0" applyProtection="0"/>
    <xf numFmtId="0" fontId="33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10" borderId="0" applyNumberFormat="0" applyBorder="0" applyAlignment="0" applyProtection="0"/>
    <xf numFmtId="0" fontId="33" fillId="14" borderId="0" applyNumberFormat="0" applyBorder="0" applyAlignment="0" applyProtection="0"/>
    <xf numFmtId="0" fontId="48" fillId="0" borderId="0" applyNumberFormat="0" applyFill="0" applyBorder="0" applyAlignment="0" applyProtection="0"/>
    <xf numFmtId="0" fontId="34" fillId="15" borderId="0" applyNumberFormat="0" applyBorder="0" applyAlignment="0" applyProtection="0"/>
    <xf numFmtId="37" fontId="20" fillId="0" borderId="0" applyFont="0" applyBorder="0" applyAlignment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35" fillId="16" borderId="2" applyNumberFormat="0" applyAlignment="0" applyProtection="0"/>
    <xf numFmtId="0" fontId="35" fillId="16" borderId="2" applyNumberFormat="0" applyAlignment="0" applyProtection="0"/>
    <xf numFmtId="171" fontId="23" fillId="0" borderId="0" applyFont="0" applyFill="0" applyBorder="0" applyAlignment="0" applyProtection="0"/>
    <xf numFmtId="172" fontId="23" fillId="0" borderId="0" applyFont="0" applyFill="0" applyBorder="0" applyAlignment="0" applyProtection="0"/>
    <xf numFmtId="0" fontId="43" fillId="0" borderId="3" applyNumberFormat="0" applyFill="0" applyAlignment="0" applyProtection="0"/>
    <xf numFmtId="0" fontId="36" fillId="17" borderId="4" applyNumberFormat="0" applyAlignment="0" applyProtection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167" fontId="10" fillId="0" borderId="0"/>
    <xf numFmtId="0" fontId="6" fillId="5" borderId="5" applyNumberFormat="0" applyFont="0" applyAlignment="0" applyProtection="0"/>
    <xf numFmtId="0" fontId="21" fillId="18" borderId="6" applyNumberFormat="0" applyProtection="0">
      <alignment horizontal="center"/>
    </xf>
    <xf numFmtId="0" fontId="21" fillId="18" borderId="6" applyNumberFormat="0" applyProtection="0">
      <alignment horizontal="center"/>
    </xf>
    <xf numFmtId="0" fontId="21" fillId="18" borderId="6" applyNumberFormat="0" applyProtection="0">
      <alignment horizontal="center"/>
    </xf>
    <xf numFmtId="0" fontId="21" fillId="18" borderId="6" applyNumberFormat="0" applyProtection="0">
      <alignment horizontal="center"/>
    </xf>
    <xf numFmtId="174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42" fillId="8" borderId="2" applyNumberFormat="0" applyAlignment="0" applyProtection="0"/>
    <xf numFmtId="169" fontId="6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38" fillId="19" borderId="0" applyNumberFormat="0" applyBorder="0" applyAlignment="0" applyProtection="0"/>
    <xf numFmtId="0" fontId="22" fillId="0" borderId="7" applyNumberFormat="0" applyAlignment="0" applyProtection="0">
      <alignment horizontal="left" vertical="center"/>
    </xf>
    <xf numFmtId="0" fontId="22" fillId="0" borderId="8">
      <alignment horizontal="left" vertical="center"/>
    </xf>
    <xf numFmtId="0" fontId="39" fillId="0" borderId="9" applyNumberFormat="0" applyFill="0" applyAlignment="0" applyProtection="0"/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1" fillId="0" borderId="0" applyNumberFormat="0" applyFill="0" applyBorder="0" applyAlignment="0" applyProtection="0"/>
    <xf numFmtId="0" fontId="42" fillId="8" borderId="2" applyNumberFormat="0" applyAlignment="0" applyProtection="0"/>
    <xf numFmtId="0" fontId="34" fillId="15" borderId="0" applyNumberFormat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43" fillId="0" borderId="3" applyNumberFormat="0" applyFill="0" applyAlignment="0" applyProtection="0"/>
    <xf numFmtId="0" fontId="6" fillId="0" borderId="0" applyFont="0" applyFill="0" applyBorder="0" applyAlignment="0" applyProtection="0"/>
    <xf numFmtId="170" fontId="6" fillId="0" borderId="12" applyNumberFormat="0" applyAlignment="0"/>
    <xf numFmtId="0" fontId="44" fillId="8" borderId="0" applyNumberFormat="0" applyBorder="0" applyAlignment="0" applyProtection="0"/>
    <xf numFmtId="0" fontId="44" fillId="8" borderId="0" applyNumberFormat="0" applyBorder="0" applyAlignment="0" applyProtection="0"/>
    <xf numFmtId="168" fontId="11" fillId="0" borderId="0"/>
    <xf numFmtId="0" fontId="25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0" borderId="0"/>
    <xf numFmtId="0" fontId="6" fillId="5" borderId="5" applyNumberFormat="0" applyFont="0" applyAlignment="0" applyProtection="0"/>
    <xf numFmtId="0" fontId="45" fillId="16" borderId="13" applyNumberFormat="0" applyAlignment="0" applyProtection="0"/>
    <xf numFmtId="9" fontId="26" fillId="0" borderId="0" applyFont="0" applyFill="0" applyBorder="0" applyAlignment="0" applyProtection="0"/>
    <xf numFmtId="10" fontId="26" fillId="0" borderId="0" applyFont="0" applyFill="0" applyBorder="0" applyAlignment="0" applyProtection="0"/>
    <xf numFmtId="0" fontId="12" fillId="0" borderId="0" applyNumberFormat="0" applyFont="0" applyFill="0" applyBorder="0" applyAlignment="0" applyProtection="0">
      <alignment horizontal="left"/>
    </xf>
    <xf numFmtId="15" fontId="12" fillId="0" borderId="0" applyFont="0" applyFill="0" applyBorder="0" applyAlignment="0" applyProtection="0"/>
    <xf numFmtId="4" fontId="12" fillId="0" borderId="0" applyFont="0" applyFill="0" applyBorder="0" applyAlignment="0" applyProtection="0"/>
    <xf numFmtId="0" fontId="13" fillId="0" borderId="14">
      <alignment horizontal="center"/>
    </xf>
    <xf numFmtId="0" fontId="13" fillId="0" borderId="14">
      <alignment horizontal="center"/>
    </xf>
    <xf numFmtId="0" fontId="13" fillId="0" borderId="14">
      <alignment horizontal="center"/>
    </xf>
    <xf numFmtId="0" fontId="13" fillId="0" borderId="14">
      <alignment horizontal="center"/>
    </xf>
    <xf numFmtId="0" fontId="13" fillId="0" borderId="14">
      <alignment horizontal="center"/>
    </xf>
    <xf numFmtId="0" fontId="13" fillId="0" borderId="14">
      <alignment horizontal="center"/>
    </xf>
    <xf numFmtId="0" fontId="13" fillId="0" borderId="14">
      <alignment horizontal="center"/>
    </xf>
    <xf numFmtId="0" fontId="13" fillId="0" borderId="14">
      <alignment horizontal="center"/>
    </xf>
    <xf numFmtId="3" fontId="12" fillId="0" borderId="0" applyFont="0" applyFill="0" applyBorder="0" applyAlignment="0" applyProtection="0"/>
    <xf numFmtId="0" fontId="12" fillId="21" borderId="0" applyNumberFormat="0" applyFont="0" applyBorder="0" applyAlignment="0" applyProtection="0"/>
    <xf numFmtId="4" fontId="14" fillId="8" borderId="15" applyNumberFormat="0" applyProtection="0">
      <alignment vertical="center"/>
    </xf>
    <xf numFmtId="4" fontId="15" fillId="22" borderId="15" applyNumberFormat="0" applyProtection="0">
      <alignment vertical="center"/>
    </xf>
    <xf numFmtId="4" fontId="14" fillId="22" borderId="15" applyNumberFormat="0" applyProtection="0">
      <alignment horizontal="left" vertical="center" indent="1"/>
    </xf>
    <xf numFmtId="0" fontId="14" fillId="22" borderId="15" applyNumberFormat="0" applyProtection="0">
      <alignment horizontal="left" vertical="top" indent="1"/>
    </xf>
    <xf numFmtId="4" fontId="14" fillId="23" borderId="0" applyNumberFormat="0" applyProtection="0">
      <alignment horizontal="left" vertical="center" indent="1"/>
    </xf>
    <xf numFmtId="4" fontId="16" fillId="15" borderId="15" applyNumberFormat="0" applyProtection="0">
      <alignment horizontal="right" vertical="center"/>
    </xf>
    <xf numFmtId="4" fontId="16" fillId="4" borderId="15" applyNumberFormat="0" applyProtection="0">
      <alignment horizontal="right" vertical="center"/>
    </xf>
    <xf numFmtId="4" fontId="16" fillId="11" borderId="15" applyNumberFormat="0" applyProtection="0">
      <alignment horizontal="right" vertical="center"/>
    </xf>
    <xf numFmtId="4" fontId="16" fillId="24" borderId="15" applyNumberFormat="0" applyProtection="0">
      <alignment horizontal="right" vertical="center"/>
    </xf>
    <xf numFmtId="4" fontId="16" fillId="25" borderId="15" applyNumberFormat="0" applyProtection="0">
      <alignment horizontal="right" vertical="center"/>
    </xf>
    <xf numFmtId="4" fontId="16" fillId="14" borderId="15" applyNumberFormat="0" applyProtection="0">
      <alignment horizontal="right" vertical="center"/>
    </xf>
    <xf numFmtId="4" fontId="16" fillId="12" borderId="15" applyNumberFormat="0" applyProtection="0">
      <alignment horizontal="right" vertical="center"/>
    </xf>
    <xf numFmtId="4" fontId="16" fillId="26" borderId="15" applyNumberFormat="0" applyProtection="0">
      <alignment horizontal="right" vertical="center"/>
    </xf>
    <xf numFmtId="4" fontId="16" fillId="27" borderId="15" applyNumberFormat="0" applyProtection="0">
      <alignment horizontal="right" vertical="center"/>
    </xf>
    <xf numFmtId="4" fontId="14" fillId="28" borderId="16" applyNumberFormat="0" applyProtection="0">
      <alignment horizontal="left" vertical="center" indent="1"/>
    </xf>
    <xf numFmtId="4" fontId="16" fillId="29" borderId="0" applyNumberFormat="0" applyProtection="0">
      <alignment horizontal="left" vertical="center" indent="1"/>
    </xf>
    <xf numFmtId="4" fontId="17" fillId="30" borderId="0" applyNumberFormat="0" applyProtection="0">
      <alignment horizontal="left" vertical="center" indent="1"/>
    </xf>
    <xf numFmtId="4" fontId="16" fillId="31" borderId="15" applyNumberFormat="0" applyProtection="0">
      <alignment horizontal="right" vertical="center"/>
    </xf>
    <xf numFmtId="4" fontId="16" fillId="29" borderId="0" applyNumberFormat="0" applyProtection="0">
      <alignment horizontal="left" vertical="center" indent="1"/>
    </xf>
    <xf numFmtId="4" fontId="16" fillId="29" borderId="0" applyNumberFormat="0" applyProtection="0">
      <alignment horizontal="left" vertical="center" indent="1"/>
    </xf>
    <xf numFmtId="4" fontId="16" fillId="29" borderId="0" applyNumberFormat="0" applyProtection="0">
      <alignment horizontal="left" vertical="center" indent="1"/>
    </xf>
    <xf numFmtId="4" fontId="16" fillId="23" borderId="0" applyNumberFormat="0" applyProtection="0">
      <alignment horizontal="left" vertical="center" indent="1"/>
    </xf>
    <xf numFmtId="4" fontId="16" fillId="23" borderId="0" applyNumberFormat="0" applyProtection="0">
      <alignment horizontal="left" vertical="center" indent="1"/>
    </xf>
    <xf numFmtId="4" fontId="16" fillId="23" borderId="0" applyNumberFormat="0" applyProtection="0">
      <alignment horizontal="left" vertical="center" indent="1"/>
    </xf>
    <xf numFmtId="0" fontId="6" fillId="30" borderId="15" applyNumberFormat="0" applyProtection="0">
      <alignment horizontal="left" vertical="center" indent="1"/>
    </xf>
    <xf numFmtId="0" fontId="6" fillId="30" borderId="15" applyNumberFormat="0" applyProtection="0">
      <alignment horizontal="left" vertical="top" indent="1"/>
    </xf>
    <xf numFmtId="0" fontId="6" fillId="23" borderId="15" applyNumberFormat="0" applyProtection="0">
      <alignment horizontal="left" vertical="center" indent="1"/>
    </xf>
    <xf numFmtId="0" fontId="6" fillId="23" borderId="15" applyNumberFormat="0" applyProtection="0">
      <alignment horizontal="left" vertical="top" indent="1"/>
    </xf>
    <xf numFmtId="0" fontId="6" fillId="32" borderId="15" applyNumberFormat="0" applyProtection="0">
      <alignment horizontal="left" vertical="center" indent="1"/>
    </xf>
    <xf numFmtId="0" fontId="6" fillId="32" borderId="15" applyNumberFormat="0" applyProtection="0">
      <alignment horizontal="left" vertical="top" indent="1"/>
    </xf>
    <xf numFmtId="0" fontId="6" fillId="33" borderId="15" applyNumberFormat="0" applyProtection="0">
      <alignment horizontal="left" vertical="center" indent="1"/>
    </xf>
    <xf numFmtId="0" fontId="6" fillId="33" borderId="15" applyNumberFormat="0" applyProtection="0">
      <alignment horizontal="left" vertical="top" indent="1"/>
    </xf>
    <xf numFmtId="4" fontId="16" fillId="34" borderId="15" applyNumberFormat="0" applyProtection="0">
      <alignment vertical="center"/>
    </xf>
    <xf numFmtId="4" fontId="18" fillId="34" borderId="15" applyNumberFormat="0" applyProtection="0">
      <alignment vertical="center"/>
    </xf>
    <xf numFmtId="4" fontId="16" fillId="34" borderId="15" applyNumberFormat="0" applyProtection="0">
      <alignment horizontal="left" vertical="center" indent="1"/>
    </xf>
    <xf numFmtId="0" fontId="16" fillId="34" borderId="15" applyNumberFormat="0" applyProtection="0">
      <alignment horizontal="left" vertical="top" indent="1"/>
    </xf>
    <xf numFmtId="4" fontId="16" fillId="29" borderId="15" applyNumberFormat="0" applyProtection="0">
      <alignment horizontal="right" vertical="center"/>
    </xf>
    <xf numFmtId="4" fontId="18" fillId="29" borderId="15" applyNumberFormat="0" applyProtection="0">
      <alignment horizontal="right" vertical="center"/>
    </xf>
    <xf numFmtId="4" fontId="16" fillId="31" borderId="15" applyNumberFormat="0" applyProtection="0">
      <alignment horizontal="left" vertical="center" indent="1"/>
    </xf>
    <xf numFmtId="0" fontId="16" fillId="23" borderId="15" applyNumberFormat="0" applyProtection="0">
      <alignment horizontal="left" vertical="top" indent="1"/>
    </xf>
    <xf numFmtId="4" fontId="19" fillId="35" borderId="0" applyNumberFormat="0" applyProtection="0">
      <alignment horizontal="left" vertical="center" indent="1"/>
    </xf>
    <xf numFmtId="4" fontId="8" fillId="29" borderId="15" applyNumberFormat="0" applyProtection="0">
      <alignment horizontal="right" vertical="center"/>
    </xf>
    <xf numFmtId="0" fontId="6" fillId="5" borderId="0" applyNumberFormat="0" applyFont="0" applyBorder="0" applyAlignment="0" applyProtection="0"/>
    <xf numFmtId="0" fontId="6" fillId="16" borderId="0" applyNumberFormat="0" applyFont="0" applyBorder="0" applyAlignment="0" applyProtection="0"/>
    <xf numFmtId="0" fontId="6" fillId="7" borderId="0" applyNumberFormat="0" applyFont="0" applyBorder="0" applyAlignment="0" applyProtection="0"/>
    <xf numFmtId="38" fontId="7" fillId="0" borderId="0" applyFill="0" applyBorder="0" applyAlignment="0" applyProtection="0"/>
    <xf numFmtId="0" fontId="6" fillId="7" borderId="0" applyNumberFormat="0" applyFont="0" applyBorder="0" applyAlignment="0" applyProtection="0"/>
    <xf numFmtId="0" fontId="6" fillId="0" borderId="0" applyNumberFormat="0" applyFont="0" applyFill="0" applyBorder="0" applyAlignment="0" applyProtection="0"/>
    <xf numFmtId="41" fontId="7" fillId="0" borderId="0" applyNumberFormat="0" applyFont="0" applyBorder="0" applyAlignment="0" applyProtection="0"/>
    <xf numFmtId="0" fontId="38" fillId="19" borderId="0" applyNumberFormat="0" applyBorder="0" applyAlignment="0" applyProtection="0"/>
    <xf numFmtId="0" fontId="27" fillId="36" borderId="0"/>
    <xf numFmtId="0" fontId="28" fillId="36" borderId="0"/>
    <xf numFmtId="0" fontId="29" fillId="36" borderId="17"/>
    <xf numFmtId="0" fontId="29" fillId="36" borderId="0"/>
    <xf numFmtId="0" fontId="27" fillId="20" borderId="17">
      <protection locked="0"/>
    </xf>
    <xf numFmtId="0" fontId="27" fillId="36" borderId="0"/>
    <xf numFmtId="0" fontId="12" fillId="0" borderId="18"/>
    <xf numFmtId="0" fontId="30" fillId="7" borderId="19">
      <alignment horizontal="center"/>
    </xf>
    <xf numFmtId="0" fontId="45" fillId="16" borderId="13" applyNumberFormat="0" applyAlignment="0" applyProtection="0"/>
    <xf numFmtId="0" fontId="12" fillId="0" borderId="0"/>
    <xf numFmtId="0" fontId="6" fillId="0" borderId="0"/>
    <xf numFmtId="0" fontId="6" fillId="0" borderId="0"/>
    <xf numFmtId="0" fontId="3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1" fillId="0" borderId="0">
      <alignment horizontal="left"/>
    </xf>
    <xf numFmtId="0" fontId="39" fillId="0" borderId="9" applyNumberFormat="0" applyFill="0" applyAlignment="0" applyProtection="0"/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1" fillId="0" borderId="0" applyNumberFormat="0" applyFill="0" applyBorder="0" applyAlignment="0" applyProtection="0"/>
    <xf numFmtId="0" fontId="31" fillId="0" borderId="0">
      <alignment horizontal="left"/>
    </xf>
    <xf numFmtId="0" fontId="47" fillId="0" borderId="20" applyNumberFormat="0" applyFill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36" fillId="17" borderId="4" applyNumberFormat="0" applyAlignment="0" applyProtection="0"/>
    <xf numFmtId="165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48" fillId="0" borderId="0" applyNumberFormat="0" applyFill="0" applyBorder="0" applyAlignment="0" applyProtection="0"/>
    <xf numFmtId="0" fontId="6" fillId="0" borderId="0"/>
    <xf numFmtId="0" fontId="16" fillId="0" borderId="0">
      <alignment vertical="top"/>
    </xf>
    <xf numFmtId="0" fontId="6" fillId="5" borderId="5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9" fontId="32" fillId="5" borderId="0" applyNumberFormat="0" applyBorder="0" applyAlignment="0" applyProtection="0"/>
    <xf numFmtId="169" fontId="32" fillId="3" borderId="0" applyNumberFormat="0" applyBorder="0" applyAlignment="0" applyProtection="0"/>
    <xf numFmtId="169" fontId="32" fillId="6" borderId="0" applyNumberFormat="0" applyBorder="0" applyAlignment="0" applyProtection="0"/>
    <xf numFmtId="169" fontId="32" fillId="5" borderId="0" applyNumberFormat="0" applyBorder="0" applyAlignment="0" applyProtection="0"/>
    <xf numFmtId="169" fontId="32" fillId="3" borderId="0" applyNumberFormat="0" applyBorder="0" applyAlignment="0" applyProtection="0"/>
    <xf numFmtId="169" fontId="32" fillId="4" borderId="0" applyNumberFormat="0" applyBorder="0" applyAlignment="0" applyProtection="0"/>
    <xf numFmtId="169" fontId="32" fillId="5" borderId="0" applyNumberFormat="0" applyBorder="0" applyAlignment="0" applyProtection="0"/>
    <xf numFmtId="169" fontId="32" fillId="3" borderId="0" applyNumberFormat="0" applyBorder="0" applyAlignment="0" applyProtection="0"/>
    <xf numFmtId="169" fontId="32" fillId="6" borderId="0" applyNumberFormat="0" applyBorder="0" applyAlignment="0" applyProtection="0"/>
    <xf numFmtId="169" fontId="32" fillId="5" borderId="0" applyNumberFormat="0" applyBorder="0" applyAlignment="0" applyProtection="0"/>
    <xf numFmtId="169" fontId="32" fillId="7" borderId="0" applyNumberFormat="0" applyBorder="0" applyAlignment="0" applyProtection="0"/>
    <xf numFmtId="169" fontId="32" fillId="4" borderId="0" applyNumberFormat="0" applyBorder="0" applyAlignment="0" applyProtection="0"/>
    <xf numFmtId="169" fontId="32" fillId="8" borderId="0" applyNumberFormat="0" applyBorder="0" applyAlignment="0" applyProtection="0"/>
    <xf numFmtId="169" fontId="32" fillId="7" borderId="0" applyNumberFormat="0" applyBorder="0" applyAlignment="0" applyProtection="0"/>
    <xf numFmtId="169" fontId="32" fillId="9" borderId="0" applyNumberFormat="0" applyBorder="0" applyAlignment="0" applyProtection="0"/>
    <xf numFmtId="169" fontId="32" fillId="8" borderId="0" applyNumberFormat="0" applyBorder="0" applyAlignment="0" applyProtection="0"/>
    <xf numFmtId="169" fontId="32" fillId="7" borderId="0" applyNumberFormat="0" applyBorder="0" applyAlignment="0" applyProtection="0"/>
    <xf numFmtId="169" fontId="32" fillId="4" borderId="0" applyNumberFormat="0" applyBorder="0" applyAlignment="0" applyProtection="0"/>
    <xf numFmtId="169" fontId="32" fillId="8" borderId="0" applyNumberFormat="0" applyBorder="0" applyAlignment="0" applyProtection="0"/>
    <xf numFmtId="169" fontId="32" fillId="7" borderId="0" applyNumberFormat="0" applyBorder="0" applyAlignment="0" applyProtection="0"/>
    <xf numFmtId="169" fontId="32" fillId="9" borderId="0" applyNumberFormat="0" applyBorder="0" applyAlignment="0" applyProtection="0"/>
    <xf numFmtId="169" fontId="32" fillId="8" borderId="0" applyNumberFormat="0" applyBorder="0" applyAlignment="0" applyProtection="0"/>
    <xf numFmtId="169" fontId="33" fillId="10" borderId="0" applyNumberFormat="0" applyBorder="0" applyAlignment="0" applyProtection="0"/>
    <xf numFmtId="169" fontId="33" fillId="4" borderId="0" applyNumberFormat="0" applyBorder="0" applyAlignment="0" applyProtection="0"/>
    <xf numFmtId="169" fontId="33" fillId="8" borderId="0" applyNumberFormat="0" applyBorder="0" applyAlignment="0" applyProtection="0"/>
    <xf numFmtId="169" fontId="33" fillId="7" borderId="0" applyNumberFormat="0" applyBorder="0" applyAlignment="0" applyProtection="0"/>
    <xf numFmtId="169" fontId="33" fillId="10" borderId="0" applyNumberFormat="0" applyBorder="0" applyAlignment="0" applyProtection="0"/>
    <xf numFmtId="169" fontId="33" fillId="4" borderId="0" applyNumberFormat="0" applyBorder="0" applyAlignment="0" applyProtection="0"/>
    <xf numFmtId="169" fontId="33" fillId="10" borderId="0" applyNumberFormat="0" applyBorder="0" applyAlignment="0" applyProtection="0"/>
    <xf numFmtId="169" fontId="33" fillId="4" borderId="0" applyNumberFormat="0" applyBorder="0" applyAlignment="0" applyProtection="0"/>
    <xf numFmtId="169" fontId="33" fillId="8" borderId="0" applyNumberFormat="0" applyBorder="0" applyAlignment="0" applyProtection="0"/>
    <xf numFmtId="169" fontId="33" fillId="7" borderId="0" applyNumberFormat="0" applyBorder="0" applyAlignment="0" applyProtection="0"/>
    <xf numFmtId="169" fontId="33" fillId="10" borderId="0" applyNumberFormat="0" applyBorder="0" applyAlignment="0" applyProtection="0"/>
    <xf numFmtId="169" fontId="33" fillId="4" borderId="0" applyNumberFormat="0" applyBorder="0" applyAlignment="0" applyProtection="0"/>
    <xf numFmtId="169" fontId="33" fillId="10" borderId="0" applyNumberFormat="0" applyBorder="0" applyAlignment="0" applyProtection="0"/>
    <xf numFmtId="169" fontId="33" fillId="11" borderId="0" applyNumberFormat="0" applyBorder="0" applyAlignment="0" applyProtection="0"/>
    <xf numFmtId="169" fontId="33" fillId="12" borderId="0" applyNumberFormat="0" applyBorder="0" applyAlignment="0" applyProtection="0"/>
    <xf numFmtId="169" fontId="33" fillId="13" borderId="0" applyNumberFormat="0" applyBorder="0" applyAlignment="0" applyProtection="0"/>
    <xf numFmtId="169" fontId="33" fillId="10" borderId="0" applyNumberFormat="0" applyBorder="0" applyAlignment="0" applyProtection="0"/>
    <xf numFmtId="169" fontId="33" fillId="14" borderId="0" applyNumberFormat="0" applyBorder="0" applyAlignment="0" applyProtection="0"/>
    <xf numFmtId="169" fontId="48" fillId="0" borderId="0" applyNumberFormat="0" applyFill="0" applyBorder="0" applyAlignment="0" applyProtection="0"/>
    <xf numFmtId="169" fontId="34" fillId="15" borderId="0" applyNumberFormat="0" applyBorder="0" applyAlignment="0" applyProtection="0"/>
    <xf numFmtId="169" fontId="9" fillId="0" borderId="0" applyNumberFormat="0" applyFill="0" applyBorder="0" applyAlignment="0" applyProtection="0">
      <alignment vertical="top"/>
      <protection locked="0"/>
    </xf>
    <xf numFmtId="169" fontId="9" fillId="0" borderId="0" applyNumberFormat="0" applyFill="0" applyBorder="0" applyAlignment="0" applyProtection="0">
      <alignment vertical="top"/>
      <protection locked="0"/>
    </xf>
    <xf numFmtId="169" fontId="35" fillId="16" borderId="2" applyNumberFormat="0" applyAlignment="0" applyProtection="0"/>
    <xf numFmtId="169" fontId="35" fillId="16" borderId="2" applyNumberFormat="0" applyAlignment="0" applyProtection="0"/>
    <xf numFmtId="169" fontId="43" fillId="0" borderId="3" applyNumberFormat="0" applyFill="0" applyAlignment="0" applyProtection="0"/>
    <xf numFmtId="169" fontId="36" fillId="17" borderId="4" applyNumberFormat="0" applyAlignment="0" applyProtection="0"/>
    <xf numFmtId="169" fontId="6" fillId="5" borderId="5" applyNumberFormat="0" applyFont="0" applyAlignment="0" applyProtection="0"/>
    <xf numFmtId="169" fontId="21" fillId="18" borderId="6" applyNumberFormat="0" applyProtection="0">
      <alignment horizontal="center"/>
    </xf>
    <xf numFmtId="169" fontId="21" fillId="18" borderId="6" applyNumberFormat="0" applyProtection="0">
      <alignment horizontal="center"/>
    </xf>
    <xf numFmtId="169" fontId="21" fillId="18" borderId="6" applyNumberFormat="0" applyProtection="0">
      <alignment horizontal="center"/>
    </xf>
    <xf numFmtId="169" fontId="24" fillId="0" borderId="0" applyNumberFormat="0" applyFill="0" applyBorder="0" applyAlignment="0" applyProtection="0"/>
    <xf numFmtId="169" fontId="42" fillId="8" borderId="2" applyNumberFormat="0" applyAlignment="0" applyProtection="0"/>
    <xf numFmtId="169" fontId="37" fillId="0" borderId="0" applyNumberFormat="0" applyFill="0" applyBorder="0" applyAlignment="0" applyProtection="0"/>
    <xf numFmtId="169" fontId="25" fillId="0" borderId="0" applyNumberFormat="0" applyFill="0" applyBorder="0" applyAlignment="0" applyProtection="0"/>
    <xf numFmtId="169" fontId="38" fillId="19" borderId="0" applyNumberFormat="0" applyBorder="0" applyAlignment="0" applyProtection="0"/>
    <xf numFmtId="169" fontId="22" fillId="0" borderId="7" applyNumberFormat="0" applyAlignment="0" applyProtection="0">
      <alignment horizontal="left" vertical="center"/>
    </xf>
    <xf numFmtId="169" fontId="22" fillId="0" borderId="8">
      <alignment horizontal="left" vertical="center"/>
    </xf>
    <xf numFmtId="169" fontId="39" fillId="0" borderId="9" applyNumberFormat="0" applyFill="0" applyAlignment="0" applyProtection="0"/>
    <xf numFmtId="169" fontId="40" fillId="0" borderId="10" applyNumberFormat="0" applyFill="0" applyAlignment="0" applyProtection="0"/>
    <xf numFmtId="169" fontId="41" fillId="0" borderId="11" applyNumberFormat="0" applyFill="0" applyAlignment="0" applyProtection="0"/>
    <xf numFmtId="169" fontId="41" fillId="0" borderId="0" applyNumberFormat="0" applyFill="0" applyBorder="0" applyAlignment="0" applyProtection="0"/>
    <xf numFmtId="169" fontId="42" fillId="8" borderId="2" applyNumberFormat="0" applyAlignment="0" applyProtection="0"/>
    <xf numFmtId="169" fontId="34" fillId="15" borderId="0" applyNumberFormat="0" applyBorder="0" applyAlignment="0" applyProtection="0"/>
    <xf numFmtId="169" fontId="43" fillId="0" borderId="3" applyNumberFormat="0" applyFill="0" applyAlignment="0" applyProtection="0"/>
    <xf numFmtId="169" fontId="44" fillId="8" borderId="0" applyNumberFormat="0" applyBorder="0" applyAlignment="0" applyProtection="0"/>
    <xf numFmtId="169" fontId="44" fillId="8" borderId="0" applyNumberFormat="0" applyBorder="0" applyAlignment="0" applyProtection="0"/>
    <xf numFmtId="169" fontId="25" fillId="0" borderId="0"/>
    <xf numFmtId="169" fontId="6" fillId="0" borderId="0"/>
    <xf numFmtId="169" fontId="6" fillId="0" borderId="0"/>
    <xf numFmtId="169" fontId="6" fillId="0" borderId="0"/>
    <xf numFmtId="169" fontId="6" fillId="5" borderId="5" applyNumberFormat="0" applyFont="0" applyAlignment="0" applyProtection="0"/>
    <xf numFmtId="169" fontId="45" fillId="16" borderId="13" applyNumberFormat="0" applyAlignment="0" applyProtection="0"/>
    <xf numFmtId="169" fontId="12" fillId="0" borderId="0" applyNumberFormat="0" applyFont="0" applyFill="0" applyBorder="0" applyAlignment="0" applyProtection="0">
      <alignment horizontal="left"/>
    </xf>
    <xf numFmtId="169" fontId="13" fillId="0" borderId="14">
      <alignment horizontal="center"/>
    </xf>
    <xf numFmtId="169" fontId="13" fillId="0" borderId="14">
      <alignment horizontal="center"/>
    </xf>
    <xf numFmtId="169" fontId="13" fillId="0" borderId="14">
      <alignment horizontal="center"/>
    </xf>
    <xf numFmtId="169" fontId="13" fillId="0" borderId="14">
      <alignment horizontal="center"/>
    </xf>
    <xf numFmtId="169" fontId="13" fillId="0" borderId="14">
      <alignment horizontal="center"/>
    </xf>
    <xf numFmtId="169" fontId="13" fillId="0" borderId="14">
      <alignment horizontal="center"/>
    </xf>
    <xf numFmtId="169" fontId="12" fillId="21" borderId="0" applyNumberFormat="0" applyFont="0" applyBorder="0" applyAlignment="0" applyProtection="0"/>
    <xf numFmtId="169" fontId="14" fillId="22" borderId="15" applyNumberFormat="0" applyProtection="0">
      <alignment horizontal="left" vertical="top" indent="1"/>
    </xf>
    <xf numFmtId="169" fontId="6" fillId="30" borderId="15" applyNumberFormat="0" applyProtection="0">
      <alignment horizontal="left" vertical="center" indent="1"/>
    </xf>
    <xf numFmtId="169" fontId="6" fillId="30" borderId="15" applyNumberFormat="0" applyProtection="0">
      <alignment horizontal="left" vertical="top" indent="1"/>
    </xf>
    <xf numFmtId="169" fontId="6" fillId="23" borderId="15" applyNumberFormat="0" applyProtection="0">
      <alignment horizontal="left" vertical="center" indent="1"/>
    </xf>
    <xf numFmtId="169" fontId="6" fillId="23" borderId="15" applyNumberFormat="0" applyProtection="0">
      <alignment horizontal="left" vertical="top" indent="1"/>
    </xf>
    <xf numFmtId="169" fontId="6" fillId="32" borderId="15" applyNumberFormat="0" applyProtection="0">
      <alignment horizontal="left" vertical="center" indent="1"/>
    </xf>
    <xf numFmtId="169" fontId="6" fillId="32" borderId="15" applyNumberFormat="0" applyProtection="0">
      <alignment horizontal="left" vertical="top" indent="1"/>
    </xf>
    <xf numFmtId="169" fontId="6" fillId="33" borderId="15" applyNumberFormat="0" applyProtection="0">
      <alignment horizontal="left" vertical="center" indent="1"/>
    </xf>
    <xf numFmtId="169" fontId="6" fillId="33" borderId="15" applyNumberFormat="0" applyProtection="0">
      <alignment horizontal="left" vertical="top" indent="1"/>
    </xf>
    <xf numFmtId="169" fontId="16" fillId="34" borderId="15" applyNumberFormat="0" applyProtection="0">
      <alignment horizontal="left" vertical="top" indent="1"/>
    </xf>
    <xf numFmtId="169" fontId="16" fillId="23" borderId="15" applyNumberFormat="0" applyProtection="0">
      <alignment horizontal="left" vertical="top" indent="1"/>
    </xf>
    <xf numFmtId="169" fontId="6" fillId="5" borderId="0" applyNumberFormat="0" applyFont="0" applyBorder="0" applyAlignment="0" applyProtection="0"/>
    <xf numFmtId="169" fontId="6" fillId="16" borderId="0" applyNumberFormat="0" applyFont="0" applyBorder="0" applyAlignment="0" applyProtection="0"/>
    <xf numFmtId="169" fontId="6" fillId="7" borderId="0" applyNumberFormat="0" applyFont="0" applyBorder="0" applyAlignment="0" applyProtection="0"/>
    <xf numFmtId="169" fontId="6" fillId="0" borderId="0"/>
    <xf numFmtId="169" fontId="6" fillId="7" borderId="0" applyNumberFormat="0" applyFont="0" applyBorder="0" applyAlignment="0" applyProtection="0"/>
    <xf numFmtId="169" fontId="6" fillId="0" borderId="0" applyNumberFormat="0" applyFont="0" applyFill="0" applyBorder="0" applyAlignment="0" applyProtection="0"/>
    <xf numFmtId="169" fontId="38" fillId="19" borderId="0" applyNumberFormat="0" applyBorder="0" applyAlignment="0" applyProtection="0"/>
    <xf numFmtId="169" fontId="27" fillId="36" borderId="0"/>
    <xf numFmtId="169" fontId="28" fillId="36" borderId="0"/>
    <xf numFmtId="169" fontId="29" fillId="36" borderId="17"/>
    <xf numFmtId="169" fontId="29" fillId="36" borderId="0"/>
    <xf numFmtId="169" fontId="27" fillId="20" borderId="17">
      <protection locked="0"/>
    </xf>
    <xf numFmtId="169" fontId="27" fillId="36" borderId="0"/>
    <xf numFmtId="169" fontId="12" fillId="0" borderId="18"/>
    <xf numFmtId="169" fontId="30" fillId="7" borderId="19">
      <alignment horizontal="center"/>
    </xf>
    <xf numFmtId="169" fontId="45" fillId="16" borderId="13" applyNumberFormat="0" applyAlignment="0" applyProtection="0"/>
    <xf numFmtId="169" fontId="6" fillId="0" borderId="0"/>
    <xf numFmtId="169" fontId="37" fillId="0" borderId="0" applyNumberFormat="0" applyFill="0" applyBorder="0" applyAlignment="0" applyProtection="0"/>
    <xf numFmtId="169" fontId="46" fillId="0" borderId="0" applyNumberFormat="0" applyFill="0" applyBorder="0" applyAlignment="0" applyProtection="0"/>
    <xf numFmtId="169" fontId="31" fillId="0" borderId="0">
      <alignment horizontal="left"/>
    </xf>
    <xf numFmtId="169" fontId="39" fillId="0" borderId="9" applyNumberFormat="0" applyFill="0" applyAlignment="0" applyProtection="0"/>
    <xf numFmtId="169" fontId="40" fillId="0" borderId="10" applyNumberFormat="0" applyFill="0" applyAlignment="0" applyProtection="0"/>
    <xf numFmtId="169" fontId="41" fillId="0" borderId="11" applyNumberFormat="0" applyFill="0" applyAlignment="0" applyProtection="0"/>
    <xf numFmtId="169" fontId="41" fillId="0" borderId="0" applyNumberFormat="0" applyFill="0" applyBorder="0" applyAlignment="0" applyProtection="0"/>
    <xf numFmtId="169" fontId="47" fillId="0" borderId="20" applyNumberFormat="0" applyFill="0" applyAlignment="0" applyProtection="0"/>
    <xf numFmtId="169" fontId="36" fillId="17" borderId="4" applyNumberFormat="0" applyAlignment="0" applyProtection="0"/>
    <xf numFmtId="169" fontId="6" fillId="0" borderId="0"/>
    <xf numFmtId="0" fontId="6" fillId="0" borderId="0"/>
    <xf numFmtId="169" fontId="32" fillId="4" borderId="0" applyNumberFormat="0" applyBorder="0" applyAlignment="0" applyProtection="0"/>
    <xf numFmtId="169" fontId="32" fillId="3" borderId="0" applyNumberFormat="0" applyBorder="0" applyAlignment="0" applyProtection="0"/>
    <xf numFmtId="169" fontId="16" fillId="0" borderId="0">
      <alignment vertical="top"/>
    </xf>
    <xf numFmtId="169" fontId="6" fillId="0" borderId="0"/>
    <xf numFmtId="169" fontId="48" fillId="0" borderId="0" applyNumberFormat="0" applyFill="0" applyBorder="0" applyAlignment="0" applyProtection="0"/>
    <xf numFmtId="169" fontId="6" fillId="0" borderId="0"/>
    <xf numFmtId="169" fontId="6" fillId="0" borderId="0"/>
    <xf numFmtId="169" fontId="6" fillId="0" borderId="0"/>
    <xf numFmtId="169" fontId="6" fillId="0" borderId="0"/>
    <xf numFmtId="169" fontId="6" fillId="0" borderId="0"/>
    <xf numFmtId="169" fontId="6" fillId="0" borderId="0"/>
    <xf numFmtId="169" fontId="6" fillId="0" borderId="0"/>
    <xf numFmtId="169" fontId="6" fillId="0" borderId="0"/>
    <xf numFmtId="169" fontId="6" fillId="0" borderId="0"/>
    <xf numFmtId="169" fontId="6" fillId="0" borderId="0"/>
    <xf numFmtId="169" fontId="6" fillId="0" borderId="0"/>
    <xf numFmtId="169" fontId="6" fillId="0" borderId="0"/>
    <xf numFmtId="169" fontId="6" fillId="0" borderId="0"/>
    <xf numFmtId="169" fontId="6" fillId="0" borderId="0"/>
    <xf numFmtId="169" fontId="6" fillId="0" borderId="0"/>
    <xf numFmtId="0" fontId="1" fillId="0" borderId="0"/>
    <xf numFmtId="0" fontId="6" fillId="0" borderId="0"/>
    <xf numFmtId="41" fontId="7" fillId="0" borderId="0" applyNumberFormat="0" applyFont="0" applyBorder="0" applyAlignment="0" applyProtection="0"/>
    <xf numFmtId="0" fontId="31" fillId="0" borderId="0">
      <alignment horizontal="left"/>
    </xf>
    <xf numFmtId="0" fontId="6" fillId="0" borderId="0"/>
    <xf numFmtId="0" fontId="6" fillId="0" borderId="0"/>
    <xf numFmtId="0" fontId="6" fillId="0" borderId="0"/>
    <xf numFmtId="0" fontId="49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1" fillId="0" borderId="0"/>
    <xf numFmtId="0" fontId="6" fillId="0" borderId="0"/>
    <xf numFmtId="17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34" fillId="15" borderId="0" applyNumberFormat="0" applyBorder="0" applyAlignment="0" applyProtection="0"/>
    <xf numFmtId="170" fontId="6" fillId="0" borderId="12" applyNumberFormat="0" applyAlignment="0"/>
    <xf numFmtId="0" fontId="44" fillId="8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5" borderId="5" applyNumberFormat="0" applyFont="0" applyAlignment="0" applyProtection="0"/>
    <xf numFmtId="0" fontId="6" fillId="30" borderId="15" applyNumberFormat="0" applyProtection="0">
      <alignment horizontal="left" vertical="center" indent="1"/>
    </xf>
    <xf numFmtId="0" fontId="6" fillId="30" borderId="15" applyNumberFormat="0" applyProtection="0">
      <alignment horizontal="left" vertical="top" indent="1"/>
    </xf>
    <xf numFmtId="0" fontId="6" fillId="23" borderId="15" applyNumberFormat="0" applyProtection="0">
      <alignment horizontal="left" vertical="center" indent="1"/>
    </xf>
    <xf numFmtId="0" fontId="6" fillId="23" borderId="15" applyNumberFormat="0" applyProtection="0">
      <alignment horizontal="left" vertical="top" indent="1"/>
    </xf>
    <xf numFmtId="0" fontId="6" fillId="32" borderId="15" applyNumberFormat="0" applyProtection="0">
      <alignment horizontal="left" vertical="center" indent="1"/>
    </xf>
    <xf numFmtId="0" fontId="6" fillId="32" borderId="15" applyNumberFormat="0" applyProtection="0">
      <alignment horizontal="left" vertical="top" indent="1"/>
    </xf>
    <xf numFmtId="0" fontId="6" fillId="33" borderId="15" applyNumberFormat="0" applyProtection="0">
      <alignment horizontal="left" vertical="center" indent="1"/>
    </xf>
    <xf numFmtId="0" fontId="6" fillId="33" borderId="15" applyNumberFormat="0" applyProtection="0">
      <alignment horizontal="left" vertical="top" indent="1"/>
    </xf>
    <xf numFmtId="0" fontId="6" fillId="5" borderId="0" applyNumberFormat="0" applyFont="0" applyBorder="0" applyAlignment="0" applyProtection="0"/>
    <xf numFmtId="0" fontId="6" fillId="16" borderId="0" applyNumberFormat="0" applyFont="0" applyBorder="0" applyAlignment="0" applyProtection="0"/>
    <xf numFmtId="0" fontId="6" fillId="7" borderId="0" applyNumberFormat="0" applyFont="0" applyBorder="0" applyAlignment="0" applyProtection="0"/>
    <xf numFmtId="0" fontId="6" fillId="7" borderId="0" applyNumberFormat="0" applyFont="0" applyBorder="0" applyAlignment="0" applyProtection="0"/>
    <xf numFmtId="0" fontId="6" fillId="0" borderId="0" applyNumberFormat="0" applyFont="0" applyFill="0" applyBorder="0" applyAlignment="0" applyProtection="0"/>
    <xf numFmtId="0" fontId="38" fillId="19" borderId="0" applyNumberFormat="0" applyBorder="0" applyAlignment="0" applyProtection="0"/>
    <xf numFmtId="0" fontId="45" fillId="16" borderId="13" applyNumberFormat="0" applyAlignment="0" applyProtection="0"/>
    <xf numFmtId="0" fontId="6" fillId="0" borderId="0"/>
    <xf numFmtId="0" fontId="37" fillId="0" borderId="0" applyNumberFormat="0" applyFill="0" applyBorder="0" applyAlignment="0" applyProtection="0"/>
    <xf numFmtId="0" fontId="31" fillId="0" borderId="0">
      <alignment horizontal="left"/>
    </xf>
    <xf numFmtId="0" fontId="39" fillId="0" borderId="9" applyNumberFormat="0" applyFill="0" applyAlignment="0" applyProtection="0"/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1" fillId="0" borderId="0" applyNumberFormat="0" applyFill="0" applyBorder="0" applyAlignment="0" applyProtection="0"/>
    <xf numFmtId="0" fontId="36" fillId="17" borderId="4" applyNumberFormat="0" applyAlignment="0" applyProtection="0"/>
    <xf numFmtId="0" fontId="6" fillId="0" borderId="0"/>
    <xf numFmtId="0" fontId="6" fillId="5" borderId="5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1" fillId="0" borderId="0">
      <alignment horizontal="left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5" fontId="50" fillId="16" borderId="0"/>
    <xf numFmtId="169" fontId="6" fillId="5" borderId="5" applyNumberFormat="0" applyFont="0" applyAlignment="0" applyProtection="0"/>
    <xf numFmtId="169" fontId="6" fillId="0" borderId="0"/>
    <xf numFmtId="169" fontId="6" fillId="0" borderId="0"/>
    <xf numFmtId="169" fontId="6" fillId="0" borderId="0"/>
    <xf numFmtId="169" fontId="6" fillId="5" borderId="5" applyNumberFormat="0" applyFont="0" applyAlignment="0" applyProtection="0"/>
    <xf numFmtId="169" fontId="6" fillId="30" borderId="15" applyNumberFormat="0" applyProtection="0">
      <alignment horizontal="left" vertical="center" indent="1"/>
    </xf>
    <xf numFmtId="169" fontId="6" fillId="30" borderId="15" applyNumberFormat="0" applyProtection="0">
      <alignment horizontal="left" vertical="top" indent="1"/>
    </xf>
    <xf numFmtId="169" fontId="6" fillId="23" borderId="15" applyNumberFormat="0" applyProtection="0">
      <alignment horizontal="left" vertical="center" indent="1"/>
    </xf>
    <xf numFmtId="169" fontId="6" fillId="23" borderId="15" applyNumberFormat="0" applyProtection="0">
      <alignment horizontal="left" vertical="top" indent="1"/>
    </xf>
    <xf numFmtId="169" fontId="6" fillId="32" borderId="15" applyNumberFormat="0" applyProtection="0">
      <alignment horizontal="left" vertical="center" indent="1"/>
    </xf>
    <xf numFmtId="169" fontId="6" fillId="32" borderId="15" applyNumberFormat="0" applyProtection="0">
      <alignment horizontal="left" vertical="top" indent="1"/>
    </xf>
    <xf numFmtId="169" fontId="6" fillId="33" borderId="15" applyNumberFormat="0" applyProtection="0">
      <alignment horizontal="left" vertical="center" indent="1"/>
    </xf>
    <xf numFmtId="169" fontId="6" fillId="33" borderId="15" applyNumberFormat="0" applyProtection="0">
      <alignment horizontal="left" vertical="top" indent="1"/>
    </xf>
    <xf numFmtId="169" fontId="6" fillId="5" borderId="0" applyNumberFormat="0" applyFont="0" applyBorder="0" applyAlignment="0" applyProtection="0"/>
    <xf numFmtId="169" fontId="6" fillId="16" borderId="0" applyNumberFormat="0" applyFont="0" applyBorder="0" applyAlignment="0" applyProtection="0"/>
    <xf numFmtId="169" fontId="6" fillId="7" borderId="0" applyNumberFormat="0" applyFont="0" applyBorder="0" applyAlignment="0" applyProtection="0"/>
    <xf numFmtId="169" fontId="6" fillId="0" borderId="0"/>
    <xf numFmtId="169" fontId="6" fillId="7" borderId="0" applyNumberFormat="0" applyFont="0" applyBorder="0" applyAlignment="0" applyProtection="0"/>
    <xf numFmtId="169" fontId="6" fillId="0" borderId="0" applyNumberFormat="0" applyFont="0" applyFill="0" applyBorder="0" applyAlignment="0" applyProtection="0"/>
    <xf numFmtId="169" fontId="6" fillId="0" borderId="0"/>
    <xf numFmtId="169" fontId="6" fillId="0" borderId="0"/>
    <xf numFmtId="0" fontId="6" fillId="0" borderId="0"/>
    <xf numFmtId="169" fontId="6" fillId="0" borderId="0"/>
    <xf numFmtId="0" fontId="6" fillId="0" borderId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6" fillId="0" borderId="0" applyNumberFormat="0" applyFont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37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5" fontId="50" fillId="16" borderId="0"/>
    <xf numFmtId="175" fontId="50" fillId="16" borderId="0"/>
    <xf numFmtId="0" fontId="51" fillId="18" borderId="6" applyNumberFormat="0" applyProtection="0">
      <alignment horizontal="center"/>
    </xf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69" fontId="6" fillId="0" borderId="0"/>
    <xf numFmtId="169" fontId="6" fillId="0" borderId="0"/>
    <xf numFmtId="169" fontId="6" fillId="0" borderId="0"/>
    <xf numFmtId="169" fontId="6" fillId="0" borderId="0"/>
    <xf numFmtId="169" fontId="6" fillId="0" borderId="0"/>
    <xf numFmtId="169" fontId="6" fillId="0" borderId="0"/>
    <xf numFmtId="169" fontId="6" fillId="0" borderId="0"/>
    <xf numFmtId="169" fontId="6" fillId="0" borderId="0"/>
    <xf numFmtId="169" fontId="6" fillId="0" borderId="0"/>
    <xf numFmtId="169" fontId="6" fillId="0" borderId="0"/>
    <xf numFmtId="169" fontId="6" fillId="0" borderId="0"/>
    <xf numFmtId="169" fontId="6" fillId="0" borderId="0"/>
    <xf numFmtId="169" fontId="6" fillId="0" borderId="0"/>
    <xf numFmtId="169" fontId="6" fillId="0" borderId="0"/>
    <xf numFmtId="169" fontId="6" fillId="0" borderId="0"/>
    <xf numFmtId="175" fontId="50" fillId="16" borderId="0"/>
    <xf numFmtId="175" fontId="50" fillId="16" borderId="0"/>
    <xf numFmtId="175" fontId="50" fillId="16" borderId="0"/>
    <xf numFmtId="175" fontId="50" fillId="16" borderId="0"/>
    <xf numFmtId="175" fontId="50" fillId="16" borderId="0"/>
    <xf numFmtId="175" fontId="50" fillId="16" borderId="0"/>
    <xf numFmtId="175" fontId="50" fillId="16" borderId="0"/>
    <xf numFmtId="175" fontId="50" fillId="16" borderId="0"/>
    <xf numFmtId="175" fontId="50" fillId="16" borderId="0"/>
    <xf numFmtId="175" fontId="50" fillId="16" borderId="0"/>
    <xf numFmtId="176" fontId="6" fillId="0" borderId="0" applyFont="0" applyFill="0" applyBorder="0" applyAlignment="0" applyProtection="0"/>
    <xf numFmtId="175" fontId="50" fillId="16" borderId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5" fontId="50" fillId="16" borderId="0"/>
    <xf numFmtId="175" fontId="50" fillId="16" borderId="0"/>
    <xf numFmtId="175" fontId="50" fillId="16" borderId="0"/>
    <xf numFmtId="175" fontId="50" fillId="16" borderId="0"/>
    <xf numFmtId="175" fontId="50" fillId="16" borderId="0"/>
    <xf numFmtId="175" fontId="50" fillId="16" borderId="0"/>
    <xf numFmtId="175" fontId="50" fillId="16" borderId="0"/>
    <xf numFmtId="175" fontId="50" fillId="16" borderId="0"/>
    <xf numFmtId="175" fontId="50" fillId="16" borderId="0"/>
    <xf numFmtId="175" fontId="50" fillId="16" borderId="0"/>
    <xf numFmtId="175" fontId="50" fillId="16" borderId="0"/>
    <xf numFmtId="175" fontId="50" fillId="16" borderId="0"/>
    <xf numFmtId="175" fontId="50" fillId="16" borderId="0"/>
    <xf numFmtId="175" fontId="50" fillId="16" borderId="0"/>
    <xf numFmtId="175" fontId="50" fillId="16" borderId="0"/>
    <xf numFmtId="175" fontId="50" fillId="16" borderId="0"/>
    <xf numFmtId="175" fontId="50" fillId="16" borderId="0"/>
    <xf numFmtId="175" fontId="50" fillId="16" borderId="0"/>
    <xf numFmtId="175" fontId="50" fillId="16" borderId="0"/>
    <xf numFmtId="175" fontId="50" fillId="16" borderId="0"/>
    <xf numFmtId="175" fontId="50" fillId="16" borderId="0"/>
    <xf numFmtId="175" fontId="50" fillId="16" borderId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5" fontId="50" fillId="16" borderId="0"/>
    <xf numFmtId="175" fontId="50" fillId="16" borderId="0"/>
    <xf numFmtId="175" fontId="50" fillId="16" borderId="0"/>
    <xf numFmtId="175" fontId="50" fillId="16" borderId="0"/>
    <xf numFmtId="175" fontId="50" fillId="16" borderId="0"/>
    <xf numFmtId="175" fontId="50" fillId="16" borderId="0"/>
    <xf numFmtId="175" fontId="50" fillId="16" borderId="0"/>
    <xf numFmtId="175" fontId="50" fillId="16" borderId="0"/>
    <xf numFmtId="175" fontId="50" fillId="16" borderId="0"/>
    <xf numFmtId="175" fontId="50" fillId="16" borderId="0"/>
    <xf numFmtId="175" fontId="50" fillId="16" borderId="0"/>
    <xf numFmtId="175" fontId="50" fillId="16" borderId="0"/>
    <xf numFmtId="175" fontId="50" fillId="16" borderId="0"/>
    <xf numFmtId="175" fontId="50" fillId="16" borderId="0"/>
    <xf numFmtId="175" fontId="50" fillId="16" borderId="0"/>
    <xf numFmtId="175" fontId="50" fillId="16" borderId="0"/>
    <xf numFmtId="175" fontId="50" fillId="16" borderId="0"/>
    <xf numFmtId="175" fontId="50" fillId="16" borderId="0"/>
    <xf numFmtId="175" fontId="50" fillId="16" borderId="0"/>
    <xf numFmtId="175" fontId="50" fillId="16" borderId="0"/>
    <xf numFmtId="175" fontId="50" fillId="16" borderId="0"/>
    <xf numFmtId="175" fontId="50" fillId="16" borderId="0"/>
    <xf numFmtId="175" fontId="50" fillId="16" borderId="0"/>
    <xf numFmtId="175" fontId="50" fillId="16" borderId="0"/>
    <xf numFmtId="175" fontId="50" fillId="16" borderId="0"/>
    <xf numFmtId="175" fontId="50" fillId="16" borderId="0"/>
    <xf numFmtId="175" fontId="50" fillId="16" borderId="0"/>
    <xf numFmtId="175" fontId="50" fillId="16" borderId="0"/>
    <xf numFmtId="175" fontId="50" fillId="16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9" fontId="6" fillId="0" borderId="0"/>
    <xf numFmtId="0" fontId="6" fillId="0" borderId="0"/>
    <xf numFmtId="169" fontId="6" fillId="0" borderId="0"/>
    <xf numFmtId="169" fontId="6" fillId="0" borderId="0"/>
    <xf numFmtId="169" fontId="6" fillId="0" borderId="0"/>
    <xf numFmtId="169" fontId="6" fillId="0" borderId="0"/>
    <xf numFmtId="169" fontId="6" fillId="0" borderId="0"/>
    <xf numFmtId="169" fontId="6" fillId="0" borderId="0"/>
    <xf numFmtId="169" fontId="6" fillId="0" borderId="0"/>
    <xf numFmtId="169" fontId="6" fillId="0" borderId="0"/>
    <xf numFmtId="169" fontId="6" fillId="0" borderId="0"/>
    <xf numFmtId="169" fontId="6" fillId="0" borderId="0"/>
    <xf numFmtId="169" fontId="6" fillId="0" borderId="0"/>
    <xf numFmtId="0" fontId="1" fillId="0" borderId="0"/>
    <xf numFmtId="0" fontId="6" fillId="0" borderId="0"/>
    <xf numFmtId="41" fontId="7" fillId="0" borderId="0" applyNumberFormat="0" applyFont="0" applyBorder="0" applyAlignment="0" applyProtection="0"/>
    <xf numFmtId="175" fontId="50" fillId="16" borderId="0"/>
    <xf numFmtId="176" fontId="6" fillId="0" borderId="0" applyFont="0" applyFill="0" applyBorder="0" applyAlignment="0" applyProtection="0"/>
    <xf numFmtId="175" fontId="50" fillId="16" borderId="0"/>
    <xf numFmtId="175" fontId="50" fillId="16" borderId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6" fillId="0" borderId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5" fontId="50" fillId="16" borderId="0"/>
    <xf numFmtId="175" fontId="50" fillId="16" borderId="0"/>
    <xf numFmtId="0" fontId="1" fillId="0" borderId="0"/>
    <xf numFmtId="0" fontId="1" fillId="0" borderId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5" fontId="50" fillId="16" borderId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5" fontId="50" fillId="16" borderId="0"/>
    <xf numFmtId="175" fontId="50" fillId="16" borderId="0"/>
    <xf numFmtId="175" fontId="50" fillId="16" borderId="0"/>
    <xf numFmtId="175" fontId="50" fillId="16" borderId="0"/>
    <xf numFmtId="175" fontId="50" fillId="16" borderId="0"/>
    <xf numFmtId="175" fontId="50" fillId="16" borderId="0"/>
    <xf numFmtId="175" fontId="50" fillId="16" borderId="0"/>
    <xf numFmtId="0" fontId="6" fillId="0" borderId="0"/>
    <xf numFmtId="0" fontId="31" fillId="0" borderId="0">
      <alignment horizontal="left"/>
    </xf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5" fillId="0" borderId="0"/>
    <xf numFmtId="0" fontId="6" fillId="5" borderId="5" applyNumberFormat="0" applyFont="0" applyAlignment="0" applyProtection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</cellStyleXfs>
  <cellXfs count="25">
    <xf numFmtId="0" fontId="0" fillId="0" borderId="0" xfId="0"/>
    <xf numFmtId="0" fontId="3" fillId="2" borderId="1" xfId="0" applyFont="1" applyFill="1" applyBorder="1"/>
    <xf numFmtId="0" fontId="2" fillId="2" borderId="1" xfId="0" applyFont="1" applyFill="1" applyBorder="1"/>
    <xf numFmtId="0" fontId="4" fillId="2" borderId="1" xfId="0" applyFont="1" applyFill="1" applyBorder="1" applyAlignment="1">
      <alignment horizontal="right"/>
    </xf>
    <xf numFmtId="14" fontId="4" fillId="2" borderId="1" xfId="0" applyNumberFormat="1" applyFont="1" applyFill="1" applyBorder="1" applyAlignment="1">
      <alignment horizontal="right"/>
    </xf>
    <xf numFmtId="164" fontId="3" fillId="2" borderId="1" xfId="0" applyNumberFormat="1" applyFont="1" applyFill="1" applyBorder="1"/>
    <xf numFmtId="3" fontId="3" fillId="2" borderId="1" xfId="0" applyNumberFormat="1" applyFont="1" applyFill="1" applyBorder="1"/>
    <xf numFmtId="0" fontId="3" fillId="2" borderId="21" xfId="0" applyFont="1" applyFill="1" applyBorder="1"/>
    <xf numFmtId="0" fontId="3" fillId="2" borderId="1" xfId="1" applyFont="1" applyFill="1" applyBorder="1"/>
    <xf numFmtId="0" fontId="2" fillId="2" borderId="1" xfId="1" applyFont="1" applyFill="1" applyBorder="1"/>
    <xf numFmtId="0" fontId="2" fillId="2" borderId="1" xfId="1" applyFont="1" applyFill="1" applyBorder="1" applyAlignment="1">
      <alignment vertical="center"/>
    </xf>
    <xf numFmtId="0" fontId="3" fillId="2" borderId="1" xfId="1" applyFont="1" applyFill="1" applyBorder="1" applyAlignment="1">
      <alignment vertical="center"/>
    </xf>
    <xf numFmtId="0" fontId="3" fillId="2" borderId="1" xfId="0" applyFont="1" applyFill="1" applyBorder="1" applyAlignment="1">
      <alignment horizontal="right"/>
    </xf>
    <xf numFmtId="3" fontId="4" fillId="2" borderId="1" xfId="0" applyNumberFormat="1" applyFont="1" applyFill="1" applyBorder="1" applyAlignment="1">
      <alignment horizontal="right"/>
    </xf>
    <xf numFmtId="4" fontId="3" fillId="2" borderId="1" xfId="0" applyNumberFormat="1" applyFont="1" applyFill="1" applyBorder="1"/>
    <xf numFmtId="3" fontId="2" fillId="2" borderId="1" xfId="648" applyNumberFormat="1" applyFont="1" applyFill="1" applyBorder="1"/>
    <xf numFmtId="9" fontId="3" fillId="2" borderId="1" xfId="0" applyNumberFormat="1" applyFont="1" applyFill="1" applyBorder="1"/>
    <xf numFmtId="3" fontId="2" fillId="2" borderId="1" xfId="0" applyNumberFormat="1" applyFont="1" applyFill="1" applyBorder="1"/>
    <xf numFmtId="3" fontId="3" fillId="2" borderId="1" xfId="0" applyNumberFormat="1" applyFont="1" applyFill="1" applyBorder="1" applyAlignment="1">
      <alignment horizontal="right"/>
    </xf>
    <xf numFmtId="3" fontId="3" fillId="2" borderId="1" xfId="648" applyNumberFormat="1" applyFont="1" applyFill="1" applyBorder="1"/>
    <xf numFmtId="0" fontId="53" fillId="2" borderId="1" xfId="0" applyFont="1" applyFill="1" applyBorder="1"/>
    <xf numFmtId="177" fontId="3" fillId="2" borderId="1" xfId="0" applyNumberFormat="1" applyFont="1" applyFill="1" applyBorder="1"/>
    <xf numFmtId="9" fontId="2" fillId="2" borderId="1" xfId="0" applyNumberFormat="1" applyFont="1" applyFill="1" applyBorder="1"/>
    <xf numFmtId="178" fontId="3" fillId="2" borderId="1" xfId="0" applyNumberFormat="1" applyFont="1" applyFill="1" applyBorder="1"/>
    <xf numFmtId="3" fontId="53" fillId="2" borderId="1" xfId="0" applyNumberFormat="1" applyFont="1" applyFill="1" applyBorder="1"/>
  </cellXfs>
  <cellStyles count="649">
    <cellStyle name="_Exec Summary FINAL" xfId="3" xr:uid="{19585BA9-F398-4EDE-A7B7-F00CFAAF7DC7}"/>
    <cellStyle name="_Exec Summary FINAL 2" xfId="196" xr:uid="{7099B3EC-1BFC-4D67-AA2E-67E10551CA70}"/>
    <cellStyle name="_Exec Summary FINAL 3" xfId="334" xr:uid="{774EC5C1-6408-4E85-B537-20817AE64400}"/>
    <cellStyle name="20 % - Accent1" xfId="4" xr:uid="{7983D3BD-2FF7-4557-8249-EC95CD95C5C2}"/>
    <cellStyle name="20 % - Accent1 2" xfId="333" xr:uid="{D7682A89-0BFC-4B9E-B2DF-D4C1E6D58070}"/>
    <cellStyle name="20 % - Accent2" xfId="5" xr:uid="{9F46EFE8-3A78-461C-BB30-636822993F92}"/>
    <cellStyle name="20 % - Accent2 2" xfId="332" xr:uid="{1F2F6A43-3D82-4E4C-BE24-438691CF3D9E}"/>
    <cellStyle name="20 % - Accent3" xfId="6" xr:uid="{09ACA1DB-F1B2-4135-BC72-15C8FAFDD257}"/>
    <cellStyle name="20 % - Accent3 2" xfId="211" xr:uid="{1A523FF9-B62E-4DCF-A7BE-CABC7B2542B5}"/>
    <cellStyle name="20 % - Accent4" xfId="7" xr:uid="{9E89CA4A-2A69-4987-98AE-8FD5910BCA7D}"/>
    <cellStyle name="20 % - Accent4 2" xfId="212" xr:uid="{E2E55C5F-1E86-4D83-B588-CD8B76345963}"/>
    <cellStyle name="20 % - Accent5" xfId="8" xr:uid="{3C62DC13-9296-4FDC-9E75-E47D7FF9A94D}"/>
    <cellStyle name="20 % - Accent5 2" xfId="213" xr:uid="{CCCE1995-B31C-48A7-957A-8F581538B6BD}"/>
    <cellStyle name="20 % - Accent6" xfId="9" xr:uid="{11BD6BCE-770D-4337-93FE-205AF6D10A88}"/>
    <cellStyle name="20 % - Accent6 2" xfId="214" xr:uid="{70B1A86C-C5EE-46FD-A67C-9D3C5B8E524D}"/>
    <cellStyle name="20% - Accent1 2" xfId="215" xr:uid="{1C92A2A5-D782-4F60-8989-7B602DC53342}"/>
    <cellStyle name="20% - Accent1 3" xfId="10" xr:uid="{51EB13D7-9953-4A20-97D3-CA1DB18D3D41}"/>
    <cellStyle name="20% - Accent2 2" xfId="216" xr:uid="{A89365CB-D84D-4D3B-A28C-84823811854F}"/>
    <cellStyle name="20% - Accent2 3" xfId="11" xr:uid="{EA0CAD60-D5B5-418C-8138-32A435723D45}"/>
    <cellStyle name="20% - Accent3 2" xfId="217" xr:uid="{EC4FD065-5A67-4970-B10A-33CD6739451F}"/>
    <cellStyle name="20% - Accent3 3" xfId="12" xr:uid="{2422EFF6-09F0-42D7-892A-CAED61A281A9}"/>
    <cellStyle name="20% - Accent4 2" xfId="218" xr:uid="{E7A3091B-5E03-4742-8AA0-712673267C5A}"/>
    <cellStyle name="20% - Accent4 3" xfId="13" xr:uid="{71BD8134-CADF-4B42-902C-ECBD188478BA}"/>
    <cellStyle name="20% - Accent5 2" xfId="219" xr:uid="{F0962D32-A09F-46BE-AC43-982B19B25E64}"/>
    <cellStyle name="20% - Accent5 3" xfId="14" xr:uid="{87623CC5-7A7B-4E03-8142-46D6050D7261}"/>
    <cellStyle name="20% - Accent6 2" xfId="220" xr:uid="{D11861AD-BFDE-4051-A3D3-BBBCF816638B}"/>
    <cellStyle name="20% - Accent6 3" xfId="15" xr:uid="{167741AD-B451-493E-9DC6-B7B46DA0885C}"/>
    <cellStyle name="40 % - Accent1" xfId="16" xr:uid="{72C43DEB-4F07-47A1-979E-940908EC5041}"/>
    <cellStyle name="40 % - Accent1 2" xfId="221" xr:uid="{F8F957C1-71DC-41AE-B597-9FC66D86DC74}"/>
    <cellStyle name="40 % - Accent2" xfId="17" xr:uid="{BBDC1928-96A3-4D3D-B446-59F6A60B96FE}"/>
    <cellStyle name="40 % - Accent2 2" xfId="222" xr:uid="{6F32D185-2138-4B2A-A479-9D914678F5D4}"/>
    <cellStyle name="40 % - Accent3" xfId="18" xr:uid="{263CB08B-E89D-4E28-A9E1-59C0E123F9BD}"/>
    <cellStyle name="40 % - Accent3 2" xfId="223" xr:uid="{D63E1C48-0155-4FD1-8A40-7DB655FC3888}"/>
    <cellStyle name="40 % - Accent4" xfId="19" xr:uid="{5940BC61-DD31-4DE7-A744-5FA03C954A04}"/>
    <cellStyle name="40 % - Accent4 2" xfId="224" xr:uid="{DC49FDC7-695A-4FEE-8A7B-F761B90170AB}"/>
    <cellStyle name="40 % - Accent5" xfId="20" xr:uid="{8E4E9D10-0C0A-4737-85F9-93C5148EF426}"/>
    <cellStyle name="40 % - Accent5 2" xfId="225" xr:uid="{97BE4A19-BB85-44B8-B427-23A6E02CEB46}"/>
    <cellStyle name="40 % - Accent6" xfId="21" xr:uid="{B2DE9D84-FCE0-4D3F-99F5-64D05BA2857E}"/>
    <cellStyle name="40 % - Accent6 2" xfId="226" xr:uid="{E97BDE63-29AE-44B9-A8FF-5BE34B610C99}"/>
    <cellStyle name="40% - Accent1 2" xfId="227" xr:uid="{623EF50E-E6E1-40D5-9DCF-614FA9356826}"/>
    <cellStyle name="40% - Accent1 3" xfId="22" xr:uid="{08B5E2D6-1C7E-40C0-B276-2BD8A819001B}"/>
    <cellStyle name="40% - Accent2 2" xfId="228" xr:uid="{D69D711E-A7C4-4694-A3C2-246BC841521E}"/>
    <cellStyle name="40% - Accent2 3" xfId="23" xr:uid="{5147A62D-0EAE-450B-8BBD-0121BE8EBCDC}"/>
    <cellStyle name="40% - Accent3 2" xfId="229" xr:uid="{1895B9BE-6A15-40F3-97AD-8908DFD35C4C}"/>
    <cellStyle name="40% - Accent3 3" xfId="24" xr:uid="{32BF713E-2E40-4FE1-A411-B832A58BC0FF}"/>
    <cellStyle name="40% - Accent4 2" xfId="230" xr:uid="{C1BE17C7-050C-4D78-BED6-98F93761D85F}"/>
    <cellStyle name="40% - Accent4 3" xfId="25" xr:uid="{CA8C7F77-C22F-4794-9735-576C40A253FA}"/>
    <cellStyle name="40% - Accent5 2" xfId="231" xr:uid="{25AA3FA5-6EA8-479E-A8D8-24F8B49567CA}"/>
    <cellStyle name="40% - Accent5 3" xfId="26" xr:uid="{375AABCD-7954-4AEA-B350-E84784EC87AE}"/>
    <cellStyle name="40% - Accent6 2" xfId="232" xr:uid="{CCF3E135-831E-4D01-A537-DD59746EC622}"/>
    <cellStyle name="40% - Accent6 3" xfId="27" xr:uid="{1FE3E4C3-AE11-421C-800B-7ABB60E346CB}"/>
    <cellStyle name="60 % - Accent1" xfId="28" xr:uid="{AD8B6B5C-0FEA-4BAE-859C-AEB162B83E3C}"/>
    <cellStyle name="60 % - Accent1 2" xfId="233" xr:uid="{E97D5AF3-1618-4683-9153-73693B93E55A}"/>
    <cellStyle name="60 % - Accent2" xfId="29" xr:uid="{FFB1CAF1-5D6A-4C55-ABF3-EAB7CAD9C044}"/>
    <cellStyle name="60 % - Accent2 2" xfId="234" xr:uid="{92D397AC-D4F6-480E-BBCE-F3EFED467666}"/>
    <cellStyle name="60 % - Accent3" xfId="30" xr:uid="{6234E561-D624-48D3-AA26-CD7F9B764E8D}"/>
    <cellStyle name="60 % - Accent3 2" xfId="235" xr:uid="{D20A73A7-CF04-4DE5-ADB5-8521757C4ECB}"/>
    <cellStyle name="60 % - Accent4" xfId="31" xr:uid="{CDDB4E71-3687-4F15-B8BF-78138267F51E}"/>
    <cellStyle name="60 % - Accent4 2" xfId="236" xr:uid="{2CFCB5F7-A2AB-4468-B6AA-C54ACDF03803}"/>
    <cellStyle name="60 % - Accent5" xfId="32" xr:uid="{1A69F227-E978-4641-99D3-DD4C9E54FE1D}"/>
    <cellStyle name="60 % - Accent5 2" xfId="237" xr:uid="{DA327E6D-2487-44EC-A9B3-8AC9BB7B75FB}"/>
    <cellStyle name="60 % - Accent6" xfId="33" xr:uid="{6A119360-6926-4664-A38B-5755D4AD9026}"/>
    <cellStyle name="60 % - Accent6 2" xfId="238" xr:uid="{8A3E767B-DB77-436C-86EE-8E74B122E470}"/>
    <cellStyle name="60% - Accent1 2" xfId="239" xr:uid="{DC35DC76-D5AC-4B57-8405-438500200937}"/>
    <cellStyle name="60% - Accent1 3" xfId="34" xr:uid="{BA3C4E41-E2A5-4557-913D-461DC3D9F35C}"/>
    <cellStyle name="60% - Accent2 2" xfId="240" xr:uid="{46D568ED-3C98-4730-9BF7-82F977972856}"/>
    <cellStyle name="60% - Accent2 3" xfId="35" xr:uid="{A522302E-0E46-4B27-BDE1-97EE6E295623}"/>
    <cellStyle name="60% - Accent3 2" xfId="241" xr:uid="{65D91C22-1AD9-45B9-A170-0E70D225A9BE}"/>
    <cellStyle name="60% - Accent3 3" xfId="36" xr:uid="{EAA96CBF-D974-4D61-B2C1-9792D3439C38}"/>
    <cellStyle name="60% - Accent4 2" xfId="242" xr:uid="{93065C3C-8D3E-4866-AB5E-ECFD25955811}"/>
    <cellStyle name="60% - Accent4 3" xfId="37" xr:uid="{AF07364F-05C6-48B0-B5BD-38FB84DAA9CF}"/>
    <cellStyle name="60% - Accent5 2" xfId="243" xr:uid="{83AC4962-E1F5-4FCE-82B8-2096B4F27223}"/>
    <cellStyle name="60% - Accent5 3" xfId="38" xr:uid="{19A6386F-0AC7-4AC5-A721-E7FE7B674CF0}"/>
    <cellStyle name="60% - Accent6 2" xfId="244" xr:uid="{01FA96E6-DFFF-4F7C-8FD3-381AB4E63D8D}"/>
    <cellStyle name="60% - Accent6 3" xfId="39" xr:uid="{A6160386-3F4F-4690-A535-5DBE02339325}"/>
    <cellStyle name="Accent1 2" xfId="245" xr:uid="{497395FC-9BEE-4F76-9488-008E4672527E}"/>
    <cellStyle name="Accent1 3" xfId="40" xr:uid="{1E74F198-C04A-420A-978E-7483F7D59A41}"/>
    <cellStyle name="Accent2 2" xfId="246" xr:uid="{8908A12E-D463-46B1-9B7E-F70A989CD9BD}"/>
    <cellStyle name="Accent2 3" xfId="41" xr:uid="{F4104891-D9A6-4C9E-899D-78081E129DA7}"/>
    <cellStyle name="Accent3 2" xfId="247" xr:uid="{15D54C92-B79D-400D-AC9F-1AB20675B4FB}"/>
    <cellStyle name="Accent3 3" xfId="42" xr:uid="{282E0777-E3B6-42B8-AEE4-918E49A75317}"/>
    <cellStyle name="Accent4 2" xfId="248" xr:uid="{D5762E5C-9E6C-4FEC-9FD2-4F453AB39A1A}"/>
    <cellStyle name="Accent4 3" xfId="43" xr:uid="{EC8F4AC2-A947-44FE-808C-96921441C506}"/>
    <cellStyle name="Accent5 2" xfId="249" xr:uid="{55130EF9-EA2C-4F13-BEB7-B3927A66F277}"/>
    <cellStyle name="Accent5 3" xfId="44" xr:uid="{E7553FD7-1463-43BB-A1ED-C693A445F9D2}"/>
    <cellStyle name="Accent6 2" xfId="250" xr:uid="{CE4A004D-BF2F-4CF2-AE09-80AA389BE011}"/>
    <cellStyle name="Accent6 3" xfId="45" xr:uid="{49D5A159-4561-4B70-ABE1-3D7DCD2D041C}"/>
    <cellStyle name="Avertissement" xfId="46" xr:uid="{9750CD64-CF42-4DB7-8036-E630DE717B13}"/>
    <cellStyle name="Avertissement 2" xfId="251" xr:uid="{4CBCEC94-C72E-4248-B822-98D0B8FB5C1A}"/>
    <cellStyle name="Bad 2" xfId="252" xr:uid="{2892992E-C2E7-4698-89F0-2AD69D9B2952}"/>
    <cellStyle name="Bad 3" xfId="47" xr:uid="{327CCD85-56DC-4E4C-873E-BE9017E6EEE6}"/>
    <cellStyle name="BASE" xfId="48" xr:uid="{7BF5821E-0975-4061-8BA3-80CA2DBED1E7}"/>
    <cellStyle name="Besuchter Hyperlink" xfId="49" xr:uid="{93649270-21D9-47F0-8B69-587127493B9F}"/>
    <cellStyle name="Besuchter Hyperlink 2" xfId="253" xr:uid="{B11C9202-8865-4E26-9113-146B5DC4067E}"/>
    <cellStyle name="Besuchtɥr Hyperlink" xfId="50" xr:uid="{2D84D749-F5F3-45ED-A44B-0FD8CA733667}"/>
    <cellStyle name="Besuchtɥr Hyperlink 2" xfId="254" xr:uid="{06546565-AECA-4956-95A8-C3A1D68F889C}"/>
    <cellStyle name="Calcul" xfId="51" xr:uid="{A0330BB1-F568-46E9-9F5C-7FE7C84F5C25}"/>
    <cellStyle name="Calcul 2" xfId="255" xr:uid="{96FF0CC6-6CCF-49E2-ABE0-66D8F0425D1C}"/>
    <cellStyle name="Calculation 2" xfId="256" xr:uid="{1025F5D5-0F63-4643-8EEC-057C74CA8AFA}"/>
    <cellStyle name="Calculation 3" xfId="52" xr:uid="{085A0CB2-AEAF-4AC1-B29D-3D2A3DA360A4}"/>
    <cellStyle name="čárky [0]_06-ORDER-Hradec" xfId="53" xr:uid="{44A081B6-9B2C-42A2-B663-1C77597233D9}"/>
    <cellStyle name="čárky_06-ORDER-Hradec" xfId="54" xr:uid="{1ED39312-3FC4-4983-BF66-92DFE4C58140}"/>
    <cellStyle name="Cellule liée" xfId="55" xr:uid="{B4E9A6E4-B4D0-495C-90DC-CC31E477F9A1}"/>
    <cellStyle name="Cellule liée 2" xfId="257" xr:uid="{99E8C97A-FD75-402E-88D6-B81D1D40160F}"/>
    <cellStyle name="Check Cell 2" xfId="258" xr:uid="{2A839C4B-EDE4-4CB2-8ED5-31D53BFF1321}"/>
    <cellStyle name="Check Cell 3" xfId="56" xr:uid="{1557AA46-17F7-48EC-B45F-941C549F5411}"/>
    <cellStyle name="Comma  - Style1" xfId="57" xr:uid="{C572A3CC-A590-42E9-BC32-367D49A207D1}"/>
    <cellStyle name="Comma  - Style2" xfId="58" xr:uid="{AE17E3FB-32EA-4450-87FB-2457D8082355}"/>
    <cellStyle name="Comma  - Style3" xfId="59" xr:uid="{315C8759-C343-43FA-83DB-30003478360C}"/>
    <cellStyle name="Comma  - Style4" xfId="60" xr:uid="{EB77BC89-F694-41F5-81B2-A7BBD0ABD64F}"/>
    <cellStyle name="Comma  - Style5" xfId="61" xr:uid="{04F3E97C-7CE7-477B-85B3-F696EEC79BFC}"/>
    <cellStyle name="Comma  - Style6" xfId="62" xr:uid="{545FB61F-D1CA-472D-B339-CD4DD441FEEB}"/>
    <cellStyle name="Comma  - Style7" xfId="63" xr:uid="{D9023ABA-8870-44BD-A50F-19F8B09610E6}"/>
    <cellStyle name="Comma  - Style8" xfId="64" xr:uid="{812B50F1-FB71-418E-8892-81FC0ABE0C28}"/>
    <cellStyle name="Comma 10" xfId="485" xr:uid="{8FAD1237-B524-438F-9793-7FE70953AD82}"/>
    <cellStyle name="Comma 11" xfId="449" xr:uid="{5C9BBED4-EBCC-4CCB-B521-00D4A4D118C5}"/>
    <cellStyle name="Comma 12" xfId="479" xr:uid="{AD203D6C-6C56-4FCB-9092-CA3C4CD33370}"/>
    <cellStyle name="Comma 13" xfId="443" xr:uid="{55B74057-B864-4B5E-A2D0-767F2CD8BC6E}"/>
    <cellStyle name="Comma 14" xfId="480" xr:uid="{449F8A7C-0405-4AEE-B355-943E623DFB4E}"/>
    <cellStyle name="Comma 15" xfId="442" xr:uid="{7118F163-46B9-4D65-8485-BE4F1D9E07B9}"/>
    <cellStyle name="Comma 16" xfId="481" xr:uid="{24ECB2ED-D173-4890-850C-952B8DCCFD0C}"/>
    <cellStyle name="Comma 17" xfId="440" xr:uid="{11E85880-EC9D-4C64-A6A1-668C6BE86CBA}"/>
    <cellStyle name="Comma 18" xfId="478" xr:uid="{3A217A1C-B574-4329-9E6C-A1F085E85832}"/>
    <cellStyle name="Comma 19" xfId="439" xr:uid="{5EE39931-4D50-44C1-828F-09408F93760D}"/>
    <cellStyle name="Comma 2" xfId="475" xr:uid="{81B380F2-2C0A-4AC9-B523-22D523A1D513}"/>
    <cellStyle name="Comma 20" xfId="476" xr:uid="{4EF1A8A5-36C0-4560-B894-D81F3CF443F7}"/>
    <cellStyle name="Comma 21" xfId="438" xr:uid="{535BDE29-7DEC-49A7-9A33-F6503A2CD955}"/>
    <cellStyle name="Comma 22" xfId="477" xr:uid="{E4B82B8D-BC5A-4F53-BAA0-76F5B9324F1F}"/>
    <cellStyle name="Comma 23" xfId="411" xr:uid="{47D66918-3C18-4255-9A77-E5792D1D6377}"/>
    <cellStyle name="Comma 24" xfId="474" xr:uid="{CCEB405C-51BE-4DAC-94CF-B783AC0A4172}"/>
    <cellStyle name="Comma 25" xfId="412" xr:uid="{D108C492-2BD7-4096-927E-EFB86099D80F}"/>
    <cellStyle name="Comma 26" xfId="469" xr:uid="{624945F7-547F-48BC-A6D8-73836DD0BD47}"/>
    <cellStyle name="Comma 27" xfId="511" xr:uid="{BFF3B97C-8F82-42C8-9893-48A3C5DF8C18}"/>
    <cellStyle name="Comma 28" xfId="470" xr:uid="{579EF6A6-EE10-40BB-8C53-D484582FEE9A}"/>
    <cellStyle name="Comma 29" xfId="513" xr:uid="{FE0934C3-B36F-4C04-85F0-6C1E839E4088}"/>
    <cellStyle name="Comma 3" xfId="448" xr:uid="{552D099A-431C-44BF-8F90-55DE115281F1}"/>
    <cellStyle name="Comma 30" xfId="471" xr:uid="{E87F95D0-C517-4829-825C-A1BAF1535B25}"/>
    <cellStyle name="Comma 31" xfId="514" xr:uid="{103D12B2-C840-48E1-89F8-63DC4DCDA356}"/>
    <cellStyle name="Comma 32" xfId="472" xr:uid="{5572466A-5107-48B7-9D6C-591DD3D4E21C}"/>
    <cellStyle name="Comma 33" xfId="515" xr:uid="{19F7FB1C-D794-4EBD-A8BB-132038892C08}"/>
    <cellStyle name="Comma 34" xfId="473" xr:uid="{816507E1-9D59-45FD-9547-F8E0B6BB2E4D}"/>
    <cellStyle name="Comma 35" xfId="516" xr:uid="{83002195-046B-4619-AE59-D80512E22DD1}"/>
    <cellStyle name="Comma 36" xfId="451" xr:uid="{9EE9DE09-18DD-477F-ABC3-0F94E264B27D}"/>
    <cellStyle name="Comma 37" xfId="543" xr:uid="{3DA54D5C-C892-4171-BBA3-A6EBC24B8EB0}"/>
    <cellStyle name="Comma 38" xfId="452" xr:uid="{1FB4F1B1-47F8-4148-BEF5-C51D7D70A33F}"/>
    <cellStyle name="Comma 39" xfId="544" xr:uid="{A2A7EB6A-7726-46BD-9CF1-9233A3E69FD2}"/>
    <cellStyle name="Comma 4" xfId="483" xr:uid="{9D4F0963-C188-48D1-B79F-5A758D61454D}"/>
    <cellStyle name="Comma 40" xfId="453" xr:uid="{6D33554D-8A1E-4BB4-B601-C058AC40C914}"/>
    <cellStyle name="Comma 41" xfId="545" xr:uid="{00AF6E2A-89A0-4EF1-B21D-4D4CFCE6343B}"/>
    <cellStyle name="Comma 42" xfId="454" xr:uid="{48AE67F1-099B-4874-9719-0883137FA194}"/>
    <cellStyle name="Comma 43" xfId="546" xr:uid="{3782B2DB-6053-4745-8F5C-D1B6C23F97FB}"/>
    <cellStyle name="Comma 44" xfId="455" xr:uid="{350D452A-B9E2-490C-B45D-0FD2F2ACAA29}"/>
    <cellStyle name="Comma 45" xfId="547" xr:uid="{C0BC2AA4-D09A-4B6F-A809-50491ECFCA7E}"/>
    <cellStyle name="Comma 46" xfId="456" xr:uid="{EE84AEA2-1704-408D-BA59-C334CC294D83}"/>
    <cellStyle name="Comma 47" xfId="548" xr:uid="{B4F1343B-49FE-4D16-B553-7A59D5018FCA}"/>
    <cellStyle name="Comma 48" xfId="457" xr:uid="{D5B2BD85-E7D1-450E-AB1C-21F1C4ED8906}"/>
    <cellStyle name="Comma 49" xfId="540" xr:uid="{FAF65554-5031-499F-90A9-322B667BC4D7}"/>
    <cellStyle name="Comma 5" xfId="447" xr:uid="{F4045BA3-F278-4851-9BE9-65E6A141CC23}"/>
    <cellStyle name="Comma 50" xfId="460" xr:uid="{A3E3AADD-C274-4447-B55C-DCCA9CC7C681}"/>
    <cellStyle name="Comma 51" xfId="541" xr:uid="{46F4C219-BACA-4EAD-9E55-2622C71416B8}"/>
    <cellStyle name="Comma 52" xfId="461" xr:uid="{AEB11B2C-2709-4580-B343-C39DA7ED1E41}"/>
    <cellStyle name="Comma 53" xfId="539" xr:uid="{1B6F432D-9112-405E-A2EA-CA4EFE7F1F23}"/>
    <cellStyle name="Comma 54" xfId="462" xr:uid="{F4F8D231-2910-4233-970B-A44B88E506FD}"/>
    <cellStyle name="Comma 55" xfId="542" xr:uid="{2C99FC30-6B67-4E7F-9CEF-C416921B7A9B}"/>
    <cellStyle name="Comma 56" xfId="463" xr:uid="{80052473-11FB-4D3F-BBB5-CB95A6C41659}"/>
    <cellStyle name="Comma 57" xfId="549" xr:uid="{3619304B-B350-4A41-9C6A-1DD3EACF4A25}"/>
    <cellStyle name="Comma 58" xfId="464" xr:uid="{E8A56FE4-E98E-45F5-8EF4-2D6B81EFFD52}"/>
    <cellStyle name="Comma 59" xfId="550" xr:uid="{3947EB51-DFAC-4696-A44A-ECE941FE046F}"/>
    <cellStyle name="Comma 6" xfId="484" xr:uid="{EDABDA2B-0635-4CBB-BA22-A167ABB3A92A}"/>
    <cellStyle name="Comma 60" xfId="459" xr:uid="{AAAB1EED-3141-4321-AFE1-16612EA8145D}"/>
    <cellStyle name="Comma 61" xfId="552" xr:uid="{9717EE07-EA6C-4226-8B1B-4F2B10023ACB}"/>
    <cellStyle name="Comma 62" xfId="458" xr:uid="{9EEE9C6D-0C89-4AAF-8B93-B610730C331C}"/>
    <cellStyle name="Comma 63" xfId="551" xr:uid="{E91FF89A-12E6-4AC3-B2C9-F7CFEB8E032A}"/>
    <cellStyle name="Comma 64" xfId="465" xr:uid="{C99F9A7E-13CE-4603-94C8-3CE52F008F27}"/>
    <cellStyle name="Comma 65" xfId="553" xr:uid="{134B5829-BB4E-44CC-9A2E-B6B336A9D025}"/>
    <cellStyle name="Comma 66" xfId="445" xr:uid="{43454C85-D8EC-4193-8610-99F42E9ADA99}"/>
    <cellStyle name="Comma 67" xfId="637" xr:uid="{2E81555C-018B-47F7-9D27-D57ECAB0CC84}"/>
    <cellStyle name="Comma 7" xfId="446" xr:uid="{32560ED9-0FFA-4A70-9648-0612D305F9C3}"/>
    <cellStyle name="Comma 8" xfId="482" xr:uid="{1327C5E9-9ED1-4370-9503-3096ED1ACA68}"/>
    <cellStyle name="Comma 9" xfId="450" xr:uid="{9D9A2B7B-FC9D-40B1-B953-997FD414974A}"/>
    <cellStyle name="Commentaire" xfId="65" xr:uid="{0297258A-D02E-4A62-9727-F5BBFC95E82B}"/>
    <cellStyle name="Commentaire 2" xfId="197" xr:uid="{AE04FA46-0311-4D51-B3F9-D9C0317C6736}"/>
    <cellStyle name="Commentaire 2 2" xfId="396" xr:uid="{C0022C41-7EC8-41DE-8002-E31AD0664DD3}"/>
    <cellStyle name="Commentaire 3" xfId="259" xr:uid="{C335CAE2-C93E-465D-87E4-361E42BB2C0F}"/>
    <cellStyle name="Commentaire 3 2" xfId="414" xr:uid="{EA1DDCF5-CC62-41FE-8D45-FF2771CB1122}"/>
    <cellStyle name="Commentaire 4" xfId="371" xr:uid="{18AF0144-64A0-4669-8FCB-E703246EBEF1}"/>
    <cellStyle name="Con. Firm" xfId="66" xr:uid="{8F118954-EECC-4EFC-BFD4-391AC0DCC131}"/>
    <cellStyle name="Con. Firm 2" xfId="67" xr:uid="{DCDD4B39-EB7A-4C83-B626-E69E4B81AD2F}"/>
    <cellStyle name="Con. Firm 2 2" xfId="261" xr:uid="{822BB760-6596-4351-BFE2-0F89ED57152F}"/>
    <cellStyle name="Con. Firm 3" xfId="68" xr:uid="{F594E50B-967C-46BD-941E-CC36C7DEA07B}"/>
    <cellStyle name="Con. Firm 3 2" xfId="262" xr:uid="{9D5B845D-8715-4F11-B4D9-88CC220DF779}"/>
    <cellStyle name="Con. Firm 4" xfId="260" xr:uid="{30354388-597A-4149-8F72-C4EEB6DE54EE}"/>
    <cellStyle name="Con. Firm 5" xfId="468" xr:uid="{8326A942-E049-4B97-A5BD-F33209794B28}"/>
    <cellStyle name="Con. Firm_#49 103-RA-0312-BA 0000M1001" xfId="69" xr:uid="{9891D96D-BCC2-4090-982A-DE5DD4952D25}"/>
    <cellStyle name="Currefcy" xfId="70" xr:uid="{0D7CEB07-6994-43B0-AF2B-A4CC1FAB5023}"/>
    <cellStyle name="Currefcy 2" xfId="363" xr:uid="{CE03027F-2F31-4368-A764-C3A187BD3D05}"/>
    <cellStyle name="Currency 2" xfId="638" xr:uid="{DE1BDBE2-1AB3-4CB6-ACF3-E2D3B8C01D2B}"/>
    <cellStyle name="Currency 3" xfId="636" xr:uid="{CB34BC08-BD41-4C98-B29C-1009F6FAADC4}"/>
    <cellStyle name="Dezimal [0]_ANLAG_SP" xfId="71" xr:uid="{070BE88C-5850-462C-802F-4A87BFB8CCFD}"/>
    <cellStyle name="Dezimal_35" xfId="72" xr:uid="{2E6403DF-10B3-485F-8F60-5E0C9D30A7AF}"/>
    <cellStyle name="E&amp;Y House" xfId="73" xr:uid="{C86FEA9A-849E-4F08-9D78-23DA61BEC378}"/>
    <cellStyle name="E&amp;Y House 2" xfId="263" xr:uid="{E6184EF5-6415-479E-93C0-7806225C1A43}"/>
    <cellStyle name="Entrée" xfId="74" xr:uid="{143E232A-92F8-4940-87C1-8080DA717E0B}"/>
    <cellStyle name="Entrée 2" xfId="264" xr:uid="{134E460E-F25F-4080-9E93-3617329662C8}"/>
    <cellStyle name="Euro" xfId="75" xr:uid="{7AD7FB03-556D-4677-A87E-B85D473DAB7C}"/>
    <cellStyle name="Euro 2" xfId="364" xr:uid="{8C467461-4D93-46A3-883D-A7F09FA1F7E1}"/>
    <cellStyle name="Explanatory Text 2" xfId="265" xr:uid="{0ECE74AB-DA24-4AB3-83E2-F3032140B2E4}"/>
    <cellStyle name="Explanatory Text 3" xfId="76" xr:uid="{EC971167-7D56-4092-8BB3-728FA158AF57}"/>
    <cellStyle name="EY House" xfId="77" xr:uid="{923AF832-6176-4C03-B1AA-3BBF3E8F211C}"/>
    <cellStyle name="EY House 2" xfId="266" xr:uid="{AAEF3811-6FF2-4EEF-BA78-370578F199CA}"/>
    <cellStyle name="Good 2" xfId="267" xr:uid="{33789F48-0EAB-42C0-82DD-12D8062CA11C}"/>
    <cellStyle name="Good 3" xfId="78" xr:uid="{108EF7E6-AAF0-45EE-B918-D8ADCED967AE}"/>
    <cellStyle name="Header1" xfId="79" xr:uid="{0C1A9AF3-2D63-4B8C-9B53-07F0579A8ACF}"/>
    <cellStyle name="Header1 2" xfId="268" xr:uid="{68DE0904-718E-4743-9F7B-F65E13C53803}"/>
    <cellStyle name="Header2" xfId="80" xr:uid="{23F436B0-6B03-4D1E-B28B-038401969587}"/>
    <cellStyle name="Header2 2" xfId="269" xr:uid="{1F66A197-6BD1-45AC-BDA8-294E7EBA6F16}"/>
    <cellStyle name="Heading 1 2" xfId="270" xr:uid="{93A5C2DD-7A9F-43EB-AB4A-509CB2917240}"/>
    <cellStyle name="Heading 1 3" xfId="81" xr:uid="{01D920AC-878C-4FF4-84E3-D3AD68636EFD}"/>
    <cellStyle name="Heading 2 2" xfId="271" xr:uid="{CEEAEE20-6082-4430-8997-7220BEB50B50}"/>
    <cellStyle name="Heading 2 3" xfId="82" xr:uid="{45087D32-02E3-4907-9E52-12B5CCF21A7A}"/>
    <cellStyle name="Heading 3 2" xfId="272" xr:uid="{31291CEE-F7C4-4651-B49E-21EC01658E1E}"/>
    <cellStyle name="Heading 3 3" xfId="83" xr:uid="{80E1D6CE-F925-46A6-878E-5731371CF7CE}"/>
    <cellStyle name="Heading 4 2" xfId="273" xr:uid="{1E21ADA2-3398-4A75-9369-365C2B3A8537}"/>
    <cellStyle name="Heading 4 3" xfId="84" xr:uid="{6748B1C0-905C-4D81-80DE-6C7231540832}"/>
    <cellStyle name="Hyperlink 2" xfId="359" xr:uid="{762DBF8A-CEDA-4CF5-B55C-4D79BC93E86E}"/>
    <cellStyle name="Input 2" xfId="274" xr:uid="{28BCAE26-285B-48CA-929A-6CA30D59C39B}"/>
    <cellStyle name="Input 3" xfId="85" xr:uid="{8EA9A67B-43D8-45AF-9247-3D1A1B787D15}"/>
    <cellStyle name="Insatisfaisant" xfId="86" xr:uid="{41F00461-0AB9-4D55-8496-F2B95F430BC7}"/>
    <cellStyle name="Insatisfaisant 2" xfId="275" xr:uid="{32CD56AF-979C-4415-AF85-03A3BFDE34CF}"/>
    <cellStyle name="Insatisfaisant 3" xfId="365" xr:uid="{CCB4707D-5032-46DA-859F-DA4ED6D64B34}"/>
    <cellStyle name="Komma [0]_CM_DATA_TRAXIS" xfId="87" xr:uid="{9F0F6A3C-82A7-4484-9C32-1A8BE1CCF96A}"/>
    <cellStyle name="Komma_CM_DATA_TRAXIS" xfId="88" xr:uid="{4528C4B7-4168-41B7-BB60-7F60955BEF1F}"/>
    <cellStyle name="Linked Cell 2" xfId="276" xr:uid="{AC3DEBE3-D675-4A18-AC49-3F2F1F45A4E8}"/>
    <cellStyle name="Linked Cell 3" xfId="89" xr:uid="{42613DEB-B7E6-48A0-B5CE-A15348BCC903}"/>
    <cellStyle name="měny_06-ORDER-Hradec" xfId="90" xr:uid="{0E7F6872-F2E8-40AE-A8AD-7AF67B1A1961}"/>
    <cellStyle name="Milliers 10" xfId="624" xr:uid="{8B0FB84F-8991-4A73-90C7-A156D1DF848E}"/>
    <cellStyle name="Milliers 11" xfId="620" xr:uid="{F10D6B64-69D1-4617-A8C5-B8C2CB1361CF}"/>
    <cellStyle name="Milliers 12" xfId="618" xr:uid="{B5FAA962-E4D4-4A26-873E-4F0C01276D3F}"/>
    <cellStyle name="Milliers 13" xfId="621" xr:uid="{5BD24043-530F-4A46-8EAB-04EA841A848E}"/>
    <cellStyle name="Milliers 14" xfId="612" xr:uid="{4679C307-2380-47F9-8C99-1DB2007676D4}"/>
    <cellStyle name="Milliers 2" xfId="606" xr:uid="{CAADCD2B-3735-4946-9343-856832A1301B}"/>
    <cellStyle name="Milliers 3" xfId="613" xr:uid="{6087D83B-6F86-4C81-AD95-D81FEB11CF4C}"/>
    <cellStyle name="Milliers 4" xfId="609" xr:uid="{C544FC7A-5617-4058-A991-7D7E67E20A79}"/>
    <cellStyle name="Milliers 5" xfId="619" xr:uid="{83B9D20B-A219-41A0-B277-0D038E17475F}"/>
    <cellStyle name="Milliers 6" xfId="610" xr:uid="{DA8D7E15-306B-45B8-8A05-B6E1C1C5D16C}"/>
    <cellStyle name="Milliers 7" xfId="625" xr:uid="{2B4B5D4C-8FC4-4F32-AA03-CC971916BFE4}"/>
    <cellStyle name="Milliers 8" xfId="623" xr:uid="{A5026CD4-E3EC-4A11-AF4C-44ABC42A86D0}"/>
    <cellStyle name="Milliers 9" xfId="626" xr:uid="{7DD84A98-4B6C-4B96-A44D-82B6C07A3959}"/>
    <cellStyle name="monthly" xfId="91" xr:uid="{9D289B37-B726-4190-9809-E3D744583831}"/>
    <cellStyle name="monthly 2" xfId="366" xr:uid="{7FAAB93D-126B-48AD-8745-83350FA5E833}"/>
    <cellStyle name="Neutral 2" xfId="277" xr:uid="{FFE69A5C-FBFF-425F-B42D-0E45CBC9A7CA}"/>
    <cellStyle name="Neutral 3" xfId="92" xr:uid="{E5854960-D030-4C86-8762-BE99671D5137}"/>
    <cellStyle name="Neutre" xfId="93" xr:uid="{B256495F-95E7-4C3A-B116-38B21E40DD51}"/>
    <cellStyle name="Neutre 2" xfId="278" xr:uid="{97AD9F24-8AAA-432D-8241-D351E7DFE19E}"/>
    <cellStyle name="Neutre 3" xfId="367" xr:uid="{3B49C243-BF2A-400E-98A0-D80317793FE4}"/>
    <cellStyle name="Normal" xfId="0" builtinId="0"/>
    <cellStyle name="Normal - Style1" xfId="94" xr:uid="{FC507C73-6C2F-4552-8680-A6D3BF10A2B7}"/>
    <cellStyle name="Normal 10" xfId="209" xr:uid="{30850D3F-531A-496C-A5C3-FAA2D5EB2C22}"/>
    <cellStyle name="Normal 10 2" xfId="408" xr:uid="{C8F90678-83FD-4F23-90DC-44A28F31386D}"/>
    <cellStyle name="Normal 100" xfId="466" xr:uid="{6DC98CD1-1B32-43C2-B24D-DA285A05DBED}"/>
    <cellStyle name="Normal 101" xfId="583" xr:uid="{FB400211-5C2E-4B75-AAF0-E8982C823A50}"/>
    <cellStyle name="Normal 102" xfId="590" xr:uid="{BD95B39D-BCF9-42E7-A5D1-FAAED1CA5898}"/>
    <cellStyle name="Normal 103" xfId="588" xr:uid="{6847953C-C277-4982-885D-416AEC85C4D9}"/>
    <cellStyle name="Normal 104" xfId="586" xr:uid="{15ED0F1D-B34F-44E3-8A25-1FC783FB51CE}"/>
    <cellStyle name="Normal 105" xfId="585" xr:uid="{F4D6B2CD-E616-4D0A-B0ED-C22C9FA18FB5}"/>
    <cellStyle name="Normal 106" xfId="584" xr:uid="{1E0D7DE7-5316-42E1-BBE1-03CE86A47E4D}"/>
    <cellStyle name="Normal 107" xfId="587" xr:uid="{F076AD1B-BD20-455A-B288-8427DDA227ED}"/>
    <cellStyle name="Normal 108" xfId="611" xr:uid="{6FB92454-FD26-4D5B-9D0D-DF24D667791B}"/>
    <cellStyle name="Normal 109" xfId="605" xr:uid="{9DCEC6D6-C071-4F76-A1EE-EEC51C6A7446}"/>
    <cellStyle name="Normal 11" xfId="204" xr:uid="{2573390C-ACF1-4966-A614-94AAEB14C47A}"/>
    <cellStyle name="Normal 11 2" xfId="403" xr:uid="{554C4CB6-BFFB-4F43-894A-FB0EDC8131E4}"/>
    <cellStyle name="Normal 110" xfId="615" xr:uid="{75A3093E-A3D7-46F5-BDB3-DE1D6E412D76}"/>
    <cellStyle name="Normal 111" xfId="622" xr:uid="{10F389F0-EF58-4ACC-8869-1DB6354A4D25}"/>
    <cellStyle name="Normal 112" xfId="607" xr:uid="{A5E3E4F7-7732-46D3-B43B-E2E66EDE0739}"/>
    <cellStyle name="Normal 113" xfId="614" xr:uid="{121DF85D-EEB0-4F27-AD7C-6C01F6E7AFF5}"/>
    <cellStyle name="Normal 114" xfId="627" xr:uid="{53E319B4-2139-44FC-A938-ED874AC49289}"/>
    <cellStyle name="Normal 115" xfId="608" xr:uid="{0826D4D0-A404-49D6-95E1-49D6493AA1DD}"/>
    <cellStyle name="Normal 116" xfId="628" xr:uid="{22EAAE1B-D7A8-4582-AACE-1C6B449BE6EC}"/>
    <cellStyle name="Normal 117" xfId="629" xr:uid="{E3F47874-3B38-4E1D-A0DF-E7A9091D1691}"/>
    <cellStyle name="Normal 118" xfId="630" xr:uid="{5F2D09A9-D40C-4CCA-BA6F-C372CEA8E990}"/>
    <cellStyle name="Normal 119" xfId="631" xr:uid="{4EAC3886-20A6-46AD-A8BA-02A2C086886F}"/>
    <cellStyle name="Normal 12" xfId="208" xr:uid="{108AB219-1E0E-40E6-82F7-91F555574BB6}"/>
    <cellStyle name="Normal 12 2" xfId="407" xr:uid="{7028F06D-391C-477F-9D17-76D8288DFEF6}"/>
    <cellStyle name="Normal 120" xfId="632" xr:uid="{0906C559-051E-4BBF-A8BF-2B1B9B7FCF74}"/>
    <cellStyle name="Normal 121" xfId="633" xr:uid="{AC6AE880-AC4B-4D6F-B389-C3236B1D897D}"/>
    <cellStyle name="Normal 122" xfId="362" xr:uid="{CF0BB312-C08C-4EF0-86B7-471B23F35309}"/>
    <cellStyle name="Normal 123" xfId="437" xr:uid="{8DC4BBF0-6217-4240-856B-1EED85724A74}"/>
    <cellStyle name="Normal 124" xfId="634" xr:uid="{6ED20E34-97B9-4A1C-A9C0-AF981C996B34}"/>
    <cellStyle name="Normal 125" xfId="647" xr:uid="{CE346707-7E8D-4585-9E90-05F38C157FEF}"/>
    <cellStyle name="Normal 126" xfId="639" xr:uid="{E3FAE627-B390-47EE-95AA-DC37140D8F59}"/>
    <cellStyle name="Normal 127" xfId="643" xr:uid="{BFA02E17-8A90-4C58-9AAB-4A5B12BF308D}"/>
    <cellStyle name="Normal 128" xfId="1" xr:uid="{0FBE66B2-606F-4410-93E8-F88B82036368}"/>
    <cellStyle name="Normal 129" xfId="648" xr:uid="{CD9CA468-D070-4695-B6A2-331FD1E2C7CA}"/>
    <cellStyle name="Normal 13" xfId="205" xr:uid="{99B2495E-F6F8-4788-AC8D-1E076C954702}"/>
    <cellStyle name="Normal 13 2" xfId="404" xr:uid="{CB8547A4-D29A-4DCF-ACC3-69824620AE94}"/>
    <cellStyle name="Normal 14" xfId="207" xr:uid="{23A99CB4-2F36-44C3-8E14-7B3469A6ECC8}"/>
    <cellStyle name="Normal 14 2" xfId="406" xr:uid="{ED9D8DA4-CDE9-4BB8-A99E-BE273720331B}"/>
    <cellStyle name="Normal 15" xfId="206" xr:uid="{60FDD454-6B6E-4278-AC40-7AEC34F808D1}"/>
    <cellStyle name="Normal 15 2" xfId="405" xr:uid="{40FA689A-C3D9-43BF-BA66-4AA19AF8499D}"/>
    <cellStyle name="Normal 16" xfId="210" xr:uid="{31DC17D0-F1B6-465B-A9DE-66D3294B900D}"/>
    <cellStyle name="Normal 16 2" xfId="409" xr:uid="{8951DF42-A46E-46DF-8383-DF172D9BCF16}"/>
    <cellStyle name="Normal 17" xfId="331" xr:uid="{128A6947-E2D3-4F96-B9F9-1EE8D120D377}"/>
    <cellStyle name="Normal 17 2" xfId="435" xr:uid="{080F5526-C744-419E-A93F-7A948058A588}"/>
    <cellStyle name="Normal 18" xfId="335" xr:uid="{BD3DFD83-3299-48D1-A391-20D4092839A6}"/>
    <cellStyle name="Normal 18 2" xfId="436" xr:uid="{595FED39-5957-4D06-B3A1-63C5E3EDC00A}"/>
    <cellStyle name="Normal 19" xfId="330" xr:uid="{2047F959-1B3F-43F1-A684-A4C02E8D82E0}"/>
    <cellStyle name="Normal 19 2" xfId="434" xr:uid="{8BCF2216-2C36-4989-981A-F3A4EED8C43E}"/>
    <cellStyle name="Normal 2" xfId="95" xr:uid="{DA87E9CB-2ED3-4B85-95DD-CE76B4BF2F48}"/>
    <cellStyle name="Normal 2 2" xfId="279" xr:uid="{42AE4DD9-2D19-4A57-BB87-9BE3A97DB842}"/>
    <cellStyle name="Normal 2 3" xfId="353" xr:uid="{BC00263C-437C-4FBB-97C1-EA6DDFD841F7}"/>
    <cellStyle name="Normal 2 3 2" xfId="603" xr:uid="{74386B6E-FBB4-4167-AE6B-E73142050F3D}"/>
    <cellStyle name="Normal 20" xfId="338" xr:uid="{DEC829CF-E2B1-4142-8606-70148439045D}"/>
    <cellStyle name="Normal 20 2" xfId="487" xr:uid="{7A6FD1DC-4092-4583-A019-322659B5008C}"/>
    <cellStyle name="Normal 21" xfId="339" xr:uid="{8614396B-ADD7-46DC-AA3A-54859A9764CF}"/>
    <cellStyle name="Normal 21 2" xfId="488" xr:uid="{A8387FC0-D1EC-4306-A75F-9E74E6B07015}"/>
    <cellStyle name="Normal 22" xfId="340" xr:uid="{02AA39A5-3ADC-46E9-A24B-4B767CF259E0}"/>
    <cellStyle name="Normal 22 2" xfId="489" xr:uid="{72359D1F-817C-44B4-89D7-DA946577ED1A}"/>
    <cellStyle name="Normal 23" xfId="341" xr:uid="{360C924A-F325-413B-9559-29CECE7A9D64}"/>
    <cellStyle name="Normal 23 2" xfId="490" xr:uid="{3C4D1CD2-A3B2-492D-AF3F-2A5E1842F0CB}"/>
    <cellStyle name="Normal 24" xfId="337" xr:uid="{8AB7CAD4-DC1B-4790-8556-212E991E4A82}"/>
    <cellStyle name="Normal 24 2" xfId="591" xr:uid="{AE144DE2-B6AD-448E-97D6-4724E89B0C2C}"/>
    <cellStyle name="Normal 24 3" xfId="486" xr:uid="{57E75A83-9C27-41AF-B38D-F4C49DF52D78}"/>
    <cellStyle name="Normal 25" xfId="342" xr:uid="{8B6A3769-75FD-411D-8F8F-F2F669F0F40D}"/>
    <cellStyle name="Normal 25 2" xfId="592" xr:uid="{8DF62FA5-5D31-4B79-8118-5B7263C1C7D5}"/>
    <cellStyle name="Normal 25 3" xfId="491" xr:uid="{44468E4A-CA70-467C-B547-661798073CB2}"/>
    <cellStyle name="Normal 26" xfId="343" xr:uid="{96471741-FC8C-4F2F-8951-8C046355DEC8}"/>
    <cellStyle name="Normal 26 2" xfId="593" xr:uid="{25E8E861-FC88-4917-B3B6-27101F068D56}"/>
    <cellStyle name="Normal 26 3" xfId="492" xr:uid="{E78B4087-07C4-447D-83F8-0E4C6838A760}"/>
    <cellStyle name="Normal 27" xfId="344" xr:uid="{C768E68D-CD7D-4245-8EA5-5EC714217F74}"/>
    <cellStyle name="Normal 27 2" xfId="594" xr:uid="{3152589A-9A1C-44F2-BF6F-A828409A0445}"/>
    <cellStyle name="Normal 27 3" xfId="493" xr:uid="{9EFDACA3-941E-49EC-A4C7-93550CF95691}"/>
    <cellStyle name="Normal 28" xfId="345" xr:uid="{9CDC55E0-FF38-4150-8474-23B3F36FAF1E}"/>
    <cellStyle name="Normal 28 2" xfId="595" xr:uid="{26D520AA-81A1-4EB3-9E0A-0282BFC3B913}"/>
    <cellStyle name="Normal 28 3" xfId="494" xr:uid="{F796E367-3562-471C-AA74-5D40F6E13087}"/>
    <cellStyle name="Normal 29" xfId="346" xr:uid="{B85101B0-5848-41E7-9EE8-F8DB5156B3F9}"/>
    <cellStyle name="Normal 29 2" xfId="596" xr:uid="{B47E6389-4BE0-4382-A771-3B88CF6817BF}"/>
    <cellStyle name="Normal 29 3" xfId="495" xr:uid="{0914D8B6-3D96-48F7-8FA7-779751B75F1A}"/>
    <cellStyle name="Normal 3" xfId="96" xr:uid="{C6FCF717-84D1-47C3-B90E-477B59C45C6A}"/>
    <cellStyle name="Normal 3 2" xfId="198" xr:uid="{BAB0B0DF-55DC-4449-952D-4777163C0984}"/>
    <cellStyle name="Normal 3 2 2" xfId="397" xr:uid="{B49F9DF5-CDE4-489F-9046-D5A792F31FE1}"/>
    <cellStyle name="Normal 3 3" xfId="280" xr:uid="{4C165DC4-1EDA-4982-9845-207C298F8E13}"/>
    <cellStyle name="Normal 3 3 2" xfId="415" xr:uid="{FB86B922-E1A3-4F56-A988-5B2F60055157}"/>
    <cellStyle name="Normal 3 4" xfId="368" xr:uid="{DBAB1EB7-141D-4D14-A5FC-B7D64FFFCE09}"/>
    <cellStyle name="Normal 30" xfId="347" xr:uid="{EF21B8D2-DF17-4354-9F50-C2308D352D80}"/>
    <cellStyle name="Normal 30 2" xfId="597" xr:uid="{40D17330-C0C3-44E4-B899-B4451C08E668}"/>
    <cellStyle name="Normal 30 3" xfId="496" xr:uid="{AE6D7EDE-B26F-4A2A-88F3-2B1C22DB5E12}"/>
    <cellStyle name="Normal 31" xfId="348" xr:uid="{C28D9AE8-E9EC-4D68-9E39-89DAA0422895}"/>
    <cellStyle name="Normal 31 2" xfId="598" xr:uid="{EDD40050-0975-4529-9CFD-0975E3070A6C}"/>
    <cellStyle name="Normal 31 3" xfId="497" xr:uid="{93701578-A755-45A2-AC59-D9BFD216BA5E}"/>
    <cellStyle name="Normal 32" xfId="349" xr:uid="{A14CFF96-E5D7-43EB-9A6E-31422D6FBB1A}"/>
    <cellStyle name="Normal 32 2" xfId="599" xr:uid="{A5ECDB8C-28AC-4414-8DFF-057ACCE7893C}"/>
    <cellStyle name="Normal 32 3" xfId="498" xr:uid="{96E783AD-1314-46C7-B061-16F9694EF568}"/>
    <cellStyle name="Normal 33" xfId="307" xr:uid="{49BB723B-EF51-46F2-AB6E-BDEDC5CF7101}"/>
    <cellStyle name="Normal 33 2" xfId="589" xr:uid="{A5BFC062-3BE1-4705-A29E-A96A2179BCBC}"/>
    <cellStyle name="Normal 33 3" xfId="430" xr:uid="{8BB604C2-FD41-4A20-9A0F-99D2E1871A2C}"/>
    <cellStyle name="Normal 34" xfId="350" xr:uid="{B35B5032-93E5-4B68-B89B-5FBB694376C2}"/>
    <cellStyle name="Normal 34 2" xfId="600" xr:uid="{01AA772B-E8C6-4200-AE2F-64AE69F1E02C}"/>
    <cellStyle name="Normal 34 3" xfId="499" xr:uid="{97D6CA53-B26A-44E7-8FAD-E5BDD0756DA5}"/>
    <cellStyle name="Normal 35" xfId="351" xr:uid="{6201F6DD-75D8-4A8E-8CA6-4CAACA07819D}"/>
    <cellStyle name="Normal 35 2" xfId="601" xr:uid="{5A2AE68B-E4CB-42C9-BBCA-FD5DDEF110A8}"/>
    <cellStyle name="Normal 35 3" xfId="500" xr:uid="{97C67F49-DCB0-4643-878E-0F8AC00A9B98}"/>
    <cellStyle name="Normal 36" xfId="352" xr:uid="{F6C80CD5-0F5C-48A0-A4A1-0EBF1592AB12}"/>
    <cellStyle name="Normal 36 2" xfId="361" xr:uid="{795EE64A-5DFD-4913-BACE-A7119BBA698D}"/>
    <cellStyle name="Normal 36 2 2" xfId="616" xr:uid="{5F0837E2-DD2B-4094-9920-F13DED3D3534}"/>
    <cellStyle name="Normal 36 2 2 2" xfId="645" xr:uid="{51BAACA9-C32D-4F4E-8E51-9DD041DE29CC}"/>
    <cellStyle name="Normal 36 2 3" xfId="602" xr:uid="{8C9B5BA9-EA4E-48FC-AF40-B409581AE221}"/>
    <cellStyle name="Normal 36 2 3 2" xfId="644" xr:uid="{5E24748D-F64F-4B9C-BF0A-70EA41DA486C}"/>
    <cellStyle name="Normal 36 2 4" xfId="642" xr:uid="{BB0150E7-9FAA-44A0-AB1F-26CB459EC461}"/>
    <cellStyle name="Normal 36 3" xfId="617" xr:uid="{26ABC600-93D5-4766-9AB2-04C81E0B1B71}"/>
    <cellStyle name="Normal 36 3 2" xfId="646" xr:uid="{427D2062-3FA1-4A9A-9A33-1CD870D1B753}"/>
    <cellStyle name="Normal 36 4" xfId="501" xr:uid="{661BB20C-2C28-4C32-820F-EEA6AC60B478}"/>
    <cellStyle name="Normal 36 5" xfId="641" xr:uid="{2F478741-ED94-46FE-9C85-9FFA702FE836}"/>
    <cellStyle name="Normal 37" xfId="2" xr:uid="{79DDC112-E4F6-4C92-A960-6275794BC0E4}"/>
    <cellStyle name="Normal 37 2" xfId="413" xr:uid="{E117B0FF-B89D-4595-9F85-D88C01A6743F}"/>
    <cellStyle name="Normal 38" xfId="356" xr:uid="{34C09283-BAD5-46D9-B1A7-01651DE4A98B}"/>
    <cellStyle name="Normal 38 2" xfId="505" xr:uid="{EE8DA225-4DC8-46BC-899B-A8B9C5F8A586}"/>
    <cellStyle name="Normal 39" xfId="357" xr:uid="{F1F46E40-0667-4DF0-B24F-362A4FC677EA}"/>
    <cellStyle name="Normal 39 2" xfId="507" xr:uid="{31FFDCB7-EE23-4D76-A84F-DC7F34AE7040}"/>
    <cellStyle name="Normal 4" xfId="97" xr:uid="{4FC02056-2747-47DE-8BFA-C7CB9639632B}"/>
    <cellStyle name="Normal 4 2" xfId="199" xr:uid="{B87F3F67-0207-4BB4-BB02-B4FB6542FEA8}"/>
    <cellStyle name="Normal 4 2 2" xfId="398" xr:uid="{39E5F50C-55CD-4748-ACE2-4368306DD92F}"/>
    <cellStyle name="Normal 4 3" xfId="281" xr:uid="{3A6B9EA4-CC15-49CD-88BE-C3BF88F62FA6}"/>
    <cellStyle name="Normal 4 3 2" xfId="416" xr:uid="{D8970620-E5B8-4A77-9034-EF391C4B5D3B}"/>
    <cellStyle name="Normal 4 4" xfId="369" xr:uid="{584021F4-F6D8-4E91-8B8A-0367C603FAAA}"/>
    <cellStyle name="Normal 40" xfId="358" xr:uid="{5B8A0925-F447-4243-8DD5-1EDB4A2AFCF8}"/>
    <cellStyle name="Normal 40 2" xfId="508" xr:uid="{9426B80B-5CA8-401C-875D-4397C6DB78B2}"/>
    <cellStyle name="Normal 41" xfId="360" xr:uid="{7F78ACC8-2BAE-4F48-8BD3-55A183FDD027}"/>
    <cellStyle name="Normal 41 2" xfId="509" xr:uid="{8F3E3388-5240-4E9F-BCB0-E31882DF1B81}"/>
    <cellStyle name="Normal 42" xfId="504" xr:uid="{F329C47B-DF88-49A3-ADAC-85BF2E46696C}"/>
    <cellStyle name="Normal 43" xfId="506" xr:uid="{75C83824-4DFA-4802-9470-0BE1E772B9C5}"/>
    <cellStyle name="Normal 44" xfId="510" xr:uid="{72A8AC87-0D2F-4D24-982C-B63782B021BD}"/>
    <cellStyle name="Normal 45" xfId="512" xr:uid="{9353F798-FBD2-4B6A-9AF8-7F063DAEC3D1}"/>
    <cellStyle name="Normal 46" xfId="503" xr:uid="{FD897E92-1320-430A-AE75-7FBF3B984CA3}"/>
    <cellStyle name="Normal 47" xfId="517" xr:uid="{728B7E17-2E63-40E8-BFB3-32E961C2CE87}"/>
    <cellStyle name="Normal 48" xfId="519" xr:uid="{E7ECCA8E-B37F-4FE4-8C00-13838E81CC6F}"/>
    <cellStyle name="Normal 49" xfId="520" xr:uid="{EBD97526-9F0F-46CE-99D4-C1414C2FFC07}"/>
    <cellStyle name="Normal 5" xfId="98" xr:uid="{66E39FC2-EF90-41B3-AF7F-E8D77234DEBF}"/>
    <cellStyle name="Normal 5 2" xfId="200" xr:uid="{35B07250-8CEF-4C9D-ACE6-638DFE111950}"/>
    <cellStyle name="Normal 5 2 2" xfId="399" xr:uid="{9389B6A4-1190-4B03-8086-65030C09CC9B}"/>
    <cellStyle name="Normal 5 3" xfId="282" xr:uid="{4DB72910-8BFB-412B-998F-2FF135084B21}"/>
    <cellStyle name="Normal 5 3 2" xfId="417" xr:uid="{A41F518F-87D4-4877-8F8E-14F5F406713F}"/>
    <cellStyle name="Normal 5 4" xfId="370" xr:uid="{C3E749A3-983D-492E-A13B-DECEBB5889E6}"/>
    <cellStyle name="Normal 50" xfId="522" xr:uid="{90B3637E-24AC-4310-946B-F2473948F5E3}"/>
    <cellStyle name="Normal 51" xfId="523" xr:uid="{9EB45708-6BD8-4346-81CC-410279502589}"/>
    <cellStyle name="Normal 52" xfId="521" xr:uid="{2A828677-1649-4B18-B0A6-DBBB882F3960}"/>
    <cellStyle name="Normal 53" xfId="524" xr:uid="{A56BEA81-2A3E-491C-959E-EAB95594F1EA}"/>
    <cellStyle name="Normal 54" xfId="518" xr:uid="{4F94AB6C-F4DD-410F-B065-364D6F509847}"/>
    <cellStyle name="Normal 55" xfId="525" xr:uid="{E81BDAEB-39F0-462D-B778-11C55D192BB2}"/>
    <cellStyle name="Normal 56" xfId="526" xr:uid="{936EFB9C-1B27-4B50-BA14-7DCCF447A0D9}"/>
    <cellStyle name="Normal 57" xfId="527" xr:uid="{FD953036-8258-4749-9A50-7C344FEEB835}"/>
    <cellStyle name="Normal 58" xfId="528" xr:uid="{E6645A75-098B-4273-8644-7A97DD864FB0}"/>
    <cellStyle name="Normal 59" xfId="529" xr:uid="{F2BF92B0-A387-4A30-BC45-43C6FCF49873}"/>
    <cellStyle name="Normal 6" xfId="195" xr:uid="{786FA65B-1F0A-4507-B955-3DEE6E1549D3}"/>
    <cellStyle name="Normal 6 2" xfId="395" xr:uid="{870DBF50-EDFA-4774-AC21-80F3FDA07FBC}"/>
    <cellStyle name="Normal 60" xfId="502" xr:uid="{EB91B925-D57C-41DD-8791-4236A4294F24}"/>
    <cellStyle name="Normal 61" xfId="530" xr:uid="{16670C06-186C-4919-95DB-116C51675A1D}"/>
    <cellStyle name="Normal 62" xfId="531" xr:uid="{03C23D73-FE6C-4CB0-9444-810E8A712DE9}"/>
    <cellStyle name="Normal 63" xfId="532" xr:uid="{B8EF8C28-C212-474B-A503-7D79D3693224}"/>
    <cellStyle name="Normal 64" xfId="533" xr:uid="{ABAC47DA-3B3E-4F66-81CB-26C044FAC062}"/>
    <cellStyle name="Normal 65" xfId="534" xr:uid="{65F009BF-599C-4E97-B77C-10CD250F294C}"/>
    <cellStyle name="Normal 66" xfId="535" xr:uid="{2473F4D5-02AF-4FFA-99DD-F3D978F66D1D}"/>
    <cellStyle name="Normal 67" xfId="536" xr:uid="{5F9EC8AA-5472-4050-B334-5E4D2C0182A7}"/>
    <cellStyle name="Normal 68" xfId="537" xr:uid="{811F43F2-B4B5-468B-975F-D38CF1286909}"/>
    <cellStyle name="Normal 69" xfId="538" xr:uid="{90B41787-3F2F-44A9-B107-654A36A14F43}"/>
    <cellStyle name="Normal 7" xfId="201" xr:uid="{151E371C-5DA2-4F40-BA02-91F31EBBA34E}"/>
    <cellStyle name="Normal 7 2" xfId="400" xr:uid="{ECFCA05A-FCA3-4AA2-8F12-7E281D85D6FF}"/>
    <cellStyle name="Normal 70" xfId="467" xr:uid="{14AACB9C-6ACF-4EF2-B2A7-D204A585A167}"/>
    <cellStyle name="Normal 71" xfId="554" xr:uid="{D4AD95D0-EA30-425F-8044-4CA51AB6202C}"/>
    <cellStyle name="Normal 72" xfId="555" xr:uid="{1F0E6A24-5013-46CB-880E-238498CEDAC4}"/>
    <cellStyle name="Normal 73" xfId="556" xr:uid="{7D00C30D-91E5-47DB-AD95-FB672D5A7846}"/>
    <cellStyle name="Normal 74" xfId="557" xr:uid="{AA7561A2-5CE2-401F-B4FD-DD666D5F9D4C}"/>
    <cellStyle name="Normal 75" xfId="558" xr:uid="{2EA4F5FA-990D-4C41-9A4A-E2997FD7B642}"/>
    <cellStyle name="Normal 76" xfId="559" xr:uid="{57C41C77-925B-4916-8A79-68EFD8AC925F}"/>
    <cellStyle name="Normal 77" xfId="560" xr:uid="{877B6680-FDFC-4F34-A6FE-F8FDF3A0220D}"/>
    <cellStyle name="Normal 78" xfId="561" xr:uid="{742EFCDD-6ACB-46DB-BDC6-5E084DF755DC}"/>
    <cellStyle name="Normal 79" xfId="563" xr:uid="{12756B92-C886-4E94-AA36-BEAF98490898}"/>
    <cellStyle name="Normal 8" xfId="202" xr:uid="{8D5A2C04-8181-49FF-AA4E-D63C22EC10CA}"/>
    <cellStyle name="Normal 8 2" xfId="401" xr:uid="{08194BB8-A81B-4E4F-8B0F-0CE499B590A1}"/>
    <cellStyle name="Normal 80" xfId="564" xr:uid="{9E6049FC-8662-4E3A-AB2F-0E6FD66E49D4}"/>
    <cellStyle name="Normal 81" xfId="565" xr:uid="{E343CCAA-15B8-478E-9B09-B8CBE2C23314}"/>
    <cellStyle name="Normal 82" xfId="566" xr:uid="{515EBE29-2C83-4C5F-AAEF-65316E515570}"/>
    <cellStyle name="Normal 83" xfId="562" xr:uid="{69193F53-550E-4B37-914F-E7042E8FEB7A}"/>
    <cellStyle name="Normal 84" xfId="567" xr:uid="{A948A36E-B10A-43E0-8F66-ECD7F58F487C}"/>
    <cellStyle name="Normal 85" xfId="568" xr:uid="{0E99A410-6FBD-480E-B6C1-082C5EDE5F29}"/>
    <cellStyle name="Normal 86" xfId="569" xr:uid="{84158DFB-0303-4971-B257-D474BAE78133}"/>
    <cellStyle name="Normal 87" xfId="570" xr:uid="{23CA9C92-5045-4EFC-8605-B5831901A51C}"/>
    <cellStyle name="Normal 88" xfId="571" xr:uid="{5D0F0A44-1DA9-4BC4-B5F0-D422706DFB7F}"/>
    <cellStyle name="Normal 89" xfId="572" xr:uid="{B2CA0C50-BA53-467D-8082-1DAF442BA5AA}"/>
    <cellStyle name="Normal 9" xfId="203" xr:uid="{11C1D095-9061-4850-A276-3A48B0F537A6}"/>
    <cellStyle name="Normal 9 2" xfId="402" xr:uid="{7D302CAE-83B2-45B7-A0B7-72AB28A8F2D8}"/>
    <cellStyle name="Normal 90" xfId="573" xr:uid="{DA5C0DC9-EFD2-40F0-8040-1882DC5AC5F4}"/>
    <cellStyle name="Normal 91" xfId="574" xr:uid="{AA39C502-C5DB-4C8B-9E03-846A39B02406}"/>
    <cellStyle name="Normal 92" xfId="576" xr:uid="{A158B833-9880-4D7D-B6C5-758B72DBF02C}"/>
    <cellStyle name="Normal 93" xfId="577" xr:uid="{BB9AB6AD-3E63-461D-A822-B63910E7E3D4}"/>
    <cellStyle name="Normal 94" xfId="575" xr:uid="{49B1A18B-E9CF-4F65-A4E4-604CA78B1435}"/>
    <cellStyle name="Normal 95" xfId="578" xr:uid="{58E9A56B-BC80-4FD7-A573-E70FA08C6A20}"/>
    <cellStyle name="Normal 96" xfId="579" xr:uid="{E2A53382-D471-4FF7-BC50-157E0A152846}"/>
    <cellStyle name="Normal 97" xfId="580" xr:uid="{BED0CDA0-DF0D-437C-9018-663CB7634B01}"/>
    <cellStyle name="Normal 98" xfId="581" xr:uid="{99C22CCB-D089-4E5E-BDF3-C06C80249D1F}"/>
    <cellStyle name="Normal 99" xfId="582" xr:uid="{3F2F3E86-E94D-40F0-A28B-FB1079F1F2B7}"/>
    <cellStyle name="normální_06-ORDER-Hradec" xfId="99" xr:uid="{1A115D57-E7D3-466E-93EE-522E4568EF87}"/>
    <cellStyle name="Normalny_Line 25" xfId="100" xr:uid="{99B8AAEE-8C4E-42DB-9F79-7739D7969359}"/>
    <cellStyle name="Note 2" xfId="283" xr:uid="{6B7388CD-9D65-4C96-B029-09402161BEB7}"/>
    <cellStyle name="Note 2 2" xfId="418" xr:uid="{2F336B29-D599-4650-9C60-A08A4AD66009}"/>
    <cellStyle name="Note 3" xfId="101" xr:uid="{10D2CBDB-4A0C-4C76-B569-36316A77D826}"/>
    <cellStyle name="Note 3 2" xfId="640" xr:uid="{513C0B2A-CA9C-441A-BBD6-BCA4E4215091}"/>
    <cellStyle name="Output 2" xfId="284" xr:uid="{E676D4D2-F837-4923-8E19-0E8E982E55FD}"/>
    <cellStyle name="Output 3" xfId="102" xr:uid="{B351FA36-2BF1-4291-BA06-3E91300BF5FF}"/>
    <cellStyle name="Percent [0%]" xfId="103" xr:uid="{ED75D006-318C-498E-8C34-6BA227B2D931}"/>
    <cellStyle name="Percent [0.00%]" xfId="104" xr:uid="{0B120117-81A8-49AB-8713-C7B833F442EF}"/>
    <cellStyle name="PSChar" xfId="105" xr:uid="{529513DB-F3C4-4F2E-BD32-473EEC29435B}"/>
    <cellStyle name="PSChar 2" xfId="285" xr:uid="{40BBEC54-C2A3-4C19-B19E-6E27C3474517}"/>
    <cellStyle name="PSDate" xfId="106" xr:uid="{674239D2-7998-4D9A-B452-896B3727EB70}"/>
    <cellStyle name="PSDec" xfId="107" xr:uid="{4FE30905-6D9E-4E54-BF20-2CE706A5054A}"/>
    <cellStyle name="PSHeading" xfId="108" xr:uid="{B92C5CA3-D681-446F-B1A3-7419EB1767C8}"/>
    <cellStyle name="PSHeading 2" xfId="109" xr:uid="{2FF57EC1-6E57-4B5B-BFFD-A44D45386D52}"/>
    <cellStyle name="PSHeading 2 2" xfId="110" xr:uid="{7AE4EEF0-B524-4E9E-AFAE-E8E6400DBB3C}"/>
    <cellStyle name="PSHeading 2 2 2" xfId="288" xr:uid="{FD828AB6-7BEC-42ED-96E1-928246470FC0}"/>
    <cellStyle name="PSHeading 2 3" xfId="287" xr:uid="{65A21D74-EC94-4DEF-A917-D585734CC13F}"/>
    <cellStyle name="PSHeading 2_Flexjet sch.1" xfId="111" xr:uid="{DC41CC3C-5A38-44B8-BFF1-9D26FB56476D}"/>
    <cellStyle name="PSHeading 3" xfId="112" xr:uid="{5C460B1F-2109-4D57-8BCB-842FB40CC243}"/>
    <cellStyle name="PSHeading 3 2" xfId="289" xr:uid="{D01DD54E-3204-421C-A8F8-FD411A43F7B5}"/>
    <cellStyle name="PSHeading 4" xfId="113" xr:uid="{BBDC2D88-BFB8-4763-9A46-1E4906569D44}"/>
    <cellStyle name="PSHeading 4 2" xfId="290" xr:uid="{E44B5F82-2273-4C68-87C0-6C52C33A6973}"/>
    <cellStyle name="PSHeading 5" xfId="114" xr:uid="{F45492E4-E699-45BE-80AA-0620D43E97C2}"/>
    <cellStyle name="PSHeading 5 2" xfId="291" xr:uid="{505448B7-769B-42D1-978A-6607F6C239C1}"/>
    <cellStyle name="PSHeading 6" xfId="286" xr:uid="{EFA701DC-06D7-49E2-BC8E-7ED6F4D8CDAE}"/>
    <cellStyle name="PSHeading_sch-14-All" xfId="115" xr:uid="{1D47F2F5-2648-48E8-BE5B-1762DDE9C1F9}"/>
    <cellStyle name="PSInt" xfId="116" xr:uid="{63C491BF-DD67-4221-88D8-EAF9390BAF1F}"/>
    <cellStyle name="PSSpacer" xfId="117" xr:uid="{7FDDAD08-56AD-423C-8CCA-BDB22CBE7755}"/>
    <cellStyle name="PSSpacer 2" xfId="292" xr:uid="{6BD0D503-B8E3-422B-9994-A81A6D302B53}"/>
    <cellStyle name="SAPBEXaggData" xfId="118" xr:uid="{F7BC9039-5EEE-4536-8340-906EB12270F6}"/>
    <cellStyle name="SAPBEXaggDataEmph" xfId="119" xr:uid="{A6FAB611-9F58-4954-B122-9BB2D402A3E6}"/>
    <cellStyle name="SAPBEXaggItem" xfId="120" xr:uid="{215C2074-0EC2-4274-8312-B466594F1DC3}"/>
    <cellStyle name="SAPBEXaggItemX" xfId="121" xr:uid="{C3521879-9921-49C7-97D0-B982F254C6F9}"/>
    <cellStyle name="SAPBEXaggItemX 2" xfId="293" xr:uid="{69298EBC-96D5-4B69-9FC9-45B6409793E6}"/>
    <cellStyle name="SAPBEXchaText" xfId="122" xr:uid="{62CC8831-1E57-41D2-87DA-E8C2CB97E41F}"/>
    <cellStyle name="SAPBEXexcBad7" xfId="123" xr:uid="{6EDE349B-71FE-4DF5-B5E7-570A5CAF3A9E}"/>
    <cellStyle name="SAPBEXexcBad8" xfId="124" xr:uid="{1C2F91A7-E9A3-4089-8C66-808224460252}"/>
    <cellStyle name="SAPBEXexcBad9" xfId="125" xr:uid="{3B2482FF-A509-4DB7-8B3F-E091F97F6434}"/>
    <cellStyle name="SAPBEXexcCritical4" xfId="126" xr:uid="{8CE0E710-4DDD-43A1-93F8-F4F3EE55D3E8}"/>
    <cellStyle name="SAPBEXexcCritical5" xfId="127" xr:uid="{EC5024D1-7E19-4FAF-AB25-80A50714A1E1}"/>
    <cellStyle name="SAPBEXexcCritical6" xfId="128" xr:uid="{00F27A1E-F1C1-414C-A77A-050286688809}"/>
    <cellStyle name="SAPBEXexcGood1" xfId="129" xr:uid="{034F75AD-D369-4358-8B31-1189508071E6}"/>
    <cellStyle name="SAPBEXexcGood2" xfId="130" xr:uid="{87BC8E98-2D04-4CE3-BF4D-F65F532395B5}"/>
    <cellStyle name="SAPBEXexcGood3" xfId="131" xr:uid="{7601B78A-8472-479D-89CC-9664A407CE38}"/>
    <cellStyle name="SAPBEXfilterDrill" xfId="132" xr:uid="{3D410681-D93C-4026-8BA6-4784DD44509D}"/>
    <cellStyle name="SAPBEXfilterItem" xfId="133" xr:uid="{B119A970-B83D-496E-9A7D-BE02C3BF8485}"/>
    <cellStyle name="SAPBEXfilterText" xfId="134" xr:uid="{1213A8A3-43E8-400D-A0FD-2E11C71C3F55}"/>
    <cellStyle name="SAPBEXformats" xfId="135" xr:uid="{B6098B81-4606-4300-B69C-0BDA72DFBE6A}"/>
    <cellStyle name="SAPBEXheaderItem" xfId="136" xr:uid="{0BD3F51D-ADDE-4C6B-9F4D-747790331D78}"/>
    <cellStyle name="SAPBEXheaderItem 2" xfId="137" xr:uid="{5C36F9DD-0259-4943-9451-7EDE58588A2E}"/>
    <cellStyle name="SAPBEXheaderItem_#49 103-RA-0312-BA 0000M1001" xfId="138" xr:uid="{38965150-47DD-4468-BDA4-B94549434C2F}"/>
    <cellStyle name="SAPBEXheaderText" xfId="139" xr:uid="{26DBFCC5-7AD2-42C1-85B9-525AFFAB99AA}"/>
    <cellStyle name="SAPBEXheaderText 2" xfId="140" xr:uid="{F000F4EF-2C59-46BC-927E-A5EAD2E3C301}"/>
    <cellStyle name="SAPBEXheaderText_#49 103-RA-0312-BA 0000M1001" xfId="141" xr:uid="{3A66272D-9070-46B5-94FF-788183A49F19}"/>
    <cellStyle name="SAPBEXHLevel0" xfId="142" xr:uid="{B6B34D1E-2C87-4FE6-96F2-949024DA9541}"/>
    <cellStyle name="SAPBEXHLevel0 2" xfId="294" xr:uid="{511F01C8-BF82-4B41-BAB7-08D85D46E70C}"/>
    <cellStyle name="SAPBEXHLevel0 2 2" xfId="419" xr:uid="{E9F47DCA-F6B4-44C7-A905-4FB8DB50C47A}"/>
    <cellStyle name="SAPBEXHLevel0 3" xfId="372" xr:uid="{1C2490E1-E2AF-4080-9D9B-C651EE2AF984}"/>
    <cellStyle name="SAPBEXHLevel0X" xfId="143" xr:uid="{1BAF40ED-90A5-41E0-9102-3D98D197536E}"/>
    <cellStyle name="SAPBEXHLevel0X 2" xfId="295" xr:uid="{CCDE5D5E-961D-41E0-9441-D070901638F1}"/>
    <cellStyle name="SAPBEXHLevel0X 2 2" xfId="420" xr:uid="{22C32638-94A7-4985-AC9E-C1950B8FD3E8}"/>
    <cellStyle name="SAPBEXHLevel0X 3" xfId="373" xr:uid="{6AAB8F8A-A7FD-4059-A002-AAF49FEDBC3F}"/>
    <cellStyle name="SAPBEXHLevel1" xfId="144" xr:uid="{65A14D9D-0023-40EA-B5D9-7A705F25E297}"/>
    <cellStyle name="SAPBEXHLevel1 2" xfId="296" xr:uid="{843BF7B0-7079-4F33-AFF3-0C62B261B514}"/>
    <cellStyle name="SAPBEXHLevel1 2 2" xfId="421" xr:uid="{6314DFC3-2795-449A-842A-D1F81D0A5A20}"/>
    <cellStyle name="SAPBEXHLevel1 3" xfId="374" xr:uid="{55D7A389-451C-4C3B-8E64-186401FD57A5}"/>
    <cellStyle name="SAPBEXHLevel1X" xfId="145" xr:uid="{25E9D437-302D-48E4-92AA-48829E1E55FA}"/>
    <cellStyle name="SAPBEXHLevel1X 2" xfId="297" xr:uid="{2CDE14E9-3ED2-422C-95C3-DFEF958D687A}"/>
    <cellStyle name="SAPBEXHLevel1X 2 2" xfId="422" xr:uid="{7B60B5E0-F8F1-4F3E-ADAC-8928E3C454D5}"/>
    <cellStyle name="SAPBEXHLevel1X 3" xfId="375" xr:uid="{4D78B38C-D99B-4F92-80D2-9E886766F7FC}"/>
    <cellStyle name="SAPBEXHLevel2" xfId="146" xr:uid="{0118BB2B-FBF9-4E19-82C0-E78676E34F0E}"/>
    <cellStyle name="SAPBEXHLevel2 2" xfId="298" xr:uid="{FF14A63B-125B-4773-BE21-A70ED18C8916}"/>
    <cellStyle name="SAPBEXHLevel2 2 2" xfId="423" xr:uid="{F2ED73C1-702B-485F-9638-B3A44A67ADA1}"/>
    <cellStyle name="SAPBEXHLevel2 3" xfId="376" xr:uid="{605F7A5F-19A3-465C-8AED-3E4D152ABA73}"/>
    <cellStyle name="SAPBEXHLevel2X" xfId="147" xr:uid="{3FD4C22B-60E5-4091-81C7-6D0047FA96E4}"/>
    <cellStyle name="SAPBEXHLevel2X 2" xfId="299" xr:uid="{DECA3CE2-2A93-4C7A-B536-68D4CB7C9426}"/>
    <cellStyle name="SAPBEXHLevel2X 2 2" xfId="424" xr:uid="{D80D2DA4-3FC9-4BA6-B06D-7E87C811AEC8}"/>
    <cellStyle name="SAPBEXHLevel2X 3" xfId="377" xr:uid="{CE85DB2A-A618-40CB-846F-E12C1F223960}"/>
    <cellStyle name="SAPBEXHLevel3" xfId="148" xr:uid="{DBC04DEC-13E3-466B-9D7D-8618747B2F07}"/>
    <cellStyle name="SAPBEXHLevel3 2" xfId="300" xr:uid="{9A151910-2041-49B6-954C-1FCC4D397E7E}"/>
    <cellStyle name="SAPBEXHLevel3 2 2" xfId="425" xr:uid="{DA954C6A-9482-4641-BB28-5AC962C86E9A}"/>
    <cellStyle name="SAPBEXHLevel3 3" xfId="378" xr:uid="{EDC056BA-6532-4ADE-9E16-EF568E0ECA88}"/>
    <cellStyle name="SAPBEXHLevel3X" xfId="149" xr:uid="{1393D2DE-38D1-4B04-938D-EE7D20D03970}"/>
    <cellStyle name="SAPBEXHLevel3X 2" xfId="301" xr:uid="{50F00DAC-645B-4795-88B3-3C9DACF44E9E}"/>
    <cellStyle name="SAPBEXHLevel3X 2 2" xfId="426" xr:uid="{B8ED2673-AFE6-48F4-B086-7C1AD17E170B}"/>
    <cellStyle name="SAPBEXHLevel3X 3" xfId="379" xr:uid="{055B497C-CE5A-4485-96EE-15AA8706DB36}"/>
    <cellStyle name="SAPBEXresData" xfId="150" xr:uid="{6B8A58AF-5909-4C43-95B6-612CF92664B6}"/>
    <cellStyle name="SAPBEXresDataEmph" xfId="151" xr:uid="{A8FF624F-008C-4199-A8B3-9196AF4C7EFA}"/>
    <cellStyle name="SAPBEXresItem" xfId="152" xr:uid="{33BCAF55-B5B9-4766-826E-3573848AB364}"/>
    <cellStyle name="SAPBEXresItemX" xfId="153" xr:uid="{D6470F09-513B-4CB7-89AD-728A89A97151}"/>
    <cellStyle name="SAPBEXresItemX 2" xfId="302" xr:uid="{7E7BB080-6D9D-4676-89CF-033696E46D98}"/>
    <cellStyle name="SAPBEXstdData" xfId="154" xr:uid="{51CE8C16-D50C-4EE1-974B-B7B9A20330BA}"/>
    <cellStyle name="SAPBEXstdDataEmph" xfId="155" xr:uid="{B35D6716-D3BE-4757-BB64-BD0819BBD9CC}"/>
    <cellStyle name="SAPBEXstdItem" xfId="156" xr:uid="{143F64A4-B6D3-4EBC-B93E-E851F724010D}"/>
    <cellStyle name="SAPBEXstdItemX" xfId="157" xr:uid="{D2845992-4A45-48F8-85D3-100B347EFAB0}"/>
    <cellStyle name="SAPBEXstdItemX 2" xfId="303" xr:uid="{7C202F07-C8AD-4BE4-84A1-EE642409FCE6}"/>
    <cellStyle name="SAPBEXtitle" xfId="158" xr:uid="{6FA367F0-66E2-43FD-AAE1-067FD9B201E8}"/>
    <cellStyle name="SAPBEXundefined" xfId="159" xr:uid="{B873B8A7-E2CC-416E-BA1A-DFC2F3451338}"/>
    <cellStyle name="SAPError" xfId="160" xr:uid="{81378056-53E4-4E8D-BE50-2219B6F66DFA}"/>
    <cellStyle name="SAPError 2" xfId="304" xr:uid="{5CD80AF9-E8CF-4A7D-AE16-322D1DF630F5}"/>
    <cellStyle name="SAPError 2 2" xfId="427" xr:uid="{8CF58B53-44F2-458F-8908-0B5DD53BE0E3}"/>
    <cellStyle name="SAPError 3" xfId="380" xr:uid="{D2E51B4F-DE7D-46BD-80E1-7E38AE3C1392}"/>
    <cellStyle name="SAPKey" xfId="161" xr:uid="{CA618E52-1EAE-45DC-BFA0-3F2EC280A1A7}"/>
    <cellStyle name="SAPKey 2" xfId="305" xr:uid="{585489A8-8133-4CE5-869C-81367A72F15A}"/>
    <cellStyle name="SAPKey 2 2" xfId="428" xr:uid="{DFDF379A-409E-469F-B433-6D67AFB29496}"/>
    <cellStyle name="SAPKey 3" xfId="381" xr:uid="{8BDBC533-7F3A-44BD-96BB-F764A042DDF8}"/>
    <cellStyle name="SAPLocked" xfId="162" xr:uid="{5FDB8527-7132-4328-B983-9DBF76BE2F61}"/>
    <cellStyle name="SAPLocked 2" xfId="306" xr:uid="{622170E0-AA92-4F83-9738-64A24609580A}"/>
    <cellStyle name="SAPLocked 2 2" xfId="429" xr:uid="{B0725B2A-782B-4BDF-A25F-1DB7417FE924}"/>
    <cellStyle name="SAPLocked 3" xfId="382" xr:uid="{348EE8CA-2BC6-415D-B5FA-7101CD295EEC}"/>
    <cellStyle name="SAPOutput" xfId="163" xr:uid="{2E1F76B4-AD04-419C-B9AD-119B4F51D5A4}"/>
    <cellStyle name="SAPOutput 2" xfId="444" xr:uid="{B6D5514D-E066-468E-A7E6-1C79641469BA}"/>
    <cellStyle name="SAPSpace" xfId="164" xr:uid="{322181F5-1B7A-4122-96C5-BCFDF0481DFD}"/>
    <cellStyle name="SAPSpace 2" xfId="308" xr:uid="{33C7D45A-1106-417E-8E68-2D21D5F31AE7}"/>
    <cellStyle name="SAPSpace 2 2" xfId="431" xr:uid="{32610122-BBC9-4C66-9669-ABD97C487737}"/>
    <cellStyle name="SAPSpace 3" xfId="383" xr:uid="{C6831D2A-0E7B-4412-9CFF-48DD1354204A}"/>
    <cellStyle name="SAPText" xfId="165" xr:uid="{5BCEC344-FB6E-49EF-B7D7-611AB5B9550E}"/>
    <cellStyle name="SAPText 2" xfId="309" xr:uid="{812C5579-FC36-44A8-AA45-36D2C2207D32}"/>
    <cellStyle name="SAPText 2 2" xfId="432" xr:uid="{4379F648-118E-412A-8146-F39D387EB64E}"/>
    <cellStyle name="SAPText 3" xfId="384" xr:uid="{9AC5A865-FC12-4E91-B831-7D896C1715EB}"/>
    <cellStyle name="SAPUnLocked" xfId="166" xr:uid="{289A634D-A85A-4EC8-BC7F-84EE3D22F262}"/>
    <cellStyle name="SAPUnLocked 2" xfId="354" xr:uid="{5339129F-48CC-4B7F-9DF0-2A83321E6028}"/>
    <cellStyle name="SAPUnLocked 2 2" xfId="604" xr:uid="{7F2DDA9A-F7E9-411A-955C-8D4B02977083}"/>
    <cellStyle name="SAPUnLocked 2 3" xfId="441" xr:uid="{DE48EEF0-3622-4A36-A685-8479E2492200}"/>
    <cellStyle name="Satisfaisant" xfId="167" xr:uid="{080F46CB-C1DC-470E-B332-2C2B4F64DA32}"/>
    <cellStyle name="Satisfaisant 2" xfId="310" xr:uid="{E0EDC4CE-A18C-436D-BBD3-2E431785A001}"/>
    <cellStyle name="Satisfaisant 3" xfId="385" xr:uid="{85A98DCC-7796-4571-839C-C4A593335F6E}"/>
    <cellStyle name="SEM-BPS-data" xfId="168" xr:uid="{0AD28792-2663-4EDF-8C43-F07270A8EEAE}"/>
    <cellStyle name="SEM-BPS-data 2" xfId="311" xr:uid="{71597F4F-A652-4C2B-8414-83055DA53622}"/>
    <cellStyle name="SEM-BPS-head" xfId="169" xr:uid="{E1625FE1-E47B-4EB0-8462-596AC0E4BD61}"/>
    <cellStyle name="SEM-BPS-head 2" xfId="312" xr:uid="{410AD839-70CB-40BD-97AF-DF9295997652}"/>
    <cellStyle name="SEM-BPS-headdata" xfId="170" xr:uid="{CA835B06-85F3-447D-BF43-E3705883E604}"/>
    <cellStyle name="SEM-BPS-headdata 2" xfId="313" xr:uid="{D8ADC9C5-E0FB-4D43-8C9C-A9216D8407CE}"/>
    <cellStyle name="SEM-BPS-headkey" xfId="171" xr:uid="{82222818-9A4E-46A4-B32F-56D8BB801BA1}"/>
    <cellStyle name="SEM-BPS-headkey 2" xfId="314" xr:uid="{3F8C7763-AD3C-4652-ABD1-2B6BBB32D354}"/>
    <cellStyle name="SEM-BPS-input-on" xfId="172" xr:uid="{17B81EEC-6D3F-4A09-A8FD-F86E87ACA17A}"/>
    <cellStyle name="SEM-BPS-input-on 2" xfId="315" xr:uid="{2BCD6545-352E-46EB-B505-72D81AB3AD00}"/>
    <cellStyle name="SEM-BPS-key" xfId="173" xr:uid="{DD257BB6-8578-46FE-96FB-3CBE7E2E126E}"/>
    <cellStyle name="SEM-BPS-key 2" xfId="316" xr:uid="{CD69B461-EDB8-4103-A4A0-01EF5CAD69AF}"/>
    <cellStyle name="SHItems" xfId="174" xr:uid="{7A9AA6A7-2114-413D-A984-B69F2EB85A33}"/>
    <cellStyle name="SHItems 2" xfId="317" xr:uid="{7EA5CCDE-13FE-4A1D-AC90-C52695E0547E}"/>
    <cellStyle name="SHQuadro" xfId="175" xr:uid="{32DC7D0F-9E13-4CE3-901C-B42A1BE5AD37}"/>
    <cellStyle name="SHQuadro 2" xfId="318" xr:uid="{0757E9B0-8CA8-470C-80A9-D87A81BC877D}"/>
    <cellStyle name="Sortie" xfId="176" xr:uid="{E3EB73D2-2E82-4723-8D61-C887FBC2029E}"/>
    <cellStyle name="Sortie 2" xfId="319" xr:uid="{23544984-B9A2-4BED-AECA-9C06EF92B3FB}"/>
    <cellStyle name="Sortie 3" xfId="386" xr:uid="{1B82BCD5-D4E7-4425-9DB3-DA2A7FCA17AC}"/>
    <cellStyle name="Standaard_- Rel. source" xfId="177" xr:uid="{571DC45F-F060-4344-A435-8F1464C80574}"/>
    <cellStyle name="Standard_16" xfId="178" xr:uid="{52C89BB7-DAE3-4EA9-B2A3-F27E855BBC3E}"/>
    <cellStyle name="Style 1" xfId="179" xr:uid="{2F3681AC-D98D-4D1E-B006-29717A70A318}"/>
    <cellStyle name="Style 1 2" xfId="320" xr:uid="{0EEDB957-4224-499F-9129-921796D519BB}"/>
    <cellStyle name="Style 1 2 2" xfId="433" xr:uid="{FCA47BAC-2398-4A8B-98FA-D04E3864B8A1}"/>
    <cellStyle name="Style 1 3" xfId="387" xr:uid="{5F3C8F97-C8FB-49FE-8C36-ABE87F570242}"/>
    <cellStyle name="Texte explicatif" xfId="180" xr:uid="{BB2F84A1-0E05-446A-9F20-D62EF487FE03}"/>
    <cellStyle name="Texte explicatif 2" xfId="321" xr:uid="{F7AFA010-D884-45F7-8BE1-6A472085A3CD}"/>
    <cellStyle name="Texte explicatif 3" xfId="388" xr:uid="{BA8236CE-7956-4F6B-A458-9B607BFAD660}"/>
    <cellStyle name="Title 2" xfId="322" xr:uid="{6FF89235-A516-475E-8DCB-B9F34F3CB623}"/>
    <cellStyle name="Title 3" xfId="355" xr:uid="{4113CC58-62A6-4FDD-9D4C-05AFFFD732B3}"/>
    <cellStyle name="Title 4" xfId="181" xr:uid="{9B915D5E-162A-4915-A05E-38FDE0DDDDBC}"/>
    <cellStyle name="TITRE" xfId="182" xr:uid="{89EC6A3F-314B-4967-B4FD-B20B5A9B221F}"/>
    <cellStyle name="TITRE 2" xfId="323" xr:uid="{9A66CDE9-1298-432A-9132-08738C7470A6}"/>
    <cellStyle name="Titre 3" xfId="389" xr:uid="{866672D1-2DB1-4F6F-83FE-EB5E74EA5A56}"/>
    <cellStyle name="Titre 4" xfId="410" xr:uid="{4043B7DB-AABA-4423-A3DD-CC7C1C74A757}"/>
    <cellStyle name="Titre 5" xfId="635" xr:uid="{4EFC198B-6C0E-4E93-A78A-C555CA028383}"/>
    <cellStyle name="Titre 1" xfId="183" xr:uid="{6A3F5A45-8585-49BA-9250-3C038171FD6E}"/>
    <cellStyle name="Titre 1 2" xfId="324" xr:uid="{92513DFB-BE5D-4936-9CA6-033FFB2EED88}"/>
    <cellStyle name="Titre 1 3" xfId="390" xr:uid="{9AE92BCC-1D4F-442A-98BB-EE9295297371}"/>
    <cellStyle name="Titre 2" xfId="184" xr:uid="{0EA54AC8-26A2-4948-9ABF-12B41B3DC6CB}"/>
    <cellStyle name="Titre 2 2" xfId="325" xr:uid="{78C789AC-5B3E-41CA-81BC-55EA78F734C1}"/>
    <cellStyle name="Titre 2 3" xfId="391" xr:uid="{97E26D1D-1B90-49E1-952F-83BACE1DFC5C}"/>
    <cellStyle name="Titre 3" xfId="185" xr:uid="{69270833-1E18-43BE-A5C8-EBC42F2D7645}"/>
    <cellStyle name="Titre 3 2" xfId="326" xr:uid="{5F058419-412E-4CC6-9312-87B8FDEF583C}"/>
    <cellStyle name="Titre 3 3" xfId="392" xr:uid="{F36DA8C8-6FC2-462D-8A82-D82E8A3C7C9A}"/>
    <cellStyle name="Titre 4" xfId="186" xr:uid="{F0194D1F-A8C9-4201-B8EA-8AB453C09C2C}"/>
    <cellStyle name="Titre 4 2" xfId="327" xr:uid="{BD19A26E-39A4-4DE1-A2E1-7D66EAFAA396}"/>
    <cellStyle name="Titre 4 3" xfId="393" xr:uid="{93247716-B517-4589-B2E2-3425B9E3E91C}"/>
    <cellStyle name="TITRE_Sch.12 - M3000" xfId="187" xr:uid="{D523083D-50CD-404B-A7EE-B583649AD17C}"/>
    <cellStyle name="Total 2" xfId="328" xr:uid="{20C63A66-5CE4-453E-9454-5EFFF32F57A8}"/>
    <cellStyle name="Total 3" xfId="188" xr:uid="{F354BBF1-AEA6-4910-84AE-DC5AC8E7EB38}"/>
    <cellStyle name="Valuta [0]_CM_DATA_TRAXIS" xfId="189" xr:uid="{35B58BCD-657E-4927-A6E7-ADF38564AD42}"/>
    <cellStyle name="Valuta_CM_DATA_TRAXIS" xfId="190" xr:uid="{A34007E0-2A14-4D01-98F5-2F784170614D}"/>
    <cellStyle name="Vérification" xfId="191" xr:uid="{6E84B35A-D805-4BC3-A5CC-780D029B645F}"/>
    <cellStyle name="Vérification 2" xfId="329" xr:uid="{5F7DE180-F05C-4D62-803E-6F49F0377746}"/>
    <cellStyle name="Vérification 3" xfId="394" xr:uid="{9660A33F-F2B4-4E7C-9E0B-9119AF2530DA}"/>
    <cellStyle name="Währung [0]_ANLAG_SP" xfId="192" xr:uid="{FF420E9D-1E79-4606-995D-F745D508D151}"/>
    <cellStyle name="Währung_ANLAG_SP" xfId="193" xr:uid="{32C231B5-D9B3-4B2A-9704-79D547B8F304}"/>
    <cellStyle name="Warning Text 2" xfId="336" xr:uid="{7820BAA1-891B-472B-B315-5CC47AD60974}"/>
    <cellStyle name="Warning Text 3" xfId="194" xr:uid="{80B8BF2E-EE9F-403F-AABF-20BB5AC5FF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22860</xdr:colOff>
      <xdr:row>0</xdr:row>
      <xdr:rowOff>7620</xdr:rowOff>
    </xdr:from>
    <xdr:to>
      <xdr:col>13</xdr:col>
      <xdr:colOff>22860</xdr:colOff>
      <xdr:row>54</xdr:row>
      <xdr:rowOff>106680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D8075A12-643F-414C-626D-0798FC839813}"/>
            </a:ext>
          </a:extLst>
        </xdr:cNvPr>
        <xdr:cNvCxnSpPr/>
      </xdr:nvCxnSpPr>
      <xdr:spPr>
        <a:xfrm>
          <a:off x="8435340" y="7620"/>
          <a:ext cx="0" cy="99745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30480</xdr:colOff>
      <xdr:row>0</xdr:row>
      <xdr:rowOff>7620</xdr:rowOff>
    </xdr:from>
    <xdr:to>
      <xdr:col>21</xdr:col>
      <xdr:colOff>30480</xdr:colOff>
      <xdr:row>54</xdr:row>
      <xdr:rowOff>106680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561F0779-BD9B-4247-B41F-33CAF2F18BDA}"/>
            </a:ext>
          </a:extLst>
        </xdr:cNvPr>
        <xdr:cNvCxnSpPr/>
      </xdr:nvCxnSpPr>
      <xdr:spPr>
        <a:xfrm>
          <a:off x="13319760" y="7620"/>
          <a:ext cx="0" cy="99745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E10EC-689A-4374-B136-FA4060CA2AA7}">
  <dimension ref="B2:G13"/>
  <sheetViews>
    <sheetView workbookViewId="0">
      <selection activeCell="D3" sqref="D3"/>
    </sheetView>
  </sheetViews>
  <sheetFormatPr defaultRowHeight="14.4"/>
  <cols>
    <col min="1" max="4" width="8.88671875" style="1"/>
    <col min="5" max="5" width="11.88671875" style="3" bestFit="1" customWidth="1"/>
    <col min="6" max="7" width="11.21875" style="3" bestFit="1" customWidth="1"/>
    <col min="8" max="16384" width="8.88671875" style="1"/>
  </cols>
  <sheetData>
    <row r="2" spans="2:7">
      <c r="E2" s="3" t="s">
        <v>8</v>
      </c>
      <c r="F2" s="3" t="s">
        <v>9</v>
      </c>
      <c r="G2" s="3" t="s">
        <v>10</v>
      </c>
    </row>
    <row r="3" spans="2:7">
      <c r="B3" s="2" t="s">
        <v>0</v>
      </c>
      <c r="C3" s="1" t="s">
        <v>1</v>
      </c>
      <c r="D3" s="5">
        <f>D12*D13</f>
        <v>162.50479999999999</v>
      </c>
      <c r="E3" s="4">
        <v>45988</v>
      </c>
      <c r="F3" s="4">
        <f ca="1">TODAY()</f>
        <v>45988</v>
      </c>
      <c r="G3" s="4">
        <v>46065</v>
      </c>
    </row>
    <row r="4" spans="2:7">
      <c r="C4" s="1" t="s">
        <v>2</v>
      </c>
      <c r="D4" s="6">
        <f>99.2</f>
        <v>99.2</v>
      </c>
      <c r="E4" s="3" t="s">
        <v>36</v>
      </c>
    </row>
    <row r="5" spans="2:7">
      <c r="C5" s="1" t="s">
        <v>3</v>
      </c>
      <c r="D5" s="6">
        <f>D3*D4</f>
        <v>16120.47616</v>
      </c>
    </row>
    <row r="6" spans="2:7">
      <c r="C6" s="1" t="s">
        <v>4</v>
      </c>
      <c r="D6" s="6">
        <f>1182</f>
        <v>1182</v>
      </c>
      <c r="E6" s="3" t="s">
        <v>36</v>
      </c>
    </row>
    <row r="7" spans="2:7">
      <c r="C7" s="1" t="s">
        <v>5</v>
      </c>
      <c r="D7" s="6">
        <f>250+5253</f>
        <v>5503</v>
      </c>
      <c r="E7" s="3" t="s">
        <v>36</v>
      </c>
    </row>
    <row r="8" spans="2:7">
      <c r="C8" s="1" t="s">
        <v>6</v>
      </c>
      <c r="D8" s="6">
        <f>D6-D7</f>
        <v>-4321</v>
      </c>
    </row>
    <row r="9" spans="2:7">
      <c r="C9" s="1" t="s">
        <v>7</v>
      </c>
      <c r="D9" s="6">
        <f>D5-D8</f>
        <v>20441.476159999998</v>
      </c>
    </row>
    <row r="12" spans="2:7">
      <c r="C12" s="1" t="s">
        <v>68</v>
      </c>
      <c r="D12" s="1">
        <v>228.88</v>
      </c>
    </row>
    <row r="13" spans="2:7">
      <c r="C13" s="1" t="s">
        <v>67</v>
      </c>
      <c r="D13" s="1">
        <v>0.71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72C2C-CAC0-4237-B51D-27B3C5E485D0}">
  <dimension ref="A2:EI44"/>
  <sheetViews>
    <sheetView tabSelected="1" workbookViewId="0">
      <pane xSplit="2" ySplit="2" topLeftCell="T24" activePane="bottomRight" state="frozen"/>
      <selection pane="topRight" activeCell="C1" sqref="C1"/>
      <selection pane="bottomLeft" activeCell="A3" sqref="A3"/>
      <selection pane="bottomRight" activeCell="AC43" sqref="AC43"/>
    </sheetView>
  </sheetViews>
  <sheetFormatPr defaultRowHeight="14.4"/>
  <cols>
    <col min="1" max="1" width="8.88671875" style="1"/>
    <col min="2" max="2" width="16" style="1" bestFit="1" customWidth="1"/>
    <col min="3" max="33" width="8.88671875" style="1"/>
    <col min="34" max="34" width="12" style="1" bestFit="1" customWidth="1"/>
    <col min="35" max="35" width="16.44140625" style="1" bestFit="1" customWidth="1"/>
    <col min="36" max="16384" width="8.88671875" style="1"/>
  </cols>
  <sheetData>
    <row r="2" spans="1:32">
      <c r="C2" s="12" t="s">
        <v>27</v>
      </c>
      <c r="D2" s="12" t="s">
        <v>28</v>
      </c>
      <c r="E2" s="12" t="s">
        <v>29</v>
      </c>
      <c r="F2" s="12" t="s">
        <v>30</v>
      </c>
      <c r="G2" s="12" t="s">
        <v>31</v>
      </c>
      <c r="H2" s="12" t="s">
        <v>32</v>
      </c>
      <c r="I2" s="12" t="s">
        <v>33</v>
      </c>
      <c r="J2" s="12" t="s">
        <v>34</v>
      </c>
      <c r="K2" s="12" t="s">
        <v>35</v>
      </c>
      <c r="L2" s="12" t="s">
        <v>11</v>
      </c>
      <c r="M2" s="12" t="s">
        <v>36</v>
      </c>
      <c r="N2" s="12" t="s">
        <v>37</v>
      </c>
      <c r="P2" s="1">
        <v>2019</v>
      </c>
      <c r="Q2" s="1">
        <v>2020</v>
      </c>
      <c r="R2" s="1">
        <v>2021</v>
      </c>
      <c r="S2" s="1">
        <v>2022</v>
      </c>
      <c r="T2" s="1">
        <v>2023</v>
      </c>
      <c r="U2" s="1">
        <v>2024</v>
      </c>
      <c r="V2" s="1">
        <v>2025</v>
      </c>
      <c r="W2" s="1">
        <v>2026</v>
      </c>
      <c r="X2" s="1">
        <v>2027</v>
      </c>
      <c r="Y2" s="1">
        <v>2028</v>
      </c>
      <c r="Z2" s="1">
        <v>2029</v>
      </c>
      <c r="AA2" s="1">
        <v>2030</v>
      </c>
      <c r="AB2" s="1">
        <v>2031</v>
      </c>
      <c r="AC2" s="1">
        <v>2032</v>
      </c>
      <c r="AD2" s="1">
        <v>2033</v>
      </c>
      <c r="AE2" s="1">
        <v>2034</v>
      </c>
      <c r="AF2" s="1">
        <v>2035</v>
      </c>
    </row>
    <row r="3" spans="1:32" s="6" customFormat="1">
      <c r="A3" s="1"/>
      <c r="B3" s="1" t="s">
        <v>52</v>
      </c>
      <c r="C3" s="18"/>
      <c r="D3" s="18"/>
      <c r="E3" s="18"/>
      <c r="F3" s="18">
        <v>14200</v>
      </c>
      <c r="G3" s="18"/>
      <c r="H3" s="18"/>
      <c r="I3" s="18">
        <v>14700</v>
      </c>
      <c r="J3" s="18">
        <v>14400</v>
      </c>
      <c r="K3" s="18">
        <v>14200</v>
      </c>
      <c r="L3" s="18">
        <v>16100</v>
      </c>
      <c r="M3" s="18">
        <v>16600</v>
      </c>
      <c r="N3" s="13">
        <v>16600</v>
      </c>
      <c r="T3" s="18">
        <v>14200</v>
      </c>
      <c r="U3" s="6">
        <v>14400</v>
      </c>
      <c r="V3" s="18">
        <v>16600</v>
      </c>
    </row>
    <row r="4" spans="1:32"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</row>
    <row r="5" spans="1:32">
      <c r="B5" s="1" t="s">
        <v>39</v>
      </c>
      <c r="C5" s="18"/>
      <c r="D5" s="18"/>
      <c r="E5" s="18">
        <v>1433</v>
      </c>
      <c r="F5" s="18">
        <v>2571</v>
      </c>
      <c r="G5" s="18">
        <v>795</v>
      </c>
      <c r="H5" s="18">
        <v>1685</v>
      </c>
      <c r="I5" s="18">
        <v>1525</v>
      </c>
      <c r="J5" s="18">
        <v>2575</v>
      </c>
      <c r="K5" s="18">
        <v>1022</v>
      </c>
      <c r="L5" s="18">
        <v>1430</v>
      </c>
      <c r="M5" s="18">
        <v>1711</v>
      </c>
      <c r="N5" s="18">
        <f>J5*1.2</f>
        <v>3090</v>
      </c>
      <c r="U5" s="18">
        <f>SUM(G5:J5)</f>
        <v>6580</v>
      </c>
      <c r="V5" s="18">
        <f>SUM(K5:N5)</f>
        <v>7253</v>
      </c>
      <c r="W5" s="6">
        <f>V5*1.14</f>
        <v>8268.42</v>
      </c>
      <c r="X5" s="6">
        <f>W5*1.07</f>
        <v>8847.2093999999997</v>
      </c>
      <c r="Y5" s="6">
        <f>X5*1.04</f>
        <v>9201.0977760000005</v>
      </c>
      <c r="Z5" s="6">
        <f>Y5*1.03</f>
        <v>9477.1307092800016</v>
      </c>
      <c r="AA5" s="6">
        <f t="shared" ref="AA5:AF6" si="0">Z5*1.03</f>
        <v>9761.4446305584024</v>
      </c>
      <c r="AB5" s="6">
        <f t="shared" si="0"/>
        <v>10054.287969475155</v>
      </c>
      <c r="AC5" s="6">
        <f t="shared" si="0"/>
        <v>10355.91660855941</v>
      </c>
      <c r="AD5" s="6">
        <f t="shared" si="0"/>
        <v>10666.594106816192</v>
      </c>
      <c r="AE5" s="6">
        <f t="shared" si="0"/>
        <v>10986.591930020679</v>
      </c>
      <c r="AF5" s="6">
        <f t="shared" si="0"/>
        <v>11316.1896879213</v>
      </c>
    </row>
    <row r="6" spans="1:32">
      <c r="B6" s="1" t="s">
        <v>40</v>
      </c>
      <c r="C6" s="18"/>
      <c r="D6" s="18"/>
      <c r="E6" s="18">
        <v>414</v>
      </c>
      <c r="F6" s="18">
        <v>482</v>
      </c>
      <c r="G6" s="18">
        <v>477</v>
      </c>
      <c r="H6" s="18">
        <v>507</v>
      </c>
      <c r="I6" s="18">
        <v>528</v>
      </c>
      <c r="J6" s="18">
        <v>524</v>
      </c>
      <c r="K6" s="18">
        <v>495</v>
      </c>
      <c r="L6" s="18">
        <v>590</v>
      </c>
      <c r="M6" s="18">
        <v>590</v>
      </c>
      <c r="N6" s="18">
        <f>J6*1.12</f>
        <v>586.88000000000011</v>
      </c>
      <c r="U6" s="18">
        <f>SUM(G6:J6)</f>
        <v>2036</v>
      </c>
      <c r="V6" s="18">
        <f t="shared" ref="V6:V7" si="1">SUM(K6:N6)</f>
        <v>2261.88</v>
      </c>
      <c r="W6" s="6">
        <f>V6*1.1</f>
        <v>2488.0680000000002</v>
      </c>
      <c r="X6" s="6">
        <f>W6*1.07</f>
        <v>2662.2327600000003</v>
      </c>
      <c r="Y6" s="6">
        <f>X6*1.05</f>
        <v>2795.3443980000006</v>
      </c>
      <c r="Z6" s="6">
        <f>Y6*1.04</f>
        <v>2907.1581739200005</v>
      </c>
      <c r="AA6" s="6">
        <f>Z6*1.03</f>
        <v>2994.3729191376005</v>
      </c>
      <c r="AB6" s="6">
        <f t="shared" si="0"/>
        <v>3084.2041067117289</v>
      </c>
      <c r="AC6" s="6">
        <f t="shared" si="0"/>
        <v>3176.7302299130806</v>
      </c>
      <c r="AD6" s="6">
        <f t="shared" si="0"/>
        <v>3272.0321368104733</v>
      </c>
      <c r="AE6" s="6">
        <f t="shared" si="0"/>
        <v>3370.1931009147875</v>
      </c>
      <c r="AF6" s="6">
        <f t="shared" si="0"/>
        <v>3471.2988939422312</v>
      </c>
    </row>
    <row r="7" spans="1:32">
      <c r="B7" s="1" t="s">
        <v>41</v>
      </c>
      <c r="C7" s="18"/>
      <c r="D7" s="18"/>
      <c r="E7" s="18">
        <v>9</v>
      </c>
      <c r="F7" s="18">
        <v>9</v>
      </c>
      <c r="G7" s="18">
        <v>9</v>
      </c>
      <c r="H7" s="18">
        <v>11</v>
      </c>
      <c r="I7" s="18">
        <v>20</v>
      </c>
      <c r="J7" s="18">
        <v>9</v>
      </c>
      <c r="K7" s="18">
        <v>5</v>
      </c>
      <c r="L7" s="18">
        <v>8</v>
      </c>
      <c r="M7" s="12">
        <v>6</v>
      </c>
      <c r="N7" s="12">
        <v>10</v>
      </c>
      <c r="U7" s="18">
        <f>SUM(G7:J7)</f>
        <v>49</v>
      </c>
      <c r="V7" s="18">
        <f t="shared" si="1"/>
        <v>29</v>
      </c>
      <c r="W7" s="6">
        <f>V7*1.2</f>
        <v>34.799999999999997</v>
      </c>
      <c r="X7" s="6">
        <f t="shared" ref="X7:AF7" si="2">W7*1.2</f>
        <v>41.76</v>
      </c>
      <c r="Y7" s="6">
        <f t="shared" si="2"/>
        <v>50.111999999999995</v>
      </c>
      <c r="Z7" s="6">
        <f t="shared" si="2"/>
        <v>60.134399999999992</v>
      </c>
      <c r="AA7" s="6">
        <f t="shared" si="2"/>
        <v>72.161279999999991</v>
      </c>
      <c r="AB7" s="6">
        <f t="shared" si="2"/>
        <v>86.593535999999986</v>
      </c>
      <c r="AC7" s="6">
        <f t="shared" si="2"/>
        <v>103.91224319999998</v>
      </c>
      <c r="AD7" s="6">
        <f t="shared" si="2"/>
        <v>124.69469183999996</v>
      </c>
      <c r="AE7" s="6">
        <f t="shared" si="2"/>
        <v>149.63363020799994</v>
      </c>
      <c r="AF7" s="6">
        <f t="shared" si="2"/>
        <v>179.56035624959992</v>
      </c>
    </row>
    <row r="8" spans="1:32" s="2" customFormat="1">
      <c r="B8" s="2" t="s">
        <v>42</v>
      </c>
      <c r="E8" s="15">
        <f t="shared" ref="E8:N8" si="3">SUM(E5:E7)</f>
        <v>1856</v>
      </c>
      <c r="F8" s="15">
        <f t="shared" si="3"/>
        <v>3062</v>
      </c>
      <c r="G8" s="15">
        <f t="shared" si="3"/>
        <v>1281</v>
      </c>
      <c r="H8" s="15">
        <f t="shared" si="3"/>
        <v>2203</v>
      </c>
      <c r="I8" s="15">
        <f t="shared" si="3"/>
        <v>2073</v>
      </c>
      <c r="J8" s="15">
        <f t="shared" si="3"/>
        <v>3108</v>
      </c>
      <c r="K8" s="15">
        <f t="shared" si="3"/>
        <v>1522</v>
      </c>
      <c r="L8" s="15">
        <f t="shared" si="3"/>
        <v>2028</v>
      </c>
      <c r="M8" s="15">
        <f>SUM(M5:M7)</f>
        <v>2307</v>
      </c>
      <c r="N8" s="15">
        <f t="shared" si="3"/>
        <v>3686.88</v>
      </c>
      <c r="U8" s="15">
        <f>SUM(U5:U7)</f>
        <v>8665</v>
      </c>
      <c r="V8" s="15">
        <f>SUM(V5:V7)</f>
        <v>9543.880000000001</v>
      </c>
      <c r="W8" s="15">
        <f t="shared" ref="W8:AF8" si="4">SUM(W5:W7)</f>
        <v>10791.288</v>
      </c>
      <c r="X8" s="15">
        <f t="shared" si="4"/>
        <v>11551.202160000001</v>
      </c>
      <c r="Y8" s="15">
        <f t="shared" si="4"/>
        <v>12046.554174000001</v>
      </c>
      <c r="Z8" s="15">
        <f t="shared" si="4"/>
        <v>12444.423283200003</v>
      </c>
      <c r="AA8" s="15">
        <f t="shared" si="4"/>
        <v>12827.978829696003</v>
      </c>
      <c r="AB8" s="15">
        <f t="shared" si="4"/>
        <v>13225.085612186886</v>
      </c>
      <c r="AC8" s="15">
        <f t="shared" si="4"/>
        <v>13636.559081672491</v>
      </c>
      <c r="AD8" s="15">
        <f t="shared" si="4"/>
        <v>14063.320935466667</v>
      </c>
      <c r="AE8" s="15">
        <f t="shared" si="4"/>
        <v>14506.418661143465</v>
      </c>
      <c r="AF8" s="15">
        <f t="shared" si="4"/>
        <v>14967.04893811313</v>
      </c>
    </row>
    <row r="9" spans="1:32">
      <c r="B9" s="8" t="s">
        <v>14</v>
      </c>
      <c r="E9" s="19">
        <v>1473</v>
      </c>
      <c r="F9" s="19">
        <v>2480</v>
      </c>
      <c r="G9" s="19">
        <v>996</v>
      </c>
      <c r="H9" s="19">
        <v>1749</v>
      </c>
      <c r="I9" s="19">
        <v>1657</v>
      </c>
      <c r="J9" s="19">
        <v>2487</v>
      </c>
      <c r="K9" s="19">
        <v>1241</v>
      </c>
      <c r="L9" s="19">
        <v>1617</v>
      </c>
      <c r="M9" s="6">
        <v>1843</v>
      </c>
      <c r="N9" s="6">
        <f>N8-N10</f>
        <v>2949.5039999999999</v>
      </c>
      <c r="U9" s="18">
        <f>SUM(G9:J9)</f>
        <v>6889</v>
      </c>
      <c r="V9" s="18">
        <f>SUM(K9:N9)</f>
        <v>7650.5039999999999</v>
      </c>
      <c r="W9" s="6">
        <f>W8-W10</f>
        <v>8525.1175199999998</v>
      </c>
      <c r="X9" s="6">
        <f t="shared" ref="X9:AF9" si="5">X8-X10</f>
        <v>9125.4497064000007</v>
      </c>
      <c r="Y9" s="6">
        <f t="shared" si="5"/>
        <v>9516.7777974600012</v>
      </c>
      <c r="Z9" s="6">
        <f t="shared" si="5"/>
        <v>9831.0943937280026</v>
      </c>
      <c r="AA9" s="6">
        <f t="shared" si="5"/>
        <v>10134.103275459842</v>
      </c>
      <c r="AB9" s="6">
        <f t="shared" si="5"/>
        <v>10447.817633627639</v>
      </c>
      <c r="AC9" s="6">
        <f t="shared" si="5"/>
        <v>10772.881674521268</v>
      </c>
      <c r="AD9" s="6">
        <f t="shared" si="5"/>
        <v>11110.023539018668</v>
      </c>
      <c r="AE9" s="6">
        <f t="shared" si="5"/>
        <v>11460.070742303338</v>
      </c>
      <c r="AF9" s="6">
        <f t="shared" si="5"/>
        <v>11823.968661109373</v>
      </c>
    </row>
    <row r="10" spans="1:32" s="2" customFormat="1">
      <c r="B10" s="9" t="s">
        <v>38</v>
      </c>
      <c r="E10" s="15">
        <f t="shared" ref="E10:M10" si="6">E8-E9</f>
        <v>383</v>
      </c>
      <c r="F10" s="15">
        <f t="shared" si="6"/>
        <v>582</v>
      </c>
      <c r="G10" s="15">
        <f t="shared" si="6"/>
        <v>285</v>
      </c>
      <c r="H10" s="15">
        <f t="shared" si="6"/>
        <v>454</v>
      </c>
      <c r="I10" s="15">
        <f t="shared" si="6"/>
        <v>416</v>
      </c>
      <c r="J10" s="15">
        <f t="shared" si="6"/>
        <v>621</v>
      </c>
      <c r="K10" s="15">
        <f t="shared" si="6"/>
        <v>281</v>
      </c>
      <c r="L10" s="15">
        <f t="shared" si="6"/>
        <v>411</v>
      </c>
      <c r="M10" s="15">
        <f t="shared" si="6"/>
        <v>464</v>
      </c>
      <c r="N10" s="17">
        <f>N8*0.2</f>
        <v>737.37600000000009</v>
      </c>
      <c r="U10" s="15">
        <f>U8-U9</f>
        <v>1776</v>
      </c>
      <c r="V10" s="15">
        <f>V8-V9</f>
        <v>1893.3760000000011</v>
      </c>
      <c r="W10" s="17">
        <f>W8*0.21</f>
        <v>2266.1704800000002</v>
      </c>
      <c r="X10" s="17">
        <f t="shared" ref="X10:AF10" si="7">X8*0.21</f>
        <v>2425.7524536000001</v>
      </c>
      <c r="Y10" s="17">
        <f t="shared" si="7"/>
        <v>2529.77637654</v>
      </c>
      <c r="Z10" s="17">
        <f t="shared" si="7"/>
        <v>2613.3288894720008</v>
      </c>
      <c r="AA10" s="17">
        <f t="shared" si="7"/>
        <v>2693.8755542361605</v>
      </c>
      <c r="AB10" s="17">
        <f t="shared" si="7"/>
        <v>2777.2679785592459</v>
      </c>
      <c r="AC10" s="17">
        <f t="shared" si="7"/>
        <v>2863.6774071512227</v>
      </c>
      <c r="AD10" s="17">
        <f t="shared" si="7"/>
        <v>2953.2973964479997</v>
      </c>
      <c r="AE10" s="17">
        <f t="shared" si="7"/>
        <v>3046.3479188401275</v>
      </c>
      <c r="AF10" s="17">
        <f t="shared" si="7"/>
        <v>3143.0802770037571</v>
      </c>
    </row>
    <row r="11" spans="1:32">
      <c r="B11" s="8" t="s">
        <v>12</v>
      </c>
      <c r="E11" s="19">
        <v>103</v>
      </c>
      <c r="F11" s="19">
        <v>137</v>
      </c>
      <c r="G11" s="19">
        <v>109</v>
      </c>
      <c r="H11" s="19">
        <v>117</v>
      </c>
      <c r="I11" s="19">
        <v>117</v>
      </c>
      <c r="J11" s="19">
        <v>135</v>
      </c>
      <c r="K11" s="19">
        <v>98</v>
      </c>
      <c r="L11" s="19">
        <v>120</v>
      </c>
      <c r="M11" s="6">
        <v>124</v>
      </c>
      <c r="N11" s="6">
        <f>J11*1.03</f>
        <v>139.05000000000001</v>
      </c>
      <c r="U11" s="18">
        <f t="shared" ref="U11:U15" si="8">SUM(G11:J11)</f>
        <v>478</v>
      </c>
      <c r="V11" s="18">
        <f t="shared" ref="V11:V15" si="9">SUM(K11:N11)</f>
        <v>481.05</v>
      </c>
      <c r="W11" s="6">
        <f>V11*1.01</f>
        <v>485.8605</v>
      </c>
      <c r="X11" s="6">
        <f t="shared" ref="X11:Y11" si="10">W11*1.01</f>
        <v>490.71910500000001</v>
      </c>
      <c r="Y11" s="6">
        <f t="shared" si="10"/>
        <v>495.62629605000001</v>
      </c>
      <c r="Z11" s="6">
        <f t="shared" ref="Z11:AF11" si="11">Y11*1.01</f>
        <v>500.58255901050001</v>
      </c>
      <c r="AA11" s="6">
        <f t="shared" si="11"/>
        <v>505.58838460060502</v>
      </c>
      <c r="AB11" s="6">
        <f t="shared" si="11"/>
        <v>510.64426844661108</v>
      </c>
      <c r="AC11" s="6">
        <f t="shared" si="11"/>
        <v>515.7507111310772</v>
      </c>
      <c r="AD11" s="6">
        <f t="shared" si="11"/>
        <v>520.90821824238799</v>
      </c>
      <c r="AE11" s="6">
        <f t="shared" si="11"/>
        <v>526.1173004248119</v>
      </c>
      <c r="AF11" s="6">
        <f t="shared" si="11"/>
        <v>531.37847342906002</v>
      </c>
    </row>
    <row r="12" spans="1:32">
      <c r="B12" s="8" t="s">
        <v>15</v>
      </c>
      <c r="E12" s="19">
        <v>81</v>
      </c>
      <c r="F12" s="19">
        <v>158</v>
      </c>
      <c r="G12" s="19">
        <v>29</v>
      </c>
      <c r="H12" s="19">
        <v>113</v>
      </c>
      <c r="I12" s="19">
        <v>89</v>
      </c>
      <c r="J12" s="19">
        <v>121</v>
      </c>
      <c r="K12" s="19">
        <v>-3</v>
      </c>
      <c r="L12" s="19">
        <v>76</v>
      </c>
      <c r="M12" s="6">
        <v>103</v>
      </c>
      <c r="N12" s="6">
        <f>J12*1.02</f>
        <v>123.42</v>
      </c>
      <c r="U12" s="18">
        <f t="shared" si="8"/>
        <v>352</v>
      </c>
      <c r="V12" s="18">
        <f t="shared" si="9"/>
        <v>299.42</v>
      </c>
      <c r="W12" s="6">
        <f>V12*1.05</f>
        <v>314.39100000000002</v>
      </c>
      <c r="X12" s="6">
        <f>W12*1.03</f>
        <v>323.82273000000004</v>
      </c>
      <c r="Y12" s="6">
        <f>X12*1.02</f>
        <v>330.29918460000005</v>
      </c>
      <c r="Z12" s="6">
        <f t="shared" ref="Z12:AF12" si="12">Y12*1.02</f>
        <v>336.90516829200004</v>
      </c>
      <c r="AA12" s="6">
        <f t="shared" si="12"/>
        <v>343.64327165784005</v>
      </c>
      <c r="AB12" s="6">
        <f t="shared" si="12"/>
        <v>350.51613709099684</v>
      </c>
      <c r="AC12" s="6">
        <f t="shared" si="12"/>
        <v>357.52645983281678</v>
      </c>
      <c r="AD12" s="6">
        <f t="shared" si="12"/>
        <v>364.67698902947313</v>
      </c>
      <c r="AE12" s="6">
        <f t="shared" si="12"/>
        <v>371.9705288100626</v>
      </c>
      <c r="AF12" s="6">
        <f t="shared" si="12"/>
        <v>379.40993938626389</v>
      </c>
    </row>
    <row r="13" spans="1:32">
      <c r="B13" s="8" t="s">
        <v>16</v>
      </c>
      <c r="E13" s="19">
        <v>6</v>
      </c>
      <c r="F13" s="19">
        <v>12</v>
      </c>
      <c r="G13" s="19">
        <v>5</v>
      </c>
      <c r="H13" s="19">
        <v>33</v>
      </c>
      <c r="I13" s="19">
        <v>9</v>
      </c>
      <c r="J13" s="19">
        <v>16</v>
      </c>
      <c r="K13" s="19">
        <v>9</v>
      </c>
      <c r="L13" s="19">
        <v>10</v>
      </c>
      <c r="M13" s="6">
        <v>10</v>
      </c>
      <c r="N13" s="6">
        <v>15</v>
      </c>
      <c r="U13" s="18">
        <f t="shared" si="8"/>
        <v>63</v>
      </c>
      <c r="V13" s="18">
        <f t="shared" si="9"/>
        <v>44</v>
      </c>
      <c r="W13" s="6">
        <f>V13*1.05</f>
        <v>46.2</v>
      </c>
      <c r="X13" s="6">
        <f t="shared" ref="X13:AF13" si="13">W13*1.05</f>
        <v>48.510000000000005</v>
      </c>
      <c r="Y13" s="6">
        <f t="shared" si="13"/>
        <v>50.935500000000005</v>
      </c>
      <c r="Z13" s="6">
        <f t="shared" si="13"/>
        <v>53.482275000000008</v>
      </c>
      <c r="AA13" s="6">
        <f t="shared" si="13"/>
        <v>56.156388750000012</v>
      </c>
      <c r="AB13" s="6">
        <f t="shared" si="13"/>
        <v>58.964208187500013</v>
      </c>
      <c r="AC13" s="6">
        <f t="shared" si="13"/>
        <v>61.912418596875014</v>
      </c>
      <c r="AD13" s="6">
        <f t="shared" si="13"/>
        <v>65.008039526718761</v>
      </c>
      <c r="AE13" s="6">
        <f t="shared" si="13"/>
        <v>68.258441503054698</v>
      </c>
      <c r="AF13" s="6">
        <f t="shared" si="13"/>
        <v>71.671363578207433</v>
      </c>
    </row>
    <row r="14" spans="1:32">
      <c r="B14" s="8" t="s">
        <v>17</v>
      </c>
      <c r="E14" s="19">
        <v>-3</v>
      </c>
      <c r="F14" s="19">
        <f>1-19</f>
        <v>-18</v>
      </c>
      <c r="G14" s="19">
        <v>-1</v>
      </c>
      <c r="H14" s="19">
        <v>0</v>
      </c>
      <c r="I14" s="19">
        <v>0</v>
      </c>
      <c r="J14" s="19">
        <v>4</v>
      </c>
      <c r="K14" s="19">
        <v>0</v>
      </c>
      <c r="L14" s="19">
        <v>0</v>
      </c>
      <c r="M14" s="6">
        <v>0</v>
      </c>
      <c r="N14" s="6">
        <v>0</v>
      </c>
      <c r="U14" s="18">
        <f t="shared" si="8"/>
        <v>3</v>
      </c>
      <c r="V14" s="18">
        <f t="shared" si="9"/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</row>
    <row r="15" spans="1:32">
      <c r="B15" s="8" t="s">
        <v>18</v>
      </c>
      <c r="E15" s="19">
        <v>-1</v>
      </c>
      <c r="F15" s="19">
        <v>82</v>
      </c>
      <c r="G15" s="19">
        <v>-1</v>
      </c>
      <c r="H15" s="19">
        <v>0</v>
      </c>
      <c r="I15" s="19">
        <v>0</v>
      </c>
      <c r="J15" s="19">
        <v>3</v>
      </c>
      <c r="K15" s="19">
        <v>0</v>
      </c>
      <c r="L15" s="19">
        <v>0</v>
      </c>
      <c r="M15" s="6">
        <v>0</v>
      </c>
      <c r="N15" s="6">
        <v>0</v>
      </c>
      <c r="U15" s="18">
        <f t="shared" si="8"/>
        <v>2</v>
      </c>
      <c r="V15" s="18">
        <f t="shared" si="9"/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</row>
    <row r="16" spans="1:32">
      <c r="B16" s="8" t="s">
        <v>19</v>
      </c>
      <c r="E16" s="19">
        <f t="shared" ref="E16:N16" si="14">SUM(E11:E15)</f>
        <v>186</v>
      </c>
      <c r="F16" s="19">
        <f t="shared" si="14"/>
        <v>371</v>
      </c>
      <c r="G16" s="19">
        <f t="shared" si="14"/>
        <v>141</v>
      </c>
      <c r="H16" s="19">
        <f t="shared" si="14"/>
        <v>263</v>
      </c>
      <c r="I16" s="19">
        <f t="shared" si="14"/>
        <v>215</v>
      </c>
      <c r="J16" s="19">
        <f t="shared" si="14"/>
        <v>279</v>
      </c>
      <c r="K16" s="19">
        <f t="shared" si="14"/>
        <v>104</v>
      </c>
      <c r="L16" s="19">
        <f t="shared" si="14"/>
        <v>206</v>
      </c>
      <c r="M16" s="19">
        <f t="shared" si="14"/>
        <v>237</v>
      </c>
      <c r="N16" s="19">
        <f t="shared" si="14"/>
        <v>277.47000000000003</v>
      </c>
      <c r="U16" s="19">
        <f>SUM(U11:U15)</f>
        <v>898</v>
      </c>
      <c r="V16" s="19">
        <f>SUM(V11:V15)</f>
        <v>824.47</v>
      </c>
      <c r="W16" s="19">
        <f>SUM(W11:W15)</f>
        <v>846.45150000000012</v>
      </c>
      <c r="X16" s="19">
        <f t="shared" ref="X16:AF16" si="15">SUM(X11:X15)</f>
        <v>863.05183499999998</v>
      </c>
      <c r="Y16" s="19">
        <f t="shared" si="15"/>
        <v>876.8609806500001</v>
      </c>
      <c r="Z16" s="19">
        <f t="shared" si="15"/>
        <v>890.97000230250001</v>
      </c>
      <c r="AA16" s="19">
        <f t="shared" si="15"/>
        <v>905.38804500844515</v>
      </c>
      <c r="AB16" s="19">
        <f t="shared" si="15"/>
        <v>920.12461372510791</v>
      </c>
      <c r="AC16" s="19">
        <f t="shared" si="15"/>
        <v>935.18958956076892</v>
      </c>
      <c r="AD16" s="19">
        <f t="shared" si="15"/>
        <v>950.59324679857991</v>
      </c>
      <c r="AE16" s="19">
        <f t="shared" si="15"/>
        <v>966.34627073792922</v>
      </c>
      <c r="AF16" s="19">
        <f t="shared" si="15"/>
        <v>982.45977639353134</v>
      </c>
    </row>
    <row r="17" spans="2:139" s="2" customFormat="1">
      <c r="B17" s="9" t="s">
        <v>20</v>
      </c>
      <c r="E17" s="15">
        <f t="shared" ref="E17:N17" si="16">E10-E16</f>
        <v>197</v>
      </c>
      <c r="F17" s="15">
        <f t="shared" si="16"/>
        <v>211</v>
      </c>
      <c r="G17" s="15">
        <f t="shared" si="16"/>
        <v>144</v>
      </c>
      <c r="H17" s="15">
        <f t="shared" si="16"/>
        <v>191</v>
      </c>
      <c r="I17" s="15">
        <f t="shared" si="16"/>
        <v>201</v>
      </c>
      <c r="J17" s="15">
        <f t="shared" si="16"/>
        <v>342</v>
      </c>
      <c r="K17" s="15">
        <f t="shared" si="16"/>
        <v>177</v>
      </c>
      <c r="L17" s="15">
        <f t="shared" si="16"/>
        <v>205</v>
      </c>
      <c r="M17" s="15">
        <f t="shared" si="16"/>
        <v>227</v>
      </c>
      <c r="N17" s="15">
        <f t="shared" si="16"/>
        <v>459.90600000000006</v>
      </c>
      <c r="U17" s="15">
        <f>U10-U16</f>
        <v>878</v>
      </c>
      <c r="V17" s="15">
        <f>V10-V16</f>
        <v>1068.9060000000011</v>
      </c>
      <c r="W17" s="15">
        <f>W10-W16</f>
        <v>1419.7189800000001</v>
      </c>
      <c r="X17" s="15">
        <f t="shared" ref="X17:AF17" si="17">X10-X16</f>
        <v>1562.7006186000001</v>
      </c>
      <c r="Y17" s="15">
        <f t="shared" si="17"/>
        <v>1652.9153958899999</v>
      </c>
      <c r="Z17" s="15">
        <f t="shared" si="17"/>
        <v>1722.3588871695008</v>
      </c>
      <c r="AA17" s="15">
        <f t="shared" si="17"/>
        <v>1788.4875092277152</v>
      </c>
      <c r="AB17" s="15">
        <f t="shared" si="17"/>
        <v>1857.1433648341381</v>
      </c>
      <c r="AC17" s="15">
        <f t="shared" si="17"/>
        <v>1928.4878175904537</v>
      </c>
      <c r="AD17" s="15">
        <f t="shared" si="17"/>
        <v>2002.7041496494198</v>
      </c>
      <c r="AE17" s="15">
        <f t="shared" si="17"/>
        <v>2080.0016481021985</v>
      </c>
      <c r="AF17" s="15">
        <f t="shared" si="17"/>
        <v>2160.6205006102259</v>
      </c>
    </row>
    <row r="18" spans="2:139">
      <c r="B18" s="8" t="s">
        <v>21</v>
      </c>
      <c r="E18" s="19">
        <v>240</v>
      </c>
      <c r="F18" s="19">
        <v>159</v>
      </c>
      <c r="G18" s="19">
        <v>136</v>
      </c>
      <c r="H18" s="19">
        <v>271</v>
      </c>
      <c r="I18" s="19">
        <v>138</v>
      </c>
      <c r="J18" s="19">
        <v>297</v>
      </c>
      <c r="K18" s="19">
        <v>144</v>
      </c>
      <c r="L18" s="19">
        <v>166</v>
      </c>
      <c r="M18" s="6">
        <v>159</v>
      </c>
      <c r="N18" s="6">
        <f>J18*1.03</f>
        <v>305.91000000000003</v>
      </c>
      <c r="U18" s="18">
        <f t="shared" ref="U18:U19" si="18">SUM(G18:J18)</f>
        <v>842</v>
      </c>
      <c r="V18" s="18">
        <f t="shared" ref="V18:V19" si="19">SUM(K18:N18)</f>
        <v>774.91000000000008</v>
      </c>
      <c r="W18" s="6">
        <f>V18*1.03</f>
        <v>798.15730000000008</v>
      </c>
      <c r="X18" s="6">
        <f t="shared" ref="X18:AF18" si="20">W18*1.03</f>
        <v>822.10201900000015</v>
      </c>
      <c r="Y18" s="6">
        <f t="shared" si="20"/>
        <v>846.76507957000013</v>
      </c>
      <c r="Z18" s="6">
        <f t="shared" si="20"/>
        <v>872.1680319571002</v>
      </c>
      <c r="AA18" s="6">
        <f t="shared" si="20"/>
        <v>898.3330729158132</v>
      </c>
      <c r="AB18" s="6">
        <f t="shared" si="20"/>
        <v>925.28306510328764</v>
      </c>
      <c r="AC18" s="6">
        <f t="shared" si="20"/>
        <v>953.0415570563863</v>
      </c>
      <c r="AD18" s="6">
        <f t="shared" si="20"/>
        <v>981.63280376807791</v>
      </c>
      <c r="AE18" s="6">
        <f t="shared" si="20"/>
        <v>1011.0817878811202</v>
      </c>
      <c r="AF18" s="6">
        <f t="shared" si="20"/>
        <v>1041.4142415175538</v>
      </c>
    </row>
    <row r="19" spans="2:139">
      <c r="B19" s="8" t="s">
        <v>22</v>
      </c>
      <c r="E19" s="19">
        <v>-4</v>
      </c>
      <c r="F19" s="19">
        <v>-170</v>
      </c>
      <c r="G19" s="19">
        <v>-86</v>
      </c>
      <c r="H19" s="19">
        <v>-77</v>
      </c>
      <c r="I19" s="19">
        <v>-51</v>
      </c>
      <c r="J19" s="19">
        <v>-6</v>
      </c>
      <c r="K19" s="19">
        <v>-12</v>
      </c>
      <c r="L19" s="19">
        <v>-134</v>
      </c>
      <c r="M19" s="6">
        <v>-6</v>
      </c>
      <c r="N19" s="6">
        <f t="shared" ref="M19:N19" si="21">J19*1.03</f>
        <v>-6.18</v>
      </c>
      <c r="U19" s="18">
        <f t="shared" si="18"/>
        <v>-220</v>
      </c>
      <c r="V19" s="18">
        <f t="shared" si="19"/>
        <v>-158.18</v>
      </c>
      <c r="W19" s="6">
        <f>V19*1.03</f>
        <v>-162.92540000000002</v>
      </c>
      <c r="X19" s="6">
        <f t="shared" ref="X19:AF19" si="22">W19*1.03</f>
        <v>-167.81316200000003</v>
      </c>
      <c r="Y19" s="6">
        <f t="shared" si="22"/>
        <v>-172.84755686000003</v>
      </c>
      <c r="Z19" s="6">
        <f t="shared" si="22"/>
        <v>-178.03298356580004</v>
      </c>
      <c r="AA19" s="6">
        <f t="shared" si="22"/>
        <v>-183.37397307277405</v>
      </c>
      <c r="AB19" s="6">
        <f t="shared" si="22"/>
        <v>-188.87519226495726</v>
      </c>
      <c r="AC19" s="6">
        <f t="shared" si="22"/>
        <v>-194.54144803290598</v>
      </c>
      <c r="AD19" s="6">
        <f t="shared" si="22"/>
        <v>-200.37769147389315</v>
      </c>
      <c r="AE19" s="6">
        <f t="shared" si="22"/>
        <v>-206.38902221810994</v>
      </c>
      <c r="AF19" s="6">
        <f t="shared" si="22"/>
        <v>-212.58069288465325</v>
      </c>
    </row>
    <row r="20" spans="2:139" s="2" customFormat="1">
      <c r="B20" s="9" t="s">
        <v>23</v>
      </c>
      <c r="E20" s="15">
        <f t="shared" ref="E20:N20" si="23">E17-E18-E19</f>
        <v>-39</v>
      </c>
      <c r="F20" s="15">
        <f t="shared" si="23"/>
        <v>222</v>
      </c>
      <c r="G20" s="15">
        <f t="shared" si="23"/>
        <v>94</v>
      </c>
      <c r="H20" s="15">
        <f t="shared" si="23"/>
        <v>-3</v>
      </c>
      <c r="I20" s="15">
        <f t="shared" si="23"/>
        <v>114</v>
      </c>
      <c r="J20" s="15">
        <f t="shared" si="23"/>
        <v>51</v>
      </c>
      <c r="K20" s="15">
        <f t="shared" si="23"/>
        <v>45</v>
      </c>
      <c r="L20" s="15">
        <f t="shared" si="23"/>
        <v>173</v>
      </c>
      <c r="M20" s="15">
        <f t="shared" si="23"/>
        <v>74</v>
      </c>
      <c r="N20" s="15">
        <f t="shared" si="23"/>
        <v>160.17600000000004</v>
      </c>
      <c r="U20" s="15">
        <f>U17-U18-U19</f>
        <v>256</v>
      </c>
      <c r="V20" s="15">
        <f>V17-V18-V19</f>
        <v>452.17600000000101</v>
      </c>
      <c r="W20" s="15">
        <f>W17-W18-W19</f>
        <v>784.48708000000011</v>
      </c>
      <c r="X20" s="15">
        <f t="shared" ref="X20:AF20" si="24">X17-X18-X19</f>
        <v>908.41176159999998</v>
      </c>
      <c r="Y20" s="15">
        <f t="shared" si="24"/>
        <v>978.99787317999983</v>
      </c>
      <c r="Z20" s="15">
        <f t="shared" si="24"/>
        <v>1028.2238387782006</v>
      </c>
      <c r="AA20" s="15">
        <f t="shared" si="24"/>
        <v>1073.528409384676</v>
      </c>
      <c r="AB20" s="15">
        <f t="shared" si="24"/>
        <v>1120.7354919958077</v>
      </c>
      <c r="AC20" s="15">
        <f t="shared" si="24"/>
        <v>1169.9877085669734</v>
      </c>
      <c r="AD20" s="15">
        <f t="shared" si="24"/>
        <v>1221.4490373552351</v>
      </c>
      <c r="AE20" s="15">
        <f t="shared" si="24"/>
        <v>1275.308882439188</v>
      </c>
      <c r="AF20" s="15">
        <f t="shared" si="24"/>
        <v>1331.7869519773253</v>
      </c>
    </row>
    <row r="21" spans="2:139">
      <c r="B21" s="8" t="s">
        <v>24</v>
      </c>
      <c r="E21" s="19">
        <v>-2</v>
      </c>
      <c r="F21" s="19">
        <v>7</v>
      </c>
      <c r="G21" s="19">
        <v>-16</v>
      </c>
      <c r="H21" s="19">
        <v>-22</v>
      </c>
      <c r="I21" s="19">
        <v>-3</v>
      </c>
      <c r="J21" s="19">
        <v>-73</v>
      </c>
      <c r="K21" s="19">
        <v>1</v>
      </c>
      <c r="L21" s="19">
        <v>-20</v>
      </c>
      <c r="M21" s="6">
        <v>-11</v>
      </c>
      <c r="N21" s="6">
        <v>0</v>
      </c>
      <c r="U21" s="18">
        <f t="shared" ref="U21:U22" si="25">SUM(G21:J21)</f>
        <v>-114</v>
      </c>
      <c r="V21" s="18">
        <f t="shared" ref="V21:V22" si="26">SUM(K21:N21)</f>
        <v>-30</v>
      </c>
      <c r="W21" s="6">
        <f>W20*0.15</f>
        <v>117.67306200000002</v>
      </c>
      <c r="X21" s="6">
        <f t="shared" ref="X21:AF21" si="27">X20*0.15</f>
        <v>136.26176423999999</v>
      </c>
      <c r="Y21" s="6">
        <f t="shared" si="27"/>
        <v>146.84968097699996</v>
      </c>
      <c r="Z21" s="6">
        <f t="shared" si="27"/>
        <v>154.23357581673008</v>
      </c>
      <c r="AA21" s="6">
        <f t="shared" si="27"/>
        <v>161.0292614077014</v>
      </c>
      <c r="AB21" s="6">
        <f t="shared" si="27"/>
        <v>168.11032379937114</v>
      </c>
      <c r="AC21" s="6">
        <f t="shared" si="27"/>
        <v>175.49815628504601</v>
      </c>
      <c r="AD21" s="6">
        <f t="shared" si="27"/>
        <v>183.21735560328526</v>
      </c>
      <c r="AE21" s="6">
        <f t="shared" si="27"/>
        <v>191.29633236587819</v>
      </c>
      <c r="AF21" s="6">
        <f t="shared" si="27"/>
        <v>199.76804279659879</v>
      </c>
    </row>
    <row r="22" spans="2:139">
      <c r="B22" s="11" t="s">
        <v>25</v>
      </c>
      <c r="E22" s="19">
        <v>0</v>
      </c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19">
        <v>15</v>
      </c>
      <c r="M22" s="6">
        <v>32</v>
      </c>
      <c r="N22" s="6">
        <v>0</v>
      </c>
      <c r="U22" s="18">
        <f t="shared" si="25"/>
        <v>0</v>
      </c>
      <c r="V22" s="18">
        <f t="shared" si="26"/>
        <v>47</v>
      </c>
      <c r="W22" s="6">
        <f>V22*1.03</f>
        <v>48.410000000000004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</row>
    <row r="23" spans="2:139" s="2" customFormat="1">
      <c r="B23" s="10" t="s">
        <v>13</v>
      </c>
      <c r="E23" s="15">
        <f t="shared" ref="E23:L23" si="28">E20-E21-E22</f>
        <v>-37</v>
      </c>
      <c r="F23" s="15">
        <f t="shared" si="28"/>
        <v>215</v>
      </c>
      <c r="G23" s="15">
        <f t="shared" si="28"/>
        <v>110</v>
      </c>
      <c r="H23" s="15">
        <f t="shared" si="28"/>
        <v>19</v>
      </c>
      <c r="I23" s="15">
        <f t="shared" si="28"/>
        <v>117</v>
      </c>
      <c r="J23" s="15">
        <f t="shared" si="28"/>
        <v>124</v>
      </c>
      <c r="K23" s="15">
        <f t="shared" si="28"/>
        <v>44</v>
      </c>
      <c r="L23" s="15">
        <f t="shared" si="28"/>
        <v>178</v>
      </c>
      <c r="M23" s="15">
        <f t="shared" ref="M23:N23" si="29">M20-M21-M22</f>
        <v>53</v>
      </c>
      <c r="N23" s="15">
        <f t="shared" si="29"/>
        <v>160.17600000000004</v>
      </c>
      <c r="U23" s="15">
        <f>U20-U21-U22</f>
        <v>370</v>
      </c>
      <c r="V23" s="15">
        <f>V20-V21-V22</f>
        <v>435.17600000000101</v>
      </c>
      <c r="W23" s="15">
        <f>W20-W21-W22</f>
        <v>618.40401800000006</v>
      </c>
      <c r="X23" s="15">
        <f t="shared" ref="X23:AF23" si="30">X20-X21-X22</f>
        <v>772.14999736000004</v>
      </c>
      <c r="Y23" s="15">
        <f t="shared" si="30"/>
        <v>832.14819220299989</v>
      </c>
      <c r="Z23" s="15">
        <f t="shared" si="30"/>
        <v>873.99026296147053</v>
      </c>
      <c r="AA23" s="15">
        <f t="shared" si="30"/>
        <v>912.49914797697465</v>
      </c>
      <c r="AB23" s="15">
        <f t="shared" si="30"/>
        <v>952.62516819643656</v>
      </c>
      <c r="AC23" s="15">
        <f t="shared" si="30"/>
        <v>994.48955228192744</v>
      </c>
      <c r="AD23" s="15">
        <f t="shared" si="30"/>
        <v>1038.2316817519497</v>
      </c>
      <c r="AE23" s="15">
        <f t="shared" si="30"/>
        <v>1084.0125500733097</v>
      </c>
      <c r="AF23" s="15">
        <f t="shared" si="30"/>
        <v>1132.0189091807265</v>
      </c>
      <c r="AG23" s="2">
        <f>AF23*(1+$AI$31)</f>
        <v>1120.6987200889191</v>
      </c>
      <c r="AH23" s="2">
        <f t="shared" ref="AH23:CS23" si="31">AG23*(1+$AI$31)</f>
        <v>1109.4917328880299</v>
      </c>
      <c r="AI23" s="2">
        <f t="shared" si="31"/>
        <v>1098.3968155591497</v>
      </c>
      <c r="AJ23" s="2">
        <f t="shared" si="31"/>
        <v>1087.4128474035581</v>
      </c>
      <c r="AK23" s="2">
        <f t="shared" si="31"/>
        <v>1076.5387189295225</v>
      </c>
      <c r="AL23" s="2">
        <f t="shared" si="31"/>
        <v>1065.7733317402271</v>
      </c>
      <c r="AM23" s="2">
        <f t="shared" si="31"/>
        <v>1055.1155984228249</v>
      </c>
      <c r="AN23" s="2">
        <f t="shared" si="31"/>
        <v>1044.5644424385966</v>
      </c>
      <c r="AO23" s="2">
        <f t="shared" si="31"/>
        <v>1034.1187980142106</v>
      </c>
      <c r="AP23" s="2">
        <f t="shared" si="31"/>
        <v>1023.7776100340685</v>
      </c>
      <c r="AQ23" s="2">
        <f t="shared" si="31"/>
        <v>1013.5398339337278</v>
      </c>
      <c r="AR23" s="2">
        <f t="shared" si="31"/>
        <v>1003.4044355943905</v>
      </c>
      <c r="AS23" s="2">
        <f t="shared" si="31"/>
        <v>993.37039123844659</v>
      </c>
      <c r="AT23" s="2">
        <f t="shared" si="31"/>
        <v>983.43668732606216</v>
      </c>
      <c r="AU23" s="2">
        <f t="shared" si="31"/>
        <v>973.60232045280156</v>
      </c>
      <c r="AV23" s="2">
        <f t="shared" si="31"/>
        <v>963.86629724827355</v>
      </c>
      <c r="AW23" s="2">
        <f t="shared" si="31"/>
        <v>954.22763427579082</v>
      </c>
      <c r="AX23" s="2">
        <f t="shared" si="31"/>
        <v>944.68535793303295</v>
      </c>
      <c r="AY23" s="2">
        <f t="shared" si="31"/>
        <v>935.23850435370264</v>
      </c>
      <c r="AZ23" s="2">
        <f t="shared" si="31"/>
        <v>925.88611931016555</v>
      </c>
      <c r="BA23" s="2">
        <f t="shared" si="31"/>
        <v>916.62725811706389</v>
      </c>
      <c r="BB23" s="2">
        <f t="shared" si="31"/>
        <v>907.4609855358932</v>
      </c>
      <c r="BC23" s="2">
        <f t="shared" si="31"/>
        <v>898.38637568053423</v>
      </c>
      <c r="BD23" s="2">
        <f t="shared" si="31"/>
        <v>889.40251192372887</v>
      </c>
      <c r="BE23" s="2">
        <f t="shared" si="31"/>
        <v>880.50848680449155</v>
      </c>
      <c r="BF23" s="2">
        <f t="shared" si="31"/>
        <v>871.70340193644665</v>
      </c>
      <c r="BG23" s="2">
        <f t="shared" si="31"/>
        <v>862.98636791708213</v>
      </c>
      <c r="BH23" s="2">
        <f t="shared" si="31"/>
        <v>854.35650423791128</v>
      </c>
      <c r="BI23" s="2">
        <f t="shared" si="31"/>
        <v>845.81293919553218</v>
      </c>
      <c r="BJ23" s="2">
        <f t="shared" si="31"/>
        <v>837.35480980357681</v>
      </c>
      <c r="BK23" s="2">
        <f t="shared" si="31"/>
        <v>828.98126170554099</v>
      </c>
      <c r="BL23" s="2">
        <f t="shared" si="31"/>
        <v>820.69144908848557</v>
      </c>
      <c r="BM23" s="2">
        <f t="shared" si="31"/>
        <v>812.48453459760071</v>
      </c>
      <c r="BN23" s="2">
        <f t="shared" si="31"/>
        <v>804.35968925162467</v>
      </c>
      <c r="BO23" s="2">
        <f t="shared" si="31"/>
        <v>796.31609235910844</v>
      </c>
      <c r="BP23" s="2">
        <f t="shared" si="31"/>
        <v>788.35293143551735</v>
      </c>
      <c r="BQ23" s="2">
        <f t="shared" si="31"/>
        <v>780.46940212116215</v>
      </c>
      <c r="BR23" s="2">
        <f t="shared" si="31"/>
        <v>772.66470809995053</v>
      </c>
      <c r="BS23" s="2">
        <f t="shared" si="31"/>
        <v>764.93806101895098</v>
      </c>
      <c r="BT23" s="2">
        <f t="shared" si="31"/>
        <v>757.28868040876148</v>
      </c>
      <c r="BU23" s="2">
        <f t="shared" si="31"/>
        <v>749.71579360467388</v>
      </c>
      <c r="BV23" s="2">
        <f t="shared" si="31"/>
        <v>742.21863566862714</v>
      </c>
      <c r="BW23" s="2">
        <f t="shared" si="31"/>
        <v>734.79644931194082</v>
      </c>
      <c r="BX23" s="2">
        <f t="shared" si="31"/>
        <v>727.44848481882138</v>
      </c>
      <c r="BY23" s="2">
        <f t="shared" si="31"/>
        <v>720.17399997063319</v>
      </c>
      <c r="BZ23" s="2">
        <f t="shared" si="31"/>
        <v>712.97225997092687</v>
      </c>
      <c r="CA23" s="2">
        <f t="shared" si="31"/>
        <v>705.84253737121765</v>
      </c>
      <c r="CB23" s="2">
        <f t="shared" si="31"/>
        <v>698.78411199750542</v>
      </c>
      <c r="CC23" s="2">
        <f t="shared" si="31"/>
        <v>691.79627087753033</v>
      </c>
      <c r="CD23" s="2">
        <f t="shared" si="31"/>
        <v>684.87830816875498</v>
      </c>
      <c r="CE23" s="2">
        <f t="shared" si="31"/>
        <v>678.02952508706744</v>
      </c>
      <c r="CF23" s="2">
        <f t="shared" si="31"/>
        <v>671.24922983619672</v>
      </c>
      <c r="CG23" s="2">
        <f t="shared" si="31"/>
        <v>664.53673753783471</v>
      </c>
      <c r="CH23" s="2">
        <f t="shared" si="31"/>
        <v>657.89137016245638</v>
      </c>
      <c r="CI23" s="2">
        <f t="shared" si="31"/>
        <v>651.31245646083187</v>
      </c>
      <c r="CJ23" s="2">
        <f t="shared" si="31"/>
        <v>644.79933189622352</v>
      </c>
      <c r="CK23" s="2">
        <f t="shared" si="31"/>
        <v>638.35133857726123</v>
      </c>
      <c r="CL23" s="2">
        <f t="shared" si="31"/>
        <v>631.9678251914886</v>
      </c>
      <c r="CM23" s="2">
        <f t="shared" si="31"/>
        <v>625.64814693957373</v>
      </c>
      <c r="CN23" s="2">
        <f t="shared" si="31"/>
        <v>619.39166547017794</v>
      </c>
      <c r="CO23" s="2">
        <f t="shared" si="31"/>
        <v>613.19774881547619</v>
      </c>
      <c r="CP23" s="2">
        <f t="shared" si="31"/>
        <v>607.06577132732139</v>
      </c>
      <c r="CQ23" s="2">
        <f t="shared" si="31"/>
        <v>600.99511361404814</v>
      </c>
      <c r="CR23" s="2">
        <f t="shared" si="31"/>
        <v>594.98516247790769</v>
      </c>
      <c r="CS23" s="2">
        <f t="shared" si="31"/>
        <v>589.03531085312864</v>
      </c>
      <c r="CT23" s="2">
        <f t="shared" ref="CT23:EI23" si="32">CS23*(1+$AI$31)</f>
        <v>583.14495774459738</v>
      </c>
      <c r="CU23" s="2">
        <f t="shared" si="32"/>
        <v>577.31350816715144</v>
      </c>
      <c r="CV23" s="2">
        <f t="shared" si="32"/>
        <v>571.54037308547993</v>
      </c>
      <c r="CW23" s="2">
        <f t="shared" si="32"/>
        <v>565.82496935462507</v>
      </c>
      <c r="CX23" s="2">
        <f t="shared" si="32"/>
        <v>560.16671966107879</v>
      </c>
      <c r="CY23" s="2">
        <f t="shared" si="32"/>
        <v>554.56505246446795</v>
      </c>
      <c r="CZ23" s="2">
        <f t="shared" si="32"/>
        <v>549.0194019398233</v>
      </c>
      <c r="DA23" s="2">
        <f t="shared" si="32"/>
        <v>543.52920792042505</v>
      </c>
      <c r="DB23" s="2">
        <f t="shared" si="32"/>
        <v>538.09391584122079</v>
      </c>
      <c r="DC23" s="2">
        <f t="shared" si="32"/>
        <v>532.71297668280863</v>
      </c>
      <c r="DD23" s="2">
        <f t="shared" si="32"/>
        <v>527.38584691598055</v>
      </c>
      <c r="DE23" s="2">
        <f t="shared" si="32"/>
        <v>522.11198844682076</v>
      </c>
      <c r="DF23" s="2">
        <f t="shared" si="32"/>
        <v>516.89086856235258</v>
      </c>
      <c r="DG23" s="2">
        <f t="shared" si="32"/>
        <v>511.72195987672904</v>
      </c>
      <c r="DH23" s="2">
        <f t="shared" si="32"/>
        <v>506.60474027796175</v>
      </c>
      <c r="DI23" s="2">
        <f t="shared" si="32"/>
        <v>501.53869287518211</v>
      </c>
      <c r="DJ23" s="2">
        <f t="shared" si="32"/>
        <v>496.5233059464303</v>
      </c>
      <c r="DK23" s="2">
        <f t="shared" si="32"/>
        <v>491.55807288696599</v>
      </c>
      <c r="DL23" s="2">
        <f t="shared" si="32"/>
        <v>486.64249215809633</v>
      </c>
      <c r="DM23" s="2">
        <f t="shared" si="32"/>
        <v>481.77606723651536</v>
      </c>
      <c r="DN23" s="2">
        <f t="shared" si="32"/>
        <v>476.95830656415018</v>
      </c>
      <c r="DO23" s="2">
        <f t="shared" si="32"/>
        <v>472.18872349850869</v>
      </c>
      <c r="DP23" s="2">
        <f t="shared" si="32"/>
        <v>467.46683626352359</v>
      </c>
      <c r="DQ23" s="2">
        <f t="shared" si="32"/>
        <v>462.79216790088833</v>
      </c>
      <c r="DR23" s="2">
        <f t="shared" si="32"/>
        <v>458.16424622187947</v>
      </c>
      <c r="DS23" s="2">
        <f t="shared" si="32"/>
        <v>453.58260375966069</v>
      </c>
      <c r="DT23" s="2">
        <f t="shared" si="32"/>
        <v>449.04677772206406</v>
      </c>
      <c r="DU23" s="2">
        <f t="shared" si="32"/>
        <v>444.55630994484341</v>
      </c>
      <c r="DV23" s="2">
        <f t="shared" si="32"/>
        <v>440.11074684539494</v>
      </c>
      <c r="DW23" s="2">
        <f t="shared" si="32"/>
        <v>435.70963937694097</v>
      </c>
      <c r="DX23" s="2">
        <f t="shared" si="32"/>
        <v>431.35254298317153</v>
      </c>
      <c r="DY23" s="2">
        <f t="shared" si="32"/>
        <v>427.03901755333982</v>
      </c>
      <c r="DZ23" s="2">
        <f t="shared" si="32"/>
        <v>422.76862737780641</v>
      </c>
      <c r="EA23" s="2">
        <f t="shared" si="32"/>
        <v>418.54094110402832</v>
      </c>
      <c r="EB23" s="2">
        <f t="shared" si="32"/>
        <v>414.35553169298805</v>
      </c>
      <c r="EC23" s="2">
        <f t="shared" si="32"/>
        <v>410.21197637605815</v>
      </c>
      <c r="ED23" s="2">
        <f t="shared" si="32"/>
        <v>406.10985661229756</v>
      </c>
      <c r="EE23" s="2">
        <f t="shared" si="32"/>
        <v>402.04875804617456</v>
      </c>
      <c r="EF23" s="2">
        <f t="shared" si="32"/>
        <v>398.02827046571281</v>
      </c>
      <c r="EG23" s="2">
        <f t="shared" si="32"/>
        <v>394.04798776105565</v>
      </c>
      <c r="EH23" s="2">
        <f t="shared" si="32"/>
        <v>390.10750788344507</v>
      </c>
      <c r="EI23" s="2">
        <f t="shared" si="32"/>
        <v>386.20643280461059</v>
      </c>
    </row>
    <row r="24" spans="2:139">
      <c r="B24" s="11" t="s">
        <v>2</v>
      </c>
      <c r="E24" s="6">
        <f t="shared" ref="E24:L24" si="33">86.8+12.3</f>
        <v>99.1</v>
      </c>
      <c r="F24" s="6">
        <f t="shared" si="33"/>
        <v>99.1</v>
      </c>
      <c r="G24" s="6">
        <f t="shared" si="33"/>
        <v>99.1</v>
      </c>
      <c r="H24" s="6">
        <f t="shared" si="33"/>
        <v>99.1</v>
      </c>
      <c r="I24" s="6">
        <f t="shared" si="33"/>
        <v>99.1</v>
      </c>
      <c r="J24" s="6">
        <f t="shared" si="33"/>
        <v>99.1</v>
      </c>
      <c r="K24" s="6">
        <f t="shared" si="33"/>
        <v>99.1</v>
      </c>
      <c r="L24" s="6">
        <f t="shared" si="33"/>
        <v>99.1</v>
      </c>
      <c r="M24" s="6">
        <f>99.2</f>
        <v>99.2</v>
      </c>
      <c r="N24" s="6">
        <f>99.2</f>
        <v>99.2</v>
      </c>
      <c r="U24" s="6">
        <f>86.8+12.3</f>
        <v>99.1</v>
      </c>
      <c r="V24" s="6">
        <f>99.2</f>
        <v>99.2</v>
      </c>
      <c r="W24" s="6">
        <f>99.2</f>
        <v>99.2</v>
      </c>
      <c r="X24" s="6">
        <f>99.2</f>
        <v>99.2</v>
      </c>
      <c r="Y24" s="6">
        <f>99.2</f>
        <v>99.2</v>
      </c>
      <c r="Z24" s="6">
        <f>99.2</f>
        <v>99.2</v>
      </c>
      <c r="AA24" s="6">
        <f>99.2</f>
        <v>99.2</v>
      </c>
      <c r="AB24" s="6">
        <f>99.2</f>
        <v>99.2</v>
      </c>
      <c r="AC24" s="6">
        <f>99.2</f>
        <v>99.2</v>
      </c>
      <c r="AD24" s="6">
        <f>99.2</f>
        <v>99.2</v>
      </c>
      <c r="AE24" s="6">
        <f>99.2</f>
        <v>99.2</v>
      </c>
      <c r="AF24" s="6">
        <f>99.2</f>
        <v>99.2</v>
      </c>
    </row>
    <row r="25" spans="2:139">
      <c r="B25" s="7" t="s">
        <v>26</v>
      </c>
      <c r="E25" s="14">
        <f t="shared" ref="E25:L25" si="34">E23/E24</f>
        <v>-0.37336024217961655</v>
      </c>
      <c r="F25" s="14">
        <f t="shared" si="34"/>
        <v>2.1695257315842587</v>
      </c>
      <c r="G25" s="14">
        <f t="shared" si="34"/>
        <v>1.109989909182644</v>
      </c>
      <c r="H25" s="14">
        <f t="shared" si="34"/>
        <v>0.19172552976791121</v>
      </c>
      <c r="I25" s="14">
        <f t="shared" si="34"/>
        <v>1.1806256306760847</v>
      </c>
      <c r="J25" s="14">
        <f t="shared" si="34"/>
        <v>1.2512613521695257</v>
      </c>
      <c r="K25" s="14">
        <f t="shared" si="34"/>
        <v>0.44399596367305755</v>
      </c>
      <c r="L25" s="14">
        <f t="shared" si="34"/>
        <v>1.7961654894046419</v>
      </c>
      <c r="M25" s="14">
        <f t="shared" ref="M25:N25" si="35">M23/M24</f>
        <v>0.53427419354838712</v>
      </c>
      <c r="N25" s="14">
        <f t="shared" si="35"/>
        <v>1.6146774193548392</v>
      </c>
      <c r="U25" s="14">
        <f>U23/U24</f>
        <v>3.7336024217961659</v>
      </c>
      <c r="V25" s="14">
        <f>V23/V24</f>
        <v>4.3868548387096871</v>
      </c>
      <c r="W25" s="14">
        <f>W23/W24</f>
        <v>6.2339114717741939</v>
      </c>
      <c r="X25" s="14">
        <f t="shared" ref="X25:AF25" si="36">X23/X24</f>
        <v>7.78377013467742</v>
      </c>
      <c r="Y25" s="14">
        <f t="shared" si="36"/>
        <v>8.3885906472076606</v>
      </c>
      <c r="Z25" s="14">
        <f t="shared" si="36"/>
        <v>8.8103857153374037</v>
      </c>
      <c r="AA25" s="14">
        <f t="shared" si="36"/>
        <v>9.198580120735631</v>
      </c>
      <c r="AB25" s="14">
        <f t="shared" si="36"/>
        <v>9.6030762923027879</v>
      </c>
      <c r="AC25" s="14">
        <f t="shared" si="36"/>
        <v>10.025096293164591</v>
      </c>
      <c r="AD25" s="14">
        <f t="shared" si="36"/>
        <v>10.466045178951106</v>
      </c>
      <c r="AE25" s="14">
        <f t="shared" si="36"/>
        <v>10.927545867674493</v>
      </c>
      <c r="AF25" s="14">
        <f t="shared" si="36"/>
        <v>11.411480939321839</v>
      </c>
    </row>
    <row r="27" spans="2:139">
      <c r="B27" s="1" t="s">
        <v>53</v>
      </c>
      <c r="I27" s="16"/>
      <c r="J27" s="16"/>
      <c r="K27" s="16"/>
      <c r="L27" s="16"/>
      <c r="M27" s="16">
        <f>M3/I3-1</f>
        <v>0.12925170068027203</v>
      </c>
      <c r="N27" s="16">
        <f>N3/J3-1</f>
        <v>0.15277777777777768</v>
      </c>
      <c r="U27" s="16">
        <f>U3/T3-1</f>
        <v>1.4084507042253502E-2</v>
      </c>
      <c r="V27" s="16">
        <f>V3/U3-1</f>
        <v>0.15277777777777768</v>
      </c>
    </row>
    <row r="28" spans="2:139">
      <c r="I28" s="16"/>
      <c r="J28" s="16"/>
      <c r="K28" s="16"/>
      <c r="L28" s="16"/>
      <c r="M28" s="16"/>
      <c r="N28" s="16"/>
      <c r="U28" s="16"/>
      <c r="V28" s="16"/>
    </row>
    <row r="29" spans="2:139">
      <c r="B29" s="1" t="s">
        <v>45</v>
      </c>
      <c r="E29" s="16"/>
      <c r="F29" s="16"/>
      <c r="G29" s="16"/>
      <c r="H29" s="16"/>
      <c r="I29" s="16">
        <f t="shared" ref="I29:L32" si="37">I5/E5-1</f>
        <v>6.4200976971388712E-2</v>
      </c>
      <c r="J29" s="16">
        <f t="shared" si="37"/>
        <v>1.555814858031912E-3</v>
      </c>
      <c r="K29" s="16">
        <f t="shared" si="37"/>
        <v>0.28553459119496849</v>
      </c>
      <c r="L29" s="16">
        <f t="shared" si="37"/>
        <v>-0.1513353115727003</v>
      </c>
      <c r="M29" s="16">
        <f t="shared" ref="M29:M32" si="38">M5/I5-1</f>
        <v>0.121967213114754</v>
      </c>
      <c r="N29" s="16">
        <f t="shared" ref="N29:N32" si="39">N5/J5-1</f>
        <v>0.19999999999999996</v>
      </c>
      <c r="U29" s="16"/>
      <c r="V29" s="16">
        <f>V5/U5-1</f>
        <v>0.10227963525835859</v>
      </c>
      <c r="W29" s="16">
        <f t="shared" ref="W29:AF32" si="40">W5/V5-1</f>
        <v>0.1399999999999999</v>
      </c>
      <c r="X29" s="16">
        <f t="shared" si="40"/>
        <v>7.0000000000000062E-2</v>
      </c>
      <c r="Y29" s="16">
        <f t="shared" si="40"/>
        <v>4.0000000000000036E-2</v>
      </c>
      <c r="Z29" s="16">
        <f t="shared" si="40"/>
        <v>3.0000000000000027E-2</v>
      </c>
      <c r="AA29" s="16">
        <f t="shared" si="40"/>
        <v>3.0000000000000027E-2</v>
      </c>
      <c r="AB29" s="16">
        <f t="shared" si="40"/>
        <v>3.0000000000000027E-2</v>
      </c>
      <c r="AC29" s="16">
        <f t="shared" si="40"/>
        <v>3.0000000000000027E-2</v>
      </c>
      <c r="AD29" s="16">
        <f t="shared" si="40"/>
        <v>3.0000000000000027E-2</v>
      </c>
      <c r="AE29" s="16">
        <f t="shared" si="40"/>
        <v>3.0000000000000027E-2</v>
      </c>
      <c r="AF29" s="16">
        <f t="shared" si="40"/>
        <v>3.0000000000000027E-2</v>
      </c>
    </row>
    <row r="30" spans="2:139">
      <c r="B30" s="1" t="s">
        <v>46</v>
      </c>
      <c r="E30" s="16"/>
      <c r="F30" s="16"/>
      <c r="G30" s="16"/>
      <c r="H30" s="16"/>
      <c r="I30" s="16">
        <f t="shared" si="37"/>
        <v>0.2753623188405796</v>
      </c>
      <c r="J30" s="16">
        <f t="shared" si="37"/>
        <v>8.7136929460580825E-2</v>
      </c>
      <c r="K30" s="16">
        <f t="shared" si="37"/>
        <v>3.7735849056603765E-2</v>
      </c>
      <c r="L30" s="16">
        <f t="shared" si="37"/>
        <v>0.16370808678500981</v>
      </c>
      <c r="M30" s="16">
        <f t="shared" si="38"/>
        <v>0.11742424242424243</v>
      </c>
      <c r="N30" s="16">
        <f t="shared" si="39"/>
        <v>0.12000000000000011</v>
      </c>
      <c r="U30" s="16"/>
      <c r="V30" s="16">
        <f t="shared" ref="V30:V32" si="41">V6/U6-1</f>
        <v>0.11094302554027502</v>
      </c>
      <c r="W30" s="16">
        <f t="shared" si="40"/>
        <v>0.10000000000000009</v>
      </c>
      <c r="X30" s="16">
        <f t="shared" si="40"/>
        <v>7.0000000000000062E-2</v>
      </c>
      <c r="Y30" s="16">
        <f t="shared" si="40"/>
        <v>5.0000000000000044E-2</v>
      </c>
      <c r="Z30" s="16">
        <f t="shared" si="40"/>
        <v>4.0000000000000036E-2</v>
      </c>
      <c r="AA30" s="16">
        <f t="shared" si="40"/>
        <v>3.0000000000000027E-2</v>
      </c>
      <c r="AB30" s="16">
        <f t="shared" si="40"/>
        <v>3.0000000000000027E-2</v>
      </c>
      <c r="AC30" s="16">
        <f t="shared" si="40"/>
        <v>3.0000000000000027E-2</v>
      </c>
      <c r="AD30" s="16">
        <f t="shared" si="40"/>
        <v>3.0000000000000027E-2</v>
      </c>
      <c r="AE30" s="16">
        <f t="shared" si="40"/>
        <v>3.0000000000000027E-2</v>
      </c>
      <c r="AF30" s="16">
        <f t="shared" si="40"/>
        <v>3.0000000000000027E-2</v>
      </c>
    </row>
    <row r="31" spans="2:139">
      <c r="B31" s="1" t="s">
        <v>47</v>
      </c>
      <c r="E31" s="16"/>
      <c r="F31" s="16"/>
      <c r="G31" s="16"/>
      <c r="H31" s="16"/>
      <c r="I31" s="16">
        <f t="shared" si="37"/>
        <v>1.2222222222222223</v>
      </c>
      <c r="J31" s="16">
        <f t="shared" si="37"/>
        <v>0</v>
      </c>
      <c r="K31" s="16">
        <f t="shared" si="37"/>
        <v>-0.44444444444444442</v>
      </c>
      <c r="L31" s="16">
        <f t="shared" si="37"/>
        <v>-0.27272727272727271</v>
      </c>
      <c r="M31" s="16">
        <f t="shared" si="38"/>
        <v>-0.7</v>
      </c>
      <c r="N31" s="16">
        <f t="shared" si="39"/>
        <v>0.11111111111111116</v>
      </c>
      <c r="U31" s="16"/>
      <c r="V31" s="16">
        <f t="shared" si="41"/>
        <v>-0.40816326530612246</v>
      </c>
      <c r="W31" s="16">
        <f t="shared" si="40"/>
        <v>0.19999999999999996</v>
      </c>
      <c r="X31" s="16">
        <f t="shared" si="40"/>
        <v>0.19999999999999996</v>
      </c>
      <c r="Y31" s="16">
        <f t="shared" si="40"/>
        <v>0.19999999999999996</v>
      </c>
      <c r="Z31" s="16">
        <f t="shared" si="40"/>
        <v>0.19999999999999996</v>
      </c>
      <c r="AA31" s="16">
        <f t="shared" si="40"/>
        <v>0.19999999999999996</v>
      </c>
      <c r="AB31" s="16">
        <f t="shared" si="40"/>
        <v>0.19999999999999996</v>
      </c>
      <c r="AC31" s="16">
        <f t="shared" si="40"/>
        <v>0.19999999999999996</v>
      </c>
      <c r="AD31" s="16">
        <f t="shared" si="40"/>
        <v>0.19999999999999996</v>
      </c>
      <c r="AE31" s="16">
        <f t="shared" si="40"/>
        <v>0.19999999999999996</v>
      </c>
      <c r="AF31" s="16">
        <f t="shared" si="40"/>
        <v>0.19999999999999996</v>
      </c>
      <c r="AH31" s="1" t="s">
        <v>57</v>
      </c>
      <c r="AI31" s="16">
        <v>-0.01</v>
      </c>
    </row>
    <row r="32" spans="2:139">
      <c r="B32" s="1" t="s">
        <v>43</v>
      </c>
      <c r="E32" s="16"/>
      <c r="F32" s="16"/>
      <c r="G32" s="16"/>
      <c r="H32" s="16"/>
      <c r="I32" s="16">
        <f t="shared" si="37"/>
        <v>0.1169181034482758</v>
      </c>
      <c r="J32" s="16">
        <f t="shared" si="37"/>
        <v>1.5022860875244959E-2</v>
      </c>
      <c r="K32" s="16">
        <f t="shared" si="37"/>
        <v>0.1881342701014832</v>
      </c>
      <c r="L32" s="16">
        <f t="shared" si="37"/>
        <v>-7.9437131184748044E-2</v>
      </c>
      <c r="M32" s="16">
        <f t="shared" si="38"/>
        <v>0.11287988422575967</v>
      </c>
      <c r="N32" s="16">
        <f t="shared" si="39"/>
        <v>0.18625482625482626</v>
      </c>
      <c r="U32" s="16"/>
      <c r="V32" s="16">
        <f t="shared" si="41"/>
        <v>0.10142873629544158</v>
      </c>
      <c r="W32" s="16">
        <f t="shared" si="40"/>
        <v>0.13070239776694592</v>
      </c>
      <c r="X32" s="16">
        <f t="shared" si="40"/>
        <v>7.0419227065388279E-2</v>
      </c>
      <c r="Y32" s="16">
        <f t="shared" si="40"/>
        <v>4.2883156847113746E-2</v>
      </c>
      <c r="Z32" s="16">
        <f t="shared" si="40"/>
        <v>3.3027627938512216E-2</v>
      </c>
      <c r="AA32" s="16">
        <f t="shared" si="40"/>
        <v>3.082148025403475E-2</v>
      </c>
      <c r="AB32" s="16">
        <f t="shared" si="40"/>
        <v>3.0956301671749342E-2</v>
      </c>
      <c r="AC32" s="16">
        <f t="shared" si="40"/>
        <v>3.1113104410184889E-2</v>
      </c>
      <c r="AD32" s="16">
        <f t="shared" si="40"/>
        <v>3.1295420731740409E-2</v>
      </c>
      <c r="AE32" s="16">
        <f t="shared" si="40"/>
        <v>3.1507332280196865E-2</v>
      </c>
      <c r="AF32" s="16">
        <f t="shared" si="40"/>
        <v>3.1753549082620847E-2</v>
      </c>
      <c r="AH32" s="1" t="s">
        <v>58</v>
      </c>
      <c r="AI32" s="16">
        <v>0.08</v>
      </c>
    </row>
    <row r="33" spans="2:35">
      <c r="B33" s="1" t="s">
        <v>44</v>
      </c>
      <c r="E33" s="16">
        <f t="shared" ref="E33:K33" si="42">E10/E8</f>
        <v>0.20635775862068967</v>
      </c>
      <c r="F33" s="16">
        <f t="shared" si="42"/>
        <v>0.19007184846505551</v>
      </c>
      <c r="G33" s="16">
        <f t="shared" si="42"/>
        <v>0.22248243559718969</v>
      </c>
      <c r="H33" s="16">
        <f t="shared" si="42"/>
        <v>0.20608261461643212</v>
      </c>
      <c r="I33" s="16">
        <f t="shared" si="42"/>
        <v>0.20067534973468404</v>
      </c>
      <c r="J33" s="16">
        <f t="shared" si="42"/>
        <v>0.1998069498069498</v>
      </c>
      <c r="K33" s="16">
        <f t="shared" si="42"/>
        <v>0.18462549277266754</v>
      </c>
      <c r="L33" s="16">
        <f>L10/L8</f>
        <v>0.20266272189349113</v>
      </c>
      <c r="M33" s="16">
        <f t="shared" ref="M33:N33" si="43">M10/M8</f>
        <v>0.20112700476809708</v>
      </c>
      <c r="N33" s="16">
        <f t="shared" si="43"/>
        <v>0.2</v>
      </c>
      <c r="U33" s="16">
        <f t="shared" ref="U33" si="44">U10/U8</f>
        <v>0.20496249278707443</v>
      </c>
      <c r="V33" s="16">
        <f t="shared" ref="V33:AF33" si="45">V10/V8</f>
        <v>0.19838640049958728</v>
      </c>
      <c r="W33" s="16">
        <f t="shared" si="45"/>
        <v>0.21000000000000002</v>
      </c>
      <c r="X33" s="16">
        <f t="shared" si="45"/>
        <v>0.21</v>
      </c>
      <c r="Y33" s="16">
        <f t="shared" si="45"/>
        <v>0.21</v>
      </c>
      <c r="Z33" s="16">
        <f t="shared" si="45"/>
        <v>0.21000000000000002</v>
      </c>
      <c r="AA33" s="16">
        <f t="shared" si="45"/>
        <v>0.21</v>
      </c>
      <c r="AB33" s="16">
        <f t="shared" si="45"/>
        <v>0.21</v>
      </c>
      <c r="AC33" s="16">
        <f t="shared" si="45"/>
        <v>0.20999999999999996</v>
      </c>
      <c r="AD33" s="16">
        <f t="shared" si="45"/>
        <v>0.20999999999999996</v>
      </c>
      <c r="AE33" s="16">
        <f t="shared" si="45"/>
        <v>0.21</v>
      </c>
      <c r="AF33" s="16">
        <f t="shared" si="45"/>
        <v>0.21</v>
      </c>
      <c r="AH33" s="1" t="s">
        <v>59</v>
      </c>
      <c r="AI33" s="6">
        <f>NPV(AI32,V23:EI23)</f>
        <v>11267.766238362408</v>
      </c>
    </row>
    <row r="34" spans="2:35">
      <c r="B34" s="1" t="s">
        <v>48</v>
      </c>
      <c r="E34" s="16"/>
      <c r="F34" s="16"/>
      <c r="G34" s="16"/>
      <c r="H34" s="16"/>
      <c r="I34" s="16">
        <f t="shared" ref="I34:L35" si="46">I11/E11-1</f>
        <v>0.13592233009708732</v>
      </c>
      <c r="J34" s="16">
        <f t="shared" si="46"/>
        <v>-1.4598540145985384E-2</v>
      </c>
      <c r="K34" s="16">
        <f t="shared" si="46"/>
        <v>-0.1009174311926605</v>
      </c>
      <c r="L34" s="16">
        <f t="shared" si="46"/>
        <v>2.564102564102555E-2</v>
      </c>
      <c r="M34" s="16">
        <f t="shared" ref="M34:N34" si="47">M11/I11-1</f>
        <v>5.9829059829059839E-2</v>
      </c>
      <c r="N34" s="16">
        <f t="shared" si="47"/>
        <v>3.0000000000000027E-2</v>
      </c>
      <c r="U34" s="16"/>
      <c r="V34" s="16">
        <f>V11/U11-1</f>
        <v>6.3807531380752902E-3</v>
      </c>
      <c r="W34" s="16">
        <f t="shared" ref="W34:AF34" si="48">W11/V11-1</f>
        <v>1.0000000000000009E-2</v>
      </c>
      <c r="X34" s="16">
        <f t="shared" si="48"/>
        <v>1.0000000000000009E-2</v>
      </c>
      <c r="Y34" s="16">
        <f t="shared" si="48"/>
        <v>1.0000000000000009E-2</v>
      </c>
      <c r="Z34" s="16">
        <f t="shared" si="48"/>
        <v>1.0000000000000009E-2</v>
      </c>
      <c r="AA34" s="16">
        <f t="shared" si="48"/>
        <v>1.0000000000000009E-2</v>
      </c>
      <c r="AB34" s="16">
        <f t="shared" si="48"/>
        <v>1.0000000000000009E-2</v>
      </c>
      <c r="AC34" s="16">
        <f t="shared" si="48"/>
        <v>1.0000000000000009E-2</v>
      </c>
      <c r="AD34" s="16">
        <f t="shared" si="48"/>
        <v>1.0000000000000009E-2</v>
      </c>
      <c r="AE34" s="16">
        <f t="shared" si="48"/>
        <v>1.0000000000000009E-2</v>
      </c>
      <c r="AF34" s="16">
        <f t="shared" si="48"/>
        <v>1.0000000000000009E-2</v>
      </c>
      <c r="AH34" s="1" t="s">
        <v>60</v>
      </c>
      <c r="AI34" s="6">
        <f>Main!D8</f>
        <v>-4321</v>
      </c>
    </row>
    <row r="35" spans="2:35">
      <c r="B35" s="1" t="s">
        <v>49</v>
      </c>
      <c r="E35" s="16"/>
      <c r="F35" s="16"/>
      <c r="G35" s="16"/>
      <c r="H35" s="16"/>
      <c r="I35" s="16">
        <f t="shared" si="46"/>
        <v>9.8765432098765427E-2</v>
      </c>
      <c r="J35" s="16">
        <f t="shared" si="46"/>
        <v>-0.23417721518987344</v>
      </c>
      <c r="K35" s="16">
        <f t="shared" si="46"/>
        <v>-1.103448275862069</v>
      </c>
      <c r="L35" s="16">
        <f t="shared" si="46"/>
        <v>-0.32743362831858402</v>
      </c>
      <c r="M35" s="16">
        <f t="shared" ref="M35:N35" si="49">M12/I12-1</f>
        <v>0.15730337078651679</v>
      </c>
      <c r="N35" s="16">
        <f t="shared" si="49"/>
        <v>2.0000000000000018E-2</v>
      </c>
      <c r="U35" s="16"/>
      <c r="V35" s="16">
        <f>V12/U12-1</f>
        <v>-0.14937499999999992</v>
      </c>
      <c r="W35" s="16">
        <f t="shared" ref="W35:AF35" si="50">W12/V12-1</f>
        <v>5.0000000000000044E-2</v>
      </c>
      <c r="X35" s="16">
        <f t="shared" si="50"/>
        <v>3.0000000000000027E-2</v>
      </c>
      <c r="Y35" s="16">
        <f t="shared" si="50"/>
        <v>2.0000000000000018E-2</v>
      </c>
      <c r="Z35" s="16">
        <f t="shared" si="50"/>
        <v>2.0000000000000018E-2</v>
      </c>
      <c r="AA35" s="16">
        <f t="shared" si="50"/>
        <v>2.0000000000000018E-2</v>
      </c>
      <c r="AB35" s="16">
        <f t="shared" si="50"/>
        <v>2.0000000000000018E-2</v>
      </c>
      <c r="AC35" s="16">
        <f t="shared" si="50"/>
        <v>2.0000000000000018E-2</v>
      </c>
      <c r="AD35" s="16">
        <f t="shared" si="50"/>
        <v>2.0000000000000018E-2</v>
      </c>
      <c r="AE35" s="16">
        <f t="shared" si="50"/>
        <v>2.0000000000000018E-2</v>
      </c>
      <c r="AF35" s="16">
        <f t="shared" si="50"/>
        <v>2.0000000000000018E-2</v>
      </c>
      <c r="AH35" s="1" t="s">
        <v>61</v>
      </c>
      <c r="AI35" s="6">
        <f>AI33+AI34</f>
        <v>6946.7662383624083</v>
      </c>
    </row>
    <row r="36" spans="2:35">
      <c r="B36" s="1" t="s">
        <v>50</v>
      </c>
      <c r="E36" s="16">
        <f t="shared" ref="E36:K36" si="51">E17/E8</f>
        <v>0.10614224137931035</v>
      </c>
      <c r="F36" s="16">
        <f t="shared" si="51"/>
        <v>6.8909209666884394E-2</v>
      </c>
      <c r="G36" s="16">
        <f t="shared" si="51"/>
        <v>0.11241217798594848</v>
      </c>
      <c r="H36" s="16">
        <f t="shared" si="51"/>
        <v>8.6699954607353608E-2</v>
      </c>
      <c r="I36" s="16">
        <f t="shared" si="51"/>
        <v>9.6960926193921854E-2</v>
      </c>
      <c r="J36" s="16">
        <f t="shared" si="51"/>
        <v>0.11003861003861004</v>
      </c>
      <c r="K36" s="16">
        <f t="shared" si="51"/>
        <v>0.11629434954007885</v>
      </c>
      <c r="L36" s="16">
        <f>L17/L8</f>
        <v>0.10108481262327416</v>
      </c>
      <c r="M36" s="16">
        <f t="shared" ref="M36:N36" si="52">M17/M8</f>
        <v>9.8396185522323362E-2</v>
      </c>
      <c r="N36" s="16">
        <f t="shared" si="52"/>
        <v>0.12474124462960554</v>
      </c>
      <c r="U36" s="16">
        <f t="shared" ref="U36" si="53">U17/U8</f>
        <v>0.10132717830351991</v>
      </c>
      <c r="V36" s="16">
        <f t="shared" ref="V36:AF36" si="54">V17/V8</f>
        <v>0.11199910309014792</v>
      </c>
      <c r="W36" s="16">
        <f t="shared" si="54"/>
        <v>0.13156158745832749</v>
      </c>
      <c r="X36" s="16">
        <f t="shared" si="54"/>
        <v>0.13528467400660574</v>
      </c>
      <c r="Y36" s="16">
        <f t="shared" si="54"/>
        <v>0.13721063899396863</v>
      </c>
      <c r="Z36" s="16">
        <f t="shared" si="54"/>
        <v>0.13840407449774622</v>
      </c>
      <c r="AA36" s="16">
        <f t="shared" si="54"/>
        <v>0.13942083417595558</v>
      </c>
      <c r="AB36" s="16">
        <f t="shared" si="54"/>
        <v>0.140425810410088</v>
      </c>
      <c r="AC36" s="16">
        <f t="shared" si="54"/>
        <v>0.14142041302650443</v>
      </c>
      <c r="AD36" s="16">
        <f t="shared" si="54"/>
        <v>0.14240620397126447</v>
      </c>
      <c r="AE36" s="16">
        <f t="shared" si="54"/>
        <v>0.14338491785526911</v>
      </c>
      <c r="AF36" s="16">
        <f t="shared" si="54"/>
        <v>0.14435848439756699</v>
      </c>
      <c r="AH36" s="1" t="s">
        <v>62</v>
      </c>
      <c r="AI36" s="23">
        <f>AI35/AF24</f>
        <v>70.027885467362992</v>
      </c>
    </row>
    <row r="37" spans="2:35">
      <c r="B37" s="1" t="s">
        <v>24</v>
      </c>
      <c r="E37" s="16">
        <f t="shared" ref="E37:K37" si="55">E21/E20</f>
        <v>5.128205128205128E-2</v>
      </c>
      <c r="F37" s="16">
        <f t="shared" si="55"/>
        <v>3.1531531531531529E-2</v>
      </c>
      <c r="G37" s="16">
        <f t="shared" si="55"/>
        <v>-0.1702127659574468</v>
      </c>
      <c r="H37" s="16">
        <f t="shared" si="55"/>
        <v>7.333333333333333</v>
      </c>
      <c r="I37" s="16">
        <f t="shared" si="55"/>
        <v>-2.6315789473684209E-2</v>
      </c>
      <c r="J37" s="16">
        <f t="shared" si="55"/>
        <v>-1.4313725490196079</v>
      </c>
      <c r="K37" s="16">
        <f t="shared" si="55"/>
        <v>2.2222222222222223E-2</v>
      </c>
      <c r="L37" s="16">
        <f>L21/L20</f>
        <v>-0.11560693641618497</v>
      </c>
      <c r="M37" s="16">
        <f t="shared" ref="M37:N37" si="56">M21/M20</f>
        <v>-0.14864864864864866</v>
      </c>
      <c r="N37" s="16">
        <f t="shared" si="56"/>
        <v>0</v>
      </c>
      <c r="U37" s="16">
        <f t="shared" ref="U37" si="57">U21/U20</f>
        <v>-0.4453125</v>
      </c>
      <c r="V37" s="16">
        <f t="shared" ref="V37:AF37" si="58">V21/V20</f>
        <v>-6.6345847634549232E-2</v>
      </c>
      <c r="W37" s="16">
        <f t="shared" si="58"/>
        <v>0.15</v>
      </c>
      <c r="X37" s="16">
        <f t="shared" si="58"/>
        <v>0.15</v>
      </c>
      <c r="Y37" s="16">
        <f t="shared" si="58"/>
        <v>0.15</v>
      </c>
      <c r="Z37" s="16">
        <f t="shared" si="58"/>
        <v>0.15</v>
      </c>
      <c r="AA37" s="16">
        <f t="shared" si="58"/>
        <v>0.15</v>
      </c>
      <c r="AB37" s="16">
        <f t="shared" si="58"/>
        <v>0.15</v>
      </c>
      <c r="AC37" s="16">
        <f t="shared" si="58"/>
        <v>0.15</v>
      </c>
      <c r="AD37" s="16">
        <f t="shared" si="58"/>
        <v>0.15</v>
      </c>
      <c r="AE37" s="16">
        <f t="shared" si="58"/>
        <v>0.15</v>
      </c>
      <c r="AF37" s="16">
        <f t="shared" si="58"/>
        <v>0.15</v>
      </c>
      <c r="AH37" s="1" t="s">
        <v>63</v>
      </c>
      <c r="AI37" s="23">
        <f>Main!D3</f>
        <v>162.50479999999999</v>
      </c>
    </row>
    <row r="38" spans="2:35">
      <c r="B38" s="1" t="s">
        <v>51</v>
      </c>
      <c r="E38" s="16">
        <f t="shared" ref="E38:K38" si="59">E23/E8</f>
        <v>-1.9935344827586209E-2</v>
      </c>
      <c r="F38" s="16">
        <f t="shared" si="59"/>
        <v>7.0215545395166556E-2</v>
      </c>
      <c r="G38" s="16">
        <f t="shared" si="59"/>
        <v>8.5870413739266196E-2</v>
      </c>
      <c r="H38" s="16">
        <f t="shared" si="59"/>
        <v>8.6246028143440769E-3</v>
      </c>
      <c r="I38" s="16">
        <f t="shared" si="59"/>
        <v>5.6439942112879886E-2</v>
      </c>
      <c r="J38" s="16">
        <f t="shared" si="59"/>
        <v>3.9897039897039896E-2</v>
      </c>
      <c r="K38" s="16">
        <f t="shared" si="59"/>
        <v>2.8909329829172142E-2</v>
      </c>
      <c r="L38" s="16">
        <f>L23/L8</f>
        <v>8.7771203155818545E-2</v>
      </c>
      <c r="M38" s="16">
        <f t="shared" ref="M38:N38" si="60">M23/M8</f>
        <v>2.2973558734286952E-2</v>
      </c>
      <c r="N38" s="16">
        <f t="shared" si="60"/>
        <v>4.3444863950006518E-2</v>
      </c>
      <c r="U38" s="16">
        <f t="shared" ref="U38" si="61">U23/U8</f>
        <v>4.2700519330640507E-2</v>
      </c>
      <c r="V38" s="16">
        <f t="shared" ref="V38:AF38" si="62">V23/V8</f>
        <v>4.5597388064393202E-2</v>
      </c>
      <c r="W38" s="16">
        <f t="shared" si="62"/>
        <v>5.7305858021767193E-2</v>
      </c>
      <c r="X38" s="16">
        <f t="shared" si="62"/>
        <v>6.6845856099188902E-2</v>
      </c>
      <c r="Y38" s="16">
        <f t="shared" si="62"/>
        <v>6.907769476511548E-2</v>
      </c>
      <c r="Z38" s="16">
        <f t="shared" si="62"/>
        <v>7.0231479842168265E-2</v>
      </c>
      <c r="AA38" s="16">
        <f t="shared" si="62"/>
        <v>7.113350903453268E-2</v>
      </c>
      <c r="AB38" s="16">
        <f t="shared" si="62"/>
        <v>7.2031682526016674E-2</v>
      </c>
      <c r="AC38" s="16">
        <f t="shared" si="62"/>
        <v>7.2928188579369668E-2</v>
      </c>
      <c r="AD38" s="16">
        <f t="shared" si="62"/>
        <v>7.3825498722254523E-2</v>
      </c>
      <c r="AE38" s="16">
        <f t="shared" si="62"/>
        <v>7.4726407350762525E-2</v>
      </c>
      <c r="AF38" s="16">
        <f t="shared" si="62"/>
        <v>7.5634075485520411E-2</v>
      </c>
      <c r="AH38" s="2" t="s">
        <v>64</v>
      </c>
      <c r="AI38" s="22">
        <f>AI36/AI37-1</f>
        <v>-0.56907189530793556</v>
      </c>
    </row>
    <row r="39" spans="2:35">
      <c r="AH39" s="1" t="s">
        <v>65</v>
      </c>
      <c r="AI39" s="12" t="s">
        <v>66</v>
      </c>
    </row>
    <row r="41" spans="2:35" s="20" customFormat="1">
      <c r="B41" s="20" t="s">
        <v>54</v>
      </c>
      <c r="L41" s="24">
        <f>12864</f>
        <v>12864</v>
      </c>
      <c r="M41" s="24">
        <v>13333</v>
      </c>
      <c r="V41" s="24">
        <v>13333</v>
      </c>
    </row>
    <row r="43" spans="2:35">
      <c r="B43" s="1" t="s">
        <v>55</v>
      </c>
      <c r="L43" s="21"/>
      <c r="V43" s="21">
        <f>Main!$D$9/Model!V41</f>
        <v>1.533149040726018</v>
      </c>
    </row>
    <row r="44" spans="2:35">
      <c r="B44" s="1" t="s">
        <v>56</v>
      </c>
      <c r="L44" s="16"/>
      <c r="V44" s="16">
        <f>V41/Main!$D$9-1</f>
        <v>-0.34774769220971946</v>
      </c>
    </row>
  </sheetData>
  <phoneticPr fontId="5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Mniszek</dc:creator>
  <cp:lastModifiedBy>Anton Mniszek</cp:lastModifiedBy>
  <dcterms:created xsi:type="dcterms:W3CDTF">2025-09-26T11:17:02Z</dcterms:created>
  <dcterms:modified xsi:type="dcterms:W3CDTF">2025-11-27T09:36:05Z</dcterms:modified>
</cp:coreProperties>
</file>