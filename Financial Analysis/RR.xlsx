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3C1911E-D4B3-436D-913E-80BF93B78EC0}" xr6:coauthVersionLast="47" xr6:coauthVersionMax="47" xr10:uidLastSave="{00000000-0000-0000-0000-000000000000}"/>
  <bookViews>
    <workbookView xWindow="-108" yWindow="-108" windowWidth="23256" windowHeight="12576" activeTab="1" xr2:uid="{8757B506-327F-46B8-97B2-C03679112DE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4" i="2" l="1"/>
  <c r="AA14" i="2"/>
  <c r="Z14" i="2"/>
  <c r="Y14" i="2"/>
  <c r="X14" i="2"/>
  <c r="W14" i="2"/>
  <c r="V14" i="2"/>
  <c r="U14" i="2"/>
  <c r="T14" i="2"/>
  <c r="S14" i="2"/>
  <c r="R14" i="2"/>
  <c r="D7" i="1"/>
  <c r="D6" i="1"/>
  <c r="AB17" i="2"/>
  <c r="AA17" i="2"/>
  <c r="Z17" i="2"/>
  <c r="Y17" i="2"/>
  <c r="X17" i="2"/>
  <c r="W17" i="2"/>
  <c r="V17" i="2"/>
  <c r="U17" i="2"/>
  <c r="T17" i="2"/>
  <c r="S17" i="2"/>
  <c r="R17" i="2"/>
  <c r="I17" i="2"/>
  <c r="D4" i="1"/>
  <c r="D5" i="1" s="1"/>
  <c r="H21" i="2"/>
  <c r="H15" i="2"/>
  <c r="H14" i="2"/>
  <c r="H12" i="2"/>
  <c r="H11" i="2"/>
  <c r="H10" i="2"/>
  <c r="H8" i="2"/>
  <c r="H7" i="2"/>
  <c r="H6" i="2"/>
  <c r="H4" i="2"/>
  <c r="H3" i="2"/>
  <c r="H17" i="2"/>
  <c r="G17" i="2"/>
  <c r="G5" i="2"/>
  <c r="G21" i="2" s="1"/>
  <c r="I23" i="2"/>
  <c r="I22" i="2"/>
  <c r="I20" i="2"/>
  <c r="I5" i="2"/>
  <c r="I9" i="2" s="1"/>
  <c r="Y6" i="2"/>
  <c r="Z6" i="2" s="1"/>
  <c r="AA6" i="2" s="1"/>
  <c r="AB6" i="2" s="1"/>
  <c r="X6" i="2"/>
  <c r="W6" i="2"/>
  <c r="U6" i="2"/>
  <c r="T6" i="2"/>
  <c r="S6" i="2"/>
  <c r="S3" i="2"/>
  <c r="R3" i="2"/>
  <c r="AE27" i="2"/>
  <c r="S4" i="2"/>
  <c r="S12" i="2"/>
  <c r="T12" i="2" s="1"/>
  <c r="U12" i="2" s="1"/>
  <c r="V12" i="2" s="1"/>
  <c r="W12" i="2" s="1"/>
  <c r="X12" i="2" s="1"/>
  <c r="Y12" i="2" s="1"/>
  <c r="Z12" i="2" s="1"/>
  <c r="AA12" i="2" s="1"/>
  <c r="AB12" i="2" s="1"/>
  <c r="S11" i="2"/>
  <c r="T11" i="2" s="1"/>
  <c r="U11" i="2" s="1"/>
  <c r="V11" i="2" s="1"/>
  <c r="W11" i="2" s="1"/>
  <c r="X11" i="2" s="1"/>
  <c r="Y11" i="2" s="1"/>
  <c r="Z11" i="2" s="1"/>
  <c r="AA11" i="2" s="1"/>
  <c r="AB11" i="2" s="1"/>
  <c r="S8" i="2"/>
  <c r="T8" i="2" s="1"/>
  <c r="U8" i="2" s="1"/>
  <c r="V8" i="2" s="1"/>
  <c r="W8" i="2" s="1"/>
  <c r="X8" i="2" s="1"/>
  <c r="Y8" i="2" s="1"/>
  <c r="Z8" i="2" s="1"/>
  <c r="AA8" i="2" s="1"/>
  <c r="AB8" i="2" s="1"/>
  <c r="S7" i="2"/>
  <c r="T7" i="2" s="1"/>
  <c r="S5" i="2"/>
  <c r="R11" i="2"/>
  <c r="R8" i="2"/>
  <c r="Q7" i="2"/>
  <c r="R7" i="2"/>
  <c r="R23" i="2" s="1"/>
  <c r="R6" i="2"/>
  <c r="R5" i="2"/>
  <c r="R4" i="2" s="1"/>
  <c r="R22" i="2"/>
  <c r="Q23" i="2"/>
  <c r="P26" i="2"/>
  <c r="O26" i="2"/>
  <c r="N26" i="2"/>
  <c r="M26" i="2"/>
  <c r="L26" i="2"/>
  <c r="P25" i="2"/>
  <c r="O25" i="2"/>
  <c r="N25" i="2"/>
  <c r="M25" i="2"/>
  <c r="L25" i="2"/>
  <c r="P24" i="2"/>
  <c r="O24" i="2"/>
  <c r="N24" i="2"/>
  <c r="M24" i="2"/>
  <c r="L24" i="2"/>
  <c r="P23" i="2"/>
  <c r="O23" i="2"/>
  <c r="N23" i="2"/>
  <c r="M23" i="2"/>
  <c r="P22" i="2"/>
  <c r="O22" i="2"/>
  <c r="N22" i="2"/>
  <c r="M22" i="2"/>
  <c r="P21" i="2"/>
  <c r="O21" i="2"/>
  <c r="N21" i="2"/>
  <c r="M21" i="2"/>
  <c r="L21" i="2"/>
  <c r="P20" i="2"/>
  <c r="O20" i="2"/>
  <c r="N20" i="2"/>
  <c r="M20" i="2"/>
  <c r="Q22" i="2"/>
  <c r="Q21" i="2"/>
  <c r="Q20" i="2"/>
  <c r="L17" i="2"/>
  <c r="L5" i="2"/>
  <c r="L9" i="2" s="1"/>
  <c r="L13" i="2" s="1"/>
  <c r="L16" i="2" s="1"/>
  <c r="L18" i="2" s="1"/>
  <c r="M17" i="2"/>
  <c r="M5" i="2"/>
  <c r="M9" i="2" s="1"/>
  <c r="M13" i="2" s="1"/>
  <c r="M16" i="2" s="1"/>
  <c r="M18" i="2" s="1"/>
  <c r="N15" i="2"/>
  <c r="N17" i="2"/>
  <c r="N5" i="2"/>
  <c r="N9" i="2" s="1"/>
  <c r="N13" i="2" s="1"/>
  <c r="O15" i="2"/>
  <c r="O17" i="2"/>
  <c r="O5" i="2"/>
  <c r="O9" i="2" s="1"/>
  <c r="O13" i="2" s="1"/>
  <c r="P17" i="2"/>
  <c r="P5" i="2"/>
  <c r="P9" i="2" s="1"/>
  <c r="P13" i="2" s="1"/>
  <c r="P16" i="2" s="1"/>
  <c r="P18" i="2" s="1"/>
  <c r="Q17" i="2"/>
  <c r="Q5" i="2"/>
  <c r="F3" i="1"/>
  <c r="D8" i="1" l="1"/>
  <c r="AE24" i="2" s="1"/>
  <c r="H5" i="2"/>
  <c r="H9" i="2" s="1"/>
  <c r="G9" i="2"/>
  <c r="I24" i="2"/>
  <c r="I13" i="2"/>
  <c r="I21" i="2"/>
  <c r="V6" i="2"/>
  <c r="S9" i="2"/>
  <c r="S24" i="2" s="1"/>
  <c r="T3" i="2"/>
  <c r="U3" i="2" s="1"/>
  <c r="V3" i="2" s="1"/>
  <c r="W3" i="2" s="1"/>
  <c r="X3" i="2" s="1"/>
  <c r="Y3" i="2" s="1"/>
  <c r="Z3" i="2" s="1"/>
  <c r="AA3" i="2" s="1"/>
  <c r="AB3" i="2" s="1"/>
  <c r="S22" i="2"/>
  <c r="T22" i="2"/>
  <c r="U7" i="2"/>
  <c r="T23" i="2"/>
  <c r="S21" i="2"/>
  <c r="R9" i="2"/>
  <c r="S23" i="2"/>
  <c r="R21" i="2"/>
  <c r="R20" i="2"/>
  <c r="S20" i="2"/>
  <c r="Q9" i="2"/>
  <c r="N16" i="2"/>
  <c r="N18" i="2" s="1"/>
  <c r="O16" i="2"/>
  <c r="O18" i="2" s="1"/>
  <c r="D9" i="1" l="1"/>
  <c r="H13" i="2"/>
  <c r="H24" i="2"/>
  <c r="G24" i="2"/>
  <c r="G13" i="2"/>
  <c r="I25" i="2"/>
  <c r="I16" i="2"/>
  <c r="S13" i="2"/>
  <c r="S25" i="2" s="1"/>
  <c r="R24" i="2"/>
  <c r="R13" i="2"/>
  <c r="T20" i="2"/>
  <c r="T5" i="2"/>
  <c r="V7" i="2"/>
  <c r="U23" i="2"/>
  <c r="U22" i="2"/>
  <c r="Q24" i="2"/>
  <c r="Q13" i="2"/>
  <c r="I33" i="2" l="1"/>
  <c r="I32" i="2"/>
  <c r="H16" i="2"/>
  <c r="H25" i="2"/>
  <c r="G16" i="2"/>
  <c r="G25" i="2"/>
  <c r="I26" i="2"/>
  <c r="I18" i="2"/>
  <c r="R25" i="2"/>
  <c r="T21" i="2"/>
  <c r="T9" i="2"/>
  <c r="V22" i="2"/>
  <c r="V23" i="2"/>
  <c r="W7" i="2"/>
  <c r="U20" i="2"/>
  <c r="U5" i="2"/>
  <c r="S16" i="2"/>
  <c r="T4" i="2"/>
  <c r="Q16" i="2"/>
  <c r="Q25" i="2"/>
  <c r="H18" i="2" l="1"/>
  <c r="H26" i="2"/>
  <c r="G26" i="2"/>
  <c r="G18" i="2"/>
  <c r="R16" i="2"/>
  <c r="R26" i="2"/>
  <c r="R18" i="2"/>
  <c r="W22" i="2"/>
  <c r="S18" i="2"/>
  <c r="S26" i="2"/>
  <c r="V5" i="2"/>
  <c r="V4" i="2" s="1"/>
  <c r="V20" i="2"/>
  <c r="X7" i="2"/>
  <c r="W23" i="2"/>
  <c r="U21" i="2"/>
  <c r="U9" i="2"/>
  <c r="T13" i="2"/>
  <c r="T24" i="2"/>
  <c r="U4" i="2"/>
  <c r="Q18" i="2"/>
  <c r="Q26" i="2"/>
  <c r="T25" i="2" l="1"/>
  <c r="V21" i="2"/>
  <c r="V9" i="2"/>
  <c r="W5" i="2"/>
  <c r="W4" i="2" s="1"/>
  <c r="W20" i="2"/>
  <c r="U13" i="2"/>
  <c r="U24" i="2"/>
  <c r="Y7" i="2"/>
  <c r="X23" i="2"/>
  <c r="X22" i="2"/>
  <c r="U25" i="2" l="1"/>
  <c r="T16" i="2"/>
  <c r="X5" i="2"/>
  <c r="X4" i="2" s="1"/>
  <c r="X20" i="2"/>
  <c r="Y22" i="2"/>
  <c r="W21" i="2"/>
  <c r="W9" i="2"/>
  <c r="V24" i="2"/>
  <c r="V13" i="2"/>
  <c r="Z7" i="2"/>
  <c r="Y23" i="2"/>
  <c r="AA7" i="2" l="1"/>
  <c r="Z23" i="2"/>
  <c r="V25" i="2"/>
  <c r="Z22" i="2"/>
  <c r="U16" i="2"/>
  <c r="Y5" i="2"/>
  <c r="Y20" i="2"/>
  <c r="X21" i="2"/>
  <c r="X9" i="2"/>
  <c r="W24" i="2"/>
  <c r="W13" i="2"/>
  <c r="T18" i="2"/>
  <c r="T26" i="2"/>
  <c r="W25" i="2" l="1"/>
  <c r="Y21" i="2"/>
  <c r="Y9" i="2"/>
  <c r="AA22" i="2"/>
  <c r="AB22" i="2"/>
  <c r="V16" i="2"/>
  <c r="Y4" i="2"/>
  <c r="U26" i="2"/>
  <c r="U18" i="2"/>
  <c r="X24" i="2"/>
  <c r="X13" i="2"/>
  <c r="Z5" i="2"/>
  <c r="Z20" i="2"/>
  <c r="Z4" i="2"/>
  <c r="AB7" i="2"/>
  <c r="AB23" i="2" s="1"/>
  <c r="AA23" i="2"/>
  <c r="V26" i="2" l="1"/>
  <c r="V18" i="2"/>
  <c r="X25" i="2"/>
  <c r="Z9" i="2"/>
  <c r="Z21" i="2"/>
  <c r="AA5" i="2"/>
  <c r="AA20" i="2"/>
  <c r="Y24" i="2"/>
  <c r="Y13" i="2"/>
  <c r="W16" i="2"/>
  <c r="Y25" i="2" l="1"/>
  <c r="AA21" i="2"/>
  <c r="AA9" i="2"/>
  <c r="AB20" i="2"/>
  <c r="AB5" i="2"/>
  <c r="AB4" i="2" s="1"/>
  <c r="W26" i="2"/>
  <c r="W18" i="2"/>
  <c r="X16" i="2"/>
  <c r="AA4" i="2"/>
  <c r="Z24" i="2"/>
  <c r="Z13" i="2"/>
  <c r="AB21" i="2" l="1"/>
  <c r="AB9" i="2"/>
  <c r="Z25" i="2"/>
  <c r="Z16" i="2"/>
  <c r="X18" i="2"/>
  <c r="X26" i="2"/>
  <c r="AA13" i="2"/>
  <c r="AA24" i="2"/>
  <c r="Y16" i="2"/>
  <c r="Z18" i="2" l="1"/>
  <c r="Z26" i="2"/>
  <c r="Y18" i="2"/>
  <c r="Y26" i="2"/>
  <c r="AA25" i="2"/>
  <c r="AB13" i="2"/>
  <c r="AB24" i="2"/>
  <c r="AA16" i="2" l="1"/>
  <c r="AA18" i="2" s="1"/>
  <c r="AB25" i="2"/>
  <c r="AA26" i="2" l="1"/>
  <c r="AB16" i="2"/>
  <c r="AC16" i="2" s="1"/>
  <c r="AD16" i="2" s="1"/>
  <c r="AE16" i="2" s="1"/>
  <c r="AF16" i="2" s="1"/>
  <c r="AG16" i="2" s="1"/>
  <c r="AH16" i="2" s="1"/>
  <c r="AI16" i="2" s="1"/>
  <c r="AJ16" i="2" s="1"/>
  <c r="AK16" i="2" s="1"/>
  <c r="AL16" i="2" s="1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AE23" i="2" s="1"/>
  <c r="AE25" i="2" s="1"/>
  <c r="AE26" i="2" s="1"/>
  <c r="AE28" i="2" s="1"/>
  <c r="AB18" i="2" l="1"/>
  <c r="AB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Q7" authorId="0" shapeId="0" xr:uid="{385AE349-66F1-42B6-A622-D196341579D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-137-413 previous r&amp;d impairment charge</t>
        </r>
      </text>
    </comment>
  </commentList>
</comments>
</file>

<file path=xl/sharedStrings.xml><?xml version="1.0" encoding="utf-8"?>
<sst xmlns="http://schemas.openxmlformats.org/spreadsheetml/2006/main" count="58" uniqueCount="53">
  <si>
    <t>RR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</si>
  <si>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</si>
  <si>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</si>
  <si>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</si>
  <si>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</si>
  <si>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</si>
  <si>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</si>
  <si>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</si>
  <si>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</si>
  <si>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</si>
  <si>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</si>
  <si>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</si>
  <si>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</si>
  <si>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</si>
  <si>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Gross profit</t>
  </si>
  <si>
    <t>G&amp;A</t>
  </si>
  <si>
    <t>R&amp;D</t>
  </si>
  <si>
    <t>Other income</t>
  </si>
  <si>
    <t>Operating profit</t>
  </si>
  <si>
    <t>Finance income</t>
  </si>
  <si>
    <t>Interest income</t>
  </si>
  <si>
    <t>Interest expense</t>
  </si>
  <si>
    <t>Pretax profit</t>
  </si>
  <si>
    <t>Taxes</t>
  </si>
  <si>
    <t>MI</t>
  </si>
  <si>
    <t>Net profit</t>
  </si>
  <si>
    <t>EPS</t>
  </si>
  <si>
    <t>H122</t>
  </si>
  <si>
    <t>H222</t>
  </si>
  <si>
    <t>H123</t>
  </si>
  <si>
    <t>H223</t>
  </si>
  <si>
    <t>H124</t>
  </si>
  <si>
    <t>H125</t>
  </si>
  <si>
    <t>H225</t>
  </si>
  <si>
    <t>Revenue y/y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</si>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</sst>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6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</xdr:colOff>
      <xdr:row>0</xdr:row>
      <xdr:rowOff>0</xdr:rowOff>
    </xdr:from>
    <xdr:to>
      <xdr:col>17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3E2F361-9150-062B-3590-40DD2E55C151}"/>
            </a:ext>
          </a:extLst>
        </xdr:cNvPr>
        <xdr:cNvCxnSpPr/>
      </xdr:nvCxnSpPr>
      <xdr:spPr>
        <a:xfrm>
          <a:off x="1088136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765BE-4B1E-4DF0-8982-704CFEB0A8DF}">
  <dimension ref="B2:G9"/>
  <sheetViews>
    <sheetView workbookViewId="0">
      <selection activeCell="E4" sqref="E4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6">
        <v>11.685</v>
      </c>
      <c r="E3" s="5">
        <v>45934</v>
      </c>
      <c r="F3" s="5">
        <f ca="1">TODAY()</f>
        <v>45934</v>
      </c>
      <c r="G3" s="5">
        <v>46079</v>
      </c>
    </row>
    <row r="4" spans="2:7" x14ac:dyDescent="0.3">
      <c r="C4" s="1" t="s">
        <v>2</v>
      </c>
      <c r="D4" s="7">
        <f>8430</f>
        <v>8430</v>
      </c>
      <c r="E4" s="4" t="s">
        <v>32</v>
      </c>
    </row>
    <row r="5" spans="2:7" x14ac:dyDescent="0.3">
      <c r="C5" s="1" t="s">
        <v>3</v>
      </c>
      <c r="D5" s="7">
        <f>D3*D4</f>
        <v>98504.55</v>
      </c>
    </row>
    <row r="6" spans="2:7" x14ac:dyDescent="0.3">
      <c r="C6" s="1" t="s">
        <v>4</v>
      </c>
      <c r="D6" s="7">
        <f>6044+1244</f>
        <v>7288</v>
      </c>
      <c r="E6" s="4" t="s">
        <v>32</v>
      </c>
    </row>
    <row r="7" spans="2:7" x14ac:dyDescent="0.3">
      <c r="C7" s="1" t="s">
        <v>5</v>
      </c>
      <c r="D7" s="7">
        <f>2838+2071</f>
        <v>4909</v>
      </c>
      <c r="E7" s="4" t="s">
        <v>32</v>
      </c>
    </row>
    <row r="8" spans="2:7" x14ac:dyDescent="0.3">
      <c r="C8" s="1" t="s">
        <v>6</v>
      </c>
      <c r="D8" s="7">
        <f>D6-D7</f>
        <v>2379</v>
      </c>
    </row>
    <row r="9" spans="2:7" x14ac:dyDescent="0.3">
      <c r="C9" s="1" t="s">
        <v>7</v>
      </c>
      <c r="D9" s="7">
        <f>D5-D8</f>
        <v>96125.55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B4C5F-62A7-4173-B013-659370C01118}">
  <dimension ref="B2:EK33"/>
  <sheetViews>
    <sheetView tabSelected="1" workbookViewId="0">
      <pane xSplit="2" ySplit="2" topLeftCell="L4" activePane="bottomRight" state="frozen"/>
      <selection pane="topRight" activeCell="C1" sqref="C1"/>
      <selection pane="bottomLeft" activeCell="A3" sqref="A3"/>
      <selection pane="bottomRight" activeCell="P29" sqref="P29"/>
    </sheetView>
  </sheetViews>
  <sheetFormatPr defaultRowHeight="14.4" x14ac:dyDescent="0.3"/>
  <cols>
    <col min="1" max="1" width="8.88671875" style="1"/>
    <col min="2" max="2" width="16" style="1" customWidth="1"/>
    <col min="3" max="29" width="8.88671875" style="1"/>
    <col min="30" max="30" width="12.77734375" style="1" customWidth="1"/>
    <col min="31" max="31" width="16.44140625" style="1" bestFit="1" customWidth="1"/>
    <col min="32" max="16384" width="8.88671875" style="1"/>
  </cols>
  <sheetData>
    <row r="2" spans="2:141" x14ac:dyDescent="0.3">
      <c r="C2" s="3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11</v>
      </c>
      <c r="I2" s="3" t="s">
        <v>32</v>
      </c>
      <c r="J2" s="3" t="s">
        <v>33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141" s="2" customFormat="1" x14ac:dyDescent="0.3">
      <c r="B3" s="2" t="s">
        <v>12</v>
      </c>
      <c r="G3" s="9">
        <v>8861</v>
      </c>
      <c r="H3" s="9">
        <f>Q3-G3</f>
        <v>10048</v>
      </c>
      <c r="I3" s="9">
        <v>9490</v>
      </c>
      <c r="L3" s="9">
        <v>16587</v>
      </c>
      <c r="M3" s="9">
        <v>11824</v>
      </c>
      <c r="N3" s="9">
        <v>11218</v>
      </c>
      <c r="O3" s="9">
        <v>13520</v>
      </c>
      <c r="P3" s="9">
        <v>16486</v>
      </c>
      <c r="Q3" s="9">
        <v>18909</v>
      </c>
      <c r="R3" s="9">
        <f>Q3*1.12</f>
        <v>21178.080000000002</v>
      </c>
      <c r="S3" s="9">
        <f>R3*1.08</f>
        <v>22872.326400000002</v>
      </c>
      <c r="T3" s="9">
        <f>S3*1.06</f>
        <v>24244.665984000003</v>
      </c>
      <c r="U3" s="9">
        <f>T3*1.05</f>
        <v>25456.899283200004</v>
      </c>
      <c r="V3" s="9">
        <f>U3*1.04</f>
        <v>26475.175254528003</v>
      </c>
      <c r="W3" s="9">
        <f>V3*1.03</f>
        <v>27269.430512163843</v>
      </c>
      <c r="X3" s="9">
        <f t="shared" ref="X3:AB3" si="0">W3*1.03</f>
        <v>28087.51342752876</v>
      </c>
      <c r="Y3" s="9">
        <f t="shared" si="0"/>
        <v>28930.138830354623</v>
      </c>
      <c r="Z3" s="9">
        <f t="shared" si="0"/>
        <v>29798.042995265263</v>
      </c>
      <c r="AA3" s="9">
        <f t="shared" si="0"/>
        <v>30691.984285123221</v>
      </c>
      <c r="AB3" s="9">
        <f t="shared" si="0"/>
        <v>31612.74381367692</v>
      </c>
    </row>
    <row r="4" spans="2:141" x14ac:dyDescent="0.3">
      <c r="B4" s="1" t="s">
        <v>13</v>
      </c>
      <c r="G4" s="7">
        <v>6753</v>
      </c>
      <c r="H4" s="7">
        <f>Q4-G4</f>
        <v>7935</v>
      </c>
      <c r="I4" s="7">
        <v>6563</v>
      </c>
      <c r="L4" s="7">
        <v>15645</v>
      </c>
      <c r="M4" s="7">
        <v>12034</v>
      </c>
      <c r="N4" s="7">
        <v>9082</v>
      </c>
      <c r="O4" s="7">
        <v>10763</v>
      </c>
      <c r="P4" s="7">
        <v>12866</v>
      </c>
      <c r="Q4" s="7">
        <v>14688</v>
      </c>
      <c r="R4" s="7">
        <f>R3-R5</f>
        <v>16518.902400000003</v>
      </c>
      <c r="S4" s="7">
        <f t="shared" ref="S4:AB4" si="1">S3-S5</f>
        <v>17840.414592000001</v>
      </c>
      <c r="T4" s="7">
        <f t="shared" si="1"/>
        <v>18910.839467520003</v>
      </c>
      <c r="U4" s="7">
        <f t="shared" si="1"/>
        <v>19856.381440896002</v>
      </c>
      <c r="V4" s="7">
        <f t="shared" si="1"/>
        <v>20650.636698531842</v>
      </c>
      <c r="W4" s="7">
        <f t="shared" si="1"/>
        <v>21270.155799487799</v>
      </c>
      <c r="X4" s="7">
        <f t="shared" si="1"/>
        <v>21908.260473472434</v>
      </c>
      <c r="Y4" s="7">
        <f t="shared" si="1"/>
        <v>22565.508287676606</v>
      </c>
      <c r="Z4" s="7">
        <f t="shared" si="1"/>
        <v>23242.473536306905</v>
      </c>
      <c r="AA4" s="7">
        <f t="shared" si="1"/>
        <v>23939.74774239611</v>
      </c>
      <c r="AB4" s="7">
        <f t="shared" si="1"/>
        <v>24657.940174667998</v>
      </c>
    </row>
    <row r="5" spans="2:141" s="2" customFormat="1" x14ac:dyDescent="0.3">
      <c r="B5" s="2" t="s">
        <v>14</v>
      </c>
      <c r="G5" s="9">
        <f t="shared" ref="G5:I5" si="2">G3-G4</f>
        <v>2108</v>
      </c>
      <c r="H5" s="9">
        <f t="shared" ref="H5" si="3">H3-H4</f>
        <v>2113</v>
      </c>
      <c r="I5" s="9">
        <f t="shared" si="2"/>
        <v>2927</v>
      </c>
      <c r="L5" s="9">
        <f t="shared" ref="L5:Q5" si="4">L3-L4</f>
        <v>942</v>
      </c>
      <c r="M5" s="9">
        <f t="shared" si="4"/>
        <v>-210</v>
      </c>
      <c r="N5" s="9">
        <f t="shared" si="4"/>
        <v>2136</v>
      </c>
      <c r="O5" s="9">
        <f t="shared" si="4"/>
        <v>2757</v>
      </c>
      <c r="P5" s="9">
        <f t="shared" si="4"/>
        <v>3620</v>
      </c>
      <c r="Q5" s="9">
        <f t="shared" si="4"/>
        <v>4221</v>
      </c>
      <c r="R5" s="9">
        <f>R3*0.22</f>
        <v>4659.1776</v>
      </c>
      <c r="S5" s="9">
        <f t="shared" ref="S5:AB5" si="5">S3*0.22</f>
        <v>5031.9118080000007</v>
      </c>
      <c r="T5" s="9">
        <f t="shared" si="5"/>
        <v>5333.8265164800005</v>
      </c>
      <c r="U5" s="9">
        <f t="shared" si="5"/>
        <v>5600.5178423040006</v>
      </c>
      <c r="V5" s="9">
        <f t="shared" si="5"/>
        <v>5824.5385559961605</v>
      </c>
      <c r="W5" s="9">
        <f t="shared" si="5"/>
        <v>5999.2747126760451</v>
      </c>
      <c r="X5" s="9">
        <f t="shared" si="5"/>
        <v>6179.2529540563273</v>
      </c>
      <c r="Y5" s="9">
        <f t="shared" si="5"/>
        <v>6364.6305426780173</v>
      </c>
      <c r="Z5" s="9">
        <f t="shared" si="5"/>
        <v>6555.5694589583582</v>
      </c>
      <c r="AA5" s="9">
        <f t="shared" si="5"/>
        <v>6752.2365427271088</v>
      </c>
      <c r="AB5" s="9">
        <f t="shared" si="5"/>
        <v>6954.8036390089228</v>
      </c>
    </row>
    <row r="6" spans="2:141" x14ac:dyDescent="0.3">
      <c r="B6" s="1" t="s">
        <v>15</v>
      </c>
      <c r="G6" s="7">
        <v>641</v>
      </c>
      <c r="H6" s="7">
        <f t="shared" ref="H6:H8" si="6">Q6-G6</f>
        <v>643</v>
      </c>
      <c r="I6" s="7">
        <v>631</v>
      </c>
      <c r="L6" s="7">
        <v>1128</v>
      </c>
      <c r="M6" s="7">
        <v>808</v>
      </c>
      <c r="N6" s="7">
        <v>890</v>
      </c>
      <c r="O6" s="7">
        <v>1077</v>
      </c>
      <c r="P6" s="7">
        <v>1110</v>
      </c>
      <c r="Q6" s="7">
        <v>1284</v>
      </c>
      <c r="R6" s="7">
        <f>Q6*1.08</f>
        <v>1386.72</v>
      </c>
      <c r="S6" s="7">
        <f>R6*1.05</f>
        <v>1456.056</v>
      </c>
      <c r="T6" s="7">
        <f>S6*1.03</f>
        <v>1499.7376800000002</v>
      </c>
      <c r="U6" s="7">
        <f>T6*1.02</f>
        <v>1529.7324336000001</v>
      </c>
      <c r="V6" s="7">
        <f>U6*1.02</f>
        <v>1560.3270822720001</v>
      </c>
      <c r="W6" s="7">
        <f>V6*1.01</f>
        <v>1575.9303530947202</v>
      </c>
      <c r="X6" s="7">
        <f t="shared" ref="X6:AB6" si="7">W6*1.01</f>
        <v>1591.6896566256673</v>
      </c>
      <c r="Y6" s="7">
        <f t="shared" si="7"/>
        <v>1607.6065531919239</v>
      </c>
      <c r="Z6" s="7">
        <f t="shared" si="7"/>
        <v>1623.6826187238432</v>
      </c>
      <c r="AA6" s="7">
        <f t="shared" si="7"/>
        <v>1639.9194449110817</v>
      </c>
      <c r="AB6" s="7">
        <f t="shared" si="7"/>
        <v>1656.3186393601925</v>
      </c>
    </row>
    <row r="7" spans="2:141" x14ac:dyDescent="0.3">
      <c r="B7" s="1" t="s">
        <v>16</v>
      </c>
      <c r="G7" s="7">
        <v>-101</v>
      </c>
      <c r="H7" s="7">
        <f t="shared" si="6"/>
        <v>854</v>
      </c>
      <c r="I7" s="7">
        <v>246</v>
      </c>
      <c r="L7" s="7">
        <v>770</v>
      </c>
      <c r="M7" s="7">
        <v>1254</v>
      </c>
      <c r="N7" s="7">
        <v>778</v>
      </c>
      <c r="O7" s="7">
        <v>891</v>
      </c>
      <c r="P7" s="7">
        <v>739</v>
      </c>
      <c r="Q7" s="7">
        <f>203+413+137</f>
        <v>753</v>
      </c>
      <c r="R7" s="7">
        <f>Q7*1.02</f>
        <v>768.06000000000006</v>
      </c>
      <c r="S7" s="7">
        <f t="shared" ref="S7:AB7" si="8">R7*1.02</f>
        <v>783.42120000000011</v>
      </c>
      <c r="T7" s="7">
        <f t="shared" si="8"/>
        <v>799.08962400000019</v>
      </c>
      <c r="U7" s="7">
        <f t="shared" si="8"/>
        <v>815.07141648000015</v>
      </c>
      <c r="V7" s="7">
        <f t="shared" si="8"/>
        <v>831.37284480960022</v>
      </c>
      <c r="W7" s="7">
        <f t="shared" si="8"/>
        <v>848.00030170579225</v>
      </c>
      <c r="X7" s="7">
        <f t="shared" si="8"/>
        <v>864.9603077399081</v>
      </c>
      <c r="Y7" s="7">
        <f t="shared" si="8"/>
        <v>882.25951389470629</v>
      </c>
      <c r="Z7" s="7">
        <f t="shared" si="8"/>
        <v>899.90470417260042</v>
      </c>
      <c r="AA7" s="7">
        <f t="shared" si="8"/>
        <v>917.90279825605239</v>
      </c>
      <c r="AB7" s="7">
        <f t="shared" si="8"/>
        <v>936.26085422117342</v>
      </c>
    </row>
    <row r="8" spans="2:141" x14ac:dyDescent="0.3">
      <c r="B8" s="1" t="s">
        <v>17</v>
      </c>
      <c r="G8" s="7">
        <v>-78</v>
      </c>
      <c r="H8" s="7">
        <f t="shared" si="6"/>
        <v>-94</v>
      </c>
      <c r="I8" s="7">
        <v>-24</v>
      </c>
      <c r="L8" s="7">
        <v>-104</v>
      </c>
      <c r="M8" s="7">
        <v>-191</v>
      </c>
      <c r="N8" s="7">
        <v>-45</v>
      </c>
      <c r="O8" s="7">
        <v>-48</v>
      </c>
      <c r="P8" s="7">
        <v>-173</v>
      </c>
      <c r="Q8" s="7">
        <v>-172</v>
      </c>
      <c r="R8" s="7">
        <f>Q8*1.01</f>
        <v>-173.72</v>
      </c>
      <c r="S8" s="7">
        <f t="shared" ref="S8:AB8" si="9">R8*1.01</f>
        <v>-175.4572</v>
      </c>
      <c r="T8" s="7">
        <f t="shared" si="9"/>
        <v>-177.211772</v>
      </c>
      <c r="U8" s="7">
        <f t="shared" si="9"/>
        <v>-178.98388972000001</v>
      </c>
      <c r="V8" s="7">
        <f t="shared" si="9"/>
        <v>-180.77372861720002</v>
      </c>
      <c r="W8" s="7">
        <f t="shared" si="9"/>
        <v>-182.58146590337202</v>
      </c>
      <c r="X8" s="7">
        <f t="shared" si="9"/>
        <v>-184.40728056240573</v>
      </c>
      <c r="Y8" s="7">
        <f t="shared" si="9"/>
        <v>-186.25135336802978</v>
      </c>
      <c r="Z8" s="7">
        <f t="shared" si="9"/>
        <v>-188.11386690171008</v>
      </c>
      <c r="AA8" s="7">
        <f t="shared" si="9"/>
        <v>-189.99500557072719</v>
      </c>
      <c r="AB8" s="7">
        <f t="shared" si="9"/>
        <v>-191.89495562643447</v>
      </c>
    </row>
    <row r="9" spans="2:141" s="2" customFormat="1" x14ac:dyDescent="0.3">
      <c r="B9" s="2" t="s">
        <v>18</v>
      </c>
      <c r="G9" s="9">
        <f t="shared" ref="G9:I9" si="10">G5-G6-G7-G8</f>
        <v>1646</v>
      </c>
      <c r="H9" s="9">
        <f t="shared" ref="H9" si="11">H5-H6-H7-H8</f>
        <v>710</v>
      </c>
      <c r="I9" s="9">
        <f t="shared" si="10"/>
        <v>2074</v>
      </c>
      <c r="L9" s="9">
        <f t="shared" ref="L9:R9" si="12">L5-L6-L7-L8</f>
        <v>-852</v>
      </c>
      <c r="M9" s="9">
        <f t="shared" si="12"/>
        <v>-2081</v>
      </c>
      <c r="N9" s="9">
        <f t="shared" si="12"/>
        <v>513</v>
      </c>
      <c r="O9" s="9">
        <f t="shared" si="12"/>
        <v>837</v>
      </c>
      <c r="P9" s="9">
        <f t="shared" si="12"/>
        <v>1944</v>
      </c>
      <c r="Q9" s="9">
        <f t="shared" si="12"/>
        <v>2356</v>
      </c>
      <c r="R9" s="9">
        <f t="shared" si="12"/>
        <v>2678.1175999999996</v>
      </c>
      <c r="S9" s="9">
        <f t="shared" ref="S9:AB9" si="13">S5-S6-S7-S8</f>
        <v>2967.8918080000003</v>
      </c>
      <c r="T9" s="9">
        <f t="shared" si="13"/>
        <v>3212.2109844800002</v>
      </c>
      <c r="U9" s="9">
        <f t="shared" si="13"/>
        <v>3434.6978819440005</v>
      </c>
      <c r="V9" s="9">
        <f t="shared" si="13"/>
        <v>3613.6123575317606</v>
      </c>
      <c r="W9" s="9">
        <f t="shared" si="13"/>
        <v>3757.9255237789048</v>
      </c>
      <c r="X9" s="9">
        <f t="shared" si="13"/>
        <v>3907.0102702531576</v>
      </c>
      <c r="Y9" s="9">
        <f t="shared" si="13"/>
        <v>4061.0158289594169</v>
      </c>
      <c r="Z9" s="9">
        <f t="shared" si="13"/>
        <v>4220.0960029636253</v>
      </c>
      <c r="AA9" s="9">
        <f t="shared" si="13"/>
        <v>4384.4093051307009</v>
      </c>
      <c r="AB9" s="9">
        <f t="shared" si="13"/>
        <v>4554.1191010539906</v>
      </c>
    </row>
    <row r="10" spans="2:141" x14ac:dyDescent="0.3">
      <c r="B10" s="1" t="s">
        <v>19</v>
      </c>
      <c r="G10" s="7">
        <v>0</v>
      </c>
      <c r="H10" s="7">
        <f t="shared" ref="H10:H12" si="14">Q10-G10</f>
        <v>-16</v>
      </c>
      <c r="I10" s="7">
        <v>-679</v>
      </c>
      <c r="L10" s="7">
        <v>-139</v>
      </c>
      <c r="M10" s="7">
        <v>14</v>
      </c>
      <c r="N10" s="7">
        <v>-56</v>
      </c>
      <c r="O10" s="7">
        <v>-81</v>
      </c>
      <c r="P10" s="7">
        <v>-1</v>
      </c>
      <c r="Q10" s="7">
        <v>-16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</row>
    <row r="11" spans="2:141" x14ac:dyDescent="0.3">
      <c r="B11" s="1" t="s">
        <v>20</v>
      </c>
      <c r="G11" s="7">
        <v>-306</v>
      </c>
      <c r="H11" s="7">
        <f t="shared" si="14"/>
        <v>-230</v>
      </c>
      <c r="I11" s="7">
        <v>-2342</v>
      </c>
      <c r="L11" s="7">
        <v>-252</v>
      </c>
      <c r="M11" s="7">
        <v>-67</v>
      </c>
      <c r="N11" s="7">
        <v>-229</v>
      </c>
      <c r="O11" s="7">
        <v>-355</v>
      </c>
      <c r="P11" s="7">
        <v>-1163</v>
      </c>
      <c r="Q11" s="7">
        <v>-536</v>
      </c>
      <c r="R11" s="7">
        <f>Q11*1.05</f>
        <v>-562.80000000000007</v>
      </c>
      <c r="S11" s="7">
        <f t="shared" ref="S11:AB11" si="15">R11*1.05</f>
        <v>-590.94000000000005</v>
      </c>
      <c r="T11" s="7">
        <f t="shared" si="15"/>
        <v>-620.48700000000008</v>
      </c>
      <c r="U11" s="7">
        <f t="shared" si="15"/>
        <v>-651.51135000000011</v>
      </c>
      <c r="V11" s="7">
        <f t="shared" si="15"/>
        <v>-684.08691750000014</v>
      </c>
      <c r="W11" s="7">
        <f t="shared" si="15"/>
        <v>-718.2912633750002</v>
      </c>
      <c r="X11" s="7">
        <f t="shared" si="15"/>
        <v>-754.20582654375028</v>
      </c>
      <c r="Y11" s="7">
        <f t="shared" si="15"/>
        <v>-791.9161178709378</v>
      </c>
      <c r="Z11" s="7">
        <f t="shared" si="15"/>
        <v>-831.51192376448478</v>
      </c>
      <c r="AA11" s="7">
        <f t="shared" si="15"/>
        <v>-873.08751995270904</v>
      </c>
      <c r="AB11" s="7">
        <f t="shared" si="15"/>
        <v>-916.74189595034454</v>
      </c>
    </row>
    <row r="12" spans="2:141" x14ac:dyDescent="0.3">
      <c r="B12" s="1" t="s">
        <v>21</v>
      </c>
      <c r="G12" s="7">
        <v>536</v>
      </c>
      <c r="H12" s="7">
        <f t="shared" si="14"/>
        <v>688</v>
      </c>
      <c r="I12" s="7">
        <v>254</v>
      </c>
      <c r="L12" s="7">
        <v>430</v>
      </c>
      <c r="M12" s="7">
        <v>882</v>
      </c>
      <c r="N12" s="7">
        <v>1092</v>
      </c>
      <c r="O12" s="7">
        <v>2775</v>
      </c>
      <c r="P12" s="7">
        <v>681</v>
      </c>
      <c r="Q12" s="7">
        <v>1224</v>
      </c>
      <c r="R12" s="7">
        <v>1000</v>
      </c>
      <c r="S12" s="7">
        <f t="shared" ref="S12:AB12" si="16">R12*1.01</f>
        <v>1010</v>
      </c>
      <c r="T12" s="7">
        <f t="shared" si="16"/>
        <v>1020.1</v>
      </c>
      <c r="U12" s="7">
        <f t="shared" si="16"/>
        <v>1030.3009999999999</v>
      </c>
      <c r="V12" s="7">
        <f t="shared" si="16"/>
        <v>1040.60401</v>
      </c>
      <c r="W12" s="7">
        <f t="shared" si="16"/>
        <v>1051.0100500999999</v>
      </c>
      <c r="X12" s="7">
        <f t="shared" si="16"/>
        <v>1061.5201506009998</v>
      </c>
      <c r="Y12" s="7">
        <f t="shared" si="16"/>
        <v>1072.1353521070098</v>
      </c>
      <c r="Z12" s="7">
        <f t="shared" si="16"/>
        <v>1082.8567056280799</v>
      </c>
      <c r="AA12" s="7">
        <f t="shared" si="16"/>
        <v>1093.6852726843608</v>
      </c>
      <c r="AB12" s="7">
        <f t="shared" si="16"/>
        <v>1104.6221254112045</v>
      </c>
    </row>
    <row r="13" spans="2:141" s="2" customFormat="1" x14ac:dyDescent="0.3">
      <c r="B13" s="2" t="s">
        <v>22</v>
      </c>
      <c r="G13" s="9">
        <f t="shared" ref="G13:I13" si="17">G9-G10-G11-G12</f>
        <v>1416</v>
      </c>
      <c r="H13" s="9">
        <f t="shared" ref="H13" si="18">H9-H10-H11-H12</f>
        <v>268</v>
      </c>
      <c r="I13" s="9">
        <f t="shared" si="17"/>
        <v>4841</v>
      </c>
      <c r="L13" s="9">
        <f t="shared" ref="L13:R13" si="19">L9-L10-L11-L12</f>
        <v>-891</v>
      </c>
      <c r="M13" s="9">
        <f t="shared" si="19"/>
        <v>-2910</v>
      </c>
      <c r="N13" s="9">
        <f t="shared" si="19"/>
        <v>-294</v>
      </c>
      <c r="O13" s="9">
        <f t="shared" si="19"/>
        <v>-1502</v>
      </c>
      <c r="P13" s="9">
        <f t="shared" si="19"/>
        <v>2427</v>
      </c>
      <c r="Q13" s="9">
        <f t="shared" si="19"/>
        <v>1684</v>
      </c>
      <c r="R13" s="9">
        <f t="shared" si="19"/>
        <v>2240.9175999999998</v>
      </c>
      <c r="S13" s="9">
        <f t="shared" ref="S13:AB13" si="20">S9-S10-S11-S12</f>
        <v>2548.8318080000004</v>
      </c>
      <c r="T13" s="9">
        <f t="shared" si="20"/>
        <v>2812.5979844800004</v>
      </c>
      <c r="U13" s="9">
        <f t="shared" si="20"/>
        <v>3055.9082319440008</v>
      </c>
      <c r="V13" s="9">
        <f t="shared" si="20"/>
        <v>3257.0952650317604</v>
      </c>
      <c r="W13" s="9">
        <f t="shared" si="20"/>
        <v>3425.2067370539053</v>
      </c>
      <c r="X13" s="9">
        <f t="shared" si="20"/>
        <v>3599.6959461959077</v>
      </c>
      <c r="Y13" s="9">
        <f t="shared" si="20"/>
        <v>3780.7965947233452</v>
      </c>
      <c r="Z13" s="9">
        <f t="shared" si="20"/>
        <v>3968.7512211000303</v>
      </c>
      <c r="AA13" s="9">
        <f t="shared" si="20"/>
        <v>4163.8115523990491</v>
      </c>
      <c r="AB13" s="9">
        <f t="shared" si="20"/>
        <v>4366.2388715931311</v>
      </c>
    </row>
    <row r="14" spans="2:141" x14ac:dyDescent="0.3">
      <c r="B14" s="1" t="s">
        <v>23</v>
      </c>
      <c r="G14" s="7">
        <v>280</v>
      </c>
      <c r="H14" s="7">
        <f t="shared" ref="H14:H15" si="21">Q14-G14</f>
        <v>-530</v>
      </c>
      <c r="I14" s="7">
        <v>433</v>
      </c>
      <c r="L14" s="7">
        <v>420</v>
      </c>
      <c r="M14" s="7">
        <v>259</v>
      </c>
      <c r="N14" s="7">
        <v>-418</v>
      </c>
      <c r="O14" s="7">
        <v>-308</v>
      </c>
      <c r="P14" s="7">
        <v>23</v>
      </c>
      <c r="Q14" s="7">
        <v>-250</v>
      </c>
      <c r="R14" s="7">
        <f>R13*0.15</f>
        <v>336.13763999999998</v>
      </c>
      <c r="S14" s="7">
        <f t="shared" ref="S14:AB14" si="22">S13*0.15</f>
        <v>382.32477120000004</v>
      </c>
      <c r="T14" s="7">
        <f t="shared" si="22"/>
        <v>421.88969767200007</v>
      </c>
      <c r="U14" s="7">
        <f t="shared" si="22"/>
        <v>458.38623479160009</v>
      </c>
      <c r="V14" s="7">
        <f t="shared" si="22"/>
        <v>488.56428975476405</v>
      </c>
      <c r="W14" s="7">
        <f t="shared" si="22"/>
        <v>513.78101055808577</v>
      </c>
      <c r="X14" s="7">
        <f t="shared" si="22"/>
        <v>539.95439192938613</v>
      </c>
      <c r="Y14" s="7">
        <f t="shared" si="22"/>
        <v>567.1194892085017</v>
      </c>
      <c r="Z14" s="7">
        <f t="shared" si="22"/>
        <v>595.3126831650045</v>
      </c>
      <c r="AA14" s="7">
        <f t="shared" si="22"/>
        <v>624.57173285985732</v>
      </c>
      <c r="AB14" s="7">
        <f t="shared" si="22"/>
        <v>654.93583073896968</v>
      </c>
    </row>
    <row r="15" spans="2:141" x14ac:dyDescent="0.3">
      <c r="B15" s="1" t="s">
        <v>24</v>
      </c>
      <c r="G15" s="7">
        <v>-13</v>
      </c>
      <c r="H15" s="7">
        <f t="shared" si="21"/>
        <v>-24</v>
      </c>
      <c r="I15" s="7">
        <v>-8</v>
      </c>
      <c r="L15" s="7">
        <v>4</v>
      </c>
      <c r="M15" s="7">
        <v>1</v>
      </c>
      <c r="N15" s="7">
        <f>3+1</f>
        <v>4</v>
      </c>
      <c r="O15" s="7">
        <f>80-5</f>
        <v>75</v>
      </c>
      <c r="P15" s="7">
        <v>-8</v>
      </c>
      <c r="Q15" s="7">
        <v>-37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</row>
    <row r="16" spans="2:141" s="2" customFormat="1" x14ac:dyDescent="0.3">
      <c r="B16" s="2" t="s">
        <v>25</v>
      </c>
      <c r="G16" s="9">
        <f t="shared" ref="G16:I16" si="23">G13-G14-G15</f>
        <v>1149</v>
      </c>
      <c r="H16" s="9">
        <f t="shared" ref="H16" si="24">H13-H14-H15</f>
        <v>822</v>
      </c>
      <c r="I16" s="9">
        <f t="shared" si="23"/>
        <v>4416</v>
      </c>
      <c r="L16" s="9">
        <f t="shared" ref="L16:R16" si="25">L13-L14-L15</f>
        <v>-1315</v>
      </c>
      <c r="M16" s="9">
        <f t="shared" si="25"/>
        <v>-3170</v>
      </c>
      <c r="N16" s="9">
        <f t="shared" si="25"/>
        <v>120</v>
      </c>
      <c r="O16" s="9">
        <f t="shared" si="25"/>
        <v>-1269</v>
      </c>
      <c r="P16" s="9">
        <f t="shared" si="25"/>
        <v>2412</v>
      </c>
      <c r="Q16" s="9">
        <f t="shared" si="25"/>
        <v>1971</v>
      </c>
      <c r="R16" s="9">
        <f t="shared" si="25"/>
        <v>1904.7799599999998</v>
      </c>
      <c r="S16" s="9">
        <f t="shared" ref="S16:AB16" si="26">S13-S14-S15</f>
        <v>2166.5070368000002</v>
      </c>
      <c r="T16" s="9">
        <f t="shared" si="26"/>
        <v>2390.7082868080001</v>
      </c>
      <c r="U16" s="9">
        <f t="shared" si="26"/>
        <v>2597.5219971524007</v>
      </c>
      <c r="V16" s="9">
        <f t="shared" si="26"/>
        <v>2768.5309752769963</v>
      </c>
      <c r="W16" s="9">
        <f t="shared" si="26"/>
        <v>2911.4257264958196</v>
      </c>
      <c r="X16" s="9">
        <f t="shared" si="26"/>
        <v>3059.7415542665217</v>
      </c>
      <c r="Y16" s="9">
        <f t="shared" si="26"/>
        <v>3213.6771055148433</v>
      </c>
      <c r="Z16" s="9">
        <f t="shared" si="26"/>
        <v>3373.438537935026</v>
      </c>
      <c r="AA16" s="9">
        <f t="shared" si="26"/>
        <v>3539.2398195391916</v>
      </c>
      <c r="AB16" s="9">
        <f t="shared" si="26"/>
        <v>3711.3030408541613</v>
      </c>
      <c r="AC16" s="2">
        <f>AB16*(1+$AE$21)</f>
        <v>3674.1900104456195</v>
      </c>
      <c r="AD16" s="2">
        <f t="shared" ref="AD16:CO16" si="27">AC16*(1+$AE$21)</f>
        <v>3637.4481103411631</v>
      </c>
      <c r="AE16" s="2">
        <f t="shared" si="27"/>
        <v>3601.0736292377514</v>
      </c>
      <c r="AF16" s="2">
        <f t="shared" si="27"/>
        <v>3565.0628929453737</v>
      </c>
      <c r="AG16" s="2">
        <f t="shared" si="27"/>
        <v>3529.4122640159198</v>
      </c>
      <c r="AH16" s="2">
        <f t="shared" si="27"/>
        <v>3494.1181413757608</v>
      </c>
      <c r="AI16" s="2">
        <f t="shared" si="27"/>
        <v>3459.1769599620034</v>
      </c>
      <c r="AJ16" s="2">
        <f t="shared" si="27"/>
        <v>3424.5851903623834</v>
      </c>
      <c r="AK16" s="2">
        <f t="shared" si="27"/>
        <v>3390.3393384587594</v>
      </c>
      <c r="AL16" s="2">
        <f t="shared" si="27"/>
        <v>3356.4359450741717</v>
      </c>
      <c r="AM16" s="2">
        <f t="shared" si="27"/>
        <v>3322.8715856234298</v>
      </c>
      <c r="AN16" s="2">
        <f t="shared" si="27"/>
        <v>3289.6428697671954</v>
      </c>
      <c r="AO16" s="2">
        <f t="shared" si="27"/>
        <v>3256.7464410695234</v>
      </c>
      <c r="AP16" s="2">
        <f t="shared" si="27"/>
        <v>3224.1789766588281</v>
      </c>
      <c r="AQ16" s="2">
        <f t="shared" si="27"/>
        <v>3191.9371868922399</v>
      </c>
      <c r="AR16" s="2">
        <f t="shared" si="27"/>
        <v>3160.0178150233173</v>
      </c>
      <c r="AS16" s="2">
        <f t="shared" si="27"/>
        <v>3128.4176368730841</v>
      </c>
      <c r="AT16" s="2">
        <f t="shared" si="27"/>
        <v>3097.133460504353</v>
      </c>
      <c r="AU16" s="2">
        <f t="shared" si="27"/>
        <v>3066.1621258993096</v>
      </c>
      <c r="AV16" s="2">
        <f t="shared" si="27"/>
        <v>3035.5005046403166</v>
      </c>
      <c r="AW16" s="2">
        <f t="shared" si="27"/>
        <v>3005.1454995939134</v>
      </c>
      <c r="AX16" s="2">
        <f t="shared" si="27"/>
        <v>2975.0940445979741</v>
      </c>
      <c r="AY16" s="2">
        <f t="shared" si="27"/>
        <v>2945.3431041519943</v>
      </c>
      <c r="AZ16" s="2">
        <f t="shared" si="27"/>
        <v>2915.8896731104742</v>
      </c>
      <c r="BA16" s="2">
        <f t="shared" si="27"/>
        <v>2886.7307763793692</v>
      </c>
      <c r="BB16" s="2">
        <f t="shared" si="27"/>
        <v>2857.8634686155756</v>
      </c>
      <c r="BC16" s="2">
        <f t="shared" si="27"/>
        <v>2829.2848339294196</v>
      </c>
      <c r="BD16" s="2">
        <f t="shared" si="27"/>
        <v>2800.9919855901253</v>
      </c>
      <c r="BE16" s="2">
        <f t="shared" si="27"/>
        <v>2772.9820657342239</v>
      </c>
      <c r="BF16" s="2">
        <f t="shared" si="27"/>
        <v>2745.2522450768815</v>
      </c>
      <c r="BG16" s="2">
        <f t="shared" si="27"/>
        <v>2717.7997226261127</v>
      </c>
      <c r="BH16" s="2">
        <f t="shared" si="27"/>
        <v>2690.6217253998516</v>
      </c>
      <c r="BI16" s="2">
        <f t="shared" si="27"/>
        <v>2663.7155081458532</v>
      </c>
      <c r="BJ16" s="2">
        <f t="shared" si="27"/>
        <v>2637.0783530643948</v>
      </c>
      <c r="BK16" s="2">
        <f t="shared" si="27"/>
        <v>2610.7075695337508</v>
      </c>
      <c r="BL16" s="2">
        <f t="shared" si="27"/>
        <v>2584.6004938384131</v>
      </c>
      <c r="BM16" s="2">
        <f t="shared" si="27"/>
        <v>2558.7544889000287</v>
      </c>
      <c r="BN16" s="2">
        <f t="shared" si="27"/>
        <v>2533.1669440110286</v>
      </c>
      <c r="BO16" s="2">
        <f t="shared" si="27"/>
        <v>2507.8352745709185</v>
      </c>
      <c r="BP16" s="2">
        <f t="shared" si="27"/>
        <v>2482.7569218252092</v>
      </c>
      <c r="BQ16" s="2">
        <f t="shared" si="27"/>
        <v>2457.9293526069573</v>
      </c>
      <c r="BR16" s="2">
        <f t="shared" si="27"/>
        <v>2433.3500590808876</v>
      </c>
      <c r="BS16" s="2">
        <f t="shared" si="27"/>
        <v>2409.0165584900788</v>
      </c>
      <c r="BT16" s="2">
        <f t="shared" si="27"/>
        <v>2384.9263929051781</v>
      </c>
      <c r="BU16" s="2">
        <f t="shared" si="27"/>
        <v>2361.0771289761265</v>
      </c>
      <c r="BV16" s="2">
        <f t="shared" si="27"/>
        <v>2337.466357686365</v>
      </c>
      <c r="BW16" s="2">
        <f t="shared" si="27"/>
        <v>2314.0916941095011</v>
      </c>
      <c r="BX16" s="2">
        <f t="shared" si="27"/>
        <v>2290.9507771684061</v>
      </c>
      <c r="BY16" s="2">
        <f t="shared" si="27"/>
        <v>2268.0412693967219</v>
      </c>
      <c r="BZ16" s="2">
        <f t="shared" si="27"/>
        <v>2245.3608567027545</v>
      </c>
      <c r="CA16" s="2">
        <f t="shared" si="27"/>
        <v>2222.9072481357271</v>
      </c>
      <c r="CB16" s="2">
        <f t="shared" si="27"/>
        <v>2200.6781756543696</v>
      </c>
      <c r="CC16" s="2">
        <f t="shared" si="27"/>
        <v>2178.671393897826</v>
      </c>
      <c r="CD16" s="2">
        <f t="shared" si="27"/>
        <v>2156.8846799588478</v>
      </c>
      <c r="CE16" s="2">
        <f t="shared" si="27"/>
        <v>2135.3158331592595</v>
      </c>
      <c r="CF16" s="2">
        <f t="shared" si="27"/>
        <v>2113.9626748276669</v>
      </c>
      <c r="CG16" s="2">
        <f t="shared" si="27"/>
        <v>2092.82304807939</v>
      </c>
      <c r="CH16" s="2">
        <f t="shared" si="27"/>
        <v>2071.8948175985961</v>
      </c>
      <c r="CI16" s="2">
        <f t="shared" si="27"/>
        <v>2051.17586942261</v>
      </c>
      <c r="CJ16" s="2">
        <f t="shared" si="27"/>
        <v>2030.664110728384</v>
      </c>
      <c r="CK16" s="2">
        <f t="shared" si="27"/>
        <v>2010.3574696211001</v>
      </c>
      <c r="CL16" s="2">
        <f t="shared" si="27"/>
        <v>1990.253894924889</v>
      </c>
      <c r="CM16" s="2">
        <f t="shared" si="27"/>
        <v>1970.35135597564</v>
      </c>
      <c r="CN16" s="2">
        <f t="shared" si="27"/>
        <v>1950.6478424158836</v>
      </c>
      <c r="CO16" s="2">
        <f t="shared" si="27"/>
        <v>1931.1413639917248</v>
      </c>
      <c r="CP16" s="2">
        <f t="shared" ref="CP16:EK16" si="28">CO16*(1+$AE$21)</f>
        <v>1911.8299503518076</v>
      </c>
      <c r="CQ16" s="2">
        <f t="shared" si="28"/>
        <v>1892.7116508482895</v>
      </c>
      <c r="CR16" s="2">
        <f t="shared" si="28"/>
        <v>1873.7845343398067</v>
      </c>
      <c r="CS16" s="2">
        <f t="shared" si="28"/>
        <v>1855.0466889964086</v>
      </c>
      <c r="CT16" s="2">
        <f t="shared" si="28"/>
        <v>1836.4962221064445</v>
      </c>
      <c r="CU16" s="2">
        <f t="shared" si="28"/>
        <v>1818.1312598853801</v>
      </c>
      <c r="CV16" s="2">
        <f t="shared" si="28"/>
        <v>1799.9499472865264</v>
      </c>
      <c r="CW16" s="2">
        <f t="shared" si="28"/>
        <v>1781.9504478136612</v>
      </c>
      <c r="CX16" s="2">
        <f t="shared" si="28"/>
        <v>1764.1309433355245</v>
      </c>
      <c r="CY16" s="2">
        <f t="shared" si="28"/>
        <v>1746.4896339021693</v>
      </c>
      <c r="CZ16" s="2">
        <f t="shared" si="28"/>
        <v>1729.0247375631477</v>
      </c>
      <c r="DA16" s="2">
        <f t="shared" si="28"/>
        <v>1711.7344901875163</v>
      </c>
      <c r="DB16" s="2">
        <f t="shared" si="28"/>
        <v>1694.6171452856411</v>
      </c>
      <c r="DC16" s="2">
        <f t="shared" si="28"/>
        <v>1677.6709738327847</v>
      </c>
      <c r="DD16" s="2">
        <f t="shared" si="28"/>
        <v>1660.894264094457</v>
      </c>
      <c r="DE16" s="2">
        <f t="shared" si="28"/>
        <v>1644.2853214535123</v>
      </c>
      <c r="DF16" s="2">
        <f t="shared" si="28"/>
        <v>1627.8424682389773</v>
      </c>
      <c r="DG16" s="2">
        <f t="shared" si="28"/>
        <v>1611.5640435565874</v>
      </c>
      <c r="DH16" s="2">
        <f t="shared" si="28"/>
        <v>1595.4484031210216</v>
      </c>
      <c r="DI16" s="2">
        <f t="shared" si="28"/>
        <v>1579.4939190898112</v>
      </c>
      <c r="DJ16" s="2">
        <f t="shared" si="28"/>
        <v>1563.6989798989132</v>
      </c>
      <c r="DK16" s="2">
        <f t="shared" si="28"/>
        <v>1548.0619900999241</v>
      </c>
      <c r="DL16" s="2">
        <f t="shared" si="28"/>
        <v>1532.5813701989248</v>
      </c>
      <c r="DM16" s="2">
        <f t="shared" si="28"/>
        <v>1517.2555564969355</v>
      </c>
      <c r="DN16" s="2">
        <f t="shared" si="28"/>
        <v>1502.0830009319661</v>
      </c>
      <c r="DO16" s="2">
        <f t="shared" si="28"/>
        <v>1487.0621709226464</v>
      </c>
      <c r="DP16" s="2">
        <f t="shared" si="28"/>
        <v>1472.1915492134199</v>
      </c>
      <c r="DQ16" s="2">
        <f t="shared" si="28"/>
        <v>1457.4696337212856</v>
      </c>
      <c r="DR16" s="2">
        <f t="shared" si="28"/>
        <v>1442.8949373840728</v>
      </c>
      <c r="DS16" s="2">
        <f t="shared" si="28"/>
        <v>1428.465988010232</v>
      </c>
      <c r="DT16" s="2">
        <f t="shared" si="28"/>
        <v>1414.1813281301297</v>
      </c>
      <c r="DU16" s="2">
        <f t="shared" si="28"/>
        <v>1400.0395148488285</v>
      </c>
      <c r="DV16" s="2">
        <f t="shared" si="28"/>
        <v>1386.0391197003403</v>
      </c>
      <c r="DW16" s="2">
        <f t="shared" si="28"/>
        <v>1372.178728503337</v>
      </c>
      <c r="DX16" s="2">
        <f t="shared" si="28"/>
        <v>1358.4569412183037</v>
      </c>
      <c r="DY16" s="2">
        <f t="shared" si="28"/>
        <v>1344.8723718061206</v>
      </c>
      <c r="DZ16" s="2">
        <f t="shared" si="28"/>
        <v>1331.4236480880593</v>
      </c>
      <c r="EA16" s="2">
        <f t="shared" si="28"/>
        <v>1318.1094116071786</v>
      </c>
      <c r="EB16" s="2">
        <f t="shared" si="28"/>
        <v>1304.9283174911068</v>
      </c>
      <c r="EC16" s="2">
        <f t="shared" si="28"/>
        <v>1291.8790343161957</v>
      </c>
      <c r="ED16" s="2">
        <f t="shared" si="28"/>
        <v>1278.9602439730336</v>
      </c>
      <c r="EE16" s="2">
        <f t="shared" si="28"/>
        <v>1266.1706415333033</v>
      </c>
      <c r="EF16" s="2">
        <f t="shared" si="28"/>
        <v>1253.5089351179702</v>
      </c>
      <c r="EG16" s="2">
        <f t="shared" si="28"/>
        <v>1240.9738457667904</v>
      </c>
      <c r="EH16" s="2">
        <f t="shared" si="28"/>
        <v>1228.5641073091224</v>
      </c>
      <c r="EI16" s="2">
        <f t="shared" si="28"/>
        <v>1216.2784662360311</v>
      </c>
      <c r="EJ16" s="2">
        <f t="shared" si="28"/>
        <v>1204.1156815736708</v>
      </c>
      <c r="EK16" s="2">
        <f t="shared" si="28"/>
        <v>1192.0745247579341</v>
      </c>
    </row>
    <row r="17" spans="2:31" x14ac:dyDescent="0.3">
      <c r="B17" s="1" t="s">
        <v>2</v>
      </c>
      <c r="G17" s="7">
        <f>8388</f>
        <v>8388</v>
      </c>
      <c r="H17" s="7">
        <f>8388</f>
        <v>8388</v>
      </c>
      <c r="I17" s="7">
        <f>8430</f>
        <v>8430</v>
      </c>
      <c r="L17" s="7">
        <f>8388</f>
        <v>8388</v>
      </c>
      <c r="M17" s="7">
        <f>8388</f>
        <v>8388</v>
      </c>
      <c r="N17" s="7">
        <f>8388</f>
        <v>8388</v>
      </c>
      <c r="O17" s="7">
        <f>8388</f>
        <v>8388</v>
      </c>
      <c r="P17" s="7">
        <f>8388</f>
        <v>8388</v>
      </c>
      <c r="Q17" s="7">
        <f>8388</f>
        <v>8388</v>
      </c>
      <c r="R17" s="7">
        <f>8430</f>
        <v>8430</v>
      </c>
      <c r="S17" s="7">
        <f>8430</f>
        <v>8430</v>
      </c>
      <c r="T17" s="7">
        <f>8430</f>
        <v>8430</v>
      </c>
      <c r="U17" s="7">
        <f>8430</f>
        <v>8430</v>
      </c>
      <c r="V17" s="7">
        <f>8430</f>
        <v>8430</v>
      </c>
      <c r="W17" s="7">
        <f>8430</f>
        <v>8430</v>
      </c>
      <c r="X17" s="7">
        <f>8430</f>
        <v>8430</v>
      </c>
      <c r="Y17" s="7">
        <f>8430</f>
        <v>8430</v>
      </c>
      <c r="Z17" s="7">
        <f>8430</f>
        <v>8430</v>
      </c>
      <c r="AA17" s="7">
        <f>8430</f>
        <v>8430</v>
      </c>
      <c r="AB17" s="7">
        <f>8430</f>
        <v>8430</v>
      </c>
    </row>
    <row r="18" spans="2:31" x14ac:dyDescent="0.3">
      <c r="B18" s="1" t="s">
        <v>26</v>
      </c>
      <c r="G18" s="8">
        <f t="shared" ref="G18:I18" si="29">G16/G17</f>
        <v>0.13698140200286124</v>
      </c>
      <c r="H18" s="8">
        <f t="shared" ref="H18" si="30">H16/H17</f>
        <v>9.7997138769670963E-2</v>
      </c>
      <c r="I18" s="8">
        <f t="shared" si="29"/>
        <v>0.52384341637010678</v>
      </c>
      <c r="L18" s="8">
        <f t="shared" ref="L18:R18" si="31">L16/L17</f>
        <v>-0.15677157844539819</v>
      </c>
      <c r="M18" s="8">
        <f t="shared" si="31"/>
        <v>-0.37792083929422987</v>
      </c>
      <c r="N18" s="8">
        <f t="shared" si="31"/>
        <v>1.4306151645207439E-2</v>
      </c>
      <c r="O18" s="8">
        <f t="shared" si="31"/>
        <v>-0.15128755364806867</v>
      </c>
      <c r="P18" s="8">
        <f t="shared" si="31"/>
        <v>0.28755364806866951</v>
      </c>
      <c r="Q18" s="8">
        <f t="shared" si="31"/>
        <v>0.23497854077253219</v>
      </c>
      <c r="R18" s="8">
        <f t="shared" si="31"/>
        <v>0.22595254567022538</v>
      </c>
      <c r="S18" s="8">
        <f t="shared" ref="S18:AB18" si="32">S16/S17</f>
        <v>0.25699964849347567</v>
      </c>
      <c r="T18" s="8">
        <f t="shared" si="32"/>
        <v>0.2835952890638197</v>
      </c>
      <c r="U18" s="8">
        <f t="shared" si="32"/>
        <v>0.30812835078913414</v>
      </c>
      <c r="V18" s="8">
        <f t="shared" si="32"/>
        <v>0.32841411331874215</v>
      </c>
      <c r="W18" s="8">
        <f t="shared" si="32"/>
        <v>0.34536485486308655</v>
      </c>
      <c r="X18" s="8">
        <f t="shared" si="32"/>
        <v>0.36295866598653875</v>
      </c>
      <c r="Y18" s="8">
        <f t="shared" si="32"/>
        <v>0.38121911097447725</v>
      </c>
      <c r="Z18" s="8">
        <f t="shared" si="32"/>
        <v>0.40017064506939809</v>
      </c>
      <c r="AA18" s="8">
        <f t="shared" si="32"/>
        <v>0.41983865000464904</v>
      </c>
      <c r="AB18" s="8">
        <f t="shared" si="32"/>
        <v>0.4402494710384533</v>
      </c>
    </row>
    <row r="20" spans="2:31" x14ac:dyDescent="0.3">
      <c r="B20" s="1" t="s">
        <v>34</v>
      </c>
      <c r="G20" s="10"/>
      <c r="H20" s="10"/>
      <c r="I20" s="10">
        <f>I3/G3-1</f>
        <v>7.0985216115562633E-2</v>
      </c>
      <c r="L20" s="10"/>
      <c r="M20" s="10">
        <f t="shared" ref="M20:P20" si="33">M3/L3-1</f>
        <v>-0.2871525893772231</v>
      </c>
      <c r="N20" s="10">
        <f t="shared" si="33"/>
        <v>-5.1251691474966221E-2</v>
      </c>
      <c r="O20" s="10">
        <f t="shared" si="33"/>
        <v>0.20520591905865571</v>
      </c>
      <c r="P20" s="10">
        <f t="shared" si="33"/>
        <v>0.21937869822485201</v>
      </c>
      <c r="Q20" s="10">
        <f>Q3/P3-1</f>
        <v>0.14697318937280124</v>
      </c>
      <c r="R20" s="10">
        <f t="shared" ref="R20:AB20" si="34">R3/Q3-1</f>
        <v>0.12000000000000011</v>
      </c>
      <c r="S20" s="10">
        <f t="shared" si="34"/>
        <v>8.0000000000000071E-2</v>
      </c>
      <c r="T20" s="10">
        <f t="shared" si="34"/>
        <v>6.0000000000000053E-2</v>
      </c>
      <c r="U20" s="10">
        <f t="shared" si="34"/>
        <v>5.0000000000000044E-2</v>
      </c>
      <c r="V20" s="10">
        <f t="shared" si="34"/>
        <v>4.0000000000000036E-2</v>
      </c>
      <c r="W20" s="10">
        <f t="shared" si="34"/>
        <v>3.0000000000000027E-2</v>
      </c>
      <c r="X20" s="10">
        <f t="shared" si="34"/>
        <v>3.0000000000000027E-2</v>
      </c>
      <c r="Y20" s="10">
        <f t="shared" si="34"/>
        <v>3.0000000000000027E-2</v>
      </c>
      <c r="Z20" s="10">
        <f t="shared" si="34"/>
        <v>3.0000000000000027E-2</v>
      </c>
      <c r="AA20" s="10">
        <f t="shared" si="34"/>
        <v>3.0000000000000027E-2</v>
      </c>
      <c r="AB20" s="10">
        <f t="shared" si="34"/>
        <v>3.0000000000000027E-2</v>
      </c>
    </row>
    <row r="21" spans="2:31" x14ac:dyDescent="0.3">
      <c r="B21" s="1" t="s">
        <v>35</v>
      </c>
      <c r="G21" s="10">
        <f t="shared" ref="G21:I21" si="35">G5/G3</f>
        <v>0.23789639995485837</v>
      </c>
      <c r="H21" s="10">
        <f t="shared" ref="H21" si="36">H5/H3</f>
        <v>0.2102906050955414</v>
      </c>
      <c r="I21" s="10">
        <f t="shared" si="35"/>
        <v>0.30842992623814541</v>
      </c>
      <c r="L21" s="10">
        <f t="shared" ref="L21:P21" si="37">L5/L3</f>
        <v>5.6791463194067644E-2</v>
      </c>
      <c r="M21" s="10">
        <f t="shared" si="37"/>
        <v>-1.7760487144790258E-2</v>
      </c>
      <c r="N21" s="10">
        <f t="shared" si="37"/>
        <v>0.19040827241932609</v>
      </c>
      <c r="O21" s="10">
        <f t="shared" si="37"/>
        <v>0.20392011834319526</v>
      </c>
      <c r="P21" s="10">
        <f t="shared" si="37"/>
        <v>0.2195802499090137</v>
      </c>
      <c r="Q21" s="10">
        <f>Q5/Q3</f>
        <v>0.22322703474535935</v>
      </c>
      <c r="R21" s="10">
        <f t="shared" ref="R21:AB21" si="38">R5/R3</f>
        <v>0.21999999999999997</v>
      </c>
      <c r="S21" s="10">
        <f t="shared" si="38"/>
        <v>0.22000000000000003</v>
      </c>
      <c r="T21" s="10">
        <f t="shared" si="38"/>
        <v>0.22</v>
      </c>
      <c r="U21" s="10">
        <f t="shared" si="38"/>
        <v>0.22</v>
      </c>
      <c r="V21" s="10">
        <f t="shared" si="38"/>
        <v>0.22</v>
      </c>
      <c r="W21" s="10">
        <f t="shared" si="38"/>
        <v>0.22</v>
      </c>
      <c r="X21" s="10">
        <f t="shared" si="38"/>
        <v>0.22</v>
      </c>
      <c r="Y21" s="10">
        <f t="shared" si="38"/>
        <v>0.22</v>
      </c>
      <c r="Z21" s="10">
        <f t="shared" si="38"/>
        <v>0.22</v>
      </c>
      <c r="AA21" s="10">
        <f t="shared" si="38"/>
        <v>0.22</v>
      </c>
      <c r="AB21" s="10">
        <f t="shared" si="38"/>
        <v>0.22</v>
      </c>
      <c r="AD21" s="1" t="s">
        <v>40</v>
      </c>
      <c r="AE21" s="10">
        <v>-0.01</v>
      </c>
    </row>
    <row r="22" spans="2:31" x14ac:dyDescent="0.3">
      <c r="B22" s="1" t="s">
        <v>36</v>
      </c>
      <c r="G22" s="10"/>
      <c r="H22" s="10"/>
      <c r="I22" s="10">
        <f>I6/G6-1</f>
        <v>-1.5600624024960985E-2</v>
      </c>
      <c r="L22" s="10"/>
      <c r="M22" s="10">
        <f t="shared" ref="M22:P22" si="39">M6/L6-1</f>
        <v>-0.28368794326241131</v>
      </c>
      <c r="N22" s="10">
        <f t="shared" si="39"/>
        <v>0.10148514851485158</v>
      </c>
      <c r="O22" s="10">
        <f t="shared" si="39"/>
        <v>0.21011235955056184</v>
      </c>
      <c r="P22" s="10">
        <f t="shared" si="39"/>
        <v>3.0640668523676862E-2</v>
      </c>
      <c r="Q22" s="10">
        <f>Q6/P6-1</f>
        <v>0.15675675675675671</v>
      </c>
      <c r="R22" s="10">
        <f t="shared" ref="R22:AB22" si="40">R6/Q6-1</f>
        <v>8.0000000000000071E-2</v>
      </c>
      <c r="S22" s="10">
        <f t="shared" si="40"/>
        <v>5.0000000000000044E-2</v>
      </c>
      <c r="T22" s="10">
        <f t="shared" si="40"/>
        <v>3.0000000000000027E-2</v>
      </c>
      <c r="U22" s="10">
        <f t="shared" si="40"/>
        <v>2.0000000000000018E-2</v>
      </c>
      <c r="V22" s="10">
        <f t="shared" si="40"/>
        <v>2.0000000000000018E-2</v>
      </c>
      <c r="W22" s="10">
        <f t="shared" si="40"/>
        <v>1.0000000000000009E-2</v>
      </c>
      <c r="X22" s="10">
        <f t="shared" si="40"/>
        <v>1.0000000000000009E-2</v>
      </c>
      <c r="Y22" s="10">
        <f t="shared" si="40"/>
        <v>1.0000000000000009E-2</v>
      </c>
      <c r="Z22" s="10">
        <f t="shared" si="40"/>
        <v>1.0000000000000009E-2</v>
      </c>
      <c r="AA22" s="10">
        <f t="shared" si="40"/>
        <v>1.0000000000000009E-2</v>
      </c>
      <c r="AB22" s="10">
        <f t="shared" si="40"/>
        <v>1.0000000000000009E-2</v>
      </c>
      <c r="AD22" s="1" t="s">
        <v>41</v>
      </c>
      <c r="AE22" s="10">
        <v>7.0000000000000007E-2</v>
      </c>
    </row>
    <row r="23" spans="2:31" x14ac:dyDescent="0.3">
      <c r="B23" s="1" t="s">
        <v>37</v>
      </c>
      <c r="G23" s="10"/>
      <c r="H23" s="10"/>
      <c r="I23" s="10">
        <f>I7/G7-1</f>
        <v>-3.4356435643564356</v>
      </c>
      <c r="L23" s="10"/>
      <c r="M23" s="10">
        <f t="shared" ref="M23:P23" si="41">M7/L7-1</f>
        <v>0.62857142857142856</v>
      </c>
      <c r="N23" s="10">
        <f t="shared" si="41"/>
        <v>-0.37958532695374803</v>
      </c>
      <c r="O23" s="10">
        <f t="shared" si="41"/>
        <v>0.14524421593830339</v>
      </c>
      <c r="P23" s="10">
        <f t="shared" si="41"/>
        <v>-0.17059483726150393</v>
      </c>
      <c r="Q23" s="10">
        <f>Q7/P7-1</f>
        <v>1.8944519621109546E-2</v>
      </c>
      <c r="R23" s="10">
        <f t="shared" ref="R23:AB23" si="42">R7/Q7-1</f>
        <v>2.0000000000000018E-2</v>
      </c>
      <c r="S23" s="10">
        <f t="shared" si="42"/>
        <v>2.0000000000000018E-2</v>
      </c>
      <c r="T23" s="10">
        <f t="shared" si="42"/>
        <v>2.0000000000000018E-2</v>
      </c>
      <c r="U23" s="10">
        <f t="shared" si="42"/>
        <v>2.0000000000000018E-2</v>
      </c>
      <c r="V23" s="10">
        <f t="shared" si="42"/>
        <v>2.0000000000000018E-2</v>
      </c>
      <c r="W23" s="10">
        <f t="shared" si="42"/>
        <v>2.0000000000000018E-2</v>
      </c>
      <c r="X23" s="10">
        <f t="shared" si="42"/>
        <v>2.0000000000000018E-2</v>
      </c>
      <c r="Y23" s="10">
        <f t="shared" si="42"/>
        <v>2.0000000000000018E-2</v>
      </c>
      <c r="Z23" s="10">
        <f t="shared" si="42"/>
        <v>2.0000000000000018E-2</v>
      </c>
      <c r="AA23" s="10">
        <f t="shared" si="42"/>
        <v>2.0000000000000018E-2</v>
      </c>
      <c r="AB23" s="10">
        <f t="shared" si="42"/>
        <v>2.0000000000000018E-2</v>
      </c>
      <c r="AD23" s="1" t="s">
        <v>42</v>
      </c>
      <c r="AE23" s="7">
        <f>NPV(AE22,R16:EK16)</f>
        <v>42509.143211126997</v>
      </c>
    </row>
    <row r="24" spans="2:31" x14ac:dyDescent="0.3">
      <c r="B24" s="1" t="s">
        <v>38</v>
      </c>
      <c r="G24" s="10">
        <f t="shared" ref="G24:I24" si="43">G9/G3</f>
        <v>0.18575781514501749</v>
      </c>
      <c r="H24" s="10">
        <f t="shared" ref="H24" si="44">H9/H3</f>
        <v>7.0660828025477712E-2</v>
      </c>
      <c r="I24" s="10">
        <f t="shared" si="43"/>
        <v>0.21854583772391992</v>
      </c>
      <c r="L24" s="10">
        <f t="shared" ref="L24:P24" si="45">L9/L3</f>
        <v>-5.1365527220112138E-2</v>
      </c>
      <c r="M24" s="10">
        <f t="shared" si="45"/>
        <v>-0.1759979702300406</v>
      </c>
      <c r="N24" s="10">
        <f t="shared" si="45"/>
        <v>4.5730076662506683E-2</v>
      </c>
      <c r="O24" s="10">
        <f t="shared" si="45"/>
        <v>6.1908284023668637E-2</v>
      </c>
      <c r="P24" s="10">
        <f t="shared" si="45"/>
        <v>0.11791823365279631</v>
      </c>
      <c r="Q24" s="10">
        <f>Q9/Q3</f>
        <v>0.12459675286900418</v>
      </c>
      <c r="R24" s="10">
        <f t="shared" ref="R24:AB24" si="46">R9/R3</f>
        <v>0.12645705370836258</v>
      </c>
      <c r="S24" s="10">
        <f t="shared" si="46"/>
        <v>0.12975907024481778</v>
      </c>
      <c r="T24" s="10">
        <f t="shared" si="46"/>
        <v>0.13249145138150648</v>
      </c>
      <c r="U24" s="10">
        <f t="shared" si="46"/>
        <v>0.13492208315451407</v>
      </c>
      <c r="V24" s="10">
        <f t="shared" si="46"/>
        <v>0.13649059251888165</v>
      </c>
      <c r="W24" s="10">
        <f t="shared" si="46"/>
        <v>0.13780726084846689</v>
      </c>
      <c r="X24" s="10">
        <f t="shared" si="46"/>
        <v>0.13910132274022771</v>
      </c>
      <c r="Y24" s="10">
        <f t="shared" si="46"/>
        <v>0.14037318841686447</v>
      </c>
      <c r="Z24" s="10">
        <f t="shared" si="46"/>
        <v>0.14162326041459078</v>
      </c>
      <c r="AA24" s="10">
        <f t="shared" si="46"/>
        <v>0.14285193372967669</v>
      </c>
      <c r="AB24" s="10">
        <f t="shared" si="46"/>
        <v>0.1440595959621733</v>
      </c>
      <c r="AD24" s="1" t="s">
        <v>43</v>
      </c>
      <c r="AE24" s="7">
        <f>Main!D8</f>
        <v>2379</v>
      </c>
    </row>
    <row r="25" spans="2:31" x14ac:dyDescent="0.3">
      <c r="B25" s="1" t="s">
        <v>23</v>
      </c>
      <c r="G25" s="10">
        <f t="shared" ref="G25:I25" si="47">G14/G13</f>
        <v>0.19774011299435029</v>
      </c>
      <c r="H25" s="10">
        <f t="shared" ref="H25" si="48">H14/H13</f>
        <v>-1.9776119402985075</v>
      </c>
      <c r="I25" s="10">
        <f t="shared" si="47"/>
        <v>8.9444329683949594E-2</v>
      </c>
      <c r="L25" s="10">
        <f t="shared" ref="L25:P25" si="49">L14/L13</f>
        <v>-0.4713804713804714</v>
      </c>
      <c r="M25" s="10">
        <f t="shared" si="49"/>
        <v>-8.9003436426116841E-2</v>
      </c>
      <c r="N25" s="10">
        <f t="shared" si="49"/>
        <v>1.4217687074829932</v>
      </c>
      <c r="O25" s="10">
        <f t="shared" si="49"/>
        <v>0.20505992010652463</v>
      </c>
      <c r="P25" s="10">
        <f t="shared" si="49"/>
        <v>9.476720230737536E-3</v>
      </c>
      <c r="Q25" s="10">
        <f>Q14/Q13</f>
        <v>-0.14845605700712589</v>
      </c>
      <c r="R25" s="10">
        <f t="shared" ref="R25:AB25" si="50">R14/R13</f>
        <v>0.15</v>
      </c>
      <c r="S25" s="10">
        <f t="shared" si="50"/>
        <v>0.15</v>
      </c>
      <c r="T25" s="10">
        <f t="shared" si="50"/>
        <v>0.15</v>
      </c>
      <c r="U25" s="10">
        <f t="shared" si="50"/>
        <v>0.15</v>
      </c>
      <c r="V25" s="10">
        <f t="shared" si="50"/>
        <v>0.15</v>
      </c>
      <c r="W25" s="10">
        <f t="shared" si="50"/>
        <v>0.15</v>
      </c>
      <c r="X25" s="10">
        <f t="shared" si="50"/>
        <v>0.15</v>
      </c>
      <c r="Y25" s="10">
        <f t="shared" si="50"/>
        <v>0.15</v>
      </c>
      <c r="Z25" s="10">
        <f t="shared" si="50"/>
        <v>0.15</v>
      </c>
      <c r="AA25" s="10">
        <f t="shared" si="50"/>
        <v>0.15</v>
      </c>
      <c r="AB25" s="10">
        <f t="shared" si="50"/>
        <v>0.15</v>
      </c>
      <c r="AD25" s="1" t="s">
        <v>44</v>
      </c>
      <c r="AE25" s="7">
        <f>AE23+AE24</f>
        <v>44888.143211126997</v>
      </c>
    </row>
    <row r="26" spans="2:31" x14ac:dyDescent="0.3">
      <c r="B26" s="1" t="s">
        <v>39</v>
      </c>
      <c r="G26" s="10">
        <f t="shared" ref="G26:I26" si="51">G16/G3</f>
        <v>0.1296693375465523</v>
      </c>
      <c r="H26" s="10">
        <f t="shared" ref="H26" si="52">H16/H3</f>
        <v>8.1807324840764334E-2</v>
      </c>
      <c r="I26" s="10">
        <f t="shared" si="51"/>
        <v>0.46533192834562698</v>
      </c>
      <c r="L26" s="10">
        <f t="shared" ref="L26:P26" si="53">L16/L3</f>
        <v>-7.9278953397238797E-2</v>
      </c>
      <c r="M26" s="10">
        <f t="shared" si="53"/>
        <v>-0.26809878213802435</v>
      </c>
      <c r="N26" s="10">
        <f t="shared" si="53"/>
        <v>1.0697093956141915E-2</v>
      </c>
      <c r="O26" s="10">
        <f t="shared" si="53"/>
        <v>-9.3860946745562127E-2</v>
      </c>
      <c r="P26" s="10">
        <f t="shared" si="53"/>
        <v>0.14630595656921025</v>
      </c>
      <c r="Q26" s="10">
        <f>Q16/Q3</f>
        <v>0.10423607805806759</v>
      </c>
      <c r="R26" s="10">
        <f t="shared" ref="R26:AB26" si="54">R16/R3</f>
        <v>8.994110703142115E-2</v>
      </c>
      <c r="S26" s="10">
        <f t="shared" si="54"/>
        <v>9.4721761088544104E-2</v>
      </c>
      <c r="T26" s="10">
        <f t="shared" si="54"/>
        <v>9.860759840476753E-2</v>
      </c>
      <c r="U26" s="10">
        <f t="shared" si="54"/>
        <v>0.10203607156770292</v>
      </c>
      <c r="V26" s="10">
        <f t="shared" si="54"/>
        <v>0.10457082714885897</v>
      </c>
      <c r="W26" s="10">
        <f t="shared" si="54"/>
        <v>0.10676518254376983</v>
      </c>
      <c r="X26" s="10">
        <f t="shared" si="54"/>
        <v>0.10893600681887519</v>
      </c>
      <c r="Y26" s="10">
        <f t="shared" si="54"/>
        <v>0.11108405405033621</v>
      </c>
      <c r="Z26" s="10">
        <f t="shared" si="54"/>
        <v>0.11321007015363546</v>
      </c>
      <c r="AA26" s="10">
        <f t="shared" si="54"/>
        <v>0.11531479316098517</v>
      </c>
      <c r="AB26" s="10">
        <f t="shared" si="54"/>
        <v>0.11739895349572615</v>
      </c>
      <c r="AD26" s="1" t="s">
        <v>45</v>
      </c>
      <c r="AE26" s="6">
        <f>AE25/AB17</f>
        <v>5.3248093963377219</v>
      </c>
    </row>
    <row r="27" spans="2:31" x14ac:dyDescent="0.3">
      <c r="AD27" s="1" t="s">
        <v>46</v>
      </c>
      <c r="AE27" s="6">
        <f>Main!D3</f>
        <v>11.685</v>
      </c>
    </row>
    <row r="28" spans="2:31" x14ac:dyDescent="0.3">
      <c r="AD28" s="2" t="s">
        <v>47</v>
      </c>
      <c r="AE28" s="11">
        <f>AE26/AE27-1</f>
        <v>-0.54430385996253983</v>
      </c>
    </row>
    <row r="29" spans="2:31" x14ac:dyDescent="0.3">
      <c r="AD29" s="1" t="s">
        <v>48</v>
      </c>
      <c r="AE29" s="3" t="s">
        <v>52</v>
      </c>
    </row>
    <row r="30" spans="2:31" s="12" customFormat="1" x14ac:dyDescent="0.3">
      <c r="B30" s="12" t="s">
        <v>49</v>
      </c>
      <c r="I30" s="12">
        <v>37940</v>
      </c>
    </row>
    <row r="32" spans="2:31" x14ac:dyDescent="0.3">
      <c r="B32" s="1" t="s">
        <v>50</v>
      </c>
      <c r="I32" s="13">
        <f>Main!D9/Model!I30</f>
        <v>2.5336201897733264</v>
      </c>
    </row>
    <row r="33" spans="2:9" x14ac:dyDescent="0.3">
      <c r="B33" s="1" t="s">
        <v>51</v>
      </c>
      <c r="I33" s="10">
        <f>I30/Main!D9-1</f>
        <v>-0.60530784999409626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2025-06-19T21:52:05Z</dcterms:created>
  <dcterms:modified xsi:type="dcterms:W3CDTF">2025-10-04T08:39:18Z</dcterms:modified>
</cp:coreProperties>
</file>