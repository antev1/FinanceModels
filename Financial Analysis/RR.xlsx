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60DA1F1-7EBC-45DA-906F-D8008EABEB8A}" xr6:coauthVersionLast="47" xr6:coauthVersionMax="47" xr10:uidLastSave="{00000000-0000-0000-0000-000000000000}"/>
  <bookViews>
    <workbookView xWindow="-108" yWindow="-108" windowWidth="23256" windowHeight="12576" activeTab="1" xr2:uid="{8757B506-327F-46B8-97B2-C03679112DE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/>
  <c r="AB23" i="2"/>
  <c r="AA23" i="2"/>
  <c r="Z23" i="2"/>
  <c r="Y23" i="2"/>
  <c r="X23" i="2"/>
  <c r="W23" i="2"/>
  <c r="V23" i="2"/>
  <c r="U23" i="2"/>
  <c r="T23" i="2"/>
  <c r="S23" i="2"/>
  <c r="R23" i="2"/>
  <c r="I23" i="2"/>
  <c r="D4" i="1"/>
  <c r="D5" i="1" s="1"/>
  <c r="H21" i="2"/>
  <c r="H20" i="2"/>
  <c r="H18" i="2"/>
  <c r="H17" i="2"/>
  <c r="H16" i="2"/>
  <c r="H14" i="2"/>
  <c r="H12" i="2"/>
  <c r="H10" i="2"/>
  <c r="H9" i="2"/>
  <c r="H23" i="2"/>
  <c r="G23" i="2"/>
  <c r="G11" i="2"/>
  <c r="G27" i="2" s="1"/>
  <c r="I29" i="2"/>
  <c r="I28" i="2"/>
  <c r="I26" i="2"/>
  <c r="I11" i="2"/>
  <c r="I15" i="2" s="1"/>
  <c r="R9" i="2"/>
  <c r="R11" i="2" s="1"/>
  <c r="R10" i="2" s="1"/>
  <c r="AE33" i="2"/>
  <c r="S18" i="2"/>
  <c r="T18" i="2" s="1"/>
  <c r="U18" i="2" s="1"/>
  <c r="V18" i="2" s="1"/>
  <c r="W18" i="2" s="1"/>
  <c r="X18" i="2" s="1"/>
  <c r="Y18" i="2" s="1"/>
  <c r="Z18" i="2" s="1"/>
  <c r="AA18" i="2" s="1"/>
  <c r="AB18" i="2" s="1"/>
  <c r="R17" i="2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R14" i="2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Q13" i="2"/>
  <c r="R13" i="2" s="1"/>
  <c r="R12" i="2"/>
  <c r="S12" i="2" s="1"/>
  <c r="T12" i="2" s="1"/>
  <c r="U12" i="2" s="1"/>
  <c r="R28" i="2"/>
  <c r="P29" i="2"/>
  <c r="O29" i="2"/>
  <c r="N29" i="2"/>
  <c r="M29" i="2"/>
  <c r="P28" i="2"/>
  <c r="O28" i="2"/>
  <c r="N28" i="2"/>
  <c r="M28" i="2"/>
  <c r="P26" i="2"/>
  <c r="O26" i="2"/>
  <c r="N26" i="2"/>
  <c r="M26" i="2"/>
  <c r="Q28" i="2"/>
  <c r="Q26" i="2"/>
  <c r="L23" i="2"/>
  <c r="L11" i="2"/>
  <c r="L15" i="2" s="1"/>
  <c r="L19" i="2" s="1"/>
  <c r="L22" i="2" s="1"/>
  <c r="L24" i="2" s="1"/>
  <c r="M23" i="2"/>
  <c r="M11" i="2"/>
  <c r="M15" i="2" s="1"/>
  <c r="M19" i="2" s="1"/>
  <c r="M22" i="2" s="1"/>
  <c r="N21" i="2"/>
  <c r="N23" i="2"/>
  <c r="N11" i="2"/>
  <c r="N15" i="2" s="1"/>
  <c r="N19" i="2" s="1"/>
  <c r="N31" i="2" s="1"/>
  <c r="O21" i="2"/>
  <c r="O23" i="2"/>
  <c r="O11" i="2"/>
  <c r="O15" i="2" s="1"/>
  <c r="O19" i="2" s="1"/>
  <c r="O31" i="2" s="1"/>
  <c r="P23" i="2"/>
  <c r="P11" i="2"/>
  <c r="P15" i="2" s="1"/>
  <c r="P19" i="2" s="1"/>
  <c r="P22" i="2" s="1"/>
  <c r="P24" i="2" s="1"/>
  <c r="Q23" i="2"/>
  <c r="Q11" i="2"/>
  <c r="Q27" i="2" s="1"/>
  <c r="F3" i="1"/>
  <c r="M24" i="2" l="1"/>
  <c r="L31" i="2"/>
  <c r="R29" i="2"/>
  <c r="S13" i="2"/>
  <c r="T13" i="2" s="1"/>
  <c r="T29" i="2" s="1"/>
  <c r="M31" i="2"/>
  <c r="H13" i="2"/>
  <c r="P32" i="2"/>
  <c r="Q29" i="2"/>
  <c r="O27" i="2"/>
  <c r="P27" i="2"/>
  <c r="L30" i="2"/>
  <c r="N27" i="2"/>
  <c r="S9" i="2"/>
  <c r="T9" i="2" s="1"/>
  <c r="U9" i="2" s="1"/>
  <c r="V9" i="2" s="1"/>
  <c r="W9" i="2" s="1"/>
  <c r="X9" i="2" s="1"/>
  <c r="Y9" i="2" s="1"/>
  <c r="Z9" i="2" s="1"/>
  <c r="AA9" i="2" s="1"/>
  <c r="AB9" i="2" s="1"/>
  <c r="M30" i="2"/>
  <c r="O30" i="2"/>
  <c r="M32" i="2"/>
  <c r="P31" i="2"/>
  <c r="N30" i="2"/>
  <c r="L32" i="2"/>
  <c r="L27" i="2"/>
  <c r="M27" i="2"/>
  <c r="P30" i="2"/>
  <c r="D8" i="1"/>
  <c r="AE30" i="2" s="1"/>
  <c r="H11" i="2"/>
  <c r="G15" i="2"/>
  <c r="I30" i="2"/>
  <c r="I19" i="2"/>
  <c r="I27" i="2"/>
  <c r="V12" i="2"/>
  <c r="W12" i="2" s="1"/>
  <c r="X12" i="2" s="1"/>
  <c r="Y12" i="2" s="1"/>
  <c r="Z12" i="2" s="1"/>
  <c r="AA12" i="2" s="1"/>
  <c r="AB12" i="2" s="1"/>
  <c r="S28" i="2"/>
  <c r="T28" i="2"/>
  <c r="R15" i="2"/>
  <c r="R27" i="2"/>
  <c r="R26" i="2"/>
  <c r="Q15" i="2"/>
  <c r="N22" i="2"/>
  <c r="O22" i="2"/>
  <c r="U13" i="2" l="1"/>
  <c r="S29" i="2"/>
  <c r="S26" i="2"/>
  <c r="N24" i="2"/>
  <c r="N32" i="2"/>
  <c r="H15" i="2"/>
  <c r="H19" i="2" s="1"/>
  <c r="H27" i="2"/>
  <c r="S11" i="2"/>
  <c r="O24" i="2"/>
  <c r="O32" i="2"/>
  <c r="D9" i="1"/>
  <c r="G30" i="2"/>
  <c r="G19" i="2"/>
  <c r="I31" i="2"/>
  <c r="I22" i="2"/>
  <c r="R30" i="2"/>
  <c r="R19" i="2"/>
  <c r="R20" i="2" s="1"/>
  <c r="T26" i="2"/>
  <c r="T11" i="2"/>
  <c r="V13" i="2"/>
  <c r="U29" i="2"/>
  <c r="U28" i="2"/>
  <c r="Q30" i="2"/>
  <c r="Q19" i="2"/>
  <c r="H30" i="2" l="1"/>
  <c r="S15" i="2"/>
  <c r="S27" i="2"/>
  <c r="S10" i="2"/>
  <c r="I39" i="2"/>
  <c r="I38" i="2"/>
  <c r="H22" i="2"/>
  <c r="H31" i="2"/>
  <c r="G22" i="2"/>
  <c r="G31" i="2"/>
  <c r="I32" i="2"/>
  <c r="I24" i="2"/>
  <c r="R31" i="2"/>
  <c r="T27" i="2"/>
  <c r="T15" i="2"/>
  <c r="V28" i="2"/>
  <c r="V29" i="2"/>
  <c r="W13" i="2"/>
  <c r="U26" i="2"/>
  <c r="U11" i="2"/>
  <c r="T10" i="2"/>
  <c r="Q22" i="2"/>
  <c r="Q31" i="2"/>
  <c r="S30" i="2" l="1"/>
  <c r="S19" i="2"/>
  <c r="H24" i="2"/>
  <c r="H32" i="2"/>
  <c r="G32" i="2"/>
  <c r="G24" i="2"/>
  <c r="R22" i="2"/>
  <c r="R24" i="2" s="1"/>
  <c r="W28" i="2"/>
  <c r="V11" i="2"/>
  <c r="V10" i="2" s="1"/>
  <c r="V26" i="2"/>
  <c r="X13" i="2"/>
  <c r="W29" i="2"/>
  <c r="U27" i="2"/>
  <c r="U15" i="2"/>
  <c r="T19" i="2"/>
  <c r="T20" i="2" s="1"/>
  <c r="T30" i="2"/>
  <c r="U10" i="2"/>
  <c r="Q24" i="2"/>
  <c r="Q32" i="2"/>
  <c r="R32" i="2" l="1"/>
  <c r="S20" i="2"/>
  <c r="S31" i="2" s="1"/>
  <c r="T31" i="2"/>
  <c r="V27" i="2"/>
  <c r="V15" i="2"/>
  <c r="W11" i="2"/>
  <c r="W10" i="2" s="1"/>
  <c r="W26" i="2"/>
  <c r="U19" i="2"/>
  <c r="U20" i="2" s="1"/>
  <c r="U30" i="2"/>
  <c r="Y13" i="2"/>
  <c r="X29" i="2"/>
  <c r="X28" i="2"/>
  <c r="S22" i="2" l="1"/>
  <c r="S24" i="2"/>
  <c r="S32" i="2"/>
  <c r="U31" i="2"/>
  <c r="T22" i="2"/>
  <c r="X11" i="2"/>
  <c r="X10" i="2" s="1"/>
  <c r="X26" i="2"/>
  <c r="Y28" i="2"/>
  <c r="W27" i="2"/>
  <c r="W15" i="2"/>
  <c r="V30" i="2"/>
  <c r="V19" i="2"/>
  <c r="V20" i="2" s="1"/>
  <c r="Z13" i="2"/>
  <c r="Y29" i="2"/>
  <c r="AA13" i="2" l="1"/>
  <c r="Z29" i="2"/>
  <c r="V31" i="2"/>
  <c r="Z28" i="2"/>
  <c r="U22" i="2"/>
  <c r="Y11" i="2"/>
  <c r="Y26" i="2"/>
  <c r="X27" i="2"/>
  <c r="X15" i="2"/>
  <c r="W30" i="2"/>
  <c r="W19" i="2"/>
  <c r="W20" i="2" s="1"/>
  <c r="T24" i="2"/>
  <c r="T32" i="2"/>
  <c r="W31" i="2" l="1"/>
  <c r="Y27" i="2"/>
  <c r="Y15" i="2"/>
  <c r="AA28" i="2"/>
  <c r="AB28" i="2"/>
  <c r="V22" i="2"/>
  <c r="Y10" i="2"/>
  <c r="U32" i="2"/>
  <c r="U24" i="2"/>
  <c r="X30" i="2"/>
  <c r="X19" i="2"/>
  <c r="X20" i="2" s="1"/>
  <c r="Z11" i="2"/>
  <c r="Z10" i="2" s="1"/>
  <c r="Z26" i="2"/>
  <c r="AB13" i="2"/>
  <c r="AB29" i="2" s="1"/>
  <c r="AA29" i="2"/>
  <c r="V32" i="2" l="1"/>
  <c r="V24" i="2"/>
  <c r="X31" i="2"/>
  <c r="Z15" i="2"/>
  <c r="Z27" i="2"/>
  <c r="AA11" i="2"/>
  <c r="AA26" i="2"/>
  <c r="Y30" i="2"/>
  <c r="Y19" i="2"/>
  <c r="Y20" i="2" s="1"/>
  <c r="W22" i="2"/>
  <c r="Y31" i="2" l="1"/>
  <c r="AA27" i="2"/>
  <c r="AA15" i="2"/>
  <c r="AB26" i="2"/>
  <c r="AB11" i="2"/>
  <c r="AB10" i="2" s="1"/>
  <c r="W32" i="2"/>
  <c r="W24" i="2"/>
  <c r="X22" i="2"/>
  <c r="AA10" i="2"/>
  <c r="Z30" i="2"/>
  <c r="Z19" i="2"/>
  <c r="Z20" i="2" s="1"/>
  <c r="AB27" i="2" l="1"/>
  <c r="AB15" i="2"/>
  <c r="Z31" i="2"/>
  <c r="Z22" i="2"/>
  <c r="X24" i="2"/>
  <c r="X32" i="2"/>
  <c r="AA19" i="2"/>
  <c r="AA20" i="2" s="1"/>
  <c r="AA30" i="2"/>
  <c r="Y22" i="2"/>
  <c r="Z24" i="2" l="1"/>
  <c r="Z32" i="2"/>
  <c r="Y24" i="2"/>
  <c r="Y32" i="2"/>
  <c r="AA31" i="2"/>
  <c r="AB19" i="2"/>
  <c r="AB20" i="2" s="1"/>
  <c r="AB30" i="2"/>
  <c r="AA22" i="2" l="1"/>
  <c r="AA24" i="2" s="1"/>
  <c r="AB31" i="2"/>
  <c r="AA32" i="2" l="1"/>
  <c r="AB22" i="2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BK22" i="2" s="1"/>
  <c r="BL22" i="2" s="1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BW22" i="2" s="1"/>
  <c r="BX22" i="2" s="1"/>
  <c r="BY22" i="2" s="1"/>
  <c r="BZ22" i="2" s="1"/>
  <c r="CA22" i="2" s="1"/>
  <c r="CB22" i="2" s="1"/>
  <c r="CC22" i="2" s="1"/>
  <c r="CD22" i="2" s="1"/>
  <c r="CE22" i="2" s="1"/>
  <c r="CF22" i="2" s="1"/>
  <c r="CG22" i="2" s="1"/>
  <c r="CH22" i="2" s="1"/>
  <c r="CI22" i="2" s="1"/>
  <c r="CJ22" i="2" s="1"/>
  <c r="CK22" i="2" s="1"/>
  <c r="CL22" i="2" s="1"/>
  <c r="CM22" i="2" s="1"/>
  <c r="CN22" i="2" s="1"/>
  <c r="CO22" i="2" s="1"/>
  <c r="CP22" i="2" s="1"/>
  <c r="CQ22" i="2" s="1"/>
  <c r="CR22" i="2" s="1"/>
  <c r="CS22" i="2" s="1"/>
  <c r="CT22" i="2" s="1"/>
  <c r="CU22" i="2" s="1"/>
  <c r="CV22" i="2" s="1"/>
  <c r="CW22" i="2" s="1"/>
  <c r="CX22" i="2" s="1"/>
  <c r="CY22" i="2" s="1"/>
  <c r="CZ22" i="2" s="1"/>
  <c r="DA22" i="2" s="1"/>
  <c r="DB22" i="2" s="1"/>
  <c r="DC22" i="2" s="1"/>
  <c r="DD22" i="2" s="1"/>
  <c r="DE22" i="2" s="1"/>
  <c r="DF22" i="2" s="1"/>
  <c r="DG22" i="2" s="1"/>
  <c r="DH22" i="2" s="1"/>
  <c r="DI22" i="2" s="1"/>
  <c r="DJ22" i="2" s="1"/>
  <c r="DK22" i="2" s="1"/>
  <c r="DL22" i="2" s="1"/>
  <c r="DM22" i="2" s="1"/>
  <c r="DN22" i="2" s="1"/>
  <c r="DO22" i="2" s="1"/>
  <c r="DP22" i="2" s="1"/>
  <c r="DQ22" i="2" s="1"/>
  <c r="DR22" i="2" s="1"/>
  <c r="DS22" i="2" s="1"/>
  <c r="DT22" i="2" s="1"/>
  <c r="DU22" i="2" s="1"/>
  <c r="DV22" i="2" s="1"/>
  <c r="DW22" i="2" s="1"/>
  <c r="DX22" i="2" s="1"/>
  <c r="DY22" i="2" s="1"/>
  <c r="DZ22" i="2" s="1"/>
  <c r="EA22" i="2" s="1"/>
  <c r="EB22" i="2" s="1"/>
  <c r="EC22" i="2" s="1"/>
  <c r="ED22" i="2" s="1"/>
  <c r="EE22" i="2" s="1"/>
  <c r="EF22" i="2" s="1"/>
  <c r="EG22" i="2" s="1"/>
  <c r="EH22" i="2" s="1"/>
  <c r="EI22" i="2" s="1"/>
  <c r="EJ22" i="2" s="1"/>
  <c r="EK22" i="2" s="1"/>
  <c r="AE29" i="2" s="1"/>
  <c r="AE31" i="2" s="1"/>
  <c r="AE32" i="2" s="1"/>
  <c r="AE34" i="2" s="1"/>
  <c r="AB24" i="2" l="1"/>
  <c r="AB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Q13" authorId="0" shapeId="0" xr:uid="{385AE349-66F1-42B6-A622-D196341579D9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-137-413 previous r&amp;d impairment charge</t>
        </r>
      </text>
    </comment>
  </commentList>
</comments>
</file>

<file path=xl/sharedStrings.xml><?xml version="1.0" encoding="utf-8"?>
<sst xmlns="http://schemas.openxmlformats.org/spreadsheetml/2006/main" count="63" uniqueCount="58">
  <si>
    <t>RR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</si>
  <si>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</si>
  <si>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</si>
  <si>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</si>
  <si>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</si>
  <si>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</si>
  <si>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</si>
  <si>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</si>
  <si>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</si>
  <si>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</si>
  <si>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</si>
  <si>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H224</t>
  </si>
  <si>
    <t>Revenue</t>
  </si>
  <si>
    <t>Cost of sales</t>
  </si>
  <si>
    <t>Gross profit</t>
  </si>
  <si>
    <t>G&amp;A</t>
  </si>
  <si>
    <t>R&amp;D</t>
  </si>
  <si>
    <t>Other income</t>
  </si>
  <si>
    <t>Operating profit</t>
  </si>
  <si>
    <t>Finance income</t>
  </si>
  <si>
    <t>Interest income</t>
  </si>
  <si>
    <t>Interest expense</t>
  </si>
  <si>
    <t>Pretax profit</t>
  </si>
  <si>
    <t>Taxes</t>
  </si>
  <si>
    <t>MI</t>
  </si>
  <si>
    <t>Net profit</t>
  </si>
  <si>
    <t>EPS</t>
  </si>
  <si>
    <t>H122</t>
  </si>
  <si>
    <t>H222</t>
  </si>
  <si>
    <t>H123</t>
  </si>
  <si>
    <t>H223</t>
  </si>
  <si>
    <t>H124</t>
  </si>
  <si>
    <t>H125</t>
  </si>
  <si>
    <t>H225</t>
  </si>
  <si>
    <t>Revenue y/y</t>
  </si>
  <si>
    <t>Gross Margin</t>
  </si>
  <si>
    <t>G&amp;A y/y</t>
  </si>
  <si>
    <t>R&amp;D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</si>
  <si>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</si>
  <si>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</si>
  <si>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</si>
  <si>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</si>
  <si>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</si>
  <si>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</si>
  <si>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</si>
  <si>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</si>
  <si>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</si>
  <si>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</si>
  <si>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</si>
  <si>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L+S/E</t>
  </si>
  <si>
    <t>EV/B</t>
  </si>
  <si>
    <t>B/EV</t>
  </si>
  <si>
    <t>Overvalued</t>
  </si>
  <si>
    <t>Backlog</t>
  </si>
  <si>
    <t>Civil Aerospace</t>
  </si>
  <si>
    <t>Defence</t>
  </si>
  <si>
    <t>Power Systems</t>
  </si>
  <si>
    <t>SMRs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</si>
</sst>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\x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6" fillId="2" borderId="1" xfId="0" applyFont="1" applyFill="1" applyBorder="1"/>
    <xf numFmtId="165" fontId="2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</xdr:colOff>
      <xdr:row>0</xdr:row>
      <xdr:rowOff>0</xdr:rowOff>
    </xdr:from>
    <xdr:to>
      <xdr:col>17</xdr:col>
      <xdr:colOff>30480</xdr:colOff>
      <xdr:row>39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3E2F361-9150-062B-3590-40DD2E55C151}"/>
            </a:ext>
          </a:extLst>
        </xdr:cNvPr>
        <xdr:cNvCxnSpPr/>
      </xdr:nvCxnSpPr>
      <xdr:spPr>
        <a:xfrm>
          <a:off x="1088136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65BE-4B1E-4DF0-8982-704CFEB0A8DF}">
  <dimension ref="B2:G9"/>
  <sheetViews>
    <sheetView workbookViewId="0">
      <selection activeCell="F3" sqref="F3"/>
    </sheetView>
  </sheetViews>
  <sheetFormatPr defaultRowHeight="14.4" x14ac:dyDescent="0.3"/>
  <cols>
    <col min="1" max="4" width="8.88671875" style="1"/>
    <col min="5" max="5" width="11.88671875" style="4" bestFit="1" customWidth="1"/>
    <col min="6" max="7" width="11.21875" style="4" bestFit="1" customWidth="1"/>
    <col min="8" max="16384" width="8.88671875" style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2" t="s">
        <v>0</v>
      </c>
      <c r="C3" s="1" t="s">
        <v>1</v>
      </c>
      <c r="D3" s="6">
        <v>10.38</v>
      </c>
      <c r="E3" s="5">
        <v>45983</v>
      </c>
      <c r="F3" s="5">
        <f ca="1">TODAY()</f>
        <v>46059</v>
      </c>
      <c r="G3" s="5">
        <v>46079</v>
      </c>
    </row>
    <row r="4" spans="2:7" x14ac:dyDescent="0.3">
      <c r="C4" s="1" t="s">
        <v>2</v>
      </c>
      <c r="D4" s="7">
        <f>8430</f>
        <v>8430</v>
      </c>
      <c r="E4" s="4" t="s">
        <v>32</v>
      </c>
    </row>
    <row r="5" spans="2:7" x14ac:dyDescent="0.3">
      <c r="C5" s="1" t="s">
        <v>3</v>
      </c>
      <c r="D5" s="7">
        <f>D3*D4</f>
        <v>87503.400000000009</v>
      </c>
    </row>
    <row r="6" spans="2:7" x14ac:dyDescent="0.3">
      <c r="C6" s="1" t="s">
        <v>4</v>
      </c>
      <c r="D6" s="7">
        <f>6044+1244</f>
        <v>7288</v>
      </c>
      <c r="E6" s="4" t="s">
        <v>32</v>
      </c>
    </row>
    <row r="7" spans="2:7" x14ac:dyDescent="0.3">
      <c r="C7" s="1" t="s">
        <v>5</v>
      </c>
      <c r="D7" s="7">
        <f>2838+2071</f>
        <v>4909</v>
      </c>
      <c r="E7" s="4" t="s">
        <v>32</v>
      </c>
    </row>
    <row r="8" spans="2:7" x14ac:dyDescent="0.3">
      <c r="C8" s="1" t="s">
        <v>6</v>
      </c>
      <c r="D8" s="7">
        <f>D6-D7</f>
        <v>2379</v>
      </c>
    </row>
    <row r="9" spans="2:7" x14ac:dyDescent="0.3">
      <c r="C9" s="1" t="s">
        <v>7</v>
      </c>
      <c r="D9" s="7">
        <f>D5-D8</f>
        <v>85124.400000000009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4C5F-62A7-4173-B013-659370C01118}">
  <dimension ref="B2:EK3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13" sqref="M13"/>
    </sheetView>
  </sheetViews>
  <sheetFormatPr defaultRowHeight="14.4" x14ac:dyDescent="0.3"/>
  <cols>
    <col min="1" max="1" width="8.88671875" style="1"/>
    <col min="2" max="2" width="16" style="1" customWidth="1"/>
    <col min="3" max="29" width="8.88671875" style="1"/>
    <col min="30" max="30" width="12.77734375" style="1" customWidth="1"/>
    <col min="31" max="31" width="16.44140625" style="1" bestFit="1" customWidth="1"/>
    <col min="32" max="16384" width="8.88671875" style="1"/>
  </cols>
  <sheetData>
    <row r="2" spans="2:28" x14ac:dyDescent="0.3"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11</v>
      </c>
      <c r="I2" s="3" t="s">
        <v>32</v>
      </c>
      <c r="J2" s="3" t="s">
        <v>33</v>
      </c>
      <c r="L2" s="1">
        <v>2019</v>
      </c>
      <c r="M2" s="1">
        <v>2020</v>
      </c>
      <c r="N2" s="1">
        <v>2021</v>
      </c>
      <c r="O2" s="1">
        <v>2022</v>
      </c>
      <c r="P2" s="1">
        <v>2023</v>
      </c>
      <c r="Q2" s="1">
        <v>2024</v>
      </c>
      <c r="R2" s="1">
        <v>2025</v>
      </c>
      <c r="S2" s="1">
        <v>2026</v>
      </c>
      <c r="T2" s="1">
        <v>2027</v>
      </c>
      <c r="U2" s="1">
        <v>2028</v>
      </c>
      <c r="V2" s="1">
        <v>2029</v>
      </c>
      <c r="W2" s="1">
        <v>2030</v>
      </c>
      <c r="X2" s="1">
        <v>2031</v>
      </c>
      <c r="Y2" s="1">
        <v>2032</v>
      </c>
      <c r="Z2" s="1">
        <v>2033</v>
      </c>
      <c r="AA2" s="1">
        <v>2034</v>
      </c>
      <c r="AB2" s="1">
        <v>2035</v>
      </c>
    </row>
    <row r="3" spans="2:28" x14ac:dyDescent="0.3">
      <c r="B3" s="1" t="s">
        <v>54</v>
      </c>
      <c r="C3" s="3"/>
      <c r="D3" s="3"/>
      <c r="E3" s="3"/>
      <c r="F3" s="3"/>
      <c r="G3" s="3"/>
      <c r="H3" s="3"/>
      <c r="I3" s="3"/>
      <c r="J3" s="3"/>
      <c r="P3" s="7">
        <v>55200</v>
      </c>
      <c r="Q3" s="7">
        <v>59900</v>
      </c>
    </row>
    <row r="4" spans="2:28" x14ac:dyDescent="0.3">
      <c r="B4" s="1" t="s">
        <v>55</v>
      </c>
      <c r="C4" s="3"/>
      <c r="D4" s="3"/>
      <c r="E4" s="3"/>
      <c r="F4" s="3"/>
      <c r="G4" s="3"/>
      <c r="H4" s="3"/>
      <c r="I4" s="3"/>
      <c r="J4" s="3"/>
      <c r="P4" s="7">
        <v>9200</v>
      </c>
      <c r="Q4" s="7">
        <v>17400</v>
      </c>
    </row>
    <row r="5" spans="2:28" x14ac:dyDescent="0.3">
      <c r="B5" s="1" t="s">
        <v>56</v>
      </c>
      <c r="C5" s="3"/>
      <c r="D5" s="3"/>
      <c r="E5" s="3"/>
      <c r="F5" s="3"/>
      <c r="G5" s="3"/>
      <c r="H5" s="3"/>
      <c r="I5" s="3"/>
      <c r="J5" s="3"/>
      <c r="P5" s="7">
        <v>4100</v>
      </c>
      <c r="Q5" s="7">
        <v>4800</v>
      </c>
    </row>
    <row r="6" spans="2:28" x14ac:dyDescent="0.3">
      <c r="B6" s="1" t="s">
        <v>57</v>
      </c>
      <c r="C6" s="3"/>
      <c r="D6" s="3"/>
      <c r="E6" s="3"/>
      <c r="F6" s="3"/>
      <c r="G6" s="3"/>
      <c r="H6" s="3"/>
      <c r="I6" s="3"/>
      <c r="J6" s="3"/>
      <c r="P6" s="7">
        <v>0</v>
      </c>
      <c r="Q6" s="7">
        <v>0</v>
      </c>
    </row>
    <row r="7" spans="2:28" s="2" customFormat="1" x14ac:dyDescent="0.3">
      <c r="B7" s="2" t="s">
        <v>53</v>
      </c>
      <c r="C7" s="14"/>
      <c r="D7" s="14"/>
      <c r="E7" s="14"/>
      <c r="F7" s="14"/>
      <c r="G7" s="14"/>
      <c r="H7" s="14"/>
      <c r="I7" s="14"/>
      <c r="J7" s="14"/>
      <c r="M7" s="9">
        <v>52900</v>
      </c>
      <c r="N7" s="9">
        <v>50600</v>
      </c>
      <c r="O7" s="9">
        <v>60200</v>
      </c>
      <c r="P7" s="9">
        <v>68500</v>
      </c>
      <c r="Q7" s="9">
        <v>82100</v>
      </c>
    </row>
    <row r="8" spans="2:28" x14ac:dyDescent="0.3">
      <c r="C8" s="3"/>
      <c r="D8" s="3"/>
      <c r="E8" s="3"/>
      <c r="F8" s="3"/>
      <c r="G8" s="3"/>
      <c r="H8" s="3"/>
      <c r="I8" s="3"/>
      <c r="J8" s="3"/>
    </row>
    <row r="9" spans="2:28" s="2" customFormat="1" x14ac:dyDescent="0.3">
      <c r="B9" s="2" t="s">
        <v>12</v>
      </c>
      <c r="G9" s="9">
        <v>8861</v>
      </c>
      <c r="H9" s="9">
        <f>Q9-G9</f>
        <v>10048</v>
      </c>
      <c r="I9" s="9">
        <v>9490</v>
      </c>
      <c r="L9" s="9">
        <v>16587</v>
      </c>
      <c r="M9" s="9">
        <v>11824</v>
      </c>
      <c r="N9" s="9">
        <v>11218</v>
      </c>
      <c r="O9" s="9">
        <v>13520</v>
      </c>
      <c r="P9" s="9">
        <v>16486</v>
      </c>
      <c r="Q9" s="9">
        <v>18909</v>
      </c>
      <c r="R9" s="9">
        <f>Q9*1.12</f>
        <v>21178.080000000002</v>
      </c>
      <c r="S9" s="9">
        <f>R9*1.08</f>
        <v>22872.326400000002</v>
      </c>
      <c r="T9" s="9">
        <f>S9*1.06</f>
        <v>24244.665984000003</v>
      </c>
      <c r="U9" s="9">
        <f>T9*1.05</f>
        <v>25456.899283200004</v>
      </c>
      <c r="V9" s="9">
        <f>U9*1.04</f>
        <v>26475.175254528003</v>
      </c>
      <c r="W9" s="9">
        <f>V9*1.03</f>
        <v>27269.430512163843</v>
      </c>
      <c r="X9" s="9">
        <f t="shared" ref="X9:AB9" si="0">W9*1.03</f>
        <v>28087.51342752876</v>
      </c>
      <c r="Y9" s="9">
        <f t="shared" si="0"/>
        <v>28930.138830354623</v>
      </c>
      <c r="Z9" s="9">
        <f t="shared" si="0"/>
        <v>29798.042995265263</v>
      </c>
      <c r="AA9" s="9">
        <f t="shared" si="0"/>
        <v>30691.984285123221</v>
      </c>
      <c r="AB9" s="9">
        <f t="shared" si="0"/>
        <v>31612.74381367692</v>
      </c>
    </row>
    <row r="10" spans="2:28" x14ac:dyDescent="0.3">
      <c r="B10" s="1" t="s">
        <v>13</v>
      </c>
      <c r="G10" s="7">
        <v>6753</v>
      </c>
      <c r="H10" s="7">
        <f>Q10-G10</f>
        <v>7935</v>
      </c>
      <c r="I10" s="7">
        <v>6563</v>
      </c>
      <c r="L10" s="7">
        <v>15645</v>
      </c>
      <c r="M10" s="7">
        <v>12034</v>
      </c>
      <c r="N10" s="7">
        <v>9082</v>
      </c>
      <c r="O10" s="7">
        <v>10763</v>
      </c>
      <c r="P10" s="7">
        <v>12866</v>
      </c>
      <c r="Q10" s="7">
        <v>14688</v>
      </c>
      <c r="R10" s="7">
        <f>R9-R11</f>
        <v>16518.902400000003</v>
      </c>
      <c r="S10" s="7">
        <f t="shared" ref="S10:AB10" si="1">S9-S11</f>
        <v>17840.414592000001</v>
      </c>
      <c r="T10" s="7">
        <f t="shared" si="1"/>
        <v>18910.839467520003</v>
      </c>
      <c r="U10" s="7">
        <f t="shared" si="1"/>
        <v>19856.381440896002</v>
      </c>
      <c r="V10" s="7">
        <f t="shared" si="1"/>
        <v>20650.636698531842</v>
      </c>
      <c r="W10" s="7">
        <f t="shared" si="1"/>
        <v>21270.155799487799</v>
      </c>
      <c r="X10" s="7">
        <f t="shared" si="1"/>
        <v>21908.260473472434</v>
      </c>
      <c r="Y10" s="7">
        <f t="shared" si="1"/>
        <v>22565.508287676606</v>
      </c>
      <c r="Z10" s="7">
        <f t="shared" si="1"/>
        <v>23242.473536306905</v>
      </c>
      <c r="AA10" s="7">
        <f t="shared" si="1"/>
        <v>23939.74774239611</v>
      </c>
      <c r="AB10" s="7">
        <f t="shared" si="1"/>
        <v>24657.940174667998</v>
      </c>
    </row>
    <row r="11" spans="2:28" s="2" customFormat="1" x14ac:dyDescent="0.3">
      <c r="B11" s="2" t="s">
        <v>14</v>
      </c>
      <c r="G11" s="9">
        <f t="shared" ref="G11:I11" si="2">G9-G10</f>
        <v>2108</v>
      </c>
      <c r="H11" s="9">
        <f t="shared" ref="H11" si="3">H9-H10</f>
        <v>2113</v>
      </c>
      <c r="I11" s="9">
        <f t="shared" si="2"/>
        <v>2927</v>
      </c>
      <c r="L11" s="9">
        <f t="shared" ref="L11:Q11" si="4">L9-L10</f>
        <v>942</v>
      </c>
      <c r="M11" s="9">
        <f t="shared" si="4"/>
        <v>-210</v>
      </c>
      <c r="N11" s="9">
        <f t="shared" si="4"/>
        <v>2136</v>
      </c>
      <c r="O11" s="9">
        <f t="shared" si="4"/>
        <v>2757</v>
      </c>
      <c r="P11" s="9">
        <f t="shared" si="4"/>
        <v>3620</v>
      </c>
      <c r="Q11" s="9">
        <f t="shared" si="4"/>
        <v>4221</v>
      </c>
      <c r="R11" s="9">
        <f>R9*0.22</f>
        <v>4659.1776</v>
      </c>
      <c r="S11" s="9">
        <f t="shared" ref="S11:AB11" si="5">S9*0.22</f>
        <v>5031.9118080000007</v>
      </c>
      <c r="T11" s="9">
        <f t="shared" si="5"/>
        <v>5333.8265164800005</v>
      </c>
      <c r="U11" s="9">
        <f t="shared" si="5"/>
        <v>5600.5178423040006</v>
      </c>
      <c r="V11" s="9">
        <f t="shared" si="5"/>
        <v>5824.5385559961605</v>
      </c>
      <c r="W11" s="9">
        <f t="shared" si="5"/>
        <v>5999.2747126760451</v>
      </c>
      <c r="X11" s="9">
        <f t="shared" si="5"/>
        <v>6179.2529540563273</v>
      </c>
      <c r="Y11" s="9">
        <f t="shared" si="5"/>
        <v>6364.6305426780173</v>
      </c>
      <c r="Z11" s="9">
        <f t="shared" si="5"/>
        <v>6555.5694589583582</v>
      </c>
      <c r="AA11" s="9">
        <f t="shared" si="5"/>
        <v>6752.2365427271088</v>
      </c>
      <c r="AB11" s="9">
        <f t="shared" si="5"/>
        <v>6954.8036390089228</v>
      </c>
    </row>
    <row r="12" spans="2:28" x14ac:dyDescent="0.3">
      <c r="B12" s="1" t="s">
        <v>15</v>
      </c>
      <c r="G12" s="7">
        <v>641</v>
      </c>
      <c r="H12" s="7">
        <f t="shared" ref="H12:H14" si="6">Q12-G12</f>
        <v>643</v>
      </c>
      <c r="I12" s="7">
        <v>631</v>
      </c>
      <c r="L12" s="7">
        <v>1128</v>
      </c>
      <c r="M12" s="7">
        <v>808</v>
      </c>
      <c r="N12" s="7">
        <v>890</v>
      </c>
      <c r="O12" s="7">
        <v>1077</v>
      </c>
      <c r="P12" s="7">
        <v>1110</v>
      </c>
      <c r="Q12" s="7">
        <v>1284</v>
      </c>
      <c r="R12" s="7">
        <f>Q12*1.08</f>
        <v>1386.72</v>
      </c>
      <c r="S12" s="7">
        <f>R12*1.05</f>
        <v>1456.056</v>
      </c>
      <c r="T12" s="7">
        <f>S12*1.03</f>
        <v>1499.7376800000002</v>
      </c>
      <c r="U12" s="7">
        <f>T12*1.02</f>
        <v>1529.7324336000001</v>
      </c>
      <c r="V12" s="7">
        <f>U12*1.02</f>
        <v>1560.3270822720001</v>
      </c>
      <c r="W12" s="7">
        <f>V12*1.01</f>
        <v>1575.9303530947202</v>
      </c>
      <c r="X12" s="7">
        <f t="shared" ref="X12:AB12" si="7">W12*1.01</f>
        <v>1591.6896566256673</v>
      </c>
      <c r="Y12" s="7">
        <f t="shared" si="7"/>
        <v>1607.6065531919239</v>
      </c>
      <c r="Z12" s="7">
        <f t="shared" si="7"/>
        <v>1623.6826187238432</v>
      </c>
      <c r="AA12" s="7">
        <f t="shared" si="7"/>
        <v>1639.9194449110817</v>
      </c>
      <c r="AB12" s="7">
        <f t="shared" si="7"/>
        <v>1656.3186393601925</v>
      </c>
    </row>
    <row r="13" spans="2:28" x14ac:dyDescent="0.3">
      <c r="B13" s="1" t="s">
        <v>16</v>
      </c>
      <c r="G13" s="7">
        <v>-101</v>
      </c>
      <c r="H13" s="7">
        <f t="shared" si="6"/>
        <v>854</v>
      </c>
      <c r="I13" s="7">
        <v>246</v>
      </c>
      <c r="L13" s="7">
        <v>770</v>
      </c>
      <c r="M13" s="7">
        <v>1254</v>
      </c>
      <c r="N13" s="7">
        <v>778</v>
      </c>
      <c r="O13" s="7">
        <v>891</v>
      </c>
      <c r="P13" s="7">
        <v>739</v>
      </c>
      <c r="Q13" s="7">
        <f>203+413+137</f>
        <v>753</v>
      </c>
      <c r="R13" s="7">
        <f>Q13*1.02</f>
        <v>768.06000000000006</v>
      </c>
      <c r="S13" s="7">
        <f t="shared" ref="S13:AB13" si="8">R13*1.02</f>
        <v>783.42120000000011</v>
      </c>
      <c r="T13" s="7">
        <f t="shared" si="8"/>
        <v>799.08962400000019</v>
      </c>
      <c r="U13" s="7">
        <f t="shared" si="8"/>
        <v>815.07141648000015</v>
      </c>
      <c r="V13" s="7">
        <f t="shared" si="8"/>
        <v>831.37284480960022</v>
      </c>
      <c r="W13" s="7">
        <f t="shared" si="8"/>
        <v>848.00030170579225</v>
      </c>
      <c r="X13" s="7">
        <f t="shared" si="8"/>
        <v>864.9603077399081</v>
      </c>
      <c r="Y13" s="7">
        <f t="shared" si="8"/>
        <v>882.25951389470629</v>
      </c>
      <c r="Z13" s="7">
        <f t="shared" si="8"/>
        <v>899.90470417260042</v>
      </c>
      <c r="AA13" s="7">
        <f t="shared" si="8"/>
        <v>917.90279825605239</v>
      </c>
      <c r="AB13" s="7">
        <f t="shared" si="8"/>
        <v>936.26085422117342</v>
      </c>
    </row>
    <row r="14" spans="2:28" x14ac:dyDescent="0.3">
      <c r="B14" s="1" t="s">
        <v>17</v>
      </c>
      <c r="G14" s="7">
        <v>-78</v>
      </c>
      <c r="H14" s="7">
        <f t="shared" si="6"/>
        <v>-94</v>
      </c>
      <c r="I14" s="7">
        <v>-24</v>
      </c>
      <c r="L14" s="7">
        <v>-104</v>
      </c>
      <c r="M14" s="7">
        <v>-191</v>
      </c>
      <c r="N14" s="7">
        <v>-45</v>
      </c>
      <c r="O14" s="7">
        <v>-48</v>
      </c>
      <c r="P14" s="7">
        <v>-173</v>
      </c>
      <c r="Q14" s="7">
        <v>-172</v>
      </c>
      <c r="R14" s="7">
        <f>Q14*1.01</f>
        <v>-173.72</v>
      </c>
      <c r="S14" s="7">
        <f t="shared" ref="S14:AB14" si="9">R14*1.01</f>
        <v>-175.4572</v>
      </c>
      <c r="T14" s="7">
        <f t="shared" si="9"/>
        <v>-177.211772</v>
      </c>
      <c r="U14" s="7">
        <f t="shared" si="9"/>
        <v>-178.98388972000001</v>
      </c>
      <c r="V14" s="7">
        <f t="shared" si="9"/>
        <v>-180.77372861720002</v>
      </c>
      <c r="W14" s="7">
        <f t="shared" si="9"/>
        <v>-182.58146590337202</v>
      </c>
      <c r="X14" s="7">
        <f t="shared" si="9"/>
        <v>-184.40728056240573</v>
      </c>
      <c r="Y14" s="7">
        <f t="shared" si="9"/>
        <v>-186.25135336802978</v>
      </c>
      <c r="Z14" s="7">
        <f t="shared" si="9"/>
        <v>-188.11386690171008</v>
      </c>
      <c r="AA14" s="7">
        <f t="shared" si="9"/>
        <v>-189.99500557072719</v>
      </c>
      <c r="AB14" s="7">
        <f t="shared" si="9"/>
        <v>-191.89495562643447</v>
      </c>
    </row>
    <row r="15" spans="2:28" s="2" customFormat="1" x14ac:dyDescent="0.3">
      <c r="B15" s="2" t="s">
        <v>18</v>
      </c>
      <c r="G15" s="9">
        <f t="shared" ref="G15:I15" si="10">G11-G12-G13-G14</f>
        <v>1646</v>
      </c>
      <c r="H15" s="9">
        <f t="shared" ref="H15" si="11">H11-H12-H13-H14</f>
        <v>710</v>
      </c>
      <c r="I15" s="9">
        <f t="shared" si="10"/>
        <v>2074</v>
      </c>
      <c r="L15" s="9">
        <f t="shared" ref="L15:R15" si="12">L11-L12-L13-L14</f>
        <v>-852</v>
      </c>
      <c r="M15" s="9">
        <f t="shared" si="12"/>
        <v>-2081</v>
      </c>
      <c r="N15" s="9">
        <f t="shared" si="12"/>
        <v>513</v>
      </c>
      <c r="O15" s="9">
        <f t="shared" si="12"/>
        <v>837</v>
      </c>
      <c r="P15" s="9">
        <f t="shared" si="12"/>
        <v>1944</v>
      </c>
      <c r="Q15" s="9">
        <f t="shared" si="12"/>
        <v>2356</v>
      </c>
      <c r="R15" s="9">
        <f t="shared" si="12"/>
        <v>2678.1175999999996</v>
      </c>
      <c r="S15" s="9">
        <f t="shared" ref="S15:AB15" si="13">S11-S12-S13-S14</f>
        <v>2967.8918080000003</v>
      </c>
      <c r="T15" s="9">
        <f t="shared" si="13"/>
        <v>3212.2109844800002</v>
      </c>
      <c r="U15" s="9">
        <f t="shared" si="13"/>
        <v>3434.6978819440005</v>
      </c>
      <c r="V15" s="9">
        <f t="shared" si="13"/>
        <v>3613.6123575317606</v>
      </c>
      <c r="W15" s="9">
        <f t="shared" si="13"/>
        <v>3757.9255237789048</v>
      </c>
      <c r="X15" s="9">
        <f t="shared" si="13"/>
        <v>3907.0102702531576</v>
      </c>
      <c r="Y15" s="9">
        <f t="shared" si="13"/>
        <v>4061.0158289594169</v>
      </c>
      <c r="Z15" s="9">
        <f t="shared" si="13"/>
        <v>4220.0960029636253</v>
      </c>
      <c r="AA15" s="9">
        <f t="shared" si="13"/>
        <v>4384.4093051307009</v>
      </c>
      <c r="AB15" s="9">
        <f t="shared" si="13"/>
        <v>4554.1191010539906</v>
      </c>
    </row>
    <row r="16" spans="2:28" x14ac:dyDescent="0.3">
      <c r="B16" s="1" t="s">
        <v>19</v>
      </c>
      <c r="G16" s="7">
        <v>0</v>
      </c>
      <c r="H16" s="7">
        <f t="shared" ref="H16:H18" si="14">Q16-G16</f>
        <v>-16</v>
      </c>
      <c r="I16" s="7">
        <v>-679</v>
      </c>
      <c r="L16" s="7">
        <v>-139</v>
      </c>
      <c r="M16" s="7">
        <v>14</v>
      </c>
      <c r="N16" s="7">
        <v>-56</v>
      </c>
      <c r="O16" s="7">
        <v>-81</v>
      </c>
      <c r="P16" s="7">
        <v>-1</v>
      </c>
      <c r="Q16" s="7">
        <v>-16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</row>
    <row r="17" spans="2:141" x14ac:dyDescent="0.3">
      <c r="B17" s="1" t="s">
        <v>20</v>
      </c>
      <c r="G17" s="7">
        <v>-306</v>
      </c>
      <c r="H17" s="7">
        <f t="shared" si="14"/>
        <v>-230</v>
      </c>
      <c r="I17" s="7">
        <v>-2342</v>
      </c>
      <c r="L17" s="7">
        <v>-252</v>
      </c>
      <c r="M17" s="7">
        <v>-67</v>
      </c>
      <c r="N17" s="7">
        <v>-229</v>
      </c>
      <c r="O17" s="7">
        <v>-355</v>
      </c>
      <c r="P17" s="7">
        <v>-1163</v>
      </c>
      <c r="Q17" s="7">
        <v>-536</v>
      </c>
      <c r="R17" s="7">
        <f>Q17*1.05</f>
        <v>-562.80000000000007</v>
      </c>
      <c r="S17" s="7">
        <f t="shared" ref="S17:AB17" si="15">R17*1.05</f>
        <v>-590.94000000000005</v>
      </c>
      <c r="T17" s="7">
        <f t="shared" si="15"/>
        <v>-620.48700000000008</v>
      </c>
      <c r="U17" s="7">
        <f t="shared" si="15"/>
        <v>-651.51135000000011</v>
      </c>
      <c r="V17" s="7">
        <f t="shared" si="15"/>
        <v>-684.08691750000014</v>
      </c>
      <c r="W17" s="7">
        <f t="shared" si="15"/>
        <v>-718.2912633750002</v>
      </c>
      <c r="X17" s="7">
        <f t="shared" si="15"/>
        <v>-754.20582654375028</v>
      </c>
      <c r="Y17" s="7">
        <f t="shared" si="15"/>
        <v>-791.9161178709378</v>
      </c>
      <c r="Z17" s="7">
        <f t="shared" si="15"/>
        <v>-831.51192376448478</v>
      </c>
      <c r="AA17" s="7">
        <f t="shared" si="15"/>
        <v>-873.08751995270904</v>
      </c>
      <c r="AB17" s="7">
        <f t="shared" si="15"/>
        <v>-916.74189595034454</v>
      </c>
    </row>
    <row r="18" spans="2:141" x14ac:dyDescent="0.3">
      <c r="B18" s="1" t="s">
        <v>21</v>
      </c>
      <c r="G18" s="7">
        <v>536</v>
      </c>
      <c r="H18" s="7">
        <f t="shared" si="14"/>
        <v>688</v>
      </c>
      <c r="I18" s="7">
        <v>254</v>
      </c>
      <c r="L18" s="7">
        <v>430</v>
      </c>
      <c r="M18" s="7">
        <v>882</v>
      </c>
      <c r="N18" s="7">
        <v>1092</v>
      </c>
      <c r="O18" s="7">
        <v>2775</v>
      </c>
      <c r="P18" s="7">
        <v>681</v>
      </c>
      <c r="Q18" s="7">
        <v>1224</v>
      </c>
      <c r="R18" s="7">
        <v>1000</v>
      </c>
      <c r="S18" s="7">
        <f t="shared" ref="S18:AB18" si="16">R18*1.01</f>
        <v>1010</v>
      </c>
      <c r="T18" s="7">
        <f t="shared" si="16"/>
        <v>1020.1</v>
      </c>
      <c r="U18" s="7">
        <f t="shared" si="16"/>
        <v>1030.3009999999999</v>
      </c>
      <c r="V18" s="7">
        <f t="shared" si="16"/>
        <v>1040.60401</v>
      </c>
      <c r="W18" s="7">
        <f t="shared" si="16"/>
        <v>1051.0100500999999</v>
      </c>
      <c r="X18" s="7">
        <f t="shared" si="16"/>
        <v>1061.5201506009998</v>
      </c>
      <c r="Y18" s="7">
        <f t="shared" si="16"/>
        <v>1072.1353521070098</v>
      </c>
      <c r="Z18" s="7">
        <f t="shared" si="16"/>
        <v>1082.8567056280799</v>
      </c>
      <c r="AA18" s="7">
        <f t="shared" si="16"/>
        <v>1093.6852726843608</v>
      </c>
      <c r="AB18" s="7">
        <f t="shared" si="16"/>
        <v>1104.6221254112045</v>
      </c>
    </row>
    <row r="19" spans="2:141" s="2" customFormat="1" x14ac:dyDescent="0.3">
      <c r="B19" s="2" t="s">
        <v>22</v>
      </c>
      <c r="G19" s="9">
        <f t="shared" ref="G19:I19" si="17">G15-G16-G17-G18</f>
        <v>1416</v>
      </c>
      <c r="H19" s="9">
        <f t="shared" ref="H19" si="18">H15-H16-H17-H18</f>
        <v>268</v>
      </c>
      <c r="I19" s="9">
        <f t="shared" si="17"/>
        <v>4841</v>
      </c>
      <c r="L19" s="9">
        <f t="shared" ref="L19:R19" si="19">L15-L16-L17-L18</f>
        <v>-891</v>
      </c>
      <c r="M19" s="9">
        <f t="shared" si="19"/>
        <v>-2910</v>
      </c>
      <c r="N19" s="9">
        <f t="shared" si="19"/>
        <v>-294</v>
      </c>
      <c r="O19" s="9">
        <f t="shared" si="19"/>
        <v>-1502</v>
      </c>
      <c r="P19" s="9">
        <f t="shared" si="19"/>
        <v>2427</v>
      </c>
      <c r="Q19" s="9">
        <f t="shared" si="19"/>
        <v>1684</v>
      </c>
      <c r="R19" s="9">
        <f t="shared" si="19"/>
        <v>2240.9175999999998</v>
      </c>
      <c r="S19" s="9">
        <f t="shared" ref="S19:AB19" si="20">S15-S16-S17-S18</f>
        <v>2548.8318080000004</v>
      </c>
      <c r="T19" s="9">
        <f t="shared" si="20"/>
        <v>2812.5979844800004</v>
      </c>
      <c r="U19" s="9">
        <f t="shared" si="20"/>
        <v>3055.9082319440008</v>
      </c>
      <c r="V19" s="9">
        <f t="shared" si="20"/>
        <v>3257.0952650317604</v>
      </c>
      <c r="W19" s="9">
        <f t="shared" si="20"/>
        <v>3425.2067370539053</v>
      </c>
      <c r="X19" s="9">
        <f t="shared" si="20"/>
        <v>3599.6959461959077</v>
      </c>
      <c r="Y19" s="9">
        <f t="shared" si="20"/>
        <v>3780.7965947233452</v>
      </c>
      <c r="Z19" s="9">
        <f t="shared" si="20"/>
        <v>3968.7512211000303</v>
      </c>
      <c r="AA19" s="9">
        <f t="shared" si="20"/>
        <v>4163.8115523990491</v>
      </c>
      <c r="AB19" s="9">
        <f t="shared" si="20"/>
        <v>4366.2388715931311</v>
      </c>
    </row>
    <row r="20" spans="2:141" x14ac:dyDescent="0.3">
      <c r="B20" s="1" t="s">
        <v>23</v>
      </c>
      <c r="G20" s="7">
        <v>280</v>
      </c>
      <c r="H20" s="7">
        <f t="shared" ref="H20:H21" si="21">Q20-G20</f>
        <v>-530</v>
      </c>
      <c r="I20" s="7">
        <v>433</v>
      </c>
      <c r="L20" s="7">
        <v>420</v>
      </c>
      <c r="M20" s="7">
        <v>259</v>
      </c>
      <c r="N20" s="7">
        <v>-418</v>
      </c>
      <c r="O20" s="7">
        <v>-308</v>
      </c>
      <c r="P20" s="7">
        <v>23</v>
      </c>
      <c r="Q20" s="7">
        <v>-250</v>
      </c>
      <c r="R20" s="7">
        <f>R19*0.15</f>
        <v>336.13763999999998</v>
      </c>
      <c r="S20" s="7">
        <f t="shared" ref="S20:AB20" si="22">S19*0.15</f>
        <v>382.32477120000004</v>
      </c>
      <c r="T20" s="7">
        <f t="shared" si="22"/>
        <v>421.88969767200007</v>
      </c>
      <c r="U20" s="7">
        <f t="shared" si="22"/>
        <v>458.38623479160009</v>
      </c>
      <c r="V20" s="7">
        <f t="shared" si="22"/>
        <v>488.56428975476405</v>
      </c>
      <c r="W20" s="7">
        <f t="shared" si="22"/>
        <v>513.78101055808577</v>
      </c>
      <c r="X20" s="7">
        <f t="shared" si="22"/>
        <v>539.95439192938613</v>
      </c>
      <c r="Y20" s="7">
        <f t="shared" si="22"/>
        <v>567.1194892085017</v>
      </c>
      <c r="Z20" s="7">
        <f t="shared" si="22"/>
        <v>595.3126831650045</v>
      </c>
      <c r="AA20" s="7">
        <f t="shared" si="22"/>
        <v>624.57173285985732</v>
      </c>
      <c r="AB20" s="7">
        <f t="shared" si="22"/>
        <v>654.93583073896968</v>
      </c>
    </row>
    <row r="21" spans="2:141" x14ac:dyDescent="0.3">
      <c r="B21" s="1" t="s">
        <v>24</v>
      </c>
      <c r="G21" s="7">
        <v>-13</v>
      </c>
      <c r="H21" s="7">
        <f t="shared" si="21"/>
        <v>-24</v>
      </c>
      <c r="I21" s="7">
        <v>-8</v>
      </c>
      <c r="L21" s="7">
        <v>4</v>
      </c>
      <c r="M21" s="7">
        <v>1</v>
      </c>
      <c r="N21" s="7">
        <f>3+1</f>
        <v>4</v>
      </c>
      <c r="O21" s="7">
        <f>80-5</f>
        <v>75</v>
      </c>
      <c r="P21" s="7">
        <v>-8</v>
      </c>
      <c r="Q21" s="7">
        <v>-37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</row>
    <row r="22" spans="2:141" s="2" customFormat="1" x14ac:dyDescent="0.3">
      <c r="B22" s="2" t="s">
        <v>25</v>
      </c>
      <c r="G22" s="9">
        <f t="shared" ref="G22:I22" si="23">G19-G20-G21</f>
        <v>1149</v>
      </c>
      <c r="H22" s="9">
        <f t="shared" ref="H22" si="24">H19-H20-H21</f>
        <v>822</v>
      </c>
      <c r="I22" s="9">
        <f t="shared" si="23"/>
        <v>4416</v>
      </c>
      <c r="L22" s="9">
        <f t="shared" ref="L22:R22" si="25">L19-L20-L21</f>
        <v>-1315</v>
      </c>
      <c r="M22" s="9">
        <f t="shared" si="25"/>
        <v>-3170</v>
      </c>
      <c r="N22" s="9">
        <f t="shared" si="25"/>
        <v>120</v>
      </c>
      <c r="O22" s="9">
        <f t="shared" si="25"/>
        <v>-1269</v>
      </c>
      <c r="P22" s="9">
        <f t="shared" si="25"/>
        <v>2412</v>
      </c>
      <c r="Q22" s="9">
        <f t="shared" si="25"/>
        <v>1971</v>
      </c>
      <c r="R22" s="9">
        <f t="shared" si="25"/>
        <v>1904.7799599999998</v>
      </c>
      <c r="S22" s="9">
        <f t="shared" ref="S22:AB22" si="26">S19-S20-S21</f>
        <v>2166.5070368000002</v>
      </c>
      <c r="T22" s="9">
        <f t="shared" si="26"/>
        <v>2390.7082868080001</v>
      </c>
      <c r="U22" s="9">
        <f t="shared" si="26"/>
        <v>2597.5219971524007</v>
      </c>
      <c r="V22" s="9">
        <f t="shared" si="26"/>
        <v>2768.5309752769963</v>
      </c>
      <c r="W22" s="9">
        <f t="shared" si="26"/>
        <v>2911.4257264958196</v>
      </c>
      <c r="X22" s="9">
        <f t="shared" si="26"/>
        <v>3059.7415542665217</v>
      </c>
      <c r="Y22" s="9">
        <f t="shared" si="26"/>
        <v>3213.6771055148433</v>
      </c>
      <c r="Z22" s="9">
        <f t="shared" si="26"/>
        <v>3373.438537935026</v>
      </c>
      <c r="AA22" s="9">
        <f t="shared" si="26"/>
        <v>3539.2398195391916</v>
      </c>
      <c r="AB22" s="9">
        <f t="shared" si="26"/>
        <v>3711.3030408541613</v>
      </c>
      <c r="AC22" s="2">
        <f>AB22*(1+$AE$27)</f>
        <v>3674.1900104456195</v>
      </c>
      <c r="AD22" s="2">
        <f t="shared" ref="AD22:CO22" si="27">AC22*(1+$AE$27)</f>
        <v>3637.4481103411631</v>
      </c>
      <c r="AE22" s="2">
        <f t="shared" si="27"/>
        <v>3601.0736292377514</v>
      </c>
      <c r="AF22" s="2">
        <f t="shared" si="27"/>
        <v>3565.0628929453737</v>
      </c>
      <c r="AG22" s="2">
        <f t="shared" si="27"/>
        <v>3529.4122640159198</v>
      </c>
      <c r="AH22" s="2">
        <f t="shared" si="27"/>
        <v>3494.1181413757608</v>
      </c>
      <c r="AI22" s="2">
        <f t="shared" si="27"/>
        <v>3459.1769599620034</v>
      </c>
      <c r="AJ22" s="2">
        <f t="shared" si="27"/>
        <v>3424.5851903623834</v>
      </c>
      <c r="AK22" s="2">
        <f t="shared" si="27"/>
        <v>3390.3393384587594</v>
      </c>
      <c r="AL22" s="2">
        <f t="shared" si="27"/>
        <v>3356.4359450741717</v>
      </c>
      <c r="AM22" s="2">
        <f t="shared" si="27"/>
        <v>3322.8715856234298</v>
      </c>
      <c r="AN22" s="2">
        <f t="shared" si="27"/>
        <v>3289.6428697671954</v>
      </c>
      <c r="AO22" s="2">
        <f t="shared" si="27"/>
        <v>3256.7464410695234</v>
      </c>
      <c r="AP22" s="2">
        <f t="shared" si="27"/>
        <v>3224.1789766588281</v>
      </c>
      <c r="AQ22" s="2">
        <f t="shared" si="27"/>
        <v>3191.9371868922399</v>
      </c>
      <c r="AR22" s="2">
        <f t="shared" si="27"/>
        <v>3160.0178150233173</v>
      </c>
      <c r="AS22" s="2">
        <f t="shared" si="27"/>
        <v>3128.4176368730841</v>
      </c>
      <c r="AT22" s="2">
        <f t="shared" si="27"/>
        <v>3097.133460504353</v>
      </c>
      <c r="AU22" s="2">
        <f t="shared" si="27"/>
        <v>3066.1621258993096</v>
      </c>
      <c r="AV22" s="2">
        <f t="shared" si="27"/>
        <v>3035.5005046403166</v>
      </c>
      <c r="AW22" s="2">
        <f t="shared" si="27"/>
        <v>3005.1454995939134</v>
      </c>
      <c r="AX22" s="2">
        <f t="shared" si="27"/>
        <v>2975.0940445979741</v>
      </c>
      <c r="AY22" s="2">
        <f t="shared" si="27"/>
        <v>2945.3431041519943</v>
      </c>
      <c r="AZ22" s="2">
        <f t="shared" si="27"/>
        <v>2915.8896731104742</v>
      </c>
      <c r="BA22" s="2">
        <f t="shared" si="27"/>
        <v>2886.7307763793692</v>
      </c>
      <c r="BB22" s="2">
        <f t="shared" si="27"/>
        <v>2857.8634686155756</v>
      </c>
      <c r="BC22" s="2">
        <f t="shared" si="27"/>
        <v>2829.2848339294196</v>
      </c>
      <c r="BD22" s="2">
        <f t="shared" si="27"/>
        <v>2800.9919855901253</v>
      </c>
      <c r="BE22" s="2">
        <f t="shared" si="27"/>
        <v>2772.9820657342239</v>
      </c>
      <c r="BF22" s="2">
        <f t="shared" si="27"/>
        <v>2745.2522450768815</v>
      </c>
      <c r="BG22" s="2">
        <f t="shared" si="27"/>
        <v>2717.7997226261127</v>
      </c>
      <c r="BH22" s="2">
        <f t="shared" si="27"/>
        <v>2690.6217253998516</v>
      </c>
      <c r="BI22" s="2">
        <f t="shared" si="27"/>
        <v>2663.7155081458532</v>
      </c>
      <c r="BJ22" s="2">
        <f t="shared" si="27"/>
        <v>2637.0783530643948</v>
      </c>
      <c r="BK22" s="2">
        <f t="shared" si="27"/>
        <v>2610.7075695337508</v>
      </c>
      <c r="BL22" s="2">
        <f t="shared" si="27"/>
        <v>2584.6004938384131</v>
      </c>
      <c r="BM22" s="2">
        <f t="shared" si="27"/>
        <v>2558.7544889000287</v>
      </c>
      <c r="BN22" s="2">
        <f t="shared" si="27"/>
        <v>2533.1669440110286</v>
      </c>
      <c r="BO22" s="2">
        <f t="shared" si="27"/>
        <v>2507.8352745709185</v>
      </c>
      <c r="BP22" s="2">
        <f t="shared" si="27"/>
        <v>2482.7569218252092</v>
      </c>
      <c r="BQ22" s="2">
        <f t="shared" si="27"/>
        <v>2457.9293526069573</v>
      </c>
      <c r="BR22" s="2">
        <f t="shared" si="27"/>
        <v>2433.3500590808876</v>
      </c>
      <c r="BS22" s="2">
        <f t="shared" si="27"/>
        <v>2409.0165584900788</v>
      </c>
      <c r="BT22" s="2">
        <f t="shared" si="27"/>
        <v>2384.9263929051781</v>
      </c>
      <c r="BU22" s="2">
        <f t="shared" si="27"/>
        <v>2361.0771289761265</v>
      </c>
      <c r="BV22" s="2">
        <f t="shared" si="27"/>
        <v>2337.466357686365</v>
      </c>
      <c r="BW22" s="2">
        <f t="shared" si="27"/>
        <v>2314.0916941095011</v>
      </c>
      <c r="BX22" s="2">
        <f t="shared" si="27"/>
        <v>2290.9507771684061</v>
      </c>
      <c r="BY22" s="2">
        <f t="shared" si="27"/>
        <v>2268.0412693967219</v>
      </c>
      <c r="BZ22" s="2">
        <f t="shared" si="27"/>
        <v>2245.3608567027545</v>
      </c>
      <c r="CA22" s="2">
        <f t="shared" si="27"/>
        <v>2222.9072481357271</v>
      </c>
      <c r="CB22" s="2">
        <f t="shared" si="27"/>
        <v>2200.6781756543696</v>
      </c>
      <c r="CC22" s="2">
        <f t="shared" si="27"/>
        <v>2178.671393897826</v>
      </c>
      <c r="CD22" s="2">
        <f t="shared" si="27"/>
        <v>2156.8846799588478</v>
      </c>
      <c r="CE22" s="2">
        <f t="shared" si="27"/>
        <v>2135.3158331592595</v>
      </c>
      <c r="CF22" s="2">
        <f t="shared" si="27"/>
        <v>2113.9626748276669</v>
      </c>
      <c r="CG22" s="2">
        <f t="shared" si="27"/>
        <v>2092.82304807939</v>
      </c>
      <c r="CH22" s="2">
        <f t="shared" si="27"/>
        <v>2071.8948175985961</v>
      </c>
      <c r="CI22" s="2">
        <f t="shared" si="27"/>
        <v>2051.17586942261</v>
      </c>
      <c r="CJ22" s="2">
        <f t="shared" si="27"/>
        <v>2030.664110728384</v>
      </c>
      <c r="CK22" s="2">
        <f t="shared" si="27"/>
        <v>2010.3574696211001</v>
      </c>
      <c r="CL22" s="2">
        <f t="shared" si="27"/>
        <v>1990.253894924889</v>
      </c>
      <c r="CM22" s="2">
        <f t="shared" si="27"/>
        <v>1970.35135597564</v>
      </c>
      <c r="CN22" s="2">
        <f t="shared" si="27"/>
        <v>1950.6478424158836</v>
      </c>
      <c r="CO22" s="2">
        <f t="shared" si="27"/>
        <v>1931.1413639917248</v>
      </c>
      <c r="CP22" s="2">
        <f t="shared" ref="CP22:EK22" si="28">CO22*(1+$AE$27)</f>
        <v>1911.8299503518076</v>
      </c>
      <c r="CQ22" s="2">
        <f t="shared" si="28"/>
        <v>1892.7116508482895</v>
      </c>
      <c r="CR22" s="2">
        <f t="shared" si="28"/>
        <v>1873.7845343398067</v>
      </c>
      <c r="CS22" s="2">
        <f t="shared" si="28"/>
        <v>1855.0466889964086</v>
      </c>
      <c r="CT22" s="2">
        <f t="shared" si="28"/>
        <v>1836.4962221064445</v>
      </c>
      <c r="CU22" s="2">
        <f t="shared" si="28"/>
        <v>1818.1312598853801</v>
      </c>
      <c r="CV22" s="2">
        <f t="shared" si="28"/>
        <v>1799.9499472865264</v>
      </c>
      <c r="CW22" s="2">
        <f t="shared" si="28"/>
        <v>1781.9504478136612</v>
      </c>
      <c r="CX22" s="2">
        <f t="shared" si="28"/>
        <v>1764.1309433355245</v>
      </c>
      <c r="CY22" s="2">
        <f t="shared" si="28"/>
        <v>1746.4896339021693</v>
      </c>
      <c r="CZ22" s="2">
        <f t="shared" si="28"/>
        <v>1729.0247375631477</v>
      </c>
      <c r="DA22" s="2">
        <f t="shared" si="28"/>
        <v>1711.7344901875163</v>
      </c>
      <c r="DB22" s="2">
        <f t="shared" si="28"/>
        <v>1694.6171452856411</v>
      </c>
      <c r="DC22" s="2">
        <f t="shared" si="28"/>
        <v>1677.6709738327847</v>
      </c>
      <c r="DD22" s="2">
        <f t="shared" si="28"/>
        <v>1660.894264094457</v>
      </c>
      <c r="DE22" s="2">
        <f t="shared" si="28"/>
        <v>1644.2853214535123</v>
      </c>
      <c r="DF22" s="2">
        <f t="shared" si="28"/>
        <v>1627.8424682389773</v>
      </c>
      <c r="DG22" s="2">
        <f t="shared" si="28"/>
        <v>1611.5640435565874</v>
      </c>
      <c r="DH22" s="2">
        <f t="shared" si="28"/>
        <v>1595.4484031210216</v>
      </c>
      <c r="DI22" s="2">
        <f t="shared" si="28"/>
        <v>1579.4939190898112</v>
      </c>
      <c r="DJ22" s="2">
        <f t="shared" si="28"/>
        <v>1563.6989798989132</v>
      </c>
      <c r="DK22" s="2">
        <f t="shared" si="28"/>
        <v>1548.0619900999241</v>
      </c>
      <c r="DL22" s="2">
        <f t="shared" si="28"/>
        <v>1532.5813701989248</v>
      </c>
      <c r="DM22" s="2">
        <f t="shared" si="28"/>
        <v>1517.2555564969355</v>
      </c>
      <c r="DN22" s="2">
        <f t="shared" si="28"/>
        <v>1502.0830009319661</v>
      </c>
      <c r="DO22" s="2">
        <f t="shared" si="28"/>
        <v>1487.0621709226464</v>
      </c>
      <c r="DP22" s="2">
        <f t="shared" si="28"/>
        <v>1472.1915492134199</v>
      </c>
      <c r="DQ22" s="2">
        <f t="shared" si="28"/>
        <v>1457.4696337212856</v>
      </c>
      <c r="DR22" s="2">
        <f t="shared" si="28"/>
        <v>1442.8949373840728</v>
      </c>
      <c r="DS22" s="2">
        <f t="shared" si="28"/>
        <v>1428.465988010232</v>
      </c>
      <c r="DT22" s="2">
        <f t="shared" si="28"/>
        <v>1414.1813281301297</v>
      </c>
      <c r="DU22" s="2">
        <f t="shared" si="28"/>
        <v>1400.0395148488285</v>
      </c>
      <c r="DV22" s="2">
        <f t="shared" si="28"/>
        <v>1386.0391197003403</v>
      </c>
      <c r="DW22" s="2">
        <f t="shared" si="28"/>
        <v>1372.178728503337</v>
      </c>
      <c r="DX22" s="2">
        <f t="shared" si="28"/>
        <v>1358.4569412183037</v>
      </c>
      <c r="DY22" s="2">
        <f t="shared" si="28"/>
        <v>1344.8723718061206</v>
      </c>
      <c r="DZ22" s="2">
        <f t="shared" si="28"/>
        <v>1331.4236480880593</v>
      </c>
      <c r="EA22" s="2">
        <f t="shared" si="28"/>
        <v>1318.1094116071786</v>
      </c>
      <c r="EB22" s="2">
        <f t="shared" si="28"/>
        <v>1304.9283174911068</v>
      </c>
      <c r="EC22" s="2">
        <f t="shared" si="28"/>
        <v>1291.8790343161957</v>
      </c>
      <c r="ED22" s="2">
        <f t="shared" si="28"/>
        <v>1278.9602439730336</v>
      </c>
      <c r="EE22" s="2">
        <f t="shared" si="28"/>
        <v>1266.1706415333033</v>
      </c>
      <c r="EF22" s="2">
        <f t="shared" si="28"/>
        <v>1253.5089351179702</v>
      </c>
      <c r="EG22" s="2">
        <f t="shared" si="28"/>
        <v>1240.9738457667904</v>
      </c>
      <c r="EH22" s="2">
        <f t="shared" si="28"/>
        <v>1228.5641073091224</v>
      </c>
      <c r="EI22" s="2">
        <f t="shared" si="28"/>
        <v>1216.2784662360311</v>
      </c>
      <c r="EJ22" s="2">
        <f t="shared" si="28"/>
        <v>1204.1156815736708</v>
      </c>
      <c r="EK22" s="2">
        <f t="shared" si="28"/>
        <v>1192.0745247579341</v>
      </c>
    </row>
    <row r="23" spans="2:141" x14ac:dyDescent="0.3">
      <c r="B23" s="1" t="s">
        <v>2</v>
      </c>
      <c r="G23" s="7">
        <f>8388</f>
        <v>8388</v>
      </c>
      <c r="H23" s="7">
        <f>8388</f>
        <v>8388</v>
      </c>
      <c r="I23" s="7">
        <f>8430</f>
        <v>8430</v>
      </c>
      <c r="L23" s="7">
        <f>8388</f>
        <v>8388</v>
      </c>
      <c r="M23" s="7">
        <f>8388</f>
        <v>8388</v>
      </c>
      <c r="N23" s="7">
        <f>8388</f>
        <v>8388</v>
      </c>
      <c r="O23" s="7">
        <f>8388</f>
        <v>8388</v>
      </c>
      <c r="P23" s="7">
        <f>8388</f>
        <v>8388</v>
      </c>
      <c r="Q23" s="7">
        <f>8388</f>
        <v>8388</v>
      </c>
      <c r="R23" s="7">
        <f>8430</f>
        <v>8430</v>
      </c>
      <c r="S23" s="7">
        <f>8430</f>
        <v>8430</v>
      </c>
      <c r="T23" s="7">
        <f>8430</f>
        <v>8430</v>
      </c>
      <c r="U23" s="7">
        <f>8430</f>
        <v>8430</v>
      </c>
      <c r="V23" s="7">
        <f>8430</f>
        <v>8430</v>
      </c>
      <c r="W23" s="7">
        <f>8430</f>
        <v>8430</v>
      </c>
      <c r="X23" s="7">
        <f>8430</f>
        <v>8430</v>
      </c>
      <c r="Y23" s="7">
        <f>8430</f>
        <v>8430</v>
      </c>
      <c r="Z23" s="7">
        <f>8430</f>
        <v>8430</v>
      </c>
      <c r="AA23" s="7">
        <f>8430</f>
        <v>8430</v>
      </c>
      <c r="AB23" s="7">
        <f>8430</f>
        <v>8430</v>
      </c>
    </row>
    <row r="24" spans="2:141" x14ac:dyDescent="0.3">
      <c r="B24" s="1" t="s">
        <v>26</v>
      </c>
      <c r="G24" s="8">
        <f t="shared" ref="G24:I24" si="29">G22/G23</f>
        <v>0.13698140200286124</v>
      </c>
      <c r="H24" s="8">
        <f t="shared" ref="H24" si="30">H22/H23</f>
        <v>9.7997138769670963E-2</v>
      </c>
      <c r="I24" s="8">
        <f t="shared" si="29"/>
        <v>0.52384341637010678</v>
      </c>
      <c r="L24" s="8">
        <f t="shared" ref="L24:R24" si="31">L22/L23</f>
        <v>-0.15677157844539819</v>
      </c>
      <c r="M24" s="8">
        <f t="shared" si="31"/>
        <v>-0.37792083929422987</v>
      </c>
      <c r="N24" s="8">
        <f t="shared" si="31"/>
        <v>1.4306151645207439E-2</v>
      </c>
      <c r="O24" s="8">
        <f t="shared" si="31"/>
        <v>-0.15128755364806867</v>
      </c>
      <c r="P24" s="8">
        <f t="shared" si="31"/>
        <v>0.28755364806866951</v>
      </c>
      <c r="Q24" s="8">
        <f t="shared" si="31"/>
        <v>0.23497854077253219</v>
      </c>
      <c r="R24" s="8">
        <f t="shared" si="31"/>
        <v>0.22595254567022538</v>
      </c>
      <c r="S24" s="8">
        <f t="shared" ref="S24:AB24" si="32">S22/S23</f>
        <v>0.25699964849347567</v>
      </c>
      <c r="T24" s="8">
        <f t="shared" si="32"/>
        <v>0.2835952890638197</v>
      </c>
      <c r="U24" s="8">
        <f t="shared" si="32"/>
        <v>0.30812835078913414</v>
      </c>
      <c r="V24" s="8">
        <f t="shared" si="32"/>
        <v>0.32841411331874215</v>
      </c>
      <c r="W24" s="8">
        <f t="shared" si="32"/>
        <v>0.34536485486308655</v>
      </c>
      <c r="X24" s="8">
        <f t="shared" si="32"/>
        <v>0.36295866598653875</v>
      </c>
      <c r="Y24" s="8">
        <f t="shared" si="32"/>
        <v>0.38121911097447725</v>
      </c>
      <c r="Z24" s="8">
        <f t="shared" si="32"/>
        <v>0.40017064506939809</v>
      </c>
      <c r="AA24" s="8">
        <f t="shared" si="32"/>
        <v>0.41983865000464904</v>
      </c>
      <c r="AB24" s="8">
        <f t="shared" si="32"/>
        <v>0.4402494710384533</v>
      </c>
    </row>
    <row r="26" spans="2:141" x14ac:dyDescent="0.3">
      <c r="B26" s="1" t="s">
        <v>34</v>
      </c>
      <c r="G26" s="10"/>
      <c r="H26" s="10"/>
      <c r="I26" s="10">
        <f>I9/G9-1</f>
        <v>7.0985216115562633E-2</v>
      </c>
      <c r="L26" s="10"/>
      <c r="M26" s="10">
        <f t="shared" ref="M26:P26" si="33">M9/L9-1</f>
        <v>-0.2871525893772231</v>
      </c>
      <c r="N26" s="10">
        <f t="shared" si="33"/>
        <v>-5.1251691474966221E-2</v>
      </c>
      <c r="O26" s="10">
        <f t="shared" si="33"/>
        <v>0.20520591905865571</v>
      </c>
      <c r="P26" s="10">
        <f t="shared" si="33"/>
        <v>0.21937869822485201</v>
      </c>
      <c r="Q26" s="10">
        <f>Q9/P9-1</f>
        <v>0.14697318937280124</v>
      </c>
      <c r="R26" s="10">
        <f t="shared" ref="R26:AB26" si="34">R9/Q9-1</f>
        <v>0.12000000000000011</v>
      </c>
      <c r="S26" s="10">
        <f t="shared" si="34"/>
        <v>8.0000000000000071E-2</v>
      </c>
      <c r="T26" s="10">
        <f t="shared" si="34"/>
        <v>6.0000000000000053E-2</v>
      </c>
      <c r="U26" s="10">
        <f t="shared" si="34"/>
        <v>5.0000000000000044E-2</v>
      </c>
      <c r="V26" s="10">
        <f t="shared" si="34"/>
        <v>4.0000000000000036E-2</v>
      </c>
      <c r="W26" s="10">
        <f t="shared" si="34"/>
        <v>3.0000000000000027E-2</v>
      </c>
      <c r="X26" s="10">
        <f t="shared" si="34"/>
        <v>3.0000000000000027E-2</v>
      </c>
      <c r="Y26" s="10">
        <f t="shared" si="34"/>
        <v>3.0000000000000027E-2</v>
      </c>
      <c r="Z26" s="10">
        <f t="shared" si="34"/>
        <v>3.0000000000000027E-2</v>
      </c>
      <c r="AA26" s="10">
        <f t="shared" si="34"/>
        <v>3.0000000000000027E-2</v>
      </c>
      <c r="AB26" s="10">
        <f t="shared" si="34"/>
        <v>3.0000000000000027E-2</v>
      </c>
    </row>
    <row r="27" spans="2:141" x14ac:dyDescent="0.3">
      <c r="B27" s="1" t="s">
        <v>35</v>
      </c>
      <c r="G27" s="10">
        <f t="shared" ref="G27:I27" si="35">G11/G9</f>
        <v>0.23789639995485837</v>
      </c>
      <c r="H27" s="10">
        <f t="shared" ref="H27" si="36">H11/H9</f>
        <v>0.2102906050955414</v>
      </c>
      <c r="I27" s="10">
        <f t="shared" si="35"/>
        <v>0.30842992623814541</v>
      </c>
      <c r="L27" s="10">
        <f t="shared" ref="L27:P27" si="37">L11/L9</f>
        <v>5.6791463194067644E-2</v>
      </c>
      <c r="M27" s="10">
        <f t="shared" si="37"/>
        <v>-1.7760487144790258E-2</v>
      </c>
      <c r="N27" s="10">
        <f t="shared" si="37"/>
        <v>0.19040827241932609</v>
      </c>
      <c r="O27" s="10">
        <f t="shared" si="37"/>
        <v>0.20392011834319526</v>
      </c>
      <c r="P27" s="10">
        <f t="shared" si="37"/>
        <v>0.2195802499090137</v>
      </c>
      <c r="Q27" s="10">
        <f>Q11/Q9</f>
        <v>0.22322703474535935</v>
      </c>
      <c r="R27" s="10">
        <f t="shared" ref="R27:AB27" si="38">R11/R9</f>
        <v>0.21999999999999997</v>
      </c>
      <c r="S27" s="10">
        <f t="shared" si="38"/>
        <v>0.22000000000000003</v>
      </c>
      <c r="T27" s="10">
        <f t="shared" si="38"/>
        <v>0.22</v>
      </c>
      <c r="U27" s="10">
        <f t="shared" si="38"/>
        <v>0.22</v>
      </c>
      <c r="V27" s="10">
        <f t="shared" si="38"/>
        <v>0.22</v>
      </c>
      <c r="W27" s="10">
        <f t="shared" si="38"/>
        <v>0.22</v>
      </c>
      <c r="X27" s="10">
        <f t="shared" si="38"/>
        <v>0.22</v>
      </c>
      <c r="Y27" s="10">
        <f t="shared" si="38"/>
        <v>0.22</v>
      </c>
      <c r="Z27" s="10">
        <f t="shared" si="38"/>
        <v>0.22</v>
      </c>
      <c r="AA27" s="10">
        <f t="shared" si="38"/>
        <v>0.22</v>
      </c>
      <c r="AB27" s="10">
        <f t="shared" si="38"/>
        <v>0.22</v>
      </c>
      <c r="AD27" s="1" t="s">
        <v>40</v>
      </c>
      <c r="AE27" s="10">
        <v>-0.01</v>
      </c>
    </row>
    <row r="28" spans="2:141" x14ac:dyDescent="0.3">
      <c r="B28" s="1" t="s">
        <v>36</v>
      </c>
      <c r="G28" s="10"/>
      <c r="H28" s="10"/>
      <c r="I28" s="10">
        <f>I12/G12-1</f>
        <v>-1.5600624024960985E-2</v>
      </c>
      <c r="L28" s="10"/>
      <c r="M28" s="10">
        <f t="shared" ref="M28:P28" si="39">M12/L12-1</f>
        <v>-0.28368794326241131</v>
      </c>
      <c r="N28" s="10">
        <f t="shared" si="39"/>
        <v>0.10148514851485158</v>
      </c>
      <c r="O28" s="10">
        <f t="shared" si="39"/>
        <v>0.21011235955056184</v>
      </c>
      <c r="P28" s="10">
        <f t="shared" si="39"/>
        <v>3.0640668523676862E-2</v>
      </c>
      <c r="Q28" s="10">
        <f>Q12/P12-1</f>
        <v>0.15675675675675671</v>
      </c>
      <c r="R28" s="10">
        <f t="shared" ref="R28:AB28" si="40">R12/Q12-1</f>
        <v>8.0000000000000071E-2</v>
      </c>
      <c r="S28" s="10">
        <f t="shared" si="40"/>
        <v>5.0000000000000044E-2</v>
      </c>
      <c r="T28" s="10">
        <f t="shared" si="40"/>
        <v>3.0000000000000027E-2</v>
      </c>
      <c r="U28" s="10">
        <f t="shared" si="40"/>
        <v>2.0000000000000018E-2</v>
      </c>
      <c r="V28" s="10">
        <f t="shared" si="40"/>
        <v>2.0000000000000018E-2</v>
      </c>
      <c r="W28" s="10">
        <f t="shared" si="40"/>
        <v>1.0000000000000009E-2</v>
      </c>
      <c r="X28" s="10">
        <f t="shared" si="40"/>
        <v>1.0000000000000009E-2</v>
      </c>
      <c r="Y28" s="10">
        <f t="shared" si="40"/>
        <v>1.0000000000000009E-2</v>
      </c>
      <c r="Z28" s="10">
        <f t="shared" si="40"/>
        <v>1.0000000000000009E-2</v>
      </c>
      <c r="AA28" s="10">
        <f t="shared" si="40"/>
        <v>1.0000000000000009E-2</v>
      </c>
      <c r="AB28" s="10">
        <f t="shared" si="40"/>
        <v>1.0000000000000009E-2</v>
      </c>
      <c r="AD28" s="1" t="s">
        <v>41</v>
      </c>
      <c r="AE28" s="10">
        <v>7.0000000000000007E-2</v>
      </c>
    </row>
    <row r="29" spans="2:141" x14ac:dyDescent="0.3">
      <c r="B29" s="1" t="s">
        <v>37</v>
      </c>
      <c r="G29" s="10"/>
      <c r="H29" s="10"/>
      <c r="I29" s="10">
        <f>I13/G13-1</f>
        <v>-3.4356435643564356</v>
      </c>
      <c r="L29" s="10"/>
      <c r="M29" s="10">
        <f t="shared" ref="M29:P29" si="41">M13/L13-1</f>
        <v>0.62857142857142856</v>
      </c>
      <c r="N29" s="10">
        <f t="shared" si="41"/>
        <v>-0.37958532695374803</v>
      </c>
      <c r="O29" s="10">
        <f t="shared" si="41"/>
        <v>0.14524421593830339</v>
      </c>
      <c r="P29" s="10">
        <f t="shared" si="41"/>
        <v>-0.17059483726150393</v>
      </c>
      <c r="Q29" s="10">
        <f>Q13/P13-1</f>
        <v>1.8944519621109546E-2</v>
      </c>
      <c r="R29" s="10">
        <f t="shared" ref="R29:AB29" si="42">R13/Q13-1</f>
        <v>2.0000000000000018E-2</v>
      </c>
      <c r="S29" s="10">
        <f t="shared" si="42"/>
        <v>2.0000000000000018E-2</v>
      </c>
      <c r="T29" s="10">
        <f t="shared" si="42"/>
        <v>2.0000000000000018E-2</v>
      </c>
      <c r="U29" s="10">
        <f t="shared" si="42"/>
        <v>2.0000000000000018E-2</v>
      </c>
      <c r="V29" s="10">
        <f t="shared" si="42"/>
        <v>2.0000000000000018E-2</v>
      </c>
      <c r="W29" s="10">
        <f t="shared" si="42"/>
        <v>2.0000000000000018E-2</v>
      </c>
      <c r="X29" s="10">
        <f t="shared" si="42"/>
        <v>2.0000000000000018E-2</v>
      </c>
      <c r="Y29" s="10">
        <f t="shared" si="42"/>
        <v>2.0000000000000018E-2</v>
      </c>
      <c r="Z29" s="10">
        <f t="shared" si="42"/>
        <v>2.0000000000000018E-2</v>
      </c>
      <c r="AA29" s="10">
        <f t="shared" si="42"/>
        <v>2.0000000000000018E-2</v>
      </c>
      <c r="AB29" s="10">
        <f t="shared" si="42"/>
        <v>2.0000000000000018E-2</v>
      </c>
      <c r="AD29" s="1" t="s">
        <v>42</v>
      </c>
      <c r="AE29" s="7">
        <f>NPV(AE28,R22:EK22)</f>
        <v>42509.143211126997</v>
      </c>
    </row>
    <row r="30" spans="2:141" x14ac:dyDescent="0.3">
      <c r="B30" s="1" t="s">
        <v>38</v>
      </c>
      <c r="G30" s="10">
        <f t="shared" ref="G30:I30" si="43">G15/G9</f>
        <v>0.18575781514501749</v>
      </c>
      <c r="H30" s="10">
        <f t="shared" ref="H30" si="44">H15/H9</f>
        <v>7.0660828025477712E-2</v>
      </c>
      <c r="I30" s="10">
        <f t="shared" si="43"/>
        <v>0.21854583772391992</v>
      </c>
      <c r="L30" s="10">
        <f t="shared" ref="L30:P30" si="45">L15/L9</f>
        <v>-5.1365527220112138E-2</v>
      </c>
      <c r="M30" s="10">
        <f t="shared" si="45"/>
        <v>-0.1759979702300406</v>
      </c>
      <c r="N30" s="10">
        <f t="shared" si="45"/>
        <v>4.5730076662506683E-2</v>
      </c>
      <c r="O30" s="10">
        <f t="shared" si="45"/>
        <v>6.1908284023668637E-2</v>
      </c>
      <c r="P30" s="10">
        <f t="shared" si="45"/>
        <v>0.11791823365279631</v>
      </c>
      <c r="Q30" s="10">
        <f>Q15/Q9</f>
        <v>0.12459675286900418</v>
      </c>
      <c r="R30" s="10">
        <f t="shared" ref="R30:AB30" si="46">R15/R9</f>
        <v>0.12645705370836258</v>
      </c>
      <c r="S30" s="10">
        <f t="shared" si="46"/>
        <v>0.12975907024481778</v>
      </c>
      <c r="T30" s="10">
        <f t="shared" si="46"/>
        <v>0.13249145138150648</v>
      </c>
      <c r="U30" s="10">
        <f t="shared" si="46"/>
        <v>0.13492208315451407</v>
      </c>
      <c r="V30" s="10">
        <f t="shared" si="46"/>
        <v>0.13649059251888165</v>
      </c>
      <c r="W30" s="10">
        <f t="shared" si="46"/>
        <v>0.13780726084846689</v>
      </c>
      <c r="X30" s="10">
        <f t="shared" si="46"/>
        <v>0.13910132274022771</v>
      </c>
      <c r="Y30" s="10">
        <f t="shared" si="46"/>
        <v>0.14037318841686447</v>
      </c>
      <c r="Z30" s="10">
        <f t="shared" si="46"/>
        <v>0.14162326041459078</v>
      </c>
      <c r="AA30" s="10">
        <f t="shared" si="46"/>
        <v>0.14285193372967669</v>
      </c>
      <c r="AB30" s="10">
        <f t="shared" si="46"/>
        <v>0.1440595959621733</v>
      </c>
      <c r="AD30" s="1" t="s">
        <v>43</v>
      </c>
      <c r="AE30" s="7">
        <f>Main!D8</f>
        <v>2379</v>
      </c>
    </row>
    <row r="31" spans="2:141" x14ac:dyDescent="0.3">
      <c r="B31" s="1" t="s">
        <v>23</v>
      </c>
      <c r="G31" s="10">
        <f t="shared" ref="G31:I31" si="47">G20/G19</f>
        <v>0.19774011299435029</v>
      </c>
      <c r="H31" s="10">
        <f t="shared" ref="H31" si="48">H20/H19</f>
        <v>-1.9776119402985075</v>
      </c>
      <c r="I31" s="10">
        <f t="shared" si="47"/>
        <v>8.9444329683949594E-2</v>
      </c>
      <c r="L31" s="10">
        <f t="shared" ref="L31:P31" si="49">L20/L19</f>
        <v>-0.4713804713804714</v>
      </c>
      <c r="M31" s="10">
        <f t="shared" si="49"/>
        <v>-8.9003436426116841E-2</v>
      </c>
      <c r="N31" s="10">
        <f t="shared" si="49"/>
        <v>1.4217687074829932</v>
      </c>
      <c r="O31" s="10">
        <f t="shared" si="49"/>
        <v>0.20505992010652463</v>
      </c>
      <c r="P31" s="10">
        <f t="shared" si="49"/>
        <v>9.476720230737536E-3</v>
      </c>
      <c r="Q31" s="10">
        <f>Q20/Q19</f>
        <v>-0.14845605700712589</v>
      </c>
      <c r="R31" s="10">
        <f t="shared" ref="R31:AB31" si="50">R20/R19</f>
        <v>0.15</v>
      </c>
      <c r="S31" s="10">
        <f t="shared" si="50"/>
        <v>0.15</v>
      </c>
      <c r="T31" s="10">
        <f t="shared" si="50"/>
        <v>0.15</v>
      </c>
      <c r="U31" s="10">
        <f t="shared" si="50"/>
        <v>0.15</v>
      </c>
      <c r="V31" s="10">
        <f t="shared" si="50"/>
        <v>0.15</v>
      </c>
      <c r="W31" s="10">
        <f t="shared" si="50"/>
        <v>0.15</v>
      </c>
      <c r="X31" s="10">
        <f t="shared" si="50"/>
        <v>0.15</v>
      </c>
      <c r="Y31" s="10">
        <f t="shared" si="50"/>
        <v>0.15</v>
      </c>
      <c r="Z31" s="10">
        <f t="shared" si="50"/>
        <v>0.15</v>
      </c>
      <c r="AA31" s="10">
        <f t="shared" si="50"/>
        <v>0.15</v>
      </c>
      <c r="AB31" s="10">
        <f t="shared" si="50"/>
        <v>0.15</v>
      </c>
      <c r="AD31" s="1" t="s">
        <v>44</v>
      </c>
      <c r="AE31" s="7">
        <f>AE29+AE30</f>
        <v>44888.143211126997</v>
      </c>
    </row>
    <row r="32" spans="2:141" x14ac:dyDescent="0.3">
      <c r="B32" s="1" t="s">
        <v>39</v>
      </c>
      <c r="G32" s="10">
        <f t="shared" ref="G32:I32" si="51">G22/G9</f>
        <v>0.1296693375465523</v>
      </c>
      <c r="H32" s="10">
        <f t="shared" ref="H32" si="52">H22/H9</f>
        <v>8.1807324840764334E-2</v>
      </c>
      <c r="I32" s="10">
        <f t="shared" si="51"/>
        <v>0.46533192834562698</v>
      </c>
      <c r="L32" s="10">
        <f t="shared" ref="L32:P32" si="53">L22/L9</f>
        <v>-7.9278953397238797E-2</v>
      </c>
      <c r="M32" s="10">
        <f t="shared" si="53"/>
        <v>-0.26809878213802435</v>
      </c>
      <c r="N32" s="10">
        <f t="shared" si="53"/>
        <v>1.0697093956141915E-2</v>
      </c>
      <c r="O32" s="10">
        <f t="shared" si="53"/>
        <v>-9.3860946745562127E-2</v>
      </c>
      <c r="P32" s="10">
        <f t="shared" si="53"/>
        <v>0.14630595656921025</v>
      </c>
      <c r="Q32" s="10">
        <f>Q22/Q9</f>
        <v>0.10423607805806759</v>
      </c>
      <c r="R32" s="10">
        <f t="shared" ref="R32:AB32" si="54">R22/R9</f>
        <v>8.994110703142115E-2</v>
      </c>
      <c r="S32" s="10">
        <f t="shared" si="54"/>
        <v>9.4721761088544104E-2</v>
      </c>
      <c r="T32" s="10">
        <f t="shared" si="54"/>
        <v>9.860759840476753E-2</v>
      </c>
      <c r="U32" s="10">
        <f t="shared" si="54"/>
        <v>0.10203607156770292</v>
      </c>
      <c r="V32" s="10">
        <f t="shared" si="54"/>
        <v>0.10457082714885897</v>
      </c>
      <c r="W32" s="10">
        <f t="shared" si="54"/>
        <v>0.10676518254376983</v>
      </c>
      <c r="X32" s="10">
        <f t="shared" si="54"/>
        <v>0.10893600681887519</v>
      </c>
      <c r="Y32" s="10">
        <f t="shared" si="54"/>
        <v>0.11108405405033621</v>
      </c>
      <c r="Z32" s="10">
        <f t="shared" si="54"/>
        <v>0.11321007015363546</v>
      </c>
      <c r="AA32" s="10">
        <f t="shared" si="54"/>
        <v>0.11531479316098517</v>
      </c>
      <c r="AB32" s="10">
        <f t="shared" si="54"/>
        <v>0.11739895349572615</v>
      </c>
      <c r="AD32" s="1" t="s">
        <v>45</v>
      </c>
      <c r="AE32" s="6">
        <f>AE31/AB23</f>
        <v>5.3248093963377219</v>
      </c>
    </row>
    <row r="33" spans="2:31" x14ac:dyDescent="0.3">
      <c r="AD33" s="1" t="s">
        <v>46</v>
      </c>
      <c r="AE33" s="6">
        <f>Main!D3</f>
        <v>10.38</v>
      </c>
    </row>
    <row r="34" spans="2:31" x14ac:dyDescent="0.3">
      <c r="AD34" s="2" t="s">
        <v>47</v>
      </c>
      <c r="AE34" s="11">
        <f>AE32/AE33-1</f>
        <v>-0.48701258224106725</v>
      </c>
    </row>
    <row r="35" spans="2:31" x14ac:dyDescent="0.3">
      <c r="AD35" s="1" t="s">
        <v>48</v>
      </c>
      <c r="AE35" s="3" t="s">
        <v>52</v>
      </c>
    </row>
    <row r="36" spans="2:31" s="12" customFormat="1" x14ac:dyDescent="0.3">
      <c r="B36" s="12" t="s">
        <v>49</v>
      </c>
      <c r="I36" s="12">
        <v>37940</v>
      </c>
    </row>
    <row r="38" spans="2:31" x14ac:dyDescent="0.3">
      <c r="B38" s="1" t="s">
        <v>50</v>
      </c>
      <c r="I38" s="13">
        <f>Main!D9/Model!I36</f>
        <v>2.2436584080126516</v>
      </c>
    </row>
    <row r="39" spans="2:31" x14ac:dyDescent="0.3">
      <c r="B39" s="1" t="s">
        <v>51</v>
      </c>
      <c r="I39" s="10">
        <f>I36/Main!D9-1</f>
        <v>-0.55429935482658332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2025-06-19T21:52:05Z</dcterms:created>
  <dcterms:modified xsi:type="dcterms:W3CDTF">2026-02-06T19:23:11Z</dcterms:modified>
</cp:coreProperties>
</file>