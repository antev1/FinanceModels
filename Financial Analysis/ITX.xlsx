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D726E2A-39E3-4D14-B794-8EB43BDA516B}" xr6:coauthVersionLast="47" xr6:coauthVersionMax="47" xr10:uidLastSave="{00000000-0000-0000-0000-000000000000}"/>
  <bookViews>
    <workbookView xWindow="-108" yWindow="-108" windowWidth="23256" windowHeight="12576" activeTab="1" xr2:uid="{8E1A3549-F8B8-4E5D-8D16-11995B547C1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3" i="2" l="1"/>
  <c r="BI3" i="2" s="1"/>
  <c r="BJ3" i="2" s="1"/>
  <c r="BK3" i="2" s="1"/>
  <c r="BG3" i="2"/>
  <c r="BB3" i="2"/>
  <c r="BA3" i="2"/>
  <c r="AJ12" i="2"/>
  <c r="AJ13" i="2"/>
  <c r="AJ10" i="2"/>
  <c r="AJ8" i="2"/>
  <c r="AJ7" i="2"/>
  <c r="AJ6" i="2"/>
  <c r="AJ4" i="2"/>
  <c r="AJ3" i="2"/>
  <c r="AJ35" i="2"/>
  <c r="AJ30" i="2"/>
  <c r="AJ34" i="2" s="1"/>
  <c r="AJ36" i="2" s="1"/>
  <c r="AJ38" i="2" s="1"/>
  <c r="AJ40" i="2" s="1"/>
  <c r="AN12" i="2"/>
  <c r="AN10" i="2"/>
  <c r="AN8" i="2"/>
  <c r="AN7" i="2"/>
  <c r="AN6" i="2"/>
  <c r="AN4" i="2"/>
  <c r="AN3" i="2"/>
  <c r="AN35" i="2"/>
  <c r="AN28" i="2"/>
  <c r="AN30" i="2"/>
  <c r="AN34" i="2" s="1"/>
  <c r="AN20" i="2"/>
  <c r="AR3" i="2"/>
  <c r="AR5" i="2" s="1"/>
  <c r="AR4" i="2"/>
  <c r="AR6" i="2"/>
  <c r="AR7" i="2"/>
  <c r="AR8" i="2"/>
  <c r="AR10" i="2"/>
  <c r="AR12" i="2"/>
  <c r="BB6" i="2"/>
  <c r="BA6" i="2"/>
  <c r="BC7" i="2"/>
  <c r="BD7" i="2" s="1"/>
  <c r="BE7" i="2" s="1"/>
  <c r="BF7" i="2" s="1"/>
  <c r="BG7" i="2" s="1"/>
  <c r="BH7" i="2" s="1"/>
  <c r="BI7" i="2" s="1"/>
  <c r="BJ7" i="2" s="1"/>
  <c r="BK7" i="2" s="1"/>
  <c r="BB7" i="2"/>
  <c r="BA7" i="2"/>
  <c r="BA5" i="2"/>
  <c r="BA4" i="2" s="1"/>
  <c r="AW10" i="2"/>
  <c r="AW5" i="2"/>
  <c r="AW9" i="2" s="1"/>
  <c r="AX10" i="2"/>
  <c r="AX8" i="2"/>
  <c r="AX5" i="2"/>
  <c r="BA14" i="2"/>
  <c r="BA10" i="2"/>
  <c r="BA8" i="2"/>
  <c r="AZ14" i="2"/>
  <c r="AZ10" i="2"/>
  <c r="AZ5" i="2"/>
  <c r="AZ9" i="2" s="1"/>
  <c r="AZ11" i="2" s="1"/>
  <c r="AZ13" i="2" s="1"/>
  <c r="AZ15" i="2" s="1"/>
  <c r="AY14" i="2"/>
  <c r="AY10" i="2"/>
  <c r="AY5" i="2"/>
  <c r="AY9" i="2" s="1"/>
  <c r="AY11" i="2" s="1"/>
  <c r="AY13" i="2" s="1"/>
  <c r="AY15" i="2" s="1"/>
  <c r="D7" i="1"/>
  <c r="D6" i="1"/>
  <c r="AI22" i="2"/>
  <c r="AI21" i="2"/>
  <c r="AI19" i="2"/>
  <c r="AI18" i="2"/>
  <c r="AM22" i="2"/>
  <c r="AM21" i="2"/>
  <c r="AM20" i="2"/>
  <c r="AM19" i="2"/>
  <c r="AM18" i="2"/>
  <c r="AM17" i="2"/>
  <c r="AI10" i="2"/>
  <c r="AI5" i="2"/>
  <c r="AI9" i="2" s="1"/>
  <c r="AM10" i="2"/>
  <c r="AM5" i="2"/>
  <c r="AM9" i="2" s="1"/>
  <c r="BK14" i="2"/>
  <c r="BJ14" i="2"/>
  <c r="BI14" i="2"/>
  <c r="BH14" i="2"/>
  <c r="BG14" i="2"/>
  <c r="BF14" i="2"/>
  <c r="BE14" i="2"/>
  <c r="BD14" i="2"/>
  <c r="BC14" i="2"/>
  <c r="BB14" i="2"/>
  <c r="D4" i="1"/>
  <c r="AV22" i="2"/>
  <c r="AU22" i="2"/>
  <c r="AT22" i="2"/>
  <c r="AS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W6" i="2"/>
  <c r="W20" i="2" s="1"/>
  <c r="W3" i="2"/>
  <c r="AV10" i="2"/>
  <c r="AJ5" i="2" l="1"/>
  <c r="AJ9" i="2"/>
  <c r="AJ19" i="2" s="1"/>
  <c r="AJ18" i="2"/>
  <c r="AN17" i="2"/>
  <c r="AN5" i="2"/>
  <c r="AN18" i="2" s="1"/>
  <c r="AN36" i="2"/>
  <c r="AN38" i="2" s="1"/>
  <c r="AN40" i="2" s="1"/>
  <c r="AR18" i="2"/>
  <c r="AR9" i="2"/>
  <c r="AW11" i="2"/>
  <c r="AW13" i="2" s="1"/>
  <c r="AW15" i="2" s="1"/>
  <c r="BA9" i="2"/>
  <c r="BA11" i="2" s="1"/>
  <c r="AI11" i="2"/>
  <c r="AI13" i="2" s="1"/>
  <c r="AI15" i="2" s="1"/>
  <c r="AM11" i="2"/>
  <c r="AM13" i="2" s="1"/>
  <c r="AM15" i="2" s="1"/>
  <c r="W5" i="2"/>
  <c r="W9" i="2" s="1"/>
  <c r="W11" i="2" s="1"/>
  <c r="W12" i="2" s="1"/>
  <c r="W21" i="2" s="1"/>
  <c r="W17" i="2"/>
  <c r="AJ11" i="2" l="1"/>
  <c r="AJ21" i="2" s="1"/>
  <c r="AN9" i="2"/>
  <c r="AN11" i="2" s="1"/>
  <c r="AR11" i="2"/>
  <c r="AR19" i="2"/>
  <c r="AW22" i="2"/>
  <c r="BA12" i="2"/>
  <c r="BA13" i="2" s="1"/>
  <c r="BA15" i="2" s="1"/>
  <c r="AY22" i="2"/>
  <c r="AZ22" i="2"/>
  <c r="W19" i="2"/>
  <c r="W18" i="2"/>
  <c r="W4" i="2"/>
  <c r="W13" i="2"/>
  <c r="W15" i="2" s="1"/>
  <c r="BN25" i="2"/>
  <c r="AJ15" i="2" l="1"/>
  <c r="AJ22" i="2"/>
  <c r="AN19" i="2"/>
  <c r="AN13" i="2"/>
  <c r="AN21" i="2"/>
  <c r="AR13" i="2"/>
  <c r="AR21" i="2"/>
  <c r="AU12" i="2"/>
  <c r="AU8" i="2"/>
  <c r="AU7" i="2"/>
  <c r="AU6" i="2"/>
  <c r="AU4" i="2"/>
  <c r="AU3" i="2"/>
  <c r="AT12" i="2"/>
  <c r="AT8" i="2"/>
  <c r="AT7" i="2"/>
  <c r="AT6" i="2"/>
  <c r="AT4" i="2"/>
  <c r="AT3" i="2"/>
  <c r="AS12" i="2"/>
  <c r="AS8" i="2"/>
  <c r="AS7" i="2"/>
  <c r="AS6" i="2"/>
  <c r="AS4" i="2"/>
  <c r="AS3" i="2"/>
  <c r="AN15" i="2" l="1"/>
  <c r="AN22" i="2"/>
  <c r="AR15" i="2"/>
  <c r="AR22" i="2"/>
  <c r="AT17" i="2"/>
  <c r="AU20" i="2"/>
  <c r="AS20" i="2"/>
  <c r="AT20" i="2"/>
  <c r="AS17" i="2"/>
  <c r="AU17" i="2"/>
  <c r="AU5" i="2"/>
  <c r="AT5" i="2"/>
  <c r="AS5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AS9" i="2" l="1"/>
  <c r="AS18" i="2"/>
  <c r="AT9" i="2"/>
  <c r="AT18" i="2"/>
  <c r="AU9" i="2"/>
  <c r="AU18" i="2"/>
  <c r="T12" i="2"/>
  <c r="U12" i="2" s="1"/>
  <c r="T8" i="2"/>
  <c r="T7" i="2"/>
  <c r="T6" i="2"/>
  <c r="X6" i="2" s="1"/>
  <c r="T4" i="2"/>
  <c r="U4" i="2" s="1"/>
  <c r="V4" i="2" s="1"/>
  <c r="T3" i="2"/>
  <c r="X3" i="2" s="1"/>
  <c r="S10" i="2"/>
  <c r="T10" i="2" s="1"/>
  <c r="U10" i="2" s="1"/>
  <c r="V10" i="2" s="1"/>
  <c r="S5" i="2"/>
  <c r="C5" i="2"/>
  <c r="E10" i="2"/>
  <c r="D5" i="2"/>
  <c r="E5" i="2"/>
  <c r="F10" i="2"/>
  <c r="F5" i="2"/>
  <c r="G10" i="2"/>
  <c r="G5" i="2"/>
  <c r="H5" i="2"/>
  <c r="I10" i="2"/>
  <c r="I5" i="2"/>
  <c r="J10" i="2"/>
  <c r="J5" i="2"/>
  <c r="K10" i="2"/>
  <c r="K5" i="2"/>
  <c r="L10" i="2"/>
  <c r="L5" i="2"/>
  <c r="M10" i="2"/>
  <c r="M5" i="2"/>
  <c r="N10" i="2"/>
  <c r="N5" i="2"/>
  <c r="O10" i="2"/>
  <c r="O5" i="2"/>
  <c r="P10" i="2"/>
  <c r="P5" i="2"/>
  <c r="Q10" i="2"/>
  <c r="Q5" i="2"/>
  <c r="R10" i="2"/>
  <c r="R5" i="2"/>
  <c r="R18" i="2" s="1"/>
  <c r="X20" i="2" l="1"/>
  <c r="X5" i="2"/>
  <c r="X17" i="2"/>
  <c r="U3" i="2"/>
  <c r="U5" i="2" s="1"/>
  <c r="AT19" i="2"/>
  <c r="AS19" i="2"/>
  <c r="Q9" i="2"/>
  <c r="Q18" i="2"/>
  <c r="T20" i="2"/>
  <c r="D9" i="2"/>
  <c r="D18" i="2"/>
  <c r="L9" i="2"/>
  <c r="L18" i="2"/>
  <c r="C9" i="2"/>
  <c r="C18" i="2"/>
  <c r="R9" i="2"/>
  <c r="G9" i="2"/>
  <c r="G18" i="2"/>
  <c r="S9" i="2"/>
  <c r="S18" i="2"/>
  <c r="E9" i="2"/>
  <c r="E18" i="2"/>
  <c r="I9" i="2"/>
  <c r="I18" i="2"/>
  <c r="AS10" i="2"/>
  <c r="AS11" i="2" s="1"/>
  <c r="BB10" i="2"/>
  <c r="U6" i="2"/>
  <c r="P9" i="2"/>
  <c r="P19" i="2" s="1"/>
  <c r="P18" i="2"/>
  <c r="O9" i="2"/>
  <c r="O18" i="2"/>
  <c r="K9" i="2"/>
  <c r="K18" i="2"/>
  <c r="AT10" i="2"/>
  <c r="AT11" i="2" s="1"/>
  <c r="F9" i="2"/>
  <c r="F18" i="2"/>
  <c r="T17" i="2"/>
  <c r="U7" i="2"/>
  <c r="V7" i="2" s="1"/>
  <c r="AU19" i="2"/>
  <c r="M9" i="2"/>
  <c r="M18" i="2"/>
  <c r="H9" i="2"/>
  <c r="H18" i="2"/>
  <c r="AU10" i="2"/>
  <c r="AU11" i="2" s="1"/>
  <c r="N9" i="2"/>
  <c r="N18" i="2"/>
  <c r="J9" i="2"/>
  <c r="J18" i="2"/>
  <c r="U8" i="2"/>
  <c r="V8" i="2" s="1"/>
  <c r="T5" i="2"/>
  <c r="D8" i="1"/>
  <c r="BN22" i="2" s="1"/>
  <c r="D5" i="1"/>
  <c r="F3" i="1"/>
  <c r="U20" i="2" l="1"/>
  <c r="Y6" i="2"/>
  <c r="V6" i="2"/>
  <c r="U17" i="2"/>
  <c r="Y3" i="2"/>
  <c r="V3" i="2"/>
  <c r="X9" i="2"/>
  <c r="X18" i="2"/>
  <c r="X4" i="2"/>
  <c r="AU13" i="2"/>
  <c r="AU15" i="2" s="1"/>
  <c r="AU21" i="2"/>
  <c r="BB8" i="2"/>
  <c r="BC8" i="2" s="1"/>
  <c r="BD8" i="2" s="1"/>
  <c r="BE8" i="2" s="1"/>
  <c r="BF8" i="2" s="1"/>
  <c r="BG8" i="2" s="1"/>
  <c r="BH8" i="2" s="1"/>
  <c r="BI8" i="2" s="1"/>
  <c r="BJ8" i="2" s="1"/>
  <c r="BK8" i="2" s="1"/>
  <c r="AT13" i="2"/>
  <c r="AT15" i="2" s="1"/>
  <c r="AT21" i="2"/>
  <c r="N11" i="2"/>
  <c r="N19" i="2"/>
  <c r="H11" i="2"/>
  <c r="H19" i="2"/>
  <c r="E11" i="2"/>
  <c r="E19" i="2"/>
  <c r="F11" i="2"/>
  <c r="F19" i="2"/>
  <c r="L11" i="2"/>
  <c r="L19" i="2"/>
  <c r="AS13" i="2"/>
  <c r="AS15" i="2" s="1"/>
  <c r="AS21" i="2"/>
  <c r="C11" i="2"/>
  <c r="C19" i="2"/>
  <c r="Q11" i="2"/>
  <c r="Q19" i="2"/>
  <c r="P11" i="2"/>
  <c r="M11" i="2"/>
  <c r="M19" i="2"/>
  <c r="T9" i="2"/>
  <c r="T18" i="2"/>
  <c r="J11" i="2"/>
  <c r="J19" i="2"/>
  <c r="U9" i="2"/>
  <c r="U18" i="2"/>
  <c r="K11" i="2"/>
  <c r="K19" i="2"/>
  <c r="S11" i="2"/>
  <c r="S19" i="2"/>
  <c r="D11" i="2"/>
  <c r="D19" i="2"/>
  <c r="O11" i="2"/>
  <c r="O19" i="2"/>
  <c r="I11" i="2"/>
  <c r="I19" i="2"/>
  <c r="G11" i="2"/>
  <c r="G19" i="2"/>
  <c r="AV5" i="2"/>
  <c r="AV17" i="2"/>
  <c r="R19" i="2"/>
  <c r="R11" i="2"/>
  <c r="D9" i="1"/>
  <c r="Z3" i="2" l="1"/>
  <c r="V5" i="2"/>
  <c r="V17" i="2"/>
  <c r="Y17" i="2"/>
  <c r="Y5" i="2"/>
  <c r="Y9" i="2" s="1"/>
  <c r="X19" i="2"/>
  <c r="X11" i="2"/>
  <c r="Z6" i="2"/>
  <c r="Z20" i="2" s="1"/>
  <c r="V20" i="2"/>
  <c r="Y20" i="2"/>
  <c r="P13" i="2"/>
  <c r="P15" i="2" s="1"/>
  <c r="P21" i="2"/>
  <c r="O13" i="2"/>
  <c r="O15" i="2" s="1"/>
  <c r="O21" i="2"/>
  <c r="L13" i="2"/>
  <c r="L15" i="2" s="1"/>
  <c r="L21" i="2"/>
  <c r="N13" i="2"/>
  <c r="N15" i="2" s="1"/>
  <c r="N21" i="2"/>
  <c r="Q13" i="2"/>
  <c r="Q15" i="2" s="1"/>
  <c r="Q21" i="2"/>
  <c r="D13" i="2"/>
  <c r="D15" i="2" s="1"/>
  <c r="D21" i="2"/>
  <c r="AV20" i="2"/>
  <c r="S13" i="2"/>
  <c r="S15" i="2" s="1"/>
  <c r="S21" i="2"/>
  <c r="T11" i="2"/>
  <c r="T19" i="2"/>
  <c r="E13" i="2"/>
  <c r="E15" i="2" s="1"/>
  <c r="E21" i="2"/>
  <c r="AV18" i="2"/>
  <c r="AV9" i="2"/>
  <c r="J13" i="2"/>
  <c r="J15" i="2" s="1"/>
  <c r="J21" i="2"/>
  <c r="G13" i="2"/>
  <c r="G15" i="2" s="1"/>
  <c r="G21" i="2"/>
  <c r="R21" i="2"/>
  <c r="R13" i="2"/>
  <c r="R15" i="2" s="1"/>
  <c r="U11" i="2"/>
  <c r="U19" i="2"/>
  <c r="F13" i="2"/>
  <c r="F15" i="2" s="1"/>
  <c r="F21" i="2"/>
  <c r="C13" i="2"/>
  <c r="C15" i="2" s="1"/>
  <c r="C21" i="2"/>
  <c r="I13" i="2"/>
  <c r="I15" i="2" s="1"/>
  <c r="I21" i="2"/>
  <c r="K13" i="2"/>
  <c r="K15" i="2" s="1"/>
  <c r="K21" i="2"/>
  <c r="M13" i="2"/>
  <c r="M15" i="2" s="1"/>
  <c r="M21" i="2"/>
  <c r="H13" i="2"/>
  <c r="H15" i="2" s="1"/>
  <c r="H21" i="2"/>
  <c r="AW20" i="2" l="1"/>
  <c r="Y4" i="2"/>
  <c r="Y18" i="2"/>
  <c r="Y19" i="2"/>
  <c r="Y11" i="2"/>
  <c r="AW17" i="2"/>
  <c r="X12" i="2"/>
  <c r="X13" i="2" s="1"/>
  <c r="X15" i="2" s="1"/>
  <c r="V18" i="2"/>
  <c r="V9" i="2"/>
  <c r="Z5" i="2"/>
  <c r="Z17" i="2"/>
  <c r="AV11" i="2"/>
  <c r="AV19" i="2"/>
  <c r="U13" i="2"/>
  <c r="U15" i="2" s="1"/>
  <c r="U21" i="2"/>
  <c r="T13" i="2"/>
  <c r="T15" i="2" s="1"/>
  <c r="T21" i="2"/>
  <c r="AX17" i="2"/>
  <c r="AX20" i="2" l="1"/>
  <c r="X21" i="2"/>
  <c r="Z4" i="2"/>
  <c r="Z9" i="2"/>
  <c r="Z18" i="2"/>
  <c r="Y12" i="2"/>
  <c r="Y21" i="2" s="1"/>
  <c r="V11" i="2"/>
  <c r="V19" i="2"/>
  <c r="AY17" i="2"/>
  <c r="Y13" i="2" l="1"/>
  <c r="Y15" i="2" s="1"/>
  <c r="AW18" i="2"/>
  <c r="Z19" i="2"/>
  <c r="Z11" i="2"/>
  <c r="AZ17" i="2"/>
  <c r="AY20" i="2"/>
  <c r="BB5" i="2" l="1"/>
  <c r="Z12" i="2"/>
  <c r="AW19" i="2"/>
  <c r="AZ20" i="2"/>
  <c r="BA17" i="2"/>
  <c r="Z21" i="2" l="1"/>
  <c r="AW21" i="2"/>
  <c r="Z13" i="2"/>
  <c r="Z15" i="2" s="1"/>
  <c r="BA20" i="2"/>
  <c r="BC3" i="2"/>
  <c r="BC5" i="2" s="1"/>
  <c r="BB17" i="2"/>
  <c r="BD3" i="2" l="1"/>
  <c r="BD5" i="2" s="1"/>
  <c r="BC17" i="2"/>
  <c r="BC6" i="2"/>
  <c r="BB20" i="2"/>
  <c r="BE3" i="2" l="1"/>
  <c r="BE5" i="2" s="1"/>
  <c r="BD17" i="2"/>
  <c r="BD6" i="2"/>
  <c r="BC20" i="2"/>
  <c r="BE6" i="2" l="1"/>
  <c r="BD20" i="2"/>
  <c r="BF3" i="2"/>
  <c r="BF5" i="2" s="1"/>
  <c r="BE17" i="2"/>
  <c r="BG5" i="2" l="1"/>
  <c r="BF6" i="2"/>
  <c r="BE20" i="2"/>
  <c r="BF17" i="2"/>
  <c r="BF20" i="2" l="1"/>
  <c r="BG6" i="2"/>
  <c r="BG17" i="2"/>
  <c r="BG4" i="2"/>
  <c r="BH5" i="2"/>
  <c r="AV13" i="2"/>
  <c r="AV15" i="2" s="1"/>
  <c r="V12" i="2"/>
  <c r="V13" i="2" s="1"/>
  <c r="V15" i="2" s="1"/>
  <c r="AV21" i="2"/>
  <c r="BF9" i="2"/>
  <c r="BF19" i="2" s="1"/>
  <c r="BF4" i="2"/>
  <c r="BF18" i="2"/>
  <c r="BE9" i="2"/>
  <c r="BE19" i="2" s="1"/>
  <c r="BE4" i="2"/>
  <c r="BE18" i="2"/>
  <c r="BD18" i="2"/>
  <c r="BD4" i="2"/>
  <c r="BD9" i="2"/>
  <c r="BD19" i="2" s="1"/>
  <c r="BB9" i="2"/>
  <c r="BB11" i="2" s="1"/>
  <c r="BB4" i="2"/>
  <c r="BB18" i="2"/>
  <c r="BC18" i="2"/>
  <c r="BC4" i="2"/>
  <c r="BC9" i="2"/>
  <c r="BC19" i="2" s="1"/>
  <c r="BA18" i="2"/>
  <c r="AZ18" i="2"/>
  <c r="AX9" i="2"/>
  <c r="AX19" i="2" s="1"/>
  <c r="AY18" i="2"/>
  <c r="AX18" i="2"/>
  <c r="AY19" i="2" l="1"/>
  <c r="BI5" i="2"/>
  <c r="BH4" i="2"/>
  <c r="BH17" i="2"/>
  <c r="BG18" i="2"/>
  <c r="BG9" i="2"/>
  <c r="BG19" i="2" s="1"/>
  <c r="BG20" i="2"/>
  <c r="BH6" i="2"/>
  <c r="BA19" i="2"/>
  <c r="BB19" i="2"/>
  <c r="AX11" i="2"/>
  <c r="AX21" i="2" s="1"/>
  <c r="V21" i="2"/>
  <c r="BB12" i="2"/>
  <c r="BB21" i="2" s="1"/>
  <c r="AY21" i="2"/>
  <c r="AZ21" i="2"/>
  <c r="BA21" i="2"/>
  <c r="AZ19" i="2"/>
  <c r="BI6" i="2" l="1"/>
  <c r="BH20" i="2"/>
  <c r="BH9" i="2"/>
  <c r="BH19" i="2" s="1"/>
  <c r="BH18" i="2"/>
  <c r="BI4" i="2"/>
  <c r="BJ5" i="2"/>
  <c r="BI17" i="2"/>
  <c r="AX13" i="2"/>
  <c r="BB13" i="2"/>
  <c r="BB22" i="2" s="1"/>
  <c r="AX15" i="2" l="1"/>
  <c r="AX22" i="2"/>
  <c r="BA22" i="2"/>
  <c r="BK5" i="2"/>
  <c r="BJ4" i="2"/>
  <c r="BJ17" i="2"/>
  <c r="BI18" i="2"/>
  <c r="BI9" i="2"/>
  <c r="BI19" i="2" s="1"/>
  <c r="BJ6" i="2"/>
  <c r="BI20" i="2"/>
  <c r="BB15" i="2"/>
  <c r="BC10" i="2"/>
  <c r="BC11" i="2" s="1"/>
  <c r="BJ20" i="2" l="1"/>
  <c r="BK6" i="2"/>
  <c r="BK20" i="2" s="1"/>
  <c r="BJ18" i="2"/>
  <c r="BJ9" i="2"/>
  <c r="BJ19" i="2" s="1"/>
  <c r="BK17" i="2"/>
  <c r="BC12" i="2"/>
  <c r="BC21" i="2" s="1"/>
  <c r="BK9" i="2" l="1"/>
  <c r="BK19" i="2" s="1"/>
  <c r="BK18" i="2"/>
  <c r="BK4" i="2"/>
  <c r="BC13" i="2"/>
  <c r="BC22" i="2" s="1"/>
  <c r="BD10" i="2" l="1"/>
  <c r="BD11" i="2" s="1"/>
  <c r="BC15" i="2"/>
  <c r="BD12" i="2" l="1"/>
  <c r="BD21" i="2" s="1"/>
  <c r="BD13" i="2" l="1"/>
  <c r="BD22" i="2" s="1"/>
  <c r="BD15" i="2" l="1"/>
  <c r="BE10" i="2"/>
  <c r="BE11" i="2" s="1"/>
  <c r="BE12" i="2" l="1"/>
  <c r="BE21" i="2" s="1"/>
  <c r="BE13" i="2" l="1"/>
  <c r="BF10" i="2" l="1"/>
  <c r="BF11" i="2" s="1"/>
  <c r="BF12" i="2" s="1"/>
  <c r="BF21" i="2" s="1"/>
  <c r="BE22" i="2"/>
  <c r="BE15" i="2"/>
  <c r="BF13" i="2" l="1"/>
  <c r="BG10" i="2" l="1"/>
  <c r="BG11" i="2" s="1"/>
  <c r="BG12" i="2" s="1"/>
  <c r="BG21" i="2" s="1"/>
  <c r="BF22" i="2"/>
  <c r="BF15" i="2"/>
  <c r="BG13" i="2" l="1"/>
  <c r="BG22" i="2" s="1"/>
  <c r="BH10" i="2" l="1"/>
  <c r="BH11" i="2" s="1"/>
  <c r="BH12" i="2" s="1"/>
  <c r="BH21" i="2" s="1"/>
  <c r="BG15" i="2"/>
  <c r="BH13" i="2" l="1"/>
  <c r="BH22" i="2" s="1"/>
  <c r="BH15" i="2" l="1"/>
  <c r="BI10" i="2"/>
  <c r="BI11" i="2" s="1"/>
  <c r="BI12" i="2" l="1"/>
  <c r="BI21" i="2" s="1"/>
  <c r="BI13" i="2" l="1"/>
  <c r="BI22" i="2" s="1"/>
  <c r="BJ10" i="2" l="1"/>
  <c r="BJ11" i="2" s="1"/>
  <c r="BI15" i="2"/>
  <c r="BJ12" i="2" l="1"/>
  <c r="BJ21" i="2" s="1"/>
  <c r="BJ13" i="2" l="1"/>
  <c r="BJ22" i="2" s="1"/>
  <c r="BJ15" i="2" l="1"/>
  <c r="BK10" i="2"/>
  <c r="BK11" i="2" s="1"/>
  <c r="BK12" i="2" l="1"/>
  <c r="BK21" i="2" s="1"/>
  <c r="BK13" i="2" l="1"/>
  <c r="BL13" i="2" l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FH13" i="2" s="1"/>
  <c r="BN21" i="2" s="1"/>
  <c r="BN23" i="2" s="1"/>
  <c r="BN24" i="2" s="1"/>
  <c r="BN26" i="2" s="1"/>
  <c r="BK22" i="2"/>
  <c r="BK15" i="2"/>
</calcChain>
</file>

<file path=xl/sharedStrings.xml><?xml version="1.0" encoding="utf-8"?>
<sst xmlns="http://schemas.openxmlformats.org/spreadsheetml/2006/main" count="83" uniqueCount="78">
  <si>
    <t>ITX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</si>
  <si>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</si>
  <si>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</si>
  <si>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</si>
  <si>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</si>
  <si>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</si>
  <si>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</si>
  <si>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</si>
  <si>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</si>
  <si>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</si>
  <si>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</si>
  <si>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Q320</t>
  </si>
  <si>
    <t>Revenue</t>
  </si>
  <si>
    <t>Cost of sales</t>
  </si>
  <si>
    <t>Gross profit</t>
  </si>
  <si>
    <t>Operating expenses</t>
  </si>
  <si>
    <t>Other operating expenses</t>
  </si>
  <si>
    <t>Operating profit</t>
  </si>
  <si>
    <t>D&amp;A</t>
  </si>
  <si>
    <t>Q118</t>
  </si>
  <si>
    <t>Q117</t>
  </si>
  <si>
    <t>Q116</t>
  </si>
  <si>
    <t>Q216</t>
  </si>
  <si>
    <t>Q316</t>
  </si>
  <si>
    <t>Q416</t>
  </si>
  <si>
    <t>Q217</t>
  </si>
  <si>
    <t>Q317</t>
  </si>
  <si>
    <t>Q417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</si>
  <si>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</si>
  <si>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</si>
  <si>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</si>
  <si>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</si>
  <si>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</si>
  <si>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</si>
  <si>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</si>
  <si>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</si>
  <si>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</si>
  <si>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Q420</t>
  </si>
  <si>
    <t>Net finance expense</t>
  </si>
  <si>
    <t>Pretax profit</t>
  </si>
  <si>
    <t>Taxes</t>
  </si>
  <si>
    <t>Net profit</t>
  </si>
  <si>
    <t>EPS</t>
  </si>
  <si>
    <t>Revenue y/y</t>
  </si>
  <si>
    <t>Gross Margin</t>
  </si>
  <si>
    <t>Operating Margin</t>
  </si>
  <si>
    <t>Operating y/y</t>
  </si>
  <si>
    <t>Maturity</t>
  </si>
  <si>
    <t>Discount rate</t>
  </si>
  <si>
    <t>NPV</t>
  </si>
  <si>
    <t>Value</t>
  </si>
  <si>
    <t>Per share</t>
  </si>
  <si>
    <t>Current price</t>
  </si>
  <si>
    <t>Net cash</t>
  </si>
  <si>
    <t>Variance</t>
  </si>
  <si>
    <t>Consensus</t>
  </si>
  <si>
    <t>Q121</t>
  </si>
  <si>
    <t>Q221</t>
  </si>
  <si>
    <t>Q321</t>
  </si>
  <si>
    <t>Q421</t>
  </si>
  <si>
    <t>Slightly overvalued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</si>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</sst>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9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30480</xdr:colOff>
      <xdr:row>0</xdr:row>
      <xdr:rowOff>0</xdr:rowOff>
    </xdr:from>
    <xdr:to>
      <xdr:col>22</xdr:col>
      <xdr:colOff>30480</xdr:colOff>
      <xdr:row>33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B3D643C-5046-43BE-8608-8E0F2DD95F7B}"/>
            </a:ext>
          </a:extLst>
        </xdr:cNvPr>
        <xdr:cNvCxnSpPr/>
      </xdr:nvCxnSpPr>
      <xdr:spPr>
        <a:xfrm>
          <a:off x="16634460" y="0"/>
          <a:ext cx="0" cy="6111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15240</xdr:colOff>
      <xdr:row>0</xdr:row>
      <xdr:rowOff>0</xdr:rowOff>
    </xdr:from>
    <xdr:to>
      <xdr:col>52</xdr:col>
      <xdr:colOff>15240</xdr:colOff>
      <xdr:row>33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6A091EC-813D-4FC7-91EB-355A88EA470E}"/>
            </a:ext>
          </a:extLst>
        </xdr:cNvPr>
        <xdr:cNvCxnSpPr/>
      </xdr:nvCxnSpPr>
      <xdr:spPr>
        <a:xfrm>
          <a:off x="3822192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7372-1414-4535-A5E9-7D43053BEE33}">
  <dimension ref="B2:G9"/>
  <sheetViews>
    <sheetView workbookViewId="0">
      <selection activeCell="E7" sqref="E7"/>
    </sheetView>
  </sheetViews>
  <sheetFormatPr defaultRowHeight="14.4" x14ac:dyDescent="0.3"/>
  <cols>
    <col min="4" max="4" width="8.88671875" customWidth="1"/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46.89</v>
      </c>
      <c r="E3" s="3">
        <v>45965</v>
      </c>
      <c r="F3" s="3">
        <f ca="1">TODAY()</f>
        <v>45965</v>
      </c>
      <c r="G3" s="3">
        <v>45994</v>
      </c>
    </row>
    <row r="4" spans="2:7" x14ac:dyDescent="0.3">
      <c r="C4" t="s">
        <v>2</v>
      </c>
      <c r="D4" s="5">
        <f>3115.8</f>
        <v>3115.8</v>
      </c>
      <c r="E4" s="2" t="s">
        <v>74</v>
      </c>
    </row>
    <row r="5" spans="2:7" x14ac:dyDescent="0.3">
      <c r="C5" t="s">
        <v>3</v>
      </c>
      <c r="D5" s="5">
        <f>D3*D4</f>
        <v>146099.86200000002</v>
      </c>
    </row>
    <row r="6" spans="2:7" x14ac:dyDescent="0.3">
      <c r="C6" t="s">
        <v>4</v>
      </c>
      <c r="D6" s="5">
        <f>5139+4874</f>
        <v>10013</v>
      </c>
      <c r="E6" s="2" t="s">
        <v>74</v>
      </c>
    </row>
    <row r="7" spans="2:7" x14ac:dyDescent="0.3">
      <c r="C7" t="s">
        <v>5</v>
      </c>
      <c r="D7" s="5">
        <f>1</f>
        <v>1</v>
      </c>
      <c r="E7" s="2" t="s">
        <v>74</v>
      </c>
    </row>
    <row r="8" spans="2:7" x14ac:dyDescent="0.3">
      <c r="C8" t="s">
        <v>6</v>
      </c>
      <c r="D8" s="5">
        <f>D6-D7</f>
        <v>10012</v>
      </c>
    </row>
    <row r="9" spans="2:7" x14ac:dyDescent="0.3">
      <c r="C9" t="s">
        <v>7</v>
      </c>
      <c r="D9" s="5">
        <f>D5-D8</f>
        <v>136087.86200000002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7BB2-D8B4-42AE-9AC6-EEBF01A19113}">
  <dimension ref="B1:FH40"/>
  <sheetViews>
    <sheetView tabSelected="1" workbookViewId="0">
      <pane xSplit="2" ySplit="2" topLeftCell="AP3" activePane="bottomRight" state="frozen"/>
      <selection pane="topRight" activeCell="C1" sqref="C1"/>
      <selection pane="bottomLeft" activeCell="A3" sqref="A3"/>
      <selection pane="bottomRight" activeCell="AJ5" sqref="AJ5"/>
    </sheetView>
  </sheetViews>
  <sheetFormatPr defaultRowHeight="14.4" x14ac:dyDescent="0.3"/>
  <cols>
    <col min="2" max="2" width="22.109375" bestFit="1" customWidth="1"/>
    <col min="3" max="42" width="10.5546875" customWidth="1"/>
    <col min="44" max="58" width="10.5546875" bestFit="1" customWidth="1"/>
    <col min="59" max="63" width="10.5546875" customWidth="1"/>
    <col min="65" max="65" width="12" bestFit="1" customWidth="1"/>
    <col min="66" max="66" width="17.33203125" bestFit="1" customWidth="1"/>
  </cols>
  <sheetData>
    <row r="1" spans="2:164" x14ac:dyDescent="0.3">
      <c r="C1" s="11">
        <v>42490</v>
      </c>
      <c r="D1" s="11">
        <v>42582</v>
      </c>
      <c r="E1" s="11">
        <v>42674</v>
      </c>
      <c r="F1" s="11">
        <v>42766</v>
      </c>
      <c r="G1" s="11">
        <v>42855</v>
      </c>
      <c r="H1" s="11">
        <v>42947</v>
      </c>
      <c r="I1" s="11">
        <v>43039</v>
      </c>
      <c r="J1" s="11">
        <v>43131</v>
      </c>
      <c r="K1" s="11">
        <v>43220</v>
      </c>
      <c r="L1" s="11">
        <v>43312</v>
      </c>
      <c r="M1" s="11">
        <v>43404</v>
      </c>
      <c r="N1" s="11">
        <v>43496</v>
      </c>
      <c r="O1" s="11">
        <v>43585</v>
      </c>
      <c r="P1" s="11">
        <v>43677</v>
      </c>
      <c r="Q1" s="11">
        <v>43769</v>
      </c>
      <c r="R1" s="11">
        <v>43861</v>
      </c>
      <c r="S1" s="11">
        <v>43951</v>
      </c>
      <c r="T1" s="11">
        <v>44043</v>
      </c>
      <c r="U1" s="11">
        <v>44135</v>
      </c>
      <c r="V1" s="11">
        <v>44227</v>
      </c>
      <c r="W1" s="11">
        <v>44316</v>
      </c>
      <c r="X1" s="11">
        <v>44408</v>
      </c>
      <c r="Y1" s="11">
        <v>44500</v>
      </c>
      <c r="Z1" s="11">
        <v>44592</v>
      </c>
      <c r="AA1" s="11">
        <v>44681</v>
      </c>
      <c r="AB1" s="11">
        <v>44773</v>
      </c>
      <c r="AC1" s="11">
        <v>44865</v>
      </c>
      <c r="AD1" s="11">
        <v>44957</v>
      </c>
      <c r="AE1" s="11">
        <v>45046</v>
      </c>
      <c r="AF1" s="11">
        <v>45138</v>
      </c>
      <c r="AG1" s="11">
        <v>45230</v>
      </c>
      <c r="AH1" s="11">
        <v>45322</v>
      </c>
      <c r="AI1" s="11">
        <v>45412</v>
      </c>
      <c r="AJ1" s="11">
        <v>45504</v>
      </c>
      <c r="AK1" s="11">
        <v>45596</v>
      </c>
      <c r="AL1" s="11">
        <v>45688</v>
      </c>
      <c r="AM1" s="11">
        <v>45777</v>
      </c>
      <c r="AN1" s="11">
        <v>45869</v>
      </c>
      <c r="AO1" s="11">
        <v>45961</v>
      </c>
      <c r="AP1" s="11">
        <v>46053</v>
      </c>
      <c r="AR1" s="11">
        <v>42766</v>
      </c>
      <c r="AS1" s="11">
        <v>43131</v>
      </c>
      <c r="AT1" s="11">
        <v>43496</v>
      </c>
      <c r="AU1" s="11">
        <v>43861</v>
      </c>
      <c r="AV1" s="11">
        <v>44227</v>
      </c>
      <c r="AW1" s="11">
        <v>44592</v>
      </c>
      <c r="AX1" s="11">
        <v>44957</v>
      </c>
      <c r="AY1" s="11">
        <v>45322</v>
      </c>
      <c r="AZ1" s="11">
        <v>45688</v>
      </c>
      <c r="BA1" s="11">
        <v>46053</v>
      </c>
      <c r="BB1" s="11">
        <v>46418</v>
      </c>
      <c r="BC1" s="11">
        <v>46783</v>
      </c>
      <c r="BD1" s="11">
        <v>47149</v>
      </c>
      <c r="BE1" s="11">
        <v>47514</v>
      </c>
      <c r="BF1" s="11">
        <v>47879</v>
      </c>
      <c r="BG1" s="11">
        <v>48244</v>
      </c>
      <c r="BH1" s="11">
        <v>48610</v>
      </c>
      <c r="BI1" s="11">
        <v>48975</v>
      </c>
      <c r="BJ1" s="11">
        <v>49340</v>
      </c>
      <c r="BK1" s="11">
        <v>49705</v>
      </c>
    </row>
    <row r="2" spans="2:164" x14ac:dyDescent="0.3">
      <c r="C2" s="6" t="s">
        <v>21</v>
      </c>
      <c r="D2" s="6" t="s">
        <v>22</v>
      </c>
      <c r="E2" s="6" t="s">
        <v>23</v>
      </c>
      <c r="F2" s="6" t="s">
        <v>24</v>
      </c>
      <c r="G2" s="6" t="s">
        <v>20</v>
      </c>
      <c r="H2" s="6" t="s">
        <v>25</v>
      </c>
      <c r="I2" s="6" t="s">
        <v>26</v>
      </c>
      <c r="J2" s="6" t="s">
        <v>27</v>
      </c>
      <c r="K2" s="6" t="s">
        <v>19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36</v>
      </c>
      <c r="U2" s="6" t="s">
        <v>11</v>
      </c>
      <c r="V2" s="6" t="s">
        <v>37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61</v>
      </c>
      <c r="AB2" s="6" t="s">
        <v>62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67</v>
      </c>
      <c r="AH2" s="6" t="s">
        <v>68</v>
      </c>
      <c r="AI2" s="6" t="s">
        <v>69</v>
      </c>
      <c r="AJ2" s="6" t="s">
        <v>70</v>
      </c>
      <c r="AK2" s="6" t="s">
        <v>71</v>
      </c>
      <c r="AL2" s="6" t="s">
        <v>72</v>
      </c>
      <c r="AM2" s="6" t="s">
        <v>73</v>
      </c>
      <c r="AN2" s="6" t="s">
        <v>74</v>
      </c>
      <c r="AO2" s="6" t="s">
        <v>75</v>
      </c>
      <c r="AP2" s="6" t="s">
        <v>76</v>
      </c>
      <c r="AR2">
        <v>2016</v>
      </c>
      <c r="AS2">
        <v>2017</v>
      </c>
      <c r="AT2">
        <v>2018</v>
      </c>
      <c r="AU2">
        <v>2019</v>
      </c>
      <c r="AV2">
        <v>2020</v>
      </c>
      <c r="AW2">
        <v>2021</v>
      </c>
      <c r="AX2">
        <v>2022</v>
      </c>
      <c r="AY2">
        <v>2023</v>
      </c>
      <c r="AZ2">
        <v>2024</v>
      </c>
      <c r="BA2">
        <v>2025</v>
      </c>
      <c r="BB2">
        <v>2026</v>
      </c>
      <c r="BC2">
        <v>2027</v>
      </c>
      <c r="BD2">
        <v>2028</v>
      </c>
      <c r="BE2">
        <v>2029</v>
      </c>
      <c r="BF2">
        <v>2030</v>
      </c>
      <c r="BG2">
        <v>2031</v>
      </c>
      <c r="BH2">
        <v>2032</v>
      </c>
      <c r="BI2">
        <v>2033</v>
      </c>
      <c r="BJ2">
        <v>2034</v>
      </c>
      <c r="BK2">
        <v>2035</v>
      </c>
    </row>
    <row r="3" spans="2:164" s="1" customFormat="1" x14ac:dyDescent="0.3">
      <c r="B3" s="1" t="s">
        <v>12</v>
      </c>
      <c r="C3" s="9">
        <v>4879</v>
      </c>
      <c r="D3" s="9">
        <v>5586</v>
      </c>
      <c r="E3" s="9">
        <v>5937</v>
      </c>
      <c r="F3" s="9">
        <v>6908</v>
      </c>
      <c r="G3" s="9">
        <v>5569</v>
      </c>
      <c r="H3" s="9">
        <v>6102</v>
      </c>
      <c r="I3" s="9">
        <v>6291</v>
      </c>
      <c r="J3" s="9">
        <v>7373</v>
      </c>
      <c r="K3" s="9">
        <v>5654</v>
      </c>
      <c r="L3" s="9">
        <v>6372</v>
      </c>
      <c r="M3" s="9">
        <v>6412</v>
      </c>
      <c r="N3" s="9">
        <v>7708</v>
      </c>
      <c r="O3" s="9">
        <v>5927</v>
      </c>
      <c r="P3" s="9">
        <v>6893</v>
      </c>
      <c r="Q3" s="9">
        <v>7000</v>
      </c>
      <c r="R3" s="9">
        <v>8466</v>
      </c>
      <c r="S3" s="9">
        <v>3303</v>
      </c>
      <c r="T3" s="9">
        <f>8033-S3</f>
        <v>4730</v>
      </c>
      <c r="U3" s="9">
        <f>14085-T3-S3</f>
        <v>6052</v>
      </c>
      <c r="V3" s="9">
        <f>AV3-U3-T3-S3</f>
        <v>6317</v>
      </c>
      <c r="W3" s="9">
        <f>S3*1.55</f>
        <v>5119.6500000000005</v>
      </c>
      <c r="X3" s="9">
        <f>T3*1.3</f>
        <v>6149</v>
      </c>
      <c r="Y3" s="9">
        <f>U3*1.1</f>
        <v>6657.2000000000007</v>
      </c>
      <c r="Z3" s="9">
        <f>V3*1.12</f>
        <v>7075.0400000000009</v>
      </c>
      <c r="AA3" s="9"/>
      <c r="AB3" s="9"/>
      <c r="AC3" s="9"/>
      <c r="AD3" s="9"/>
      <c r="AE3" s="9"/>
      <c r="AF3" s="9"/>
      <c r="AG3" s="9"/>
      <c r="AH3" s="9"/>
      <c r="AI3" s="9">
        <v>8150</v>
      </c>
      <c r="AJ3" s="9">
        <f>AJ28-AI3</f>
        <v>9915</v>
      </c>
      <c r="AK3" s="9"/>
      <c r="AL3" s="9"/>
      <c r="AM3" s="9">
        <v>8274</v>
      </c>
      <c r="AN3" s="9">
        <f>AN28-AM3</f>
        <v>10083</v>
      </c>
      <c r="AO3" s="9"/>
      <c r="AP3" s="9"/>
      <c r="AR3" s="9">
        <f>SUM(C3:F3)</f>
        <v>23310</v>
      </c>
      <c r="AS3" s="9">
        <f>SUM(G3:J3)</f>
        <v>25335</v>
      </c>
      <c r="AT3" s="9">
        <f>SUM(K3:N3)</f>
        <v>26146</v>
      </c>
      <c r="AU3" s="9">
        <f>SUM(O3:R3)</f>
        <v>28286</v>
      </c>
      <c r="AV3" s="9">
        <v>20402</v>
      </c>
      <c r="AW3" s="9">
        <v>27716</v>
      </c>
      <c r="AX3" s="9">
        <v>32569</v>
      </c>
      <c r="AY3" s="9">
        <v>35947</v>
      </c>
      <c r="AZ3" s="9">
        <v>38632</v>
      </c>
      <c r="BA3" s="9">
        <f>AZ3*1.02</f>
        <v>39404.639999999999</v>
      </c>
      <c r="BB3" s="9">
        <f>BA3*1.02</f>
        <v>40192.732799999998</v>
      </c>
      <c r="BC3" s="9">
        <f>BB3*1.03</f>
        <v>41398.514783999999</v>
      </c>
      <c r="BD3" s="9">
        <f>BC3*1.03</f>
        <v>42640.470227520003</v>
      </c>
      <c r="BE3" s="9">
        <f t="shared" ref="BE3:BF3" si="0">BD3*1.03</f>
        <v>43919.684334345606</v>
      </c>
      <c r="BF3" s="9">
        <f t="shared" si="0"/>
        <v>45237.274864375977</v>
      </c>
      <c r="BG3" s="9">
        <f>BF3*1.02</f>
        <v>46142.020361663497</v>
      </c>
      <c r="BH3" s="9">
        <f t="shared" ref="BH3:BK3" si="1">BG3*1.02</f>
        <v>47064.860768896768</v>
      </c>
      <c r="BI3" s="9">
        <f t="shared" si="1"/>
        <v>48006.157984274701</v>
      </c>
      <c r="BJ3" s="9">
        <f t="shared" si="1"/>
        <v>48966.281143960194</v>
      </c>
      <c r="BK3" s="9">
        <f t="shared" si="1"/>
        <v>49945.606766839395</v>
      </c>
    </row>
    <row r="4" spans="2:164" x14ac:dyDescent="0.3">
      <c r="B4" t="s">
        <v>13</v>
      </c>
      <c r="C4" s="5">
        <v>2045</v>
      </c>
      <c r="D4" s="5">
        <v>2475</v>
      </c>
      <c r="E4" s="5">
        <v>2391</v>
      </c>
      <c r="F4" s="5">
        <v>3121</v>
      </c>
      <c r="G4" s="5">
        <v>2329</v>
      </c>
      <c r="H4" s="5">
        <v>2760</v>
      </c>
      <c r="I4" s="5">
        <v>2554</v>
      </c>
      <c r="J4" s="5">
        <v>3432</v>
      </c>
      <c r="K4" s="5">
        <v>2326</v>
      </c>
      <c r="L4" s="5">
        <v>2882</v>
      </c>
      <c r="M4" s="5">
        <v>2534</v>
      </c>
      <c r="N4" s="5">
        <v>3586</v>
      </c>
      <c r="O4" s="5">
        <v>2402</v>
      </c>
      <c r="P4" s="5">
        <v>3134</v>
      </c>
      <c r="Q4" s="5">
        <v>2746</v>
      </c>
      <c r="R4" s="5">
        <v>4197</v>
      </c>
      <c r="S4" s="5">
        <v>1374</v>
      </c>
      <c r="T4" s="5">
        <f>3521-S4</f>
        <v>2147</v>
      </c>
      <c r="U4" s="5">
        <f>5913-T4-S4</f>
        <v>2392</v>
      </c>
      <c r="V4" s="5">
        <f>AV4-U4-T4-S4</f>
        <v>3100</v>
      </c>
      <c r="W4" s="5">
        <f>W3-W5</f>
        <v>2099.0565000000006</v>
      </c>
      <c r="X4" s="5">
        <f t="shared" ref="X4:Z4" si="2">X3-X5</f>
        <v>2767.0499999999997</v>
      </c>
      <c r="Y4" s="5">
        <f t="shared" si="2"/>
        <v>2729.4520000000007</v>
      </c>
      <c r="Z4" s="5">
        <f t="shared" si="2"/>
        <v>3325.2688000000003</v>
      </c>
      <c r="AA4" s="5"/>
      <c r="AB4" s="5"/>
      <c r="AC4" s="5"/>
      <c r="AD4" s="5"/>
      <c r="AE4" s="5"/>
      <c r="AF4" s="5"/>
      <c r="AG4" s="5"/>
      <c r="AH4" s="5"/>
      <c r="AI4" s="5">
        <v>3210</v>
      </c>
      <c r="AJ4" s="12">
        <f>AJ29-AI4</f>
        <v>4314</v>
      </c>
      <c r="AK4" s="5"/>
      <c r="AL4" s="5"/>
      <c r="AM4" s="5">
        <v>3262</v>
      </c>
      <c r="AN4" s="12">
        <f>AN29-AM4</f>
        <v>4392</v>
      </c>
      <c r="AO4" s="5"/>
      <c r="AP4" s="5"/>
      <c r="AR4" s="5">
        <f>SUM(C4:F4)</f>
        <v>10032</v>
      </c>
      <c r="AS4" s="5">
        <f>SUM(G4:J4)</f>
        <v>11075</v>
      </c>
      <c r="AT4" s="5">
        <f>SUM(K4:N4)</f>
        <v>11328</v>
      </c>
      <c r="AU4" s="5">
        <f>SUM(O4:R4)</f>
        <v>12479</v>
      </c>
      <c r="AV4" s="5">
        <v>9013</v>
      </c>
      <c r="AW4" s="5">
        <v>11902</v>
      </c>
      <c r="AX4" s="5">
        <v>14011</v>
      </c>
      <c r="AY4" s="5">
        <v>15186</v>
      </c>
      <c r="AZ4" s="5">
        <v>16288</v>
      </c>
      <c r="BA4" s="5">
        <f t="shared" ref="BA4" si="3">BA3-BA5</f>
        <v>16549.948800000002</v>
      </c>
      <c r="BB4" s="5">
        <f t="shared" ref="AX4:BF4" si="4">BB3-BB5</f>
        <v>16880.947776000001</v>
      </c>
      <c r="BC4" s="5">
        <f t="shared" si="4"/>
        <v>17387.376209280003</v>
      </c>
      <c r="BD4" s="5">
        <f t="shared" si="4"/>
        <v>17908.997495558404</v>
      </c>
      <c r="BE4" s="5">
        <f t="shared" si="4"/>
        <v>18446.267420425156</v>
      </c>
      <c r="BF4" s="5">
        <f t="shared" si="4"/>
        <v>18999.655443037911</v>
      </c>
      <c r="BG4" s="5">
        <f t="shared" ref="BG4:BK4" si="5">BG3-BG5</f>
        <v>19379.64855189867</v>
      </c>
      <c r="BH4" s="5">
        <f t="shared" si="5"/>
        <v>19767.241522936645</v>
      </c>
      <c r="BI4" s="5">
        <f t="shared" si="5"/>
        <v>20162.586353395378</v>
      </c>
      <c r="BJ4" s="5">
        <f t="shared" si="5"/>
        <v>20565.838080463283</v>
      </c>
      <c r="BK4" s="5">
        <f t="shared" si="5"/>
        <v>20977.154842072548</v>
      </c>
    </row>
    <row r="5" spans="2:164" s="1" customFormat="1" x14ac:dyDescent="0.3">
      <c r="B5" s="1" t="s">
        <v>14</v>
      </c>
      <c r="C5" s="9">
        <f t="shared" ref="C5:U5" si="6">C3-C4</f>
        <v>2834</v>
      </c>
      <c r="D5" s="9">
        <f t="shared" si="6"/>
        <v>3111</v>
      </c>
      <c r="E5" s="9">
        <f t="shared" si="6"/>
        <v>3546</v>
      </c>
      <c r="F5" s="9">
        <f t="shared" si="6"/>
        <v>3787</v>
      </c>
      <c r="G5" s="9">
        <f t="shared" si="6"/>
        <v>3240</v>
      </c>
      <c r="H5" s="9">
        <f t="shared" si="6"/>
        <v>3342</v>
      </c>
      <c r="I5" s="9">
        <f t="shared" si="6"/>
        <v>3737</v>
      </c>
      <c r="J5" s="9">
        <f t="shared" si="6"/>
        <v>3941</v>
      </c>
      <c r="K5" s="9">
        <f t="shared" si="6"/>
        <v>3328</v>
      </c>
      <c r="L5" s="9">
        <f t="shared" si="6"/>
        <v>3490</v>
      </c>
      <c r="M5" s="9">
        <f t="shared" si="6"/>
        <v>3878</v>
      </c>
      <c r="N5" s="9">
        <f t="shared" si="6"/>
        <v>4122</v>
      </c>
      <c r="O5" s="9">
        <f t="shared" si="6"/>
        <v>3525</v>
      </c>
      <c r="P5" s="9">
        <f t="shared" si="6"/>
        <v>3759</v>
      </c>
      <c r="Q5" s="9">
        <f t="shared" si="6"/>
        <v>4254</v>
      </c>
      <c r="R5" s="9">
        <f t="shared" si="6"/>
        <v>4269</v>
      </c>
      <c r="S5" s="9">
        <f t="shared" si="6"/>
        <v>1929</v>
      </c>
      <c r="T5" s="9">
        <f t="shared" si="6"/>
        <v>2583</v>
      </c>
      <c r="U5" s="9">
        <f t="shared" si="6"/>
        <v>3660</v>
      </c>
      <c r="V5" s="9">
        <f>V3*0.53</f>
        <v>3348.01</v>
      </c>
      <c r="W5" s="9">
        <f>W3*0.59</f>
        <v>3020.5934999999999</v>
      </c>
      <c r="X5" s="9">
        <f>X3*0.55</f>
        <v>3381.9500000000003</v>
      </c>
      <c r="Y5" s="9">
        <f>Y3*0.59</f>
        <v>3927.748</v>
      </c>
      <c r="Z5" s="9">
        <f>Z3*0.53</f>
        <v>3749.7712000000006</v>
      </c>
      <c r="AA5" s="9"/>
      <c r="AB5" s="9"/>
      <c r="AC5" s="9"/>
      <c r="AD5" s="9"/>
      <c r="AE5" s="9"/>
      <c r="AF5" s="9"/>
      <c r="AG5" s="9"/>
      <c r="AH5" s="9"/>
      <c r="AI5" s="9">
        <f t="shared" ref="AI5:AJ5" si="7">AI3-AI4</f>
        <v>4940</v>
      </c>
      <c r="AJ5" s="9">
        <f t="shared" si="7"/>
        <v>5601</v>
      </c>
      <c r="AK5" s="9"/>
      <c r="AL5" s="9"/>
      <c r="AM5" s="9">
        <f t="shared" ref="AM5:AN5" si="8">AM3-AM4</f>
        <v>5012</v>
      </c>
      <c r="AN5" s="9">
        <f t="shared" si="8"/>
        <v>5691</v>
      </c>
      <c r="AO5" s="9"/>
      <c r="AP5" s="9"/>
      <c r="AR5" s="9">
        <f t="shared" ref="AR5:AW5" si="9">AR3-AR4</f>
        <v>13278</v>
      </c>
      <c r="AS5" s="9">
        <f t="shared" si="9"/>
        <v>14260</v>
      </c>
      <c r="AT5" s="9">
        <f t="shared" si="9"/>
        <v>14818</v>
      </c>
      <c r="AU5" s="9">
        <f t="shared" si="9"/>
        <v>15807</v>
      </c>
      <c r="AV5" s="9">
        <f t="shared" si="9"/>
        <v>11389</v>
      </c>
      <c r="AW5" s="9">
        <f>AW3-AW4</f>
        <v>15814</v>
      </c>
      <c r="AX5" s="9">
        <f>AX3-AX4</f>
        <v>18558</v>
      </c>
      <c r="AY5" s="9">
        <f>AY3-AY4</f>
        <v>20761</v>
      </c>
      <c r="AZ5" s="9">
        <f>AZ3-AZ4</f>
        <v>22344</v>
      </c>
      <c r="BA5" s="9">
        <f>BA3*0.58</f>
        <v>22854.691199999997</v>
      </c>
      <c r="BB5" s="9">
        <f t="shared" ref="BB5:BK5" si="10">BB3*0.58</f>
        <v>23311.785023999997</v>
      </c>
      <c r="BC5" s="9">
        <f t="shared" si="10"/>
        <v>24011.138574719997</v>
      </c>
      <c r="BD5" s="9">
        <f t="shared" si="10"/>
        <v>24731.472731961599</v>
      </c>
      <c r="BE5" s="9">
        <f t="shared" si="10"/>
        <v>25473.41691392045</v>
      </c>
      <c r="BF5" s="9">
        <f t="shared" si="10"/>
        <v>26237.619421338066</v>
      </c>
      <c r="BG5" s="9">
        <f t="shared" si="10"/>
        <v>26762.371809764827</v>
      </c>
      <c r="BH5" s="9">
        <f t="shared" si="10"/>
        <v>27297.619245960122</v>
      </c>
      <c r="BI5" s="9">
        <f t="shared" si="10"/>
        <v>27843.571630879323</v>
      </c>
      <c r="BJ5" s="9">
        <f t="shared" si="10"/>
        <v>28400.44306349691</v>
      </c>
      <c r="BK5" s="9">
        <f t="shared" si="10"/>
        <v>28968.451924766847</v>
      </c>
    </row>
    <row r="6" spans="2:164" x14ac:dyDescent="0.3">
      <c r="B6" t="s">
        <v>15</v>
      </c>
      <c r="C6" s="5">
        <v>1877</v>
      </c>
      <c r="D6" s="5">
        <v>1953</v>
      </c>
      <c r="E6" s="5">
        <v>2049</v>
      </c>
      <c r="F6" s="5">
        <v>2296</v>
      </c>
      <c r="G6" s="5">
        <v>2126</v>
      </c>
      <c r="H6" s="5">
        <v>2148</v>
      </c>
      <c r="I6" s="5">
        <v>2202</v>
      </c>
      <c r="J6" s="5">
        <v>2468</v>
      </c>
      <c r="K6" s="5">
        <v>2194</v>
      </c>
      <c r="L6" s="5">
        <v>2265</v>
      </c>
      <c r="M6" s="5">
        <v>2280</v>
      </c>
      <c r="N6" s="5">
        <v>2589</v>
      </c>
      <c r="O6" s="5">
        <v>1842</v>
      </c>
      <c r="P6" s="5">
        <v>1981</v>
      </c>
      <c r="Q6" s="5">
        <v>1988</v>
      </c>
      <c r="R6" s="5">
        <v>2365</v>
      </c>
      <c r="S6" s="5">
        <v>1448</v>
      </c>
      <c r="T6" s="5">
        <f>3020-S6</f>
        <v>1572</v>
      </c>
      <c r="U6" s="5">
        <f>3020-T6</f>
        <v>1448</v>
      </c>
      <c r="V6" s="5">
        <f>AV6-U6-T6-S6</f>
        <v>2339</v>
      </c>
      <c r="W6" s="5">
        <f>S6*1.2</f>
        <v>1737.6</v>
      </c>
      <c r="X6" s="5">
        <f>T6*1.15</f>
        <v>1807.8</v>
      </c>
      <c r="Y6" s="5">
        <f>U6*1.3</f>
        <v>1882.4</v>
      </c>
      <c r="Z6" s="5">
        <f>V6*1.02</f>
        <v>2385.7800000000002</v>
      </c>
      <c r="AA6" s="5"/>
      <c r="AB6" s="5"/>
      <c r="AC6" s="5"/>
      <c r="AD6" s="5"/>
      <c r="AE6" s="5"/>
      <c r="AF6" s="5"/>
      <c r="AG6" s="5"/>
      <c r="AH6" s="5"/>
      <c r="AI6" s="5">
        <v>2553</v>
      </c>
      <c r="AJ6" s="12">
        <f t="shared" ref="AJ6:AJ8" si="11">AJ31-AI6</f>
        <v>2914</v>
      </c>
      <c r="AK6" s="5"/>
      <c r="AL6" s="5"/>
      <c r="AM6" s="5">
        <v>2612</v>
      </c>
      <c r="AN6" s="12">
        <f t="shared" ref="AN6:AN8" si="12">AN31-AM6</f>
        <v>2972</v>
      </c>
      <c r="AO6" s="5"/>
      <c r="AP6" s="5"/>
      <c r="AR6" s="5">
        <f>SUM(C6:F6)</f>
        <v>8175</v>
      </c>
      <c r="AS6" s="5">
        <f>SUM(G6:J6)</f>
        <v>8944</v>
      </c>
      <c r="AT6" s="5">
        <f>SUM(K6:N6)</f>
        <v>9328</v>
      </c>
      <c r="AU6" s="5">
        <f>SUM(O6:R6)</f>
        <v>8176</v>
      </c>
      <c r="AV6" s="5">
        <v>6807</v>
      </c>
      <c r="AW6" s="5">
        <v>8596</v>
      </c>
      <c r="AX6" s="5">
        <v>9867</v>
      </c>
      <c r="AY6" s="5">
        <v>10853</v>
      </c>
      <c r="AZ6" s="5">
        <v>11555</v>
      </c>
      <c r="BA6" s="5">
        <f>AZ6*1.04</f>
        <v>12017.2</v>
      </c>
      <c r="BB6" s="5">
        <f>BA6*1.03</f>
        <v>12377.716</v>
      </c>
      <c r="BC6" s="5">
        <f t="shared" ref="BC6:BF6" si="13">BB6*1.02</f>
        <v>12625.270320000001</v>
      </c>
      <c r="BD6" s="5">
        <f t="shared" si="13"/>
        <v>12877.775726400001</v>
      </c>
      <c r="BE6" s="5">
        <f t="shared" si="13"/>
        <v>13135.331240928001</v>
      </c>
      <c r="BF6" s="5">
        <f t="shared" si="13"/>
        <v>13398.037865746561</v>
      </c>
      <c r="BG6" s="5">
        <f t="shared" ref="BG6" si="14">BF6*1.02</f>
        <v>13665.998623061492</v>
      </c>
      <c r="BH6" s="5">
        <f t="shared" ref="BH6" si="15">BG6*1.02</f>
        <v>13939.318595522722</v>
      </c>
      <c r="BI6" s="5">
        <f t="shared" ref="BI6" si="16">BH6*1.02</f>
        <v>14218.104967433177</v>
      </c>
      <c r="BJ6" s="5">
        <f t="shared" ref="BJ6" si="17">BI6*1.02</f>
        <v>14502.467066781841</v>
      </c>
      <c r="BK6" s="5">
        <f t="shared" ref="BK6" si="18">BJ6*1.02</f>
        <v>14792.516408117477</v>
      </c>
    </row>
    <row r="7" spans="2:164" x14ac:dyDescent="0.3">
      <c r="B7" t="s">
        <v>16</v>
      </c>
      <c r="C7" s="5">
        <v>2</v>
      </c>
      <c r="D7" s="5">
        <v>2</v>
      </c>
      <c r="E7" s="5">
        <v>2</v>
      </c>
      <c r="F7" s="5">
        <v>14</v>
      </c>
      <c r="G7" s="5">
        <v>1</v>
      </c>
      <c r="H7" s="5">
        <v>15</v>
      </c>
      <c r="I7" s="5">
        <v>7</v>
      </c>
      <c r="J7" s="5">
        <v>15</v>
      </c>
      <c r="K7" s="5">
        <v>9</v>
      </c>
      <c r="L7" s="5">
        <v>6</v>
      </c>
      <c r="M7" s="5">
        <v>8</v>
      </c>
      <c r="N7" s="5">
        <v>7</v>
      </c>
      <c r="O7" s="5">
        <v>8</v>
      </c>
      <c r="P7" s="5">
        <v>6</v>
      </c>
      <c r="Q7" s="5">
        <v>11</v>
      </c>
      <c r="R7" s="5">
        <v>8</v>
      </c>
      <c r="S7" s="5">
        <v>2</v>
      </c>
      <c r="T7" s="5">
        <f>6-S7</f>
        <v>4</v>
      </c>
      <c r="U7" s="5">
        <f>6-T7</f>
        <v>2</v>
      </c>
      <c r="V7" s="5">
        <f>AV7-U7-T7-S7</f>
        <v>23</v>
      </c>
      <c r="W7" s="5">
        <v>3</v>
      </c>
      <c r="X7" s="5">
        <v>3</v>
      </c>
      <c r="Y7" s="5">
        <v>3</v>
      </c>
      <c r="Z7" s="5">
        <v>20</v>
      </c>
      <c r="AA7" s="5"/>
      <c r="AB7" s="5"/>
      <c r="AC7" s="5"/>
      <c r="AD7" s="5"/>
      <c r="AE7" s="5"/>
      <c r="AF7" s="5"/>
      <c r="AG7" s="5"/>
      <c r="AH7" s="5"/>
      <c r="AI7" s="5">
        <v>17</v>
      </c>
      <c r="AJ7" s="12">
        <f t="shared" si="11"/>
        <v>17</v>
      </c>
      <c r="AK7" s="5"/>
      <c r="AL7" s="5"/>
      <c r="AM7" s="5">
        <v>6</v>
      </c>
      <c r="AN7" s="12">
        <f t="shared" si="12"/>
        <v>-1</v>
      </c>
      <c r="AO7" s="5"/>
      <c r="AP7" s="5"/>
      <c r="AR7" s="5">
        <f>SUM(C7:F7)</f>
        <v>20</v>
      </c>
      <c r="AS7" s="5">
        <f>SUM(G7:J7)</f>
        <v>38</v>
      </c>
      <c r="AT7" s="5">
        <f>SUM(K7:N7)</f>
        <v>30</v>
      </c>
      <c r="AU7" s="5">
        <f>SUM(O7:R7)</f>
        <v>33</v>
      </c>
      <c r="AV7" s="5">
        <v>31</v>
      </c>
      <c r="AW7" s="5">
        <v>35</v>
      </c>
      <c r="AX7" s="5">
        <v>43</v>
      </c>
      <c r="AY7" s="5">
        <v>59</v>
      </c>
      <c r="AZ7" s="5">
        <v>60</v>
      </c>
      <c r="BA7" s="5">
        <f>AZ7*1.05</f>
        <v>63</v>
      </c>
      <c r="BB7" s="5">
        <f t="shared" ref="BB7:BK7" si="19">BA7*1.05</f>
        <v>66.150000000000006</v>
      </c>
      <c r="BC7" s="5">
        <f t="shared" si="19"/>
        <v>69.45750000000001</v>
      </c>
      <c r="BD7" s="5">
        <f t="shared" si="19"/>
        <v>72.930375000000012</v>
      </c>
      <c r="BE7" s="5">
        <f t="shared" si="19"/>
        <v>76.576893750000011</v>
      </c>
      <c r="BF7" s="5">
        <f t="shared" si="19"/>
        <v>80.40573843750002</v>
      </c>
      <c r="BG7" s="5">
        <f t="shared" si="19"/>
        <v>84.426025359375018</v>
      </c>
      <c r="BH7" s="5">
        <f t="shared" si="19"/>
        <v>88.647326627343773</v>
      </c>
      <c r="BI7" s="5">
        <f t="shared" si="19"/>
        <v>93.079692958710964</v>
      </c>
      <c r="BJ7" s="5">
        <f t="shared" si="19"/>
        <v>97.733677606646523</v>
      </c>
      <c r="BK7" s="5">
        <f t="shared" si="19"/>
        <v>102.62036148697885</v>
      </c>
    </row>
    <row r="8" spans="2:164" x14ac:dyDescent="0.3">
      <c r="B8" t="s">
        <v>18</v>
      </c>
      <c r="C8" s="5">
        <v>250</v>
      </c>
      <c r="D8" s="5">
        <v>256</v>
      </c>
      <c r="E8" s="5">
        <v>278</v>
      </c>
      <c r="F8" s="5">
        <v>278</v>
      </c>
      <c r="G8" s="5">
        <v>279</v>
      </c>
      <c r="H8" s="5">
        <v>269</v>
      </c>
      <c r="I8" s="5">
        <v>278</v>
      </c>
      <c r="J8" s="5">
        <v>137</v>
      </c>
      <c r="K8" s="5">
        <v>273</v>
      </c>
      <c r="L8" s="5">
        <v>286</v>
      </c>
      <c r="M8" s="5">
        <v>303</v>
      </c>
      <c r="N8" s="5">
        <v>239</v>
      </c>
      <c r="O8" s="5">
        <v>696</v>
      </c>
      <c r="P8" s="5">
        <v>712</v>
      </c>
      <c r="Q8" s="5">
        <v>747</v>
      </c>
      <c r="R8" s="5">
        <v>672</v>
      </c>
      <c r="S8" s="5">
        <v>992</v>
      </c>
      <c r="T8" s="5">
        <f>1684-S8</f>
        <v>692</v>
      </c>
      <c r="U8" s="5">
        <f>1684-T8</f>
        <v>992</v>
      </c>
      <c r="V8" s="5">
        <f>AV8-U8-T8-S8</f>
        <v>369</v>
      </c>
      <c r="W8" s="5">
        <v>750</v>
      </c>
      <c r="X8" s="5">
        <v>750</v>
      </c>
      <c r="Y8" s="5">
        <v>750</v>
      </c>
      <c r="Z8" s="5">
        <v>750</v>
      </c>
      <c r="AA8" s="5"/>
      <c r="AB8" s="5"/>
      <c r="AC8" s="5"/>
      <c r="AD8" s="5"/>
      <c r="AE8" s="5"/>
      <c r="AF8" s="5"/>
      <c r="AG8" s="5"/>
      <c r="AH8" s="5"/>
      <c r="AI8" s="5">
        <v>734</v>
      </c>
      <c r="AJ8" s="12">
        <f t="shared" si="11"/>
        <v>765</v>
      </c>
      <c r="AK8" s="5"/>
      <c r="AL8" s="5"/>
      <c r="AM8" s="5">
        <v>752</v>
      </c>
      <c r="AN8" s="12">
        <f t="shared" si="12"/>
        <v>790</v>
      </c>
      <c r="AO8" s="5"/>
      <c r="AP8" s="5"/>
      <c r="AR8" s="5">
        <f>SUM(C8:F8)</f>
        <v>1062</v>
      </c>
      <c r="AS8" s="5">
        <f>SUM(G8:J8)</f>
        <v>963</v>
      </c>
      <c r="AT8" s="5">
        <f>SUM(K8:N8)</f>
        <v>1101</v>
      </c>
      <c r="AU8" s="5">
        <f>SUM(O8:R8)</f>
        <v>2827</v>
      </c>
      <c r="AV8" s="5">
        <v>3045</v>
      </c>
      <c r="AW8" s="5">
        <v>2901</v>
      </c>
      <c r="AX8" s="5">
        <f>231+2899</f>
        <v>3130</v>
      </c>
      <c r="AY8" s="5">
        <v>3041</v>
      </c>
      <c r="AZ8" s="5">
        <v>3174</v>
      </c>
      <c r="BA8" s="5">
        <f>AZ8*1.03</f>
        <v>3269.2200000000003</v>
      </c>
      <c r="BB8" s="5">
        <f>BA8*1.03</f>
        <v>3367.2966000000001</v>
      </c>
      <c r="BC8" s="5">
        <f t="shared" ref="BC8:BF8" si="20">BB8*1.03</f>
        <v>3468.3154980000004</v>
      </c>
      <c r="BD8" s="5">
        <f t="shared" si="20"/>
        <v>3572.3649629400006</v>
      </c>
      <c r="BE8" s="5">
        <f t="shared" si="20"/>
        <v>3679.5359118282008</v>
      </c>
      <c r="BF8" s="5">
        <f t="shared" si="20"/>
        <v>3789.9219891830471</v>
      </c>
      <c r="BG8" s="5">
        <f t="shared" ref="BG8" si="21">BF8*1.03</f>
        <v>3903.6196488585388</v>
      </c>
      <c r="BH8" s="5">
        <f t="shared" ref="BH8" si="22">BG8*1.03</f>
        <v>4020.728238324295</v>
      </c>
      <c r="BI8" s="5">
        <f t="shared" ref="BI8" si="23">BH8*1.03</f>
        <v>4141.3500854740241</v>
      </c>
      <c r="BJ8" s="5">
        <f t="shared" ref="BJ8" si="24">BI8*1.03</f>
        <v>4265.5905880382452</v>
      </c>
      <c r="BK8" s="5">
        <f t="shared" ref="BK8" si="25">BJ8*1.03</f>
        <v>4393.558305679393</v>
      </c>
    </row>
    <row r="9" spans="2:164" s="1" customFormat="1" x14ac:dyDescent="0.3">
      <c r="B9" s="1" t="s">
        <v>17</v>
      </c>
      <c r="C9" s="9">
        <f t="shared" ref="C9:Z9" si="26">C5-C6-C7-C8</f>
        <v>705</v>
      </c>
      <c r="D9" s="9">
        <f t="shared" si="26"/>
        <v>900</v>
      </c>
      <c r="E9" s="9">
        <f t="shared" si="26"/>
        <v>1217</v>
      </c>
      <c r="F9" s="9">
        <f t="shared" si="26"/>
        <v>1199</v>
      </c>
      <c r="G9" s="9">
        <f t="shared" si="26"/>
        <v>834</v>
      </c>
      <c r="H9" s="9">
        <f t="shared" si="26"/>
        <v>910</v>
      </c>
      <c r="I9" s="9">
        <f t="shared" si="26"/>
        <v>1250</v>
      </c>
      <c r="J9" s="9">
        <f t="shared" si="26"/>
        <v>1321</v>
      </c>
      <c r="K9" s="9">
        <f t="shared" si="26"/>
        <v>852</v>
      </c>
      <c r="L9" s="9">
        <f t="shared" si="26"/>
        <v>933</v>
      </c>
      <c r="M9" s="9">
        <f t="shared" si="26"/>
        <v>1287</v>
      </c>
      <c r="N9" s="9">
        <f t="shared" si="26"/>
        <v>1287</v>
      </c>
      <c r="O9" s="9">
        <f t="shared" si="26"/>
        <v>979</v>
      </c>
      <c r="P9" s="9">
        <f t="shared" si="26"/>
        <v>1060</v>
      </c>
      <c r="Q9" s="9">
        <f t="shared" si="26"/>
        <v>1508</v>
      </c>
      <c r="R9" s="9">
        <f t="shared" si="26"/>
        <v>1224</v>
      </c>
      <c r="S9" s="9">
        <f t="shared" si="26"/>
        <v>-513</v>
      </c>
      <c r="T9" s="9">
        <f t="shared" si="26"/>
        <v>315</v>
      </c>
      <c r="U9" s="9">
        <f t="shared" si="26"/>
        <v>1218</v>
      </c>
      <c r="V9" s="9">
        <f t="shared" si="26"/>
        <v>617.01000000000022</v>
      </c>
      <c r="W9" s="9">
        <f t="shared" si="26"/>
        <v>529.99350000000004</v>
      </c>
      <c r="X9" s="9">
        <f t="shared" si="26"/>
        <v>821.15000000000032</v>
      </c>
      <c r="Y9" s="9">
        <f t="shared" si="26"/>
        <v>1292.348</v>
      </c>
      <c r="Z9" s="9">
        <f t="shared" si="26"/>
        <v>593.99120000000039</v>
      </c>
      <c r="AA9" s="9"/>
      <c r="AB9" s="9"/>
      <c r="AC9" s="9"/>
      <c r="AD9" s="9"/>
      <c r="AE9" s="9"/>
      <c r="AF9" s="9"/>
      <c r="AG9" s="9"/>
      <c r="AH9" s="9"/>
      <c r="AI9" s="9">
        <f t="shared" ref="AI9:AJ9" si="27">AI5-AI6-AI7-AI8</f>
        <v>1636</v>
      </c>
      <c r="AJ9" s="9">
        <f t="shared" si="27"/>
        <v>1905</v>
      </c>
      <c r="AK9" s="9"/>
      <c r="AL9" s="9"/>
      <c r="AM9" s="9">
        <f t="shared" ref="AM9:AN9" si="28">AM5-AM6-AM7-AM8</f>
        <v>1642</v>
      </c>
      <c r="AN9" s="9">
        <f t="shared" si="28"/>
        <v>1930</v>
      </c>
      <c r="AO9" s="9"/>
      <c r="AP9" s="9"/>
      <c r="AR9" s="9">
        <f t="shared" ref="AR9:AW9" si="29">AR5-AR6-AR7-AR8</f>
        <v>4021</v>
      </c>
      <c r="AS9" s="9">
        <f t="shared" si="29"/>
        <v>4315</v>
      </c>
      <c r="AT9" s="9">
        <f t="shared" si="29"/>
        <v>4359</v>
      </c>
      <c r="AU9" s="9">
        <f t="shared" si="29"/>
        <v>4771</v>
      </c>
      <c r="AV9" s="9">
        <f t="shared" si="29"/>
        <v>1506</v>
      </c>
      <c r="AW9" s="9">
        <f t="shared" si="29"/>
        <v>4282</v>
      </c>
      <c r="AX9" s="9">
        <f t="shared" ref="AX9:AZ9" si="30">AX5-AX6-AX7-AX8</f>
        <v>5518</v>
      </c>
      <c r="AY9" s="9">
        <f t="shared" si="30"/>
        <v>6808</v>
      </c>
      <c r="AZ9" s="9">
        <f t="shared" si="30"/>
        <v>7555</v>
      </c>
      <c r="BA9" s="9">
        <f t="shared" ref="BA9:BB9" si="31">BA5-BA6-BA7-BA8</f>
        <v>7505.2711999999965</v>
      </c>
      <c r="BB9" s="9">
        <f t="shared" si="31"/>
        <v>7500.6224239999974</v>
      </c>
      <c r="BC9" s="9">
        <f t="shared" ref="BC9" si="32">BC5-BC6-BC7-BC8</f>
        <v>7848.0952567199947</v>
      </c>
      <c r="BD9" s="9">
        <f t="shared" ref="BD9" si="33">BD5-BD6-BD7-BD8</f>
        <v>8208.4016676215979</v>
      </c>
      <c r="BE9" s="9">
        <f t="shared" ref="BE9" si="34">BE5-BE6-BE7-BE8</f>
        <v>8581.972867414248</v>
      </c>
      <c r="BF9" s="9">
        <f t="shared" ref="BF9:BK9" si="35">BF5-BF6-BF7-BF8</f>
        <v>8969.2538279709588</v>
      </c>
      <c r="BG9" s="9">
        <f t="shared" si="35"/>
        <v>9108.3275124854208</v>
      </c>
      <c r="BH9" s="9">
        <f t="shared" si="35"/>
        <v>9248.9250854857619</v>
      </c>
      <c r="BI9" s="9">
        <f t="shared" si="35"/>
        <v>9391.0368850134109</v>
      </c>
      <c r="BJ9" s="9">
        <f t="shared" si="35"/>
        <v>9534.6517310701784</v>
      </c>
      <c r="BK9" s="9">
        <f t="shared" si="35"/>
        <v>9679.7568494829975</v>
      </c>
    </row>
    <row r="10" spans="2:164" x14ac:dyDescent="0.3">
      <c r="B10" t="s">
        <v>38</v>
      </c>
      <c r="C10" s="5">
        <v>-14</v>
      </c>
      <c r="D10" s="5">
        <v>-9</v>
      </c>
      <c r="E10" s="5">
        <f>-3-11</f>
        <v>-14</v>
      </c>
      <c r="F10" s="5">
        <f>-7-14</f>
        <v>-21</v>
      </c>
      <c r="G10" s="5">
        <f>2-11</f>
        <v>-9</v>
      </c>
      <c r="H10" s="5">
        <v>-9</v>
      </c>
      <c r="I10" s="5">
        <f>-1-11</f>
        <v>-12</v>
      </c>
      <c r="J10" s="5">
        <f>4-11</f>
        <v>-7</v>
      </c>
      <c r="K10" s="5">
        <f>-7-8</f>
        <v>-15</v>
      </c>
      <c r="L10" s="5">
        <f>-15-10</f>
        <v>-25</v>
      </c>
      <c r="M10" s="5">
        <f>9-13</f>
        <v>-4</v>
      </c>
      <c r="N10" s="5">
        <f>-4-24</f>
        <v>-28</v>
      </c>
      <c r="O10" s="5">
        <f>36-9</f>
        <v>27</v>
      </c>
      <c r="P10" s="5">
        <f>41-15</f>
        <v>26</v>
      </c>
      <c r="Q10" s="5">
        <f>34-12</f>
        <v>22</v>
      </c>
      <c r="R10" s="5">
        <f>41-25</f>
        <v>16</v>
      </c>
      <c r="S10" s="5">
        <f>35-4</f>
        <v>31</v>
      </c>
      <c r="T10" s="5">
        <f>76-11-S10</f>
        <v>34</v>
      </c>
      <c r="U10" s="5">
        <f>76-11-T10</f>
        <v>31</v>
      </c>
      <c r="V10" s="5">
        <f>AV10-U10-T10-S10</f>
        <v>10</v>
      </c>
      <c r="W10" s="5">
        <v>30</v>
      </c>
      <c r="X10" s="5">
        <v>30</v>
      </c>
      <c r="Y10" s="5">
        <v>30</v>
      </c>
      <c r="Z10" s="5">
        <v>10</v>
      </c>
      <c r="AA10" s="5"/>
      <c r="AB10" s="5"/>
      <c r="AC10" s="5"/>
      <c r="AD10" s="5"/>
      <c r="AE10" s="5"/>
      <c r="AF10" s="5"/>
      <c r="AG10" s="5"/>
      <c r="AH10" s="5"/>
      <c r="AI10" s="5">
        <f>-21-14</f>
        <v>-35</v>
      </c>
      <c r="AJ10" s="12">
        <f>AJ35-AI10</f>
        <v>-22</v>
      </c>
      <c r="AK10" s="5"/>
      <c r="AL10" s="5"/>
      <c r="AM10" s="5">
        <f>-5-25</f>
        <v>-30</v>
      </c>
      <c r="AN10" s="12">
        <f>AN35-AM10</f>
        <v>0</v>
      </c>
      <c r="AO10" s="5"/>
      <c r="AP10" s="5"/>
      <c r="AR10" s="5">
        <f>SUM(C10:F10)</f>
        <v>-58</v>
      </c>
      <c r="AS10" s="5">
        <f>SUM(G10:J10)</f>
        <v>-37</v>
      </c>
      <c r="AT10" s="5">
        <f>SUM(K10:N10)</f>
        <v>-72</v>
      </c>
      <c r="AU10" s="5">
        <f>SUM(O10:R10)</f>
        <v>91</v>
      </c>
      <c r="AV10" s="5">
        <f>139-33</f>
        <v>106</v>
      </c>
      <c r="AW10" s="5">
        <f>142-58</f>
        <v>84</v>
      </c>
      <c r="AX10" s="5">
        <f>214-53</f>
        <v>161</v>
      </c>
      <c r="AY10" s="5">
        <f>11-72</f>
        <v>-61</v>
      </c>
      <c r="AZ10" s="5">
        <f>77-99</f>
        <v>-22</v>
      </c>
      <c r="BA10" s="5">
        <f>AZ10*0.8</f>
        <v>-17.600000000000001</v>
      </c>
      <c r="BB10" s="5">
        <f>BA10*0.8</f>
        <v>-14.080000000000002</v>
      </c>
      <c r="BC10" s="5">
        <f>BB13*0.01</f>
        <v>58.614678907199981</v>
      </c>
      <c r="BD10" s="5">
        <f t="shared" ref="BD10:BF10" si="36">BC13*0.01</f>
        <v>60.757948506939805</v>
      </c>
      <c r="BE10" s="5">
        <f t="shared" si="36"/>
        <v>63.551621009094333</v>
      </c>
      <c r="BF10" s="5">
        <f t="shared" si="36"/>
        <v>66.443685721960208</v>
      </c>
      <c r="BG10" s="5">
        <f t="shared" ref="BG10" si="37">BF13*0.01</f>
        <v>69.441919109542184</v>
      </c>
      <c r="BH10" s="5">
        <f t="shared" ref="BH10" si="38">BG13*0.01</f>
        <v>70.503307628331854</v>
      </c>
      <c r="BI10" s="5">
        <f t="shared" ref="BI10" si="39">BH13*0.01</f>
        <v>71.591689867287954</v>
      </c>
      <c r="BJ10" s="5">
        <f t="shared" ref="BJ10" si="40">BI13*0.01</f>
        <v>72.691672522139768</v>
      </c>
      <c r="BK10" s="5">
        <f t="shared" ref="BK10" si="41">BJ13*0.01</f>
        <v>73.803288456674707</v>
      </c>
    </row>
    <row r="11" spans="2:164" s="1" customFormat="1" x14ac:dyDescent="0.3">
      <c r="B11" s="1" t="s">
        <v>39</v>
      </c>
      <c r="C11" s="9">
        <f t="shared" ref="C11:Z11" si="42">C9-C10</f>
        <v>719</v>
      </c>
      <c r="D11" s="9">
        <f t="shared" si="42"/>
        <v>909</v>
      </c>
      <c r="E11" s="9">
        <f t="shared" si="42"/>
        <v>1231</v>
      </c>
      <c r="F11" s="9">
        <f t="shared" si="42"/>
        <v>1220</v>
      </c>
      <c r="G11" s="9">
        <f t="shared" si="42"/>
        <v>843</v>
      </c>
      <c r="H11" s="9">
        <f t="shared" si="42"/>
        <v>919</v>
      </c>
      <c r="I11" s="9">
        <f t="shared" si="42"/>
        <v>1262</v>
      </c>
      <c r="J11" s="9">
        <f t="shared" si="42"/>
        <v>1328</v>
      </c>
      <c r="K11" s="9">
        <f t="shared" si="42"/>
        <v>867</v>
      </c>
      <c r="L11" s="9">
        <f t="shared" si="42"/>
        <v>958</v>
      </c>
      <c r="M11" s="9">
        <f t="shared" si="42"/>
        <v>1291</v>
      </c>
      <c r="N11" s="9">
        <f t="shared" si="42"/>
        <v>1315</v>
      </c>
      <c r="O11" s="9">
        <f t="shared" si="42"/>
        <v>952</v>
      </c>
      <c r="P11" s="9">
        <f t="shared" si="42"/>
        <v>1034</v>
      </c>
      <c r="Q11" s="9">
        <f t="shared" si="42"/>
        <v>1486</v>
      </c>
      <c r="R11" s="9">
        <f t="shared" si="42"/>
        <v>1208</v>
      </c>
      <c r="S11" s="9">
        <f t="shared" si="42"/>
        <v>-544</v>
      </c>
      <c r="T11" s="9">
        <f t="shared" si="42"/>
        <v>281</v>
      </c>
      <c r="U11" s="9">
        <f t="shared" si="42"/>
        <v>1187</v>
      </c>
      <c r="V11" s="9">
        <f t="shared" si="42"/>
        <v>607.01000000000022</v>
      </c>
      <c r="W11" s="9">
        <f t="shared" si="42"/>
        <v>499.99350000000004</v>
      </c>
      <c r="X11" s="9">
        <f t="shared" si="42"/>
        <v>791.15000000000032</v>
      </c>
      <c r="Y11" s="9">
        <f t="shared" si="42"/>
        <v>1262.348</v>
      </c>
      <c r="Z11" s="9">
        <f t="shared" si="42"/>
        <v>583.99120000000039</v>
      </c>
      <c r="AA11" s="9"/>
      <c r="AB11" s="9"/>
      <c r="AC11" s="9"/>
      <c r="AD11" s="9"/>
      <c r="AE11" s="9"/>
      <c r="AF11" s="9"/>
      <c r="AG11" s="9"/>
      <c r="AH11" s="9"/>
      <c r="AI11" s="9">
        <f t="shared" ref="AI11:AJ11" si="43">AI9-AI10</f>
        <v>1671</v>
      </c>
      <c r="AJ11" s="9">
        <f t="shared" si="43"/>
        <v>1927</v>
      </c>
      <c r="AK11" s="9"/>
      <c r="AL11" s="9"/>
      <c r="AM11" s="9">
        <f t="shared" ref="AM11:AN11" si="44">AM9-AM10</f>
        <v>1672</v>
      </c>
      <c r="AN11" s="9">
        <f t="shared" si="44"/>
        <v>1930</v>
      </c>
      <c r="AO11" s="9"/>
      <c r="AP11" s="9"/>
      <c r="AR11" s="9">
        <f t="shared" ref="AR11:AW11" si="45">AR9-AR10</f>
        <v>4079</v>
      </c>
      <c r="AS11" s="9">
        <f t="shared" si="45"/>
        <v>4352</v>
      </c>
      <c r="AT11" s="9">
        <f t="shared" si="45"/>
        <v>4431</v>
      </c>
      <c r="AU11" s="9">
        <f t="shared" si="45"/>
        <v>4680</v>
      </c>
      <c r="AV11" s="9">
        <f t="shared" si="45"/>
        <v>1400</v>
      </c>
      <c r="AW11" s="9">
        <f t="shared" si="45"/>
        <v>4198</v>
      </c>
      <c r="AX11" s="9">
        <f t="shared" ref="AX11:AZ11" si="46">AX9-AX10</f>
        <v>5357</v>
      </c>
      <c r="AY11" s="9">
        <f t="shared" si="46"/>
        <v>6869</v>
      </c>
      <c r="AZ11" s="9">
        <f t="shared" si="46"/>
        <v>7577</v>
      </c>
      <c r="BA11" s="9">
        <f t="shared" ref="BA11:BB11" si="47">BA9-BA10</f>
        <v>7522.8711999999969</v>
      </c>
      <c r="BB11" s="9">
        <f t="shared" si="47"/>
        <v>7514.7024239999973</v>
      </c>
      <c r="BC11" s="9">
        <f t="shared" ref="BC11" si="48">BC9-BC10</f>
        <v>7789.4805778127948</v>
      </c>
      <c r="BD11" s="9">
        <f t="shared" ref="BD11" si="49">BD9-BD10</f>
        <v>8147.6437191146579</v>
      </c>
      <c r="BE11" s="9">
        <f t="shared" ref="BE11" si="50">BE9-BE10</f>
        <v>8518.4212464051543</v>
      </c>
      <c r="BF11" s="9">
        <f t="shared" ref="BF11:BK11" si="51">BF9-BF10</f>
        <v>8902.8101422489981</v>
      </c>
      <c r="BG11" s="9">
        <f t="shared" si="51"/>
        <v>9038.8855933758787</v>
      </c>
      <c r="BH11" s="9">
        <f t="shared" si="51"/>
        <v>9178.4217778574293</v>
      </c>
      <c r="BI11" s="9">
        <f t="shared" si="51"/>
        <v>9319.4451951461233</v>
      </c>
      <c r="BJ11" s="9">
        <f t="shared" si="51"/>
        <v>9461.9600585480384</v>
      </c>
      <c r="BK11" s="9">
        <f t="shared" si="51"/>
        <v>9605.9535610263229</v>
      </c>
    </row>
    <row r="12" spans="2:164" x14ac:dyDescent="0.3">
      <c r="B12" t="s">
        <v>40</v>
      </c>
      <c r="C12" s="5">
        <v>163</v>
      </c>
      <c r="D12" s="5">
        <v>207</v>
      </c>
      <c r="E12" s="5">
        <v>280</v>
      </c>
      <c r="F12" s="5">
        <v>267</v>
      </c>
      <c r="G12" s="5">
        <v>190</v>
      </c>
      <c r="H12" s="5">
        <v>207</v>
      </c>
      <c r="I12" s="5">
        <v>284</v>
      </c>
      <c r="J12" s="5">
        <v>299</v>
      </c>
      <c r="K12" s="5">
        <v>197</v>
      </c>
      <c r="L12" s="5">
        <v>216</v>
      </c>
      <c r="M12" s="5">
        <v>259</v>
      </c>
      <c r="N12" s="5">
        <v>308</v>
      </c>
      <c r="O12" s="5">
        <v>216</v>
      </c>
      <c r="P12" s="5">
        <v>218</v>
      </c>
      <c r="Q12" s="5">
        <v>312</v>
      </c>
      <c r="R12" s="5">
        <v>287</v>
      </c>
      <c r="S12" s="5">
        <v>-130</v>
      </c>
      <c r="T12" s="5">
        <f>-65-S12</f>
        <v>65</v>
      </c>
      <c r="U12" s="5">
        <f>-65-T12</f>
        <v>-130</v>
      </c>
      <c r="V12" s="5">
        <f>AV12-U12-T12-S12</f>
        <v>490</v>
      </c>
      <c r="W12" s="5">
        <f>W11*0.22</f>
        <v>109.99857000000002</v>
      </c>
      <c r="X12" s="5">
        <f t="shared" ref="X12:Z12" si="52">X11*0.22</f>
        <v>174.05300000000008</v>
      </c>
      <c r="Y12" s="5">
        <f t="shared" si="52"/>
        <v>277.71656000000002</v>
      </c>
      <c r="Z12" s="5">
        <f t="shared" si="52"/>
        <v>128.47806400000007</v>
      </c>
      <c r="AA12" s="5"/>
      <c r="AB12" s="5"/>
      <c r="AC12" s="5"/>
      <c r="AD12" s="5"/>
      <c r="AE12" s="5"/>
      <c r="AF12" s="5"/>
      <c r="AG12" s="5"/>
      <c r="AH12" s="5"/>
      <c r="AI12" s="5">
        <v>373</v>
      </c>
      <c r="AJ12" s="12">
        <f>AJ37-AI12</f>
        <v>447</v>
      </c>
      <c r="AK12" s="5"/>
      <c r="AL12" s="5"/>
      <c r="AM12" s="5">
        <v>366</v>
      </c>
      <c r="AN12" s="12">
        <f>AN37-AM12</f>
        <v>444</v>
      </c>
      <c r="AO12" s="5"/>
      <c r="AP12" s="5"/>
      <c r="AR12" s="5">
        <f>SUM(C12:F12)</f>
        <v>917</v>
      </c>
      <c r="AS12" s="5">
        <f>SUM(G12:J12)</f>
        <v>980</v>
      </c>
      <c r="AT12" s="5">
        <f>SUM(K12:N12)</f>
        <v>980</v>
      </c>
      <c r="AU12" s="5">
        <f>SUM(O12:R12)</f>
        <v>1033</v>
      </c>
      <c r="AV12" s="5">
        <v>295</v>
      </c>
      <c r="AW12" s="5">
        <v>949</v>
      </c>
      <c r="AX12" s="5">
        <v>1211</v>
      </c>
      <c r="AY12" s="5">
        <v>1475</v>
      </c>
      <c r="AZ12" s="5">
        <v>1700</v>
      </c>
      <c r="BA12" s="5">
        <f t="shared" ref="BA12" si="53">BA11*0.22</f>
        <v>1655.0316639999994</v>
      </c>
      <c r="BB12" s="5">
        <f t="shared" ref="AX12:BF12" si="54">BB11*0.22</f>
        <v>1653.2345332799994</v>
      </c>
      <c r="BC12" s="5">
        <f t="shared" si="54"/>
        <v>1713.6857271188148</v>
      </c>
      <c r="BD12" s="5">
        <f t="shared" si="54"/>
        <v>1792.4816182052248</v>
      </c>
      <c r="BE12" s="5">
        <f t="shared" si="54"/>
        <v>1874.052674209134</v>
      </c>
      <c r="BF12" s="5">
        <f t="shared" si="54"/>
        <v>1958.6182312947797</v>
      </c>
      <c r="BG12" s="5">
        <f t="shared" ref="BG12:BK12" si="55">BG11*0.22</f>
        <v>1988.5548305426933</v>
      </c>
      <c r="BH12" s="5">
        <f t="shared" si="55"/>
        <v>2019.2527911286345</v>
      </c>
      <c r="BI12" s="5">
        <f t="shared" si="55"/>
        <v>2050.2779429321472</v>
      </c>
      <c r="BJ12" s="5">
        <f t="shared" si="55"/>
        <v>2081.6312128805685</v>
      </c>
      <c r="BK12" s="5">
        <f t="shared" si="55"/>
        <v>2113.309783425791</v>
      </c>
    </row>
    <row r="13" spans="2:164" s="1" customFormat="1" x14ac:dyDescent="0.3">
      <c r="B13" s="1" t="s">
        <v>41</v>
      </c>
      <c r="C13" s="9">
        <f t="shared" ref="C13:V13" si="56">C11-C12</f>
        <v>556</v>
      </c>
      <c r="D13" s="9">
        <f t="shared" si="56"/>
        <v>702</v>
      </c>
      <c r="E13" s="9">
        <f t="shared" si="56"/>
        <v>951</v>
      </c>
      <c r="F13" s="9">
        <f t="shared" si="56"/>
        <v>953</v>
      </c>
      <c r="G13" s="9">
        <f t="shared" si="56"/>
        <v>653</v>
      </c>
      <c r="H13" s="9">
        <f t="shared" si="56"/>
        <v>712</v>
      </c>
      <c r="I13" s="9">
        <f t="shared" si="56"/>
        <v>978</v>
      </c>
      <c r="J13" s="9">
        <f t="shared" si="56"/>
        <v>1029</v>
      </c>
      <c r="K13" s="9">
        <f t="shared" si="56"/>
        <v>670</v>
      </c>
      <c r="L13" s="9">
        <f t="shared" si="56"/>
        <v>742</v>
      </c>
      <c r="M13" s="9">
        <f t="shared" si="56"/>
        <v>1032</v>
      </c>
      <c r="N13" s="9">
        <f t="shared" si="56"/>
        <v>1007</v>
      </c>
      <c r="O13" s="9">
        <f t="shared" si="56"/>
        <v>736</v>
      </c>
      <c r="P13" s="9">
        <f t="shared" si="56"/>
        <v>816</v>
      </c>
      <c r="Q13" s="9">
        <f t="shared" si="56"/>
        <v>1174</v>
      </c>
      <c r="R13" s="9">
        <f t="shared" si="56"/>
        <v>921</v>
      </c>
      <c r="S13" s="9">
        <f t="shared" si="56"/>
        <v>-414</v>
      </c>
      <c r="T13" s="9">
        <f t="shared" si="56"/>
        <v>216</v>
      </c>
      <c r="U13" s="9">
        <f t="shared" si="56"/>
        <v>1317</v>
      </c>
      <c r="V13" s="9">
        <f t="shared" si="56"/>
        <v>117.01000000000022</v>
      </c>
      <c r="W13" s="9">
        <f t="shared" ref="W13:Z13" si="57">W11-W12</f>
        <v>389.99493000000001</v>
      </c>
      <c r="X13" s="9">
        <f t="shared" si="57"/>
        <v>617.09700000000021</v>
      </c>
      <c r="Y13" s="9">
        <f t="shared" si="57"/>
        <v>984.63143999999988</v>
      </c>
      <c r="Z13" s="9">
        <f t="shared" si="57"/>
        <v>455.51313600000032</v>
      </c>
      <c r="AA13" s="9"/>
      <c r="AB13" s="9"/>
      <c r="AC13" s="9"/>
      <c r="AD13" s="9"/>
      <c r="AE13" s="9"/>
      <c r="AF13" s="9"/>
      <c r="AG13" s="9"/>
      <c r="AH13" s="9"/>
      <c r="AI13" s="9">
        <f t="shared" ref="AI13:AJ13" si="58">AI11-AI12</f>
        <v>1298</v>
      </c>
      <c r="AJ13" s="9">
        <f t="shared" si="58"/>
        <v>1480</v>
      </c>
      <c r="AK13" s="9"/>
      <c r="AL13" s="9"/>
      <c r="AM13" s="9">
        <f t="shared" ref="AM13:AN13" si="59">AM11-AM12</f>
        <v>1306</v>
      </c>
      <c r="AN13" s="9">
        <f t="shared" si="59"/>
        <v>1486</v>
      </c>
      <c r="AO13" s="9"/>
      <c r="AP13" s="9"/>
      <c r="AR13" s="9">
        <f t="shared" ref="AR13:AW13" si="60">AR11-AR12</f>
        <v>3162</v>
      </c>
      <c r="AS13" s="9">
        <f t="shared" si="60"/>
        <v>3372</v>
      </c>
      <c r="AT13" s="9">
        <f t="shared" si="60"/>
        <v>3451</v>
      </c>
      <c r="AU13" s="9">
        <f t="shared" si="60"/>
        <v>3647</v>
      </c>
      <c r="AV13" s="9">
        <f t="shared" si="60"/>
        <v>1105</v>
      </c>
      <c r="AW13" s="9">
        <f t="shared" si="60"/>
        <v>3249</v>
      </c>
      <c r="AX13" s="9">
        <f t="shared" ref="AX13:AZ13" si="61">AX11-AX12</f>
        <v>4146</v>
      </c>
      <c r="AY13" s="9">
        <f t="shared" si="61"/>
        <v>5394</v>
      </c>
      <c r="AZ13" s="9">
        <f t="shared" si="61"/>
        <v>5877</v>
      </c>
      <c r="BA13" s="9">
        <f t="shared" ref="BA13:BB13" si="62">BA11-BA12</f>
        <v>5867.8395359999977</v>
      </c>
      <c r="BB13" s="9">
        <f t="shared" si="62"/>
        <v>5861.4678907199977</v>
      </c>
      <c r="BC13" s="9">
        <f t="shared" ref="BC13" si="63">BC11-BC12</f>
        <v>6075.7948506939802</v>
      </c>
      <c r="BD13" s="9">
        <f t="shared" ref="BD13" si="64">BD11-BD12</f>
        <v>6355.1621009094333</v>
      </c>
      <c r="BE13" s="9">
        <f t="shared" ref="BE13" si="65">BE11-BE12</f>
        <v>6644.3685721960201</v>
      </c>
      <c r="BF13" s="9">
        <f t="shared" ref="BF13:BK13" si="66">BF11-BF12</f>
        <v>6944.1919109542187</v>
      </c>
      <c r="BG13" s="9">
        <f t="shared" si="66"/>
        <v>7050.3307628331859</v>
      </c>
      <c r="BH13" s="9">
        <f t="shared" si="66"/>
        <v>7159.1689867287951</v>
      </c>
      <c r="BI13" s="9">
        <f t="shared" si="66"/>
        <v>7269.1672522139761</v>
      </c>
      <c r="BJ13" s="9">
        <f t="shared" si="66"/>
        <v>7380.32884566747</v>
      </c>
      <c r="BK13" s="9">
        <f t="shared" si="66"/>
        <v>7492.6437776005314</v>
      </c>
      <c r="BL13" s="1">
        <f>BK13*(1+$BN$19)</f>
        <v>7417.7173398245259</v>
      </c>
      <c r="BM13" s="1">
        <f t="shared" ref="BM13:DX13" si="67">BL13*(1+$BN$19)</f>
        <v>7343.5401664262808</v>
      </c>
      <c r="BN13" s="1">
        <f t="shared" si="67"/>
        <v>7270.104764762018</v>
      </c>
      <c r="BO13" s="1">
        <f t="shared" si="67"/>
        <v>7197.4037171143982</v>
      </c>
      <c r="BP13" s="1">
        <f t="shared" si="67"/>
        <v>7125.4296799432541</v>
      </c>
      <c r="BQ13" s="1">
        <f t="shared" si="67"/>
        <v>7054.1753831438218</v>
      </c>
      <c r="BR13" s="1">
        <f t="shared" si="67"/>
        <v>6983.6336293123832</v>
      </c>
      <c r="BS13" s="1">
        <f t="shared" si="67"/>
        <v>6913.7972930192591</v>
      </c>
      <c r="BT13" s="1">
        <f t="shared" si="67"/>
        <v>6844.6593200890666</v>
      </c>
      <c r="BU13" s="1">
        <f t="shared" si="67"/>
        <v>6776.2127268881759</v>
      </c>
      <c r="BV13" s="1">
        <f t="shared" si="67"/>
        <v>6708.4505996192938</v>
      </c>
      <c r="BW13" s="1">
        <f t="shared" si="67"/>
        <v>6641.3660936231008</v>
      </c>
      <c r="BX13" s="1">
        <f t="shared" si="67"/>
        <v>6574.9524326868695</v>
      </c>
      <c r="BY13" s="1">
        <f t="shared" si="67"/>
        <v>6509.2029083600009</v>
      </c>
      <c r="BZ13" s="1">
        <f t="shared" si="67"/>
        <v>6444.1108792764007</v>
      </c>
      <c r="CA13" s="1">
        <f t="shared" si="67"/>
        <v>6379.669770483637</v>
      </c>
      <c r="CB13" s="1">
        <f t="shared" si="67"/>
        <v>6315.8730727788006</v>
      </c>
      <c r="CC13" s="1">
        <f t="shared" si="67"/>
        <v>6252.7143420510129</v>
      </c>
      <c r="CD13" s="1">
        <f t="shared" si="67"/>
        <v>6190.1871986305023</v>
      </c>
      <c r="CE13" s="1">
        <f t="shared" si="67"/>
        <v>6128.2853266441971</v>
      </c>
      <c r="CF13" s="1">
        <f t="shared" si="67"/>
        <v>6067.0024733777555</v>
      </c>
      <c r="CG13" s="1">
        <f t="shared" si="67"/>
        <v>6006.3324486439778</v>
      </c>
      <c r="CH13" s="1">
        <f t="shared" si="67"/>
        <v>5946.2691241575376</v>
      </c>
      <c r="CI13" s="1">
        <f t="shared" si="67"/>
        <v>5886.8064329159624</v>
      </c>
      <c r="CJ13" s="1">
        <f t="shared" si="67"/>
        <v>5827.9383685868024</v>
      </c>
      <c r="CK13" s="1">
        <f t="shared" si="67"/>
        <v>5769.6589849009342</v>
      </c>
      <c r="CL13" s="1">
        <f t="shared" si="67"/>
        <v>5711.9623950519244</v>
      </c>
      <c r="CM13" s="1">
        <f t="shared" si="67"/>
        <v>5654.8427711014056</v>
      </c>
      <c r="CN13" s="1">
        <f t="shared" si="67"/>
        <v>5598.2943433903911</v>
      </c>
      <c r="CO13" s="1">
        <f t="shared" si="67"/>
        <v>5542.3113999564875</v>
      </c>
      <c r="CP13" s="1">
        <f t="shared" si="67"/>
        <v>5486.888285956923</v>
      </c>
      <c r="CQ13" s="1">
        <f t="shared" si="67"/>
        <v>5432.0194030973535</v>
      </c>
      <c r="CR13" s="1">
        <f t="shared" si="67"/>
        <v>5377.6992090663798</v>
      </c>
      <c r="CS13" s="1">
        <f t="shared" si="67"/>
        <v>5323.9222169757159</v>
      </c>
      <c r="CT13" s="1">
        <f t="shared" si="67"/>
        <v>5270.6829948059585</v>
      </c>
      <c r="CU13" s="1">
        <f t="shared" si="67"/>
        <v>5217.9761648578988</v>
      </c>
      <c r="CV13" s="1">
        <f t="shared" si="67"/>
        <v>5165.7964032093196</v>
      </c>
      <c r="CW13" s="1">
        <f t="shared" si="67"/>
        <v>5114.1384391772262</v>
      </c>
      <c r="CX13" s="1">
        <f t="shared" si="67"/>
        <v>5062.9970547854537</v>
      </c>
      <c r="CY13" s="1">
        <f t="shared" si="67"/>
        <v>5012.3670842375986</v>
      </c>
      <c r="CZ13" s="1">
        <f t="shared" si="67"/>
        <v>4962.2434133952229</v>
      </c>
      <c r="DA13" s="1">
        <f t="shared" si="67"/>
        <v>4912.6209792612708</v>
      </c>
      <c r="DB13" s="1">
        <f t="shared" si="67"/>
        <v>4863.494769468658</v>
      </c>
      <c r="DC13" s="1">
        <f t="shared" si="67"/>
        <v>4814.8598217739709</v>
      </c>
      <c r="DD13" s="1">
        <f t="shared" si="67"/>
        <v>4766.7112235562308</v>
      </c>
      <c r="DE13" s="1">
        <f t="shared" si="67"/>
        <v>4719.0441113206689</v>
      </c>
      <c r="DF13" s="1">
        <f t="shared" si="67"/>
        <v>4671.8536702074625</v>
      </c>
      <c r="DG13" s="1">
        <f t="shared" si="67"/>
        <v>4625.1351335053878</v>
      </c>
      <c r="DH13" s="1">
        <f t="shared" si="67"/>
        <v>4578.8837821703337</v>
      </c>
      <c r="DI13" s="1">
        <f t="shared" si="67"/>
        <v>4533.0949443486306</v>
      </c>
      <c r="DJ13" s="1">
        <f t="shared" si="67"/>
        <v>4487.7639949051445</v>
      </c>
      <c r="DK13" s="1">
        <f t="shared" si="67"/>
        <v>4442.8863549560929</v>
      </c>
      <c r="DL13" s="1">
        <f t="shared" si="67"/>
        <v>4398.4574914065315</v>
      </c>
      <c r="DM13" s="1">
        <f t="shared" si="67"/>
        <v>4354.4729164924665</v>
      </c>
      <c r="DN13" s="1">
        <f t="shared" si="67"/>
        <v>4310.9281873275422</v>
      </c>
      <c r="DO13" s="1">
        <f t="shared" si="67"/>
        <v>4267.8189054542663</v>
      </c>
      <c r="DP13" s="1">
        <f t="shared" si="67"/>
        <v>4225.1407163997237</v>
      </c>
      <c r="DQ13" s="1">
        <f t="shared" si="67"/>
        <v>4182.8893092357266</v>
      </c>
      <c r="DR13" s="1">
        <f t="shared" si="67"/>
        <v>4141.0604161433694</v>
      </c>
      <c r="DS13" s="1">
        <f t="shared" si="67"/>
        <v>4099.6498119819353</v>
      </c>
      <c r="DT13" s="1">
        <f t="shared" si="67"/>
        <v>4058.6533138621157</v>
      </c>
      <c r="DU13" s="1">
        <f t="shared" si="67"/>
        <v>4018.0667807234945</v>
      </c>
      <c r="DV13" s="1">
        <f t="shared" si="67"/>
        <v>3977.8861129162597</v>
      </c>
      <c r="DW13" s="1">
        <f t="shared" si="67"/>
        <v>3938.1072517870971</v>
      </c>
      <c r="DX13" s="1">
        <f t="shared" si="67"/>
        <v>3898.7261792692261</v>
      </c>
      <c r="DY13" s="1">
        <f t="shared" ref="DY13:FH13" si="68">DX13*(1+$BN$19)</f>
        <v>3859.738917476534</v>
      </c>
      <c r="DZ13" s="1">
        <f t="shared" si="68"/>
        <v>3821.1415283017686</v>
      </c>
      <c r="EA13" s="1">
        <f t="shared" si="68"/>
        <v>3782.9301130187509</v>
      </c>
      <c r="EB13" s="1">
        <f t="shared" si="68"/>
        <v>3745.1008118885634</v>
      </c>
      <c r="EC13" s="1">
        <f t="shared" si="68"/>
        <v>3707.6498037696779</v>
      </c>
      <c r="ED13" s="1">
        <f t="shared" si="68"/>
        <v>3670.5733057319812</v>
      </c>
      <c r="EE13" s="1">
        <f t="shared" si="68"/>
        <v>3633.8675726746615</v>
      </c>
      <c r="EF13" s="1">
        <f t="shared" si="68"/>
        <v>3597.5288969479147</v>
      </c>
      <c r="EG13" s="1">
        <f t="shared" si="68"/>
        <v>3561.5536079784356</v>
      </c>
      <c r="EH13" s="1">
        <f t="shared" si="68"/>
        <v>3525.9380718986513</v>
      </c>
      <c r="EI13" s="1">
        <f t="shared" si="68"/>
        <v>3490.6786911796648</v>
      </c>
      <c r="EJ13" s="1">
        <f t="shared" si="68"/>
        <v>3455.7719042678682</v>
      </c>
      <c r="EK13" s="1">
        <f t="shared" si="68"/>
        <v>3421.2141852251893</v>
      </c>
      <c r="EL13" s="1">
        <f t="shared" si="68"/>
        <v>3387.0020433729374</v>
      </c>
      <c r="EM13" s="1">
        <f t="shared" si="68"/>
        <v>3353.1320229392081</v>
      </c>
      <c r="EN13" s="1">
        <f t="shared" si="68"/>
        <v>3319.6007027098162</v>
      </c>
      <c r="EO13" s="1">
        <f t="shared" si="68"/>
        <v>3286.4046956827178</v>
      </c>
      <c r="EP13" s="1">
        <f t="shared" si="68"/>
        <v>3253.5406487258906</v>
      </c>
      <c r="EQ13" s="1">
        <f t="shared" si="68"/>
        <v>3221.0052422386316</v>
      </c>
      <c r="ER13" s="1">
        <f t="shared" si="68"/>
        <v>3188.7951898162451</v>
      </c>
      <c r="ES13" s="1">
        <f t="shared" si="68"/>
        <v>3156.9072379180825</v>
      </c>
      <c r="ET13" s="1">
        <f t="shared" si="68"/>
        <v>3125.3381655389016</v>
      </c>
      <c r="EU13" s="1">
        <f t="shared" si="68"/>
        <v>3094.0847838835125</v>
      </c>
      <c r="EV13" s="1">
        <f t="shared" si="68"/>
        <v>3063.1439360446775</v>
      </c>
      <c r="EW13" s="1">
        <f t="shared" si="68"/>
        <v>3032.5124966842309</v>
      </c>
      <c r="EX13" s="1">
        <f t="shared" si="68"/>
        <v>3002.1873717173885</v>
      </c>
      <c r="EY13" s="1">
        <f t="shared" si="68"/>
        <v>2972.1654980002145</v>
      </c>
      <c r="EZ13" s="1">
        <f t="shared" si="68"/>
        <v>2942.4438430202122</v>
      </c>
      <c r="FA13" s="1">
        <f t="shared" si="68"/>
        <v>2913.0194045900098</v>
      </c>
      <c r="FB13" s="1">
        <f t="shared" si="68"/>
        <v>2883.8892105441096</v>
      </c>
      <c r="FC13" s="1">
        <f t="shared" si="68"/>
        <v>2855.0503184386685</v>
      </c>
      <c r="FD13" s="1">
        <f t="shared" si="68"/>
        <v>2826.4998152542817</v>
      </c>
      <c r="FE13" s="1">
        <f t="shared" si="68"/>
        <v>2798.2348171017388</v>
      </c>
      <c r="FF13" s="1">
        <f t="shared" si="68"/>
        <v>2770.2524689307215</v>
      </c>
      <c r="FG13" s="1">
        <f t="shared" si="68"/>
        <v>2742.5499442414143</v>
      </c>
      <c r="FH13" s="1">
        <f t="shared" si="68"/>
        <v>2715.1244447990002</v>
      </c>
    </row>
    <row r="14" spans="2:164" x14ac:dyDescent="0.3">
      <c r="B14" t="s">
        <v>2</v>
      </c>
      <c r="C14" s="5">
        <v>3115</v>
      </c>
      <c r="D14" s="5">
        <v>3115</v>
      </c>
      <c r="E14" s="5">
        <v>3115</v>
      </c>
      <c r="F14" s="5">
        <v>3115</v>
      </c>
      <c r="G14" s="5">
        <v>3115</v>
      </c>
      <c r="H14" s="5">
        <v>3115</v>
      </c>
      <c r="I14" s="5">
        <v>3115</v>
      </c>
      <c r="J14" s="5">
        <v>3115</v>
      </c>
      <c r="K14" s="5">
        <v>3115</v>
      </c>
      <c r="L14" s="5">
        <v>3115</v>
      </c>
      <c r="M14" s="5">
        <v>3115</v>
      </c>
      <c r="N14" s="5">
        <v>3115</v>
      </c>
      <c r="O14" s="5">
        <v>3115</v>
      </c>
      <c r="P14" s="5">
        <v>3115</v>
      </c>
      <c r="Q14" s="5">
        <v>3115</v>
      </c>
      <c r="R14" s="5">
        <v>3115</v>
      </c>
      <c r="S14" s="5">
        <v>3115</v>
      </c>
      <c r="T14" s="5">
        <v>3115</v>
      </c>
      <c r="U14" s="5">
        <v>3115</v>
      </c>
      <c r="V14" s="5">
        <v>3115</v>
      </c>
      <c r="W14" s="5">
        <v>3115</v>
      </c>
      <c r="X14" s="5">
        <v>3115</v>
      </c>
      <c r="Y14" s="5">
        <v>3115</v>
      </c>
      <c r="Z14" s="5">
        <v>3115</v>
      </c>
      <c r="AA14" s="5"/>
      <c r="AB14" s="5"/>
      <c r="AC14" s="5"/>
      <c r="AD14" s="5"/>
      <c r="AE14" s="5"/>
      <c r="AF14" s="5"/>
      <c r="AG14" s="5"/>
      <c r="AH14" s="5"/>
      <c r="AI14" s="5">
        <v>3115</v>
      </c>
      <c r="AJ14" s="5">
        <v>3115</v>
      </c>
      <c r="AK14" s="5"/>
      <c r="AL14" s="5"/>
      <c r="AM14" s="5">
        <v>3115</v>
      </c>
      <c r="AN14" s="5">
        <v>3115</v>
      </c>
      <c r="AO14" s="5"/>
      <c r="AP14" s="5"/>
      <c r="AR14" s="5">
        <v>3115</v>
      </c>
      <c r="AS14" s="5">
        <v>3115</v>
      </c>
      <c r="AT14" s="5">
        <v>3115</v>
      </c>
      <c r="AU14" s="5">
        <v>3115</v>
      </c>
      <c r="AV14" s="5">
        <v>3115</v>
      </c>
      <c r="AW14" s="5">
        <v>3115</v>
      </c>
      <c r="AX14" s="5">
        <v>3115</v>
      </c>
      <c r="AY14" s="5">
        <f>3115.8</f>
        <v>3115.8</v>
      </c>
      <c r="AZ14" s="5">
        <f>3115.8</f>
        <v>3115.8</v>
      </c>
      <c r="BA14" s="5">
        <f>3115.8</f>
        <v>3115.8</v>
      </c>
      <c r="BB14" s="5">
        <f>3115.8</f>
        <v>3115.8</v>
      </c>
      <c r="BC14" s="5">
        <f>3115.8</f>
        <v>3115.8</v>
      </c>
      <c r="BD14" s="5">
        <f>3115.8</f>
        <v>3115.8</v>
      </c>
      <c r="BE14" s="5">
        <f>3115.8</f>
        <v>3115.8</v>
      </c>
      <c r="BF14" s="5">
        <f>3115.8</f>
        <v>3115.8</v>
      </c>
      <c r="BG14" s="5">
        <f>3115.8</f>
        <v>3115.8</v>
      </c>
      <c r="BH14" s="5">
        <f>3115.8</f>
        <v>3115.8</v>
      </c>
      <c r="BI14" s="5">
        <f>3115.8</f>
        <v>3115.8</v>
      </c>
      <c r="BJ14" s="5">
        <f>3115.8</f>
        <v>3115.8</v>
      </c>
      <c r="BK14" s="5">
        <f>3115.8</f>
        <v>3115.8</v>
      </c>
    </row>
    <row r="15" spans="2:164" s="1" customFormat="1" x14ac:dyDescent="0.3">
      <c r="B15" s="1" t="s">
        <v>42</v>
      </c>
      <c r="C15" s="7">
        <f t="shared" ref="C15:V15" si="69">C13/C14</f>
        <v>0.17849117174959872</v>
      </c>
      <c r="D15" s="7">
        <f t="shared" si="69"/>
        <v>0.22536115569823434</v>
      </c>
      <c r="E15" s="7">
        <f t="shared" si="69"/>
        <v>0.30529695024077047</v>
      </c>
      <c r="F15" s="7">
        <f t="shared" si="69"/>
        <v>0.30593900481540931</v>
      </c>
      <c r="G15" s="7">
        <f t="shared" si="69"/>
        <v>0.20963081861958266</v>
      </c>
      <c r="H15" s="7">
        <f t="shared" si="69"/>
        <v>0.22857142857142856</v>
      </c>
      <c r="I15" s="7">
        <f t="shared" si="69"/>
        <v>0.31396468699839486</v>
      </c>
      <c r="J15" s="7">
        <f t="shared" si="69"/>
        <v>0.33033707865168538</v>
      </c>
      <c r="K15" s="7">
        <f t="shared" si="69"/>
        <v>0.21508828250401285</v>
      </c>
      <c r="L15" s="7">
        <f t="shared" si="69"/>
        <v>0.23820224719101124</v>
      </c>
      <c r="M15" s="7">
        <f t="shared" si="69"/>
        <v>0.33130016051364364</v>
      </c>
      <c r="N15" s="7">
        <f t="shared" si="69"/>
        <v>0.32327447833065809</v>
      </c>
      <c r="O15" s="7">
        <f t="shared" si="69"/>
        <v>0.23627608346709469</v>
      </c>
      <c r="P15" s="7">
        <f t="shared" si="69"/>
        <v>0.26195826645264847</v>
      </c>
      <c r="Q15" s="7">
        <f t="shared" si="69"/>
        <v>0.37688603531300163</v>
      </c>
      <c r="R15" s="7">
        <f t="shared" si="69"/>
        <v>0.29566613162118782</v>
      </c>
      <c r="S15" s="7">
        <f t="shared" si="69"/>
        <v>-0.13290529695024078</v>
      </c>
      <c r="T15" s="7">
        <f t="shared" si="69"/>
        <v>6.9341894060995182E-2</v>
      </c>
      <c r="U15" s="7">
        <f t="shared" si="69"/>
        <v>0.42279293739967899</v>
      </c>
      <c r="V15" s="7">
        <f t="shared" si="69"/>
        <v>3.7563402889245659E-2</v>
      </c>
      <c r="W15" s="7">
        <f t="shared" ref="W15:Z15" si="70">W13/W14</f>
        <v>0.12519901444622794</v>
      </c>
      <c r="X15" s="7">
        <f t="shared" si="70"/>
        <v>0.19810497592295351</v>
      </c>
      <c r="Y15" s="7">
        <f t="shared" si="70"/>
        <v>0.31609356019261631</v>
      </c>
      <c r="Z15" s="7">
        <f t="shared" si="70"/>
        <v>0.14623214638844312</v>
      </c>
      <c r="AA15" s="7"/>
      <c r="AB15" s="7"/>
      <c r="AC15" s="7"/>
      <c r="AD15" s="7"/>
      <c r="AE15" s="7"/>
      <c r="AF15" s="7"/>
      <c r="AG15" s="7"/>
      <c r="AH15" s="7"/>
      <c r="AI15" s="7">
        <f t="shared" ref="AI15:AJ15" si="71">AI13/AI14</f>
        <v>0.41669341894060996</v>
      </c>
      <c r="AJ15" s="7">
        <f t="shared" si="71"/>
        <v>0.4751203852327448</v>
      </c>
      <c r="AK15" s="7"/>
      <c r="AL15" s="7"/>
      <c r="AM15" s="7">
        <f t="shared" ref="AM15:AN15" si="72">AM13/AM14</f>
        <v>0.41926163723916532</v>
      </c>
      <c r="AN15" s="7">
        <f t="shared" si="72"/>
        <v>0.47704654895666132</v>
      </c>
      <c r="AO15" s="7"/>
      <c r="AP15" s="7"/>
      <c r="AR15" s="7">
        <f t="shared" ref="AR15:AW15" si="73">AR13/AR14</f>
        <v>1.0150882825040128</v>
      </c>
      <c r="AS15" s="7">
        <f t="shared" si="73"/>
        <v>1.0825040128410914</v>
      </c>
      <c r="AT15" s="7">
        <f t="shared" si="73"/>
        <v>1.1078651685393259</v>
      </c>
      <c r="AU15" s="7">
        <f t="shared" si="73"/>
        <v>1.1707865168539326</v>
      </c>
      <c r="AV15" s="7">
        <f t="shared" si="73"/>
        <v>0.3547351524879615</v>
      </c>
      <c r="AW15" s="7">
        <f t="shared" si="73"/>
        <v>1.0430176565008025</v>
      </c>
      <c r="AX15" s="7">
        <f t="shared" ref="AX15:AZ15" si="74">AX13/AX14</f>
        <v>1.3309791332263243</v>
      </c>
      <c r="AY15" s="7">
        <f t="shared" si="74"/>
        <v>1.7311765838628923</v>
      </c>
      <c r="AZ15" s="7">
        <f t="shared" si="74"/>
        <v>1.8861929520508376</v>
      </c>
      <c r="BA15" s="7">
        <f t="shared" ref="BA15:BB15" si="75">BA13/BA14</f>
        <v>1.8832529481994984</v>
      </c>
      <c r="BB15" s="7">
        <f t="shared" si="75"/>
        <v>1.8812080013864809</v>
      </c>
      <c r="BC15" s="7">
        <f t="shared" ref="BC15" si="76">BC13/BC14</f>
        <v>1.9499951379080749</v>
      </c>
      <c r="BD15" s="7">
        <f t="shared" ref="BD15" si="77">BD13/BD14</f>
        <v>2.0396566213843741</v>
      </c>
      <c r="BE15" s="7">
        <f t="shared" ref="BE15" si="78">BE13/BE14</f>
        <v>2.1324759523063159</v>
      </c>
      <c r="BF15" s="7">
        <f t="shared" ref="BF15:BK15" si="79">BF13/BF14</f>
        <v>2.2287027122903327</v>
      </c>
      <c r="BG15" s="7">
        <f t="shared" si="79"/>
        <v>2.2627674314247339</v>
      </c>
      <c r="BH15" s="7">
        <f t="shared" si="79"/>
        <v>2.2976985001376193</v>
      </c>
      <c r="BI15" s="7">
        <f t="shared" si="79"/>
        <v>2.3330018782380049</v>
      </c>
      <c r="BJ15" s="7">
        <f t="shared" si="79"/>
        <v>2.3686786204722607</v>
      </c>
      <c r="BK15" s="7">
        <f t="shared" si="79"/>
        <v>2.4047255207653029</v>
      </c>
    </row>
    <row r="17" spans="2:66" x14ac:dyDescent="0.3">
      <c r="B17" s="1" t="s">
        <v>43</v>
      </c>
      <c r="G17" s="8">
        <f>G3/C3-1</f>
        <v>0.14142242262758753</v>
      </c>
      <c r="H17" s="8">
        <f t="shared" ref="H17:V17" si="80">H3/D3-1</f>
        <v>9.2373791621911838E-2</v>
      </c>
      <c r="I17" s="8">
        <f t="shared" si="80"/>
        <v>5.9626073774633692E-2</v>
      </c>
      <c r="J17" s="8">
        <f t="shared" si="80"/>
        <v>6.7313259988419194E-2</v>
      </c>
      <c r="K17" s="8">
        <f t="shared" si="80"/>
        <v>1.5263063386604436E-2</v>
      </c>
      <c r="L17" s="8">
        <f t="shared" si="80"/>
        <v>4.4247787610619538E-2</v>
      </c>
      <c r="M17" s="8">
        <f t="shared" si="80"/>
        <v>1.923382610077895E-2</v>
      </c>
      <c r="N17" s="8">
        <f t="shared" si="80"/>
        <v>4.5436050454360499E-2</v>
      </c>
      <c r="O17" s="8">
        <f t="shared" si="80"/>
        <v>4.8284400424478235E-2</v>
      </c>
      <c r="P17" s="8">
        <f t="shared" si="80"/>
        <v>8.1763967357187717E-2</v>
      </c>
      <c r="Q17" s="8">
        <f t="shared" si="80"/>
        <v>9.1703056768559055E-2</v>
      </c>
      <c r="R17" s="8">
        <f t="shared" si="80"/>
        <v>9.8339387649195587E-2</v>
      </c>
      <c r="S17" s="8">
        <f t="shared" si="80"/>
        <v>-0.44271975704403577</v>
      </c>
      <c r="T17" s="8">
        <f t="shared" si="80"/>
        <v>-0.31379660525170461</v>
      </c>
      <c r="U17" s="8">
        <f t="shared" si="80"/>
        <v>-0.13542857142857145</v>
      </c>
      <c r="V17" s="8">
        <f t="shared" si="80"/>
        <v>-0.25383888495157103</v>
      </c>
      <c r="W17" s="8">
        <f t="shared" ref="W17" si="81">W3/S3-1</f>
        <v>0.55000000000000027</v>
      </c>
      <c r="X17" s="8">
        <f t="shared" ref="X17" si="82">X3/T3-1</f>
        <v>0.30000000000000004</v>
      </c>
      <c r="Y17" s="8">
        <f t="shared" ref="Y17" si="83">Y3/U3-1</f>
        <v>0.10000000000000009</v>
      </c>
      <c r="Z17" s="8">
        <f t="shared" ref="Z17" si="84">Z3/V3-1</f>
        <v>0.12000000000000011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>
        <f t="shared" ref="AM17:AN17" si="85">AM3/AI3-1</f>
        <v>1.5214723926380458E-2</v>
      </c>
      <c r="AN17" s="8">
        <f t="shared" si="85"/>
        <v>1.6944024205748809E-2</v>
      </c>
      <c r="AO17" s="8"/>
      <c r="AP17" s="8"/>
      <c r="AS17" s="8">
        <f>AS3/AR3-1</f>
        <v>8.687258687258681E-2</v>
      </c>
      <c r="AT17" s="8">
        <f t="shared" ref="AT17:BF17" si="86">AT3/AS3-1</f>
        <v>3.2011051904480059E-2</v>
      </c>
      <c r="AU17" s="8">
        <f t="shared" si="86"/>
        <v>8.1848083836915775E-2</v>
      </c>
      <c r="AV17" s="8">
        <f t="shared" si="86"/>
        <v>-0.27872445732871387</v>
      </c>
      <c r="AW17" s="8">
        <f t="shared" si="86"/>
        <v>0.3584942652681109</v>
      </c>
      <c r="AX17" s="8">
        <f t="shared" si="86"/>
        <v>0.17509741665463996</v>
      </c>
      <c r="AY17" s="8">
        <f t="shared" si="86"/>
        <v>0.10371825969480186</v>
      </c>
      <c r="AZ17" s="8">
        <f t="shared" si="86"/>
        <v>7.4693298467187752E-2</v>
      </c>
      <c r="BA17" s="8">
        <f t="shared" si="86"/>
        <v>2.0000000000000018E-2</v>
      </c>
      <c r="BB17" s="8">
        <f t="shared" si="86"/>
        <v>2.0000000000000018E-2</v>
      </c>
      <c r="BC17" s="8">
        <f t="shared" si="86"/>
        <v>3.0000000000000027E-2</v>
      </c>
      <c r="BD17" s="8">
        <f t="shared" si="86"/>
        <v>3.0000000000000027E-2</v>
      </c>
      <c r="BE17" s="8">
        <f t="shared" si="86"/>
        <v>3.0000000000000027E-2</v>
      </c>
      <c r="BF17" s="8">
        <f t="shared" si="86"/>
        <v>3.0000000000000027E-2</v>
      </c>
      <c r="BG17" s="8">
        <f t="shared" ref="BG17" si="87">BG3/BF3-1</f>
        <v>2.0000000000000018E-2</v>
      </c>
      <c r="BH17" s="8">
        <f t="shared" ref="BH17" si="88">BH3/BG3-1</f>
        <v>2.0000000000000018E-2</v>
      </c>
      <c r="BI17" s="8">
        <f t="shared" ref="BI17" si="89">BI3/BH3-1</f>
        <v>2.0000000000000018E-2</v>
      </c>
      <c r="BJ17" s="8">
        <f t="shared" ref="BJ17" si="90">BJ3/BI3-1</f>
        <v>2.0000000000000018E-2</v>
      </c>
      <c r="BK17" s="8">
        <f t="shared" ref="BK17" si="91">BK3/BJ3-1</f>
        <v>2.0000000000000018E-2</v>
      </c>
    </row>
    <row r="18" spans="2:66" x14ac:dyDescent="0.3">
      <c r="B18" s="1" t="s">
        <v>44</v>
      </c>
      <c r="C18" s="8">
        <f>C5/C3</f>
        <v>0.58085673293707729</v>
      </c>
      <c r="D18" s="8">
        <f t="shared" ref="D18:V18" si="92">D5/D3</f>
        <v>0.5569280343716434</v>
      </c>
      <c r="E18" s="8">
        <f t="shared" si="92"/>
        <v>0.59727134916624558</v>
      </c>
      <c r="F18" s="8">
        <f t="shared" si="92"/>
        <v>0.54820497973364213</v>
      </c>
      <c r="G18" s="8">
        <f t="shared" si="92"/>
        <v>0.58179206320703891</v>
      </c>
      <c r="H18" s="8">
        <f t="shared" si="92"/>
        <v>0.54768928220255653</v>
      </c>
      <c r="I18" s="8">
        <f t="shared" si="92"/>
        <v>0.59402320775711337</v>
      </c>
      <c r="J18" s="8">
        <f t="shared" si="92"/>
        <v>0.53451783534517838</v>
      </c>
      <c r="K18" s="8">
        <f t="shared" si="92"/>
        <v>0.58860983374602049</v>
      </c>
      <c r="L18" s="8">
        <f t="shared" si="92"/>
        <v>0.54770872567482742</v>
      </c>
      <c r="M18" s="8">
        <f t="shared" si="92"/>
        <v>0.60480349344978168</v>
      </c>
      <c r="N18" s="8">
        <f t="shared" si="92"/>
        <v>0.5347690710949663</v>
      </c>
      <c r="O18" s="8">
        <f t="shared" si="92"/>
        <v>0.59473595410831792</v>
      </c>
      <c r="P18" s="8">
        <f t="shared" si="92"/>
        <v>0.54533584796170032</v>
      </c>
      <c r="Q18" s="8">
        <f t="shared" si="92"/>
        <v>0.60771428571428576</v>
      </c>
      <c r="R18" s="8">
        <f t="shared" si="92"/>
        <v>0.50425230333097093</v>
      </c>
      <c r="S18" s="8">
        <f t="shared" si="92"/>
        <v>0.58401453224341504</v>
      </c>
      <c r="T18" s="8">
        <f t="shared" si="92"/>
        <v>0.54608879492600426</v>
      </c>
      <c r="U18" s="8">
        <f t="shared" si="92"/>
        <v>0.60475875743555851</v>
      </c>
      <c r="V18" s="8">
        <f t="shared" si="92"/>
        <v>0.53</v>
      </c>
      <c r="W18" s="8">
        <f t="shared" ref="W18:Z18" si="93">W5/W3</f>
        <v>0.59</v>
      </c>
      <c r="X18" s="8">
        <f t="shared" si="93"/>
        <v>0.55000000000000004</v>
      </c>
      <c r="Y18" s="8">
        <f t="shared" si="93"/>
        <v>0.59</v>
      </c>
      <c r="Z18" s="8">
        <f t="shared" si="93"/>
        <v>0.53</v>
      </c>
      <c r="AA18" s="8"/>
      <c r="AB18" s="8"/>
      <c r="AC18" s="8"/>
      <c r="AD18" s="8"/>
      <c r="AE18" s="8"/>
      <c r="AF18" s="8"/>
      <c r="AG18" s="8"/>
      <c r="AH18" s="8"/>
      <c r="AI18" s="8">
        <f t="shared" ref="AI18:AJ18" si="94">AI5/AI3</f>
        <v>0.60613496932515343</v>
      </c>
      <c r="AJ18" s="8">
        <f t="shared" si="94"/>
        <v>0.56490166414523446</v>
      </c>
      <c r="AK18" s="8"/>
      <c r="AL18" s="8"/>
      <c r="AM18" s="8">
        <f t="shared" ref="AM18:AN18" si="95">AM5/AM3</f>
        <v>0.60575296108291032</v>
      </c>
      <c r="AN18" s="8">
        <f t="shared" si="95"/>
        <v>0.56441535257363884</v>
      </c>
      <c r="AO18" s="8"/>
      <c r="AP18" s="8"/>
      <c r="AR18" s="8">
        <f t="shared" ref="AR18:BF18" si="96">AR5/AR3</f>
        <v>0.56962676962676961</v>
      </c>
      <c r="AS18" s="8">
        <f t="shared" si="96"/>
        <v>0.56285770672982038</v>
      </c>
      <c r="AT18" s="8">
        <f t="shared" si="96"/>
        <v>0.56674061041841961</v>
      </c>
      <c r="AU18" s="8">
        <f t="shared" si="96"/>
        <v>0.55882768860920595</v>
      </c>
      <c r="AV18" s="8">
        <f t="shared" si="96"/>
        <v>0.55822958533477107</v>
      </c>
      <c r="AW18" s="8">
        <f t="shared" si="96"/>
        <v>0.57057295425025256</v>
      </c>
      <c r="AX18" s="8">
        <f t="shared" si="96"/>
        <v>0.56980564340323625</v>
      </c>
      <c r="AY18" s="8">
        <f t="shared" si="96"/>
        <v>0.57754471861351431</v>
      </c>
      <c r="AZ18" s="8">
        <f t="shared" si="96"/>
        <v>0.57838061710499067</v>
      </c>
      <c r="BA18" s="8">
        <f t="shared" si="96"/>
        <v>0.57999999999999996</v>
      </c>
      <c r="BB18" s="8">
        <f t="shared" si="96"/>
        <v>0.57999999999999996</v>
      </c>
      <c r="BC18" s="8">
        <f t="shared" si="96"/>
        <v>0.57999999999999996</v>
      </c>
      <c r="BD18" s="8">
        <f t="shared" si="96"/>
        <v>0.57999999999999996</v>
      </c>
      <c r="BE18" s="8">
        <f t="shared" si="96"/>
        <v>0.57999999999999996</v>
      </c>
      <c r="BF18" s="8">
        <f t="shared" si="96"/>
        <v>0.57999999999999996</v>
      </c>
      <c r="BG18" s="8">
        <f t="shared" ref="BG18:BK18" si="97">BG5/BG3</f>
        <v>0.57999999999999996</v>
      </c>
      <c r="BH18" s="8">
        <f t="shared" si="97"/>
        <v>0.57999999999999996</v>
      </c>
      <c r="BI18" s="8">
        <f t="shared" si="97"/>
        <v>0.57999999999999996</v>
      </c>
      <c r="BJ18" s="8">
        <f t="shared" si="97"/>
        <v>0.57999999999999996</v>
      </c>
      <c r="BK18" s="8">
        <f t="shared" si="97"/>
        <v>0.57999999999999996</v>
      </c>
    </row>
    <row r="19" spans="2:66" x14ac:dyDescent="0.3">
      <c r="B19" t="s">
        <v>45</v>
      </c>
      <c r="C19" s="8">
        <f>C9/C3</f>
        <v>0.14449682311949169</v>
      </c>
      <c r="D19" s="8">
        <f t="shared" ref="D19:V19" si="98">D9/D3</f>
        <v>0.1611170784103115</v>
      </c>
      <c r="E19" s="8">
        <f t="shared" si="98"/>
        <v>0.20498568300488462</v>
      </c>
      <c r="F19" s="8">
        <f t="shared" si="98"/>
        <v>0.17356687898089171</v>
      </c>
      <c r="G19" s="8">
        <f t="shared" si="98"/>
        <v>0.1497575866403304</v>
      </c>
      <c r="H19" s="8">
        <f t="shared" si="98"/>
        <v>0.14913143231727302</v>
      </c>
      <c r="I19" s="8">
        <f t="shared" si="98"/>
        <v>0.19869655062788111</v>
      </c>
      <c r="J19" s="8">
        <f t="shared" si="98"/>
        <v>0.17916723179167232</v>
      </c>
      <c r="K19" s="8">
        <f t="shared" si="98"/>
        <v>0.15068977714892112</v>
      </c>
      <c r="L19" s="8">
        <f t="shared" si="98"/>
        <v>0.14642184557438795</v>
      </c>
      <c r="M19" s="8">
        <f t="shared" si="98"/>
        <v>0.20071740486587647</v>
      </c>
      <c r="N19" s="8">
        <f t="shared" si="98"/>
        <v>0.16696938245978205</v>
      </c>
      <c r="O19" s="8">
        <f t="shared" si="98"/>
        <v>0.16517631179348743</v>
      </c>
      <c r="P19" s="8">
        <f t="shared" si="98"/>
        <v>0.15377919628608733</v>
      </c>
      <c r="Q19" s="8">
        <f t="shared" si="98"/>
        <v>0.21542857142857144</v>
      </c>
      <c r="R19" s="8">
        <f t="shared" si="98"/>
        <v>0.14457831325301204</v>
      </c>
      <c r="S19" s="8">
        <f t="shared" si="98"/>
        <v>-0.15531335149863759</v>
      </c>
      <c r="T19" s="8">
        <f t="shared" si="98"/>
        <v>6.6596194503171252E-2</v>
      </c>
      <c r="U19" s="8">
        <f t="shared" si="98"/>
        <v>0.20125578321216128</v>
      </c>
      <c r="V19" s="8">
        <f t="shared" si="98"/>
        <v>9.7674529048599051E-2</v>
      </c>
      <c r="W19" s="8">
        <f t="shared" ref="W19:Z19" si="99">W9/W3</f>
        <v>0.10352143212914945</v>
      </c>
      <c r="X19" s="8">
        <f t="shared" si="99"/>
        <v>0.1335420393559929</v>
      </c>
      <c r="Y19" s="8">
        <f t="shared" si="99"/>
        <v>0.19412786156342002</v>
      </c>
      <c r="Z19" s="8">
        <f t="shared" si="99"/>
        <v>8.3955878694678798E-2</v>
      </c>
      <c r="AA19" s="8"/>
      <c r="AB19" s="8"/>
      <c r="AC19" s="8"/>
      <c r="AD19" s="8"/>
      <c r="AE19" s="8"/>
      <c r="AF19" s="8"/>
      <c r="AG19" s="8"/>
      <c r="AH19" s="8"/>
      <c r="AI19" s="8">
        <f t="shared" ref="AI19:AJ19" si="100">AI9/AI3</f>
        <v>0.2007361963190184</v>
      </c>
      <c r="AJ19" s="8">
        <f t="shared" si="100"/>
        <v>0.19213313161875945</v>
      </c>
      <c r="AK19" s="8"/>
      <c r="AL19" s="8"/>
      <c r="AM19" s="8">
        <f t="shared" ref="AM19:AN19" si="101">AM9/AM3</f>
        <v>0.1984529852550157</v>
      </c>
      <c r="AN19" s="8">
        <f t="shared" si="101"/>
        <v>0.19141128632351484</v>
      </c>
      <c r="AO19" s="8"/>
      <c r="AP19" s="8"/>
      <c r="AR19" s="8">
        <f t="shared" ref="AR19:BF19" si="102">AR9/AR3</f>
        <v>0.17250107250107249</v>
      </c>
      <c r="AS19" s="8">
        <f t="shared" si="102"/>
        <v>0.17031774225379909</v>
      </c>
      <c r="AT19" s="8">
        <f t="shared" si="102"/>
        <v>0.1667176623575308</v>
      </c>
      <c r="AU19" s="8">
        <f t="shared" si="102"/>
        <v>0.16867001343420773</v>
      </c>
      <c r="AV19" s="8">
        <f t="shared" si="102"/>
        <v>7.3816292520341137E-2</v>
      </c>
      <c r="AW19" s="8">
        <f t="shared" si="102"/>
        <v>0.15449559821041997</v>
      </c>
      <c r="AX19" s="8">
        <f t="shared" si="102"/>
        <v>0.16942491326107648</v>
      </c>
      <c r="AY19" s="8">
        <f t="shared" si="102"/>
        <v>0.18938993518235181</v>
      </c>
      <c r="AZ19" s="8">
        <f t="shared" si="102"/>
        <v>0.1955632636156554</v>
      </c>
      <c r="BA19" s="8">
        <f t="shared" si="102"/>
        <v>0.19046668615675708</v>
      </c>
      <c r="BB19" s="8">
        <f t="shared" si="102"/>
        <v>0.18661638314874668</v>
      </c>
      <c r="BC19" s="8">
        <f t="shared" si="102"/>
        <v>0.1895743192157508</v>
      </c>
      <c r="BD19" s="8">
        <f t="shared" si="102"/>
        <v>0.1925026066509915</v>
      </c>
      <c r="BE19" s="8">
        <f t="shared" si="102"/>
        <v>0.19540151523136209</v>
      </c>
      <c r="BF19" s="8">
        <f t="shared" si="102"/>
        <v>0.19827131176361334</v>
      </c>
      <c r="BG19" s="8">
        <f t="shared" ref="BG19:BK19" si="103">BG9/BG3</f>
        <v>0.19739767442114342</v>
      </c>
      <c r="BH19" s="8">
        <f t="shared" si="103"/>
        <v>0.19651444696502737</v>
      </c>
      <c r="BI19" s="8">
        <f t="shared" si="103"/>
        <v>0.19562150522625904</v>
      </c>
      <c r="BJ19" s="8">
        <f t="shared" si="103"/>
        <v>0.19471872293177489</v>
      </c>
      <c r="BK19" s="8">
        <f t="shared" si="103"/>
        <v>0.19380597165774591</v>
      </c>
      <c r="BM19" t="s">
        <v>47</v>
      </c>
      <c r="BN19" s="8">
        <v>-0.01</v>
      </c>
    </row>
    <row r="20" spans="2:66" x14ac:dyDescent="0.3">
      <c r="B20" t="s">
        <v>46</v>
      </c>
      <c r="G20" s="8">
        <f t="shared" ref="G20:V20" si="104">G6/C6-1</f>
        <v>0.13265849760255732</v>
      </c>
      <c r="H20" s="8">
        <f t="shared" si="104"/>
        <v>9.9846390168970789E-2</v>
      </c>
      <c r="I20" s="8">
        <f t="shared" si="104"/>
        <v>7.4670571010248876E-2</v>
      </c>
      <c r="J20" s="8">
        <f t="shared" si="104"/>
        <v>7.4912891986062657E-2</v>
      </c>
      <c r="K20" s="8">
        <f t="shared" si="104"/>
        <v>3.1984948259642598E-2</v>
      </c>
      <c r="L20" s="8">
        <f t="shared" si="104"/>
        <v>5.4469273743016799E-2</v>
      </c>
      <c r="M20" s="8">
        <f t="shared" si="104"/>
        <v>3.5422343324250649E-2</v>
      </c>
      <c r="N20" s="8">
        <f t="shared" si="104"/>
        <v>4.902755267423009E-2</v>
      </c>
      <c r="O20" s="8">
        <f t="shared" si="104"/>
        <v>-0.16043755697356432</v>
      </c>
      <c r="P20" s="8">
        <f t="shared" si="104"/>
        <v>-0.12538631346578366</v>
      </c>
      <c r="Q20" s="8">
        <f t="shared" si="104"/>
        <v>-0.12807017543859645</v>
      </c>
      <c r="R20" s="8">
        <f t="shared" si="104"/>
        <v>-8.65198918501352E-2</v>
      </c>
      <c r="S20" s="8">
        <f t="shared" si="104"/>
        <v>-0.21389793702497284</v>
      </c>
      <c r="T20" s="8">
        <f t="shared" si="104"/>
        <v>-0.20646138313982842</v>
      </c>
      <c r="U20" s="8">
        <f t="shared" si="104"/>
        <v>-0.2716297786720322</v>
      </c>
      <c r="V20" s="8">
        <f t="shared" si="104"/>
        <v>-1.0993657505285359E-2</v>
      </c>
      <c r="W20" s="8">
        <f t="shared" ref="W20" si="105">W6/S6-1</f>
        <v>0.19999999999999996</v>
      </c>
      <c r="X20" s="8">
        <f t="shared" ref="X20" si="106">X6/T6-1</f>
        <v>0.14999999999999991</v>
      </c>
      <c r="Y20" s="8">
        <f t="shared" ref="Y20" si="107">Y6/U6-1</f>
        <v>0.30000000000000004</v>
      </c>
      <c r="Z20" s="8">
        <f t="shared" ref="Z20" si="108">Z6/V6-1</f>
        <v>2.0000000000000018E-2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>
        <f t="shared" ref="AM20:AN20" si="109">AM6/AI6-1</f>
        <v>2.3110066588327483E-2</v>
      </c>
      <c r="AN20" s="8">
        <f t="shared" si="109"/>
        <v>1.9903912148249825E-2</v>
      </c>
      <c r="AO20" s="8"/>
      <c r="AP20" s="8"/>
      <c r="AS20" s="8">
        <f t="shared" ref="AS20:BF20" si="110">AS6/AR6-1</f>
        <v>9.4067278287461864E-2</v>
      </c>
      <c r="AT20" s="8">
        <f t="shared" si="110"/>
        <v>4.29338103756709E-2</v>
      </c>
      <c r="AU20" s="8">
        <f t="shared" si="110"/>
        <v>-0.12349914236706694</v>
      </c>
      <c r="AV20" s="8">
        <f t="shared" si="110"/>
        <v>-0.16744129158512722</v>
      </c>
      <c r="AW20" s="8">
        <f t="shared" si="110"/>
        <v>0.26281768767445279</v>
      </c>
      <c r="AX20" s="8">
        <f t="shared" si="110"/>
        <v>0.14785946952070739</v>
      </c>
      <c r="AY20" s="8">
        <f t="shared" si="110"/>
        <v>9.9929056450795528E-2</v>
      </c>
      <c r="AZ20" s="8">
        <f t="shared" si="110"/>
        <v>6.4682576246199108E-2</v>
      </c>
      <c r="BA20" s="8">
        <f t="shared" si="110"/>
        <v>4.0000000000000036E-2</v>
      </c>
      <c r="BB20" s="8">
        <f t="shared" si="110"/>
        <v>3.0000000000000027E-2</v>
      </c>
      <c r="BC20" s="8">
        <f t="shared" si="110"/>
        <v>2.0000000000000018E-2</v>
      </c>
      <c r="BD20" s="8">
        <f t="shared" si="110"/>
        <v>2.0000000000000018E-2</v>
      </c>
      <c r="BE20" s="8">
        <f t="shared" si="110"/>
        <v>2.0000000000000018E-2</v>
      </c>
      <c r="BF20" s="8">
        <f t="shared" si="110"/>
        <v>2.0000000000000018E-2</v>
      </c>
      <c r="BG20" s="8">
        <f t="shared" ref="BG20" si="111">BG6/BF6-1</f>
        <v>2.0000000000000018E-2</v>
      </c>
      <c r="BH20" s="8">
        <f t="shared" ref="BH20" si="112">BH6/BG6-1</f>
        <v>2.0000000000000018E-2</v>
      </c>
      <c r="BI20" s="8">
        <f t="shared" ref="BI20" si="113">BI6/BH6-1</f>
        <v>2.0000000000000018E-2</v>
      </c>
      <c r="BJ20" s="8">
        <f t="shared" ref="BJ20" si="114">BJ6/BI6-1</f>
        <v>2.0000000000000018E-2</v>
      </c>
      <c r="BK20" s="8">
        <f t="shared" ref="BK20" si="115">BK6/BJ6-1</f>
        <v>2.0000000000000018E-2</v>
      </c>
      <c r="BM20" t="s">
        <v>48</v>
      </c>
      <c r="BN20" s="8">
        <v>0.06</v>
      </c>
    </row>
    <row r="21" spans="2:66" x14ac:dyDescent="0.3">
      <c r="B21" t="s">
        <v>40</v>
      </c>
      <c r="C21" s="8">
        <f>C12/C11</f>
        <v>0.2267037552155772</v>
      </c>
      <c r="D21" s="8">
        <f t="shared" ref="D21:BF21" si="116">D12/D11</f>
        <v>0.22772277227722773</v>
      </c>
      <c r="E21" s="8">
        <f t="shared" si="116"/>
        <v>0.22745735174654752</v>
      </c>
      <c r="F21" s="8">
        <f t="shared" si="116"/>
        <v>0.21885245901639344</v>
      </c>
      <c r="G21" s="8">
        <f t="shared" si="116"/>
        <v>0.22538552787663108</v>
      </c>
      <c r="H21" s="8">
        <f t="shared" si="116"/>
        <v>0.22524483133841131</v>
      </c>
      <c r="I21" s="8">
        <f t="shared" si="116"/>
        <v>0.22503961965134706</v>
      </c>
      <c r="J21" s="8">
        <f t="shared" si="116"/>
        <v>0.22515060240963855</v>
      </c>
      <c r="K21" s="8">
        <f t="shared" si="116"/>
        <v>0.22722029988465975</v>
      </c>
      <c r="L21" s="8">
        <f t="shared" si="116"/>
        <v>0.22546972860125261</v>
      </c>
      <c r="M21" s="8">
        <f t="shared" si="116"/>
        <v>0.20061967467079783</v>
      </c>
      <c r="N21" s="8">
        <f t="shared" si="116"/>
        <v>0.23422053231939163</v>
      </c>
      <c r="O21" s="8">
        <f t="shared" si="116"/>
        <v>0.22689075630252101</v>
      </c>
      <c r="P21" s="8">
        <f t="shared" si="116"/>
        <v>0.21083172147001933</v>
      </c>
      <c r="Q21" s="8">
        <f t="shared" si="116"/>
        <v>0.20995962314939434</v>
      </c>
      <c r="R21" s="8">
        <f t="shared" si="116"/>
        <v>0.23758278145695363</v>
      </c>
      <c r="S21" s="8">
        <f t="shared" si="116"/>
        <v>0.23897058823529413</v>
      </c>
      <c r="T21" s="8">
        <f t="shared" si="116"/>
        <v>0.23131672597864769</v>
      </c>
      <c r="U21" s="8">
        <f t="shared" si="116"/>
        <v>-0.10951979780960404</v>
      </c>
      <c r="V21" s="8">
        <f t="shared" si="116"/>
        <v>0.8072354656430698</v>
      </c>
      <c r="W21" s="8">
        <f t="shared" ref="W21:Z21" si="117">W12/W11</f>
        <v>0.22</v>
      </c>
      <c r="X21" s="8">
        <f t="shared" si="117"/>
        <v>0.22000000000000003</v>
      </c>
      <c r="Y21" s="8">
        <f t="shared" si="117"/>
        <v>0.22000000000000003</v>
      </c>
      <c r="Z21" s="8">
        <f t="shared" si="117"/>
        <v>0.21999999999999997</v>
      </c>
      <c r="AA21" s="8"/>
      <c r="AB21" s="8"/>
      <c r="AC21" s="8"/>
      <c r="AD21" s="8"/>
      <c r="AE21" s="8"/>
      <c r="AF21" s="8"/>
      <c r="AG21" s="8"/>
      <c r="AH21" s="8"/>
      <c r="AI21" s="8">
        <f t="shared" ref="AI21:AJ21" si="118">AI12/AI11</f>
        <v>0.2232196289646918</v>
      </c>
      <c r="AJ21" s="8">
        <f t="shared" si="118"/>
        <v>0.23196678775298391</v>
      </c>
      <c r="AK21" s="8"/>
      <c r="AL21" s="8"/>
      <c r="AM21" s="8">
        <f t="shared" ref="AM21:AN21" si="119">AM12/AM11</f>
        <v>0.21889952153110048</v>
      </c>
      <c r="AN21" s="8">
        <f t="shared" si="119"/>
        <v>0.23005181347150258</v>
      </c>
      <c r="AO21" s="8"/>
      <c r="AP21" s="8"/>
      <c r="AR21" s="8">
        <f t="shared" si="116"/>
        <v>0.22481000245158128</v>
      </c>
      <c r="AS21" s="8">
        <f t="shared" si="116"/>
        <v>0.22518382352941177</v>
      </c>
      <c r="AT21" s="8">
        <f t="shared" si="116"/>
        <v>0.22116903633491311</v>
      </c>
      <c r="AU21" s="8">
        <f t="shared" si="116"/>
        <v>0.22072649572649572</v>
      </c>
      <c r="AV21" s="8">
        <f t="shared" si="116"/>
        <v>0.21071428571428572</v>
      </c>
      <c r="AW21" s="8">
        <f t="shared" si="116"/>
        <v>0.22606002858504048</v>
      </c>
      <c r="AX21" s="8">
        <f t="shared" si="116"/>
        <v>0.22605936158297554</v>
      </c>
      <c r="AY21" s="8">
        <f t="shared" si="116"/>
        <v>0.21473285776677828</v>
      </c>
      <c r="AZ21" s="8">
        <f t="shared" si="116"/>
        <v>0.22436320443447275</v>
      </c>
      <c r="BA21" s="8">
        <f t="shared" si="116"/>
        <v>0.22</v>
      </c>
      <c r="BB21" s="8">
        <f t="shared" si="116"/>
        <v>0.22</v>
      </c>
      <c r="BC21" s="8">
        <f t="shared" si="116"/>
        <v>0.22</v>
      </c>
      <c r="BD21" s="8">
        <f t="shared" si="116"/>
        <v>0.22</v>
      </c>
      <c r="BE21" s="8">
        <f t="shared" si="116"/>
        <v>0.22</v>
      </c>
      <c r="BF21" s="8">
        <f t="shared" si="116"/>
        <v>0.22</v>
      </c>
      <c r="BG21" s="8">
        <f t="shared" ref="BG21:BK21" si="120">BG12/BG11</f>
        <v>0.22</v>
      </c>
      <c r="BH21" s="8">
        <f t="shared" si="120"/>
        <v>0.22</v>
      </c>
      <c r="BI21" s="8">
        <f t="shared" si="120"/>
        <v>0.22</v>
      </c>
      <c r="BJ21" s="8">
        <f t="shared" si="120"/>
        <v>0.22</v>
      </c>
      <c r="BK21" s="8">
        <f t="shared" si="120"/>
        <v>0.22</v>
      </c>
      <c r="BM21" t="s">
        <v>49</v>
      </c>
      <c r="BN21" s="5">
        <f>NPV(BN20,BA13:FH13)</f>
        <v>108065.51873260055</v>
      </c>
    </row>
    <row r="22" spans="2:66" x14ac:dyDescent="0.3">
      <c r="B22" t="s">
        <v>77</v>
      </c>
      <c r="C22" s="8">
        <f>C13/C3</f>
        <v>0.11395777823324452</v>
      </c>
      <c r="D22" s="8">
        <f t="shared" ref="D22:Z22" si="121">D13/D3</f>
        <v>0.12567132116004295</v>
      </c>
      <c r="E22" s="8">
        <f t="shared" si="121"/>
        <v>0.16018191005558363</v>
      </c>
      <c r="F22" s="8">
        <f t="shared" si="121"/>
        <v>0.13795599305153444</v>
      </c>
      <c r="G22" s="8">
        <f t="shared" si="121"/>
        <v>0.11725623989944335</v>
      </c>
      <c r="H22" s="8">
        <f t="shared" si="121"/>
        <v>0.11668305473615208</v>
      </c>
      <c r="I22" s="8">
        <f t="shared" si="121"/>
        <v>0.15546018121125418</v>
      </c>
      <c r="J22" s="8">
        <f t="shared" si="121"/>
        <v>0.13956327139563271</v>
      </c>
      <c r="K22" s="8">
        <f t="shared" si="121"/>
        <v>0.11850017686593563</v>
      </c>
      <c r="L22" s="8">
        <f t="shared" si="121"/>
        <v>0.11644695543000627</v>
      </c>
      <c r="M22" s="8">
        <f t="shared" si="121"/>
        <v>0.16094822208359327</v>
      </c>
      <c r="N22" s="8">
        <f t="shared" si="121"/>
        <v>0.13064348728593669</v>
      </c>
      <c r="O22" s="8">
        <f t="shared" si="121"/>
        <v>0.12417749282942467</v>
      </c>
      <c r="P22" s="8">
        <f t="shared" si="121"/>
        <v>0.11838096619759177</v>
      </c>
      <c r="Q22" s="8">
        <f t="shared" si="121"/>
        <v>0.1677142857142857</v>
      </c>
      <c r="R22" s="8">
        <f t="shared" si="121"/>
        <v>0.10878809355067329</v>
      </c>
      <c r="S22" s="8">
        <f t="shared" si="121"/>
        <v>-0.12534059945504086</v>
      </c>
      <c r="T22" s="8">
        <f t="shared" si="121"/>
        <v>4.5665961945031711E-2</v>
      </c>
      <c r="U22" s="8">
        <f t="shared" si="121"/>
        <v>0.21761401189689358</v>
      </c>
      <c r="V22" s="8">
        <f t="shared" si="121"/>
        <v>1.8523033085325349E-2</v>
      </c>
      <c r="W22" s="8">
        <f t="shared" si="121"/>
        <v>7.6176092115671959E-2</v>
      </c>
      <c r="X22" s="8">
        <f t="shared" si="121"/>
        <v>0.10035729386892181</v>
      </c>
      <c r="Y22" s="8">
        <f t="shared" si="121"/>
        <v>0.14790474073183918</v>
      </c>
      <c r="Z22" s="8">
        <f t="shared" si="121"/>
        <v>6.4383118116646723E-2</v>
      </c>
      <c r="AI22" s="8">
        <f t="shared" ref="AI22:AJ22" si="122">AI13/AI3</f>
        <v>0.15926380368098159</v>
      </c>
      <c r="AJ22" s="8">
        <f t="shared" si="122"/>
        <v>0.14926878466969237</v>
      </c>
      <c r="AM22" s="8">
        <f t="shared" ref="AM22:AN22" si="123">AM13/AM3</f>
        <v>0.15784384819917816</v>
      </c>
      <c r="AN22" s="8">
        <f t="shared" si="123"/>
        <v>0.14737677278587721</v>
      </c>
      <c r="AR22" s="8">
        <f t="shared" ref="AR22:BK22" si="124">AR13/AR3</f>
        <v>0.13564993564993566</v>
      </c>
      <c r="AS22" s="8">
        <f t="shared" si="124"/>
        <v>0.13309650680876259</v>
      </c>
      <c r="AT22" s="8">
        <f t="shared" si="124"/>
        <v>0.13198959687906373</v>
      </c>
      <c r="AU22" s="8">
        <f t="shared" si="124"/>
        <v>0.12893304108039313</v>
      </c>
      <c r="AV22" s="8">
        <f t="shared" si="124"/>
        <v>5.4161356729732379E-2</v>
      </c>
      <c r="AW22" s="8">
        <f t="shared" si="124"/>
        <v>0.11722470775003609</v>
      </c>
      <c r="AX22" s="8">
        <f t="shared" si="124"/>
        <v>0.12729896527372656</v>
      </c>
      <c r="AY22" s="8">
        <f t="shared" si="124"/>
        <v>0.15005424652961305</v>
      </c>
      <c r="AZ22" s="8">
        <f t="shared" si="124"/>
        <v>0.15212776972458067</v>
      </c>
      <c r="BA22" s="8">
        <f t="shared" si="124"/>
        <v>0.14891240057008509</v>
      </c>
      <c r="BB22" s="8">
        <f t="shared" si="124"/>
        <v>0.14583402228175932</v>
      </c>
      <c r="BC22" s="8">
        <f t="shared" si="124"/>
        <v>0.14676359483896745</v>
      </c>
      <c r="BD22" s="8">
        <f t="shared" si="124"/>
        <v>0.14904061955695402</v>
      </c>
      <c r="BE22" s="8">
        <f t="shared" si="124"/>
        <v>0.15128452476148743</v>
      </c>
      <c r="BF22" s="8">
        <f t="shared" si="124"/>
        <v>0.15350597337645375</v>
      </c>
      <c r="BG22" s="8">
        <f t="shared" si="124"/>
        <v>0.152796316840319</v>
      </c>
      <c r="BH22" s="8">
        <f t="shared" si="124"/>
        <v>0.1521128262098248</v>
      </c>
      <c r="BI22" s="8">
        <f t="shared" si="124"/>
        <v>0.15142155834664223</v>
      </c>
      <c r="BJ22" s="8">
        <f t="shared" si="124"/>
        <v>0.15072267432295716</v>
      </c>
      <c r="BK22" s="8">
        <f t="shared" si="124"/>
        <v>0.15001607273645448</v>
      </c>
      <c r="BM22" t="s">
        <v>53</v>
      </c>
      <c r="BN22" s="5">
        <f>Main!D8</f>
        <v>10012</v>
      </c>
    </row>
    <row r="23" spans="2:66" x14ac:dyDescent="0.3">
      <c r="BM23" t="s">
        <v>50</v>
      </c>
      <c r="BN23" s="5">
        <f>BN21+BN22</f>
        <v>118077.51873260055</v>
      </c>
    </row>
    <row r="24" spans="2:66" x14ac:dyDescent="0.3">
      <c r="BM24" t="s">
        <v>51</v>
      </c>
      <c r="BN24" s="4">
        <f>BN23/BF14</f>
        <v>37.896372916297757</v>
      </c>
    </row>
    <row r="25" spans="2:66" x14ac:dyDescent="0.3">
      <c r="BM25" t="s">
        <v>52</v>
      </c>
      <c r="BN25" s="4">
        <f>Main!D3</f>
        <v>46.89</v>
      </c>
    </row>
    <row r="26" spans="2:66" x14ac:dyDescent="0.3">
      <c r="BM26" s="1" t="s">
        <v>54</v>
      </c>
      <c r="BN26" s="10">
        <f>BN24/BN25-1</f>
        <v>-0.19180266759868292</v>
      </c>
    </row>
    <row r="27" spans="2:66" x14ac:dyDescent="0.3">
      <c r="BM27" t="s">
        <v>55</v>
      </c>
      <c r="BN27" s="6" t="s">
        <v>60</v>
      </c>
    </row>
    <row r="28" spans="2:66" x14ac:dyDescent="0.3">
      <c r="AJ28" s="9">
        <v>18065</v>
      </c>
      <c r="AN28" s="9">
        <f>18357</f>
        <v>18357</v>
      </c>
    </row>
    <row r="29" spans="2:66" x14ac:dyDescent="0.3">
      <c r="AJ29" s="12">
        <v>7524</v>
      </c>
      <c r="AN29" s="12">
        <v>7654</v>
      </c>
    </row>
    <row r="30" spans="2:66" x14ac:dyDescent="0.3">
      <c r="AJ30" s="9">
        <f t="shared" ref="AJ30" si="125">AJ28-AJ29</f>
        <v>10541</v>
      </c>
      <c r="AN30" s="9">
        <f t="shared" ref="AN30" si="126">AN28-AN29</f>
        <v>10703</v>
      </c>
    </row>
    <row r="31" spans="2:66" x14ac:dyDescent="0.3">
      <c r="AJ31" s="5">
        <v>5467</v>
      </c>
      <c r="AN31" s="5">
        <v>5584</v>
      </c>
    </row>
    <row r="32" spans="2:66" x14ac:dyDescent="0.3">
      <c r="AJ32" s="5">
        <v>34</v>
      </c>
      <c r="AN32" s="5">
        <v>5</v>
      </c>
    </row>
    <row r="33" spans="36:40" x14ac:dyDescent="0.3">
      <c r="AJ33" s="5">
        <v>1499</v>
      </c>
      <c r="AN33" s="5">
        <v>1542</v>
      </c>
    </row>
    <row r="34" spans="36:40" x14ac:dyDescent="0.3">
      <c r="AJ34" s="9">
        <f t="shared" ref="AJ34" si="127">AJ30-AJ31-AJ32-AJ33</f>
        <v>3541</v>
      </c>
      <c r="AN34" s="9">
        <f t="shared" ref="AN34" si="128">AN30-AN31-AN32-AN33</f>
        <v>3572</v>
      </c>
    </row>
    <row r="35" spans="36:40" x14ac:dyDescent="0.3">
      <c r="AJ35" s="5">
        <f>-12-45</f>
        <v>-57</v>
      </c>
      <c r="AN35" s="5">
        <f>12-42</f>
        <v>-30</v>
      </c>
    </row>
    <row r="36" spans="36:40" x14ac:dyDescent="0.3">
      <c r="AJ36" s="9">
        <f t="shared" ref="AJ36" si="129">AJ34-AJ35</f>
        <v>3598</v>
      </c>
      <c r="AN36" s="9">
        <f t="shared" ref="AN36" si="130">AN34-AN35</f>
        <v>3602</v>
      </c>
    </row>
    <row r="37" spans="36:40" x14ac:dyDescent="0.3">
      <c r="AJ37" s="5">
        <v>820</v>
      </c>
      <c r="AN37" s="5">
        <v>810</v>
      </c>
    </row>
    <row r="38" spans="36:40" x14ac:dyDescent="0.3">
      <c r="AJ38" s="9">
        <f t="shared" ref="AJ38" si="131">AJ36-AJ37</f>
        <v>2778</v>
      </c>
      <c r="AN38" s="9">
        <f t="shared" ref="AN38" si="132">AN36-AN37</f>
        <v>2792</v>
      </c>
    </row>
    <row r="39" spans="36:40" x14ac:dyDescent="0.3">
      <c r="AJ39" s="5">
        <v>3115</v>
      </c>
      <c r="AN39" s="5">
        <v>3115</v>
      </c>
    </row>
    <row r="40" spans="36:40" x14ac:dyDescent="0.3">
      <c r="AJ40" s="7">
        <f t="shared" ref="AJ40" si="133">AJ38/AJ39</f>
        <v>0.89181380417335476</v>
      </c>
      <c r="AN40" s="7">
        <f t="shared" ref="AN40" si="134">AN38/AN39</f>
        <v>0.89630818619582664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2021-01-06T18:27:24Z</dcterms:created>
  <dcterms:modified xsi:type="dcterms:W3CDTF">2025-11-04T13:12:31Z</dcterms:modified>
</cp:coreProperties>
</file>