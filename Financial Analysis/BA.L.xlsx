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0BDCB34-13AF-4C4F-B60D-A1AC2359CCF6}" xr6:coauthVersionLast="47" xr6:coauthVersionMax="47" xr10:uidLastSave="{00000000-0000-0000-0000-000000000000}"/>
  <bookViews>
    <workbookView xWindow="-108" yWindow="-108" windowWidth="23256" windowHeight="12576" activeTab="1" xr2:uid="{ABC502D2-5843-45AD-8EE6-0FA4203A524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2" l="1"/>
  <c r="T7" i="2" s="1"/>
  <c r="U7" i="2" s="1"/>
  <c r="U10" i="2"/>
  <c r="T10" i="2"/>
  <c r="S10" i="2"/>
  <c r="T9" i="2"/>
  <c r="S9" i="2"/>
  <c r="V8" i="2"/>
  <c r="U8" i="2"/>
  <c r="T8" i="2"/>
  <c r="S8" i="2"/>
  <c r="G47" i="2"/>
  <c r="G46" i="2"/>
  <c r="G45" i="2"/>
  <c r="R12" i="2"/>
  <c r="R11" i="2"/>
  <c r="R10" i="2"/>
  <c r="R9" i="2"/>
  <c r="R8" i="2"/>
  <c r="R7" i="2"/>
  <c r="J11" i="2"/>
  <c r="J10" i="2"/>
  <c r="J9" i="2"/>
  <c r="J7" i="2"/>
  <c r="J8" i="2"/>
  <c r="I39" i="2"/>
  <c r="I38" i="2"/>
  <c r="I37" i="2"/>
  <c r="I36" i="2"/>
  <c r="I40" i="2"/>
  <c r="H12" i="2"/>
  <c r="H11" i="2"/>
  <c r="H10" i="2"/>
  <c r="H9" i="2"/>
  <c r="H8" i="2"/>
  <c r="H7" i="2"/>
  <c r="H13" i="2" s="1"/>
  <c r="G13" i="2"/>
  <c r="I13" i="2"/>
  <c r="G29" i="2"/>
  <c r="G32" i="2" s="1"/>
  <c r="G34" i="2" s="1"/>
  <c r="I29" i="2"/>
  <c r="G28" i="2"/>
  <c r="D7" i="1"/>
  <c r="D6" i="1"/>
  <c r="I28" i="2"/>
  <c r="J13" i="2" l="1"/>
  <c r="I41" i="2"/>
  <c r="AE44" i="2"/>
  <c r="X21" i="2"/>
  <c r="Y21" i="2" s="1"/>
  <c r="Z21" i="2" s="1"/>
  <c r="AA21" i="2" s="1"/>
  <c r="AB21" i="2" s="1"/>
  <c r="W21" i="2"/>
  <c r="V21" i="2"/>
  <c r="U21" i="2"/>
  <c r="T21" i="2"/>
  <c r="S21" i="2"/>
  <c r="S22" i="2" s="1"/>
  <c r="W16" i="2"/>
  <c r="X16" i="2" s="1"/>
  <c r="Y16" i="2" s="1"/>
  <c r="Z16" i="2" s="1"/>
  <c r="AA16" i="2" s="1"/>
  <c r="AB16" i="2" s="1"/>
  <c r="V16" i="2"/>
  <c r="U16" i="2"/>
  <c r="T16" i="2"/>
  <c r="S16" i="2"/>
  <c r="S28" i="2"/>
  <c r="T28" i="2" s="1"/>
  <c r="U28" i="2" s="1"/>
  <c r="V28" i="2" s="1"/>
  <c r="W28" i="2" s="1"/>
  <c r="X28" i="2" s="1"/>
  <c r="Y28" i="2" s="1"/>
  <c r="Z28" i="2" s="1"/>
  <c r="AA28" i="2" s="1"/>
  <c r="AB28" i="2" s="1"/>
  <c r="S27" i="2"/>
  <c r="T27" i="2" s="1"/>
  <c r="U27" i="2" s="1"/>
  <c r="V27" i="2" s="1"/>
  <c r="W27" i="2" s="1"/>
  <c r="X27" i="2" s="1"/>
  <c r="Y27" i="2" s="1"/>
  <c r="Z27" i="2" s="1"/>
  <c r="AA27" i="2" s="1"/>
  <c r="AB27" i="2" s="1"/>
  <c r="S26" i="2"/>
  <c r="T26" i="2" s="1"/>
  <c r="U26" i="2" s="1"/>
  <c r="V26" i="2" s="1"/>
  <c r="W26" i="2" s="1"/>
  <c r="X26" i="2" s="1"/>
  <c r="Y26" i="2" s="1"/>
  <c r="Z26" i="2" s="1"/>
  <c r="AA26" i="2" s="1"/>
  <c r="AB26" i="2" s="1"/>
  <c r="S25" i="2"/>
  <c r="T25" i="2" s="1"/>
  <c r="U25" i="2" s="1"/>
  <c r="V25" i="2" s="1"/>
  <c r="W25" i="2" s="1"/>
  <c r="X25" i="2" s="1"/>
  <c r="Y25" i="2" s="1"/>
  <c r="Z25" i="2" s="1"/>
  <c r="AA25" i="2" s="1"/>
  <c r="AB25" i="2" s="1"/>
  <c r="S24" i="2"/>
  <c r="T24" i="2" s="1"/>
  <c r="U24" i="2" s="1"/>
  <c r="V24" i="2" s="1"/>
  <c r="W24" i="2" s="1"/>
  <c r="X24" i="2" s="1"/>
  <c r="Y24" i="2" s="1"/>
  <c r="Z24" i="2" s="1"/>
  <c r="AA24" i="2" s="1"/>
  <c r="AB24" i="2" s="1"/>
  <c r="R28" i="2"/>
  <c r="R27" i="2"/>
  <c r="R26" i="2"/>
  <c r="R25" i="2"/>
  <c r="R24" i="2"/>
  <c r="R22" i="2"/>
  <c r="R21" i="2"/>
  <c r="R16" i="2"/>
  <c r="R43" i="2" s="1"/>
  <c r="R40" i="2"/>
  <c r="R39" i="2"/>
  <c r="R38" i="2"/>
  <c r="R37" i="2"/>
  <c r="R36" i="2"/>
  <c r="R13" i="2"/>
  <c r="S11" i="2"/>
  <c r="T11" i="2" s="1"/>
  <c r="S39" i="2"/>
  <c r="S37" i="2"/>
  <c r="P40" i="2"/>
  <c r="O40" i="2"/>
  <c r="P39" i="2"/>
  <c r="O39" i="2"/>
  <c r="P38" i="2"/>
  <c r="O38" i="2"/>
  <c r="P37" i="2"/>
  <c r="O37" i="2"/>
  <c r="P36" i="2"/>
  <c r="O36" i="2"/>
  <c r="Q40" i="2"/>
  <c r="Q39" i="2"/>
  <c r="Q38" i="2"/>
  <c r="Q37" i="2"/>
  <c r="Q36" i="2"/>
  <c r="P44" i="2"/>
  <c r="O44" i="2"/>
  <c r="P43" i="2"/>
  <c r="O43" i="2"/>
  <c r="Q44" i="2"/>
  <c r="Q43" i="2"/>
  <c r="U11" i="2" l="1"/>
  <c r="T40" i="2"/>
  <c r="U9" i="2"/>
  <c r="T38" i="2"/>
  <c r="S40" i="2"/>
  <c r="S38" i="2"/>
  <c r="T36" i="2"/>
  <c r="R15" i="2"/>
  <c r="R42" i="2" s="1"/>
  <c r="S13" i="2"/>
  <c r="S15" i="2" s="1"/>
  <c r="S42" i="2" s="1"/>
  <c r="S36" i="2"/>
  <c r="I45" i="2"/>
  <c r="S44" i="2"/>
  <c r="T22" i="2"/>
  <c r="T43" i="2"/>
  <c r="T44" i="2"/>
  <c r="R41" i="2"/>
  <c r="R44" i="2"/>
  <c r="S43" i="2"/>
  <c r="S23" i="2" l="1"/>
  <c r="S29" i="2" s="1"/>
  <c r="U40" i="2"/>
  <c r="V11" i="2"/>
  <c r="T37" i="2"/>
  <c r="U13" i="2"/>
  <c r="T39" i="2"/>
  <c r="V9" i="2"/>
  <c r="U38" i="2"/>
  <c r="T13" i="2"/>
  <c r="T41" i="2" s="1"/>
  <c r="R23" i="2"/>
  <c r="R45" i="2" s="1"/>
  <c r="S41" i="2"/>
  <c r="V7" i="2"/>
  <c r="U36" i="2"/>
  <c r="R14" i="2"/>
  <c r="S14" i="2"/>
  <c r="I46" i="2"/>
  <c r="I32" i="2"/>
  <c r="U44" i="2"/>
  <c r="U22" i="2"/>
  <c r="U43" i="2"/>
  <c r="R29" i="2" l="1"/>
  <c r="T15" i="2"/>
  <c r="T23" i="2" s="1"/>
  <c r="T45" i="2" s="1"/>
  <c r="S45" i="2"/>
  <c r="W9" i="2"/>
  <c r="V38" i="2"/>
  <c r="U37" i="2"/>
  <c r="V10" i="2"/>
  <c r="U39" i="2"/>
  <c r="V40" i="2"/>
  <c r="W11" i="2"/>
  <c r="V36" i="2"/>
  <c r="W7" i="2"/>
  <c r="X7" i="2" s="1"/>
  <c r="Y7" i="2" s="1"/>
  <c r="Z7" i="2" s="1"/>
  <c r="AA7" i="2" s="1"/>
  <c r="AB7" i="2" s="1"/>
  <c r="U41" i="2"/>
  <c r="U15" i="2"/>
  <c r="U42" i="2" s="1"/>
  <c r="T42" i="2"/>
  <c r="I47" i="2"/>
  <c r="I34" i="2"/>
  <c r="V22" i="2"/>
  <c r="V43" i="2"/>
  <c r="R31" i="2"/>
  <c r="R30" i="2"/>
  <c r="R46" i="2" s="1"/>
  <c r="V44" i="2"/>
  <c r="S31" i="2"/>
  <c r="S30" i="2"/>
  <c r="S46" i="2" s="1"/>
  <c r="O28" i="2"/>
  <c r="N28" i="2"/>
  <c r="N18" i="2"/>
  <c r="N17" i="2"/>
  <c r="N14" i="2"/>
  <c r="O18" i="2"/>
  <c r="O17" i="2"/>
  <c r="O22" i="2" s="1"/>
  <c r="O14" i="2"/>
  <c r="N13" i="2"/>
  <c r="O13" i="2"/>
  <c r="P28" i="2"/>
  <c r="Q28" i="2"/>
  <c r="P17" i="2"/>
  <c r="P22" i="2"/>
  <c r="P13" i="2"/>
  <c r="Q13" i="2"/>
  <c r="Q18" i="2"/>
  <c r="Q17" i="2"/>
  <c r="D8" i="1"/>
  <c r="AE41" i="2" s="1"/>
  <c r="D5" i="1"/>
  <c r="F3" i="1"/>
  <c r="T14" i="2" l="1"/>
  <c r="T29" i="2"/>
  <c r="X11" i="2"/>
  <c r="W40" i="2"/>
  <c r="W10" i="2"/>
  <c r="V39" i="2"/>
  <c r="V13" i="2"/>
  <c r="V15" i="2" s="1"/>
  <c r="W38" i="2"/>
  <c r="X9" i="2"/>
  <c r="W8" i="2"/>
  <c r="V37" i="2"/>
  <c r="U23" i="2"/>
  <c r="W36" i="2"/>
  <c r="U14" i="2"/>
  <c r="D9" i="1"/>
  <c r="S32" i="2"/>
  <c r="S47" i="2" s="1"/>
  <c r="W22" i="2"/>
  <c r="W43" i="2"/>
  <c r="W44" i="2"/>
  <c r="R32" i="2"/>
  <c r="N22" i="2"/>
  <c r="O15" i="2"/>
  <c r="O42" i="2" s="1"/>
  <c r="O41" i="2"/>
  <c r="P15" i="2"/>
  <c r="P42" i="2" s="1"/>
  <c r="P41" i="2"/>
  <c r="Q15" i="2"/>
  <c r="Q42" i="2" s="1"/>
  <c r="Q41" i="2"/>
  <c r="N15" i="2"/>
  <c r="Q22" i="2"/>
  <c r="W13" i="2" l="1"/>
  <c r="W15" i="2" s="1"/>
  <c r="T31" i="2"/>
  <c r="T30" i="2"/>
  <c r="T46" i="2" s="1"/>
  <c r="V42" i="2"/>
  <c r="V23" i="2"/>
  <c r="X38" i="2"/>
  <c r="Y9" i="2"/>
  <c r="V14" i="2"/>
  <c r="Y11" i="2"/>
  <c r="X40" i="2"/>
  <c r="V41" i="2"/>
  <c r="X10" i="2"/>
  <c r="W39" i="2"/>
  <c r="X8" i="2"/>
  <c r="W37" i="2"/>
  <c r="S34" i="2"/>
  <c r="U29" i="2"/>
  <c r="U45" i="2"/>
  <c r="X36" i="2"/>
  <c r="X44" i="2"/>
  <c r="X22" i="2"/>
  <c r="X43" i="2"/>
  <c r="R47" i="2"/>
  <c r="R34" i="2"/>
  <c r="O23" i="2"/>
  <c r="O29" i="2" s="1"/>
  <c r="P23" i="2"/>
  <c r="P29" i="2" s="1"/>
  <c r="N23" i="2"/>
  <c r="N42" i="2"/>
  <c r="Q23" i="2"/>
  <c r="W42" i="2" l="1"/>
  <c r="W23" i="2"/>
  <c r="W29" i="2" s="1"/>
  <c r="W31" i="2" s="1"/>
  <c r="W14" i="2"/>
  <c r="W41" i="2"/>
  <c r="T32" i="2"/>
  <c r="T34" i="2" s="1"/>
  <c r="Y10" i="2"/>
  <c r="X39" i="2"/>
  <c r="Z11" i="2"/>
  <c r="Y40" i="2"/>
  <c r="Z9" i="2"/>
  <c r="Y38" i="2"/>
  <c r="Y8" i="2"/>
  <c r="X37" i="2"/>
  <c r="X13" i="2"/>
  <c r="X15" i="2" s="1"/>
  <c r="X42" i="2" s="1"/>
  <c r="V29" i="2"/>
  <c r="V45" i="2"/>
  <c r="Y36" i="2"/>
  <c r="U31" i="2"/>
  <c r="U30" i="2"/>
  <c r="Y44" i="2"/>
  <c r="Y22" i="2"/>
  <c r="Y43" i="2"/>
  <c r="O45" i="2"/>
  <c r="P45" i="2"/>
  <c r="O32" i="2"/>
  <c r="O46" i="2"/>
  <c r="Q29" i="2"/>
  <c r="Q45" i="2"/>
  <c r="N29" i="2"/>
  <c r="N45" i="2"/>
  <c r="P32" i="2"/>
  <c r="P46" i="2"/>
  <c r="T47" i="2" l="1"/>
  <c r="Y13" i="2"/>
  <c r="Y15" i="2" s="1"/>
  <c r="Y42" i="2" s="1"/>
  <c r="W30" i="2"/>
  <c r="W46" i="2" s="1"/>
  <c r="W45" i="2"/>
  <c r="Z8" i="2"/>
  <c r="Y37" i="2"/>
  <c r="AA9" i="2"/>
  <c r="Z38" i="2"/>
  <c r="AA11" i="2"/>
  <c r="Z40" i="2"/>
  <c r="Z10" i="2"/>
  <c r="Y39" i="2"/>
  <c r="X41" i="2"/>
  <c r="V31" i="2"/>
  <c r="V30" i="2"/>
  <c r="X23" i="2"/>
  <c r="Z36" i="2"/>
  <c r="X14" i="2"/>
  <c r="U46" i="2"/>
  <c r="U32" i="2"/>
  <c r="Z22" i="2"/>
  <c r="Z43" i="2"/>
  <c r="Z44" i="2"/>
  <c r="O34" i="2"/>
  <c r="O47" i="2"/>
  <c r="P34" i="2"/>
  <c r="P47" i="2"/>
  <c r="N32" i="2"/>
  <c r="N46" i="2"/>
  <c r="Q32" i="2"/>
  <c r="Q46" i="2"/>
  <c r="Y41" i="2" l="1"/>
  <c r="W32" i="2"/>
  <c r="W34" i="2" s="1"/>
  <c r="AA10" i="2"/>
  <c r="Z39" i="2"/>
  <c r="Z13" i="2"/>
  <c r="Z15" i="2" s="1"/>
  <c r="Z42" i="2" s="1"/>
  <c r="AB11" i="2"/>
  <c r="AB40" i="2" s="1"/>
  <c r="AA40" i="2"/>
  <c r="V46" i="2"/>
  <c r="V32" i="2"/>
  <c r="AB9" i="2"/>
  <c r="AB38" i="2" s="1"/>
  <c r="AA38" i="2"/>
  <c r="AA8" i="2"/>
  <c r="AA13" i="2" s="1"/>
  <c r="Z37" i="2"/>
  <c r="AA36" i="2"/>
  <c r="U47" i="2"/>
  <c r="U34" i="2"/>
  <c r="X45" i="2"/>
  <c r="X29" i="2"/>
  <c r="Y14" i="2"/>
  <c r="Y23" i="2"/>
  <c r="AB44" i="2"/>
  <c r="AA44" i="2"/>
  <c r="AA43" i="2"/>
  <c r="AA22" i="2"/>
  <c r="Q34" i="2"/>
  <c r="Q47" i="2"/>
  <c r="N34" i="2"/>
  <c r="N47" i="2"/>
  <c r="W47" i="2" l="1"/>
  <c r="Z41" i="2"/>
  <c r="V47" i="2"/>
  <c r="V34" i="2"/>
  <c r="Z14" i="2"/>
  <c r="Z23" i="2"/>
  <c r="AB8" i="2"/>
  <c r="AB37" i="2" s="1"/>
  <c r="AA37" i="2"/>
  <c r="AB10" i="2"/>
  <c r="AB39" i="2" s="1"/>
  <c r="AA39" i="2"/>
  <c r="AA15" i="2"/>
  <c r="AA42" i="2" s="1"/>
  <c r="AA41" i="2"/>
  <c r="Y45" i="2"/>
  <c r="Y29" i="2"/>
  <c r="X31" i="2"/>
  <c r="X30" i="2"/>
  <c r="AB36" i="2"/>
  <c r="AB22" i="2"/>
  <c r="AB43" i="2"/>
  <c r="AA23" i="2" l="1"/>
  <c r="AA29" i="2" s="1"/>
  <c r="AA31" i="2" s="1"/>
  <c r="AA14" i="2"/>
  <c r="Z29" i="2"/>
  <c r="Z45" i="2"/>
  <c r="AB13" i="2"/>
  <c r="AB15" i="2" s="1"/>
  <c r="AB42" i="2" s="1"/>
  <c r="X46" i="2"/>
  <c r="X32" i="2"/>
  <c r="Y30" i="2"/>
  <c r="Y46" i="2" s="1"/>
  <c r="Y31" i="2"/>
  <c r="AA45" i="2" l="1"/>
  <c r="AA30" i="2"/>
  <c r="AA46" i="2" s="1"/>
  <c r="AB41" i="2"/>
  <c r="AB14" i="2"/>
  <c r="Z30" i="2"/>
  <c r="Z31" i="2"/>
  <c r="X47" i="2"/>
  <c r="X34" i="2"/>
  <c r="AB23" i="2"/>
  <c r="Y32" i="2"/>
  <c r="AA32" i="2"/>
  <c r="AA47" i="2" s="1"/>
  <c r="Z46" i="2" l="1"/>
  <c r="Z32" i="2"/>
  <c r="Y47" i="2"/>
  <c r="Y34" i="2"/>
  <c r="AB45" i="2"/>
  <c r="AB29" i="2"/>
  <c r="AA34" i="2"/>
  <c r="Z47" i="2" l="1"/>
  <c r="Z34" i="2"/>
  <c r="AB30" i="2"/>
  <c r="AB31" i="2"/>
  <c r="AB46" i="2" l="1"/>
  <c r="AB32" i="2"/>
  <c r="AC32" i="2" l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AE40" i="2" s="1"/>
  <c r="AE42" i="2" s="1"/>
  <c r="AE43" i="2" s="1"/>
  <c r="AE45" i="2" s="1"/>
  <c r="AB34" i="2"/>
  <c r="AB47" i="2"/>
</calcChain>
</file>

<file path=xl/sharedStrings.xml><?xml version="1.0" encoding="utf-8"?>
<sst xmlns="http://schemas.openxmlformats.org/spreadsheetml/2006/main" count="75" uniqueCount="70">
  <si>
    <t>BAE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</si>
  <si>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</si>
  <si>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</si>
  <si>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</si>
  <si>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</si>
  <si>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</si>
  <si>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</si>
  <si>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</si>
  <si>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</si>
  <si>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</si>
  <si>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</si>
  <si>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H224</t>
  </si>
  <si>
    <t>Total revenue</t>
  </si>
  <si>
    <t>HQ revenue</t>
  </si>
  <si>
    <t>Electronic Systems revenue</t>
  </si>
  <si>
    <t>Platforms &amp; Services revenue</t>
  </si>
  <si>
    <t>Air revenue</t>
  </si>
  <si>
    <t>Maritime revenue</t>
  </si>
  <si>
    <t>Cyber &amp; Intelligence revenue</t>
  </si>
  <si>
    <t>Cost of sales</t>
  </si>
  <si>
    <t>Gross profit</t>
  </si>
  <si>
    <t>G&amp;A</t>
  </si>
  <si>
    <t>D&amp;A</t>
  </si>
  <si>
    <t>Impairment</t>
  </si>
  <si>
    <t>Restructuring</t>
  </si>
  <si>
    <t>Loss on disposal</t>
  </si>
  <si>
    <t>Other operating expenses</t>
  </si>
  <si>
    <t>Total operating expenses</t>
  </si>
  <si>
    <t>Operating profit</t>
  </si>
  <si>
    <t>H122</t>
  </si>
  <si>
    <t>H222</t>
  </si>
  <si>
    <t>H123</t>
  </si>
  <si>
    <t>H223</t>
  </si>
  <si>
    <t>H124</t>
  </si>
  <si>
    <t>H125</t>
  </si>
  <si>
    <t>H225</t>
  </si>
  <si>
    <t>US DoD</t>
  </si>
  <si>
    <t>UK MoD</t>
  </si>
  <si>
    <t>Saudi MoD</t>
  </si>
  <si>
    <t>Other income</t>
  </si>
  <si>
    <t>Investment income</t>
  </si>
  <si>
    <t>Finance income</t>
  </si>
  <si>
    <t>Finance expense</t>
  </si>
  <si>
    <t>Pretax profit</t>
  </si>
  <si>
    <t>Taxes</t>
  </si>
  <si>
    <t>MI</t>
  </si>
  <si>
    <t>Net profit</t>
  </si>
  <si>
    <t>EPS</t>
  </si>
  <si>
    <t>Total finance expense</t>
  </si>
  <si>
    <t>Revenue y/y</t>
  </si>
  <si>
    <t>Gross Margin</t>
  </si>
  <si>
    <t>G&amp;A y/y</t>
  </si>
  <si>
    <t>Other OpEx y/y</t>
  </si>
  <si>
    <t>Operating Margin</t>
  </si>
  <si>
    <t>Net Margin</t>
  </si>
  <si>
    <t>Electronic Systems revenue y/y</t>
  </si>
  <si>
    <t>Platforms &amp; Services revenue y/y</t>
  </si>
  <si>
    <t>Air revenue y/y</t>
  </si>
  <si>
    <t>Maritime revenue y/y</t>
  </si>
  <si>
    <t>Cyber &amp; Intelligence 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</si>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</sst>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0</xdr:row>
      <xdr:rowOff>0</xdr:rowOff>
    </xdr:from>
    <xdr:to>
      <xdr:col>17</xdr:col>
      <xdr:colOff>38100</xdr:colOff>
      <xdr:row>56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6B6D3E2-7E44-FDAE-86BD-8EDBB1D7747F}"/>
            </a:ext>
          </a:extLst>
        </xdr:cNvPr>
        <xdr:cNvCxnSpPr/>
      </xdr:nvCxnSpPr>
      <xdr:spPr>
        <a:xfrm>
          <a:off x="11506200" y="0"/>
          <a:ext cx="0" cy="9418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B2F0-D11F-40F1-B94B-E655C531577E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19.254999999999999</v>
      </c>
      <c r="E3" s="4">
        <v>45868</v>
      </c>
      <c r="F3" s="4">
        <f ca="1">TODAY()</f>
        <v>45904</v>
      </c>
      <c r="G3" s="4">
        <v>46072</v>
      </c>
    </row>
    <row r="4" spans="2:7" x14ac:dyDescent="0.3">
      <c r="C4" s="1" t="s">
        <v>2</v>
      </c>
      <c r="D4" s="6">
        <v>3000</v>
      </c>
      <c r="E4" s="3" t="s">
        <v>34</v>
      </c>
    </row>
    <row r="5" spans="2:7" x14ac:dyDescent="0.3">
      <c r="C5" s="1" t="s">
        <v>3</v>
      </c>
      <c r="D5" s="6">
        <f>D3*D4</f>
        <v>57765</v>
      </c>
    </row>
    <row r="6" spans="2:7" x14ac:dyDescent="0.3">
      <c r="C6" s="1" t="s">
        <v>4</v>
      </c>
      <c r="D6" s="6">
        <f>2153+634</f>
        <v>2787</v>
      </c>
      <c r="E6" s="3" t="s">
        <v>34</v>
      </c>
    </row>
    <row r="7" spans="2:7" x14ac:dyDescent="0.3">
      <c r="C7" s="1" t="s">
        <v>5</v>
      </c>
      <c r="D7" s="6">
        <f>641+7053</f>
        <v>7694</v>
      </c>
      <c r="E7" s="3" t="s">
        <v>34</v>
      </c>
    </row>
    <row r="8" spans="2:7" x14ac:dyDescent="0.3">
      <c r="C8" s="1" t="s">
        <v>6</v>
      </c>
      <c r="D8" s="6">
        <f>D6-D7</f>
        <v>-4907</v>
      </c>
    </row>
    <row r="9" spans="2:7" x14ac:dyDescent="0.3">
      <c r="C9" s="1" t="s">
        <v>7</v>
      </c>
      <c r="D9" s="6">
        <f>D5-D8</f>
        <v>62672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730E-B07D-4A18-B46C-B606E5676255}">
  <dimension ref="B2:EJ47"/>
  <sheetViews>
    <sheetView tabSelected="1" workbookViewId="0">
      <pane xSplit="2" ySplit="2" topLeftCell="O21" activePane="bottomRight" state="frozen"/>
      <selection pane="topRight" activeCell="C1" sqref="C1"/>
      <selection pane="bottomLeft" activeCell="A3" sqref="A3"/>
      <selection pane="bottomRight" activeCell="AE39" sqref="AE39"/>
    </sheetView>
  </sheetViews>
  <sheetFormatPr defaultRowHeight="14.4" x14ac:dyDescent="0.3"/>
  <cols>
    <col min="1" max="1" width="8.88671875" style="1"/>
    <col min="2" max="2" width="28.109375" style="1" bestFit="1" customWidth="1"/>
    <col min="3" max="29" width="8.88671875" style="1"/>
    <col min="30" max="30" width="12" style="1" bestFit="1" customWidth="1"/>
    <col min="31" max="31" width="13.21875" style="1" customWidth="1"/>
    <col min="32" max="16384" width="8.88671875" style="1"/>
  </cols>
  <sheetData>
    <row r="2" spans="2:28" x14ac:dyDescent="0.3"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11</v>
      </c>
      <c r="I2" s="7" t="s">
        <v>34</v>
      </c>
      <c r="J2" s="7" t="s">
        <v>35</v>
      </c>
      <c r="L2" s="1">
        <v>2019</v>
      </c>
      <c r="M2" s="1">
        <v>2020</v>
      </c>
      <c r="N2" s="1">
        <v>2021</v>
      </c>
      <c r="O2" s="1">
        <v>2022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  <c r="X2" s="1">
        <v>2031</v>
      </c>
      <c r="Y2" s="1">
        <v>2032</v>
      </c>
      <c r="Z2" s="1">
        <v>2033</v>
      </c>
      <c r="AA2" s="1">
        <v>2034</v>
      </c>
      <c r="AB2" s="1">
        <v>2035</v>
      </c>
    </row>
    <row r="3" spans="2:28" x14ac:dyDescent="0.3">
      <c r="B3" s="1" t="s">
        <v>36</v>
      </c>
      <c r="C3" s="7"/>
      <c r="D3" s="7"/>
      <c r="E3" s="7"/>
      <c r="F3" s="7"/>
      <c r="G3" s="7"/>
      <c r="H3" s="7"/>
      <c r="I3" s="7"/>
      <c r="J3" s="7"/>
      <c r="N3" s="6">
        <v>7008</v>
      </c>
      <c r="O3" s="6">
        <v>7439</v>
      </c>
      <c r="P3" s="6">
        <v>7518</v>
      </c>
      <c r="Q3" s="6">
        <v>8189</v>
      </c>
    </row>
    <row r="4" spans="2:28" x14ac:dyDescent="0.3">
      <c r="B4" s="1" t="s">
        <v>37</v>
      </c>
      <c r="C4" s="7"/>
      <c r="D4" s="7"/>
      <c r="E4" s="7"/>
      <c r="F4" s="7"/>
      <c r="G4" s="7"/>
      <c r="H4" s="7"/>
      <c r="I4" s="7"/>
      <c r="J4" s="7"/>
      <c r="N4" s="6">
        <v>4185</v>
      </c>
      <c r="O4" s="6">
        <v>4721</v>
      </c>
      <c r="P4" s="6">
        <v>5766</v>
      </c>
      <c r="Q4" s="6">
        <v>6478</v>
      </c>
    </row>
    <row r="5" spans="2:28" x14ac:dyDescent="0.3">
      <c r="B5" s="1" t="s">
        <v>38</v>
      </c>
      <c r="C5" s="7"/>
      <c r="D5" s="7"/>
      <c r="E5" s="7"/>
      <c r="F5" s="7"/>
      <c r="G5" s="7"/>
      <c r="H5" s="7"/>
      <c r="I5" s="7"/>
      <c r="J5" s="7"/>
      <c r="N5" s="6">
        <v>2380</v>
      </c>
      <c r="O5" s="6">
        <v>2425</v>
      </c>
      <c r="P5" s="6">
        <v>2607</v>
      </c>
      <c r="Q5" s="6">
        <v>2810</v>
      </c>
    </row>
    <row r="6" spans="2:28" x14ac:dyDescent="0.3">
      <c r="C6" s="7"/>
      <c r="D6" s="7"/>
      <c r="E6" s="7"/>
      <c r="F6" s="7"/>
      <c r="G6" s="7"/>
      <c r="H6" s="7"/>
      <c r="I6" s="7"/>
      <c r="J6" s="7"/>
    </row>
    <row r="7" spans="2:28" x14ac:dyDescent="0.3">
      <c r="B7" s="1" t="s">
        <v>14</v>
      </c>
      <c r="G7" s="6">
        <v>3304</v>
      </c>
      <c r="H7" s="6">
        <f>Q7-G7</f>
        <v>3684</v>
      </c>
      <c r="I7" s="6">
        <v>3484</v>
      </c>
      <c r="J7" s="6">
        <f>H7*1.02</f>
        <v>3757.6800000000003</v>
      </c>
      <c r="N7" s="6">
        <v>4390</v>
      </c>
      <c r="O7" s="6">
        <v>4942</v>
      </c>
      <c r="P7" s="6">
        <v>5299</v>
      </c>
      <c r="Q7" s="6">
        <v>6988</v>
      </c>
      <c r="R7" s="6">
        <f>SUM(I7:J7)</f>
        <v>7241.68</v>
      </c>
      <c r="S7" s="6">
        <f>R7*1.03</f>
        <v>7458.9304000000002</v>
      </c>
      <c r="T7" s="6">
        <f>S7*1.03</f>
        <v>7682.6983120000004</v>
      </c>
      <c r="U7" s="6">
        <f>T7*1.03</f>
        <v>7913.179261360001</v>
      </c>
      <c r="V7" s="6">
        <f>U7*1.03</f>
        <v>8150.5746392008014</v>
      </c>
      <c r="W7" s="6">
        <f t="shared" ref="W7" si="0">V7*1.03</f>
        <v>8395.0918783768248</v>
      </c>
      <c r="X7" s="6">
        <f>W7*1.02</f>
        <v>8562.9937159443616</v>
      </c>
      <c r="Y7" s="6">
        <f t="shared" ref="Y7:AB7" si="1">X7*1.02</f>
        <v>8734.2535902632499</v>
      </c>
      <c r="Z7" s="6">
        <f t="shared" si="1"/>
        <v>8908.9386620685145</v>
      </c>
      <c r="AA7" s="6">
        <f t="shared" si="1"/>
        <v>9087.117435309885</v>
      </c>
      <c r="AB7" s="6">
        <f t="shared" si="1"/>
        <v>9268.8597840160837</v>
      </c>
    </row>
    <row r="8" spans="2:28" x14ac:dyDescent="0.3">
      <c r="B8" s="1" t="s">
        <v>15</v>
      </c>
      <c r="G8" s="6">
        <v>2028</v>
      </c>
      <c r="H8" s="6">
        <f t="shared" ref="H8:H12" si="2">Q8-G8</f>
        <v>2260</v>
      </c>
      <c r="I8" s="6">
        <v>2433</v>
      </c>
      <c r="J8" s="6">
        <f>H8*1.16</f>
        <v>2621.6</v>
      </c>
      <c r="N8" s="6">
        <v>3284</v>
      </c>
      <c r="O8" s="6">
        <v>3555</v>
      </c>
      <c r="P8" s="6">
        <v>3796</v>
      </c>
      <c r="Q8" s="6">
        <v>4288</v>
      </c>
      <c r="R8" s="6">
        <f t="shared" ref="R8:R12" si="3">SUM(I8:J8)</f>
        <v>5054.6000000000004</v>
      </c>
      <c r="S8" s="6">
        <f>R8*1.12</f>
        <v>5661.152000000001</v>
      </c>
      <c r="T8" s="6">
        <f>S8*1.07</f>
        <v>6057.4326400000018</v>
      </c>
      <c r="U8" s="6">
        <f>T8*1.04</f>
        <v>6299.7299456000019</v>
      </c>
      <c r="V8" s="6">
        <f>U8*1.03</f>
        <v>6488.7218439680018</v>
      </c>
      <c r="W8" s="6">
        <f t="shared" ref="W8:AB8" si="4">V8*1.02</f>
        <v>6618.496280847362</v>
      </c>
      <c r="X8" s="6">
        <f t="shared" si="4"/>
        <v>6750.8662064643095</v>
      </c>
      <c r="Y8" s="6">
        <f t="shared" si="4"/>
        <v>6885.8835305935954</v>
      </c>
      <c r="Z8" s="6">
        <f t="shared" si="4"/>
        <v>7023.6012012054671</v>
      </c>
      <c r="AA8" s="6">
        <f t="shared" si="4"/>
        <v>7164.0732252295766</v>
      </c>
      <c r="AB8" s="6">
        <f t="shared" si="4"/>
        <v>7307.3546897341685</v>
      </c>
    </row>
    <row r="9" spans="2:28" x14ac:dyDescent="0.3">
      <c r="B9" s="1" t="s">
        <v>16</v>
      </c>
      <c r="G9" s="6">
        <v>3234</v>
      </c>
      <c r="H9" s="6">
        <f t="shared" si="2"/>
        <v>3606</v>
      </c>
      <c r="I9" s="6">
        <v>3445</v>
      </c>
      <c r="J9" s="6">
        <f>H9*1.05</f>
        <v>3786.3</v>
      </c>
      <c r="N9" s="6">
        <v>6022</v>
      </c>
      <c r="O9" s="6">
        <v>6257</v>
      </c>
      <c r="P9" s="6">
        <v>6484</v>
      </c>
      <c r="Q9" s="6">
        <v>6840</v>
      </c>
      <c r="R9" s="6">
        <f t="shared" si="3"/>
        <v>7231.3</v>
      </c>
      <c r="S9" s="6">
        <f>R9*1.04</f>
        <v>7520.5520000000006</v>
      </c>
      <c r="T9" s="6">
        <f>S9*1.03</f>
        <v>7746.168560000001</v>
      </c>
      <c r="U9" s="6">
        <f t="shared" ref="U9:W9" si="5">T9*1.02</f>
        <v>7901.0919312000015</v>
      </c>
      <c r="V9" s="6">
        <f t="shared" si="5"/>
        <v>8059.1137698240018</v>
      </c>
      <c r="W9" s="6">
        <f t="shared" si="5"/>
        <v>8220.2960452204825</v>
      </c>
      <c r="X9" s="6">
        <f>W9*1.01</f>
        <v>8302.4990056726874</v>
      </c>
      <c r="Y9" s="6">
        <f t="shared" ref="Y9:AB9" si="6">X9*1.01</f>
        <v>8385.5239957294143</v>
      </c>
      <c r="Z9" s="6">
        <f t="shared" si="6"/>
        <v>8469.3792356867089</v>
      </c>
      <c r="AA9" s="6">
        <f t="shared" si="6"/>
        <v>8554.0730280435764</v>
      </c>
      <c r="AB9" s="6">
        <f t="shared" si="6"/>
        <v>8639.6137583240125</v>
      </c>
    </row>
    <row r="10" spans="2:28" x14ac:dyDescent="0.3">
      <c r="B10" s="1" t="s">
        <v>17</v>
      </c>
      <c r="G10" s="6">
        <v>2802</v>
      </c>
      <c r="H10" s="6">
        <f t="shared" si="2"/>
        <v>3113</v>
      </c>
      <c r="I10" s="6">
        <v>3095</v>
      </c>
      <c r="J10" s="6">
        <f>H10*1.07</f>
        <v>3330.9100000000003</v>
      </c>
      <c r="N10" s="6">
        <v>4013</v>
      </c>
      <c r="O10" s="6">
        <v>4413</v>
      </c>
      <c r="P10" s="6">
        <v>5305</v>
      </c>
      <c r="Q10" s="6">
        <v>5915</v>
      </c>
      <c r="R10" s="6">
        <f t="shared" si="3"/>
        <v>6425.91</v>
      </c>
      <c r="S10" s="6">
        <f>R10*1.06</f>
        <v>6811.4646000000002</v>
      </c>
      <c r="T10" s="6">
        <f>S10*1.04</f>
        <v>7083.9231840000002</v>
      </c>
      <c r="U10" s="6">
        <f>T10*1.03</f>
        <v>7296.4408795200006</v>
      </c>
      <c r="V10" s="6">
        <f t="shared" ref="V10:W10" si="7">U10*1.02</f>
        <v>7442.3696971104009</v>
      </c>
      <c r="W10" s="6">
        <f t="shared" si="7"/>
        <v>7591.2170910526092</v>
      </c>
      <c r="X10" s="6">
        <f>W10*1.01</f>
        <v>7667.1292619631358</v>
      </c>
      <c r="Y10" s="6">
        <f t="shared" ref="Y10:AB10" si="8">X10*1.01</f>
        <v>7743.8005545827673</v>
      </c>
      <c r="Z10" s="6">
        <f t="shared" si="8"/>
        <v>7821.2385601285951</v>
      </c>
      <c r="AA10" s="6">
        <f t="shared" si="8"/>
        <v>7899.4509457298809</v>
      </c>
      <c r="AB10" s="6">
        <f t="shared" si="8"/>
        <v>7978.4454551871795</v>
      </c>
    </row>
    <row r="11" spans="2:28" x14ac:dyDescent="0.3">
      <c r="B11" s="1" t="s">
        <v>18</v>
      </c>
      <c r="G11" s="6">
        <v>1109</v>
      </c>
      <c r="H11" s="6">
        <f t="shared" si="2"/>
        <v>1162</v>
      </c>
      <c r="I11" s="6">
        <v>1110</v>
      </c>
      <c r="J11" s="6">
        <f>H11*1.01</f>
        <v>1173.6200000000001</v>
      </c>
      <c r="N11" s="6">
        <v>1812</v>
      </c>
      <c r="O11" s="6">
        <v>2091</v>
      </c>
      <c r="P11" s="6">
        <v>2194</v>
      </c>
      <c r="Q11" s="6">
        <v>2271</v>
      </c>
      <c r="R11" s="6">
        <f t="shared" si="3"/>
        <v>2283.62</v>
      </c>
      <c r="S11" s="6">
        <f>R11*1.02</f>
        <v>2329.2923999999998</v>
      </c>
      <c r="T11" s="6">
        <f>S11*1.02</f>
        <v>2375.878248</v>
      </c>
      <c r="U11" s="6">
        <f>T11*1.02</f>
        <v>2423.3958129600001</v>
      </c>
      <c r="V11" s="6">
        <f>U11*1.01</f>
        <v>2447.6297710896001</v>
      </c>
      <c r="W11" s="6">
        <f t="shared" ref="W11:AB11" si="9">V11*1.01</f>
        <v>2472.1060688004964</v>
      </c>
      <c r="X11" s="6">
        <f t="shared" si="9"/>
        <v>2496.8271294885012</v>
      </c>
      <c r="Y11" s="6">
        <f t="shared" si="9"/>
        <v>2521.7954007833864</v>
      </c>
      <c r="Z11" s="6">
        <f t="shared" si="9"/>
        <v>2547.0133547912201</v>
      </c>
      <c r="AA11" s="6">
        <f t="shared" si="9"/>
        <v>2572.4834883391322</v>
      </c>
      <c r="AB11" s="6">
        <f t="shared" si="9"/>
        <v>2598.2083232225236</v>
      </c>
    </row>
    <row r="12" spans="2:28" x14ac:dyDescent="0.3">
      <c r="B12" s="1" t="s">
        <v>13</v>
      </c>
      <c r="G12" s="6">
        <v>0</v>
      </c>
      <c r="H12" s="6">
        <f t="shared" si="2"/>
        <v>10</v>
      </c>
      <c r="I12" s="6">
        <v>4</v>
      </c>
      <c r="J12" s="6">
        <v>7</v>
      </c>
      <c r="N12" s="6">
        <v>0</v>
      </c>
      <c r="O12" s="6">
        <v>0</v>
      </c>
      <c r="P12" s="6">
        <v>0</v>
      </c>
      <c r="Q12" s="6">
        <v>10</v>
      </c>
      <c r="R12" s="6">
        <f t="shared" si="3"/>
        <v>11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2:28" s="2" customFormat="1" x14ac:dyDescent="0.3">
      <c r="B13" s="2" t="s">
        <v>12</v>
      </c>
      <c r="G13" s="9">
        <f>SUM(G7:G12)</f>
        <v>12477</v>
      </c>
      <c r="H13" s="9">
        <f>SUM(H7:H12)</f>
        <v>13835</v>
      </c>
      <c r="I13" s="9">
        <f>SUM(I7:I12)</f>
        <v>13571</v>
      </c>
      <c r="J13" s="9">
        <f>SUM(J7:J12)</f>
        <v>14677.110000000002</v>
      </c>
      <c r="N13" s="9">
        <f>SUM(N7:N12)</f>
        <v>19521</v>
      </c>
      <c r="O13" s="9">
        <f>SUM(O7:O12)</f>
        <v>21258</v>
      </c>
      <c r="P13" s="9">
        <f>SUM(P7:P12)</f>
        <v>23078</v>
      </c>
      <c r="Q13" s="9">
        <f>SUM(Q7:Q12)</f>
        <v>26312</v>
      </c>
      <c r="R13" s="9">
        <f>SUM(R7:R12)</f>
        <v>28248.11</v>
      </c>
      <c r="S13" s="9">
        <f t="shared" ref="S13:AB13" si="10">SUM(S7:S12)</f>
        <v>29781.3914</v>
      </c>
      <c r="T13" s="9">
        <f t="shared" si="10"/>
        <v>30946.100944000005</v>
      </c>
      <c r="U13" s="9">
        <f t="shared" si="10"/>
        <v>31833.837830640005</v>
      </c>
      <c r="V13" s="9">
        <f t="shared" si="10"/>
        <v>32588.409721192806</v>
      </c>
      <c r="W13" s="9">
        <f t="shared" si="10"/>
        <v>33297.20736429777</v>
      </c>
      <c r="X13" s="9">
        <f t="shared" si="10"/>
        <v>33780.315319532994</v>
      </c>
      <c r="Y13" s="9">
        <f t="shared" si="10"/>
        <v>34271.257071952408</v>
      </c>
      <c r="Z13" s="9">
        <f t="shared" si="10"/>
        <v>34770.171013880507</v>
      </c>
      <c r="AA13" s="9">
        <f t="shared" si="10"/>
        <v>35277.198122652051</v>
      </c>
      <c r="AB13" s="9">
        <f t="shared" si="10"/>
        <v>35792.482010483975</v>
      </c>
    </row>
    <row r="14" spans="2:28" x14ac:dyDescent="0.3">
      <c r="B14" s="1" t="s">
        <v>19</v>
      </c>
      <c r="G14" s="6"/>
      <c r="I14" s="6"/>
      <c r="N14" s="6">
        <f>6934+27</f>
        <v>6961</v>
      </c>
      <c r="O14" s="6">
        <f>7088+6</f>
        <v>7094</v>
      </c>
      <c r="P14" s="6">
        <v>7873</v>
      </c>
      <c r="Q14" s="6">
        <v>9085</v>
      </c>
      <c r="R14" s="6">
        <f>R13-R15</f>
        <v>9886.838499999998</v>
      </c>
      <c r="S14" s="6">
        <f t="shared" ref="S14:AB14" si="11">S13-S15</f>
        <v>10423.486990000001</v>
      </c>
      <c r="T14" s="6">
        <f t="shared" si="11"/>
        <v>10831.1353304</v>
      </c>
      <c r="U14" s="6">
        <f t="shared" si="11"/>
        <v>11141.843240724</v>
      </c>
      <c r="V14" s="6">
        <f t="shared" si="11"/>
        <v>11405.943402417481</v>
      </c>
      <c r="W14" s="6">
        <f t="shared" si="11"/>
        <v>11654.02257750422</v>
      </c>
      <c r="X14" s="6">
        <f t="shared" si="11"/>
        <v>11823.110361836549</v>
      </c>
      <c r="Y14" s="6">
        <f t="shared" si="11"/>
        <v>11994.939975183341</v>
      </c>
      <c r="Z14" s="6">
        <f t="shared" si="11"/>
        <v>12169.559854858177</v>
      </c>
      <c r="AA14" s="6">
        <f t="shared" si="11"/>
        <v>12347.019342928215</v>
      </c>
      <c r="AB14" s="6">
        <f t="shared" si="11"/>
        <v>12527.368703669392</v>
      </c>
    </row>
    <row r="15" spans="2:28" s="2" customFormat="1" x14ac:dyDescent="0.3">
      <c r="B15" s="2" t="s">
        <v>20</v>
      </c>
      <c r="G15" s="9"/>
      <c r="I15" s="9"/>
      <c r="N15" s="9">
        <f>N13-N14</f>
        <v>12560</v>
      </c>
      <c r="O15" s="9">
        <f>O13-O14</f>
        <v>14164</v>
      </c>
      <c r="P15" s="9">
        <f>P13-P14</f>
        <v>15205</v>
      </c>
      <c r="Q15" s="9">
        <f>Q13-Q14</f>
        <v>17227</v>
      </c>
      <c r="R15" s="9">
        <f>R13*0.65</f>
        <v>18361.271500000003</v>
      </c>
      <c r="S15" s="9">
        <f t="shared" ref="S15:AB15" si="12">S13*0.65</f>
        <v>19357.904409999999</v>
      </c>
      <c r="T15" s="9">
        <f t="shared" si="12"/>
        <v>20114.965613600005</v>
      </c>
      <c r="U15" s="9">
        <f t="shared" si="12"/>
        <v>20691.994589916005</v>
      </c>
      <c r="V15" s="9">
        <f t="shared" si="12"/>
        <v>21182.466318775325</v>
      </c>
      <c r="W15" s="9">
        <f t="shared" si="12"/>
        <v>21643.18478679355</v>
      </c>
      <c r="X15" s="9">
        <f t="shared" si="12"/>
        <v>21957.204957696445</v>
      </c>
      <c r="Y15" s="9">
        <f t="shared" si="12"/>
        <v>22276.317096769068</v>
      </c>
      <c r="Z15" s="9">
        <f t="shared" si="12"/>
        <v>22600.61115902233</v>
      </c>
      <c r="AA15" s="9">
        <f t="shared" si="12"/>
        <v>22930.178779723836</v>
      </c>
      <c r="AB15" s="9">
        <f t="shared" si="12"/>
        <v>23265.113306814583</v>
      </c>
    </row>
    <row r="16" spans="2:28" x14ac:dyDescent="0.3">
      <c r="B16" s="1" t="s">
        <v>21</v>
      </c>
      <c r="G16" s="6"/>
      <c r="I16" s="6"/>
      <c r="N16" s="6">
        <v>6667</v>
      </c>
      <c r="O16" s="6">
        <v>7495</v>
      </c>
      <c r="P16" s="6">
        <v>8091</v>
      </c>
      <c r="Q16" s="6">
        <v>9252</v>
      </c>
      <c r="R16" s="6">
        <f>Q16*1.09</f>
        <v>10084.68</v>
      </c>
      <c r="S16" s="6">
        <f>R16*1.05</f>
        <v>10588.914000000001</v>
      </c>
      <c r="T16" s="6">
        <f>S16*1.03</f>
        <v>10906.58142</v>
      </c>
      <c r="U16" s="6">
        <f>T16*1.02</f>
        <v>11124.713048400001</v>
      </c>
      <c r="V16" s="6">
        <f>U16*1.01</f>
        <v>11235.960178884001</v>
      </c>
      <c r="W16" s="6">
        <f t="shared" ref="W16:AB16" si="13">V16*1.01</f>
        <v>11348.31978067284</v>
      </c>
      <c r="X16" s="6">
        <f t="shared" si="13"/>
        <v>11461.802978479569</v>
      </c>
      <c r="Y16" s="6">
        <f t="shared" si="13"/>
        <v>11576.421008264364</v>
      </c>
      <c r="Z16" s="6">
        <f t="shared" si="13"/>
        <v>11692.185218347007</v>
      </c>
      <c r="AA16" s="6">
        <f t="shared" si="13"/>
        <v>11809.107070530477</v>
      </c>
      <c r="AB16" s="6">
        <f t="shared" si="13"/>
        <v>11927.198141235782</v>
      </c>
    </row>
    <row r="17" spans="2:140" x14ac:dyDescent="0.3">
      <c r="B17" s="1" t="s">
        <v>22</v>
      </c>
      <c r="G17" s="6"/>
      <c r="I17" s="6"/>
      <c r="N17" s="6">
        <f>513+188</f>
        <v>701</v>
      </c>
      <c r="O17" s="6">
        <f>549+215</f>
        <v>764</v>
      </c>
      <c r="P17" s="6">
        <f>564+218</f>
        <v>782</v>
      </c>
      <c r="Q17" s="6">
        <f>663+422</f>
        <v>1085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2:140" x14ac:dyDescent="0.3">
      <c r="B18" s="1" t="s">
        <v>23</v>
      </c>
      <c r="G18" s="6"/>
      <c r="I18" s="6"/>
      <c r="N18" s="6">
        <f>4+15</f>
        <v>19</v>
      </c>
      <c r="O18" s="6">
        <f>2+1</f>
        <v>3</v>
      </c>
      <c r="P18" s="6">
        <v>5</v>
      </c>
      <c r="Q18" s="6">
        <f>6+6</f>
        <v>12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2:140" x14ac:dyDescent="0.3">
      <c r="B19" s="1" t="s">
        <v>24</v>
      </c>
      <c r="G19" s="6"/>
      <c r="I19" s="6"/>
      <c r="N19" s="6">
        <v>3</v>
      </c>
      <c r="O19" s="6">
        <v>16</v>
      </c>
      <c r="P19" s="6">
        <v>20</v>
      </c>
      <c r="Q19" s="6">
        <v>72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2:140" x14ac:dyDescent="0.3">
      <c r="B20" s="1" t="s">
        <v>25</v>
      </c>
      <c r="G20" s="6"/>
      <c r="I20" s="6"/>
      <c r="N20" s="6">
        <v>2</v>
      </c>
      <c r="O20" s="6">
        <v>2</v>
      </c>
      <c r="P20" s="6">
        <v>1</v>
      </c>
      <c r="Q20" s="6">
        <v>18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2:140" x14ac:dyDescent="0.3">
      <c r="B21" s="1" t="s">
        <v>26</v>
      </c>
      <c r="G21" s="6"/>
      <c r="I21" s="6"/>
      <c r="N21" s="6">
        <v>3390</v>
      </c>
      <c r="O21" s="6">
        <v>3895</v>
      </c>
      <c r="P21" s="6">
        <v>4145</v>
      </c>
      <c r="Q21" s="6">
        <v>4582</v>
      </c>
      <c r="R21" s="6">
        <f>Q21*1.05</f>
        <v>4811.1000000000004</v>
      </c>
      <c r="S21" s="6">
        <f>R21*1.03</f>
        <v>4955.4330000000009</v>
      </c>
      <c r="T21" s="6">
        <f>S21*1.02</f>
        <v>5054.5416600000008</v>
      </c>
      <c r="U21" s="6">
        <f>T21*1.02</f>
        <v>5155.6324932000007</v>
      </c>
      <c r="V21" s="6">
        <f>U21*1.02</f>
        <v>5258.7451430640012</v>
      </c>
      <c r="W21" s="6">
        <f>V21*1.01</f>
        <v>5311.3325944946409</v>
      </c>
      <c r="X21" s="6">
        <f t="shared" ref="X21:AB21" si="14">W21*1.01</f>
        <v>5364.4459204395871</v>
      </c>
      <c r="Y21" s="6">
        <f t="shared" si="14"/>
        <v>5418.0903796439834</v>
      </c>
      <c r="Z21" s="6">
        <f t="shared" si="14"/>
        <v>5472.2712834404228</v>
      </c>
      <c r="AA21" s="6">
        <f t="shared" si="14"/>
        <v>5526.9939962748267</v>
      </c>
      <c r="AB21" s="6">
        <f t="shared" si="14"/>
        <v>5582.2639362375749</v>
      </c>
    </row>
    <row r="22" spans="2:140" x14ac:dyDescent="0.3">
      <c r="B22" s="1" t="s">
        <v>27</v>
      </c>
      <c r="G22" s="6"/>
      <c r="I22" s="6"/>
      <c r="N22" s="6">
        <f>SUM(N16:N21)</f>
        <v>10782</v>
      </c>
      <c r="O22" s="6">
        <f>SUM(O16:O21)</f>
        <v>12175</v>
      </c>
      <c r="P22" s="6">
        <f>SUM(P16:P21)</f>
        <v>13044</v>
      </c>
      <c r="Q22" s="6">
        <f>SUM(Q16:Q21)</f>
        <v>15021</v>
      </c>
      <c r="R22" s="6">
        <f>SUM(R16:R21)</f>
        <v>14895.78</v>
      </c>
      <c r="S22" s="6">
        <f t="shared" ref="S22:AB22" si="15">SUM(S16:S21)</f>
        <v>15544.347000000002</v>
      </c>
      <c r="T22" s="6">
        <f t="shared" si="15"/>
        <v>15961.123080000001</v>
      </c>
      <c r="U22" s="6">
        <f t="shared" si="15"/>
        <v>16280.345541600002</v>
      </c>
      <c r="V22" s="6">
        <f t="shared" si="15"/>
        <v>16494.705321948</v>
      </c>
      <c r="W22" s="6">
        <f t="shared" si="15"/>
        <v>16659.652375167483</v>
      </c>
      <c r="X22" s="6">
        <f t="shared" si="15"/>
        <v>16826.248898919155</v>
      </c>
      <c r="Y22" s="6">
        <f t="shared" si="15"/>
        <v>16994.511387908347</v>
      </c>
      <c r="Z22" s="6">
        <f t="shared" si="15"/>
        <v>17164.45650178743</v>
      </c>
      <c r="AA22" s="6">
        <f t="shared" si="15"/>
        <v>17336.101066805306</v>
      </c>
      <c r="AB22" s="6">
        <f t="shared" si="15"/>
        <v>17509.462077473356</v>
      </c>
    </row>
    <row r="23" spans="2:140" s="2" customFormat="1" x14ac:dyDescent="0.3">
      <c r="B23" s="2" t="s">
        <v>28</v>
      </c>
      <c r="G23" s="9">
        <v>1296</v>
      </c>
      <c r="I23" s="9">
        <v>1327</v>
      </c>
      <c r="N23" s="9">
        <f>N15-N22</f>
        <v>1778</v>
      </c>
      <c r="O23" s="9">
        <f>O15-O22</f>
        <v>1989</v>
      </c>
      <c r="P23" s="9">
        <f>P15-P22</f>
        <v>2161</v>
      </c>
      <c r="Q23" s="9">
        <f>Q15-Q22</f>
        <v>2206</v>
      </c>
      <c r="R23" s="9">
        <f>R15-R22</f>
        <v>3465.4915000000019</v>
      </c>
      <c r="S23" s="9">
        <f t="shared" ref="S23:AB23" si="16">S15-S22</f>
        <v>3813.5574099999976</v>
      </c>
      <c r="T23" s="9">
        <f t="shared" si="16"/>
        <v>4153.8425336000037</v>
      </c>
      <c r="U23" s="9">
        <f t="shared" si="16"/>
        <v>4411.6490483160032</v>
      </c>
      <c r="V23" s="9">
        <f t="shared" si="16"/>
        <v>4687.7609968273246</v>
      </c>
      <c r="W23" s="9">
        <f t="shared" si="16"/>
        <v>4983.5324116260672</v>
      </c>
      <c r="X23" s="9">
        <f t="shared" si="16"/>
        <v>5130.9560587772903</v>
      </c>
      <c r="Y23" s="9">
        <f t="shared" si="16"/>
        <v>5281.8057088607202</v>
      </c>
      <c r="Z23" s="9">
        <f t="shared" si="16"/>
        <v>5436.1546572348998</v>
      </c>
      <c r="AA23" s="9">
        <f t="shared" si="16"/>
        <v>5594.0777129185299</v>
      </c>
      <c r="AB23" s="9">
        <f t="shared" si="16"/>
        <v>5755.651229341227</v>
      </c>
    </row>
    <row r="24" spans="2:140" x14ac:dyDescent="0.3">
      <c r="B24" s="1" t="s">
        <v>39</v>
      </c>
      <c r="G24" s="6"/>
      <c r="I24" s="6"/>
      <c r="N24" s="6">
        <v>-472</v>
      </c>
      <c r="O24" s="6">
        <v>-215</v>
      </c>
      <c r="P24" s="6">
        <v>-204</v>
      </c>
      <c r="Q24" s="6">
        <v>-266</v>
      </c>
      <c r="R24" s="6">
        <f>Q24*1.02</f>
        <v>-271.32</v>
      </c>
      <c r="S24" s="6">
        <f t="shared" ref="S24:AB24" si="17">R24*1.02</f>
        <v>-276.74639999999999</v>
      </c>
      <c r="T24" s="6">
        <f t="shared" si="17"/>
        <v>-282.28132799999997</v>
      </c>
      <c r="U24" s="6">
        <f t="shared" si="17"/>
        <v>-287.92695455999996</v>
      </c>
      <c r="V24" s="6">
        <f t="shared" si="17"/>
        <v>-293.68549365119998</v>
      </c>
      <c r="W24" s="6">
        <f t="shared" si="17"/>
        <v>-299.55920352422396</v>
      </c>
      <c r="X24" s="6">
        <f t="shared" si="17"/>
        <v>-305.55038759470847</v>
      </c>
      <c r="Y24" s="6">
        <f t="shared" si="17"/>
        <v>-311.66139534660266</v>
      </c>
      <c r="Z24" s="6">
        <f t="shared" si="17"/>
        <v>-317.89462325353475</v>
      </c>
      <c r="AA24" s="6">
        <f t="shared" si="17"/>
        <v>-324.25251571860542</v>
      </c>
      <c r="AB24" s="6">
        <f t="shared" si="17"/>
        <v>-330.73756603297755</v>
      </c>
    </row>
    <row r="25" spans="2:140" x14ac:dyDescent="0.3">
      <c r="B25" s="1" t="s">
        <v>40</v>
      </c>
      <c r="G25" s="6"/>
      <c r="I25" s="6"/>
      <c r="N25" s="6">
        <v>-139</v>
      </c>
      <c r="O25" s="6">
        <v>-180</v>
      </c>
      <c r="P25" s="6">
        <v>-208</v>
      </c>
      <c r="Q25" s="6">
        <v>-213</v>
      </c>
      <c r="R25" s="6">
        <f t="shared" ref="R25:AB28" si="18">Q25*1.02</f>
        <v>-217.26</v>
      </c>
      <c r="S25" s="6">
        <f t="shared" si="18"/>
        <v>-221.6052</v>
      </c>
      <c r="T25" s="6">
        <f t="shared" si="18"/>
        <v>-226.03730400000001</v>
      </c>
      <c r="U25" s="6">
        <f t="shared" si="18"/>
        <v>-230.55805008000002</v>
      </c>
      <c r="V25" s="6">
        <f t="shared" si="18"/>
        <v>-235.16921108160003</v>
      </c>
      <c r="W25" s="6">
        <f t="shared" si="18"/>
        <v>-239.87259530323203</v>
      </c>
      <c r="X25" s="6">
        <f t="shared" si="18"/>
        <v>-244.67004720929668</v>
      </c>
      <c r="Y25" s="6">
        <f t="shared" si="18"/>
        <v>-249.56344815348263</v>
      </c>
      <c r="Z25" s="6">
        <f t="shared" si="18"/>
        <v>-254.55471711655227</v>
      </c>
      <c r="AA25" s="6">
        <f t="shared" si="18"/>
        <v>-259.64581145888332</v>
      </c>
      <c r="AB25" s="6">
        <f t="shared" si="18"/>
        <v>-264.838727688061</v>
      </c>
    </row>
    <row r="26" spans="2:140" x14ac:dyDescent="0.3">
      <c r="B26" s="1" t="s">
        <v>41</v>
      </c>
      <c r="G26" s="6">
        <v>-69</v>
      </c>
      <c r="I26" s="6">
        <v>-65</v>
      </c>
      <c r="N26" s="6">
        <v>-32</v>
      </c>
      <c r="O26" s="6">
        <v>-47</v>
      </c>
      <c r="P26" s="6">
        <v>-172</v>
      </c>
      <c r="Q26" s="6">
        <v>-135</v>
      </c>
      <c r="R26" s="6">
        <f t="shared" si="18"/>
        <v>-137.69999999999999</v>
      </c>
      <c r="S26" s="6">
        <f t="shared" si="18"/>
        <v>-140.45399999999998</v>
      </c>
      <c r="T26" s="6">
        <f t="shared" si="18"/>
        <v>-143.26307999999997</v>
      </c>
      <c r="U26" s="6">
        <f t="shared" si="18"/>
        <v>-146.12834159999997</v>
      </c>
      <c r="V26" s="6">
        <f t="shared" si="18"/>
        <v>-149.05090843199997</v>
      </c>
      <c r="W26" s="6">
        <f t="shared" si="18"/>
        <v>-152.03192660063996</v>
      </c>
      <c r="X26" s="6">
        <f t="shared" si="18"/>
        <v>-155.07256513265276</v>
      </c>
      <c r="Y26" s="6">
        <f t="shared" si="18"/>
        <v>-158.17401643530582</v>
      </c>
      <c r="Z26" s="6">
        <f t="shared" si="18"/>
        <v>-161.33749676401195</v>
      </c>
      <c r="AA26" s="6">
        <f t="shared" si="18"/>
        <v>-164.5642466992922</v>
      </c>
      <c r="AB26" s="6">
        <f t="shared" si="18"/>
        <v>-167.85553163327805</v>
      </c>
    </row>
    <row r="27" spans="2:140" x14ac:dyDescent="0.3">
      <c r="B27" s="1" t="s">
        <v>42</v>
      </c>
      <c r="G27" s="6">
        <v>202</v>
      </c>
      <c r="I27" s="6">
        <v>203</v>
      </c>
      <c r="N27" s="6">
        <v>311</v>
      </c>
      <c r="O27" s="6">
        <v>442</v>
      </c>
      <c r="P27" s="6">
        <v>419</v>
      </c>
      <c r="Q27" s="6">
        <v>488</v>
      </c>
      <c r="R27" s="6">
        <f t="shared" si="18"/>
        <v>497.76</v>
      </c>
      <c r="S27" s="6">
        <f t="shared" si="18"/>
        <v>507.71519999999998</v>
      </c>
      <c r="T27" s="6">
        <f t="shared" si="18"/>
        <v>517.86950400000001</v>
      </c>
      <c r="U27" s="6">
        <f t="shared" si="18"/>
        <v>528.22689407999997</v>
      </c>
      <c r="V27" s="6">
        <f t="shared" si="18"/>
        <v>538.79143196159998</v>
      </c>
      <c r="W27" s="6">
        <f t="shared" si="18"/>
        <v>549.56726060083201</v>
      </c>
      <c r="X27" s="6">
        <f t="shared" si="18"/>
        <v>560.55860581284867</v>
      </c>
      <c r="Y27" s="6">
        <f t="shared" si="18"/>
        <v>571.76977792910566</v>
      </c>
      <c r="Z27" s="6">
        <f t="shared" si="18"/>
        <v>583.20517348768783</v>
      </c>
      <c r="AA27" s="6">
        <f t="shared" si="18"/>
        <v>594.86927695744157</v>
      </c>
      <c r="AB27" s="6">
        <f t="shared" si="18"/>
        <v>606.76666249659036</v>
      </c>
    </row>
    <row r="28" spans="2:140" x14ac:dyDescent="0.3">
      <c r="B28" s="1" t="s">
        <v>48</v>
      </c>
      <c r="G28" s="6">
        <f t="shared" ref="G28:I28" si="19">SUM(G24:G27)</f>
        <v>133</v>
      </c>
      <c r="I28" s="6">
        <f t="shared" si="19"/>
        <v>138</v>
      </c>
      <c r="N28" s="6">
        <f t="shared" ref="N28:O28" si="20">SUM(N24:N27)</f>
        <v>-332</v>
      </c>
      <c r="O28" s="6">
        <f t="shared" si="20"/>
        <v>0</v>
      </c>
      <c r="P28" s="6">
        <f>SUM(P24:P27)</f>
        <v>-165</v>
      </c>
      <c r="Q28" s="6">
        <f>SUM(Q24:Q27)</f>
        <v>-126</v>
      </c>
      <c r="R28" s="6">
        <f t="shared" si="18"/>
        <v>-128.52000000000001</v>
      </c>
      <c r="S28" s="6">
        <f t="shared" si="18"/>
        <v>-131.09040000000002</v>
      </c>
      <c r="T28" s="6">
        <f t="shared" si="18"/>
        <v>-133.71220800000003</v>
      </c>
      <c r="U28" s="6">
        <f t="shared" si="18"/>
        <v>-136.38645216000003</v>
      </c>
      <c r="V28" s="6">
        <f t="shared" si="18"/>
        <v>-139.11418120320005</v>
      </c>
      <c r="W28" s="6">
        <f t="shared" si="18"/>
        <v>-141.89646482726405</v>
      </c>
      <c r="X28" s="6">
        <f t="shared" si="18"/>
        <v>-144.73439412380935</v>
      </c>
      <c r="Y28" s="6">
        <f t="shared" si="18"/>
        <v>-147.62908200628553</v>
      </c>
      <c r="Z28" s="6">
        <f t="shared" si="18"/>
        <v>-150.58166364641124</v>
      </c>
      <c r="AA28" s="6">
        <f t="shared" si="18"/>
        <v>-153.59329691933948</v>
      </c>
      <c r="AB28" s="6">
        <f t="shared" si="18"/>
        <v>-156.66516285772627</v>
      </c>
    </row>
    <row r="29" spans="2:140" s="2" customFormat="1" x14ac:dyDescent="0.3">
      <c r="B29" s="2" t="s">
        <v>43</v>
      </c>
      <c r="G29" s="9">
        <f>G23-G28</f>
        <v>1163</v>
      </c>
      <c r="I29" s="9">
        <f>I23-I28</f>
        <v>1189</v>
      </c>
      <c r="N29" s="9">
        <f>N23-N28</f>
        <v>2110</v>
      </c>
      <c r="O29" s="9">
        <f>O23-O28</f>
        <v>1989</v>
      </c>
      <c r="P29" s="9">
        <f>P23-P28</f>
        <v>2326</v>
      </c>
      <c r="Q29" s="9">
        <f>Q23-Q28</f>
        <v>2332</v>
      </c>
      <c r="R29" s="9">
        <f>R23-R28</f>
        <v>3594.0115000000019</v>
      </c>
      <c r="S29" s="9">
        <f t="shared" ref="S29:AB29" si="21">S23-S28</f>
        <v>3944.6478099999977</v>
      </c>
      <c r="T29" s="9">
        <f t="shared" si="21"/>
        <v>4287.5547416000036</v>
      </c>
      <c r="U29" s="9">
        <f t="shared" si="21"/>
        <v>4548.0355004760031</v>
      </c>
      <c r="V29" s="9">
        <f t="shared" si="21"/>
        <v>4826.8751780305247</v>
      </c>
      <c r="W29" s="9">
        <f t="shared" si="21"/>
        <v>5125.4288764533312</v>
      </c>
      <c r="X29" s="9">
        <f t="shared" si="21"/>
        <v>5275.6904529010999</v>
      </c>
      <c r="Y29" s="9">
        <f t="shared" si="21"/>
        <v>5429.4347908670061</v>
      </c>
      <c r="Z29" s="9">
        <f t="shared" si="21"/>
        <v>5586.7363208813113</v>
      </c>
      <c r="AA29" s="9">
        <f t="shared" si="21"/>
        <v>5747.671009837869</v>
      </c>
      <c r="AB29" s="9">
        <f t="shared" si="21"/>
        <v>5912.3163921989535</v>
      </c>
    </row>
    <row r="30" spans="2:140" x14ac:dyDescent="0.3">
      <c r="B30" s="1" t="s">
        <v>44</v>
      </c>
      <c r="G30" s="6">
        <v>175</v>
      </c>
      <c r="I30" s="6">
        <v>178</v>
      </c>
      <c r="N30" s="6">
        <v>198</v>
      </c>
      <c r="O30" s="6">
        <v>315</v>
      </c>
      <c r="P30" s="6">
        <v>386</v>
      </c>
      <c r="Q30" s="6">
        <v>291</v>
      </c>
      <c r="R30" s="6">
        <f>R29*0.14</f>
        <v>503.16161000000034</v>
      </c>
      <c r="S30" s="6">
        <f t="shared" ref="S30:AB30" si="22">S29*0.14</f>
        <v>552.2506933999997</v>
      </c>
      <c r="T30" s="6">
        <f t="shared" si="22"/>
        <v>600.25766382400059</v>
      </c>
      <c r="U30" s="6">
        <f t="shared" si="22"/>
        <v>636.72497006664048</v>
      </c>
      <c r="V30" s="6">
        <f t="shared" si="22"/>
        <v>675.76252492427352</v>
      </c>
      <c r="W30" s="6">
        <f t="shared" si="22"/>
        <v>717.56004270346648</v>
      </c>
      <c r="X30" s="6">
        <f t="shared" si="22"/>
        <v>738.59666340615411</v>
      </c>
      <c r="Y30" s="6">
        <f t="shared" si="22"/>
        <v>760.12087072138092</v>
      </c>
      <c r="Z30" s="6">
        <f t="shared" si="22"/>
        <v>782.14308492338364</v>
      </c>
      <c r="AA30" s="6">
        <f t="shared" si="22"/>
        <v>804.67394137730173</v>
      </c>
      <c r="AB30" s="6">
        <f t="shared" si="22"/>
        <v>827.72429490785362</v>
      </c>
    </row>
    <row r="31" spans="2:140" x14ac:dyDescent="0.3">
      <c r="B31" s="1" t="s">
        <v>45</v>
      </c>
      <c r="G31" s="6">
        <v>40</v>
      </c>
      <c r="I31" s="6">
        <v>42</v>
      </c>
      <c r="N31" s="6">
        <v>154</v>
      </c>
      <c r="O31" s="6">
        <v>83</v>
      </c>
      <c r="P31" s="6">
        <v>83</v>
      </c>
      <c r="Q31" s="6">
        <v>85</v>
      </c>
      <c r="R31" s="6">
        <f>R29*0.03</f>
        <v>107.82034500000005</v>
      </c>
      <c r="S31" s="6">
        <f t="shared" ref="S31:AB31" si="23">S29*0.03</f>
        <v>118.33943429999992</v>
      </c>
      <c r="T31" s="6">
        <f t="shared" si="23"/>
        <v>128.62664224800011</v>
      </c>
      <c r="U31" s="6">
        <f t="shared" si="23"/>
        <v>136.4410650142801</v>
      </c>
      <c r="V31" s="6">
        <f t="shared" si="23"/>
        <v>144.80625534091573</v>
      </c>
      <c r="W31" s="6">
        <f t="shared" si="23"/>
        <v>153.76286629359993</v>
      </c>
      <c r="X31" s="6">
        <f t="shared" si="23"/>
        <v>158.27071358703299</v>
      </c>
      <c r="Y31" s="6">
        <f t="shared" si="23"/>
        <v>162.88304372601019</v>
      </c>
      <c r="Z31" s="6">
        <f t="shared" si="23"/>
        <v>167.60208962643932</v>
      </c>
      <c r="AA31" s="6">
        <f t="shared" si="23"/>
        <v>172.43013029513605</v>
      </c>
      <c r="AB31" s="6">
        <f t="shared" si="23"/>
        <v>177.3694917659686</v>
      </c>
    </row>
    <row r="32" spans="2:140" s="2" customFormat="1" x14ac:dyDescent="0.3">
      <c r="B32" s="2" t="s">
        <v>46</v>
      </c>
      <c r="G32" s="9">
        <f>G29-G30-G31</f>
        <v>948</v>
      </c>
      <c r="I32" s="9">
        <f>I29-I30-I31</f>
        <v>969</v>
      </c>
      <c r="N32" s="9">
        <f>N29-N30-N31</f>
        <v>1758</v>
      </c>
      <c r="O32" s="9">
        <f>O29-O30-O31</f>
        <v>1591</v>
      </c>
      <c r="P32" s="9">
        <f>P29-P30-P31</f>
        <v>1857</v>
      </c>
      <c r="Q32" s="9">
        <f>Q29-Q30-Q31</f>
        <v>1956</v>
      </c>
      <c r="R32" s="9">
        <f>R29-R30-R31</f>
        <v>2983.0295450000012</v>
      </c>
      <c r="S32" s="9">
        <f t="shared" ref="S32:AB32" si="24">S29-S30-S31</f>
        <v>3274.0576822999979</v>
      </c>
      <c r="T32" s="9">
        <f t="shared" si="24"/>
        <v>3558.6704355280026</v>
      </c>
      <c r="U32" s="9">
        <f t="shared" si="24"/>
        <v>3774.8694653950824</v>
      </c>
      <c r="V32" s="9">
        <f t="shared" si="24"/>
        <v>4006.3063977653351</v>
      </c>
      <c r="W32" s="9">
        <f t="shared" si="24"/>
        <v>4254.1059674562639</v>
      </c>
      <c r="X32" s="9">
        <f t="shared" si="24"/>
        <v>4378.8230759079124</v>
      </c>
      <c r="Y32" s="9">
        <f t="shared" si="24"/>
        <v>4506.4308764196148</v>
      </c>
      <c r="Z32" s="9">
        <f t="shared" si="24"/>
        <v>4636.9911463314884</v>
      </c>
      <c r="AA32" s="9">
        <f t="shared" si="24"/>
        <v>4770.5669381654307</v>
      </c>
      <c r="AB32" s="9">
        <f t="shared" si="24"/>
        <v>4907.2226055251313</v>
      </c>
      <c r="AC32" s="2">
        <f>AB32*(1+$AE$38)</f>
        <v>4858.1503794698801</v>
      </c>
      <c r="AD32" s="2">
        <f t="shared" ref="AD32:CO32" si="25">AC32*(1+$AE$38)</f>
        <v>4809.5688756751815</v>
      </c>
      <c r="AE32" s="2">
        <f t="shared" si="25"/>
        <v>4761.4731869184297</v>
      </c>
      <c r="AF32" s="2">
        <f t="shared" si="25"/>
        <v>4713.8584550492451</v>
      </c>
      <c r="AG32" s="2">
        <f t="shared" si="25"/>
        <v>4666.7198704987522</v>
      </c>
      <c r="AH32" s="2">
        <f t="shared" si="25"/>
        <v>4620.0526717937646</v>
      </c>
      <c r="AI32" s="2">
        <f t="shared" si="25"/>
        <v>4573.8521450758271</v>
      </c>
      <c r="AJ32" s="2">
        <f t="shared" si="25"/>
        <v>4528.1136236250686</v>
      </c>
      <c r="AK32" s="2">
        <f t="shared" si="25"/>
        <v>4482.8324873888178</v>
      </c>
      <c r="AL32" s="2">
        <f t="shared" si="25"/>
        <v>4438.0041625149297</v>
      </c>
      <c r="AM32" s="2">
        <f t="shared" si="25"/>
        <v>4393.62412088978</v>
      </c>
      <c r="AN32" s="2">
        <f t="shared" si="25"/>
        <v>4349.6878796808824</v>
      </c>
      <c r="AO32" s="2">
        <f t="shared" si="25"/>
        <v>4306.1910008840732</v>
      </c>
      <c r="AP32" s="2">
        <f t="shared" si="25"/>
        <v>4263.1290908752326</v>
      </c>
      <c r="AQ32" s="2">
        <f t="shared" si="25"/>
        <v>4220.4977999664798</v>
      </c>
      <c r="AR32" s="2">
        <f t="shared" si="25"/>
        <v>4178.2928219668147</v>
      </c>
      <c r="AS32" s="2">
        <f t="shared" si="25"/>
        <v>4136.5098937471466</v>
      </c>
      <c r="AT32" s="2">
        <f t="shared" si="25"/>
        <v>4095.1447948096752</v>
      </c>
      <c r="AU32" s="2">
        <f t="shared" si="25"/>
        <v>4054.1933468615784</v>
      </c>
      <c r="AV32" s="2">
        <f t="shared" si="25"/>
        <v>4013.6514133929627</v>
      </c>
      <c r="AW32" s="2">
        <f t="shared" si="25"/>
        <v>3973.514899259033</v>
      </c>
      <c r="AX32" s="2">
        <f t="shared" si="25"/>
        <v>3933.7797502664425</v>
      </c>
      <c r="AY32" s="2">
        <f t="shared" si="25"/>
        <v>3894.4419527637779</v>
      </c>
      <c r="AZ32" s="2">
        <f t="shared" si="25"/>
        <v>3855.49753323614</v>
      </c>
      <c r="BA32" s="2">
        <f t="shared" si="25"/>
        <v>3816.9425579037788</v>
      </c>
      <c r="BB32" s="2">
        <f t="shared" si="25"/>
        <v>3778.7731323247408</v>
      </c>
      <c r="BC32" s="2">
        <f t="shared" si="25"/>
        <v>3740.9854010014933</v>
      </c>
      <c r="BD32" s="2">
        <f t="shared" si="25"/>
        <v>3703.5755469914784</v>
      </c>
      <c r="BE32" s="2">
        <f t="shared" si="25"/>
        <v>3666.5397915215635</v>
      </c>
      <c r="BF32" s="2">
        <f t="shared" si="25"/>
        <v>3629.8743936063479</v>
      </c>
      <c r="BG32" s="2">
        <f t="shared" si="25"/>
        <v>3593.5756496702843</v>
      </c>
      <c r="BH32" s="2">
        <f t="shared" si="25"/>
        <v>3557.6398931735816</v>
      </c>
      <c r="BI32" s="2">
        <f t="shared" si="25"/>
        <v>3522.063494241846</v>
      </c>
      <c r="BJ32" s="2">
        <f t="shared" si="25"/>
        <v>3486.8428592994273</v>
      </c>
      <c r="BK32" s="2">
        <f t="shared" si="25"/>
        <v>3451.9744307064329</v>
      </c>
      <c r="BL32" s="2">
        <f t="shared" si="25"/>
        <v>3417.4546863993687</v>
      </c>
      <c r="BM32" s="2">
        <f t="shared" si="25"/>
        <v>3383.2801395353749</v>
      </c>
      <c r="BN32" s="2">
        <f t="shared" si="25"/>
        <v>3349.4473381400212</v>
      </c>
      <c r="BO32" s="2">
        <f t="shared" si="25"/>
        <v>3315.9528647586208</v>
      </c>
      <c r="BP32" s="2">
        <f t="shared" si="25"/>
        <v>3282.7933361110345</v>
      </c>
      <c r="BQ32" s="2">
        <f t="shared" si="25"/>
        <v>3249.9654027499241</v>
      </c>
      <c r="BR32" s="2">
        <f t="shared" si="25"/>
        <v>3217.4657487224249</v>
      </c>
      <c r="BS32" s="2">
        <f t="shared" si="25"/>
        <v>3185.2910912352008</v>
      </c>
      <c r="BT32" s="2">
        <f t="shared" si="25"/>
        <v>3153.4381803228489</v>
      </c>
      <c r="BU32" s="2">
        <f t="shared" si="25"/>
        <v>3121.9037985196205</v>
      </c>
      <c r="BV32" s="2">
        <f t="shared" si="25"/>
        <v>3090.6847605344242</v>
      </c>
      <c r="BW32" s="2">
        <f t="shared" si="25"/>
        <v>3059.7779129290798</v>
      </c>
      <c r="BX32" s="2">
        <f t="shared" si="25"/>
        <v>3029.180133799789</v>
      </c>
      <c r="BY32" s="2">
        <f t="shared" si="25"/>
        <v>2998.8883324617909</v>
      </c>
      <c r="BZ32" s="2">
        <f t="shared" si="25"/>
        <v>2968.8994491371732</v>
      </c>
      <c r="CA32" s="2">
        <f t="shared" si="25"/>
        <v>2939.2104546458013</v>
      </c>
      <c r="CB32" s="2">
        <f t="shared" si="25"/>
        <v>2909.8183500993432</v>
      </c>
      <c r="CC32" s="2">
        <f t="shared" si="25"/>
        <v>2880.7201665983498</v>
      </c>
      <c r="CD32" s="2">
        <f t="shared" si="25"/>
        <v>2851.9129649323663</v>
      </c>
      <c r="CE32" s="2">
        <f t="shared" si="25"/>
        <v>2823.3938352830428</v>
      </c>
      <c r="CF32" s="2">
        <f t="shared" si="25"/>
        <v>2795.1598969302122</v>
      </c>
      <c r="CG32" s="2">
        <f t="shared" si="25"/>
        <v>2767.2082979609099</v>
      </c>
      <c r="CH32" s="2">
        <f t="shared" si="25"/>
        <v>2739.5362149813009</v>
      </c>
      <c r="CI32" s="2">
        <f t="shared" si="25"/>
        <v>2712.1408528314878</v>
      </c>
      <c r="CJ32" s="2">
        <f t="shared" si="25"/>
        <v>2685.0194443031728</v>
      </c>
      <c r="CK32" s="2">
        <f t="shared" si="25"/>
        <v>2658.169249860141</v>
      </c>
      <c r="CL32" s="2">
        <f t="shared" si="25"/>
        <v>2631.5875573615394</v>
      </c>
      <c r="CM32" s="2">
        <f t="shared" si="25"/>
        <v>2605.2716817879241</v>
      </c>
      <c r="CN32" s="2">
        <f t="shared" si="25"/>
        <v>2579.2189649700449</v>
      </c>
      <c r="CO32" s="2">
        <f t="shared" si="25"/>
        <v>2553.4267753203444</v>
      </c>
      <c r="CP32" s="2">
        <f t="shared" ref="CP32:EJ32" si="26">CO32*(1+$AE$38)</f>
        <v>2527.8925075671409</v>
      </c>
      <c r="CQ32" s="2">
        <f t="shared" si="26"/>
        <v>2502.6135824914695</v>
      </c>
      <c r="CR32" s="2">
        <f t="shared" si="26"/>
        <v>2477.587446666555</v>
      </c>
      <c r="CS32" s="2">
        <f t="shared" si="26"/>
        <v>2452.8115721998893</v>
      </c>
      <c r="CT32" s="2">
        <f t="shared" si="26"/>
        <v>2428.2834564778905</v>
      </c>
      <c r="CU32" s="2">
        <f t="shared" si="26"/>
        <v>2404.0006219131114</v>
      </c>
      <c r="CV32" s="2">
        <f t="shared" si="26"/>
        <v>2379.9606156939803</v>
      </c>
      <c r="CW32" s="2">
        <f t="shared" si="26"/>
        <v>2356.1610095370406</v>
      </c>
      <c r="CX32" s="2">
        <f t="shared" si="26"/>
        <v>2332.5993994416704</v>
      </c>
      <c r="CY32" s="2">
        <f t="shared" si="26"/>
        <v>2309.2734054472535</v>
      </c>
      <c r="CZ32" s="2">
        <f t="shared" si="26"/>
        <v>2286.1806713927808</v>
      </c>
      <c r="DA32" s="2">
        <f t="shared" si="26"/>
        <v>2263.3188646788531</v>
      </c>
      <c r="DB32" s="2">
        <f t="shared" si="26"/>
        <v>2240.6856760320643</v>
      </c>
      <c r="DC32" s="2">
        <f t="shared" si="26"/>
        <v>2218.2788192717435</v>
      </c>
      <c r="DD32" s="2">
        <f t="shared" si="26"/>
        <v>2196.096031079026</v>
      </c>
      <c r="DE32" s="2">
        <f t="shared" si="26"/>
        <v>2174.1350707682359</v>
      </c>
      <c r="DF32" s="2">
        <f t="shared" si="26"/>
        <v>2152.3937200605537</v>
      </c>
      <c r="DG32" s="2">
        <f t="shared" si="26"/>
        <v>2130.8697828599484</v>
      </c>
      <c r="DH32" s="2">
        <f t="shared" si="26"/>
        <v>2109.5610850313487</v>
      </c>
      <c r="DI32" s="2">
        <f t="shared" si="26"/>
        <v>2088.465474181035</v>
      </c>
      <c r="DJ32" s="2">
        <f t="shared" si="26"/>
        <v>2067.5808194392248</v>
      </c>
      <c r="DK32" s="2">
        <f t="shared" si="26"/>
        <v>2046.9050112448326</v>
      </c>
      <c r="DL32" s="2">
        <f t="shared" si="26"/>
        <v>2026.4359611323844</v>
      </c>
      <c r="DM32" s="2">
        <f t="shared" si="26"/>
        <v>2006.1716015210604</v>
      </c>
      <c r="DN32" s="2">
        <f t="shared" si="26"/>
        <v>1986.1098855058499</v>
      </c>
      <c r="DO32" s="2">
        <f t="shared" si="26"/>
        <v>1966.2487866507913</v>
      </c>
      <c r="DP32" s="2">
        <f t="shared" si="26"/>
        <v>1946.5862987842834</v>
      </c>
      <c r="DQ32" s="2">
        <f t="shared" si="26"/>
        <v>1927.1204357964405</v>
      </c>
      <c r="DR32" s="2">
        <f t="shared" si="26"/>
        <v>1907.849231438476</v>
      </c>
      <c r="DS32" s="2">
        <f t="shared" si="26"/>
        <v>1888.7707391240913</v>
      </c>
      <c r="DT32" s="2">
        <f t="shared" si="26"/>
        <v>1869.8830317328504</v>
      </c>
      <c r="DU32" s="2">
        <f t="shared" si="26"/>
        <v>1851.184201415522</v>
      </c>
      <c r="DV32" s="2">
        <f t="shared" si="26"/>
        <v>1832.6723594013667</v>
      </c>
      <c r="DW32" s="2">
        <f t="shared" si="26"/>
        <v>1814.3456358073531</v>
      </c>
      <c r="DX32" s="2">
        <f t="shared" si="26"/>
        <v>1796.2021794492796</v>
      </c>
      <c r="DY32" s="2">
        <f t="shared" si="26"/>
        <v>1778.2401576547868</v>
      </c>
      <c r="DZ32" s="2">
        <f t="shared" si="26"/>
        <v>1760.4577560782388</v>
      </c>
      <c r="EA32" s="2">
        <f t="shared" si="26"/>
        <v>1742.8531785174564</v>
      </c>
      <c r="EB32" s="2">
        <f t="shared" si="26"/>
        <v>1725.4246467322819</v>
      </c>
      <c r="EC32" s="2">
        <f t="shared" si="26"/>
        <v>1708.170400264959</v>
      </c>
      <c r="ED32" s="2">
        <f t="shared" si="26"/>
        <v>1691.0886962623094</v>
      </c>
      <c r="EE32" s="2">
        <f t="shared" si="26"/>
        <v>1674.1778092996863</v>
      </c>
      <c r="EF32" s="2">
        <f t="shared" si="26"/>
        <v>1657.4360312066894</v>
      </c>
      <c r="EG32" s="2">
        <f t="shared" si="26"/>
        <v>1640.8616708946226</v>
      </c>
      <c r="EH32" s="2">
        <f t="shared" si="26"/>
        <v>1624.4530541856764</v>
      </c>
      <c r="EI32" s="2">
        <f t="shared" si="26"/>
        <v>1608.2085236438195</v>
      </c>
      <c r="EJ32" s="2">
        <f t="shared" si="26"/>
        <v>1592.1264384073813</v>
      </c>
    </row>
    <row r="33" spans="2:31" x14ac:dyDescent="0.3">
      <c r="B33" s="1" t="s">
        <v>2</v>
      </c>
      <c r="G33" s="6">
        <v>3013</v>
      </c>
      <c r="I33" s="6">
        <v>3000</v>
      </c>
      <c r="N33" s="6">
        <v>3013</v>
      </c>
      <c r="O33" s="6">
        <v>3013</v>
      </c>
      <c r="P33" s="6">
        <v>3013</v>
      </c>
      <c r="Q33" s="6">
        <v>3013</v>
      </c>
      <c r="R33" s="6">
        <v>3000</v>
      </c>
      <c r="S33" s="6">
        <v>3000</v>
      </c>
      <c r="T33" s="6">
        <v>3000</v>
      </c>
      <c r="U33" s="6">
        <v>3000</v>
      </c>
      <c r="V33" s="6">
        <v>3000</v>
      </c>
      <c r="W33" s="6">
        <v>3000</v>
      </c>
      <c r="X33" s="6">
        <v>3000</v>
      </c>
      <c r="Y33" s="6">
        <v>3000</v>
      </c>
      <c r="Z33" s="6">
        <v>3000</v>
      </c>
      <c r="AA33" s="6">
        <v>3000</v>
      </c>
      <c r="AB33" s="6">
        <v>3000</v>
      </c>
    </row>
    <row r="34" spans="2:31" x14ac:dyDescent="0.3">
      <c r="B34" s="1" t="s">
        <v>47</v>
      </c>
      <c r="G34" s="8">
        <f>G32/G33</f>
        <v>0.3146365748423498</v>
      </c>
      <c r="I34" s="8">
        <f>I32/I33</f>
        <v>0.32300000000000001</v>
      </c>
      <c r="N34" s="8">
        <f>N32/N33</f>
        <v>0.58347162296714239</v>
      </c>
      <c r="O34" s="8">
        <f>O32/O33</f>
        <v>0.52804513773647532</v>
      </c>
      <c r="P34" s="8">
        <f>P32/P33</f>
        <v>0.61632923996017264</v>
      </c>
      <c r="Q34" s="8">
        <f>Q32/Q33</f>
        <v>0.64918685695320277</v>
      </c>
      <c r="R34" s="8">
        <f>R32/R33</f>
        <v>0.99434318166666713</v>
      </c>
      <c r="S34" s="8">
        <f t="shared" ref="S34:AB34" si="27">S32/S33</f>
        <v>1.0913525607666659</v>
      </c>
      <c r="T34" s="8">
        <f t="shared" si="27"/>
        <v>1.1862234785093342</v>
      </c>
      <c r="U34" s="8">
        <f t="shared" si="27"/>
        <v>1.2582898217983609</v>
      </c>
      <c r="V34" s="8">
        <f t="shared" si="27"/>
        <v>1.3354354659217784</v>
      </c>
      <c r="W34" s="8">
        <f t="shared" si="27"/>
        <v>1.4180353224854212</v>
      </c>
      <c r="X34" s="8">
        <f t="shared" si="27"/>
        <v>1.4596076919693042</v>
      </c>
      <c r="Y34" s="8">
        <f t="shared" si="27"/>
        <v>1.502143625473205</v>
      </c>
      <c r="Z34" s="8">
        <f t="shared" si="27"/>
        <v>1.5456637154438295</v>
      </c>
      <c r="AA34" s="8">
        <f t="shared" si="27"/>
        <v>1.5901889793884769</v>
      </c>
      <c r="AB34" s="8">
        <f t="shared" si="27"/>
        <v>1.6357408685083772</v>
      </c>
    </row>
    <row r="36" spans="2:31" x14ac:dyDescent="0.3">
      <c r="B36" s="1" t="s">
        <v>55</v>
      </c>
      <c r="G36" s="10"/>
      <c r="I36" s="10">
        <f t="shared" ref="I36:I39" si="28">I7/G7-1</f>
        <v>5.4479418886198561E-2</v>
      </c>
      <c r="O36" s="10">
        <f t="shared" ref="O36:P36" si="29">O7/N7-1</f>
        <v>0.12574031890660597</v>
      </c>
      <c r="P36" s="10">
        <f t="shared" si="29"/>
        <v>7.2237960339943452E-2</v>
      </c>
      <c r="Q36" s="10">
        <f>Q7/P7-1</f>
        <v>0.31873938478958297</v>
      </c>
      <c r="R36" s="10">
        <f t="shared" ref="R36:AB36" si="30">R7/Q7-1</f>
        <v>3.6302232398397249E-2</v>
      </c>
      <c r="S36" s="10">
        <f t="shared" si="30"/>
        <v>3.0000000000000027E-2</v>
      </c>
      <c r="T36" s="10">
        <f t="shared" si="30"/>
        <v>3.0000000000000027E-2</v>
      </c>
      <c r="U36" s="10">
        <f t="shared" si="30"/>
        <v>3.0000000000000027E-2</v>
      </c>
      <c r="V36" s="10">
        <f t="shared" si="30"/>
        <v>3.0000000000000027E-2</v>
      </c>
      <c r="W36" s="10">
        <f t="shared" si="30"/>
        <v>3.0000000000000027E-2</v>
      </c>
      <c r="X36" s="10">
        <f t="shared" si="30"/>
        <v>2.0000000000000018E-2</v>
      </c>
      <c r="Y36" s="10">
        <f t="shared" si="30"/>
        <v>2.0000000000000018E-2</v>
      </c>
      <c r="Z36" s="10">
        <f t="shared" si="30"/>
        <v>2.0000000000000018E-2</v>
      </c>
      <c r="AA36" s="10">
        <f t="shared" si="30"/>
        <v>2.0000000000000018E-2</v>
      </c>
      <c r="AB36" s="10">
        <f t="shared" si="30"/>
        <v>2.0000000000000018E-2</v>
      </c>
    </row>
    <row r="37" spans="2:31" x14ac:dyDescent="0.3">
      <c r="B37" s="1" t="s">
        <v>56</v>
      </c>
      <c r="G37" s="10"/>
      <c r="I37" s="10">
        <f t="shared" si="28"/>
        <v>0.1997041420118344</v>
      </c>
      <c r="O37" s="10">
        <f t="shared" ref="O37:Q40" si="31">O8/N8-1</f>
        <v>8.2521315468940371E-2</v>
      </c>
      <c r="P37" s="10">
        <f t="shared" si="31"/>
        <v>6.7791842475386721E-2</v>
      </c>
      <c r="Q37" s="10">
        <f t="shared" si="31"/>
        <v>0.12961011591148575</v>
      </c>
      <c r="R37" s="10">
        <f t="shared" ref="R37:AB37" si="32">R8/Q8-1</f>
        <v>0.17877798507462694</v>
      </c>
      <c r="S37" s="10">
        <f t="shared" si="32"/>
        <v>0.12000000000000011</v>
      </c>
      <c r="T37" s="10">
        <f t="shared" si="32"/>
        <v>7.0000000000000062E-2</v>
      </c>
      <c r="U37" s="10">
        <f t="shared" si="32"/>
        <v>4.0000000000000036E-2</v>
      </c>
      <c r="V37" s="10">
        <f t="shared" si="32"/>
        <v>3.0000000000000027E-2</v>
      </c>
      <c r="W37" s="10">
        <f t="shared" si="32"/>
        <v>2.0000000000000018E-2</v>
      </c>
      <c r="X37" s="10">
        <f t="shared" si="32"/>
        <v>2.0000000000000018E-2</v>
      </c>
      <c r="Y37" s="10">
        <f t="shared" si="32"/>
        <v>2.0000000000000018E-2</v>
      </c>
      <c r="Z37" s="10">
        <f t="shared" si="32"/>
        <v>2.0000000000000018E-2</v>
      </c>
      <c r="AA37" s="10">
        <f t="shared" si="32"/>
        <v>2.0000000000000018E-2</v>
      </c>
      <c r="AB37" s="10">
        <f t="shared" si="32"/>
        <v>2.0000000000000018E-2</v>
      </c>
    </row>
    <row r="38" spans="2:31" x14ac:dyDescent="0.3">
      <c r="B38" s="1" t="s">
        <v>57</v>
      </c>
      <c r="G38" s="10"/>
      <c r="I38" s="10">
        <f t="shared" si="28"/>
        <v>6.5244279529993898E-2</v>
      </c>
      <c r="O38" s="10">
        <f t="shared" si="31"/>
        <v>3.9023580205911568E-2</v>
      </c>
      <c r="P38" s="10">
        <f t="shared" si="31"/>
        <v>3.6279367108838168E-2</v>
      </c>
      <c r="Q38" s="10">
        <f t="shared" si="31"/>
        <v>5.4904380012338105E-2</v>
      </c>
      <c r="R38" s="10">
        <f t="shared" ref="R38:AB38" si="33">R9/Q9-1</f>
        <v>5.7207602339181207E-2</v>
      </c>
      <c r="S38" s="10">
        <f t="shared" si="33"/>
        <v>4.0000000000000036E-2</v>
      </c>
      <c r="T38" s="10">
        <f t="shared" si="33"/>
        <v>3.0000000000000027E-2</v>
      </c>
      <c r="U38" s="10">
        <f t="shared" si="33"/>
        <v>2.0000000000000018E-2</v>
      </c>
      <c r="V38" s="10">
        <f t="shared" si="33"/>
        <v>2.0000000000000018E-2</v>
      </c>
      <c r="W38" s="10">
        <f t="shared" si="33"/>
        <v>2.0000000000000018E-2</v>
      </c>
      <c r="X38" s="10">
        <f t="shared" si="33"/>
        <v>1.0000000000000009E-2</v>
      </c>
      <c r="Y38" s="10">
        <f t="shared" si="33"/>
        <v>1.0000000000000009E-2</v>
      </c>
      <c r="Z38" s="10">
        <f t="shared" si="33"/>
        <v>1.0000000000000009E-2</v>
      </c>
      <c r="AA38" s="10">
        <f t="shared" si="33"/>
        <v>1.0000000000000009E-2</v>
      </c>
      <c r="AB38" s="10">
        <f t="shared" si="33"/>
        <v>1.0000000000000009E-2</v>
      </c>
      <c r="AD38" s="1" t="s">
        <v>60</v>
      </c>
      <c r="AE38" s="10">
        <v>-0.01</v>
      </c>
    </row>
    <row r="39" spans="2:31" x14ac:dyDescent="0.3">
      <c r="B39" s="1" t="s">
        <v>58</v>
      </c>
      <c r="G39" s="10"/>
      <c r="I39" s="10">
        <f t="shared" si="28"/>
        <v>0.1045681655960029</v>
      </c>
      <c r="O39" s="10">
        <f t="shared" si="31"/>
        <v>9.9676052828308048E-2</v>
      </c>
      <c r="P39" s="10">
        <f t="shared" si="31"/>
        <v>0.20213007024699747</v>
      </c>
      <c r="Q39" s="10">
        <f t="shared" si="31"/>
        <v>0.11498586239396791</v>
      </c>
      <c r="R39" s="10">
        <f t="shared" ref="R39:AB39" si="34">R10/Q10-1</f>
        <v>8.6375316990701556E-2</v>
      </c>
      <c r="S39" s="10">
        <f t="shared" si="34"/>
        <v>6.0000000000000053E-2</v>
      </c>
      <c r="T39" s="10">
        <f t="shared" si="34"/>
        <v>4.0000000000000036E-2</v>
      </c>
      <c r="U39" s="10">
        <f t="shared" si="34"/>
        <v>3.0000000000000027E-2</v>
      </c>
      <c r="V39" s="10">
        <f t="shared" si="34"/>
        <v>2.0000000000000018E-2</v>
      </c>
      <c r="W39" s="10">
        <f t="shared" si="34"/>
        <v>2.0000000000000018E-2</v>
      </c>
      <c r="X39" s="10">
        <f t="shared" si="34"/>
        <v>1.0000000000000009E-2</v>
      </c>
      <c r="Y39" s="10">
        <f t="shared" si="34"/>
        <v>1.0000000000000009E-2</v>
      </c>
      <c r="Z39" s="10">
        <f t="shared" si="34"/>
        <v>1.0000000000000009E-2</v>
      </c>
      <c r="AA39" s="10">
        <f t="shared" si="34"/>
        <v>1.0000000000000009E-2</v>
      </c>
      <c r="AB39" s="10">
        <f t="shared" si="34"/>
        <v>1.0000000000000009E-2</v>
      </c>
      <c r="AD39" s="1" t="s">
        <v>61</v>
      </c>
      <c r="AE39" s="10">
        <v>7.0000000000000007E-2</v>
      </c>
    </row>
    <row r="40" spans="2:31" x14ac:dyDescent="0.3">
      <c r="B40" s="1" t="s">
        <v>59</v>
      </c>
      <c r="G40" s="10"/>
      <c r="I40" s="10">
        <f>I11/G11-1</f>
        <v>9.0171325518495493E-4</v>
      </c>
      <c r="O40" s="10">
        <f t="shared" si="31"/>
        <v>0.1539735099337749</v>
      </c>
      <c r="P40" s="10">
        <f t="shared" si="31"/>
        <v>4.9258727881396513E-2</v>
      </c>
      <c r="Q40" s="10">
        <f t="shared" si="31"/>
        <v>3.5095715587967202E-2</v>
      </c>
      <c r="R40" s="10">
        <f t="shared" ref="R40:AB40" si="35">R11/Q11-1</f>
        <v>5.5570233377366662E-3</v>
      </c>
      <c r="S40" s="10">
        <f t="shared" si="35"/>
        <v>2.0000000000000018E-2</v>
      </c>
      <c r="T40" s="10">
        <f t="shared" si="35"/>
        <v>2.0000000000000018E-2</v>
      </c>
      <c r="U40" s="10">
        <f t="shared" si="35"/>
        <v>2.0000000000000018E-2</v>
      </c>
      <c r="V40" s="10">
        <f t="shared" si="35"/>
        <v>1.0000000000000009E-2</v>
      </c>
      <c r="W40" s="10">
        <f t="shared" si="35"/>
        <v>1.0000000000000009E-2</v>
      </c>
      <c r="X40" s="10">
        <f t="shared" si="35"/>
        <v>1.0000000000000009E-2</v>
      </c>
      <c r="Y40" s="10">
        <f t="shared" si="35"/>
        <v>1.0000000000000009E-2</v>
      </c>
      <c r="Z40" s="10">
        <f t="shared" si="35"/>
        <v>1.0000000000000009E-2</v>
      </c>
      <c r="AA40" s="10">
        <f t="shared" si="35"/>
        <v>1.0000000000000009E-2</v>
      </c>
      <c r="AB40" s="10">
        <f t="shared" si="35"/>
        <v>1.0000000000000009E-2</v>
      </c>
      <c r="AD40" s="1" t="s">
        <v>62</v>
      </c>
      <c r="AE40" s="6">
        <f>NPV(AE39,R32:EJ32)</f>
        <v>58597.987772591521</v>
      </c>
    </row>
    <row r="41" spans="2:31" x14ac:dyDescent="0.3">
      <c r="B41" s="1" t="s">
        <v>49</v>
      </c>
      <c r="G41" s="10"/>
      <c r="I41" s="10">
        <f>I13/G13-1</f>
        <v>8.7681333653923277E-2</v>
      </c>
      <c r="O41" s="10">
        <f t="shared" ref="O41:P41" si="36">O13/N13-1</f>
        <v>8.8981097279852372E-2</v>
      </c>
      <c r="P41" s="10">
        <f t="shared" si="36"/>
        <v>8.5614827359111967E-2</v>
      </c>
      <c r="Q41" s="10">
        <f>Q13/P13-1</f>
        <v>0.14013346043851294</v>
      </c>
      <c r="R41" s="10">
        <f t="shared" ref="R41:AB41" si="37">R13/Q13-1</f>
        <v>7.3582775919732502E-2</v>
      </c>
      <c r="S41" s="10">
        <f t="shared" si="37"/>
        <v>5.4279079202113056E-2</v>
      </c>
      <c r="T41" s="10">
        <f t="shared" si="37"/>
        <v>3.9108634259445774E-2</v>
      </c>
      <c r="U41" s="10">
        <f t="shared" si="37"/>
        <v>2.8686550471946237E-2</v>
      </c>
      <c r="V41" s="10">
        <f t="shared" si="37"/>
        <v>2.370345336830626E-2</v>
      </c>
      <c r="W41" s="10">
        <f t="shared" si="37"/>
        <v>2.1749991766061072E-2</v>
      </c>
      <c r="X41" s="10">
        <f t="shared" si="37"/>
        <v>1.4508963167680688E-2</v>
      </c>
      <c r="Y41" s="10">
        <f t="shared" si="37"/>
        <v>1.4533367962244359E-2</v>
      </c>
      <c r="Z41" s="10">
        <f t="shared" si="37"/>
        <v>1.4557795206654678E-2</v>
      </c>
      <c r="AA41" s="10">
        <f t="shared" si="37"/>
        <v>1.4582243744764245E-2</v>
      </c>
      <c r="AB41" s="10">
        <f t="shared" si="37"/>
        <v>1.4606712416342704E-2</v>
      </c>
      <c r="AD41" s="1" t="s">
        <v>63</v>
      </c>
      <c r="AE41" s="6">
        <f>Main!D8</f>
        <v>-4907</v>
      </c>
    </row>
    <row r="42" spans="2:31" x14ac:dyDescent="0.3">
      <c r="B42" s="1" t="s">
        <v>50</v>
      </c>
      <c r="G42" s="10"/>
      <c r="I42" s="10"/>
      <c r="N42" s="10">
        <f>N15/N13</f>
        <v>0.64340966139029765</v>
      </c>
      <c r="O42" s="10">
        <f t="shared" ref="O42:P42" si="38">O15/O13</f>
        <v>0.66629033775519808</v>
      </c>
      <c r="P42" s="10">
        <f t="shared" si="38"/>
        <v>0.65885258687927895</v>
      </c>
      <c r="Q42" s="10">
        <f>Q15/Q13</f>
        <v>0.65472027972027969</v>
      </c>
      <c r="R42" s="10">
        <f t="shared" ref="R42:AB42" si="39">R15/R13</f>
        <v>0.65</v>
      </c>
      <c r="S42" s="10">
        <f t="shared" si="39"/>
        <v>0.64999999999999991</v>
      </c>
      <c r="T42" s="10">
        <f t="shared" si="39"/>
        <v>0.65</v>
      </c>
      <c r="U42" s="10">
        <f t="shared" si="39"/>
        <v>0.65</v>
      </c>
      <c r="V42" s="10">
        <f t="shared" si="39"/>
        <v>0.65</v>
      </c>
      <c r="W42" s="10">
        <f t="shared" si="39"/>
        <v>0.65</v>
      </c>
      <c r="X42" s="10">
        <f t="shared" si="39"/>
        <v>0.65</v>
      </c>
      <c r="Y42" s="10">
        <f t="shared" si="39"/>
        <v>0.65</v>
      </c>
      <c r="Z42" s="10">
        <f t="shared" si="39"/>
        <v>0.65</v>
      </c>
      <c r="AA42" s="10">
        <f t="shared" si="39"/>
        <v>0.65</v>
      </c>
      <c r="AB42" s="10">
        <f t="shared" si="39"/>
        <v>0.65</v>
      </c>
      <c r="AD42" s="1" t="s">
        <v>64</v>
      </c>
      <c r="AE42" s="6">
        <f>AE40+AE41</f>
        <v>53690.987772591521</v>
      </c>
    </row>
    <row r="43" spans="2:31" x14ac:dyDescent="0.3">
      <c r="B43" s="1" t="s">
        <v>51</v>
      </c>
      <c r="G43" s="10"/>
      <c r="I43" s="10"/>
      <c r="N43" s="10"/>
      <c r="O43" s="10">
        <f t="shared" ref="O43:P43" si="40">O16/N16-1</f>
        <v>0.12419379031048439</v>
      </c>
      <c r="P43" s="10">
        <f t="shared" si="40"/>
        <v>7.95196797865243E-2</v>
      </c>
      <c r="Q43" s="10">
        <f>Q16/P16-1</f>
        <v>0.14349276974416014</v>
      </c>
      <c r="R43" s="10">
        <f t="shared" ref="R43:AB43" si="41">R16/Q16-1</f>
        <v>9.000000000000008E-2</v>
      </c>
      <c r="S43" s="10">
        <f t="shared" si="41"/>
        <v>5.0000000000000044E-2</v>
      </c>
      <c r="T43" s="10">
        <f t="shared" si="41"/>
        <v>3.0000000000000027E-2</v>
      </c>
      <c r="U43" s="10">
        <f t="shared" si="41"/>
        <v>2.0000000000000018E-2</v>
      </c>
      <c r="V43" s="10">
        <f t="shared" si="41"/>
        <v>1.0000000000000009E-2</v>
      </c>
      <c r="W43" s="10">
        <f t="shared" si="41"/>
        <v>1.0000000000000009E-2</v>
      </c>
      <c r="X43" s="10">
        <f t="shared" si="41"/>
        <v>1.0000000000000009E-2</v>
      </c>
      <c r="Y43" s="10">
        <f t="shared" si="41"/>
        <v>1.0000000000000009E-2</v>
      </c>
      <c r="Z43" s="10">
        <f t="shared" si="41"/>
        <v>1.0000000000000009E-2</v>
      </c>
      <c r="AA43" s="10">
        <f t="shared" si="41"/>
        <v>1.0000000000000009E-2</v>
      </c>
      <c r="AB43" s="10">
        <f t="shared" si="41"/>
        <v>1.0000000000000009E-2</v>
      </c>
      <c r="AD43" s="1" t="s">
        <v>65</v>
      </c>
      <c r="AE43" s="5">
        <f>AE42/AB33</f>
        <v>17.896995924197174</v>
      </c>
    </row>
    <row r="44" spans="2:31" x14ac:dyDescent="0.3">
      <c r="B44" s="1" t="s">
        <v>52</v>
      </c>
      <c r="G44" s="10"/>
      <c r="I44" s="10"/>
      <c r="N44" s="10"/>
      <c r="O44" s="10">
        <f t="shared" ref="O44:P44" si="42">O21/N21-1</f>
        <v>0.14896755162241893</v>
      </c>
      <c r="P44" s="10">
        <f t="shared" si="42"/>
        <v>6.4184852374839618E-2</v>
      </c>
      <c r="Q44" s="10">
        <f>Q21/P21-1</f>
        <v>0.10542822677925212</v>
      </c>
      <c r="R44" s="10">
        <f t="shared" ref="R44:AB44" si="43">R21/Q21-1</f>
        <v>5.0000000000000044E-2</v>
      </c>
      <c r="S44" s="10">
        <f t="shared" si="43"/>
        <v>3.0000000000000027E-2</v>
      </c>
      <c r="T44" s="10">
        <f t="shared" si="43"/>
        <v>2.0000000000000018E-2</v>
      </c>
      <c r="U44" s="10">
        <f t="shared" si="43"/>
        <v>2.0000000000000018E-2</v>
      </c>
      <c r="V44" s="10">
        <f t="shared" si="43"/>
        <v>2.0000000000000018E-2</v>
      </c>
      <c r="W44" s="10">
        <f t="shared" si="43"/>
        <v>1.0000000000000009E-2</v>
      </c>
      <c r="X44" s="10">
        <f t="shared" si="43"/>
        <v>1.0000000000000009E-2</v>
      </c>
      <c r="Y44" s="10">
        <f t="shared" si="43"/>
        <v>1.0000000000000009E-2</v>
      </c>
      <c r="Z44" s="10">
        <f t="shared" si="43"/>
        <v>1.0000000000000009E-2</v>
      </c>
      <c r="AA44" s="10">
        <f t="shared" si="43"/>
        <v>1.0000000000000009E-2</v>
      </c>
      <c r="AB44" s="10">
        <f t="shared" si="43"/>
        <v>1.0000000000000009E-2</v>
      </c>
      <c r="AD44" s="1" t="s">
        <v>66</v>
      </c>
      <c r="AE44" s="5">
        <f>Main!D3</f>
        <v>19.254999999999999</v>
      </c>
    </row>
    <row r="45" spans="2:31" x14ac:dyDescent="0.3">
      <c r="B45" s="1" t="s">
        <v>53</v>
      </c>
      <c r="G45" s="10">
        <f t="shared" ref="G45:I45" si="44">G23/G13</f>
        <v>0.10387112286607357</v>
      </c>
      <c r="I45" s="10">
        <f t="shared" si="44"/>
        <v>9.7782035222164915E-2</v>
      </c>
      <c r="N45" s="10">
        <f>N23/N13</f>
        <v>9.108139951846729E-2</v>
      </c>
      <c r="O45" s="10">
        <f t="shared" ref="O45:P45" si="45">O23/O13</f>
        <v>9.3564775613886542E-2</v>
      </c>
      <c r="P45" s="10">
        <f t="shared" si="45"/>
        <v>9.3638963515035964E-2</v>
      </c>
      <c r="Q45" s="10">
        <f>Q23/Q13</f>
        <v>8.3840072970507759E-2</v>
      </c>
      <c r="R45" s="10">
        <f t="shared" ref="R45:AB45" si="46">R23/R13</f>
        <v>0.12268047313607891</v>
      </c>
      <c r="S45" s="10">
        <f t="shared" si="46"/>
        <v>0.12805168700076242</v>
      </c>
      <c r="T45" s="10">
        <f t="shared" si="46"/>
        <v>0.13422830039612382</v>
      </c>
      <c r="U45" s="10">
        <f t="shared" si="46"/>
        <v>0.13858363769352999</v>
      </c>
      <c r="V45" s="10">
        <f t="shared" si="46"/>
        <v>0.14384749169821542</v>
      </c>
      <c r="W45" s="10">
        <f t="shared" si="46"/>
        <v>0.14966817958942571</v>
      </c>
      <c r="X45" s="10">
        <f t="shared" si="46"/>
        <v>0.15189189355525012</v>
      </c>
      <c r="Y45" s="10">
        <f t="shared" si="46"/>
        <v>0.15411765310422038</v>
      </c>
      <c r="Z45" s="10">
        <f t="shared" si="46"/>
        <v>0.15634535289069321</v>
      </c>
      <c r="AA45" s="10">
        <f t="shared" si="46"/>
        <v>0.1585748871967948</v>
      </c>
      <c r="AB45" s="10">
        <f t="shared" si="46"/>
        <v>0.16080614995225365</v>
      </c>
      <c r="AD45" s="2" t="s">
        <v>67</v>
      </c>
      <c r="AE45" s="11">
        <f>AE43/AE44-1</f>
        <v>-7.0527347483917202E-2</v>
      </c>
    </row>
    <row r="46" spans="2:31" x14ac:dyDescent="0.3">
      <c r="B46" s="1" t="s">
        <v>44</v>
      </c>
      <c r="G46" s="10">
        <f t="shared" ref="G46:I46" si="47">G30/G29</f>
        <v>0.15047291487532244</v>
      </c>
      <c r="I46" s="10">
        <f t="shared" si="47"/>
        <v>0.14970563498738435</v>
      </c>
      <c r="N46" s="10">
        <f>N30/N29</f>
        <v>9.3838862559241704E-2</v>
      </c>
      <c r="O46" s="10">
        <f t="shared" ref="O46:P46" si="48">O30/O29</f>
        <v>0.15837104072398189</v>
      </c>
      <c r="P46" s="10">
        <f t="shared" si="48"/>
        <v>0.16595012897678418</v>
      </c>
      <c r="Q46" s="10">
        <f>Q30/Q29</f>
        <v>0.12478559176672384</v>
      </c>
      <c r="R46" s="10">
        <f t="shared" ref="R46:AB46" si="49">R30/R29</f>
        <v>0.14000000000000001</v>
      </c>
      <c r="S46" s="10">
        <f t="shared" si="49"/>
        <v>0.14000000000000001</v>
      </c>
      <c r="T46" s="10">
        <f t="shared" si="49"/>
        <v>0.14000000000000001</v>
      </c>
      <c r="U46" s="10">
        <f t="shared" si="49"/>
        <v>0.14000000000000001</v>
      </c>
      <c r="V46" s="10">
        <f t="shared" si="49"/>
        <v>0.14000000000000001</v>
      </c>
      <c r="W46" s="10">
        <f t="shared" si="49"/>
        <v>0.14000000000000001</v>
      </c>
      <c r="X46" s="10">
        <f t="shared" si="49"/>
        <v>0.14000000000000001</v>
      </c>
      <c r="Y46" s="10">
        <f t="shared" si="49"/>
        <v>0.14000000000000001</v>
      </c>
      <c r="Z46" s="10">
        <f t="shared" si="49"/>
        <v>0.14000000000000001</v>
      </c>
      <c r="AA46" s="10">
        <f t="shared" si="49"/>
        <v>0.14000000000000001</v>
      </c>
      <c r="AB46" s="10">
        <f t="shared" si="49"/>
        <v>0.14000000000000001</v>
      </c>
      <c r="AD46" s="1" t="s">
        <v>68</v>
      </c>
      <c r="AE46" s="7" t="s">
        <v>69</v>
      </c>
    </row>
    <row r="47" spans="2:31" x14ac:dyDescent="0.3">
      <c r="B47" s="1" t="s">
        <v>54</v>
      </c>
      <c r="G47" s="10">
        <f t="shared" ref="G47:I47" si="50">G32/G13</f>
        <v>7.5979802837220486E-2</v>
      </c>
      <c r="I47" s="10">
        <f t="shared" si="50"/>
        <v>7.1402254808046572E-2</v>
      </c>
      <c r="N47" s="10">
        <f>N32/N13</f>
        <v>9.005686184109421E-2</v>
      </c>
      <c r="O47" s="10">
        <f t="shared" ref="O47:P47" si="51">O32/O13</f>
        <v>7.4842412268322514E-2</v>
      </c>
      <c r="P47" s="10">
        <f t="shared" si="51"/>
        <v>8.0466244908570933E-2</v>
      </c>
      <c r="Q47" s="10">
        <f>Q32/Q13</f>
        <v>7.4338704773487377E-2</v>
      </c>
      <c r="R47" s="10">
        <f t="shared" ref="R47:AB47" si="52">R32/R13</f>
        <v>0.10560103118403324</v>
      </c>
      <c r="S47" s="10">
        <f t="shared" si="52"/>
        <v>0.1099363571810818</v>
      </c>
      <c r="T47" s="10">
        <f t="shared" si="52"/>
        <v>0.11499576124203061</v>
      </c>
      <c r="U47" s="10">
        <f t="shared" si="52"/>
        <v>0.11858040759891596</v>
      </c>
      <c r="V47" s="10">
        <f t="shared" si="52"/>
        <v>0.12293654191907269</v>
      </c>
      <c r="W47" s="10">
        <f t="shared" si="52"/>
        <v>0.12776164441999541</v>
      </c>
      <c r="X47" s="10">
        <f t="shared" si="52"/>
        <v>0.12962647134841632</v>
      </c>
      <c r="Y47" s="10">
        <f t="shared" si="52"/>
        <v>0.13149301372162614</v>
      </c>
      <c r="Z47" s="10">
        <f t="shared" si="52"/>
        <v>0.13336118319580217</v>
      </c>
      <c r="AA47" s="10">
        <f t="shared" si="52"/>
        <v>0.13523089111496567</v>
      </c>
      <c r="AB47" s="10">
        <f t="shared" si="52"/>
        <v>0.13710204852761418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2025-06-19T15:26:23Z</dcterms:created>
  <dcterms:modified xsi:type="dcterms:W3CDTF">2025-09-04T15:33:27Z</dcterms:modified>
</cp:coreProperties>
</file>