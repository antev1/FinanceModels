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B9D14FBA-226B-4829-B0A2-8BB15ABA0865}" xr6:coauthVersionLast="47" xr6:coauthVersionMax="47" xr10:uidLastSave="{00000000-0000-0000-0000-000000000000}"/>
  <bookViews>
    <workbookView xWindow="-108" yWindow="-108" windowWidth="23256" windowHeight="12576" activeTab="1" xr2:uid="{1AB2C153-F3A3-43B3-970A-67C6BEA1AC7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R8" i="2" l="1"/>
  <c r="AQ8" i="2"/>
  <c r="AP8" i="2"/>
  <c r="AO8" i="2"/>
  <c r="AN8" i="2" l="1"/>
  <c r="AM8" i="2"/>
  <c r="AL8" i="2"/>
  <c r="AK8" i="2"/>
  <c r="AJ8" i="2"/>
  <c r="AI8" i="2"/>
  <c r="AH8" i="2"/>
  <c r="V8" i="2" l="1"/>
  <c r="V27" i="2" s="1"/>
  <c r="AR18" i="2"/>
  <c r="AQ18" i="2"/>
  <c r="AP18" i="2"/>
  <c r="AO18" i="2"/>
  <c r="AN18" i="2"/>
  <c r="AM18" i="2"/>
  <c r="AL18" i="2"/>
  <c r="AK18" i="2"/>
  <c r="AJ18" i="2"/>
  <c r="AI18" i="2"/>
  <c r="AH18" i="2"/>
  <c r="V18" i="2"/>
  <c r="D4" i="1"/>
  <c r="D7" i="1"/>
  <c r="D6" i="1"/>
  <c r="V28" i="2"/>
  <c r="U8" i="2"/>
  <c r="U18" i="2"/>
  <c r="AF24" i="2"/>
  <c r="AE24" i="2"/>
  <c r="T24" i="2"/>
  <c r="S24" i="2"/>
  <c r="R24" i="2"/>
  <c r="Q24" i="2"/>
  <c r="P24" i="2"/>
  <c r="O24" i="2"/>
  <c r="N24" i="2"/>
  <c r="V22" i="2"/>
  <c r="U21" i="2"/>
  <c r="AF23" i="2"/>
  <c r="AE23" i="2"/>
  <c r="T23" i="2"/>
  <c r="S23" i="2"/>
  <c r="R23" i="2"/>
  <c r="Q23" i="2"/>
  <c r="P23" i="2"/>
  <c r="O23" i="2"/>
  <c r="N23" i="2"/>
  <c r="AH16" i="2"/>
  <c r="AH14" i="2"/>
  <c r="AI14" i="2" s="1"/>
  <c r="AJ14" i="2" s="1"/>
  <c r="AK14" i="2" s="1"/>
  <c r="AL14" i="2" s="1"/>
  <c r="AM14" i="2" s="1"/>
  <c r="AN14" i="2" s="1"/>
  <c r="AO14" i="2" s="1"/>
  <c r="AP14" i="2" s="1"/>
  <c r="AQ14" i="2" s="1"/>
  <c r="AR14" i="2" s="1"/>
  <c r="AH11" i="2"/>
  <c r="AF22" i="2"/>
  <c r="AE22" i="2"/>
  <c r="AF21" i="2"/>
  <c r="AE21" i="2"/>
  <c r="AG3" i="2"/>
  <c r="AG21" i="2" s="1"/>
  <c r="T21" i="2"/>
  <c r="S21" i="2"/>
  <c r="R21" i="2"/>
  <c r="R22" i="2"/>
  <c r="Q22" i="2"/>
  <c r="T22" i="2"/>
  <c r="S22" i="2"/>
  <c r="AG4" i="2"/>
  <c r="AG22" i="2" s="1"/>
  <c r="U29" i="2"/>
  <c r="U28" i="2"/>
  <c r="P30" i="2"/>
  <c r="P18" i="2"/>
  <c r="P12" i="2"/>
  <c r="P8" i="2"/>
  <c r="P27" i="2" s="1"/>
  <c r="T18" i="2"/>
  <c r="T12" i="2"/>
  <c r="S18" i="2"/>
  <c r="AG30" i="2"/>
  <c r="AF30" i="2"/>
  <c r="AE30" i="2"/>
  <c r="AD30" i="2"/>
  <c r="AC30" i="2"/>
  <c r="AB30" i="2"/>
  <c r="T30" i="2"/>
  <c r="S30" i="2"/>
  <c r="R30" i="2"/>
  <c r="Q30" i="2"/>
  <c r="O30" i="2"/>
  <c r="N30" i="2"/>
  <c r="M30" i="2"/>
  <c r="T29" i="2"/>
  <c r="T28" i="2"/>
  <c r="T26" i="2"/>
  <c r="S29" i="2"/>
  <c r="S28" i="2"/>
  <c r="S26" i="2"/>
  <c r="O18" i="2"/>
  <c r="O12" i="2"/>
  <c r="O8" i="2"/>
  <c r="O27" i="2" s="1"/>
  <c r="S12" i="2"/>
  <c r="S8" i="2"/>
  <c r="S27" i="2" s="1"/>
  <c r="D5" i="1"/>
  <c r="AU33" i="2"/>
  <c r="R29" i="2"/>
  <c r="R28" i="2"/>
  <c r="R26" i="2"/>
  <c r="N18" i="2"/>
  <c r="N12" i="2"/>
  <c r="N8" i="2"/>
  <c r="N27" i="2" s="1"/>
  <c r="R18" i="2"/>
  <c r="R12" i="2"/>
  <c r="R8" i="2"/>
  <c r="R27" i="2" s="1"/>
  <c r="Q29" i="2"/>
  <c r="Q28" i="2"/>
  <c r="Q26" i="2"/>
  <c r="M18" i="2"/>
  <c r="M12" i="2"/>
  <c r="M8" i="2"/>
  <c r="M27" i="2" s="1"/>
  <c r="Q18" i="2"/>
  <c r="Q12" i="2"/>
  <c r="Q8" i="2"/>
  <c r="Q27" i="2" s="1"/>
  <c r="AE29" i="2"/>
  <c r="AD29" i="2"/>
  <c r="AC29" i="2"/>
  <c r="AE28" i="2"/>
  <c r="AD28" i="2"/>
  <c r="AC28" i="2"/>
  <c r="AE26" i="2"/>
  <c r="AD26" i="2"/>
  <c r="AC26" i="2"/>
  <c r="AB18" i="2"/>
  <c r="AB12" i="2"/>
  <c r="AB8" i="2"/>
  <c r="AB27" i="2" s="1"/>
  <c r="AC18" i="2"/>
  <c r="AC12" i="2"/>
  <c r="AC8" i="2"/>
  <c r="AC27" i="2" s="1"/>
  <c r="AD18" i="2"/>
  <c r="AD12" i="2"/>
  <c r="AD8" i="2"/>
  <c r="AD27" i="2" s="1"/>
  <c r="AF29" i="2"/>
  <c r="AF28" i="2"/>
  <c r="AF26" i="2"/>
  <c r="AG29" i="2"/>
  <c r="AG28" i="2"/>
  <c r="AG26" i="2"/>
  <c r="AE18" i="2"/>
  <c r="AE12" i="2"/>
  <c r="AE8" i="2"/>
  <c r="AE27" i="2" s="1"/>
  <c r="AF18" i="2"/>
  <c r="AF12" i="2"/>
  <c r="AF8" i="2"/>
  <c r="AF27" i="2" s="1"/>
  <c r="AG18" i="2"/>
  <c r="AG12" i="2"/>
  <c r="AG8" i="2"/>
  <c r="F3" i="1"/>
  <c r="U24" i="2" l="1"/>
  <c r="AG24" i="2"/>
  <c r="V24" i="2"/>
  <c r="V26" i="2"/>
  <c r="U26" i="2"/>
  <c r="AH6" i="2"/>
  <c r="AI6" i="2" s="1"/>
  <c r="AJ6" i="2" s="1"/>
  <c r="AK6" i="2" s="1"/>
  <c r="AL6" i="2" s="1"/>
  <c r="AM6" i="2" s="1"/>
  <c r="AN6" i="2" s="1"/>
  <c r="AG23" i="2"/>
  <c r="AH9" i="2"/>
  <c r="AH10" i="2"/>
  <c r="U23" i="2"/>
  <c r="V23" i="2"/>
  <c r="AH4" i="2"/>
  <c r="AH22" i="2" s="1"/>
  <c r="V30" i="2"/>
  <c r="AH3" i="2"/>
  <c r="V21" i="2"/>
  <c r="U22" i="2"/>
  <c r="V12" i="2"/>
  <c r="V13" i="2" s="1"/>
  <c r="U12" i="2"/>
  <c r="AG13" i="2"/>
  <c r="V29" i="2"/>
  <c r="U30" i="2"/>
  <c r="P13" i="2"/>
  <c r="D8" i="1"/>
  <c r="AU30" i="2" s="1"/>
  <c r="AG27" i="2"/>
  <c r="O13" i="2"/>
  <c r="S13" i="2"/>
  <c r="N13" i="2"/>
  <c r="R13" i="2"/>
  <c r="M13" i="2"/>
  <c r="Q13" i="2"/>
  <c r="AB13" i="2"/>
  <c r="AC13" i="2"/>
  <c r="AD13" i="2"/>
  <c r="AE13" i="2"/>
  <c r="AF13" i="2"/>
  <c r="AI10" i="2" l="1"/>
  <c r="AJ10" i="2" s="1"/>
  <c r="AK10" i="2" s="1"/>
  <c r="AL10" i="2" s="1"/>
  <c r="AI9" i="2"/>
  <c r="AJ9" i="2" s="1"/>
  <c r="AH29" i="2"/>
  <c r="AK29" i="2"/>
  <c r="AH26" i="2"/>
  <c r="AH24" i="2"/>
  <c r="AH7" i="2"/>
  <c r="AH28" i="2"/>
  <c r="AH12" i="2"/>
  <c r="AH30" i="2"/>
  <c r="AH27" i="2"/>
  <c r="AH21" i="2"/>
  <c r="AH23" i="2"/>
  <c r="U27" i="2"/>
  <c r="U13" i="2"/>
  <c r="U15" i="2" s="1"/>
  <c r="V31" i="2"/>
  <c r="V15" i="2"/>
  <c r="AG15" i="2"/>
  <c r="AG31" i="2"/>
  <c r="P15" i="2"/>
  <c r="P31" i="2"/>
  <c r="D9" i="1"/>
  <c r="AF15" i="2"/>
  <c r="AF31" i="2"/>
  <c r="AE15" i="2"/>
  <c r="AE31" i="2"/>
  <c r="AB15" i="2"/>
  <c r="AB31" i="2"/>
  <c r="O15" i="2"/>
  <c r="O31" i="2"/>
  <c r="R15" i="2"/>
  <c r="R31" i="2"/>
  <c r="AD15" i="2"/>
  <c r="AD31" i="2"/>
  <c r="Q15" i="2"/>
  <c r="Q31" i="2"/>
  <c r="N15" i="2"/>
  <c r="N31" i="2"/>
  <c r="AC15" i="2"/>
  <c r="AC31" i="2"/>
  <c r="S15" i="2"/>
  <c r="S31" i="2"/>
  <c r="M15" i="2"/>
  <c r="M31" i="2"/>
  <c r="AI12" i="2" l="1"/>
  <c r="AI28" i="2"/>
  <c r="AK9" i="2"/>
  <c r="AL9" i="2" s="1"/>
  <c r="AM9" i="2" s="1"/>
  <c r="AN9" i="2" s="1"/>
  <c r="AO9" i="2" s="1"/>
  <c r="AP9" i="2" s="1"/>
  <c r="AQ9" i="2" s="1"/>
  <c r="AR9" i="2" s="1"/>
  <c r="AJ28" i="2"/>
  <c r="AJ12" i="2"/>
  <c r="AI29" i="2"/>
  <c r="AJ29" i="2"/>
  <c r="AL29" i="2"/>
  <c r="AI13" i="2"/>
  <c r="AI15" i="2" s="1"/>
  <c r="AI26" i="2"/>
  <c r="AI7" i="2"/>
  <c r="AI30" i="2"/>
  <c r="AH13" i="2"/>
  <c r="AI27" i="2"/>
  <c r="U31" i="2"/>
  <c r="V32" i="2"/>
  <c r="V17" i="2"/>
  <c r="AG17" i="2"/>
  <c r="AG32" i="2"/>
  <c r="U32" i="2"/>
  <c r="U17" i="2"/>
  <c r="P17" i="2"/>
  <c r="P32" i="2"/>
  <c r="AE17" i="2"/>
  <c r="AE32" i="2"/>
  <c r="M17" i="2"/>
  <c r="M32" i="2"/>
  <c r="R17" i="2"/>
  <c r="R32" i="2"/>
  <c r="S17" i="2"/>
  <c r="S32" i="2"/>
  <c r="AD17" i="2"/>
  <c r="AD32" i="2"/>
  <c r="O17" i="2"/>
  <c r="O32" i="2"/>
  <c r="N17" i="2"/>
  <c r="N32" i="2"/>
  <c r="Q17" i="2"/>
  <c r="Q32" i="2"/>
  <c r="AF17" i="2"/>
  <c r="AF32" i="2"/>
  <c r="AC17" i="2"/>
  <c r="AC32" i="2"/>
  <c r="AB17" i="2"/>
  <c r="AB32" i="2"/>
  <c r="AK28" i="2" l="1"/>
  <c r="AL28" i="2"/>
  <c r="AK12" i="2"/>
  <c r="AM10" i="2"/>
  <c r="AM29" i="2" s="1"/>
  <c r="AL12" i="2"/>
  <c r="AI31" i="2"/>
  <c r="AJ30" i="2"/>
  <c r="AJ26" i="2"/>
  <c r="AK26" i="2"/>
  <c r="AH15" i="2"/>
  <c r="AH31" i="2"/>
  <c r="V19" i="2"/>
  <c r="V33" i="2"/>
  <c r="AG19" i="2"/>
  <c r="AG33" i="2"/>
  <c r="U19" i="2"/>
  <c r="U33" i="2"/>
  <c r="P19" i="2"/>
  <c r="P33" i="2"/>
  <c r="AJ27" i="2"/>
  <c r="AJ13" i="2"/>
  <c r="AJ7" i="2"/>
  <c r="AB19" i="2"/>
  <c r="AB33" i="2"/>
  <c r="AI32" i="2"/>
  <c r="AI17" i="2"/>
  <c r="M19" i="2"/>
  <c r="M33" i="2"/>
  <c r="AF19" i="2"/>
  <c r="AF33" i="2"/>
  <c r="AD19" i="2"/>
  <c r="AD33" i="2"/>
  <c r="AC19" i="2"/>
  <c r="AC33" i="2"/>
  <c r="O19" i="2"/>
  <c r="O33" i="2"/>
  <c r="AE19" i="2"/>
  <c r="AE33" i="2"/>
  <c r="Q19" i="2"/>
  <c r="Q33" i="2"/>
  <c r="S19" i="2"/>
  <c r="S33" i="2"/>
  <c r="N19" i="2"/>
  <c r="N33" i="2"/>
  <c r="R19" i="2"/>
  <c r="R33" i="2"/>
  <c r="AM28" i="2"/>
  <c r="AM12" i="2" l="1"/>
  <c r="AN10" i="2"/>
  <c r="AO10" i="2" s="1"/>
  <c r="AK30" i="2"/>
  <c r="AK13" i="2"/>
  <c r="AK15" i="2" s="1"/>
  <c r="AK32" i="2" s="1"/>
  <c r="AL13" i="2"/>
  <c r="AH32" i="2"/>
  <c r="AH17" i="2"/>
  <c r="AJ15" i="2"/>
  <c r="AJ31" i="2"/>
  <c r="AI19" i="2"/>
  <c r="AI33" i="2"/>
  <c r="AN28" i="2"/>
  <c r="AN29" i="2" l="1"/>
  <c r="AN12" i="2"/>
  <c r="AL30" i="2"/>
  <c r="AK27" i="2"/>
  <c r="AL26" i="2"/>
  <c r="AK7" i="2"/>
  <c r="AK17" i="2"/>
  <c r="AK31" i="2"/>
  <c r="AL27" i="2"/>
  <c r="AH33" i="2"/>
  <c r="AH19" i="2"/>
  <c r="AL7" i="2"/>
  <c r="AO12" i="2"/>
  <c r="AJ32" i="2"/>
  <c r="AJ17" i="2"/>
  <c r="AL15" i="2"/>
  <c r="AL31" i="2"/>
  <c r="AP10" i="2"/>
  <c r="AO29" i="2"/>
  <c r="AO28" i="2"/>
  <c r="AM30" i="2" l="1"/>
  <c r="AN26" i="2"/>
  <c r="AM13" i="2"/>
  <c r="AM15" i="2" s="1"/>
  <c r="AM17" i="2" s="1"/>
  <c r="AM19" i="2" s="1"/>
  <c r="AM26" i="2"/>
  <c r="AK33" i="2"/>
  <c r="AK19" i="2"/>
  <c r="AP12" i="2"/>
  <c r="AJ19" i="2"/>
  <c r="AJ33" i="2"/>
  <c r="AL17" i="2"/>
  <c r="AL32" i="2"/>
  <c r="AP29" i="2"/>
  <c r="AQ10" i="2"/>
  <c r="AP28" i="2"/>
  <c r="AM7" i="2" l="1"/>
  <c r="AM27" i="2"/>
  <c r="AN7" i="2"/>
  <c r="AM31" i="2"/>
  <c r="AM32" i="2"/>
  <c r="AM33" i="2"/>
  <c r="AO6" i="2"/>
  <c r="AO7" i="2" s="1"/>
  <c r="AN30" i="2"/>
  <c r="AQ12" i="2"/>
  <c r="AL19" i="2"/>
  <c r="AL33" i="2"/>
  <c r="AQ29" i="2"/>
  <c r="AR10" i="2"/>
  <c r="AR28" i="2"/>
  <c r="AQ28" i="2"/>
  <c r="AO26" i="2" l="1"/>
  <c r="AN27" i="2"/>
  <c r="AN13" i="2"/>
  <c r="AN31" i="2" s="1"/>
  <c r="AP6" i="2"/>
  <c r="AO30" i="2"/>
  <c r="AP26" i="2"/>
  <c r="AP13" i="2"/>
  <c r="AO27" i="2"/>
  <c r="AO13" i="2"/>
  <c r="AO15" i="2" s="1"/>
  <c r="AR29" i="2"/>
  <c r="AR12" i="2"/>
  <c r="AN15" i="2" l="1"/>
  <c r="AN32" i="2" s="1"/>
  <c r="AQ6" i="2"/>
  <c r="AR6" i="2" s="1"/>
  <c r="AR30" i="2" s="1"/>
  <c r="AP30" i="2"/>
  <c r="AP7" i="2"/>
  <c r="AP27" i="2"/>
  <c r="AO31" i="2"/>
  <c r="AP15" i="2"/>
  <c r="AP31" i="2"/>
  <c r="AO32" i="2"/>
  <c r="AO17" i="2"/>
  <c r="AN17" i="2" l="1"/>
  <c r="AN33" i="2" s="1"/>
  <c r="AQ26" i="2"/>
  <c r="AQ7" i="2"/>
  <c r="AQ30" i="2"/>
  <c r="AR27" i="2"/>
  <c r="AR26" i="2"/>
  <c r="AO19" i="2"/>
  <c r="AO33" i="2"/>
  <c r="AP17" i="2"/>
  <c r="AP32" i="2"/>
  <c r="AN19" i="2" l="1"/>
  <c r="AQ27" i="2"/>
  <c r="AQ13" i="2"/>
  <c r="AQ15" i="2" s="1"/>
  <c r="AQ17" i="2" s="1"/>
  <c r="AR13" i="2"/>
  <c r="AR31" i="2" s="1"/>
  <c r="AR7" i="2"/>
  <c r="AP19" i="2"/>
  <c r="AP33" i="2"/>
  <c r="AQ32" i="2" l="1"/>
  <c r="AQ31" i="2"/>
  <c r="AR15" i="2"/>
  <c r="AR32" i="2" s="1"/>
  <c r="AQ19" i="2"/>
  <c r="AQ33" i="2"/>
  <c r="AR17" i="2" l="1"/>
  <c r="AR19" i="2" s="1"/>
  <c r="AS17" i="2" l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AU29" i="2" s="1"/>
  <c r="AU31" i="2" s="1"/>
  <c r="AU32" i="2" s="1"/>
  <c r="AU34" i="2" s="1"/>
  <c r="AR33" i="2"/>
  <c r="T8" i="2" l="1"/>
  <c r="T27" i="2" l="1"/>
  <c r="T13" i="2"/>
  <c r="T15" i="2" l="1"/>
  <c r="T31" i="2"/>
  <c r="T17" i="2" l="1"/>
  <c r="T32" i="2"/>
  <c r="T19" i="2" l="1"/>
  <c r="T33" i="2"/>
</calcChain>
</file>

<file path=xl/sharedStrings.xml><?xml version="1.0" encoding="utf-8"?>
<sst xmlns="http://schemas.openxmlformats.org/spreadsheetml/2006/main" count="76" uniqueCount="71">
  <si>
    <t>LCID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</si>
  <si>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</si>
  <si>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</si>
  <si>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</si>
  <si>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</si>
  <si>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</si>
  <si>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</si>
  <si>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</si>
  <si>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</si>
  <si>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</si>
  <si>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</si>
  <si>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</si>
  <si>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Revenue</t>
  </si>
  <si>
    <t>Cost of sales</t>
  </si>
  <si>
    <t>Gross profit</t>
  </si>
  <si>
    <t>R&amp;D</t>
  </si>
  <si>
    <t>SG&amp;A</t>
  </si>
  <si>
    <t>Restructuring</t>
  </si>
  <si>
    <t>Total operating expense</t>
  </si>
  <si>
    <t>Operating profit</t>
  </si>
  <si>
    <t>Other income</t>
  </si>
  <si>
    <t>Pretax profit</t>
  </si>
  <si>
    <t>Taxes</t>
  </si>
  <si>
    <t>Net profit</t>
  </si>
  <si>
    <t>EPS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</si>
  <si>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</si>
  <si>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</si>
  <si>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</si>
  <si>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</si>
  <si>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</si>
  <si>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</si>
  <si>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</si>
  <si>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</si>
  <si>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</si>
  <si>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</si>
  <si>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</si>
  <si>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</si>
  <si>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</si>
  <si>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</si>
  <si>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</si>
  <si>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</si>
  <si>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</si>
  <si>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</si>
  <si>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</si>
  <si>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Revenue y/y</t>
  </si>
  <si>
    <t>Gross Margin</t>
  </si>
  <si>
    <t>R&amp;D y/y</t>
  </si>
  <si>
    <t>SG&amp;A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</si>
  <si>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</si>
  <si>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</si>
  <si>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</si>
  <si>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</si>
  <si>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</si>
  <si>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</si>
  <si>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</si>
  <si>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</si>
  <si>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</si>
  <si>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</si>
  <si>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</si>
  <si>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SG&amp;A Margin</t>
  </si>
  <si>
    <t>Production</t>
  </si>
  <si>
    <t>Production y/y</t>
  </si>
  <si>
    <t>Deliveries</t>
  </si>
  <si>
    <t>Deliveries y/y</t>
  </si>
  <si>
    <t>Delivery Ratio</t>
  </si>
  <si>
    <t>ASP</t>
  </si>
  <si>
    <t>Q126</t>
  </si>
  <si>
    <t>Q226</t>
  </si>
  <si>
    <t>Q326</t>
  </si>
  <si>
    <t>Q426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</si>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</sst>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3" fontId="2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9" fontId="3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38100</xdr:colOff>
      <xdr:row>0</xdr:row>
      <xdr:rowOff>15240</xdr:rowOff>
    </xdr:from>
    <xdr:to>
      <xdr:col>34</xdr:col>
      <xdr:colOff>38100</xdr:colOff>
      <xdr:row>42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E6F2159-2F1A-422C-C571-CDA25F2CF0F4}"/>
            </a:ext>
          </a:extLst>
        </xdr:cNvPr>
        <xdr:cNvCxnSpPr/>
      </xdr:nvCxnSpPr>
      <xdr:spPr>
        <a:xfrm>
          <a:off x="21583650" y="15240"/>
          <a:ext cx="0" cy="769239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22860</xdr:colOff>
      <xdr:row>0</xdr:row>
      <xdr:rowOff>0</xdr:rowOff>
    </xdr:from>
    <xdr:to>
      <xdr:col>22</xdr:col>
      <xdr:colOff>22860</xdr:colOff>
      <xdr:row>41</xdr:row>
      <xdr:rowOff>167640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B774CCD-E4E6-2711-5B32-362A0186FBF6}"/>
            </a:ext>
          </a:extLst>
        </xdr:cNvPr>
        <xdr:cNvCxnSpPr/>
      </xdr:nvCxnSpPr>
      <xdr:spPr>
        <a:xfrm>
          <a:off x="14249400" y="0"/>
          <a:ext cx="0" cy="76657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7B7A2-890D-43C6-8568-2B7E364C5F2A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3.3320312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12.84</v>
      </c>
      <c r="E3" s="4">
        <v>46078</v>
      </c>
      <c r="F3" s="4">
        <f ca="1">TODAY()</f>
        <v>46078</v>
      </c>
      <c r="G3" s="4">
        <v>46153</v>
      </c>
    </row>
    <row r="4" spans="2:7" x14ac:dyDescent="0.3">
      <c r="C4" s="1" t="s">
        <v>2</v>
      </c>
      <c r="D4" s="6">
        <f>325</f>
        <v>325</v>
      </c>
      <c r="E4" s="3" t="s">
        <v>43</v>
      </c>
    </row>
    <row r="5" spans="2:7" x14ac:dyDescent="0.3">
      <c r="C5" s="1" t="s">
        <v>3</v>
      </c>
      <c r="D5" s="6">
        <f>D3*D4</f>
        <v>4173</v>
      </c>
    </row>
    <row r="6" spans="2:7" x14ac:dyDescent="0.3">
      <c r="C6" s="1" t="s">
        <v>4</v>
      </c>
      <c r="D6" s="6">
        <f>997.8+631.1+512.2</f>
        <v>2141.1000000000004</v>
      </c>
      <c r="E6" s="3" t="s">
        <v>43</v>
      </c>
    </row>
    <row r="7" spans="2:7" x14ac:dyDescent="0.3">
      <c r="C7" s="1" t="s">
        <v>5</v>
      </c>
      <c r="D7" s="6">
        <f>671.7+2046.6</f>
        <v>2718.3</v>
      </c>
      <c r="E7" s="3" t="s">
        <v>43</v>
      </c>
    </row>
    <row r="8" spans="2:7" x14ac:dyDescent="0.3">
      <c r="C8" s="1" t="s">
        <v>6</v>
      </c>
      <c r="D8" s="6">
        <f>D6-D7</f>
        <v>-577.19999999999982</v>
      </c>
    </row>
    <row r="9" spans="2:7" x14ac:dyDescent="0.3">
      <c r="C9" s="1" t="s">
        <v>7</v>
      </c>
      <c r="D9" s="6">
        <f>D5-D8</f>
        <v>4750.2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EB153-B42C-4EA2-9808-5A7F3690FC48}">
  <dimension ref="B2:EJ35"/>
  <sheetViews>
    <sheetView tabSelected="1" zoomScaleNormal="100" workbookViewId="0">
      <pane xSplit="2" ySplit="2" topLeftCell="AE12" activePane="bottomRight" state="frozen"/>
      <selection pane="topRight" activeCell="C1" sqref="C1"/>
      <selection pane="bottomLeft" activeCell="A3" sqref="A3"/>
      <selection pane="bottomRight" activeCell="AH23" sqref="AH23"/>
    </sheetView>
  </sheetViews>
  <sheetFormatPr defaultRowHeight="14.4" x14ac:dyDescent="0.3"/>
  <cols>
    <col min="1" max="1" width="8.88671875" style="1"/>
    <col min="2" max="2" width="20.77734375" style="1" bestFit="1" customWidth="1"/>
    <col min="3" max="17" width="8.88671875" style="1"/>
    <col min="18" max="18" width="8.88671875" style="1" customWidth="1"/>
    <col min="19" max="45" width="8.88671875" style="1"/>
    <col min="46" max="46" width="11.88671875" style="1" bestFit="1" customWidth="1"/>
    <col min="47" max="47" width="17.88671875" style="1" bestFit="1" customWidth="1"/>
    <col min="48" max="16384" width="8.88671875" style="1"/>
  </cols>
  <sheetData>
    <row r="2" spans="2:44" x14ac:dyDescent="0.3">
      <c r="C2" s="7" t="s">
        <v>25</v>
      </c>
      <c r="D2" s="7" t="s">
        <v>26</v>
      </c>
      <c r="E2" s="7" t="s">
        <v>27</v>
      </c>
      <c r="F2" s="7" t="s">
        <v>28</v>
      </c>
      <c r="G2" s="7" t="s">
        <v>29</v>
      </c>
      <c r="H2" s="7" t="s">
        <v>30</v>
      </c>
      <c r="I2" s="7" t="s">
        <v>31</v>
      </c>
      <c r="J2" s="7" t="s">
        <v>32</v>
      </c>
      <c r="K2" s="7" t="s">
        <v>33</v>
      </c>
      <c r="L2" s="7" t="s">
        <v>34</v>
      </c>
      <c r="M2" s="7" t="s">
        <v>35</v>
      </c>
      <c r="N2" s="7" t="s">
        <v>36</v>
      </c>
      <c r="O2" s="7" t="s">
        <v>37</v>
      </c>
      <c r="P2" s="7" t="s">
        <v>38</v>
      </c>
      <c r="Q2" s="7" t="s">
        <v>39</v>
      </c>
      <c r="R2" s="7" t="s">
        <v>11</v>
      </c>
      <c r="S2" s="7" t="s">
        <v>40</v>
      </c>
      <c r="T2" s="7" t="s">
        <v>41</v>
      </c>
      <c r="U2" s="7" t="s">
        <v>42</v>
      </c>
      <c r="V2" s="7" t="s">
        <v>43</v>
      </c>
      <c r="W2" s="7" t="s">
        <v>66</v>
      </c>
      <c r="X2" s="7" t="s">
        <v>67</v>
      </c>
      <c r="Y2" s="7" t="s">
        <v>68</v>
      </c>
      <c r="Z2" s="7" t="s">
        <v>69</v>
      </c>
      <c r="AB2" s="1">
        <v>2019</v>
      </c>
      <c r="AC2" s="1">
        <v>2020</v>
      </c>
      <c r="AD2" s="1">
        <v>2021</v>
      </c>
      <c r="AE2" s="1">
        <v>2022</v>
      </c>
      <c r="AF2" s="1">
        <v>2023</v>
      </c>
      <c r="AG2" s="1">
        <v>2024</v>
      </c>
      <c r="AH2" s="1">
        <v>2025</v>
      </c>
      <c r="AI2" s="1">
        <v>2026</v>
      </c>
      <c r="AJ2" s="1">
        <v>2027</v>
      </c>
      <c r="AK2" s="1">
        <v>2028</v>
      </c>
      <c r="AL2" s="1">
        <v>2029</v>
      </c>
      <c r="AM2" s="1">
        <v>2030</v>
      </c>
      <c r="AN2" s="1">
        <v>2031</v>
      </c>
      <c r="AO2" s="1">
        <v>2032</v>
      </c>
      <c r="AP2" s="1">
        <v>2033</v>
      </c>
      <c r="AQ2" s="1">
        <v>2034</v>
      </c>
      <c r="AR2" s="1">
        <v>2035</v>
      </c>
    </row>
    <row r="3" spans="2:44" x14ac:dyDescent="0.3">
      <c r="B3" s="1" t="s">
        <v>62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12">
        <v>1734</v>
      </c>
      <c r="O3" s="12">
        <v>1967</v>
      </c>
      <c r="P3" s="12">
        <v>2394</v>
      </c>
      <c r="Q3" s="12">
        <v>2781</v>
      </c>
      <c r="R3" s="12">
        <v>3099</v>
      </c>
      <c r="S3" s="12">
        <v>3109</v>
      </c>
      <c r="T3" s="12">
        <v>3309</v>
      </c>
      <c r="U3" s="12">
        <v>4078</v>
      </c>
      <c r="V3" s="12">
        <v>5345</v>
      </c>
      <c r="W3" s="13"/>
      <c r="X3" s="13"/>
      <c r="Y3" s="13"/>
      <c r="Z3" s="13"/>
      <c r="AD3" s="6">
        <v>300</v>
      </c>
      <c r="AE3" s="6">
        <v>4369</v>
      </c>
      <c r="AF3" s="6">
        <v>6001</v>
      </c>
      <c r="AG3" s="6">
        <f>SUM(O3:R3)</f>
        <v>10241</v>
      </c>
      <c r="AH3" s="14">
        <f>SUM(S3:V3)</f>
        <v>15841</v>
      </c>
    </row>
    <row r="4" spans="2:44" x14ac:dyDescent="0.3">
      <c r="B4" s="1" t="s">
        <v>60</v>
      </c>
      <c r="C4" s="7"/>
      <c r="D4" s="7"/>
      <c r="E4" s="7"/>
      <c r="F4" s="7"/>
      <c r="G4" s="7"/>
      <c r="H4" s="7"/>
      <c r="I4" s="7"/>
      <c r="J4" s="7"/>
      <c r="K4" s="7"/>
      <c r="L4" s="7"/>
      <c r="M4" s="12">
        <v>1550</v>
      </c>
      <c r="N4" s="12">
        <v>1734</v>
      </c>
      <c r="O4" s="12">
        <v>1728</v>
      </c>
      <c r="P4" s="12">
        <v>2110</v>
      </c>
      <c r="Q4" s="12">
        <v>1805</v>
      </c>
      <c r="R4" s="12">
        <v>3386</v>
      </c>
      <c r="S4" s="12">
        <v>2212</v>
      </c>
      <c r="T4" s="12">
        <v>3863</v>
      </c>
      <c r="U4" s="12">
        <v>3891</v>
      </c>
      <c r="V4" s="12">
        <v>7874</v>
      </c>
      <c r="W4" s="13"/>
      <c r="X4" s="13"/>
      <c r="Y4" s="13"/>
      <c r="Z4" s="13"/>
      <c r="AD4" s="6">
        <v>400</v>
      </c>
      <c r="AE4" s="6">
        <v>7180</v>
      </c>
      <c r="AF4" s="6">
        <v>8428</v>
      </c>
      <c r="AG4" s="6">
        <f>SUM(O4:R4)</f>
        <v>9029</v>
      </c>
      <c r="AH4" s="14">
        <f>SUM(S4:V4)</f>
        <v>17840</v>
      </c>
      <c r="AI4" s="1">
        <v>26000</v>
      </c>
    </row>
    <row r="5" spans="2:44" x14ac:dyDescent="0.3"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2:44" s="2" customFormat="1" x14ac:dyDescent="0.3">
      <c r="B6" s="2" t="s">
        <v>12</v>
      </c>
      <c r="M6" s="9">
        <v>137.80000000000001</v>
      </c>
      <c r="N6" s="9">
        <v>157.19999999999999</v>
      </c>
      <c r="O6" s="9">
        <v>172.7</v>
      </c>
      <c r="P6" s="9">
        <v>200.6</v>
      </c>
      <c r="Q6" s="9">
        <v>200</v>
      </c>
      <c r="R6" s="9">
        <v>234.5</v>
      </c>
      <c r="S6" s="9">
        <v>235</v>
      </c>
      <c r="T6" s="9">
        <v>259.39999999999998</v>
      </c>
      <c r="U6" s="9">
        <v>336.6</v>
      </c>
      <c r="V6" s="9">
        <v>522.70000000000005</v>
      </c>
      <c r="W6" s="9"/>
      <c r="X6" s="9"/>
      <c r="Y6" s="9"/>
      <c r="Z6" s="9"/>
      <c r="AB6" s="9">
        <v>4.5999999999999996</v>
      </c>
      <c r="AC6" s="9">
        <v>4</v>
      </c>
      <c r="AD6" s="9">
        <v>27.1</v>
      </c>
      <c r="AE6" s="9">
        <v>608.20000000000005</v>
      </c>
      <c r="AF6" s="9">
        <v>595.29999999999995</v>
      </c>
      <c r="AG6" s="9">
        <v>807.8</v>
      </c>
      <c r="AH6" s="9">
        <f>SUM(S6:V6)</f>
        <v>1353.7</v>
      </c>
      <c r="AI6" s="9">
        <f>AH6*1.5</f>
        <v>2030.5500000000002</v>
      </c>
      <c r="AJ6" s="9">
        <f>AI6*1.4</f>
        <v>2842.77</v>
      </c>
      <c r="AK6" s="9">
        <f>AJ6*1.35</f>
        <v>3837.7395000000001</v>
      </c>
      <c r="AL6" s="9">
        <f>AK6*1.3</f>
        <v>4989.0613499999999</v>
      </c>
      <c r="AM6" s="9">
        <f>AL6*1.25</f>
        <v>6236.3266874999999</v>
      </c>
      <c r="AN6" s="9">
        <f>AM6*1.2</f>
        <v>7483.5920249999999</v>
      </c>
      <c r="AO6" s="9">
        <f t="shared" ref="AO6:AR6" si="0">AN6*1.15</f>
        <v>8606.1308287499996</v>
      </c>
      <c r="AP6" s="9">
        <f t="shared" si="0"/>
        <v>9897.0504530624985</v>
      </c>
      <c r="AQ6" s="9">
        <f t="shared" si="0"/>
        <v>11381.608021021872</v>
      </c>
      <c r="AR6" s="9">
        <f t="shared" si="0"/>
        <v>13088.849224175152</v>
      </c>
    </row>
    <row r="7" spans="2:44" x14ac:dyDescent="0.3">
      <c r="B7" s="1" t="s">
        <v>13</v>
      </c>
      <c r="M7" s="6">
        <v>469.7</v>
      </c>
      <c r="N7" s="6">
        <v>410</v>
      </c>
      <c r="O7" s="6">
        <v>404.8</v>
      </c>
      <c r="P7" s="6">
        <v>470.4</v>
      </c>
      <c r="Q7" s="6">
        <v>412.5</v>
      </c>
      <c r="R7" s="6">
        <v>443.2</v>
      </c>
      <c r="S7" s="6">
        <v>463.6</v>
      </c>
      <c r="T7" s="6">
        <v>531.79999999999995</v>
      </c>
      <c r="U7" s="6">
        <v>670.2</v>
      </c>
      <c r="V7" s="6">
        <v>944.6</v>
      </c>
      <c r="W7" s="6"/>
      <c r="X7" s="6"/>
      <c r="Y7" s="6"/>
      <c r="Z7" s="6"/>
      <c r="AB7" s="6">
        <v>3.9</v>
      </c>
      <c r="AC7" s="6">
        <v>3.1</v>
      </c>
      <c r="AD7" s="6">
        <v>154.9</v>
      </c>
      <c r="AE7" s="6">
        <v>1646.1</v>
      </c>
      <c r="AF7" s="6">
        <v>1936.1</v>
      </c>
      <c r="AG7" s="6">
        <v>1730.9</v>
      </c>
      <c r="AH7" s="6">
        <f>SUM(S7:V7)</f>
        <v>2610.1999999999998</v>
      </c>
      <c r="AI7" s="6">
        <f t="shared" ref="AI7:AR7" si="1">AI6-AI8</f>
        <v>3248.88</v>
      </c>
      <c r="AJ7" s="6">
        <f t="shared" si="1"/>
        <v>3695.6010000000001</v>
      </c>
      <c r="AK7" s="6">
        <f t="shared" si="1"/>
        <v>4029.626475</v>
      </c>
      <c r="AL7" s="6">
        <f t="shared" si="1"/>
        <v>4490.1552149999998</v>
      </c>
      <c r="AM7" s="6">
        <f t="shared" si="1"/>
        <v>5300.8776843750002</v>
      </c>
      <c r="AN7" s="6">
        <f t="shared" si="1"/>
        <v>5986.8736200000003</v>
      </c>
      <c r="AO7" s="6">
        <f t="shared" si="1"/>
        <v>6626.7207381374992</v>
      </c>
      <c r="AP7" s="6">
        <f t="shared" si="1"/>
        <v>7521.7583443274989</v>
      </c>
      <c r="AQ7" s="6">
        <f t="shared" si="1"/>
        <v>8536.2060157664037</v>
      </c>
      <c r="AR7" s="6">
        <f t="shared" si="1"/>
        <v>9816.6369181313639</v>
      </c>
    </row>
    <row r="8" spans="2:44" s="2" customFormat="1" x14ac:dyDescent="0.3">
      <c r="B8" s="2" t="s">
        <v>14</v>
      </c>
      <c r="M8" s="9">
        <f t="shared" ref="M8:V8" si="2">M6-M7</f>
        <v>-331.9</v>
      </c>
      <c r="N8" s="9">
        <f t="shared" si="2"/>
        <v>-252.8</v>
      </c>
      <c r="O8" s="9">
        <f t="shared" si="2"/>
        <v>-232.10000000000002</v>
      </c>
      <c r="P8" s="9">
        <f t="shared" si="2"/>
        <v>-269.79999999999995</v>
      </c>
      <c r="Q8" s="9">
        <f t="shared" si="2"/>
        <v>-212.5</v>
      </c>
      <c r="R8" s="9">
        <f t="shared" si="2"/>
        <v>-208.7</v>
      </c>
      <c r="S8" s="9">
        <f t="shared" si="2"/>
        <v>-228.60000000000002</v>
      </c>
      <c r="T8" s="9">
        <f t="shared" si="2"/>
        <v>-272.39999999999998</v>
      </c>
      <c r="U8" s="9">
        <f t="shared" si="2"/>
        <v>-333.6</v>
      </c>
      <c r="V8" s="9">
        <f t="shared" si="2"/>
        <v>-421.9</v>
      </c>
      <c r="W8" s="9"/>
      <c r="X8" s="9"/>
      <c r="Y8" s="9"/>
      <c r="Z8" s="9"/>
      <c r="AB8" s="9">
        <f t="shared" ref="AB8:AH8" si="3">AB6-AB7</f>
        <v>0.69999999999999973</v>
      </c>
      <c r="AC8" s="9">
        <f t="shared" si="3"/>
        <v>0.89999999999999991</v>
      </c>
      <c r="AD8" s="9">
        <f t="shared" si="3"/>
        <v>-127.80000000000001</v>
      </c>
      <c r="AE8" s="9">
        <f t="shared" si="3"/>
        <v>-1037.8999999999999</v>
      </c>
      <c r="AF8" s="9">
        <f t="shared" si="3"/>
        <v>-1340.8</v>
      </c>
      <c r="AG8" s="9">
        <f t="shared" si="3"/>
        <v>-923.10000000000014</v>
      </c>
      <c r="AH8" s="9">
        <f t="shared" si="3"/>
        <v>-1256.4999999999998</v>
      </c>
      <c r="AI8" s="9">
        <f>-AI6*0.6</f>
        <v>-1218.3300000000002</v>
      </c>
      <c r="AJ8" s="9">
        <f>-AJ6*0.3</f>
        <v>-852.83100000000002</v>
      </c>
      <c r="AK8" s="9">
        <f>-AK6*0.05</f>
        <v>-191.88697500000001</v>
      </c>
      <c r="AL8" s="9">
        <f>AL6*0.1</f>
        <v>498.90613500000001</v>
      </c>
      <c r="AM8" s="9">
        <f>AM6*0.15</f>
        <v>935.44900312499999</v>
      </c>
      <c r="AN8" s="9">
        <f>AN6*0.2</f>
        <v>1496.7184050000001</v>
      </c>
      <c r="AO8" s="9">
        <f>AO6*0.23</f>
        <v>1979.4100906125</v>
      </c>
      <c r="AP8" s="9">
        <f>AP6*0.24</f>
        <v>2375.2921087349996</v>
      </c>
      <c r="AQ8" s="9">
        <f>AQ6*0.25</f>
        <v>2845.4020052554679</v>
      </c>
      <c r="AR8" s="9">
        <f>AR6*0.25</f>
        <v>3272.212306043788</v>
      </c>
    </row>
    <row r="9" spans="2:44" x14ac:dyDescent="0.3">
      <c r="B9" s="1" t="s">
        <v>15</v>
      </c>
      <c r="M9" s="6">
        <v>230.8</v>
      </c>
      <c r="N9" s="6">
        <v>243</v>
      </c>
      <c r="O9" s="6">
        <v>284.60000000000002</v>
      </c>
      <c r="P9" s="6">
        <v>287.2</v>
      </c>
      <c r="Q9" s="6">
        <v>324.39999999999998</v>
      </c>
      <c r="R9" s="6">
        <v>280.3</v>
      </c>
      <c r="S9" s="6">
        <v>251.2</v>
      </c>
      <c r="T9" s="6">
        <v>273.8</v>
      </c>
      <c r="U9" s="6">
        <v>325.3</v>
      </c>
      <c r="V9" s="6">
        <v>361</v>
      </c>
      <c r="W9" s="6"/>
      <c r="X9" s="6"/>
      <c r="Y9" s="6"/>
      <c r="Z9" s="6"/>
      <c r="AB9" s="6">
        <v>220.2</v>
      </c>
      <c r="AC9" s="6">
        <v>511.1</v>
      </c>
      <c r="AD9" s="6">
        <v>750.2</v>
      </c>
      <c r="AE9" s="6">
        <v>821.5</v>
      </c>
      <c r="AF9" s="6">
        <v>937</v>
      </c>
      <c r="AG9" s="6">
        <v>1176.5</v>
      </c>
      <c r="AH9" s="6">
        <f t="shared" ref="AH9:AH11" si="4">SUM(S9:V9)</f>
        <v>1211.3</v>
      </c>
      <c r="AI9" s="6">
        <f>AH9*1.02</f>
        <v>1235.5260000000001</v>
      </c>
      <c r="AJ9" s="6">
        <f>AI9*1.01</f>
        <v>1247.8812600000001</v>
      </c>
      <c r="AK9" s="6">
        <f t="shared" ref="AK9:AR9" si="5">AJ9*1.01</f>
        <v>1260.3600726000002</v>
      </c>
      <c r="AL9" s="6">
        <f t="shared" si="5"/>
        <v>1272.9636733260002</v>
      </c>
      <c r="AM9" s="6">
        <f t="shared" si="5"/>
        <v>1285.6933100592603</v>
      </c>
      <c r="AN9" s="6">
        <f t="shared" si="5"/>
        <v>1298.5502431598529</v>
      </c>
      <c r="AO9" s="6">
        <f t="shared" si="5"/>
        <v>1311.5357455914514</v>
      </c>
      <c r="AP9" s="6">
        <f t="shared" si="5"/>
        <v>1324.651103047366</v>
      </c>
      <c r="AQ9" s="6">
        <f t="shared" si="5"/>
        <v>1337.8976140778395</v>
      </c>
      <c r="AR9" s="6">
        <f t="shared" si="5"/>
        <v>1351.2765902186179</v>
      </c>
    </row>
    <row r="10" spans="2:44" x14ac:dyDescent="0.3">
      <c r="B10" s="1" t="s">
        <v>16</v>
      </c>
      <c r="M10" s="6">
        <v>189.7</v>
      </c>
      <c r="N10" s="6">
        <v>241</v>
      </c>
      <c r="O10" s="6">
        <v>213.2</v>
      </c>
      <c r="P10" s="6">
        <v>210.2</v>
      </c>
      <c r="Q10" s="6">
        <v>233.6</v>
      </c>
      <c r="R10" s="6">
        <v>243.9</v>
      </c>
      <c r="S10" s="6">
        <v>212.2</v>
      </c>
      <c r="T10" s="6">
        <v>256.89999999999998</v>
      </c>
      <c r="U10" s="6">
        <v>283.10000000000002</v>
      </c>
      <c r="V10" s="6">
        <v>281.8</v>
      </c>
      <c r="W10" s="6"/>
      <c r="X10" s="6"/>
      <c r="Y10" s="6"/>
      <c r="Z10" s="6"/>
      <c r="AB10" s="6">
        <v>38.4</v>
      </c>
      <c r="AC10" s="6">
        <v>89</v>
      </c>
      <c r="AD10" s="6">
        <v>652.5</v>
      </c>
      <c r="AE10" s="6">
        <v>734.6</v>
      </c>
      <c r="AF10" s="6">
        <v>797.2</v>
      </c>
      <c r="AG10" s="6">
        <v>901</v>
      </c>
      <c r="AH10" s="6">
        <f t="shared" si="4"/>
        <v>1034</v>
      </c>
      <c r="AI10" s="6">
        <f t="shared" ref="AI10:AR10" si="6">AH10*1.01</f>
        <v>1044.3399999999999</v>
      </c>
      <c r="AJ10" s="6">
        <f t="shared" si="6"/>
        <v>1054.7834</v>
      </c>
      <c r="AK10" s="6">
        <f t="shared" si="6"/>
        <v>1065.331234</v>
      </c>
      <c r="AL10" s="6">
        <f t="shared" si="6"/>
        <v>1075.98454634</v>
      </c>
      <c r="AM10" s="6">
        <f t="shared" si="6"/>
        <v>1086.7443918034</v>
      </c>
      <c r="AN10" s="6">
        <f t="shared" si="6"/>
        <v>1097.6118357214341</v>
      </c>
      <c r="AO10" s="6">
        <f t="shared" si="6"/>
        <v>1108.5879540786484</v>
      </c>
      <c r="AP10" s="6">
        <f t="shared" si="6"/>
        <v>1119.6738336194348</v>
      </c>
      <c r="AQ10" s="6">
        <f t="shared" si="6"/>
        <v>1130.8705719556292</v>
      </c>
      <c r="AR10" s="6">
        <f t="shared" si="6"/>
        <v>1142.1792776751854</v>
      </c>
    </row>
    <row r="11" spans="2:44" x14ac:dyDescent="0.3">
      <c r="B11" s="1" t="s">
        <v>17</v>
      </c>
      <c r="M11" s="6">
        <v>0.5</v>
      </c>
      <c r="N11" s="6">
        <v>0</v>
      </c>
      <c r="O11" s="6">
        <v>0</v>
      </c>
      <c r="P11" s="6">
        <v>20.2</v>
      </c>
      <c r="Q11" s="6">
        <v>0.1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/>
      <c r="X11" s="6"/>
      <c r="Y11" s="6"/>
      <c r="Z11" s="6"/>
      <c r="AB11" s="6">
        <v>0</v>
      </c>
      <c r="AC11" s="6">
        <v>0</v>
      </c>
      <c r="AD11" s="6">
        <v>0</v>
      </c>
      <c r="AE11" s="6">
        <v>0</v>
      </c>
      <c r="AF11" s="6">
        <v>24.5</v>
      </c>
      <c r="AG11" s="6">
        <v>20.3</v>
      </c>
      <c r="AH11" s="6">
        <f t="shared" si="4"/>
        <v>0</v>
      </c>
      <c r="AI11" s="6">
        <v>0</v>
      </c>
      <c r="AJ11" s="6">
        <v>0</v>
      </c>
      <c r="AK11" s="6">
        <v>0</v>
      </c>
      <c r="AL11" s="6">
        <v>0</v>
      </c>
      <c r="AM11" s="6">
        <v>0</v>
      </c>
      <c r="AN11" s="6">
        <v>0</v>
      </c>
      <c r="AO11" s="6">
        <v>0</v>
      </c>
      <c r="AP11" s="6">
        <v>0</v>
      </c>
      <c r="AQ11" s="6">
        <v>0</v>
      </c>
      <c r="AR11" s="6">
        <v>0</v>
      </c>
    </row>
    <row r="12" spans="2:44" x14ac:dyDescent="0.3">
      <c r="B12" s="1" t="s">
        <v>18</v>
      </c>
      <c r="M12" s="6">
        <f t="shared" ref="M12:T12" si="7">SUM(M9:M11)</f>
        <v>421</v>
      </c>
      <c r="N12" s="6">
        <f t="shared" si="7"/>
        <v>484</v>
      </c>
      <c r="O12" s="6">
        <f t="shared" si="7"/>
        <v>497.8</v>
      </c>
      <c r="P12" s="6">
        <f t="shared" si="7"/>
        <v>517.6</v>
      </c>
      <c r="Q12" s="6">
        <f t="shared" si="7"/>
        <v>558.1</v>
      </c>
      <c r="R12" s="6">
        <f t="shared" si="7"/>
        <v>524.20000000000005</v>
      </c>
      <c r="S12" s="6">
        <f t="shared" si="7"/>
        <v>463.4</v>
      </c>
      <c r="T12" s="6">
        <f t="shared" si="7"/>
        <v>530.70000000000005</v>
      </c>
      <c r="U12" s="6">
        <f t="shared" ref="U12:V12" si="8">SUM(U9:U11)</f>
        <v>608.40000000000009</v>
      </c>
      <c r="V12" s="6">
        <f t="shared" si="8"/>
        <v>642.79999999999995</v>
      </c>
      <c r="W12" s="6"/>
      <c r="X12" s="6"/>
      <c r="Y12" s="6"/>
      <c r="Z12" s="6"/>
      <c r="AB12" s="6">
        <f t="shared" ref="AB12:AH12" si="9">SUM(AB9:AB11)</f>
        <v>258.59999999999997</v>
      </c>
      <c r="AC12" s="6">
        <f t="shared" si="9"/>
        <v>600.1</v>
      </c>
      <c r="AD12" s="6">
        <f t="shared" si="9"/>
        <v>1402.7</v>
      </c>
      <c r="AE12" s="6">
        <f t="shared" si="9"/>
        <v>1556.1</v>
      </c>
      <c r="AF12" s="6">
        <f t="shared" si="9"/>
        <v>1758.7</v>
      </c>
      <c r="AG12" s="6">
        <f t="shared" si="9"/>
        <v>2097.8000000000002</v>
      </c>
      <c r="AH12" s="6">
        <f t="shared" si="9"/>
        <v>2245.3000000000002</v>
      </c>
      <c r="AI12" s="6">
        <f t="shared" ref="AI12:AR12" si="10">SUM(AI9:AI11)</f>
        <v>2279.866</v>
      </c>
      <c r="AJ12" s="6">
        <f t="shared" si="10"/>
        <v>2302.6646600000004</v>
      </c>
      <c r="AK12" s="6">
        <f t="shared" si="10"/>
        <v>2325.6913066000002</v>
      </c>
      <c r="AL12" s="6">
        <f t="shared" si="10"/>
        <v>2348.9482196660001</v>
      </c>
      <c r="AM12" s="6">
        <f t="shared" si="10"/>
        <v>2372.4377018626601</v>
      </c>
      <c r="AN12" s="6">
        <f t="shared" si="10"/>
        <v>2396.162078881287</v>
      </c>
      <c r="AO12" s="6">
        <f t="shared" si="10"/>
        <v>2420.1236996701</v>
      </c>
      <c r="AP12" s="6">
        <f t="shared" si="10"/>
        <v>2444.3249366668006</v>
      </c>
      <c r="AQ12" s="6">
        <f t="shared" si="10"/>
        <v>2468.7681860334687</v>
      </c>
      <c r="AR12" s="6">
        <f t="shared" si="10"/>
        <v>2493.4558678938033</v>
      </c>
    </row>
    <row r="13" spans="2:44" s="2" customFormat="1" x14ac:dyDescent="0.3">
      <c r="B13" s="2" t="s">
        <v>19</v>
      </c>
      <c r="M13" s="9">
        <f t="shared" ref="M13:T13" si="11">M8-M12</f>
        <v>-752.9</v>
      </c>
      <c r="N13" s="9">
        <f t="shared" si="11"/>
        <v>-736.8</v>
      </c>
      <c r="O13" s="9">
        <f t="shared" si="11"/>
        <v>-729.90000000000009</v>
      </c>
      <c r="P13" s="9">
        <f t="shared" si="11"/>
        <v>-787.4</v>
      </c>
      <c r="Q13" s="9">
        <f t="shared" si="11"/>
        <v>-770.6</v>
      </c>
      <c r="R13" s="9">
        <f t="shared" si="11"/>
        <v>-732.90000000000009</v>
      </c>
      <c r="S13" s="9">
        <f t="shared" si="11"/>
        <v>-692</v>
      </c>
      <c r="T13" s="9">
        <f t="shared" si="11"/>
        <v>-803.1</v>
      </c>
      <c r="U13" s="9">
        <f t="shared" ref="U13:V13" si="12">U8-U12</f>
        <v>-942.00000000000011</v>
      </c>
      <c r="V13" s="9">
        <f t="shared" si="12"/>
        <v>-1064.6999999999998</v>
      </c>
      <c r="W13" s="9"/>
      <c r="X13" s="9"/>
      <c r="Y13" s="9"/>
      <c r="Z13" s="9"/>
      <c r="AB13" s="9">
        <f t="shared" ref="AB13:AH13" si="13">AB8-AB12</f>
        <v>-257.89999999999998</v>
      </c>
      <c r="AC13" s="9">
        <f t="shared" si="13"/>
        <v>-599.20000000000005</v>
      </c>
      <c r="AD13" s="9">
        <f t="shared" si="13"/>
        <v>-1530.5</v>
      </c>
      <c r="AE13" s="9">
        <f t="shared" si="13"/>
        <v>-2594</v>
      </c>
      <c r="AF13" s="9">
        <f t="shared" si="13"/>
        <v>-3099.5</v>
      </c>
      <c r="AG13" s="9">
        <f t="shared" si="13"/>
        <v>-3020.9000000000005</v>
      </c>
      <c r="AH13" s="9">
        <f t="shared" si="13"/>
        <v>-3501.8</v>
      </c>
      <c r="AI13" s="9">
        <f t="shared" ref="AI13:AR13" si="14">AI8-AI12</f>
        <v>-3498.1959999999999</v>
      </c>
      <c r="AJ13" s="9">
        <f t="shared" si="14"/>
        <v>-3155.4956600000005</v>
      </c>
      <c r="AK13" s="9">
        <f t="shared" si="14"/>
        <v>-2517.5782816000001</v>
      </c>
      <c r="AL13" s="9">
        <f t="shared" si="14"/>
        <v>-1850.0420846660002</v>
      </c>
      <c r="AM13" s="9">
        <f t="shared" si="14"/>
        <v>-1436.9886987376601</v>
      </c>
      <c r="AN13" s="9">
        <f t="shared" si="14"/>
        <v>-899.44367388128694</v>
      </c>
      <c r="AO13" s="9">
        <f t="shared" si="14"/>
        <v>-440.71360905760002</v>
      </c>
      <c r="AP13" s="9">
        <f t="shared" si="14"/>
        <v>-69.032827931800966</v>
      </c>
      <c r="AQ13" s="9">
        <f t="shared" si="14"/>
        <v>376.63381922199915</v>
      </c>
      <c r="AR13" s="9">
        <f t="shared" si="14"/>
        <v>778.75643814998466</v>
      </c>
    </row>
    <row r="14" spans="2:44" x14ac:dyDescent="0.3">
      <c r="B14" s="1" t="s">
        <v>20</v>
      </c>
      <c r="M14" s="6">
        <v>-122.3</v>
      </c>
      <c r="N14" s="6">
        <v>-83.1</v>
      </c>
      <c r="O14" s="6">
        <v>-49.2</v>
      </c>
      <c r="P14" s="6">
        <v>-144</v>
      </c>
      <c r="Q14" s="6">
        <v>221.5</v>
      </c>
      <c r="R14" s="6">
        <v>-336.3</v>
      </c>
      <c r="S14" s="6">
        <v>-324.39999999999998</v>
      </c>
      <c r="T14" s="6">
        <v>-261.2</v>
      </c>
      <c r="U14" s="6">
        <v>36.799999999999997</v>
      </c>
      <c r="V14" s="6">
        <v>-252.5</v>
      </c>
      <c r="W14" s="6"/>
      <c r="X14" s="6"/>
      <c r="Y14" s="6"/>
      <c r="Z14" s="6"/>
      <c r="AB14" s="6">
        <v>19.399999999999999</v>
      </c>
      <c r="AC14" s="6">
        <v>120.3</v>
      </c>
      <c r="AD14" s="6">
        <v>1049.3</v>
      </c>
      <c r="AE14" s="6">
        <v>-1289.9000000000001</v>
      </c>
      <c r="AF14" s="6">
        <v>-272.2</v>
      </c>
      <c r="AG14" s="6">
        <v>-308.10000000000002</v>
      </c>
      <c r="AH14" s="6">
        <f>SUM(S14:V14)</f>
        <v>-801.3</v>
      </c>
      <c r="AI14" s="6">
        <f t="shared" ref="AI14:AR14" si="15">AH14*1.05</f>
        <v>-841.36500000000001</v>
      </c>
      <c r="AJ14" s="6">
        <f t="shared" si="15"/>
        <v>-883.43325000000004</v>
      </c>
      <c r="AK14" s="6">
        <f t="shared" si="15"/>
        <v>-927.60491250000007</v>
      </c>
      <c r="AL14" s="6">
        <f t="shared" si="15"/>
        <v>-973.98515812500011</v>
      </c>
      <c r="AM14" s="6">
        <f t="shared" si="15"/>
        <v>-1022.6844160312502</v>
      </c>
      <c r="AN14" s="6">
        <f t="shared" si="15"/>
        <v>-1073.8186368328127</v>
      </c>
      <c r="AO14" s="6">
        <f t="shared" si="15"/>
        <v>-1127.5095686744532</v>
      </c>
      <c r="AP14" s="6">
        <f t="shared" si="15"/>
        <v>-1183.885047108176</v>
      </c>
      <c r="AQ14" s="6">
        <f t="shared" si="15"/>
        <v>-1243.0792994635849</v>
      </c>
      <c r="AR14" s="6">
        <f t="shared" si="15"/>
        <v>-1305.2332644367641</v>
      </c>
    </row>
    <row r="15" spans="2:44" s="2" customFormat="1" x14ac:dyDescent="0.3">
      <c r="B15" s="2" t="s">
        <v>21</v>
      </c>
      <c r="M15" s="9">
        <f t="shared" ref="M15:T15" si="16">M13-M14</f>
        <v>-630.6</v>
      </c>
      <c r="N15" s="9">
        <f t="shared" si="16"/>
        <v>-653.69999999999993</v>
      </c>
      <c r="O15" s="9">
        <f t="shared" si="16"/>
        <v>-680.7</v>
      </c>
      <c r="P15" s="9">
        <f t="shared" si="16"/>
        <v>-643.4</v>
      </c>
      <c r="Q15" s="9">
        <f t="shared" si="16"/>
        <v>-992.1</v>
      </c>
      <c r="R15" s="9">
        <f t="shared" si="16"/>
        <v>-396.60000000000008</v>
      </c>
      <c r="S15" s="9">
        <f t="shared" si="16"/>
        <v>-367.6</v>
      </c>
      <c r="T15" s="9">
        <f t="shared" si="16"/>
        <v>-541.90000000000009</v>
      </c>
      <c r="U15" s="9">
        <f t="shared" ref="U15:V15" si="17">U13-U14</f>
        <v>-978.80000000000007</v>
      </c>
      <c r="V15" s="9">
        <f t="shared" si="17"/>
        <v>-812.19999999999982</v>
      </c>
      <c r="W15" s="9"/>
      <c r="X15" s="9"/>
      <c r="Y15" s="9"/>
      <c r="Z15" s="9"/>
      <c r="AB15" s="9">
        <f t="shared" ref="AB15:AH15" si="18">AB13-AB14</f>
        <v>-277.29999999999995</v>
      </c>
      <c r="AC15" s="9">
        <f t="shared" si="18"/>
        <v>-719.5</v>
      </c>
      <c r="AD15" s="9">
        <f t="shared" si="18"/>
        <v>-2579.8000000000002</v>
      </c>
      <c r="AE15" s="9">
        <f t="shared" si="18"/>
        <v>-1304.0999999999999</v>
      </c>
      <c r="AF15" s="9">
        <f t="shared" si="18"/>
        <v>-2827.3</v>
      </c>
      <c r="AG15" s="9">
        <f t="shared" si="18"/>
        <v>-2712.8000000000006</v>
      </c>
      <c r="AH15" s="9">
        <f t="shared" si="18"/>
        <v>-2700.5</v>
      </c>
      <c r="AI15" s="9">
        <f t="shared" ref="AI15:AR15" si="19">AI13-AI14</f>
        <v>-2656.8310000000001</v>
      </c>
      <c r="AJ15" s="9">
        <f t="shared" si="19"/>
        <v>-2272.0624100000005</v>
      </c>
      <c r="AK15" s="9">
        <f t="shared" si="19"/>
        <v>-1589.9733691000001</v>
      </c>
      <c r="AL15" s="9">
        <f t="shared" si="19"/>
        <v>-876.05692654100005</v>
      </c>
      <c r="AM15" s="9">
        <f t="shared" si="19"/>
        <v>-414.30428270640994</v>
      </c>
      <c r="AN15" s="9">
        <f t="shared" si="19"/>
        <v>174.37496295152573</v>
      </c>
      <c r="AO15" s="9">
        <f t="shared" si="19"/>
        <v>686.79595961685322</v>
      </c>
      <c r="AP15" s="9">
        <f t="shared" si="19"/>
        <v>1114.852219176375</v>
      </c>
      <c r="AQ15" s="9">
        <f t="shared" si="19"/>
        <v>1619.713118685584</v>
      </c>
      <c r="AR15" s="9">
        <f t="shared" si="19"/>
        <v>2083.9897025867485</v>
      </c>
    </row>
    <row r="16" spans="2:44" x14ac:dyDescent="0.3">
      <c r="B16" s="1" t="s">
        <v>22</v>
      </c>
      <c r="M16" s="6">
        <v>0.3</v>
      </c>
      <c r="N16" s="6">
        <v>0</v>
      </c>
      <c r="O16" s="6">
        <v>0.2</v>
      </c>
      <c r="P16" s="6">
        <v>-0.1</v>
      </c>
      <c r="Q16" s="6">
        <v>0.5</v>
      </c>
      <c r="R16" s="6">
        <v>0.6</v>
      </c>
      <c r="S16" s="6">
        <v>-1.4</v>
      </c>
      <c r="T16" s="6">
        <v>-2.4</v>
      </c>
      <c r="U16" s="6">
        <v>-0.4</v>
      </c>
      <c r="V16" s="6">
        <v>1.8</v>
      </c>
      <c r="W16" s="6"/>
      <c r="X16" s="6"/>
      <c r="Y16" s="6"/>
      <c r="Z16" s="6"/>
      <c r="AB16" s="6">
        <v>0</v>
      </c>
      <c r="AC16" s="6">
        <v>-0.2</v>
      </c>
      <c r="AD16" s="6">
        <v>-0.1</v>
      </c>
      <c r="AE16" s="6">
        <v>0.4</v>
      </c>
      <c r="AF16" s="6">
        <v>1</v>
      </c>
      <c r="AG16" s="6">
        <v>1.2</v>
      </c>
      <c r="AH16" s="6">
        <f>SUM(S16:V16)</f>
        <v>-2.4000000000000004</v>
      </c>
      <c r="AI16" s="6">
        <v>0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  <c r="AO16" s="6">
        <v>0</v>
      </c>
      <c r="AP16" s="6">
        <v>0</v>
      </c>
      <c r="AQ16" s="6">
        <v>0</v>
      </c>
      <c r="AR16" s="6">
        <v>0</v>
      </c>
    </row>
    <row r="17" spans="2:140" s="2" customFormat="1" x14ac:dyDescent="0.3">
      <c r="B17" s="2" t="s">
        <v>23</v>
      </c>
      <c r="M17" s="9">
        <f t="shared" ref="M17:T17" si="20">M15-M16</f>
        <v>-630.9</v>
      </c>
      <c r="N17" s="9">
        <f t="shared" si="20"/>
        <v>-653.69999999999993</v>
      </c>
      <c r="O17" s="9">
        <f t="shared" si="20"/>
        <v>-680.90000000000009</v>
      </c>
      <c r="P17" s="9">
        <f t="shared" si="20"/>
        <v>-643.29999999999995</v>
      </c>
      <c r="Q17" s="9">
        <f t="shared" si="20"/>
        <v>-992.6</v>
      </c>
      <c r="R17" s="9">
        <f t="shared" si="20"/>
        <v>-397.2000000000001</v>
      </c>
      <c r="S17" s="9">
        <f t="shared" si="20"/>
        <v>-366.20000000000005</v>
      </c>
      <c r="T17" s="9">
        <f t="shared" si="20"/>
        <v>-539.50000000000011</v>
      </c>
      <c r="U17" s="9">
        <f t="shared" ref="U17:V17" si="21">U15-U16</f>
        <v>-978.40000000000009</v>
      </c>
      <c r="V17" s="9">
        <f t="shared" si="21"/>
        <v>-813.99999999999977</v>
      </c>
      <c r="W17" s="9"/>
      <c r="X17" s="9"/>
      <c r="Y17" s="9"/>
      <c r="Z17" s="9"/>
      <c r="AB17" s="9">
        <f t="shared" ref="AB17:AH17" si="22">AB15-AB16</f>
        <v>-277.29999999999995</v>
      </c>
      <c r="AC17" s="9">
        <f t="shared" si="22"/>
        <v>-719.3</v>
      </c>
      <c r="AD17" s="9">
        <f t="shared" si="22"/>
        <v>-2579.7000000000003</v>
      </c>
      <c r="AE17" s="9">
        <f t="shared" si="22"/>
        <v>-1304.5</v>
      </c>
      <c r="AF17" s="9">
        <f t="shared" si="22"/>
        <v>-2828.3</v>
      </c>
      <c r="AG17" s="9">
        <f t="shared" si="22"/>
        <v>-2714.0000000000005</v>
      </c>
      <c r="AH17" s="9">
        <f t="shared" si="22"/>
        <v>-2698.1</v>
      </c>
      <c r="AI17" s="9">
        <f t="shared" ref="AI17:AR17" si="23">AI15-AI16</f>
        <v>-2656.8310000000001</v>
      </c>
      <c r="AJ17" s="9">
        <f t="shared" si="23"/>
        <v>-2272.0624100000005</v>
      </c>
      <c r="AK17" s="9">
        <f t="shared" si="23"/>
        <v>-1589.9733691000001</v>
      </c>
      <c r="AL17" s="9">
        <f t="shared" si="23"/>
        <v>-876.05692654100005</v>
      </c>
      <c r="AM17" s="9">
        <f t="shared" si="23"/>
        <v>-414.30428270640994</v>
      </c>
      <c r="AN17" s="9">
        <f t="shared" si="23"/>
        <v>174.37496295152573</v>
      </c>
      <c r="AO17" s="9">
        <f t="shared" si="23"/>
        <v>686.79595961685322</v>
      </c>
      <c r="AP17" s="9">
        <f t="shared" si="23"/>
        <v>1114.852219176375</v>
      </c>
      <c r="AQ17" s="9">
        <f t="shared" si="23"/>
        <v>1619.713118685584</v>
      </c>
      <c r="AR17" s="9">
        <f t="shared" si="23"/>
        <v>2083.9897025867485</v>
      </c>
      <c r="AS17" s="2">
        <f>AR17*(1+$AU$27)</f>
        <v>2063.1498055608808</v>
      </c>
      <c r="AT17" s="2">
        <f t="shared" ref="AT17:DE17" si="24">AS17*(1+$AU$27)</f>
        <v>2042.5183075052721</v>
      </c>
      <c r="AU17" s="2">
        <f t="shared" si="24"/>
        <v>2022.0931244302194</v>
      </c>
      <c r="AV17" s="2">
        <f t="shared" si="24"/>
        <v>2001.8721931859172</v>
      </c>
      <c r="AW17" s="2">
        <f t="shared" si="24"/>
        <v>1981.8534712540581</v>
      </c>
      <c r="AX17" s="2">
        <f t="shared" si="24"/>
        <v>1962.0349365415175</v>
      </c>
      <c r="AY17" s="2">
        <f t="shared" si="24"/>
        <v>1942.4145871761023</v>
      </c>
      <c r="AZ17" s="2">
        <f t="shared" si="24"/>
        <v>1922.9904413043412</v>
      </c>
      <c r="BA17" s="2">
        <f t="shared" si="24"/>
        <v>1903.7605368912978</v>
      </c>
      <c r="BB17" s="2">
        <f t="shared" si="24"/>
        <v>1884.7229315223847</v>
      </c>
      <c r="BC17" s="2">
        <f t="shared" si="24"/>
        <v>1865.8757022071609</v>
      </c>
      <c r="BD17" s="2">
        <f t="shared" si="24"/>
        <v>1847.2169451850893</v>
      </c>
      <c r="BE17" s="2">
        <f t="shared" si="24"/>
        <v>1828.7447757332384</v>
      </c>
      <c r="BF17" s="2">
        <f t="shared" si="24"/>
        <v>1810.4573279759061</v>
      </c>
      <c r="BG17" s="2">
        <f t="shared" si="24"/>
        <v>1792.352754696147</v>
      </c>
      <c r="BH17" s="2">
        <f t="shared" si="24"/>
        <v>1774.4292271491856</v>
      </c>
      <c r="BI17" s="2">
        <f t="shared" si="24"/>
        <v>1756.6849348776939</v>
      </c>
      <c r="BJ17" s="2">
        <f t="shared" si="24"/>
        <v>1739.1180855289169</v>
      </c>
      <c r="BK17" s="2">
        <f t="shared" si="24"/>
        <v>1721.7269046736278</v>
      </c>
      <c r="BL17" s="2">
        <f t="shared" si="24"/>
        <v>1704.5096356268916</v>
      </c>
      <c r="BM17" s="2">
        <f t="shared" si="24"/>
        <v>1687.4645392706227</v>
      </c>
      <c r="BN17" s="2">
        <f t="shared" si="24"/>
        <v>1670.5898938779164</v>
      </c>
      <c r="BO17" s="2">
        <f t="shared" si="24"/>
        <v>1653.8839949391372</v>
      </c>
      <c r="BP17" s="2">
        <f t="shared" si="24"/>
        <v>1637.3451549897459</v>
      </c>
      <c r="BQ17" s="2">
        <f t="shared" si="24"/>
        <v>1620.9717034398484</v>
      </c>
      <c r="BR17" s="2">
        <f t="shared" si="24"/>
        <v>1604.76198640545</v>
      </c>
      <c r="BS17" s="2">
        <f t="shared" si="24"/>
        <v>1588.7143665413955</v>
      </c>
      <c r="BT17" s="2">
        <f t="shared" si="24"/>
        <v>1572.8272228759815</v>
      </c>
      <c r="BU17" s="2">
        <f t="shared" si="24"/>
        <v>1557.0989506472217</v>
      </c>
      <c r="BV17" s="2">
        <f t="shared" si="24"/>
        <v>1541.5279611407495</v>
      </c>
      <c r="BW17" s="2">
        <f t="shared" si="24"/>
        <v>1526.1126815293421</v>
      </c>
      <c r="BX17" s="2">
        <f t="shared" si="24"/>
        <v>1510.8515547140487</v>
      </c>
      <c r="BY17" s="2">
        <f t="shared" si="24"/>
        <v>1495.7430391669081</v>
      </c>
      <c r="BZ17" s="2">
        <f t="shared" si="24"/>
        <v>1480.7856087752391</v>
      </c>
      <c r="CA17" s="2">
        <f t="shared" si="24"/>
        <v>1465.9777526874866</v>
      </c>
      <c r="CB17" s="2">
        <f t="shared" si="24"/>
        <v>1451.3179751606117</v>
      </c>
      <c r="CC17" s="2">
        <f t="shared" si="24"/>
        <v>1436.8047954090055</v>
      </c>
      <c r="CD17" s="2">
        <f t="shared" si="24"/>
        <v>1422.4367474549153</v>
      </c>
      <c r="CE17" s="2">
        <f t="shared" si="24"/>
        <v>1408.2123799803662</v>
      </c>
      <c r="CF17" s="2">
        <f t="shared" si="24"/>
        <v>1394.1302561805626</v>
      </c>
      <c r="CG17" s="2">
        <f t="shared" si="24"/>
        <v>1380.1889536187568</v>
      </c>
      <c r="CH17" s="2">
        <f t="shared" si="24"/>
        <v>1366.3870640825692</v>
      </c>
      <c r="CI17" s="2">
        <f t="shared" si="24"/>
        <v>1352.7231934417434</v>
      </c>
      <c r="CJ17" s="2">
        <f t="shared" si="24"/>
        <v>1339.195961507326</v>
      </c>
      <c r="CK17" s="2">
        <f t="shared" si="24"/>
        <v>1325.8040018922527</v>
      </c>
      <c r="CL17" s="2">
        <f t="shared" si="24"/>
        <v>1312.5459618733303</v>
      </c>
      <c r="CM17" s="2">
        <f t="shared" si="24"/>
        <v>1299.4205022545971</v>
      </c>
      <c r="CN17" s="2">
        <f t="shared" si="24"/>
        <v>1286.4262972320512</v>
      </c>
      <c r="CO17" s="2">
        <f t="shared" si="24"/>
        <v>1273.5620342597306</v>
      </c>
      <c r="CP17" s="2">
        <f t="shared" si="24"/>
        <v>1260.8264139171333</v>
      </c>
      <c r="CQ17" s="2">
        <f t="shared" si="24"/>
        <v>1248.218149777962</v>
      </c>
      <c r="CR17" s="2">
        <f t="shared" si="24"/>
        <v>1235.7359682801823</v>
      </c>
      <c r="CS17" s="2">
        <f t="shared" si="24"/>
        <v>1223.3786085973804</v>
      </c>
      <c r="CT17" s="2">
        <f t="shared" si="24"/>
        <v>1211.1448225114066</v>
      </c>
      <c r="CU17" s="2">
        <f t="shared" si="24"/>
        <v>1199.0333742862924</v>
      </c>
      <c r="CV17" s="2">
        <f t="shared" si="24"/>
        <v>1187.0430405434295</v>
      </c>
      <c r="CW17" s="2">
        <f t="shared" si="24"/>
        <v>1175.1726101379952</v>
      </c>
      <c r="CX17" s="2">
        <f t="shared" si="24"/>
        <v>1163.4208840366152</v>
      </c>
      <c r="CY17" s="2">
        <f t="shared" si="24"/>
        <v>1151.786675196249</v>
      </c>
      <c r="CZ17" s="2">
        <f t="shared" si="24"/>
        <v>1140.2688084442866</v>
      </c>
      <c r="DA17" s="2">
        <f t="shared" si="24"/>
        <v>1128.8661203598438</v>
      </c>
      <c r="DB17" s="2">
        <f t="shared" si="24"/>
        <v>1117.5774591562454</v>
      </c>
      <c r="DC17" s="2">
        <f t="shared" si="24"/>
        <v>1106.4016845646829</v>
      </c>
      <c r="DD17" s="2">
        <f t="shared" si="24"/>
        <v>1095.3376677190361</v>
      </c>
      <c r="DE17" s="2">
        <f t="shared" si="24"/>
        <v>1084.3842910418457</v>
      </c>
      <c r="DF17" s="2">
        <f t="shared" ref="DF17:EJ17" si="25">DE17*(1+$AU$27)</f>
        <v>1073.5404481314272</v>
      </c>
      <c r="DG17" s="2">
        <f t="shared" si="25"/>
        <v>1062.8050436501128</v>
      </c>
      <c r="DH17" s="2">
        <f t="shared" si="25"/>
        <v>1052.1769932136117</v>
      </c>
      <c r="DI17" s="2">
        <f t="shared" si="25"/>
        <v>1041.6552232814756</v>
      </c>
      <c r="DJ17" s="2">
        <f t="shared" si="25"/>
        <v>1031.2386710486608</v>
      </c>
      <c r="DK17" s="2">
        <f t="shared" si="25"/>
        <v>1020.9262843381741</v>
      </c>
      <c r="DL17" s="2">
        <f t="shared" si="25"/>
        <v>1010.7170214947923</v>
      </c>
      <c r="DM17" s="2">
        <f t="shared" si="25"/>
        <v>1000.6098512798444</v>
      </c>
      <c r="DN17" s="2">
        <f t="shared" si="25"/>
        <v>990.60375276704599</v>
      </c>
      <c r="DO17" s="2">
        <f t="shared" si="25"/>
        <v>980.6977152393755</v>
      </c>
      <c r="DP17" s="2">
        <f t="shared" si="25"/>
        <v>970.89073808698174</v>
      </c>
      <c r="DQ17" s="2">
        <f t="shared" si="25"/>
        <v>961.1818307061119</v>
      </c>
      <c r="DR17" s="2">
        <f t="shared" si="25"/>
        <v>951.57001239905082</v>
      </c>
      <c r="DS17" s="2">
        <f t="shared" si="25"/>
        <v>942.05431227506028</v>
      </c>
      <c r="DT17" s="2">
        <f t="shared" si="25"/>
        <v>932.6337691523097</v>
      </c>
      <c r="DU17" s="2">
        <f t="shared" si="25"/>
        <v>923.30743146078657</v>
      </c>
      <c r="DV17" s="2">
        <f t="shared" si="25"/>
        <v>914.07435714617873</v>
      </c>
      <c r="DW17" s="2">
        <f t="shared" si="25"/>
        <v>904.9336135747169</v>
      </c>
      <c r="DX17" s="2">
        <f t="shared" si="25"/>
        <v>895.88427743896978</v>
      </c>
      <c r="DY17" s="2">
        <f t="shared" si="25"/>
        <v>886.92543466458005</v>
      </c>
      <c r="DZ17" s="2">
        <f t="shared" si="25"/>
        <v>878.05618031793426</v>
      </c>
      <c r="EA17" s="2">
        <f t="shared" si="25"/>
        <v>869.27561851475491</v>
      </c>
      <c r="EB17" s="2">
        <f t="shared" si="25"/>
        <v>860.58286232960734</v>
      </c>
      <c r="EC17" s="2">
        <f t="shared" si="25"/>
        <v>851.9770337063112</v>
      </c>
      <c r="ED17" s="2">
        <f t="shared" si="25"/>
        <v>843.45726336924804</v>
      </c>
      <c r="EE17" s="2">
        <f t="shared" si="25"/>
        <v>835.02269073555556</v>
      </c>
      <c r="EF17" s="2">
        <f t="shared" si="25"/>
        <v>826.67246382819997</v>
      </c>
      <c r="EG17" s="2">
        <f t="shared" si="25"/>
        <v>818.40573918991799</v>
      </c>
      <c r="EH17" s="2">
        <f t="shared" si="25"/>
        <v>810.22168179801884</v>
      </c>
      <c r="EI17" s="2">
        <f t="shared" si="25"/>
        <v>802.11946498003863</v>
      </c>
      <c r="EJ17" s="2">
        <f t="shared" si="25"/>
        <v>794.09827033023828</v>
      </c>
    </row>
    <row r="18" spans="2:140" x14ac:dyDescent="0.3">
      <c r="B18" s="1" t="s">
        <v>2</v>
      </c>
      <c r="M18" s="6">
        <f>3031.5</f>
        <v>3031.5</v>
      </c>
      <c r="N18" s="6">
        <f>3031.5</f>
        <v>3031.5</v>
      </c>
      <c r="O18" s="6">
        <f>3031.5</f>
        <v>3031.5</v>
      </c>
      <c r="P18" s="6">
        <f>3050.3</f>
        <v>3050.3</v>
      </c>
      <c r="Q18" s="6">
        <f>3031.5</f>
        <v>3031.5</v>
      </c>
      <c r="R18" s="6">
        <f>3031.5</f>
        <v>3031.5</v>
      </c>
      <c r="S18" s="6">
        <f>3050.3</f>
        <v>3050.3</v>
      </c>
      <c r="T18" s="6">
        <f>3050.3</f>
        <v>3050.3</v>
      </c>
      <c r="U18" s="6">
        <f>324.2</f>
        <v>324.2</v>
      </c>
      <c r="V18" s="6">
        <f>325</f>
        <v>325</v>
      </c>
      <c r="W18" s="6"/>
      <c r="X18" s="6"/>
      <c r="Y18" s="6"/>
      <c r="Z18" s="6"/>
      <c r="AB18" s="6">
        <f t="shared" ref="AB18:AG18" si="26">3031.5</f>
        <v>3031.5</v>
      </c>
      <c r="AC18" s="6">
        <f t="shared" si="26"/>
        <v>3031.5</v>
      </c>
      <c r="AD18" s="6">
        <f t="shared" si="26"/>
        <v>3031.5</v>
      </c>
      <c r="AE18" s="6">
        <f t="shared" si="26"/>
        <v>3031.5</v>
      </c>
      <c r="AF18" s="6">
        <f t="shared" si="26"/>
        <v>3031.5</v>
      </c>
      <c r="AG18" s="6">
        <f t="shared" si="26"/>
        <v>3031.5</v>
      </c>
      <c r="AH18" s="6">
        <f>325</f>
        <v>325</v>
      </c>
      <c r="AI18" s="6">
        <f>325</f>
        <v>325</v>
      </c>
      <c r="AJ18" s="6">
        <f>325</f>
        <v>325</v>
      </c>
      <c r="AK18" s="6">
        <f>325</f>
        <v>325</v>
      </c>
      <c r="AL18" s="6">
        <f>325</f>
        <v>325</v>
      </c>
      <c r="AM18" s="6">
        <f>325</f>
        <v>325</v>
      </c>
      <c r="AN18" s="6">
        <f>325</f>
        <v>325</v>
      </c>
      <c r="AO18" s="6">
        <f>325</f>
        <v>325</v>
      </c>
      <c r="AP18" s="6">
        <f>325</f>
        <v>325</v>
      </c>
      <c r="AQ18" s="6">
        <f>325</f>
        <v>325</v>
      </c>
      <c r="AR18" s="6">
        <f>325</f>
        <v>325</v>
      </c>
    </row>
    <row r="19" spans="2:140" x14ac:dyDescent="0.3">
      <c r="B19" s="1" t="s">
        <v>24</v>
      </c>
      <c r="M19" s="8">
        <f t="shared" ref="M19:T19" si="27">M17/M18</f>
        <v>-0.20811479465611082</v>
      </c>
      <c r="N19" s="8">
        <f t="shared" si="27"/>
        <v>-0.21563582384957938</v>
      </c>
      <c r="O19" s="8">
        <f t="shared" si="27"/>
        <v>-0.22460827972950687</v>
      </c>
      <c r="P19" s="8">
        <f t="shared" si="27"/>
        <v>-0.2108972887912664</v>
      </c>
      <c r="Q19" s="8">
        <f t="shared" si="27"/>
        <v>-0.32742866567705758</v>
      </c>
      <c r="R19" s="8">
        <f t="shared" si="27"/>
        <v>-0.13102424542305793</v>
      </c>
      <c r="S19" s="8">
        <f t="shared" si="27"/>
        <v>-0.12005376520342262</v>
      </c>
      <c r="T19" s="8">
        <f t="shared" si="27"/>
        <v>-0.17686784906402653</v>
      </c>
      <c r="U19" s="8">
        <f t="shared" ref="U19:V19" si="28">U17/U18</f>
        <v>-3.0178901912399758</v>
      </c>
      <c r="V19" s="8">
        <f t="shared" si="28"/>
        <v>-2.5046153846153838</v>
      </c>
      <c r="W19" s="8"/>
      <c r="X19" s="8"/>
      <c r="Y19" s="8"/>
      <c r="Z19" s="8"/>
      <c r="AB19" s="8">
        <f t="shared" ref="AB19:AH19" si="29">AB17/AB18</f>
        <v>-9.1472868217054248E-2</v>
      </c>
      <c r="AC19" s="8">
        <f t="shared" si="29"/>
        <v>-0.23727527626587497</v>
      </c>
      <c r="AD19" s="8">
        <f t="shared" si="29"/>
        <v>-0.85096486887679379</v>
      </c>
      <c r="AE19" s="8">
        <f t="shared" si="29"/>
        <v>-0.43031502556490187</v>
      </c>
      <c r="AF19" s="8">
        <f t="shared" si="29"/>
        <v>-0.93297047666171873</v>
      </c>
      <c r="AG19" s="8">
        <f t="shared" si="29"/>
        <v>-0.89526636978393548</v>
      </c>
      <c r="AH19" s="8">
        <f t="shared" si="29"/>
        <v>-8.301846153846153</v>
      </c>
      <c r="AI19" s="8">
        <f t="shared" ref="AI19:AR19" si="30">AI17/AI18</f>
        <v>-8.1748646153846156</v>
      </c>
      <c r="AJ19" s="8">
        <f t="shared" si="30"/>
        <v>-6.9909612615384633</v>
      </c>
      <c r="AK19" s="8">
        <f t="shared" si="30"/>
        <v>-4.8922257510769231</v>
      </c>
      <c r="AL19" s="8">
        <f t="shared" si="30"/>
        <v>-2.6955597739723078</v>
      </c>
      <c r="AM19" s="8">
        <f t="shared" si="30"/>
        <v>-1.2747824083274153</v>
      </c>
      <c r="AN19" s="8">
        <f t="shared" si="30"/>
        <v>0.5365383475431561</v>
      </c>
      <c r="AO19" s="8">
        <f t="shared" si="30"/>
        <v>2.1132183372826252</v>
      </c>
      <c r="AP19" s="8">
        <f t="shared" si="30"/>
        <v>3.4303145205426921</v>
      </c>
      <c r="AQ19" s="8">
        <f t="shared" si="30"/>
        <v>4.9837326728787206</v>
      </c>
      <c r="AR19" s="8">
        <f t="shared" si="30"/>
        <v>6.4122760079592265</v>
      </c>
    </row>
    <row r="21" spans="2:140" x14ac:dyDescent="0.3">
      <c r="B21" s="1" t="s">
        <v>63</v>
      </c>
      <c r="Q21" s="10"/>
      <c r="R21" s="10">
        <f t="shared" ref="R21" si="31">R3/N3-1</f>
        <v>0.78719723183390999</v>
      </c>
      <c r="S21" s="10">
        <f t="shared" ref="S21" si="32">S3/O3-1</f>
        <v>0.58057956278596845</v>
      </c>
      <c r="T21" s="10">
        <f t="shared" ref="T21" si="33">T3/P3-1</f>
        <v>0.3822055137844611</v>
      </c>
      <c r="U21" s="10">
        <f t="shared" ref="U21" si="34">U3/Q3-1</f>
        <v>0.46637900035958291</v>
      </c>
      <c r="V21" s="10">
        <f t="shared" ref="V21" si="35">V3/R3-1</f>
        <v>0.72474991932881583</v>
      </c>
      <c r="W21" s="15"/>
      <c r="X21" s="15"/>
      <c r="Y21" s="15"/>
      <c r="Z21" s="15"/>
      <c r="AE21" s="10">
        <f t="shared" ref="AE21:AE22" si="36">AE3/AD3-1</f>
        <v>13.563333333333333</v>
      </c>
      <c r="AF21" s="10">
        <f t="shared" ref="AF21:AF22" si="37">AF3/AE3-1</f>
        <v>0.37354085603112841</v>
      </c>
      <c r="AG21" s="10">
        <f t="shared" ref="AG21" si="38">AG3/AF3-1</f>
        <v>0.70654890851524743</v>
      </c>
      <c r="AH21" s="10">
        <f t="shared" ref="AH21" si="39">AH3/AG3-1</f>
        <v>0.54682159945317843</v>
      </c>
    </row>
    <row r="22" spans="2:140" x14ac:dyDescent="0.3">
      <c r="B22" s="1" t="s">
        <v>61</v>
      </c>
      <c r="O22" s="10"/>
      <c r="P22" s="10"/>
      <c r="Q22" s="10">
        <f t="shared" ref="Q22" si="40">Q4/M4-1</f>
        <v>0.1645161290322581</v>
      </c>
      <c r="R22" s="10">
        <f t="shared" ref="R22" si="41">R4/N4-1</f>
        <v>0.95271049596309121</v>
      </c>
      <c r="S22" s="10">
        <f t="shared" ref="S22" si="42">S4/O4-1</f>
        <v>0.28009259259259256</v>
      </c>
      <c r="T22" s="10">
        <f t="shared" ref="T22" si="43">T4/P4-1</f>
        <v>0.83080568720379144</v>
      </c>
      <c r="U22" s="10">
        <f t="shared" ref="U22" si="44">U4/Q4-1</f>
        <v>1.155678670360111</v>
      </c>
      <c r="V22" s="10">
        <f t="shared" ref="V22" si="45">V4/R4-1</f>
        <v>1.3254577672770229</v>
      </c>
      <c r="W22" s="15"/>
      <c r="X22" s="15"/>
      <c r="Y22" s="15"/>
      <c r="Z22" s="15"/>
      <c r="AE22" s="10">
        <f t="shared" si="36"/>
        <v>16.95</v>
      </c>
      <c r="AF22" s="10">
        <f t="shared" si="37"/>
        <v>0.17381615598885802</v>
      </c>
      <c r="AG22" s="10">
        <f t="shared" ref="AG22:AH22" si="46">AG4/AF4-1</f>
        <v>7.130991931656383E-2</v>
      </c>
      <c r="AH22" s="10">
        <f t="shared" si="46"/>
        <v>0.97585557647580012</v>
      </c>
    </row>
    <row r="23" spans="2:140" x14ac:dyDescent="0.3">
      <c r="B23" s="1" t="s">
        <v>64</v>
      </c>
      <c r="N23" s="10">
        <f>N3/N4</f>
        <v>1</v>
      </c>
      <c r="O23" s="10">
        <f t="shared" ref="O23:V23" si="47">O3/O4</f>
        <v>1.1383101851851851</v>
      </c>
      <c r="P23" s="10">
        <f t="shared" si="47"/>
        <v>1.1345971563981043</v>
      </c>
      <c r="Q23" s="10">
        <f t="shared" si="47"/>
        <v>1.5407202216066482</v>
      </c>
      <c r="R23" s="10">
        <f t="shared" si="47"/>
        <v>0.91523922031896043</v>
      </c>
      <c r="S23" s="10">
        <f t="shared" si="47"/>
        <v>1.4055153707052441</v>
      </c>
      <c r="T23" s="10">
        <f t="shared" si="47"/>
        <v>0.85658814392958837</v>
      </c>
      <c r="U23" s="10">
        <f t="shared" si="47"/>
        <v>1.0480596247751222</v>
      </c>
      <c r="V23" s="10">
        <f t="shared" si="47"/>
        <v>0.67881635763271531</v>
      </c>
      <c r="W23" s="15"/>
      <c r="X23" s="15"/>
      <c r="Y23" s="15"/>
      <c r="Z23" s="15"/>
      <c r="AE23" s="10">
        <f t="shared" ref="AE23:AH23" si="48">AE3/AE4</f>
        <v>0.60849582172701955</v>
      </c>
      <c r="AF23" s="10">
        <f t="shared" si="48"/>
        <v>0.71203132415756998</v>
      </c>
      <c r="AG23" s="10">
        <f t="shared" si="48"/>
        <v>1.134234134455643</v>
      </c>
      <c r="AH23" s="10">
        <f t="shared" si="48"/>
        <v>0.88794843049327354</v>
      </c>
    </row>
    <row r="24" spans="2:140" x14ac:dyDescent="0.3">
      <c r="B24" s="1" t="s">
        <v>65</v>
      </c>
      <c r="N24" s="6">
        <f>(N6/N3)*1000000</f>
        <v>90657.43944636677</v>
      </c>
      <c r="O24" s="6">
        <f t="shared" ref="O24:V24" si="49">(O6/O3)*1000000</f>
        <v>87798.67819013726</v>
      </c>
      <c r="P24" s="6">
        <f t="shared" si="49"/>
        <v>83792.815371762743</v>
      </c>
      <c r="Q24" s="6">
        <f t="shared" si="49"/>
        <v>71916.5767709457</v>
      </c>
      <c r="R24" s="6">
        <f t="shared" si="49"/>
        <v>75669.570829299773</v>
      </c>
      <c r="S24" s="6">
        <f t="shared" si="49"/>
        <v>75587.005467996147</v>
      </c>
      <c r="T24" s="6">
        <f t="shared" si="49"/>
        <v>78392.263523723159</v>
      </c>
      <c r="U24" s="6">
        <f t="shared" si="49"/>
        <v>82540.461010299172</v>
      </c>
      <c r="V24" s="6">
        <f t="shared" si="49"/>
        <v>97792.329279700658</v>
      </c>
      <c r="W24" s="14"/>
      <c r="X24" s="14"/>
      <c r="Y24" s="14"/>
      <c r="Z24" s="14"/>
      <c r="AE24" s="6">
        <f t="shared" ref="AE24:AH24" si="50">(AE6/AE3)*1000000</f>
        <v>139208.05676356147</v>
      </c>
      <c r="AF24" s="6">
        <f t="shared" si="50"/>
        <v>99200.133311114812</v>
      </c>
      <c r="AG24" s="6">
        <f t="shared" si="50"/>
        <v>78879.015721120973</v>
      </c>
      <c r="AH24" s="6">
        <f t="shared" si="50"/>
        <v>85455.463670222845</v>
      </c>
    </row>
    <row r="26" spans="2:140" s="2" customFormat="1" x14ac:dyDescent="0.3">
      <c r="B26" s="2" t="s">
        <v>44</v>
      </c>
      <c r="M26" s="11"/>
      <c r="Q26" s="11">
        <f t="shared" ref="Q26:V26" si="51">Q6/M6-1</f>
        <v>0.45137880986937584</v>
      </c>
      <c r="R26" s="11">
        <f t="shared" si="51"/>
        <v>0.49173027989821905</v>
      </c>
      <c r="S26" s="11">
        <f t="shared" si="51"/>
        <v>0.36074116965836711</v>
      </c>
      <c r="T26" s="11">
        <f t="shared" si="51"/>
        <v>0.29312063808574274</v>
      </c>
      <c r="U26" s="11">
        <f t="shared" si="51"/>
        <v>0.68300000000000005</v>
      </c>
      <c r="V26" s="11">
        <f t="shared" si="51"/>
        <v>1.2289978678038382</v>
      </c>
      <c r="W26" s="11"/>
      <c r="X26" s="11"/>
      <c r="Y26" s="11"/>
      <c r="Z26" s="11"/>
      <c r="AB26" s="11"/>
      <c r="AC26" s="11">
        <f t="shared" ref="AC26:AE26" si="52">AC6/AB6-1</f>
        <v>-0.13043478260869557</v>
      </c>
      <c r="AD26" s="11">
        <f t="shared" si="52"/>
        <v>5.7750000000000004</v>
      </c>
      <c r="AE26" s="11">
        <f t="shared" si="52"/>
        <v>21.44280442804428</v>
      </c>
      <c r="AF26" s="11">
        <f t="shared" ref="AF26" si="53">AF6/AE6-1</f>
        <v>-2.1210128247287185E-2</v>
      </c>
      <c r="AG26" s="11">
        <f t="shared" ref="AG26:AR26" si="54">AG6/AF6-1</f>
        <v>0.35696287586091047</v>
      </c>
      <c r="AH26" s="11">
        <f t="shared" si="54"/>
        <v>0.67578608566476861</v>
      </c>
      <c r="AI26" s="11">
        <f t="shared" si="54"/>
        <v>0.5</v>
      </c>
      <c r="AJ26" s="11">
        <f t="shared" si="54"/>
        <v>0.39999999999999991</v>
      </c>
      <c r="AK26" s="11">
        <f t="shared" si="54"/>
        <v>0.35000000000000009</v>
      </c>
      <c r="AL26" s="11">
        <f t="shared" si="54"/>
        <v>0.30000000000000004</v>
      </c>
      <c r="AM26" s="11">
        <f t="shared" si="54"/>
        <v>0.25</v>
      </c>
      <c r="AN26" s="11">
        <f t="shared" si="54"/>
        <v>0.19999999999999996</v>
      </c>
      <c r="AO26" s="11">
        <f t="shared" si="54"/>
        <v>0.14999999999999991</v>
      </c>
      <c r="AP26" s="11">
        <f t="shared" si="54"/>
        <v>0.14999999999999991</v>
      </c>
      <c r="AQ26" s="11">
        <f t="shared" si="54"/>
        <v>0.14999999999999991</v>
      </c>
      <c r="AR26" s="11">
        <f t="shared" si="54"/>
        <v>0.14999999999999991</v>
      </c>
    </row>
    <row r="27" spans="2:140" x14ac:dyDescent="0.3">
      <c r="B27" s="1" t="s">
        <v>45</v>
      </c>
      <c r="M27" s="10">
        <f>M8/M6</f>
        <v>-2.408563134978229</v>
      </c>
      <c r="N27" s="10">
        <f>N8/N6</f>
        <v>-1.608142493638677</v>
      </c>
      <c r="O27" s="10">
        <f t="shared" ref="O27" si="55">O8/O6</f>
        <v>-1.3439490445859874</v>
      </c>
      <c r="P27" s="10">
        <f>P8/P6</f>
        <v>-1.3449651046859419</v>
      </c>
      <c r="Q27" s="10">
        <f>Q8/Q6</f>
        <v>-1.0625</v>
      </c>
      <c r="R27" s="10">
        <f>R8/R6</f>
        <v>-0.88997867803837949</v>
      </c>
      <c r="S27" s="10">
        <f>S8/S6</f>
        <v>-0.9727659574468086</v>
      </c>
      <c r="T27" s="10">
        <f t="shared" ref="T27:V27" si="56">T8/T6</f>
        <v>-1.0501156515034695</v>
      </c>
      <c r="U27" s="10">
        <f t="shared" si="56"/>
        <v>-0.9910873440285205</v>
      </c>
      <c r="V27" s="10">
        <f t="shared" si="56"/>
        <v>-0.80715515592117837</v>
      </c>
      <c r="W27" s="10"/>
      <c r="X27" s="10"/>
      <c r="Y27" s="10"/>
      <c r="Z27" s="10"/>
      <c r="AB27" s="10">
        <f t="shared" ref="AB27:AE27" si="57">AB8/AB6</f>
        <v>0.15217391304347822</v>
      </c>
      <c r="AC27" s="10">
        <f t="shared" si="57"/>
        <v>0.22499999999999998</v>
      </c>
      <c r="AD27" s="10">
        <f t="shared" si="57"/>
        <v>-4.7158671586715872</v>
      </c>
      <c r="AE27" s="10">
        <f t="shared" si="57"/>
        <v>-1.7065110161131203</v>
      </c>
      <c r="AF27" s="10">
        <f t="shared" ref="AF27" si="58">AF8/AF6</f>
        <v>-2.2523097597849824</v>
      </c>
      <c r="AG27" s="10">
        <f>AG8/AG6</f>
        <v>-1.1427333498390693</v>
      </c>
      <c r="AH27" s="10">
        <f t="shared" ref="AH27:AR27" si="59">AH8/AH6</f>
        <v>-0.92819679397207633</v>
      </c>
      <c r="AI27" s="10">
        <f t="shared" si="59"/>
        <v>-0.6</v>
      </c>
      <c r="AJ27" s="10">
        <f t="shared" si="59"/>
        <v>-0.3</v>
      </c>
      <c r="AK27" s="10">
        <f t="shared" si="59"/>
        <v>-0.05</v>
      </c>
      <c r="AL27" s="10">
        <f t="shared" si="59"/>
        <v>0.1</v>
      </c>
      <c r="AM27" s="10">
        <f t="shared" si="59"/>
        <v>0.15</v>
      </c>
      <c r="AN27" s="10">
        <f t="shared" si="59"/>
        <v>0.2</v>
      </c>
      <c r="AO27" s="10">
        <f t="shared" si="59"/>
        <v>0.23</v>
      </c>
      <c r="AP27" s="10">
        <f t="shared" si="59"/>
        <v>0.24</v>
      </c>
      <c r="AQ27" s="10">
        <f t="shared" si="59"/>
        <v>0.25</v>
      </c>
      <c r="AR27" s="10">
        <f t="shared" si="59"/>
        <v>0.25</v>
      </c>
      <c r="AT27" s="1" t="s">
        <v>50</v>
      </c>
      <c r="AU27" s="10">
        <v>-0.01</v>
      </c>
    </row>
    <row r="28" spans="2:140" x14ac:dyDescent="0.3">
      <c r="B28" s="1" t="s">
        <v>46</v>
      </c>
      <c r="M28" s="10"/>
      <c r="N28" s="10"/>
      <c r="O28" s="10"/>
      <c r="P28" s="10"/>
      <c r="Q28" s="10">
        <f t="shared" ref="Q28:S29" si="60">Q9/M9-1</f>
        <v>0.40554592720970528</v>
      </c>
      <c r="R28" s="10">
        <f t="shared" si="60"/>
        <v>0.15349794238683123</v>
      </c>
      <c r="S28" s="10">
        <f t="shared" si="60"/>
        <v>-0.11735769501054127</v>
      </c>
      <c r="T28" s="10">
        <f t="shared" ref="T28:V28" si="61">T9/P9-1</f>
        <v>-4.6657381615598847E-2</v>
      </c>
      <c r="U28" s="10">
        <f t="shared" si="61"/>
        <v>2.7743526510481953E-3</v>
      </c>
      <c r="V28" s="10">
        <f t="shared" si="61"/>
        <v>0.28790581519800207</v>
      </c>
      <c r="W28" s="10"/>
      <c r="X28" s="10"/>
      <c r="Y28" s="10"/>
      <c r="Z28" s="10"/>
      <c r="AB28" s="10"/>
      <c r="AC28" s="10">
        <f t="shared" ref="AC28:AE28" si="62">AC9/AB9-1</f>
        <v>1.3210717529518621</v>
      </c>
      <c r="AD28" s="10">
        <f t="shared" si="62"/>
        <v>0.46781451770690663</v>
      </c>
      <c r="AE28" s="10">
        <f t="shared" si="62"/>
        <v>9.5041322314049603E-2</v>
      </c>
      <c r="AF28" s="10">
        <f t="shared" ref="AF28" si="63">AF9/AE9-1</f>
        <v>0.1405964698721851</v>
      </c>
      <c r="AG28" s="10">
        <f>AG9/AF9-1</f>
        <v>0.25560298826040562</v>
      </c>
      <c r="AH28" s="10">
        <f t="shared" ref="AH28:AR28" si="64">AH9/AG9-1</f>
        <v>2.9579260518487027E-2</v>
      </c>
      <c r="AI28" s="10">
        <f t="shared" si="64"/>
        <v>2.0000000000000018E-2</v>
      </c>
      <c r="AJ28" s="10">
        <f t="shared" si="64"/>
        <v>1.0000000000000009E-2</v>
      </c>
      <c r="AK28" s="10">
        <f t="shared" si="64"/>
        <v>1.0000000000000009E-2</v>
      </c>
      <c r="AL28" s="10">
        <f t="shared" si="64"/>
        <v>1.0000000000000009E-2</v>
      </c>
      <c r="AM28" s="10">
        <f t="shared" si="64"/>
        <v>1.0000000000000009E-2</v>
      </c>
      <c r="AN28" s="10">
        <f t="shared" si="64"/>
        <v>1.0000000000000009E-2</v>
      </c>
      <c r="AO28" s="10">
        <f t="shared" si="64"/>
        <v>1.0000000000000009E-2</v>
      </c>
      <c r="AP28" s="10">
        <f t="shared" si="64"/>
        <v>1.0000000000000009E-2</v>
      </c>
      <c r="AQ28" s="10">
        <f t="shared" si="64"/>
        <v>1.0000000000000009E-2</v>
      </c>
      <c r="AR28" s="10">
        <f t="shared" si="64"/>
        <v>1.0000000000000009E-2</v>
      </c>
      <c r="AT28" s="1" t="s">
        <v>51</v>
      </c>
      <c r="AU28" s="10">
        <v>0.09</v>
      </c>
    </row>
    <row r="29" spans="2:140" x14ac:dyDescent="0.3">
      <c r="B29" s="1" t="s">
        <v>47</v>
      </c>
      <c r="M29" s="10"/>
      <c r="N29" s="10"/>
      <c r="O29" s="10"/>
      <c r="P29" s="10"/>
      <c r="Q29" s="10">
        <f t="shared" si="60"/>
        <v>0.23141802846599901</v>
      </c>
      <c r="R29" s="10">
        <f t="shared" si="60"/>
        <v>1.2033195020746845E-2</v>
      </c>
      <c r="S29" s="10">
        <f t="shared" si="60"/>
        <v>-4.6904315196998336E-3</v>
      </c>
      <c r="T29" s="10">
        <f t="shared" ref="T29:V29" si="65">T10/P10-1</f>
        <v>0.22216936251189345</v>
      </c>
      <c r="U29" s="10">
        <f t="shared" si="65"/>
        <v>0.21190068493150704</v>
      </c>
      <c r="V29" s="10">
        <f t="shared" si="65"/>
        <v>0.15539155391553927</v>
      </c>
      <c r="W29" s="10"/>
      <c r="X29" s="10"/>
      <c r="Y29" s="10"/>
      <c r="Z29" s="10"/>
      <c r="AB29" s="10"/>
      <c r="AC29" s="10">
        <f t="shared" ref="AC29:AE29" si="66">AC10/AB10-1</f>
        <v>1.3177083333333335</v>
      </c>
      <c r="AD29" s="10">
        <f t="shared" si="66"/>
        <v>6.3314606741573032</v>
      </c>
      <c r="AE29" s="10">
        <f t="shared" si="66"/>
        <v>0.12582375478927199</v>
      </c>
      <c r="AF29" s="10">
        <f t="shared" ref="AF29" si="67">AF10/AE10-1</f>
        <v>8.5216444323441332E-2</v>
      </c>
      <c r="AG29" s="10">
        <f>AG10/AF10-1</f>
        <v>0.13020572002007014</v>
      </c>
      <c r="AH29" s="10">
        <f t="shared" ref="AH29:AR29" si="68">AH10/AG10-1</f>
        <v>0.14761376248612645</v>
      </c>
      <c r="AI29" s="10">
        <f t="shared" si="68"/>
        <v>1.0000000000000009E-2</v>
      </c>
      <c r="AJ29" s="10">
        <f t="shared" si="68"/>
        <v>1.0000000000000009E-2</v>
      </c>
      <c r="AK29" s="10">
        <f t="shared" si="68"/>
        <v>1.0000000000000009E-2</v>
      </c>
      <c r="AL29" s="10">
        <f t="shared" si="68"/>
        <v>1.0000000000000009E-2</v>
      </c>
      <c r="AM29" s="10">
        <f t="shared" si="68"/>
        <v>1.0000000000000009E-2</v>
      </c>
      <c r="AN29" s="10">
        <f t="shared" si="68"/>
        <v>1.0000000000000009E-2</v>
      </c>
      <c r="AO29" s="10">
        <f t="shared" si="68"/>
        <v>1.0000000000000009E-2</v>
      </c>
      <c r="AP29" s="10">
        <f t="shared" si="68"/>
        <v>1.0000000000000009E-2</v>
      </c>
      <c r="AQ29" s="10">
        <f t="shared" si="68"/>
        <v>1.0000000000000009E-2</v>
      </c>
      <c r="AR29" s="10">
        <f t="shared" si="68"/>
        <v>1.0000000000000009E-2</v>
      </c>
      <c r="AT29" s="1" t="s">
        <v>52</v>
      </c>
      <c r="AU29" s="6">
        <f>NPV(AU28,AH17:EJ17)</f>
        <v>2031.0200963842444</v>
      </c>
    </row>
    <row r="30" spans="2:140" x14ac:dyDescent="0.3">
      <c r="B30" s="1" t="s">
        <v>59</v>
      </c>
      <c r="M30" s="10">
        <f>M10/M6</f>
        <v>1.3766328011611029</v>
      </c>
      <c r="N30" s="10">
        <f t="shared" ref="N30:P30" si="69">N10/N6</f>
        <v>1.5330788804071247</v>
      </c>
      <c r="O30" s="10">
        <f t="shared" si="69"/>
        <v>1.2345107122177186</v>
      </c>
      <c r="P30" s="10">
        <f t="shared" si="69"/>
        <v>1.0478564307078764</v>
      </c>
      <c r="Q30" s="10">
        <f t="shared" ref="Q30:AR30" si="70">Q10/Q6</f>
        <v>1.1679999999999999</v>
      </c>
      <c r="R30" s="10">
        <f t="shared" si="70"/>
        <v>1.0400852878464819</v>
      </c>
      <c r="S30" s="10">
        <f t="shared" si="70"/>
        <v>0.90297872340425522</v>
      </c>
      <c r="T30" s="10">
        <f t="shared" si="70"/>
        <v>0.99036237471087119</v>
      </c>
      <c r="U30" s="10">
        <f t="shared" si="70"/>
        <v>0.8410576351752822</v>
      </c>
      <c r="V30" s="10">
        <f t="shared" si="70"/>
        <v>0.53912378037114972</v>
      </c>
      <c r="W30" s="10"/>
      <c r="X30" s="10"/>
      <c r="Y30" s="10"/>
      <c r="Z30" s="10"/>
      <c r="AB30" s="10">
        <f t="shared" si="70"/>
        <v>8.3478260869565215</v>
      </c>
      <c r="AC30" s="10">
        <f t="shared" si="70"/>
        <v>22.25</v>
      </c>
      <c r="AD30" s="10">
        <f t="shared" si="70"/>
        <v>24.077490774907748</v>
      </c>
      <c r="AE30" s="10">
        <f t="shared" si="70"/>
        <v>1.20782637290365</v>
      </c>
      <c r="AF30" s="10">
        <f t="shared" si="70"/>
        <v>1.3391567277003193</v>
      </c>
      <c r="AG30" s="10">
        <f t="shared" si="70"/>
        <v>1.1153750928447637</v>
      </c>
      <c r="AH30" s="10">
        <f t="shared" si="70"/>
        <v>0.76383245918593479</v>
      </c>
      <c r="AI30" s="10">
        <f t="shared" si="70"/>
        <v>0.51431385585186273</v>
      </c>
      <c r="AJ30" s="10">
        <f t="shared" si="70"/>
        <v>0.37104071029312963</v>
      </c>
      <c r="AK30" s="10">
        <f t="shared" si="70"/>
        <v>0.27759342029337841</v>
      </c>
      <c r="AL30" s="10">
        <f t="shared" si="70"/>
        <v>0.21566873422793248</v>
      </c>
      <c r="AM30" s="10">
        <f t="shared" si="70"/>
        <v>0.17426033725616946</v>
      </c>
      <c r="AN30" s="10">
        <f t="shared" si="70"/>
        <v>0.14666911719060929</v>
      </c>
      <c r="AO30" s="10">
        <f t="shared" si="70"/>
        <v>0.12881374640218729</v>
      </c>
      <c r="AP30" s="10">
        <f t="shared" si="70"/>
        <v>0.11313207292713841</v>
      </c>
      <c r="AQ30" s="10">
        <f t="shared" si="70"/>
        <v>9.9359472744704191E-2</v>
      </c>
      <c r="AR30" s="10">
        <f t="shared" si="70"/>
        <v>8.7263536932305416E-2</v>
      </c>
      <c r="AT30" s="1" t="s">
        <v>53</v>
      </c>
      <c r="AU30" s="6">
        <f>Main!D8</f>
        <v>-577.19999999999982</v>
      </c>
    </row>
    <row r="31" spans="2:140" x14ac:dyDescent="0.3">
      <c r="B31" s="1" t="s">
        <v>48</v>
      </c>
      <c r="M31" s="10">
        <f>M13/M6</f>
        <v>-5.4637155297532649</v>
      </c>
      <c r="N31" s="10">
        <f>N13/N6</f>
        <v>-4.6870229007633588</v>
      </c>
      <c r="O31" s="10">
        <f t="shared" ref="O31" si="71">O13/O6</f>
        <v>-4.2264041690793288</v>
      </c>
      <c r="P31" s="10">
        <f>P13/P6</f>
        <v>-3.9252243270189431</v>
      </c>
      <c r="Q31" s="10">
        <f>Q13/Q6</f>
        <v>-3.8530000000000002</v>
      </c>
      <c r="R31" s="10">
        <f>R13/R6</f>
        <v>-3.1253731343283584</v>
      </c>
      <c r="S31" s="10">
        <f>S13/S6</f>
        <v>-2.9446808510638296</v>
      </c>
      <c r="T31" s="10">
        <f t="shared" ref="T31:V31" si="72">T13/T6</f>
        <v>-3.0959907478797226</v>
      </c>
      <c r="U31" s="10">
        <f t="shared" si="72"/>
        <v>-2.7985739750445635</v>
      </c>
      <c r="V31" s="10">
        <f t="shared" si="72"/>
        <v>-2.0369236655825516</v>
      </c>
      <c r="W31" s="10"/>
      <c r="X31" s="10"/>
      <c r="Y31" s="10"/>
      <c r="Z31" s="10"/>
      <c r="AB31" s="10">
        <f t="shared" ref="AB31:AE31" si="73">AB13/AB6</f>
        <v>-56.065217391304344</v>
      </c>
      <c r="AC31" s="10">
        <f t="shared" si="73"/>
        <v>-149.80000000000001</v>
      </c>
      <c r="AD31" s="10">
        <f t="shared" si="73"/>
        <v>-56.476014760147599</v>
      </c>
      <c r="AE31" s="10">
        <f t="shared" si="73"/>
        <v>-4.2650443932916797</v>
      </c>
      <c r="AF31" s="10">
        <f t="shared" ref="AF31" si="74">AF13/AF6</f>
        <v>-5.2066185116747858</v>
      </c>
      <c r="AG31" s="10">
        <f>AG13/AG6</f>
        <v>-3.7396632829908403</v>
      </c>
      <c r="AH31" s="10">
        <f t="shared" ref="AH31:AR31" si="75">AH13/AH6</f>
        <v>-2.5868360788948808</v>
      </c>
      <c r="AI31" s="10">
        <f t="shared" si="75"/>
        <v>-1.7227824973529338</v>
      </c>
      <c r="AJ31" s="10">
        <f t="shared" si="75"/>
        <v>-1.110007373090331</v>
      </c>
      <c r="AK31" s="10">
        <f t="shared" si="75"/>
        <v>-0.65600551616387714</v>
      </c>
      <c r="AL31" s="10">
        <f t="shared" si="75"/>
        <v>-0.37081967025039692</v>
      </c>
      <c r="AM31" s="10">
        <f t="shared" si="75"/>
        <v>-0.23042229356232072</v>
      </c>
      <c r="AN31" s="10">
        <f t="shared" si="75"/>
        <v>-0.12018876374828663</v>
      </c>
      <c r="AO31" s="10">
        <f t="shared" si="75"/>
        <v>-5.12092620745822E-2</v>
      </c>
      <c r="AP31" s="10">
        <f t="shared" si="75"/>
        <v>-6.9750910394156635E-3</v>
      </c>
      <c r="AQ31" s="10">
        <f t="shared" si="75"/>
        <v>3.3091441782774025E-2</v>
      </c>
      <c r="AR31" s="10">
        <f t="shared" si="75"/>
        <v>5.9497701044001539E-2</v>
      </c>
      <c r="AT31" s="1" t="s">
        <v>54</v>
      </c>
      <c r="AU31" s="6">
        <f>AU29+AU30</f>
        <v>1453.8200963842446</v>
      </c>
    </row>
    <row r="32" spans="2:140" x14ac:dyDescent="0.3">
      <c r="B32" s="1" t="s">
        <v>22</v>
      </c>
      <c r="M32" s="10">
        <f>M16/M15</f>
        <v>-4.7573739295908655E-4</v>
      </c>
      <c r="N32" s="10">
        <f>N16/N15</f>
        <v>0</v>
      </c>
      <c r="O32" s="10">
        <f t="shared" ref="O32" si="76">O16/O15</f>
        <v>-2.9381519024533566E-4</v>
      </c>
      <c r="P32" s="10">
        <f>P16/P15</f>
        <v>1.5542430836182781E-4</v>
      </c>
      <c r="Q32" s="10">
        <f>Q16/Q15</f>
        <v>-5.0398145348251188E-4</v>
      </c>
      <c r="R32" s="10">
        <f>R16/R15</f>
        <v>-1.5128593040847197E-3</v>
      </c>
      <c r="S32" s="10">
        <f>S16/S15</f>
        <v>3.8084874863982586E-3</v>
      </c>
      <c r="T32" s="10">
        <f t="shared" ref="T32:V32" si="77">T16/T15</f>
        <v>4.4288614135449336E-3</v>
      </c>
      <c r="U32" s="10">
        <f t="shared" si="77"/>
        <v>4.086636697997548E-4</v>
      </c>
      <c r="V32" s="10">
        <f t="shared" si="77"/>
        <v>-2.2162029056882549E-3</v>
      </c>
      <c r="W32" s="10"/>
      <c r="X32" s="10"/>
      <c r="Y32" s="10"/>
      <c r="Z32" s="10"/>
      <c r="AB32" s="10">
        <f t="shared" ref="AB32:AE32" si="78">AB16/AB15</f>
        <v>0</v>
      </c>
      <c r="AC32" s="10">
        <f t="shared" si="78"/>
        <v>2.7797081306462821E-4</v>
      </c>
      <c r="AD32" s="10">
        <f t="shared" si="78"/>
        <v>3.8762694782541279E-5</v>
      </c>
      <c r="AE32" s="10">
        <f t="shared" si="78"/>
        <v>-3.0672494440610386E-4</v>
      </c>
      <c r="AF32" s="10">
        <f t="shared" ref="AF32" si="79">AF16/AF15</f>
        <v>-3.5369433735365894E-4</v>
      </c>
      <c r="AG32" s="10">
        <f>AG16/AG15</f>
        <v>-4.4234739015039799E-4</v>
      </c>
      <c r="AH32" s="10">
        <f t="shared" ref="AH32:AR32" si="80">AH16/AH15</f>
        <v>8.8872431031290517E-4</v>
      </c>
      <c r="AI32" s="10">
        <f t="shared" si="80"/>
        <v>0</v>
      </c>
      <c r="AJ32" s="10">
        <f t="shared" si="80"/>
        <v>0</v>
      </c>
      <c r="AK32" s="10">
        <f t="shared" si="80"/>
        <v>0</v>
      </c>
      <c r="AL32" s="10">
        <f t="shared" si="80"/>
        <v>0</v>
      </c>
      <c r="AM32" s="10">
        <f t="shared" si="80"/>
        <v>0</v>
      </c>
      <c r="AN32" s="10">
        <f t="shared" si="80"/>
        <v>0</v>
      </c>
      <c r="AO32" s="10">
        <f t="shared" si="80"/>
        <v>0</v>
      </c>
      <c r="AP32" s="10">
        <f t="shared" si="80"/>
        <v>0</v>
      </c>
      <c r="AQ32" s="10">
        <f t="shared" si="80"/>
        <v>0</v>
      </c>
      <c r="AR32" s="10">
        <f t="shared" si="80"/>
        <v>0</v>
      </c>
      <c r="AT32" s="1" t="s">
        <v>55</v>
      </c>
      <c r="AU32" s="5">
        <f>AU31/AR18</f>
        <v>4.473292604259214</v>
      </c>
    </row>
    <row r="33" spans="2:47" x14ac:dyDescent="0.3">
      <c r="B33" s="1" t="s">
        <v>49</v>
      </c>
      <c r="M33" s="10">
        <f>M17/M6</f>
        <v>-4.5783744557329458</v>
      </c>
      <c r="N33" s="10">
        <f>N17/N6</f>
        <v>-4.1583969465648858</v>
      </c>
      <c r="O33" s="10">
        <f t="shared" ref="O33" si="81">O17/O6</f>
        <v>-3.9426751592356695</v>
      </c>
      <c r="P33" s="10">
        <f>P17/P6</f>
        <v>-3.206879361914257</v>
      </c>
      <c r="Q33" s="10">
        <f>Q17/Q6</f>
        <v>-4.9630000000000001</v>
      </c>
      <c r="R33" s="10">
        <f>R17/R6</f>
        <v>-1.6938166311300644</v>
      </c>
      <c r="S33" s="10">
        <f>S17/S6</f>
        <v>-1.5582978723404257</v>
      </c>
      <c r="T33" s="10">
        <f t="shared" ref="T33:V33" si="82">T17/T6</f>
        <v>-2.0797995373939866</v>
      </c>
      <c r="U33" s="10">
        <f t="shared" si="82"/>
        <v>-2.9067142008318481</v>
      </c>
      <c r="V33" s="10">
        <f t="shared" si="82"/>
        <v>-1.5572986416682604</v>
      </c>
      <c r="W33" s="10"/>
      <c r="X33" s="10"/>
      <c r="Y33" s="10"/>
      <c r="Z33" s="10"/>
      <c r="AB33" s="10">
        <f t="shared" ref="AB33:AE33" si="83">AB17/AB6</f>
        <v>-60.282608695652172</v>
      </c>
      <c r="AC33" s="10">
        <f t="shared" si="83"/>
        <v>-179.82499999999999</v>
      </c>
      <c r="AD33" s="10">
        <f t="shared" si="83"/>
        <v>-95.191881918819192</v>
      </c>
      <c r="AE33" s="10">
        <f t="shared" si="83"/>
        <v>-2.1448536665570535</v>
      </c>
      <c r="AF33" s="10">
        <f t="shared" ref="AF33" si="84">AF17/AF6</f>
        <v>-4.7510498908113563</v>
      </c>
      <c r="AG33" s="10">
        <f>AG17/AG6</f>
        <v>-3.3597425105224072</v>
      </c>
      <c r="AH33" s="10">
        <f t="shared" ref="AH33:AR33" si="85">AH17/AH6</f>
        <v>-1.9931299401639948</v>
      </c>
      <c r="AI33" s="10">
        <f t="shared" si="85"/>
        <v>-1.3084292433084632</v>
      </c>
      <c r="AJ33" s="10">
        <f t="shared" si="85"/>
        <v>-0.79924243255697802</v>
      </c>
      <c r="AK33" s="10">
        <f t="shared" si="85"/>
        <v>-0.41429945130460266</v>
      </c>
      <c r="AL33" s="10">
        <f t="shared" si="85"/>
        <v>-0.17559554094098284</v>
      </c>
      <c r="AM33" s="10">
        <f t="shared" si="85"/>
        <v>-6.643402494241285E-2</v>
      </c>
      <c r="AN33" s="10">
        <f t="shared" si="85"/>
        <v>2.3300971294132743E-2</v>
      </c>
      <c r="AO33" s="10">
        <f t="shared" si="85"/>
        <v>7.9803104703278963E-2</v>
      </c>
      <c r="AP33" s="10">
        <f t="shared" si="85"/>
        <v>0.11264489601863151</v>
      </c>
      <c r="AQ33" s="10">
        <f t="shared" si="85"/>
        <v>0.14230969083577363</v>
      </c>
      <c r="AR33" s="10">
        <f t="shared" si="85"/>
        <v>0.15921871104891422</v>
      </c>
      <c r="AT33" s="1" t="s">
        <v>56</v>
      </c>
      <c r="AU33" s="5">
        <f>Main!D3</f>
        <v>12.84</v>
      </c>
    </row>
    <row r="34" spans="2:47" x14ac:dyDescent="0.3">
      <c r="AT34" s="2" t="s">
        <v>57</v>
      </c>
      <c r="AU34" s="11">
        <f>AU32/AU33-1</f>
        <v>-0.65161272552498328</v>
      </c>
    </row>
    <row r="35" spans="2:47" x14ac:dyDescent="0.3">
      <c r="AT35" s="1" t="s">
        <v>58</v>
      </c>
      <c r="AU35" s="7" t="s">
        <v>70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2025-04-24T18:38:34Z</dcterms:created>
  <dcterms:modified xsi:type="dcterms:W3CDTF">2026-02-25T09:26:26Z</dcterms:modified>
</cp:coreProperties>
</file>