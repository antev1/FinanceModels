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F025B2E0-39AE-4CD2-ACDF-2D6D7697CB33}" xr6:coauthVersionLast="47" xr6:coauthVersionMax="47" xr10:uidLastSave="{00000000-0000-0000-0000-000000000000}"/>
  <bookViews>
    <workbookView xWindow="-108" yWindow="-108" windowWidth="23256" windowHeight="12576" activeTab="1" xr2:uid="{1AB2C153-F3A3-43B3-970A-67C6BEA1AC7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6" i="2" l="1"/>
  <c r="AL6" i="2" s="1"/>
  <c r="AM6" i="2" s="1"/>
  <c r="AN6" i="2" s="1"/>
  <c r="AJ6" i="2"/>
  <c r="AE6" i="2"/>
  <c r="AD24" i="2"/>
  <c r="AC24" i="2"/>
  <c r="AB24" i="2"/>
  <c r="AA24" i="2"/>
  <c r="V6" i="2"/>
  <c r="V8" i="2" s="1"/>
  <c r="V27" i="2" s="1"/>
  <c r="U6" i="2"/>
  <c r="U24" i="2" s="1"/>
  <c r="V24" i="2"/>
  <c r="T24" i="2"/>
  <c r="S24" i="2"/>
  <c r="R24" i="2"/>
  <c r="Q24" i="2"/>
  <c r="P24" i="2"/>
  <c r="O24" i="2"/>
  <c r="N24" i="2"/>
  <c r="V4" i="2"/>
  <c r="V22" i="2" s="1"/>
  <c r="U4" i="2"/>
  <c r="V3" i="2"/>
  <c r="U3" i="2"/>
  <c r="AB23" i="2"/>
  <c r="AA23" i="2"/>
  <c r="T23" i="2"/>
  <c r="S23" i="2"/>
  <c r="R23" i="2"/>
  <c r="Q23" i="2"/>
  <c r="P23" i="2"/>
  <c r="O23" i="2"/>
  <c r="N23" i="2"/>
  <c r="AD16" i="2"/>
  <c r="AD14" i="2"/>
  <c r="AD11" i="2"/>
  <c r="AB22" i="2"/>
  <c r="AA22" i="2"/>
  <c r="AB21" i="2"/>
  <c r="AA21" i="2"/>
  <c r="U21" i="2"/>
  <c r="AC3" i="2"/>
  <c r="AC21" i="2" s="1"/>
  <c r="T21" i="2"/>
  <c r="S21" i="2"/>
  <c r="R21" i="2"/>
  <c r="R22" i="2"/>
  <c r="Q22" i="2"/>
  <c r="T22" i="2"/>
  <c r="S22" i="2"/>
  <c r="AC4" i="2"/>
  <c r="AC22" i="2" s="1"/>
  <c r="V18" i="2"/>
  <c r="U18" i="2"/>
  <c r="V10" i="2"/>
  <c r="U10" i="2"/>
  <c r="U29" i="2" s="1"/>
  <c r="U9" i="2"/>
  <c r="U28" i="2" s="1"/>
  <c r="V9" i="2"/>
  <c r="V28" i="2" s="1"/>
  <c r="P30" i="2"/>
  <c r="P18" i="2"/>
  <c r="P12" i="2"/>
  <c r="P8" i="2"/>
  <c r="P27" i="2" s="1"/>
  <c r="T18" i="2"/>
  <c r="T12" i="2"/>
  <c r="D7" i="1"/>
  <c r="S18" i="2"/>
  <c r="D6" i="1"/>
  <c r="D4" i="1"/>
  <c r="AN18" i="2"/>
  <c r="AM18" i="2"/>
  <c r="AL18" i="2"/>
  <c r="AK18" i="2"/>
  <c r="AJ18" i="2"/>
  <c r="AI18" i="2"/>
  <c r="AH18" i="2"/>
  <c r="AG18" i="2"/>
  <c r="AF18" i="2"/>
  <c r="AE18" i="2"/>
  <c r="AD18" i="2"/>
  <c r="AC30" i="2"/>
  <c r="AB30" i="2"/>
  <c r="AA30" i="2"/>
  <c r="Z30" i="2"/>
  <c r="Y30" i="2"/>
  <c r="X30" i="2"/>
  <c r="T30" i="2"/>
  <c r="S30" i="2"/>
  <c r="R30" i="2"/>
  <c r="Q30" i="2"/>
  <c r="O30" i="2"/>
  <c r="N30" i="2"/>
  <c r="M30" i="2"/>
  <c r="T29" i="2"/>
  <c r="T28" i="2"/>
  <c r="T26" i="2"/>
  <c r="S29" i="2"/>
  <c r="S28" i="2"/>
  <c r="S26" i="2"/>
  <c r="O18" i="2"/>
  <c r="O12" i="2"/>
  <c r="O8" i="2"/>
  <c r="O27" i="2" s="1"/>
  <c r="S12" i="2"/>
  <c r="S8" i="2"/>
  <c r="S27" i="2" s="1"/>
  <c r="D5" i="1"/>
  <c r="AQ33" i="2"/>
  <c r="AE14" i="2"/>
  <c r="AF14" i="2" s="1"/>
  <c r="AG14" i="2" s="1"/>
  <c r="AH14" i="2" s="1"/>
  <c r="AI14" i="2" s="1"/>
  <c r="AJ14" i="2" s="1"/>
  <c r="AK14" i="2" s="1"/>
  <c r="AL14" i="2" s="1"/>
  <c r="AM14" i="2" s="1"/>
  <c r="AN14" i="2" s="1"/>
  <c r="R29" i="2"/>
  <c r="R28" i="2"/>
  <c r="R26" i="2"/>
  <c r="N18" i="2"/>
  <c r="N12" i="2"/>
  <c r="N8" i="2"/>
  <c r="N27" i="2" s="1"/>
  <c r="R18" i="2"/>
  <c r="R12" i="2"/>
  <c r="R8" i="2"/>
  <c r="R27" i="2" s="1"/>
  <c r="Q29" i="2"/>
  <c r="Q28" i="2"/>
  <c r="Q26" i="2"/>
  <c r="M18" i="2"/>
  <c r="M12" i="2"/>
  <c r="M8" i="2"/>
  <c r="M27" i="2" s="1"/>
  <c r="Q18" i="2"/>
  <c r="Q12" i="2"/>
  <c r="Q8" i="2"/>
  <c r="Q27" i="2" s="1"/>
  <c r="AA29" i="2"/>
  <c r="Z29" i="2"/>
  <c r="Y29" i="2"/>
  <c r="AA28" i="2"/>
  <c r="Z28" i="2"/>
  <c r="Y28" i="2"/>
  <c r="AA26" i="2"/>
  <c r="Z26" i="2"/>
  <c r="Y26" i="2"/>
  <c r="X18" i="2"/>
  <c r="X12" i="2"/>
  <c r="X8" i="2"/>
  <c r="X27" i="2" s="1"/>
  <c r="Y18" i="2"/>
  <c r="Y12" i="2"/>
  <c r="Y8" i="2"/>
  <c r="Y27" i="2" s="1"/>
  <c r="Z18" i="2"/>
  <c r="Z12" i="2"/>
  <c r="Z8" i="2"/>
  <c r="Z27" i="2" s="1"/>
  <c r="AB29" i="2"/>
  <c r="AB28" i="2"/>
  <c r="AB26" i="2"/>
  <c r="AC29" i="2"/>
  <c r="AC28" i="2"/>
  <c r="AC26" i="2"/>
  <c r="AA18" i="2"/>
  <c r="AA12" i="2"/>
  <c r="AA8" i="2"/>
  <c r="AA27" i="2" s="1"/>
  <c r="AB18" i="2"/>
  <c r="AB12" i="2"/>
  <c r="AB8" i="2"/>
  <c r="AB27" i="2" s="1"/>
  <c r="AC18" i="2"/>
  <c r="AC12" i="2"/>
  <c r="AC8" i="2"/>
  <c r="F3" i="1"/>
  <c r="V26" i="2" l="1"/>
  <c r="U26" i="2"/>
  <c r="AD6" i="2"/>
  <c r="AD26" i="2" s="1"/>
  <c r="AC23" i="2"/>
  <c r="AD9" i="2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D10" i="2"/>
  <c r="AE10" i="2" s="1"/>
  <c r="AF10" i="2" s="1"/>
  <c r="AF29" i="2" s="1"/>
  <c r="U23" i="2"/>
  <c r="V23" i="2"/>
  <c r="AD4" i="2"/>
  <c r="AD22" i="2" s="1"/>
  <c r="V30" i="2"/>
  <c r="AD3" i="2"/>
  <c r="V21" i="2"/>
  <c r="U8" i="2"/>
  <c r="U7" i="2" s="1"/>
  <c r="U22" i="2"/>
  <c r="V7" i="2"/>
  <c r="V12" i="2"/>
  <c r="V13" i="2" s="1"/>
  <c r="U12" i="2"/>
  <c r="AC13" i="2"/>
  <c r="V29" i="2"/>
  <c r="U30" i="2"/>
  <c r="P13" i="2"/>
  <c r="D8" i="1"/>
  <c r="AQ30" i="2" s="1"/>
  <c r="AC27" i="2"/>
  <c r="AF12" i="2"/>
  <c r="O13" i="2"/>
  <c r="S13" i="2"/>
  <c r="AG10" i="2"/>
  <c r="AE29" i="2"/>
  <c r="AD29" i="2"/>
  <c r="AF28" i="2"/>
  <c r="AE28" i="2"/>
  <c r="N13" i="2"/>
  <c r="R13" i="2"/>
  <c r="M13" i="2"/>
  <c r="Q13" i="2"/>
  <c r="X13" i="2"/>
  <c r="Y13" i="2"/>
  <c r="Z13" i="2"/>
  <c r="AA13" i="2"/>
  <c r="AB13" i="2"/>
  <c r="AD7" i="2" l="1"/>
  <c r="AD28" i="2"/>
  <c r="AE12" i="2"/>
  <c r="AD12" i="2"/>
  <c r="AD30" i="2"/>
  <c r="AD8" i="2"/>
  <c r="AD27" i="2" s="1"/>
  <c r="AE8" i="2"/>
  <c r="AE13" i="2" s="1"/>
  <c r="AD21" i="2"/>
  <c r="AD23" i="2"/>
  <c r="U27" i="2"/>
  <c r="U13" i="2"/>
  <c r="U15" i="2" s="1"/>
  <c r="V31" i="2"/>
  <c r="V15" i="2"/>
  <c r="AC15" i="2"/>
  <c r="AC31" i="2"/>
  <c r="AG12" i="2"/>
  <c r="P15" i="2"/>
  <c r="P31" i="2"/>
  <c r="D9" i="1"/>
  <c r="AB15" i="2"/>
  <c r="AB31" i="2"/>
  <c r="AA15" i="2"/>
  <c r="AA31" i="2"/>
  <c r="X15" i="2"/>
  <c r="X31" i="2"/>
  <c r="O15" i="2"/>
  <c r="O31" i="2"/>
  <c r="R15" i="2"/>
  <c r="R31" i="2"/>
  <c r="Z15" i="2"/>
  <c r="Z31" i="2"/>
  <c r="Q15" i="2"/>
  <c r="Q31" i="2"/>
  <c r="N15" i="2"/>
  <c r="N31" i="2"/>
  <c r="Y15" i="2"/>
  <c r="Y31" i="2"/>
  <c r="S15" i="2"/>
  <c r="S31" i="2"/>
  <c r="M15" i="2"/>
  <c r="M31" i="2"/>
  <c r="AG29" i="2"/>
  <c r="AH10" i="2"/>
  <c r="AF6" i="2" l="1"/>
  <c r="AF8" i="2" s="1"/>
  <c r="AE26" i="2"/>
  <c r="AE7" i="2"/>
  <c r="AE30" i="2"/>
  <c r="AD13" i="2"/>
  <c r="AE27" i="2"/>
  <c r="U31" i="2"/>
  <c r="V32" i="2"/>
  <c r="V17" i="2"/>
  <c r="AC17" i="2"/>
  <c r="AC32" i="2"/>
  <c r="AH12" i="2"/>
  <c r="U32" i="2"/>
  <c r="U17" i="2"/>
  <c r="P17" i="2"/>
  <c r="P32" i="2"/>
  <c r="AA17" i="2"/>
  <c r="AA32" i="2"/>
  <c r="M17" i="2"/>
  <c r="M32" i="2"/>
  <c r="R17" i="2"/>
  <c r="R32" i="2"/>
  <c r="S17" i="2"/>
  <c r="S32" i="2"/>
  <c r="Z17" i="2"/>
  <c r="Z32" i="2"/>
  <c r="O17" i="2"/>
  <c r="O32" i="2"/>
  <c r="N17" i="2"/>
  <c r="N32" i="2"/>
  <c r="Q17" i="2"/>
  <c r="Q32" i="2"/>
  <c r="AB17" i="2"/>
  <c r="AB32" i="2"/>
  <c r="AE15" i="2"/>
  <c r="AE31" i="2"/>
  <c r="Y17" i="2"/>
  <c r="Y32" i="2"/>
  <c r="X17" i="2"/>
  <c r="X32" i="2"/>
  <c r="AH29" i="2"/>
  <c r="AI10" i="2"/>
  <c r="AG28" i="2"/>
  <c r="AH28" i="2"/>
  <c r="AF30" i="2" l="1"/>
  <c r="AF26" i="2"/>
  <c r="AG6" i="2"/>
  <c r="AG26" i="2" s="1"/>
  <c r="AD15" i="2"/>
  <c r="AD31" i="2"/>
  <c r="V19" i="2"/>
  <c r="V33" i="2"/>
  <c r="AC19" i="2"/>
  <c r="AC33" i="2"/>
  <c r="U19" i="2"/>
  <c r="U33" i="2"/>
  <c r="AI12" i="2"/>
  <c r="P19" i="2"/>
  <c r="P33" i="2"/>
  <c r="AF27" i="2"/>
  <c r="AF13" i="2"/>
  <c r="AF7" i="2"/>
  <c r="X19" i="2"/>
  <c r="X33" i="2"/>
  <c r="AE32" i="2"/>
  <c r="AE17" i="2"/>
  <c r="M19" i="2"/>
  <c r="M33" i="2"/>
  <c r="AB19" i="2"/>
  <c r="AB33" i="2"/>
  <c r="Z19" i="2"/>
  <c r="Z33" i="2"/>
  <c r="Y19" i="2"/>
  <c r="Y33" i="2"/>
  <c r="O19" i="2"/>
  <c r="O33" i="2"/>
  <c r="AA19" i="2"/>
  <c r="AA33" i="2"/>
  <c r="Q19" i="2"/>
  <c r="Q33" i="2"/>
  <c r="S19" i="2"/>
  <c r="S33" i="2"/>
  <c r="N19" i="2"/>
  <c r="N33" i="2"/>
  <c r="R19" i="2"/>
  <c r="R33" i="2"/>
  <c r="AI29" i="2"/>
  <c r="AJ10" i="2"/>
  <c r="AI28" i="2"/>
  <c r="AG30" i="2" l="1"/>
  <c r="AG8" i="2"/>
  <c r="AG13" i="2" s="1"/>
  <c r="AG15" i="2" s="1"/>
  <c r="AG32" i="2" s="1"/>
  <c r="AH6" i="2"/>
  <c r="AH8" i="2" s="1"/>
  <c r="AH13" i="2" s="1"/>
  <c r="AD32" i="2"/>
  <c r="AD17" i="2"/>
  <c r="AH30" i="2"/>
  <c r="AJ12" i="2"/>
  <c r="AF15" i="2"/>
  <c r="AF31" i="2"/>
  <c r="AE19" i="2"/>
  <c r="AE33" i="2"/>
  <c r="AJ29" i="2"/>
  <c r="AK10" i="2"/>
  <c r="AJ28" i="2"/>
  <c r="AI6" i="2" l="1"/>
  <c r="AI30" i="2" s="1"/>
  <c r="AG27" i="2"/>
  <c r="AH26" i="2"/>
  <c r="AG7" i="2"/>
  <c r="AG17" i="2"/>
  <c r="AG31" i="2"/>
  <c r="AH27" i="2"/>
  <c r="AD33" i="2"/>
  <c r="AD19" i="2"/>
  <c r="AH7" i="2"/>
  <c r="AJ30" i="2"/>
  <c r="AK12" i="2"/>
  <c r="AF32" i="2"/>
  <c r="AF17" i="2"/>
  <c r="AH15" i="2"/>
  <c r="AH31" i="2"/>
  <c r="AL10" i="2"/>
  <c r="AK29" i="2"/>
  <c r="AK28" i="2"/>
  <c r="AI8" i="2" l="1"/>
  <c r="AI13" i="2" s="1"/>
  <c r="AI15" i="2" s="1"/>
  <c r="AI17" i="2" s="1"/>
  <c r="AI26" i="2"/>
  <c r="AG33" i="2"/>
  <c r="AG19" i="2"/>
  <c r="AI31" i="2"/>
  <c r="AJ26" i="2"/>
  <c r="AJ8" i="2"/>
  <c r="AJ7" i="2" s="1"/>
  <c r="AK30" i="2"/>
  <c r="AI32" i="2"/>
  <c r="AL12" i="2"/>
  <c r="AI27" i="2"/>
  <c r="AI7" i="2"/>
  <c r="AF19" i="2"/>
  <c r="AF33" i="2"/>
  <c r="AI19" i="2"/>
  <c r="AI33" i="2"/>
  <c r="AH17" i="2"/>
  <c r="AH32" i="2"/>
  <c r="AL29" i="2"/>
  <c r="AM10" i="2"/>
  <c r="AL28" i="2"/>
  <c r="AL30" i="2" l="1"/>
  <c r="AK26" i="2"/>
  <c r="AK8" i="2"/>
  <c r="AK7" i="2" s="1"/>
  <c r="AJ13" i="2"/>
  <c r="AJ31" i="2" s="1"/>
  <c r="AJ27" i="2"/>
  <c r="AM12" i="2"/>
  <c r="AH19" i="2"/>
  <c r="AH33" i="2"/>
  <c r="AM29" i="2"/>
  <c r="AN10" i="2"/>
  <c r="AN28" i="2"/>
  <c r="AM28" i="2"/>
  <c r="AL26" i="2" l="1"/>
  <c r="AL8" i="2"/>
  <c r="AL13" i="2" s="1"/>
  <c r="AJ15" i="2"/>
  <c r="AJ32" i="2" s="1"/>
  <c r="AK27" i="2"/>
  <c r="AK13" i="2"/>
  <c r="AK15" i="2" s="1"/>
  <c r="AN29" i="2"/>
  <c r="AN12" i="2"/>
  <c r="AM30" i="2" l="1"/>
  <c r="AL7" i="2"/>
  <c r="AL27" i="2"/>
  <c r="AM8" i="2"/>
  <c r="AM7" i="2" s="1"/>
  <c r="AM26" i="2"/>
  <c r="AN30" i="2"/>
  <c r="AJ17" i="2"/>
  <c r="AJ33" i="2" s="1"/>
  <c r="AK31" i="2"/>
  <c r="AL15" i="2"/>
  <c r="AL31" i="2"/>
  <c r="AK32" i="2"/>
  <c r="AK17" i="2"/>
  <c r="AN8" i="2" l="1"/>
  <c r="AN27" i="2" s="1"/>
  <c r="AN26" i="2"/>
  <c r="AM13" i="2"/>
  <c r="AM27" i="2"/>
  <c r="AJ19" i="2"/>
  <c r="AM15" i="2"/>
  <c r="AM31" i="2"/>
  <c r="AK19" i="2"/>
  <c r="AK33" i="2"/>
  <c r="AL17" i="2"/>
  <c r="AL32" i="2"/>
  <c r="AN13" i="2" l="1"/>
  <c r="AN31" i="2" s="1"/>
  <c r="AN7" i="2"/>
  <c r="AL19" i="2"/>
  <c r="AL33" i="2"/>
  <c r="AM17" i="2"/>
  <c r="AM32" i="2"/>
  <c r="AN15" i="2" l="1"/>
  <c r="AN32" i="2" s="1"/>
  <c r="AM19" i="2"/>
  <c r="AM33" i="2"/>
  <c r="AN17" i="2" l="1"/>
  <c r="AN19" i="2" s="1"/>
  <c r="AO17" i="2" l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AQ29" i="2" s="1"/>
  <c r="AQ31" i="2" s="1"/>
  <c r="AQ32" i="2" s="1"/>
  <c r="AQ34" i="2" s="1"/>
  <c r="AN33" i="2"/>
  <c r="T8" i="2" l="1"/>
  <c r="T27" i="2" l="1"/>
  <c r="T13" i="2"/>
  <c r="T15" i="2" l="1"/>
  <c r="T31" i="2"/>
  <c r="T17" i="2" l="1"/>
  <c r="T32" i="2"/>
  <c r="T19" i="2" l="1"/>
  <c r="T33" i="2"/>
</calcChain>
</file>

<file path=xl/sharedStrings.xml><?xml version="1.0" encoding="utf-8"?>
<sst xmlns="http://schemas.openxmlformats.org/spreadsheetml/2006/main" count="72" uniqueCount="67">
  <si>
    <t>LCID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</si>
  <si>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</si>
  <si>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</si>
  <si>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</si>
  <si>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</si>
  <si>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</si>
  <si>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</si>
  <si>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</si>
  <si>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</si>
  <si>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</si>
  <si>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</si>
  <si>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</si>
  <si>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Revenue</t>
  </si>
  <si>
    <t>Cost of sales</t>
  </si>
  <si>
    <t>Gross profit</t>
  </si>
  <si>
    <t>R&amp;D</t>
  </si>
  <si>
    <t>SG&amp;A</t>
  </si>
  <si>
    <t>Restructuring</t>
  </si>
  <si>
    <t>Total operating expense</t>
  </si>
  <si>
    <t>Operating profit</t>
  </si>
  <si>
    <t>Other income</t>
  </si>
  <si>
    <t>Pretax profit</t>
  </si>
  <si>
    <t>Taxes</t>
  </si>
  <si>
    <t>Net profit</t>
  </si>
  <si>
    <t>EPS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</si>
  <si>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</si>
  <si>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</si>
  <si>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</si>
  <si>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</si>
  <si>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</si>
  <si>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</si>
  <si>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</si>
  <si>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</si>
  <si>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</si>
  <si>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</si>
  <si>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</si>
  <si>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</si>
  <si>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</si>
  <si>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</si>
  <si>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</si>
  <si>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</si>
  <si>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</si>
  <si>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</si>
  <si>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</si>
  <si>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Revenue y/y</t>
  </si>
  <si>
    <t>Gross Margin</t>
  </si>
  <si>
    <t>R&amp;D y/y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</si>
  <si>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</si>
  <si>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</si>
  <si>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</si>
  <si>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</si>
  <si>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</si>
  <si>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</si>
  <si>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</si>
  <si>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</si>
  <si>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</si>
  <si>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</si>
  <si>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</si>
  <si>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</si>
  <si>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SG&amp;A Margin</t>
  </si>
  <si>
    <t>Production</t>
  </si>
  <si>
    <t>Production y/y</t>
  </si>
  <si>
    <t>Deliveries</t>
  </si>
  <si>
    <t>Deliveries y/y</t>
  </si>
  <si>
    <t>Delivery Ratio</t>
  </si>
  <si>
    <t>ASP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</si>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</sst>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38100</xdr:colOff>
      <xdr:row>0</xdr:row>
      <xdr:rowOff>15240</xdr:rowOff>
    </xdr:from>
    <xdr:to>
      <xdr:col>29</xdr:col>
      <xdr:colOff>38100</xdr:colOff>
      <xdr:row>42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F2159-2F1A-422C-C571-CDA25F2CF0F4}"/>
            </a:ext>
          </a:extLst>
        </xdr:cNvPr>
        <xdr:cNvCxnSpPr/>
      </xdr:nvCxnSpPr>
      <xdr:spPr>
        <a:xfrm>
          <a:off x="1853184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0</xdr:row>
      <xdr:rowOff>0</xdr:rowOff>
    </xdr:from>
    <xdr:to>
      <xdr:col>20</xdr:col>
      <xdr:colOff>38100</xdr:colOff>
      <xdr:row>41</xdr:row>
      <xdr:rowOff>167640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B774CCD-E4E6-2711-5B32-362A0186FBF6}"/>
            </a:ext>
          </a:extLst>
        </xdr:cNvPr>
        <xdr:cNvCxnSpPr/>
      </xdr:nvCxnSpPr>
      <xdr:spPr>
        <a:xfrm>
          <a:off x="13045440" y="0"/>
          <a:ext cx="0" cy="6202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B7A2-890D-43C6-8568-2B7E364C5F2A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7" width="13.3320312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1.98</v>
      </c>
      <c r="E3" s="4">
        <v>45889</v>
      </c>
      <c r="F3" s="4">
        <f ca="1">TODAY()</f>
        <v>45904</v>
      </c>
      <c r="G3" s="4">
        <v>45972</v>
      </c>
    </row>
    <row r="4" spans="2:7" x14ac:dyDescent="0.3">
      <c r="C4" s="1" t="s">
        <v>2</v>
      </c>
      <c r="D4" s="6">
        <f>3072.5</f>
        <v>3072.5</v>
      </c>
      <c r="E4" s="3" t="s">
        <v>41</v>
      </c>
    </row>
    <row r="5" spans="2:7" x14ac:dyDescent="0.3">
      <c r="C5" s="1" t="s">
        <v>3</v>
      </c>
      <c r="D5" s="6">
        <f>D3*D4</f>
        <v>6083.55</v>
      </c>
    </row>
    <row r="6" spans="2:7" x14ac:dyDescent="0.3">
      <c r="C6" s="1" t="s">
        <v>4</v>
      </c>
      <c r="D6" s="6">
        <f>1795.7+1030.1+776.7</f>
        <v>3602.5</v>
      </c>
      <c r="E6" s="3" t="s">
        <v>41</v>
      </c>
    </row>
    <row r="7" spans="2:7" x14ac:dyDescent="0.3">
      <c r="C7" s="1" t="s">
        <v>5</v>
      </c>
      <c r="D7" s="6">
        <f>2038.9</f>
        <v>2038.9</v>
      </c>
      <c r="E7" s="3" t="s">
        <v>41</v>
      </c>
    </row>
    <row r="8" spans="2:7" x14ac:dyDescent="0.3">
      <c r="C8" s="1" t="s">
        <v>6</v>
      </c>
      <c r="D8" s="6">
        <f>D6-D7</f>
        <v>1563.6</v>
      </c>
    </row>
    <row r="9" spans="2:7" x14ac:dyDescent="0.3">
      <c r="C9" s="1" t="s">
        <v>7</v>
      </c>
      <c r="D9" s="6">
        <f>D5-D8</f>
        <v>4519.9500000000007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B153-B42C-4EA2-9808-5A7F3690FC48}">
  <dimension ref="B2:EF35"/>
  <sheetViews>
    <sheetView tabSelected="1" workbookViewId="0">
      <pane xSplit="2" ySplit="2" topLeftCell="W6" activePane="bottomRight" state="frozen"/>
      <selection pane="topRight" activeCell="C1" sqref="C1"/>
      <selection pane="bottomLeft" activeCell="A3" sqref="A3"/>
      <selection pane="bottomRight" activeCell="AO6" sqref="AO6"/>
    </sheetView>
  </sheetViews>
  <sheetFormatPr defaultRowHeight="14.4" x14ac:dyDescent="0.3"/>
  <cols>
    <col min="1" max="1" width="8.88671875" style="1"/>
    <col min="2" max="2" width="20.77734375" style="1" bestFit="1" customWidth="1"/>
    <col min="3" max="17" width="8.88671875" style="1"/>
    <col min="18" max="18" width="8.88671875" style="1" customWidth="1"/>
    <col min="19" max="41" width="8.88671875" style="1"/>
    <col min="42" max="42" width="11.88671875" style="1" bestFit="1" customWidth="1"/>
    <col min="43" max="43" width="16.77734375" style="1" customWidth="1"/>
    <col min="44" max="16384" width="8.88671875" style="1"/>
  </cols>
  <sheetData>
    <row r="2" spans="2:40" x14ac:dyDescent="0.3"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11</v>
      </c>
      <c r="S2" s="7" t="s">
        <v>40</v>
      </c>
      <c r="T2" s="7" t="s">
        <v>41</v>
      </c>
      <c r="U2" s="7" t="s">
        <v>42</v>
      </c>
      <c r="V2" s="7" t="s">
        <v>43</v>
      </c>
      <c r="X2" s="1">
        <v>2019</v>
      </c>
      <c r="Y2" s="1">
        <v>2020</v>
      </c>
      <c r="Z2" s="1">
        <v>2021</v>
      </c>
      <c r="AA2" s="1">
        <v>2022</v>
      </c>
      <c r="AB2" s="1">
        <v>2023</v>
      </c>
      <c r="AC2" s="1">
        <v>2024</v>
      </c>
      <c r="AD2" s="1">
        <v>2025</v>
      </c>
      <c r="AE2" s="1">
        <v>2026</v>
      </c>
      <c r="AF2" s="1">
        <v>2027</v>
      </c>
      <c r="AG2" s="1">
        <v>2028</v>
      </c>
      <c r="AH2" s="1">
        <v>2029</v>
      </c>
      <c r="AI2" s="1">
        <v>2030</v>
      </c>
      <c r="AJ2" s="1">
        <v>2031</v>
      </c>
      <c r="AK2" s="1">
        <v>2032</v>
      </c>
      <c r="AL2" s="1">
        <v>2033</v>
      </c>
      <c r="AM2" s="1">
        <v>2034</v>
      </c>
      <c r="AN2" s="1">
        <v>2035</v>
      </c>
    </row>
    <row r="3" spans="2:40" x14ac:dyDescent="0.3">
      <c r="B3" s="1" t="s">
        <v>62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2">
        <v>1734</v>
      </c>
      <c r="O3" s="12">
        <v>1967</v>
      </c>
      <c r="P3" s="12">
        <v>2394</v>
      </c>
      <c r="Q3" s="12">
        <v>2781</v>
      </c>
      <c r="R3" s="12">
        <v>3099</v>
      </c>
      <c r="S3" s="12">
        <v>3109</v>
      </c>
      <c r="T3" s="12">
        <v>3309</v>
      </c>
      <c r="U3" s="12">
        <f>Q3*1.5</f>
        <v>4171.5</v>
      </c>
      <c r="V3" s="12">
        <f>R3*1.7</f>
        <v>5268.3</v>
      </c>
      <c r="Z3" s="6">
        <v>300</v>
      </c>
      <c r="AA3" s="6">
        <v>4369</v>
      </c>
      <c r="AB3" s="6">
        <v>6001</v>
      </c>
      <c r="AC3" s="6">
        <f>SUM(O3:R3)</f>
        <v>10241</v>
      </c>
      <c r="AD3" s="6">
        <f>SUM(S3:V3)</f>
        <v>15857.8</v>
      </c>
    </row>
    <row r="4" spans="2:40" x14ac:dyDescent="0.3">
      <c r="B4" s="1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12">
        <v>1550</v>
      </c>
      <c r="N4" s="12">
        <v>1734</v>
      </c>
      <c r="O4" s="12">
        <v>1728</v>
      </c>
      <c r="P4" s="12">
        <v>2110</v>
      </c>
      <c r="Q4" s="12">
        <v>1805</v>
      </c>
      <c r="R4" s="12">
        <v>3386</v>
      </c>
      <c r="S4" s="12">
        <v>2212</v>
      </c>
      <c r="T4" s="12">
        <v>3863</v>
      </c>
      <c r="U4" s="12">
        <f>Q4*2.5</f>
        <v>4512.5</v>
      </c>
      <c r="V4" s="12">
        <f>R4*2.2</f>
        <v>7449.2000000000007</v>
      </c>
      <c r="Z4" s="6">
        <v>400</v>
      </c>
      <c r="AA4" s="6">
        <v>7180</v>
      </c>
      <c r="AB4" s="6">
        <v>8428</v>
      </c>
      <c r="AC4" s="6">
        <f>SUM(O4:R4)</f>
        <v>9029</v>
      </c>
      <c r="AD4" s="6">
        <f>SUM(S4:V4)</f>
        <v>18036.7</v>
      </c>
    </row>
    <row r="5" spans="2:40" x14ac:dyDescent="0.3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40" s="2" customFormat="1" x14ac:dyDescent="0.3">
      <c r="B6" s="2" t="s">
        <v>12</v>
      </c>
      <c r="M6" s="9">
        <v>137.80000000000001</v>
      </c>
      <c r="N6" s="9">
        <v>157.19999999999999</v>
      </c>
      <c r="O6" s="9">
        <v>172.7</v>
      </c>
      <c r="P6" s="9">
        <v>200.6</v>
      </c>
      <c r="Q6" s="9">
        <v>200</v>
      </c>
      <c r="R6" s="9">
        <v>234.5</v>
      </c>
      <c r="S6" s="9">
        <v>235</v>
      </c>
      <c r="T6" s="9">
        <v>259.39999999999998</v>
      </c>
      <c r="U6" s="2">
        <f>Q6*1.55</f>
        <v>310</v>
      </c>
      <c r="V6" s="9">
        <f>R6*1.65</f>
        <v>386.92499999999995</v>
      </c>
      <c r="X6" s="9">
        <v>4.5999999999999996</v>
      </c>
      <c r="Y6" s="9">
        <v>4</v>
      </c>
      <c r="Z6" s="9">
        <v>27.1</v>
      </c>
      <c r="AA6" s="9">
        <v>608.20000000000005</v>
      </c>
      <c r="AB6" s="9">
        <v>595.29999999999995</v>
      </c>
      <c r="AC6" s="9">
        <v>807.8</v>
      </c>
      <c r="AD6" s="9">
        <f>SUM(S6:V6)</f>
        <v>1191.3249999999998</v>
      </c>
      <c r="AE6" s="9">
        <f>AD6*1.4</f>
        <v>1667.8549999999996</v>
      </c>
      <c r="AF6" s="9">
        <f>AE6*1.35</f>
        <v>2251.6042499999994</v>
      </c>
      <c r="AG6" s="9">
        <f>AF6*1.3</f>
        <v>2927.0855249999995</v>
      </c>
      <c r="AH6" s="9">
        <f>AG6*1.25</f>
        <v>3658.8569062499992</v>
      </c>
      <c r="AI6" s="9">
        <f>AH6*1.2</f>
        <v>4390.6282874999988</v>
      </c>
      <c r="AJ6" s="9">
        <f>AI6*1.15</f>
        <v>5049.2225306249984</v>
      </c>
      <c r="AK6" s="9">
        <f t="shared" ref="AK6:AN6" si="0">AJ6*1.15</f>
        <v>5806.6059102187473</v>
      </c>
      <c r="AL6" s="9">
        <f t="shared" si="0"/>
        <v>6677.5967967515589</v>
      </c>
      <c r="AM6" s="9">
        <f t="shared" si="0"/>
        <v>7679.2363162642923</v>
      </c>
      <c r="AN6" s="9">
        <f t="shared" si="0"/>
        <v>8831.1217637039354</v>
      </c>
    </row>
    <row r="7" spans="2:40" x14ac:dyDescent="0.3">
      <c r="B7" s="1" t="s">
        <v>13</v>
      </c>
      <c r="M7" s="6">
        <v>469.7</v>
      </c>
      <c r="N7" s="6">
        <v>410</v>
      </c>
      <c r="O7" s="6">
        <v>404.8</v>
      </c>
      <c r="P7" s="6">
        <v>470.4</v>
      </c>
      <c r="Q7" s="6">
        <v>412.5</v>
      </c>
      <c r="R7" s="6">
        <v>443.2</v>
      </c>
      <c r="S7" s="6">
        <v>463.6</v>
      </c>
      <c r="T7" s="6">
        <v>531.79999999999995</v>
      </c>
      <c r="U7" s="6">
        <f>U6-U8</f>
        <v>604.5</v>
      </c>
      <c r="V7" s="6">
        <f>V6-V8</f>
        <v>773.84999999999991</v>
      </c>
      <c r="X7" s="6">
        <v>3.9</v>
      </c>
      <c r="Y7" s="6">
        <v>3.1</v>
      </c>
      <c r="Z7" s="6">
        <v>154.9</v>
      </c>
      <c r="AA7" s="6">
        <v>1646.1</v>
      </c>
      <c r="AB7" s="6">
        <v>1936.1</v>
      </c>
      <c r="AC7" s="6">
        <v>1730.9</v>
      </c>
      <c r="AD7" s="6">
        <f>SUM(S7:V7)</f>
        <v>2373.75</v>
      </c>
      <c r="AE7" s="6">
        <f t="shared" ref="AE7:AN7" si="1">AE6-AE8</f>
        <v>2168.2114999999994</v>
      </c>
      <c r="AF7" s="6">
        <f t="shared" si="1"/>
        <v>2364.1844624999994</v>
      </c>
      <c r="AG7" s="6">
        <f t="shared" si="1"/>
        <v>2634.3769724999997</v>
      </c>
      <c r="AH7" s="6">
        <f t="shared" si="1"/>
        <v>3110.0283703124992</v>
      </c>
      <c r="AI7" s="6">
        <f t="shared" si="1"/>
        <v>3644.2214786249988</v>
      </c>
      <c r="AJ7" s="6">
        <f t="shared" si="1"/>
        <v>4140.3624751124989</v>
      </c>
      <c r="AK7" s="6">
        <f t="shared" si="1"/>
        <v>4703.3507872771852</v>
      </c>
      <c r="AL7" s="6">
        <f t="shared" si="1"/>
        <v>5342.0774374012472</v>
      </c>
      <c r="AM7" s="6">
        <f t="shared" si="1"/>
        <v>6143.389053011434</v>
      </c>
      <c r="AN7" s="6">
        <f t="shared" si="1"/>
        <v>7064.8974109631481</v>
      </c>
    </row>
    <row r="8" spans="2:40" s="2" customFormat="1" x14ac:dyDescent="0.3">
      <c r="B8" s="2" t="s">
        <v>14</v>
      </c>
      <c r="M8" s="9">
        <f t="shared" ref="M8:T8" si="2">M6-M7</f>
        <v>-331.9</v>
      </c>
      <c r="N8" s="9">
        <f t="shared" si="2"/>
        <v>-252.8</v>
      </c>
      <c r="O8" s="9">
        <f t="shared" si="2"/>
        <v>-232.10000000000002</v>
      </c>
      <c r="P8" s="9">
        <f t="shared" si="2"/>
        <v>-269.79999999999995</v>
      </c>
      <c r="Q8" s="9">
        <f t="shared" si="2"/>
        <v>-212.5</v>
      </c>
      <c r="R8" s="9">
        <f t="shared" si="2"/>
        <v>-208.7</v>
      </c>
      <c r="S8" s="9">
        <f t="shared" si="2"/>
        <v>-228.60000000000002</v>
      </c>
      <c r="T8" s="9">
        <f t="shared" si="2"/>
        <v>-272.39999999999998</v>
      </c>
      <c r="U8" s="9">
        <f>U6*-0.95</f>
        <v>-294.5</v>
      </c>
      <c r="V8" s="9">
        <f>V6*-1</f>
        <v>-386.92499999999995</v>
      </c>
      <c r="X8" s="9">
        <f t="shared" ref="X8:AC8" si="3">X6-X7</f>
        <v>0.69999999999999973</v>
      </c>
      <c r="Y8" s="9">
        <f t="shared" si="3"/>
        <v>0.89999999999999991</v>
      </c>
      <c r="Z8" s="9">
        <f t="shared" si="3"/>
        <v>-127.80000000000001</v>
      </c>
      <c r="AA8" s="9">
        <f t="shared" si="3"/>
        <v>-1037.8999999999999</v>
      </c>
      <c r="AB8" s="9">
        <f t="shared" si="3"/>
        <v>-1340.8</v>
      </c>
      <c r="AC8" s="9">
        <f t="shared" si="3"/>
        <v>-923.10000000000014</v>
      </c>
      <c r="AD8" s="9">
        <f>-AD6*0.6</f>
        <v>-714.79499999999985</v>
      </c>
      <c r="AE8" s="9">
        <f>-AE6*0.3</f>
        <v>-500.35649999999987</v>
      </c>
      <c r="AF8" s="9">
        <f>-AF6*0.05</f>
        <v>-112.58021249999997</v>
      </c>
      <c r="AG8" s="9">
        <f>AG6*0.1</f>
        <v>292.70855249999994</v>
      </c>
      <c r="AH8" s="9">
        <f>AH6*0.15</f>
        <v>548.82853593749985</v>
      </c>
      <c r="AI8" s="9">
        <f>AI6*0.17</f>
        <v>746.4068088749998</v>
      </c>
      <c r="AJ8" s="9">
        <f>AJ6*0.18</f>
        <v>908.86005551249968</v>
      </c>
      <c r="AK8" s="9">
        <f>AK6*0.19</f>
        <v>1103.2551229415619</v>
      </c>
      <c r="AL8" s="9">
        <f>AL6*0.2</f>
        <v>1335.5193593503118</v>
      </c>
      <c r="AM8" s="9">
        <f t="shared" ref="AM8:AN8" si="4">AM6*0.2</f>
        <v>1535.8472632528585</v>
      </c>
      <c r="AN8" s="9">
        <f t="shared" si="4"/>
        <v>1766.2243527407873</v>
      </c>
    </row>
    <row r="9" spans="2:40" x14ac:dyDescent="0.3">
      <c r="B9" s="1" t="s">
        <v>15</v>
      </c>
      <c r="M9" s="6">
        <v>230.8</v>
      </c>
      <c r="N9" s="6">
        <v>243</v>
      </c>
      <c r="O9" s="6">
        <v>284.60000000000002</v>
      </c>
      <c r="P9" s="6">
        <v>287.2</v>
      </c>
      <c r="Q9" s="6">
        <v>324.39999999999998</v>
      </c>
      <c r="R9" s="6">
        <v>280.3</v>
      </c>
      <c r="S9" s="6">
        <v>251.2</v>
      </c>
      <c r="T9" s="6">
        <v>273.8</v>
      </c>
      <c r="U9" s="6">
        <f>Q9*0.85</f>
        <v>275.73999999999995</v>
      </c>
      <c r="V9" s="6">
        <f>R9*1.01</f>
        <v>283.10300000000001</v>
      </c>
      <c r="X9" s="6">
        <v>220.2</v>
      </c>
      <c r="Y9" s="6">
        <v>511.1</v>
      </c>
      <c r="Z9" s="6">
        <v>750.2</v>
      </c>
      <c r="AA9" s="6">
        <v>821.5</v>
      </c>
      <c r="AB9" s="6">
        <v>937</v>
      </c>
      <c r="AC9" s="6">
        <v>1176.5</v>
      </c>
      <c r="AD9" s="6">
        <f t="shared" ref="AD9:AD11" si="5">SUM(S9:V9)</f>
        <v>1083.8430000000001</v>
      </c>
      <c r="AE9" s="6">
        <f>AD9*1.02</f>
        <v>1105.5198600000001</v>
      </c>
      <c r="AF9" s="6">
        <f>AE9*1.01</f>
        <v>1116.5750586000001</v>
      </c>
      <c r="AG9" s="6">
        <f t="shared" ref="AG9:AN9" si="6">AF9*1.01</f>
        <v>1127.7408091860002</v>
      </c>
      <c r="AH9" s="6">
        <f t="shared" si="6"/>
        <v>1139.0182172778602</v>
      </c>
      <c r="AI9" s="6">
        <f t="shared" si="6"/>
        <v>1150.4083994506389</v>
      </c>
      <c r="AJ9" s="6">
        <f t="shared" si="6"/>
        <v>1161.9124834451452</v>
      </c>
      <c r="AK9" s="6">
        <f t="shared" si="6"/>
        <v>1173.5316082795966</v>
      </c>
      <c r="AL9" s="6">
        <f t="shared" si="6"/>
        <v>1185.2669243623927</v>
      </c>
      <c r="AM9" s="6">
        <f t="shared" si="6"/>
        <v>1197.1195936060167</v>
      </c>
      <c r="AN9" s="6">
        <f t="shared" si="6"/>
        <v>1209.0907895420769</v>
      </c>
    </row>
    <row r="10" spans="2:40" x14ac:dyDescent="0.3">
      <c r="B10" s="1" t="s">
        <v>16</v>
      </c>
      <c r="M10" s="6">
        <v>189.7</v>
      </c>
      <c r="N10" s="6">
        <v>241</v>
      </c>
      <c r="O10" s="6">
        <v>213.2</v>
      </c>
      <c r="P10" s="6">
        <v>210.2</v>
      </c>
      <c r="Q10" s="6">
        <v>233.6</v>
      </c>
      <c r="R10" s="6">
        <v>243.9</v>
      </c>
      <c r="S10" s="6">
        <v>212.2</v>
      </c>
      <c r="T10" s="6">
        <v>256.89999999999998</v>
      </c>
      <c r="U10" s="6">
        <f>Q10*1.03</f>
        <v>240.608</v>
      </c>
      <c r="V10" s="6">
        <f>R10*1.06</f>
        <v>258.53399999999999</v>
      </c>
      <c r="X10" s="6">
        <v>38.4</v>
      </c>
      <c r="Y10" s="6">
        <v>89</v>
      </c>
      <c r="Z10" s="6">
        <v>652.5</v>
      </c>
      <c r="AA10" s="6">
        <v>734.6</v>
      </c>
      <c r="AB10" s="6">
        <v>797.2</v>
      </c>
      <c r="AC10" s="6">
        <v>901</v>
      </c>
      <c r="AD10" s="6">
        <f t="shared" si="5"/>
        <v>968.24199999999996</v>
      </c>
      <c r="AE10" s="6">
        <f t="shared" ref="AE10:AN10" si="7">AD10*1.01</f>
        <v>977.92441999999994</v>
      </c>
      <c r="AF10" s="6">
        <f t="shared" si="7"/>
        <v>987.70366419999993</v>
      </c>
      <c r="AG10" s="6">
        <f t="shared" si="7"/>
        <v>997.58070084199994</v>
      </c>
      <c r="AH10" s="6">
        <f t="shared" si="7"/>
        <v>1007.55650785042</v>
      </c>
      <c r="AI10" s="6">
        <f t="shared" si="7"/>
        <v>1017.6320729289241</v>
      </c>
      <c r="AJ10" s="6">
        <f t="shared" si="7"/>
        <v>1027.8083936582134</v>
      </c>
      <c r="AK10" s="6">
        <f t="shared" si="7"/>
        <v>1038.0864775947955</v>
      </c>
      <c r="AL10" s="6">
        <f t="shared" si="7"/>
        <v>1048.4673423707434</v>
      </c>
      <c r="AM10" s="6">
        <f t="shared" si="7"/>
        <v>1058.9520157944507</v>
      </c>
      <c r="AN10" s="6">
        <f t="shared" si="7"/>
        <v>1069.5415359523952</v>
      </c>
    </row>
    <row r="11" spans="2:40" x14ac:dyDescent="0.3">
      <c r="B11" s="1" t="s">
        <v>17</v>
      </c>
      <c r="M11" s="6">
        <v>0.5</v>
      </c>
      <c r="N11" s="6">
        <v>0</v>
      </c>
      <c r="O11" s="6">
        <v>0</v>
      </c>
      <c r="P11" s="6">
        <v>20.2</v>
      </c>
      <c r="Q11" s="6">
        <v>0.1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24.5</v>
      </c>
      <c r="AC11" s="6">
        <v>20.3</v>
      </c>
      <c r="AD11" s="6">
        <f t="shared" si="5"/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</row>
    <row r="12" spans="2:40" x14ac:dyDescent="0.3">
      <c r="B12" s="1" t="s">
        <v>18</v>
      </c>
      <c r="M12" s="6">
        <f t="shared" ref="M12:T12" si="8">SUM(M9:M11)</f>
        <v>421</v>
      </c>
      <c r="N12" s="6">
        <f t="shared" si="8"/>
        <v>484</v>
      </c>
      <c r="O12" s="6">
        <f t="shared" si="8"/>
        <v>497.8</v>
      </c>
      <c r="P12" s="6">
        <f t="shared" si="8"/>
        <v>517.6</v>
      </c>
      <c r="Q12" s="6">
        <f t="shared" si="8"/>
        <v>558.1</v>
      </c>
      <c r="R12" s="6">
        <f t="shared" si="8"/>
        <v>524.20000000000005</v>
      </c>
      <c r="S12" s="6">
        <f t="shared" si="8"/>
        <v>463.4</v>
      </c>
      <c r="T12" s="6">
        <f t="shared" si="8"/>
        <v>530.70000000000005</v>
      </c>
      <c r="U12" s="6">
        <f t="shared" ref="U12:V12" si="9">SUM(U9:U11)</f>
        <v>516.34799999999996</v>
      </c>
      <c r="V12" s="6">
        <f t="shared" si="9"/>
        <v>541.63699999999994</v>
      </c>
      <c r="X12" s="6">
        <f t="shared" ref="X12:AD12" si="10">SUM(X9:X11)</f>
        <v>258.59999999999997</v>
      </c>
      <c r="Y12" s="6">
        <f t="shared" si="10"/>
        <v>600.1</v>
      </c>
      <c r="Z12" s="6">
        <f t="shared" si="10"/>
        <v>1402.7</v>
      </c>
      <c r="AA12" s="6">
        <f t="shared" si="10"/>
        <v>1556.1</v>
      </c>
      <c r="AB12" s="6">
        <f t="shared" si="10"/>
        <v>1758.7</v>
      </c>
      <c r="AC12" s="6">
        <f t="shared" si="10"/>
        <v>2097.8000000000002</v>
      </c>
      <c r="AD12" s="6">
        <f t="shared" si="10"/>
        <v>2052.085</v>
      </c>
      <c r="AE12" s="6">
        <f t="shared" ref="AE12:AN12" si="11">SUM(AE9:AE11)</f>
        <v>2083.4442800000002</v>
      </c>
      <c r="AF12" s="6">
        <f t="shared" si="11"/>
        <v>2104.2787228000002</v>
      </c>
      <c r="AG12" s="6">
        <f t="shared" si="11"/>
        <v>2125.3215100280004</v>
      </c>
      <c r="AH12" s="6">
        <f t="shared" si="11"/>
        <v>2146.5747251282801</v>
      </c>
      <c r="AI12" s="6">
        <f t="shared" si="11"/>
        <v>2168.0404723795627</v>
      </c>
      <c r="AJ12" s="6">
        <f t="shared" si="11"/>
        <v>2189.7208771033584</v>
      </c>
      <c r="AK12" s="6">
        <f t="shared" si="11"/>
        <v>2211.6180858743919</v>
      </c>
      <c r="AL12" s="6">
        <f t="shared" si="11"/>
        <v>2233.7342667331359</v>
      </c>
      <c r="AM12" s="6">
        <f t="shared" si="11"/>
        <v>2256.0716094004674</v>
      </c>
      <c r="AN12" s="6">
        <f t="shared" si="11"/>
        <v>2278.6323254944718</v>
      </c>
    </row>
    <row r="13" spans="2:40" s="2" customFormat="1" x14ac:dyDescent="0.3">
      <c r="B13" s="2" t="s">
        <v>19</v>
      </c>
      <c r="M13" s="9">
        <f t="shared" ref="M13:T13" si="12">M8-M12</f>
        <v>-752.9</v>
      </c>
      <c r="N13" s="9">
        <f t="shared" si="12"/>
        <v>-736.8</v>
      </c>
      <c r="O13" s="9">
        <f t="shared" si="12"/>
        <v>-729.90000000000009</v>
      </c>
      <c r="P13" s="9">
        <f t="shared" si="12"/>
        <v>-787.4</v>
      </c>
      <c r="Q13" s="9">
        <f t="shared" si="12"/>
        <v>-770.6</v>
      </c>
      <c r="R13" s="9">
        <f t="shared" si="12"/>
        <v>-732.90000000000009</v>
      </c>
      <c r="S13" s="9">
        <f t="shared" si="12"/>
        <v>-692</v>
      </c>
      <c r="T13" s="9">
        <f t="shared" si="12"/>
        <v>-803.1</v>
      </c>
      <c r="U13" s="9">
        <f t="shared" ref="U13:V13" si="13">U8-U12</f>
        <v>-810.84799999999996</v>
      </c>
      <c r="V13" s="9">
        <f t="shared" si="13"/>
        <v>-928.5619999999999</v>
      </c>
      <c r="X13" s="9">
        <f t="shared" ref="X13:AD13" si="14">X8-X12</f>
        <v>-257.89999999999998</v>
      </c>
      <c r="Y13" s="9">
        <f t="shared" si="14"/>
        <v>-599.20000000000005</v>
      </c>
      <c r="Z13" s="9">
        <f t="shared" si="14"/>
        <v>-1530.5</v>
      </c>
      <c r="AA13" s="9">
        <f t="shared" si="14"/>
        <v>-2594</v>
      </c>
      <c r="AB13" s="9">
        <f t="shared" si="14"/>
        <v>-3099.5</v>
      </c>
      <c r="AC13" s="9">
        <f t="shared" si="14"/>
        <v>-3020.9000000000005</v>
      </c>
      <c r="AD13" s="9">
        <f t="shared" si="14"/>
        <v>-2766.88</v>
      </c>
      <c r="AE13" s="9">
        <f t="shared" ref="AE13:AN13" si="15">AE8-AE12</f>
        <v>-2583.80078</v>
      </c>
      <c r="AF13" s="9">
        <f t="shared" si="15"/>
        <v>-2216.8589353000002</v>
      </c>
      <c r="AG13" s="9">
        <f t="shared" si="15"/>
        <v>-1832.6129575280004</v>
      </c>
      <c r="AH13" s="9">
        <f t="shared" si="15"/>
        <v>-1597.7461891907801</v>
      </c>
      <c r="AI13" s="9">
        <f t="shared" si="15"/>
        <v>-1421.6336635045629</v>
      </c>
      <c r="AJ13" s="9">
        <f t="shared" si="15"/>
        <v>-1280.8608215908587</v>
      </c>
      <c r="AK13" s="9">
        <f t="shared" si="15"/>
        <v>-1108.36296293283</v>
      </c>
      <c r="AL13" s="9">
        <f t="shared" si="15"/>
        <v>-898.21490738282409</v>
      </c>
      <c r="AM13" s="9">
        <f t="shared" si="15"/>
        <v>-720.22434614760891</v>
      </c>
      <c r="AN13" s="9">
        <f t="shared" si="15"/>
        <v>-512.40797275368459</v>
      </c>
    </row>
    <row r="14" spans="2:40" x14ac:dyDescent="0.3">
      <c r="B14" s="1" t="s">
        <v>20</v>
      </c>
      <c r="M14" s="6">
        <v>-122.3</v>
      </c>
      <c r="N14" s="6">
        <v>-83.1</v>
      </c>
      <c r="O14" s="6">
        <v>-49.2</v>
      </c>
      <c r="P14" s="6">
        <v>-144</v>
      </c>
      <c r="Q14" s="6">
        <v>221.5</v>
      </c>
      <c r="R14" s="6">
        <v>-336.3</v>
      </c>
      <c r="S14" s="6">
        <v>-324.39999999999998</v>
      </c>
      <c r="T14" s="6">
        <v>-261.2</v>
      </c>
      <c r="U14" s="6">
        <v>-300</v>
      </c>
      <c r="V14" s="6">
        <v>-300</v>
      </c>
      <c r="X14" s="6">
        <v>19.399999999999999</v>
      </c>
      <c r="Y14" s="6">
        <v>120.3</v>
      </c>
      <c r="Z14" s="6">
        <v>1049.3</v>
      </c>
      <c r="AA14" s="6">
        <v>-1289.9000000000001</v>
      </c>
      <c r="AB14" s="6">
        <v>-272.2</v>
      </c>
      <c r="AC14" s="6">
        <v>-308.10000000000002</v>
      </c>
      <c r="AD14" s="6">
        <f>SUM(S14:V14)</f>
        <v>-1185.5999999999999</v>
      </c>
      <c r="AE14" s="6">
        <f t="shared" ref="AE14:AN14" si="16">AD14*1.05</f>
        <v>-1244.8799999999999</v>
      </c>
      <c r="AF14" s="6">
        <f t="shared" si="16"/>
        <v>-1307.124</v>
      </c>
      <c r="AG14" s="6">
        <f t="shared" si="16"/>
        <v>-1372.4802000000002</v>
      </c>
      <c r="AH14" s="6">
        <f t="shared" si="16"/>
        <v>-1441.1042100000002</v>
      </c>
      <c r="AI14" s="6">
        <f t="shared" si="16"/>
        <v>-1513.1594205000004</v>
      </c>
      <c r="AJ14" s="6">
        <f t="shared" si="16"/>
        <v>-1588.8173915250004</v>
      </c>
      <c r="AK14" s="6">
        <f t="shared" si="16"/>
        <v>-1668.2582611012506</v>
      </c>
      <c r="AL14" s="6">
        <f t="shared" si="16"/>
        <v>-1751.6711741563131</v>
      </c>
      <c r="AM14" s="6">
        <f t="shared" si="16"/>
        <v>-1839.2547328641288</v>
      </c>
      <c r="AN14" s="6">
        <f t="shared" si="16"/>
        <v>-1931.2174695073352</v>
      </c>
    </row>
    <row r="15" spans="2:40" s="2" customFormat="1" x14ac:dyDescent="0.3">
      <c r="B15" s="2" t="s">
        <v>21</v>
      </c>
      <c r="M15" s="9">
        <f t="shared" ref="M15:T15" si="17">M13-M14</f>
        <v>-630.6</v>
      </c>
      <c r="N15" s="9">
        <f t="shared" si="17"/>
        <v>-653.69999999999993</v>
      </c>
      <c r="O15" s="9">
        <f t="shared" si="17"/>
        <v>-680.7</v>
      </c>
      <c r="P15" s="9">
        <f t="shared" si="17"/>
        <v>-643.4</v>
      </c>
      <c r="Q15" s="9">
        <f t="shared" si="17"/>
        <v>-992.1</v>
      </c>
      <c r="R15" s="9">
        <f t="shared" si="17"/>
        <v>-396.60000000000008</v>
      </c>
      <c r="S15" s="9">
        <f t="shared" si="17"/>
        <v>-367.6</v>
      </c>
      <c r="T15" s="9">
        <f t="shared" si="17"/>
        <v>-541.90000000000009</v>
      </c>
      <c r="U15" s="9">
        <f t="shared" ref="U15:V15" si="18">U13-U14</f>
        <v>-510.84799999999996</v>
      </c>
      <c r="V15" s="9">
        <f t="shared" si="18"/>
        <v>-628.5619999999999</v>
      </c>
      <c r="X15" s="9">
        <f t="shared" ref="X15:AD15" si="19">X13-X14</f>
        <v>-277.29999999999995</v>
      </c>
      <c r="Y15" s="9">
        <f t="shared" si="19"/>
        <v>-719.5</v>
      </c>
      <c r="Z15" s="9">
        <f t="shared" si="19"/>
        <v>-2579.8000000000002</v>
      </c>
      <c r="AA15" s="9">
        <f t="shared" si="19"/>
        <v>-1304.0999999999999</v>
      </c>
      <c r="AB15" s="9">
        <f t="shared" si="19"/>
        <v>-2827.3</v>
      </c>
      <c r="AC15" s="9">
        <f t="shared" si="19"/>
        <v>-2712.8000000000006</v>
      </c>
      <c r="AD15" s="9">
        <f t="shared" si="19"/>
        <v>-1581.2800000000002</v>
      </c>
      <c r="AE15" s="9">
        <f t="shared" ref="AE15:AN15" si="20">AE13-AE14</f>
        <v>-1338.9207800000001</v>
      </c>
      <c r="AF15" s="9">
        <f t="shared" si="20"/>
        <v>-909.73493530000019</v>
      </c>
      <c r="AG15" s="9">
        <f t="shared" si="20"/>
        <v>-460.13275752800018</v>
      </c>
      <c r="AH15" s="9">
        <f t="shared" si="20"/>
        <v>-156.64197919077992</v>
      </c>
      <c r="AI15" s="9">
        <f t="shared" si="20"/>
        <v>91.525756995437405</v>
      </c>
      <c r="AJ15" s="9">
        <f t="shared" si="20"/>
        <v>307.95656993414173</v>
      </c>
      <c r="AK15" s="9">
        <f t="shared" si="20"/>
        <v>559.8952981684206</v>
      </c>
      <c r="AL15" s="9">
        <f t="shared" si="20"/>
        <v>853.45626677348901</v>
      </c>
      <c r="AM15" s="9">
        <f t="shared" si="20"/>
        <v>1119.0303867165198</v>
      </c>
      <c r="AN15" s="9">
        <f t="shared" si="20"/>
        <v>1418.8094967536506</v>
      </c>
    </row>
    <row r="16" spans="2:40" x14ac:dyDescent="0.3">
      <c r="B16" s="1" t="s">
        <v>22</v>
      </c>
      <c r="M16" s="6">
        <v>0.3</v>
      </c>
      <c r="N16" s="6">
        <v>0</v>
      </c>
      <c r="O16" s="6">
        <v>0.2</v>
      </c>
      <c r="P16" s="6">
        <v>-0.1</v>
      </c>
      <c r="Q16" s="6">
        <v>0.5</v>
      </c>
      <c r="R16" s="6">
        <v>0.6</v>
      </c>
      <c r="S16" s="6">
        <v>-1.4</v>
      </c>
      <c r="T16" s="6">
        <v>-2.4</v>
      </c>
      <c r="U16" s="6">
        <v>-2</v>
      </c>
      <c r="V16" s="6">
        <v>-2</v>
      </c>
      <c r="X16" s="6">
        <v>0</v>
      </c>
      <c r="Y16" s="6">
        <v>-0.2</v>
      </c>
      <c r="Z16" s="6">
        <v>-0.1</v>
      </c>
      <c r="AA16" s="6">
        <v>0.4</v>
      </c>
      <c r="AB16" s="6">
        <v>1</v>
      </c>
      <c r="AC16" s="6">
        <v>1.2</v>
      </c>
      <c r="AD16" s="6">
        <f>SUM(S16:V16)</f>
        <v>-7.8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</row>
    <row r="17" spans="2:136" s="2" customFormat="1" x14ac:dyDescent="0.3">
      <c r="B17" s="2" t="s">
        <v>23</v>
      </c>
      <c r="M17" s="9">
        <f t="shared" ref="M17:T17" si="21">M15-M16</f>
        <v>-630.9</v>
      </c>
      <c r="N17" s="9">
        <f t="shared" si="21"/>
        <v>-653.69999999999993</v>
      </c>
      <c r="O17" s="9">
        <f t="shared" si="21"/>
        <v>-680.90000000000009</v>
      </c>
      <c r="P17" s="9">
        <f t="shared" si="21"/>
        <v>-643.29999999999995</v>
      </c>
      <c r="Q17" s="9">
        <f t="shared" si="21"/>
        <v>-992.6</v>
      </c>
      <c r="R17" s="9">
        <f t="shared" si="21"/>
        <v>-397.2000000000001</v>
      </c>
      <c r="S17" s="9">
        <f t="shared" si="21"/>
        <v>-366.20000000000005</v>
      </c>
      <c r="T17" s="9">
        <f t="shared" si="21"/>
        <v>-539.50000000000011</v>
      </c>
      <c r="U17" s="9">
        <f t="shared" ref="U17:V17" si="22">U15-U16</f>
        <v>-508.84799999999996</v>
      </c>
      <c r="V17" s="9">
        <f t="shared" si="22"/>
        <v>-626.5619999999999</v>
      </c>
      <c r="X17" s="9">
        <f t="shared" ref="X17:AD17" si="23">X15-X16</f>
        <v>-277.29999999999995</v>
      </c>
      <c r="Y17" s="9">
        <f t="shared" si="23"/>
        <v>-719.3</v>
      </c>
      <c r="Z17" s="9">
        <f t="shared" si="23"/>
        <v>-2579.7000000000003</v>
      </c>
      <c r="AA17" s="9">
        <f t="shared" si="23"/>
        <v>-1304.5</v>
      </c>
      <c r="AB17" s="9">
        <f t="shared" si="23"/>
        <v>-2828.3</v>
      </c>
      <c r="AC17" s="9">
        <f t="shared" si="23"/>
        <v>-2714.0000000000005</v>
      </c>
      <c r="AD17" s="9">
        <f t="shared" si="23"/>
        <v>-1573.4800000000002</v>
      </c>
      <c r="AE17" s="9">
        <f t="shared" ref="AE17:AN17" si="24">AE15-AE16</f>
        <v>-1338.9207800000001</v>
      </c>
      <c r="AF17" s="9">
        <f t="shared" si="24"/>
        <v>-909.73493530000019</v>
      </c>
      <c r="AG17" s="9">
        <f t="shared" si="24"/>
        <v>-460.13275752800018</v>
      </c>
      <c r="AH17" s="9">
        <f t="shared" si="24"/>
        <v>-156.64197919077992</v>
      </c>
      <c r="AI17" s="9">
        <f t="shared" si="24"/>
        <v>91.525756995437405</v>
      </c>
      <c r="AJ17" s="9">
        <f t="shared" si="24"/>
        <v>307.95656993414173</v>
      </c>
      <c r="AK17" s="9">
        <f t="shared" si="24"/>
        <v>559.8952981684206</v>
      </c>
      <c r="AL17" s="9">
        <f t="shared" si="24"/>
        <v>853.45626677348901</v>
      </c>
      <c r="AM17" s="9">
        <f t="shared" si="24"/>
        <v>1119.0303867165198</v>
      </c>
      <c r="AN17" s="9">
        <f t="shared" si="24"/>
        <v>1418.8094967536506</v>
      </c>
      <c r="AO17" s="2">
        <f>AN17*(1+$AQ$27)</f>
        <v>1404.6214017861141</v>
      </c>
      <c r="AP17" s="2">
        <f t="shared" ref="AP17:DA17" si="25">AO17*(1+$AQ$27)</f>
        <v>1390.575187768253</v>
      </c>
      <c r="AQ17" s="2">
        <f t="shared" si="25"/>
        <v>1376.6694358905704</v>
      </c>
      <c r="AR17" s="2">
        <f t="shared" si="25"/>
        <v>1362.9027415316648</v>
      </c>
      <c r="AS17" s="2">
        <f t="shared" si="25"/>
        <v>1349.2737141163482</v>
      </c>
      <c r="AT17" s="2">
        <f t="shared" si="25"/>
        <v>1335.7809769751848</v>
      </c>
      <c r="AU17" s="2">
        <f t="shared" si="25"/>
        <v>1322.4231672054329</v>
      </c>
      <c r="AV17" s="2">
        <f t="shared" si="25"/>
        <v>1309.1989355333785</v>
      </c>
      <c r="AW17" s="2">
        <f t="shared" si="25"/>
        <v>1296.1069461780446</v>
      </c>
      <c r="AX17" s="2">
        <f t="shared" si="25"/>
        <v>1283.1458767162642</v>
      </c>
      <c r="AY17" s="2">
        <f t="shared" si="25"/>
        <v>1270.3144179491014</v>
      </c>
      <c r="AZ17" s="2">
        <f t="shared" si="25"/>
        <v>1257.6112737696103</v>
      </c>
      <c r="BA17" s="2">
        <f t="shared" si="25"/>
        <v>1245.0351610319142</v>
      </c>
      <c r="BB17" s="2">
        <f t="shared" si="25"/>
        <v>1232.5848094215951</v>
      </c>
      <c r="BC17" s="2">
        <f t="shared" si="25"/>
        <v>1220.2589613273792</v>
      </c>
      <c r="BD17" s="2">
        <f t="shared" si="25"/>
        <v>1208.0563717141054</v>
      </c>
      <c r="BE17" s="2">
        <f t="shared" si="25"/>
        <v>1195.9758079969642</v>
      </c>
      <c r="BF17" s="2">
        <f t="shared" si="25"/>
        <v>1184.0160499169947</v>
      </c>
      <c r="BG17" s="2">
        <f t="shared" si="25"/>
        <v>1172.1758894178247</v>
      </c>
      <c r="BH17" s="2">
        <f t="shared" si="25"/>
        <v>1160.4541305236464</v>
      </c>
      <c r="BI17" s="2">
        <f t="shared" si="25"/>
        <v>1148.8495892184098</v>
      </c>
      <c r="BJ17" s="2">
        <f t="shared" si="25"/>
        <v>1137.3610933262257</v>
      </c>
      <c r="BK17" s="2">
        <f t="shared" si="25"/>
        <v>1125.9874823929636</v>
      </c>
      <c r="BL17" s="2">
        <f t="shared" si="25"/>
        <v>1114.7276075690338</v>
      </c>
      <c r="BM17" s="2">
        <f t="shared" si="25"/>
        <v>1103.5803314933435</v>
      </c>
      <c r="BN17" s="2">
        <f t="shared" si="25"/>
        <v>1092.54452817841</v>
      </c>
      <c r="BO17" s="2">
        <f t="shared" si="25"/>
        <v>1081.619082896626</v>
      </c>
      <c r="BP17" s="2">
        <f t="shared" si="25"/>
        <v>1070.8028920676597</v>
      </c>
      <c r="BQ17" s="2">
        <f t="shared" si="25"/>
        <v>1060.0948631469832</v>
      </c>
      <c r="BR17" s="2">
        <f t="shared" si="25"/>
        <v>1049.4939145155133</v>
      </c>
      <c r="BS17" s="2">
        <f t="shared" si="25"/>
        <v>1038.9989753703583</v>
      </c>
      <c r="BT17" s="2">
        <f t="shared" si="25"/>
        <v>1028.6089856166548</v>
      </c>
      <c r="BU17" s="2">
        <f t="shared" si="25"/>
        <v>1018.3228957604882</v>
      </c>
      <c r="BV17" s="2">
        <f t="shared" si="25"/>
        <v>1008.1396668028833</v>
      </c>
      <c r="BW17" s="2">
        <f t="shared" si="25"/>
        <v>998.05827013485452</v>
      </c>
      <c r="BX17" s="2">
        <f t="shared" si="25"/>
        <v>988.07768743350596</v>
      </c>
      <c r="BY17" s="2">
        <f t="shared" si="25"/>
        <v>978.19691055917087</v>
      </c>
      <c r="BZ17" s="2">
        <f t="shared" si="25"/>
        <v>968.4149414535791</v>
      </c>
      <c r="CA17" s="2">
        <f t="shared" si="25"/>
        <v>958.73079203904331</v>
      </c>
      <c r="CB17" s="2">
        <f t="shared" si="25"/>
        <v>949.14348411865285</v>
      </c>
      <c r="CC17" s="2">
        <f t="shared" si="25"/>
        <v>939.65204927746629</v>
      </c>
      <c r="CD17" s="2">
        <f t="shared" si="25"/>
        <v>930.25552878469159</v>
      </c>
      <c r="CE17" s="2">
        <f t="shared" si="25"/>
        <v>920.95297349684472</v>
      </c>
      <c r="CF17" s="2">
        <f t="shared" si="25"/>
        <v>911.74344376187628</v>
      </c>
      <c r="CG17" s="2">
        <f t="shared" si="25"/>
        <v>902.62600932425755</v>
      </c>
      <c r="CH17" s="2">
        <f t="shared" si="25"/>
        <v>893.59974923101493</v>
      </c>
      <c r="CI17" s="2">
        <f t="shared" si="25"/>
        <v>884.66375173870472</v>
      </c>
      <c r="CJ17" s="2">
        <f t="shared" si="25"/>
        <v>875.81711422131764</v>
      </c>
      <c r="CK17" s="2">
        <f t="shared" si="25"/>
        <v>867.05894307910444</v>
      </c>
      <c r="CL17" s="2">
        <f t="shared" si="25"/>
        <v>858.38835364831334</v>
      </c>
      <c r="CM17" s="2">
        <f t="shared" si="25"/>
        <v>849.80447011183026</v>
      </c>
      <c r="CN17" s="2">
        <f t="shared" si="25"/>
        <v>841.306425410712</v>
      </c>
      <c r="CO17" s="2">
        <f t="shared" si="25"/>
        <v>832.8933611566049</v>
      </c>
      <c r="CP17" s="2">
        <f t="shared" si="25"/>
        <v>824.56442754503882</v>
      </c>
      <c r="CQ17" s="2">
        <f t="shared" si="25"/>
        <v>816.31878326958838</v>
      </c>
      <c r="CR17" s="2">
        <f t="shared" si="25"/>
        <v>808.15559543689244</v>
      </c>
      <c r="CS17" s="2">
        <f t="shared" si="25"/>
        <v>800.07403948252352</v>
      </c>
      <c r="CT17" s="2">
        <f t="shared" si="25"/>
        <v>792.07329908769827</v>
      </c>
      <c r="CU17" s="2">
        <f t="shared" si="25"/>
        <v>784.15256609682126</v>
      </c>
      <c r="CV17" s="2">
        <f t="shared" si="25"/>
        <v>776.31104043585299</v>
      </c>
      <c r="CW17" s="2">
        <f t="shared" si="25"/>
        <v>768.5479300314945</v>
      </c>
      <c r="CX17" s="2">
        <f t="shared" si="25"/>
        <v>760.86245073117959</v>
      </c>
      <c r="CY17" s="2">
        <f t="shared" si="25"/>
        <v>753.2538262238678</v>
      </c>
      <c r="CZ17" s="2">
        <f t="shared" si="25"/>
        <v>745.72128796162917</v>
      </c>
      <c r="DA17" s="2">
        <f t="shared" si="25"/>
        <v>738.26407508201282</v>
      </c>
      <c r="DB17" s="2">
        <f t="shared" ref="DB17:EF17" si="26">DA17*(1+$AQ$27)</f>
        <v>730.88143433119274</v>
      </c>
      <c r="DC17" s="2">
        <f t="shared" si="26"/>
        <v>723.57261998788078</v>
      </c>
      <c r="DD17" s="2">
        <f t="shared" si="26"/>
        <v>716.33689378800193</v>
      </c>
      <c r="DE17" s="2">
        <f t="shared" si="26"/>
        <v>709.17352485012191</v>
      </c>
      <c r="DF17" s="2">
        <f t="shared" si="26"/>
        <v>702.0817896016207</v>
      </c>
      <c r="DG17" s="2">
        <f t="shared" si="26"/>
        <v>695.06097170560452</v>
      </c>
      <c r="DH17" s="2">
        <f t="shared" si="26"/>
        <v>688.11036198854845</v>
      </c>
      <c r="DI17" s="2">
        <f t="shared" si="26"/>
        <v>681.22925836866295</v>
      </c>
      <c r="DJ17" s="2">
        <f t="shared" si="26"/>
        <v>674.41696578497636</v>
      </c>
      <c r="DK17" s="2">
        <f t="shared" si="26"/>
        <v>667.67279612712662</v>
      </c>
      <c r="DL17" s="2">
        <f t="shared" si="26"/>
        <v>660.99606816585538</v>
      </c>
      <c r="DM17" s="2">
        <f t="shared" si="26"/>
        <v>654.38610748419683</v>
      </c>
      <c r="DN17" s="2">
        <f t="shared" si="26"/>
        <v>647.84224640935486</v>
      </c>
      <c r="DO17" s="2">
        <f t="shared" si="26"/>
        <v>641.36382394526129</v>
      </c>
      <c r="DP17" s="2">
        <f t="shared" si="26"/>
        <v>634.95018570580862</v>
      </c>
      <c r="DQ17" s="2">
        <f t="shared" si="26"/>
        <v>628.60068384875058</v>
      </c>
      <c r="DR17" s="2">
        <f t="shared" si="26"/>
        <v>622.31467701026304</v>
      </c>
      <c r="DS17" s="2">
        <f t="shared" si="26"/>
        <v>616.09153024016041</v>
      </c>
      <c r="DT17" s="2">
        <f t="shared" si="26"/>
        <v>609.93061493775883</v>
      </c>
      <c r="DU17" s="2">
        <f t="shared" si="26"/>
        <v>603.83130878838119</v>
      </c>
      <c r="DV17" s="2">
        <f t="shared" si="26"/>
        <v>597.79299570049739</v>
      </c>
      <c r="DW17" s="2">
        <f t="shared" si="26"/>
        <v>591.81506574349237</v>
      </c>
      <c r="DX17" s="2">
        <f t="shared" si="26"/>
        <v>585.89691508605745</v>
      </c>
      <c r="DY17" s="2">
        <f t="shared" si="26"/>
        <v>580.03794593519683</v>
      </c>
      <c r="DZ17" s="2">
        <f t="shared" si="26"/>
        <v>574.2375664758448</v>
      </c>
      <c r="EA17" s="2">
        <f t="shared" si="26"/>
        <v>568.49519081108633</v>
      </c>
      <c r="EB17" s="2">
        <f t="shared" si="26"/>
        <v>562.81023890297547</v>
      </c>
      <c r="EC17" s="2">
        <f t="shared" si="26"/>
        <v>557.18213651394569</v>
      </c>
      <c r="ED17" s="2">
        <f t="shared" si="26"/>
        <v>551.61031514880619</v>
      </c>
      <c r="EE17" s="2">
        <f t="shared" si="26"/>
        <v>546.0942119973181</v>
      </c>
      <c r="EF17" s="2">
        <f t="shared" si="26"/>
        <v>540.6332698773449</v>
      </c>
    </row>
    <row r="18" spans="2:136" x14ac:dyDescent="0.3">
      <c r="B18" s="1" t="s">
        <v>2</v>
      </c>
      <c r="M18" s="6">
        <f>3031.5</f>
        <v>3031.5</v>
      </c>
      <c r="N18" s="6">
        <f>3031.5</f>
        <v>3031.5</v>
      </c>
      <c r="O18" s="6">
        <f>3031.5</f>
        <v>3031.5</v>
      </c>
      <c r="P18" s="6">
        <f>3050.3</f>
        <v>3050.3</v>
      </c>
      <c r="Q18" s="6">
        <f>3031.5</f>
        <v>3031.5</v>
      </c>
      <c r="R18" s="6">
        <f>3031.5</f>
        <v>3031.5</v>
      </c>
      <c r="S18" s="6">
        <f>3050.3</f>
        <v>3050.3</v>
      </c>
      <c r="T18" s="6">
        <f>3050.3</f>
        <v>3050.3</v>
      </c>
      <c r="U18" s="6">
        <f t="shared" ref="U18:V18" si="27">3050.3</f>
        <v>3050.3</v>
      </c>
      <c r="V18" s="6">
        <f t="shared" si="27"/>
        <v>3050.3</v>
      </c>
      <c r="X18" s="6">
        <f t="shared" ref="X18:AC18" si="28">3031.5</f>
        <v>3031.5</v>
      </c>
      <c r="Y18" s="6">
        <f t="shared" si="28"/>
        <v>3031.5</v>
      </c>
      <c r="Z18" s="6">
        <f t="shared" si="28"/>
        <v>3031.5</v>
      </c>
      <c r="AA18" s="6">
        <f t="shared" si="28"/>
        <v>3031.5</v>
      </c>
      <c r="AB18" s="6">
        <f t="shared" si="28"/>
        <v>3031.5</v>
      </c>
      <c r="AC18" s="6">
        <f t="shared" si="28"/>
        <v>3031.5</v>
      </c>
      <c r="AD18" s="6">
        <f t="shared" ref="AD18:AN18" si="29">3050.3</f>
        <v>3050.3</v>
      </c>
      <c r="AE18" s="6">
        <f t="shared" si="29"/>
        <v>3050.3</v>
      </c>
      <c r="AF18" s="6">
        <f t="shared" si="29"/>
        <v>3050.3</v>
      </c>
      <c r="AG18" s="6">
        <f t="shared" si="29"/>
        <v>3050.3</v>
      </c>
      <c r="AH18" s="6">
        <f t="shared" si="29"/>
        <v>3050.3</v>
      </c>
      <c r="AI18" s="6">
        <f t="shared" si="29"/>
        <v>3050.3</v>
      </c>
      <c r="AJ18" s="6">
        <f t="shared" si="29"/>
        <v>3050.3</v>
      </c>
      <c r="AK18" s="6">
        <f t="shared" si="29"/>
        <v>3050.3</v>
      </c>
      <c r="AL18" s="6">
        <f t="shared" si="29"/>
        <v>3050.3</v>
      </c>
      <c r="AM18" s="6">
        <f t="shared" si="29"/>
        <v>3050.3</v>
      </c>
      <c r="AN18" s="6">
        <f t="shared" si="29"/>
        <v>3050.3</v>
      </c>
    </row>
    <row r="19" spans="2:136" x14ac:dyDescent="0.3">
      <c r="B19" s="1" t="s">
        <v>24</v>
      </c>
      <c r="M19" s="8">
        <f t="shared" ref="M19:T19" si="30">M17/M18</f>
        <v>-0.20811479465611082</v>
      </c>
      <c r="N19" s="8">
        <f t="shared" si="30"/>
        <v>-0.21563582384957938</v>
      </c>
      <c r="O19" s="8">
        <f t="shared" si="30"/>
        <v>-0.22460827972950687</v>
      </c>
      <c r="P19" s="8">
        <f t="shared" si="30"/>
        <v>-0.2108972887912664</v>
      </c>
      <c r="Q19" s="8">
        <f t="shared" si="30"/>
        <v>-0.32742866567705758</v>
      </c>
      <c r="R19" s="8">
        <f t="shared" si="30"/>
        <v>-0.13102424542305793</v>
      </c>
      <c r="S19" s="8">
        <f t="shared" si="30"/>
        <v>-0.12005376520342262</v>
      </c>
      <c r="T19" s="8">
        <f t="shared" si="30"/>
        <v>-0.17686784906402653</v>
      </c>
      <c r="U19" s="8">
        <f t="shared" ref="U19:V19" si="31">U17/U18</f>
        <v>-0.16681900140969738</v>
      </c>
      <c r="V19" s="8">
        <f t="shared" si="31"/>
        <v>-0.20540995967609738</v>
      </c>
      <c r="X19" s="8">
        <f t="shared" ref="X19:AD19" si="32">X17/X18</f>
        <v>-9.1472868217054248E-2</v>
      </c>
      <c r="Y19" s="8">
        <f t="shared" si="32"/>
        <v>-0.23727527626587497</v>
      </c>
      <c r="Z19" s="8">
        <f t="shared" si="32"/>
        <v>-0.85096486887679379</v>
      </c>
      <c r="AA19" s="8">
        <f t="shared" si="32"/>
        <v>-0.43031502556490187</v>
      </c>
      <c r="AB19" s="8">
        <f t="shared" si="32"/>
        <v>-0.93297047666171873</v>
      </c>
      <c r="AC19" s="8">
        <f t="shared" si="32"/>
        <v>-0.89526636978393548</v>
      </c>
      <c r="AD19" s="8">
        <f t="shared" si="32"/>
        <v>-0.51584434317935945</v>
      </c>
      <c r="AE19" s="8">
        <f t="shared" ref="AE19:AN19" si="33">AE17/AE18</f>
        <v>-0.43894724453332462</v>
      </c>
      <c r="AF19" s="8">
        <f t="shared" si="33"/>
        <v>-0.29824441376258076</v>
      </c>
      <c r="AG19" s="8">
        <f t="shared" si="33"/>
        <v>-0.15084836164573981</v>
      </c>
      <c r="AH19" s="8">
        <f t="shared" si="33"/>
        <v>-5.1352974851909622E-2</v>
      </c>
      <c r="AI19" s="8">
        <f t="shared" si="33"/>
        <v>3.0005493556514901E-2</v>
      </c>
      <c r="AJ19" s="8">
        <f t="shared" si="33"/>
        <v>0.10095943675511973</v>
      </c>
      <c r="AK19" s="8">
        <f t="shared" si="33"/>
        <v>0.18355417439872163</v>
      </c>
      <c r="AL19" s="8">
        <f t="shared" si="33"/>
        <v>0.27979420606939936</v>
      </c>
      <c r="AM19" s="8">
        <f t="shared" si="33"/>
        <v>0.36685912425548955</v>
      </c>
      <c r="AN19" s="8">
        <f t="shared" si="33"/>
        <v>0.46513769031034669</v>
      </c>
    </row>
    <row r="21" spans="2:136" x14ac:dyDescent="0.3">
      <c r="B21" s="1" t="s">
        <v>63</v>
      </c>
      <c r="Q21" s="10"/>
      <c r="R21" s="10">
        <f t="shared" ref="R21" si="34">R3/N3-1</f>
        <v>0.78719723183390999</v>
      </c>
      <c r="S21" s="10">
        <f t="shared" ref="S21" si="35">S3/O3-1</f>
        <v>0.58057956278596845</v>
      </c>
      <c r="T21" s="10">
        <f t="shared" ref="T21" si="36">T3/P3-1</f>
        <v>0.3822055137844611</v>
      </c>
      <c r="U21" s="10">
        <f t="shared" ref="U21" si="37">U3/Q3-1</f>
        <v>0.5</v>
      </c>
      <c r="V21" s="10">
        <f t="shared" ref="V21" si="38">V3/R3-1</f>
        <v>0.7</v>
      </c>
      <c r="AA21" s="10">
        <f t="shared" ref="AA21:AA22" si="39">AA3/Z3-1</f>
        <v>13.563333333333333</v>
      </c>
      <c r="AB21" s="10">
        <f t="shared" ref="AB21:AB22" si="40">AB3/AA3-1</f>
        <v>0.37354085603112841</v>
      </c>
      <c r="AC21" s="10">
        <f t="shared" ref="AC21" si="41">AC3/AB3-1</f>
        <v>0.70654890851524743</v>
      </c>
      <c r="AD21" s="10">
        <f t="shared" ref="AD21" si="42">AD3/AC3-1</f>
        <v>0.54846206425153787</v>
      </c>
    </row>
    <row r="22" spans="2:136" x14ac:dyDescent="0.3">
      <c r="B22" s="1" t="s">
        <v>61</v>
      </c>
      <c r="O22" s="10"/>
      <c r="P22" s="10"/>
      <c r="Q22" s="10">
        <f t="shared" ref="Q22" si="43">Q4/M4-1</f>
        <v>0.1645161290322581</v>
      </c>
      <c r="R22" s="10">
        <f t="shared" ref="R22" si="44">R4/N4-1</f>
        <v>0.95271049596309121</v>
      </c>
      <c r="S22" s="10">
        <f t="shared" ref="S22" si="45">S4/O4-1</f>
        <v>0.28009259259259256</v>
      </c>
      <c r="T22" s="10">
        <f t="shared" ref="T22" si="46">T4/P4-1</f>
        <v>0.83080568720379144</v>
      </c>
      <c r="U22" s="10">
        <f t="shared" ref="U22" si="47">U4/Q4-1</f>
        <v>1.5</v>
      </c>
      <c r="V22" s="10">
        <f t="shared" ref="V22" si="48">V4/R4-1</f>
        <v>1.2000000000000002</v>
      </c>
      <c r="AA22" s="10">
        <f t="shared" si="39"/>
        <v>16.95</v>
      </c>
      <c r="AB22" s="10">
        <f t="shared" si="40"/>
        <v>0.17381615598885802</v>
      </c>
      <c r="AC22" s="10">
        <f t="shared" ref="AC22:AD22" si="49">AC4/AB4-1</f>
        <v>7.130991931656383E-2</v>
      </c>
      <c r="AD22" s="10">
        <f t="shared" si="49"/>
        <v>0.99764093476575488</v>
      </c>
    </row>
    <row r="23" spans="2:136" x14ac:dyDescent="0.3">
      <c r="B23" s="1" t="s">
        <v>64</v>
      </c>
      <c r="N23" s="10">
        <f>N3/N4</f>
        <v>1</v>
      </c>
      <c r="O23" s="10">
        <f t="shared" ref="O23:V23" si="50">O3/O4</f>
        <v>1.1383101851851851</v>
      </c>
      <c r="P23" s="10">
        <f t="shared" si="50"/>
        <v>1.1345971563981043</v>
      </c>
      <c r="Q23" s="10">
        <f t="shared" si="50"/>
        <v>1.5407202216066482</v>
      </c>
      <c r="R23" s="10">
        <f t="shared" si="50"/>
        <v>0.91523922031896043</v>
      </c>
      <c r="S23" s="10">
        <f t="shared" si="50"/>
        <v>1.4055153707052441</v>
      </c>
      <c r="T23" s="10">
        <f t="shared" si="50"/>
        <v>0.85658814392958837</v>
      </c>
      <c r="U23" s="10">
        <f t="shared" si="50"/>
        <v>0.92443213296398896</v>
      </c>
      <c r="V23" s="10">
        <f t="shared" si="50"/>
        <v>0.70723030661010577</v>
      </c>
      <c r="AA23" s="10">
        <f t="shared" ref="AA23:AD23" si="51">AA3/AA4</f>
        <v>0.60849582172701955</v>
      </c>
      <c r="AB23" s="10">
        <f t="shared" si="51"/>
        <v>0.71203132415756998</v>
      </c>
      <c r="AC23" s="10">
        <f t="shared" si="51"/>
        <v>1.134234134455643</v>
      </c>
      <c r="AD23" s="10">
        <f t="shared" si="51"/>
        <v>0.87919630531083837</v>
      </c>
    </row>
    <row r="24" spans="2:136" x14ac:dyDescent="0.3">
      <c r="B24" s="1" t="s">
        <v>65</v>
      </c>
      <c r="N24" s="6">
        <f>(N6/N3)*1000000</f>
        <v>90657.43944636677</v>
      </c>
      <c r="O24" s="6">
        <f t="shared" ref="O24:V24" si="52">(O6/O3)*1000000</f>
        <v>87798.67819013726</v>
      </c>
      <c r="P24" s="6">
        <f t="shared" si="52"/>
        <v>83792.815371762743</v>
      </c>
      <c r="Q24" s="6">
        <f t="shared" si="52"/>
        <v>71916.5767709457</v>
      </c>
      <c r="R24" s="6">
        <f t="shared" si="52"/>
        <v>75669.570829299773</v>
      </c>
      <c r="S24" s="6">
        <f t="shared" si="52"/>
        <v>75587.005467996147</v>
      </c>
      <c r="T24" s="6">
        <f t="shared" si="52"/>
        <v>78392.263523723159</v>
      </c>
      <c r="U24" s="6">
        <f t="shared" si="52"/>
        <v>74313.795996643894</v>
      </c>
      <c r="V24" s="6">
        <f t="shared" si="52"/>
        <v>73443.995216673298</v>
      </c>
      <c r="AA24" s="6">
        <f t="shared" ref="AA24:AD24" si="53">(AA6/AA3)*1000000</f>
        <v>139208.05676356147</v>
      </c>
      <c r="AB24" s="6">
        <f t="shared" si="53"/>
        <v>99200.133311114812</v>
      </c>
      <c r="AC24" s="6">
        <f t="shared" si="53"/>
        <v>78879.015721120973</v>
      </c>
      <c r="AD24" s="6">
        <f t="shared" si="53"/>
        <v>75125.49029499678</v>
      </c>
    </row>
    <row r="26" spans="2:136" s="2" customFormat="1" x14ac:dyDescent="0.3">
      <c r="B26" s="2" t="s">
        <v>44</v>
      </c>
      <c r="M26" s="11"/>
      <c r="Q26" s="11">
        <f t="shared" ref="Q26:V26" si="54">Q6/M6-1</f>
        <v>0.45137880986937584</v>
      </c>
      <c r="R26" s="11">
        <f t="shared" si="54"/>
        <v>0.49173027989821905</v>
      </c>
      <c r="S26" s="11">
        <f t="shared" si="54"/>
        <v>0.36074116965836711</v>
      </c>
      <c r="T26" s="11">
        <f t="shared" si="54"/>
        <v>0.29312063808574274</v>
      </c>
      <c r="U26" s="11">
        <f t="shared" si="54"/>
        <v>0.55000000000000004</v>
      </c>
      <c r="V26" s="11">
        <f t="shared" si="54"/>
        <v>0.64999999999999991</v>
      </c>
      <c r="X26" s="11"/>
      <c r="Y26" s="11">
        <f t="shared" ref="Y26:AA26" si="55">Y6/X6-1</f>
        <v>-0.13043478260869557</v>
      </c>
      <c r="Z26" s="11">
        <f t="shared" si="55"/>
        <v>5.7750000000000004</v>
      </c>
      <c r="AA26" s="11">
        <f t="shared" si="55"/>
        <v>21.44280442804428</v>
      </c>
      <c r="AB26" s="11">
        <f t="shared" ref="AB26" si="56">AB6/AA6-1</f>
        <v>-2.1210128247287185E-2</v>
      </c>
      <c r="AC26" s="11">
        <f t="shared" ref="AC26:AN26" si="57">AC6/AB6-1</f>
        <v>0.35696287586091047</v>
      </c>
      <c r="AD26" s="11">
        <f t="shared" si="57"/>
        <v>0.47477717256746699</v>
      </c>
      <c r="AE26" s="11">
        <f t="shared" si="57"/>
        <v>0.39999999999999991</v>
      </c>
      <c r="AF26" s="11">
        <f t="shared" si="57"/>
        <v>0.35000000000000009</v>
      </c>
      <c r="AG26" s="11">
        <f t="shared" si="57"/>
        <v>0.30000000000000004</v>
      </c>
      <c r="AH26" s="11">
        <f t="shared" si="57"/>
        <v>0.25</v>
      </c>
      <c r="AI26" s="11">
        <f t="shared" si="57"/>
        <v>0.19999999999999996</v>
      </c>
      <c r="AJ26" s="11">
        <f t="shared" si="57"/>
        <v>0.14999999999999991</v>
      </c>
      <c r="AK26" s="11">
        <f t="shared" si="57"/>
        <v>0.14999999999999991</v>
      </c>
      <c r="AL26" s="11">
        <f t="shared" si="57"/>
        <v>0.14999999999999991</v>
      </c>
      <c r="AM26" s="11">
        <f t="shared" si="57"/>
        <v>0.14999999999999991</v>
      </c>
      <c r="AN26" s="11">
        <f t="shared" si="57"/>
        <v>0.14999999999999991</v>
      </c>
    </row>
    <row r="27" spans="2:136" x14ac:dyDescent="0.3">
      <c r="B27" s="1" t="s">
        <v>45</v>
      </c>
      <c r="M27" s="10">
        <f>M8/M6</f>
        <v>-2.408563134978229</v>
      </c>
      <c r="N27" s="10">
        <f>N8/N6</f>
        <v>-1.608142493638677</v>
      </c>
      <c r="O27" s="10">
        <f t="shared" ref="O27" si="58">O8/O6</f>
        <v>-1.3439490445859874</v>
      </c>
      <c r="P27" s="10">
        <f>P8/P6</f>
        <v>-1.3449651046859419</v>
      </c>
      <c r="Q27" s="10">
        <f>Q8/Q6</f>
        <v>-1.0625</v>
      </c>
      <c r="R27" s="10">
        <f>R8/R6</f>
        <v>-0.88997867803837949</v>
      </c>
      <c r="S27" s="10">
        <f>S8/S6</f>
        <v>-0.9727659574468086</v>
      </c>
      <c r="T27" s="10">
        <f t="shared" ref="T27:V27" si="59">T8/T6</f>
        <v>-1.0501156515034695</v>
      </c>
      <c r="U27" s="10">
        <f t="shared" si="59"/>
        <v>-0.95</v>
      </c>
      <c r="V27" s="10">
        <f t="shared" si="59"/>
        <v>-1</v>
      </c>
      <c r="X27" s="10">
        <f t="shared" ref="X27:AA27" si="60">X8/X6</f>
        <v>0.15217391304347822</v>
      </c>
      <c r="Y27" s="10">
        <f t="shared" si="60"/>
        <v>0.22499999999999998</v>
      </c>
      <c r="Z27" s="10">
        <f t="shared" si="60"/>
        <v>-4.7158671586715872</v>
      </c>
      <c r="AA27" s="10">
        <f t="shared" si="60"/>
        <v>-1.7065110161131203</v>
      </c>
      <c r="AB27" s="10">
        <f t="shared" ref="AB27" si="61">AB8/AB6</f>
        <v>-2.2523097597849824</v>
      </c>
      <c r="AC27" s="10">
        <f>AC8/AC6</f>
        <v>-1.1427333498390693</v>
      </c>
      <c r="AD27" s="10">
        <f t="shared" ref="AD27:AN27" si="62">AD8/AD6</f>
        <v>-0.6</v>
      </c>
      <c r="AE27" s="10">
        <f t="shared" si="62"/>
        <v>-0.3</v>
      </c>
      <c r="AF27" s="10">
        <f t="shared" si="62"/>
        <v>-0.05</v>
      </c>
      <c r="AG27" s="10">
        <f t="shared" si="62"/>
        <v>9.9999999999999992E-2</v>
      </c>
      <c r="AH27" s="10">
        <f t="shared" si="62"/>
        <v>0.15</v>
      </c>
      <c r="AI27" s="10">
        <f t="shared" si="62"/>
        <v>0.17</v>
      </c>
      <c r="AJ27" s="10">
        <f t="shared" si="62"/>
        <v>0.18</v>
      </c>
      <c r="AK27" s="10">
        <f t="shared" si="62"/>
        <v>0.18999999999999997</v>
      </c>
      <c r="AL27" s="10">
        <f t="shared" si="62"/>
        <v>0.2</v>
      </c>
      <c r="AM27" s="10">
        <f t="shared" si="62"/>
        <v>0.2</v>
      </c>
      <c r="AN27" s="10">
        <f t="shared" si="62"/>
        <v>0.2</v>
      </c>
      <c r="AP27" s="1" t="s">
        <v>50</v>
      </c>
      <c r="AQ27" s="10">
        <v>-0.01</v>
      </c>
    </row>
    <row r="28" spans="2:136" x14ac:dyDescent="0.3">
      <c r="B28" s="1" t="s">
        <v>46</v>
      </c>
      <c r="M28" s="10"/>
      <c r="N28" s="10"/>
      <c r="O28" s="10"/>
      <c r="P28" s="10"/>
      <c r="Q28" s="10">
        <f t="shared" ref="Q28:S29" si="63">Q9/M9-1</f>
        <v>0.40554592720970528</v>
      </c>
      <c r="R28" s="10">
        <f t="shared" si="63"/>
        <v>0.15349794238683123</v>
      </c>
      <c r="S28" s="10">
        <f t="shared" si="63"/>
        <v>-0.11735769501054127</v>
      </c>
      <c r="T28" s="10">
        <f t="shared" ref="T28:V28" si="64">T9/P9-1</f>
        <v>-4.6657381615598847E-2</v>
      </c>
      <c r="U28" s="10">
        <f t="shared" si="64"/>
        <v>-0.15000000000000013</v>
      </c>
      <c r="V28" s="10">
        <f t="shared" si="64"/>
        <v>1.0000000000000009E-2</v>
      </c>
      <c r="X28" s="10"/>
      <c r="Y28" s="10">
        <f t="shared" ref="Y28:AA28" si="65">Y9/X9-1</f>
        <v>1.3210717529518621</v>
      </c>
      <c r="Z28" s="10">
        <f t="shared" si="65"/>
        <v>0.46781451770690663</v>
      </c>
      <c r="AA28" s="10">
        <f t="shared" si="65"/>
        <v>9.5041322314049603E-2</v>
      </c>
      <c r="AB28" s="10">
        <f t="shared" ref="AB28" si="66">AB9/AA9-1</f>
        <v>0.1405964698721851</v>
      </c>
      <c r="AC28" s="10">
        <f>AC9/AB9-1</f>
        <v>0.25560298826040562</v>
      </c>
      <c r="AD28" s="10">
        <f t="shared" ref="AD28:AN28" si="67">AD9/AC9-1</f>
        <v>-7.875648108797273E-2</v>
      </c>
      <c r="AE28" s="10">
        <f t="shared" si="67"/>
        <v>2.0000000000000018E-2</v>
      </c>
      <c r="AF28" s="10">
        <f t="shared" si="67"/>
        <v>1.0000000000000009E-2</v>
      </c>
      <c r="AG28" s="10">
        <f t="shared" si="67"/>
        <v>1.0000000000000009E-2</v>
      </c>
      <c r="AH28" s="10">
        <f t="shared" si="67"/>
        <v>1.0000000000000009E-2</v>
      </c>
      <c r="AI28" s="10">
        <f t="shared" si="67"/>
        <v>1.0000000000000009E-2</v>
      </c>
      <c r="AJ28" s="10">
        <f t="shared" si="67"/>
        <v>1.0000000000000009E-2</v>
      </c>
      <c r="AK28" s="10">
        <f t="shared" si="67"/>
        <v>1.0000000000000009E-2</v>
      </c>
      <c r="AL28" s="10">
        <f t="shared" si="67"/>
        <v>1.0000000000000009E-2</v>
      </c>
      <c r="AM28" s="10">
        <f t="shared" si="67"/>
        <v>1.0000000000000009E-2</v>
      </c>
      <c r="AN28" s="10">
        <f t="shared" si="67"/>
        <v>1.0000000000000009E-2</v>
      </c>
      <c r="AP28" s="1" t="s">
        <v>51</v>
      </c>
      <c r="AQ28" s="10">
        <v>0.09</v>
      </c>
    </row>
    <row r="29" spans="2:136" x14ac:dyDescent="0.3">
      <c r="B29" s="1" t="s">
        <v>47</v>
      </c>
      <c r="M29" s="10"/>
      <c r="N29" s="10"/>
      <c r="O29" s="10"/>
      <c r="P29" s="10"/>
      <c r="Q29" s="10">
        <f t="shared" si="63"/>
        <v>0.23141802846599901</v>
      </c>
      <c r="R29" s="10">
        <f t="shared" si="63"/>
        <v>1.2033195020746845E-2</v>
      </c>
      <c r="S29" s="10">
        <f t="shared" si="63"/>
        <v>-4.6904315196998336E-3</v>
      </c>
      <c r="T29" s="10">
        <f t="shared" ref="T29:V29" si="68">T10/P10-1</f>
        <v>0.22216936251189345</v>
      </c>
      <c r="U29" s="10">
        <f t="shared" si="68"/>
        <v>3.0000000000000027E-2</v>
      </c>
      <c r="V29" s="10">
        <f t="shared" si="68"/>
        <v>5.9999999999999831E-2</v>
      </c>
      <c r="X29" s="10"/>
      <c r="Y29" s="10">
        <f t="shared" ref="Y29:AA29" si="69">Y10/X10-1</f>
        <v>1.3177083333333335</v>
      </c>
      <c r="Z29" s="10">
        <f t="shared" si="69"/>
        <v>6.3314606741573032</v>
      </c>
      <c r="AA29" s="10">
        <f t="shared" si="69"/>
        <v>0.12582375478927199</v>
      </c>
      <c r="AB29" s="10">
        <f t="shared" ref="AB29" si="70">AB10/AA10-1</f>
        <v>8.5216444323441332E-2</v>
      </c>
      <c r="AC29" s="10">
        <f>AC10/AB10-1</f>
        <v>0.13020572002007014</v>
      </c>
      <c r="AD29" s="10">
        <f t="shared" ref="AD29:AN29" si="71">AD10/AC10-1</f>
        <v>7.4630410654827894E-2</v>
      </c>
      <c r="AE29" s="10">
        <f t="shared" si="71"/>
        <v>1.0000000000000009E-2</v>
      </c>
      <c r="AF29" s="10">
        <f t="shared" si="71"/>
        <v>1.0000000000000009E-2</v>
      </c>
      <c r="AG29" s="10">
        <f t="shared" si="71"/>
        <v>1.0000000000000009E-2</v>
      </c>
      <c r="AH29" s="10">
        <f t="shared" si="71"/>
        <v>1.0000000000000009E-2</v>
      </c>
      <c r="AI29" s="10">
        <f t="shared" si="71"/>
        <v>1.0000000000000009E-2</v>
      </c>
      <c r="AJ29" s="10">
        <f t="shared" si="71"/>
        <v>1.0000000000000009E-2</v>
      </c>
      <c r="AK29" s="10">
        <f t="shared" si="71"/>
        <v>1.0000000000000009E-2</v>
      </c>
      <c r="AL29" s="10">
        <f t="shared" si="71"/>
        <v>1.0000000000000009E-2</v>
      </c>
      <c r="AM29" s="10">
        <f t="shared" si="71"/>
        <v>1.0000000000000009E-2</v>
      </c>
      <c r="AN29" s="10">
        <f t="shared" si="71"/>
        <v>1.0000000000000009E-2</v>
      </c>
      <c r="AP29" s="1" t="s">
        <v>52</v>
      </c>
      <c r="AQ29" s="6">
        <f>NPV(AQ28,AD17:EF17)</f>
        <v>3661.5888406859026</v>
      </c>
    </row>
    <row r="30" spans="2:136" x14ac:dyDescent="0.3">
      <c r="B30" s="1" t="s">
        <v>59</v>
      </c>
      <c r="M30" s="10">
        <f>M10/M6</f>
        <v>1.3766328011611029</v>
      </c>
      <c r="N30" s="10">
        <f t="shared" ref="N30:P30" si="72">N10/N6</f>
        <v>1.5330788804071247</v>
      </c>
      <c r="O30" s="10">
        <f t="shared" si="72"/>
        <v>1.2345107122177186</v>
      </c>
      <c r="P30" s="10">
        <f t="shared" si="72"/>
        <v>1.0478564307078764</v>
      </c>
      <c r="Q30" s="10">
        <f t="shared" ref="Q30:AN30" si="73">Q10/Q6</f>
        <v>1.1679999999999999</v>
      </c>
      <c r="R30" s="10">
        <f t="shared" si="73"/>
        <v>1.0400852878464819</v>
      </c>
      <c r="S30" s="10">
        <f t="shared" si="73"/>
        <v>0.90297872340425522</v>
      </c>
      <c r="T30" s="10">
        <f t="shared" si="73"/>
        <v>0.99036237471087119</v>
      </c>
      <c r="U30" s="10">
        <f t="shared" si="73"/>
        <v>0.77615483870967739</v>
      </c>
      <c r="V30" s="10">
        <f t="shared" si="73"/>
        <v>0.66817600310137626</v>
      </c>
      <c r="X30" s="10">
        <f t="shared" si="73"/>
        <v>8.3478260869565215</v>
      </c>
      <c r="Y30" s="10">
        <f t="shared" si="73"/>
        <v>22.25</v>
      </c>
      <c r="Z30" s="10">
        <f t="shared" si="73"/>
        <v>24.077490774907748</v>
      </c>
      <c r="AA30" s="10">
        <f t="shared" si="73"/>
        <v>1.20782637290365</v>
      </c>
      <c r="AB30" s="10">
        <f t="shared" si="73"/>
        <v>1.3391567277003193</v>
      </c>
      <c r="AC30" s="10">
        <f t="shared" si="73"/>
        <v>1.1153750928447637</v>
      </c>
      <c r="AD30" s="10">
        <f t="shared" si="73"/>
        <v>0.81274379367510974</v>
      </c>
      <c r="AE30" s="10">
        <f t="shared" si="73"/>
        <v>0.58633659400847205</v>
      </c>
      <c r="AF30" s="10">
        <f t="shared" si="73"/>
        <v>0.43866663699893094</v>
      </c>
      <c r="AG30" s="10">
        <f t="shared" si="73"/>
        <v>0.34081023336070787</v>
      </c>
      <c r="AH30" s="10">
        <f t="shared" si="73"/>
        <v>0.27537466855545201</v>
      </c>
      <c r="AI30" s="10">
        <f t="shared" si="73"/>
        <v>0.23177367936750543</v>
      </c>
      <c r="AJ30" s="10">
        <f t="shared" si="73"/>
        <v>0.2035577531836352</v>
      </c>
      <c r="AK30" s="10">
        <f t="shared" si="73"/>
        <v>0.17877680931780138</v>
      </c>
      <c r="AL30" s="10">
        <f t="shared" si="73"/>
        <v>0.1570126760095473</v>
      </c>
      <c r="AM30" s="10">
        <f t="shared" si="73"/>
        <v>0.13789808936490675</v>
      </c>
      <c r="AN30" s="10">
        <f t="shared" si="73"/>
        <v>0.12111049587700506</v>
      </c>
      <c r="AP30" s="1" t="s">
        <v>53</v>
      </c>
      <c r="AQ30" s="6">
        <f>Main!D8</f>
        <v>1563.6</v>
      </c>
    </row>
    <row r="31" spans="2:136" x14ac:dyDescent="0.3">
      <c r="B31" s="1" t="s">
        <v>48</v>
      </c>
      <c r="M31" s="10">
        <f>M13/M6</f>
        <v>-5.4637155297532649</v>
      </c>
      <c r="N31" s="10">
        <f>N13/N6</f>
        <v>-4.6870229007633588</v>
      </c>
      <c r="O31" s="10">
        <f t="shared" ref="O31" si="74">O13/O6</f>
        <v>-4.2264041690793288</v>
      </c>
      <c r="P31" s="10">
        <f>P13/P6</f>
        <v>-3.9252243270189431</v>
      </c>
      <c r="Q31" s="10">
        <f>Q13/Q6</f>
        <v>-3.8530000000000002</v>
      </c>
      <c r="R31" s="10">
        <f>R13/R6</f>
        <v>-3.1253731343283584</v>
      </c>
      <c r="S31" s="10">
        <f>S13/S6</f>
        <v>-2.9446808510638296</v>
      </c>
      <c r="T31" s="10">
        <f t="shared" ref="T31:V31" si="75">T13/T6</f>
        <v>-3.0959907478797226</v>
      </c>
      <c r="U31" s="10">
        <f t="shared" si="75"/>
        <v>-2.6156387096774192</v>
      </c>
      <c r="V31" s="10">
        <f t="shared" si="75"/>
        <v>-2.3998501001486074</v>
      </c>
      <c r="X31" s="10">
        <f t="shared" ref="X31:AA31" si="76">X13/X6</f>
        <v>-56.065217391304344</v>
      </c>
      <c r="Y31" s="10">
        <f t="shared" si="76"/>
        <v>-149.80000000000001</v>
      </c>
      <c r="Z31" s="10">
        <f t="shared" si="76"/>
        <v>-56.476014760147599</v>
      </c>
      <c r="AA31" s="10">
        <f t="shared" si="76"/>
        <v>-4.2650443932916797</v>
      </c>
      <c r="AB31" s="10">
        <f t="shared" ref="AB31" si="77">AB13/AB6</f>
        <v>-5.2066185116747858</v>
      </c>
      <c r="AC31" s="10">
        <f>AC13/AC6</f>
        <v>-3.7396632829908403</v>
      </c>
      <c r="AD31" s="10">
        <f t="shared" ref="AD31:AN31" si="78">AD13/AD6</f>
        <v>-2.3225232409292178</v>
      </c>
      <c r="AE31" s="10">
        <f t="shared" si="78"/>
        <v>-1.5491759055793224</v>
      </c>
      <c r="AF31" s="10">
        <f t="shared" si="78"/>
        <v>-0.984568640470456</v>
      </c>
      <c r="AG31" s="10">
        <f t="shared" si="78"/>
        <v>-0.62608794375012344</v>
      </c>
      <c r="AH31" s="10">
        <f t="shared" si="78"/>
        <v>-0.4366790585500997</v>
      </c>
      <c r="AI31" s="10">
        <f t="shared" si="78"/>
        <v>-0.32378820761300059</v>
      </c>
      <c r="AJ31" s="10">
        <f t="shared" si="78"/>
        <v>-0.25367486059924405</v>
      </c>
      <c r="AK31" s="10">
        <f t="shared" si="78"/>
        <v>-0.19087966017846655</v>
      </c>
      <c r="AL31" s="10">
        <f t="shared" si="78"/>
        <v>-0.13451170154804457</v>
      </c>
      <c r="AM31" s="10">
        <f t="shared" si="78"/>
        <v>-9.3788537881326128E-2</v>
      </c>
      <c r="AN31" s="10">
        <f t="shared" si="78"/>
        <v>-5.8022976747947277E-2</v>
      </c>
      <c r="AP31" s="1" t="s">
        <v>54</v>
      </c>
      <c r="AQ31" s="6">
        <f>AQ29+AQ30</f>
        <v>5225.1888406859025</v>
      </c>
    </row>
    <row r="32" spans="2:136" x14ac:dyDescent="0.3">
      <c r="B32" s="1" t="s">
        <v>22</v>
      </c>
      <c r="M32" s="10">
        <f>M16/M15</f>
        <v>-4.7573739295908655E-4</v>
      </c>
      <c r="N32" s="10">
        <f>N16/N15</f>
        <v>0</v>
      </c>
      <c r="O32" s="10">
        <f t="shared" ref="O32" si="79">O16/O15</f>
        <v>-2.9381519024533566E-4</v>
      </c>
      <c r="P32" s="10">
        <f>P16/P15</f>
        <v>1.5542430836182781E-4</v>
      </c>
      <c r="Q32" s="10">
        <f>Q16/Q15</f>
        <v>-5.0398145348251188E-4</v>
      </c>
      <c r="R32" s="10">
        <f>R16/R15</f>
        <v>-1.5128593040847197E-3</v>
      </c>
      <c r="S32" s="10">
        <f>S16/S15</f>
        <v>3.8084874863982586E-3</v>
      </c>
      <c r="T32" s="10">
        <f t="shared" ref="T32:V32" si="80">T16/T15</f>
        <v>4.4288614135449336E-3</v>
      </c>
      <c r="U32" s="10">
        <f t="shared" si="80"/>
        <v>3.9150588824855932E-3</v>
      </c>
      <c r="V32" s="10">
        <f t="shared" si="80"/>
        <v>3.1818659098068296E-3</v>
      </c>
      <c r="X32" s="10">
        <f t="shared" ref="X32:AA32" si="81">X16/X15</f>
        <v>0</v>
      </c>
      <c r="Y32" s="10">
        <f t="shared" si="81"/>
        <v>2.7797081306462821E-4</v>
      </c>
      <c r="Z32" s="10">
        <f t="shared" si="81"/>
        <v>3.8762694782541279E-5</v>
      </c>
      <c r="AA32" s="10">
        <f t="shared" si="81"/>
        <v>-3.0672494440610386E-4</v>
      </c>
      <c r="AB32" s="10">
        <f t="shared" ref="AB32" si="82">AB16/AB15</f>
        <v>-3.5369433735365894E-4</v>
      </c>
      <c r="AC32" s="10">
        <f>AC16/AC15</f>
        <v>-4.4234739015039799E-4</v>
      </c>
      <c r="AD32" s="10">
        <f t="shared" ref="AD32:AN32" si="83">AD16/AD15</f>
        <v>4.9327127390468477E-3</v>
      </c>
      <c r="AE32" s="10">
        <f t="shared" si="83"/>
        <v>0</v>
      </c>
      <c r="AF32" s="10">
        <f t="shared" si="83"/>
        <v>0</v>
      </c>
      <c r="AG32" s="10">
        <f t="shared" si="83"/>
        <v>0</v>
      </c>
      <c r="AH32" s="10">
        <f t="shared" si="83"/>
        <v>0</v>
      </c>
      <c r="AI32" s="10">
        <f t="shared" si="83"/>
        <v>0</v>
      </c>
      <c r="AJ32" s="10">
        <f t="shared" si="83"/>
        <v>0</v>
      </c>
      <c r="AK32" s="10">
        <f t="shared" si="83"/>
        <v>0</v>
      </c>
      <c r="AL32" s="10">
        <f t="shared" si="83"/>
        <v>0</v>
      </c>
      <c r="AM32" s="10">
        <f t="shared" si="83"/>
        <v>0</v>
      </c>
      <c r="AN32" s="10">
        <f t="shared" si="83"/>
        <v>0</v>
      </c>
      <c r="AP32" s="1" t="s">
        <v>55</v>
      </c>
      <c r="AQ32" s="5">
        <f>AQ31/AN18</f>
        <v>1.7130081764698233</v>
      </c>
    </row>
    <row r="33" spans="2:43" x14ac:dyDescent="0.3">
      <c r="B33" s="1" t="s">
        <v>49</v>
      </c>
      <c r="M33" s="10">
        <f>M17/M6</f>
        <v>-4.5783744557329458</v>
      </c>
      <c r="N33" s="10">
        <f>N17/N6</f>
        <v>-4.1583969465648858</v>
      </c>
      <c r="O33" s="10">
        <f t="shared" ref="O33" si="84">O17/O6</f>
        <v>-3.9426751592356695</v>
      </c>
      <c r="P33" s="10">
        <f>P17/P6</f>
        <v>-3.206879361914257</v>
      </c>
      <c r="Q33" s="10">
        <f>Q17/Q6</f>
        <v>-4.9630000000000001</v>
      </c>
      <c r="R33" s="10">
        <f>R17/R6</f>
        <v>-1.6938166311300644</v>
      </c>
      <c r="S33" s="10">
        <f>S17/S6</f>
        <v>-1.5582978723404257</v>
      </c>
      <c r="T33" s="10">
        <f t="shared" ref="T33:V33" si="85">T17/T6</f>
        <v>-2.0797995373939866</v>
      </c>
      <c r="U33" s="10">
        <f t="shared" si="85"/>
        <v>-1.6414451612903225</v>
      </c>
      <c r="V33" s="10">
        <f t="shared" si="85"/>
        <v>-1.6193370808296181</v>
      </c>
      <c r="X33" s="10">
        <f t="shared" ref="X33:AA33" si="86">X17/X6</f>
        <v>-60.282608695652172</v>
      </c>
      <c r="Y33" s="10">
        <f t="shared" si="86"/>
        <v>-179.82499999999999</v>
      </c>
      <c r="Z33" s="10">
        <f t="shared" si="86"/>
        <v>-95.191881918819192</v>
      </c>
      <c r="AA33" s="10">
        <f t="shared" si="86"/>
        <v>-2.1448536665570535</v>
      </c>
      <c r="AB33" s="10">
        <f t="shared" ref="AB33" si="87">AB17/AB6</f>
        <v>-4.7510498908113563</v>
      </c>
      <c r="AC33" s="10">
        <f>AC17/AC6</f>
        <v>-3.3597425105224072</v>
      </c>
      <c r="AD33" s="10">
        <f t="shared" ref="AD33:AN33" si="88">AD17/AD6</f>
        <v>-1.320781482802762</v>
      </c>
      <c r="AE33" s="10">
        <f t="shared" si="88"/>
        <v>-0.80278008579882576</v>
      </c>
      <c r="AF33" s="10">
        <f t="shared" si="88"/>
        <v>-0.40403855841895858</v>
      </c>
      <c r="AG33" s="10">
        <f t="shared" si="88"/>
        <v>-0.15719826209314477</v>
      </c>
      <c r="AH33" s="10">
        <f t="shared" si="88"/>
        <v>-4.2811725958237574E-2</v>
      </c>
      <c r="AI33" s="10">
        <f t="shared" si="88"/>
        <v>2.0845708404878815E-2</v>
      </c>
      <c r="AJ33" s="10">
        <f t="shared" si="88"/>
        <v>6.0990888808385026E-2</v>
      </c>
      <c r="AK33" s="10">
        <f t="shared" si="88"/>
        <v>9.6423850150238299E-2</v>
      </c>
      <c r="AL33" s="10">
        <f t="shared" si="88"/>
        <v>0.12780889483903382</v>
      </c>
      <c r="AM33" s="10">
        <f t="shared" si="88"/>
        <v>0.14572157186339763</v>
      </c>
      <c r="AN33" s="10">
        <f t="shared" si="88"/>
        <v>0.1606601669320179</v>
      </c>
      <c r="AP33" s="1" t="s">
        <v>56</v>
      </c>
      <c r="AQ33" s="5">
        <f>Main!D3</f>
        <v>1.98</v>
      </c>
    </row>
    <row r="34" spans="2:43" x14ac:dyDescent="0.3">
      <c r="AP34" s="2" t="s">
        <v>57</v>
      </c>
      <c r="AQ34" s="11">
        <f>AQ32/AQ33-1</f>
        <v>-0.1348443553182711</v>
      </c>
    </row>
    <row r="35" spans="2:43" x14ac:dyDescent="0.3">
      <c r="AP35" s="1" t="s">
        <v>58</v>
      </c>
      <c r="AQ35" s="7" t="s">
        <v>66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2025-04-24T18:38:34Z</dcterms:created>
  <dcterms:modified xsi:type="dcterms:W3CDTF">2025-09-04T08:24:27Z</dcterms:modified>
</cp:coreProperties>
</file>