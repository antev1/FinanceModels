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68C4232-11B9-4703-8BAC-07D9C7B162DB}" xr6:coauthVersionLast="47" xr6:coauthVersionMax="47" xr10:uidLastSave="{00000000-0000-0000-0000-000000000000}"/>
  <bookViews>
    <workbookView xWindow="-108" yWindow="-108" windowWidth="23256" windowHeight="12576" activeTab="1" xr2:uid="{DAAEC582-3359-4770-A2A8-463EF00396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56" i="2" l="1"/>
  <c r="Z55" i="2"/>
  <c r="Z54" i="2"/>
  <c r="AY23" i="2"/>
  <c r="V23" i="2"/>
  <c r="AY9" i="2"/>
  <c r="AY8" i="2"/>
  <c r="AY7" i="2"/>
  <c r="AY6" i="2"/>
  <c r="AY5" i="2"/>
  <c r="AZ9" i="2"/>
  <c r="AZ8" i="2"/>
  <c r="AZ7" i="2"/>
  <c r="AZ6" i="2"/>
  <c r="AZ5" i="2"/>
  <c r="AZ29" i="2"/>
  <c r="Z29" i="2"/>
  <c r="Z23" i="2"/>
  <c r="Z10" i="2"/>
  <c r="D7" i="1"/>
  <c r="D6" i="1"/>
  <c r="V29" i="2"/>
  <c r="V57" i="2" s="1"/>
  <c r="Y29" i="2"/>
  <c r="AX29" i="2"/>
  <c r="AX57" i="2" s="1"/>
  <c r="AY29" i="2"/>
  <c r="U23" i="2"/>
  <c r="Y23" i="2"/>
  <c r="Y10" i="2"/>
  <c r="Y49" i="2"/>
  <c r="AW57" i="2"/>
  <c r="AV57" i="2"/>
  <c r="AU57" i="2"/>
  <c r="AT57" i="2"/>
  <c r="AS57" i="2"/>
  <c r="AR57" i="2"/>
  <c r="AQ57" i="2"/>
  <c r="AL65" i="2"/>
  <c r="AK65" i="2"/>
  <c r="AJ65" i="2"/>
  <c r="AI65" i="2"/>
  <c r="AL64" i="2"/>
  <c r="AK64" i="2"/>
  <c r="AJ64" i="2"/>
  <c r="AI64" i="2"/>
  <c r="AL61" i="2"/>
  <c r="AK61" i="2"/>
  <c r="AJ61" i="2"/>
  <c r="AI61" i="2"/>
  <c r="AH61" i="2"/>
  <c r="AL59" i="2"/>
  <c r="AK59" i="2"/>
  <c r="AJ59" i="2"/>
  <c r="AI59" i="2"/>
  <c r="AL58" i="2"/>
  <c r="AK58" i="2"/>
  <c r="AJ58" i="2"/>
  <c r="AI58" i="2"/>
  <c r="AL57" i="2"/>
  <c r="AK57" i="2"/>
  <c r="AJ57" i="2"/>
  <c r="AI57" i="2"/>
  <c r="AH35" i="2"/>
  <c r="AH62" i="2" s="1"/>
  <c r="AH46" i="2"/>
  <c r="AH42" i="2"/>
  <c r="AH33" i="2"/>
  <c r="AI35" i="2"/>
  <c r="AI62" i="2" s="1"/>
  <c r="AI46" i="2"/>
  <c r="AI42" i="2"/>
  <c r="AI33" i="2"/>
  <c r="AJ35" i="2"/>
  <c r="AJ36" i="2" s="1"/>
  <c r="AJ46" i="2"/>
  <c r="AJ42" i="2"/>
  <c r="AJ33" i="2"/>
  <c r="AM65" i="2"/>
  <c r="AM64" i="2"/>
  <c r="AM61" i="2"/>
  <c r="AM59" i="2"/>
  <c r="AM58" i="2"/>
  <c r="AK35" i="2"/>
  <c r="AK36" i="2" s="1"/>
  <c r="AK46" i="2"/>
  <c r="AK42" i="2"/>
  <c r="AK33" i="2"/>
  <c r="AL35" i="2"/>
  <c r="AL62" i="2" s="1"/>
  <c r="AL46" i="2"/>
  <c r="AL42" i="2"/>
  <c r="AL33" i="2"/>
  <c r="AM35" i="2"/>
  <c r="AM36" i="2" s="1"/>
  <c r="AM46" i="2"/>
  <c r="AM42" i="2"/>
  <c r="AM33" i="2"/>
  <c r="AN35" i="2"/>
  <c r="AN62" i="2" s="1"/>
  <c r="AN46" i="2"/>
  <c r="AN42" i="2"/>
  <c r="AN33" i="2"/>
  <c r="AO35" i="2"/>
  <c r="AO62" i="2" s="1"/>
  <c r="AO46" i="2"/>
  <c r="AO42" i="2"/>
  <c r="AO33" i="2"/>
  <c r="AP35" i="2"/>
  <c r="AP36" i="2" s="1"/>
  <c r="AP46" i="2"/>
  <c r="AP42" i="2"/>
  <c r="AP33" i="2"/>
  <c r="AQ65" i="2"/>
  <c r="AP65" i="2"/>
  <c r="AO65" i="2"/>
  <c r="AN65" i="2"/>
  <c r="AQ64" i="2"/>
  <c r="AP64" i="2"/>
  <c r="AO64" i="2"/>
  <c r="AN64" i="2"/>
  <c r="AQ61" i="2"/>
  <c r="AP61" i="2"/>
  <c r="AO61" i="2"/>
  <c r="AN61" i="2"/>
  <c r="AQ59" i="2"/>
  <c r="AP59" i="2"/>
  <c r="AO59" i="2"/>
  <c r="AQ58" i="2"/>
  <c r="AP58" i="2"/>
  <c r="AO58" i="2"/>
  <c r="AN58" i="2"/>
  <c r="AP57" i="2"/>
  <c r="AO57" i="2"/>
  <c r="AN57" i="2"/>
  <c r="AM57" i="2"/>
  <c r="S62" i="2"/>
  <c r="R62" i="2"/>
  <c r="Q62" i="2"/>
  <c r="P62" i="2"/>
  <c r="S61" i="2"/>
  <c r="R61" i="2"/>
  <c r="Q61" i="2"/>
  <c r="P61" i="2"/>
  <c r="T65" i="2"/>
  <c r="T64" i="2"/>
  <c r="T62" i="2"/>
  <c r="T61" i="2"/>
  <c r="T59" i="2"/>
  <c r="T58" i="2"/>
  <c r="U65" i="2"/>
  <c r="U64" i="2"/>
  <c r="U62" i="2"/>
  <c r="U61" i="2"/>
  <c r="U59" i="2"/>
  <c r="U58" i="2"/>
  <c r="Y64" i="2"/>
  <c r="Z59" i="2"/>
  <c r="Y59" i="2"/>
  <c r="Z61" i="2"/>
  <c r="Y61" i="2"/>
  <c r="X49" i="2"/>
  <c r="X57" i="2"/>
  <c r="X10" i="2"/>
  <c r="BM65" i="2"/>
  <c r="AZ41" i="2"/>
  <c r="AZ38" i="2"/>
  <c r="Y46" i="2"/>
  <c r="X46" i="2"/>
  <c r="AZ45" i="2"/>
  <c r="BA45" i="2" s="1"/>
  <c r="BB45" i="2" s="1"/>
  <c r="BC45" i="2" s="1"/>
  <c r="BD45" i="2" s="1"/>
  <c r="BE45" i="2" s="1"/>
  <c r="BF45" i="2" s="1"/>
  <c r="BG45" i="2" s="1"/>
  <c r="BH45" i="2" s="1"/>
  <c r="BI45" i="2" s="1"/>
  <c r="BJ45" i="2" s="1"/>
  <c r="AZ44" i="2"/>
  <c r="BA44" i="2" s="1"/>
  <c r="Y42" i="2"/>
  <c r="X42" i="2"/>
  <c r="Y65" i="2"/>
  <c r="Z65" i="2"/>
  <c r="X65" i="2"/>
  <c r="X64" i="2"/>
  <c r="X61" i="2"/>
  <c r="X59" i="2"/>
  <c r="Y58" i="2"/>
  <c r="X58" i="2"/>
  <c r="X33" i="2"/>
  <c r="Z57" i="2" l="1"/>
  <c r="AZ10" i="2"/>
  <c r="AY10" i="2"/>
  <c r="AZ57" i="2"/>
  <c r="Y57" i="2"/>
  <c r="AY57" i="2"/>
  <c r="AJ60" i="2"/>
  <c r="AN36" i="2"/>
  <c r="AN37" i="2" s="1"/>
  <c r="AN63" i="2" s="1"/>
  <c r="AH36" i="2"/>
  <c r="AL60" i="2"/>
  <c r="Z42" i="2"/>
  <c r="AK62" i="2"/>
  <c r="AP62" i="2"/>
  <c r="AM60" i="2"/>
  <c r="AO36" i="2"/>
  <c r="AO37" i="2" s="1"/>
  <c r="AO43" i="2" s="1"/>
  <c r="AO66" i="2" s="1"/>
  <c r="AL36" i="2"/>
  <c r="AL37" i="2" s="1"/>
  <c r="AI60" i="2"/>
  <c r="Z46" i="2"/>
  <c r="AK60" i="2"/>
  <c r="AM62" i="2"/>
  <c r="AI36" i="2"/>
  <c r="AI37" i="2" s="1"/>
  <c r="AZ40" i="2"/>
  <c r="BA40" i="2" s="1"/>
  <c r="BB40" i="2" s="1"/>
  <c r="BB65" i="2" s="1"/>
  <c r="Z58" i="2"/>
  <c r="AJ62" i="2"/>
  <c r="AH37" i="2"/>
  <c r="AJ37" i="2"/>
  <c r="AK37" i="2"/>
  <c r="AM37" i="2"/>
  <c r="AN59" i="2"/>
  <c r="AO60" i="2"/>
  <c r="AN60" i="2"/>
  <c r="AP60" i="2"/>
  <c r="AP37" i="2"/>
  <c r="AP43" i="2" s="1"/>
  <c r="Z64" i="2"/>
  <c r="AZ39" i="2"/>
  <c r="BA39" i="2" s="1"/>
  <c r="BA64" i="2" s="1"/>
  <c r="Z36" i="2"/>
  <c r="AZ32" i="2"/>
  <c r="BA32" i="2" s="1"/>
  <c r="BB32" i="2" s="1"/>
  <c r="Z33" i="2"/>
  <c r="Y36" i="2"/>
  <c r="Y33" i="2"/>
  <c r="AZ31" i="2"/>
  <c r="AZ34" i="2"/>
  <c r="X36" i="2"/>
  <c r="X37" i="2" s="1"/>
  <c r="X63" i="2" s="1"/>
  <c r="X62" i="2"/>
  <c r="BB44" i="2"/>
  <c r="BA46" i="2"/>
  <c r="AZ46" i="2"/>
  <c r="Z62" i="2" l="1"/>
  <c r="AN43" i="2"/>
  <c r="AN47" i="2" s="1"/>
  <c r="Z37" i="2"/>
  <c r="Z63" i="2" s="1"/>
  <c r="AJ43" i="2"/>
  <c r="AJ63" i="2"/>
  <c r="BA65" i="2"/>
  <c r="AI43" i="2"/>
  <c r="AI63" i="2"/>
  <c r="BC40" i="2"/>
  <c r="BC65" i="2" s="1"/>
  <c r="AL43" i="2"/>
  <c r="AL63" i="2"/>
  <c r="AH43" i="2"/>
  <c r="AH63" i="2"/>
  <c r="AZ65" i="2"/>
  <c r="AK43" i="2"/>
  <c r="AK63" i="2"/>
  <c r="AM43" i="2"/>
  <c r="AM63" i="2"/>
  <c r="BA59" i="2"/>
  <c r="AZ59" i="2"/>
  <c r="BA35" i="2"/>
  <c r="BA62" i="2" s="1"/>
  <c r="BA31" i="2"/>
  <c r="AZ58" i="2"/>
  <c r="AO47" i="2"/>
  <c r="AO50" i="2" s="1"/>
  <c r="AO63" i="2"/>
  <c r="AP63" i="2"/>
  <c r="AP47" i="2"/>
  <c r="AP66" i="2"/>
  <c r="BB39" i="2"/>
  <c r="BC39" i="2" s="1"/>
  <c r="AZ42" i="2"/>
  <c r="AZ64" i="2"/>
  <c r="BA42" i="2"/>
  <c r="AZ33" i="2"/>
  <c r="AZ35" i="2"/>
  <c r="AZ62" i="2" s="1"/>
  <c r="Y62" i="2"/>
  <c r="Y37" i="2"/>
  <c r="Y63" i="2" s="1"/>
  <c r="X43" i="2"/>
  <c r="BB59" i="2"/>
  <c r="BB35" i="2"/>
  <c r="BB62" i="2" s="1"/>
  <c r="BC32" i="2"/>
  <c r="AZ61" i="2"/>
  <c r="BB46" i="2"/>
  <c r="BC44" i="2"/>
  <c r="AZ36" i="2" l="1"/>
  <c r="AZ37" i="2" s="1"/>
  <c r="Z43" i="2"/>
  <c r="Z66" i="2" s="1"/>
  <c r="AN66" i="2"/>
  <c r="BD40" i="2"/>
  <c r="BD65" i="2" s="1"/>
  <c r="AJ47" i="2"/>
  <c r="AJ66" i="2"/>
  <c r="AM47" i="2"/>
  <c r="AM66" i="2"/>
  <c r="AL47" i="2"/>
  <c r="AL66" i="2"/>
  <c r="AH47" i="2"/>
  <c r="AH66" i="2"/>
  <c r="AK47" i="2"/>
  <c r="AK66" i="2"/>
  <c r="BB31" i="2"/>
  <c r="BA34" i="2"/>
  <c r="AI47" i="2"/>
  <c r="AI66" i="2"/>
  <c r="BB64" i="2"/>
  <c r="BB42" i="2"/>
  <c r="BA33" i="2"/>
  <c r="BA60" i="2" s="1"/>
  <c r="BA58" i="2"/>
  <c r="AN50" i="2"/>
  <c r="AN67" i="2"/>
  <c r="AO67" i="2"/>
  <c r="AO52" i="2"/>
  <c r="AO68" i="2"/>
  <c r="AP67" i="2"/>
  <c r="AP50" i="2"/>
  <c r="Y43" i="2"/>
  <c r="X66" i="2"/>
  <c r="X47" i="2"/>
  <c r="BC59" i="2"/>
  <c r="BC35" i="2"/>
  <c r="BC62" i="2" s="1"/>
  <c r="BD32" i="2"/>
  <c r="BC46" i="2"/>
  <c r="BD44" i="2"/>
  <c r="BD39" i="2"/>
  <c r="BC64" i="2"/>
  <c r="BC42" i="2"/>
  <c r="BE40" i="2" l="1"/>
  <c r="BF40" i="2" s="1"/>
  <c r="AZ43" i="2"/>
  <c r="AZ47" i="2" s="1"/>
  <c r="AZ63" i="2"/>
  <c r="Z47" i="2"/>
  <c r="Z67" i="2" s="1"/>
  <c r="AH50" i="2"/>
  <c r="AH67" i="2"/>
  <c r="AI50" i="2"/>
  <c r="AI67" i="2"/>
  <c r="AL50" i="2"/>
  <c r="AL67" i="2"/>
  <c r="BB34" i="2"/>
  <c r="BC31" i="2"/>
  <c r="BD31" i="2" s="1"/>
  <c r="BE31" i="2" s="1"/>
  <c r="AM50" i="2"/>
  <c r="AM67" i="2"/>
  <c r="AK50" i="2"/>
  <c r="AK67" i="2"/>
  <c r="AJ50" i="2"/>
  <c r="AJ67" i="2"/>
  <c r="BA61" i="2"/>
  <c r="BA36" i="2"/>
  <c r="BA37" i="2" s="1"/>
  <c r="BB33" i="2"/>
  <c r="BB60" i="2" s="1"/>
  <c r="BB58" i="2"/>
  <c r="AN52" i="2"/>
  <c r="AN68" i="2"/>
  <c r="AP52" i="2"/>
  <c r="AP68" i="2"/>
  <c r="Y47" i="2"/>
  <c r="Y66" i="2"/>
  <c r="BD59" i="2"/>
  <c r="BD35" i="2"/>
  <c r="BD62" i="2" s="1"/>
  <c r="BE32" i="2"/>
  <c r="BD46" i="2"/>
  <c r="BE44" i="2"/>
  <c r="BE39" i="2"/>
  <c r="BD64" i="2"/>
  <c r="BD42" i="2"/>
  <c r="BE65" i="2" l="1"/>
  <c r="AZ66" i="2"/>
  <c r="AH52" i="2"/>
  <c r="AH68" i="2"/>
  <c r="AM52" i="2"/>
  <c r="AM68" i="2"/>
  <c r="AJ52" i="2"/>
  <c r="AJ68" i="2"/>
  <c r="AL52" i="2"/>
  <c r="AL68" i="2"/>
  <c r="AK52" i="2"/>
  <c r="AK68" i="2"/>
  <c r="AI52" i="2"/>
  <c r="AI68" i="2"/>
  <c r="BC33" i="2"/>
  <c r="BC60" i="2" s="1"/>
  <c r="BC58" i="2"/>
  <c r="BC34" i="2"/>
  <c r="BA63" i="2"/>
  <c r="BA43" i="2"/>
  <c r="BB36" i="2"/>
  <c r="BB37" i="2" s="1"/>
  <c r="BB61" i="2"/>
  <c r="Z50" i="2"/>
  <c r="X50" i="2"/>
  <c r="X68" i="2" s="1"/>
  <c r="X67" i="2"/>
  <c r="BF39" i="2"/>
  <c r="BE64" i="2"/>
  <c r="BE42" i="2"/>
  <c r="BF44" i="2"/>
  <c r="BE46" i="2"/>
  <c r="BG40" i="2"/>
  <c r="BF65" i="2"/>
  <c r="BE59" i="2"/>
  <c r="BE35" i="2"/>
  <c r="BE62" i="2" s="1"/>
  <c r="BF32" i="2"/>
  <c r="BA47" i="2" l="1"/>
  <c r="BA66" i="2"/>
  <c r="BB63" i="2"/>
  <c r="BB43" i="2"/>
  <c r="BC36" i="2"/>
  <c r="BC37" i="2" s="1"/>
  <c r="BC61" i="2"/>
  <c r="BD33" i="2"/>
  <c r="BD60" i="2" s="1"/>
  <c r="BD58" i="2"/>
  <c r="BD34" i="2"/>
  <c r="Y67" i="2"/>
  <c r="AZ48" i="2"/>
  <c r="Y50" i="2"/>
  <c r="Z52" i="2"/>
  <c r="Z68" i="2"/>
  <c r="X52" i="2"/>
  <c r="BF35" i="2"/>
  <c r="BF62" i="2" s="1"/>
  <c r="BG32" i="2"/>
  <c r="BF59" i="2"/>
  <c r="BF64" i="2"/>
  <c r="BF42" i="2"/>
  <c r="BG39" i="2"/>
  <c r="BH40" i="2"/>
  <c r="BG65" i="2"/>
  <c r="BG44" i="2"/>
  <c r="BF46" i="2"/>
  <c r="BE33" i="2" l="1"/>
  <c r="BE60" i="2" s="1"/>
  <c r="BE58" i="2"/>
  <c r="BE34" i="2"/>
  <c r="BF31" i="2"/>
  <c r="BC63" i="2"/>
  <c r="BC43" i="2"/>
  <c r="BB66" i="2"/>
  <c r="BB47" i="2"/>
  <c r="BD36" i="2"/>
  <c r="BD37" i="2" s="1"/>
  <c r="BD61" i="2"/>
  <c r="BA48" i="2"/>
  <c r="BA67" i="2" s="1"/>
  <c r="Y52" i="2"/>
  <c r="Y68" i="2"/>
  <c r="AZ67" i="2"/>
  <c r="BH44" i="2"/>
  <c r="BG46" i="2"/>
  <c r="BG42" i="2"/>
  <c r="BG64" i="2"/>
  <c r="BH39" i="2"/>
  <c r="BI40" i="2"/>
  <c r="BH65" i="2"/>
  <c r="BG35" i="2"/>
  <c r="BG62" i="2" s="1"/>
  <c r="BH32" i="2"/>
  <c r="BG59" i="2"/>
  <c r="BA50" i="2" l="1"/>
  <c r="BA68" i="2" s="1"/>
  <c r="BE36" i="2"/>
  <c r="BE37" i="2" s="1"/>
  <c r="BE61" i="2"/>
  <c r="BB48" i="2"/>
  <c r="BB67" i="2" s="1"/>
  <c r="BC66" i="2"/>
  <c r="BC47" i="2"/>
  <c r="BF34" i="2"/>
  <c r="BF58" i="2"/>
  <c r="BF33" i="2"/>
  <c r="BF60" i="2" s="1"/>
  <c r="BG31" i="2"/>
  <c r="BD63" i="2"/>
  <c r="BD43" i="2"/>
  <c r="BH42" i="2"/>
  <c r="BI39" i="2"/>
  <c r="BH64" i="2"/>
  <c r="BJ40" i="2"/>
  <c r="BJ65" i="2" s="1"/>
  <c r="BI65" i="2"/>
  <c r="BI44" i="2"/>
  <c r="BH46" i="2"/>
  <c r="BI32" i="2"/>
  <c r="BH59" i="2"/>
  <c r="BH35" i="2"/>
  <c r="BH62" i="2" s="1"/>
  <c r="BB50" i="2" l="1"/>
  <c r="BB68" i="2" s="1"/>
  <c r="BA52" i="2"/>
  <c r="BC48" i="2"/>
  <c r="BC67" i="2" s="1"/>
  <c r="BD66" i="2"/>
  <c r="BD47" i="2"/>
  <c r="BG58" i="2"/>
  <c r="BG33" i="2"/>
  <c r="BG60" i="2" s="1"/>
  <c r="BG34" i="2"/>
  <c r="BH31" i="2"/>
  <c r="BF61" i="2"/>
  <c r="BF36" i="2"/>
  <c r="BF37" i="2" s="1"/>
  <c r="BE43" i="2"/>
  <c r="BE63" i="2"/>
  <c r="BJ44" i="2"/>
  <c r="BJ46" i="2" s="1"/>
  <c r="BI46" i="2"/>
  <c r="BJ39" i="2"/>
  <c r="BI64" i="2"/>
  <c r="BI42" i="2"/>
  <c r="BI59" i="2"/>
  <c r="BI35" i="2"/>
  <c r="BI62" i="2" s="1"/>
  <c r="BJ32" i="2"/>
  <c r="BB52" i="2" l="1"/>
  <c r="BC50" i="2"/>
  <c r="BC68" i="2" s="1"/>
  <c r="BD48" i="2"/>
  <c r="BD67" i="2" s="1"/>
  <c r="BF63" i="2"/>
  <c r="BF43" i="2"/>
  <c r="BH58" i="2"/>
  <c r="BH34" i="2"/>
  <c r="BH33" i="2"/>
  <c r="BH60" i="2" s="1"/>
  <c r="BI31" i="2"/>
  <c r="BE66" i="2"/>
  <c r="BE47" i="2"/>
  <c r="BG36" i="2"/>
  <c r="BG37" i="2" s="1"/>
  <c r="BG61" i="2"/>
  <c r="BJ64" i="2"/>
  <c r="BJ42" i="2"/>
  <c r="BJ59" i="2"/>
  <c r="BJ35" i="2"/>
  <c r="BJ62" i="2" s="1"/>
  <c r="BD50" i="2" l="1"/>
  <c r="BD52" i="2" s="1"/>
  <c r="BC52" i="2"/>
  <c r="BJ31" i="2"/>
  <c r="BI33" i="2"/>
  <c r="BI58" i="2"/>
  <c r="BI34" i="2"/>
  <c r="BI36" i="2" s="1"/>
  <c r="BH61" i="2"/>
  <c r="BH36" i="2"/>
  <c r="BH37" i="2" s="1"/>
  <c r="BG43" i="2"/>
  <c r="BG63" i="2"/>
  <c r="BF66" i="2"/>
  <c r="BF47" i="2"/>
  <c r="BE48" i="2"/>
  <c r="BE67" i="2" s="1"/>
  <c r="BI61" i="2" l="1"/>
  <c r="BD68" i="2"/>
  <c r="BE50" i="2"/>
  <c r="BE68" i="2" s="1"/>
  <c r="BG47" i="2"/>
  <c r="BG66" i="2"/>
  <c r="BF48" i="2"/>
  <c r="BF67" i="2" s="1"/>
  <c r="BI60" i="2"/>
  <c r="BI37" i="2"/>
  <c r="BH43" i="2"/>
  <c r="BH63" i="2"/>
  <c r="BJ34" i="2"/>
  <c r="BJ33" i="2"/>
  <c r="BJ60" i="2" s="1"/>
  <c r="BJ58" i="2"/>
  <c r="BE52" i="2" l="1"/>
  <c r="BF50" i="2"/>
  <c r="BF68" i="2" s="1"/>
  <c r="BI63" i="2"/>
  <c r="BI43" i="2"/>
  <c r="BJ61" i="2"/>
  <c r="BJ36" i="2"/>
  <c r="BJ37" i="2" s="1"/>
  <c r="BH66" i="2"/>
  <c r="BH47" i="2"/>
  <c r="BG48" i="2"/>
  <c r="BG67" i="2" s="1"/>
  <c r="BF52" i="2" l="1"/>
  <c r="BG50" i="2"/>
  <c r="BG68" i="2" s="1"/>
  <c r="BJ43" i="2"/>
  <c r="BJ63" i="2"/>
  <c r="BI47" i="2"/>
  <c r="BI66" i="2"/>
  <c r="BH48" i="2"/>
  <c r="BH67" i="2" s="1"/>
  <c r="BG52" i="2" l="1"/>
  <c r="BH50" i="2"/>
  <c r="BH68" i="2" s="1"/>
  <c r="BI48" i="2"/>
  <c r="BI67" i="2" s="1"/>
  <c r="BJ47" i="2"/>
  <c r="BJ66" i="2"/>
  <c r="P10" i="2"/>
  <c r="T10" i="2"/>
  <c r="P46" i="2"/>
  <c r="P42" i="2"/>
  <c r="P36" i="2"/>
  <c r="P33" i="2"/>
  <c r="T36" i="2"/>
  <c r="T33" i="2"/>
  <c r="T46" i="2"/>
  <c r="T42" i="2"/>
  <c r="Q10" i="2"/>
  <c r="U10" i="2"/>
  <c r="Q46" i="2"/>
  <c r="Q42" i="2"/>
  <c r="Q36" i="2"/>
  <c r="Q33" i="2"/>
  <c r="U46" i="2"/>
  <c r="U42" i="2"/>
  <c r="U36" i="2"/>
  <c r="U33" i="2"/>
  <c r="Q37" i="2" l="1"/>
  <c r="Q63" i="2" s="1"/>
  <c r="T60" i="2"/>
  <c r="X60" i="2"/>
  <c r="U37" i="2"/>
  <c r="U63" i="2" s="1"/>
  <c r="U60" i="2"/>
  <c r="Y60" i="2"/>
  <c r="BI50" i="2"/>
  <c r="BI68" i="2" s="1"/>
  <c r="BH52" i="2"/>
  <c r="BJ48" i="2"/>
  <c r="BJ67" i="2" s="1"/>
  <c r="P37" i="2"/>
  <c r="T37" i="2"/>
  <c r="S10" i="2"/>
  <c r="R10" i="2"/>
  <c r="V10" i="2"/>
  <c r="W10" i="2"/>
  <c r="W57" i="2"/>
  <c r="V65" i="2"/>
  <c r="V64" i="2"/>
  <c r="V62" i="2"/>
  <c r="V61" i="2"/>
  <c r="V59" i="2"/>
  <c r="V58" i="2"/>
  <c r="R46" i="2"/>
  <c r="R42" i="2"/>
  <c r="R36" i="2"/>
  <c r="R33" i="2"/>
  <c r="V49" i="2"/>
  <c r="V46" i="2"/>
  <c r="V42" i="2"/>
  <c r="V36" i="2"/>
  <c r="V33" i="2"/>
  <c r="Z60" i="2" s="1"/>
  <c r="AT65" i="2"/>
  <c r="AS65" i="2"/>
  <c r="AR65" i="2"/>
  <c r="AT64" i="2"/>
  <c r="AS64" i="2"/>
  <c r="AR64" i="2"/>
  <c r="AT61" i="2"/>
  <c r="AS61" i="2"/>
  <c r="AR61" i="2"/>
  <c r="AT59" i="2"/>
  <c r="AS59" i="2"/>
  <c r="AR59" i="2"/>
  <c r="AT58" i="2"/>
  <c r="AS58" i="2"/>
  <c r="AR58" i="2"/>
  <c r="AQ35" i="2"/>
  <c r="AQ62" i="2" s="1"/>
  <c r="AQ46" i="2"/>
  <c r="AQ42" i="2"/>
  <c r="AQ33" i="2"/>
  <c r="AQ60" i="2" s="1"/>
  <c r="AR38" i="2"/>
  <c r="AR42" i="2" s="1"/>
  <c r="AR35" i="2"/>
  <c r="AR36" i="2" s="1"/>
  <c r="AR46" i="2"/>
  <c r="AR33" i="2"/>
  <c r="W33" i="2"/>
  <c r="W36" i="2"/>
  <c r="W42" i="2"/>
  <c r="W46" i="2"/>
  <c r="W49" i="2"/>
  <c r="AZ49" i="2" s="1"/>
  <c r="AZ50" i="2" s="1"/>
  <c r="AS35" i="2"/>
  <c r="AS36" i="2" s="1"/>
  <c r="AT35" i="2"/>
  <c r="AT62" i="2" s="1"/>
  <c r="AS46" i="2"/>
  <c r="AS42" i="2"/>
  <c r="AS33" i="2"/>
  <c r="AW65" i="2"/>
  <c r="AV65" i="2"/>
  <c r="AU65" i="2"/>
  <c r="AW64" i="2"/>
  <c r="AV64" i="2"/>
  <c r="AU64" i="2"/>
  <c r="AW62" i="2"/>
  <c r="AW61" i="2"/>
  <c r="AV61" i="2"/>
  <c r="AU61" i="2"/>
  <c r="AW59" i="2"/>
  <c r="AV59" i="2"/>
  <c r="AU59" i="2"/>
  <c r="AW58" i="2"/>
  <c r="AV58" i="2"/>
  <c r="AU58" i="2"/>
  <c r="AT46" i="2"/>
  <c r="AT42" i="2"/>
  <c r="AT33" i="2"/>
  <c r="AU35" i="2"/>
  <c r="AU62" i="2" s="1"/>
  <c r="AU46" i="2"/>
  <c r="AU42" i="2"/>
  <c r="AU33" i="2"/>
  <c r="AV35" i="2"/>
  <c r="AV36" i="2" s="1"/>
  <c r="AV46" i="2"/>
  <c r="AV42" i="2"/>
  <c r="AV33" i="2"/>
  <c r="W65" i="2"/>
  <c r="W64" i="2"/>
  <c r="W59" i="2"/>
  <c r="W58" i="2"/>
  <c r="W62" i="2"/>
  <c r="W61" i="2"/>
  <c r="AX65" i="2"/>
  <c r="AX64" i="2"/>
  <c r="AX62" i="2"/>
  <c r="AX61" i="2"/>
  <c r="AX59" i="2"/>
  <c r="AX58" i="2"/>
  <c r="AY65" i="2"/>
  <c r="AY64" i="2"/>
  <c r="AY62" i="2"/>
  <c r="AY61" i="2"/>
  <c r="AY59" i="2"/>
  <c r="AY58" i="2"/>
  <c r="AW46" i="2"/>
  <c r="AW42" i="2"/>
  <c r="AW36" i="2"/>
  <c r="AW33" i="2"/>
  <c r="AX46" i="2"/>
  <c r="AX42" i="2"/>
  <c r="AX36" i="2"/>
  <c r="AX33" i="2"/>
  <c r="AY49" i="2"/>
  <c r="AY46" i="2"/>
  <c r="AY42" i="2"/>
  <c r="AY36" i="2"/>
  <c r="AY33" i="2"/>
  <c r="AZ60" i="2" s="1"/>
  <c r="S46" i="2"/>
  <c r="S42" i="2"/>
  <c r="S36" i="2"/>
  <c r="S33" i="2"/>
  <c r="D8" i="1"/>
  <c r="BM62" i="2" s="1"/>
  <c r="D5" i="1"/>
  <c r="F3" i="1"/>
  <c r="U43" i="2" l="1"/>
  <c r="U66" i="2" s="1"/>
  <c r="Q43" i="2"/>
  <c r="Q47" i="2" s="1"/>
  <c r="BI52" i="2"/>
  <c r="AW60" i="2"/>
  <c r="T43" i="2"/>
  <c r="T63" i="2"/>
  <c r="AZ52" i="2"/>
  <c r="AZ68" i="2"/>
  <c r="P43" i="2"/>
  <c r="P63" i="2"/>
  <c r="BJ50" i="2"/>
  <c r="D9" i="1"/>
  <c r="AT60" i="2"/>
  <c r="V60" i="2"/>
  <c r="R37" i="2"/>
  <c r="R63" i="2" s="1"/>
  <c r="AR60" i="2"/>
  <c r="V37" i="2"/>
  <c r="AV60" i="2"/>
  <c r="AT36" i="2"/>
  <c r="AT37" i="2" s="1"/>
  <c r="AT63" i="2" s="1"/>
  <c r="AU60" i="2"/>
  <c r="AY60" i="2"/>
  <c r="W37" i="2"/>
  <c r="W43" i="2" s="1"/>
  <c r="W47" i="2" s="1"/>
  <c r="W50" i="2" s="1"/>
  <c r="W52" i="2" s="1"/>
  <c r="W60" i="2"/>
  <c r="AU36" i="2"/>
  <c r="AU37" i="2" s="1"/>
  <c r="AS60" i="2"/>
  <c r="AX60" i="2"/>
  <c r="AS62" i="2"/>
  <c r="AQ36" i="2"/>
  <c r="AQ37" i="2" s="1"/>
  <c r="AQ63" i="2" s="1"/>
  <c r="AV62" i="2"/>
  <c r="AR62" i="2"/>
  <c r="AR37" i="2"/>
  <c r="AS37" i="2"/>
  <c r="AV37" i="2"/>
  <c r="AW37" i="2"/>
  <c r="AX37" i="2"/>
  <c r="AY37" i="2"/>
  <c r="S37" i="2"/>
  <c r="S63" i="2" s="1"/>
  <c r="U47" i="2" l="1"/>
  <c r="U50" i="2" s="1"/>
  <c r="AZ74" i="2"/>
  <c r="AZ73" i="2"/>
  <c r="Q66" i="2"/>
  <c r="P47" i="2"/>
  <c r="P66" i="2"/>
  <c r="Q50" i="2"/>
  <c r="Q67" i="2"/>
  <c r="T47" i="2"/>
  <c r="T66" i="2"/>
  <c r="BJ52" i="2"/>
  <c r="BK50" i="2"/>
  <c r="BL50" i="2" s="1"/>
  <c r="BM50" i="2" s="1"/>
  <c r="BN50" i="2" s="1"/>
  <c r="BO50" i="2" s="1"/>
  <c r="BP50" i="2" s="1"/>
  <c r="BQ50" i="2" s="1"/>
  <c r="BR50" i="2" s="1"/>
  <c r="BS50" i="2" s="1"/>
  <c r="BT50" i="2" s="1"/>
  <c r="BU50" i="2" s="1"/>
  <c r="BV50" i="2" s="1"/>
  <c r="BW50" i="2" s="1"/>
  <c r="BX50" i="2" s="1"/>
  <c r="BY50" i="2" s="1"/>
  <c r="BZ50" i="2" s="1"/>
  <c r="CA50" i="2" s="1"/>
  <c r="CB50" i="2" s="1"/>
  <c r="CC50" i="2" s="1"/>
  <c r="CD50" i="2" s="1"/>
  <c r="CE50" i="2" s="1"/>
  <c r="CF50" i="2" s="1"/>
  <c r="CG50" i="2" s="1"/>
  <c r="CH50" i="2" s="1"/>
  <c r="CI50" i="2" s="1"/>
  <c r="CJ50" i="2" s="1"/>
  <c r="CK50" i="2" s="1"/>
  <c r="CL50" i="2" s="1"/>
  <c r="CM50" i="2" s="1"/>
  <c r="CN50" i="2" s="1"/>
  <c r="CO50" i="2" s="1"/>
  <c r="CP50" i="2" s="1"/>
  <c r="CQ50" i="2" s="1"/>
  <c r="CR50" i="2" s="1"/>
  <c r="CS50" i="2" s="1"/>
  <c r="CT50" i="2" s="1"/>
  <c r="CU50" i="2" s="1"/>
  <c r="CV50" i="2" s="1"/>
  <c r="CW50" i="2" s="1"/>
  <c r="CX50" i="2" s="1"/>
  <c r="CY50" i="2" s="1"/>
  <c r="CZ50" i="2" s="1"/>
  <c r="DA50" i="2" s="1"/>
  <c r="DB50" i="2" s="1"/>
  <c r="DC50" i="2" s="1"/>
  <c r="DD50" i="2" s="1"/>
  <c r="DE50" i="2" s="1"/>
  <c r="DF50" i="2" s="1"/>
  <c r="DG50" i="2" s="1"/>
  <c r="DH50" i="2" s="1"/>
  <c r="DI50" i="2" s="1"/>
  <c r="DJ50" i="2" s="1"/>
  <c r="DK50" i="2" s="1"/>
  <c r="DL50" i="2" s="1"/>
  <c r="DM50" i="2" s="1"/>
  <c r="DN50" i="2" s="1"/>
  <c r="DO50" i="2" s="1"/>
  <c r="DP50" i="2" s="1"/>
  <c r="DQ50" i="2" s="1"/>
  <c r="DR50" i="2" s="1"/>
  <c r="DS50" i="2" s="1"/>
  <c r="DT50" i="2" s="1"/>
  <c r="DU50" i="2" s="1"/>
  <c r="DV50" i="2" s="1"/>
  <c r="DW50" i="2" s="1"/>
  <c r="DX50" i="2" s="1"/>
  <c r="DY50" i="2" s="1"/>
  <c r="DZ50" i="2" s="1"/>
  <c r="EA50" i="2" s="1"/>
  <c r="EB50" i="2" s="1"/>
  <c r="EC50" i="2" s="1"/>
  <c r="ED50" i="2" s="1"/>
  <c r="EE50" i="2" s="1"/>
  <c r="EF50" i="2" s="1"/>
  <c r="EG50" i="2" s="1"/>
  <c r="EH50" i="2" s="1"/>
  <c r="EI50" i="2" s="1"/>
  <c r="EJ50" i="2" s="1"/>
  <c r="EK50" i="2" s="1"/>
  <c r="EL50" i="2" s="1"/>
  <c r="EM50" i="2" s="1"/>
  <c r="EN50" i="2" s="1"/>
  <c r="EO50" i="2" s="1"/>
  <c r="EP50" i="2" s="1"/>
  <c r="EQ50" i="2" s="1"/>
  <c r="ER50" i="2" s="1"/>
  <c r="ES50" i="2" s="1"/>
  <c r="ET50" i="2" s="1"/>
  <c r="BM61" i="2" s="1"/>
  <c r="BM63" i="2" s="1"/>
  <c r="BM64" i="2" s="1"/>
  <c r="BM66" i="2" s="1"/>
  <c r="BJ68" i="2"/>
  <c r="W63" i="2"/>
  <c r="V43" i="2"/>
  <c r="V63" i="2"/>
  <c r="R43" i="2"/>
  <c r="R66" i="2" s="1"/>
  <c r="AR43" i="2"/>
  <c r="AR63" i="2"/>
  <c r="AW43" i="2"/>
  <c r="AW63" i="2"/>
  <c r="AY43" i="2"/>
  <c r="AY63" i="2"/>
  <c r="AS43" i="2"/>
  <c r="AS63" i="2"/>
  <c r="AQ43" i="2"/>
  <c r="AQ66" i="2" s="1"/>
  <c r="S43" i="2"/>
  <c r="S66" i="2" s="1"/>
  <c r="AX43" i="2"/>
  <c r="AX63" i="2"/>
  <c r="AV43" i="2"/>
  <c r="AV63" i="2"/>
  <c r="AU43" i="2"/>
  <c r="AU63" i="2"/>
  <c r="W66" i="2"/>
  <c r="AT43" i="2"/>
  <c r="AT66" i="2" s="1"/>
  <c r="U67" i="2" l="1"/>
  <c r="T50" i="2"/>
  <c r="T67" i="2"/>
  <c r="U52" i="2"/>
  <c r="U68" i="2"/>
  <c r="Q52" i="2"/>
  <c r="Q68" i="2"/>
  <c r="P50" i="2"/>
  <c r="P67" i="2"/>
  <c r="R47" i="2"/>
  <c r="R67" i="2" s="1"/>
  <c r="V47" i="2"/>
  <c r="V66" i="2"/>
  <c r="AV47" i="2"/>
  <c r="AV66" i="2"/>
  <c r="AS47" i="2"/>
  <c r="AS66" i="2"/>
  <c r="AX47" i="2"/>
  <c r="AX66" i="2"/>
  <c r="AY47" i="2"/>
  <c r="AY66" i="2"/>
  <c r="S47" i="2"/>
  <c r="S67" i="2" s="1"/>
  <c r="AW47" i="2"/>
  <c r="AW66" i="2"/>
  <c r="AU47" i="2"/>
  <c r="AU66" i="2"/>
  <c r="AQ47" i="2"/>
  <c r="AQ67" i="2" s="1"/>
  <c r="AR47" i="2"/>
  <c r="AR66" i="2"/>
  <c r="W67" i="2"/>
  <c r="AT47" i="2"/>
  <c r="AT67" i="2" s="1"/>
  <c r="P52" i="2" l="1"/>
  <c r="P68" i="2"/>
  <c r="T52" i="2"/>
  <c r="T68" i="2"/>
  <c r="R50" i="2"/>
  <c r="R68" i="2" s="1"/>
  <c r="V50" i="2"/>
  <c r="V67" i="2"/>
  <c r="AX50" i="2"/>
  <c r="AX67" i="2"/>
  <c r="AY50" i="2"/>
  <c r="AY67" i="2"/>
  <c r="AU50" i="2"/>
  <c r="AU67" i="2"/>
  <c r="AW50" i="2"/>
  <c r="AW67" i="2"/>
  <c r="AS50" i="2"/>
  <c r="AS67" i="2"/>
  <c r="AQ50" i="2"/>
  <c r="AQ68" i="2" s="1"/>
  <c r="AR50" i="2"/>
  <c r="AR67" i="2"/>
  <c r="S50" i="2"/>
  <c r="S68" i="2" s="1"/>
  <c r="AV50" i="2"/>
  <c r="AV67" i="2"/>
  <c r="W68" i="2"/>
  <c r="AT50" i="2"/>
  <c r="AT68" i="2" s="1"/>
  <c r="V52" i="2" l="1"/>
  <c r="V68" i="2"/>
  <c r="R52" i="2"/>
  <c r="AV52" i="2"/>
  <c r="AV68" i="2"/>
  <c r="AW52" i="2"/>
  <c r="AW68" i="2"/>
  <c r="AR52" i="2"/>
  <c r="AR68" i="2"/>
  <c r="AU52" i="2"/>
  <c r="AU68" i="2"/>
  <c r="AX52" i="2"/>
  <c r="AX68" i="2"/>
  <c r="S52" i="2"/>
  <c r="AS52" i="2"/>
  <c r="AS68" i="2"/>
  <c r="AQ52" i="2"/>
  <c r="AY52" i="2"/>
  <c r="AY68" i="2"/>
  <c r="AT52" i="2"/>
</calcChain>
</file>

<file path=xl/sharedStrings.xml><?xml version="1.0" encoding="utf-8"?>
<sst xmlns="http://schemas.openxmlformats.org/spreadsheetml/2006/main" count="107" uniqueCount="102">
  <si>
    <t>BA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</si>
  <si>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</si>
  <si>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</si>
  <si>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</si>
  <si>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</si>
  <si>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</si>
  <si>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</si>
  <si>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</si>
  <si>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</si>
  <si>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</si>
  <si>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</si>
  <si>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 8K</t>
  </si>
  <si>
    <t>Q125</t>
  </si>
  <si>
    <t>Total revenue</t>
  </si>
  <si>
    <t>Total cost of sales</t>
  </si>
  <si>
    <t>Gross profit</t>
  </si>
  <si>
    <t>Product revenue</t>
  </si>
  <si>
    <t>Service revenue</t>
  </si>
  <si>
    <t>Product cost</t>
  </si>
  <si>
    <t>Service cost</t>
  </si>
  <si>
    <t>Investment income</t>
  </si>
  <si>
    <t>G&amp;A</t>
  </si>
  <si>
    <t>R&amp;D</t>
  </si>
  <si>
    <t>Total operating expense</t>
  </si>
  <si>
    <t>Operating profit</t>
  </si>
  <si>
    <t>Other income</t>
  </si>
  <si>
    <t>Interest expense</t>
  </si>
  <si>
    <t>Total other expense</t>
  </si>
  <si>
    <t>Pretax profit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</si>
  <si>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</si>
  <si>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</si>
  <si>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</si>
  <si>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</si>
  <si>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</si>
  <si>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</si>
  <si>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</si>
  <si>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</si>
  <si>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</si>
  <si>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</si>
  <si>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</si>
  <si>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</si>
  <si>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</si>
  <si>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</si>
  <si>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</si>
  <si>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</si>
  <si>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</si>
  <si>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</si>
  <si>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</si>
  <si>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</si>
  <si>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</si>
  <si>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</si>
  <si>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</si>
  <si>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Taxes</t>
  </si>
  <si>
    <t>MI</t>
  </si>
  <si>
    <t>Net profit</t>
  </si>
  <si>
    <t>EPS</t>
  </si>
  <si>
    <t>Revenue y/y</t>
  </si>
  <si>
    <t>Gross Margin</t>
  </si>
  <si>
    <t>Product Margin</t>
  </si>
  <si>
    <t>Service Margin</t>
  </si>
  <si>
    <t>G&amp;A y/y</t>
  </si>
  <si>
    <t>R&amp;D y/y</t>
  </si>
  <si>
    <t>Operating Margin</t>
  </si>
  <si>
    <t>Net Margin</t>
  </si>
  <si>
    <t>Product revenue y/y</t>
  </si>
  <si>
    <t>Service revenue y/y</t>
  </si>
  <si>
    <t>A320 Deliveries</t>
  </si>
  <si>
    <t>Backlog</t>
  </si>
  <si>
    <t>Backlog y/y</t>
  </si>
  <si>
    <t>Total deliveries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</si>
  <si>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</si>
  <si>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</si>
  <si>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</si>
  <si>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</si>
  <si>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</si>
  <si>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</si>
  <si>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</si>
  <si>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</si>
  <si>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</si>
  <si>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Gain on disposal</t>
  </si>
  <si>
    <t>L+S/E</t>
  </si>
  <si>
    <t>EV/B</t>
  </si>
  <si>
    <t>B/EV</t>
  </si>
  <si>
    <t>AH-64 (New)</t>
  </si>
  <si>
    <t>AH-64 (Old)</t>
  </si>
  <si>
    <t>CH-47 (New)</t>
  </si>
  <si>
    <t>CH-47 (Old)</t>
  </si>
  <si>
    <t>F-15</t>
  </si>
  <si>
    <t>F/A-18</t>
  </si>
  <si>
    <t>KC-46</t>
  </si>
  <si>
    <t>MH-139</t>
  </si>
  <si>
    <t>P-8</t>
  </si>
  <si>
    <t>T-7A</t>
  </si>
  <si>
    <t>Satellites</t>
  </si>
  <si>
    <t>Commercial Airplanes</t>
  </si>
  <si>
    <t>Defense, Space &amp; Security</t>
  </si>
  <si>
    <t>Global Services</t>
  </si>
  <si>
    <t>Eliminations</t>
  </si>
  <si>
    <t>Commercial Airplanes y/y</t>
  </si>
  <si>
    <t>Defense, Space &amp; Security y/y</t>
  </si>
  <si>
    <t>Global Services y/y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</si>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</sst>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2" borderId="1" xfId="0" applyFont="1" applyFill="1" applyBorder="1"/>
    <xf numFmtId="0" fontId="4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left"/>
    </xf>
    <xf numFmtId="9" fontId="2" fillId="2" borderId="1" xfId="0" applyNumberFormat="1" applyFont="1" applyFill="1" applyBorder="1" applyAlignment="1">
      <alignment horizontal="right"/>
    </xf>
    <xf numFmtId="0" fontId="5" fillId="2" borderId="1" xfId="0" applyFont="1" applyFill="1" applyBorder="1"/>
    <xf numFmtId="3" fontId="5" fillId="2" borderId="1" xfId="0" applyNumberFormat="1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15240</xdr:colOff>
      <xdr:row>0</xdr:row>
      <xdr:rowOff>0</xdr:rowOff>
    </xdr:from>
    <xdr:to>
      <xdr:col>52</xdr:col>
      <xdr:colOff>15240</xdr:colOff>
      <xdr:row>79</xdr:row>
      <xdr:rowOff>30480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136FC7F-8D27-0758-2380-84E01070B435}"/>
            </a:ext>
          </a:extLst>
        </xdr:cNvPr>
        <xdr:cNvCxnSpPr/>
      </xdr:nvCxnSpPr>
      <xdr:spPr>
        <a:xfrm>
          <a:off x="32849820" y="0"/>
          <a:ext cx="0" cy="14478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15240</xdr:colOff>
      <xdr:row>0</xdr:row>
      <xdr:rowOff>15240</xdr:rowOff>
    </xdr:from>
    <xdr:to>
      <xdr:col>26</xdr:col>
      <xdr:colOff>15240</xdr:colOff>
      <xdr:row>74</xdr:row>
      <xdr:rowOff>53340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4329650-B744-A385-5922-DB175F2711F6}"/>
            </a:ext>
          </a:extLst>
        </xdr:cNvPr>
        <xdr:cNvCxnSpPr/>
      </xdr:nvCxnSpPr>
      <xdr:spPr>
        <a:xfrm>
          <a:off x="17000220" y="15240"/>
          <a:ext cx="0" cy="13571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0FD7-0245-493C-BCD0-51BDC7DB2A87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4.33203125" style="4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3" t="s">
        <v>0</v>
      </c>
      <c r="C3" s="1" t="s">
        <v>1</v>
      </c>
      <c r="D3" s="5">
        <v>233.72</v>
      </c>
      <c r="E3" s="6">
        <v>46053</v>
      </c>
      <c r="F3" s="6">
        <f ca="1">TODAY()</f>
        <v>46053</v>
      </c>
      <c r="G3" s="6">
        <v>46141</v>
      </c>
    </row>
    <row r="4" spans="2:7" x14ac:dyDescent="0.3">
      <c r="C4" s="1" t="s">
        <v>2</v>
      </c>
      <c r="D4" s="7">
        <v>753.4</v>
      </c>
      <c r="E4" s="4" t="s">
        <v>11</v>
      </c>
    </row>
    <row r="5" spans="2:7" x14ac:dyDescent="0.3">
      <c r="C5" s="1" t="s">
        <v>3</v>
      </c>
      <c r="D5" s="7">
        <f>D3*D4</f>
        <v>176084.64799999999</v>
      </c>
    </row>
    <row r="6" spans="2:7" x14ac:dyDescent="0.3">
      <c r="C6" s="1" t="s">
        <v>4</v>
      </c>
      <c r="D6" s="7">
        <f>10921+18479+1048</f>
        <v>30448</v>
      </c>
      <c r="E6" s="4" t="s">
        <v>51</v>
      </c>
    </row>
    <row r="7" spans="2:7" x14ac:dyDescent="0.3">
      <c r="C7" s="1" t="s">
        <v>5</v>
      </c>
      <c r="D7" s="7">
        <f>8461+45637</f>
        <v>54098</v>
      </c>
      <c r="E7" s="4" t="s">
        <v>51</v>
      </c>
    </row>
    <row r="8" spans="2:7" x14ac:dyDescent="0.3">
      <c r="C8" s="1" t="s">
        <v>6</v>
      </c>
      <c r="D8" s="7">
        <f>D6-D7</f>
        <v>-23650</v>
      </c>
    </row>
    <row r="9" spans="2:7" x14ac:dyDescent="0.3">
      <c r="C9" s="1" t="s">
        <v>7</v>
      </c>
      <c r="D9" s="7">
        <f>D5-D8</f>
        <v>199734.64799999999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1C0CE-CFF7-43D4-81ED-60434895C928}">
  <dimension ref="B2:ET74"/>
  <sheetViews>
    <sheetView tabSelected="1" workbookViewId="0">
      <pane xSplit="2" ySplit="2" topLeftCell="BF45" activePane="bottomRight" state="frozen"/>
      <selection pane="topRight" activeCell="C1" sqref="C1"/>
      <selection pane="bottomLeft" activeCell="A3" sqref="A3"/>
      <selection pane="bottomRight" activeCell="BM68" sqref="BM68"/>
    </sheetView>
  </sheetViews>
  <sheetFormatPr defaultRowHeight="14.4" x14ac:dyDescent="0.3"/>
  <cols>
    <col min="1" max="1" width="8.88671875" style="1"/>
    <col min="2" max="2" width="25.44140625" style="1" bestFit="1" customWidth="1"/>
    <col min="3" max="63" width="8.88671875" style="1"/>
    <col min="64" max="64" width="11.88671875" style="1" bestFit="1" customWidth="1"/>
    <col min="65" max="65" width="16.6640625" style="1" customWidth="1"/>
    <col min="66" max="16384" width="8.88671875" style="1"/>
  </cols>
  <sheetData>
    <row r="2" spans="2:62" x14ac:dyDescent="0.3"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12</v>
      </c>
      <c r="X2" s="2" t="s">
        <v>49</v>
      </c>
      <c r="Y2" s="2" t="s">
        <v>50</v>
      </c>
      <c r="Z2" s="2" t="s">
        <v>51</v>
      </c>
      <c r="AA2" s="2"/>
      <c r="AB2" s="2"/>
      <c r="AC2" s="2"/>
      <c r="AD2" s="2"/>
      <c r="AF2" s="1">
        <v>2005</v>
      </c>
      <c r="AG2" s="1">
        <v>2006</v>
      </c>
      <c r="AH2" s="1">
        <v>2007</v>
      </c>
      <c r="AI2" s="1">
        <v>2008</v>
      </c>
      <c r="AJ2" s="1">
        <v>2009</v>
      </c>
      <c r="AK2" s="1">
        <v>2010</v>
      </c>
      <c r="AL2" s="1">
        <v>2011</v>
      </c>
      <c r="AM2" s="1">
        <v>2012</v>
      </c>
      <c r="AN2" s="1">
        <v>2013</v>
      </c>
      <c r="AO2" s="1">
        <v>2014</v>
      </c>
      <c r="AP2" s="1">
        <v>2015</v>
      </c>
      <c r="AQ2" s="1">
        <v>2016</v>
      </c>
      <c r="AR2" s="1">
        <v>2017</v>
      </c>
      <c r="AS2" s="1">
        <v>2018</v>
      </c>
      <c r="AT2" s="1">
        <v>2019</v>
      </c>
      <c r="AU2" s="1">
        <v>2020</v>
      </c>
      <c r="AV2" s="1">
        <v>2021</v>
      </c>
      <c r="AW2" s="1">
        <v>2022</v>
      </c>
      <c r="AX2" s="1">
        <v>2023</v>
      </c>
      <c r="AY2" s="1">
        <v>2024</v>
      </c>
      <c r="AZ2" s="1">
        <v>2025</v>
      </c>
      <c r="BA2" s="1">
        <v>2026</v>
      </c>
      <c r="BB2" s="1">
        <v>2027</v>
      </c>
      <c r="BC2" s="1">
        <v>2028</v>
      </c>
      <c r="BD2" s="1">
        <v>2029</v>
      </c>
      <c r="BE2" s="1">
        <v>2030</v>
      </c>
      <c r="BF2" s="1">
        <v>2031</v>
      </c>
      <c r="BG2" s="1">
        <v>2032</v>
      </c>
      <c r="BH2" s="1">
        <v>2033</v>
      </c>
      <c r="BI2" s="1">
        <v>2034</v>
      </c>
      <c r="BJ2" s="1">
        <v>2035</v>
      </c>
    </row>
    <row r="3" spans="2:62" x14ac:dyDescent="0.3">
      <c r="B3" s="1" t="s">
        <v>66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>
        <v>106</v>
      </c>
      <c r="X3" s="2"/>
      <c r="Y3" s="2"/>
      <c r="Z3" s="2"/>
      <c r="AA3" s="2"/>
      <c r="AB3" s="2"/>
      <c r="AC3" s="2"/>
      <c r="AD3" s="2"/>
    </row>
    <row r="4" spans="2:62" x14ac:dyDescent="0.3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2:62" x14ac:dyDescent="0.3">
      <c r="B5" s="12">
        <v>737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>
        <v>103</v>
      </c>
      <c r="Q5" s="2">
        <v>70</v>
      </c>
      <c r="R5" s="2">
        <v>110</v>
      </c>
      <c r="S5" s="2">
        <v>67</v>
      </c>
      <c r="T5" s="2">
        <v>70</v>
      </c>
      <c r="U5" s="2">
        <v>92</v>
      </c>
      <c r="V5" s="2">
        <v>36</v>
      </c>
      <c r="W5" s="2">
        <v>105</v>
      </c>
      <c r="X5" s="2">
        <v>104</v>
      </c>
      <c r="Y5" s="2">
        <v>121</v>
      </c>
      <c r="Z5" s="2">
        <v>117</v>
      </c>
      <c r="AA5" s="2"/>
      <c r="AB5" s="2"/>
      <c r="AC5" s="2"/>
      <c r="AD5" s="2"/>
      <c r="AY5" s="2">
        <f>SUM(S5:V5)</f>
        <v>265</v>
      </c>
      <c r="AZ5" s="2">
        <f>SUM(W5:Z5)</f>
        <v>447</v>
      </c>
    </row>
    <row r="6" spans="2:62" x14ac:dyDescent="0.3">
      <c r="B6" s="12">
        <v>747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/>
      <c r="AA6" s="2"/>
      <c r="AB6" s="2"/>
      <c r="AC6" s="2"/>
      <c r="AD6" s="2"/>
      <c r="AY6" s="2">
        <f>SUM(S6:V6)</f>
        <v>0</v>
      </c>
      <c r="AZ6" s="2">
        <f>SUM(W6:Z6)</f>
        <v>0</v>
      </c>
    </row>
    <row r="7" spans="2:62" x14ac:dyDescent="0.3">
      <c r="B7" s="12">
        <v>767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>
        <v>8</v>
      </c>
      <c r="Q7" s="2">
        <v>8</v>
      </c>
      <c r="R7" s="2">
        <v>15</v>
      </c>
      <c r="S7" s="2">
        <v>3</v>
      </c>
      <c r="T7" s="2">
        <v>6</v>
      </c>
      <c r="U7" s="2">
        <v>6</v>
      </c>
      <c r="V7" s="2">
        <v>3</v>
      </c>
      <c r="W7" s="2">
        <v>5</v>
      </c>
      <c r="X7" s="2">
        <v>9</v>
      </c>
      <c r="Y7" s="2">
        <v>6</v>
      </c>
      <c r="Z7" s="2">
        <v>10</v>
      </c>
      <c r="AA7" s="2"/>
      <c r="AB7" s="2"/>
      <c r="AC7" s="2"/>
      <c r="AD7" s="2"/>
      <c r="AY7" s="2">
        <f>SUM(S7:V7)</f>
        <v>18</v>
      </c>
      <c r="AZ7" s="2">
        <f>SUM(W7:Z7)</f>
        <v>30</v>
      </c>
    </row>
    <row r="8" spans="2:62" x14ac:dyDescent="0.3">
      <c r="B8" s="12">
        <v>777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>
        <v>5</v>
      </c>
      <c r="Q8" s="2">
        <v>8</v>
      </c>
      <c r="R8" s="2">
        <v>9</v>
      </c>
      <c r="S8" s="2">
        <v>0</v>
      </c>
      <c r="T8" s="2">
        <v>7</v>
      </c>
      <c r="U8" s="2">
        <v>4</v>
      </c>
      <c r="V8" s="2">
        <v>3</v>
      </c>
      <c r="W8" s="2">
        <v>7</v>
      </c>
      <c r="X8" s="2">
        <v>13</v>
      </c>
      <c r="Y8" s="2">
        <v>9</v>
      </c>
      <c r="Z8" s="2">
        <v>6</v>
      </c>
      <c r="AA8" s="2"/>
      <c r="AB8" s="2"/>
      <c r="AC8" s="2"/>
      <c r="AD8" s="2"/>
      <c r="AY8" s="2">
        <f>SUM(S8:V8)</f>
        <v>14</v>
      </c>
      <c r="AZ8" s="2">
        <f>SUM(W8:Z8)</f>
        <v>35</v>
      </c>
    </row>
    <row r="9" spans="2:62" x14ac:dyDescent="0.3">
      <c r="B9" s="12">
        <v>787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>
        <v>20</v>
      </c>
      <c r="Q9" s="2">
        <v>19</v>
      </c>
      <c r="R9" s="2">
        <v>23</v>
      </c>
      <c r="S9" s="2">
        <v>13</v>
      </c>
      <c r="T9" s="2">
        <v>9</v>
      </c>
      <c r="U9" s="2">
        <v>14</v>
      </c>
      <c r="V9" s="2">
        <v>15</v>
      </c>
      <c r="W9" s="2">
        <v>13</v>
      </c>
      <c r="X9" s="2">
        <v>24</v>
      </c>
      <c r="Y9" s="2">
        <v>24</v>
      </c>
      <c r="Z9" s="2">
        <v>27</v>
      </c>
      <c r="AA9" s="2"/>
      <c r="AB9" s="2"/>
      <c r="AC9" s="2"/>
      <c r="AD9" s="2"/>
      <c r="AY9" s="2">
        <f>SUM(S9:V9)</f>
        <v>51</v>
      </c>
      <c r="AZ9" s="2">
        <f>SUM(W9:Z9)</f>
        <v>88</v>
      </c>
    </row>
    <row r="10" spans="2:62" s="3" customFormat="1" x14ac:dyDescent="0.3">
      <c r="B10" s="19" t="s">
        <v>69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>
        <f t="shared" ref="P10:W10" si="0">SUM(P5:P9)</f>
        <v>136</v>
      </c>
      <c r="Q10" s="17">
        <f t="shared" si="0"/>
        <v>105</v>
      </c>
      <c r="R10" s="17">
        <f t="shared" si="0"/>
        <v>157</v>
      </c>
      <c r="S10" s="17">
        <f t="shared" si="0"/>
        <v>83</v>
      </c>
      <c r="T10" s="17">
        <f t="shared" si="0"/>
        <v>92</v>
      </c>
      <c r="U10" s="17">
        <f t="shared" si="0"/>
        <v>116</v>
      </c>
      <c r="V10" s="17">
        <f t="shared" si="0"/>
        <v>57</v>
      </c>
      <c r="W10" s="17">
        <f t="shared" si="0"/>
        <v>130</v>
      </c>
      <c r="X10" s="17">
        <f t="shared" ref="X10:Y10" si="1">SUM(X5:X9)</f>
        <v>150</v>
      </c>
      <c r="Y10" s="17">
        <f t="shared" si="1"/>
        <v>160</v>
      </c>
      <c r="Z10" s="17">
        <f t="shared" ref="Z10" si="2">SUM(Z5:Z9)</f>
        <v>160</v>
      </c>
      <c r="AA10" s="17"/>
      <c r="AB10" s="17"/>
      <c r="AC10" s="17"/>
      <c r="AD10" s="17"/>
      <c r="AY10" s="17">
        <f t="shared" ref="AY10:AZ10" si="3">SUM(AY5:AY9)</f>
        <v>348</v>
      </c>
      <c r="AZ10" s="17">
        <f t="shared" si="3"/>
        <v>600</v>
      </c>
    </row>
    <row r="11" spans="2:62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2:62" x14ac:dyDescent="0.3">
      <c r="B12" s="1" t="s">
        <v>83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>
        <v>7</v>
      </c>
      <c r="V12" s="2">
        <v>6</v>
      </c>
      <c r="W12" s="2"/>
      <c r="X12" s="2"/>
      <c r="Y12" s="2">
        <v>8</v>
      </c>
      <c r="Z12" s="2">
        <v>5</v>
      </c>
      <c r="AA12" s="2"/>
      <c r="AB12" s="2"/>
      <c r="AC12" s="2"/>
      <c r="AD12" s="2"/>
      <c r="AY12" s="2">
        <v>16</v>
      </c>
    </row>
    <row r="13" spans="2:62" x14ac:dyDescent="0.3">
      <c r="B13" s="1" t="s">
        <v>84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>
        <v>11</v>
      </c>
      <c r="V13" s="2">
        <v>10</v>
      </c>
      <c r="W13" s="2"/>
      <c r="X13" s="2"/>
      <c r="Y13" s="2">
        <v>7</v>
      </c>
      <c r="Z13" s="2">
        <v>14</v>
      </c>
      <c r="AA13" s="2"/>
      <c r="AB13" s="2"/>
      <c r="AC13" s="2"/>
      <c r="AD13" s="2"/>
      <c r="AY13" s="2">
        <v>34</v>
      </c>
    </row>
    <row r="14" spans="2:62" x14ac:dyDescent="0.3">
      <c r="B14" s="1" t="s">
        <v>85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>
        <v>0</v>
      </c>
      <c r="V14" s="2">
        <v>2</v>
      </c>
      <c r="W14" s="2"/>
      <c r="X14" s="2"/>
      <c r="Y14" s="2">
        <v>0</v>
      </c>
      <c r="Z14" s="2">
        <v>2</v>
      </c>
      <c r="AA14" s="2"/>
      <c r="AB14" s="2"/>
      <c r="AC14" s="2"/>
      <c r="AD14" s="2"/>
      <c r="AY14" s="2">
        <v>4</v>
      </c>
    </row>
    <row r="15" spans="2:62" x14ac:dyDescent="0.3">
      <c r="B15" s="1" t="s">
        <v>86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>
        <v>2</v>
      </c>
      <c r="V15" s="2">
        <v>2</v>
      </c>
      <c r="W15" s="2"/>
      <c r="X15" s="2"/>
      <c r="Y15" s="2">
        <v>2</v>
      </c>
      <c r="Z15" s="2">
        <v>2</v>
      </c>
      <c r="AA15" s="2"/>
      <c r="AB15" s="2"/>
      <c r="AC15" s="2"/>
      <c r="AD15" s="2"/>
      <c r="AY15" s="2">
        <v>9</v>
      </c>
    </row>
    <row r="16" spans="2:62" x14ac:dyDescent="0.3">
      <c r="B16" s="1" t="s">
        <v>87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>
        <v>3</v>
      </c>
      <c r="V16" s="2">
        <v>4</v>
      </c>
      <c r="W16" s="2"/>
      <c r="X16" s="2"/>
      <c r="Y16" s="2">
        <v>3</v>
      </c>
      <c r="Z16" s="2">
        <v>2</v>
      </c>
      <c r="AA16" s="2"/>
      <c r="AB16" s="2"/>
      <c r="AC16" s="2"/>
      <c r="AD16" s="2"/>
      <c r="AY16" s="2">
        <v>14</v>
      </c>
    </row>
    <row r="17" spans="2:62" x14ac:dyDescent="0.3">
      <c r="B17" s="1" t="s">
        <v>88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>
        <v>1</v>
      </c>
      <c r="V17" s="2">
        <v>6</v>
      </c>
      <c r="W17" s="2"/>
      <c r="X17" s="2"/>
      <c r="Y17" s="2">
        <v>3</v>
      </c>
      <c r="Z17" s="2">
        <v>2</v>
      </c>
      <c r="AA17" s="2"/>
      <c r="AB17" s="2"/>
      <c r="AC17" s="2"/>
      <c r="AD17" s="2"/>
      <c r="AY17" s="2">
        <v>11</v>
      </c>
    </row>
    <row r="18" spans="2:62" x14ac:dyDescent="0.3">
      <c r="B18" s="1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>
        <v>5</v>
      </c>
      <c r="V18" s="2">
        <v>0</v>
      </c>
      <c r="W18" s="2"/>
      <c r="X18" s="2"/>
      <c r="Y18" s="2">
        <v>4</v>
      </c>
      <c r="Z18" s="2">
        <v>5</v>
      </c>
      <c r="AA18" s="2"/>
      <c r="AB18" s="2"/>
      <c r="AC18" s="2"/>
      <c r="AD18" s="2"/>
      <c r="AY18" s="2">
        <v>10</v>
      </c>
    </row>
    <row r="19" spans="2:62" x14ac:dyDescent="0.3">
      <c r="B19" s="1" t="s">
        <v>90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>
        <v>3</v>
      </c>
      <c r="V19" s="2">
        <v>3</v>
      </c>
      <c r="W19" s="2"/>
      <c r="X19" s="2"/>
      <c r="Y19" s="2">
        <v>1</v>
      </c>
      <c r="Z19" s="2">
        <v>3</v>
      </c>
      <c r="AA19" s="2"/>
      <c r="AB19" s="2"/>
      <c r="AC19" s="2"/>
      <c r="AD19" s="2"/>
      <c r="AY19" s="2">
        <v>6</v>
      </c>
    </row>
    <row r="20" spans="2:62" x14ac:dyDescent="0.3">
      <c r="B20" s="1" t="s">
        <v>91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>
        <v>1</v>
      </c>
      <c r="V20" s="2">
        <v>0</v>
      </c>
      <c r="W20" s="2"/>
      <c r="X20" s="2"/>
      <c r="Y20" s="2">
        <v>2</v>
      </c>
      <c r="Z20" s="2">
        <v>2</v>
      </c>
      <c r="AA20" s="2"/>
      <c r="AB20" s="2"/>
      <c r="AC20" s="2"/>
      <c r="AD20" s="2"/>
      <c r="AY20" s="2">
        <v>4</v>
      </c>
    </row>
    <row r="21" spans="2:62" x14ac:dyDescent="0.3">
      <c r="B21" s="1" t="s">
        <v>92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>
        <v>1</v>
      </c>
      <c r="V21" s="2">
        <v>1</v>
      </c>
      <c r="W21" s="2"/>
      <c r="X21" s="2"/>
      <c r="Y21" s="2">
        <v>0</v>
      </c>
      <c r="Z21" s="2">
        <v>0</v>
      </c>
      <c r="AA21" s="2"/>
      <c r="AB21" s="2"/>
      <c r="AC21" s="2"/>
      <c r="AD21" s="2"/>
      <c r="AY21" s="2">
        <v>2</v>
      </c>
    </row>
    <row r="22" spans="2:62" x14ac:dyDescent="0.3">
      <c r="B22" s="1" t="s">
        <v>93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>
        <v>0</v>
      </c>
      <c r="V22" s="2">
        <v>2</v>
      </c>
      <c r="W22" s="2"/>
      <c r="X22" s="2"/>
      <c r="Y22" s="2">
        <v>2</v>
      </c>
      <c r="Z22" s="2">
        <v>0</v>
      </c>
      <c r="AA22" s="2"/>
      <c r="AB22" s="2"/>
      <c r="AC22" s="2"/>
      <c r="AD22" s="2"/>
      <c r="AY22" s="2">
        <v>2</v>
      </c>
    </row>
    <row r="23" spans="2:62" s="3" customFormat="1" x14ac:dyDescent="0.3">
      <c r="B23" s="3" t="s">
        <v>69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>
        <f>SUM(U12:U22)</f>
        <v>34</v>
      </c>
      <c r="V23" s="17">
        <f>SUM(V12:V22)</f>
        <v>36</v>
      </c>
      <c r="W23" s="17"/>
      <c r="X23" s="17"/>
      <c r="Y23" s="17">
        <f>SUM(Y12:Y22)</f>
        <v>32</v>
      </c>
      <c r="Z23" s="17">
        <f>SUM(Z12:Z22)</f>
        <v>37</v>
      </c>
      <c r="AA23" s="17"/>
      <c r="AB23" s="17"/>
      <c r="AC23" s="17"/>
      <c r="AD23" s="17"/>
      <c r="AY23" s="17">
        <f>SUM(AY12:AY22)</f>
        <v>112</v>
      </c>
    </row>
    <row r="24" spans="2:62" x14ac:dyDescent="0.3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2:62" x14ac:dyDescent="0.3">
      <c r="B25" s="1" t="s">
        <v>94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7">
        <v>435175</v>
      </c>
      <c r="W25" s="2"/>
      <c r="X25" s="2"/>
      <c r="Y25" s="7">
        <v>534613</v>
      </c>
      <c r="Z25" s="7">
        <v>567290</v>
      </c>
      <c r="AA25" s="7"/>
      <c r="AB25" s="7"/>
      <c r="AC25" s="7"/>
      <c r="AD25" s="7"/>
      <c r="AX25" s="7">
        <v>440507</v>
      </c>
      <c r="AY25" s="7">
        <v>435175</v>
      </c>
      <c r="AZ25" s="7">
        <v>567290</v>
      </c>
    </row>
    <row r="26" spans="2:62" x14ac:dyDescent="0.3">
      <c r="B26" s="1" t="s">
        <v>95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7">
        <v>64023</v>
      </c>
      <c r="W26" s="2"/>
      <c r="X26" s="2"/>
      <c r="Y26" s="7">
        <v>76084</v>
      </c>
      <c r="Z26" s="7">
        <v>84786</v>
      </c>
      <c r="AA26" s="7"/>
      <c r="AB26" s="7"/>
      <c r="AC26" s="7"/>
      <c r="AD26" s="7"/>
      <c r="AX26" s="7">
        <v>59012</v>
      </c>
      <c r="AY26" s="7">
        <v>64023</v>
      </c>
      <c r="AZ26" s="7">
        <v>84786</v>
      </c>
    </row>
    <row r="27" spans="2:62" x14ac:dyDescent="0.3">
      <c r="B27" s="1" t="s">
        <v>96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7">
        <v>21403</v>
      </c>
      <c r="W27" s="2"/>
      <c r="X27" s="2"/>
      <c r="Y27" s="7">
        <v>24634</v>
      </c>
      <c r="Z27" s="7">
        <v>29720</v>
      </c>
      <c r="AA27" s="7"/>
      <c r="AB27" s="7"/>
      <c r="AC27" s="7"/>
      <c r="AD27" s="7"/>
      <c r="AX27" s="7">
        <v>19869</v>
      </c>
      <c r="AY27" s="7">
        <v>21403</v>
      </c>
      <c r="AZ27" s="7">
        <v>29720</v>
      </c>
    </row>
    <row r="28" spans="2:62" x14ac:dyDescent="0.3">
      <c r="B28" s="1" t="s">
        <v>97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7">
        <v>735</v>
      </c>
      <c r="W28" s="2"/>
      <c r="X28" s="2"/>
      <c r="Y28" s="7">
        <v>357</v>
      </c>
      <c r="Z28" s="7">
        <v>411</v>
      </c>
      <c r="AA28" s="7"/>
      <c r="AB28" s="7"/>
      <c r="AC28" s="7"/>
      <c r="AD28" s="7"/>
      <c r="AX28" s="7">
        <v>807</v>
      </c>
      <c r="AY28" s="7">
        <v>735</v>
      </c>
      <c r="AZ28" s="7">
        <v>411</v>
      </c>
    </row>
    <row r="29" spans="2:62" s="3" customFormat="1" x14ac:dyDescent="0.3">
      <c r="B29" s="3" t="s">
        <v>67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8">
        <v>520195</v>
      </c>
      <c r="S29" s="18"/>
      <c r="T29" s="18">
        <v>515874</v>
      </c>
      <c r="U29" s="18">
        <v>510509</v>
      </c>
      <c r="V29" s="18">
        <f>SUM(V25:V28)</f>
        <v>521336</v>
      </c>
      <c r="W29" s="18">
        <v>544736</v>
      </c>
      <c r="X29" s="18">
        <v>618538</v>
      </c>
      <c r="Y29" s="18">
        <f>SUM(Y25:Y28)</f>
        <v>635688</v>
      </c>
      <c r="Z29" s="18">
        <f>SUM(Z25:Z28)</f>
        <v>682207</v>
      </c>
      <c r="AA29" s="18"/>
      <c r="AB29" s="18"/>
      <c r="AC29" s="18"/>
      <c r="AD29" s="18"/>
      <c r="AF29" s="18"/>
      <c r="AG29" s="18"/>
      <c r="AH29" s="18">
        <v>296964</v>
      </c>
      <c r="AI29" s="18">
        <v>323860</v>
      </c>
      <c r="AJ29" s="18">
        <v>296500</v>
      </c>
      <c r="AK29" s="18">
        <v>303955</v>
      </c>
      <c r="AL29" s="18">
        <v>339657</v>
      </c>
      <c r="AM29" s="18">
        <v>372355</v>
      </c>
      <c r="AN29" s="18">
        <v>422661</v>
      </c>
      <c r="AO29" s="18">
        <v>487092</v>
      </c>
      <c r="AP29" s="18">
        <v>476595</v>
      </c>
      <c r="AQ29" s="18">
        <v>473492</v>
      </c>
      <c r="AR29" s="18">
        <v>474640</v>
      </c>
      <c r="AS29" s="18">
        <v>490481</v>
      </c>
      <c r="AT29" s="18">
        <v>463404</v>
      </c>
      <c r="AU29" s="18">
        <v>363404</v>
      </c>
      <c r="AV29" s="18">
        <v>377499</v>
      </c>
      <c r="AW29" s="18">
        <v>404381</v>
      </c>
      <c r="AX29" s="18">
        <f>SUM(AX25:AX28)</f>
        <v>520195</v>
      </c>
      <c r="AY29" s="18">
        <f>SUM(AY25:AY28)</f>
        <v>521336</v>
      </c>
      <c r="AZ29" s="18">
        <f>SUM(AZ25:AZ28)</f>
        <v>682207</v>
      </c>
    </row>
    <row r="30" spans="2:62" x14ac:dyDescent="0.3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13"/>
      <c r="X30" s="2"/>
      <c r="Y30" s="2"/>
      <c r="Z30" s="2"/>
      <c r="AA30" s="2"/>
      <c r="AB30" s="2"/>
      <c r="AC30" s="2"/>
      <c r="AD30" s="2"/>
    </row>
    <row r="31" spans="2:62" x14ac:dyDescent="0.3">
      <c r="B31" s="1" t="s">
        <v>16</v>
      </c>
      <c r="P31" s="7">
        <v>16687</v>
      </c>
      <c r="Q31" s="7">
        <v>15060</v>
      </c>
      <c r="R31" s="7">
        <v>18920</v>
      </c>
      <c r="S31" s="7">
        <v>13268</v>
      </c>
      <c r="T31" s="7">
        <v>13524</v>
      </c>
      <c r="U31" s="7">
        <v>14534</v>
      </c>
      <c r="V31" s="7">
        <v>11901</v>
      </c>
      <c r="W31" s="7">
        <v>16147</v>
      </c>
      <c r="X31" s="7">
        <v>19122</v>
      </c>
      <c r="Y31" s="7">
        <v>19642</v>
      </c>
      <c r="Z31" s="7">
        <v>20445</v>
      </c>
      <c r="AA31" s="7"/>
      <c r="AB31" s="7"/>
      <c r="AC31" s="7"/>
      <c r="AD31" s="7"/>
      <c r="AH31" s="7">
        <v>57049</v>
      </c>
      <c r="AI31" s="7">
        <v>50180</v>
      </c>
      <c r="AJ31" s="7">
        <v>57032</v>
      </c>
      <c r="AK31" s="7">
        <v>52586</v>
      </c>
      <c r="AL31" s="7">
        <v>57401</v>
      </c>
      <c r="AM31" s="7">
        <v>71234</v>
      </c>
      <c r="AN31" s="7">
        <v>76792</v>
      </c>
      <c r="AO31" s="7">
        <v>80688</v>
      </c>
      <c r="AP31" s="7">
        <v>85255</v>
      </c>
      <c r="AQ31" s="7">
        <v>83198</v>
      </c>
      <c r="AR31" s="7">
        <v>83740</v>
      </c>
      <c r="AS31" s="7">
        <v>90229</v>
      </c>
      <c r="AT31" s="7">
        <v>66094</v>
      </c>
      <c r="AU31" s="7">
        <v>47142</v>
      </c>
      <c r="AV31" s="7">
        <v>51386</v>
      </c>
      <c r="AW31" s="7">
        <v>55893</v>
      </c>
      <c r="AX31" s="7">
        <v>65581</v>
      </c>
      <c r="AY31" s="7">
        <v>53227</v>
      </c>
      <c r="AZ31" s="7">
        <f>SUM(W31:Z31)</f>
        <v>75356</v>
      </c>
      <c r="BA31" s="7">
        <f>AZ31*1.2</f>
        <v>90427.199999999997</v>
      </c>
      <c r="BB31" s="7">
        <f>BA31*1.08</f>
        <v>97661.376000000004</v>
      </c>
      <c r="BC31" s="7">
        <f>BB31*1.05</f>
        <v>102544.44480000001</v>
      </c>
      <c r="BD31" s="7">
        <f>BC31*1.04</f>
        <v>106646.22259200002</v>
      </c>
      <c r="BE31" s="7">
        <f>BD31*1.03</f>
        <v>109845.60926976003</v>
      </c>
      <c r="BF31" s="7">
        <f t="shared" ref="BF31:BJ31" si="4">BE31*1.02</f>
        <v>112042.52145515523</v>
      </c>
      <c r="BG31" s="7">
        <f t="shared" si="4"/>
        <v>114283.37188425835</v>
      </c>
      <c r="BH31" s="7">
        <f t="shared" si="4"/>
        <v>116569.03932194352</v>
      </c>
      <c r="BI31" s="7">
        <f t="shared" si="4"/>
        <v>118900.42010838239</v>
      </c>
      <c r="BJ31" s="7">
        <f t="shared" si="4"/>
        <v>121278.42851055003</v>
      </c>
    </row>
    <row r="32" spans="2:62" x14ac:dyDescent="0.3">
      <c r="B32" s="1" t="s">
        <v>17</v>
      </c>
      <c r="P32" s="7">
        <v>3064</v>
      </c>
      <c r="Q32" s="7">
        <v>3044</v>
      </c>
      <c r="R32" s="7">
        <v>3098</v>
      </c>
      <c r="S32" s="7">
        <v>3301</v>
      </c>
      <c r="T32" s="7">
        <v>3342</v>
      </c>
      <c r="U32" s="7">
        <v>3306</v>
      </c>
      <c r="V32" s="7">
        <v>3341</v>
      </c>
      <c r="W32" s="7">
        <v>3349</v>
      </c>
      <c r="X32" s="7">
        <v>3627</v>
      </c>
      <c r="Y32" s="7">
        <v>3628</v>
      </c>
      <c r="Z32" s="7">
        <v>3503</v>
      </c>
      <c r="AA32" s="7"/>
      <c r="AB32" s="7"/>
      <c r="AC32" s="7"/>
      <c r="AD32" s="7"/>
      <c r="AH32" s="7">
        <v>9338</v>
      </c>
      <c r="AI32" s="7">
        <v>10729</v>
      </c>
      <c r="AJ32" s="7">
        <v>11249</v>
      </c>
      <c r="AK32" s="7">
        <v>11720</v>
      </c>
      <c r="AL32" s="7">
        <v>11334</v>
      </c>
      <c r="AM32" s="7">
        <v>10464</v>
      </c>
      <c r="AN32" s="7">
        <v>9831</v>
      </c>
      <c r="AO32" s="7">
        <v>10074</v>
      </c>
      <c r="AP32" s="7">
        <v>10859</v>
      </c>
      <c r="AQ32" s="7">
        <v>10298</v>
      </c>
      <c r="AR32" s="7">
        <v>10265</v>
      </c>
      <c r="AS32" s="7">
        <v>10898</v>
      </c>
      <c r="AT32" s="7">
        <v>10465</v>
      </c>
      <c r="AU32" s="7">
        <v>11016</v>
      </c>
      <c r="AV32" s="7">
        <v>10900</v>
      </c>
      <c r="AW32" s="7">
        <v>10715</v>
      </c>
      <c r="AX32" s="7">
        <v>12213</v>
      </c>
      <c r="AY32" s="7">
        <v>13290</v>
      </c>
      <c r="AZ32" s="7">
        <f>SUM(W32:Z32)</f>
        <v>14107</v>
      </c>
      <c r="BA32" s="7">
        <f>AZ32*1.05</f>
        <v>14812.35</v>
      </c>
      <c r="BB32" s="7">
        <f>BA32*1.04</f>
        <v>15404.844000000001</v>
      </c>
      <c r="BC32" s="7">
        <f t="shared" ref="BC32:BJ32" si="5">BB32*1.03</f>
        <v>15866.989320000001</v>
      </c>
      <c r="BD32" s="7">
        <f t="shared" si="5"/>
        <v>16342.9989996</v>
      </c>
      <c r="BE32" s="7">
        <f t="shared" si="5"/>
        <v>16833.288969588</v>
      </c>
      <c r="BF32" s="7">
        <f t="shared" si="5"/>
        <v>17338.28763867564</v>
      </c>
      <c r="BG32" s="7">
        <f t="shared" si="5"/>
        <v>17858.43626783591</v>
      </c>
      <c r="BH32" s="7">
        <f t="shared" si="5"/>
        <v>18394.189355870989</v>
      </c>
      <c r="BI32" s="7">
        <f t="shared" si="5"/>
        <v>18946.01503654712</v>
      </c>
      <c r="BJ32" s="7">
        <f t="shared" si="5"/>
        <v>19514.395487643535</v>
      </c>
    </row>
    <row r="33" spans="2:62" s="3" customFormat="1" x14ac:dyDescent="0.3">
      <c r="B33" s="3" t="s">
        <v>13</v>
      </c>
      <c r="P33" s="9">
        <f t="shared" ref="P33:W33" si="6">P31+P32</f>
        <v>19751</v>
      </c>
      <c r="Q33" s="9">
        <f t="shared" si="6"/>
        <v>18104</v>
      </c>
      <c r="R33" s="9">
        <f t="shared" si="6"/>
        <v>22018</v>
      </c>
      <c r="S33" s="9">
        <f t="shared" si="6"/>
        <v>16569</v>
      </c>
      <c r="T33" s="9">
        <f t="shared" si="6"/>
        <v>16866</v>
      </c>
      <c r="U33" s="9">
        <f t="shared" si="6"/>
        <v>17840</v>
      </c>
      <c r="V33" s="9">
        <f t="shared" si="6"/>
        <v>15242</v>
      </c>
      <c r="W33" s="9">
        <f t="shared" si="6"/>
        <v>19496</v>
      </c>
      <c r="X33" s="9">
        <f t="shared" ref="X33" si="7">X31+X32</f>
        <v>22749</v>
      </c>
      <c r="Y33" s="9">
        <f t="shared" ref="Y33" si="8">Y31+Y32</f>
        <v>23270</v>
      </c>
      <c r="Z33" s="9">
        <f t="shared" ref="Z33" si="9">Z31+Z32</f>
        <v>23948</v>
      </c>
      <c r="AA33" s="9"/>
      <c r="AB33" s="9"/>
      <c r="AC33" s="9"/>
      <c r="AD33" s="9"/>
      <c r="AH33" s="9">
        <f t="shared" ref="AH33:AI33" si="10">AH31+AH32</f>
        <v>66387</v>
      </c>
      <c r="AI33" s="9">
        <f t="shared" si="10"/>
        <v>60909</v>
      </c>
      <c r="AJ33" s="9">
        <f t="shared" ref="AJ33:AK33" si="11">AJ31+AJ32</f>
        <v>68281</v>
      </c>
      <c r="AK33" s="9">
        <f t="shared" si="11"/>
        <v>64306</v>
      </c>
      <c r="AL33" s="9">
        <f t="shared" ref="AL33:AM33" si="12">AL31+AL32</f>
        <v>68735</v>
      </c>
      <c r="AM33" s="9">
        <f t="shared" si="12"/>
        <v>81698</v>
      </c>
      <c r="AN33" s="9">
        <f t="shared" ref="AN33" si="13">AN31+AN32</f>
        <v>86623</v>
      </c>
      <c r="AO33" s="9">
        <f t="shared" ref="AO33:AP33" si="14">AO31+AO32</f>
        <v>90762</v>
      </c>
      <c r="AP33" s="9">
        <f t="shared" si="14"/>
        <v>96114</v>
      </c>
      <c r="AQ33" s="9">
        <f t="shared" ref="AQ33:BJ33" si="15">AQ31+AQ32</f>
        <v>93496</v>
      </c>
      <c r="AR33" s="9">
        <f t="shared" si="15"/>
        <v>94005</v>
      </c>
      <c r="AS33" s="9">
        <f t="shared" si="15"/>
        <v>101127</v>
      </c>
      <c r="AT33" s="9">
        <f t="shared" si="15"/>
        <v>76559</v>
      </c>
      <c r="AU33" s="9">
        <f t="shared" si="15"/>
        <v>58158</v>
      </c>
      <c r="AV33" s="9">
        <f t="shared" si="15"/>
        <v>62286</v>
      </c>
      <c r="AW33" s="9">
        <f t="shared" si="15"/>
        <v>66608</v>
      </c>
      <c r="AX33" s="9">
        <f t="shared" si="15"/>
        <v>77794</v>
      </c>
      <c r="AY33" s="9">
        <f t="shared" si="15"/>
        <v>66517</v>
      </c>
      <c r="AZ33" s="9">
        <f t="shared" si="15"/>
        <v>89463</v>
      </c>
      <c r="BA33" s="9">
        <f t="shared" si="15"/>
        <v>105239.55</v>
      </c>
      <c r="BB33" s="9">
        <f t="shared" si="15"/>
        <v>113066.22</v>
      </c>
      <c r="BC33" s="9">
        <f t="shared" si="15"/>
        <v>118411.43412000002</v>
      </c>
      <c r="BD33" s="9">
        <f t="shared" si="15"/>
        <v>122989.22159160001</v>
      </c>
      <c r="BE33" s="9">
        <f t="shared" si="15"/>
        <v>126678.89823934803</v>
      </c>
      <c r="BF33" s="9">
        <f t="shared" si="15"/>
        <v>129380.80909383087</v>
      </c>
      <c r="BG33" s="9">
        <f t="shared" si="15"/>
        <v>132141.80815209425</v>
      </c>
      <c r="BH33" s="9">
        <f t="shared" si="15"/>
        <v>134963.22867781451</v>
      </c>
      <c r="BI33" s="9">
        <f t="shared" si="15"/>
        <v>137846.43514492951</v>
      </c>
      <c r="BJ33" s="9">
        <f t="shared" si="15"/>
        <v>140792.82399819358</v>
      </c>
    </row>
    <row r="34" spans="2:62" x14ac:dyDescent="0.3">
      <c r="B34" s="1" t="s">
        <v>18</v>
      </c>
      <c r="P34" s="7">
        <v>15123</v>
      </c>
      <c r="Q34" s="7">
        <v>14464</v>
      </c>
      <c r="R34" s="7">
        <v>16724</v>
      </c>
      <c r="S34" s="7">
        <v>12064</v>
      </c>
      <c r="T34" s="7">
        <v>12907</v>
      </c>
      <c r="U34" s="7">
        <v>18413</v>
      </c>
      <c r="V34" s="7">
        <v>14010</v>
      </c>
      <c r="W34" s="7">
        <v>14379</v>
      </c>
      <c r="X34" s="7">
        <v>17406</v>
      </c>
      <c r="Y34" s="7">
        <v>22737</v>
      </c>
      <c r="Z34" s="7">
        <v>19239</v>
      </c>
      <c r="AA34" s="7"/>
      <c r="AB34" s="7"/>
      <c r="AC34" s="7"/>
      <c r="AD34" s="7"/>
      <c r="AH34" s="7">
        <v>45375</v>
      </c>
      <c r="AI34" s="7">
        <v>41662</v>
      </c>
      <c r="AJ34" s="7">
        <v>47639</v>
      </c>
      <c r="AK34" s="7">
        <v>42194</v>
      </c>
      <c r="AL34" s="7">
        <v>46642</v>
      </c>
      <c r="AM34" s="7">
        <v>60309</v>
      </c>
      <c r="AN34" s="7">
        <v>65640</v>
      </c>
      <c r="AO34" s="7">
        <v>68551</v>
      </c>
      <c r="AP34" s="7">
        <v>73446</v>
      </c>
      <c r="AQ34" s="7">
        <v>71013</v>
      </c>
      <c r="AR34" s="7">
        <v>68879</v>
      </c>
      <c r="AS34" s="7">
        <v>72922</v>
      </c>
      <c r="AT34" s="7">
        <v>62877</v>
      </c>
      <c r="AU34" s="7">
        <v>54568</v>
      </c>
      <c r="AV34" s="7">
        <v>49954</v>
      </c>
      <c r="AW34" s="7">
        <v>53969</v>
      </c>
      <c r="AX34" s="7">
        <v>59864</v>
      </c>
      <c r="AY34" s="7">
        <v>57394</v>
      </c>
      <c r="AZ34" s="7">
        <f>SUM(W34:Z34)</f>
        <v>73761</v>
      </c>
      <c r="BA34" s="7">
        <f>BA31*0.9</f>
        <v>81384.479999999996</v>
      </c>
      <c r="BB34" s="7">
        <f>BB31*0.87</f>
        <v>84965.397120000009</v>
      </c>
      <c r="BC34" s="7">
        <f>BC31*0.85</f>
        <v>87162.778080000004</v>
      </c>
      <c r="BD34" s="7">
        <f>BD31*0.84</f>
        <v>89582.826977280012</v>
      </c>
      <c r="BE34" s="7">
        <f>BE31*0.83</f>
        <v>91171.855693900812</v>
      </c>
      <c r="BF34" s="7">
        <f>BF31*0.82</f>
        <v>91874.867593227289</v>
      </c>
      <c r="BG34" s="7">
        <f>BG31*0.81</f>
        <v>92569.531226249266</v>
      </c>
      <c r="BH34" s="7">
        <f>BH31*0.81</f>
        <v>94420.921850774263</v>
      </c>
      <c r="BI34" s="7">
        <f t="shared" ref="BI34:BJ34" si="16">BI31*0.81</f>
        <v>96309.340287789746</v>
      </c>
      <c r="BJ34" s="7">
        <f t="shared" si="16"/>
        <v>98235.527093545534</v>
      </c>
    </row>
    <row r="35" spans="2:62" x14ac:dyDescent="0.3">
      <c r="B35" s="1" t="s">
        <v>19</v>
      </c>
      <c r="P35" s="7">
        <v>2689</v>
      </c>
      <c r="Q35" s="7">
        <v>2475</v>
      </c>
      <c r="R35" s="7">
        <v>2597</v>
      </c>
      <c r="S35" s="7">
        <v>2629</v>
      </c>
      <c r="T35" s="7">
        <v>2730</v>
      </c>
      <c r="U35" s="7">
        <v>2934</v>
      </c>
      <c r="V35" s="7">
        <v>2821</v>
      </c>
      <c r="W35" s="7">
        <v>2700</v>
      </c>
      <c r="X35" s="7">
        <v>2908</v>
      </c>
      <c r="Y35" s="7">
        <v>2908</v>
      </c>
      <c r="Z35" s="7">
        <v>2897</v>
      </c>
      <c r="AA35" s="7"/>
      <c r="AB35" s="7"/>
      <c r="AC35" s="7"/>
      <c r="AD35" s="7"/>
      <c r="AH35" s="7">
        <f>7732+295</f>
        <v>8027</v>
      </c>
      <c r="AI35" s="7">
        <f>8467+223</f>
        <v>8690</v>
      </c>
      <c r="AJ35" s="7">
        <f>8726+175</f>
        <v>8901</v>
      </c>
      <c r="AK35" s="7">
        <f>9489+160</f>
        <v>9649</v>
      </c>
      <c r="AL35" s="7">
        <f>9097+128</f>
        <v>9225</v>
      </c>
      <c r="AM35" s="7">
        <f>8247+88</f>
        <v>8335</v>
      </c>
      <c r="AN35" s="7">
        <f>7553+75</f>
        <v>7628</v>
      </c>
      <c r="AO35" s="7">
        <f>8132+69</f>
        <v>8201</v>
      </c>
      <c r="AP35" s="7">
        <f>8578+64</f>
        <v>8642</v>
      </c>
      <c r="AQ35" s="7">
        <f>7954+59</f>
        <v>8013</v>
      </c>
      <c r="AR35" s="7">
        <f>7663+70</f>
        <v>7733</v>
      </c>
      <c r="AS35" s="7">
        <f>8499+69</f>
        <v>8568</v>
      </c>
      <c r="AT35" s="7">
        <f>9154+62</f>
        <v>9216</v>
      </c>
      <c r="AU35" s="7">
        <f>9232+43</f>
        <v>9275</v>
      </c>
      <c r="AV35" s="7">
        <f>9283+32</f>
        <v>9315</v>
      </c>
      <c r="AW35" s="7">
        <v>9109</v>
      </c>
      <c r="AX35" s="7">
        <v>10206</v>
      </c>
      <c r="AY35" s="7">
        <v>11114</v>
      </c>
      <c r="AZ35" s="7">
        <f>SUM(W35:Z35)</f>
        <v>11413</v>
      </c>
      <c r="BA35" s="7">
        <f t="shared" ref="BA35:BJ35" si="17">BA32*0.84</f>
        <v>12442.374</v>
      </c>
      <c r="BB35" s="7">
        <f t="shared" si="17"/>
        <v>12940.068960000001</v>
      </c>
      <c r="BC35" s="7">
        <f t="shared" si="17"/>
        <v>13328.2710288</v>
      </c>
      <c r="BD35" s="7">
        <f t="shared" si="17"/>
        <v>13728.119159664</v>
      </c>
      <c r="BE35" s="7">
        <f t="shared" si="17"/>
        <v>14139.96273445392</v>
      </c>
      <c r="BF35" s="7">
        <f t="shared" si="17"/>
        <v>14564.161616487538</v>
      </c>
      <c r="BG35" s="7">
        <f t="shared" si="17"/>
        <v>15001.086464982163</v>
      </c>
      <c r="BH35" s="7">
        <f t="shared" si="17"/>
        <v>15451.11905893163</v>
      </c>
      <c r="BI35" s="7">
        <f t="shared" si="17"/>
        <v>15914.65263069958</v>
      </c>
      <c r="BJ35" s="7">
        <f t="shared" si="17"/>
        <v>16392.092209620569</v>
      </c>
    </row>
    <row r="36" spans="2:62" x14ac:dyDescent="0.3">
      <c r="B36" s="1" t="s">
        <v>14</v>
      </c>
      <c r="P36" s="7">
        <f t="shared" ref="P36:W36" si="18">P34+P35</f>
        <v>17812</v>
      </c>
      <c r="Q36" s="7">
        <f t="shared" si="18"/>
        <v>16939</v>
      </c>
      <c r="R36" s="7">
        <f t="shared" si="18"/>
        <v>19321</v>
      </c>
      <c r="S36" s="7">
        <f t="shared" si="18"/>
        <v>14693</v>
      </c>
      <c r="T36" s="7">
        <f t="shared" si="18"/>
        <v>15637</v>
      </c>
      <c r="U36" s="7">
        <f t="shared" si="18"/>
        <v>21347</v>
      </c>
      <c r="V36" s="7">
        <f t="shared" si="18"/>
        <v>16831</v>
      </c>
      <c r="W36" s="7">
        <f t="shared" si="18"/>
        <v>17079</v>
      </c>
      <c r="X36" s="7">
        <f t="shared" ref="X36" si="19">X34+X35</f>
        <v>20314</v>
      </c>
      <c r="Y36" s="7">
        <f t="shared" ref="Y36" si="20">Y34+Y35</f>
        <v>25645</v>
      </c>
      <c r="Z36" s="7">
        <f t="shared" ref="Z36" si="21">Z34+Z35</f>
        <v>22136</v>
      </c>
      <c r="AA36" s="7"/>
      <c r="AB36" s="7"/>
      <c r="AC36" s="7"/>
      <c r="AD36" s="7"/>
      <c r="AH36" s="7">
        <f t="shared" ref="AH36:AI36" si="22">AH34+AH35</f>
        <v>53402</v>
      </c>
      <c r="AI36" s="7">
        <f t="shared" si="22"/>
        <v>50352</v>
      </c>
      <c r="AJ36" s="7">
        <f t="shared" ref="AJ36:AK36" si="23">AJ34+AJ35</f>
        <v>56540</v>
      </c>
      <c r="AK36" s="7">
        <f t="shared" si="23"/>
        <v>51843</v>
      </c>
      <c r="AL36" s="7">
        <f t="shared" ref="AL36:AM36" si="24">AL34+AL35</f>
        <v>55867</v>
      </c>
      <c r="AM36" s="7">
        <f t="shared" si="24"/>
        <v>68644</v>
      </c>
      <c r="AN36" s="7">
        <f t="shared" ref="AN36" si="25">AN34+AN35</f>
        <v>73268</v>
      </c>
      <c r="AO36" s="7">
        <f t="shared" ref="AO36:AP36" si="26">AO34+AO35</f>
        <v>76752</v>
      </c>
      <c r="AP36" s="7">
        <f t="shared" si="26"/>
        <v>82088</v>
      </c>
      <c r="AQ36" s="7">
        <f t="shared" ref="AQ36:BJ36" si="27">AQ34+AQ35</f>
        <v>79026</v>
      </c>
      <c r="AR36" s="7">
        <f t="shared" si="27"/>
        <v>76612</v>
      </c>
      <c r="AS36" s="7">
        <f t="shared" si="27"/>
        <v>81490</v>
      </c>
      <c r="AT36" s="7">
        <f t="shared" si="27"/>
        <v>72093</v>
      </c>
      <c r="AU36" s="7">
        <f t="shared" si="27"/>
        <v>63843</v>
      </c>
      <c r="AV36" s="7">
        <f t="shared" si="27"/>
        <v>59269</v>
      </c>
      <c r="AW36" s="7">
        <f t="shared" si="27"/>
        <v>63078</v>
      </c>
      <c r="AX36" s="7">
        <f t="shared" si="27"/>
        <v>70070</v>
      </c>
      <c r="AY36" s="7">
        <f t="shared" si="27"/>
        <v>68508</v>
      </c>
      <c r="AZ36" s="7">
        <f t="shared" si="27"/>
        <v>85174</v>
      </c>
      <c r="BA36" s="7">
        <f t="shared" si="27"/>
        <v>93826.853999999992</v>
      </c>
      <c r="BB36" s="7">
        <f t="shared" si="27"/>
        <v>97905.466080000013</v>
      </c>
      <c r="BC36" s="7">
        <f t="shared" si="27"/>
        <v>100491.0491088</v>
      </c>
      <c r="BD36" s="7">
        <f t="shared" si="27"/>
        <v>103310.94613694401</v>
      </c>
      <c r="BE36" s="7">
        <f t="shared" si="27"/>
        <v>105311.81842835473</v>
      </c>
      <c r="BF36" s="7">
        <f t="shared" si="27"/>
        <v>106439.02920971482</v>
      </c>
      <c r="BG36" s="7">
        <f t="shared" si="27"/>
        <v>107570.61769123143</v>
      </c>
      <c r="BH36" s="7">
        <f t="shared" si="27"/>
        <v>109872.04090970589</v>
      </c>
      <c r="BI36" s="7">
        <f t="shared" si="27"/>
        <v>112223.99291848933</v>
      </c>
      <c r="BJ36" s="7">
        <f t="shared" si="27"/>
        <v>114627.61930316611</v>
      </c>
    </row>
    <row r="37" spans="2:62" s="3" customFormat="1" x14ac:dyDescent="0.3">
      <c r="B37" s="3" t="s">
        <v>15</v>
      </c>
      <c r="P37" s="9">
        <f t="shared" ref="P37:W37" si="28">P33-P36</f>
        <v>1939</v>
      </c>
      <c r="Q37" s="9">
        <f t="shared" si="28"/>
        <v>1165</v>
      </c>
      <c r="R37" s="9">
        <f t="shared" si="28"/>
        <v>2697</v>
      </c>
      <c r="S37" s="9">
        <f t="shared" si="28"/>
        <v>1876</v>
      </c>
      <c r="T37" s="9">
        <f t="shared" si="28"/>
        <v>1229</v>
      </c>
      <c r="U37" s="9">
        <f t="shared" si="28"/>
        <v>-3507</v>
      </c>
      <c r="V37" s="9">
        <f t="shared" si="28"/>
        <v>-1589</v>
      </c>
      <c r="W37" s="9">
        <f t="shared" si="28"/>
        <v>2417</v>
      </c>
      <c r="X37" s="9">
        <f t="shared" ref="X37" si="29">X33-X36</f>
        <v>2435</v>
      </c>
      <c r="Y37" s="9">
        <f t="shared" ref="Y37" si="30">Y33-Y36</f>
        <v>-2375</v>
      </c>
      <c r="Z37" s="9">
        <f t="shared" ref="Z37" si="31">Z33-Z36</f>
        <v>1812</v>
      </c>
      <c r="AA37" s="9"/>
      <c r="AB37" s="9"/>
      <c r="AC37" s="9"/>
      <c r="AD37" s="9"/>
      <c r="AH37" s="9">
        <f t="shared" ref="AH37:AI37" si="32">AH33-AH36</f>
        <v>12985</v>
      </c>
      <c r="AI37" s="9">
        <f t="shared" si="32"/>
        <v>10557</v>
      </c>
      <c r="AJ37" s="9">
        <f t="shared" ref="AJ37:AK37" si="33">AJ33-AJ36</f>
        <v>11741</v>
      </c>
      <c r="AK37" s="9">
        <f t="shared" si="33"/>
        <v>12463</v>
      </c>
      <c r="AL37" s="9">
        <f t="shared" ref="AL37:AM37" si="34">AL33-AL36</f>
        <v>12868</v>
      </c>
      <c r="AM37" s="9">
        <f t="shared" si="34"/>
        <v>13054</v>
      </c>
      <c r="AN37" s="9">
        <f t="shared" ref="AN37" si="35">AN33-AN36</f>
        <v>13355</v>
      </c>
      <c r="AO37" s="9">
        <f t="shared" ref="AO37:AP37" si="36">AO33-AO36</f>
        <v>14010</v>
      </c>
      <c r="AP37" s="9">
        <f t="shared" si="36"/>
        <v>14026</v>
      </c>
      <c r="AQ37" s="9">
        <f t="shared" ref="AQ37:BJ37" si="37">AQ33-AQ36</f>
        <v>14470</v>
      </c>
      <c r="AR37" s="9">
        <f t="shared" si="37"/>
        <v>17393</v>
      </c>
      <c r="AS37" s="9">
        <f t="shared" si="37"/>
        <v>19637</v>
      </c>
      <c r="AT37" s="9">
        <f t="shared" si="37"/>
        <v>4466</v>
      </c>
      <c r="AU37" s="9">
        <f t="shared" si="37"/>
        <v>-5685</v>
      </c>
      <c r="AV37" s="9">
        <f t="shared" si="37"/>
        <v>3017</v>
      </c>
      <c r="AW37" s="9">
        <f t="shared" si="37"/>
        <v>3530</v>
      </c>
      <c r="AX37" s="9">
        <f t="shared" si="37"/>
        <v>7724</v>
      </c>
      <c r="AY37" s="9">
        <f t="shared" si="37"/>
        <v>-1991</v>
      </c>
      <c r="AZ37" s="9">
        <f t="shared" si="37"/>
        <v>4289</v>
      </c>
      <c r="BA37" s="9">
        <f t="shared" si="37"/>
        <v>11412.696000000011</v>
      </c>
      <c r="BB37" s="9">
        <f t="shared" si="37"/>
        <v>15160.753919999988</v>
      </c>
      <c r="BC37" s="9">
        <f t="shared" si="37"/>
        <v>17920.385011200022</v>
      </c>
      <c r="BD37" s="9">
        <f t="shared" si="37"/>
        <v>19678.275454656003</v>
      </c>
      <c r="BE37" s="9">
        <f t="shared" si="37"/>
        <v>21367.079810993295</v>
      </c>
      <c r="BF37" s="9">
        <f t="shared" si="37"/>
        <v>22941.779884116055</v>
      </c>
      <c r="BG37" s="9">
        <f t="shared" si="37"/>
        <v>24571.190460862825</v>
      </c>
      <c r="BH37" s="9">
        <f t="shared" si="37"/>
        <v>25091.187768108619</v>
      </c>
      <c r="BI37" s="9">
        <f t="shared" si="37"/>
        <v>25622.44222644018</v>
      </c>
      <c r="BJ37" s="9">
        <f t="shared" si="37"/>
        <v>26165.204695027467</v>
      </c>
    </row>
    <row r="38" spans="2:62" x14ac:dyDescent="0.3">
      <c r="B38" s="1" t="s">
        <v>20</v>
      </c>
      <c r="P38" s="7">
        <v>-44</v>
      </c>
      <c r="Q38" s="7">
        <v>-28</v>
      </c>
      <c r="R38" s="7">
        <v>-1</v>
      </c>
      <c r="S38" s="7">
        <v>-67</v>
      </c>
      <c r="T38" s="7">
        <v>-7</v>
      </c>
      <c r="U38" s="7">
        <v>15</v>
      </c>
      <c r="V38" s="7">
        <v>-12</v>
      </c>
      <c r="W38" s="7">
        <v>-3</v>
      </c>
      <c r="X38" s="7">
        <v>-25</v>
      </c>
      <c r="Y38" s="7">
        <v>-14</v>
      </c>
      <c r="Z38" s="7">
        <v>17</v>
      </c>
      <c r="AA38" s="7"/>
      <c r="AB38" s="7"/>
      <c r="AC38" s="7"/>
      <c r="AD38" s="7"/>
      <c r="AH38" s="7">
        <v>-188</v>
      </c>
      <c r="AI38" s="7">
        <v>-241</v>
      </c>
      <c r="AJ38" s="7">
        <v>-249</v>
      </c>
      <c r="AK38" s="7">
        <v>-267</v>
      </c>
      <c r="AL38" s="7">
        <v>-278</v>
      </c>
      <c r="AM38" s="7">
        <v>-268</v>
      </c>
      <c r="AN38" s="7">
        <v>-214</v>
      </c>
      <c r="AO38" s="7">
        <v>-287</v>
      </c>
      <c r="AP38" s="7">
        <v>-274</v>
      </c>
      <c r="AQ38" s="7">
        <v>-303</v>
      </c>
      <c r="AR38" s="7">
        <f>-204</f>
        <v>-204</v>
      </c>
      <c r="AS38" s="7">
        <v>-111</v>
      </c>
      <c r="AT38" s="7">
        <v>4</v>
      </c>
      <c r="AU38" s="7">
        <v>-9</v>
      </c>
      <c r="AV38" s="7">
        <v>-210</v>
      </c>
      <c r="AW38" s="7">
        <v>16</v>
      </c>
      <c r="AX38" s="7">
        <v>-46</v>
      </c>
      <c r="AY38" s="7">
        <v>-71</v>
      </c>
      <c r="AZ38" s="7">
        <f>SUM(W38:Z38)</f>
        <v>-25</v>
      </c>
      <c r="BA38" s="7">
        <v>0</v>
      </c>
      <c r="BB38" s="7">
        <v>0</v>
      </c>
      <c r="BC38" s="7">
        <v>0</v>
      </c>
      <c r="BD38" s="7">
        <v>0</v>
      </c>
      <c r="BE38" s="7">
        <v>0</v>
      </c>
      <c r="BF38" s="7">
        <v>0</v>
      </c>
      <c r="BG38" s="7">
        <v>0</v>
      </c>
      <c r="BH38" s="7">
        <v>0</v>
      </c>
      <c r="BI38" s="7">
        <v>0</v>
      </c>
      <c r="BJ38" s="7">
        <v>0</v>
      </c>
    </row>
    <row r="39" spans="2:62" x14ac:dyDescent="0.3">
      <c r="B39" s="1" t="s">
        <v>21</v>
      </c>
      <c r="P39" s="7">
        <v>1286</v>
      </c>
      <c r="Q39" s="7">
        <v>1043</v>
      </c>
      <c r="R39" s="7">
        <v>1535</v>
      </c>
      <c r="S39" s="7">
        <v>1161</v>
      </c>
      <c r="T39" s="7">
        <v>1377</v>
      </c>
      <c r="U39" s="7">
        <v>1085</v>
      </c>
      <c r="V39" s="7">
        <v>1398</v>
      </c>
      <c r="W39" s="7">
        <v>1112</v>
      </c>
      <c r="X39" s="7">
        <v>1793</v>
      </c>
      <c r="Y39" s="7">
        <v>1522</v>
      </c>
      <c r="Z39" s="7">
        <v>1663</v>
      </c>
      <c r="AA39" s="7"/>
      <c r="AB39" s="7"/>
      <c r="AC39" s="7"/>
      <c r="AD39" s="7"/>
      <c r="AH39" s="7">
        <v>3531</v>
      </c>
      <c r="AI39" s="7">
        <v>3084</v>
      </c>
      <c r="AJ39" s="7">
        <v>3364</v>
      </c>
      <c r="AK39" s="7">
        <v>3644</v>
      </c>
      <c r="AL39" s="7">
        <v>3408</v>
      </c>
      <c r="AM39" s="7">
        <v>3717</v>
      </c>
      <c r="AN39" s="7">
        <v>3956</v>
      </c>
      <c r="AO39" s="7">
        <v>3767</v>
      </c>
      <c r="AP39" s="7">
        <v>3525</v>
      </c>
      <c r="AQ39" s="7">
        <v>3613</v>
      </c>
      <c r="AR39" s="7">
        <v>4095</v>
      </c>
      <c r="AS39" s="7">
        <v>4567</v>
      </c>
      <c r="AT39" s="7">
        <v>3909</v>
      </c>
      <c r="AU39" s="7">
        <v>4817</v>
      </c>
      <c r="AV39" s="7">
        <v>4157</v>
      </c>
      <c r="AW39" s="7">
        <v>4187</v>
      </c>
      <c r="AX39" s="7">
        <v>5168</v>
      </c>
      <c r="AY39" s="7">
        <v>5021</v>
      </c>
      <c r="AZ39" s="7">
        <f>SUM(W39:Z39)</f>
        <v>6090</v>
      </c>
      <c r="BA39" s="7">
        <f t="shared" ref="BA39:BJ40" si="38">AZ39*1.01</f>
        <v>6150.9</v>
      </c>
      <c r="BB39" s="7">
        <f t="shared" si="38"/>
        <v>6212.4089999999997</v>
      </c>
      <c r="BC39" s="7">
        <f t="shared" si="38"/>
        <v>6274.5330899999999</v>
      </c>
      <c r="BD39" s="7">
        <f t="shared" si="38"/>
        <v>6337.2784209000001</v>
      </c>
      <c r="BE39" s="7">
        <f t="shared" si="38"/>
        <v>6400.6512051090003</v>
      </c>
      <c r="BF39" s="7">
        <f t="shared" si="38"/>
        <v>6464.6577171600902</v>
      </c>
      <c r="BG39" s="7">
        <f t="shared" si="38"/>
        <v>6529.3042943316914</v>
      </c>
      <c r="BH39" s="7">
        <f t="shared" si="38"/>
        <v>6594.5973372750086</v>
      </c>
      <c r="BI39" s="7">
        <f t="shared" si="38"/>
        <v>6660.5433106477585</v>
      </c>
      <c r="BJ39" s="7">
        <f t="shared" si="38"/>
        <v>6727.1487437542364</v>
      </c>
    </row>
    <row r="40" spans="2:62" x14ac:dyDescent="0.3">
      <c r="B40" s="1" t="s">
        <v>22</v>
      </c>
      <c r="P40" s="7">
        <v>797</v>
      </c>
      <c r="Q40" s="7">
        <v>958</v>
      </c>
      <c r="R40" s="7">
        <v>881</v>
      </c>
      <c r="S40" s="7">
        <v>868</v>
      </c>
      <c r="T40" s="7">
        <v>954</v>
      </c>
      <c r="U40" s="7">
        <v>1154</v>
      </c>
      <c r="V40" s="7">
        <v>836</v>
      </c>
      <c r="W40" s="7">
        <v>844</v>
      </c>
      <c r="X40" s="7">
        <v>910</v>
      </c>
      <c r="Y40" s="7">
        <v>897</v>
      </c>
      <c r="Z40" s="7">
        <v>964</v>
      </c>
      <c r="AA40" s="7"/>
      <c r="AB40" s="7"/>
      <c r="AC40" s="7"/>
      <c r="AD40" s="7"/>
      <c r="AH40" s="7">
        <v>3850</v>
      </c>
      <c r="AI40" s="7">
        <v>3768</v>
      </c>
      <c r="AJ40" s="7">
        <v>6506</v>
      </c>
      <c r="AK40" s="7">
        <v>4121</v>
      </c>
      <c r="AL40" s="7">
        <v>3918</v>
      </c>
      <c r="AM40" s="7">
        <v>3298</v>
      </c>
      <c r="AN40" s="7">
        <v>3071</v>
      </c>
      <c r="AO40" s="7">
        <v>3047</v>
      </c>
      <c r="AP40" s="7">
        <v>3331</v>
      </c>
      <c r="AQ40" s="7">
        <v>4626</v>
      </c>
      <c r="AR40" s="7">
        <v>3179</v>
      </c>
      <c r="AS40" s="7">
        <v>3269</v>
      </c>
      <c r="AT40" s="7">
        <v>3219</v>
      </c>
      <c r="AU40" s="7">
        <v>2476</v>
      </c>
      <c r="AV40" s="7">
        <v>2249</v>
      </c>
      <c r="AW40" s="7">
        <v>2852</v>
      </c>
      <c r="AX40" s="7">
        <v>3377</v>
      </c>
      <c r="AY40" s="7">
        <v>3812</v>
      </c>
      <c r="AZ40" s="7">
        <f>SUM(W40:Z40)</f>
        <v>3615</v>
      </c>
      <c r="BA40" s="7">
        <f t="shared" ref="BA40:BD40" si="39">AZ40*1.02</f>
        <v>3687.3</v>
      </c>
      <c r="BB40" s="7">
        <f t="shared" si="39"/>
        <v>3761.0460000000003</v>
      </c>
      <c r="BC40" s="7">
        <f t="shared" si="39"/>
        <v>3836.2669200000005</v>
      </c>
      <c r="BD40" s="7">
        <f t="shared" si="39"/>
        <v>3912.9922584000005</v>
      </c>
      <c r="BE40" s="7">
        <f>BD40*1.01</f>
        <v>3952.1221809840004</v>
      </c>
      <c r="BF40" s="7">
        <f t="shared" si="38"/>
        <v>3991.6434027938403</v>
      </c>
      <c r="BG40" s="7">
        <f t="shared" si="38"/>
        <v>4031.5598368217788</v>
      </c>
      <c r="BH40" s="7">
        <f t="shared" si="38"/>
        <v>4071.8754351899966</v>
      </c>
      <c r="BI40" s="7">
        <f t="shared" si="38"/>
        <v>4112.5941895418964</v>
      </c>
      <c r="BJ40" s="7">
        <f t="shared" si="38"/>
        <v>4153.7201314373151</v>
      </c>
    </row>
    <row r="41" spans="2:62" x14ac:dyDescent="0.3">
      <c r="B41" s="1" t="s">
        <v>79</v>
      </c>
      <c r="P41" s="7">
        <v>-1</v>
      </c>
      <c r="Q41" s="7">
        <v>0</v>
      </c>
      <c r="R41" s="7">
        <v>-1</v>
      </c>
      <c r="S41" s="7">
        <v>0</v>
      </c>
      <c r="T41" s="7">
        <v>-5</v>
      </c>
      <c r="U41" s="7">
        <v>0</v>
      </c>
      <c r="V41" s="7">
        <v>-41</v>
      </c>
      <c r="W41" s="7">
        <v>3</v>
      </c>
      <c r="X41" s="7">
        <v>-67</v>
      </c>
      <c r="Y41" s="7">
        <v>1</v>
      </c>
      <c r="Z41" s="7">
        <v>-9609</v>
      </c>
      <c r="AA41" s="7"/>
      <c r="AB41" s="7"/>
      <c r="AC41" s="7"/>
      <c r="AD41" s="7"/>
      <c r="AH41" s="7">
        <v>-38</v>
      </c>
      <c r="AI41" s="7">
        <v>-4</v>
      </c>
      <c r="AJ41" s="7">
        <v>24</v>
      </c>
      <c r="AK41" s="7">
        <v>-6</v>
      </c>
      <c r="AL41" s="7">
        <v>-24</v>
      </c>
      <c r="AM41" s="7">
        <v>-4</v>
      </c>
      <c r="AN41" s="7">
        <v>-20</v>
      </c>
      <c r="AO41" s="7">
        <v>10</v>
      </c>
      <c r="AP41" s="7">
        <v>1</v>
      </c>
      <c r="AQ41" s="7">
        <v>7</v>
      </c>
      <c r="AR41" s="7">
        <v>-21</v>
      </c>
      <c r="AS41" s="7">
        <v>-75</v>
      </c>
      <c r="AT41" s="7">
        <v>-691</v>
      </c>
      <c r="AU41" s="7">
        <v>-202</v>
      </c>
      <c r="AV41" s="7">
        <v>-277</v>
      </c>
      <c r="AW41" s="7">
        <v>-6</v>
      </c>
      <c r="AX41" s="7">
        <v>-2</v>
      </c>
      <c r="AY41" s="7">
        <v>-46</v>
      </c>
      <c r="AZ41" s="7">
        <f>SUM(W41:Z41)</f>
        <v>-9672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</row>
    <row r="42" spans="2:62" x14ac:dyDescent="0.3">
      <c r="B42" s="1" t="s">
        <v>23</v>
      </c>
      <c r="P42" s="7">
        <f t="shared" ref="P42:W42" si="40">SUM(P38:P41)</f>
        <v>2038</v>
      </c>
      <c r="Q42" s="7">
        <f t="shared" si="40"/>
        <v>1973</v>
      </c>
      <c r="R42" s="7">
        <f t="shared" si="40"/>
        <v>2414</v>
      </c>
      <c r="S42" s="7">
        <f t="shared" si="40"/>
        <v>1962</v>
      </c>
      <c r="T42" s="7">
        <f t="shared" si="40"/>
        <v>2319</v>
      </c>
      <c r="U42" s="7">
        <f t="shared" si="40"/>
        <v>2254</v>
      </c>
      <c r="V42" s="7">
        <f t="shared" si="40"/>
        <v>2181</v>
      </c>
      <c r="W42" s="7">
        <f t="shared" si="40"/>
        <v>1956</v>
      </c>
      <c r="X42" s="7">
        <f t="shared" ref="X42" si="41">SUM(X38:X41)</f>
        <v>2611</v>
      </c>
      <c r="Y42" s="7">
        <f t="shared" ref="Y42" si="42">SUM(Y38:Y41)</f>
        <v>2406</v>
      </c>
      <c r="Z42" s="7">
        <f t="shared" ref="Z42" si="43">SUM(Z38:Z41)</f>
        <v>-6965</v>
      </c>
      <c r="AA42" s="7"/>
      <c r="AB42" s="7"/>
      <c r="AC42" s="7"/>
      <c r="AD42" s="7"/>
      <c r="AH42" s="7">
        <f t="shared" ref="AH42:AI42" si="44">SUM(AH38:AH41)</f>
        <v>7155</v>
      </c>
      <c r="AI42" s="7">
        <f t="shared" si="44"/>
        <v>6607</v>
      </c>
      <c r="AJ42" s="7">
        <f t="shared" ref="AJ42:AK42" si="45">SUM(AJ38:AJ41)</f>
        <v>9645</v>
      </c>
      <c r="AK42" s="7">
        <f t="shared" si="45"/>
        <v>7492</v>
      </c>
      <c r="AL42" s="7">
        <f t="shared" ref="AL42:AM42" si="46">SUM(AL38:AL41)</f>
        <v>7024</v>
      </c>
      <c r="AM42" s="7">
        <f t="shared" si="46"/>
        <v>6743</v>
      </c>
      <c r="AN42" s="7">
        <f t="shared" ref="AN42" si="47">SUM(AN38:AN41)</f>
        <v>6793</v>
      </c>
      <c r="AO42" s="7">
        <f t="shared" ref="AO42:AP42" si="48">SUM(AO38:AO41)</f>
        <v>6537</v>
      </c>
      <c r="AP42" s="7">
        <f t="shared" si="48"/>
        <v>6583</v>
      </c>
      <c r="AQ42" s="7">
        <f t="shared" ref="AQ42:BJ42" si="49">SUM(AQ38:AQ41)</f>
        <v>7943</v>
      </c>
      <c r="AR42" s="7">
        <f t="shared" si="49"/>
        <v>7049</v>
      </c>
      <c r="AS42" s="7">
        <f t="shared" si="49"/>
        <v>7650</v>
      </c>
      <c r="AT42" s="7">
        <f t="shared" si="49"/>
        <v>6441</v>
      </c>
      <c r="AU42" s="7">
        <f t="shared" si="49"/>
        <v>7082</v>
      </c>
      <c r="AV42" s="7">
        <f t="shared" si="49"/>
        <v>5919</v>
      </c>
      <c r="AW42" s="7">
        <f t="shared" si="49"/>
        <v>7049</v>
      </c>
      <c r="AX42" s="7">
        <f t="shared" si="49"/>
        <v>8497</v>
      </c>
      <c r="AY42" s="7">
        <f t="shared" si="49"/>
        <v>8716</v>
      </c>
      <c r="AZ42" s="7">
        <f t="shared" si="49"/>
        <v>8</v>
      </c>
      <c r="BA42" s="7">
        <f t="shared" si="49"/>
        <v>9838.2000000000007</v>
      </c>
      <c r="BB42" s="7">
        <f t="shared" si="49"/>
        <v>9973.4549999999999</v>
      </c>
      <c r="BC42" s="7">
        <f t="shared" si="49"/>
        <v>10110.800010000001</v>
      </c>
      <c r="BD42" s="7">
        <f t="shared" si="49"/>
        <v>10250.2706793</v>
      </c>
      <c r="BE42" s="7">
        <f t="shared" si="49"/>
        <v>10352.773386093</v>
      </c>
      <c r="BF42" s="7">
        <f t="shared" si="49"/>
        <v>10456.301119953931</v>
      </c>
      <c r="BG42" s="7">
        <f t="shared" si="49"/>
        <v>10560.86413115347</v>
      </c>
      <c r="BH42" s="7">
        <f t="shared" si="49"/>
        <v>10666.472772465006</v>
      </c>
      <c r="BI42" s="7">
        <f t="shared" si="49"/>
        <v>10773.137500189656</v>
      </c>
      <c r="BJ42" s="7">
        <f t="shared" si="49"/>
        <v>10880.868875191551</v>
      </c>
    </row>
    <row r="43" spans="2:62" s="3" customFormat="1" x14ac:dyDescent="0.3">
      <c r="B43" s="3" t="s">
        <v>24</v>
      </c>
      <c r="P43" s="9">
        <f t="shared" ref="P43:W43" si="50">P37-P42</f>
        <v>-99</v>
      </c>
      <c r="Q43" s="9">
        <f t="shared" si="50"/>
        <v>-808</v>
      </c>
      <c r="R43" s="9">
        <f t="shared" si="50"/>
        <v>283</v>
      </c>
      <c r="S43" s="9">
        <f t="shared" si="50"/>
        <v>-86</v>
      </c>
      <c r="T43" s="9">
        <f t="shared" si="50"/>
        <v>-1090</v>
      </c>
      <c r="U43" s="9">
        <f t="shared" si="50"/>
        <v>-5761</v>
      </c>
      <c r="V43" s="9">
        <f t="shared" si="50"/>
        <v>-3770</v>
      </c>
      <c r="W43" s="9">
        <f t="shared" si="50"/>
        <v>461</v>
      </c>
      <c r="X43" s="9">
        <f t="shared" ref="X43" si="51">X37-X42</f>
        <v>-176</v>
      </c>
      <c r="Y43" s="9">
        <f t="shared" ref="Y43" si="52">Y37-Y42</f>
        <v>-4781</v>
      </c>
      <c r="Z43" s="9">
        <f t="shared" ref="Z43" si="53">Z37-Z42</f>
        <v>8777</v>
      </c>
      <c r="AA43" s="9"/>
      <c r="AB43" s="9"/>
      <c r="AC43" s="9"/>
      <c r="AD43" s="9"/>
      <c r="AH43" s="9">
        <f t="shared" ref="AH43:AI43" si="54">AH37-AH42</f>
        <v>5830</v>
      </c>
      <c r="AI43" s="9">
        <f t="shared" si="54"/>
        <v>3950</v>
      </c>
      <c r="AJ43" s="9">
        <f t="shared" ref="AJ43:AK43" si="55">AJ37-AJ42</f>
        <v>2096</v>
      </c>
      <c r="AK43" s="9">
        <f t="shared" si="55"/>
        <v>4971</v>
      </c>
      <c r="AL43" s="9">
        <f t="shared" ref="AL43:AM43" si="56">AL37-AL42</f>
        <v>5844</v>
      </c>
      <c r="AM43" s="9">
        <f t="shared" si="56"/>
        <v>6311</v>
      </c>
      <c r="AN43" s="9">
        <f t="shared" ref="AN43" si="57">AN37-AN42</f>
        <v>6562</v>
      </c>
      <c r="AO43" s="9">
        <f t="shared" ref="AO43:AP43" si="58">AO37-AO42</f>
        <v>7473</v>
      </c>
      <c r="AP43" s="9">
        <f t="shared" si="58"/>
        <v>7443</v>
      </c>
      <c r="AQ43" s="9">
        <f t="shared" ref="AQ43:BJ43" si="59">AQ37-AQ42</f>
        <v>6527</v>
      </c>
      <c r="AR43" s="9">
        <f t="shared" si="59"/>
        <v>10344</v>
      </c>
      <c r="AS43" s="9">
        <f t="shared" si="59"/>
        <v>11987</v>
      </c>
      <c r="AT43" s="9">
        <f t="shared" si="59"/>
        <v>-1975</v>
      </c>
      <c r="AU43" s="9">
        <f t="shared" si="59"/>
        <v>-12767</v>
      </c>
      <c r="AV43" s="9">
        <f t="shared" si="59"/>
        <v>-2902</v>
      </c>
      <c r="AW43" s="9">
        <f t="shared" si="59"/>
        <v>-3519</v>
      </c>
      <c r="AX43" s="9">
        <f t="shared" si="59"/>
        <v>-773</v>
      </c>
      <c r="AY43" s="9">
        <f t="shared" si="59"/>
        <v>-10707</v>
      </c>
      <c r="AZ43" s="9">
        <f t="shared" si="59"/>
        <v>4281</v>
      </c>
      <c r="BA43" s="9">
        <f t="shared" si="59"/>
        <v>1574.4960000000101</v>
      </c>
      <c r="BB43" s="9">
        <f t="shared" si="59"/>
        <v>5187.2989199999884</v>
      </c>
      <c r="BC43" s="9">
        <f t="shared" si="59"/>
        <v>7809.585001200021</v>
      </c>
      <c r="BD43" s="9">
        <f t="shared" si="59"/>
        <v>9428.0047753560029</v>
      </c>
      <c r="BE43" s="9">
        <f t="shared" si="59"/>
        <v>11014.306424900295</v>
      </c>
      <c r="BF43" s="9">
        <f t="shared" si="59"/>
        <v>12485.478764162124</v>
      </c>
      <c r="BG43" s="9">
        <f t="shared" si="59"/>
        <v>14010.326329709354</v>
      </c>
      <c r="BH43" s="9">
        <f t="shared" si="59"/>
        <v>14424.714995643613</v>
      </c>
      <c r="BI43" s="9">
        <f t="shared" si="59"/>
        <v>14849.304726250524</v>
      </c>
      <c r="BJ43" s="9">
        <f t="shared" si="59"/>
        <v>15284.335819835916</v>
      </c>
    </row>
    <row r="44" spans="2:62" x14ac:dyDescent="0.3">
      <c r="B44" s="1" t="s">
        <v>25</v>
      </c>
      <c r="P44" s="7">
        <v>-320</v>
      </c>
      <c r="Q44" s="7">
        <v>-297</v>
      </c>
      <c r="R44" s="7">
        <v>-308</v>
      </c>
      <c r="S44" s="7">
        <v>-277</v>
      </c>
      <c r="T44" s="7">
        <v>-248</v>
      </c>
      <c r="U44" s="7">
        <v>-265</v>
      </c>
      <c r="V44" s="7">
        <v>-432</v>
      </c>
      <c r="W44" s="7">
        <v>-323</v>
      </c>
      <c r="X44" s="7">
        <v>-325</v>
      </c>
      <c r="Y44" s="7">
        <v>-276</v>
      </c>
      <c r="Z44" s="7">
        <v>-201</v>
      </c>
      <c r="AA44" s="7"/>
      <c r="AB44" s="7"/>
      <c r="AC44" s="7"/>
      <c r="AD44" s="7"/>
      <c r="AH44" s="7">
        <v>-484</v>
      </c>
      <c r="AI44" s="7">
        <v>-247</v>
      </c>
      <c r="AJ44" s="7">
        <v>26</v>
      </c>
      <c r="AK44" s="7">
        <v>-52</v>
      </c>
      <c r="AL44" s="7">
        <v>-47</v>
      </c>
      <c r="AM44" s="7">
        <v>-62</v>
      </c>
      <c r="AN44" s="7">
        <v>-56</v>
      </c>
      <c r="AO44" s="7">
        <v>3</v>
      </c>
      <c r="AP44" s="7">
        <v>13</v>
      </c>
      <c r="AQ44" s="7">
        <v>438</v>
      </c>
      <c r="AR44" s="7">
        <v>-123</v>
      </c>
      <c r="AS44" s="7">
        <v>-92</v>
      </c>
      <c r="AT44" s="7">
        <v>-438</v>
      </c>
      <c r="AU44" s="7">
        <v>-447</v>
      </c>
      <c r="AV44" s="7">
        <v>-551</v>
      </c>
      <c r="AW44" s="7">
        <v>-1058</v>
      </c>
      <c r="AX44" s="7">
        <v>-1227</v>
      </c>
      <c r="AY44" s="7">
        <v>-1222</v>
      </c>
      <c r="AZ44" s="7">
        <f>SUM(W44:Z44)</f>
        <v>-1125</v>
      </c>
      <c r="BA44" s="7">
        <f t="shared" ref="BA44:BJ44" si="60">AZ44*1.02</f>
        <v>-1147.5</v>
      </c>
      <c r="BB44" s="7">
        <f t="shared" si="60"/>
        <v>-1170.45</v>
      </c>
      <c r="BC44" s="7">
        <f t="shared" si="60"/>
        <v>-1193.8590000000002</v>
      </c>
      <c r="BD44" s="7">
        <f t="shared" si="60"/>
        <v>-1217.7361800000001</v>
      </c>
      <c r="BE44" s="7">
        <f t="shared" si="60"/>
        <v>-1242.0909036</v>
      </c>
      <c r="BF44" s="7">
        <f t="shared" si="60"/>
        <v>-1266.9327216720001</v>
      </c>
      <c r="BG44" s="7">
        <f t="shared" si="60"/>
        <v>-1292.2713761054401</v>
      </c>
      <c r="BH44" s="7">
        <f t="shared" si="60"/>
        <v>-1318.116803627549</v>
      </c>
      <c r="BI44" s="7">
        <f t="shared" si="60"/>
        <v>-1344.4791397000999</v>
      </c>
      <c r="BJ44" s="7">
        <f t="shared" si="60"/>
        <v>-1371.368722494102</v>
      </c>
    </row>
    <row r="45" spans="2:62" x14ac:dyDescent="0.3">
      <c r="B45" s="1" t="s">
        <v>26</v>
      </c>
      <c r="P45" s="7">
        <v>621</v>
      </c>
      <c r="Q45" s="7">
        <v>589</v>
      </c>
      <c r="R45" s="7">
        <v>600</v>
      </c>
      <c r="S45" s="7">
        <v>569</v>
      </c>
      <c r="T45" s="7">
        <v>673</v>
      </c>
      <c r="U45" s="7">
        <v>728</v>
      </c>
      <c r="V45" s="7">
        <v>755</v>
      </c>
      <c r="W45" s="7">
        <v>708</v>
      </c>
      <c r="X45" s="7">
        <v>710</v>
      </c>
      <c r="Y45" s="7">
        <v>694</v>
      </c>
      <c r="Z45" s="7">
        <v>659</v>
      </c>
      <c r="AA45" s="7"/>
      <c r="AB45" s="7"/>
      <c r="AC45" s="7"/>
      <c r="AD45" s="7"/>
      <c r="AH45" s="7">
        <v>196</v>
      </c>
      <c r="AI45" s="7">
        <v>202</v>
      </c>
      <c r="AJ45" s="7">
        <v>339</v>
      </c>
      <c r="AK45" s="7">
        <v>516</v>
      </c>
      <c r="AL45" s="7">
        <v>498</v>
      </c>
      <c r="AM45" s="7">
        <v>463</v>
      </c>
      <c r="AN45" s="7">
        <v>386</v>
      </c>
      <c r="AO45" s="7">
        <v>333</v>
      </c>
      <c r="AP45" s="7">
        <v>275</v>
      </c>
      <c r="AQ45" s="7">
        <v>306</v>
      </c>
      <c r="AR45" s="7">
        <v>360</v>
      </c>
      <c r="AS45" s="7">
        <v>475</v>
      </c>
      <c r="AT45" s="7">
        <v>722</v>
      </c>
      <c r="AU45" s="7">
        <v>2156</v>
      </c>
      <c r="AV45" s="7">
        <v>2682</v>
      </c>
      <c r="AW45" s="7">
        <v>2561</v>
      </c>
      <c r="AX45" s="7">
        <v>2459</v>
      </c>
      <c r="AY45" s="7">
        <v>2725</v>
      </c>
      <c r="AZ45" s="7">
        <f>SUM(W45:Z45)</f>
        <v>2771</v>
      </c>
      <c r="BA45" s="7">
        <f t="shared" ref="BA45:BJ45" si="61">AZ45*1.01</f>
        <v>2798.71</v>
      </c>
      <c r="BB45" s="7">
        <f t="shared" si="61"/>
        <v>2826.6970999999999</v>
      </c>
      <c r="BC45" s="7">
        <f t="shared" si="61"/>
        <v>2854.9640709999999</v>
      </c>
      <c r="BD45" s="7">
        <f t="shared" si="61"/>
        <v>2883.5137117099998</v>
      </c>
      <c r="BE45" s="7">
        <f t="shared" si="61"/>
        <v>2912.3488488271</v>
      </c>
      <c r="BF45" s="7">
        <f t="shared" si="61"/>
        <v>2941.4723373153711</v>
      </c>
      <c r="BG45" s="7">
        <f t="shared" si="61"/>
        <v>2970.8870606885248</v>
      </c>
      <c r="BH45" s="7">
        <f t="shared" si="61"/>
        <v>3000.5959312954101</v>
      </c>
      <c r="BI45" s="7">
        <f t="shared" si="61"/>
        <v>3030.6018906083641</v>
      </c>
      <c r="BJ45" s="7">
        <f t="shared" si="61"/>
        <v>3060.907909514448</v>
      </c>
    </row>
    <row r="46" spans="2:62" x14ac:dyDescent="0.3">
      <c r="B46" s="1" t="s">
        <v>27</v>
      </c>
      <c r="P46" s="7">
        <f t="shared" ref="P46:W46" si="62">SUM(P44:P45)</f>
        <v>301</v>
      </c>
      <c r="Q46" s="7">
        <f t="shared" si="62"/>
        <v>292</v>
      </c>
      <c r="R46" s="7">
        <f t="shared" si="62"/>
        <v>292</v>
      </c>
      <c r="S46" s="7">
        <f t="shared" si="62"/>
        <v>292</v>
      </c>
      <c r="T46" s="7">
        <f t="shared" si="62"/>
        <v>425</v>
      </c>
      <c r="U46" s="7">
        <f t="shared" si="62"/>
        <v>463</v>
      </c>
      <c r="V46" s="7">
        <f t="shared" si="62"/>
        <v>323</v>
      </c>
      <c r="W46" s="7">
        <f t="shared" si="62"/>
        <v>385</v>
      </c>
      <c r="X46" s="7">
        <f t="shared" ref="X46" si="63">SUM(X44:X45)</f>
        <v>385</v>
      </c>
      <c r="Y46" s="7">
        <f t="shared" ref="Y46" si="64">SUM(Y44:Y45)</f>
        <v>418</v>
      </c>
      <c r="Z46" s="7">
        <f t="shared" ref="Z46" si="65">SUM(Z44:Z45)</f>
        <v>458</v>
      </c>
      <c r="AA46" s="7"/>
      <c r="AB46" s="7"/>
      <c r="AC46" s="7"/>
      <c r="AD46" s="7"/>
      <c r="AH46" s="7">
        <f t="shared" ref="AH46:AI46" si="66">SUM(AH44:AH45)</f>
        <v>-288</v>
      </c>
      <c r="AI46" s="7">
        <f t="shared" si="66"/>
        <v>-45</v>
      </c>
      <c r="AJ46" s="7">
        <f t="shared" ref="AJ46:AK46" si="67">SUM(AJ44:AJ45)</f>
        <v>365</v>
      </c>
      <c r="AK46" s="7">
        <f t="shared" si="67"/>
        <v>464</v>
      </c>
      <c r="AL46" s="7">
        <f t="shared" ref="AL46:AM46" si="68">SUM(AL44:AL45)</f>
        <v>451</v>
      </c>
      <c r="AM46" s="7">
        <f t="shared" si="68"/>
        <v>401</v>
      </c>
      <c r="AN46" s="7">
        <f t="shared" ref="AN46" si="69">SUM(AN44:AN45)</f>
        <v>330</v>
      </c>
      <c r="AO46" s="7">
        <f t="shared" ref="AO46:AP46" si="70">SUM(AO44:AO45)</f>
        <v>336</v>
      </c>
      <c r="AP46" s="7">
        <f t="shared" si="70"/>
        <v>288</v>
      </c>
      <c r="AQ46" s="7">
        <f t="shared" ref="AQ46:BJ46" si="71">SUM(AQ44:AQ45)</f>
        <v>744</v>
      </c>
      <c r="AR46" s="7">
        <f t="shared" si="71"/>
        <v>237</v>
      </c>
      <c r="AS46" s="7">
        <f t="shared" si="71"/>
        <v>383</v>
      </c>
      <c r="AT46" s="7">
        <f t="shared" si="71"/>
        <v>284</v>
      </c>
      <c r="AU46" s="7">
        <f t="shared" si="71"/>
        <v>1709</v>
      </c>
      <c r="AV46" s="7">
        <f t="shared" si="71"/>
        <v>2131</v>
      </c>
      <c r="AW46" s="7">
        <f t="shared" si="71"/>
        <v>1503</v>
      </c>
      <c r="AX46" s="7">
        <f t="shared" si="71"/>
        <v>1232</v>
      </c>
      <c r="AY46" s="7">
        <f t="shared" si="71"/>
        <v>1503</v>
      </c>
      <c r="AZ46" s="7">
        <f t="shared" si="71"/>
        <v>1646</v>
      </c>
      <c r="BA46" s="7">
        <f t="shared" si="71"/>
        <v>1651.21</v>
      </c>
      <c r="BB46" s="7">
        <f t="shared" si="71"/>
        <v>1656.2470999999998</v>
      </c>
      <c r="BC46" s="7">
        <f t="shared" si="71"/>
        <v>1661.1050709999997</v>
      </c>
      <c r="BD46" s="7">
        <f t="shared" si="71"/>
        <v>1665.7775317099997</v>
      </c>
      <c r="BE46" s="7">
        <f t="shared" si="71"/>
        <v>1670.2579452271</v>
      </c>
      <c r="BF46" s="7">
        <f t="shared" si="71"/>
        <v>1674.539615643371</v>
      </c>
      <c r="BG46" s="7">
        <f t="shared" si="71"/>
        <v>1678.6156845830847</v>
      </c>
      <c r="BH46" s="7">
        <f t="shared" si="71"/>
        <v>1682.4791276678611</v>
      </c>
      <c r="BI46" s="7">
        <f t="shared" si="71"/>
        <v>1686.1227509082642</v>
      </c>
      <c r="BJ46" s="7">
        <f t="shared" si="71"/>
        <v>1689.5391870203459</v>
      </c>
    </row>
    <row r="47" spans="2:62" s="3" customFormat="1" x14ac:dyDescent="0.3">
      <c r="B47" s="3" t="s">
        <v>28</v>
      </c>
      <c r="P47" s="9">
        <f t="shared" ref="P47:W47" si="72">P43-P46</f>
        <v>-400</v>
      </c>
      <c r="Q47" s="9">
        <f t="shared" si="72"/>
        <v>-1100</v>
      </c>
      <c r="R47" s="9">
        <f t="shared" si="72"/>
        <v>-9</v>
      </c>
      <c r="S47" s="9">
        <f t="shared" si="72"/>
        <v>-378</v>
      </c>
      <c r="T47" s="9">
        <f t="shared" si="72"/>
        <v>-1515</v>
      </c>
      <c r="U47" s="9">
        <f t="shared" si="72"/>
        <v>-6224</v>
      </c>
      <c r="V47" s="9">
        <f t="shared" si="72"/>
        <v>-4093</v>
      </c>
      <c r="W47" s="9">
        <f t="shared" si="72"/>
        <v>76</v>
      </c>
      <c r="X47" s="9">
        <f t="shared" ref="X47" si="73">X43-X46</f>
        <v>-561</v>
      </c>
      <c r="Y47" s="9">
        <f t="shared" ref="Y47" si="74">Y43-Y46</f>
        <v>-5199</v>
      </c>
      <c r="Z47" s="9">
        <f t="shared" ref="Z47" si="75">Z43-Z46</f>
        <v>8319</v>
      </c>
      <c r="AA47" s="9"/>
      <c r="AB47" s="9"/>
      <c r="AC47" s="9"/>
      <c r="AD47" s="9"/>
      <c r="AH47" s="9">
        <f t="shared" ref="AH47:AI47" si="76">AH43-AH46</f>
        <v>6118</v>
      </c>
      <c r="AI47" s="9">
        <f t="shared" si="76"/>
        <v>3995</v>
      </c>
      <c r="AJ47" s="9">
        <f t="shared" ref="AJ47:AK47" si="77">AJ43-AJ46</f>
        <v>1731</v>
      </c>
      <c r="AK47" s="9">
        <f t="shared" si="77"/>
        <v>4507</v>
      </c>
      <c r="AL47" s="9">
        <f t="shared" ref="AL47:AM47" si="78">AL43-AL46</f>
        <v>5393</v>
      </c>
      <c r="AM47" s="9">
        <f t="shared" si="78"/>
        <v>5910</v>
      </c>
      <c r="AN47" s="9">
        <f t="shared" ref="AN47" si="79">AN43-AN46</f>
        <v>6232</v>
      </c>
      <c r="AO47" s="9">
        <f t="shared" ref="AO47:AP47" si="80">AO43-AO46</f>
        <v>7137</v>
      </c>
      <c r="AP47" s="9">
        <f t="shared" si="80"/>
        <v>7155</v>
      </c>
      <c r="AQ47" s="9">
        <f t="shared" ref="AQ47:BJ47" si="81">AQ43-AQ46</f>
        <v>5783</v>
      </c>
      <c r="AR47" s="9">
        <f t="shared" si="81"/>
        <v>10107</v>
      </c>
      <c r="AS47" s="9">
        <f t="shared" si="81"/>
        <v>11604</v>
      </c>
      <c r="AT47" s="9">
        <f t="shared" si="81"/>
        <v>-2259</v>
      </c>
      <c r="AU47" s="9">
        <f t="shared" si="81"/>
        <v>-14476</v>
      </c>
      <c r="AV47" s="9">
        <f t="shared" si="81"/>
        <v>-5033</v>
      </c>
      <c r="AW47" s="9">
        <f t="shared" si="81"/>
        <v>-5022</v>
      </c>
      <c r="AX47" s="9">
        <f t="shared" si="81"/>
        <v>-2005</v>
      </c>
      <c r="AY47" s="9">
        <f t="shared" si="81"/>
        <v>-12210</v>
      </c>
      <c r="AZ47" s="9">
        <f t="shared" si="81"/>
        <v>2635</v>
      </c>
      <c r="BA47" s="9">
        <f t="shared" si="81"/>
        <v>-76.713999999989937</v>
      </c>
      <c r="BB47" s="9">
        <f t="shared" si="81"/>
        <v>3531.0518199999888</v>
      </c>
      <c r="BC47" s="9">
        <f t="shared" si="81"/>
        <v>6148.479930200021</v>
      </c>
      <c r="BD47" s="9">
        <f t="shared" si="81"/>
        <v>7762.2272436460034</v>
      </c>
      <c r="BE47" s="9">
        <f t="shared" si="81"/>
        <v>9344.0484796731944</v>
      </c>
      <c r="BF47" s="9">
        <f t="shared" si="81"/>
        <v>10810.939148518753</v>
      </c>
      <c r="BG47" s="9">
        <f t="shared" si="81"/>
        <v>12331.71064512627</v>
      </c>
      <c r="BH47" s="9">
        <f t="shared" si="81"/>
        <v>12742.235867975753</v>
      </c>
      <c r="BI47" s="9">
        <f t="shared" si="81"/>
        <v>13163.181975342261</v>
      </c>
      <c r="BJ47" s="9">
        <f t="shared" si="81"/>
        <v>13594.796632815571</v>
      </c>
    </row>
    <row r="48" spans="2:62" x14ac:dyDescent="0.3">
      <c r="B48" s="1" t="s">
        <v>52</v>
      </c>
      <c r="P48" s="7">
        <v>-251</v>
      </c>
      <c r="Q48" s="7">
        <v>538</v>
      </c>
      <c r="R48" s="7">
        <v>21</v>
      </c>
      <c r="S48" s="7">
        <v>23</v>
      </c>
      <c r="T48" s="7">
        <v>-76</v>
      </c>
      <c r="U48" s="7">
        <v>-50</v>
      </c>
      <c r="V48" s="7">
        <v>-232</v>
      </c>
      <c r="W48" s="7">
        <v>107</v>
      </c>
      <c r="X48" s="7">
        <v>51</v>
      </c>
      <c r="Y48" s="7">
        <v>140</v>
      </c>
      <c r="Z48" s="7">
        <v>99</v>
      </c>
      <c r="AA48" s="7"/>
      <c r="AB48" s="7"/>
      <c r="AC48" s="7"/>
      <c r="AD48" s="7"/>
      <c r="AH48" s="7">
        <v>2060</v>
      </c>
      <c r="AI48" s="7">
        <v>1341</v>
      </c>
      <c r="AJ48" s="7">
        <v>396</v>
      </c>
      <c r="AK48" s="7">
        <v>1196</v>
      </c>
      <c r="AL48" s="7">
        <v>1382</v>
      </c>
      <c r="AM48" s="7">
        <v>2007</v>
      </c>
      <c r="AN48" s="7">
        <v>1646</v>
      </c>
      <c r="AO48" s="7">
        <v>1691</v>
      </c>
      <c r="AP48" s="7">
        <v>1979</v>
      </c>
      <c r="AQ48" s="7">
        <v>749</v>
      </c>
      <c r="AR48" s="7">
        <v>1649</v>
      </c>
      <c r="AS48" s="7">
        <v>1144</v>
      </c>
      <c r="AT48" s="7">
        <v>-1623</v>
      </c>
      <c r="AU48" s="7">
        <v>-2535</v>
      </c>
      <c r="AV48" s="7">
        <v>-743</v>
      </c>
      <c r="AW48" s="7">
        <v>31</v>
      </c>
      <c r="AX48" s="7">
        <v>237</v>
      </c>
      <c r="AY48" s="7">
        <v>-381</v>
      </c>
      <c r="AZ48" s="7">
        <f>SUM(W48:Z48)</f>
        <v>397</v>
      </c>
      <c r="BA48" s="7">
        <f>BA47*0.15</f>
        <v>-11.50709999999849</v>
      </c>
      <c r="BB48" s="7">
        <f t="shared" ref="BB48:BJ48" si="82">BB47*0.15</f>
        <v>529.65777299999831</v>
      </c>
      <c r="BC48" s="7">
        <f t="shared" si="82"/>
        <v>922.27198953000311</v>
      </c>
      <c r="BD48" s="7">
        <f t="shared" si="82"/>
        <v>1164.3340865469004</v>
      </c>
      <c r="BE48" s="7">
        <f t="shared" si="82"/>
        <v>1401.6072719509791</v>
      </c>
      <c r="BF48" s="7">
        <f t="shared" si="82"/>
        <v>1621.6408722778131</v>
      </c>
      <c r="BG48" s="7">
        <f t="shared" si="82"/>
        <v>1849.7565967689404</v>
      </c>
      <c r="BH48" s="7">
        <f t="shared" si="82"/>
        <v>1911.3353801963628</v>
      </c>
      <c r="BI48" s="7">
        <f t="shared" si="82"/>
        <v>1974.477296301339</v>
      </c>
      <c r="BJ48" s="7">
        <f t="shared" si="82"/>
        <v>2039.2194949223356</v>
      </c>
    </row>
    <row r="49" spans="2:150" x14ac:dyDescent="0.3">
      <c r="B49" s="1" t="s">
        <v>53</v>
      </c>
      <c r="P49" s="7">
        <v>0</v>
      </c>
      <c r="Q49" s="7">
        <v>-2</v>
      </c>
      <c r="R49" s="7">
        <v>-7</v>
      </c>
      <c r="S49" s="7">
        <v>-12</v>
      </c>
      <c r="T49" s="7">
        <v>0</v>
      </c>
      <c r="U49" s="7">
        <v>-4</v>
      </c>
      <c r="V49" s="7">
        <f>4+58</f>
        <v>62</v>
      </c>
      <c r="W49" s="7">
        <f>6+86</f>
        <v>92</v>
      </c>
      <c r="X49" s="7">
        <f>-1+86</f>
        <v>85</v>
      </c>
      <c r="Y49" s="7">
        <f>-2+87</f>
        <v>85</v>
      </c>
      <c r="Z49" s="7">
        <v>86</v>
      </c>
      <c r="AA49" s="7"/>
      <c r="AB49" s="7"/>
      <c r="AC49" s="7"/>
      <c r="AD49" s="7"/>
      <c r="AH49" s="7">
        <v>-16</v>
      </c>
      <c r="AI49" s="7">
        <v>-18</v>
      </c>
      <c r="AJ49" s="7">
        <v>23</v>
      </c>
      <c r="AK49" s="7">
        <v>4</v>
      </c>
      <c r="AL49" s="7">
        <v>-7</v>
      </c>
      <c r="AM49" s="7">
        <v>3</v>
      </c>
      <c r="AN49" s="7">
        <v>1</v>
      </c>
      <c r="AO49" s="7">
        <v>0</v>
      </c>
      <c r="AP49" s="7">
        <v>0</v>
      </c>
      <c r="AQ49" s="7">
        <v>0</v>
      </c>
      <c r="AR49" s="7">
        <v>0</v>
      </c>
      <c r="AS49" s="7">
        <v>0</v>
      </c>
      <c r="AT49" s="7">
        <v>0</v>
      </c>
      <c r="AU49" s="7">
        <v>-68</v>
      </c>
      <c r="AV49" s="7">
        <v>-88</v>
      </c>
      <c r="AW49" s="7">
        <v>-118</v>
      </c>
      <c r="AX49" s="7">
        <v>-20</v>
      </c>
      <c r="AY49" s="7">
        <f>-12+58</f>
        <v>46</v>
      </c>
      <c r="AZ49" s="7">
        <f>SUM(W49:Z49)</f>
        <v>348</v>
      </c>
      <c r="BA49" s="7">
        <v>0</v>
      </c>
      <c r="BB49" s="7">
        <v>0</v>
      </c>
      <c r="BC49" s="7">
        <v>0</v>
      </c>
      <c r="BD49" s="7">
        <v>0</v>
      </c>
      <c r="BE49" s="7">
        <v>0</v>
      </c>
      <c r="BF49" s="7">
        <v>0</v>
      </c>
      <c r="BG49" s="7">
        <v>0</v>
      </c>
      <c r="BH49" s="7">
        <v>0</v>
      </c>
      <c r="BI49" s="7">
        <v>0</v>
      </c>
      <c r="BJ49" s="7">
        <v>0</v>
      </c>
    </row>
    <row r="50" spans="2:150" s="3" customFormat="1" x14ac:dyDescent="0.3">
      <c r="B50" s="3" t="s">
        <v>54</v>
      </c>
      <c r="P50" s="9">
        <f t="shared" ref="P50:W50" si="83">P47-P48-P49</f>
        <v>-149</v>
      </c>
      <c r="Q50" s="9">
        <f t="shared" si="83"/>
        <v>-1636</v>
      </c>
      <c r="R50" s="9">
        <f t="shared" si="83"/>
        <v>-23</v>
      </c>
      <c r="S50" s="9">
        <f t="shared" si="83"/>
        <v>-389</v>
      </c>
      <c r="T50" s="9">
        <f t="shared" si="83"/>
        <v>-1439</v>
      </c>
      <c r="U50" s="9">
        <f t="shared" si="83"/>
        <v>-6170</v>
      </c>
      <c r="V50" s="9">
        <f t="shared" si="83"/>
        <v>-3923</v>
      </c>
      <c r="W50" s="9">
        <f t="shared" si="83"/>
        <v>-123</v>
      </c>
      <c r="X50" s="9">
        <f t="shared" ref="X50" si="84">X47-X48-X49</f>
        <v>-697</v>
      </c>
      <c r="Y50" s="9">
        <f t="shared" ref="Y50" si="85">Y47-Y48-Y49</f>
        <v>-5424</v>
      </c>
      <c r="Z50" s="9">
        <f t="shared" ref="Z50" si="86">Z47-Z48-Z49</f>
        <v>8134</v>
      </c>
      <c r="AA50" s="9"/>
      <c r="AB50" s="9"/>
      <c r="AC50" s="9"/>
      <c r="AD50" s="9"/>
      <c r="AH50" s="9">
        <f t="shared" ref="AH50:AI50" si="87">AH47-AH48-AH49</f>
        <v>4074</v>
      </c>
      <c r="AI50" s="9">
        <f t="shared" si="87"/>
        <v>2672</v>
      </c>
      <c r="AJ50" s="9">
        <f t="shared" ref="AJ50:AK50" si="88">AJ47-AJ48-AJ49</f>
        <v>1312</v>
      </c>
      <c r="AK50" s="9">
        <f t="shared" si="88"/>
        <v>3307</v>
      </c>
      <c r="AL50" s="9">
        <f t="shared" ref="AL50:AM50" si="89">AL47-AL48-AL49</f>
        <v>4018</v>
      </c>
      <c r="AM50" s="9">
        <f t="shared" si="89"/>
        <v>3900</v>
      </c>
      <c r="AN50" s="9">
        <f t="shared" ref="AN50" si="90">AN47-AN48-AN49</f>
        <v>4585</v>
      </c>
      <c r="AO50" s="9">
        <f t="shared" ref="AO50:AP50" si="91">AO47-AO48-AO49</f>
        <v>5446</v>
      </c>
      <c r="AP50" s="9">
        <f t="shared" si="91"/>
        <v>5176</v>
      </c>
      <c r="AQ50" s="9">
        <f t="shared" ref="AQ50:BJ50" si="92">AQ47-AQ48-AQ49</f>
        <v>5034</v>
      </c>
      <c r="AR50" s="9">
        <f t="shared" si="92"/>
        <v>8458</v>
      </c>
      <c r="AS50" s="9">
        <f t="shared" si="92"/>
        <v>10460</v>
      </c>
      <c r="AT50" s="9">
        <f t="shared" si="92"/>
        <v>-636</v>
      </c>
      <c r="AU50" s="9">
        <f t="shared" si="92"/>
        <v>-11873</v>
      </c>
      <c r="AV50" s="9">
        <f t="shared" si="92"/>
        <v>-4202</v>
      </c>
      <c r="AW50" s="9">
        <f t="shared" si="92"/>
        <v>-4935</v>
      </c>
      <c r="AX50" s="9">
        <f t="shared" si="92"/>
        <v>-2222</v>
      </c>
      <c r="AY50" s="9">
        <f t="shared" si="92"/>
        <v>-11875</v>
      </c>
      <c r="AZ50" s="9">
        <f t="shared" si="92"/>
        <v>1890</v>
      </c>
      <c r="BA50" s="9">
        <f t="shared" si="92"/>
        <v>-65.20689999999145</v>
      </c>
      <c r="BB50" s="9">
        <f t="shared" si="92"/>
        <v>3001.3940469999907</v>
      </c>
      <c r="BC50" s="9">
        <f t="shared" si="92"/>
        <v>5226.2079406700177</v>
      </c>
      <c r="BD50" s="9">
        <f t="shared" si="92"/>
        <v>6597.8931570991026</v>
      </c>
      <c r="BE50" s="9">
        <f t="shared" si="92"/>
        <v>7942.441207722215</v>
      </c>
      <c r="BF50" s="9">
        <f t="shared" si="92"/>
        <v>9189.298276240941</v>
      </c>
      <c r="BG50" s="9">
        <f t="shared" si="92"/>
        <v>10481.954048357329</v>
      </c>
      <c r="BH50" s="9">
        <f t="shared" si="92"/>
        <v>10830.90048777939</v>
      </c>
      <c r="BI50" s="9">
        <f t="shared" si="92"/>
        <v>11188.704679040922</v>
      </c>
      <c r="BJ50" s="9">
        <f t="shared" si="92"/>
        <v>11555.577137893235</v>
      </c>
      <c r="BK50" s="3">
        <f>BJ50*(1+$BM$59)</f>
        <v>11440.021366514302</v>
      </c>
      <c r="BL50" s="3">
        <f t="shared" ref="BL50:DW50" si="93">BK50*(1+$BM$59)</f>
        <v>11325.621152849159</v>
      </c>
      <c r="BM50" s="3">
        <f t="shared" si="93"/>
        <v>11212.364941320668</v>
      </c>
      <c r="BN50" s="3">
        <f t="shared" si="93"/>
        <v>11100.241291907461</v>
      </c>
      <c r="BO50" s="3">
        <f t="shared" si="93"/>
        <v>10989.238878988386</v>
      </c>
      <c r="BP50" s="3">
        <f t="shared" si="93"/>
        <v>10879.346490198503</v>
      </c>
      <c r="BQ50" s="3">
        <f t="shared" si="93"/>
        <v>10770.553025296518</v>
      </c>
      <c r="BR50" s="3">
        <f t="shared" si="93"/>
        <v>10662.847495043552</v>
      </c>
      <c r="BS50" s="3">
        <f t="shared" si="93"/>
        <v>10556.219020093116</v>
      </c>
      <c r="BT50" s="3">
        <f t="shared" si="93"/>
        <v>10450.656829892185</v>
      </c>
      <c r="BU50" s="3">
        <f t="shared" si="93"/>
        <v>10346.150261593262</v>
      </c>
      <c r="BV50" s="3">
        <f t="shared" si="93"/>
        <v>10242.688758977329</v>
      </c>
      <c r="BW50" s="3">
        <f t="shared" si="93"/>
        <v>10140.261871387554</v>
      </c>
      <c r="BX50" s="3">
        <f t="shared" si="93"/>
        <v>10038.859252673679</v>
      </c>
      <c r="BY50" s="3">
        <f t="shared" si="93"/>
        <v>9938.4706601469425</v>
      </c>
      <c r="BZ50" s="3">
        <f t="shared" si="93"/>
        <v>9839.0859535454729</v>
      </c>
      <c r="CA50" s="3">
        <f t="shared" si="93"/>
        <v>9740.6950940100178</v>
      </c>
      <c r="CB50" s="3">
        <f t="shared" si="93"/>
        <v>9643.2881430699181</v>
      </c>
      <c r="CC50" s="3">
        <f t="shared" si="93"/>
        <v>9546.855261639219</v>
      </c>
      <c r="CD50" s="3">
        <f t="shared" si="93"/>
        <v>9451.3867090228268</v>
      </c>
      <c r="CE50" s="3">
        <f t="shared" si="93"/>
        <v>9356.872841932598</v>
      </c>
      <c r="CF50" s="3">
        <f t="shared" si="93"/>
        <v>9263.3041135132717</v>
      </c>
      <c r="CG50" s="3">
        <f t="shared" si="93"/>
        <v>9170.671072378138</v>
      </c>
      <c r="CH50" s="3">
        <f t="shared" si="93"/>
        <v>9078.9643616543563</v>
      </c>
      <c r="CI50" s="3">
        <f t="shared" si="93"/>
        <v>8988.1747180378134</v>
      </c>
      <c r="CJ50" s="3">
        <f t="shared" si="93"/>
        <v>8898.2929708574356</v>
      </c>
      <c r="CK50" s="3">
        <f t="shared" si="93"/>
        <v>8809.3100411488613</v>
      </c>
      <c r="CL50" s="3">
        <f t="shared" si="93"/>
        <v>8721.2169407373731</v>
      </c>
      <c r="CM50" s="3">
        <f t="shared" si="93"/>
        <v>8634.0047713299991</v>
      </c>
      <c r="CN50" s="3">
        <f t="shared" si="93"/>
        <v>8547.6647236166991</v>
      </c>
      <c r="CO50" s="3">
        <f t="shared" si="93"/>
        <v>8462.1880763805329</v>
      </c>
      <c r="CP50" s="3">
        <f t="shared" si="93"/>
        <v>8377.5661956167278</v>
      </c>
      <c r="CQ50" s="3">
        <f t="shared" si="93"/>
        <v>8293.79053366056</v>
      </c>
      <c r="CR50" s="3">
        <f t="shared" si="93"/>
        <v>8210.8526283239535</v>
      </c>
      <c r="CS50" s="3">
        <f t="shared" si="93"/>
        <v>8128.7441020407141</v>
      </c>
      <c r="CT50" s="3">
        <f t="shared" si="93"/>
        <v>8047.4566610203065</v>
      </c>
      <c r="CU50" s="3">
        <f t="shared" si="93"/>
        <v>7966.9820944101029</v>
      </c>
      <c r="CV50" s="3">
        <f t="shared" si="93"/>
        <v>7887.3122734660019</v>
      </c>
      <c r="CW50" s="3">
        <f t="shared" si="93"/>
        <v>7808.4391507313421</v>
      </c>
      <c r="CX50" s="3">
        <f t="shared" si="93"/>
        <v>7730.3547592240284</v>
      </c>
      <c r="CY50" s="3">
        <f t="shared" si="93"/>
        <v>7653.0512116317877</v>
      </c>
      <c r="CZ50" s="3">
        <f t="shared" si="93"/>
        <v>7576.5206995154695</v>
      </c>
      <c r="DA50" s="3">
        <f t="shared" si="93"/>
        <v>7500.7554925203149</v>
      </c>
      <c r="DB50" s="3">
        <f t="shared" si="93"/>
        <v>7425.7479375951116</v>
      </c>
      <c r="DC50" s="3">
        <f t="shared" si="93"/>
        <v>7351.4904582191602</v>
      </c>
      <c r="DD50" s="3">
        <f t="shared" si="93"/>
        <v>7277.9755536369685</v>
      </c>
      <c r="DE50" s="3">
        <f t="shared" si="93"/>
        <v>7205.1957981005989</v>
      </c>
      <c r="DF50" s="3">
        <f t="shared" si="93"/>
        <v>7133.1438401195928</v>
      </c>
      <c r="DG50" s="3">
        <f t="shared" si="93"/>
        <v>7061.8124017183973</v>
      </c>
      <c r="DH50" s="3">
        <f t="shared" si="93"/>
        <v>6991.1942777012137</v>
      </c>
      <c r="DI50" s="3">
        <f t="shared" si="93"/>
        <v>6921.2823349242017</v>
      </c>
      <c r="DJ50" s="3">
        <f t="shared" si="93"/>
        <v>6852.0695115749595</v>
      </c>
      <c r="DK50" s="3">
        <f t="shared" si="93"/>
        <v>6783.5488164592098</v>
      </c>
      <c r="DL50" s="3">
        <f t="shared" si="93"/>
        <v>6715.7133282946179</v>
      </c>
      <c r="DM50" s="3">
        <f t="shared" si="93"/>
        <v>6648.5561950116717</v>
      </c>
      <c r="DN50" s="3">
        <f t="shared" si="93"/>
        <v>6582.0706330615549</v>
      </c>
      <c r="DO50" s="3">
        <f t="shared" si="93"/>
        <v>6516.2499267309395</v>
      </c>
      <c r="DP50" s="3">
        <f t="shared" si="93"/>
        <v>6451.0874274636299</v>
      </c>
      <c r="DQ50" s="3">
        <f t="shared" si="93"/>
        <v>6386.5765531889938</v>
      </c>
      <c r="DR50" s="3">
        <f t="shared" si="93"/>
        <v>6322.7107876571035</v>
      </c>
      <c r="DS50" s="3">
        <f t="shared" si="93"/>
        <v>6259.4836797805328</v>
      </c>
      <c r="DT50" s="3">
        <f t="shared" si="93"/>
        <v>6196.8888429827275</v>
      </c>
      <c r="DU50" s="3">
        <f t="shared" si="93"/>
        <v>6134.9199545529</v>
      </c>
      <c r="DV50" s="3">
        <f t="shared" si="93"/>
        <v>6073.5707550073712</v>
      </c>
      <c r="DW50" s="3">
        <f t="shared" si="93"/>
        <v>6012.8350474572972</v>
      </c>
      <c r="DX50" s="3">
        <f t="shared" ref="DX50:ET50" si="94">DW50*(1+$BM$59)</f>
        <v>5952.7066969827238</v>
      </c>
      <c r="DY50" s="3">
        <f t="shared" si="94"/>
        <v>5893.1796300128963</v>
      </c>
      <c r="DZ50" s="3">
        <f t="shared" si="94"/>
        <v>5834.2478337127668</v>
      </c>
      <c r="EA50" s="3">
        <f t="shared" si="94"/>
        <v>5775.9053553756394</v>
      </c>
      <c r="EB50" s="3">
        <f t="shared" si="94"/>
        <v>5718.1463018218828</v>
      </c>
      <c r="EC50" s="3">
        <f t="shared" si="94"/>
        <v>5660.964838803664</v>
      </c>
      <c r="ED50" s="3">
        <f t="shared" si="94"/>
        <v>5604.3551904156275</v>
      </c>
      <c r="EE50" s="3">
        <f t="shared" si="94"/>
        <v>5548.3116385114708</v>
      </c>
      <c r="EF50" s="3">
        <f t="shared" si="94"/>
        <v>5492.8285221263559</v>
      </c>
      <c r="EG50" s="3">
        <f t="shared" si="94"/>
        <v>5437.9002369050922</v>
      </c>
      <c r="EH50" s="3">
        <f t="shared" si="94"/>
        <v>5383.5212345360414</v>
      </c>
      <c r="EI50" s="3">
        <f t="shared" si="94"/>
        <v>5329.6860221906809</v>
      </c>
      <c r="EJ50" s="3">
        <f t="shared" si="94"/>
        <v>5276.3891619687738</v>
      </c>
      <c r="EK50" s="3">
        <f t="shared" si="94"/>
        <v>5223.6252703490863</v>
      </c>
      <c r="EL50" s="3">
        <f t="shared" si="94"/>
        <v>5171.3890176455952</v>
      </c>
      <c r="EM50" s="3">
        <f t="shared" si="94"/>
        <v>5119.6751274691396</v>
      </c>
      <c r="EN50" s="3">
        <f t="shared" si="94"/>
        <v>5068.4783761944482</v>
      </c>
      <c r="EO50" s="3">
        <f t="shared" si="94"/>
        <v>5017.7935924325038</v>
      </c>
      <c r="EP50" s="3">
        <f t="shared" si="94"/>
        <v>4967.6156565081792</v>
      </c>
      <c r="EQ50" s="3">
        <f t="shared" si="94"/>
        <v>4917.939499943097</v>
      </c>
      <c r="ER50" s="3">
        <f t="shared" si="94"/>
        <v>4868.7601049436662</v>
      </c>
      <c r="ES50" s="3">
        <f t="shared" si="94"/>
        <v>4820.0725038942292</v>
      </c>
      <c r="ET50" s="3">
        <f t="shared" si="94"/>
        <v>4771.8717788552867</v>
      </c>
    </row>
    <row r="51" spans="2:150" x14ac:dyDescent="0.3">
      <c r="B51" s="1" t="s">
        <v>2</v>
      </c>
      <c r="P51" s="7">
        <v>605.5</v>
      </c>
      <c r="Q51" s="7">
        <v>607.20000000000005</v>
      </c>
      <c r="R51" s="7">
        <v>609.5</v>
      </c>
      <c r="S51" s="7">
        <v>612.9</v>
      </c>
      <c r="T51" s="7">
        <v>616.6</v>
      </c>
      <c r="U51" s="7">
        <v>618.79999999999995</v>
      </c>
      <c r="V51" s="7">
        <v>718.1</v>
      </c>
      <c r="W51" s="7">
        <v>753.4</v>
      </c>
      <c r="X51" s="7">
        <v>753.4</v>
      </c>
      <c r="Y51" s="7">
        <v>753.4</v>
      </c>
      <c r="Z51" s="7">
        <v>753.4</v>
      </c>
      <c r="AA51" s="7"/>
      <c r="AB51" s="7"/>
      <c r="AC51" s="7"/>
      <c r="AD51" s="7"/>
      <c r="AH51" s="7">
        <v>753.4</v>
      </c>
      <c r="AI51" s="7">
        <v>753.4</v>
      </c>
      <c r="AJ51" s="7">
        <v>753.4</v>
      </c>
      <c r="AK51" s="7">
        <v>753.4</v>
      </c>
      <c r="AL51" s="7">
        <v>753.4</v>
      </c>
      <c r="AM51" s="7">
        <v>753.4</v>
      </c>
      <c r="AN51" s="7">
        <v>753.4</v>
      </c>
      <c r="AO51" s="7">
        <v>753.4</v>
      </c>
      <c r="AP51" s="7">
        <v>753.4</v>
      </c>
      <c r="AQ51" s="7">
        <v>753.4</v>
      </c>
      <c r="AR51" s="7">
        <v>753.4</v>
      </c>
      <c r="AS51" s="7">
        <v>753.4</v>
      </c>
      <c r="AT51" s="7">
        <v>753.4</v>
      </c>
      <c r="AU51" s="7">
        <v>753.4</v>
      </c>
      <c r="AV51" s="7">
        <v>753.4</v>
      </c>
      <c r="AW51" s="7">
        <v>753.4</v>
      </c>
      <c r="AX51" s="7">
        <v>753.4</v>
      </c>
      <c r="AY51" s="7">
        <v>753.4</v>
      </c>
      <c r="AZ51" s="7">
        <v>753.4</v>
      </c>
      <c r="BA51" s="7">
        <v>753.4</v>
      </c>
      <c r="BB51" s="7">
        <v>753.4</v>
      </c>
      <c r="BC51" s="7">
        <v>753.4</v>
      </c>
      <c r="BD51" s="7">
        <v>753.4</v>
      </c>
      <c r="BE51" s="7">
        <v>753.4</v>
      </c>
      <c r="BF51" s="7">
        <v>753.4</v>
      </c>
      <c r="BG51" s="7">
        <v>753.4</v>
      </c>
      <c r="BH51" s="7">
        <v>753.4</v>
      </c>
      <c r="BI51" s="7">
        <v>753.4</v>
      </c>
      <c r="BJ51" s="7">
        <v>753.4</v>
      </c>
    </row>
    <row r="52" spans="2:150" x14ac:dyDescent="0.3">
      <c r="B52" s="1" t="s">
        <v>55</v>
      </c>
      <c r="P52" s="8">
        <f t="shared" ref="P52:W52" si="95">P50/P51</f>
        <v>-0.24607762180016515</v>
      </c>
      <c r="Q52" s="8">
        <f t="shared" si="95"/>
        <v>-2.6943346508563897</v>
      </c>
      <c r="R52" s="8">
        <f t="shared" si="95"/>
        <v>-3.7735849056603772E-2</v>
      </c>
      <c r="S52" s="8">
        <f t="shared" si="95"/>
        <v>-0.63468755098711049</v>
      </c>
      <c r="T52" s="8">
        <f t="shared" si="95"/>
        <v>-2.3337658125202725</v>
      </c>
      <c r="U52" s="8">
        <f t="shared" si="95"/>
        <v>-9.9709114414996769</v>
      </c>
      <c r="V52" s="8">
        <f t="shared" si="95"/>
        <v>-5.4630274335050828</v>
      </c>
      <c r="W52" s="8">
        <f t="shared" si="95"/>
        <v>-0.16325988850544201</v>
      </c>
      <c r="X52" s="8">
        <f t="shared" ref="X52" si="96">X50/X51</f>
        <v>-0.92513936819750464</v>
      </c>
      <c r="Y52" s="8">
        <f t="shared" ref="Y52" si="97">Y50/Y51</f>
        <v>-7.1993628882399792</v>
      </c>
      <c r="Z52" s="8">
        <f t="shared" ref="Z52" si="98">Z50/Z51</f>
        <v>10.796389700026547</v>
      </c>
      <c r="AA52" s="8"/>
      <c r="AB52" s="8"/>
      <c r="AC52" s="8"/>
      <c r="AD52" s="8"/>
      <c r="AH52" s="8">
        <f t="shared" ref="AH52:AI52" si="99">AH50/AH51</f>
        <v>5.4074860631802499</v>
      </c>
      <c r="AI52" s="8">
        <f t="shared" si="99"/>
        <v>3.5465887974515531</v>
      </c>
      <c r="AJ52" s="8">
        <f t="shared" ref="AJ52:AK52" si="100">AJ50/AJ51</f>
        <v>1.7414388107247147</v>
      </c>
      <c r="AK52" s="8">
        <f t="shared" si="100"/>
        <v>4.3894345633129817</v>
      </c>
      <c r="AL52" s="8">
        <f t="shared" ref="AL52:AM52" si="101">AL50/AL51</f>
        <v>5.3331563578444383</v>
      </c>
      <c r="AM52" s="8">
        <f t="shared" si="101"/>
        <v>5.1765330501725515</v>
      </c>
      <c r="AN52" s="8">
        <f t="shared" ref="AN52" si="102">AN50/AN51</f>
        <v>6.085744624369525</v>
      </c>
      <c r="AO52" s="8">
        <f t="shared" ref="AO52:AP52" si="103">AO50/AO51</f>
        <v>7.2285638439076187</v>
      </c>
      <c r="AP52" s="8">
        <f t="shared" si="103"/>
        <v>6.8701884788956731</v>
      </c>
      <c r="AQ52" s="8">
        <f t="shared" ref="AQ52:BJ52" si="104">AQ50/AQ51</f>
        <v>6.681709583222724</v>
      </c>
      <c r="AR52" s="8">
        <f t="shared" si="104"/>
        <v>11.226440138040882</v>
      </c>
      <c r="AS52" s="8">
        <f t="shared" si="104"/>
        <v>13.883727103796124</v>
      </c>
      <c r="AT52" s="8">
        <f t="shared" si="104"/>
        <v>-0.84417308202813912</v>
      </c>
      <c r="AU52" s="8">
        <f t="shared" si="104"/>
        <v>-15.759224847358642</v>
      </c>
      <c r="AV52" s="8">
        <f t="shared" si="104"/>
        <v>-5.5773825325192465</v>
      </c>
      <c r="AW52" s="8">
        <f t="shared" si="104"/>
        <v>-6.5503052827183437</v>
      </c>
      <c r="AX52" s="8">
        <f t="shared" si="104"/>
        <v>-2.9492965224316432</v>
      </c>
      <c r="AY52" s="8">
        <f t="shared" si="104"/>
        <v>-15.761879479692062</v>
      </c>
      <c r="AZ52" s="8">
        <f t="shared" si="104"/>
        <v>2.508627555083621</v>
      </c>
      <c r="BA52" s="8">
        <f t="shared" si="104"/>
        <v>-8.6550172551090321E-2</v>
      </c>
      <c r="BB52" s="8">
        <f t="shared" si="104"/>
        <v>3.9837988412529741</v>
      </c>
      <c r="BC52" s="8">
        <f t="shared" si="104"/>
        <v>6.9368302902442496</v>
      </c>
      <c r="BD52" s="8">
        <f t="shared" si="104"/>
        <v>8.7574902536489283</v>
      </c>
      <c r="BE52" s="8">
        <f t="shared" si="104"/>
        <v>10.542130618160625</v>
      </c>
      <c r="BF52" s="8">
        <f t="shared" si="104"/>
        <v>12.197104162783305</v>
      </c>
      <c r="BG52" s="8">
        <f t="shared" si="104"/>
        <v>13.912867067105561</v>
      </c>
      <c r="BH52" s="8">
        <f t="shared" si="104"/>
        <v>14.376029317466672</v>
      </c>
      <c r="BI52" s="8">
        <f t="shared" si="104"/>
        <v>14.850948605045026</v>
      </c>
      <c r="BJ52" s="8">
        <f t="shared" si="104"/>
        <v>15.337904350800684</v>
      </c>
    </row>
    <row r="54" spans="2:150" x14ac:dyDescent="0.3">
      <c r="B54" s="1" t="s">
        <v>98</v>
      </c>
      <c r="Z54" s="10">
        <f>Z25/V25-1</f>
        <v>0.30359050956511746</v>
      </c>
      <c r="AA54" s="10"/>
      <c r="AB54" s="10"/>
      <c r="AC54" s="10"/>
      <c r="AD54" s="10"/>
    </row>
    <row r="55" spans="2:150" x14ac:dyDescent="0.3">
      <c r="B55" s="1" t="s">
        <v>99</v>
      </c>
      <c r="Z55" s="10">
        <f t="shared" ref="Z55:Z56" si="105">Z26/V26-1</f>
        <v>0.32430532777283161</v>
      </c>
      <c r="AA55" s="10"/>
      <c r="AB55" s="10"/>
      <c r="AC55" s="10"/>
      <c r="AD55" s="10"/>
    </row>
    <row r="56" spans="2:150" x14ac:dyDescent="0.3">
      <c r="B56" s="1" t="s">
        <v>100</v>
      </c>
      <c r="Z56" s="10">
        <f t="shared" si="105"/>
        <v>0.38859038452553385</v>
      </c>
      <c r="AA56" s="10"/>
      <c r="AB56" s="10"/>
      <c r="AC56" s="10"/>
      <c r="AD56" s="10"/>
    </row>
    <row r="57" spans="2:150" x14ac:dyDescent="0.3">
      <c r="B57" s="1" t="s">
        <v>68</v>
      </c>
      <c r="T57" s="10"/>
      <c r="U57" s="10"/>
      <c r="V57" s="10">
        <f>V29/R29-1</f>
        <v>2.1934082411403377E-3</v>
      </c>
      <c r="W57" s="10" t="e">
        <f>W29/S29-1</f>
        <v>#DIV/0!</v>
      </c>
      <c r="X57" s="10">
        <f>X29/T29-1</f>
        <v>0.19900983573508269</v>
      </c>
      <c r="Y57" s="10">
        <f>Y29/U29-1</f>
        <v>0.24520429610447603</v>
      </c>
      <c r="Z57" s="10">
        <f>Z29/V29-1</f>
        <v>0.30857450857028867</v>
      </c>
      <c r="AA57" s="10"/>
      <c r="AB57" s="10"/>
      <c r="AC57" s="10"/>
      <c r="AD57" s="10"/>
      <c r="AH57" s="10"/>
      <c r="AI57" s="10">
        <f t="shared" ref="AI57:AL57" si="106">AI29/AH29-1</f>
        <v>9.0569900728707964E-2</v>
      </c>
      <c r="AJ57" s="10">
        <f t="shared" si="106"/>
        <v>-8.4480948558018909E-2</v>
      </c>
      <c r="AK57" s="10">
        <f t="shared" si="106"/>
        <v>2.5143338954468852E-2</v>
      </c>
      <c r="AL57" s="10">
        <f t="shared" si="106"/>
        <v>0.11745817637479239</v>
      </c>
      <c r="AM57" s="10">
        <f t="shared" ref="AM57:AY57" si="107">AM29/AL29-1</f>
        <v>9.6267705361585465E-2</v>
      </c>
      <c r="AN57" s="10">
        <f t="shared" si="107"/>
        <v>0.13510225456889269</v>
      </c>
      <c r="AO57" s="10">
        <f t="shared" si="107"/>
        <v>0.15244131821956608</v>
      </c>
      <c r="AP57" s="10">
        <f t="shared" si="107"/>
        <v>-2.1550343672242622E-2</v>
      </c>
      <c r="AQ57" s="10">
        <f t="shared" si="107"/>
        <v>-6.5107691016481617E-3</v>
      </c>
      <c r="AR57" s="10">
        <f t="shared" si="107"/>
        <v>2.4245393797572845E-3</v>
      </c>
      <c r="AS57" s="10">
        <f t="shared" si="107"/>
        <v>3.3374768245407083E-2</v>
      </c>
      <c r="AT57" s="10">
        <f t="shared" si="107"/>
        <v>-5.520499265007206E-2</v>
      </c>
      <c r="AU57" s="10">
        <f t="shared" si="107"/>
        <v>-0.2157944255983979</v>
      </c>
      <c r="AV57" s="10">
        <f t="shared" si="107"/>
        <v>3.8786034275902326E-2</v>
      </c>
      <c r="AW57" s="10">
        <f t="shared" si="107"/>
        <v>7.1210784664330173E-2</v>
      </c>
      <c r="AX57" s="10">
        <f t="shared" si="107"/>
        <v>0.28639822345758081</v>
      </c>
      <c r="AY57" s="10">
        <f t="shared" si="107"/>
        <v>2.1934082411403377E-3</v>
      </c>
      <c r="AZ57" s="10">
        <f>AZ29/AY29-1</f>
        <v>0.30857450857028867</v>
      </c>
    </row>
    <row r="58" spans="2:150" x14ac:dyDescent="0.3">
      <c r="B58" s="1" t="s">
        <v>64</v>
      </c>
      <c r="S58" s="10"/>
      <c r="T58" s="10">
        <f>T31/P31-1</f>
        <v>-0.18954875052436027</v>
      </c>
      <c r="U58" s="10">
        <f>U31/Q31-1</f>
        <v>-3.4926958831341337E-2</v>
      </c>
      <c r="V58" s="10">
        <f>V31/R31-1</f>
        <v>-0.37098308668076108</v>
      </c>
      <c r="W58" s="10">
        <f>W31/S31-1</f>
        <v>0.21698824238769965</v>
      </c>
      <c r="X58" s="10">
        <f t="shared" ref="X58:Y60" si="108">X31/T31-1</f>
        <v>0.41393078970718733</v>
      </c>
      <c r="Y58" s="10">
        <f t="shared" si="108"/>
        <v>0.35145176826751068</v>
      </c>
      <c r="Z58" s="10">
        <f t="shared" ref="Z58:Z60" si="109">Z31/V31-1</f>
        <v>0.71792286362490554</v>
      </c>
      <c r="AA58" s="10"/>
      <c r="AB58" s="10"/>
      <c r="AC58" s="10"/>
      <c r="AD58" s="10"/>
      <c r="AH58" s="10"/>
      <c r="AI58" s="10">
        <f t="shared" ref="AI58:AI60" si="110">AI31/AH31-1</f>
        <v>-0.12040526564882825</v>
      </c>
      <c r="AJ58" s="10">
        <f t="shared" ref="AJ58:AJ60" si="111">AJ31/AI31-1</f>
        <v>0.13654842566759662</v>
      </c>
      <c r="AK58" s="10">
        <f t="shared" ref="AK58:AK60" si="112">AK31/AJ31-1</f>
        <v>-7.7956235096086401E-2</v>
      </c>
      <c r="AL58" s="10">
        <f t="shared" ref="AL58:AL60" si="113">AL31/AK31-1</f>
        <v>9.1564294679192137E-2</v>
      </c>
      <c r="AM58" s="10">
        <f t="shared" ref="AM58:AM60" si="114">AM31/AL31-1</f>
        <v>0.24098883294716122</v>
      </c>
      <c r="AN58" s="10">
        <f t="shared" ref="AN58:AN60" si="115">AN31/AM31-1</f>
        <v>7.8024538843810554E-2</v>
      </c>
      <c r="AO58" s="10">
        <f t="shared" ref="AO58:AO60" si="116">AO31/AN31-1</f>
        <v>5.0734451505365152E-2</v>
      </c>
      <c r="AP58" s="10">
        <f t="shared" ref="AP58:AP60" si="117">AP31/AO31-1</f>
        <v>5.6600733690263638E-2</v>
      </c>
      <c r="AQ58" s="10">
        <f t="shared" ref="AQ58:AQ60" si="118">AQ31/AP31-1</f>
        <v>-2.4127617148554381E-2</v>
      </c>
      <c r="AR58" s="10">
        <f t="shared" ref="AR58:AT58" si="119">AR31/AQ31-1</f>
        <v>6.514579677395993E-3</v>
      </c>
      <c r="AS58" s="10">
        <f t="shared" si="119"/>
        <v>7.7489849534272848E-2</v>
      </c>
      <c r="AT58" s="10">
        <f t="shared" si="119"/>
        <v>-0.26748606323909163</v>
      </c>
      <c r="AU58" s="10">
        <f t="shared" ref="AU58:AW58" si="120">AU31/AT31-1</f>
        <v>-0.28674312343026598</v>
      </c>
      <c r="AV58" s="10">
        <f t="shared" si="120"/>
        <v>9.0025879258410768E-2</v>
      </c>
      <c r="AW58" s="10">
        <f t="shared" si="120"/>
        <v>8.7708714435838608E-2</v>
      </c>
      <c r="AX58" s="10">
        <f t="shared" ref="AX58" si="121">AX31/AW31-1</f>
        <v>0.17333118637396461</v>
      </c>
      <c r="AY58" s="10">
        <f t="shared" ref="AY58:BJ58" si="122">AY31/AX31-1</f>
        <v>-0.18837773135511815</v>
      </c>
      <c r="AZ58" s="10">
        <f t="shared" si="122"/>
        <v>0.41574764687094889</v>
      </c>
      <c r="BA58" s="10">
        <f t="shared" si="122"/>
        <v>0.19999999999999996</v>
      </c>
      <c r="BB58" s="10">
        <f t="shared" si="122"/>
        <v>8.0000000000000071E-2</v>
      </c>
      <c r="BC58" s="10">
        <f t="shared" si="122"/>
        <v>5.0000000000000044E-2</v>
      </c>
      <c r="BD58" s="10">
        <f t="shared" si="122"/>
        <v>4.0000000000000036E-2</v>
      </c>
      <c r="BE58" s="10">
        <f t="shared" si="122"/>
        <v>3.0000000000000027E-2</v>
      </c>
      <c r="BF58" s="10">
        <f t="shared" si="122"/>
        <v>2.0000000000000018E-2</v>
      </c>
      <c r="BG58" s="10">
        <f t="shared" si="122"/>
        <v>2.0000000000000018E-2</v>
      </c>
      <c r="BH58" s="10">
        <f t="shared" si="122"/>
        <v>2.0000000000000018E-2</v>
      </c>
      <c r="BI58" s="10">
        <f t="shared" si="122"/>
        <v>2.0000000000000018E-2</v>
      </c>
      <c r="BJ58" s="10">
        <f t="shared" si="122"/>
        <v>2.0000000000000018E-2</v>
      </c>
    </row>
    <row r="59" spans="2:150" x14ac:dyDescent="0.3">
      <c r="B59" s="1" t="s">
        <v>65</v>
      </c>
      <c r="S59" s="10"/>
      <c r="T59" s="10">
        <f t="shared" ref="T59:W60" si="123">T32/P32-1</f>
        <v>9.0731070496083532E-2</v>
      </c>
      <c r="U59" s="10">
        <f t="shared" si="123"/>
        <v>8.6070959264126223E-2</v>
      </c>
      <c r="V59" s="10">
        <f t="shared" si="123"/>
        <v>7.8437701743059973E-2</v>
      </c>
      <c r="W59" s="10">
        <f t="shared" si="123"/>
        <v>1.4541048167222126E-2</v>
      </c>
      <c r="X59" s="10">
        <f t="shared" si="108"/>
        <v>8.5278276481149051E-2</v>
      </c>
      <c r="Y59" s="10">
        <f t="shared" si="108"/>
        <v>9.7398669086509404E-2</v>
      </c>
      <c r="Z59" s="10">
        <f t="shared" si="109"/>
        <v>4.8488476504040756E-2</v>
      </c>
      <c r="AA59" s="10"/>
      <c r="AB59" s="10"/>
      <c r="AC59" s="10"/>
      <c r="AD59" s="10"/>
      <c r="AH59" s="10"/>
      <c r="AI59" s="10">
        <f t="shared" si="110"/>
        <v>0.14896123366887992</v>
      </c>
      <c r="AJ59" s="10">
        <f t="shared" si="111"/>
        <v>4.846677229937546E-2</v>
      </c>
      <c r="AK59" s="10">
        <f t="shared" si="112"/>
        <v>4.1870388478975951E-2</v>
      </c>
      <c r="AL59" s="10">
        <f t="shared" si="113"/>
        <v>-3.293515358361776E-2</v>
      </c>
      <c r="AM59" s="10">
        <f t="shared" si="114"/>
        <v>-7.6760190577024878E-2</v>
      </c>
      <c r="AN59" s="10">
        <f t="shared" si="115"/>
        <v>-6.0493119266055051E-2</v>
      </c>
      <c r="AO59" s="10">
        <f t="shared" si="116"/>
        <v>2.471772963075991E-2</v>
      </c>
      <c r="AP59" s="10">
        <f t="shared" si="117"/>
        <v>7.7923367083581496E-2</v>
      </c>
      <c r="AQ59" s="10">
        <f t="shared" si="118"/>
        <v>-5.1662215673634826E-2</v>
      </c>
      <c r="AR59" s="10">
        <f t="shared" ref="AR59:AT59" si="124">AR32/AQ32-1</f>
        <v>-3.2045057292677814E-3</v>
      </c>
      <c r="AS59" s="10">
        <f t="shared" si="124"/>
        <v>6.1665854846566059E-2</v>
      </c>
      <c r="AT59" s="10">
        <f t="shared" si="124"/>
        <v>-3.9732060928610702E-2</v>
      </c>
      <c r="AU59" s="10">
        <f t="shared" ref="AU59:AW59" si="125">AU32/AT32-1</f>
        <v>5.2651696129957015E-2</v>
      </c>
      <c r="AV59" s="10">
        <f t="shared" si="125"/>
        <v>-1.0530137981118348E-2</v>
      </c>
      <c r="AW59" s="10">
        <f t="shared" si="125"/>
        <v>-1.6972477064220226E-2</v>
      </c>
      <c r="AX59" s="10">
        <f t="shared" ref="AX59:AY60" si="126">AX32/AW32-1</f>
        <v>0.1398040130657956</v>
      </c>
      <c r="AY59" s="10">
        <f t="shared" si="126"/>
        <v>8.8184721198722782E-2</v>
      </c>
      <c r="AZ59" s="10">
        <f t="shared" ref="AZ59:BJ59" si="127">AZ32/AY32-1</f>
        <v>6.1474793077501921E-2</v>
      </c>
      <c r="BA59" s="10">
        <f t="shared" si="127"/>
        <v>5.0000000000000044E-2</v>
      </c>
      <c r="BB59" s="10">
        <f t="shared" si="127"/>
        <v>4.0000000000000036E-2</v>
      </c>
      <c r="BC59" s="10">
        <f t="shared" si="127"/>
        <v>3.0000000000000027E-2</v>
      </c>
      <c r="BD59" s="10">
        <f t="shared" si="127"/>
        <v>3.0000000000000027E-2</v>
      </c>
      <c r="BE59" s="10">
        <f t="shared" si="127"/>
        <v>3.0000000000000027E-2</v>
      </c>
      <c r="BF59" s="10">
        <f t="shared" si="127"/>
        <v>3.0000000000000027E-2</v>
      </c>
      <c r="BG59" s="10">
        <f t="shared" si="127"/>
        <v>3.0000000000000027E-2</v>
      </c>
      <c r="BH59" s="10">
        <f t="shared" si="127"/>
        <v>3.0000000000000027E-2</v>
      </c>
      <c r="BI59" s="10">
        <f t="shared" si="127"/>
        <v>3.0000000000000027E-2</v>
      </c>
      <c r="BJ59" s="10">
        <f t="shared" si="127"/>
        <v>3.0000000000000027E-2</v>
      </c>
      <c r="BL59" s="1" t="s">
        <v>70</v>
      </c>
      <c r="BM59" s="10">
        <v>-0.01</v>
      </c>
    </row>
    <row r="60" spans="2:150" s="3" customFormat="1" x14ac:dyDescent="0.3">
      <c r="B60" s="3" t="s">
        <v>56</v>
      </c>
      <c r="S60" s="11"/>
      <c r="T60" s="11">
        <f t="shared" si="123"/>
        <v>-0.14606855349096248</v>
      </c>
      <c r="U60" s="11">
        <f t="shared" si="123"/>
        <v>-1.4582412726469318E-2</v>
      </c>
      <c r="V60" s="11">
        <f t="shared" si="123"/>
        <v>-0.30774820601326192</v>
      </c>
      <c r="W60" s="11">
        <f t="shared" si="123"/>
        <v>0.17665519946888764</v>
      </c>
      <c r="X60" s="11">
        <f t="shared" si="108"/>
        <v>0.3488082532906438</v>
      </c>
      <c r="Y60" s="11">
        <f t="shared" si="108"/>
        <v>0.30437219730941711</v>
      </c>
      <c r="Z60" s="11">
        <f t="shared" si="109"/>
        <v>0.57118488387350741</v>
      </c>
      <c r="AA60" s="11"/>
      <c r="AB60" s="11"/>
      <c r="AC60" s="11"/>
      <c r="AD60" s="11"/>
      <c r="AH60" s="11"/>
      <c r="AI60" s="11">
        <f t="shared" si="110"/>
        <v>-8.2516155271363356E-2</v>
      </c>
      <c r="AJ60" s="11">
        <f t="shared" si="111"/>
        <v>0.12103301646718867</v>
      </c>
      <c r="AK60" s="11">
        <f t="shared" si="112"/>
        <v>-5.8215316120150518E-2</v>
      </c>
      <c r="AL60" s="11">
        <f t="shared" si="113"/>
        <v>6.8873822038379107E-2</v>
      </c>
      <c r="AM60" s="11">
        <f t="shared" si="114"/>
        <v>0.18859387502727865</v>
      </c>
      <c r="AN60" s="11">
        <f t="shared" si="115"/>
        <v>6.0282993463732337E-2</v>
      </c>
      <c r="AO60" s="11">
        <f t="shared" si="116"/>
        <v>4.778176696720271E-2</v>
      </c>
      <c r="AP60" s="11">
        <f t="shared" si="117"/>
        <v>5.8967409268195992E-2</v>
      </c>
      <c r="AQ60" s="11">
        <f t="shared" si="118"/>
        <v>-2.7238487629273611E-2</v>
      </c>
      <c r="AR60" s="11">
        <f t="shared" ref="AR60:AT60" si="128">AR33/AQ33-1</f>
        <v>5.4440831693334246E-3</v>
      </c>
      <c r="AS60" s="11">
        <f t="shared" si="128"/>
        <v>7.5761927557044917E-2</v>
      </c>
      <c r="AT60" s="11">
        <f t="shared" si="128"/>
        <v>-0.24294204317343537</v>
      </c>
      <c r="AU60" s="11">
        <f t="shared" ref="AU60:AW60" si="129">AU33/AT33-1</f>
        <v>-0.24035057929178805</v>
      </c>
      <c r="AV60" s="11">
        <f t="shared" si="129"/>
        <v>7.0979057051480554E-2</v>
      </c>
      <c r="AW60" s="11">
        <f t="shared" si="129"/>
        <v>6.9389589956009301E-2</v>
      </c>
      <c r="AX60" s="11">
        <f t="shared" si="126"/>
        <v>0.16793778525102088</v>
      </c>
      <c r="AY60" s="11">
        <f t="shared" si="126"/>
        <v>-0.14495976553461709</v>
      </c>
      <c r="AZ60" s="11">
        <f t="shared" ref="AZ60:BJ60" si="130">AZ33/AY33-1</f>
        <v>0.34496444517942781</v>
      </c>
      <c r="BA60" s="11">
        <f t="shared" si="130"/>
        <v>0.1763472049897723</v>
      </c>
      <c r="BB60" s="11">
        <f t="shared" si="130"/>
        <v>7.4370044341694808E-2</v>
      </c>
      <c r="BC60" s="11">
        <f t="shared" si="130"/>
        <v>4.7275075791868071E-2</v>
      </c>
      <c r="BD60" s="11">
        <f t="shared" si="130"/>
        <v>3.8660012064044347E-2</v>
      </c>
      <c r="BE60" s="11">
        <f t="shared" si="130"/>
        <v>3.0000000000000027E-2</v>
      </c>
      <c r="BF60" s="11">
        <f t="shared" si="130"/>
        <v>2.1328815548883551E-2</v>
      </c>
      <c r="BG60" s="11">
        <f t="shared" si="130"/>
        <v>2.134009732665243E-2</v>
      </c>
      <c r="BH60" s="11">
        <f t="shared" si="130"/>
        <v>2.1351459959385588E-2</v>
      </c>
      <c r="BI60" s="11">
        <f t="shared" si="130"/>
        <v>2.1362903772832897E-2</v>
      </c>
      <c r="BJ60" s="11">
        <f t="shared" si="130"/>
        <v>2.1374429089633606E-2</v>
      </c>
      <c r="BL60" s="1" t="s">
        <v>71</v>
      </c>
      <c r="BM60" s="10">
        <v>0.06</v>
      </c>
    </row>
    <row r="61" spans="2:150" x14ac:dyDescent="0.3">
      <c r="B61" s="1" t="s">
        <v>58</v>
      </c>
      <c r="P61" s="10">
        <f t="shared" ref="P61:S61" si="131">(P31-P34)/P31</f>
        <v>9.3725654701264455E-2</v>
      </c>
      <c r="Q61" s="10">
        <f t="shared" si="131"/>
        <v>3.9575033200531205E-2</v>
      </c>
      <c r="R61" s="10">
        <f t="shared" si="131"/>
        <v>0.1160676532769556</v>
      </c>
      <c r="S61" s="10">
        <f t="shared" si="131"/>
        <v>9.0744648779017181E-2</v>
      </c>
      <c r="T61" s="10">
        <f t="shared" ref="T61:W62" si="132">(T31-T34)/T31</f>
        <v>4.5622596864832887E-2</v>
      </c>
      <c r="U61" s="10">
        <f t="shared" si="132"/>
        <v>-0.26689142699876151</v>
      </c>
      <c r="V61" s="10">
        <f t="shared" si="132"/>
        <v>-0.17721199899168136</v>
      </c>
      <c r="W61" s="10">
        <f t="shared" si="132"/>
        <v>0.10949402365764538</v>
      </c>
      <c r="X61" s="10">
        <f t="shared" ref="X61:Y61" si="133">(X31-X34)/X31</f>
        <v>8.9739566990900535E-2</v>
      </c>
      <c r="Y61" s="10">
        <f t="shared" si="133"/>
        <v>-0.15757051216780368</v>
      </c>
      <c r="Z61" s="10">
        <f t="shared" ref="Z61" si="134">(Z31-Z34)/Z31</f>
        <v>5.8987527512839324E-2</v>
      </c>
      <c r="AA61" s="10"/>
      <c r="AB61" s="10"/>
      <c r="AC61" s="10"/>
      <c r="AD61" s="10"/>
      <c r="AH61" s="10">
        <f t="shared" ref="AH61:AL61" si="135">(AH31-AH34)/AH31</f>
        <v>0.2046311065925783</v>
      </c>
      <c r="AI61" s="10">
        <f t="shared" si="135"/>
        <v>0.16974890394579514</v>
      </c>
      <c r="AJ61" s="10">
        <f t="shared" si="135"/>
        <v>0.16469701220367514</v>
      </c>
      <c r="AK61" s="10">
        <f t="shared" si="135"/>
        <v>0.19761913817365839</v>
      </c>
      <c r="AL61" s="10">
        <f t="shared" si="135"/>
        <v>0.18743575895890316</v>
      </c>
      <c r="AM61" s="10">
        <f t="shared" ref="AM61" si="136">(AM31-AM34)/AM31</f>
        <v>0.15336777381587444</v>
      </c>
      <c r="AN61" s="10">
        <f t="shared" ref="AN61:AQ61" si="137">(AN31-AN34)/AN31</f>
        <v>0.14522346077716428</v>
      </c>
      <c r="AO61" s="10">
        <f t="shared" si="137"/>
        <v>0.15041889748165774</v>
      </c>
      <c r="AP61" s="10">
        <f t="shared" si="137"/>
        <v>0.13851387015424316</v>
      </c>
      <c r="AQ61" s="10">
        <f t="shared" si="137"/>
        <v>0.14645784754441213</v>
      </c>
      <c r="AR61" s="10">
        <f t="shared" ref="AR61:AT61" si="138">(AR31-AR34)/AR31</f>
        <v>0.17746596608550275</v>
      </c>
      <c r="AS61" s="10">
        <f t="shared" si="138"/>
        <v>0.19181194516175509</v>
      </c>
      <c r="AT61" s="10">
        <f t="shared" si="138"/>
        <v>4.8673101945713677E-2</v>
      </c>
      <c r="AU61" s="10">
        <f t="shared" ref="AU61:AW61" si="139">(AU31-AU34)/AU31</f>
        <v>-0.15752407619532477</v>
      </c>
      <c r="AV61" s="10">
        <f t="shared" si="139"/>
        <v>2.7867512552056981E-2</v>
      </c>
      <c r="AW61" s="10">
        <f t="shared" si="139"/>
        <v>3.4422915212996258E-2</v>
      </c>
      <c r="AX61" s="10">
        <f t="shared" ref="AX61" si="140">(AX31-AX34)/AX31</f>
        <v>8.7174638996050685E-2</v>
      </c>
      <c r="AY61" s="10">
        <f t="shared" ref="AY61:BJ61" si="141">(AY31-AY34)/AY31</f>
        <v>-7.8287335374903719E-2</v>
      </c>
      <c r="AZ61" s="10">
        <f t="shared" si="141"/>
        <v>2.1166197781198576E-2</v>
      </c>
      <c r="BA61" s="10">
        <f t="shared" si="141"/>
        <v>0.10000000000000002</v>
      </c>
      <c r="BB61" s="10">
        <f t="shared" si="141"/>
        <v>0.12999999999999995</v>
      </c>
      <c r="BC61" s="10">
        <f t="shared" si="141"/>
        <v>0.15000000000000008</v>
      </c>
      <c r="BD61" s="10">
        <f t="shared" si="141"/>
        <v>0.16000000000000003</v>
      </c>
      <c r="BE61" s="10">
        <f t="shared" si="141"/>
        <v>0.17000000000000007</v>
      </c>
      <c r="BF61" s="10">
        <f t="shared" si="141"/>
        <v>0.18000000000000002</v>
      </c>
      <c r="BG61" s="10">
        <f t="shared" si="141"/>
        <v>0.18999999999999995</v>
      </c>
      <c r="BH61" s="10">
        <f t="shared" si="141"/>
        <v>0.18999999999999992</v>
      </c>
      <c r="BI61" s="10">
        <f t="shared" si="141"/>
        <v>0.18999999999999989</v>
      </c>
      <c r="BJ61" s="10">
        <f t="shared" si="141"/>
        <v>0.18999999999999992</v>
      </c>
      <c r="BL61" s="1" t="s">
        <v>72</v>
      </c>
      <c r="BM61" s="7">
        <f>NPV(BM60,AZ50:ET50)</f>
        <v>136229.31130748076</v>
      </c>
    </row>
    <row r="62" spans="2:150" x14ac:dyDescent="0.3">
      <c r="B62" s="1" t="s">
        <v>59</v>
      </c>
      <c r="P62" s="10">
        <f t="shared" ref="P62:S62" si="142">(P32-P35)/P32</f>
        <v>0.12238903394255875</v>
      </c>
      <c r="Q62" s="10">
        <f t="shared" si="142"/>
        <v>0.18692509855453351</v>
      </c>
      <c r="R62" s="10">
        <f t="shared" si="142"/>
        <v>0.1617172369270497</v>
      </c>
      <c r="S62" s="10">
        <f t="shared" si="142"/>
        <v>0.20357467434110876</v>
      </c>
      <c r="T62" s="10">
        <f t="shared" si="132"/>
        <v>0.18312387791741472</v>
      </c>
      <c r="U62" s="10">
        <f t="shared" si="132"/>
        <v>0.11252268602540835</v>
      </c>
      <c r="V62" s="10">
        <f t="shared" si="132"/>
        <v>0.1556420233463035</v>
      </c>
      <c r="W62" s="10">
        <f t="shared" si="132"/>
        <v>0.19378919080322485</v>
      </c>
      <c r="X62" s="10">
        <f t="shared" ref="X62:Y62" si="143">(X32-X35)/X32</f>
        <v>0.19823545629997244</v>
      </c>
      <c r="Y62" s="10">
        <f t="shared" si="143"/>
        <v>0.19845644983461963</v>
      </c>
      <c r="Z62" s="10">
        <f t="shared" ref="Z62" si="144">(Z32-Z35)/Z32</f>
        <v>0.17299457607764773</v>
      </c>
      <c r="AA62" s="10"/>
      <c r="AB62" s="10"/>
      <c r="AC62" s="10"/>
      <c r="AD62" s="10"/>
      <c r="AH62" s="10">
        <f t="shared" ref="AH62:AL62" si="145">(AH32-AH35)/AH32</f>
        <v>0.14039408866995073</v>
      </c>
      <c r="AI62" s="10">
        <f t="shared" si="145"/>
        <v>0.19004567061235902</v>
      </c>
      <c r="AJ62" s="10">
        <f t="shared" si="145"/>
        <v>0.20872966485909858</v>
      </c>
      <c r="AK62" s="10">
        <f t="shared" si="145"/>
        <v>0.17670648464163821</v>
      </c>
      <c r="AL62" s="10">
        <f t="shared" si="145"/>
        <v>0.1860772895712017</v>
      </c>
      <c r="AM62" s="10">
        <f t="shared" ref="AM62" si="146">(AM32-AM35)/AM32</f>
        <v>0.20345948012232415</v>
      </c>
      <c r="AN62" s="10">
        <f t="shared" ref="AN62:AQ62" si="147">(AN32-AN35)/AN32</f>
        <v>0.22408707150849355</v>
      </c>
      <c r="AO62" s="10">
        <f t="shared" si="147"/>
        <v>0.1859241612070677</v>
      </c>
      <c r="AP62" s="10">
        <f t="shared" si="147"/>
        <v>0.20416244589741228</v>
      </c>
      <c r="AQ62" s="10">
        <f t="shared" si="147"/>
        <v>0.22188774519324139</v>
      </c>
      <c r="AR62" s="10">
        <f t="shared" ref="AR62:AT62" si="148">(AR32-AR35)/AR32</f>
        <v>0.24666341938626402</v>
      </c>
      <c r="AS62" s="10">
        <f t="shared" si="148"/>
        <v>0.21380069737566526</v>
      </c>
      <c r="AT62" s="10">
        <f t="shared" si="148"/>
        <v>0.11935021500238892</v>
      </c>
      <c r="AU62" s="10">
        <f t="shared" ref="AU62:AW62" si="149">(AU32-AU35)/AU32</f>
        <v>0.15804284676833696</v>
      </c>
      <c r="AV62" s="10">
        <f t="shared" si="149"/>
        <v>0.14541284403669724</v>
      </c>
      <c r="AW62" s="10">
        <f t="shared" si="149"/>
        <v>0.14988334111059262</v>
      </c>
      <c r="AX62" s="10">
        <f t="shared" ref="AX62" si="150">(AX32-AX35)/AX32</f>
        <v>0.1643330876934414</v>
      </c>
      <c r="AY62" s="10">
        <f t="shared" ref="AY62:BJ62" si="151">(AY32-AY35)/AY32</f>
        <v>0.16373212942061702</v>
      </c>
      <c r="AZ62" s="10">
        <f t="shared" si="151"/>
        <v>0.19096902247111364</v>
      </c>
      <c r="BA62" s="10">
        <f t="shared" si="151"/>
        <v>0.16000000000000003</v>
      </c>
      <c r="BB62" s="10">
        <f t="shared" si="151"/>
        <v>0.16000000000000003</v>
      </c>
      <c r="BC62" s="10">
        <f t="shared" si="151"/>
        <v>0.16000000000000003</v>
      </c>
      <c r="BD62" s="10">
        <f t="shared" si="151"/>
        <v>0.16</v>
      </c>
      <c r="BE62" s="10">
        <f t="shared" si="151"/>
        <v>0.16</v>
      </c>
      <c r="BF62" s="10">
        <f t="shared" si="151"/>
        <v>0.15999999999999998</v>
      </c>
      <c r="BG62" s="10">
        <f t="shared" si="151"/>
        <v>0.16000000000000009</v>
      </c>
      <c r="BH62" s="10">
        <f t="shared" si="151"/>
        <v>0.16000000000000003</v>
      </c>
      <c r="BI62" s="10">
        <f t="shared" si="151"/>
        <v>0.16000000000000003</v>
      </c>
      <c r="BJ62" s="10">
        <f t="shared" si="151"/>
        <v>0.16000000000000003</v>
      </c>
      <c r="BL62" s="1" t="s">
        <v>73</v>
      </c>
      <c r="BM62" s="7">
        <f>Main!D8</f>
        <v>-23650</v>
      </c>
    </row>
    <row r="63" spans="2:150" x14ac:dyDescent="0.3">
      <c r="B63" s="1" t="s">
        <v>57</v>
      </c>
      <c r="P63" s="10">
        <f t="shared" ref="P63:S63" si="152">P37/P33</f>
        <v>9.8172244443319331E-2</v>
      </c>
      <c r="Q63" s="10">
        <f t="shared" si="152"/>
        <v>6.4350419796730007E-2</v>
      </c>
      <c r="R63" s="10">
        <f t="shared" si="152"/>
        <v>0.12249068943591607</v>
      </c>
      <c r="S63" s="10">
        <f t="shared" si="152"/>
        <v>0.11322348964934516</v>
      </c>
      <c r="T63" s="10">
        <f>T37/T33</f>
        <v>7.2868492825803391E-2</v>
      </c>
      <c r="U63" s="10">
        <f>U37/U33</f>
        <v>-0.19658071748878925</v>
      </c>
      <c r="V63" s="10">
        <f>V37/V33</f>
        <v>-0.10425141057603989</v>
      </c>
      <c r="W63" s="10">
        <f>W37/W33</f>
        <v>0.12397414854329093</v>
      </c>
      <c r="X63" s="10">
        <f t="shared" ref="X63:Y63" si="153">X37/X33</f>
        <v>0.10703767198558178</v>
      </c>
      <c r="Y63" s="10">
        <f t="shared" si="153"/>
        <v>-0.1020627417275462</v>
      </c>
      <c r="Z63" s="10">
        <f t="shared" ref="Z63" si="154">Z37/Z33</f>
        <v>7.5663938533489225E-2</v>
      </c>
      <c r="AA63" s="10"/>
      <c r="AB63" s="10"/>
      <c r="AC63" s="10"/>
      <c r="AD63" s="10"/>
      <c r="AH63" s="10">
        <f t="shared" ref="AH63:AL63" si="155">AH37/AH33</f>
        <v>0.1955955232199075</v>
      </c>
      <c r="AI63" s="10">
        <f t="shared" si="155"/>
        <v>0.17332413928976012</v>
      </c>
      <c r="AJ63" s="10">
        <f t="shared" si="155"/>
        <v>0.1719512016519969</v>
      </c>
      <c r="AK63" s="10">
        <f t="shared" si="155"/>
        <v>0.19380773178241534</v>
      </c>
      <c r="AL63" s="10">
        <f t="shared" si="155"/>
        <v>0.18721175529206371</v>
      </c>
      <c r="AM63" s="10">
        <f t="shared" ref="AM63" si="156">AM37/AM33</f>
        <v>0.15978359323361649</v>
      </c>
      <c r="AN63" s="10">
        <f t="shared" ref="AN63:AQ63" si="157">AN37/AN33</f>
        <v>0.15417383373930713</v>
      </c>
      <c r="AO63" s="10">
        <f t="shared" si="157"/>
        <v>0.15435975408210484</v>
      </c>
      <c r="AP63" s="10">
        <f t="shared" si="157"/>
        <v>0.1459308737540837</v>
      </c>
      <c r="AQ63" s="10">
        <f t="shared" si="157"/>
        <v>0.1547659792932318</v>
      </c>
      <c r="AR63" s="10">
        <f t="shared" ref="AR63:AT63" si="158">AR37/AR33</f>
        <v>0.18502207329397372</v>
      </c>
      <c r="AS63" s="10">
        <f t="shared" si="158"/>
        <v>0.19418157366479774</v>
      </c>
      <c r="AT63" s="10">
        <f t="shared" si="158"/>
        <v>5.833409527292676E-2</v>
      </c>
      <c r="AU63" s="10">
        <f t="shared" ref="AU63:AW63" si="159">AU37/AU33</f>
        <v>-9.7750954296915299E-2</v>
      </c>
      <c r="AV63" s="10">
        <f t="shared" si="159"/>
        <v>4.8437851202517417E-2</v>
      </c>
      <c r="AW63" s="10">
        <f t="shared" si="159"/>
        <v>5.2996637040595727E-2</v>
      </c>
      <c r="AX63" s="10">
        <f t="shared" ref="AX63" si="160">AX37/AX33</f>
        <v>9.9287862817183839E-2</v>
      </c>
      <c r="AY63" s="10">
        <f t="shared" ref="AY63:BJ63" si="161">AY37/AY33</f>
        <v>-2.9932197784025137E-2</v>
      </c>
      <c r="AZ63" s="10">
        <f t="shared" si="161"/>
        <v>4.7941607144853182E-2</v>
      </c>
      <c r="BA63" s="10">
        <f t="shared" si="161"/>
        <v>0.108444933487458</v>
      </c>
      <c r="BB63" s="10">
        <f t="shared" si="161"/>
        <v>0.13408738631219819</v>
      </c>
      <c r="BC63" s="10">
        <f t="shared" si="161"/>
        <v>0.15133998793595574</v>
      </c>
      <c r="BD63" s="10">
        <f t="shared" si="161"/>
        <v>0.16</v>
      </c>
      <c r="BE63" s="10">
        <f t="shared" si="161"/>
        <v>0.16867118445111656</v>
      </c>
      <c r="BF63" s="10">
        <f t="shared" si="161"/>
        <v>0.17731980534669545</v>
      </c>
      <c r="BG63" s="10">
        <f t="shared" si="161"/>
        <v>0.18594562012184337</v>
      </c>
      <c r="BH63" s="10">
        <f t="shared" si="161"/>
        <v>0.18591128868150109</v>
      </c>
      <c r="BI63" s="10">
        <f t="shared" si="161"/>
        <v>0.18587671273109935</v>
      </c>
      <c r="BJ63" s="10">
        <f t="shared" si="161"/>
        <v>0.18584189131232409</v>
      </c>
      <c r="BL63" s="1" t="s">
        <v>74</v>
      </c>
      <c r="BM63" s="7">
        <f>BM61+BM62</f>
        <v>112579.31130748076</v>
      </c>
    </row>
    <row r="64" spans="2:150" x14ac:dyDescent="0.3">
      <c r="B64" s="1" t="s">
        <v>60</v>
      </c>
      <c r="P64" s="10"/>
      <c r="Q64" s="10"/>
      <c r="R64" s="10"/>
      <c r="S64" s="10"/>
      <c r="T64" s="10">
        <f t="shared" ref="T64:W65" si="162">T39/P39-1</f>
        <v>7.0762052877138437E-2</v>
      </c>
      <c r="U64" s="10">
        <f t="shared" si="162"/>
        <v>4.0268456375838868E-2</v>
      </c>
      <c r="V64" s="10">
        <f t="shared" si="162"/>
        <v>-8.9250814332247574E-2</v>
      </c>
      <c r="W64" s="10">
        <f t="shared" si="162"/>
        <v>-4.2204995693367775E-2</v>
      </c>
      <c r="X64" s="10">
        <f t="shared" ref="X64:Y64" si="163">X39/T39-1</f>
        <v>0.30210602759622374</v>
      </c>
      <c r="Y64" s="10">
        <f t="shared" si="163"/>
        <v>0.40276497695852531</v>
      </c>
      <c r="Z64" s="10">
        <f t="shared" ref="Z64:Z65" si="164">Z39/V39-1</f>
        <v>0.18955650929899859</v>
      </c>
      <c r="AA64" s="10"/>
      <c r="AB64" s="10"/>
      <c r="AC64" s="10"/>
      <c r="AD64" s="10"/>
      <c r="AH64" s="10"/>
      <c r="AI64" s="10">
        <f t="shared" ref="AI64:AI65" si="165">AI39/AH39-1</f>
        <v>-0.12659303313508918</v>
      </c>
      <c r="AJ64" s="10">
        <f t="shared" ref="AJ64:AJ65" si="166">AJ39/AI39-1</f>
        <v>9.0791180285343609E-2</v>
      </c>
      <c r="AK64" s="10">
        <f t="shared" ref="AK64:AK65" si="167">AK39/AJ39-1</f>
        <v>8.3234244946492231E-2</v>
      </c>
      <c r="AL64" s="10">
        <f t="shared" ref="AL64:AL65" si="168">AL39/AK39-1</f>
        <v>-6.4763995609220637E-2</v>
      </c>
      <c r="AM64" s="10">
        <f t="shared" ref="AM64:AM65" si="169">AM39/AL39-1</f>
        <v>9.0669014084507005E-2</v>
      </c>
      <c r="AN64" s="10">
        <f t="shared" ref="AN64:AN65" si="170">AN39/AM39-1</f>
        <v>6.4299165994081253E-2</v>
      </c>
      <c r="AO64" s="10">
        <f t="shared" ref="AO64:AO65" si="171">AO39/AN39-1</f>
        <v>-4.7775530839231584E-2</v>
      </c>
      <c r="AP64" s="10">
        <f t="shared" ref="AP64:AP65" si="172">AP39/AO39-1</f>
        <v>-6.4242102468808016E-2</v>
      </c>
      <c r="AQ64" s="10">
        <f t="shared" ref="AQ64:AQ65" si="173">AQ39/AP39-1</f>
        <v>2.4964539007092279E-2</v>
      </c>
      <c r="AR64" s="10">
        <f t="shared" ref="AR64:AT64" si="174">AR39/AQ39-1</f>
        <v>0.13340714088015493</v>
      </c>
      <c r="AS64" s="10">
        <f t="shared" si="174"/>
        <v>0.1152625152625153</v>
      </c>
      <c r="AT64" s="10">
        <f t="shared" si="174"/>
        <v>-0.14407707466608277</v>
      </c>
      <c r="AU64" s="10">
        <f t="shared" ref="AU64:AW64" si="175">AU39/AT39-1</f>
        <v>0.23228447173190081</v>
      </c>
      <c r="AV64" s="10">
        <f t="shared" si="175"/>
        <v>-0.13701473946439691</v>
      </c>
      <c r="AW64" s="10">
        <f t="shared" si="175"/>
        <v>7.216742843396684E-3</v>
      </c>
      <c r="AX64" s="10">
        <f t="shared" ref="AX64" si="176">AX39/AW39-1</f>
        <v>0.23429663243372345</v>
      </c>
      <c r="AY64" s="10">
        <f t="shared" ref="AY64:BJ64" si="177">AY39/AX39-1</f>
        <v>-2.8444272445820484E-2</v>
      </c>
      <c r="AZ64" s="10">
        <f t="shared" si="177"/>
        <v>0.21290579565823542</v>
      </c>
      <c r="BA64" s="10">
        <f t="shared" si="177"/>
        <v>1.0000000000000009E-2</v>
      </c>
      <c r="BB64" s="10">
        <f t="shared" si="177"/>
        <v>1.0000000000000009E-2</v>
      </c>
      <c r="BC64" s="10">
        <f t="shared" si="177"/>
        <v>1.0000000000000009E-2</v>
      </c>
      <c r="BD64" s="10">
        <f t="shared" si="177"/>
        <v>1.0000000000000009E-2</v>
      </c>
      <c r="BE64" s="10">
        <f t="shared" si="177"/>
        <v>1.0000000000000009E-2</v>
      </c>
      <c r="BF64" s="10">
        <f t="shared" si="177"/>
        <v>1.0000000000000009E-2</v>
      </c>
      <c r="BG64" s="10">
        <f t="shared" si="177"/>
        <v>1.0000000000000009E-2</v>
      </c>
      <c r="BH64" s="10">
        <f t="shared" si="177"/>
        <v>1.0000000000000009E-2</v>
      </c>
      <c r="BI64" s="10">
        <f t="shared" si="177"/>
        <v>1.0000000000000009E-2</v>
      </c>
      <c r="BJ64" s="10">
        <f t="shared" si="177"/>
        <v>1.0000000000000009E-2</v>
      </c>
      <c r="BL64" s="1" t="s">
        <v>75</v>
      </c>
      <c r="BM64" s="5">
        <f>BM63/BJ51</f>
        <v>149.42833993559964</v>
      </c>
    </row>
    <row r="65" spans="2:65" x14ac:dyDescent="0.3">
      <c r="B65" s="1" t="s">
        <v>61</v>
      </c>
      <c r="P65" s="10"/>
      <c r="Q65" s="10"/>
      <c r="R65" s="10"/>
      <c r="S65" s="10"/>
      <c r="T65" s="10">
        <f t="shared" si="162"/>
        <v>0.19698870765370136</v>
      </c>
      <c r="U65" s="10">
        <f t="shared" si="162"/>
        <v>0.20459290187891432</v>
      </c>
      <c r="V65" s="10">
        <f t="shared" si="162"/>
        <v>-5.1078320090805929E-2</v>
      </c>
      <c r="W65" s="10">
        <f t="shared" si="162"/>
        <v>-2.7649769585253448E-2</v>
      </c>
      <c r="X65" s="10">
        <f t="shared" ref="X65:Y65" si="178">X40/T40-1</f>
        <v>-4.6121593291404639E-2</v>
      </c>
      <c r="Y65" s="10">
        <f t="shared" si="178"/>
        <v>-0.22270363951473138</v>
      </c>
      <c r="Z65" s="10">
        <f t="shared" si="164"/>
        <v>0.15311004784688986</v>
      </c>
      <c r="AA65" s="10"/>
      <c r="AB65" s="10"/>
      <c r="AC65" s="10"/>
      <c r="AD65" s="10"/>
      <c r="AH65" s="10"/>
      <c r="AI65" s="10">
        <f t="shared" si="165"/>
        <v>-2.1298701298701261E-2</v>
      </c>
      <c r="AJ65" s="10">
        <f t="shared" si="166"/>
        <v>0.72664543524416136</v>
      </c>
      <c r="AK65" s="10">
        <f t="shared" si="167"/>
        <v>-0.36658469105441127</v>
      </c>
      <c r="AL65" s="10">
        <f t="shared" si="168"/>
        <v>-4.9259888376607663E-2</v>
      </c>
      <c r="AM65" s="10">
        <f t="shared" si="169"/>
        <v>-0.15824400204185807</v>
      </c>
      <c r="AN65" s="10">
        <f t="shared" si="170"/>
        <v>-6.882959369314734E-2</v>
      </c>
      <c r="AO65" s="10">
        <f t="shared" si="171"/>
        <v>-7.815043959622292E-3</v>
      </c>
      <c r="AP65" s="10">
        <f t="shared" si="172"/>
        <v>9.3206432556613095E-2</v>
      </c>
      <c r="AQ65" s="10">
        <f t="shared" si="173"/>
        <v>0.38877214049834885</v>
      </c>
      <c r="AR65" s="10">
        <f t="shared" ref="AR65:AT65" si="179">AR40/AQ40-1</f>
        <v>-0.31279723303069606</v>
      </c>
      <c r="AS65" s="10">
        <f t="shared" si="179"/>
        <v>2.8310789556464266E-2</v>
      </c>
      <c r="AT65" s="10">
        <f t="shared" si="179"/>
        <v>-1.5295197308045294E-2</v>
      </c>
      <c r="AU65" s="10">
        <f t="shared" ref="AU65:AW65" si="180">AU40/AT40-1</f>
        <v>-0.23081702392047221</v>
      </c>
      <c r="AV65" s="10">
        <f t="shared" si="180"/>
        <v>-9.1680129240710784E-2</v>
      </c>
      <c r="AW65" s="10">
        <f t="shared" si="180"/>
        <v>0.26811916407292125</v>
      </c>
      <c r="AX65" s="10">
        <f t="shared" ref="AX65" si="181">AX40/AW40-1</f>
        <v>0.18408134642356244</v>
      </c>
      <c r="AY65" s="10">
        <f t="shared" ref="AY65:BJ65" si="182">AY40/AX40-1</f>
        <v>0.12881255552265314</v>
      </c>
      <c r="AZ65" s="10">
        <f t="shared" si="182"/>
        <v>-5.1678908709338889E-2</v>
      </c>
      <c r="BA65" s="10">
        <f t="shared" si="182"/>
        <v>2.0000000000000018E-2</v>
      </c>
      <c r="BB65" s="10">
        <f t="shared" si="182"/>
        <v>2.0000000000000018E-2</v>
      </c>
      <c r="BC65" s="10">
        <f t="shared" si="182"/>
        <v>2.0000000000000018E-2</v>
      </c>
      <c r="BD65" s="10">
        <f t="shared" si="182"/>
        <v>2.0000000000000018E-2</v>
      </c>
      <c r="BE65" s="10">
        <f t="shared" si="182"/>
        <v>1.0000000000000009E-2</v>
      </c>
      <c r="BF65" s="10">
        <f t="shared" si="182"/>
        <v>1.0000000000000009E-2</v>
      </c>
      <c r="BG65" s="10">
        <f t="shared" si="182"/>
        <v>1.0000000000000009E-2</v>
      </c>
      <c r="BH65" s="10">
        <f t="shared" si="182"/>
        <v>1.0000000000000009E-2</v>
      </c>
      <c r="BI65" s="10">
        <f t="shared" si="182"/>
        <v>1.0000000000000009E-2</v>
      </c>
      <c r="BJ65" s="10">
        <f t="shared" si="182"/>
        <v>1.0000000000000009E-2</v>
      </c>
      <c r="BL65" s="1" t="s">
        <v>76</v>
      </c>
      <c r="BM65" s="5">
        <f>Main!D3</f>
        <v>233.72</v>
      </c>
    </row>
    <row r="66" spans="2:65" x14ac:dyDescent="0.3">
      <c r="B66" s="1" t="s">
        <v>62</v>
      </c>
      <c r="P66" s="10">
        <f t="shared" ref="P66:S66" si="183">P43/P33</f>
        <v>-5.0124044352184696E-3</v>
      </c>
      <c r="Q66" s="10">
        <f t="shared" si="183"/>
        <v>-4.4631020768890854E-2</v>
      </c>
      <c r="R66" s="10">
        <f t="shared" si="183"/>
        <v>1.2853120174402762E-2</v>
      </c>
      <c r="S66" s="10">
        <f t="shared" si="183"/>
        <v>-5.1904158368036692E-3</v>
      </c>
      <c r="T66" s="10">
        <f>T43/T33</f>
        <v>-6.4627060358116925E-2</v>
      </c>
      <c r="U66" s="10">
        <f>U43/U33</f>
        <v>-0.32292600896860985</v>
      </c>
      <c r="V66" s="10">
        <f>V43/V33</f>
        <v>-0.24734286838997507</v>
      </c>
      <c r="W66" s="10">
        <f>W43/W33</f>
        <v>2.364587607714403E-2</v>
      </c>
      <c r="X66" s="10">
        <f t="shared" ref="X66:Y66" si="184">X43/X33</f>
        <v>-7.7366038067607371E-3</v>
      </c>
      <c r="Y66" s="10">
        <f t="shared" si="184"/>
        <v>-0.2054576708207993</v>
      </c>
      <c r="Z66" s="10">
        <f t="shared" ref="Z66" si="185">Z43/Z33</f>
        <v>0.36650242191414734</v>
      </c>
      <c r="AA66" s="10"/>
      <c r="AB66" s="10"/>
      <c r="AC66" s="10"/>
      <c r="AD66" s="10"/>
      <c r="AH66" s="10">
        <f t="shared" ref="AH66:AL66" si="186">AH43/AH33</f>
        <v>8.7818398180366644E-2</v>
      </c>
      <c r="AI66" s="10">
        <f t="shared" si="186"/>
        <v>6.4850843060959798E-2</v>
      </c>
      <c r="AJ66" s="10">
        <f t="shared" si="186"/>
        <v>3.0696679896310832E-2</v>
      </c>
      <c r="AK66" s="10">
        <f t="shared" si="186"/>
        <v>7.7302273504805147E-2</v>
      </c>
      <c r="AL66" s="10">
        <f t="shared" si="186"/>
        <v>8.50221866589074E-2</v>
      </c>
      <c r="AM66" s="10">
        <f t="shared" ref="AM66" si="187">AM43/AM33</f>
        <v>7.7247913045606992E-2</v>
      </c>
      <c r="AN66" s="10">
        <f t="shared" ref="AN66:AQ66" si="188">AN43/AN33</f>
        <v>7.5753552751578676E-2</v>
      </c>
      <c r="AO66" s="10">
        <f t="shared" si="188"/>
        <v>8.2336220003966412E-2</v>
      </c>
      <c r="AP66" s="10">
        <f t="shared" si="188"/>
        <v>7.7439290842124975E-2</v>
      </c>
      <c r="AQ66" s="10">
        <f t="shared" si="188"/>
        <v>6.9810473175323004E-2</v>
      </c>
      <c r="AR66" s="10">
        <f t="shared" ref="AR66:AT66" si="189">AR43/AR33</f>
        <v>0.11003670017552258</v>
      </c>
      <c r="AS66" s="10">
        <f t="shared" si="189"/>
        <v>0.11853412046238888</v>
      </c>
      <c r="AT66" s="10">
        <f t="shared" si="189"/>
        <v>-2.5797097663240117E-2</v>
      </c>
      <c r="AU66" s="10">
        <f t="shared" ref="AU66:AW66" si="190">AU43/AU33</f>
        <v>-0.21952267959696001</v>
      </c>
      <c r="AV66" s="10">
        <f t="shared" si="190"/>
        <v>-4.6591529396654147E-2</v>
      </c>
      <c r="AW66" s="10">
        <f t="shared" si="190"/>
        <v>-5.2831491712707179E-2</v>
      </c>
      <c r="AX66" s="10">
        <f t="shared" ref="AX66" si="191">AX43/AX33</f>
        <v>-9.9364989587885956E-3</v>
      </c>
      <c r="AY66" s="10">
        <f t="shared" ref="AY66:BJ66" si="192">AY43/AY33</f>
        <v>-0.16096636949952645</v>
      </c>
      <c r="AZ66" s="10">
        <f t="shared" si="192"/>
        <v>4.78521847020556E-2</v>
      </c>
      <c r="BA66" s="10">
        <f t="shared" si="192"/>
        <v>1.4961067393389748E-2</v>
      </c>
      <c r="BB66" s="10">
        <f t="shared" si="192"/>
        <v>4.587841461401989E-2</v>
      </c>
      <c r="BC66" s="10">
        <f t="shared" si="192"/>
        <v>6.5952963573481127E-2</v>
      </c>
      <c r="BD66" s="10">
        <f t="shared" si="192"/>
        <v>7.6657162744413379E-2</v>
      </c>
      <c r="BE66" s="10">
        <f t="shared" si="192"/>
        <v>8.6946654715055888E-2</v>
      </c>
      <c r="BF66" s="10">
        <f t="shared" si="192"/>
        <v>9.6501783004829395E-2</v>
      </c>
      <c r="BG66" s="10">
        <f t="shared" si="192"/>
        <v>0.10602493280236919</v>
      </c>
      <c r="BH66" s="10">
        <f t="shared" si="192"/>
        <v>0.10687885238784876</v>
      </c>
      <c r="BI66" s="10">
        <f t="shared" si="192"/>
        <v>0.10772353097588781</v>
      </c>
      <c r="BJ66" s="10">
        <f t="shared" si="192"/>
        <v>0.10855905425998146</v>
      </c>
      <c r="BL66" s="3" t="s">
        <v>77</v>
      </c>
      <c r="BM66" s="11">
        <f>BM64/BM65-1</f>
        <v>-0.36065231928974995</v>
      </c>
    </row>
    <row r="67" spans="2:65" x14ac:dyDescent="0.3">
      <c r="B67" s="1" t="s">
        <v>52</v>
      </c>
      <c r="P67" s="10">
        <f t="shared" ref="P67:S67" si="193">P48/P47</f>
        <v>0.62749999999999995</v>
      </c>
      <c r="Q67" s="10">
        <f t="shared" si="193"/>
        <v>-0.48909090909090908</v>
      </c>
      <c r="R67" s="10">
        <f t="shared" si="193"/>
        <v>-2.3333333333333335</v>
      </c>
      <c r="S67" s="10">
        <f t="shared" si="193"/>
        <v>-6.0846560846560843E-2</v>
      </c>
      <c r="T67" s="10">
        <f>T48/T47</f>
        <v>5.0165016501650166E-2</v>
      </c>
      <c r="U67" s="10">
        <f>U48/U47</f>
        <v>8.0334190231362464E-3</v>
      </c>
      <c r="V67" s="10">
        <f>V48/V47</f>
        <v>5.6682140239433181E-2</v>
      </c>
      <c r="W67" s="10">
        <f>W48/W47</f>
        <v>1.4078947368421053</v>
      </c>
      <c r="X67" s="10">
        <f t="shared" ref="X67:Y67" si="194">X48/X47</f>
        <v>-9.0909090909090912E-2</v>
      </c>
      <c r="Y67" s="10">
        <f t="shared" si="194"/>
        <v>-2.6928255433737256E-2</v>
      </c>
      <c r="Z67" s="10">
        <f t="shared" ref="Z67" si="195">Z48/Z47</f>
        <v>1.1900468806346917E-2</v>
      </c>
      <c r="AA67" s="10"/>
      <c r="AB67" s="10"/>
      <c r="AC67" s="10"/>
      <c r="AD67" s="10"/>
      <c r="AH67" s="10">
        <f t="shared" ref="AH67:AL67" si="196">AH48/AH47</f>
        <v>0.33671134357633214</v>
      </c>
      <c r="AI67" s="10">
        <f t="shared" si="196"/>
        <v>0.33566958698372967</v>
      </c>
      <c r="AJ67" s="10">
        <f t="shared" si="196"/>
        <v>0.22876949740034663</v>
      </c>
      <c r="AK67" s="10">
        <f t="shared" si="196"/>
        <v>0.2653649877967606</v>
      </c>
      <c r="AL67" s="10">
        <f t="shared" si="196"/>
        <v>0.25625811236788432</v>
      </c>
      <c r="AM67" s="10">
        <f t="shared" ref="AM67" si="197">AM48/AM47</f>
        <v>0.33959390862944161</v>
      </c>
      <c r="AN67" s="10">
        <f t="shared" ref="AN67:AQ67" si="198">AN48/AN47</f>
        <v>0.26412066752246471</v>
      </c>
      <c r="AO67" s="10">
        <f t="shared" si="198"/>
        <v>0.23693428611461398</v>
      </c>
      <c r="AP67" s="10">
        <f t="shared" si="198"/>
        <v>0.27658979734451433</v>
      </c>
      <c r="AQ67" s="10">
        <f t="shared" si="198"/>
        <v>0.12951755144388727</v>
      </c>
      <c r="AR67" s="10">
        <f t="shared" ref="AR67:AT67" si="199">AR48/AR47</f>
        <v>0.16315424953002869</v>
      </c>
      <c r="AS67" s="10">
        <f t="shared" si="199"/>
        <v>9.8586694243364359E-2</v>
      </c>
      <c r="AT67" s="10">
        <f t="shared" si="199"/>
        <v>0.71845949535192566</v>
      </c>
      <c r="AU67" s="10">
        <f t="shared" ref="AU67:AW67" si="200">AU48/AU47</f>
        <v>0.17511743575573363</v>
      </c>
      <c r="AV67" s="10">
        <f t="shared" si="200"/>
        <v>0.14762567057421022</v>
      </c>
      <c r="AW67" s="10">
        <f t="shared" si="200"/>
        <v>-6.1728395061728392E-3</v>
      </c>
      <c r="AX67" s="10">
        <f t="shared" ref="AX67" si="201">AX48/AX47</f>
        <v>-0.11820448877805487</v>
      </c>
      <c r="AY67" s="10">
        <f t="shared" ref="AY67:BJ67" si="202">AY48/AY47</f>
        <v>3.1203931203931203E-2</v>
      </c>
      <c r="AZ67" s="10">
        <f t="shared" si="202"/>
        <v>0.15066413662239089</v>
      </c>
      <c r="BA67" s="10">
        <f t="shared" si="202"/>
        <v>0.15</v>
      </c>
      <c r="BB67" s="10">
        <f t="shared" si="202"/>
        <v>0.15</v>
      </c>
      <c r="BC67" s="10">
        <f t="shared" si="202"/>
        <v>0.15</v>
      </c>
      <c r="BD67" s="10">
        <f t="shared" si="202"/>
        <v>0.15</v>
      </c>
      <c r="BE67" s="10">
        <f t="shared" si="202"/>
        <v>0.15</v>
      </c>
      <c r="BF67" s="10">
        <f t="shared" si="202"/>
        <v>0.15</v>
      </c>
      <c r="BG67" s="10">
        <f t="shared" si="202"/>
        <v>0.15</v>
      </c>
      <c r="BH67" s="10">
        <f t="shared" si="202"/>
        <v>0.15</v>
      </c>
      <c r="BI67" s="10">
        <f t="shared" si="202"/>
        <v>0.15</v>
      </c>
      <c r="BJ67" s="10">
        <f t="shared" si="202"/>
        <v>0.15</v>
      </c>
      <c r="BL67" s="1" t="s">
        <v>78</v>
      </c>
      <c r="BM67" s="2" t="s">
        <v>101</v>
      </c>
    </row>
    <row r="68" spans="2:65" x14ac:dyDescent="0.3">
      <c r="B68" s="1" t="s">
        <v>63</v>
      </c>
      <c r="P68" s="10">
        <f t="shared" ref="P68:S68" si="203">P50/P33</f>
        <v>-7.5439218267429496E-3</v>
      </c>
      <c r="Q68" s="10">
        <f t="shared" si="203"/>
        <v>-9.0366769774635439E-2</v>
      </c>
      <c r="R68" s="10">
        <f t="shared" si="203"/>
        <v>-1.0445998728313198E-3</v>
      </c>
      <c r="S68" s="10">
        <f t="shared" si="203"/>
        <v>-2.347757861065846E-2</v>
      </c>
      <c r="T68" s="10">
        <f>T50/T33</f>
        <v>-8.5319577848926839E-2</v>
      </c>
      <c r="U68" s="10">
        <f>U50/U33</f>
        <v>-0.34585201793721976</v>
      </c>
      <c r="V68" s="10">
        <f>V50/V33</f>
        <v>-0.25738092113895816</v>
      </c>
      <c r="W68" s="10">
        <f>W50/W33</f>
        <v>-6.3089864587607715E-3</v>
      </c>
      <c r="X68" s="10">
        <f t="shared" ref="X68:Y68" si="204">X50/X33</f>
        <v>-3.0638709393819508E-2</v>
      </c>
      <c r="Y68" s="10">
        <f t="shared" si="204"/>
        <v>-0.23308981521272024</v>
      </c>
      <c r="Z68" s="10">
        <f t="shared" ref="Z68" si="205">Z50/Z33</f>
        <v>0.33965258059128112</v>
      </c>
      <c r="AA68" s="10"/>
      <c r="AB68" s="10"/>
      <c r="AC68" s="10"/>
      <c r="AD68" s="10"/>
      <c r="AH68" s="10">
        <f t="shared" ref="AH68:AL68" si="206">AH50/AH33</f>
        <v>6.1367436395679875E-2</v>
      </c>
      <c r="AI68" s="10">
        <f t="shared" si="206"/>
        <v>4.3868722192122678E-2</v>
      </c>
      <c r="AJ68" s="10">
        <f t="shared" si="206"/>
        <v>1.921471566028617E-2</v>
      </c>
      <c r="AK68" s="10">
        <f t="shared" si="206"/>
        <v>5.142599446396915E-2</v>
      </c>
      <c r="AL68" s="10">
        <f t="shared" si="206"/>
        <v>5.8456390485196769E-2</v>
      </c>
      <c r="AM68" s="10">
        <f t="shared" ref="AM68" si="207">AM50/AM33</f>
        <v>4.7736786702244856E-2</v>
      </c>
      <c r="AN68" s="10">
        <f t="shared" ref="AN68:AQ68" si="208">AN50/AN33</f>
        <v>5.2930514990245085E-2</v>
      </c>
      <c r="AO68" s="10">
        <f t="shared" si="208"/>
        <v>6.000308499151627E-2</v>
      </c>
      <c r="AP68" s="10">
        <f t="shared" si="208"/>
        <v>5.3852716565744842E-2</v>
      </c>
      <c r="AQ68" s="10">
        <f t="shared" si="208"/>
        <v>5.3841875588260459E-2</v>
      </c>
      <c r="AR68" s="10">
        <f t="shared" ref="AR68:AT68" si="209">AR50/AR33</f>
        <v>8.9973937556512951E-2</v>
      </c>
      <c r="AS68" s="10">
        <f t="shared" si="209"/>
        <v>0.10343429548982962</v>
      </c>
      <c r="AT68" s="10">
        <f t="shared" si="209"/>
        <v>-8.3073185386434E-3</v>
      </c>
      <c r="AU68" s="10">
        <f t="shared" ref="AU68:AW68" si="210">AU50/AU33</f>
        <v>-0.20415076171807833</v>
      </c>
      <c r="AV68" s="10">
        <f t="shared" si="210"/>
        <v>-6.7462993289021611E-2</v>
      </c>
      <c r="AW68" s="10">
        <f t="shared" si="210"/>
        <v>-7.4090199375450402E-2</v>
      </c>
      <c r="AX68" s="10">
        <f t="shared" ref="AX68" si="211">AX50/AX33</f>
        <v>-2.8562614083348332E-2</v>
      </c>
      <c r="AY68" s="10">
        <f t="shared" ref="AY68:BJ68" si="212">AY50/AY33</f>
        <v>-0.17852579039944677</v>
      </c>
      <c r="AZ68" s="10">
        <f t="shared" si="212"/>
        <v>2.112605211092854E-2</v>
      </c>
      <c r="BA68" s="10">
        <f t="shared" si="212"/>
        <v>-6.1960451180180314E-4</v>
      </c>
      <c r="BB68" s="10">
        <f t="shared" si="212"/>
        <v>2.6545453160103791E-2</v>
      </c>
      <c r="BC68" s="10">
        <f t="shared" si="212"/>
        <v>4.4136007468448493E-2</v>
      </c>
      <c r="BD68" s="10">
        <f t="shared" si="212"/>
        <v>5.3646108754214029E-2</v>
      </c>
      <c r="BE68" s="10">
        <f t="shared" si="212"/>
        <v>6.2697428838666636E-2</v>
      </c>
      <c r="BF68" s="10">
        <f t="shared" si="212"/>
        <v>7.102520335590562E-2</v>
      </c>
      <c r="BG68" s="10">
        <f t="shared" si="212"/>
        <v>7.9323525195694897E-2</v>
      </c>
      <c r="BH68" s="10">
        <f t="shared" si="212"/>
        <v>8.0250751214873628E-2</v>
      </c>
      <c r="BI68" s="10">
        <f t="shared" si="212"/>
        <v>8.1167892860466787E-2</v>
      </c>
      <c r="BJ68" s="10">
        <f t="shared" si="212"/>
        <v>8.2075043384608137E-2</v>
      </c>
    </row>
    <row r="71" spans="2:65" s="14" customFormat="1" x14ac:dyDescent="0.3">
      <c r="B71" s="14" t="s">
        <v>80</v>
      </c>
      <c r="V71" s="15">
        <v>156363</v>
      </c>
      <c r="W71" s="15"/>
      <c r="X71" s="15">
        <v>155120</v>
      </c>
      <c r="Y71" s="15">
        <v>150023</v>
      </c>
      <c r="Z71" s="15">
        <v>168235</v>
      </c>
      <c r="AA71" s="15"/>
      <c r="AB71" s="15"/>
      <c r="AC71" s="15"/>
      <c r="AD71" s="15"/>
      <c r="AZ71" s="15">
        <v>168235</v>
      </c>
    </row>
    <row r="73" spans="2:65" x14ac:dyDescent="0.3">
      <c r="B73" s="1" t="s">
        <v>81</v>
      </c>
      <c r="X73" s="16"/>
      <c r="AZ73" s="16">
        <f>Main!$D$9/Model!AZ71</f>
        <v>1.1872359972657294</v>
      </c>
    </row>
    <row r="74" spans="2:65" x14ac:dyDescent="0.3">
      <c r="B74" s="1" t="s">
        <v>82</v>
      </c>
      <c r="X74" s="10"/>
      <c r="AZ74" s="10">
        <f>AZ71/Main!$D$9-1</f>
        <v>-0.1577074799761331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2025-04-23T14:48:03Z</dcterms:created>
  <dcterms:modified xsi:type="dcterms:W3CDTF">2026-01-31T13:05:37Z</dcterms:modified>
</cp:coreProperties>
</file>