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E193111-CEEA-454E-B54F-43B808933E24}" xr6:coauthVersionLast="47" xr6:coauthVersionMax="47" xr10:uidLastSave="{00000000-0000-0000-0000-000000000000}"/>
  <bookViews>
    <workbookView xWindow="-108" yWindow="-108" windowWidth="23256" windowHeight="12576" activeTab="1" xr2:uid="{DAAEC582-3359-4770-A2A8-463EF00396F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23" i="2" l="1"/>
  <c r="Y23" i="2"/>
  <c r="Y10" i="2"/>
  <c r="Y50" i="2"/>
  <c r="AV67" i="2"/>
  <c r="AV66" i="2"/>
  <c r="D7" i="1"/>
  <c r="D6" i="1"/>
  <c r="Y45" i="2"/>
  <c r="AU50" i="2"/>
  <c r="AT50" i="2"/>
  <c r="AS50" i="2"/>
  <c r="AR50" i="2"/>
  <c r="AQ50" i="2"/>
  <c r="AP50" i="2"/>
  <c r="AO50" i="2"/>
  <c r="AN50" i="2"/>
  <c r="AM50" i="2"/>
  <c r="AH58" i="2"/>
  <c r="AG58" i="2"/>
  <c r="AF58" i="2"/>
  <c r="AE58" i="2"/>
  <c r="AH57" i="2"/>
  <c r="AG57" i="2"/>
  <c r="AF57" i="2"/>
  <c r="AE57" i="2"/>
  <c r="AH54" i="2"/>
  <c r="AG54" i="2"/>
  <c r="AF54" i="2"/>
  <c r="AE54" i="2"/>
  <c r="AD54" i="2"/>
  <c r="AH52" i="2"/>
  <c r="AG52" i="2"/>
  <c r="AF52" i="2"/>
  <c r="AE52" i="2"/>
  <c r="AH51" i="2"/>
  <c r="AG51" i="2"/>
  <c r="AF51" i="2"/>
  <c r="AE51" i="2"/>
  <c r="AH50" i="2"/>
  <c r="AG50" i="2"/>
  <c r="AF50" i="2"/>
  <c r="AE50" i="2"/>
  <c r="AD31" i="2"/>
  <c r="AD55" i="2" s="1"/>
  <c r="AD42" i="2"/>
  <c r="AD38" i="2"/>
  <c r="AD29" i="2"/>
  <c r="AE31" i="2"/>
  <c r="AE55" i="2" s="1"/>
  <c r="AE42" i="2"/>
  <c r="AE38" i="2"/>
  <c r="AE29" i="2"/>
  <c r="AF31" i="2"/>
  <c r="AF32" i="2" s="1"/>
  <c r="AF42" i="2"/>
  <c r="AF38" i="2"/>
  <c r="AF29" i="2"/>
  <c r="AI58" i="2"/>
  <c r="AI57" i="2"/>
  <c r="AI54" i="2"/>
  <c r="AI52" i="2"/>
  <c r="AI51" i="2"/>
  <c r="AG31" i="2"/>
  <c r="AG32" i="2" s="1"/>
  <c r="AG42" i="2"/>
  <c r="AG38" i="2"/>
  <c r="AG29" i="2"/>
  <c r="AH31" i="2"/>
  <c r="AH55" i="2" s="1"/>
  <c r="AH42" i="2"/>
  <c r="AH38" i="2"/>
  <c r="AH29" i="2"/>
  <c r="AI31" i="2"/>
  <c r="AI32" i="2" s="1"/>
  <c r="AI42" i="2"/>
  <c r="AI38" i="2"/>
  <c r="AI29" i="2"/>
  <c r="AV50" i="2"/>
  <c r="AJ31" i="2"/>
  <c r="AJ55" i="2" s="1"/>
  <c r="AJ42" i="2"/>
  <c r="AJ38" i="2"/>
  <c r="AJ29" i="2"/>
  <c r="AK31" i="2"/>
  <c r="AK55" i="2" s="1"/>
  <c r="AK42" i="2"/>
  <c r="AK38" i="2"/>
  <c r="AK29" i="2"/>
  <c r="AL31" i="2"/>
  <c r="AL32" i="2" s="1"/>
  <c r="AL42" i="2"/>
  <c r="AL38" i="2"/>
  <c r="AL29" i="2"/>
  <c r="AM58" i="2"/>
  <c r="AL58" i="2"/>
  <c r="AK58" i="2"/>
  <c r="AJ58" i="2"/>
  <c r="AM57" i="2"/>
  <c r="AL57" i="2"/>
  <c r="AK57" i="2"/>
  <c r="AJ57" i="2"/>
  <c r="AM54" i="2"/>
  <c r="AL54" i="2"/>
  <c r="AK54" i="2"/>
  <c r="AJ54" i="2"/>
  <c r="AM52" i="2"/>
  <c r="AL52" i="2"/>
  <c r="AK52" i="2"/>
  <c r="AM51" i="2"/>
  <c r="AL51" i="2"/>
  <c r="AK51" i="2"/>
  <c r="AJ51" i="2"/>
  <c r="AL50" i="2"/>
  <c r="AK50" i="2"/>
  <c r="AJ50" i="2"/>
  <c r="AI50" i="2"/>
  <c r="S55" i="2"/>
  <c r="R55" i="2"/>
  <c r="Q55" i="2"/>
  <c r="P55" i="2"/>
  <c r="S54" i="2"/>
  <c r="R54" i="2"/>
  <c r="Q54" i="2"/>
  <c r="P54" i="2"/>
  <c r="T58" i="2"/>
  <c r="T57" i="2"/>
  <c r="T55" i="2"/>
  <c r="T54" i="2"/>
  <c r="T52" i="2"/>
  <c r="T51" i="2"/>
  <c r="U58" i="2"/>
  <c r="U57" i="2"/>
  <c r="U55" i="2"/>
  <c r="U54" i="2"/>
  <c r="U52" i="2"/>
  <c r="U51" i="2"/>
  <c r="Z35" i="2"/>
  <c r="Y57" i="2"/>
  <c r="Z28" i="2"/>
  <c r="Z52" i="2" s="1"/>
  <c r="Y52" i="2"/>
  <c r="Z27" i="2"/>
  <c r="Z30" i="2" s="1"/>
  <c r="Z54" i="2" s="1"/>
  <c r="Y54" i="2"/>
  <c r="X45" i="2"/>
  <c r="V50" i="2"/>
  <c r="X50" i="2"/>
  <c r="X10" i="2"/>
  <c r="BI58" i="2"/>
  <c r="AV37" i="2"/>
  <c r="AV34" i="2"/>
  <c r="Z45" i="2"/>
  <c r="Y42" i="2"/>
  <c r="X42" i="2"/>
  <c r="Z41" i="2"/>
  <c r="AV41" i="2" s="1"/>
  <c r="AW41" i="2" s="1"/>
  <c r="AX41" i="2" s="1"/>
  <c r="AY41" i="2" s="1"/>
  <c r="AZ41" i="2" s="1"/>
  <c r="BA41" i="2" s="1"/>
  <c r="BB41" i="2" s="1"/>
  <c r="BC41" i="2" s="1"/>
  <c r="BD41" i="2" s="1"/>
  <c r="BE41" i="2" s="1"/>
  <c r="BF41" i="2" s="1"/>
  <c r="Z40" i="2"/>
  <c r="AV40" i="2" s="1"/>
  <c r="AW40" i="2" s="1"/>
  <c r="Y38" i="2"/>
  <c r="X38" i="2"/>
  <c r="Y58" i="2"/>
  <c r="Z36" i="2"/>
  <c r="Z58" i="2" s="1"/>
  <c r="X58" i="2"/>
  <c r="X57" i="2"/>
  <c r="X54" i="2"/>
  <c r="X52" i="2"/>
  <c r="Y51" i="2"/>
  <c r="X51" i="2"/>
  <c r="X29" i="2"/>
  <c r="AF53" i="2" l="1"/>
  <c r="AJ32" i="2"/>
  <c r="AD32" i="2"/>
  <c r="AH53" i="2"/>
  <c r="Z38" i="2"/>
  <c r="AG55" i="2"/>
  <c r="AL55" i="2"/>
  <c r="AI53" i="2"/>
  <c r="AK32" i="2"/>
  <c r="AK33" i="2" s="1"/>
  <c r="AK39" i="2" s="1"/>
  <c r="AK59" i="2" s="1"/>
  <c r="AH32" i="2"/>
  <c r="AH33" i="2" s="1"/>
  <c r="AE53" i="2"/>
  <c r="Z42" i="2"/>
  <c r="AG53" i="2"/>
  <c r="AI55" i="2"/>
  <c r="AE32" i="2"/>
  <c r="AE33" i="2" s="1"/>
  <c r="AV36" i="2"/>
  <c r="AW36" i="2" s="1"/>
  <c r="AX36" i="2" s="1"/>
  <c r="AX58" i="2" s="1"/>
  <c r="Z51" i="2"/>
  <c r="AF55" i="2"/>
  <c r="AD33" i="2"/>
  <c r="AF33" i="2"/>
  <c r="AG33" i="2"/>
  <c r="AI33" i="2"/>
  <c r="AJ52" i="2"/>
  <c r="AJ33" i="2"/>
  <c r="AJ56" i="2" s="1"/>
  <c r="AK53" i="2"/>
  <c r="AJ53" i="2"/>
  <c r="AL53" i="2"/>
  <c r="AL33" i="2"/>
  <c r="AL39" i="2" s="1"/>
  <c r="Z57" i="2"/>
  <c r="AV35" i="2"/>
  <c r="AW35" i="2" s="1"/>
  <c r="AW57" i="2" s="1"/>
  <c r="Z31" i="2"/>
  <c r="Z32" i="2" s="1"/>
  <c r="AV28" i="2"/>
  <c r="AW28" i="2" s="1"/>
  <c r="AX28" i="2" s="1"/>
  <c r="Z29" i="2"/>
  <c r="Y32" i="2"/>
  <c r="Y29" i="2"/>
  <c r="AV27" i="2"/>
  <c r="AV30" i="2"/>
  <c r="X32" i="2"/>
  <c r="X33" i="2" s="1"/>
  <c r="X56" i="2" s="1"/>
  <c r="X55" i="2"/>
  <c r="AX40" i="2"/>
  <c r="AW42" i="2"/>
  <c r="AV42" i="2"/>
  <c r="Z55" i="2" l="1"/>
  <c r="AJ39" i="2"/>
  <c r="AJ43" i="2" s="1"/>
  <c r="Z33" i="2"/>
  <c r="Z56" i="2" s="1"/>
  <c r="AF39" i="2"/>
  <c r="AF56" i="2"/>
  <c r="AW58" i="2"/>
  <c r="AE39" i="2"/>
  <c r="AE56" i="2"/>
  <c r="AY36" i="2"/>
  <c r="AY58" i="2" s="1"/>
  <c r="AH39" i="2"/>
  <c r="AH56" i="2"/>
  <c r="AD39" i="2"/>
  <c r="AD56" i="2"/>
  <c r="AV58" i="2"/>
  <c r="AG39" i="2"/>
  <c r="AG56" i="2"/>
  <c r="AI39" i="2"/>
  <c r="AI56" i="2"/>
  <c r="AW52" i="2"/>
  <c r="AV52" i="2"/>
  <c r="AW31" i="2"/>
  <c r="AW55" i="2" s="1"/>
  <c r="AW27" i="2"/>
  <c r="AV51" i="2"/>
  <c r="AK43" i="2"/>
  <c r="AK46" i="2" s="1"/>
  <c r="AK56" i="2"/>
  <c r="AL56" i="2"/>
  <c r="AL43" i="2"/>
  <c r="AL59" i="2"/>
  <c r="AX35" i="2"/>
  <c r="AY35" i="2" s="1"/>
  <c r="AV38" i="2"/>
  <c r="AV57" i="2"/>
  <c r="AW38" i="2"/>
  <c r="AV29" i="2"/>
  <c r="AV31" i="2"/>
  <c r="AV55" i="2" s="1"/>
  <c r="Y55" i="2"/>
  <c r="Y33" i="2"/>
  <c r="Y56" i="2" s="1"/>
  <c r="X39" i="2"/>
  <c r="AX52" i="2"/>
  <c r="AX31" i="2"/>
  <c r="AX55" i="2" s="1"/>
  <c r="AY28" i="2"/>
  <c r="AV54" i="2"/>
  <c r="AX42" i="2"/>
  <c r="AY40" i="2"/>
  <c r="AV32" i="2" l="1"/>
  <c r="AV33" i="2" s="1"/>
  <c r="Z39" i="2"/>
  <c r="Z59" i="2" s="1"/>
  <c r="AJ59" i="2"/>
  <c r="AZ36" i="2"/>
  <c r="AZ58" i="2" s="1"/>
  <c r="AF43" i="2"/>
  <c r="AF59" i="2"/>
  <c r="AI43" i="2"/>
  <c r="AI59" i="2"/>
  <c r="AH43" i="2"/>
  <c r="AH59" i="2"/>
  <c r="AD43" i="2"/>
  <c r="AD59" i="2"/>
  <c r="AG43" i="2"/>
  <c r="AG59" i="2"/>
  <c r="AX27" i="2"/>
  <c r="AW30" i="2"/>
  <c r="AE43" i="2"/>
  <c r="AE59" i="2"/>
  <c r="AX57" i="2"/>
  <c r="AX38" i="2"/>
  <c r="AW29" i="2"/>
  <c r="AW53" i="2" s="1"/>
  <c r="AW51" i="2"/>
  <c r="AJ46" i="2"/>
  <c r="AJ60" i="2"/>
  <c r="AK60" i="2"/>
  <c r="AK48" i="2"/>
  <c r="AK61" i="2"/>
  <c r="AL60" i="2"/>
  <c r="AL46" i="2"/>
  <c r="Y39" i="2"/>
  <c r="X59" i="2"/>
  <c r="X43" i="2"/>
  <c r="AY52" i="2"/>
  <c r="AY31" i="2"/>
  <c r="AY55" i="2" s="1"/>
  <c r="AZ28" i="2"/>
  <c r="AY42" i="2"/>
  <c r="AZ40" i="2"/>
  <c r="BA36" i="2"/>
  <c r="AZ35" i="2"/>
  <c r="AY57" i="2"/>
  <c r="AY38" i="2"/>
  <c r="AV39" i="2" l="1"/>
  <c r="AV43" i="2" s="1"/>
  <c r="AV56" i="2"/>
  <c r="Z43" i="2"/>
  <c r="Z44" i="2" s="1"/>
  <c r="Z60" i="2" s="1"/>
  <c r="AD46" i="2"/>
  <c r="AD60" i="2"/>
  <c r="AE46" i="2"/>
  <c r="AE60" i="2"/>
  <c r="AH46" i="2"/>
  <c r="AH60" i="2"/>
  <c r="AX30" i="2"/>
  <c r="AY27" i="2"/>
  <c r="AZ27" i="2" s="1"/>
  <c r="BA27" i="2" s="1"/>
  <c r="AI46" i="2"/>
  <c r="AI60" i="2"/>
  <c r="AG46" i="2"/>
  <c r="AG60" i="2"/>
  <c r="AF46" i="2"/>
  <c r="AF60" i="2"/>
  <c r="AW54" i="2"/>
  <c r="AW32" i="2"/>
  <c r="AW33" i="2" s="1"/>
  <c r="AX29" i="2"/>
  <c r="AX53" i="2" s="1"/>
  <c r="AX51" i="2"/>
  <c r="AJ48" i="2"/>
  <c r="AJ61" i="2"/>
  <c r="AL48" i="2"/>
  <c r="AL61" i="2"/>
  <c r="Y43" i="2"/>
  <c r="Y59" i="2"/>
  <c r="BB36" i="2"/>
  <c r="BA58" i="2"/>
  <c r="AZ52" i="2"/>
  <c r="AZ31" i="2"/>
  <c r="AZ55" i="2" s="1"/>
  <c r="BA28" i="2"/>
  <c r="AZ42" i="2"/>
  <c r="BA40" i="2"/>
  <c r="BA35" i="2"/>
  <c r="AZ57" i="2"/>
  <c r="AZ38" i="2"/>
  <c r="AV59" i="2" l="1"/>
  <c r="AD48" i="2"/>
  <c r="AD61" i="2"/>
  <c r="AI48" i="2"/>
  <c r="AI61" i="2"/>
  <c r="AF48" i="2"/>
  <c r="AF61" i="2"/>
  <c r="AH48" i="2"/>
  <c r="AH61" i="2"/>
  <c r="AG48" i="2"/>
  <c r="AG61" i="2"/>
  <c r="AE48" i="2"/>
  <c r="AE61" i="2"/>
  <c r="AY29" i="2"/>
  <c r="AY53" i="2" s="1"/>
  <c r="AY51" i="2"/>
  <c r="AY30" i="2"/>
  <c r="AW56" i="2"/>
  <c r="AW39" i="2"/>
  <c r="AX32" i="2"/>
  <c r="AX33" i="2" s="1"/>
  <c r="AX54" i="2"/>
  <c r="Z46" i="2"/>
  <c r="X46" i="2"/>
  <c r="X61" i="2" s="1"/>
  <c r="X60" i="2"/>
  <c r="BB35" i="2"/>
  <c r="BA57" i="2"/>
  <c r="BA38" i="2"/>
  <c r="BB40" i="2"/>
  <c r="BA42" i="2"/>
  <c r="BC36" i="2"/>
  <c r="BB58" i="2"/>
  <c r="BA52" i="2"/>
  <c r="BA31" i="2"/>
  <c r="BA55" i="2" s="1"/>
  <c r="BB28" i="2"/>
  <c r="AW43" i="2" l="1"/>
  <c r="AW59" i="2"/>
  <c r="AX56" i="2"/>
  <c r="AX39" i="2"/>
  <c r="AY32" i="2"/>
  <c r="AY33" i="2" s="1"/>
  <c r="AY54" i="2"/>
  <c r="AZ29" i="2"/>
  <c r="AZ53" i="2" s="1"/>
  <c r="AZ51" i="2"/>
  <c r="AZ30" i="2"/>
  <c r="Y60" i="2"/>
  <c r="AV44" i="2"/>
  <c r="Y46" i="2"/>
  <c r="Z48" i="2"/>
  <c r="Z61" i="2"/>
  <c r="X48" i="2"/>
  <c r="BB31" i="2"/>
  <c r="BB55" i="2" s="1"/>
  <c r="BC28" i="2"/>
  <c r="BB52" i="2"/>
  <c r="BB57" i="2"/>
  <c r="BB38" i="2"/>
  <c r="BC35" i="2"/>
  <c r="BD36" i="2"/>
  <c r="BC58" i="2"/>
  <c r="BC40" i="2"/>
  <c r="BB42" i="2"/>
  <c r="BA29" i="2" l="1"/>
  <c r="BA53" i="2" s="1"/>
  <c r="BA51" i="2"/>
  <c r="BA30" i="2"/>
  <c r="BB27" i="2"/>
  <c r="AY56" i="2"/>
  <c r="AY39" i="2"/>
  <c r="AX59" i="2"/>
  <c r="AX43" i="2"/>
  <c r="AZ32" i="2"/>
  <c r="AZ33" i="2" s="1"/>
  <c r="AZ54" i="2"/>
  <c r="AW44" i="2"/>
  <c r="AW60" i="2" s="1"/>
  <c r="Y48" i="2"/>
  <c r="Y61" i="2"/>
  <c r="AV60" i="2"/>
  <c r="BD40" i="2"/>
  <c r="BC42" i="2"/>
  <c r="BC38" i="2"/>
  <c r="BC57" i="2"/>
  <c r="BD35" i="2"/>
  <c r="BE36" i="2"/>
  <c r="BD58" i="2"/>
  <c r="BC31" i="2"/>
  <c r="BC55" i="2" s="1"/>
  <c r="BD28" i="2"/>
  <c r="BC52" i="2"/>
  <c r="AW46" i="2" l="1"/>
  <c r="AW61" i="2" s="1"/>
  <c r="BA32" i="2"/>
  <c r="BA33" i="2" s="1"/>
  <c r="BA54" i="2"/>
  <c r="AX44" i="2"/>
  <c r="AX60" i="2" s="1"/>
  <c r="AY59" i="2"/>
  <c r="AY43" i="2"/>
  <c r="BB30" i="2"/>
  <c r="BB51" i="2"/>
  <c r="BB29" i="2"/>
  <c r="BB53" i="2" s="1"/>
  <c r="BC27" i="2"/>
  <c r="AZ56" i="2"/>
  <c r="AZ39" i="2"/>
  <c r="BD38" i="2"/>
  <c r="BE35" i="2"/>
  <c r="BD57" i="2"/>
  <c r="BF36" i="2"/>
  <c r="BF58" i="2" s="1"/>
  <c r="BE58" i="2"/>
  <c r="BE40" i="2"/>
  <c r="BD42" i="2"/>
  <c r="BE28" i="2"/>
  <c r="BD52" i="2"/>
  <c r="BD31" i="2"/>
  <c r="BD55" i="2" s="1"/>
  <c r="AX46" i="2" l="1"/>
  <c r="AX61" i="2" s="1"/>
  <c r="AW48" i="2"/>
  <c r="AY44" i="2"/>
  <c r="AY60" i="2" s="1"/>
  <c r="AZ59" i="2"/>
  <c r="AZ43" i="2"/>
  <c r="BC51" i="2"/>
  <c r="BC29" i="2"/>
  <c r="BC53" i="2" s="1"/>
  <c r="BC30" i="2"/>
  <c r="BD27" i="2"/>
  <c r="BB54" i="2"/>
  <c r="BB32" i="2"/>
  <c r="BB33" i="2" s="1"/>
  <c r="BA39" i="2"/>
  <c r="BA56" i="2"/>
  <c r="BF40" i="2"/>
  <c r="BF42" i="2" s="1"/>
  <c r="BE42" i="2"/>
  <c r="BF35" i="2"/>
  <c r="BE57" i="2"/>
  <c r="BE38" i="2"/>
  <c r="BE52" i="2"/>
  <c r="BE31" i="2"/>
  <c r="BE55" i="2" s="1"/>
  <c r="BF28" i="2"/>
  <c r="AX48" i="2" l="1"/>
  <c r="AY46" i="2"/>
  <c r="AY61" i="2" s="1"/>
  <c r="AZ44" i="2"/>
  <c r="AZ60" i="2" s="1"/>
  <c r="BB56" i="2"/>
  <c r="BB39" i="2"/>
  <c r="BD51" i="2"/>
  <c r="BD30" i="2"/>
  <c r="BD29" i="2"/>
  <c r="BD53" i="2" s="1"/>
  <c r="BE27" i="2"/>
  <c r="BA59" i="2"/>
  <c r="BA43" i="2"/>
  <c r="BC32" i="2"/>
  <c r="BC33" i="2" s="1"/>
  <c r="BC54" i="2"/>
  <c r="BF57" i="2"/>
  <c r="BF38" i="2"/>
  <c r="BF52" i="2"/>
  <c r="BF31" i="2"/>
  <c r="BF55" i="2" s="1"/>
  <c r="AZ46" i="2" l="1"/>
  <c r="AZ48" i="2" s="1"/>
  <c r="AY48" i="2"/>
  <c r="BF27" i="2"/>
  <c r="BE29" i="2"/>
  <c r="BE51" i="2"/>
  <c r="BE30" i="2"/>
  <c r="BE32" i="2" s="1"/>
  <c r="BE54" i="2"/>
  <c r="BD54" i="2"/>
  <c r="BD32" i="2"/>
  <c r="BD33" i="2" s="1"/>
  <c r="BC39" i="2"/>
  <c r="BC56" i="2"/>
  <c r="BB59" i="2"/>
  <c r="BB43" i="2"/>
  <c r="BA44" i="2"/>
  <c r="BA60" i="2" s="1"/>
  <c r="AZ61" i="2" l="1"/>
  <c r="BA46" i="2"/>
  <c r="BA61" i="2" s="1"/>
  <c r="BC43" i="2"/>
  <c r="BC59" i="2"/>
  <c r="BB44" i="2"/>
  <c r="BB60" i="2" s="1"/>
  <c r="BE53" i="2"/>
  <c r="BE33" i="2"/>
  <c r="BD39" i="2"/>
  <c r="BD56" i="2"/>
  <c r="BF30" i="2"/>
  <c r="BF29" i="2"/>
  <c r="BF53" i="2" s="1"/>
  <c r="BF51" i="2"/>
  <c r="BA48" i="2" l="1"/>
  <c r="BB46" i="2"/>
  <c r="BB61" i="2" s="1"/>
  <c r="BE56" i="2"/>
  <c r="BE39" i="2"/>
  <c r="BF54" i="2"/>
  <c r="BF32" i="2"/>
  <c r="BF33" i="2" s="1"/>
  <c r="BD59" i="2"/>
  <c r="BD43" i="2"/>
  <c r="BC44" i="2"/>
  <c r="BC60" i="2" s="1"/>
  <c r="BB48" i="2" l="1"/>
  <c r="BC46" i="2"/>
  <c r="BC61" i="2" s="1"/>
  <c r="BF39" i="2"/>
  <c r="BF56" i="2"/>
  <c r="BE43" i="2"/>
  <c r="BE59" i="2"/>
  <c r="BD44" i="2"/>
  <c r="BD60" i="2" s="1"/>
  <c r="BC48" i="2" l="1"/>
  <c r="BD46" i="2"/>
  <c r="BD61" i="2" s="1"/>
  <c r="BE44" i="2"/>
  <c r="BE60" i="2" s="1"/>
  <c r="BF43" i="2"/>
  <c r="BF59" i="2"/>
  <c r="P10" i="2"/>
  <c r="T10" i="2"/>
  <c r="P42" i="2"/>
  <c r="P38" i="2"/>
  <c r="P32" i="2"/>
  <c r="P29" i="2"/>
  <c r="T32" i="2"/>
  <c r="T29" i="2"/>
  <c r="T42" i="2"/>
  <c r="T38" i="2"/>
  <c r="Q10" i="2"/>
  <c r="U10" i="2"/>
  <c r="Q42" i="2"/>
  <c r="Q38" i="2"/>
  <c r="Q32" i="2"/>
  <c r="Q29" i="2"/>
  <c r="U42" i="2"/>
  <c r="U38" i="2"/>
  <c r="U32" i="2"/>
  <c r="U29" i="2"/>
  <c r="Q33" i="2" l="1"/>
  <c r="Q56" i="2" s="1"/>
  <c r="T53" i="2"/>
  <c r="X53" i="2"/>
  <c r="U33" i="2"/>
  <c r="U56" i="2" s="1"/>
  <c r="U53" i="2"/>
  <c r="Y53" i="2"/>
  <c r="BE46" i="2"/>
  <c r="BE61" i="2" s="1"/>
  <c r="BD48" i="2"/>
  <c r="BF44" i="2"/>
  <c r="BF60" i="2" s="1"/>
  <c r="P33" i="2"/>
  <c r="T33" i="2"/>
  <c r="U39" i="2"/>
  <c r="S10" i="2"/>
  <c r="R10" i="2"/>
  <c r="V10" i="2"/>
  <c r="W10" i="2"/>
  <c r="W50" i="2"/>
  <c r="V58" i="2"/>
  <c r="V57" i="2"/>
  <c r="V55" i="2"/>
  <c r="V54" i="2"/>
  <c r="V52" i="2"/>
  <c r="V51" i="2"/>
  <c r="R42" i="2"/>
  <c r="R38" i="2"/>
  <c r="R32" i="2"/>
  <c r="R29" i="2"/>
  <c r="V45" i="2"/>
  <c r="V42" i="2"/>
  <c r="V38" i="2"/>
  <c r="V32" i="2"/>
  <c r="V29" i="2"/>
  <c r="Z53" i="2" s="1"/>
  <c r="AP58" i="2"/>
  <c r="AO58" i="2"/>
  <c r="AN58" i="2"/>
  <c r="AP57" i="2"/>
  <c r="AO57" i="2"/>
  <c r="AN57" i="2"/>
  <c r="AP54" i="2"/>
  <c r="AO54" i="2"/>
  <c r="AN54" i="2"/>
  <c r="AP52" i="2"/>
  <c r="AO52" i="2"/>
  <c r="AN52" i="2"/>
  <c r="AP51" i="2"/>
  <c r="AO51" i="2"/>
  <c r="AN51" i="2"/>
  <c r="AM31" i="2"/>
  <c r="AM55" i="2" s="1"/>
  <c r="AM42" i="2"/>
  <c r="AM38" i="2"/>
  <c r="AM29" i="2"/>
  <c r="AM53" i="2" s="1"/>
  <c r="AN34" i="2"/>
  <c r="AN38" i="2" s="1"/>
  <c r="AN31" i="2"/>
  <c r="AN32" i="2" s="1"/>
  <c r="AN42" i="2"/>
  <c r="AN29" i="2"/>
  <c r="W29" i="2"/>
  <c r="W32" i="2"/>
  <c r="W38" i="2"/>
  <c r="W42" i="2"/>
  <c r="W45" i="2"/>
  <c r="AV45" i="2" s="1"/>
  <c r="AV46" i="2" s="1"/>
  <c r="AO31" i="2"/>
  <c r="AO32" i="2" s="1"/>
  <c r="AP31" i="2"/>
  <c r="AP55" i="2" s="1"/>
  <c r="AO42" i="2"/>
  <c r="AO38" i="2"/>
  <c r="AO29" i="2"/>
  <c r="AS58" i="2"/>
  <c r="AR58" i="2"/>
  <c r="AQ58" i="2"/>
  <c r="AS57" i="2"/>
  <c r="AR57" i="2"/>
  <c r="AQ57" i="2"/>
  <c r="AS55" i="2"/>
  <c r="AS54" i="2"/>
  <c r="AR54" i="2"/>
  <c r="AQ54" i="2"/>
  <c r="AS52" i="2"/>
  <c r="AR52" i="2"/>
  <c r="AQ52" i="2"/>
  <c r="AS51" i="2"/>
  <c r="AR51" i="2"/>
  <c r="AQ51" i="2"/>
  <c r="AP42" i="2"/>
  <c r="AP38" i="2"/>
  <c r="AP29" i="2"/>
  <c r="AQ31" i="2"/>
  <c r="AQ55" i="2" s="1"/>
  <c r="AQ42" i="2"/>
  <c r="AQ38" i="2"/>
  <c r="AQ29" i="2"/>
  <c r="AR31" i="2"/>
  <c r="AR32" i="2" s="1"/>
  <c r="AR42" i="2"/>
  <c r="AR38" i="2"/>
  <c r="AR29" i="2"/>
  <c r="W58" i="2"/>
  <c r="W57" i="2"/>
  <c r="W52" i="2"/>
  <c r="W51" i="2"/>
  <c r="W55" i="2"/>
  <c r="W54" i="2"/>
  <c r="AT58" i="2"/>
  <c r="AT57" i="2"/>
  <c r="AT55" i="2"/>
  <c r="AT54" i="2"/>
  <c r="AT52" i="2"/>
  <c r="AT51" i="2"/>
  <c r="AU58" i="2"/>
  <c r="AU57" i="2"/>
  <c r="AU55" i="2"/>
  <c r="AU54" i="2"/>
  <c r="AU52" i="2"/>
  <c r="AU51" i="2"/>
  <c r="AS42" i="2"/>
  <c r="AS38" i="2"/>
  <c r="AS32" i="2"/>
  <c r="AS29" i="2"/>
  <c r="AT42" i="2"/>
  <c r="AT38" i="2"/>
  <c r="AT32" i="2"/>
  <c r="AT29" i="2"/>
  <c r="AU45" i="2"/>
  <c r="AU42" i="2"/>
  <c r="AU38" i="2"/>
  <c r="AU32" i="2"/>
  <c r="AU29" i="2"/>
  <c r="AV53" i="2" s="1"/>
  <c r="S42" i="2"/>
  <c r="S38" i="2"/>
  <c r="S32" i="2"/>
  <c r="S29" i="2"/>
  <c r="D8" i="1"/>
  <c r="BI55" i="2" s="1"/>
  <c r="D5" i="1"/>
  <c r="F3" i="1"/>
  <c r="Q39" i="2" l="1"/>
  <c r="Q43" i="2" s="1"/>
  <c r="BE48" i="2"/>
  <c r="AS53" i="2"/>
  <c r="T39" i="2"/>
  <c r="T56" i="2"/>
  <c r="AV48" i="2"/>
  <c r="AV61" i="2"/>
  <c r="U43" i="2"/>
  <c r="U59" i="2"/>
  <c r="P39" i="2"/>
  <c r="P56" i="2"/>
  <c r="BF46" i="2"/>
  <c r="D9" i="1"/>
  <c r="AP53" i="2"/>
  <c r="V53" i="2"/>
  <c r="R33" i="2"/>
  <c r="R56" i="2" s="1"/>
  <c r="AN53" i="2"/>
  <c r="V33" i="2"/>
  <c r="AR53" i="2"/>
  <c r="AP32" i="2"/>
  <c r="AP33" i="2" s="1"/>
  <c r="AP56" i="2" s="1"/>
  <c r="AQ53" i="2"/>
  <c r="AU53" i="2"/>
  <c r="W33" i="2"/>
  <c r="W39" i="2" s="1"/>
  <c r="W43" i="2" s="1"/>
  <c r="W46" i="2" s="1"/>
  <c r="W48" i="2" s="1"/>
  <c r="W53" i="2"/>
  <c r="AQ32" i="2"/>
  <c r="AQ33" i="2" s="1"/>
  <c r="AO53" i="2"/>
  <c r="AT53" i="2"/>
  <c r="AO55" i="2"/>
  <c r="AM32" i="2"/>
  <c r="AM33" i="2" s="1"/>
  <c r="AM56" i="2" s="1"/>
  <c r="AR55" i="2"/>
  <c r="AN55" i="2"/>
  <c r="AN33" i="2"/>
  <c r="AO33" i="2"/>
  <c r="AR33" i="2"/>
  <c r="AS33" i="2"/>
  <c r="AT33" i="2"/>
  <c r="AU33" i="2"/>
  <c r="S33" i="2"/>
  <c r="S56" i="2" s="1"/>
  <c r="Q59" i="2" l="1"/>
  <c r="P43" i="2"/>
  <c r="P59" i="2"/>
  <c r="Q46" i="2"/>
  <c r="Q60" i="2"/>
  <c r="T43" i="2"/>
  <c r="T59" i="2"/>
  <c r="U46" i="2"/>
  <c r="U60" i="2"/>
  <c r="BF48" i="2"/>
  <c r="BG46" i="2"/>
  <c r="BH46" i="2" s="1"/>
  <c r="BI46" i="2" s="1"/>
  <c r="BJ46" i="2" s="1"/>
  <c r="BK46" i="2" s="1"/>
  <c r="BL46" i="2" s="1"/>
  <c r="BM46" i="2" s="1"/>
  <c r="BN46" i="2" s="1"/>
  <c r="BO46" i="2" s="1"/>
  <c r="BP46" i="2" s="1"/>
  <c r="BQ46" i="2" s="1"/>
  <c r="BR46" i="2" s="1"/>
  <c r="BS46" i="2" s="1"/>
  <c r="BT46" i="2" s="1"/>
  <c r="BU46" i="2" s="1"/>
  <c r="BV46" i="2" s="1"/>
  <c r="BW46" i="2" s="1"/>
  <c r="BX46" i="2" s="1"/>
  <c r="BY46" i="2" s="1"/>
  <c r="BZ46" i="2" s="1"/>
  <c r="CA46" i="2" s="1"/>
  <c r="CB46" i="2" s="1"/>
  <c r="CC46" i="2" s="1"/>
  <c r="CD46" i="2" s="1"/>
  <c r="CE46" i="2" s="1"/>
  <c r="CF46" i="2" s="1"/>
  <c r="CG46" i="2" s="1"/>
  <c r="CH46" i="2" s="1"/>
  <c r="CI46" i="2" s="1"/>
  <c r="CJ46" i="2" s="1"/>
  <c r="CK46" i="2" s="1"/>
  <c r="CL46" i="2" s="1"/>
  <c r="CM46" i="2" s="1"/>
  <c r="CN46" i="2" s="1"/>
  <c r="CO46" i="2" s="1"/>
  <c r="CP46" i="2" s="1"/>
  <c r="CQ46" i="2" s="1"/>
  <c r="CR46" i="2" s="1"/>
  <c r="CS46" i="2" s="1"/>
  <c r="CT46" i="2" s="1"/>
  <c r="CU46" i="2" s="1"/>
  <c r="CV46" i="2" s="1"/>
  <c r="CW46" i="2" s="1"/>
  <c r="CX46" i="2" s="1"/>
  <c r="CY46" i="2" s="1"/>
  <c r="CZ46" i="2" s="1"/>
  <c r="DA46" i="2" s="1"/>
  <c r="DB46" i="2" s="1"/>
  <c r="DC46" i="2" s="1"/>
  <c r="DD46" i="2" s="1"/>
  <c r="DE46" i="2" s="1"/>
  <c r="DF46" i="2" s="1"/>
  <c r="DG46" i="2" s="1"/>
  <c r="DH46" i="2" s="1"/>
  <c r="DI46" i="2" s="1"/>
  <c r="DJ46" i="2" s="1"/>
  <c r="DK46" i="2" s="1"/>
  <c r="DL46" i="2" s="1"/>
  <c r="DM46" i="2" s="1"/>
  <c r="DN46" i="2" s="1"/>
  <c r="DO46" i="2" s="1"/>
  <c r="DP46" i="2" s="1"/>
  <c r="DQ46" i="2" s="1"/>
  <c r="DR46" i="2" s="1"/>
  <c r="DS46" i="2" s="1"/>
  <c r="DT46" i="2" s="1"/>
  <c r="DU46" i="2" s="1"/>
  <c r="DV46" i="2" s="1"/>
  <c r="DW46" i="2" s="1"/>
  <c r="DX46" i="2" s="1"/>
  <c r="DY46" i="2" s="1"/>
  <c r="DZ46" i="2" s="1"/>
  <c r="EA46" i="2" s="1"/>
  <c r="EB46" i="2" s="1"/>
  <c r="EC46" i="2" s="1"/>
  <c r="ED46" i="2" s="1"/>
  <c r="EE46" i="2" s="1"/>
  <c r="EF46" i="2" s="1"/>
  <c r="EG46" i="2" s="1"/>
  <c r="EH46" i="2" s="1"/>
  <c r="EI46" i="2" s="1"/>
  <c r="EJ46" i="2" s="1"/>
  <c r="EK46" i="2" s="1"/>
  <c r="EL46" i="2" s="1"/>
  <c r="EM46" i="2" s="1"/>
  <c r="EN46" i="2" s="1"/>
  <c r="EO46" i="2" s="1"/>
  <c r="EP46" i="2" s="1"/>
  <c r="BI54" i="2" s="1"/>
  <c r="BI56" i="2" s="1"/>
  <c r="BI57" i="2" s="1"/>
  <c r="BI59" i="2" s="1"/>
  <c r="BF61" i="2"/>
  <c r="W56" i="2"/>
  <c r="V39" i="2"/>
  <c r="V56" i="2"/>
  <c r="R39" i="2"/>
  <c r="R59" i="2" s="1"/>
  <c r="AN39" i="2"/>
  <c r="AN56" i="2"/>
  <c r="AS39" i="2"/>
  <c r="AS56" i="2"/>
  <c r="AU39" i="2"/>
  <c r="AU56" i="2"/>
  <c r="AO39" i="2"/>
  <c r="AO56" i="2"/>
  <c r="AM39" i="2"/>
  <c r="AM59" i="2" s="1"/>
  <c r="S39" i="2"/>
  <c r="S59" i="2" s="1"/>
  <c r="AT39" i="2"/>
  <c r="AT56" i="2"/>
  <c r="AR39" i="2"/>
  <c r="AR56" i="2"/>
  <c r="AQ39" i="2"/>
  <c r="AQ56" i="2"/>
  <c r="W59" i="2"/>
  <c r="AP39" i="2"/>
  <c r="AP59" i="2" s="1"/>
  <c r="T46" i="2" l="1"/>
  <c r="T60" i="2"/>
  <c r="U48" i="2"/>
  <c r="U61" i="2"/>
  <c r="Q48" i="2"/>
  <c r="Q61" i="2"/>
  <c r="P46" i="2"/>
  <c r="P60" i="2"/>
  <c r="R43" i="2"/>
  <c r="R60" i="2" s="1"/>
  <c r="V43" i="2"/>
  <c r="V59" i="2"/>
  <c r="AR43" i="2"/>
  <c r="AR59" i="2"/>
  <c r="AO43" i="2"/>
  <c r="AO59" i="2"/>
  <c r="AT43" i="2"/>
  <c r="AT59" i="2"/>
  <c r="AU43" i="2"/>
  <c r="AU59" i="2"/>
  <c r="S43" i="2"/>
  <c r="S60" i="2" s="1"/>
  <c r="AS43" i="2"/>
  <c r="AS59" i="2"/>
  <c r="AQ43" i="2"/>
  <c r="AQ59" i="2"/>
  <c r="AM43" i="2"/>
  <c r="AM60" i="2" s="1"/>
  <c r="AN43" i="2"/>
  <c r="AN59" i="2"/>
  <c r="W60" i="2"/>
  <c r="AP43" i="2"/>
  <c r="AP60" i="2" s="1"/>
  <c r="P48" i="2" l="1"/>
  <c r="P61" i="2"/>
  <c r="T48" i="2"/>
  <c r="T61" i="2"/>
  <c r="R46" i="2"/>
  <c r="R61" i="2" s="1"/>
  <c r="V46" i="2"/>
  <c r="V60" i="2"/>
  <c r="AT46" i="2"/>
  <c r="AT60" i="2"/>
  <c r="AU46" i="2"/>
  <c r="AU60" i="2"/>
  <c r="AQ46" i="2"/>
  <c r="AQ60" i="2"/>
  <c r="AS46" i="2"/>
  <c r="AS60" i="2"/>
  <c r="AO46" i="2"/>
  <c r="AO60" i="2"/>
  <c r="AM46" i="2"/>
  <c r="AM61" i="2" s="1"/>
  <c r="AN46" i="2"/>
  <c r="AN60" i="2"/>
  <c r="S46" i="2"/>
  <c r="S61" i="2" s="1"/>
  <c r="AR46" i="2"/>
  <c r="AR60" i="2"/>
  <c r="W61" i="2"/>
  <c r="AP46" i="2"/>
  <c r="AP61" i="2" s="1"/>
  <c r="V48" i="2" l="1"/>
  <c r="V61" i="2"/>
  <c r="R48" i="2"/>
  <c r="AR48" i="2"/>
  <c r="AR61" i="2"/>
  <c r="AS48" i="2"/>
  <c r="AS61" i="2"/>
  <c r="AN48" i="2"/>
  <c r="AN61" i="2"/>
  <c r="AQ48" i="2"/>
  <c r="AQ61" i="2"/>
  <c r="AT48" i="2"/>
  <c r="AT61" i="2"/>
  <c r="S48" i="2"/>
  <c r="AO48" i="2"/>
  <c r="AO61" i="2"/>
  <c r="AM48" i="2"/>
  <c r="AU48" i="2"/>
  <c r="AU61" i="2"/>
  <c r="AP48" i="2"/>
</calcChain>
</file>

<file path=xl/sharedStrings.xml><?xml version="1.0" encoding="utf-8"?>
<sst xmlns="http://schemas.openxmlformats.org/spreadsheetml/2006/main" count="100" uniqueCount="95">
  <si>
    <t>BA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</si>
  <si>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</si>
  <si>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</si>
  <si>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</si>
  <si>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</si>
  <si>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</si>
  <si>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</si>
  <si>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</si>
  <si>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</si>
  <si>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</si>
  <si>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</si>
  <si>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 8K</t>
  </si>
  <si>
    <t>Q125</t>
  </si>
  <si>
    <t>Total revenue</t>
  </si>
  <si>
    <t>Total cost of sales</t>
  </si>
  <si>
    <t>Gross profit</t>
  </si>
  <si>
    <t>Product revenue</t>
  </si>
  <si>
    <t>Service revenue</t>
  </si>
  <si>
    <t>Product cost</t>
  </si>
  <si>
    <t>Service cost</t>
  </si>
  <si>
    <t>Investment income</t>
  </si>
  <si>
    <t>G&amp;A</t>
  </si>
  <si>
    <t>R&amp;D</t>
  </si>
  <si>
    <t>Total operating expense</t>
  </si>
  <si>
    <t>Operating profit</t>
  </si>
  <si>
    <t>Other income</t>
  </si>
  <si>
    <t>Interest expense</t>
  </si>
  <si>
    <t>Total other expense</t>
  </si>
  <si>
    <t>Pretax profit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</si>
  <si>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</si>
  <si>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</si>
  <si>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</si>
  <si>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</si>
  <si>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</si>
  <si>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</si>
  <si>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</si>
  <si>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</si>
  <si>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</si>
  <si>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</si>
  <si>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</si>
  <si>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</si>
  <si>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</si>
  <si>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</si>
  <si>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</si>
  <si>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</si>
  <si>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</si>
  <si>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</si>
  <si>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</si>
  <si>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</si>
  <si>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</si>
  <si>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</si>
  <si>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</si>
  <si>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Taxes</t>
  </si>
  <si>
    <t>MI</t>
  </si>
  <si>
    <t>Net profit</t>
  </si>
  <si>
    <t>EPS</t>
  </si>
  <si>
    <t>Revenue y/y</t>
  </si>
  <si>
    <t>Gross Margin</t>
  </si>
  <si>
    <t>Product Margin</t>
  </si>
  <si>
    <t>Service Margin</t>
  </si>
  <si>
    <t>G&amp;A y/y</t>
  </si>
  <si>
    <t>R&amp;D y/y</t>
  </si>
  <si>
    <t>Operating Margin</t>
  </si>
  <si>
    <t>Net Margin</t>
  </si>
  <si>
    <t>Product revenue y/y</t>
  </si>
  <si>
    <t>Service revenue y/y</t>
  </si>
  <si>
    <t>A320 Deliveries</t>
  </si>
  <si>
    <t>Backlog</t>
  </si>
  <si>
    <t>Backlog y/y</t>
  </si>
  <si>
    <t>Total deliveries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</si>
  <si>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</si>
  <si>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</si>
  <si>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</si>
  <si>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</si>
  <si>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</si>
  <si>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</si>
  <si>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</si>
  <si>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</si>
  <si>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</si>
  <si>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Gain on disposal</t>
  </si>
  <si>
    <t>L+S/E</t>
  </si>
  <si>
    <t>EV/B</t>
  </si>
  <si>
    <t>B/EV</t>
  </si>
  <si>
    <t>Overvalued</t>
  </si>
  <si>
    <t>AH-64 (New)</t>
  </si>
  <si>
    <t>AH-64 (Old)</t>
  </si>
  <si>
    <t>CH-47 (New)</t>
  </si>
  <si>
    <t>CH-47 (Old)</t>
  </si>
  <si>
    <t>F-15</t>
  </si>
  <si>
    <t>F/A-18</t>
  </si>
  <si>
    <t>KC-46</t>
  </si>
  <si>
    <t>MH-139</t>
  </si>
  <si>
    <t>P-8</t>
  </si>
  <si>
    <t>T-7A</t>
  </si>
  <si>
    <t>Satellites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</si>
</sst>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1" fillId="2" borderId="1" xfId="0" applyFont="1" applyFill="1" applyBorder="1"/>
    <xf numFmtId="0" fontId="4" fillId="2" borderId="1" xfId="0" applyFont="1" applyFill="1" applyBorder="1" applyAlignment="1">
      <alignment horizontal="right"/>
    </xf>
    <xf numFmtId="164" fontId="2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2" fillId="2" borderId="1" xfId="0" applyFont="1" applyFill="1" applyBorder="1" applyAlignment="1">
      <alignment horizontal="left"/>
    </xf>
    <xf numFmtId="3" fontId="2" fillId="2" borderId="1" xfId="0" applyNumberFormat="1" applyFont="1" applyFill="1" applyBorder="1" applyAlignment="1">
      <alignment horizontal="right"/>
    </xf>
    <xf numFmtId="9" fontId="2" fillId="2" borderId="1" xfId="0" applyNumberFormat="1" applyFont="1" applyFill="1" applyBorder="1" applyAlignment="1">
      <alignment horizontal="right"/>
    </xf>
    <xf numFmtId="0" fontId="5" fillId="2" borderId="1" xfId="0" applyFont="1" applyFill="1" applyBorder="1"/>
    <xf numFmtId="3" fontId="5" fillId="2" borderId="1" xfId="0" applyNumberFormat="1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15240</xdr:colOff>
      <xdr:row>0</xdr:row>
      <xdr:rowOff>0</xdr:rowOff>
    </xdr:from>
    <xdr:to>
      <xdr:col>47</xdr:col>
      <xdr:colOff>15240</xdr:colOff>
      <xdr:row>72</xdr:row>
      <xdr:rowOff>30480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136FC7F-8D27-0758-2380-84E01070B435}"/>
            </a:ext>
          </a:extLst>
        </xdr:cNvPr>
        <xdr:cNvCxnSpPr/>
      </xdr:nvCxnSpPr>
      <xdr:spPr>
        <a:xfrm>
          <a:off x="29481780" y="0"/>
          <a:ext cx="0" cy="86258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30480</xdr:colOff>
      <xdr:row>0</xdr:row>
      <xdr:rowOff>15240</xdr:rowOff>
    </xdr:from>
    <xdr:to>
      <xdr:col>25</xdr:col>
      <xdr:colOff>30480</xdr:colOff>
      <xdr:row>67</xdr:row>
      <xdr:rowOff>53340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64329650-B744-A385-5922-DB175F2711F6}"/>
            </a:ext>
          </a:extLst>
        </xdr:cNvPr>
        <xdr:cNvCxnSpPr/>
      </xdr:nvCxnSpPr>
      <xdr:spPr>
        <a:xfrm>
          <a:off x="16085820" y="15240"/>
          <a:ext cx="0" cy="99136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0FD7-0245-493C-BCD0-51BDC7DB2A87}">
  <dimension ref="B2:G9"/>
  <sheetViews>
    <sheetView workbookViewId="0">
      <selection activeCell="E7" sqref="E7"/>
    </sheetView>
  </sheetViews>
  <sheetFormatPr defaultRowHeight="14.4" x14ac:dyDescent="0.3"/>
  <cols>
    <col min="1" max="4" width="8.88671875" style="1"/>
    <col min="5" max="7" width="14.33203125" style="4" customWidth="1"/>
    <col min="8" max="16384" width="8.88671875" style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3" t="s">
        <v>0</v>
      </c>
      <c r="C3" s="1" t="s">
        <v>1</v>
      </c>
      <c r="D3" s="5">
        <v>218.09</v>
      </c>
      <c r="E3" s="6">
        <v>45959</v>
      </c>
      <c r="F3" s="6">
        <f ca="1">TODAY()</f>
        <v>45962</v>
      </c>
      <c r="G3" s="6">
        <v>46057</v>
      </c>
    </row>
    <row r="4" spans="2:7" x14ac:dyDescent="0.3">
      <c r="C4" s="1" t="s">
        <v>2</v>
      </c>
      <c r="D4" s="7">
        <v>753.4</v>
      </c>
      <c r="E4" s="4" t="s">
        <v>11</v>
      </c>
    </row>
    <row r="5" spans="2:7" x14ac:dyDescent="0.3">
      <c r="C5" s="1" t="s">
        <v>3</v>
      </c>
      <c r="D5" s="7">
        <f>D3*D4</f>
        <v>164309.00599999999</v>
      </c>
    </row>
    <row r="6" spans="2:7" x14ac:dyDescent="0.3">
      <c r="C6" s="1" t="s">
        <v>4</v>
      </c>
      <c r="D6" s="7">
        <f>6173+16811+1050</f>
        <v>24034</v>
      </c>
      <c r="E6" s="4" t="s">
        <v>50</v>
      </c>
    </row>
    <row r="7" spans="2:7" x14ac:dyDescent="0.3">
      <c r="C7" s="1" t="s">
        <v>5</v>
      </c>
      <c r="D7" s="7">
        <f>8742+44611</f>
        <v>53353</v>
      </c>
      <c r="E7" s="4" t="s">
        <v>50</v>
      </c>
    </row>
    <row r="8" spans="2:7" x14ac:dyDescent="0.3">
      <c r="C8" s="1" t="s">
        <v>6</v>
      </c>
      <c r="D8" s="7">
        <f>D6-D7</f>
        <v>-29319</v>
      </c>
    </row>
    <row r="9" spans="2:7" x14ac:dyDescent="0.3">
      <c r="C9" s="1" t="s">
        <v>7</v>
      </c>
      <c r="D9" s="7">
        <f>D5-D8</f>
        <v>193628.00599999999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1C0CE-CFF7-43D4-81ED-60434895C928}">
  <dimension ref="B2:EP67"/>
  <sheetViews>
    <sheetView tabSelected="1" workbookViewId="0">
      <pane xSplit="2" ySplit="2" topLeftCell="AJ51" activePane="bottomRight" state="frozen"/>
      <selection pane="topRight" activeCell="C1" sqref="C1"/>
      <selection pane="bottomLeft" activeCell="A3" sqref="A3"/>
      <selection pane="bottomRight" activeCell="AV18" sqref="AV18"/>
    </sheetView>
  </sheetViews>
  <sheetFormatPr defaultRowHeight="14.4" x14ac:dyDescent="0.3"/>
  <cols>
    <col min="1" max="1" width="8.88671875" style="1"/>
    <col min="2" max="2" width="20.77734375" style="1" bestFit="1" customWidth="1"/>
    <col min="3" max="59" width="8.88671875" style="1"/>
    <col min="60" max="60" width="11.88671875" style="1" bestFit="1" customWidth="1"/>
    <col min="61" max="61" width="16.6640625" style="1" customWidth="1"/>
    <col min="62" max="16384" width="8.88671875" style="1"/>
  </cols>
  <sheetData>
    <row r="2" spans="2:58" x14ac:dyDescent="0.3">
      <c r="C2" s="2" t="s">
        <v>29</v>
      </c>
      <c r="D2" s="2" t="s">
        <v>30</v>
      </c>
      <c r="E2" s="2" t="s">
        <v>31</v>
      </c>
      <c r="F2" s="2" t="s">
        <v>32</v>
      </c>
      <c r="G2" s="2" t="s">
        <v>33</v>
      </c>
      <c r="H2" s="2" t="s">
        <v>34</v>
      </c>
      <c r="I2" s="2" t="s">
        <v>35</v>
      </c>
      <c r="J2" s="2" t="s">
        <v>36</v>
      </c>
      <c r="K2" s="2" t="s">
        <v>37</v>
      </c>
      <c r="L2" s="2" t="s">
        <v>38</v>
      </c>
      <c r="M2" s="2" t="s">
        <v>39</v>
      </c>
      <c r="N2" s="2" t="s">
        <v>40</v>
      </c>
      <c r="O2" s="2" t="s">
        <v>41</v>
      </c>
      <c r="P2" s="2" t="s">
        <v>42</v>
      </c>
      <c r="Q2" s="2" t="s">
        <v>43</v>
      </c>
      <c r="R2" s="2" t="s">
        <v>44</v>
      </c>
      <c r="S2" s="2" t="s">
        <v>45</v>
      </c>
      <c r="T2" s="2" t="s">
        <v>46</v>
      </c>
      <c r="U2" s="2" t="s">
        <v>47</v>
      </c>
      <c r="V2" s="2" t="s">
        <v>48</v>
      </c>
      <c r="W2" s="2" t="s">
        <v>12</v>
      </c>
      <c r="X2" s="2" t="s">
        <v>49</v>
      </c>
      <c r="Y2" s="2" t="s">
        <v>50</v>
      </c>
      <c r="Z2" s="2" t="s">
        <v>51</v>
      </c>
      <c r="AB2" s="1">
        <v>2005</v>
      </c>
      <c r="AC2" s="1">
        <v>2006</v>
      </c>
      <c r="AD2" s="1">
        <v>2007</v>
      </c>
      <c r="AE2" s="1">
        <v>2008</v>
      </c>
      <c r="AF2" s="1">
        <v>2009</v>
      </c>
      <c r="AG2" s="1">
        <v>2010</v>
      </c>
      <c r="AH2" s="1">
        <v>2011</v>
      </c>
      <c r="AI2" s="1">
        <v>2012</v>
      </c>
      <c r="AJ2" s="1">
        <v>2013</v>
      </c>
      <c r="AK2" s="1">
        <v>2014</v>
      </c>
      <c r="AL2" s="1">
        <v>2015</v>
      </c>
      <c r="AM2" s="1">
        <v>2016</v>
      </c>
      <c r="AN2" s="1">
        <v>2017</v>
      </c>
      <c r="AO2" s="1">
        <v>2018</v>
      </c>
      <c r="AP2" s="1">
        <v>2019</v>
      </c>
      <c r="AQ2" s="1">
        <v>2020</v>
      </c>
      <c r="AR2" s="1">
        <v>2021</v>
      </c>
      <c r="AS2" s="1">
        <v>2022</v>
      </c>
      <c r="AT2" s="1">
        <v>2023</v>
      </c>
      <c r="AU2" s="1">
        <v>2024</v>
      </c>
      <c r="AV2" s="1">
        <v>2025</v>
      </c>
      <c r="AW2" s="1">
        <v>2026</v>
      </c>
      <c r="AX2" s="1">
        <v>2027</v>
      </c>
      <c r="AY2" s="1">
        <v>2028</v>
      </c>
      <c r="AZ2" s="1">
        <v>2029</v>
      </c>
      <c r="BA2" s="1">
        <v>2030</v>
      </c>
      <c r="BB2" s="1">
        <v>2031</v>
      </c>
      <c r="BC2" s="1">
        <v>2032</v>
      </c>
      <c r="BD2" s="1">
        <v>2033</v>
      </c>
      <c r="BE2" s="1">
        <v>2034</v>
      </c>
      <c r="BF2" s="1">
        <v>2035</v>
      </c>
    </row>
    <row r="3" spans="2:58" x14ac:dyDescent="0.3">
      <c r="B3" s="1" t="s">
        <v>66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>
        <v>106</v>
      </c>
      <c r="X3" s="2"/>
      <c r="Y3" s="2"/>
      <c r="Z3" s="2"/>
    </row>
    <row r="4" spans="2:58" x14ac:dyDescent="0.3"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2:58" x14ac:dyDescent="0.3">
      <c r="B5" s="12">
        <v>737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>
        <v>103</v>
      </c>
      <c r="Q5" s="2">
        <v>70</v>
      </c>
      <c r="R5" s="2">
        <v>110</v>
      </c>
      <c r="S5" s="2">
        <v>67</v>
      </c>
      <c r="T5" s="2">
        <v>70</v>
      </c>
      <c r="U5" s="2">
        <v>92</v>
      </c>
      <c r="V5" s="2">
        <v>36</v>
      </c>
      <c r="W5" s="2">
        <v>105</v>
      </c>
      <c r="X5" s="2">
        <v>104</v>
      </c>
      <c r="Y5" s="2">
        <v>121</v>
      </c>
      <c r="Z5" s="2"/>
    </row>
    <row r="6" spans="2:58" x14ac:dyDescent="0.3">
      <c r="B6" s="12">
        <v>747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/>
    </row>
    <row r="7" spans="2:58" x14ac:dyDescent="0.3">
      <c r="B7" s="12">
        <v>767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>
        <v>8</v>
      </c>
      <c r="Q7" s="2">
        <v>8</v>
      </c>
      <c r="R7" s="2">
        <v>15</v>
      </c>
      <c r="S7" s="2">
        <v>3</v>
      </c>
      <c r="T7" s="2">
        <v>6</v>
      </c>
      <c r="U7" s="2">
        <v>6</v>
      </c>
      <c r="V7" s="2">
        <v>3</v>
      </c>
      <c r="W7" s="2">
        <v>5</v>
      </c>
      <c r="X7" s="2">
        <v>9</v>
      </c>
      <c r="Y7" s="2">
        <v>6</v>
      </c>
      <c r="Z7" s="2"/>
    </row>
    <row r="8" spans="2:58" x14ac:dyDescent="0.3">
      <c r="B8" s="12">
        <v>777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>
        <v>5</v>
      </c>
      <c r="Q8" s="2">
        <v>8</v>
      </c>
      <c r="R8" s="2">
        <v>9</v>
      </c>
      <c r="S8" s="2">
        <v>0</v>
      </c>
      <c r="T8" s="2">
        <v>7</v>
      </c>
      <c r="U8" s="2">
        <v>4</v>
      </c>
      <c r="V8" s="2">
        <v>3</v>
      </c>
      <c r="W8" s="2">
        <v>7</v>
      </c>
      <c r="X8" s="2">
        <v>13</v>
      </c>
      <c r="Y8" s="2">
        <v>9</v>
      </c>
      <c r="Z8" s="2"/>
    </row>
    <row r="9" spans="2:58" x14ac:dyDescent="0.3">
      <c r="B9" s="12">
        <v>787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>
        <v>20</v>
      </c>
      <c r="Q9" s="2">
        <v>19</v>
      </c>
      <c r="R9" s="2">
        <v>23</v>
      </c>
      <c r="S9" s="2">
        <v>13</v>
      </c>
      <c r="T9" s="2">
        <v>9</v>
      </c>
      <c r="U9" s="2">
        <v>14</v>
      </c>
      <c r="V9" s="2">
        <v>15</v>
      </c>
      <c r="W9" s="2">
        <v>13</v>
      </c>
      <c r="X9" s="2">
        <v>24</v>
      </c>
      <c r="Y9" s="2">
        <v>24</v>
      </c>
      <c r="Z9" s="2"/>
    </row>
    <row r="10" spans="2:58" x14ac:dyDescent="0.3">
      <c r="B10" s="12" t="s">
        <v>69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>
        <f t="shared" ref="P10:W10" si="0">SUM(P5:P9)</f>
        <v>136</v>
      </c>
      <c r="Q10" s="2">
        <f t="shared" si="0"/>
        <v>105</v>
      </c>
      <c r="R10" s="2">
        <f t="shared" si="0"/>
        <v>157</v>
      </c>
      <c r="S10" s="2">
        <f t="shared" si="0"/>
        <v>83</v>
      </c>
      <c r="T10" s="2">
        <f t="shared" si="0"/>
        <v>92</v>
      </c>
      <c r="U10" s="2">
        <f t="shared" si="0"/>
        <v>116</v>
      </c>
      <c r="V10" s="2">
        <f t="shared" si="0"/>
        <v>57</v>
      </c>
      <c r="W10" s="2">
        <f t="shared" si="0"/>
        <v>130</v>
      </c>
      <c r="X10" s="2">
        <f t="shared" ref="X10:Y10" si="1">SUM(X5:X9)</f>
        <v>150</v>
      </c>
      <c r="Y10" s="2">
        <f t="shared" si="1"/>
        <v>160</v>
      </c>
      <c r="Z10" s="2"/>
    </row>
    <row r="11" spans="2:58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2:58" x14ac:dyDescent="0.3">
      <c r="B12" s="1" t="s">
        <v>84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>
        <v>7</v>
      </c>
      <c r="V12" s="2"/>
      <c r="W12" s="2"/>
      <c r="X12" s="2"/>
      <c r="Y12" s="2">
        <v>8</v>
      </c>
      <c r="Z12" s="2"/>
    </row>
    <row r="13" spans="2:58" x14ac:dyDescent="0.3">
      <c r="B13" s="1" t="s">
        <v>85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>
        <v>11</v>
      </c>
      <c r="V13" s="2"/>
      <c r="W13" s="2"/>
      <c r="X13" s="2"/>
      <c r="Y13" s="2">
        <v>7</v>
      </c>
      <c r="Z13" s="2"/>
    </row>
    <row r="14" spans="2:58" x14ac:dyDescent="0.3">
      <c r="B14" s="1" t="s">
        <v>86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>
        <v>0</v>
      </c>
      <c r="V14" s="2"/>
      <c r="W14" s="2"/>
      <c r="X14" s="2"/>
      <c r="Y14" s="2">
        <v>0</v>
      </c>
      <c r="Z14" s="2"/>
    </row>
    <row r="15" spans="2:58" x14ac:dyDescent="0.3">
      <c r="B15" s="1" t="s">
        <v>87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>
        <v>2</v>
      </c>
      <c r="V15" s="2"/>
      <c r="W15" s="2"/>
      <c r="X15" s="2"/>
      <c r="Y15" s="2">
        <v>2</v>
      </c>
      <c r="Z15" s="2"/>
    </row>
    <row r="16" spans="2:58" x14ac:dyDescent="0.3">
      <c r="B16" s="1" t="s">
        <v>88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>
        <v>3</v>
      </c>
      <c r="V16" s="2"/>
      <c r="W16" s="2"/>
      <c r="X16" s="2"/>
      <c r="Y16" s="2">
        <v>3</v>
      </c>
      <c r="Z16" s="2"/>
    </row>
    <row r="17" spans="2:58" x14ac:dyDescent="0.3">
      <c r="B17" s="1" t="s">
        <v>89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>
        <v>1</v>
      </c>
      <c r="V17" s="2"/>
      <c r="W17" s="2"/>
      <c r="X17" s="2"/>
      <c r="Y17" s="2">
        <v>3</v>
      </c>
      <c r="Z17" s="2"/>
    </row>
    <row r="18" spans="2:58" x14ac:dyDescent="0.3">
      <c r="B18" s="1" t="s">
        <v>90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>
        <v>5</v>
      </c>
      <c r="V18" s="2"/>
      <c r="W18" s="2"/>
      <c r="X18" s="2"/>
      <c r="Y18" s="2">
        <v>4</v>
      </c>
      <c r="Z18" s="2"/>
    </row>
    <row r="19" spans="2:58" x14ac:dyDescent="0.3">
      <c r="B19" s="1" t="s">
        <v>91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>
        <v>3</v>
      </c>
      <c r="V19" s="2"/>
      <c r="W19" s="2"/>
      <c r="X19" s="2"/>
      <c r="Y19" s="2">
        <v>1</v>
      </c>
      <c r="Z19" s="2"/>
    </row>
    <row r="20" spans="2:58" x14ac:dyDescent="0.3">
      <c r="B20" s="1" t="s">
        <v>92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>
        <v>1</v>
      </c>
      <c r="V20" s="2"/>
      <c r="W20" s="2"/>
      <c r="X20" s="2"/>
      <c r="Y20" s="2">
        <v>2</v>
      </c>
      <c r="Z20" s="2"/>
    </row>
    <row r="21" spans="2:58" x14ac:dyDescent="0.3">
      <c r="B21" s="1" t="s">
        <v>93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>
        <v>1</v>
      </c>
      <c r="V21" s="2"/>
      <c r="W21" s="2"/>
      <c r="X21" s="2"/>
      <c r="Y21" s="2">
        <v>0</v>
      </c>
      <c r="Z21" s="2"/>
    </row>
    <row r="22" spans="2:58" x14ac:dyDescent="0.3">
      <c r="B22" s="1" t="s">
        <v>94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>
        <v>0</v>
      </c>
      <c r="V22" s="2"/>
      <c r="W22" s="2"/>
      <c r="X22" s="2"/>
      <c r="Y22" s="2">
        <v>2</v>
      </c>
      <c r="Z22" s="2"/>
    </row>
    <row r="23" spans="2:58" x14ac:dyDescent="0.3">
      <c r="B23" s="1" t="s">
        <v>69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>
        <f>SUM(U12:U22)</f>
        <v>34</v>
      </c>
      <c r="V23" s="2"/>
      <c r="W23" s="2"/>
      <c r="X23" s="2"/>
      <c r="Y23" s="2">
        <f>SUM(Y12:Y22)</f>
        <v>32</v>
      </c>
      <c r="Z23" s="2"/>
    </row>
    <row r="24" spans="2:58" x14ac:dyDescent="0.3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2:58" x14ac:dyDescent="0.3">
      <c r="B25" s="1" t="s">
        <v>67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13">
        <v>520195</v>
      </c>
      <c r="S25" s="13"/>
      <c r="T25" s="13">
        <v>515874</v>
      </c>
      <c r="U25" s="13">
        <v>510509</v>
      </c>
      <c r="V25" s="13">
        <v>521336</v>
      </c>
      <c r="W25" s="13">
        <v>544736</v>
      </c>
      <c r="X25" s="13">
        <v>618538</v>
      </c>
      <c r="Y25" s="13">
        <v>635688</v>
      </c>
      <c r="Z25" s="2"/>
      <c r="AB25" s="13"/>
      <c r="AC25" s="13"/>
      <c r="AD25" s="13">
        <v>296964</v>
      </c>
      <c r="AE25" s="13">
        <v>323860</v>
      </c>
      <c r="AF25" s="13">
        <v>296500</v>
      </c>
      <c r="AG25" s="13">
        <v>303955</v>
      </c>
      <c r="AH25" s="13">
        <v>339657</v>
      </c>
      <c r="AI25" s="13">
        <v>372355</v>
      </c>
      <c r="AJ25" s="13">
        <v>422661</v>
      </c>
      <c r="AK25" s="13">
        <v>487092</v>
      </c>
      <c r="AL25" s="13">
        <v>476595</v>
      </c>
      <c r="AM25" s="13">
        <v>473492</v>
      </c>
      <c r="AN25" s="13">
        <v>474640</v>
      </c>
      <c r="AO25" s="13">
        <v>490481</v>
      </c>
      <c r="AP25" s="13">
        <v>463404</v>
      </c>
      <c r="AQ25" s="13">
        <v>363404</v>
      </c>
      <c r="AR25" s="13">
        <v>377499</v>
      </c>
      <c r="AS25" s="13">
        <v>404381</v>
      </c>
      <c r="AT25" s="13">
        <v>520195</v>
      </c>
      <c r="AU25" s="13">
        <v>521336</v>
      </c>
      <c r="AV25" s="13">
        <v>635688</v>
      </c>
    </row>
    <row r="26" spans="2:58" x14ac:dyDescent="0.3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14"/>
      <c r="X26" s="2"/>
      <c r="Y26" s="2"/>
      <c r="Z26" s="2"/>
    </row>
    <row r="27" spans="2:58" x14ac:dyDescent="0.3">
      <c r="B27" s="1" t="s">
        <v>16</v>
      </c>
      <c r="P27" s="7">
        <v>16687</v>
      </c>
      <c r="Q27" s="7">
        <v>15060</v>
      </c>
      <c r="R27" s="7">
        <v>18920</v>
      </c>
      <c r="S27" s="7">
        <v>13268</v>
      </c>
      <c r="T27" s="7">
        <v>13524</v>
      </c>
      <c r="U27" s="7">
        <v>14534</v>
      </c>
      <c r="V27" s="7">
        <v>11901</v>
      </c>
      <c r="W27" s="7">
        <v>16147</v>
      </c>
      <c r="X27" s="7">
        <v>19122</v>
      </c>
      <c r="Y27" s="7">
        <v>19642</v>
      </c>
      <c r="Z27" s="7">
        <f>V27*1.7</f>
        <v>20231.7</v>
      </c>
      <c r="AD27" s="7">
        <v>57049</v>
      </c>
      <c r="AE27" s="7">
        <v>50180</v>
      </c>
      <c r="AF27" s="7">
        <v>57032</v>
      </c>
      <c r="AG27" s="7">
        <v>52586</v>
      </c>
      <c r="AH27" s="7">
        <v>57401</v>
      </c>
      <c r="AI27" s="7">
        <v>71234</v>
      </c>
      <c r="AJ27" s="7">
        <v>76792</v>
      </c>
      <c r="AK27" s="7">
        <v>80688</v>
      </c>
      <c r="AL27" s="7">
        <v>85255</v>
      </c>
      <c r="AM27" s="7">
        <v>83198</v>
      </c>
      <c r="AN27" s="7">
        <v>83740</v>
      </c>
      <c r="AO27" s="7">
        <v>90229</v>
      </c>
      <c r="AP27" s="7">
        <v>66094</v>
      </c>
      <c r="AQ27" s="7">
        <v>47142</v>
      </c>
      <c r="AR27" s="7">
        <v>51386</v>
      </c>
      <c r="AS27" s="7">
        <v>55893</v>
      </c>
      <c r="AT27" s="7">
        <v>65581</v>
      </c>
      <c r="AU27" s="7">
        <v>53227</v>
      </c>
      <c r="AV27" s="7">
        <f>SUM(W27:Z27)</f>
        <v>75142.7</v>
      </c>
      <c r="AW27" s="7">
        <f>AV27*1.2</f>
        <v>90171.239999999991</v>
      </c>
      <c r="AX27" s="7">
        <f>AW27*1.08</f>
        <v>97384.939199999993</v>
      </c>
      <c r="AY27" s="7">
        <f>AX27*1.05</f>
        <v>102254.18616</v>
      </c>
      <c r="AZ27" s="7">
        <f>AY27*1.04</f>
        <v>106344.35360640001</v>
      </c>
      <c r="BA27" s="7">
        <f>AZ27*1.03</f>
        <v>109534.68421459201</v>
      </c>
      <c r="BB27" s="7">
        <f t="shared" ref="BB27:BF27" si="2">BA27*1.02</f>
        <v>111725.37789888385</v>
      </c>
      <c r="BC27" s="7">
        <f t="shared" si="2"/>
        <v>113959.88545686152</v>
      </c>
      <c r="BD27" s="7">
        <f t="shared" si="2"/>
        <v>116239.08316599876</v>
      </c>
      <c r="BE27" s="7">
        <f t="shared" si="2"/>
        <v>118563.86482931874</v>
      </c>
      <c r="BF27" s="7">
        <f t="shared" si="2"/>
        <v>120935.14212590513</v>
      </c>
    </row>
    <row r="28" spans="2:58" x14ac:dyDescent="0.3">
      <c r="B28" s="1" t="s">
        <v>17</v>
      </c>
      <c r="P28" s="7">
        <v>3064</v>
      </c>
      <c r="Q28" s="7">
        <v>3044</v>
      </c>
      <c r="R28" s="7">
        <v>3098</v>
      </c>
      <c r="S28" s="7">
        <v>3301</v>
      </c>
      <c r="T28" s="7">
        <v>3342</v>
      </c>
      <c r="U28" s="7">
        <v>3306</v>
      </c>
      <c r="V28" s="7">
        <v>3341</v>
      </c>
      <c r="W28" s="7">
        <v>3349</v>
      </c>
      <c r="X28" s="7">
        <v>3627</v>
      </c>
      <c r="Y28" s="7">
        <v>3628</v>
      </c>
      <c r="Z28" s="7">
        <f>V28*1.11</f>
        <v>3708.51</v>
      </c>
      <c r="AD28" s="7">
        <v>9338</v>
      </c>
      <c r="AE28" s="7">
        <v>10729</v>
      </c>
      <c r="AF28" s="7">
        <v>11249</v>
      </c>
      <c r="AG28" s="7">
        <v>11720</v>
      </c>
      <c r="AH28" s="7">
        <v>11334</v>
      </c>
      <c r="AI28" s="7">
        <v>10464</v>
      </c>
      <c r="AJ28" s="7">
        <v>9831</v>
      </c>
      <c r="AK28" s="7">
        <v>10074</v>
      </c>
      <c r="AL28" s="7">
        <v>10859</v>
      </c>
      <c r="AM28" s="7">
        <v>10298</v>
      </c>
      <c r="AN28" s="7">
        <v>10265</v>
      </c>
      <c r="AO28" s="7">
        <v>10898</v>
      </c>
      <c r="AP28" s="7">
        <v>10465</v>
      </c>
      <c r="AQ28" s="7">
        <v>11016</v>
      </c>
      <c r="AR28" s="7">
        <v>10900</v>
      </c>
      <c r="AS28" s="7">
        <v>10715</v>
      </c>
      <c r="AT28" s="7">
        <v>12213</v>
      </c>
      <c r="AU28" s="7">
        <v>13290</v>
      </c>
      <c r="AV28" s="7">
        <f>SUM(W28:Z28)</f>
        <v>14312.51</v>
      </c>
      <c r="AW28" s="7">
        <f>AV28*1.05</f>
        <v>15028.1355</v>
      </c>
      <c r="AX28" s="7">
        <f>AW28*1.04</f>
        <v>15629.260920000001</v>
      </c>
      <c r="AY28" s="7">
        <f t="shared" ref="AY28:BF28" si="3">AX28*1.03</f>
        <v>16098.138747600002</v>
      </c>
      <c r="AZ28" s="7">
        <f t="shared" si="3"/>
        <v>16581.082910028003</v>
      </c>
      <c r="BA28" s="7">
        <f t="shared" si="3"/>
        <v>17078.515397328843</v>
      </c>
      <c r="BB28" s="7">
        <f t="shared" si="3"/>
        <v>17590.870859248709</v>
      </c>
      <c r="BC28" s="7">
        <f t="shared" si="3"/>
        <v>18118.596985026172</v>
      </c>
      <c r="BD28" s="7">
        <f t="shared" si="3"/>
        <v>18662.154894576957</v>
      </c>
      <c r="BE28" s="7">
        <f t="shared" si="3"/>
        <v>19222.019541414265</v>
      </c>
      <c r="BF28" s="7">
        <f t="shared" si="3"/>
        <v>19798.680127656695</v>
      </c>
    </row>
    <row r="29" spans="2:58" s="3" customFormat="1" x14ac:dyDescent="0.3">
      <c r="B29" s="3" t="s">
        <v>13</v>
      </c>
      <c r="P29" s="9">
        <f t="shared" ref="P29:W29" si="4">P27+P28</f>
        <v>19751</v>
      </c>
      <c r="Q29" s="9">
        <f t="shared" si="4"/>
        <v>18104</v>
      </c>
      <c r="R29" s="9">
        <f t="shared" si="4"/>
        <v>22018</v>
      </c>
      <c r="S29" s="9">
        <f t="shared" si="4"/>
        <v>16569</v>
      </c>
      <c r="T29" s="9">
        <f t="shared" si="4"/>
        <v>16866</v>
      </c>
      <c r="U29" s="9">
        <f t="shared" si="4"/>
        <v>17840</v>
      </c>
      <c r="V29" s="9">
        <f t="shared" si="4"/>
        <v>15242</v>
      </c>
      <c r="W29" s="9">
        <f t="shared" si="4"/>
        <v>19496</v>
      </c>
      <c r="X29" s="9">
        <f t="shared" ref="X29" si="5">X27+X28</f>
        <v>22749</v>
      </c>
      <c r="Y29" s="9">
        <f t="shared" ref="Y29" si="6">Y27+Y28</f>
        <v>23270</v>
      </c>
      <c r="Z29" s="9">
        <f t="shared" ref="Z29" si="7">Z27+Z28</f>
        <v>23940.21</v>
      </c>
      <c r="AD29" s="9">
        <f t="shared" ref="AD29:AE29" si="8">AD27+AD28</f>
        <v>66387</v>
      </c>
      <c r="AE29" s="9">
        <f t="shared" si="8"/>
        <v>60909</v>
      </c>
      <c r="AF29" s="9">
        <f t="shared" ref="AF29:AG29" si="9">AF27+AF28</f>
        <v>68281</v>
      </c>
      <c r="AG29" s="9">
        <f t="shared" si="9"/>
        <v>64306</v>
      </c>
      <c r="AH29" s="9">
        <f t="shared" ref="AH29:AI29" si="10">AH27+AH28</f>
        <v>68735</v>
      </c>
      <c r="AI29" s="9">
        <f t="shared" si="10"/>
        <v>81698</v>
      </c>
      <c r="AJ29" s="9">
        <f t="shared" ref="AJ29" si="11">AJ27+AJ28</f>
        <v>86623</v>
      </c>
      <c r="AK29" s="9">
        <f t="shared" ref="AK29:AL29" si="12">AK27+AK28</f>
        <v>90762</v>
      </c>
      <c r="AL29" s="9">
        <f t="shared" si="12"/>
        <v>96114</v>
      </c>
      <c r="AM29" s="9">
        <f t="shared" ref="AM29:BF29" si="13">AM27+AM28</f>
        <v>93496</v>
      </c>
      <c r="AN29" s="9">
        <f t="shared" si="13"/>
        <v>94005</v>
      </c>
      <c r="AO29" s="9">
        <f t="shared" si="13"/>
        <v>101127</v>
      </c>
      <c r="AP29" s="9">
        <f t="shared" si="13"/>
        <v>76559</v>
      </c>
      <c r="AQ29" s="9">
        <f t="shared" si="13"/>
        <v>58158</v>
      </c>
      <c r="AR29" s="9">
        <f t="shared" si="13"/>
        <v>62286</v>
      </c>
      <c r="AS29" s="9">
        <f t="shared" si="13"/>
        <v>66608</v>
      </c>
      <c r="AT29" s="9">
        <f t="shared" si="13"/>
        <v>77794</v>
      </c>
      <c r="AU29" s="9">
        <f t="shared" si="13"/>
        <v>66517</v>
      </c>
      <c r="AV29" s="9">
        <f t="shared" si="13"/>
        <v>89455.209999999992</v>
      </c>
      <c r="AW29" s="9">
        <f t="shared" si="13"/>
        <v>105199.37549999999</v>
      </c>
      <c r="AX29" s="9">
        <f t="shared" si="13"/>
        <v>113014.20011999999</v>
      </c>
      <c r="AY29" s="9">
        <f t="shared" si="13"/>
        <v>118352.32490760001</v>
      </c>
      <c r="AZ29" s="9">
        <f t="shared" si="13"/>
        <v>122925.43651642802</v>
      </c>
      <c r="BA29" s="9">
        <f t="shared" si="13"/>
        <v>126613.19961192085</v>
      </c>
      <c r="BB29" s="9">
        <f t="shared" si="13"/>
        <v>129316.24875813255</v>
      </c>
      <c r="BC29" s="9">
        <f t="shared" si="13"/>
        <v>132078.4824418877</v>
      </c>
      <c r="BD29" s="9">
        <f t="shared" si="13"/>
        <v>134901.23806057571</v>
      </c>
      <c r="BE29" s="9">
        <f t="shared" si="13"/>
        <v>137785.88437073299</v>
      </c>
      <c r="BF29" s="9">
        <f t="shared" si="13"/>
        <v>140733.82225356181</v>
      </c>
    </row>
    <row r="30" spans="2:58" x14ac:dyDescent="0.3">
      <c r="B30" s="1" t="s">
        <v>18</v>
      </c>
      <c r="P30" s="7">
        <v>15123</v>
      </c>
      <c r="Q30" s="7">
        <v>14464</v>
      </c>
      <c r="R30" s="7">
        <v>16724</v>
      </c>
      <c r="S30" s="7">
        <v>12064</v>
      </c>
      <c r="T30" s="7">
        <v>12907</v>
      </c>
      <c r="U30" s="7">
        <v>18413</v>
      </c>
      <c r="V30" s="7">
        <v>14010</v>
      </c>
      <c r="W30" s="7">
        <v>14379</v>
      </c>
      <c r="X30" s="7">
        <v>17406</v>
      </c>
      <c r="Y30" s="7">
        <v>22737</v>
      </c>
      <c r="Z30" s="7">
        <f>Z27*0.89</f>
        <v>18006.213</v>
      </c>
      <c r="AD30" s="7">
        <v>45375</v>
      </c>
      <c r="AE30" s="7">
        <v>41662</v>
      </c>
      <c r="AF30" s="7">
        <v>47639</v>
      </c>
      <c r="AG30" s="7">
        <v>42194</v>
      </c>
      <c r="AH30" s="7">
        <v>46642</v>
      </c>
      <c r="AI30" s="7">
        <v>60309</v>
      </c>
      <c r="AJ30" s="7">
        <v>65640</v>
      </c>
      <c r="AK30" s="7">
        <v>68551</v>
      </c>
      <c r="AL30" s="7">
        <v>73446</v>
      </c>
      <c r="AM30" s="7">
        <v>71013</v>
      </c>
      <c r="AN30" s="7">
        <v>68879</v>
      </c>
      <c r="AO30" s="7">
        <v>72922</v>
      </c>
      <c r="AP30" s="7">
        <v>62877</v>
      </c>
      <c r="AQ30" s="7">
        <v>54568</v>
      </c>
      <c r="AR30" s="7">
        <v>49954</v>
      </c>
      <c r="AS30" s="7">
        <v>53969</v>
      </c>
      <c r="AT30" s="7">
        <v>59864</v>
      </c>
      <c r="AU30" s="7">
        <v>57394</v>
      </c>
      <c r="AV30" s="7">
        <f>SUM(W30:Z30)</f>
        <v>72528.213000000003</v>
      </c>
      <c r="AW30" s="7">
        <f>AW27*0.9</f>
        <v>81154.115999999995</v>
      </c>
      <c r="AX30" s="7">
        <f>AX27*0.87</f>
        <v>84724.897103999989</v>
      </c>
      <c r="AY30" s="7">
        <f>AY27*0.85</f>
        <v>86916.058235999997</v>
      </c>
      <c r="AZ30" s="7">
        <f>AZ27*0.84</f>
        <v>89329.257029376007</v>
      </c>
      <c r="BA30" s="7">
        <f>BA27*0.83</f>
        <v>90913.787898111361</v>
      </c>
      <c r="BB30" s="7">
        <f>BB27*0.82</f>
        <v>91614.809877084743</v>
      </c>
      <c r="BC30" s="7">
        <f>BC27*0.81</f>
        <v>92307.507220057843</v>
      </c>
      <c r="BD30" s="7">
        <f>BD27*0.81</f>
        <v>94153.657364458995</v>
      </c>
      <c r="BE30" s="7">
        <f t="shared" ref="BE30:BF30" si="14">BE27*0.81</f>
        <v>96036.730511748188</v>
      </c>
      <c r="BF30" s="7">
        <f t="shared" si="14"/>
        <v>97957.465121983158</v>
      </c>
    </row>
    <row r="31" spans="2:58" x14ac:dyDescent="0.3">
      <c r="B31" s="1" t="s">
        <v>19</v>
      </c>
      <c r="P31" s="7">
        <v>2689</v>
      </c>
      <c r="Q31" s="7">
        <v>2475</v>
      </c>
      <c r="R31" s="7">
        <v>2597</v>
      </c>
      <c r="S31" s="7">
        <v>2629</v>
      </c>
      <c r="T31" s="7">
        <v>2730</v>
      </c>
      <c r="U31" s="7">
        <v>2934</v>
      </c>
      <c r="V31" s="7">
        <v>2821</v>
      </c>
      <c r="W31" s="7">
        <v>2700</v>
      </c>
      <c r="X31" s="7">
        <v>2908</v>
      </c>
      <c r="Y31" s="7">
        <v>2908</v>
      </c>
      <c r="Z31" s="7">
        <f t="shared" ref="Z31" si="15">Z28*0.85</f>
        <v>3152.2335000000003</v>
      </c>
      <c r="AD31" s="7">
        <f>7732+295</f>
        <v>8027</v>
      </c>
      <c r="AE31" s="7">
        <f>8467+223</f>
        <v>8690</v>
      </c>
      <c r="AF31" s="7">
        <f>8726+175</f>
        <v>8901</v>
      </c>
      <c r="AG31" s="7">
        <f>9489+160</f>
        <v>9649</v>
      </c>
      <c r="AH31" s="7">
        <f>9097+128</f>
        <v>9225</v>
      </c>
      <c r="AI31" s="7">
        <f>8247+88</f>
        <v>8335</v>
      </c>
      <c r="AJ31" s="7">
        <f>7553+75</f>
        <v>7628</v>
      </c>
      <c r="AK31" s="7">
        <f>8132+69</f>
        <v>8201</v>
      </c>
      <c r="AL31" s="7">
        <f>8578+64</f>
        <v>8642</v>
      </c>
      <c r="AM31" s="7">
        <f>7954+59</f>
        <v>8013</v>
      </c>
      <c r="AN31" s="7">
        <f>7663+70</f>
        <v>7733</v>
      </c>
      <c r="AO31" s="7">
        <f>8499+69</f>
        <v>8568</v>
      </c>
      <c r="AP31" s="7">
        <f>9154+62</f>
        <v>9216</v>
      </c>
      <c r="AQ31" s="7">
        <f>9232+43</f>
        <v>9275</v>
      </c>
      <c r="AR31" s="7">
        <f>9283+32</f>
        <v>9315</v>
      </c>
      <c r="AS31" s="7">
        <v>9109</v>
      </c>
      <c r="AT31" s="7">
        <v>10206</v>
      </c>
      <c r="AU31" s="7">
        <v>11114</v>
      </c>
      <c r="AV31" s="7">
        <f>SUM(W31:Z31)</f>
        <v>11668.2335</v>
      </c>
      <c r="AW31" s="7">
        <f t="shared" ref="AW31:BF31" si="16">AW28*0.84</f>
        <v>12623.633819999999</v>
      </c>
      <c r="AX31" s="7">
        <f t="shared" si="16"/>
        <v>13128.5791728</v>
      </c>
      <c r="AY31" s="7">
        <f t="shared" si="16"/>
        <v>13522.436547984002</v>
      </c>
      <c r="AZ31" s="7">
        <f t="shared" si="16"/>
        <v>13928.109644423521</v>
      </c>
      <c r="BA31" s="7">
        <f t="shared" si="16"/>
        <v>14345.952933756227</v>
      </c>
      <c r="BB31" s="7">
        <f t="shared" si="16"/>
        <v>14776.331521768916</v>
      </c>
      <c r="BC31" s="7">
        <f t="shared" si="16"/>
        <v>15219.621467421985</v>
      </c>
      <c r="BD31" s="7">
        <f t="shared" si="16"/>
        <v>15676.210111444643</v>
      </c>
      <c r="BE31" s="7">
        <f t="shared" si="16"/>
        <v>16146.496414787982</v>
      </c>
      <c r="BF31" s="7">
        <f t="shared" si="16"/>
        <v>16630.891307231625</v>
      </c>
    </row>
    <row r="32" spans="2:58" x14ac:dyDescent="0.3">
      <c r="B32" s="1" t="s">
        <v>14</v>
      </c>
      <c r="P32" s="7">
        <f t="shared" ref="P32:W32" si="17">P30+P31</f>
        <v>17812</v>
      </c>
      <c r="Q32" s="7">
        <f t="shared" si="17"/>
        <v>16939</v>
      </c>
      <c r="R32" s="7">
        <f t="shared" si="17"/>
        <v>19321</v>
      </c>
      <c r="S32" s="7">
        <f t="shared" si="17"/>
        <v>14693</v>
      </c>
      <c r="T32" s="7">
        <f t="shared" si="17"/>
        <v>15637</v>
      </c>
      <c r="U32" s="7">
        <f t="shared" si="17"/>
        <v>21347</v>
      </c>
      <c r="V32" s="7">
        <f t="shared" si="17"/>
        <v>16831</v>
      </c>
      <c r="W32" s="7">
        <f t="shared" si="17"/>
        <v>17079</v>
      </c>
      <c r="X32" s="7">
        <f t="shared" ref="X32" si="18">X30+X31</f>
        <v>20314</v>
      </c>
      <c r="Y32" s="7">
        <f t="shared" ref="Y32" si="19">Y30+Y31</f>
        <v>25645</v>
      </c>
      <c r="Z32" s="7">
        <f t="shared" ref="Z32" si="20">Z30+Z31</f>
        <v>21158.446499999998</v>
      </c>
      <c r="AD32" s="7">
        <f t="shared" ref="AD32:AE32" si="21">AD30+AD31</f>
        <v>53402</v>
      </c>
      <c r="AE32" s="7">
        <f t="shared" si="21"/>
        <v>50352</v>
      </c>
      <c r="AF32" s="7">
        <f t="shared" ref="AF32:AG32" si="22">AF30+AF31</f>
        <v>56540</v>
      </c>
      <c r="AG32" s="7">
        <f t="shared" si="22"/>
        <v>51843</v>
      </c>
      <c r="AH32" s="7">
        <f t="shared" ref="AH32:AI32" si="23">AH30+AH31</f>
        <v>55867</v>
      </c>
      <c r="AI32" s="7">
        <f t="shared" si="23"/>
        <v>68644</v>
      </c>
      <c r="AJ32" s="7">
        <f t="shared" ref="AJ32" si="24">AJ30+AJ31</f>
        <v>73268</v>
      </c>
      <c r="AK32" s="7">
        <f t="shared" ref="AK32:AL32" si="25">AK30+AK31</f>
        <v>76752</v>
      </c>
      <c r="AL32" s="7">
        <f t="shared" si="25"/>
        <v>82088</v>
      </c>
      <c r="AM32" s="7">
        <f t="shared" ref="AM32:BF32" si="26">AM30+AM31</f>
        <v>79026</v>
      </c>
      <c r="AN32" s="7">
        <f t="shared" si="26"/>
        <v>76612</v>
      </c>
      <c r="AO32" s="7">
        <f t="shared" si="26"/>
        <v>81490</v>
      </c>
      <c r="AP32" s="7">
        <f t="shared" si="26"/>
        <v>72093</v>
      </c>
      <c r="AQ32" s="7">
        <f t="shared" si="26"/>
        <v>63843</v>
      </c>
      <c r="AR32" s="7">
        <f t="shared" si="26"/>
        <v>59269</v>
      </c>
      <c r="AS32" s="7">
        <f t="shared" si="26"/>
        <v>63078</v>
      </c>
      <c r="AT32" s="7">
        <f t="shared" si="26"/>
        <v>70070</v>
      </c>
      <c r="AU32" s="7">
        <f t="shared" si="26"/>
        <v>68508</v>
      </c>
      <c r="AV32" s="7">
        <f t="shared" si="26"/>
        <v>84196.446500000005</v>
      </c>
      <c r="AW32" s="7">
        <f t="shared" si="26"/>
        <v>93777.749819999997</v>
      </c>
      <c r="AX32" s="7">
        <f t="shared" si="26"/>
        <v>97853.476276799993</v>
      </c>
      <c r="AY32" s="7">
        <f t="shared" si="26"/>
        <v>100438.494783984</v>
      </c>
      <c r="AZ32" s="7">
        <f t="shared" si="26"/>
        <v>103257.36667379952</v>
      </c>
      <c r="BA32" s="7">
        <f t="shared" si="26"/>
        <v>105259.74083186759</v>
      </c>
      <c r="BB32" s="7">
        <f t="shared" si="26"/>
        <v>106391.14139885365</v>
      </c>
      <c r="BC32" s="7">
        <f t="shared" si="26"/>
        <v>107527.12868747982</v>
      </c>
      <c r="BD32" s="7">
        <f t="shared" si="26"/>
        <v>109829.86747590364</v>
      </c>
      <c r="BE32" s="7">
        <f t="shared" si="26"/>
        <v>112183.22692653617</v>
      </c>
      <c r="BF32" s="7">
        <f t="shared" si="26"/>
        <v>114588.35642921478</v>
      </c>
    </row>
    <row r="33" spans="2:146" s="3" customFormat="1" x14ac:dyDescent="0.3">
      <c r="B33" s="3" t="s">
        <v>15</v>
      </c>
      <c r="P33" s="9">
        <f t="shared" ref="P33:W33" si="27">P29-P32</f>
        <v>1939</v>
      </c>
      <c r="Q33" s="9">
        <f t="shared" si="27"/>
        <v>1165</v>
      </c>
      <c r="R33" s="9">
        <f t="shared" si="27"/>
        <v>2697</v>
      </c>
      <c r="S33" s="9">
        <f t="shared" si="27"/>
        <v>1876</v>
      </c>
      <c r="T33" s="9">
        <f t="shared" si="27"/>
        <v>1229</v>
      </c>
      <c r="U33" s="9">
        <f t="shared" si="27"/>
        <v>-3507</v>
      </c>
      <c r="V33" s="9">
        <f t="shared" si="27"/>
        <v>-1589</v>
      </c>
      <c r="W33" s="9">
        <f t="shared" si="27"/>
        <v>2417</v>
      </c>
      <c r="X33" s="9">
        <f t="shared" ref="X33" si="28">X29-X32</f>
        <v>2435</v>
      </c>
      <c r="Y33" s="9">
        <f t="shared" ref="Y33" si="29">Y29-Y32</f>
        <v>-2375</v>
      </c>
      <c r="Z33" s="9">
        <f t="shared" ref="Z33" si="30">Z29-Z32</f>
        <v>2781.7635000000009</v>
      </c>
      <c r="AD33" s="9">
        <f t="shared" ref="AD33:AE33" si="31">AD29-AD32</f>
        <v>12985</v>
      </c>
      <c r="AE33" s="9">
        <f t="shared" si="31"/>
        <v>10557</v>
      </c>
      <c r="AF33" s="9">
        <f t="shared" ref="AF33:AG33" si="32">AF29-AF32</f>
        <v>11741</v>
      </c>
      <c r="AG33" s="9">
        <f t="shared" si="32"/>
        <v>12463</v>
      </c>
      <c r="AH33" s="9">
        <f t="shared" ref="AH33:AI33" si="33">AH29-AH32</f>
        <v>12868</v>
      </c>
      <c r="AI33" s="9">
        <f t="shared" si="33"/>
        <v>13054</v>
      </c>
      <c r="AJ33" s="9">
        <f t="shared" ref="AJ33" si="34">AJ29-AJ32</f>
        <v>13355</v>
      </c>
      <c r="AK33" s="9">
        <f t="shared" ref="AK33:AL33" si="35">AK29-AK32</f>
        <v>14010</v>
      </c>
      <c r="AL33" s="9">
        <f t="shared" si="35"/>
        <v>14026</v>
      </c>
      <c r="AM33" s="9">
        <f t="shared" ref="AM33:BF33" si="36">AM29-AM32</f>
        <v>14470</v>
      </c>
      <c r="AN33" s="9">
        <f t="shared" si="36"/>
        <v>17393</v>
      </c>
      <c r="AO33" s="9">
        <f t="shared" si="36"/>
        <v>19637</v>
      </c>
      <c r="AP33" s="9">
        <f t="shared" si="36"/>
        <v>4466</v>
      </c>
      <c r="AQ33" s="9">
        <f t="shared" si="36"/>
        <v>-5685</v>
      </c>
      <c r="AR33" s="9">
        <f t="shared" si="36"/>
        <v>3017</v>
      </c>
      <c r="AS33" s="9">
        <f t="shared" si="36"/>
        <v>3530</v>
      </c>
      <c r="AT33" s="9">
        <f t="shared" si="36"/>
        <v>7724</v>
      </c>
      <c r="AU33" s="9">
        <f t="shared" si="36"/>
        <v>-1991</v>
      </c>
      <c r="AV33" s="9">
        <f t="shared" si="36"/>
        <v>5258.7634999999864</v>
      </c>
      <c r="AW33" s="9">
        <f t="shared" si="36"/>
        <v>11421.625679999997</v>
      </c>
      <c r="AX33" s="9">
        <f t="shared" si="36"/>
        <v>15160.723843200001</v>
      </c>
      <c r="AY33" s="9">
        <f t="shared" si="36"/>
        <v>17913.830123616004</v>
      </c>
      <c r="AZ33" s="9">
        <f t="shared" si="36"/>
        <v>19668.069842628494</v>
      </c>
      <c r="BA33" s="9">
        <f t="shared" si="36"/>
        <v>21353.458780053261</v>
      </c>
      <c r="BB33" s="9">
        <f t="shared" si="36"/>
        <v>22925.107359278903</v>
      </c>
      <c r="BC33" s="9">
        <f t="shared" si="36"/>
        <v>24551.353754407872</v>
      </c>
      <c r="BD33" s="9">
        <f t="shared" si="36"/>
        <v>25071.37058467207</v>
      </c>
      <c r="BE33" s="9">
        <f t="shared" si="36"/>
        <v>25602.657444196826</v>
      </c>
      <c r="BF33" s="9">
        <f t="shared" si="36"/>
        <v>26145.465824347033</v>
      </c>
    </row>
    <row r="34" spans="2:146" x14ac:dyDescent="0.3">
      <c r="B34" s="1" t="s">
        <v>20</v>
      </c>
      <c r="P34" s="7">
        <v>-44</v>
      </c>
      <c r="Q34" s="7">
        <v>-28</v>
      </c>
      <c r="R34" s="7">
        <v>-1</v>
      </c>
      <c r="S34" s="7">
        <v>-67</v>
      </c>
      <c r="T34" s="7">
        <v>-7</v>
      </c>
      <c r="U34" s="7">
        <v>15</v>
      </c>
      <c r="V34" s="7">
        <v>-12</v>
      </c>
      <c r="W34" s="7">
        <v>-3</v>
      </c>
      <c r="X34" s="7">
        <v>-25</v>
      </c>
      <c r="Y34" s="7">
        <v>-14</v>
      </c>
      <c r="Z34" s="7"/>
      <c r="AD34" s="7">
        <v>-188</v>
      </c>
      <c r="AE34" s="7">
        <v>-241</v>
      </c>
      <c r="AF34" s="7">
        <v>-249</v>
      </c>
      <c r="AG34" s="7">
        <v>-267</v>
      </c>
      <c r="AH34" s="7">
        <v>-278</v>
      </c>
      <c r="AI34" s="7">
        <v>-268</v>
      </c>
      <c r="AJ34" s="7">
        <v>-214</v>
      </c>
      <c r="AK34" s="7">
        <v>-287</v>
      </c>
      <c r="AL34" s="7">
        <v>-274</v>
      </c>
      <c r="AM34" s="7">
        <v>-303</v>
      </c>
      <c r="AN34" s="7">
        <f>-204</f>
        <v>-204</v>
      </c>
      <c r="AO34" s="7">
        <v>-111</v>
      </c>
      <c r="AP34" s="7">
        <v>4</v>
      </c>
      <c r="AQ34" s="7">
        <v>-9</v>
      </c>
      <c r="AR34" s="7">
        <v>-210</v>
      </c>
      <c r="AS34" s="7">
        <v>16</v>
      </c>
      <c r="AT34" s="7">
        <v>-46</v>
      </c>
      <c r="AU34" s="7">
        <v>-71</v>
      </c>
      <c r="AV34" s="7">
        <f>SUM(W34:Z34)</f>
        <v>-42</v>
      </c>
      <c r="AW34" s="7">
        <v>0</v>
      </c>
      <c r="AX34" s="7">
        <v>0</v>
      </c>
      <c r="AY34" s="7">
        <v>0</v>
      </c>
      <c r="AZ34" s="7">
        <v>0</v>
      </c>
      <c r="BA34" s="7">
        <v>0</v>
      </c>
      <c r="BB34" s="7">
        <v>0</v>
      </c>
      <c r="BC34" s="7">
        <v>0</v>
      </c>
      <c r="BD34" s="7">
        <v>0</v>
      </c>
      <c r="BE34" s="7">
        <v>0</v>
      </c>
      <c r="BF34" s="7">
        <v>0</v>
      </c>
    </row>
    <row r="35" spans="2:146" x14ac:dyDescent="0.3">
      <c r="B35" s="1" t="s">
        <v>21</v>
      </c>
      <c r="P35" s="7">
        <v>1286</v>
      </c>
      <c r="Q35" s="7">
        <v>1043</v>
      </c>
      <c r="R35" s="7">
        <v>1535</v>
      </c>
      <c r="S35" s="7">
        <v>1161</v>
      </c>
      <c r="T35" s="7">
        <v>1377</v>
      </c>
      <c r="U35" s="7">
        <v>1085</v>
      </c>
      <c r="V35" s="7">
        <v>1398</v>
      </c>
      <c r="W35" s="7">
        <v>1112</v>
      </c>
      <c r="X35" s="7">
        <v>1793</v>
      </c>
      <c r="Y35" s="7">
        <v>1522</v>
      </c>
      <c r="Z35" s="7">
        <f>V35*1.35</f>
        <v>1887.3000000000002</v>
      </c>
      <c r="AD35" s="7">
        <v>3531</v>
      </c>
      <c r="AE35" s="7">
        <v>3084</v>
      </c>
      <c r="AF35" s="7">
        <v>3364</v>
      </c>
      <c r="AG35" s="7">
        <v>3644</v>
      </c>
      <c r="AH35" s="7">
        <v>3408</v>
      </c>
      <c r="AI35" s="7">
        <v>3717</v>
      </c>
      <c r="AJ35" s="7">
        <v>3956</v>
      </c>
      <c r="AK35" s="7">
        <v>3767</v>
      </c>
      <c r="AL35" s="7">
        <v>3525</v>
      </c>
      <c r="AM35" s="7">
        <v>3613</v>
      </c>
      <c r="AN35" s="7">
        <v>4095</v>
      </c>
      <c r="AO35" s="7">
        <v>4567</v>
      </c>
      <c r="AP35" s="7">
        <v>3909</v>
      </c>
      <c r="AQ35" s="7">
        <v>4817</v>
      </c>
      <c r="AR35" s="7">
        <v>4157</v>
      </c>
      <c r="AS35" s="7">
        <v>4187</v>
      </c>
      <c r="AT35" s="7">
        <v>5168</v>
      </c>
      <c r="AU35" s="7">
        <v>5021</v>
      </c>
      <c r="AV35" s="7">
        <f>SUM(W35:Z35)</f>
        <v>6314.3</v>
      </c>
      <c r="AW35" s="7">
        <f t="shared" ref="AW35:BF36" si="37">AV35*1.01</f>
        <v>6377.4430000000002</v>
      </c>
      <c r="AX35" s="7">
        <f t="shared" si="37"/>
        <v>6441.2174300000006</v>
      </c>
      <c r="AY35" s="7">
        <f t="shared" si="37"/>
        <v>6505.6296043000011</v>
      </c>
      <c r="AZ35" s="7">
        <f t="shared" si="37"/>
        <v>6570.6859003430009</v>
      </c>
      <c r="BA35" s="7">
        <f t="shared" si="37"/>
        <v>6636.3927593464314</v>
      </c>
      <c r="BB35" s="7">
        <f t="shared" si="37"/>
        <v>6702.7566869398961</v>
      </c>
      <c r="BC35" s="7">
        <f t="shared" si="37"/>
        <v>6769.7842538092955</v>
      </c>
      <c r="BD35" s="7">
        <f t="shared" si="37"/>
        <v>6837.4820963473885</v>
      </c>
      <c r="BE35" s="7">
        <f t="shared" si="37"/>
        <v>6905.8569173108626</v>
      </c>
      <c r="BF35" s="7">
        <f t="shared" si="37"/>
        <v>6974.9154864839711</v>
      </c>
    </row>
    <row r="36" spans="2:146" x14ac:dyDescent="0.3">
      <c r="B36" s="1" t="s">
        <v>22</v>
      </c>
      <c r="P36" s="7">
        <v>797</v>
      </c>
      <c r="Q36" s="7">
        <v>958</v>
      </c>
      <c r="R36" s="7">
        <v>881</v>
      </c>
      <c r="S36" s="7">
        <v>868</v>
      </c>
      <c r="T36" s="7">
        <v>954</v>
      </c>
      <c r="U36" s="7">
        <v>1154</v>
      </c>
      <c r="V36" s="7">
        <v>836</v>
      </c>
      <c r="W36" s="7">
        <v>844</v>
      </c>
      <c r="X36" s="7">
        <v>910</v>
      </c>
      <c r="Y36" s="7">
        <v>897</v>
      </c>
      <c r="Z36" s="7">
        <f t="shared" ref="Z36" si="38">V36*1.01</f>
        <v>844.36</v>
      </c>
      <c r="AD36" s="7">
        <v>3850</v>
      </c>
      <c r="AE36" s="7">
        <v>3768</v>
      </c>
      <c r="AF36" s="7">
        <v>6506</v>
      </c>
      <c r="AG36" s="7">
        <v>4121</v>
      </c>
      <c r="AH36" s="7">
        <v>3918</v>
      </c>
      <c r="AI36" s="7">
        <v>3298</v>
      </c>
      <c r="AJ36" s="7">
        <v>3071</v>
      </c>
      <c r="AK36" s="7">
        <v>3047</v>
      </c>
      <c r="AL36" s="7">
        <v>3331</v>
      </c>
      <c r="AM36" s="7">
        <v>4626</v>
      </c>
      <c r="AN36" s="7">
        <v>3179</v>
      </c>
      <c r="AO36" s="7">
        <v>3269</v>
      </c>
      <c r="AP36" s="7">
        <v>3219</v>
      </c>
      <c r="AQ36" s="7">
        <v>2476</v>
      </c>
      <c r="AR36" s="7">
        <v>2249</v>
      </c>
      <c r="AS36" s="7">
        <v>2852</v>
      </c>
      <c r="AT36" s="7">
        <v>3377</v>
      </c>
      <c r="AU36" s="7">
        <v>3812</v>
      </c>
      <c r="AV36" s="7">
        <f>SUM(W36:Z36)</f>
        <v>3495.36</v>
      </c>
      <c r="AW36" s="7">
        <f t="shared" ref="AW36:AZ36" si="39">AV36*1.02</f>
        <v>3565.2672000000002</v>
      </c>
      <c r="AX36" s="7">
        <f t="shared" si="39"/>
        <v>3636.5725440000001</v>
      </c>
      <c r="AY36" s="7">
        <f t="shared" si="39"/>
        <v>3709.3039948800001</v>
      </c>
      <c r="AZ36" s="7">
        <f t="shared" si="39"/>
        <v>3783.4900747776001</v>
      </c>
      <c r="BA36" s="7">
        <f>AZ36*1.01</f>
        <v>3821.324975525376</v>
      </c>
      <c r="BB36" s="7">
        <f t="shared" si="37"/>
        <v>3859.5382252806298</v>
      </c>
      <c r="BC36" s="7">
        <f t="shared" si="37"/>
        <v>3898.1336075334361</v>
      </c>
      <c r="BD36" s="7">
        <f t="shared" si="37"/>
        <v>3937.1149436087703</v>
      </c>
      <c r="BE36" s="7">
        <f t="shared" si="37"/>
        <v>3976.4860930448581</v>
      </c>
      <c r="BF36" s="7">
        <f t="shared" si="37"/>
        <v>4016.2509539753069</v>
      </c>
    </row>
    <row r="37" spans="2:146" x14ac:dyDescent="0.3">
      <c r="B37" s="1" t="s">
        <v>79</v>
      </c>
      <c r="P37" s="7">
        <v>-1</v>
      </c>
      <c r="Q37" s="7">
        <v>0</v>
      </c>
      <c r="R37" s="7">
        <v>-1</v>
      </c>
      <c r="S37" s="7">
        <v>0</v>
      </c>
      <c r="T37" s="7">
        <v>-5</v>
      </c>
      <c r="U37" s="7">
        <v>0</v>
      </c>
      <c r="V37" s="7">
        <v>-41</v>
      </c>
      <c r="W37" s="7">
        <v>3</v>
      </c>
      <c r="X37" s="7">
        <v>-67</v>
      </c>
      <c r="Y37" s="7">
        <v>1</v>
      </c>
      <c r="Z37" s="7">
        <v>0</v>
      </c>
      <c r="AD37" s="7">
        <v>-38</v>
      </c>
      <c r="AE37" s="7">
        <v>-4</v>
      </c>
      <c r="AF37" s="7">
        <v>24</v>
      </c>
      <c r="AG37" s="7">
        <v>-6</v>
      </c>
      <c r="AH37" s="7">
        <v>-24</v>
      </c>
      <c r="AI37" s="7">
        <v>-4</v>
      </c>
      <c r="AJ37" s="7">
        <v>-20</v>
      </c>
      <c r="AK37" s="7">
        <v>10</v>
      </c>
      <c r="AL37" s="7">
        <v>1</v>
      </c>
      <c r="AM37" s="7">
        <v>7</v>
      </c>
      <c r="AN37" s="7">
        <v>-21</v>
      </c>
      <c r="AO37" s="7">
        <v>-75</v>
      </c>
      <c r="AP37" s="7">
        <v>-691</v>
      </c>
      <c r="AQ37" s="7">
        <v>-202</v>
      </c>
      <c r="AR37" s="7">
        <v>-277</v>
      </c>
      <c r="AS37" s="7">
        <v>-6</v>
      </c>
      <c r="AT37" s="7">
        <v>-2</v>
      </c>
      <c r="AU37" s="7">
        <v>-46</v>
      </c>
      <c r="AV37" s="7">
        <f>SUM(W37:Z37)</f>
        <v>-63</v>
      </c>
      <c r="AW37" s="7">
        <v>0</v>
      </c>
      <c r="AX37" s="7">
        <v>0</v>
      </c>
      <c r="AY37" s="7">
        <v>0</v>
      </c>
      <c r="AZ37" s="7">
        <v>0</v>
      </c>
      <c r="BA37" s="7">
        <v>0</v>
      </c>
      <c r="BB37" s="7">
        <v>0</v>
      </c>
      <c r="BC37" s="7">
        <v>0</v>
      </c>
      <c r="BD37" s="7">
        <v>0</v>
      </c>
      <c r="BE37" s="7">
        <v>0</v>
      </c>
      <c r="BF37" s="7">
        <v>0</v>
      </c>
    </row>
    <row r="38" spans="2:146" x14ac:dyDescent="0.3">
      <c r="B38" s="1" t="s">
        <v>23</v>
      </c>
      <c r="P38" s="7">
        <f t="shared" ref="P38:W38" si="40">SUM(P34:P37)</f>
        <v>2038</v>
      </c>
      <c r="Q38" s="7">
        <f t="shared" si="40"/>
        <v>1973</v>
      </c>
      <c r="R38" s="7">
        <f t="shared" si="40"/>
        <v>2414</v>
      </c>
      <c r="S38" s="7">
        <f t="shared" si="40"/>
        <v>1962</v>
      </c>
      <c r="T38" s="7">
        <f t="shared" si="40"/>
        <v>2319</v>
      </c>
      <c r="U38" s="7">
        <f t="shared" si="40"/>
        <v>2254</v>
      </c>
      <c r="V38" s="7">
        <f t="shared" si="40"/>
        <v>2181</v>
      </c>
      <c r="W38" s="7">
        <f t="shared" si="40"/>
        <v>1956</v>
      </c>
      <c r="X38" s="7">
        <f t="shared" ref="X38" si="41">SUM(X34:X37)</f>
        <v>2611</v>
      </c>
      <c r="Y38" s="7">
        <f t="shared" ref="Y38" si="42">SUM(Y34:Y37)</f>
        <v>2406</v>
      </c>
      <c r="Z38" s="7">
        <f t="shared" ref="Z38" si="43">SUM(Z34:Z37)</f>
        <v>2731.6600000000003</v>
      </c>
      <c r="AD38" s="7">
        <f t="shared" ref="AD38:AE38" si="44">SUM(AD34:AD37)</f>
        <v>7155</v>
      </c>
      <c r="AE38" s="7">
        <f t="shared" si="44"/>
        <v>6607</v>
      </c>
      <c r="AF38" s="7">
        <f t="shared" ref="AF38:AG38" si="45">SUM(AF34:AF37)</f>
        <v>9645</v>
      </c>
      <c r="AG38" s="7">
        <f t="shared" si="45"/>
        <v>7492</v>
      </c>
      <c r="AH38" s="7">
        <f t="shared" ref="AH38:AI38" si="46">SUM(AH34:AH37)</f>
        <v>7024</v>
      </c>
      <c r="AI38" s="7">
        <f t="shared" si="46"/>
        <v>6743</v>
      </c>
      <c r="AJ38" s="7">
        <f t="shared" ref="AJ38" si="47">SUM(AJ34:AJ37)</f>
        <v>6793</v>
      </c>
      <c r="AK38" s="7">
        <f t="shared" ref="AK38:AL38" si="48">SUM(AK34:AK37)</f>
        <v>6537</v>
      </c>
      <c r="AL38" s="7">
        <f t="shared" si="48"/>
        <v>6583</v>
      </c>
      <c r="AM38" s="7">
        <f t="shared" ref="AM38:BF38" si="49">SUM(AM34:AM37)</f>
        <v>7943</v>
      </c>
      <c r="AN38" s="7">
        <f t="shared" si="49"/>
        <v>7049</v>
      </c>
      <c r="AO38" s="7">
        <f t="shared" si="49"/>
        <v>7650</v>
      </c>
      <c r="AP38" s="7">
        <f t="shared" si="49"/>
        <v>6441</v>
      </c>
      <c r="AQ38" s="7">
        <f t="shared" si="49"/>
        <v>7082</v>
      </c>
      <c r="AR38" s="7">
        <f t="shared" si="49"/>
        <v>5919</v>
      </c>
      <c r="AS38" s="7">
        <f t="shared" si="49"/>
        <v>7049</v>
      </c>
      <c r="AT38" s="7">
        <f t="shared" si="49"/>
        <v>8497</v>
      </c>
      <c r="AU38" s="7">
        <f t="shared" si="49"/>
        <v>8716</v>
      </c>
      <c r="AV38" s="7">
        <f t="shared" si="49"/>
        <v>9704.66</v>
      </c>
      <c r="AW38" s="7">
        <f t="shared" si="49"/>
        <v>9942.7102000000014</v>
      </c>
      <c r="AX38" s="7">
        <f t="shared" si="49"/>
        <v>10077.789974000001</v>
      </c>
      <c r="AY38" s="7">
        <f t="shared" si="49"/>
        <v>10214.933599180002</v>
      </c>
      <c r="AZ38" s="7">
        <f t="shared" si="49"/>
        <v>10354.175975120601</v>
      </c>
      <c r="BA38" s="7">
        <f t="shared" si="49"/>
        <v>10457.717734871807</v>
      </c>
      <c r="BB38" s="7">
        <f t="shared" si="49"/>
        <v>10562.294912220526</v>
      </c>
      <c r="BC38" s="7">
        <f t="shared" si="49"/>
        <v>10667.917861342732</v>
      </c>
      <c r="BD38" s="7">
        <f t="shared" si="49"/>
        <v>10774.597039956159</v>
      </c>
      <c r="BE38" s="7">
        <f t="shared" si="49"/>
        <v>10882.34301035572</v>
      </c>
      <c r="BF38" s="7">
        <f t="shared" si="49"/>
        <v>10991.166440459278</v>
      </c>
    </row>
    <row r="39" spans="2:146" s="3" customFormat="1" x14ac:dyDescent="0.3">
      <c r="B39" s="3" t="s">
        <v>24</v>
      </c>
      <c r="P39" s="9">
        <f t="shared" ref="P39:W39" si="50">P33-P38</f>
        <v>-99</v>
      </c>
      <c r="Q39" s="9">
        <f t="shared" si="50"/>
        <v>-808</v>
      </c>
      <c r="R39" s="9">
        <f t="shared" si="50"/>
        <v>283</v>
      </c>
      <c r="S39" s="9">
        <f t="shared" si="50"/>
        <v>-86</v>
      </c>
      <c r="T39" s="9">
        <f t="shared" si="50"/>
        <v>-1090</v>
      </c>
      <c r="U39" s="9">
        <f t="shared" si="50"/>
        <v>-5761</v>
      </c>
      <c r="V39" s="9">
        <f t="shared" si="50"/>
        <v>-3770</v>
      </c>
      <c r="W39" s="9">
        <f t="shared" si="50"/>
        <v>461</v>
      </c>
      <c r="X39" s="9">
        <f t="shared" ref="X39" si="51">X33-X38</f>
        <v>-176</v>
      </c>
      <c r="Y39" s="9">
        <f t="shared" ref="Y39" si="52">Y33-Y38</f>
        <v>-4781</v>
      </c>
      <c r="Z39" s="9">
        <f t="shared" ref="Z39" si="53">Z33-Z38</f>
        <v>50.103500000000622</v>
      </c>
      <c r="AD39" s="9">
        <f t="shared" ref="AD39:AE39" si="54">AD33-AD38</f>
        <v>5830</v>
      </c>
      <c r="AE39" s="9">
        <f t="shared" si="54"/>
        <v>3950</v>
      </c>
      <c r="AF39" s="9">
        <f t="shared" ref="AF39:AG39" si="55">AF33-AF38</f>
        <v>2096</v>
      </c>
      <c r="AG39" s="9">
        <f t="shared" si="55"/>
        <v>4971</v>
      </c>
      <c r="AH39" s="9">
        <f t="shared" ref="AH39:AI39" si="56">AH33-AH38</f>
        <v>5844</v>
      </c>
      <c r="AI39" s="9">
        <f t="shared" si="56"/>
        <v>6311</v>
      </c>
      <c r="AJ39" s="9">
        <f t="shared" ref="AJ39" si="57">AJ33-AJ38</f>
        <v>6562</v>
      </c>
      <c r="AK39" s="9">
        <f t="shared" ref="AK39:AL39" si="58">AK33-AK38</f>
        <v>7473</v>
      </c>
      <c r="AL39" s="9">
        <f t="shared" si="58"/>
        <v>7443</v>
      </c>
      <c r="AM39" s="9">
        <f t="shared" ref="AM39:BF39" si="59">AM33-AM38</f>
        <v>6527</v>
      </c>
      <c r="AN39" s="9">
        <f t="shared" si="59"/>
        <v>10344</v>
      </c>
      <c r="AO39" s="9">
        <f t="shared" si="59"/>
        <v>11987</v>
      </c>
      <c r="AP39" s="9">
        <f t="shared" si="59"/>
        <v>-1975</v>
      </c>
      <c r="AQ39" s="9">
        <f t="shared" si="59"/>
        <v>-12767</v>
      </c>
      <c r="AR39" s="9">
        <f t="shared" si="59"/>
        <v>-2902</v>
      </c>
      <c r="AS39" s="9">
        <f t="shared" si="59"/>
        <v>-3519</v>
      </c>
      <c r="AT39" s="9">
        <f t="shared" si="59"/>
        <v>-773</v>
      </c>
      <c r="AU39" s="9">
        <f t="shared" si="59"/>
        <v>-10707</v>
      </c>
      <c r="AV39" s="9">
        <f t="shared" si="59"/>
        <v>-4445.8965000000135</v>
      </c>
      <c r="AW39" s="9">
        <f t="shared" si="59"/>
        <v>1478.915479999996</v>
      </c>
      <c r="AX39" s="9">
        <f t="shared" si="59"/>
        <v>5082.9338692000001</v>
      </c>
      <c r="AY39" s="9">
        <f t="shared" si="59"/>
        <v>7698.8965244360024</v>
      </c>
      <c r="AZ39" s="9">
        <f t="shared" si="59"/>
        <v>9313.8938675078934</v>
      </c>
      <c r="BA39" s="9">
        <f t="shared" si="59"/>
        <v>10895.741045181454</v>
      </c>
      <c r="BB39" s="9">
        <f t="shared" si="59"/>
        <v>12362.812447058377</v>
      </c>
      <c r="BC39" s="9">
        <f t="shared" si="59"/>
        <v>13883.43589306514</v>
      </c>
      <c r="BD39" s="9">
        <f t="shared" si="59"/>
        <v>14296.77354471591</v>
      </c>
      <c r="BE39" s="9">
        <f t="shared" si="59"/>
        <v>14720.314433841106</v>
      </c>
      <c r="BF39" s="9">
        <f t="shared" si="59"/>
        <v>15154.299383887756</v>
      </c>
    </row>
    <row r="40" spans="2:146" x14ac:dyDescent="0.3">
      <c r="B40" s="1" t="s">
        <v>25</v>
      </c>
      <c r="P40" s="7">
        <v>-320</v>
      </c>
      <c r="Q40" s="7">
        <v>-297</v>
      </c>
      <c r="R40" s="7">
        <v>-308</v>
      </c>
      <c r="S40" s="7">
        <v>-277</v>
      </c>
      <c r="T40" s="7">
        <v>-248</v>
      </c>
      <c r="U40" s="7">
        <v>-265</v>
      </c>
      <c r="V40" s="7">
        <v>-432</v>
      </c>
      <c r="W40" s="7">
        <v>-323</v>
      </c>
      <c r="X40" s="7">
        <v>-325</v>
      </c>
      <c r="Y40" s="7">
        <v>-276</v>
      </c>
      <c r="Z40" s="7">
        <f t="shared" ref="Z40:Z41" si="60">V40*1.01</f>
        <v>-436.32</v>
      </c>
      <c r="AD40" s="7">
        <v>-484</v>
      </c>
      <c r="AE40" s="7">
        <v>-247</v>
      </c>
      <c r="AF40" s="7">
        <v>26</v>
      </c>
      <c r="AG40" s="7">
        <v>-52</v>
      </c>
      <c r="AH40" s="7">
        <v>-47</v>
      </c>
      <c r="AI40" s="7">
        <v>-62</v>
      </c>
      <c r="AJ40" s="7">
        <v>-56</v>
      </c>
      <c r="AK40" s="7">
        <v>3</v>
      </c>
      <c r="AL40" s="7">
        <v>13</v>
      </c>
      <c r="AM40" s="7">
        <v>438</v>
      </c>
      <c r="AN40" s="7">
        <v>-123</v>
      </c>
      <c r="AO40" s="7">
        <v>-92</v>
      </c>
      <c r="AP40" s="7">
        <v>-438</v>
      </c>
      <c r="AQ40" s="7">
        <v>-447</v>
      </c>
      <c r="AR40" s="7">
        <v>-551</v>
      </c>
      <c r="AS40" s="7">
        <v>-1058</v>
      </c>
      <c r="AT40" s="7">
        <v>-1227</v>
      </c>
      <c r="AU40" s="7">
        <v>-1222</v>
      </c>
      <c r="AV40" s="7">
        <f>SUM(W40:Z40)</f>
        <v>-1360.32</v>
      </c>
      <c r="AW40" s="7">
        <f t="shared" ref="AW40:BF40" si="61">AV40*1.02</f>
        <v>-1387.5264</v>
      </c>
      <c r="AX40" s="7">
        <f t="shared" si="61"/>
        <v>-1415.276928</v>
      </c>
      <c r="AY40" s="7">
        <f t="shared" si="61"/>
        <v>-1443.5824665600001</v>
      </c>
      <c r="AZ40" s="7">
        <f t="shared" si="61"/>
        <v>-1472.4541158912</v>
      </c>
      <c r="BA40" s="7">
        <f t="shared" si="61"/>
        <v>-1501.9031982090239</v>
      </c>
      <c r="BB40" s="7">
        <f t="shared" si="61"/>
        <v>-1531.9412621732044</v>
      </c>
      <c r="BC40" s="7">
        <f t="shared" si="61"/>
        <v>-1562.5800874166687</v>
      </c>
      <c r="BD40" s="7">
        <f t="shared" si="61"/>
        <v>-1593.831689165002</v>
      </c>
      <c r="BE40" s="7">
        <f t="shared" si="61"/>
        <v>-1625.7083229483021</v>
      </c>
      <c r="BF40" s="7">
        <f t="shared" si="61"/>
        <v>-1658.2224894072681</v>
      </c>
    </row>
    <row r="41" spans="2:146" x14ac:dyDescent="0.3">
      <c r="B41" s="1" t="s">
        <v>26</v>
      </c>
      <c r="P41" s="7">
        <v>621</v>
      </c>
      <c r="Q41" s="7">
        <v>589</v>
      </c>
      <c r="R41" s="7">
        <v>600</v>
      </c>
      <c r="S41" s="7">
        <v>569</v>
      </c>
      <c r="T41" s="7">
        <v>673</v>
      </c>
      <c r="U41" s="7">
        <v>728</v>
      </c>
      <c r="V41" s="7">
        <v>755</v>
      </c>
      <c r="W41" s="7">
        <v>708</v>
      </c>
      <c r="X41" s="7">
        <v>710</v>
      </c>
      <c r="Y41" s="7">
        <v>694</v>
      </c>
      <c r="Z41" s="7">
        <f t="shared" si="60"/>
        <v>762.55</v>
      </c>
      <c r="AD41" s="7">
        <v>196</v>
      </c>
      <c r="AE41" s="7">
        <v>202</v>
      </c>
      <c r="AF41" s="7">
        <v>339</v>
      </c>
      <c r="AG41" s="7">
        <v>516</v>
      </c>
      <c r="AH41" s="7">
        <v>498</v>
      </c>
      <c r="AI41" s="7">
        <v>463</v>
      </c>
      <c r="AJ41" s="7">
        <v>386</v>
      </c>
      <c r="AK41" s="7">
        <v>333</v>
      </c>
      <c r="AL41" s="7">
        <v>275</v>
      </c>
      <c r="AM41" s="7">
        <v>306</v>
      </c>
      <c r="AN41" s="7">
        <v>360</v>
      </c>
      <c r="AO41" s="7">
        <v>475</v>
      </c>
      <c r="AP41" s="7">
        <v>722</v>
      </c>
      <c r="AQ41" s="7">
        <v>2156</v>
      </c>
      <c r="AR41" s="7">
        <v>2682</v>
      </c>
      <c r="AS41" s="7">
        <v>2561</v>
      </c>
      <c r="AT41" s="7">
        <v>2459</v>
      </c>
      <c r="AU41" s="7">
        <v>2725</v>
      </c>
      <c r="AV41" s="7">
        <f>SUM(W41:Z41)</f>
        <v>2874.55</v>
      </c>
      <c r="AW41" s="7">
        <f t="shared" ref="AW41:BF41" si="62">AV41*1.01</f>
        <v>2903.2955000000002</v>
      </c>
      <c r="AX41" s="7">
        <f t="shared" si="62"/>
        <v>2932.3284550000003</v>
      </c>
      <c r="AY41" s="7">
        <f t="shared" si="62"/>
        <v>2961.6517395500005</v>
      </c>
      <c r="AZ41" s="7">
        <f t="shared" si="62"/>
        <v>2991.2682569455005</v>
      </c>
      <c r="BA41" s="7">
        <f t="shared" si="62"/>
        <v>3021.1809395149558</v>
      </c>
      <c r="BB41" s="7">
        <f t="shared" si="62"/>
        <v>3051.3927489101052</v>
      </c>
      <c r="BC41" s="7">
        <f t="shared" si="62"/>
        <v>3081.9066763992064</v>
      </c>
      <c r="BD41" s="7">
        <f t="shared" si="62"/>
        <v>3112.7257431631983</v>
      </c>
      <c r="BE41" s="7">
        <f t="shared" si="62"/>
        <v>3143.8530005948305</v>
      </c>
      <c r="BF41" s="7">
        <f t="shared" si="62"/>
        <v>3175.291530600779</v>
      </c>
    </row>
    <row r="42" spans="2:146" x14ac:dyDescent="0.3">
      <c r="B42" s="1" t="s">
        <v>27</v>
      </c>
      <c r="P42" s="7">
        <f t="shared" ref="P42:W42" si="63">SUM(P40:P41)</f>
        <v>301</v>
      </c>
      <c r="Q42" s="7">
        <f t="shared" si="63"/>
        <v>292</v>
      </c>
      <c r="R42" s="7">
        <f t="shared" si="63"/>
        <v>292</v>
      </c>
      <c r="S42" s="7">
        <f t="shared" si="63"/>
        <v>292</v>
      </c>
      <c r="T42" s="7">
        <f t="shared" si="63"/>
        <v>425</v>
      </c>
      <c r="U42" s="7">
        <f t="shared" si="63"/>
        <v>463</v>
      </c>
      <c r="V42" s="7">
        <f t="shared" si="63"/>
        <v>323</v>
      </c>
      <c r="W42" s="7">
        <f t="shared" si="63"/>
        <v>385</v>
      </c>
      <c r="X42" s="7">
        <f t="shared" ref="X42" si="64">SUM(X40:X41)</f>
        <v>385</v>
      </c>
      <c r="Y42" s="7">
        <f t="shared" ref="Y42" si="65">SUM(Y40:Y41)</f>
        <v>418</v>
      </c>
      <c r="Z42" s="7">
        <f t="shared" ref="Z42" si="66">SUM(Z40:Z41)</f>
        <v>326.22999999999996</v>
      </c>
      <c r="AD42" s="7">
        <f t="shared" ref="AD42:AE42" si="67">SUM(AD40:AD41)</f>
        <v>-288</v>
      </c>
      <c r="AE42" s="7">
        <f t="shared" si="67"/>
        <v>-45</v>
      </c>
      <c r="AF42" s="7">
        <f t="shared" ref="AF42:AG42" si="68">SUM(AF40:AF41)</f>
        <v>365</v>
      </c>
      <c r="AG42" s="7">
        <f t="shared" si="68"/>
        <v>464</v>
      </c>
      <c r="AH42" s="7">
        <f t="shared" ref="AH42:AI42" si="69">SUM(AH40:AH41)</f>
        <v>451</v>
      </c>
      <c r="AI42" s="7">
        <f t="shared" si="69"/>
        <v>401</v>
      </c>
      <c r="AJ42" s="7">
        <f t="shared" ref="AJ42" si="70">SUM(AJ40:AJ41)</f>
        <v>330</v>
      </c>
      <c r="AK42" s="7">
        <f t="shared" ref="AK42:AL42" si="71">SUM(AK40:AK41)</f>
        <v>336</v>
      </c>
      <c r="AL42" s="7">
        <f t="shared" si="71"/>
        <v>288</v>
      </c>
      <c r="AM42" s="7">
        <f t="shared" ref="AM42:BF42" si="72">SUM(AM40:AM41)</f>
        <v>744</v>
      </c>
      <c r="AN42" s="7">
        <f t="shared" si="72"/>
        <v>237</v>
      </c>
      <c r="AO42" s="7">
        <f t="shared" si="72"/>
        <v>383</v>
      </c>
      <c r="AP42" s="7">
        <f t="shared" si="72"/>
        <v>284</v>
      </c>
      <c r="AQ42" s="7">
        <f t="shared" si="72"/>
        <v>1709</v>
      </c>
      <c r="AR42" s="7">
        <f t="shared" si="72"/>
        <v>2131</v>
      </c>
      <c r="AS42" s="7">
        <f t="shared" si="72"/>
        <v>1503</v>
      </c>
      <c r="AT42" s="7">
        <f t="shared" si="72"/>
        <v>1232</v>
      </c>
      <c r="AU42" s="7">
        <f t="shared" si="72"/>
        <v>1503</v>
      </c>
      <c r="AV42" s="7">
        <f t="shared" si="72"/>
        <v>1514.2300000000002</v>
      </c>
      <c r="AW42" s="7">
        <f t="shared" si="72"/>
        <v>1515.7691000000002</v>
      </c>
      <c r="AX42" s="7">
        <f t="shared" si="72"/>
        <v>1517.0515270000003</v>
      </c>
      <c r="AY42" s="7">
        <f t="shared" si="72"/>
        <v>1518.0692729900004</v>
      </c>
      <c r="AZ42" s="7">
        <f t="shared" si="72"/>
        <v>1518.8141410543005</v>
      </c>
      <c r="BA42" s="7">
        <f t="shared" si="72"/>
        <v>1519.2777413059318</v>
      </c>
      <c r="BB42" s="7">
        <f t="shared" si="72"/>
        <v>1519.4514867369007</v>
      </c>
      <c r="BC42" s="7">
        <f t="shared" si="72"/>
        <v>1519.3265889825377</v>
      </c>
      <c r="BD42" s="7">
        <f t="shared" si="72"/>
        <v>1518.8940539981963</v>
      </c>
      <c r="BE42" s="7">
        <f t="shared" si="72"/>
        <v>1518.1446776465284</v>
      </c>
      <c r="BF42" s="7">
        <f t="shared" si="72"/>
        <v>1517.0690411935109</v>
      </c>
    </row>
    <row r="43" spans="2:146" s="3" customFormat="1" x14ac:dyDescent="0.3">
      <c r="B43" s="3" t="s">
        <v>28</v>
      </c>
      <c r="P43" s="9">
        <f t="shared" ref="P43:W43" si="73">P39-P42</f>
        <v>-400</v>
      </c>
      <c r="Q43" s="9">
        <f t="shared" si="73"/>
        <v>-1100</v>
      </c>
      <c r="R43" s="9">
        <f t="shared" si="73"/>
        <v>-9</v>
      </c>
      <c r="S43" s="9">
        <f t="shared" si="73"/>
        <v>-378</v>
      </c>
      <c r="T43" s="9">
        <f t="shared" si="73"/>
        <v>-1515</v>
      </c>
      <c r="U43" s="9">
        <f t="shared" si="73"/>
        <v>-6224</v>
      </c>
      <c r="V43" s="9">
        <f t="shared" si="73"/>
        <v>-4093</v>
      </c>
      <c r="W43" s="9">
        <f t="shared" si="73"/>
        <v>76</v>
      </c>
      <c r="X43" s="9">
        <f t="shared" ref="X43" si="74">X39-X42</f>
        <v>-561</v>
      </c>
      <c r="Y43" s="9">
        <f t="shared" ref="Y43" si="75">Y39-Y42</f>
        <v>-5199</v>
      </c>
      <c r="Z43" s="9">
        <f t="shared" ref="Z43" si="76">Z39-Z42</f>
        <v>-276.12649999999934</v>
      </c>
      <c r="AD43" s="9">
        <f t="shared" ref="AD43:AE43" si="77">AD39-AD42</f>
        <v>6118</v>
      </c>
      <c r="AE43" s="9">
        <f t="shared" si="77"/>
        <v>3995</v>
      </c>
      <c r="AF43" s="9">
        <f t="shared" ref="AF43:AG43" si="78">AF39-AF42</f>
        <v>1731</v>
      </c>
      <c r="AG43" s="9">
        <f t="shared" si="78"/>
        <v>4507</v>
      </c>
      <c r="AH43" s="9">
        <f t="shared" ref="AH43:AI43" si="79">AH39-AH42</f>
        <v>5393</v>
      </c>
      <c r="AI43" s="9">
        <f t="shared" si="79"/>
        <v>5910</v>
      </c>
      <c r="AJ43" s="9">
        <f t="shared" ref="AJ43" si="80">AJ39-AJ42</f>
        <v>6232</v>
      </c>
      <c r="AK43" s="9">
        <f t="shared" ref="AK43:AL43" si="81">AK39-AK42</f>
        <v>7137</v>
      </c>
      <c r="AL43" s="9">
        <f t="shared" si="81"/>
        <v>7155</v>
      </c>
      <c r="AM43" s="9">
        <f t="shared" ref="AM43:BF43" si="82">AM39-AM42</f>
        <v>5783</v>
      </c>
      <c r="AN43" s="9">
        <f t="shared" si="82"/>
        <v>10107</v>
      </c>
      <c r="AO43" s="9">
        <f t="shared" si="82"/>
        <v>11604</v>
      </c>
      <c r="AP43" s="9">
        <f t="shared" si="82"/>
        <v>-2259</v>
      </c>
      <c r="AQ43" s="9">
        <f t="shared" si="82"/>
        <v>-14476</v>
      </c>
      <c r="AR43" s="9">
        <f t="shared" si="82"/>
        <v>-5033</v>
      </c>
      <c r="AS43" s="9">
        <f t="shared" si="82"/>
        <v>-5022</v>
      </c>
      <c r="AT43" s="9">
        <f t="shared" si="82"/>
        <v>-2005</v>
      </c>
      <c r="AU43" s="9">
        <f t="shared" si="82"/>
        <v>-12210</v>
      </c>
      <c r="AV43" s="9">
        <f t="shared" si="82"/>
        <v>-5960.1265000000139</v>
      </c>
      <c r="AW43" s="9">
        <f t="shared" si="82"/>
        <v>-36.853620000004184</v>
      </c>
      <c r="AX43" s="9">
        <f t="shared" si="82"/>
        <v>3565.8823421999996</v>
      </c>
      <c r="AY43" s="9">
        <f t="shared" si="82"/>
        <v>6180.8272514460023</v>
      </c>
      <c r="AZ43" s="9">
        <f t="shared" si="82"/>
        <v>7795.0797264535931</v>
      </c>
      <c r="BA43" s="9">
        <f t="shared" si="82"/>
        <v>9376.4633038755219</v>
      </c>
      <c r="BB43" s="9">
        <f t="shared" si="82"/>
        <v>10843.360960321475</v>
      </c>
      <c r="BC43" s="9">
        <f t="shared" si="82"/>
        <v>12364.109304082602</v>
      </c>
      <c r="BD43" s="9">
        <f t="shared" si="82"/>
        <v>12777.879490717714</v>
      </c>
      <c r="BE43" s="9">
        <f t="shared" si="82"/>
        <v>13202.169756194577</v>
      </c>
      <c r="BF43" s="9">
        <f t="shared" si="82"/>
        <v>13637.230342694245</v>
      </c>
    </row>
    <row r="44" spans="2:146" x14ac:dyDescent="0.3">
      <c r="B44" s="1" t="s">
        <v>52</v>
      </c>
      <c r="P44" s="7">
        <v>-251</v>
      </c>
      <c r="Q44" s="7">
        <v>538</v>
      </c>
      <c r="R44" s="7">
        <v>21</v>
      </c>
      <c r="S44" s="7">
        <v>23</v>
      </c>
      <c r="T44" s="7">
        <v>-76</v>
      </c>
      <c r="U44" s="7">
        <v>-50</v>
      </c>
      <c r="V44" s="7">
        <v>-232</v>
      </c>
      <c r="W44" s="7">
        <v>107</v>
      </c>
      <c r="X44" s="7">
        <v>51</v>
      </c>
      <c r="Y44" s="7">
        <v>140</v>
      </c>
      <c r="Z44" s="7">
        <f t="shared" ref="Z44" si="83">Z43*0.15</f>
        <v>-41.418974999999897</v>
      </c>
      <c r="AD44" s="7">
        <v>2060</v>
      </c>
      <c r="AE44" s="7">
        <v>1341</v>
      </c>
      <c r="AF44" s="7">
        <v>396</v>
      </c>
      <c r="AG44" s="7">
        <v>1196</v>
      </c>
      <c r="AH44" s="7">
        <v>1382</v>
      </c>
      <c r="AI44" s="7">
        <v>2007</v>
      </c>
      <c r="AJ44" s="7">
        <v>1646</v>
      </c>
      <c r="AK44" s="7">
        <v>1691</v>
      </c>
      <c r="AL44" s="7">
        <v>1979</v>
      </c>
      <c r="AM44" s="7">
        <v>749</v>
      </c>
      <c r="AN44" s="7">
        <v>1649</v>
      </c>
      <c r="AO44" s="7">
        <v>1144</v>
      </c>
      <c r="AP44" s="7">
        <v>-1623</v>
      </c>
      <c r="AQ44" s="7">
        <v>-2535</v>
      </c>
      <c r="AR44" s="7">
        <v>-743</v>
      </c>
      <c r="AS44" s="7">
        <v>31</v>
      </c>
      <c r="AT44" s="7">
        <v>237</v>
      </c>
      <c r="AU44" s="7">
        <v>-381</v>
      </c>
      <c r="AV44" s="7">
        <f>SUM(W44:Z44)</f>
        <v>256.58102500000012</v>
      </c>
      <c r="AW44" s="7">
        <f>AW43*0.15</f>
        <v>-5.5280430000006273</v>
      </c>
      <c r="AX44" s="7">
        <f t="shared" ref="AX44:BF44" si="84">AX43*0.15</f>
        <v>534.88235132999989</v>
      </c>
      <c r="AY44" s="7">
        <f t="shared" si="84"/>
        <v>927.12408771690025</v>
      </c>
      <c r="AZ44" s="7">
        <f t="shared" si="84"/>
        <v>1169.2619589680389</v>
      </c>
      <c r="BA44" s="7">
        <f t="shared" si="84"/>
        <v>1406.4694955813281</v>
      </c>
      <c r="BB44" s="7">
        <f t="shared" si="84"/>
        <v>1626.5041440482212</v>
      </c>
      <c r="BC44" s="7">
        <f t="shared" si="84"/>
        <v>1854.6163956123901</v>
      </c>
      <c r="BD44" s="7">
        <f t="shared" si="84"/>
        <v>1916.6819236076572</v>
      </c>
      <c r="BE44" s="7">
        <f t="shared" si="84"/>
        <v>1980.3254634291864</v>
      </c>
      <c r="BF44" s="7">
        <f t="shared" si="84"/>
        <v>2045.5845514041366</v>
      </c>
    </row>
    <row r="45" spans="2:146" x14ac:dyDescent="0.3">
      <c r="B45" s="1" t="s">
        <v>53</v>
      </c>
      <c r="P45" s="7">
        <v>0</v>
      </c>
      <c r="Q45" s="7">
        <v>-2</v>
      </c>
      <c r="R45" s="7">
        <v>-7</v>
      </c>
      <c r="S45" s="7">
        <v>-12</v>
      </c>
      <c r="T45" s="7">
        <v>0</v>
      </c>
      <c r="U45" s="7">
        <v>-4</v>
      </c>
      <c r="V45" s="7">
        <f>4+58</f>
        <v>62</v>
      </c>
      <c r="W45" s="7">
        <f>6+86</f>
        <v>92</v>
      </c>
      <c r="X45" s="7">
        <f>-1+86</f>
        <v>85</v>
      </c>
      <c r="Y45" s="7">
        <f>-2+87</f>
        <v>85</v>
      </c>
      <c r="Z45" s="7">
        <f t="shared" ref="Z45" si="85">6+86</f>
        <v>92</v>
      </c>
      <c r="AD45" s="7">
        <v>-16</v>
      </c>
      <c r="AE45" s="7">
        <v>-18</v>
      </c>
      <c r="AF45" s="7">
        <v>23</v>
      </c>
      <c r="AG45" s="7">
        <v>4</v>
      </c>
      <c r="AH45" s="7">
        <v>-7</v>
      </c>
      <c r="AI45" s="7">
        <v>3</v>
      </c>
      <c r="AJ45" s="7">
        <v>1</v>
      </c>
      <c r="AK45" s="7">
        <v>0</v>
      </c>
      <c r="AL45" s="7">
        <v>0</v>
      </c>
      <c r="AM45" s="7">
        <v>0</v>
      </c>
      <c r="AN45" s="7">
        <v>0</v>
      </c>
      <c r="AO45" s="7">
        <v>0</v>
      </c>
      <c r="AP45" s="7">
        <v>0</v>
      </c>
      <c r="AQ45" s="7">
        <v>-68</v>
      </c>
      <c r="AR45" s="7">
        <v>-88</v>
      </c>
      <c r="AS45" s="7">
        <v>-118</v>
      </c>
      <c r="AT45" s="7">
        <v>-20</v>
      </c>
      <c r="AU45" s="7">
        <f>-12+58</f>
        <v>46</v>
      </c>
      <c r="AV45" s="7">
        <f>SUM(W45:Z45)</f>
        <v>354</v>
      </c>
      <c r="AW45" s="7">
        <v>0</v>
      </c>
      <c r="AX45" s="7">
        <v>0</v>
      </c>
      <c r="AY45" s="7">
        <v>0</v>
      </c>
      <c r="AZ45" s="7">
        <v>0</v>
      </c>
      <c r="BA45" s="7">
        <v>0</v>
      </c>
      <c r="BB45" s="7">
        <v>0</v>
      </c>
      <c r="BC45" s="7">
        <v>0</v>
      </c>
      <c r="BD45" s="7">
        <v>0</v>
      </c>
      <c r="BE45" s="7">
        <v>0</v>
      </c>
      <c r="BF45" s="7">
        <v>0</v>
      </c>
    </row>
    <row r="46" spans="2:146" s="3" customFormat="1" x14ac:dyDescent="0.3">
      <c r="B46" s="3" t="s">
        <v>54</v>
      </c>
      <c r="P46" s="9">
        <f t="shared" ref="P46:W46" si="86">P43-P44-P45</f>
        <v>-149</v>
      </c>
      <c r="Q46" s="9">
        <f t="shared" si="86"/>
        <v>-1636</v>
      </c>
      <c r="R46" s="9">
        <f t="shared" si="86"/>
        <v>-23</v>
      </c>
      <c r="S46" s="9">
        <f t="shared" si="86"/>
        <v>-389</v>
      </c>
      <c r="T46" s="9">
        <f t="shared" si="86"/>
        <v>-1439</v>
      </c>
      <c r="U46" s="9">
        <f t="shared" si="86"/>
        <v>-6170</v>
      </c>
      <c r="V46" s="9">
        <f t="shared" si="86"/>
        <v>-3923</v>
      </c>
      <c r="W46" s="9">
        <f t="shared" si="86"/>
        <v>-123</v>
      </c>
      <c r="X46" s="9">
        <f t="shared" ref="X46" si="87">X43-X44-X45</f>
        <v>-697</v>
      </c>
      <c r="Y46" s="9">
        <f t="shared" ref="Y46" si="88">Y43-Y44-Y45</f>
        <v>-5424</v>
      </c>
      <c r="Z46" s="9">
        <f t="shared" ref="Z46" si="89">Z43-Z44-Z45</f>
        <v>-326.70752499999946</v>
      </c>
      <c r="AD46" s="9">
        <f t="shared" ref="AD46:AE46" si="90">AD43-AD44-AD45</f>
        <v>4074</v>
      </c>
      <c r="AE46" s="9">
        <f t="shared" si="90"/>
        <v>2672</v>
      </c>
      <c r="AF46" s="9">
        <f t="shared" ref="AF46:AG46" si="91">AF43-AF44-AF45</f>
        <v>1312</v>
      </c>
      <c r="AG46" s="9">
        <f t="shared" si="91"/>
        <v>3307</v>
      </c>
      <c r="AH46" s="9">
        <f t="shared" ref="AH46:AI46" si="92">AH43-AH44-AH45</f>
        <v>4018</v>
      </c>
      <c r="AI46" s="9">
        <f t="shared" si="92"/>
        <v>3900</v>
      </c>
      <c r="AJ46" s="9">
        <f t="shared" ref="AJ46" si="93">AJ43-AJ44-AJ45</f>
        <v>4585</v>
      </c>
      <c r="AK46" s="9">
        <f t="shared" ref="AK46:AL46" si="94">AK43-AK44-AK45</f>
        <v>5446</v>
      </c>
      <c r="AL46" s="9">
        <f t="shared" si="94"/>
        <v>5176</v>
      </c>
      <c r="AM46" s="9">
        <f t="shared" ref="AM46:BF46" si="95">AM43-AM44-AM45</f>
        <v>5034</v>
      </c>
      <c r="AN46" s="9">
        <f t="shared" si="95"/>
        <v>8458</v>
      </c>
      <c r="AO46" s="9">
        <f t="shared" si="95"/>
        <v>10460</v>
      </c>
      <c r="AP46" s="9">
        <f t="shared" si="95"/>
        <v>-636</v>
      </c>
      <c r="AQ46" s="9">
        <f t="shared" si="95"/>
        <v>-11873</v>
      </c>
      <c r="AR46" s="9">
        <f t="shared" si="95"/>
        <v>-4202</v>
      </c>
      <c r="AS46" s="9">
        <f t="shared" si="95"/>
        <v>-4935</v>
      </c>
      <c r="AT46" s="9">
        <f t="shared" si="95"/>
        <v>-2222</v>
      </c>
      <c r="AU46" s="9">
        <f t="shared" si="95"/>
        <v>-11875</v>
      </c>
      <c r="AV46" s="9">
        <f t="shared" si="95"/>
        <v>-6570.7075250000144</v>
      </c>
      <c r="AW46" s="9">
        <f t="shared" si="95"/>
        <v>-31.325577000003555</v>
      </c>
      <c r="AX46" s="9">
        <f t="shared" si="95"/>
        <v>3030.9999908699997</v>
      </c>
      <c r="AY46" s="9">
        <f t="shared" si="95"/>
        <v>5253.703163729102</v>
      </c>
      <c r="AZ46" s="9">
        <f t="shared" si="95"/>
        <v>6625.8177674855542</v>
      </c>
      <c r="BA46" s="9">
        <f t="shared" si="95"/>
        <v>7969.9938082941935</v>
      </c>
      <c r="BB46" s="9">
        <f t="shared" si="95"/>
        <v>9216.8568162732536</v>
      </c>
      <c r="BC46" s="9">
        <f t="shared" si="95"/>
        <v>10509.492908470213</v>
      </c>
      <c r="BD46" s="9">
        <f t="shared" si="95"/>
        <v>10861.197567110057</v>
      </c>
      <c r="BE46" s="9">
        <f t="shared" si="95"/>
        <v>11221.84429276539</v>
      </c>
      <c r="BF46" s="9">
        <f t="shared" si="95"/>
        <v>11591.64579129011</v>
      </c>
      <c r="BG46" s="3">
        <f>BF46*(1+$BI$52)</f>
        <v>11475.729333377209</v>
      </c>
      <c r="BH46" s="3">
        <f t="shared" ref="BH46:DS46" si="96">BG46*(1+$BI$52)</f>
        <v>11360.972040043436</v>
      </c>
      <c r="BI46" s="3">
        <f t="shared" si="96"/>
        <v>11247.362319643002</v>
      </c>
      <c r="BJ46" s="3">
        <f t="shared" si="96"/>
        <v>11134.888696446571</v>
      </c>
      <c r="BK46" s="3">
        <f t="shared" si="96"/>
        <v>11023.539809482105</v>
      </c>
      <c r="BL46" s="3">
        <f t="shared" si="96"/>
        <v>10913.304411387284</v>
      </c>
      <c r="BM46" s="3">
        <f t="shared" si="96"/>
        <v>10804.171367273411</v>
      </c>
      <c r="BN46" s="3">
        <f t="shared" si="96"/>
        <v>10696.129653600678</v>
      </c>
      <c r="BO46" s="3">
        <f t="shared" si="96"/>
        <v>10589.168357064671</v>
      </c>
      <c r="BP46" s="3">
        <f t="shared" si="96"/>
        <v>10483.276673494025</v>
      </c>
      <c r="BQ46" s="3">
        <f t="shared" si="96"/>
        <v>10378.443906759085</v>
      </c>
      <c r="BR46" s="3">
        <f t="shared" si="96"/>
        <v>10274.659467691494</v>
      </c>
      <c r="BS46" s="3">
        <f t="shared" si="96"/>
        <v>10171.912873014579</v>
      </c>
      <c r="BT46" s="3">
        <f t="shared" si="96"/>
        <v>10070.193744284432</v>
      </c>
      <c r="BU46" s="3">
        <f t="shared" si="96"/>
        <v>9969.4918068415882</v>
      </c>
      <c r="BV46" s="3">
        <f t="shared" si="96"/>
        <v>9869.7968887731731</v>
      </c>
      <c r="BW46" s="3">
        <f t="shared" si="96"/>
        <v>9771.0989198854404</v>
      </c>
      <c r="BX46" s="3">
        <f t="shared" si="96"/>
        <v>9673.3879306865856</v>
      </c>
      <c r="BY46" s="3">
        <f t="shared" si="96"/>
        <v>9576.654051379719</v>
      </c>
      <c r="BZ46" s="3">
        <f t="shared" si="96"/>
        <v>9480.8875108659213</v>
      </c>
      <c r="CA46" s="3">
        <f t="shared" si="96"/>
        <v>9386.0786357572615</v>
      </c>
      <c r="CB46" s="3">
        <f t="shared" si="96"/>
        <v>9292.2178493996889</v>
      </c>
      <c r="CC46" s="3">
        <f t="shared" si="96"/>
        <v>9199.2956709056925</v>
      </c>
      <c r="CD46" s="3">
        <f t="shared" si="96"/>
        <v>9107.3027141966359</v>
      </c>
      <c r="CE46" s="3">
        <f t="shared" si="96"/>
        <v>9016.2296870546688</v>
      </c>
      <c r="CF46" s="3">
        <f t="shared" si="96"/>
        <v>8926.0673901841219</v>
      </c>
      <c r="CG46" s="3">
        <f t="shared" si="96"/>
        <v>8836.8067162822808</v>
      </c>
      <c r="CH46" s="3">
        <f t="shared" si="96"/>
        <v>8748.4386491194582</v>
      </c>
      <c r="CI46" s="3">
        <f t="shared" si="96"/>
        <v>8660.9542626282637</v>
      </c>
      <c r="CJ46" s="3">
        <f t="shared" si="96"/>
        <v>8574.3447200019818</v>
      </c>
      <c r="CK46" s="3">
        <f t="shared" si="96"/>
        <v>8488.6012728019614</v>
      </c>
      <c r="CL46" s="3">
        <f t="shared" si="96"/>
        <v>8403.715260073941</v>
      </c>
      <c r="CM46" s="3">
        <f t="shared" si="96"/>
        <v>8319.6781074732007</v>
      </c>
      <c r="CN46" s="3">
        <f t="shared" si="96"/>
        <v>8236.4813263984688</v>
      </c>
      <c r="CO46" s="3">
        <f t="shared" si="96"/>
        <v>8154.1165131344842</v>
      </c>
      <c r="CP46" s="3">
        <f t="shared" si="96"/>
        <v>8072.575348003139</v>
      </c>
      <c r="CQ46" s="3">
        <f t="shared" si="96"/>
        <v>7991.849594523108</v>
      </c>
      <c r="CR46" s="3">
        <f t="shared" si="96"/>
        <v>7911.9310985778766</v>
      </c>
      <c r="CS46" s="3">
        <f t="shared" si="96"/>
        <v>7832.811787592098</v>
      </c>
      <c r="CT46" s="3">
        <f t="shared" si="96"/>
        <v>7754.4836697161772</v>
      </c>
      <c r="CU46" s="3">
        <f t="shared" si="96"/>
        <v>7676.938833019015</v>
      </c>
      <c r="CV46" s="3">
        <f t="shared" si="96"/>
        <v>7600.169444688825</v>
      </c>
      <c r="CW46" s="3">
        <f t="shared" si="96"/>
        <v>7524.167750241937</v>
      </c>
      <c r="CX46" s="3">
        <f t="shared" si="96"/>
        <v>7448.9260727395176</v>
      </c>
      <c r="CY46" s="3">
        <f t="shared" si="96"/>
        <v>7374.4368120121226</v>
      </c>
      <c r="CZ46" s="3">
        <f t="shared" si="96"/>
        <v>7300.6924438920014</v>
      </c>
      <c r="DA46" s="3">
        <f t="shared" si="96"/>
        <v>7227.6855194530817</v>
      </c>
      <c r="DB46" s="3">
        <f t="shared" si="96"/>
        <v>7155.4086642585507</v>
      </c>
      <c r="DC46" s="3">
        <f t="shared" si="96"/>
        <v>7083.8545776159654</v>
      </c>
      <c r="DD46" s="3">
        <f t="shared" si="96"/>
        <v>7013.0160318398057</v>
      </c>
      <c r="DE46" s="3">
        <f t="shared" si="96"/>
        <v>6942.8858715214074</v>
      </c>
      <c r="DF46" s="3">
        <f t="shared" si="96"/>
        <v>6873.4570128061932</v>
      </c>
      <c r="DG46" s="3">
        <f t="shared" si="96"/>
        <v>6804.7224426781313</v>
      </c>
      <c r="DH46" s="3">
        <f t="shared" si="96"/>
        <v>6736.6752182513501</v>
      </c>
      <c r="DI46" s="3">
        <f t="shared" si="96"/>
        <v>6669.3084660688364</v>
      </c>
      <c r="DJ46" s="3">
        <f t="shared" si="96"/>
        <v>6602.6153814081481</v>
      </c>
      <c r="DK46" s="3">
        <f t="shared" si="96"/>
        <v>6536.5892275940669</v>
      </c>
      <c r="DL46" s="3">
        <f t="shared" si="96"/>
        <v>6471.2233353181264</v>
      </c>
      <c r="DM46" s="3">
        <f t="shared" si="96"/>
        <v>6406.5111019649448</v>
      </c>
      <c r="DN46" s="3">
        <f t="shared" si="96"/>
        <v>6342.4459909452953</v>
      </c>
      <c r="DO46" s="3">
        <f t="shared" si="96"/>
        <v>6279.0215310358426</v>
      </c>
      <c r="DP46" s="3">
        <f t="shared" si="96"/>
        <v>6216.2313157254839</v>
      </c>
      <c r="DQ46" s="3">
        <f t="shared" si="96"/>
        <v>6154.0690025682288</v>
      </c>
      <c r="DR46" s="3">
        <f t="shared" si="96"/>
        <v>6092.5283125425467</v>
      </c>
      <c r="DS46" s="3">
        <f t="shared" si="96"/>
        <v>6031.6030294171214</v>
      </c>
      <c r="DT46" s="3">
        <f t="shared" ref="DT46:EP46" si="97">DS46*(1+$BI$52)</f>
        <v>5971.28699912295</v>
      </c>
      <c r="DU46" s="3">
        <f t="shared" si="97"/>
        <v>5911.5741291317208</v>
      </c>
      <c r="DV46" s="3">
        <f t="shared" si="97"/>
        <v>5852.4583878404037</v>
      </c>
      <c r="DW46" s="3">
        <f t="shared" si="97"/>
        <v>5793.9338039619997</v>
      </c>
      <c r="DX46" s="3">
        <f t="shared" si="97"/>
        <v>5735.9944659223793</v>
      </c>
      <c r="DY46" s="3">
        <f t="shared" si="97"/>
        <v>5678.6345212631559</v>
      </c>
      <c r="DZ46" s="3">
        <f t="shared" si="97"/>
        <v>5621.8481760505247</v>
      </c>
      <c r="EA46" s="3">
        <f t="shared" si="97"/>
        <v>5565.629694290019</v>
      </c>
      <c r="EB46" s="3">
        <f t="shared" si="97"/>
        <v>5509.9733973471184</v>
      </c>
      <c r="EC46" s="3">
        <f t="shared" si="97"/>
        <v>5454.8736633736471</v>
      </c>
      <c r="ED46" s="3">
        <f t="shared" si="97"/>
        <v>5400.3249267399106</v>
      </c>
      <c r="EE46" s="3">
        <f t="shared" si="97"/>
        <v>5346.3216774725115</v>
      </c>
      <c r="EF46" s="3">
        <f t="shared" si="97"/>
        <v>5292.8584606977865</v>
      </c>
      <c r="EG46" s="3">
        <f t="shared" si="97"/>
        <v>5239.9298760908086</v>
      </c>
      <c r="EH46" s="3">
        <f t="shared" si="97"/>
        <v>5187.5305773299006</v>
      </c>
      <c r="EI46" s="3">
        <f t="shared" si="97"/>
        <v>5135.6552715566013</v>
      </c>
      <c r="EJ46" s="3">
        <f t="shared" si="97"/>
        <v>5084.2987188410352</v>
      </c>
      <c r="EK46" s="3">
        <f t="shared" si="97"/>
        <v>5033.4557316526252</v>
      </c>
      <c r="EL46" s="3">
        <f t="shared" si="97"/>
        <v>4983.1211743360991</v>
      </c>
      <c r="EM46" s="3">
        <f t="shared" si="97"/>
        <v>4933.2899625927384</v>
      </c>
      <c r="EN46" s="3">
        <f t="shared" si="97"/>
        <v>4883.9570629668115</v>
      </c>
      <c r="EO46" s="3">
        <f t="shared" si="97"/>
        <v>4835.1174923371436</v>
      </c>
      <c r="EP46" s="3">
        <f t="shared" si="97"/>
        <v>4786.7663174137724</v>
      </c>
    </row>
    <row r="47" spans="2:146" x14ac:dyDescent="0.3">
      <c r="B47" s="1" t="s">
        <v>2</v>
      </c>
      <c r="P47" s="7">
        <v>605.5</v>
      </c>
      <c r="Q47" s="7">
        <v>607.20000000000005</v>
      </c>
      <c r="R47" s="7">
        <v>609.5</v>
      </c>
      <c r="S47" s="7">
        <v>612.9</v>
      </c>
      <c r="T47" s="7">
        <v>616.6</v>
      </c>
      <c r="U47" s="7">
        <v>618.79999999999995</v>
      </c>
      <c r="V47" s="7">
        <v>718.1</v>
      </c>
      <c r="W47" s="7">
        <v>753.4</v>
      </c>
      <c r="X47" s="7">
        <v>753.4</v>
      </c>
      <c r="Y47" s="7">
        <v>753.4</v>
      </c>
      <c r="Z47" s="7">
        <v>753.4</v>
      </c>
      <c r="AD47" s="7">
        <v>753.4</v>
      </c>
      <c r="AE47" s="7">
        <v>753.4</v>
      </c>
      <c r="AF47" s="7">
        <v>753.4</v>
      </c>
      <c r="AG47" s="7">
        <v>753.4</v>
      </c>
      <c r="AH47" s="7">
        <v>753.4</v>
      </c>
      <c r="AI47" s="7">
        <v>753.4</v>
      </c>
      <c r="AJ47" s="7">
        <v>753.4</v>
      </c>
      <c r="AK47" s="7">
        <v>753.4</v>
      </c>
      <c r="AL47" s="7">
        <v>753.4</v>
      </c>
      <c r="AM47" s="7">
        <v>753.4</v>
      </c>
      <c r="AN47" s="7">
        <v>753.4</v>
      </c>
      <c r="AO47" s="7">
        <v>753.4</v>
      </c>
      <c r="AP47" s="7">
        <v>753.4</v>
      </c>
      <c r="AQ47" s="7">
        <v>753.4</v>
      </c>
      <c r="AR47" s="7">
        <v>753.4</v>
      </c>
      <c r="AS47" s="7">
        <v>753.4</v>
      </c>
      <c r="AT47" s="7">
        <v>753.4</v>
      </c>
      <c r="AU47" s="7">
        <v>753.4</v>
      </c>
      <c r="AV47" s="7">
        <v>753.4</v>
      </c>
      <c r="AW47" s="7">
        <v>753.4</v>
      </c>
      <c r="AX47" s="7">
        <v>753.4</v>
      </c>
      <c r="AY47" s="7">
        <v>753.4</v>
      </c>
      <c r="AZ47" s="7">
        <v>753.4</v>
      </c>
      <c r="BA47" s="7">
        <v>753.4</v>
      </c>
      <c r="BB47" s="7">
        <v>753.4</v>
      </c>
      <c r="BC47" s="7">
        <v>753.4</v>
      </c>
      <c r="BD47" s="7">
        <v>753.4</v>
      </c>
      <c r="BE47" s="7">
        <v>753.4</v>
      </c>
      <c r="BF47" s="7">
        <v>753.4</v>
      </c>
    </row>
    <row r="48" spans="2:146" x14ac:dyDescent="0.3">
      <c r="B48" s="1" t="s">
        <v>55</v>
      </c>
      <c r="P48" s="8">
        <f t="shared" ref="P48:W48" si="98">P46/P47</f>
        <v>-0.24607762180016515</v>
      </c>
      <c r="Q48" s="8">
        <f t="shared" si="98"/>
        <v>-2.6943346508563897</v>
      </c>
      <c r="R48" s="8">
        <f t="shared" si="98"/>
        <v>-3.7735849056603772E-2</v>
      </c>
      <c r="S48" s="8">
        <f t="shared" si="98"/>
        <v>-0.63468755098711049</v>
      </c>
      <c r="T48" s="8">
        <f t="shared" si="98"/>
        <v>-2.3337658125202725</v>
      </c>
      <c r="U48" s="8">
        <f t="shared" si="98"/>
        <v>-9.9709114414996769</v>
      </c>
      <c r="V48" s="8">
        <f t="shared" si="98"/>
        <v>-5.4630274335050828</v>
      </c>
      <c r="W48" s="8">
        <f t="shared" si="98"/>
        <v>-0.16325988850544201</v>
      </c>
      <c r="X48" s="8">
        <f t="shared" ref="X48" si="99">X46/X47</f>
        <v>-0.92513936819750464</v>
      </c>
      <c r="Y48" s="8">
        <f t="shared" ref="Y48" si="100">Y46/Y47</f>
        <v>-7.1993628882399792</v>
      </c>
      <c r="Z48" s="8">
        <f t="shared" ref="Z48" si="101">Z46/Z47</f>
        <v>-0.43364417971860825</v>
      </c>
      <c r="AD48" s="8">
        <f t="shared" ref="AD48:AE48" si="102">AD46/AD47</f>
        <v>5.4074860631802499</v>
      </c>
      <c r="AE48" s="8">
        <f t="shared" si="102"/>
        <v>3.5465887974515531</v>
      </c>
      <c r="AF48" s="8">
        <f t="shared" ref="AF48:AG48" si="103">AF46/AF47</f>
        <v>1.7414388107247147</v>
      </c>
      <c r="AG48" s="8">
        <f t="shared" si="103"/>
        <v>4.3894345633129817</v>
      </c>
      <c r="AH48" s="8">
        <f t="shared" ref="AH48:AI48" si="104">AH46/AH47</f>
        <v>5.3331563578444383</v>
      </c>
      <c r="AI48" s="8">
        <f t="shared" si="104"/>
        <v>5.1765330501725515</v>
      </c>
      <c r="AJ48" s="8">
        <f t="shared" ref="AJ48" si="105">AJ46/AJ47</f>
        <v>6.085744624369525</v>
      </c>
      <c r="AK48" s="8">
        <f t="shared" ref="AK48:AL48" si="106">AK46/AK47</f>
        <v>7.2285638439076187</v>
      </c>
      <c r="AL48" s="8">
        <f t="shared" si="106"/>
        <v>6.8701884788956731</v>
      </c>
      <c r="AM48" s="8">
        <f t="shared" ref="AM48:BF48" si="107">AM46/AM47</f>
        <v>6.681709583222724</v>
      </c>
      <c r="AN48" s="8">
        <f t="shared" si="107"/>
        <v>11.226440138040882</v>
      </c>
      <c r="AO48" s="8">
        <f t="shared" si="107"/>
        <v>13.883727103796124</v>
      </c>
      <c r="AP48" s="8">
        <f t="shared" si="107"/>
        <v>-0.84417308202813912</v>
      </c>
      <c r="AQ48" s="8">
        <f t="shared" si="107"/>
        <v>-15.759224847358642</v>
      </c>
      <c r="AR48" s="8">
        <f t="shared" si="107"/>
        <v>-5.5773825325192465</v>
      </c>
      <c r="AS48" s="8">
        <f t="shared" si="107"/>
        <v>-6.5503052827183437</v>
      </c>
      <c r="AT48" s="8">
        <f t="shared" si="107"/>
        <v>-2.9492965224316432</v>
      </c>
      <c r="AU48" s="8">
        <f t="shared" si="107"/>
        <v>-15.761879479692062</v>
      </c>
      <c r="AV48" s="8">
        <f t="shared" si="107"/>
        <v>-8.7214063246615545</v>
      </c>
      <c r="AW48" s="8">
        <f t="shared" si="107"/>
        <v>-4.1578944783652184E-2</v>
      </c>
      <c r="AX48" s="8">
        <f t="shared" si="107"/>
        <v>4.0230952891823728</v>
      </c>
      <c r="AY48" s="8">
        <f t="shared" si="107"/>
        <v>6.9733251443178954</v>
      </c>
      <c r="AZ48" s="8">
        <f t="shared" si="107"/>
        <v>8.794555040463969</v>
      </c>
      <c r="BA48" s="8">
        <f t="shared" si="107"/>
        <v>10.578701630334741</v>
      </c>
      <c r="BB48" s="8">
        <f t="shared" si="107"/>
        <v>12.233683058499143</v>
      </c>
      <c r="BC48" s="8">
        <f t="shared" si="107"/>
        <v>13.949419841346181</v>
      </c>
      <c r="BD48" s="8">
        <f t="shared" si="107"/>
        <v>14.416243120666389</v>
      </c>
      <c r="BE48" s="8">
        <f t="shared" si="107"/>
        <v>14.894935350100068</v>
      </c>
      <c r="BF48" s="8">
        <f t="shared" si="107"/>
        <v>15.385778857565848</v>
      </c>
    </row>
    <row r="50" spans="2:61" x14ac:dyDescent="0.3">
      <c r="B50" s="1" t="s">
        <v>68</v>
      </c>
      <c r="T50" s="10"/>
      <c r="U50" s="10"/>
      <c r="V50" s="10">
        <f>V25/R25-1</f>
        <v>2.1934082411403377E-3</v>
      </c>
      <c r="W50" s="10" t="e">
        <f>W25/S25-1</f>
        <v>#DIV/0!</v>
      </c>
      <c r="X50" s="10">
        <f>X25/T25-1</f>
        <v>0.19900983573508269</v>
      </c>
      <c r="Y50" s="10">
        <f>Y25/U25-1</f>
        <v>0.24520429610447603</v>
      </c>
      <c r="AD50" s="10"/>
      <c r="AE50" s="10">
        <f t="shared" ref="AE50:AH50" si="108">AE25/AD25-1</f>
        <v>9.0569900728707964E-2</v>
      </c>
      <c r="AF50" s="10">
        <f t="shared" si="108"/>
        <v>-8.4480948558018909E-2</v>
      </c>
      <c r="AG50" s="10">
        <f t="shared" si="108"/>
        <v>2.5143338954468852E-2</v>
      </c>
      <c r="AH50" s="10">
        <f t="shared" si="108"/>
        <v>0.11745817637479239</v>
      </c>
      <c r="AI50" s="10">
        <f t="shared" ref="AI50:AU50" si="109">AI25/AH25-1</f>
        <v>9.6267705361585465E-2</v>
      </c>
      <c r="AJ50" s="10">
        <f t="shared" si="109"/>
        <v>0.13510225456889269</v>
      </c>
      <c r="AK50" s="10">
        <f t="shared" si="109"/>
        <v>0.15244131821956608</v>
      </c>
      <c r="AL50" s="10">
        <f t="shared" si="109"/>
        <v>-2.1550343672242622E-2</v>
      </c>
      <c r="AM50" s="10">
        <f t="shared" si="109"/>
        <v>-6.5107691016481617E-3</v>
      </c>
      <c r="AN50" s="10">
        <f t="shared" si="109"/>
        <v>2.4245393797572845E-3</v>
      </c>
      <c r="AO50" s="10">
        <f t="shared" si="109"/>
        <v>3.3374768245407083E-2</v>
      </c>
      <c r="AP50" s="10">
        <f t="shared" si="109"/>
        <v>-5.520499265007206E-2</v>
      </c>
      <c r="AQ50" s="10">
        <f t="shared" si="109"/>
        <v>-0.2157944255983979</v>
      </c>
      <c r="AR50" s="10">
        <f t="shared" si="109"/>
        <v>3.8786034275902326E-2</v>
      </c>
      <c r="AS50" s="10">
        <f t="shared" si="109"/>
        <v>7.1210784664330173E-2</v>
      </c>
      <c r="AT50" s="10">
        <f t="shared" si="109"/>
        <v>0.28639822345758081</v>
      </c>
      <c r="AU50" s="10">
        <f t="shared" si="109"/>
        <v>2.1934082411403377E-3</v>
      </c>
      <c r="AV50" s="10">
        <f>AV25/AU25-1</f>
        <v>0.21934414657725543</v>
      </c>
    </row>
    <row r="51" spans="2:61" x14ac:dyDescent="0.3">
      <c r="B51" s="1" t="s">
        <v>64</v>
      </c>
      <c r="S51" s="10"/>
      <c r="T51" s="10">
        <f>T27/P27-1</f>
        <v>-0.18954875052436027</v>
      </c>
      <c r="U51" s="10">
        <f>U27/Q27-1</f>
        <v>-3.4926958831341337E-2</v>
      </c>
      <c r="V51" s="10">
        <f>V27/R27-1</f>
        <v>-0.37098308668076108</v>
      </c>
      <c r="W51" s="10">
        <f>W27/S27-1</f>
        <v>0.21698824238769965</v>
      </c>
      <c r="X51" s="10">
        <f t="shared" ref="X51:Y53" si="110">X27/T27-1</f>
        <v>0.41393078970718733</v>
      </c>
      <c r="Y51" s="10">
        <f t="shared" si="110"/>
        <v>0.35145176826751068</v>
      </c>
      <c r="Z51" s="10">
        <f t="shared" ref="Z51:Z53" si="111">Z27/V27-1</f>
        <v>0.7</v>
      </c>
      <c r="AD51" s="10"/>
      <c r="AE51" s="10">
        <f t="shared" ref="AE51:AE53" si="112">AE27/AD27-1</f>
        <v>-0.12040526564882825</v>
      </c>
      <c r="AF51" s="10">
        <f t="shared" ref="AF51:AF53" si="113">AF27/AE27-1</f>
        <v>0.13654842566759662</v>
      </c>
      <c r="AG51" s="10">
        <f t="shared" ref="AG51:AG53" si="114">AG27/AF27-1</f>
        <v>-7.7956235096086401E-2</v>
      </c>
      <c r="AH51" s="10">
        <f t="shared" ref="AH51:AH53" si="115">AH27/AG27-1</f>
        <v>9.1564294679192137E-2</v>
      </c>
      <c r="AI51" s="10">
        <f t="shared" ref="AI51:AI53" si="116">AI27/AH27-1</f>
        <v>0.24098883294716122</v>
      </c>
      <c r="AJ51" s="10">
        <f t="shared" ref="AJ51:AJ53" si="117">AJ27/AI27-1</f>
        <v>7.8024538843810554E-2</v>
      </c>
      <c r="AK51" s="10">
        <f t="shared" ref="AK51:AK53" si="118">AK27/AJ27-1</f>
        <v>5.0734451505365152E-2</v>
      </c>
      <c r="AL51" s="10">
        <f t="shared" ref="AL51:AL53" si="119">AL27/AK27-1</f>
        <v>5.6600733690263638E-2</v>
      </c>
      <c r="AM51" s="10">
        <f t="shared" ref="AM51:AM53" si="120">AM27/AL27-1</f>
        <v>-2.4127617148554381E-2</v>
      </c>
      <c r="AN51" s="10">
        <f t="shared" ref="AN51:AP51" si="121">AN27/AM27-1</f>
        <v>6.514579677395993E-3</v>
      </c>
      <c r="AO51" s="10">
        <f t="shared" si="121"/>
        <v>7.7489849534272848E-2</v>
      </c>
      <c r="AP51" s="10">
        <f t="shared" si="121"/>
        <v>-0.26748606323909163</v>
      </c>
      <c r="AQ51" s="10">
        <f t="shared" ref="AQ51:AS51" si="122">AQ27/AP27-1</f>
        <v>-0.28674312343026598</v>
      </c>
      <c r="AR51" s="10">
        <f t="shared" si="122"/>
        <v>9.0025879258410768E-2</v>
      </c>
      <c r="AS51" s="10">
        <f t="shared" si="122"/>
        <v>8.7708714435838608E-2</v>
      </c>
      <c r="AT51" s="10">
        <f t="shared" ref="AT51" si="123">AT27/AS27-1</f>
        <v>0.17333118637396461</v>
      </c>
      <c r="AU51" s="10">
        <f t="shared" ref="AU51:BF51" si="124">AU27/AT27-1</f>
        <v>-0.18837773135511815</v>
      </c>
      <c r="AV51" s="10">
        <f t="shared" si="124"/>
        <v>0.41174028218761149</v>
      </c>
      <c r="AW51" s="10">
        <f t="shared" si="124"/>
        <v>0.19999999999999996</v>
      </c>
      <c r="AX51" s="10">
        <f t="shared" si="124"/>
        <v>8.0000000000000071E-2</v>
      </c>
      <c r="AY51" s="10">
        <f t="shared" si="124"/>
        <v>5.0000000000000044E-2</v>
      </c>
      <c r="AZ51" s="10">
        <f t="shared" si="124"/>
        <v>4.0000000000000036E-2</v>
      </c>
      <c r="BA51" s="10">
        <f t="shared" si="124"/>
        <v>3.0000000000000027E-2</v>
      </c>
      <c r="BB51" s="10">
        <f t="shared" si="124"/>
        <v>2.0000000000000018E-2</v>
      </c>
      <c r="BC51" s="10">
        <f t="shared" si="124"/>
        <v>2.0000000000000018E-2</v>
      </c>
      <c r="BD51" s="10">
        <f t="shared" si="124"/>
        <v>2.0000000000000018E-2</v>
      </c>
      <c r="BE51" s="10">
        <f t="shared" si="124"/>
        <v>2.0000000000000018E-2</v>
      </c>
      <c r="BF51" s="10">
        <f t="shared" si="124"/>
        <v>2.0000000000000018E-2</v>
      </c>
    </row>
    <row r="52" spans="2:61" x14ac:dyDescent="0.3">
      <c r="B52" s="1" t="s">
        <v>65</v>
      </c>
      <c r="S52" s="10"/>
      <c r="T52" s="10">
        <f t="shared" ref="T52:W53" si="125">T28/P28-1</f>
        <v>9.0731070496083532E-2</v>
      </c>
      <c r="U52" s="10">
        <f t="shared" si="125"/>
        <v>8.6070959264126223E-2</v>
      </c>
      <c r="V52" s="10">
        <f t="shared" si="125"/>
        <v>7.8437701743059973E-2</v>
      </c>
      <c r="W52" s="10">
        <f t="shared" si="125"/>
        <v>1.4541048167222126E-2</v>
      </c>
      <c r="X52" s="10">
        <f t="shared" si="110"/>
        <v>8.5278276481149051E-2</v>
      </c>
      <c r="Y52" s="10">
        <f t="shared" si="110"/>
        <v>9.7398669086509404E-2</v>
      </c>
      <c r="Z52" s="10">
        <f t="shared" si="111"/>
        <v>0.1100000000000001</v>
      </c>
      <c r="AD52" s="10"/>
      <c r="AE52" s="10">
        <f t="shared" si="112"/>
        <v>0.14896123366887992</v>
      </c>
      <c r="AF52" s="10">
        <f t="shared" si="113"/>
        <v>4.846677229937546E-2</v>
      </c>
      <c r="AG52" s="10">
        <f t="shared" si="114"/>
        <v>4.1870388478975951E-2</v>
      </c>
      <c r="AH52" s="10">
        <f t="shared" si="115"/>
        <v>-3.293515358361776E-2</v>
      </c>
      <c r="AI52" s="10">
        <f t="shared" si="116"/>
        <v>-7.6760190577024878E-2</v>
      </c>
      <c r="AJ52" s="10">
        <f t="shared" si="117"/>
        <v>-6.0493119266055051E-2</v>
      </c>
      <c r="AK52" s="10">
        <f t="shared" si="118"/>
        <v>2.471772963075991E-2</v>
      </c>
      <c r="AL52" s="10">
        <f t="shared" si="119"/>
        <v>7.7923367083581496E-2</v>
      </c>
      <c r="AM52" s="10">
        <f t="shared" si="120"/>
        <v>-5.1662215673634826E-2</v>
      </c>
      <c r="AN52" s="10">
        <f t="shared" ref="AN52:AP52" si="126">AN28/AM28-1</f>
        <v>-3.2045057292677814E-3</v>
      </c>
      <c r="AO52" s="10">
        <f t="shared" si="126"/>
        <v>6.1665854846566059E-2</v>
      </c>
      <c r="AP52" s="10">
        <f t="shared" si="126"/>
        <v>-3.9732060928610702E-2</v>
      </c>
      <c r="AQ52" s="10">
        <f t="shared" ref="AQ52:AS52" si="127">AQ28/AP28-1</f>
        <v>5.2651696129957015E-2</v>
      </c>
      <c r="AR52" s="10">
        <f t="shared" si="127"/>
        <v>-1.0530137981118348E-2</v>
      </c>
      <c r="AS52" s="10">
        <f t="shared" si="127"/>
        <v>-1.6972477064220226E-2</v>
      </c>
      <c r="AT52" s="10">
        <f t="shared" ref="AT52:AU53" si="128">AT28/AS28-1</f>
        <v>0.1398040130657956</v>
      </c>
      <c r="AU52" s="10">
        <f t="shared" si="128"/>
        <v>8.8184721198722782E-2</v>
      </c>
      <c r="AV52" s="10">
        <f t="shared" ref="AV52:BF52" si="129">AV28/AU28-1</f>
        <v>7.6938299473288119E-2</v>
      </c>
      <c r="AW52" s="10">
        <f t="shared" si="129"/>
        <v>5.0000000000000044E-2</v>
      </c>
      <c r="AX52" s="10">
        <f t="shared" si="129"/>
        <v>4.0000000000000036E-2</v>
      </c>
      <c r="AY52" s="10">
        <f t="shared" si="129"/>
        <v>3.0000000000000027E-2</v>
      </c>
      <c r="AZ52" s="10">
        <f t="shared" si="129"/>
        <v>3.0000000000000027E-2</v>
      </c>
      <c r="BA52" s="10">
        <f t="shared" si="129"/>
        <v>3.0000000000000027E-2</v>
      </c>
      <c r="BB52" s="10">
        <f t="shared" si="129"/>
        <v>3.0000000000000027E-2</v>
      </c>
      <c r="BC52" s="10">
        <f t="shared" si="129"/>
        <v>3.0000000000000027E-2</v>
      </c>
      <c r="BD52" s="10">
        <f t="shared" si="129"/>
        <v>3.0000000000000027E-2</v>
      </c>
      <c r="BE52" s="10">
        <f t="shared" si="129"/>
        <v>3.0000000000000027E-2</v>
      </c>
      <c r="BF52" s="10">
        <f t="shared" si="129"/>
        <v>3.0000000000000027E-2</v>
      </c>
      <c r="BH52" s="1" t="s">
        <v>70</v>
      </c>
      <c r="BI52" s="10">
        <v>-0.01</v>
      </c>
    </row>
    <row r="53" spans="2:61" s="3" customFormat="1" x14ac:dyDescent="0.3">
      <c r="B53" s="3" t="s">
        <v>56</v>
      </c>
      <c r="S53" s="11"/>
      <c r="T53" s="11">
        <f t="shared" si="125"/>
        <v>-0.14606855349096248</v>
      </c>
      <c r="U53" s="11">
        <f t="shared" si="125"/>
        <v>-1.4582412726469318E-2</v>
      </c>
      <c r="V53" s="11">
        <f t="shared" si="125"/>
        <v>-0.30774820601326192</v>
      </c>
      <c r="W53" s="11">
        <f t="shared" si="125"/>
        <v>0.17665519946888764</v>
      </c>
      <c r="X53" s="11">
        <f t="shared" si="110"/>
        <v>0.3488082532906438</v>
      </c>
      <c r="Y53" s="11">
        <f t="shared" si="110"/>
        <v>0.30437219730941711</v>
      </c>
      <c r="Z53" s="11">
        <f t="shared" si="111"/>
        <v>0.57067379608975188</v>
      </c>
      <c r="AD53" s="11"/>
      <c r="AE53" s="11">
        <f t="shared" si="112"/>
        <v>-8.2516155271363356E-2</v>
      </c>
      <c r="AF53" s="11">
        <f t="shared" si="113"/>
        <v>0.12103301646718867</v>
      </c>
      <c r="AG53" s="11">
        <f t="shared" si="114"/>
        <v>-5.8215316120150518E-2</v>
      </c>
      <c r="AH53" s="11">
        <f t="shared" si="115"/>
        <v>6.8873822038379107E-2</v>
      </c>
      <c r="AI53" s="11">
        <f t="shared" si="116"/>
        <v>0.18859387502727865</v>
      </c>
      <c r="AJ53" s="11">
        <f t="shared" si="117"/>
        <v>6.0282993463732337E-2</v>
      </c>
      <c r="AK53" s="11">
        <f t="shared" si="118"/>
        <v>4.778176696720271E-2</v>
      </c>
      <c r="AL53" s="11">
        <f t="shared" si="119"/>
        <v>5.8967409268195992E-2</v>
      </c>
      <c r="AM53" s="11">
        <f t="shared" si="120"/>
        <v>-2.7238487629273611E-2</v>
      </c>
      <c r="AN53" s="11">
        <f t="shared" ref="AN53:AP53" si="130">AN29/AM29-1</f>
        <v>5.4440831693334246E-3</v>
      </c>
      <c r="AO53" s="11">
        <f t="shared" si="130"/>
        <v>7.5761927557044917E-2</v>
      </c>
      <c r="AP53" s="11">
        <f t="shared" si="130"/>
        <v>-0.24294204317343537</v>
      </c>
      <c r="AQ53" s="11">
        <f t="shared" ref="AQ53:AS53" si="131">AQ29/AP29-1</f>
        <v>-0.24035057929178805</v>
      </c>
      <c r="AR53" s="11">
        <f t="shared" si="131"/>
        <v>7.0979057051480554E-2</v>
      </c>
      <c r="AS53" s="11">
        <f t="shared" si="131"/>
        <v>6.9389589956009301E-2</v>
      </c>
      <c r="AT53" s="11">
        <f t="shared" si="128"/>
        <v>0.16793778525102088</v>
      </c>
      <c r="AU53" s="11">
        <f t="shared" si="128"/>
        <v>-0.14495976553461709</v>
      </c>
      <c r="AV53" s="11">
        <f t="shared" ref="AV53:BF53" si="132">AV29/AU29-1</f>
        <v>0.34484733226092557</v>
      </c>
      <c r="AW53" s="11">
        <f t="shared" si="132"/>
        <v>0.17600054261792031</v>
      </c>
      <c r="AX53" s="11">
        <f t="shared" si="132"/>
        <v>7.4285846117023713E-2</v>
      </c>
      <c r="AY53" s="11">
        <f t="shared" si="132"/>
        <v>4.7234106704572731E-2</v>
      </c>
      <c r="AZ53" s="11">
        <f t="shared" si="132"/>
        <v>3.8639812208153268E-2</v>
      </c>
      <c r="BA53" s="11">
        <f t="shared" si="132"/>
        <v>3.0000000000000027E-2</v>
      </c>
      <c r="BB53" s="11">
        <f t="shared" si="132"/>
        <v>2.1348873217774678E-2</v>
      </c>
      <c r="BC53" s="11">
        <f t="shared" si="132"/>
        <v>2.1360298572544512E-2</v>
      </c>
      <c r="BD53" s="11">
        <f t="shared" si="132"/>
        <v>2.1371805357696783E-2</v>
      </c>
      <c r="BE53" s="11">
        <f t="shared" si="132"/>
        <v>2.1383393893404934E-2</v>
      </c>
      <c r="BF53" s="11">
        <f t="shared" si="132"/>
        <v>2.139506449657036E-2</v>
      </c>
      <c r="BH53" s="1" t="s">
        <v>71</v>
      </c>
      <c r="BI53" s="10">
        <v>0.06</v>
      </c>
    </row>
    <row r="54" spans="2:61" x14ac:dyDescent="0.3">
      <c r="B54" s="1" t="s">
        <v>58</v>
      </c>
      <c r="P54" s="10">
        <f t="shared" ref="P54:S54" si="133">(P27-P30)/P27</f>
        <v>9.3725654701264455E-2</v>
      </c>
      <c r="Q54" s="10">
        <f t="shared" si="133"/>
        <v>3.9575033200531205E-2</v>
      </c>
      <c r="R54" s="10">
        <f t="shared" si="133"/>
        <v>0.1160676532769556</v>
      </c>
      <c r="S54" s="10">
        <f t="shared" si="133"/>
        <v>9.0744648779017181E-2</v>
      </c>
      <c r="T54" s="10">
        <f t="shared" ref="T54:W55" si="134">(T27-T30)/T27</f>
        <v>4.5622596864832887E-2</v>
      </c>
      <c r="U54" s="10">
        <f t="shared" si="134"/>
        <v>-0.26689142699876151</v>
      </c>
      <c r="V54" s="10">
        <f t="shared" si="134"/>
        <v>-0.17721199899168136</v>
      </c>
      <c r="W54" s="10">
        <f t="shared" si="134"/>
        <v>0.10949402365764538</v>
      </c>
      <c r="X54" s="10">
        <f t="shared" ref="X54:Y54" si="135">(X27-X30)/X27</f>
        <v>8.9739566990900535E-2</v>
      </c>
      <c r="Y54" s="10">
        <f t="shared" si="135"/>
        <v>-0.15757051216780368</v>
      </c>
      <c r="Z54" s="10">
        <f t="shared" ref="Z54" si="136">(Z27-Z30)/Z27</f>
        <v>0.11000000000000004</v>
      </c>
      <c r="AD54" s="10">
        <f t="shared" ref="AD54:AH54" si="137">(AD27-AD30)/AD27</f>
        <v>0.2046311065925783</v>
      </c>
      <c r="AE54" s="10">
        <f t="shared" si="137"/>
        <v>0.16974890394579514</v>
      </c>
      <c r="AF54" s="10">
        <f t="shared" si="137"/>
        <v>0.16469701220367514</v>
      </c>
      <c r="AG54" s="10">
        <f t="shared" si="137"/>
        <v>0.19761913817365839</v>
      </c>
      <c r="AH54" s="10">
        <f t="shared" si="137"/>
        <v>0.18743575895890316</v>
      </c>
      <c r="AI54" s="10">
        <f t="shared" ref="AI54" si="138">(AI27-AI30)/AI27</f>
        <v>0.15336777381587444</v>
      </c>
      <c r="AJ54" s="10">
        <f t="shared" ref="AJ54:AM54" si="139">(AJ27-AJ30)/AJ27</f>
        <v>0.14522346077716428</v>
      </c>
      <c r="AK54" s="10">
        <f t="shared" si="139"/>
        <v>0.15041889748165774</v>
      </c>
      <c r="AL54" s="10">
        <f t="shared" si="139"/>
        <v>0.13851387015424316</v>
      </c>
      <c r="AM54" s="10">
        <f t="shared" si="139"/>
        <v>0.14645784754441213</v>
      </c>
      <c r="AN54" s="10">
        <f t="shared" ref="AN54:AP54" si="140">(AN27-AN30)/AN27</f>
        <v>0.17746596608550275</v>
      </c>
      <c r="AO54" s="10">
        <f t="shared" si="140"/>
        <v>0.19181194516175509</v>
      </c>
      <c r="AP54" s="10">
        <f t="shared" si="140"/>
        <v>4.8673101945713677E-2</v>
      </c>
      <c r="AQ54" s="10">
        <f t="shared" ref="AQ54:AS54" si="141">(AQ27-AQ30)/AQ27</f>
        <v>-0.15752407619532477</v>
      </c>
      <c r="AR54" s="10">
        <f t="shared" si="141"/>
        <v>2.7867512552056981E-2</v>
      </c>
      <c r="AS54" s="10">
        <f t="shared" si="141"/>
        <v>3.4422915212996258E-2</v>
      </c>
      <c r="AT54" s="10">
        <f t="shared" ref="AT54" si="142">(AT27-AT30)/AT27</f>
        <v>8.7174638996050685E-2</v>
      </c>
      <c r="AU54" s="10">
        <f t="shared" ref="AU54:BF54" si="143">(AU27-AU30)/AU27</f>
        <v>-7.8287335374903719E-2</v>
      </c>
      <c r="AV54" s="10">
        <f t="shared" si="143"/>
        <v>3.479362599427481E-2</v>
      </c>
      <c r="AW54" s="10">
        <f t="shared" si="143"/>
        <v>9.9999999999999964E-2</v>
      </c>
      <c r="AX54" s="10">
        <f t="shared" si="143"/>
        <v>0.13000000000000006</v>
      </c>
      <c r="AY54" s="10">
        <f t="shared" si="143"/>
        <v>0.15</v>
      </c>
      <c r="AZ54" s="10">
        <f t="shared" si="143"/>
        <v>0.15999999999999998</v>
      </c>
      <c r="BA54" s="10">
        <f t="shared" si="143"/>
        <v>0.17000000000000007</v>
      </c>
      <c r="BB54" s="10">
        <f t="shared" si="143"/>
        <v>0.1800000000000001</v>
      </c>
      <c r="BC54" s="10">
        <f t="shared" si="143"/>
        <v>0.18999999999999989</v>
      </c>
      <c r="BD54" s="10">
        <f t="shared" si="143"/>
        <v>0.19</v>
      </c>
      <c r="BE54" s="10">
        <f t="shared" si="143"/>
        <v>0.18999999999999995</v>
      </c>
      <c r="BF54" s="10">
        <f t="shared" si="143"/>
        <v>0.18999999999999997</v>
      </c>
      <c r="BH54" s="1" t="s">
        <v>72</v>
      </c>
      <c r="BI54" s="7">
        <f>NPV(BI53,AV46:EP46)</f>
        <v>128723.70094400243</v>
      </c>
    </row>
    <row r="55" spans="2:61" x14ac:dyDescent="0.3">
      <c r="B55" s="1" t="s">
        <v>59</v>
      </c>
      <c r="P55" s="10">
        <f t="shared" ref="P55:S55" si="144">(P28-P31)/P28</f>
        <v>0.12238903394255875</v>
      </c>
      <c r="Q55" s="10">
        <f t="shared" si="144"/>
        <v>0.18692509855453351</v>
      </c>
      <c r="R55" s="10">
        <f t="shared" si="144"/>
        <v>0.1617172369270497</v>
      </c>
      <c r="S55" s="10">
        <f t="shared" si="144"/>
        <v>0.20357467434110876</v>
      </c>
      <c r="T55" s="10">
        <f t="shared" si="134"/>
        <v>0.18312387791741472</v>
      </c>
      <c r="U55" s="10">
        <f t="shared" si="134"/>
        <v>0.11252268602540835</v>
      </c>
      <c r="V55" s="10">
        <f t="shared" si="134"/>
        <v>0.1556420233463035</v>
      </c>
      <c r="W55" s="10">
        <f t="shared" si="134"/>
        <v>0.19378919080322485</v>
      </c>
      <c r="X55" s="10">
        <f t="shared" ref="X55:Y55" si="145">(X28-X31)/X28</f>
        <v>0.19823545629997244</v>
      </c>
      <c r="Y55" s="10">
        <f t="shared" si="145"/>
        <v>0.19845644983461963</v>
      </c>
      <c r="Z55" s="10">
        <f t="shared" ref="Z55" si="146">(Z28-Z31)/Z28</f>
        <v>0.14999999999999997</v>
      </c>
      <c r="AD55" s="10">
        <f t="shared" ref="AD55:AH55" si="147">(AD28-AD31)/AD28</f>
        <v>0.14039408866995073</v>
      </c>
      <c r="AE55" s="10">
        <f t="shared" si="147"/>
        <v>0.19004567061235902</v>
      </c>
      <c r="AF55" s="10">
        <f t="shared" si="147"/>
        <v>0.20872966485909858</v>
      </c>
      <c r="AG55" s="10">
        <f t="shared" si="147"/>
        <v>0.17670648464163821</v>
      </c>
      <c r="AH55" s="10">
        <f t="shared" si="147"/>
        <v>0.1860772895712017</v>
      </c>
      <c r="AI55" s="10">
        <f t="shared" ref="AI55" si="148">(AI28-AI31)/AI28</f>
        <v>0.20345948012232415</v>
      </c>
      <c r="AJ55" s="10">
        <f t="shared" ref="AJ55:AM55" si="149">(AJ28-AJ31)/AJ28</f>
        <v>0.22408707150849355</v>
      </c>
      <c r="AK55" s="10">
        <f t="shared" si="149"/>
        <v>0.1859241612070677</v>
      </c>
      <c r="AL55" s="10">
        <f t="shared" si="149"/>
        <v>0.20416244589741228</v>
      </c>
      <c r="AM55" s="10">
        <f t="shared" si="149"/>
        <v>0.22188774519324139</v>
      </c>
      <c r="AN55" s="10">
        <f t="shared" ref="AN55:AP55" si="150">(AN28-AN31)/AN28</f>
        <v>0.24666341938626402</v>
      </c>
      <c r="AO55" s="10">
        <f t="shared" si="150"/>
        <v>0.21380069737566526</v>
      </c>
      <c r="AP55" s="10">
        <f t="shared" si="150"/>
        <v>0.11935021500238892</v>
      </c>
      <c r="AQ55" s="10">
        <f t="shared" ref="AQ55:AS55" si="151">(AQ28-AQ31)/AQ28</f>
        <v>0.15804284676833696</v>
      </c>
      <c r="AR55" s="10">
        <f t="shared" si="151"/>
        <v>0.14541284403669724</v>
      </c>
      <c r="AS55" s="10">
        <f t="shared" si="151"/>
        <v>0.14988334111059262</v>
      </c>
      <c r="AT55" s="10">
        <f t="shared" ref="AT55" si="152">(AT28-AT31)/AT28</f>
        <v>0.1643330876934414</v>
      </c>
      <c r="AU55" s="10">
        <f t="shared" ref="AU55:BF55" si="153">(AU28-AU31)/AU28</f>
        <v>0.16373212942061702</v>
      </c>
      <c r="AV55" s="10">
        <f t="shared" si="153"/>
        <v>0.18475281414650541</v>
      </c>
      <c r="AW55" s="10">
        <f t="shared" si="153"/>
        <v>0.16000000000000009</v>
      </c>
      <c r="AX55" s="10">
        <f t="shared" si="153"/>
        <v>0.16</v>
      </c>
      <c r="AY55" s="10">
        <f t="shared" si="153"/>
        <v>0.16</v>
      </c>
      <c r="AZ55" s="10">
        <f t="shared" si="153"/>
        <v>0.16000000000000009</v>
      </c>
      <c r="BA55" s="10">
        <f t="shared" si="153"/>
        <v>0.16000000000000009</v>
      </c>
      <c r="BB55" s="10">
        <f t="shared" si="153"/>
        <v>0.15999999999999998</v>
      </c>
      <c r="BC55" s="10">
        <f t="shared" si="153"/>
        <v>0.15999999999999998</v>
      </c>
      <c r="BD55" s="10">
        <f t="shared" si="153"/>
        <v>0.16000000000000006</v>
      </c>
      <c r="BE55" s="10">
        <f t="shared" si="153"/>
        <v>0.16000000000000006</v>
      </c>
      <c r="BF55" s="10">
        <f t="shared" si="153"/>
        <v>0.15999999999999995</v>
      </c>
      <c r="BH55" s="1" t="s">
        <v>73</v>
      </c>
      <c r="BI55" s="7">
        <f>Main!D8</f>
        <v>-29319</v>
      </c>
    </row>
    <row r="56" spans="2:61" x14ac:dyDescent="0.3">
      <c r="B56" s="1" t="s">
        <v>57</v>
      </c>
      <c r="P56" s="10">
        <f t="shared" ref="P56:S56" si="154">P33/P29</f>
        <v>9.8172244443319331E-2</v>
      </c>
      <c r="Q56" s="10">
        <f t="shared" si="154"/>
        <v>6.4350419796730007E-2</v>
      </c>
      <c r="R56" s="10">
        <f t="shared" si="154"/>
        <v>0.12249068943591607</v>
      </c>
      <c r="S56" s="10">
        <f t="shared" si="154"/>
        <v>0.11322348964934516</v>
      </c>
      <c r="T56" s="10">
        <f>T33/T29</f>
        <v>7.2868492825803391E-2</v>
      </c>
      <c r="U56" s="10">
        <f>U33/U29</f>
        <v>-0.19658071748878925</v>
      </c>
      <c r="V56" s="10">
        <f>V33/V29</f>
        <v>-0.10425141057603989</v>
      </c>
      <c r="W56" s="10">
        <f>W33/W29</f>
        <v>0.12397414854329093</v>
      </c>
      <c r="X56" s="10">
        <f t="shared" ref="X56:Y56" si="155">X33/X29</f>
        <v>0.10703767198558178</v>
      </c>
      <c r="Y56" s="10">
        <f t="shared" si="155"/>
        <v>-0.1020627417275462</v>
      </c>
      <c r="Z56" s="10">
        <f t="shared" ref="Z56" si="156">Z33/Z29</f>
        <v>0.11619628649874003</v>
      </c>
      <c r="AD56" s="10">
        <f t="shared" ref="AD56:AH56" si="157">AD33/AD29</f>
        <v>0.1955955232199075</v>
      </c>
      <c r="AE56" s="10">
        <f t="shared" si="157"/>
        <v>0.17332413928976012</v>
      </c>
      <c r="AF56" s="10">
        <f t="shared" si="157"/>
        <v>0.1719512016519969</v>
      </c>
      <c r="AG56" s="10">
        <f t="shared" si="157"/>
        <v>0.19380773178241534</v>
      </c>
      <c r="AH56" s="10">
        <f t="shared" si="157"/>
        <v>0.18721175529206371</v>
      </c>
      <c r="AI56" s="10">
        <f t="shared" ref="AI56" si="158">AI33/AI29</f>
        <v>0.15978359323361649</v>
      </c>
      <c r="AJ56" s="10">
        <f t="shared" ref="AJ56:AM56" si="159">AJ33/AJ29</f>
        <v>0.15417383373930713</v>
      </c>
      <c r="AK56" s="10">
        <f t="shared" si="159"/>
        <v>0.15435975408210484</v>
      </c>
      <c r="AL56" s="10">
        <f t="shared" si="159"/>
        <v>0.1459308737540837</v>
      </c>
      <c r="AM56" s="10">
        <f t="shared" si="159"/>
        <v>0.1547659792932318</v>
      </c>
      <c r="AN56" s="10">
        <f t="shared" ref="AN56:AP56" si="160">AN33/AN29</f>
        <v>0.18502207329397372</v>
      </c>
      <c r="AO56" s="10">
        <f t="shared" si="160"/>
        <v>0.19418157366479774</v>
      </c>
      <c r="AP56" s="10">
        <f t="shared" si="160"/>
        <v>5.833409527292676E-2</v>
      </c>
      <c r="AQ56" s="10">
        <f t="shared" ref="AQ56:AS56" si="161">AQ33/AQ29</f>
        <v>-9.7750954296915299E-2</v>
      </c>
      <c r="AR56" s="10">
        <f t="shared" si="161"/>
        <v>4.8437851202517417E-2</v>
      </c>
      <c r="AS56" s="10">
        <f t="shared" si="161"/>
        <v>5.2996637040595727E-2</v>
      </c>
      <c r="AT56" s="10">
        <f t="shared" ref="AT56" si="162">AT33/AT29</f>
        <v>9.9287862817183839E-2</v>
      </c>
      <c r="AU56" s="10">
        <f t="shared" ref="AU56:BF56" si="163">AU33/AU29</f>
        <v>-2.9932197784025137E-2</v>
      </c>
      <c r="AV56" s="10">
        <f t="shared" si="163"/>
        <v>5.8786553628346373E-2</v>
      </c>
      <c r="AW56" s="10">
        <f t="shared" si="163"/>
        <v>0.10857123082446433</v>
      </c>
      <c r="AX56" s="10">
        <f t="shared" si="163"/>
        <v>0.13414883994314114</v>
      </c>
      <c r="AY56" s="10">
        <f t="shared" si="163"/>
        <v>0.15136018779184679</v>
      </c>
      <c r="AZ56" s="10">
        <f t="shared" si="163"/>
        <v>0.16000000000000009</v>
      </c>
      <c r="BA56" s="10">
        <f t="shared" si="163"/>
        <v>0.1686511267822253</v>
      </c>
      <c r="BB56" s="10">
        <f t="shared" si="163"/>
        <v>0.17727940285491128</v>
      </c>
      <c r="BC56" s="10">
        <f t="shared" si="163"/>
        <v>0.18588458392690915</v>
      </c>
      <c r="BD56" s="10">
        <f t="shared" si="163"/>
        <v>0.18584981831978506</v>
      </c>
      <c r="BE56" s="10">
        <f t="shared" si="163"/>
        <v>0.18581480651028914</v>
      </c>
      <c r="BF56" s="10">
        <f t="shared" si="163"/>
        <v>0.18577954755780338</v>
      </c>
      <c r="BH56" s="1" t="s">
        <v>74</v>
      </c>
      <c r="BI56" s="7">
        <f>BI54+BI55</f>
        <v>99404.700944002427</v>
      </c>
    </row>
    <row r="57" spans="2:61" x14ac:dyDescent="0.3">
      <c r="B57" s="1" t="s">
        <v>60</v>
      </c>
      <c r="P57" s="10"/>
      <c r="Q57" s="10"/>
      <c r="R57" s="10"/>
      <c r="S57" s="10"/>
      <c r="T57" s="10">
        <f t="shared" ref="T57:W58" si="164">T35/P35-1</f>
        <v>7.0762052877138437E-2</v>
      </c>
      <c r="U57" s="10">
        <f t="shared" si="164"/>
        <v>4.0268456375838868E-2</v>
      </c>
      <c r="V57" s="10">
        <f t="shared" si="164"/>
        <v>-8.9250814332247574E-2</v>
      </c>
      <c r="W57" s="10">
        <f t="shared" si="164"/>
        <v>-4.2204995693367775E-2</v>
      </c>
      <c r="X57" s="10">
        <f t="shared" ref="X57:Y57" si="165">X35/T35-1</f>
        <v>0.30210602759622374</v>
      </c>
      <c r="Y57" s="10">
        <f t="shared" si="165"/>
        <v>0.40276497695852531</v>
      </c>
      <c r="Z57" s="10">
        <f t="shared" ref="Z57:Z58" si="166">Z35/V35-1</f>
        <v>0.35000000000000009</v>
      </c>
      <c r="AD57" s="10"/>
      <c r="AE57" s="10">
        <f t="shared" ref="AE57:AE58" si="167">AE35/AD35-1</f>
        <v>-0.12659303313508918</v>
      </c>
      <c r="AF57" s="10">
        <f t="shared" ref="AF57:AF58" si="168">AF35/AE35-1</f>
        <v>9.0791180285343609E-2</v>
      </c>
      <c r="AG57" s="10">
        <f t="shared" ref="AG57:AG58" si="169">AG35/AF35-1</f>
        <v>8.3234244946492231E-2</v>
      </c>
      <c r="AH57" s="10">
        <f t="shared" ref="AH57:AH58" si="170">AH35/AG35-1</f>
        <v>-6.4763995609220637E-2</v>
      </c>
      <c r="AI57" s="10">
        <f t="shared" ref="AI57:AI58" si="171">AI35/AH35-1</f>
        <v>9.0669014084507005E-2</v>
      </c>
      <c r="AJ57" s="10">
        <f t="shared" ref="AJ57:AJ58" si="172">AJ35/AI35-1</f>
        <v>6.4299165994081253E-2</v>
      </c>
      <c r="AK57" s="10">
        <f t="shared" ref="AK57:AK58" si="173">AK35/AJ35-1</f>
        <v>-4.7775530839231584E-2</v>
      </c>
      <c r="AL57" s="10">
        <f t="shared" ref="AL57:AL58" si="174">AL35/AK35-1</f>
        <v>-6.4242102468808016E-2</v>
      </c>
      <c r="AM57" s="10">
        <f t="shared" ref="AM57:AM58" si="175">AM35/AL35-1</f>
        <v>2.4964539007092279E-2</v>
      </c>
      <c r="AN57" s="10">
        <f t="shared" ref="AN57:AP57" si="176">AN35/AM35-1</f>
        <v>0.13340714088015493</v>
      </c>
      <c r="AO57" s="10">
        <f t="shared" si="176"/>
        <v>0.1152625152625153</v>
      </c>
      <c r="AP57" s="10">
        <f t="shared" si="176"/>
        <v>-0.14407707466608277</v>
      </c>
      <c r="AQ57" s="10">
        <f t="shared" ref="AQ57:AS57" si="177">AQ35/AP35-1</f>
        <v>0.23228447173190081</v>
      </c>
      <c r="AR57" s="10">
        <f t="shared" si="177"/>
        <v>-0.13701473946439691</v>
      </c>
      <c r="AS57" s="10">
        <f t="shared" si="177"/>
        <v>7.216742843396684E-3</v>
      </c>
      <c r="AT57" s="10">
        <f t="shared" ref="AT57" si="178">AT35/AS35-1</f>
        <v>0.23429663243372345</v>
      </c>
      <c r="AU57" s="10">
        <f t="shared" ref="AU57:BF57" si="179">AU35/AT35-1</f>
        <v>-2.8444272445820484E-2</v>
      </c>
      <c r="AV57" s="10">
        <f t="shared" si="179"/>
        <v>0.25757817167894848</v>
      </c>
      <c r="AW57" s="10">
        <f t="shared" si="179"/>
        <v>1.0000000000000009E-2</v>
      </c>
      <c r="AX57" s="10">
        <f t="shared" si="179"/>
        <v>1.0000000000000009E-2</v>
      </c>
      <c r="AY57" s="10">
        <f t="shared" si="179"/>
        <v>1.0000000000000009E-2</v>
      </c>
      <c r="AZ57" s="10">
        <f t="shared" si="179"/>
        <v>1.0000000000000009E-2</v>
      </c>
      <c r="BA57" s="10">
        <f t="shared" si="179"/>
        <v>1.0000000000000009E-2</v>
      </c>
      <c r="BB57" s="10">
        <f t="shared" si="179"/>
        <v>1.0000000000000009E-2</v>
      </c>
      <c r="BC57" s="10">
        <f t="shared" si="179"/>
        <v>1.0000000000000009E-2</v>
      </c>
      <c r="BD57" s="10">
        <f t="shared" si="179"/>
        <v>1.0000000000000009E-2</v>
      </c>
      <c r="BE57" s="10">
        <f t="shared" si="179"/>
        <v>1.0000000000000009E-2</v>
      </c>
      <c r="BF57" s="10">
        <f t="shared" si="179"/>
        <v>1.0000000000000009E-2</v>
      </c>
      <c r="BH57" s="1" t="s">
        <v>75</v>
      </c>
      <c r="BI57" s="5">
        <f>BI56/BF47</f>
        <v>131.94146661003774</v>
      </c>
    </row>
    <row r="58" spans="2:61" x14ac:dyDescent="0.3">
      <c r="B58" s="1" t="s">
        <v>61</v>
      </c>
      <c r="P58" s="10"/>
      <c r="Q58" s="10"/>
      <c r="R58" s="10"/>
      <c r="S58" s="10"/>
      <c r="T58" s="10">
        <f t="shared" si="164"/>
        <v>0.19698870765370136</v>
      </c>
      <c r="U58" s="10">
        <f t="shared" si="164"/>
        <v>0.20459290187891432</v>
      </c>
      <c r="V58" s="10">
        <f t="shared" si="164"/>
        <v>-5.1078320090805929E-2</v>
      </c>
      <c r="W58" s="10">
        <f t="shared" si="164"/>
        <v>-2.7649769585253448E-2</v>
      </c>
      <c r="X58" s="10">
        <f t="shared" ref="X58:Y58" si="180">X36/T36-1</f>
        <v>-4.6121593291404639E-2</v>
      </c>
      <c r="Y58" s="10">
        <f t="shared" si="180"/>
        <v>-0.22270363951473138</v>
      </c>
      <c r="Z58" s="10">
        <f t="shared" si="166"/>
        <v>1.0000000000000009E-2</v>
      </c>
      <c r="AD58" s="10"/>
      <c r="AE58" s="10">
        <f t="shared" si="167"/>
        <v>-2.1298701298701261E-2</v>
      </c>
      <c r="AF58" s="10">
        <f t="shared" si="168"/>
        <v>0.72664543524416136</v>
      </c>
      <c r="AG58" s="10">
        <f t="shared" si="169"/>
        <v>-0.36658469105441127</v>
      </c>
      <c r="AH58" s="10">
        <f t="shared" si="170"/>
        <v>-4.9259888376607663E-2</v>
      </c>
      <c r="AI58" s="10">
        <f t="shared" si="171"/>
        <v>-0.15824400204185807</v>
      </c>
      <c r="AJ58" s="10">
        <f t="shared" si="172"/>
        <v>-6.882959369314734E-2</v>
      </c>
      <c r="AK58" s="10">
        <f t="shared" si="173"/>
        <v>-7.815043959622292E-3</v>
      </c>
      <c r="AL58" s="10">
        <f t="shared" si="174"/>
        <v>9.3206432556613095E-2</v>
      </c>
      <c r="AM58" s="10">
        <f t="shared" si="175"/>
        <v>0.38877214049834885</v>
      </c>
      <c r="AN58" s="10">
        <f t="shared" ref="AN58:AP58" si="181">AN36/AM36-1</f>
        <v>-0.31279723303069606</v>
      </c>
      <c r="AO58" s="10">
        <f t="shared" si="181"/>
        <v>2.8310789556464266E-2</v>
      </c>
      <c r="AP58" s="10">
        <f t="shared" si="181"/>
        <v>-1.5295197308045294E-2</v>
      </c>
      <c r="AQ58" s="10">
        <f t="shared" ref="AQ58:AS58" si="182">AQ36/AP36-1</f>
        <v>-0.23081702392047221</v>
      </c>
      <c r="AR58" s="10">
        <f t="shared" si="182"/>
        <v>-9.1680129240710784E-2</v>
      </c>
      <c r="AS58" s="10">
        <f t="shared" si="182"/>
        <v>0.26811916407292125</v>
      </c>
      <c r="AT58" s="10">
        <f t="shared" ref="AT58" si="183">AT36/AS36-1</f>
        <v>0.18408134642356244</v>
      </c>
      <c r="AU58" s="10">
        <f t="shared" ref="AU58:BF58" si="184">AU36/AT36-1</f>
        <v>0.12881255552265314</v>
      </c>
      <c r="AV58" s="10">
        <f t="shared" si="184"/>
        <v>-8.3064008394543531E-2</v>
      </c>
      <c r="AW58" s="10">
        <f t="shared" si="184"/>
        <v>2.0000000000000018E-2</v>
      </c>
      <c r="AX58" s="10">
        <f t="shared" si="184"/>
        <v>2.0000000000000018E-2</v>
      </c>
      <c r="AY58" s="10">
        <f t="shared" si="184"/>
        <v>2.0000000000000018E-2</v>
      </c>
      <c r="AZ58" s="10">
        <f t="shared" si="184"/>
        <v>2.0000000000000018E-2</v>
      </c>
      <c r="BA58" s="10">
        <f t="shared" si="184"/>
        <v>1.0000000000000009E-2</v>
      </c>
      <c r="BB58" s="10">
        <f t="shared" si="184"/>
        <v>1.0000000000000009E-2</v>
      </c>
      <c r="BC58" s="10">
        <f t="shared" si="184"/>
        <v>1.0000000000000009E-2</v>
      </c>
      <c r="BD58" s="10">
        <f t="shared" si="184"/>
        <v>1.0000000000000009E-2</v>
      </c>
      <c r="BE58" s="10">
        <f t="shared" si="184"/>
        <v>1.0000000000000009E-2</v>
      </c>
      <c r="BF58" s="10">
        <f t="shared" si="184"/>
        <v>1.0000000000000009E-2</v>
      </c>
      <c r="BH58" s="1" t="s">
        <v>76</v>
      </c>
      <c r="BI58" s="5">
        <f>Main!D3</f>
        <v>218.09</v>
      </c>
    </row>
    <row r="59" spans="2:61" x14ac:dyDescent="0.3">
      <c r="B59" s="1" t="s">
        <v>62</v>
      </c>
      <c r="P59" s="10">
        <f t="shared" ref="P59:S59" si="185">P39/P29</f>
        <v>-5.0124044352184696E-3</v>
      </c>
      <c r="Q59" s="10">
        <f t="shared" si="185"/>
        <v>-4.4631020768890854E-2</v>
      </c>
      <c r="R59" s="10">
        <f t="shared" si="185"/>
        <v>1.2853120174402762E-2</v>
      </c>
      <c r="S59" s="10">
        <f t="shared" si="185"/>
        <v>-5.1904158368036692E-3</v>
      </c>
      <c r="T59" s="10">
        <f>T39/T29</f>
        <v>-6.4627060358116925E-2</v>
      </c>
      <c r="U59" s="10">
        <f>U39/U29</f>
        <v>-0.32292600896860985</v>
      </c>
      <c r="V59" s="10">
        <f>V39/V29</f>
        <v>-0.24734286838997507</v>
      </c>
      <c r="W59" s="10">
        <f>W39/W29</f>
        <v>2.364587607714403E-2</v>
      </c>
      <c r="X59" s="10">
        <f t="shared" ref="X59:Y59" si="186">X39/X29</f>
        <v>-7.7366038067607371E-3</v>
      </c>
      <c r="Y59" s="10">
        <f t="shared" si="186"/>
        <v>-0.2054576708207993</v>
      </c>
      <c r="Z59" s="10">
        <f t="shared" ref="Z59" si="187">Z39/Z29</f>
        <v>2.0928596699862126E-3</v>
      </c>
      <c r="AD59" s="10">
        <f t="shared" ref="AD59:AH59" si="188">AD39/AD29</f>
        <v>8.7818398180366644E-2</v>
      </c>
      <c r="AE59" s="10">
        <f t="shared" si="188"/>
        <v>6.4850843060959798E-2</v>
      </c>
      <c r="AF59" s="10">
        <f t="shared" si="188"/>
        <v>3.0696679896310832E-2</v>
      </c>
      <c r="AG59" s="10">
        <f t="shared" si="188"/>
        <v>7.7302273504805147E-2</v>
      </c>
      <c r="AH59" s="10">
        <f t="shared" si="188"/>
        <v>8.50221866589074E-2</v>
      </c>
      <c r="AI59" s="10">
        <f t="shared" ref="AI59" si="189">AI39/AI29</f>
        <v>7.7247913045606992E-2</v>
      </c>
      <c r="AJ59" s="10">
        <f t="shared" ref="AJ59:AM59" si="190">AJ39/AJ29</f>
        <v>7.5753552751578676E-2</v>
      </c>
      <c r="AK59" s="10">
        <f t="shared" si="190"/>
        <v>8.2336220003966412E-2</v>
      </c>
      <c r="AL59" s="10">
        <f t="shared" si="190"/>
        <v>7.7439290842124975E-2</v>
      </c>
      <c r="AM59" s="10">
        <f t="shared" si="190"/>
        <v>6.9810473175323004E-2</v>
      </c>
      <c r="AN59" s="10">
        <f t="shared" ref="AN59:AP59" si="191">AN39/AN29</f>
        <v>0.11003670017552258</v>
      </c>
      <c r="AO59" s="10">
        <f t="shared" si="191"/>
        <v>0.11853412046238888</v>
      </c>
      <c r="AP59" s="10">
        <f t="shared" si="191"/>
        <v>-2.5797097663240117E-2</v>
      </c>
      <c r="AQ59" s="10">
        <f t="shared" ref="AQ59:AS59" si="192">AQ39/AQ29</f>
        <v>-0.21952267959696001</v>
      </c>
      <c r="AR59" s="10">
        <f t="shared" si="192"/>
        <v>-4.6591529396654147E-2</v>
      </c>
      <c r="AS59" s="10">
        <f t="shared" si="192"/>
        <v>-5.2831491712707179E-2</v>
      </c>
      <c r="AT59" s="10">
        <f t="shared" ref="AT59" si="193">AT39/AT29</f>
        <v>-9.9364989587885956E-3</v>
      </c>
      <c r="AU59" s="10">
        <f t="shared" ref="AU59:BF59" si="194">AU39/AU29</f>
        <v>-0.16096636949952645</v>
      </c>
      <c r="AV59" s="10">
        <f t="shared" si="194"/>
        <v>-4.9699693287847783E-2</v>
      </c>
      <c r="AW59" s="10">
        <f t="shared" si="194"/>
        <v>1.4058215393113204E-2</v>
      </c>
      <c r="AX59" s="10">
        <f t="shared" si="194"/>
        <v>4.4976063749536541E-2</v>
      </c>
      <c r="AY59" s="10">
        <f t="shared" si="194"/>
        <v>6.5050657268006212E-2</v>
      </c>
      <c r="AZ59" s="10">
        <f t="shared" si="194"/>
        <v>7.5768645867392667E-2</v>
      </c>
      <c r="BA59" s="10">
        <f t="shared" si="194"/>
        <v>8.6055332924037414E-2</v>
      </c>
      <c r="BB59" s="10">
        <f t="shared" si="194"/>
        <v>9.5601384712150447E-2</v>
      </c>
      <c r="BC59" s="10">
        <f t="shared" si="194"/>
        <v>0.10511504702648002</v>
      </c>
      <c r="BD59" s="10">
        <f t="shared" si="194"/>
        <v>0.10597955771388935</v>
      </c>
      <c r="BE59" s="10">
        <f t="shared" si="194"/>
        <v>0.1068347058994371</v>
      </c>
      <c r="BF59" s="10">
        <f t="shared" si="194"/>
        <v>0.10768057842260599</v>
      </c>
      <c r="BH59" s="3" t="s">
        <v>77</v>
      </c>
      <c r="BI59" s="11">
        <f>BI57/BI58-1</f>
        <v>-0.39501367962750367</v>
      </c>
    </row>
    <row r="60" spans="2:61" x14ac:dyDescent="0.3">
      <c r="B60" s="1" t="s">
        <v>52</v>
      </c>
      <c r="P60" s="10">
        <f t="shared" ref="P60:S60" si="195">P44/P43</f>
        <v>0.62749999999999995</v>
      </c>
      <c r="Q60" s="10">
        <f t="shared" si="195"/>
        <v>-0.48909090909090908</v>
      </c>
      <c r="R60" s="10">
        <f t="shared" si="195"/>
        <v>-2.3333333333333335</v>
      </c>
      <c r="S60" s="10">
        <f t="shared" si="195"/>
        <v>-6.0846560846560843E-2</v>
      </c>
      <c r="T60" s="10">
        <f>T44/T43</f>
        <v>5.0165016501650166E-2</v>
      </c>
      <c r="U60" s="10">
        <f>U44/U43</f>
        <v>8.0334190231362464E-3</v>
      </c>
      <c r="V60" s="10">
        <f>V44/V43</f>
        <v>5.6682140239433181E-2</v>
      </c>
      <c r="W60" s="10">
        <f>W44/W43</f>
        <v>1.4078947368421053</v>
      </c>
      <c r="X60" s="10">
        <f t="shared" ref="X60:Y60" si="196">X44/X43</f>
        <v>-9.0909090909090912E-2</v>
      </c>
      <c r="Y60" s="10">
        <f t="shared" si="196"/>
        <v>-2.6928255433737256E-2</v>
      </c>
      <c r="Z60" s="10">
        <f t="shared" ref="Z60" si="197">Z44/Z43</f>
        <v>0.15</v>
      </c>
      <c r="AD60" s="10">
        <f t="shared" ref="AD60:AH60" si="198">AD44/AD43</f>
        <v>0.33671134357633214</v>
      </c>
      <c r="AE60" s="10">
        <f t="shared" si="198"/>
        <v>0.33566958698372967</v>
      </c>
      <c r="AF60" s="10">
        <f t="shared" si="198"/>
        <v>0.22876949740034663</v>
      </c>
      <c r="AG60" s="10">
        <f t="shared" si="198"/>
        <v>0.2653649877967606</v>
      </c>
      <c r="AH60" s="10">
        <f t="shared" si="198"/>
        <v>0.25625811236788432</v>
      </c>
      <c r="AI60" s="10">
        <f t="shared" ref="AI60" si="199">AI44/AI43</f>
        <v>0.33959390862944161</v>
      </c>
      <c r="AJ60" s="10">
        <f t="shared" ref="AJ60:AM60" si="200">AJ44/AJ43</f>
        <v>0.26412066752246471</v>
      </c>
      <c r="AK60" s="10">
        <f t="shared" si="200"/>
        <v>0.23693428611461398</v>
      </c>
      <c r="AL60" s="10">
        <f t="shared" si="200"/>
        <v>0.27658979734451433</v>
      </c>
      <c r="AM60" s="10">
        <f t="shared" si="200"/>
        <v>0.12951755144388727</v>
      </c>
      <c r="AN60" s="10">
        <f t="shared" ref="AN60:AP60" si="201">AN44/AN43</f>
        <v>0.16315424953002869</v>
      </c>
      <c r="AO60" s="10">
        <f t="shared" si="201"/>
        <v>9.8586694243364359E-2</v>
      </c>
      <c r="AP60" s="10">
        <f t="shared" si="201"/>
        <v>0.71845949535192566</v>
      </c>
      <c r="AQ60" s="10">
        <f t="shared" ref="AQ60:AS60" si="202">AQ44/AQ43</f>
        <v>0.17511743575573363</v>
      </c>
      <c r="AR60" s="10">
        <f t="shared" si="202"/>
        <v>0.14762567057421022</v>
      </c>
      <c r="AS60" s="10">
        <f t="shared" si="202"/>
        <v>-6.1728395061728392E-3</v>
      </c>
      <c r="AT60" s="10">
        <f t="shared" ref="AT60" si="203">AT44/AT43</f>
        <v>-0.11820448877805487</v>
      </c>
      <c r="AU60" s="10">
        <f t="shared" ref="AU60:BF60" si="204">AU44/AU43</f>
        <v>3.1203931203931203E-2</v>
      </c>
      <c r="AV60" s="10">
        <f t="shared" si="204"/>
        <v>-4.3049593829929539E-2</v>
      </c>
      <c r="AW60" s="10">
        <f t="shared" si="204"/>
        <v>0.15</v>
      </c>
      <c r="AX60" s="10">
        <f t="shared" si="204"/>
        <v>0.15</v>
      </c>
      <c r="AY60" s="10">
        <f t="shared" si="204"/>
        <v>0.15</v>
      </c>
      <c r="AZ60" s="10">
        <f t="shared" si="204"/>
        <v>0.15</v>
      </c>
      <c r="BA60" s="10">
        <f t="shared" si="204"/>
        <v>0.15</v>
      </c>
      <c r="BB60" s="10">
        <f t="shared" si="204"/>
        <v>0.15</v>
      </c>
      <c r="BC60" s="10">
        <f t="shared" si="204"/>
        <v>0.15</v>
      </c>
      <c r="BD60" s="10">
        <f t="shared" si="204"/>
        <v>0.15</v>
      </c>
      <c r="BE60" s="10">
        <f t="shared" si="204"/>
        <v>0.15</v>
      </c>
      <c r="BF60" s="10">
        <f t="shared" si="204"/>
        <v>0.15</v>
      </c>
      <c r="BH60" s="1" t="s">
        <v>78</v>
      </c>
      <c r="BI60" s="2" t="s">
        <v>83</v>
      </c>
    </row>
    <row r="61" spans="2:61" x14ac:dyDescent="0.3">
      <c r="B61" s="1" t="s">
        <v>63</v>
      </c>
      <c r="P61" s="10">
        <f t="shared" ref="P61:S61" si="205">P46/P29</f>
        <v>-7.5439218267429496E-3</v>
      </c>
      <c r="Q61" s="10">
        <f t="shared" si="205"/>
        <v>-9.0366769774635439E-2</v>
      </c>
      <c r="R61" s="10">
        <f t="shared" si="205"/>
        <v>-1.0445998728313198E-3</v>
      </c>
      <c r="S61" s="10">
        <f t="shared" si="205"/>
        <v>-2.347757861065846E-2</v>
      </c>
      <c r="T61" s="10">
        <f>T46/T29</f>
        <v>-8.5319577848926839E-2</v>
      </c>
      <c r="U61" s="10">
        <f>U46/U29</f>
        <v>-0.34585201793721976</v>
      </c>
      <c r="V61" s="10">
        <f>V46/V29</f>
        <v>-0.25738092113895816</v>
      </c>
      <c r="W61" s="10">
        <f>W46/W29</f>
        <v>-6.3089864587607715E-3</v>
      </c>
      <c r="X61" s="10">
        <f t="shared" ref="X61:Y61" si="206">X46/X29</f>
        <v>-3.0638709393819508E-2</v>
      </c>
      <c r="Y61" s="10">
        <f t="shared" si="206"/>
        <v>-0.23308981521272024</v>
      </c>
      <c r="Z61" s="10">
        <f t="shared" ref="Z61" si="207">Z46/Z29</f>
        <v>-1.3646811159968917E-2</v>
      </c>
      <c r="AD61" s="10">
        <f t="shared" ref="AD61:AH61" si="208">AD46/AD29</f>
        <v>6.1367436395679875E-2</v>
      </c>
      <c r="AE61" s="10">
        <f t="shared" si="208"/>
        <v>4.3868722192122678E-2</v>
      </c>
      <c r="AF61" s="10">
        <f t="shared" si="208"/>
        <v>1.921471566028617E-2</v>
      </c>
      <c r="AG61" s="10">
        <f t="shared" si="208"/>
        <v>5.142599446396915E-2</v>
      </c>
      <c r="AH61" s="10">
        <f t="shared" si="208"/>
        <v>5.8456390485196769E-2</v>
      </c>
      <c r="AI61" s="10">
        <f t="shared" ref="AI61" si="209">AI46/AI29</f>
        <v>4.7736786702244856E-2</v>
      </c>
      <c r="AJ61" s="10">
        <f t="shared" ref="AJ61:AM61" si="210">AJ46/AJ29</f>
        <v>5.2930514990245085E-2</v>
      </c>
      <c r="AK61" s="10">
        <f t="shared" si="210"/>
        <v>6.000308499151627E-2</v>
      </c>
      <c r="AL61" s="10">
        <f t="shared" si="210"/>
        <v>5.3852716565744842E-2</v>
      </c>
      <c r="AM61" s="10">
        <f t="shared" si="210"/>
        <v>5.3841875588260459E-2</v>
      </c>
      <c r="AN61" s="10">
        <f t="shared" ref="AN61:AP61" si="211">AN46/AN29</f>
        <v>8.9973937556512951E-2</v>
      </c>
      <c r="AO61" s="10">
        <f t="shared" si="211"/>
        <v>0.10343429548982962</v>
      </c>
      <c r="AP61" s="10">
        <f t="shared" si="211"/>
        <v>-8.3073185386434E-3</v>
      </c>
      <c r="AQ61" s="10">
        <f t="shared" ref="AQ61:AS61" si="212">AQ46/AQ29</f>
        <v>-0.20415076171807833</v>
      </c>
      <c r="AR61" s="10">
        <f t="shared" si="212"/>
        <v>-6.7462993289021611E-2</v>
      </c>
      <c r="AS61" s="10">
        <f t="shared" si="212"/>
        <v>-7.4090199375450402E-2</v>
      </c>
      <c r="AT61" s="10">
        <f t="shared" ref="AT61" si="213">AT46/AT29</f>
        <v>-2.8562614083348332E-2</v>
      </c>
      <c r="AU61" s="10">
        <f t="shared" ref="AU61:BF61" si="214">AU46/AU29</f>
        <v>-0.17852579039944677</v>
      </c>
      <c r="AV61" s="10">
        <f t="shared" si="214"/>
        <v>-7.3452485607043067E-2</v>
      </c>
      <c r="AW61" s="10">
        <f t="shared" si="214"/>
        <v>-2.9777341216254231E-4</v>
      </c>
      <c r="AX61" s="10">
        <f t="shared" si="214"/>
        <v>2.6819638484824413E-2</v>
      </c>
      <c r="AY61" s="10">
        <f t="shared" si="214"/>
        <v>4.4390367217803046E-2</v>
      </c>
      <c r="AZ61" s="10">
        <f t="shared" si="214"/>
        <v>5.3901112375550245E-2</v>
      </c>
      <c r="BA61" s="10">
        <f t="shared" si="214"/>
        <v>6.2947574445024967E-2</v>
      </c>
      <c r="BB61" s="10">
        <f t="shared" si="214"/>
        <v>7.1273771894760557E-2</v>
      </c>
      <c r="BC61" s="10">
        <f t="shared" si="214"/>
        <v>7.9570061028632816E-2</v>
      </c>
      <c r="BD61" s="10">
        <f t="shared" si="214"/>
        <v>8.0512215627205536E-2</v>
      </c>
      <c r="BE61" s="10">
        <f t="shared" si="214"/>
        <v>8.1444077845967036E-2</v>
      </c>
      <c r="BF61" s="10">
        <f t="shared" si="214"/>
        <v>8.2365742688387325E-2</v>
      </c>
    </row>
    <row r="64" spans="2:61" s="15" customFormat="1" x14ac:dyDescent="0.3">
      <c r="B64" s="15" t="s">
        <v>80</v>
      </c>
      <c r="V64" s="16">
        <v>156363</v>
      </c>
      <c r="W64" s="16"/>
      <c r="X64" s="16">
        <v>155120</v>
      </c>
      <c r="Y64" s="16">
        <v>150023</v>
      </c>
      <c r="AV64" s="16">
        <v>150023</v>
      </c>
    </row>
    <row r="66" spans="2:48" x14ac:dyDescent="0.3">
      <c r="B66" s="1" t="s">
        <v>81</v>
      </c>
      <c r="X66" s="17"/>
      <c r="AV66" s="17">
        <f>Main!$D$9/Model!AV64</f>
        <v>1.2906554728274997</v>
      </c>
    </row>
    <row r="67" spans="2:48" x14ac:dyDescent="0.3">
      <c r="B67" s="1" t="s">
        <v>82</v>
      </c>
      <c r="X67" s="10"/>
      <c r="AV67" s="10">
        <f>AV64/Main!$D$9-1</f>
        <v>-0.22519989179664435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2025-04-23T14:48:03Z</dcterms:created>
  <dcterms:modified xsi:type="dcterms:W3CDTF">2025-11-01T12:49:20Z</dcterms:modified>
</cp:coreProperties>
</file>