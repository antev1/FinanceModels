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E626AA8-648F-48F8-A75F-0DF1B956ADD6}" xr6:coauthVersionLast="47" xr6:coauthVersionMax="47" xr10:uidLastSave="{00000000-0000-0000-0000-000000000000}"/>
  <bookViews>
    <workbookView xWindow="-108" yWindow="-108" windowWidth="23256" windowHeight="12576" activeTab="1" xr2:uid="{DAAEC582-3359-4770-A2A8-463EF00396F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54" i="2" l="1"/>
  <c r="AU37" i="2"/>
  <c r="AT37" i="2"/>
  <c r="AS37" i="2"/>
  <c r="AR37" i="2"/>
  <c r="AQ37" i="2"/>
  <c r="AP37" i="2"/>
  <c r="AO37" i="2"/>
  <c r="AN37" i="2"/>
  <c r="AM37" i="2"/>
  <c r="AH48" i="2"/>
  <c r="AG48" i="2"/>
  <c r="AF48" i="2"/>
  <c r="AE48" i="2"/>
  <c r="AD48" i="2"/>
  <c r="AH47" i="2"/>
  <c r="AG47" i="2"/>
  <c r="AF47" i="2"/>
  <c r="AE47" i="2"/>
  <c r="AD47" i="2"/>
  <c r="AH46" i="2"/>
  <c r="AG46" i="2"/>
  <c r="AF46" i="2"/>
  <c r="AE46" i="2"/>
  <c r="AD46" i="2"/>
  <c r="AH45" i="2"/>
  <c r="AG45" i="2"/>
  <c r="AF45" i="2"/>
  <c r="AE45" i="2"/>
  <c r="AH44" i="2"/>
  <c r="AG44" i="2"/>
  <c r="AF44" i="2"/>
  <c r="AE44" i="2"/>
  <c r="AH43" i="2"/>
  <c r="AG43" i="2"/>
  <c r="AF43" i="2"/>
  <c r="AE43" i="2"/>
  <c r="AD43" i="2"/>
  <c r="AH42" i="2"/>
  <c r="AG42" i="2"/>
  <c r="AF42" i="2"/>
  <c r="AE42" i="2"/>
  <c r="AD42" i="2"/>
  <c r="AH41" i="2"/>
  <c r="AG41" i="2"/>
  <c r="AF41" i="2"/>
  <c r="AE41" i="2"/>
  <c r="AD41" i="2"/>
  <c r="AH40" i="2"/>
  <c r="AG40" i="2"/>
  <c r="AF40" i="2"/>
  <c r="AE40" i="2"/>
  <c r="AH39" i="2"/>
  <c r="AG39" i="2"/>
  <c r="AF39" i="2"/>
  <c r="AE39" i="2"/>
  <c r="AH38" i="2"/>
  <c r="AG38" i="2"/>
  <c r="AF38" i="2"/>
  <c r="AE38" i="2"/>
  <c r="AH37" i="2"/>
  <c r="AG37" i="2"/>
  <c r="AF37" i="2"/>
  <c r="AE37" i="2"/>
  <c r="AD18" i="2"/>
  <c r="AD29" i="2"/>
  <c r="AD25" i="2"/>
  <c r="AD19" i="2"/>
  <c r="AD16" i="2"/>
  <c r="AE18" i="2"/>
  <c r="AE29" i="2"/>
  <c r="AE25" i="2"/>
  <c r="AE19" i="2"/>
  <c r="AE16" i="2"/>
  <c r="AF18" i="2"/>
  <c r="AF19" i="2" s="1"/>
  <c r="AF29" i="2"/>
  <c r="AF25" i="2"/>
  <c r="AF16" i="2"/>
  <c r="AI48" i="2"/>
  <c r="AI47" i="2"/>
  <c r="AI46" i="2"/>
  <c r="AI45" i="2"/>
  <c r="AI44" i="2"/>
  <c r="AI43" i="2"/>
  <c r="AI42" i="2"/>
  <c r="AI41" i="2"/>
  <c r="AI40" i="2"/>
  <c r="AI39" i="2"/>
  <c r="AI38" i="2"/>
  <c r="AG18" i="2"/>
  <c r="AG29" i="2"/>
  <c r="AG25" i="2"/>
  <c r="AG19" i="2"/>
  <c r="AG16" i="2"/>
  <c r="AH18" i="2"/>
  <c r="AH29" i="2"/>
  <c r="AH25" i="2"/>
  <c r="AH19" i="2"/>
  <c r="AH16" i="2"/>
  <c r="AI18" i="2"/>
  <c r="AI19" i="2" s="1"/>
  <c r="AI29" i="2"/>
  <c r="AI25" i="2"/>
  <c r="AI16" i="2"/>
  <c r="AV37" i="2"/>
  <c r="AJ18" i="2"/>
  <c r="AJ42" i="2" s="1"/>
  <c r="AJ29" i="2"/>
  <c r="AJ25" i="2"/>
  <c r="AJ19" i="2"/>
  <c r="AJ16" i="2"/>
  <c r="AK18" i="2"/>
  <c r="AK42" i="2" s="1"/>
  <c r="AK29" i="2"/>
  <c r="AK25" i="2"/>
  <c r="AK19" i="2"/>
  <c r="AK16" i="2"/>
  <c r="AL18" i="2"/>
  <c r="AL29" i="2"/>
  <c r="AL25" i="2"/>
  <c r="AL19" i="2"/>
  <c r="AL16" i="2"/>
  <c r="AM48" i="2"/>
  <c r="AM47" i="2"/>
  <c r="AM46" i="2"/>
  <c r="AM45" i="2"/>
  <c r="AL45" i="2"/>
  <c r="AK45" i="2"/>
  <c r="AJ45" i="2"/>
  <c r="AM44" i="2"/>
  <c r="AL44" i="2"/>
  <c r="AK44" i="2"/>
  <c r="AJ44" i="2"/>
  <c r="AM43" i="2"/>
  <c r="AM42" i="2"/>
  <c r="AL42" i="2"/>
  <c r="AM41" i="2"/>
  <c r="AL41" i="2"/>
  <c r="AK41" i="2"/>
  <c r="AJ41" i="2"/>
  <c r="AM40" i="2"/>
  <c r="AM39" i="2"/>
  <c r="AL39" i="2"/>
  <c r="AK39" i="2"/>
  <c r="AM38" i="2"/>
  <c r="AL38" i="2"/>
  <c r="AK38" i="2"/>
  <c r="AJ38" i="2"/>
  <c r="AL37" i="2"/>
  <c r="AK37" i="2"/>
  <c r="AJ37" i="2"/>
  <c r="AI37" i="2"/>
  <c r="S48" i="2"/>
  <c r="R48" i="2"/>
  <c r="Q48" i="2"/>
  <c r="P48" i="2"/>
  <c r="S47" i="2"/>
  <c r="R47" i="2"/>
  <c r="Q47" i="2"/>
  <c r="P47" i="2"/>
  <c r="S46" i="2"/>
  <c r="R46" i="2"/>
  <c r="Q46" i="2"/>
  <c r="P46" i="2"/>
  <c r="S43" i="2"/>
  <c r="R43" i="2"/>
  <c r="Q43" i="2"/>
  <c r="P43" i="2"/>
  <c r="S42" i="2"/>
  <c r="R42" i="2"/>
  <c r="Q42" i="2"/>
  <c r="P42" i="2"/>
  <c r="S41" i="2"/>
  <c r="R41" i="2"/>
  <c r="Q41" i="2"/>
  <c r="P41" i="2"/>
  <c r="T48" i="2"/>
  <c r="T47" i="2"/>
  <c r="T46" i="2"/>
  <c r="T45" i="2"/>
  <c r="T44" i="2"/>
  <c r="T43" i="2"/>
  <c r="T42" i="2"/>
  <c r="T41" i="2"/>
  <c r="T40" i="2"/>
  <c r="T39" i="2"/>
  <c r="T38" i="2"/>
  <c r="U48" i="2"/>
  <c r="U47" i="2"/>
  <c r="U46" i="2"/>
  <c r="U45" i="2"/>
  <c r="U44" i="2"/>
  <c r="U43" i="2"/>
  <c r="U42" i="2"/>
  <c r="U41" i="2"/>
  <c r="U40" i="2"/>
  <c r="U39" i="2"/>
  <c r="U38" i="2"/>
  <c r="AW14" i="2"/>
  <c r="Z22" i="2"/>
  <c r="Z25" i="2" s="1"/>
  <c r="Y22" i="2"/>
  <c r="Y44" i="2" s="1"/>
  <c r="Z15" i="2"/>
  <c r="Z39" i="2" s="1"/>
  <c r="Y15" i="2"/>
  <c r="Y39" i="2" s="1"/>
  <c r="Z14" i="2"/>
  <c r="Y14" i="2"/>
  <c r="Y17" i="2" s="1"/>
  <c r="Y41" i="2" s="1"/>
  <c r="Z17" i="2"/>
  <c r="Z41" i="2" s="1"/>
  <c r="X32" i="2"/>
  <c r="D7" i="1"/>
  <c r="D6" i="1"/>
  <c r="V37" i="2"/>
  <c r="X37" i="2"/>
  <c r="X10" i="2"/>
  <c r="BI45" i="2"/>
  <c r="AV32" i="2"/>
  <c r="AV28" i="2"/>
  <c r="AW28" i="2" s="1"/>
  <c r="AX28" i="2" s="1"/>
  <c r="AY28" i="2" s="1"/>
  <c r="AZ28" i="2" s="1"/>
  <c r="BA28" i="2" s="1"/>
  <c r="BB28" i="2" s="1"/>
  <c r="BC28" i="2" s="1"/>
  <c r="BD28" i="2" s="1"/>
  <c r="BE28" i="2" s="1"/>
  <c r="BF28" i="2" s="1"/>
  <c r="AV27" i="2"/>
  <c r="AW27" i="2" s="1"/>
  <c r="AV24" i="2"/>
  <c r="AV23" i="2"/>
  <c r="AW23" i="2" s="1"/>
  <c r="AX23" i="2" s="1"/>
  <c r="AV21" i="2"/>
  <c r="Z32" i="2"/>
  <c r="Y32" i="2"/>
  <c r="Z29" i="2"/>
  <c r="Y29" i="2"/>
  <c r="X29" i="2"/>
  <c r="Z28" i="2"/>
  <c r="Y28" i="2"/>
  <c r="Z27" i="2"/>
  <c r="Y27" i="2"/>
  <c r="Y25" i="2"/>
  <c r="X25" i="2"/>
  <c r="Y23" i="2"/>
  <c r="Y45" i="2" s="1"/>
  <c r="Z23" i="2"/>
  <c r="Z45" i="2" s="1"/>
  <c r="X45" i="2"/>
  <c r="X44" i="2"/>
  <c r="X41" i="2"/>
  <c r="Z38" i="2"/>
  <c r="X39" i="2"/>
  <c r="Y38" i="2"/>
  <c r="X38" i="2"/>
  <c r="X16" i="2"/>
  <c r="X40" i="2" s="1"/>
  <c r="AD20" i="2" l="1"/>
  <c r="AD26" i="2" s="1"/>
  <c r="AD30" i="2" s="1"/>
  <c r="AD33" i="2" s="1"/>
  <c r="AD35" i="2" s="1"/>
  <c r="AE20" i="2"/>
  <c r="AE26" i="2" s="1"/>
  <c r="AE30" i="2" s="1"/>
  <c r="AE33" i="2" s="1"/>
  <c r="AE35" i="2" s="1"/>
  <c r="AF20" i="2"/>
  <c r="AF26" i="2" s="1"/>
  <c r="AF30" i="2" s="1"/>
  <c r="AF33" i="2" s="1"/>
  <c r="AF35" i="2" s="1"/>
  <c r="AG20" i="2"/>
  <c r="AG26" i="2" s="1"/>
  <c r="AG30" i="2" s="1"/>
  <c r="AG33" i="2" s="1"/>
  <c r="AG35" i="2" s="1"/>
  <c r="AH20" i="2"/>
  <c r="AH26" i="2" s="1"/>
  <c r="AH30" i="2" s="1"/>
  <c r="AH33" i="2" s="1"/>
  <c r="AH35" i="2" s="1"/>
  <c r="AI20" i="2"/>
  <c r="AI26" i="2" s="1"/>
  <c r="AI30" i="2" s="1"/>
  <c r="AI33" i="2" s="1"/>
  <c r="AI35" i="2" s="1"/>
  <c r="AJ39" i="2"/>
  <c r="AJ20" i="2"/>
  <c r="AK40" i="2"/>
  <c r="AJ40" i="2"/>
  <c r="AJ43" i="2"/>
  <c r="AJ26" i="2"/>
  <c r="AK20" i="2"/>
  <c r="AK26" i="2" s="1"/>
  <c r="AK46" i="2" s="1"/>
  <c r="AL40" i="2"/>
  <c r="AL20" i="2"/>
  <c r="AL26" i="2" s="1"/>
  <c r="Z44" i="2"/>
  <c r="AV22" i="2"/>
  <c r="AW22" i="2" s="1"/>
  <c r="AW44" i="2" s="1"/>
  <c r="Z18" i="2"/>
  <c r="Z42" i="2"/>
  <c r="AV15" i="2"/>
  <c r="AW15" i="2" s="1"/>
  <c r="AX15" i="2" s="1"/>
  <c r="Z16" i="2"/>
  <c r="Z40" i="2" s="1"/>
  <c r="Y18" i="2"/>
  <c r="Y19" i="2" s="1"/>
  <c r="Y16" i="2"/>
  <c r="Y40" i="2" s="1"/>
  <c r="AV14" i="2"/>
  <c r="AW17" i="2" s="1"/>
  <c r="AW41" i="2" s="1"/>
  <c r="Z19" i="2"/>
  <c r="Z20" i="2" s="1"/>
  <c r="Z43" i="2" s="1"/>
  <c r="AV17" i="2"/>
  <c r="AV38" i="2"/>
  <c r="X19" i="2"/>
  <c r="X20" i="2" s="1"/>
  <c r="X43" i="2" s="1"/>
  <c r="X42" i="2"/>
  <c r="AW38" i="2"/>
  <c r="AY23" i="2"/>
  <c r="AX45" i="2"/>
  <c r="AX27" i="2"/>
  <c r="AW29" i="2"/>
  <c r="AW18" i="2"/>
  <c r="AW42" i="2" s="1"/>
  <c r="AV39" i="2"/>
  <c r="AW16" i="2"/>
  <c r="AV29" i="2"/>
  <c r="AW39" i="2"/>
  <c r="AV45" i="2"/>
  <c r="AW45" i="2"/>
  <c r="AX14" i="2"/>
  <c r="AX17" i="2" s="1"/>
  <c r="AJ30" i="2" l="1"/>
  <c r="AJ46" i="2"/>
  <c r="AK30" i="2"/>
  <c r="AK33" i="2" s="1"/>
  <c r="AK43" i="2"/>
  <c r="AL43" i="2"/>
  <c r="AL30" i="2"/>
  <c r="AL46" i="2"/>
  <c r="AX22" i="2"/>
  <c r="AV25" i="2"/>
  <c r="AV44" i="2"/>
  <c r="AW25" i="2"/>
  <c r="AV16" i="2"/>
  <c r="AV18" i="2"/>
  <c r="AV42" i="2" s="1"/>
  <c r="Y42" i="2"/>
  <c r="Y20" i="2"/>
  <c r="Y43" i="2" s="1"/>
  <c r="Z26" i="2"/>
  <c r="X26" i="2"/>
  <c r="AX39" i="2"/>
  <c r="AX18" i="2"/>
  <c r="AX42" i="2" s="1"/>
  <c r="AY15" i="2"/>
  <c r="AY22" i="2"/>
  <c r="AX44" i="2"/>
  <c r="AX25" i="2"/>
  <c r="AW19" i="2"/>
  <c r="AW20" i="2" s="1"/>
  <c r="AW40" i="2"/>
  <c r="AV40" i="2"/>
  <c r="AY45" i="2"/>
  <c r="AZ23" i="2"/>
  <c r="AV19" i="2"/>
  <c r="AV20" i="2" s="1"/>
  <c r="AV41" i="2"/>
  <c r="AX29" i="2"/>
  <c r="AY27" i="2"/>
  <c r="AY14" i="2"/>
  <c r="AX16" i="2"/>
  <c r="AX38" i="2"/>
  <c r="AJ33" i="2" l="1"/>
  <c r="AJ47" i="2"/>
  <c r="AK47" i="2"/>
  <c r="AK35" i="2"/>
  <c r="AK48" i="2"/>
  <c r="AL47" i="2"/>
  <c r="AL33" i="2"/>
  <c r="Y26" i="2"/>
  <c r="Z46" i="2"/>
  <c r="Z30" i="2"/>
  <c r="X46" i="2"/>
  <c r="X30" i="2"/>
  <c r="AX19" i="2"/>
  <c r="AX20" i="2" s="1"/>
  <c r="AW43" i="2"/>
  <c r="AW26" i="2"/>
  <c r="AY39" i="2"/>
  <c r="AY18" i="2"/>
  <c r="AY42" i="2" s="1"/>
  <c r="AZ15" i="2"/>
  <c r="AV43" i="2"/>
  <c r="AV26" i="2"/>
  <c r="AX41" i="2"/>
  <c r="AZ14" i="2"/>
  <c r="AY16" i="2"/>
  <c r="AY38" i="2"/>
  <c r="AY17" i="2"/>
  <c r="AY29" i="2"/>
  <c r="AZ27" i="2"/>
  <c r="AZ45" i="2"/>
  <c r="BA23" i="2"/>
  <c r="AX40" i="2"/>
  <c r="AZ22" i="2"/>
  <c r="AY44" i="2"/>
  <c r="AY25" i="2"/>
  <c r="AJ35" i="2" l="1"/>
  <c r="AJ48" i="2"/>
  <c r="AL35" i="2"/>
  <c r="AL48" i="2"/>
  <c r="Y30" i="2"/>
  <c r="Y46" i="2"/>
  <c r="Z31" i="2"/>
  <c r="Z47" i="2" s="1"/>
  <c r="AY19" i="2"/>
  <c r="AY20" i="2" s="1"/>
  <c r="AY41" i="2"/>
  <c r="AX26" i="2"/>
  <c r="AX43" i="2"/>
  <c r="BB23" i="2"/>
  <c r="BA45" i="2"/>
  <c r="AW30" i="2"/>
  <c r="AW31" i="2" s="1"/>
  <c r="AW46" i="2"/>
  <c r="AV46" i="2"/>
  <c r="AV30" i="2"/>
  <c r="AZ39" i="2"/>
  <c r="AZ18" i="2"/>
  <c r="AZ42" i="2" s="1"/>
  <c r="BA15" i="2"/>
  <c r="AY40" i="2"/>
  <c r="AZ16" i="2"/>
  <c r="AZ38" i="2"/>
  <c r="AZ17" i="2"/>
  <c r="BA14" i="2"/>
  <c r="AZ29" i="2"/>
  <c r="BA27" i="2"/>
  <c r="BA22" i="2"/>
  <c r="AZ44" i="2"/>
  <c r="AZ25" i="2"/>
  <c r="Y31" i="2" l="1"/>
  <c r="Z33" i="2"/>
  <c r="X33" i="2"/>
  <c r="X48" i="2" s="1"/>
  <c r="X47" i="2"/>
  <c r="AZ19" i="2"/>
  <c r="AZ20" i="2" s="1"/>
  <c r="AZ40" i="2"/>
  <c r="AZ41" i="2"/>
  <c r="AY26" i="2"/>
  <c r="AY43" i="2"/>
  <c r="BB22" i="2"/>
  <c r="BA44" i="2"/>
  <c r="BA25" i="2"/>
  <c r="BB27" i="2"/>
  <c r="BA29" i="2"/>
  <c r="AW47" i="2"/>
  <c r="AW33" i="2"/>
  <c r="BA16" i="2"/>
  <c r="BA38" i="2"/>
  <c r="BA17" i="2"/>
  <c r="BB14" i="2"/>
  <c r="BC23" i="2"/>
  <c r="BB45" i="2"/>
  <c r="BA39" i="2"/>
  <c r="BA18" i="2"/>
  <c r="BA42" i="2" s="1"/>
  <c r="BB15" i="2"/>
  <c r="AX46" i="2"/>
  <c r="AX30" i="2"/>
  <c r="AX31" i="2" s="1"/>
  <c r="Y47" i="2" l="1"/>
  <c r="AV31" i="2"/>
  <c r="Y33" i="2"/>
  <c r="Z35" i="2"/>
  <c r="Z48" i="2"/>
  <c r="X35" i="2"/>
  <c r="BA19" i="2"/>
  <c r="BA20" i="2" s="1"/>
  <c r="BA41" i="2"/>
  <c r="BB18" i="2"/>
  <c r="BB42" i="2" s="1"/>
  <c r="BC15" i="2"/>
  <c r="BB39" i="2"/>
  <c r="BB44" i="2"/>
  <c r="BB25" i="2"/>
  <c r="BC22" i="2"/>
  <c r="BA40" i="2"/>
  <c r="AW48" i="2"/>
  <c r="AW35" i="2"/>
  <c r="BD23" i="2"/>
  <c r="BC45" i="2"/>
  <c r="AY46" i="2"/>
  <c r="AY30" i="2"/>
  <c r="AY31" i="2" s="1"/>
  <c r="AX47" i="2"/>
  <c r="AX33" i="2"/>
  <c r="BB38" i="2"/>
  <c r="BB17" i="2"/>
  <c r="BC14" i="2"/>
  <c r="BB16" i="2"/>
  <c r="BC27" i="2"/>
  <c r="BB29" i="2"/>
  <c r="AZ26" i="2"/>
  <c r="AZ43" i="2"/>
  <c r="Y35" i="2" l="1"/>
  <c r="Y48" i="2"/>
  <c r="AV47" i="2"/>
  <c r="AV33" i="2"/>
  <c r="AZ46" i="2"/>
  <c r="AZ30" i="2"/>
  <c r="AZ31" i="2" s="1"/>
  <c r="BD27" i="2"/>
  <c r="BC29" i="2"/>
  <c r="BC25" i="2"/>
  <c r="BC44" i="2"/>
  <c r="BD22" i="2"/>
  <c r="BE23" i="2"/>
  <c r="BD45" i="2"/>
  <c r="AX48" i="2"/>
  <c r="AX35" i="2"/>
  <c r="AY47" i="2"/>
  <c r="AY33" i="2"/>
  <c r="BB40" i="2"/>
  <c r="BA26" i="2"/>
  <c r="BA43" i="2"/>
  <c r="BC38" i="2"/>
  <c r="BC17" i="2"/>
  <c r="BD14" i="2"/>
  <c r="BC16" i="2"/>
  <c r="BB19" i="2"/>
  <c r="BB20" i="2" s="1"/>
  <c r="BB41" i="2"/>
  <c r="BC18" i="2"/>
  <c r="BC42" i="2" s="1"/>
  <c r="BD15" i="2"/>
  <c r="BC39" i="2"/>
  <c r="AV48" i="2" l="1"/>
  <c r="AV35" i="2"/>
  <c r="BC19" i="2"/>
  <c r="BC20" i="2" s="1"/>
  <c r="BB43" i="2"/>
  <c r="BB26" i="2"/>
  <c r="BD25" i="2"/>
  <c r="BE22" i="2"/>
  <c r="BD44" i="2"/>
  <c r="BF23" i="2"/>
  <c r="BF45" i="2" s="1"/>
  <c r="BE45" i="2"/>
  <c r="BD38" i="2"/>
  <c r="BD17" i="2"/>
  <c r="BE14" i="2"/>
  <c r="BD16" i="2"/>
  <c r="AY35" i="2"/>
  <c r="AY48" i="2"/>
  <c r="BA46" i="2"/>
  <c r="BA30" i="2"/>
  <c r="BA31" i="2" s="1"/>
  <c r="BE27" i="2"/>
  <c r="BD29" i="2"/>
  <c r="BC40" i="2"/>
  <c r="BE15" i="2"/>
  <c r="BD39" i="2"/>
  <c r="BD18" i="2"/>
  <c r="BD42" i="2" s="1"/>
  <c r="BC41" i="2"/>
  <c r="AZ47" i="2"/>
  <c r="AZ33" i="2"/>
  <c r="BD19" i="2" l="1"/>
  <c r="BD20" i="2" s="1"/>
  <c r="BF27" i="2"/>
  <c r="BF29" i="2" s="1"/>
  <c r="BE29" i="2"/>
  <c r="BA47" i="2"/>
  <c r="BA33" i="2"/>
  <c r="BD41" i="2"/>
  <c r="BF22" i="2"/>
  <c r="BE44" i="2"/>
  <c r="BE25" i="2"/>
  <c r="BE39" i="2"/>
  <c r="BE18" i="2"/>
  <c r="BE42" i="2" s="1"/>
  <c r="BF15" i="2"/>
  <c r="AZ35" i="2"/>
  <c r="AZ48" i="2"/>
  <c r="BC43" i="2"/>
  <c r="BC26" i="2"/>
  <c r="BD40" i="2"/>
  <c r="BE17" i="2"/>
  <c r="BF14" i="2"/>
  <c r="BE16" i="2"/>
  <c r="BE41" i="2"/>
  <c r="BE38" i="2"/>
  <c r="BB46" i="2"/>
  <c r="BB30" i="2"/>
  <c r="BB31" i="2" s="1"/>
  <c r="BE19" i="2" l="1"/>
  <c r="BB33" i="2"/>
  <c r="BB47" i="2"/>
  <c r="BF44" i="2"/>
  <c r="BF25" i="2"/>
  <c r="BD43" i="2"/>
  <c r="BD26" i="2"/>
  <c r="BC46" i="2"/>
  <c r="BC30" i="2"/>
  <c r="BC31" i="2" s="1"/>
  <c r="BE20" i="2"/>
  <c r="BE40" i="2"/>
  <c r="BF17" i="2"/>
  <c r="BF41" i="2" s="1"/>
  <c r="BF16" i="2"/>
  <c r="BF38" i="2"/>
  <c r="BF39" i="2"/>
  <c r="BF18" i="2"/>
  <c r="BF42" i="2" s="1"/>
  <c r="BA48" i="2"/>
  <c r="BA35" i="2"/>
  <c r="BF40" i="2" l="1"/>
  <c r="BC47" i="2"/>
  <c r="BC33" i="2"/>
  <c r="BF19" i="2"/>
  <c r="BF20" i="2" s="1"/>
  <c r="BD46" i="2"/>
  <c r="BD30" i="2"/>
  <c r="BD31" i="2" s="1"/>
  <c r="BE43" i="2"/>
  <c r="BE26" i="2"/>
  <c r="BB48" i="2"/>
  <c r="BB35" i="2"/>
  <c r="BF26" i="2" l="1"/>
  <c r="BF43" i="2"/>
  <c r="BC48" i="2"/>
  <c r="BC35" i="2"/>
  <c r="BE30" i="2"/>
  <c r="BE31" i="2" s="1"/>
  <c r="BE46" i="2"/>
  <c r="BD47" i="2"/>
  <c r="BD33" i="2"/>
  <c r="BE47" i="2" l="1"/>
  <c r="BE33" i="2"/>
  <c r="BD48" i="2"/>
  <c r="BD35" i="2"/>
  <c r="BF30" i="2"/>
  <c r="BF31" i="2" s="1"/>
  <c r="BF46" i="2"/>
  <c r="BF47" i="2" l="1"/>
  <c r="BF33" i="2"/>
  <c r="BE48" i="2"/>
  <c r="BE35" i="2"/>
  <c r="BG33" i="2" l="1"/>
  <c r="BH33" i="2" s="1"/>
  <c r="BI33" i="2" s="1"/>
  <c r="BJ33" i="2" s="1"/>
  <c r="BK33" i="2" s="1"/>
  <c r="BL33" i="2" s="1"/>
  <c r="BM33" i="2" s="1"/>
  <c r="BN33" i="2" s="1"/>
  <c r="BO33" i="2" s="1"/>
  <c r="BP33" i="2" s="1"/>
  <c r="BQ33" i="2" s="1"/>
  <c r="BR33" i="2" s="1"/>
  <c r="BS33" i="2" s="1"/>
  <c r="BT33" i="2" s="1"/>
  <c r="BU33" i="2" s="1"/>
  <c r="BV33" i="2" s="1"/>
  <c r="BW33" i="2" s="1"/>
  <c r="BX33" i="2" s="1"/>
  <c r="BY33" i="2" s="1"/>
  <c r="BZ33" i="2" s="1"/>
  <c r="CA33" i="2" s="1"/>
  <c r="CB33" i="2" s="1"/>
  <c r="CC33" i="2" s="1"/>
  <c r="CD33" i="2" s="1"/>
  <c r="CE33" i="2" s="1"/>
  <c r="CF33" i="2" s="1"/>
  <c r="CG33" i="2" s="1"/>
  <c r="CH33" i="2" s="1"/>
  <c r="CI33" i="2" s="1"/>
  <c r="CJ33" i="2" s="1"/>
  <c r="CK33" i="2" s="1"/>
  <c r="CL33" i="2" s="1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X33" i="2" s="1"/>
  <c r="CY33" i="2" s="1"/>
  <c r="CZ33" i="2" s="1"/>
  <c r="DA33" i="2" s="1"/>
  <c r="DB33" i="2" s="1"/>
  <c r="DC33" i="2" s="1"/>
  <c r="DD33" i="2" s="1"/>
  <c r="DE33" i="2" s="1"/>
  <c r="DF33" i="2" s="1"/>
  <c r="DG33" i="2" s="1"/>
  <c r="DH33" i="2" s="1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DS33" i="2" s="1"/>
  <c r="DT33" i="2" s="1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EE33" i="2" s="1"/>
  <c r="EF33" i="2" s="1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BI41" i="2" s="1"/>
  <c r="BF48" i="2"/>
  <c r="BF35" i="2"/>
  <c r="P10" i="2"/>
  <c r="T10" i="2"/>
  <c r="P29" i="2"/>
  <c r="P25" i="2"/>
  <c r="P19" i="2"/>
  <c r="P16" i="2"/>
  <c r="T19" i="2"/>
  <c r="T16" i="2"/>
  <c r="T29" i="2"/>
  <c r="T25" i="2"/>
  <c r="Q10" i="2"/>
  <c r="U10" i="2"/>
  <c r="Q29" i="2"/>
  <c r="Q25" i="2"/>
  <c r="Q19" i="2"/>
  <c r="Q16" i="2"/>
  <c r="Q20" i="2" s="1"/>
  <c r="U29" i="2"/>
  <c r="U25" i="2"/>
  <c r="U19" i="2"/>
  <c r="U16" i="2"/>
  <c r="U20" i="2" s="1"/>
  <c r="P20" i="2" l="1"/>
  <c r="P26" i="2" s="1"/>
  <c r="P30" i="2" s="1"/>
  <c r="P33" i="2" s="1"/>
  <c r="P35" i="2" s="1"/>
  <c r="T20" i="2"/>
  <c r="T26" i="2" s="1"/>
  <c r="T30" i="2" s="1"/>
  <c r="T33" i="2" s="1"/>
  <c r="T35" i="2" s="1"/>
  <c r="Q26" i="2"/>
  <c r="Q30" i="2" s="1"/>
  <c r="Q33" i="2" s="1"/>
  <c r="Q35" i="2" s="1"/>
  <c r="U26" i="2"/>
  <c r="U30" i="2" s="1"/>
  <c r="U33" i="2" s="1"/>
  <c r="U35" i="2" s="1"/>
  <c r="S10" i="2"/>
  <c r="R10" i="2"/>
  <c r="V10" i="2"/>
  <c r="W10" i="2"/>
  <c r="W37" i="2"/>
  <c r="V45" i="2"/>
  <c r="V44" i="2"/>
  <c r="V42" i="2"/>
  <c r="V41" i="2"/>
  <c r="V39" i="2"/>
  <c r="V38" i="2"/>
  <c r="R29" i="2"/>
  <c r="R25" i="2"/>
  <c r="R19" i="2"/>
  <c r="R16" i="2"/>
  <c r="V32" i="2"/>
  <c r="V29" i="2"/>
  <c r="V25" i="2"/>
  <c r="V19" i="2"/>
  <c r="V16" i="2"/>
  <c r="AP45" i="2"/>
  <c r="AO45" i="2"/>
  <c r="AN45" i="2"/>
  <c r="AP44" i="2"/>
  <c r="AO44" i="2"/>
  <c r="AN44" i="2"/>
  <c r="AP41" i="2"/>
  <c r="AO41" i="2"/>
  <c r="AN41" i="2"/>
  <c r="AP39" i="2"/>
  <c r="AO39" i="2"/>
  <c r="AN39" i="2"/>
  <c r="AP38" i="2"/>
  <c r="AO38" i="2"/>
  <c r="AN38" i="2"/>
  <c r="AM18" i="2"/>
  <c r="AM29" i="2"/>
  <c r="AM25" i="2"/>
  <c r="AM16" i="2"/>
  <c r="AN21" i="2"/>
  <c r="AN25" i="2" s="1"/>
  <c r="AN18" i="2"/>
  <c r="AN19" i="2" s="1"/>
  <c r="AN29" i="2"/>
  <c r="AN16" i="2"/>
  <c r="W16" i="2"/>
  <c r="W19" i="2"/>
  <c r="W25" i="2"/>
  <c r="W29" i="2"/>
  <c r="W32" i="2"/>
  <c r="AO18" i="2"/>
  <c r="AO19" i="2" s="1"/>
  <c r="AP18" i="2"/>
  <c r="AP42" i="2" s="1"/>
  <c r="AO29" i="2"/>
  <c r="AO25" i="2"/>
  <c r="AO16" i="2"/>
  <c r="AS45" i="2"/>
  <c r="AR45" i="2"/>
  <c r="AQ45" i="2"/>
  <c r="AS44" i="2"/>
  <c r="AR44" i="2"/>
  <c r="AQ44" i="2"/>
  <c r="AS42" i="2"/>
  <c r="AS41" i="2"/>
  <c r="AR41" i="2"/>
  <c r="AQ41" i="2"/>
  <c r="AS39" i="2"/>
  <c r="AR39" i="2"/>
  <c r="AQ39" i="2"/>
  <c r="AS38" i="2"/>
  <c r="AR38" i="2"/>
  <c r="AQ38" i="2"/>
  <c r="AP29" i="2"/>
  <c r="AP25" i="2"/>
  <c r="AP16" i="2"/>
  <c r="AQ18" i="2"/>
  <c r="AQ42" i="2" s="1"/>
  <c r="AQ29" i="2"/>
  <c r="AQ25" i="2"/>
  <c r="AQ16" i="2"/>
  <c r="AR18" i="2"/>
  <c r="AR19" i="2" s="1"/>
  <c r="AR29" i="2"/>
  <c r="AR25" i="2"/>
  <c r="AR16" i="2"/>
  <c r="W45" i="2"/>
  <c r="W44" i="2"/>
  <c r="W39" i="2"/>
  <c r="W38" i="2"/>
  <c r="W42" i="2"/>
  <c r="W41" i="2"/>
  <c r="AT45" i="2"/>
  <c r="AT44" i="2"/>
  <c r="AT42" i="2"/>
  <c r="AT41" i="2"/>
  <c r="AT39" i="2"/>
  <c r="AT38" i="2"/>
  <c r="AU45" i="2"/>
  <c r="AU44" i="2"/>
  <c r="AU42" i="2"/>
  <c r="AU41" i="2"/>
  <c r="AU39" i="2"/>
  <c r="AU38" i="2"/>
  <c r="AS29" i="2"/>
  <c r="AS25" i="2"/>
  <c r="AS19" i="2"/>
  <c r="AS16" i="2"/>
  <c r="AS40" i="2" s="1"/>
  <c r="AT29" i="2"/>
  <c r="AT25" i="2"/>
  <c r="AT19" i="2"/>
  <c r="AT16" i="2"/>
  <c r="AU32" i="2"/>
  <c r="AU29" i="2"/>
  <c r="AU25" i="2"/>
  <c r="AU19" i="2"/>
  <c r="AU16" i="2"/>
  <c r="S29" i="2"/>
  <c r="S25" i="2"/>
  <c r="S19" i="2"/>
  <c r="S16" i="2"/>
  <c r="D8" i="1"/>
  <c r="BI42" i="2" s="1"/>
  <c r="BI43" i="2" s="1"/>
  <c r="BI44" i="2" s="1"/>
  <c r="BI46" i="2" s="1"/>
  <c r="D5" i="1"/>
  <c r="F3" i="1"/>
  <c r="D9" i="1" l="1"/>
  <c r="AP40" i="2"/>
  <c r="V40" i="2"/>
  <c r="R20" i="2"/>
  <c r="AN40" i="2"/>
  <c r="V20" i="2"/>
  <c r="AR40" i="2"/>
  <c r="AP19" i="2"/>
  <c r="AP20" i="2" s="1"/>
  <c r="AP43" i="2" s="1"/>
  <c r="AQ40" i="2"/>
  <c r="AU40" i="2"/>
  <c r="W20" i="2"/>
  <c r="W26" i="2" s="1"/>
  <c r="W30" i="2" s="1"/>
  <c r="W33" i="2" s="1"/>
  <c r="W35" i="2" s="1"/>
  <c r="W40" i="2"/>
  <c r="AQ19" i="2"/>
  <c r="AQ20" i="2" s="1"/>
  <c r="AO40" i="2"/>
  <c r="AT40" i="2"/>
  <c r="AO42" i="2"/>
  <c r="AM19" i="2"/>
  <c r="AM20" i="2" s="1"/>
  <c r="AR42" i="2"/>
  <c r="AN42" i="2"/>
  <c r="AN20" i="2"/>
  <c r="AO20" i="2"/>
  <c r="AR20" i="2"/>
  <c r="AS20" i="2"/>
  <c r="AT20" i="2"/>
  <c r="AU20" i="2"/>
  <c r="S20" i="2"/>
  <c r="X53" i="2" l="1"/>
  <c r="W43" i="2"/>
  <c r="V26" i="2"/>
  <c r="V43" i="2"/>
  <c r="R26" i="2"/>
  <c r="AN26" i="2"/>
  <c r="AN43" i="2"/>
  <c r="AS26" i="2"/>
  <c r="AS43" i="2"/>
  <c r="AU26" i="2"/>
  <c r="AU43" i="2"/>
  <c r="AO26" i="2"/>
  <c r="AO43" i="2"/>
  <c r="AM26" i="2"/>
  <c r="S26" i="2"/>
  <c r="AT26" i="2"/>
  <c r="AT43" i="2"/>
  <c r="AR26" i="2"/>
  <c r="AR43" i="2"/>
  <c r="AQ26" i="2"/>
  <c r="AQ43" i="2"/>
  <c r="W46" i="2"/>
  <c r="AP26" i="2"/>
  <c r="AP46" i="2" s="1"/>
  <c r="R30" i="2" l="1"/>
  <c r="V30" i="2"/>
  <c r="V46" i="2"/>
  <c r="AR30" i="2"/>
  <c r="AR46" i="2"/>
  <c r="AO30" i="2"/>
  <c r="AO46" i="2"/>
  <c r="AT30" i="2"/>
  <c r="AT46" i="2"/>
  <c r="AU30" i="2"/>
  <c r="AU46" i="2"/>
  <c r="S30" i="2"/>
  <c r="AS30" i="2"/>
  <c r="AS46" i="2"/>
  <c r="AQ30" i="2"/>
  <c r="AQ46" i="2"/>
  <c r="AM30" i="2"/>
  <c r="AN30" i="2"/>
  <c r="AN46" i="2"/>
  <c r="W47" i="2"/>
  <c r="AP30" i="2"/>
  <c r="AP47" i="2" s="1"/>
  <c r="R33" i="2" l="1"/>
  <c r="V33" i="2"/>
  <c r="V47" i="2"/>
  <c r="AT33" i="2"/>
  <c r="AT47" i="2"/>
  <c r="AU33" i="2"/>
  <c r="AU47" i="2"/>
  <c r="AQ33" i="2"/>
  <c r="AQ47" i="2"/>
  <c r="AS33" i="2"/>
  <c r="AS47" i="2"/>
  <c r="AO33" i="2"/>
  <c r="AO47" i="2"/>
  <c r="AM33" i="2"/>
  <c r="AN33" i="2"/>
  <c r="AN47" i="2"/>
  <c r="S33" i="2"/>
  <c r="AR33" i="2"/>
  <c r="AR47" i="2"/>
  <c r="W48" i="2"/>
  <c r="AP33" i="2"/>
  <c r="AP48" i="2" s="1"/>
  <c r="V35" i="2" l="1"/>
  <c r="V48" i="2"/>
  <c r="R35" i="2"/>
  <c r="AR35" i="2"/>
  <c r="AR48" i="2"/>
  <c r="AS35" i="2"/>
  <c r="AS48" i="2"/>
  <c r="AN35" i="2"/>
  <c r="AN48" i="2"/>
  <c r="AQ35" i="2"/>
  <c r="AQ48" i="2"/>
  <c r="AT35" i="2"/>
  <c r="AT48" i="2"/>
  <c r="S35" i="2"/>
  <c r="AO35" i="2"/>
  <c r="AO48" i="2"/>
  <c r="AM35" i="2"/>
  <c r="AU35" i="2"/>
  <c r="AU48" i="2"/>
  <c r="AP35" i="2"/>
</calcChain>
</file>

<file path=xl/sharedStrings.xml><?xml version="1.0" encoding="utf-8"?>
<sst xmlns="http://schemas.openxmlformats.org/spreadsheetml/2006/main" count="88" uniqueCount="84">
  <si>
    <t>BA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</si>
  <si>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</si>
  <si>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</si>
  <si>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</si>
  <si>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</si>
  <si>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</si>
  <si>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</si>
  <si>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</si>
  <si>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</si>
  <si>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</si>
  <si>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</si>
  <si>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Q125 8K</t>
  </si>
  <si>
    <t>Q125</t>
  </si>
  <si>
    <t>Total revenue</t>
  </si>
  <si>
    <t>Total cost of sales</t>
  </si>
  <si>
    <t>Gross profit</t>
  </si>
  <si>
    <t>Product revenue</t>
  </si>
  <si>
    <t>Service revenue</t>
  </si>
  <si>
    <t>Product cost</t>
  </si>
  <si>
    <t>Service cost</t>
  </si>
  <si>
    <t>Investment income</t>
  </si>
  <si>
    <t>G&amp;A</t>
  </si>
  <si>
    <t>R&amp;D</t>
  </si>
  <si>
    <t>Total operating expense</t>
  </si>
  <si>
    <t>Operating profit</t>
  </si>
  <si>
    <t>Other income</t>
  </si>
  <si>
    <t>Interest expense</t>
  </si>
  <si>
    <t>Total other expense</t>
  </si>
  <si>
    <t>Pretax profit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</si>
  <si>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</si>
  <si>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</si>
  <si>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</si>
  <si>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</si>
  <si>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</si>
  <si>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</si>
  <si>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</si>
  <si>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</si>
  <si>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</si>
  <si>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</si>
  <si>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</si>
  <si>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</si>
  <si>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</si>
  <si>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</si>
  <si>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</si>
  <si>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</si>
  <si>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</si>
  <si>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</si>
  <si>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</si>
  <si>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</si>
  <si>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Q225</t>
  </si>
  <si>
    <t>Q325</t>
  </si>
  <si>
    <t>Q425</t>
  </si>
  <si>
    <t>Taxes</t>
  </si>
  <si>
    <t>MI</t>
  </si>
  <si>
    <t>Net profit</t>
  </si>
  <si>
    <t>EPS</t>
  </si>
  <si>
    <t>Revenue y/y</t>
  </si>
  <si>
    <t>Gross Margin</t>
  </si>
  <si>
    <t>Product Margin</t>
  </si>
  <si>
    <t>Service Margin</t>
  </si>
  <si>
    <t>G&amp;A y/y</t>
  </si>
  <si>
    <t>R&amp;D y/y</t>
  </si>
  <si>
    <t>Operating Margin</t>
  </si>
  <si>
    <t>Net Margin</t>
  </si>
  <si>
    <t>Product revenue y/y</t>
  </si>
  <si>
    <t>Service revenue y/y</t>
  </si>
  <si>
    <t>A320 Deliveries</t>
  </si>
  <si>
    <t>Backlog</t>
  </si>
  <si>
    <t>Backlog y/y</t>
  </si>
  <si>
    <t>Total deliveries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</si>
  <si>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</si>
  <si>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</si>
  <si>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</si>
  <si>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</si>
  <si>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</si>
  <si>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</si>
  <si>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</si>
  <si>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</si>
  <si>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</si>
  <si>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Gain on disposal</t>
  </si>
  <si>
    <t>L+S/E</t>
  </si>
  <si>
    <t>EV/B</t>
  </si>
  <si>
    <t>B/EV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</si>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</sst>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4" fillId="2" borderId="1" xfId="0" applyFont="1" applyFill="1" applyBorder="1" applyAlignment="1">
      <alignment horizontal="right"/>
    </xf>
    <xf numFmtId="164" fontId="2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9" fontId="2" fillId="2" borderId="1" xfId="0" applyNumberFormat="1" applyFont="1" applyFill="1" applyBorder="1" applyAlignment="1">
      <alignment horizontal="right"/>
    </xf>
    <xf numFmtId="0" fontId="5" fillId="2" borderId="1" xfId="0" applyFont="1" applyFill="1" applyBorder="1"/>
    <xf numFmtId="3" fontId="5" fillId="2" borderId="1" xfId="0" applyNumberFormat="1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15240</xdr:colOff>
      <xdr:row>0</xdr:row>
      <xdr:rowOff>0</xdr:rowOff>
    </xdr:from>
    <xdr:to>
      <xdr:col>47</xdr:col>
      <xdr:colOff>15240</xdr:colOff>
      <xdr:row>59</xdr:row>
      <xdr:rowOff>30480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36FC7F-8D27-0758-2380-84E01070B435}"/>
            </a:ext>
          </a:extLst>
        </xdr:cNvPr>
        <xdr:cNvCxnSpPr/>
      </xdr:nvCxnSpPr>
      <xdr:spPr>
        <a:xfrm>
          <a:off x="29481780" y="0"/>
          <a:ext cx="0" cy="8625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</xdr:colOff>
      <xdr:row>0</xdr:row>
      <xdr:rowOff>15240</xdr:rowOff>
    </xdr:from>
    <xdr:to>
      <xdr:col>24</xdr:col>
      <xdr:colOff>22860</xdr:colOff>
      <xdr:row>54</xdr:row>
      <xdr:rowOff>53340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4329650-B744-A385-5922-DB175F2711F6}"/>
            </a:ext>
          </a:extLst>
        </xdr:cNvPr>
        <xdr:cNvCxnSpPr/>
      </xdr:nvCxnSpPr>
      <xdr:spPr>
        <a:xfrm>
          <a:off x="15468600" y="15240"/>
          <a:ext cx="0" cy="9913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0FD7-0245-493C-BCD0-51BDC7DB2A87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7" width="14.33203125" style="4" customWidth="1"/>
    <col min="8" max="16384" width="8.88671875" style="1"/>
  </cols>
  <sheetData>
    <row r="2" spans="2:7" x14ac:dyDescent="0.3">
      <c r="E2" s="4" t="s">
        <v>8</v>
      </c>
      <c r="F2" s="4" t="s">
        <v>9</v>
      </c>
      <c r="G2" s="4" t="s">
        <v>10</v>
      </c>
    </row>
    <row r="3" spans="2:7" x14ac:dyDescent="0.3">
      <c r="B3" s="3" t="s">
        <v>0</v>
      </c>
      <c r="C3" s="1" t="s">
        <v>1</v>
      </c>
      <c r="D3" s="5">
        <v>216.3</v>
      </c>
      <c r="E3" s="6">
        <v>45934</v>
      </c>
      <c r="F3" s="6">
        <f ca="1">TODAY()</f>
        <v>45934</v>
      </c>
      <c r="G3" s="6">
        <v>45952</v>
      </c>
    </row>
    <row r="4" spans="2:7" x14ac:dyDescent="0.3">
      <c r="C4" s="1" t="s">
        <v>2</v>
      </c>
      <c r="D4" s="7">
        <v>753.4</v>
      </c>
      <c r="E4" s="4" t="s">
        <v>11</v>
      </c>
    </row>
    <row r="5" spans="2:7" x14ac:dyDescent="0.3">
      <c r="C5" s="1" t="s">
        <v>3</v>
      </c>
      <c r="D5" s="7">
        <f>D3*D4</f>
        <v>162960.42000000001</v>
      </c>
    </row>
    <row r="6" spans="2:7" x14ac:dyDescent="0.3">
      <c r="C6" s="1" t="s">
        <v>4</v>
      </c>
      <c r="D6" s="7">
        <f>7087+15880+1036</f>
        <v>24003</v>
      </c>
      <c r="E6" s="4" t="s">
        <v>49</v>
      </c>
    </row>
    <row r="7" spans="2:7" x14ac:dyDescent="0.3">
      <c r="C7" s="1" t="s">
        <v>5</v>
      </c>
      <c r="D7" s="7">
        <f>8719+44604</f>
        <v>53323</v>
      </c>
      <c r="E7" s="4" t="s">
        <v>49</v>
      </c>
    </row>
    <row r="8" spans="2:7" x14ac:dyDescent="0.3">
      <c r="C8" s="1" t="s">
        <v>6</v>
      </c>
      <c r="D8" s="7">
        <f>D6-D7</f>
        <v>-29320</v>
      </c>
    </row>
    <row r="9" spans="2:7" x14ac:dyDescent="0.3">
      <c r="C9" s="1" t="s">
        <v>7</v>
      </c>
      <c r="D9" s="7">
        <f>D5-D8</f>
        <v>192280.42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C0CE-CFF7-43D4-81ED-60434895C928}">
  <dimension ref="B2:EP54"/>
  <sheetViews>
    <sheetView tabSelected="1" workbookViewId="0">
      <pane xSplit="2" ySplit="2" topLeftCell="M39" activePane="bottomRight" state="frozen"/>
      <selection pane="topRight" activeCell="C1" sqref="C1"/>
      <selection pane="bottomLeft" activeCell="A3" sqref="A3"/>
      <selection pane="bottomRight" activeCell="X54" sqref="X54"/>
    </sheetView>
  </sheetViews>
  <sheetFormatPr defaultRowHeight="14.4" x14ac:dyDescent="0.3"/>
  <cols>
    <col min="1" max="1" width="8.88671875" style="1"/>
    <col min="2" max="2" width="20.77734375" style="1" bestFit="1" customWidth="1"/>
    <col min="3" max="59" width="8.88671875" style="1"/>
    <col min="60" max="60" width="11.88671875" style="1" bestFit="1" customWidth="1"/>
    <col min="61" max="61" width="16.6640625" style="1" customWidth="1"/>
    <col min="62" max="16384" width="8.88671875" style="1"/>
  </cols>
  <sheetData>
    <row r="2" spans="2:58" x14ac:dyDescent="0.3"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12</v>
      </c>
      <c r="X2" s="2" t="s">
        <v>49</v>
      </c>
      <c r="Y2" s="2" t="s">
        <v>50</v>
      </c>
      <c r="Z2" s="2" t="s">
        <v>51</v>
      </c>
      <c r="AB2" s="1">
        <v>2005</v>
      </c>
      <c r="AC2" s="1">
        <v>2006</v>
      </c>
      <c r="AD2" s="1">
        <v>2007</v>
      </c>
      <c r="AE2" s="1">
        <v>2008</v>
      </c>
      <c r="AF2" s="1">
        <v>2009</v>
      </c>
      <c r="AG2" s="1">
        <v>2010</v>
      </c>
      <c r="AH2" s="1">
        <v>2011</v>
      </c>
      <c r="AI2" s="1">
        <v>2012</v>
      </c>
      <c r="AJ2" s="1">
        <v>2013</v>
      </c>
      <c r="AK2" s="1">
        <v>2014</v>
      </c>
      <c r="AL2" s="1">
        <v>2015</v>
      </c>
      <c r="AM2" s="1">
        <v>2016</v>
      </c>
      <c r="AN2" s="1">
        <v>2017</v>
      </c>
      <c r="AO2" s="1">
        <v>2018</v>
      </c>
      <c r="AP2" s="1">
        <v>2019</v>
      </c>
      <c r="AQ2" s="1">
        <v>2020</v>
      </c>
      <c r="AR2" s="1">
        <v>2021</v>
      </c>
      <c r="AS2" s="1">
        <v>2022</v>
      </c>
      <c r="AT2" s="1">
        <v>2023</v>
      </c>
      <c r="AU2" s="1">
        <v>2024</v>
      </c>
      <c r="AV2" s="1">
        <v>2025</v>
      </c>
      <c r="AW2" s="1">
        <v>2026</v>
      </c>
      <c r="AX2" s="1">
        <v>2027</v>
      </c>
      <c r="AY2" s="1">
        <v>2028</v>
      </c>
      <c r="AZ2" s="1">
        <v>2029</v>
      </c>
      <c r="BA2" s="1">
        <v>2030</v>
      </c>
      <c r="BB2" s="1">
        <v>2031</v>
      </c>
      <c r="BC2" s="1">
        <v>2032</v>
      </c>
      <c r="BD2" s="1">
        <v>2033</v>
      </c>
      <c r="BE2" s="1">
        <v>2034</v>
      </c>
      <c r="BF2" s="1">
        <v>2035</v>
      </c>
    </row>
    <row r="3" spans="2:58" x14ac:dyDescent="0.3">
      <c r="B3" s="1" t="s">
        <v>66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>
        <v>106</v>
      </c>
      <c r="X3" s="2"/>
      <c r="Y3" s="2"/>
      <c r="Z3" s="2"/>
    </row>
    <row r="4" spans="2:58" x14ac:dyDescent="0.3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2:58" x14ac:dyDescent="0.3">
      <c r="B5" s="12">
        <v>737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>
        <v>103</v>
      </c>
      <c r="Q5" s="2">
        <v>70</v>
      </c>
      <c r="R5" s="2">
        <v>110</v>
      </c>
      <c r="S5" s="2">
        <v>67</v>
      </c>
      <c r="T5" s="2">
        <v>70</v>
      </c>
      <c r="U5" s="2">
        <v>92</v>
      </c>
      <c r="V5" s="2">
        <v>36</v>
      </c>
      <c r="W5" s="2">
        <v>105</v>
      </c>
      <c r="X5" s="2">
        <v>104</v>
      </c>
      <c r="Y5" s="2"/>
      <c r="Z5" s="2"/>
    </row>
    <row r="6" spans="2:58" x14ac:dyDescent="0.3">
      <c r="B6" s="12">
        <v>747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/>
      <c r="Z6" s="2"/>
    </row>
    <row r="7" spans="2:58" x14ac:dyDescent="0.3">
      <c r="B7" s="12">
        <v>767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>
        <v>8</v>
      </c>
      <c r="Q7" s="2">
        <v>8</v>
      </c>
      <c r="R7" s="2">
        <v>15</v>
      </c>
      <c r="S7" s="2">
        <v>3</v>
      </c>
      <c r="T7" s="2">
        <v>6</v>
      </c>
      <c r="U7" s="2">
        <v>6</v>
      </c>
      <c r="V7" s="2">
        <v>3</v>
      </c>
      <c r="W7" s="2">
        <v>5</v>
      </c>
      <c r="X7" s="2">
        <v>9</v>
      </c>
      <c r="Y7" s="2"/>
      <c r="Z7" s="2"/>
    </row>
    <row r="8" spans="2:58" x14ac:dyDescent="0.3">
      <c r="B8" s="12">
        <v>777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5</v>
      </c>
      <c r="Q8" s="2">
        <v>8</v>
      </c>
      <c r="R8" s="2">
        <v>9</v>
      </c>
      <c r="S8" s="2">
        <v>0</v>
      </c>
      <c r="T8" s="2">
        <v>7</v>
      </c>
      <c r="U8" s="2">
        <v>4</v>
      </c>
      <c r="V8" s="2">
        <v>3</v>
      </c>
      <c r="W8" s="2">
        <v>7</v>
      </c>
      <c r="X8" s="2">
        <v>13</v>
      </c>
      <c r="Y8" s="2"/>
      <c r="Z8" s="2"/>
    </row>
    <row r="9" spans="2:58" x14ac:dyDescent="0.3">
      <c r="B9" s="12">
        <v>787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>
        <v>20</v>
      </c>
      <c r="Q9" s="2">
        <v>19</v>
      </c>
      <c r="R9" s="2">
        <v>23</v>
      </c>
      <c r="S9" s="2">
        <v>13</v>
      </c>
      <c r="T9" s="2">
        <v>9</v>
      </c>
      <c r="U9" s="2">
        <v>14</v>
      </c>
      <c r="V9" s="2">
        <v>15</v>
      </c>
      <c r="W9" s="2">
        <v>13</v>
      </c>
      <c r="X9" s="2">
        <v>24</v>
      </c>
      <c r="Y9" s="2"/>
      <c r="Z9" s="2"/>
    </row>
    <row r="10" spans="2:58" x14ac:dyDescent="0.3">
      <c r="B10" s="12" t="s">
        <v>69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>
        <f t="shared" ref="P10:W10" si="0">SUM(P5:P9)</f>
        <v>136</v>
      </c>
      <c r="Q10" s="2">
        <f t="shared" si="0"/>
        <v>105</v>
      </c>
      <c r="R10" s="2">
        <f t="shared" si="0"/>
        <v>157</v>
      </c>
      <c r="S10" s="2">
        <f t="shared" si="0"/>
        <v>83</v>
      </c>
      <c r="T10" s="2">
        <f t="shared" si="0"/>
        <v>92</v>
      </c>
      <c r="U10" s="2">
        <f t="shared" si="0"/>
        <v>116</v>
      </c>
      <c r="V10" s="2">
        <f t="shared" si="0"/>
        <v>57</v>
      </c>
      <c r="W10" s="2">
        <f t="shared" si="0"/>
        <v>130</v>
      </c>
      <c r="X10" s="2">
        <f t="shared" ref="X10" si="1">SUM(X5:X9)</f>
        <v>150</v>
      </c>
      <c r="Y10" s="2"/>
      <c r="Z10" s="2"/>
    </row>
    <row r="11" spans="2:58" x14ac:dyDescent="0.3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2:58" x14ac:dyDescent="0.3">
      <c r="B12" s="1" t="s">
        <v>67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3">
        <v>520195</v>
      </c>
      <c r="S12" s="13"/>
      <c r="T12" s="13">
        <v>515874</v>
      </c>
      <c r="U12" s="13">
        <v>510509</v>
      </c>
      <c r="V12" s="13">
        <v>521336</v>
      </c>
      <c r="W12" s="13">
        <v>544736</v>
      </c>
      <c r="X12" s="13">
        <v>618538</v>
      </c>
      <c r="Y12" s="2"/>
      <c r="Z12" s="2"/>
      <c r="AB12" s="13"/>
      <c r="AC12" s="13"/>
      <c r="AD12" s="13">
        <v>296964</v>
      </c>
      <c r="AE12" s="13">
        <v>323860</v>
      </c>
      <c r="AF12" s="13">
        <v>296500</v>
      </c>
      <c r="AG12" s="13">
        <v>303955</v>
      </c>
      <c r="AH12" s="13">
        <v>339657</v>
      </c>
      <c r="AI12" s="13">
        <v>372355</v>
      </c>
      <c r="AJ12" s="13">
        <v>422661</v>
      </c>
      <c r="AK12" s="13">
        <v>487092</v>
      </c>
      <c r="AL12" s="13">
        <v>476595</v>
      </c>
      <c r="AM12" s="13">
        <v>473492</v>
      </c>
      <c r="AN12" s="13">
        <v>474640</v>
      </c>
      <c r="AO12" s="13">
        <v>490481</v>
      </c>
      <c r="AP12" s="13">
        <v>463404</v>
      </c>
      <c r="AQ12" s="13">
        <v>363404</v>
      </c>
      <c r="AR12" s="13">
        <v>377499</v>
      </c>
      <c r="AS12" s="13">
        <v>404381</v>
      </c>
      <c r="AT12" s="13">
        <v>520195</v>
      </c>
      <c r="AU12" s="13">
        <v>521336</v>
      </c>
      <c r="AV12" s="13">
        <v>618538</v>
      </c>
    </row>
    <row r="13" spans="2:58" x14ac:dyDescent="0.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4"/>
      <c r="X13" s="2"/>
      <c r="Y13" s="2"/>
      <c r="Z13" s="2"/>
    </row>
    <row r="14" spans="2:58" x14ac:dyDescent="0.3">
      <c r="B14" s="1" t="s">
        <v>16</v>
      </c>
      <c r="P14" s="7">
        <v>16687</v>
      </c>
      <c r="Q14" s="7">
        <v>15060</v>
      </c>
      <c r="R14" s="7">
        <v>18920</v>
      </c>
      <c r="S14" s="7">
        <v>13268</v>
      </c>
      <c r="T14" s="7">
        <v>13524</v>
      </c>
      <c r="U14" s="7">
        <v>14534</v>
      </c>
      <c r="V14" s="7">
        <v>11901</v>
      </c>
      <c r="W14" s="7">
        <v>16147</v>
      </c>
      <c r="X14" s="7">
        <v>19122</v>
      </c>
      <c r="Y14" s="7">
        <f>U14*1.35</f>
        <v>19620.900000000001</v>
      </c>
      <c r="Z14" s="7">
        <f>V14*1.7</f>
        <v>20231.7</v>
      </c>
      <c r="AD14" s="7">
        <v>57049</v>
      </c>
      <c r="AE14" s="7">
        <v>50180</v>
      </c>
      <c r="AF14" s="7">
        <v>57032</v>
      </c>
      <c r="AG14" s="7">
        <v>52586</v>
      </c>
      <c r="AH14" s="7">
        <v>57401</v>
      </c>
      <c r="AI14" s="7">
        <v>71234</v>
      </c>
      <c r="AJ14" s="7">
        <v>76792</v>
      </c>
      <c r="AK14" s="7">
        <v>80688</v>
      </c>
      <c r="AL14" s="7">
        <v>85255</v>
      </c>
      <c r="AM14" s="7">
        <v>83198</v>
      </c>
      <c r="AN14" s="7">
        <v>83740</v>
      </c>
      <c r="AO14" s="7">
        <v>90229</v>
      </c>
      <c r="AP14" s="7">
        <v>66094</v>
      </c>
      <c r="AQ14" s="7">
        <v>47142</v>
      </c>
      <c r="AR14" s="7">
        <v>51386</v>
      </c>
      <c r="AS14" s="7">
        <v>55893</v>
      </c>
      <c r="AT14" s="7">
        <v>65581</v>
      </c>
      <c r="AU14" s="7">
        <v>53227</v>
      </c>
      <c r="AV14" s="7">
        <f>SUM(W14:Z14)</f>
        <v>75121.600000000006</v>
      </c>
      <c r="AW14" s="7">
        <f>AV14*1.2</f>
        <v>90145.919999999998</v>
      </c>
      <c r="AX14" s="7">
        <f>AW14*1.05</f>
        <v>94653.216</v>
      </c>
      <c r="AY14" s="7">
        <f>AX14*1.03</f>
        <v>97492.812480000008</v>
      </c>
      <c r="AZ14" s="7">
        <f t="shared" ref="AZ14:BF14" si="2">AY14*1.02</f>
        <v>99442.668729600016</v>
      </c>
      <c r="BA14" s="7">
        <f t="shared" si="2"/>
        <v>101431.52210419202</v>
      </c>
      <c r="BB14" s="7">
        <f t="shared" si="2"/>
        <v>103460.15254627586</v>
      </c>
      <c r="BC14" s="7">
        <f t="shared" si="2"/>
        <v>105529.35559720137</v>
      </c>
      <c r="BD14" s="7">
        <f t="shared" si="2"/>
        <v>107639.9427091454</v>
      </c>
      <c r="BE14" s="7">
        <f t="shared" si="2"/>
        <v>109792.74156332831</v>
      </c>
      <c r="BF14" s="7">
        <f t="shared" si="2"/>
        <v>111988.59639459488</v>
      </c>
    </row>
    <row r="15" spans="2:58" x14ac:dyDescent="0.3">
      <c r="B15" s="1" t="s">
        <v>17</v>
      </c>
      <c r="P15" s="7">
        <v>3064</v>
      </c>
      <c r="Q15" s="7">
        <v>3044</v>
      </c>
      <c r="R15" s="7">
        <v>3098</v>
      </c>
      <c r="S15" s="7">
        <v>3301</v>
      </c>
      <c r="T15" s="7">
        <v>3342</v>
      </c>
      <c r="U15" s="7">
        <v>3306</v>
      </c>
      <c r="V15" s="7">
        <v>3341</v>
      </c>
      <c r="W15" s="7">
        <v>3349</v>
      </c>
      <c r="X15" s="7">
        <v>3627</v>
      </c>
      <c r="Y15" s="7">
        <f>U15*1.11</f>
        <v>3669.6600000000003</v>
      </c>
      <c r="Z15" s="7">
        <f>V15*1.11</f>
        <v>3708.51</v>
      </c>
      <c r="AD15" s="7">
        <v>9338</v>
      </c>
      <c r="AE15" s="7">
        <v>10729</v>
      </c>
      <c r="AF15" s="7">
        <v>11249</v>
      </c>
      <c r="AG15" s="7">
        <v>11720</v>
      </c>
      <c r="AH15" s="7">
        <v>11334</v>
      </c>
      <c r="AI15" s="7">
        <v>10464</v>
      </c>
      <c r="AJ15" s="7">
        <v>9831</v>
      </c>
      <c r="AK15" s="7">
        <v>10074</v>
      </c>
      <c r="AL15" s="7">
        <v>10859</v>
      </c>
      <c r="AM15" s="7">
        <v>10298</v>
      </c>
      <c r="AN15" s="7">
        <v>10265</v>
      </c>
      <c r="AO15" s="7">
        <v>10898</v>
      </c>
      <c r="AP15" s="7">
        <v>10465</v>
      </c>
      <c r="AQ15" s="7">
        <v>11016</v>
      </c>
      <c r="AR15" s="7">
        <v>10900</v>
      </c>
      <c r="AS15" s="7">
        <v>10715</v>
      </c>
      <c r="AT15" s="7">
        <v>12213</v>
      </c>
      <c r="AU15" s="7">
        <v>13290</v>
      </c>
      <c r="AV15" s="7">
        <f>SUM(W15:Z15)</f>
        <v>14354.17</v>
      </c>
      <c r="AW15" s="7">
        <f>AV15*1.05</f>
        <v>15071.878500000001</v>
      </c>
      <c r="AX15" s="7">
        <f>AW15*1.04</f>
        <v>15674.753640000001</v>
      </c>
      <c r="AY15" s="7">
        <f t="shared" ref="AY15:BF15" si="3">AX15*1.03</f>
        <v>16144.996249200001</v>
      </c>
      <c r="AZ15" s="7">
        <f t="shared" si="3"/>
        <v>16629.346136676002</v>
      </c>
      <c r="BA15" s="7">
        <f t="shared" si="3"/>
        <v>17128.226520776283</v>
      </c>
      <c r="BB15" s="7">
        <f t="shared" si="3"/>
        <v>17642.073316399572</v>
      </c>
      <c r="BC15" s="7">
        <f t="shared" si="3"/>
        <v>18171.335515891558</v>
      </c>
      <c r="BD15" s="7">
        <f t="shared" si="3"/>
        <v>18716.475581368304</v>
      </c>
      <c r="BE15" s="7">
        <f t="shared" si="3"/>
        <v>19277.969848809353</v>
      </c>
      <c r="BF15" s="7">
        <f t="shared" si="3"/>
        <v>19856.308944273635</v>
      </c>
    </row>
    <row r="16" spans="2:58" s="3" customFormat="1" x14ac:dyDescent="0.3">
      <c r="B16" s="3" t="s">
        <v>13</v>
      </c>
      <c r="P16" s="9">
        <f t="shared" ref="P16:W16" si="4">P14+P15</f>
        <v>19751</v>
      </c>
      <c r="Q16" s="9">
        <f t="shared" si="4"/>
        <v>18104</v>
      </c>
      <c r="R16" s="9">
        <f t="shared" si="4"/>
        <v>22018</v>
      </c>
      <c r="S16" s="9">
        <f t="shared" si="4"/>
        <v>16569</v>
      </c>
      <c r="T16" s="9">
        <f t="shared" si="4"/>
        <v>16866</v>
      </c>
      <c r="U16" s="9">
        <f t="shared" si="4"/>
        <v>17840</v>
      </c>
      <c r="V16" s="9">
        <f t="shared" si="4"/>
        <v>15242</v>
      </c>
      <c r="W16" s="9">
        <f t="shared" si="4"/>
        <v>19496</v>
      </c>
      <c r="X16" s="9">
        <f t="shared" ref="X16" si="5">X14+X15</f>
        <v>22749</v>
      </c>
      <c r="Y16" s="9">
        <f t="shared" ref="Y16" si="6">Y14+Y15</f>
        <v>23290.560000000001</v>
      </c>
      <c r="Z16" s="9">
        <f t="shared" ref="Z16" si="7">Z14+Z15</f>
        <v>23940.21</v>
      </c>
      <c r="AD16" s="9">
        <f t="shared" ref="AD16:AE16" si="8">AD14+AD15</f>
        <v>66387</v>
      </c>
      <c r="AE16" s="9">
        <f t="shared" si="8"/>
        <v>60909</v>
      </c>
      <c r="AF16" s="9">
        <f t="shared" ref="AF16:AG16" si="9">AF14+AF15</f>
        <v>68281</v>
      </c>
      <c r="AG16" s="9">
        <f t="shared" si="9"/>
        <v>64306</v>
      </c>
      <c r="AH16" s="9">
        <f t="shared" ref="AH16:AI16" si="10">AH14+AH15</f>
        <v>68735</v>
      </c>
      <c r="AI16" s="9">
        <f t="shared" si="10"/>
        <v>81698</v>
      </c>
      <c r="AJ16" s="9">
        <f t="shared" ref="AJ16" si="11">AJ14+AJ15</f>
        <v>86623</v>
      </c>
      <c r="AK16" s="9">
        <f t="shared" ref="AK16:AL16" si="12">AK14+AK15</f>
        <v>90762</v>
      </c>
      <c r="AL16" s="9">
        <f t="shared" si="12"/>
        <v>96114</v>
      </c>
      <c r="AM16" s="9">
        <f t="shared" ref="AM16:BF16" si="13">AM14+AM15</f>
        <v>93496</v>
      </c>
      <c r="AN16" s="9">
        <f t="shared" si="13"/>
        <v>94005</v>
      </c>
      <c r="AO16" s="9">
        <f t="shared" si="13"/>
        <v>101127</v>
      </c>
      <c r="AP16" s="9">
        <f t="shared" si="13"/>
        <v>76559</v>
      </c>
      <c r="AQ16" s="9">
        <f t="shared" si="13"/>
        <v>58158</v>
      </c>
      <c r="AR16" s="9">
        <f t="shared" si="13"/>
        <v>62286</v>
      </c>
      <c r="AS16" s="9">
        <f t="shared" si="13"/>
        <v>66608</v>
      </c>
      <c r="AT16" s="9">
        <f t="shared" si="13"/>
        <v>77794</v>
      </c>
      <c r="AU16" s="9">
        <f t="shared" si="13"/>
        <v>66517</v>
      </c>
      <c r="AV16" s="9">
        <f t="shared" si="13"/>
        <v>89475.77</v>
      </c>
      <c r="AW16" s="9">
        <f t="shared" si="13"/>
        <v>105217.7985</v>
      </c>
      <c r="AX16" s="9">
        <f t="shared" si="13"/>
        <v>110327.96964</v>
      </c>
      <c r="AY16" s="9">
        <f t="shared" si="13"/>
        <v>113637.80872920001</v>
      </c>
      <c r="AZ16" s="9">
        <f t="shared" si="13"/>
        <v>116072.01486627602</v>
      </c>
      <c r="BA16" s="9">
        <f t="shared" si="13"/>
        <v>118559.7486249683</v>
      </c>
      <c r="BB16" s="9">
        <f t="shared" si="13"/>
        <v>121102.22586267543</v>
      </c>
      <c r="BC16" s="9">
        <f t="shared" si="13"/>
        <v>123700.69111309294</v>
      </c>
      <c r="BD16" s="9">
        <f t="shared" si="13"/>
        <v>126356.4182905137</v>
      </c>
      <c r="BE16" s="9">
        <f t="shared" si="13"/>
        <v>129070.71141213767</v>
      </c>
      <c r="BF16" s="9">
        <f t="shared" si="13"/>
        <v>131844.9053388685</v>
      </c>
    </row>
    <row r="17" spans="2:58" x14ac:dyDescent="0.3">
      <c r="B17" s="1" t="s">
        <v>18</v>
      </c>
      <c r="P17" s="7">
        <v>15123</v>
      </c>
      <c r="Q17" s="7">
        <v>14464</v>
      </c>
      <c r="R17" s="7">
        <v>16724</v>
      </c>
      <c r="S17" s="7">
        <v>12064</v>
      </c>
      <c r="T17" s="7">
        <v>12907</v>
      </c>
      <c r="U17" s="7">
        <v>18413</v>
      </c>
      <c r="V17" s="7">
        <v>14010</v>
      </c>
      <c r="W17" s="7">
        <v>14379</v>
      </c>
      <c r="X17" s="7">
        <v>17406</v>
      </c>
      <c r="Y17" s="7">
        <f>Y14*0.9</f>
        <v>17658.810000000001</v>
      </c>
      <c r="Z17" s="7">
        <f>Z14*0.89</f>
        <v>18006.213</v>
      </c>
      <c r="AD17" s="7">
        <v>45375</v>
      </c>
      <c r="AE17" s="7">
        <v>41662</v>
      </c>
      <c r="AF17" s="7">
        <v>47639</v>
      </c>
      <c r="AG17" s="7">
        <v>42194</v>
      </c>
      <c r="AH17" s="7">
        <v>46642</v>
      </c>
      <c r="AI17" s="7">
        <v>60309</v>
      </c>
      <c r="AJ17" s="7">
        <v>65640</v>
      </c>
      <c r="AK17" s="7">
        <v>68551</v>
      </c>
      <c r="AL17" s="7">
        <v>73446</v>
      </c>
      <c r="AM17" s="7">
        <v>71013</v>
      </c>
      <c r="AN17" s="7">
        <v>68879</v>
      </c>
      <c r="AO17" s="7">
        <v>72922</v>
      </c>
      <c r="AP17" s="7">
        <v>62877</v>
      </c>
      <c r="AQ17" s="7">
        <v>54568</v>
      </c>
      <c r="AR17" s="7">
        <v>49954</v>
      </c>
      <c r="AS17" s="7">
        <v>53969</v>
      </c>
      <c r="AT17" s="7">
        <v>59864</v>
      </c>
      <c r="AU17" s="7">
        <v>57394</v>
      </c>
      <c r="AV17" s="7">
        <f>SUM(W17:Z17)</f>
        <v>67450.023000000001</v>
      </c>
      <c r="AW17" s="7">
        <f>AW14*0.87</f>
        <v>78426.950400000002</v>
      </c>
      <c r="AX17" s="7">
        <f>AX14*0.86</f>
        <v>81401.765759999995</v>
      </c>
      <c r="AY17" s="7">
        <f>AY14*0.85</f>
        <v>82868.890608000002</v>
      </c>
      <c r="AZ17" s="7">
        <f>AZ14*0.84</f>
        <v>83531.841732864006</v>
      </c>
      <c r="BA17" s="7">
        <f>BA14*0.83</f>
        <v>84188.16334647937</v>
      </c>
      <c r="BB17" s="7">
        <f>BB14*0.82</f>
        <v>84837.325087946199</v>
      </c>
      <c r="BC17" s="7">
        <f>BC14*0.81</f>
        <v>85478.778033733121</v>
      </c>
      <c r="BD17" s="7">
        <f>BD14*0.81</f>
        <v>87188.353594407774</v>
      </c>
      <c r="BE17" s="7">
        <f t="shared" ref="BE17:BF17" si="14">BE14*0.81</f>
        <v>88932.12066629593</v>
      </c>
      <c r="BF17" s="7">
        <f t="shared" si="14"/>
        <v>90710.763079621858</v>
      </c>
    </row>
    <row r="18" spans="2:58" x14ac:dyDescent="0.3">
      <c r="B18" s="1" t="s">
        <v>19</v>
      </c>
      <c r="P18" s="7">
        <v>2689</v>
      </c>
      <c r="Q18" s="7">
        <v>2475</v>
      </c>
      <c r="R18" s="7">
        <v>2597</v>
      </c>
      <c r="S18" s="7">
        <v>2629</v>
      </c>
      <c r="T18" s="7">
        <v>2730</v>
      </c>
      <c r="U18" s="7">
        <v>2934</v>
      </c>
      <c r="V18" s="7">
        <v>2821</v>
      </c>
      <c r="W18" s="7">
        <v>2700</v>
      </c>
      <c r="X18" s="7">
        <v>2908</v>
      </c>
      <c r="Y18" s="7">
        <f t="shared" ref="Y18:Z18" si="15">Y15*0.85</f>
        <v>3119.2110000000002</v>
      </c>
      <c r="Z18" s="7">
        <f t="shared" si="15"/>
        <v>3152.2335000000003</v>
      </c>
      <c r="AD18" s="7">
        <f>7732+295</f>
        <v>8027</v>
      </c>
      <c r="AE18" s="7">
        <f>8467+223</f>
        <v>8690</v>
      </c>
      <c r="AF18" s="7">
        <f>8726+175</f>
        <v>8901</v>
      </c>
      <c r="AG18" s="7">
        <f>9489+160</f>
        <v>9649</v>
      </c>
      <c r="AH18" s="7">
        <f>9097+128</f>
        <v>9225</v>
      </c>
      <c r="AI18" s="7">
        <f>8247+88</f>
        <v>8335</v>
      </c>
      <c r="AJ18" s="7">
        <f>7553+75</f>
        <v>7628</v>
      </c>
      <c r="AK18" s="7">
        <f>8132+69</f>
        <v>8201</v>
      </c>
      <c r="AL18" s="7">
        <f>8578+64</f>
        <v>8642</v>
      </c>
      <c r="AM18" s="7">
        <f>7954+59</f>
        <v>8013</v>
      </c>
      <c r="AN18" s="7">
        <f>7663+70</f>
        <v>7733</v>
      </c>
      <c r="AO18" s="7">
        <f>8499+69</f>
        <v>8568</v>
      </c>
      <c r="AP18" s="7">
        <f>9154+62</f>
        <v>9216</v>
      </c>
      <c r="AQ18" s="7">
        <f>9232+43</f>
        <v>9275</v>
      </c>
      <c r="AR18" s="7">
        <f>9283+32</f>
        <v>9315</v>
      </c>
      <c r="AS18" s="7">
        <v>9109</v>
      </c>
      <c r="AT18" s="7">
        <v>10206</v>
      </c>
      <c r="AU18" s="7">
        <v>11114</v>
      </c>
      <c r="AV18" s="7">
        <f>SUM(W18:Z18)</f>
        <v>11879.4445</v>
      </c>
      <c r="AW18" s="7">
        <f t="shared" ref="AW18:BF18" si="16">AW15*0.84</f>
        <v>12660.37794</v>
      </c>
      <c r="AX18" s="7">
        <f t="shared" si="16"/>
        <v>13166.7930576</v>
      </c>
      <c r="AY18" s="7">
        <f t="shared" si="16"/>
        <v>13561.796849328</v>
      </c>
      <c r="AZ18" s="7">
        <f t="shared" si="16"/>
        <v>13968.650754807841</v>
      </c>
      <c r="BA18" s="7">
        <f t="shared" si="16"/>
        <v>14387.710277452077</v>
      </c>
      <c r="BB18" s="7">
        <f t="shared" si="16"/>
        <v>14819.341585775639</v>
      </c>
      <c r="BC18" s="7">
        <f t="shared" si="16"/>
        <v>15263.921833348908</v>
      </c>
      <c r="BD18" s="7">
        <f t="shared" si="16"/>
        <v>15721.839488349375</v>
      </c>
      <c r="BE18" s="7">
        <f t="shared" si="16"/>
        <v>16193.494672999856</v>
      </c>
      <c r="BF18" s="7">
        <f t="shared" si="16"/>
        <v>16679.299513189853</v>
      </c>
    </row>
    <row r="19" spans="2:58" x14ac:dyDescent="0.3">
      <c r="B19" s="1" t="s">
        <v>14</v>
      </c>
      <c r="P19" s="7">
        <f t="shared" ref="P19:W19" si="17">P17+P18</f>
        <v>17812</v>
      </c>
      <c r="Q19" s="7">
        <f t="shared" si="17"/>
        <v>16939</v>
      </c>
      <c r="R19" s="7">
        <f t="shared" si="17"/>
        <v>19321</v>
      </c>
      <c r="S19" s="7">
        <f t="shared" si="17"/>
        <v>14693</v>
      </c>
      <c r="T19" s="7">
        <f t="shared" si="17"/>
        <v>15637</v>
      </c>
      <c r="U19" s="7">
        <f t="shared" si="17"/>
        <v>21347</v>
      </c>
      <c r="V19" s="7">
        <f t="shared" si="17"/>
        <v>16831</v>
      </c>
      <c r="W19" s="7">
        <f t="shared" si="17"/>
        <v>17079</v>
      </c>
      <c r="X19" s="7">
        <f t="shared" ref="X19" si="18">X17+X18</f>
        <v>20314</v>
      </c>
      <c r="Y19" s="7">
        <f t="shared" ref="Y19" si="19">Y17+Y18</f>
        <v>20778.021000000001</v>
      </c>
      <c r="Z19" s="7">
        <f t="shared" ref="Z19" si="20">Z17+Z18</f>
        <v>21158.446499999998</v>
      </c>
      <c r="AD19" s="7">
        <f t="shared" ref="AD19:AE19" si="21">AD17+AD18</f>
        <v>53402</v>
      </c>
      <c r="AE19" s="7">
        <f t="shared" si="21"/>
        <v>50352</v>
      </c>
      <c r="AF19" s="7">
        <f t="shared" ref="AF19:AG19" si="22">AF17+AF18</f>
        <v>56540</v>
      </c>
      <c r="AG19" s="7">
        <f t="shared" si="22"/>
        <v>51843</v>
      </c>
      <c r="AH19" s="7">
        <f t="shared" ref="AH19:AI19" si="23">AH17+AH18</f>
        <v>55867</v>
      </c>
      <c r="AI19" s="7">
        <f t="shared" si="23"/>
        <v>68644</v>
      </c>
      <c r="AJ19" s="7">
        <f t="shared" ref="AJ19" si="24">AJ17+AJ18</f>
        <v>73268</v>
      </c>
      <c r="AK19" s="7">
        <f t="shared" ref="AK19:AL19" si="25">AK17+AK18</f>
        <v>76752</v>
      </c>
      <c r="AL19" s="7">
        <f t="shared" si="25"/>
        <v>82088</v>
      </c>
      <c r="AM19" s="7">
        <f t="shared" ref="AM19:BF19" si="26">AM17+AM18</f>
        <v>79026</v>
      </c>
      <c r="AN19" s="7">
        <f t="shared" si="26"/>
        <v>76612</v>
      </c>
      <c r="AO19" s="7">
        <f t="shared" si="26"/>
        <v>81490</v>
      </c>
      <c r="AP19" s="7">
        <f t="shared" si="26"/>
        <v>72093</v>
      </c>
      <c r="AQ19" s="7">
        <f t="shared" si="26"/>
        <v>63843</v>
      </c>
      <c r="AR19" s="7">
        <f t="shared" si="26"/>
        <v>59269</v>
      </c>
      <c r="AS19" s="7">
        <f t="shared" si="26"/>
        <v>63078</v>
      </c>
      <c r="AT19" s="7">
        <f t="shared" si="26"/>
        <v>70070</v>
      </c>
      <c r="AU19" s="7">
        <f t="shared" si="26"/>
        <v>68508</v>
      </c>
      <c r="AV19" s="7">
        <f t="shared" si="26"/>
        <v>79329.467499999999</v>
      </c>
      <c r="AW19" s="7">
        <f t="shared" si="26"/>
        <v>91087.328340000007</v>
      </c>
      <c r="AX19" s="7">
        <f t="shared" si="26"/>
        <v>94568.558817599987</v>
      </c>
      <c r="AY19" s="7">
        <f t="shared" si="26"/>
        <v>96430.687457328007</v>
      </c>
      <c r="AZ19" s="7">
        <f t="shared" si="26"/>
        <v>97500.492487671843</v>
      </c>
      <c r="BA19" s="7">
        <f t="shared" si="26"/>
        <v>98575.873623931446</v>
      </c>
      <c r="BB19" s="7">
        <f t="shared" si="26"/>
        <v>99656.666673721833</v>
      </c>
      <c r="BC19" s="7">
        <f t="shared" si="26"/>
        <v>100742.69986708203</v>
      </c>
      <c r="BD19" s="7">
        <f t="shared" si="26"/>
        <v>102910.19308275715</v>
      </c>
      <c r="BE19" s="7">
        <f t="shared" si="26"/>
        <v>105125.61533929579</v>
      </c>
      <c r="BF19" s="7">
        <f t="shared" si="26"/>
        <v>107390.06259281171</v>
      </c>
    </row>
    <row r="20" spans="2:58" s="3" customFormat="1" x14ac:dyDescent="0.3">
      <c r="B20" s="3" t="s">
        <v>15</v>
      </c>
      <c r="P20" s="9">
        <f t="shared" ref="P20:W20" si="27">P16-P19</f>
        <v>1939</v>
      </c>
      <c r="Q20" s="9">
        <f t="shared" si="27"/>
        <v>1165</v>
      </c>
      <c r="R20" s="9">
        <f t="shared" si="27"/>
        <v>2697</v>
      </c>
      <c r="S20" s="9">
        <f t="shared" si="27"/>
        <v>1876</v>
      </c>
      <c r="T20" s="9">
        <f t="shared" si="27"/>
        <v>1229</v>
      </c>
      <c r="U20" s="9">
        <f t="shared" si="27"/>
        <v>-3507</v>
      </c>
      <c r="V20" s="9">
        <f t="shared" si="27"/>
        <v>-1589</v>
      </c>
      <c r="W20" s="9">
        <f t="shared" si="27"/>
        <v>2417</v>
      </c>
      <c r="X20" s="9">
        <f t="shared" ref="X20" si="28">X16-X19</f>
        <v>2435</v>
      </c>
      <c r="Y20" s="9">
        <f t="shared" ref="Y20" si="29">Y16-Y19</f>
        <v>2512.5390000000007</v>
      </c>
      <c r="Z20" s="9">
        <f t="shared" ref="Z20" si="30">Z16-Z19</f>
        <v>2781.7635000000009</v>
      </c>
      <c r="AD20" s="9">
        <f t="shared" ref="AD20:AE20" si="31">AD16-AD19</f>
        <v>12985</v>
      </c>
      <c r="AE20" s="9">
        <f t="shared" si="31"/>
        <v>10557</v>
      </c>
      <c r="AF20" s="9">
        <f t="shared" ref="AF20:AG20" si="32">AF16-AF19</f>
        <v>11741</v>
      </c>
      <c r="AG20" s="9">
        <f t="shared" si="32"/>
        <v>12463</v>
      </c>
      <c r="AH20" s="9">
        <f t="shared" ref="AH20:AI20" si="33">AH16-AH19</f>
        <v>12868</v>
      </c>
      <c r="AI20" s="9">
        <f t="shared" si="33"/>
        <v>13054</v>
      </c>
      <c r="AJ20" s="9">
        <f t="shared" ref="AJ20" si="34">AJ16-AJ19</f>
        <v>13355</v>
      </c>
      <c r="AK20" s="9">
        <f t="shared" ref="AK20:AL20" si="35">AK16-AK19</f>
        <v>14010</v>
      </c>
      <c r="AL20" s="9">
        <f t="shared" si="35"/>
        <v>14026</v>
      </c>
      <c r="AM20" s="9">
        <f t="shared" ref="AM20:BF20" si="36">AM16-AM19</f>
        <v>14470</v>
      </c>
      <c r="AN20" s="9">
        <f t="shared" si="36"/>
        <v>17393</v>
      </c>
      <c r="AO20" s="9">
        <f t="shared" si="36"/>
        <v>19637</v>
      </c>
      <c r="AP20" s="9">
        <f t="shared" si="36"/>
        <v>4466</v>
      </c>
      <c r="AQ20" s="9">
        <f t="shared" si="36"/>
        <v>-5685</v>
      </c>
      <c r="AR20" s="9">
        <f t="shared" si="36"/>
        <v>3017</v>
      </c>
      <c r="AS20" s="9">
        <f t="shared" si="36"/>
        <v>3530</v>
      </c>
      <c r="AT20" s="9">
        <f t="shared" si="36"/>
        <v>7724</v>
      </c>
      <c r="AU20" s="9">
        <f t="shared" si="36"/>
        <v>-1991</v>
      </c>
      <c r="AV20" s="9">
        <f t="shared" si="36"/>
        <v>10146.302500000005</v>
      </c>
      <c r="AW20" s="9">
        <f t="shared" si="36"/>
        <v>14130.470159999997</v>
      </c>
      <c r="AX20" s="9">
        <f t="shared" si="36"/>
        <v>15759.410822400008</v>
      </c>
      <c r="AY20" s="9">
        <f t="shared" si="36"/>
        <v>17207.121271872005</v>
      </c>
      <c r="AZ20" s="9">
        <f t="shared" si="36"/>
        <v>18571.522378604175</v>
      </c>
      <c r="BA20" s="9">
        <f t="shared" si="36"/>
        <v>19983.875001036853</v>
      </c>
      <c r="BB20" s="9">
        <f t="shared" si="36"/>
        <v>21445.559188953601</v>
      </c>
      <c r="BC20" s="9">
        <f t="shared" si="36"/>
        <v>22957.991246010904</v>
      </c>
      <c r="BD20" s="9">
        <f t="shared" si="36"/>
        <v>23446.22520775655</v>
      </c>
      <c r="BE20" s="9">
        <f t="shared" si="36"/>
        <v>23945.096072841872</v>
      </c>
      <c r="BF20" s="9">
        <f t="shared" si="36"/>
        <v>24454.842746056791</v>
      </c>
    </row>
    <row r="21" spans="2:58" x14ac:dyDescent="0.3">
      <c r="B21" s="1" t="s">
        <v>20</v>
      </c>
      <c r="P21" s="7">
        <v>-44</v>
      </c>
      <c r="Q21" s="7">
        <v>-28</v>
      </c>
      <c r="R21" s="7">
        <v>-1</v>
      </c>
      <c r="S21" s="7">
        <v>-67</v>
      </c>
      <c r="T21" s="7">
        <v>-7</v>
      </c>
      <c r="U21" s="7">
        <v>15</v>
      </c>
      <c r="V21" s="7">
        <v>-12</v>
      </c>
      <c r="W21" s="7">
        <v>-3</v>
      </c>
      <c r="X21" s="7">
        <v>-25</v>
      </c>
      <c r="Y21" s="7"/>
      <c r="Z21" s="7"/>
      <c r="AD21" s="7">
        <v>-188</v>
      </c>
      <c r="AE21" s="7">
        <v>-241</v>
      </c>
      <c r="AF21" s="7">
        <v>-249</v>
      </c>
      <c r="AG21" s="7">
        <v>-267</v>
      </c>
      <c r="AH21" s="7">
        <v>-278</v>
      </c>
      <c r="AI21" s="7">
        <v>-268</v>
      </c>
      <c r="AJ21" s="7">
        <v>-214</v>
      </c>
      <c r="AK21" s="7">
        <v>-287</v>
      </c>
      <c r="AL21" s="7">
        <v>-274</v>
      </c>
      <c r="AM21" s="7">
        <v>-303</v>
      </c>
      <c r="AN21" s="7">
        <f>-204</f>
        <v>-204</v>
      </c>
      <c r="AO21" s="7">
        <v>-111</v>
      </c>
      <c r="AP21" s="7">
        <v>4</v>
      </c>
      <c r="AQ21" s="7">
        <v>-9</v>
      </c>
      <c r="AR21" s="7">
        <v>-210</v>
      </c>
      <c r="AS21" s="7">
        <v>16</v>
      </c>
      <c r="AT21" s="7">
        <v>-46</v>
      </c>
      <c r="AU21" s="7">
        <v>-71</v>
      </c>
      <c r="AV21" s="7">
        <f>SUM(W21:Z21)</f>
        <v>-28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</row>
    <row r="22" spans="2:58" x14ac:dyDescent="0.3">
      <c r="B22" s="1" t="s">
        <v>21</v>
      </c>
      <c r="P22" s="7">
        <v>1286</v>
      </c>
      <c r="Q22" s="7">
        <v>1043</v>
      </c>
      <c r="R22" s="7">
        <v>1535</v>
      </c>
      <c r="S22" s="7">
        <v>1161</v>
      </c>
      <c r="T22" s="7">
        <v>1377</v>
      </c>
      <c r="U22" s="7">
        <v>1085</v>
      </c>
      <c r="V22" s="7">
        <v>1398</v>
      </c>
      <c r="W22" s="7">
        <v>1112</v>
      </c>
      <c r="X22" s="7">
        <v>1793</v>
      </c>
      <c r="Y22" s="7">
        <f>U22*1.5</f>
        <v>1627.5</v>
      </c>
      <c r="Z22" s="7">
        <f>V22*1.35</f>
        <v>1887.3000000000002</v>
      </c>
      <c r="AD22" s="7">
        <v>3531</v>
      </c>
      <c r="AE22" s="7">
        <v>3084</v>
      </c>
      <c r="AF22" s="7">
        <v>3364</v>
      </c>
      <c r="AG22" s="7">
        <v>3644</v>
      </c>
      <c r="AH22" s="7">
        <v>3408</v>
      </c>
      <c r="AI22" s="7">
        <v>3717</v>
      </c>
      <c r="AJ22" s="7">
        <v>3956</v>
      </c>
      <c r="AK22" s="7">
        <v>3767</v>
      </c>
      <c r="AL22" s="7">
        <v>3525</v>
      </c>
      <c r="AM22" s="7">
        <v>3613</v>
      </c>
      <c r="AN22" s="7">
        <v>4095</v>
      </c>
      <c r="AO22" s="7">
        <v>4567</v>
      </c>
      <c r="AP22" s="7">
        <v>3909</v>
      </c>
      <c r="AQ22" s="7">
        <v>4817</v>
      </c>
      <c r="AR22" s="7">
        <v>4157</v>
      </c>
      <c r="AS22" s="7">
        <v>4187</v>
      </c>
      <c r="AT22" s="7">
        <v>5168</v>
      </c>
      <c r="AU22" s="7">
        <v>5021</v>
      </c>
      <c r="AV22" s="7">
        <f>SUM(W22:Z22)</f>
        <v>6419.8</v>
      </c>
      <c r="AW22" s="7">
        <f t="shared" ref="AW22:BF23" si="37">AV22*1.01</f>
        <v>6483.9980000000005</v>
      </c>
      <c r="AX22" s="7">
        <f t="shared" si="37"/>
        <v>6548.8379800000002</v>
      </c>
      <c r="AY22" s="7">
        <f t="shared" si="37"/>
        <v>6614.3263598000003</v>
      </c>
      <c r="AZ22" s="7">
        <f t="shared" si="37"/>
        <v>6680.4696233980003</v>
      </c>
      <c r="BA22" s="7">
        <f t="shared" si="37"/>
        <v>6747.2743196319807</v>
      </c>
      <c r="BB22" s="7">
        <f t="shared" si="37"/>
        <v>6814.7470628283008</v>
      </c>
      <c r="BC22" s="7">
        <f t="shared" si="37"/>
        <v>6882.8945334565842</v>
      </c>
      <c r="BD22" s="7">
        <f t="shared" si="37"/>
        <v>6951.7234787911502</v>
      </c>
      <c r="BE22" s="7">
        <f t="shared" si="37"/>
        <v>7021.2407135790618</v>
      </c>
      <c r="BF22" s="7">
        <f t="shared" si="37"/>
        <v>7091.453120714852</v>
      </c>
    </row>
    <row r="23" spans="2:58" x14ac:dyDescent="0.3">
      <c r="B23" s="1" t="s">
        <v>22</v>
      </c>
      <c r="P23" s="7">
        <v>797</v>
      </c>
      <c r="Q23" s="7">
        <v>958</v>
      </c>
      <c r="R23" s="7">
        <v>881</v>
      </c>
      <c r="S23" s="7">
        <v>868</v>
      </c>
      <c r="T23" s="7">
        <v>954</v>
      </c>
      <c r="U23" s="7">
        <v>1154</v>
      </c>
      <c r="V23" s="7">
        <v>836</v>
      </c>
      <c r="W23" s="7">
        <v>844</v>
      </c>
      <c r="X23" s="7">
        <v>910</v>
      </c>
      <c r="Y23" s="7">
        <f>U23*0.9</f>
        <v>1038.6000000000001</v>
      </c>
      <c r="Z23" s="7">
        <f t="shared" ref="Z23" si="38">V23*1.01</f>
        <v>844.36</v>
      </c>
      <c r="AD23" s="7">
        <v>3850</v>
      </c>
      <c r="AE23" s="7">
        <v>3768</v>
      </c>
      <c r="AF23" s="7">
        <v>6506</v>
      </c>
      <c r="AG23" s="7">
        <v>4121</v>
      </c>
      <c r="AH23" s="7">
        <v>3918</v>
      </c>
      <c r="AI23" s="7">
        <v>3298</v>
      </c>
      <c r="AJ23" s="7">
        <v>3071</v>
      </c>
      <c r="AK23" s="7">
        <v>3047</v>
      </c>
      <c r="AL23" s="7">
        <v>3331</v>
      </c>
      <c r="AM23" s="7">
        <v>4626</v>
      </c>
      <c r="AN23" s="7">
        <v>3179</v>
      </c>
      <c r="AO23" s="7">
        <v>3269</v>
      </c>
      <c r="AP23" s="7">
        <v>3219</v>
      </c>
      <c r="AQ23" s="7">
        <v>2476</v>
      </c>
      <c r="AR23" s="7">
        <v>2249</v>
      </c>
      <c r="AS23" s="7">
        <v>2852</v>
      </c>
      <c r="AT23" s="7">
        <v>3377</v>
      </c>
      <c r="AU23" s="7">
        <v>3812</v>
      </c>
      <c r="AV23" s="7">
        <f>SUM(W23:Z23)</f>
        <v>3636.9600000000005</v>
      </c>
      <c r="AW23" s="7">
        <f t="shared" ref="AW23:AZ23" si="39">AV23*1.02</f>
        <v>3709.6992000000005</v>
      </c>
      <c r="AX23" s="7">
        <f t="shared" si="39"/>
        <v>3783.8931840000005</v>
      </c>
      <c r="AY23" s="7">
        <f t="shared" si="39"/>
        <v>3859.5710476800004</v>
      </c>
      <c r="AZ23" s="7">
        <f t="shared" si="39"/>
        <v>3936.7624686336007</v>
      </c>
      <c r="BA23" s="7">
        <f>AZ23*1.01</f>
        <v>3976.1300933199368</v>
      </c>
      <c r="BB23" s="7">
        <f t="shared" si="37"/>
        <v>4015.8913942531362</v>
      </c>
      <c r="BC23" s="7">
        <f t="shared" si="37"/>
        <v>4056.0503081956676</v>
      </c>
      <c r="BD23" s="7">
        <f t="shared" si="37"/>
        <v>4096.6108112776246</v>
      </c>
      <c r="BE23" s="7">
        <f t="shared" si="37"/>
        <v>4137.5769193904007</v>
      </c>
      <c r="BF23" s="7">
        <f t="shared" si="37"/>
        <v>4178.9526885843052</v>
      </c>
    </row>
    <row r="24" spans="2:58" x14ac:dyDescent="0.3">
      <c r="B24" s="1" t="s">
        <v>79</v>
      </c>
      <c r="P24" s="7">
        <v>-1</v>
      </c>
      <c r="Q24" s="7">
        <v>0</v>
      </c>
      <c r="R24" s="7">
        <v>-1</v>
      </c>
      <c r="S24" s="7">
        <v>0</v>
      </c>
      <c r="T24" s="7">
        <v>-5</v>
      </c>
      <c r="U24" s="7">
        <v>0</v>
      </c>
      <c r="V24" s="7">
        <v>-41</v>
      </c>
      <c r="W24" s="7">
        <v>3</v>
      </c>
      <c r="X24" s="7">
        <v>-67</v>
      </c>
      <c r="Y24" s="7">
        <v>0</v>
      </c>
      <c r="Z24" s="7">
        <v>0</v>
      </c>
      <c r="AD24" s="7">
        <v>-38</v>
      </c>
      <c r="AE24" s="7">
        <v>-4</v>
      </c>
      <c r="AF24" s="7">
        <v>24</v>
      </c>
      <c r="AG24" s="7">
        <v>-6</v>
      </c>
      <c r="AH24" s="7">
        <v>-24</v>
      </c>
      <c r="AI24" s="7">
        <v>-4</v>
      </c>
      <c r="AJ24" s="7">
        <v>-20</v>
      </c>
      <c r="AK24" s="7">
        <v>10</v>
      </c>
      <c r="AL24" s="7">
        <v>1</v>
      </c>
      <c r="AM24" s="7">
        <v>7</v>
      </c>
      <c r="AN24" s="7">
        <v>-21</v>
      </c>
      <c r="AO24" s="7">
        <v>-75</v>
      </c>
      <c r="AP24" s="7">
        <v>-691</v>
      </c>
      <c r="AQ24" s="7">
        <v>-202</v>
      </c>
      <c r="AR24" s="7">
        <v>-277</v>
      </c>
      <c r="AS24" s="7">
        <v>-6</v>
      </c>
      <c r="AT24" s="7">
        <v>-2</v>
      </c>
      <c r="AU24" s="7">
        <v>-46</v>
      </c>
      <c r="AV24" s="7">
        <f>SUM(W24:Z24)</f>
        <v>-64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</row>
    <row r="25" spans="2:58" x14ac:dyDescent="0.3">
      <c r="B25" s="1" t="s">
        <v>23</v>
      </c>
      <c r="P25" s="7">
        <f t="shared" ref="P25:W25" si="40">SUM(P21:P24)</f>
        <v>2038</v>
      </c>
      <c r="Q25" s="7">
        <f t="shared" si="40"/>
        <v>1973</v>
      </c>
      <c r="R25" s="7">
        <f t="shared" si="40"/>
        <v>2414</v>
      </c>
      <c r="S25" s="7">
        <f t="shared" si="40"/>
        <v>1962</v>
      </c>
      <c r="T25" s="7">
        <f t="shared" si="40"/>
        <v>2319</v>
      </c>
      <c r="U25" s="7">
        <f t="shared" si="40"/>
        <v>2254</v>
      </c>
      <c r="V25" s="7">
        <f t="shared" si="40"/>
        <v>2181</v>
      </c>
      <c r="W25" s="7">
        <f t="shared" si="40"/>
        <v>1956</v>
      </c>
      <c r="X25" s="7">
        <f t="shared" ref="X25" si="41">SUM(X21:X24)</f>
        <v>2611</v>
      </c>
      <c r="Y25" s="7">
        <f t="shared" ref="Y25" si="42">SUM(Y21:Y24)</f>
        <v>2666.1000000000004</v>
      </c>
      <c r="Z25" s="7">
        <f t="shared" ref="Z25" si="43">SUM(Z21:Z24)</f>
        <v>2731.6600000000003</v>
      </c>
      <c r="AD25" s="7">
        <f t="shared" ref="AD25:AE25" si="44">SUM(AD21:AD24)</f>
        <v>7155</v>
      </c>
      <c r="AE25" s="7">
        <f t="shared" si="44"/>
        <v>6607</v>
      </c>
      <c r="AF25" s="7">
        <f t="shared" ref="AF25:AG25" si="45">SUM(AF21:AF24)</f>
        <v>9645</v>
      </c>
      <c r="AG25" s="7">
        <f t="shared" si="45"/>
        <v>7492</v>
      </c>
      <c r="AH25" s="7">
        <f t="shared" ref="AH25:AI25" si="46">SUM(AH21:AH24)</f>
        <v>7024</v>
      </c>
      <c r="AI25" s="7">
        <f t="shared" si="46"/>
        <v>6743</v>
      </c>
      <c r="AJ25" s="7">
        <f t="shared" ref="AJ25" si="47">SUM(AJ21:AJ24)</f>
        <v>6793</v>
      </c>
      <c r="AK25" s="7">
        <f t="shared" ref="AK25:AL25" si="48">SUM(AK21:AK24)</f>
        <v>6537</v>
      </c>
      <c r="AL25" s="7">
        <f t="shared" si="48"/>
        <v>6583</v>
      </c>
      <c r="AM25" s="7">
        <f t="shared" ref="AM25:BF25" si="49">SUM(AM21:AM24)</f>
        <v>7943</v>
      </c>
      <c r="AN25" s="7">
        <f t="shared" si="49"/>
        <v>7049</v>
      </c>
      <c r="AO25" s="7">
        <f t="shared" si="49"/>
        <v>7650</v>
      </c>
      <c r="AP25" s="7">
        <f t="shared" si="49"/>
        <v>6441</v>
      </c>
      <c r="AQ25" s="7">
        <f t="shared" si="49"/>
        <v>7082</v>
      </c>
      <c r="AR25" s="7">
        <f t="shared" si="49"/>
        <v>5919</v>
      </c>
      <c r="AS25" s="7">
        <f t="shared" si="49"/>
        <v>7049</v>
      </c>
      <c r="AT25" s="7">
        <f t="shared" si="49"/>
        <v>8497</v>
      </c>
      <c r="AU25" s="7">
        <f t="shared" si="49"/>
        <v>8716</v>
      </c>
      <c r="AV25" s="7">
        <f t="shared" si="49"/>
        <v>9964.76</v>
      </c>
      <c r="AW25" s="7">
        <f t="shared" si="49"/>
        <v>10193.697200000001</v>
      </c>
      <c r="AX25" s="7">
        <f t="shared" si="49"/>
        <v>10332.731164000001</v>
      </c>
      <c r="AY25" s="7">
        <f t="shared" si="49"/>
        <v>10473.897407480001</v>
      </c>
      <c r="AZ25" s="7">
        <f t="shared" si="49"/>
        <v>10617.232092031601</v>
      </c>
      <c r="BA25" s="7">
        <f t="shared" si="49"/>
        <v>10723.404412951917</v>
      </c>
      <c r="BB25" s="7">
        <f t="shared" si="49"/>
        <v>10830.638457081437</v>
      </c>
      <c r="BC25" s="7">
        <f t="shared" si="49"/>
        <v>10938.944841652252</v>
      </c>
      <c r="BD25" s="7">
        <f t="shared" si="49"/>
        <v>11048.334290068775</v>
      </c>
      <c r="BE25" s="7">
        <f t="shared" si="49"/>
        <v>11158.817632969462</v>
      </c>
      <c r="BF25" s="7">
        <f t="shared" si="49"/>
        <v>11270.405809299158</v>
      </c>
    </row>
    <row r="26" spans="2:58" s="3" customFormat="1" x14ac:dyDescent="0.3">
      <c r="B26" s="3" t="s">
        <v>24</v>
      </c>
      <c r="P26" s="9">
        <f t="shared" ref="P26:W26" si="50">P20-P25</f>
        <v>-99</v>
      </c>
      <c r="Q26" s="9">
        <f t="shared" si="50"/>
        <v>-808</v>
      </c>
      <c r="R26" s="9">
        <f t="shared" si="50"/>
        <v>283</v>
      </c>
      <c r="S26" s="9">
        <f t="shared" si="50"/>
        <v>-86</v>
      </c>
      <c r="T26" s="9">
        <f t="shared" si="50"/>
        <v>-1090</v>
      </c>
      <c r="U26" s="9">
        <f t="shared" si="50"/>
        <v>-5761</v>
      </c>
      <c r="V26" s="9">
        <f t="shared" si="50"/>
        <v>-3770</v>
      </c>
      <c r="W26" s="9">
        <f t="shared" si="50"/>
        <v>461</v>
      </c>
      <c r="X26" s="9">
        <f t="shared" ref="X26" si="51">X20-X25</f>
        <v>-176</v>
      </c>
      <c r="Y26" s="9">
        <f t="shared" ref="Y26" si="52">Y20-Y25</f>
        <v>-153.56099999999969</v>
      </c>
      <c r="Z26" s="9">
        <f t="shared" ref="Z26" si="53">Z20-Z25</f>
        <v>50.103500000000622</v>
      </c>
      <c r="AD26" s="9">
        <f t="shared" ref="AD26:AE26" si="54">AD20-AD25</f>
        <v>5830</v>
      </c>
      <c r="AE26" s="9">
        <f t="shared" si="54"/>
        <v>3950</v>
      </c>
      <c r="AF26" s="9">
        <f t="shared" ref="AF26:AG26" si="55">AF20-AF25</f>
        <v>2096</v>
      </c>
      <c r="AG26" s="9">
        <f t="shared" si="55"/>
        <v>4971</v>
      </c>
      <c r="AH26" s="9">
        <f t="shared" ref="AH26:AI26" si="56">AH20-AH25</f>
        <v>5844</v>
      </c>
      <c r="AI26" s="9">
        <f t="shared" si="56"/>
        <v>6311</v>
      </c>
      <c r="AJ26" s="9">
        <f t="shared" ref="AJ26" si="57">AJ20-AJ25</f>
        <v>6562</v>
      </c>
      <c r="AK26" s="9">
        <f t="shared" ref="AK26:AL26" si="58">AK20-AK25</f>
        <v>7473</v>
      </c>
      <c r="AL26" s="9">
        <f t="shared" si="58"/>
        <v>7443</v>
      </c>
      <c r="AM26" s="9">
        <f t="shared" ref="AM26:BF26" si="59">AM20-AM25</f>
        <v>6527</v>
      </c>
      <c r="AN26" s="9">
        <f t="shared" si="59"/>
        <v>10344</v>
      </c>
      <c r="AO26" s="9">
        <f t="shared" si="59"/>
        <v>11987</v>
      </c>
      <c r="AP26" s="9">
        <f t="shared" si="59"/>
        <v>-1975</v>
      </c>
      <c r="AQ26" s="9">
        <f t="shared" si="59"/>
        <v>-12767</v>
      </c>
      <c r="AR26" s="9">
        <f t="shared" si="59"/>
        <v>-2902</v>
      </c>
      <c r="AS26" s="9">
        <f t="shared" si="59"/>
        <v>-3519</v>
      </c>
      <c r="AT26" s="9">
        <f t="shared" si="59"/>
        <v>-773</v>
      </c>
      <c r="AU26" s="9">
        <f t="shared" si="59"/>
        <v>-10707</v>
      </c>
      <c r="AV26" s="9">
        <f t="shared" si="59"/>
        <v>181.54250000000502</v>
      </c>
      <c r="AW26" s="9">
        <f t="shared" si="59"/>
        <v>3936.7729599999966</v>
      </c>
      <c r="AX26" s="9">
        <f t="shared" si="59"/>
        <v>5426.6796584000076</v>
      </c>
      <c r="AY26" s="9">
        <f t="shared" si="59"/>
        <v>6733.2238643920045</v>
      </c>
      <c r="AZ26" s="9">
        <f t="shared" si="59"/>
        <v>7954.2902865725737</v>
      </c>
      <c r="BA26" s="9">
        <f t="shared" si="59"/>
        <v>9260.470588084936</v>
      </c>
      <c r="BB26" s="9">
        <f t="shared" si="59"/>
        <v>10614.920731872164</v>
      </c>
      <c r="BC26" s="9">
        <f t="shared" si="59"/>
        <v>12019.046404358653</v>
      </c>
      <c r="BD26" s="9">
        <f t="shared" si="59"/>
        <v>12397.890917687775</v>
      </c>
      <c r="BE26" s="9">
        <f t="shared" si="59"/>
        <v>12786.278439872411</v>
      </c>
      <c r="BF26" s="9">
        <f t="shared" si="59"/>
        <v>13184.436936757633</v>
      </c>
    </row>
    <row r="27" spans="2:58" x14ac:dyDescent="0.3">
      <c r="B27" s="1" t="s">
        <v>25</v>
      </c>
      <c r="P27" s="7">
        <v>-320</v>
      </c>
      <c r="Q27" s="7">
        <v>-297</v>
      </c>
      <c r="R27" s="7">
        <v>-308</v>
      </c>
      <c r="S27" s="7">
        <v>-277</v>
      </c>
      <c r="T27" s="7">
        <v>-248</v>
      </c>
      <c r="U27" s="7">
        <v>-265</v>
      </c>
      <c r="V27" s="7">
        <v>-432</v>
      </c>
      <c r="W27" s="7">
        <v>-323</v>
      </c>
      <c r="X27" s="7">
        <v>-325</v>
      </c>
      <c r="Y27" s="7">
        <f t="shared" ref="Y27:Z28" si="60">U27*1.01</f>
        <v>-267.64999999999998</v>
      </c>
      <c r="Z27" s="7">
        <f t="shared" si="60"/>
        <v>-436.32</v>
      </c>
      <c r="AD27" s="7">
        <v>-484</v>
      </c>
      <c r="AE27" s="7">
        <v>-247</v>
      </c>
      <c r="AF27" s="7">
        <v>26</v>
      </c>
      <c r="AG27" s="7">
        <v>-52</v>
      </c>
      <c r="AH27" s="7">
        <v>-47</v>
      </c>
      <c r="AI27" s="7">
        <v>-62</v>
      </c>
      <c r="AJ27" s="7">
        <v>-56</v>
      </c>
      <c r="AK27" s="7">
        <v>3</v>
      </c>
      <c r="AL27" s="7">
        <v>13</v>
      </c>
      <c r="AM27" s="7">
        <v>438</v>
      </c>
      <c r="AN27" s="7">
        <v>-123</v>
      </c>
      <c r="AO27" s="7">
        <v>-92</v>
      </c>
      <c r="AP27" s="7">
        <v>-438</v>
      </c>
      <c r="AQ27" s="7">
        <v>-447</v>
      </c>
      <c r="AR27" s="7">
        <v>-551</v>
      </c>
      <c r="AS27" s="7">
        <v>-1058</v>
      </c>
      <c r="AT27" s="7">
        <v>-1227</v>
      </c>
      <c r="AU27" s="7">
        <v>-1222</v>
      </c>
      <c r="AV27" s="7">
        <f>SUM(W27:Z27)</f>
        <v>-1351.97</v>
      </c>
      <c r="AW27" s="7">
        <f t="shared" ref="AW27:BF27" si="61">AV27*1.02</f>
        <v>-1379.0094000000001</v>
      </c>
      <c r="AX27" s="7">
        <f t="shared" si="61"/>
        <v>-1406.5895880000003</v>
      </c>
      <c r="AY27" s="7">
        <f t="shared" si="61"/>
        <v>-1434.7213797600002</v>
      </c>
      <c r="AZ27" s="7">
        <f t="shared" si="61"/>
        <v>-1463.4158073552003</v>
      </c>
      <c r="BA27" s="7">
        <f t="shared" si="61"/>
        <v>-1492.6841235023044</v>
      </c>
      <c r="BB27" s="7">
        <f t="shared" si="61"/>
        <v>-1522.5378059723505</v>
      </c>
      <c r="BC27" s="7">
        <f t="shared" si="61"/>
        <v>-1552.9885620917976</v>
      </c>
      <c r="BD27" s="7">
        <f t="shared" si="61"/>
        <v>-1584.0483333336335</v>
      </c>
      <c r="BE27" s="7">
        <f t="shared" si="61"/>
        <v>-1615.7293000003062</v>
      </c>
      <c r="BF27" s="7">
        <f t="shared" si="61"/>
        <v>-1648.0438860003123</v>
      </c>
    </row>
    <row r="28" spans="2:58" x14ac:dyDescent="0.3">
      <c r="B28" s="1" t="s">
        <v>26</v>
      </c>
      <c r="P28" s="7">
        <v>621</v>
      </c>
      <c r="Q28" s="7">
        <v>589</v>
      </c>
      <c r="R28" s="7">
        <v>600</v>
      </c>
      <c r="S28" s="7">
        <v>569</v>
      </c>
      <c r="T28" s="7">
        <v>673</v>
      </c>
      <c r="U28" s="7">
        <v>728</v>
      </c>
      <c r="V28" s="7">
        <v>755</v>
      </c>
      <c r="W28" s="7">
        <v>708</v>
      </c>
      <c r="X28" s="7">
        <v>710</v>
      </c>
      <c r="Y28" s="7">
        <f t="shared" si="60"/>
        <v>735.28</v>
      </c>
      <c r="Z28" s="7">
        <f t="shared" si="60"/>
        <v>762.55</v>
      </c>
      <c r="AD28" s="7">
        <v>196</v>
      </c>
      <c r="AE28" s="7">
        <v>202</v>
      </c>
      <c r="AF28" s="7">
        <v>339</v>
      </c>
      <c r="AG28" s="7">
        <v>516</v>
      </c>
      <c r="AH28" s="7">
        <v>498</v>
      </c>
      <c r="AI28" s="7">
        <v>463</v>
      </c>
      <c r="AJ28" s="7">
        <v>386</v>
      </c>
      <c r="AK28" s="7">
        <v>333</v>
      </c>
      <c r="AL28" s="7">
        <v>275</v>
      </c>
      <c r="AM28" s="7">
        <v>306</v>
      </c>
      <c r="AN28" s="7">
        <v>360</v>
      </c>
      <c r="AO28" s="7">
        <v>475</v>
      </c>
      <c r="AP28" s="7">
        <v>722</v>
      </c>
      <c r="AQ28" s="7">
        <v>2156</v>
      </c>
      <c r="AR28" s="7">
        <v>2682</v>
      </c>
      <c r="AS28" s="7">
        <v>2561</v>
      </c>
      <c r="AT28" s="7">
        <v>2459</v>
      </c>
      <c r="AU28" s="7">
        <v>2725</v>
      </c>
      <c r="AV28" s="7">
        <f>SUM(W28:Z28)</f>
        <v>2915.83</v>
      </c>
      <c r="AW28" s="7">
        <f t="shared" ref="AW28:BF28" si="62">AV28*1.01</f>
        <v>2944.9883</v>
      </c>
      <c r="AX28" s="7">
        <f t="shared" si="62"/>
        <v>2974.4381830000002</v>
      </c>
      <c r="AY28" s="7">
        <f t="shared" si="62"/>
        <v>3004.18256483</v>
      </c>
      <c r="AZ28" s="7">
        <f t="shared" si="62"/>
        <v>3034.2243904782999</v>
      </c>
      <c r="BA28" s="7">
        <f t="shared" si="62"/>
        <v>3064.5666343830831</v>
      </c>
      <c r="BB28" s="7">
        <f t="shared" si="62"/>
        <v>3095.2123007269138</v>
      </c>
      <c r="BC28" s="7">
        <f t="shared" si="62"/>
        <v>3126.1644237341829</v>
      </c>
      <c r="BD28" s="7">
        <f t="shared" si="62"/>
        <v>3157.4260679715248</v>
      </c>
      <c r="BE28" s="7">
        <f t="shared" si="62"/>
        <v>3189.0003286512401</v>
      </c>
      <c r="BF28" s="7">
        <f t="shared" si="62"/>
        <v>3220.8903319377528</v>
      </c>
    </row>
    <row r="29" spans="2:58" x14ac:dyDescent="0.3">
      <c r="B29" s="1" t="s">
        <v>27</v>
      </c>
      <c r="P29" s="7">
        <f t="shared" ref="P29:W29" si="63">SUM(P27:P28)</f>
        <v>301</v>
      </c>
      <c r="Q29" s="7">
        <f t="shared" si="63"/>
        <v>292</v>
      </c>
      <c r="R29" s="7">
        <f t="shared" si="63"/>
        <v>292</v>
      </c>
      <c r="S29" s="7">
        <f t="shared" si="63"/>
        <v>292</v>
      </c>
      <c r="T29" s="7">
        <f t="shared" si="63"/>
        <v>425</v>
      </c>
      <c r="U29" s="7">
        <f t="shared" si="63"/>
        <v>463</v>
      </c>
      <c r="V29" s="7">
        <f t="shared" si="63"/>
        <v>323</v>
      </c>
      <c r="W29" s="7">
        <f t="shared" si="63"/>
        <v>385</v>
      </c>
      <c r="X29" s="7">
        <f t="shared" ref="X29" si="64">SUM(X27:X28)</f>
        <v>385</v>
      </c>
      <c r="Y29" s="7">
        <f t="shared" ref="Y29" si="65">SUM(Y27:Y28)</f>
        <v>467.63</v>
      </c>
      <c r="Z29" s="7">
        <f t="shared" ref="Z29" si="66">SUM(Z27:Z28)</f>
        <v>326.22999999999996</v>
      </c>
      <c r="AD29" s="7">
        <f t="shared" ref="AD29:AE29" si="67">SUM(AD27:AD28)</f>
        <v>-288</v>
      </c>
      <c r="AE29" s="7">
        <f t="shared" si="67"/>
        <v>-45</v>
      </c>
      <c r="AF29" s="7">
        <f t="shared" ref="AF29:AG29" si="68">SUM(AF27:AF28)</f>
        <v>365</v>
      </c>
      <c r="AG29" s="7">
        <f t="shared" si="68"/>
        <v>464</v>
      </c>
      <c r="AH29" s="7">
        <f t="shared" ref="AH29:AI29" si="69">SUM(AH27:AH28)</f>
        <v>451</v>
      </c>
      <c r="AI29" s="7">
        <f t="shared" si="69"/>
        <v>401</v>
      </c>
      <c r="AJ29" s="7">
        <f t="shared" ref="AJ29" si="70">SUM(AJ27:AJ28)</f>
        <v>330</v>
      </c>
      <c r="AK29" s="7">
        <f t="shared" ref="AK29:AL29" si="71">SUM(AK27:AK28)</f>
        <v>336</v>
      </c>
      <c r="AL29" s="7">
        <f t="shared" si="71"/>
        <v>288</v>
      </c>
      <c r="AM29" s="7">
        <f t="shared" ref="AM29:BF29" si="72">SUM(AM27:AM28)</f>
        <v>744</v>
      </c>
      <c r="AN29" s="7">
        <f t="shared" si="72"/>
        <v>237</v>
      </c>
      <c r="AO29" s="7">
        <f t="shared" si="72"/>
        <v>383</v>
      </c>
      <c r="AP29" s="7">
        <f t="shared" si="72"/>
        <v>284</v>
      </c>
      <c r="AQ29" s="7">
        <f t="shared" si="72"/>
        <v>1709</v>
      </c>
      <c r="AR29" s="7">
        <f t="shared" si="72"/>
        <v>2131</v>
      </c>
      <c r="AS29" s="7">
        <f t="shared" si="72"/>
        <v>1503</v>
      </c>
      <c r="AT29" s="7">
        <f t="shared" si="72"/>
        <v>1232</v>
      </c>
      <c r="AU29" s="7">
        <f t="shared" si="72"/>
        <v>1503</v>
      </c>
      <c r="AV29" s="7">
        <f t="shared" si="72"/>
        <v>1563.86</v>
      </c>
      <c r="AW29" s="7">
        <f t="shared" si="72"/>
        <v>1565.9788999999998</v>
      </c>
      <c r="AX29" s="7">
        <f t="shared" si="72"/>
        <v>1567.8485949999999</v>
      </c>
      <c r="AY29" s="7">
        <f t="shared" si="72"/>
        <v>1569.4611850699998</v>
      </c>
      <c r="AZ29" s="7">
        <f t="shared" si="72"/>
        <v>1570.8085831230997</v>
      </c>
      <c r="BA29" s="7">
        <f t="shared" si="72"/>
        <v>1571.8825108807787</v>
      </c>
      <c r="BB29" s="7">
        <f t="shared" si="72"/>
        <v>1572.6744947545633</v>
      </c>
      <c r="BC29" s="7">
        <f t="shared" si="72"/>
        <v>1573.1758616423854</v>
      </c>
      <c r="BD29" s="7">
        <f t="shared" si="72"/>
        <v>1573.3777346378913</v>
      </c>
      <c r="BE29" s="7">
        <f t="shared" si="72"/>
        <v>1573.2710286509339</v>
      </c>
      <c r="BF29" s="7">
        <f t="shared" si="72"/>
        <v>1572.8464459374404</v>
      </c>
    </row>
    <row r="30" spans="2:58" s="3" customFormat="1" x14ac:dyDescent="0.3">
      <c r="B30" s="3" t="s">
        <v>28</v>
      </c>
      <c r="P30" s="9">
        <f t="shared" ref="P30:W30" si="73">P26-P29</f>
        <v>-400</v>
      </c>
      <c r="Q30" s="9">
        <f t="shared" si="73"/>
        <v>-1100</v>
      </c>
      <c r="R30" s="9">
        <f t="shared" si="73"/>
        <v>-9</v>
      </c>
      <c r="S30" s="9">
        <f t="shared" si="73"/>
        <v>-378</v>
      </c>
      <c r="T30" s="9">
        <f t="shared" si="73"/>
        <v>-1515</v>
      </c>
      <c r="U30" s="9">
        <f t="shared" si="73"/>
        <v>-6224</v>
      </c>
      <c r="V30" s="9">
        <f t="shared" si="73"/>
        <v>-4093</v>
      </c>
      <c r="W30" s="9">
        <f t="shared" si="73"/>
        <v>76</v>
      </c>
      <c r="X30" s="9">
        <f t="shared" ref="X30" si="74">X26-X29</f>
        <v>-561</v>
      </c>
      <c r="Y30" s="9">
        <f t="shared" ref="Y30" si="75">Y26-Y29</f>
        <v>-621.19099999999969</v>
      </c>
      <c r="Z30" s="9">
        <f t="shared" ref="Z30" si="76">Z26-Z29</f>
        <v>-276.12649999999934</v>
      </c>
      <c r="AD30" s="9">
        <f t="shared" ref="AD30:AE30" si="77">AD26-AD29</f>
        <v>6118</v>
      </c>
      <c r="AE30" s="9">
        <f t="shared" si="77"/>
        <v>3995</v>
      </c>
      <c r="AF30" s="9">
        <f t="shared" ref="AF30:AG30" si="78">AF26-AF29</f>
        <v>1731</v>
      </c>
      <c r="AG30" s="9">
        <f t="shared" si="78"/>
        <v>4507</v>
      </c>
      <c r="AH30" s="9">
        <f t="shared" ref="AH30:AI30" si="79">AH26-AH29</f>
        <v>5393</v>
      </c>
      <c r="AI30" s="9">
        <f t="shared" si="79"/>
        <v>5910</v>
      </c>
      <c r="AJ30" s="9">
        <f t="shared" ref="AJ30" si="80">AJ26-AJ29</f>
        <v>6232</v>
      </c>
      <c r="AK30" s="9">
        <f t="shared" ref="AK30:AL30" si="81">AK26-AK29</f>
        <v>7137</v>
      </c>
      <c r="AL30" s="9">
        <f t="shared" si="81"/>
        <v>7155</v>
      </c>
      <c r="AM30" s="9">
        <f t="shared" ref="AM30:BF30" si="82">AM26-AM29</f>
        <v>5783</v>
      </c>
      <c r="AN30" s="9">
        <f t="shared" si="82"/>
        <v>10107</v>
      </c>
      <c r="AO30" s="9">
        <f t="shared" si="82"/>
        <v>11604</v>
      </c>
      <c r="AP30" s="9">
        <f t="shared" si="82"/>
        <v>-2259</v>
      </c>
      <c r="AQ30" s="9">
        <f t="shared" si="82"/>
        <v>-14476</v>
      </c>
      <c r="AR30" s="9">
        <f t="shared" si="82"/>
        <v>-5033</v>
      </c>
      <c r="AS30" s="9">
        <f t="shared" si="82"/>
        <v>-5022</v>
      </c>
      <c r="AT30" s="9">
        <f t="shared" si="82"/>
        <v>-2005</v>
      </c>
      <c r="AU30" s="9">
        <f t="shared" si="82"/>
        <v>-12210</v>
      </c>
      <c r="AV30" s="9">
        <f t="shared" si="82"/>
        <v>-1382.3174999999949</v>
      </c>
      <c r="AW30" s="9">
        <f t="shared" si="82"/>
        <v>2370.7940599999965</v>
      </c>
      <c r="AX30" s="9">
        <f t="shared" si="82"/>
        <v>3858.8310634000077</v>
      </c>
      <c r="AY30" s="9">
        <f t="shared" si="82"/>
        <v>5163.7626793220043</v>
      </c>
      <c r="AZ30" s="9">
        <f t="shared" si="82"/>
        <v>6383.4817034494736</v>
      </c>
      <c r="BA30" s="9">
        <f t="shared" si="82"/>
        <v>7688.5880772041573</v>
      </c>
      <c r="BB30" s="9">
        <f t="shared" si="82"/>
        <v>9042.2462371176007</v>
      </c>
      <c r="BC30" s="9">
        <f t="shared" si="82"/>
        <v>10445.870542716268</v>
      </c>
      <c r="BD30" s="9">
        <f t="shared" si="82"/>
        <v>10824.513183049883</v>
      </c>
      <c r="BE30" s="9">
        <f t="shared" si="82"/>
        <v>11213.007411221477</v>
      </c>
      <c r="BF30" s="9">
        <f t="shared" si="82"/>
        <v>11611.590490820192</v>
      </c>
    </row>
    <row r="31" spans="2:58" x14ac:dyDescent="0.3">
      <c r="B31" s="1" t="s">
        <v>52</v>
      </c>
      <c r="P31" s="7">
        <v>-251</v>
      </c>
      <c r="Q31" s="7">
        <v>538</v>
      </c>
      <c r="R31" s="7">
        <v>21</v>
      </c>
      <c r="S31" s="7">
        <v>23</v>
      </c>
      <c r="T31" s="7">
        <v>-76</v>
      </c>
      <c r="U31" s="7">
        <v>-50</v>
      </c>
      <c r="V31" s="7">
        <v>-232</v>
      </c>
      <c r="W31" s="7">
        <v>107</v>
      </c>
      <c r="X31" s="7">
        <v>51</v>
      </c>
      <c r="Y31" s="7">
        <f t="shared" ref="Y31:Z31" si="83">Y30*0.15</f>
        <v>-93.178649999999948</v>
      </c>
      <c r="Z31" s="7">
        <f t="shared" si="83"/>
        <v>-41.418974999999897</v>
      </c>
      <c r="AD31" s="7">
        <v>2060</v>
      </c>
      <c r="AE31" s="7">
        <v>1341</v>
      </c>
      <c r="AF31" s="7">
        <v>396</v>
      </c>
      <c r="AG31" s="7">
        <v>1196</v>
      </c>
      <c r="AH31" s="7">
        <v>1382</v>
      </c>
      <c r="AI31" s="7">
        <v>2007</v>
      </c>
      <c r="AJ31" s="7">
        <v>1646</v>
      </c>
      <c r="AK31" s="7">
        <v>1691</v>
      </c>
      <c r="AL31" s="7">
        <v>1979</v>
      </c>
      <c r="AM31" s="7">
        <v>749</v>
      </c>
      <c r="AN31" s="7">
        <v>1649</v>
      </c>
      <c r="AO31" s="7">
        <v>1144</v>
      </c>
      <c r="AP31" s="7">
        <v>-1623</v>
      </c>
      <c r="AQ31" s="7">
        <v>-2535</v>
      </c>
      <c r="AR31" s="7">
        <v>-743</v>
      </c>
      <c r="AS31" s="7">
        <v>31</v>
      </c>
      <c r="AT31" s="7">
        <v>237</v>
      </c>
      <c r="AU31" s="7">
        <v>-381</v>
      </c>
      <c r="AV31" s="7">
        <f>SUM(W31:Z31)</f>
        <v>23.402375000000156</v>
      </c>
      <c r="AW31" s="7">
        <f>AW30*0.15</f>
        <v>355.61910899999947</v>
      </c>
      <c r="AX31" s="7">
        <f t="shared" ref="AX31:BF31" si="84">AX30*0.15</f>
        <v>578.82465951000108</v>
      </c>
      <c r="AY31" s="7">
        <f t="shared" si="84"/>
        <v>774.56440189830062</v>
      </c>
      <c r="AZ31" s="7">
        <f t="shared" si="84"/>
        <v>957.52225551742094</v>
      </c>
      <c r="BA31" s="7">
        <f t="shared" si="84"/>
        <v>1153.2882115806235</v>
      </c>
      <c r="BB31" s="7">
        <f t="shared" si="84"/>
        <v>1356.33693556764</v>
      </c>
      <c r="BC31" s="7">
        <f t="shared" si="84"/>
        <v>1566.8805814074401</v>
      </c>
      <c r="BD31" s="7">
        <f t="shared" si="84"/>
        <v>1623.6769774574825</v>
      </c>
      <c r="BE31" s="7">
        <f t="shared" si="84"/>
        <v>1681.9511116832216</v>
      </c>
      <c r="BF31" s="7">
        <f t="shared" si="84"/>
        <v>1741.7385736230287</v>
      </c>
    </row>
    <row r="32" spans="2:58" x14ac:dyDescent="0.3">
      <c r="B32" s="1" t="s">
        <v>53</v>
      </c>
      <c r="P32" s="7">
        <v>0</v>
      </c>
      <c r="Q32" s="7">
        <v>-2</v>
      </c>
      <c r="R32" s="7">
        <v>-7</v>
      </c>
      <c r="S32" s="7">
        <v>-12</v>
      </c>
      <c r="T32" s="7">
        <v>0</v>
      </c>
      <c r="U32" s="7">
        <v>-4</v>
      </c>
      <c r="V32" s="7">
        <f>4+58</f>
        <v>62</v>
      </c>
      <c r="W32" s="7">
        <f>6+86</f>
        <v>92</v>
      </c>
      <c r="X32" s="7">
        <f>-1+86</f>
        <v>85</v>
      </c>
      <c r="Y32" s="7">
        <f t="shared" ref="Y32:Z32" si="85">6+86</f>
        <v>92</v>
      </c>
      <c r="Z32" s="7">
        <f t="shared" si="85"/>
        <v>92</v>
      </c>
      <c r="AD32" s="7">
        <v>-16</v>
      </c>
      <c r="AE32" s="7">
        <v>-18</v>
      </c>
      <c r="AF32" s="7">
        <v>23</v>
      </c>
      <c r="AG32" s="7">
        <v>4</v>
      </c>
      <c r="AH32" s="7">
        <v>-7</v>
      </c>
      <c r="AI32" s="7">
        <v>3</v>
      </c>
      <c r="AJ32" s="7">
        <v>1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-68</v>
      </c>
      <c r="AR32" s="7">
        <v>-88</v>
      </c>
      <c r="AS32" s="7">
        <v>-118</v>
      </c>
      <c r="AT32" s="7">
        <v>-20</v>
      </c>
      <c r="AU32" s="7">
        <f>-12+58</f>
        <v>46</v>
      </c>
      <c r="AV32" s="7">
        <f>SUM(W32:Z32)</f>
        <v>361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</row>
    <row r="33" spans="2:146" s="3" customFormat="1" x14ac:dyDescent="0.3">
      <c r="B33" s="3" t="s">
        <v>54</v>
      </c>
      <c r="P33" s="9">
        <f t="shared" ref="P33:W33" si="86">P30-P31-P32</f>
        <v>-149</v>
      </c>
      <c r="Q33" s="9">
        <f t="shared" si="86"/>
        <v>-1636</v>
      </c>
      <c r="R33" s="9">
        <f t="shared" si="86"/>
        <v>-23</v>
      </c>
      <c r="S33" s="9">
        <f t="shared" si="86"/>
        <v>-389</v>
      </c>
      <c r="T33" s="9">
        <f t="shared" si="86"/>
        <v>-1439</v>
      </c>
      <c r="U33" s="9">
        <f t="shared" si="86"/>
        <v>-6170</v>
      </c>
      <c r="V33" s="9">
        <f t="shared" si="86"/>
        <v>-3923</v>
      </c>
      <c r="W33" s="9">
        <f t="shared" si="86"/>
        <v>-123</v>
      </c>
      <c r="X33" s="9">
        <f t="shared" ref="X33" si="87">X30-X31-X32</f>
        <v>-697</v>
      </c>
      <c r="Y33" s="9">
        <f t="shared" ref="Y33" si="88">Y30-Y31-Y32</f>
        <v>-620.01234999999974</v>
      </c>
      <c r="Z33" s="9">
        <f t="shared" ref="Z33" si="89">Z30-Z31-Z32</f>
        <v>-326.70752499999946</v>
      </c>
      <c r="AD33" s="9">
        <f t="shared" ref="AD33:AE33" si="90">AD30-AD31-AD32</f>
        <v>4074</v>
      </c>
      <c r="AE33" s="9">
        <f t="shared" si="90"/>
        <v>2672</v>
      </c>
      <c r="AF33" s="9">
        <f t="shared" ref="AF33:AG33" si="91">AF30-AF31-AF32</f>
        <v>1312</v>
      </c>
      <c r="AG33" s="9">
        <f t="shared" si="91"/>
        <v>3307</v>
      </c>
      <c r="AH33" s="9">
        <f t="shared" ref="AH33:AI33" si="92">AH30-AH31-AH32</f>
        <v>4018</v>
      </c>
      <c r="AI33" s="9">
        <f t="shared" si="92"/>
        <v>3900</v>
      </c>
      <c r="AJ33" s="9">
        <f t="shared" ref="AJ33" si="93">AJ30-AJ31-AJ32</f>
        <v>4585</v>
      </c>
      <c r="AK33" s="9">
        <f t="shared" ref="AK33:AL33" si="94">AK30-AK31-AK32</f>
        <v>5446</v>
      </c>
      <c r="AL33" s="9">
        <f t="shared" si="94"/>
        <v>5176</v>
      </c>
      <c r="AM33" s="9">
        <f t="shared" ref="AM33:BF33" si="95">AM30-AM31-AM32</f>
        <v>5034</v>
      </c>
      <c r="AN33" s="9">
        <f t="shared" si="95"/>
        <v>8458</v>
      </c>
      <c r="AO33" s="9">
        <f t="shared" si="95"/>
        <v>10460</v>
      </c>
      <c r="AP33" s="9">
        <f t="shared" si="95"/>
        <v>-636</v>
      </c>
      <c r="AQ33" s="9">
        <f t="shared" si="95"/>
        <v>-11873</v>
      </c>
      <c r="AR33" s="9">
        <f t="shared" si="95"/>
        <v>-4202</v>
      </c>
      <c r="AS33" s="9">
        <f t="shared" si="95"/>
        <v>-4935</v>
      </c>
      <c r="AT33" s="9">
        <f t="shared" si="95"/>
        <v>-2222</v>
      </c>
      <c r="AU33" s="9">
        <f t="shared" si="95"/>
        <v>-11875</v>
      </c>
      <c r="AV33" s="9">
        <f t="shared" si="95"/>
        <v>-1766.719874999995</v>
      </c>
      <c r="AW33" s="9">
        <f t="shared" si="95"/>
        <v>2015.174950999997</v>
      </c>
      <c r="AX33" s="9">
        <f t="shared" si="95"/>
        <v>3280.0064038900064</v>
      </c>
      <c r="AY33" s="9">
        <f t="shared" si="95"/>
        <v>4389.198277423704</v>
      </c>
      <c r="AZ33" s="9">
        <f t="shared" si="95"/>
        <v>5425.9594479320531</v>
      </c>
      <c r="BA33" s="9">
        <f t="shared" si="95"/>
        <v>6535.2998656235341</v>
      </c>
      <c r="BB33" s="9">
        <f t="shared" si="95"/>
        <v>7685.9093015499602</v>
      </c>
      <c r="BC33" s="9">
        <f t="shared" si="95"/>
        <v>8878.9899613088273</v>
      </c>
      <c r="BD33" s="9">
        <f t="shared" si="95"/>
        <v>9200.8362055924008</v>
      </c>
      <c r="BE33" s="9">
        <f t="shared" si="95"/>
        <v>9531.0562995382552</v>
      </c>
      <c r="BF33" s="9">
        <f t="shared" si="95"/>
        <v>9869.8519171971639</v>
      </c>
      <c r="BG33" s="3">
        <f>BF33*(1+$BI$39)</f>
        <v>9771.1533980251916</v>
      </c>
      <c r="BH33" s="3">
        <f t="shared" ref="BH33:DS33" si="96">BG33*(1+$BI$39)</f>
        <v>9673.4418640449403</v>
      </c>
      <c r="BI33" s="3">
        <f t="shared" si="96"/>
        <v>9576.7074454044905</v>
      </c>
      <c r="BJ33" s="3">
        <f t="shared" si="96"/>
        <v>9480.9403709504459</v>
      </c>
      <c r="BK33" s="3">
        <f t="shared" si="96"/>
        <v>9386.1309672409407</v>
      </c>
      <c r="BL33" s="3">
        <f t="shared" si="96"/>
        <v>9292.2696575685313</v>
      </c>
      <c r="BM33" s="3">
        <f t="shared" si="96"/>
        <v>9199.3469609928452</v>
      </c>
      <c r="BN33" s="3">
        <f t="shared" si="96"/>
        <v>9107.3534913829171</v>
      </c>
      <c r="BO33" s="3">
        <f t="shared" si="96"/>
        <v>9016.2799564690886</v>
      </c>
      <c r="BP33" s="3">
        <f t="shared" si="96"/>
        <v>8926.1171569043981</v>
      </c>
      <c r="BQ33" s="3">
        <f t="shared" si="96"/>
        <v>8836.8559853353545</v>
      </c>
      <c r="BR33" s="3">
        <f t="shared" si="96"/>
        <v>8748.4874254820006</v>
      </c>
      <c r="BS33" s="3">
        <f t="shared" si="96"/>
        <v>8661.0025512271804</v>
      </c>
      <c r="BT33" s="3">
        <f t="shared" si="96"/>
        <v>8574.3925257149094</v>
      </c>
      <c r="BU33" s="3">
        <f t="shared" si="96"/>
        <v>8488.64860045776</v>
      </c>
      <c r="BV33" s="3">
        <f t="shared" si="96"/>
        <v>8403.7621144531822</v>
      </c>
      <c r="BW33" s="3">
        <f t="shared" si="96"/>
        <v>8319.7244933086495</v>
      </c>
      <c r="BX33" s="3">
        <f t="shared" si="96"/>
        <v>8236.5272483755634</v>
      </c>
      <c r="BY33" s="3">
        <f t="shared" si="96"/>
        <v>8154.1619758918077</v>
      </c>
      <c r="BZ33" s="3">
        <f t="shared" si="96"/>
        <v>8072.6203561328894</v>
      </c>
      <c r="CA33" s="3">
        <f t="shared" si="96"/>
        <v>7991.89415257156</v>
      </c>
      <c r="CB33" s="3">
        <f t="shared" si="96"/>
        <v>7911.9752110458439</v>
      </c>
      <c r="CC33" s="3">
        <f t="shared" si="96"/>
        <v>7832.8554589353853</v>
      </c>
      <c r="CD33" s="3">
        <f t="shared" si="96"/>
        <v>7754.5269043460312</v>
      </c>
      <c r="CE33" s="3">
        <f t="shared" si="96"/>
        <v>7676.9816353025708</v>
      </c>
      <c r="CF33" s="3">
        <f t="shared" si="96"/>
        <v>7600.211818949545</v>
      </c>
      <c r="CG33" s="3">
        <f t="shared" si="96"/>
        <v>7524.2097007600496</v>
      </c>
      <c r="CH33" s="3">
        <f t="shared" si="96"/>
        <v>7448.9676037524487</v>
      </c>
      <c r="CI33" s="3">
        <f t="shared" si="96"/>
        <v>7374.4779277149237</v>
      </c>
      <c r="CJ33" s="3">
        <f t="shared" si="96"/>
        <v>7300.7331484377746</v>
      </c>
      <c r="CK33" s="3">
        <f t="shared" si="96"/>
        <v>7227.725816953397</v>
      </c>
      <c r="CL33" s="3">
        <f t="shared" si="96"/>
        <v>7155.4485587838626</v>
      </c>
      <c r="CM33" s="3">
        <f t="shared" si="96"/>
        <v>7083.8940731960238</v>
      </c>
      <c r="CN33" s="3">
        <f t="shared" si="96"/>
        <v>7013.0551324640637</v>
      </c>
      <c r="CO33" s="3">
        <f t="shared" si="96"/>
        <v>6942.924581139423</v>
      </c>
      <c r="CP33" s="3">
        <f t="shared" si="96"/>
        <v>6873.4953353280289</v>
      </c>
      <c r="CQ33" s="3">
        <f t="shared" si="96"/>
        <v>6804.7603819747483</v>
      </c>
      <c r="CR33" s="3">
        <f t="shared" si="96"/>
        <v>6736.7127781550007</v>
      </c>
      <c r="CS33" s="3">
        <f t="shared" si="96"/>
        <v>6669.3456503734506</v>
      </c>
      <c r="CT33" s="3">
        <f t="shared" si="96"/>
        <v>6602.652193869716</v>
      </c>
      <c r="CU33" s="3">
        <f t="shared" si="96"/>
        <v>6536.6256719310186</v>
      </c>
      <c r="CV33" s="3">
        <f t="shared" si="96"/>
        <v>6471.2594152117081</v>
      </c>
      <c r="CW33" s="3">
        <f t="shared" si="96"/>
        <v>6406.5468210595909</v>
      </c>
      <c r="CX33" s="3">
        <f t="shared" si="96"/>
        <v>6342.4813528489949</v>
      </c>
      <c r="CY33" s="3">
        <f t="shared" si="96"/>
        <v>6279.0565393205052</v>
      </c>
      <c r="CZ33" s="3">
        <f t="shared" si="96"/>
        <v>6216.2659739273004</v>
      </c>
      <c r="DA33" s="3">
        <f t="shared" si="96"/>
        <v>6154.1033141880271</v>
      </c>
      <c r="DB33" s="3">
        <f t="shared" si="96"/>
        <v>6092.5622810461464</v>
      </c>
      <c r="DC33" s="3">
        <f t="shared" si="96"/>
        <v>6031.636658235685</v>
      </c>
      <c r="DD33" s="3">
        <f t="shared" si="96"/>
        <v>5971.3202916533282</v>
      </c>
      <c r="DE33" s="3">
        <f t="shared" si="96"/>
        <v>5911.607088736795</v>
      </c>
      <c r="DF33" s="3">
        <f t="shared" si="96"/>
        <v>5852.4910178494274</v>
      </c>
      <c r="DG33" s="3">
        <f t="shared" si="96"/>
        <v>5793.9661076709335</v>
      </c>
      <c r="DH33" s="3">
        <f t="shared" si="96"/>
        <v>5736.0264465942246</v>
      </c>
      <c r="DI33" s="3">
        <f t="shared" si="96"/>
        <v>5678.6661821282823</v>
      </c>
      <c r="DJ33" s="3">
        <f t="shared" si="96"/>
        <v>5621.8795203069994</v>
      </c>
      <c r="DK33" s="3">
        <f t="shared" si="96"/>
        <v>5565.6607251039295</v>
      </c>
      <c r="DL33" s="3">
        <f t="shared" si="96"/>
        <v>5510.00411785289</v>
      </c>
      <c r="DM33" s="3">
        <f t="shared" si="96"/>
        <v>5454.904076674361</v>
      </c>
      <c r="DN33" s="3">
        <f t="shared" si="96"/>
        <v>5400.3550359076171</v>
      </c>
      <c r="DO33" s="3">
        <f t="shared" si="96"/>
        <v>5346.3514855485409</v>
      </c>
      <c r="DP33" s="3">
        <f t="shared" si="96"/>
        <v>5292.8879706930556</v>
      </c>
      <c r="DQ33" s="3">
        <f t="shared" si="96"/>
        <v>5239.9590909861254</v>
      </c>
      <c r="DR33" s="3">
        <f t="shared" si="96"/>
        <v>5187.5595000762642</v>
      </c>
      <c r="DS33" s="3">
        <f t="shared" si="96"/>
        <v>5135.6839050755016</v>
      </c>
      <c r="DT33" s="3">
        <f t="shared" ref="DT33:EP33" si="97">DS33*(1+$BI$39)</f>
        <v>5084.3270660247463</v>
      </c>
      <c r="DU33" s="3">
        <f t="shared" si="97"/>
        <v>5033.4837953644992</v>
      </c>
      <c r="DV33" s="3">
        <f t="shared" si="97"/>
        <v>4983.1489574108546</v>
      </c>
      <c r="DW33" s="3">
        <f t="shared" si="97"/>
        <v>4933.3174678367459</v>
      </c>
      <c r="DX33" s="3">
        <f t="shared" si="97"/>
        <v>4883.984293158378</v>
      </c>
      <c r="DY33" s="3">
        <f t="shared" si="97"/>
        <v>4835.1444502267941</v>
      </c>
      <c r="DZ33" s="3">
        <f t="shared" si="97"/>
        <v>4786.7930057245258</v>
      </c>
      <c r="EA33" s="3">
        <f t="shared" si="97"/>
        <v>4738.9250756672809</v>
      </c>
      <c r="EB33" s="3">
        <f t="shared" si="97"/>
        <v>4691.5358249106084</v>
      </c>
      <c r="EC33" s="3">
        <f t="shared" si="97"/>
        <v>4644.6204666615022</v>
      </c>
      <c r="ED33" s="3">
        <f t="shared" si="97"/>
        <v>4598.1742619948873</v>
      </c>
      <c r="EE33" s="3">
        <f t="shared" si="97"/>
        <v>4552.1925193749385</v>
      </c>
      <c r="EF33" s="3">
        <f t="shared" si="97"/>
        <v>4506.6705941811888</v>
      </c>
      <c r="EG33" s="3">
        <f t="shared" si="97"/>
        <v>4461.6038882393768</v>
      </c>
      <c r="EH33" s="3">
        <f t="shared" si="97"/>
        <v>4416.9878493569831</v>
      </c>
      <c r="EI33" s="3">
        <f t="shared" si="97"/>
        <v>4372.8179708634134</v>
      </c>
      <c r="EJ33" s="3">
        <f t="shared" si="97"/>
        <v>4329.089791154779</v>
      </c>
      <c r="EK33" s="3">
        <f t="shared" si="97"/>
        <v>4285.7988932432309</v>
      </c>
      <c r="EL33" s="3">
        <f t="shared" si="97"/>
        <v>4242.9409043107989</v>
      </c>
      <c r="EM33" s="3">
        <f t="shared" si="97"/>
        <v>4200.5114952676913</v>
      </c>
      <c r="EN33" s="3">
        <f t="shared" si="97"/>
        <v>4158.5063803150142</v>
      </c>
      <c r="EO33" s="3">
        <f t="shared" si="97"/>
        <v>4116.9213165118645</v>
      </c>
      <c r="EP33" s="3">
        <f t="shared" si="97"/>
        <v>4075.7521033467456</v>
      </c>
    </row>
    <row r="34" spans="2:146" x14ac:dyDescent="0.3">
      <c r="B34" s="1" t="s">
        <v>2</v>
      </c>
      <c r="P34" s="7">
        <v>605.5</v>
      </c>
      <c r="Q34" s="7">
        <v>607.20000000000005</v>
      </c>
      <c r="R34" s="7">
        <v>609.5</v>
      </c>
      <c r="S34" s="7">
        <v>612.9</v>
      </c>
      <c r="T34" s="7">
        <v>616.6</v>
      </c>
      <c r="U34" s="7">
        <v>618.79999999999995</v>
      </c>
      <c r="V34" s="7">
        <v>718.1</v>
      </c>
      <c r="W34" s="7">
        <v>753.4</v>
      </c>
      <c r="X34" s="7">
        <v>753.4</v>
      </c>
      <c r="Y34" s="7">
        <v>753.4</v>
      </c>
      <c r="Z34" s="7">
        <v>753.4</v>
      </c>
      <c r="AD34" s="7">
        <v>753.4</v>
      </c>
      <c r="AE34" s="7">
        <v>753.4</v>
      </c>
      <c r="AF34" s="7">
        <v>753.4</v>
      </c>
      <c r="AG34" s="7">
        <v>753.4</v>
      </c>
      <c r="AH34" s="7">
        <v>753.4</v>
      </c>
      <c r="AI34" s="7">
        <v>753.4</v>
      </c>
      <c r="AJ34" s="7">
        <v>753.4</v>
      </c>
      <c r="AK34" s="7">
        <v>753.4</v>
      </c>
      <c r="AL34" s="7">
        <v>753.4</v>
      </c>
      <c r="AM34" s="7">
        <v>753.4</v>
      </c>
      <c r="AN34" s="7">
        <v>753.4</v>
      </c>
      <c r="AO34" s="7">
        <v>753.4</v>
      </c>
      <c r="AP34" s="7">
        <v>753.4</v>
      </c>
      <c r="AQ34" s="7">
        <v>753.4</v>
      </c>
      <c r="AR34" s="7">
        <v>753.4</v>
      </c>
      <c r="AS34" s="7">
        <v>753.4</v>
      </c>
      <c r="AT34" s="7">
        <v>753.4</v>
      </c>
      <c r="AU34" s="7">
        <v>753.4</v>
      </c>
      <c r="AV34" s="7">
        <v>753.4</v>
      </c>
      <c r="AW34" s="7">
        <v>753.4</v>
      </c>
      <c r="AX34" s="7">
        <v>753.4</v>
      </c>
      <c r="AY34" s="7">
        <v>753.4</v>
      </c>
      <c r="AZ34" s="7">
        <v>753.4</v>
      </c>
      <c r="BA34" s="7">
        <v>753.4</v>
      </c>
      <c r="BB34" s="7">
        <v>753.4</v>
      </c>
      <c r="BC34" s="7">
        <v>753.4</v>
      </c>
      <c r="BD34" s="7">
        <v>753.4</v>
      </c>
      <c r="BE34" s="7">
        <v>753.4</v>
      </c>
      <c r="BF34" s="7">
        <v>753.4</v>
      </c>
    </row>
    <row r="35" spans="2:146" x14ac:dyDescent="0.3">
      <c r="B35" s="1" t="s">
        <v>55</v>
      </c>
      <c r="P35" s="8">
        <f t="shared" ref="P35:W35" si="98">P33/P34</f>
        <v>-0.24607762180016515</v>
      </c>
      <c r="Q35" s="8">
        <f t="shared" si="98"/>
        <v>-2.6943346508563897</v>
      </c>
      <c r="R35" s="8">
        <f t="shared" si="98"/>
        <v>-3.7735849056603772E-2</v>
      </c>
      <c r="S35" s="8">
        <f t="shared" si="98"/>
        <v>-0.63468755098711049</v>
      </c>
      <c r="T35" s="8">
        <f t="shared" si="98"/>
        <v>-2.3337658125202725</v>
      </c>
      <c r="U35" s="8">
        <f t="shared" si="98"/>
        <v>-9.9709114414996769</v>
      </c>
      <c r="V35" s="8">
        <f t="shared" si="98"/>
        <v>-5.4630274335050828</v>
      </c>
      <c r="W35" s="8">
        <f t="shared" si="98"/>
        <v>-0.16325988850544201</v>
      </c>
      <c r="X35" s="8">
        <f t="shared" ref="X35" si="99">X33/X34</f>
        <v>-0.92513936819750464</v>
      </c>
      <c r="Y35" s="8">
        <f t="shared" ref="Y35" si="100">Y33/Y34</f>
        <v>-0.8229524157154231</v>
      </c>
      <c r="Z35" s="8">
        <f t="shared" ref="Z35" si="101">Z33/Z34</f>
        <v>-0.43364417971860825</v>
      </c>
      <c r="AD35" s="8">
        <f t="shared" ref="AD35:AE35" si="102">AD33/AD34</f>
        <v>5.4074860631802499</v>
      </c>
      <c r="AE35" s="8">
        <f t="shared" si="102"/>
        <v>3.5465887974515531</v>
      </c>
      <c r="AF35" s="8">
        <f t="shared" ref="AF35:AG35" si="103">AF33/AF34</f>
        <v>1.7414388107247147</v>
      </c>
      <c r="AG35" s="8">
        <f t="shared" si="103"/>
        <v>4.3894345633129817</v>
      </c>
      <c r="AH35" s="8">
        <f t="shared" ref="AH35:AI35" si="104">AH33/AH34</f>
        <v>5.3331563578444383</v>
      </c>
      <c r="AI35" s="8">
        <f t="shared" si="104"/>
        <v>5.1765330501725515</v>
      </c>
      <c r="AJ35" s="8">
        <f t="shared" ref="AJ35" si="105">AJ33/AJ34</f>
        <v>6.085744624369525</v>
      </c>
      <c r="AK35" s="8">
        <f t="shared" ref="AK35:AL35" si="106">AK33/AK34</f>
        <v>7.2285638439076187</v>
      </c>
      <c r="AL35" s="8">
        <f t="shared" si="106"/>
        <v>6.8701884788956731</v>
      </c>
      <c r="AM35" s="8">
        <f t="shared" ref="AM35:BF35" si="107">AM33/AM34</f>
        <v>6.681709583222724</v>
      </c>
      <c r="AN35" s="8">
        <f t="shared" si="107"/>
        <v>11.226440138040882</v>
      </c>
      <c r="AO35" s="8">
        <f t="shared" si="107"/>
        <v>13.883727103796124</v>
      </c>
      <c r="AP35" s="8">
        <f t="shared" si="107"/>
        <v>-0.84417308202813912</v>
      </c>
      <c r="AQ35" s="8">
        <f t="shared" si="107"/>
        <v>-15.759224847358642</v>
      </c>
      <c r="AR35" s="8">
        <f t="shared" si="107"/>
        <v>-5.5773825325192465</v>
      </c>
      <c r="AS35" s="8">
        <f t="shared" si="107"/>
        <v>-6.5503052827183437</v>
      </c>
      <c r="AT35" s="8">
        <f t="shared" si="107"/>
        <v>-2.9492965224316432</v>
      </c>
      <c r="AU35" s="8">
        <f t="shared" si="107"/>
        <v>-15.761879479692062</v>
      </c>
      <c r="AV35" s="8">
        <f t="shared" si="107"/>
        <v>-2.3449958521369725</v>
      </c>
      <c r="AW35" s="8">
        <f t="shared" si="107"/>
        <v>2.6747742912131631</v>
      </c>
      <c r="AX35" s="8">
        <f t="shared" si="107"/>
        <v>4.3536055267985221</v>
      </c>
      <c r="AY35" s="8">
        <f t="shared" si="107"/>
        <v>5.8258538325241629</v>
      </c>
      <c r="AZ35" s="8">
        <f t="shared" si="107"/>
        <v>7.201963695158021</v>
      </c>
      <c r="BA35" s="8">
        <f t="shared" si="107"/>
        <v>8.6744091659457574</v>
      </c>
      <c r="BB35" s="8">
        <f t="shared" si="107"/>
        <v>10.201631671821024</v>
      </c>
      <c r="BC35" s="8">
        <f t="shared" si="107"/>
        <v>11.785226919709089</v>
      </c>
      <c r="BD35" s="8">
        <f t="shared" si="107"/>
        <v>12.212418642941865</v>
      </c>
      <c r="BE35" s="8">
        <f t="shared" si="107"/>
        <v>12.650725112208994</v>
      </c>
      <c r="BF35" s="8">
        <f t="shared" si="107"/>
        <v>13.100414012738471</v>
      </c>
    </row>
    <row r="37" spans="2:146" x14ac:dyDescent="0.3">
      <c r="B37" s="1" t="s">
        <v>68</v>
      </c>
      <c r="T37" s="10"/>
      <c r="U37" s="10"/>
      <c r="V37" s="10">
        <f>V12/R12-1</f>
        <v>2.1934082411403377E-3</v>
      </c>
      <c r="W37" s="10" t="e">
        <f>W12/S12-1</f>
        <v>#DIV/0!</v>
      </c>
      <c r="X37" s="10">
        <f>X12/T12-1</f>
        <v>0.19900983573508269</v>
      </c>
      <c r="AD37" s="10"/>
      <c r="AE37" s="10">
        <f t="shared" ref="AE37:AH37" si="108">AE12/AD12-1</f>
        <v>9.0569900728707964E-2</v>
      </c>
      <c r="AF37" s="10">
        <f t="shared" si="108"/>
        <v>-8.4480948558018909E-2</v>
      </c>
      <c r="AG37" s="10">
        <f t="shared" si="108"/>
        <v>2.5143338954468852E-2</v>
      </c>
      <c r="AH37" s="10">
        <f t="shared" si="108"/>
        <v>0.11745817637479239</v>
      </c>
      <c r="AI37" s="10">
        <f t="shared" ref="AI37:AU37" si="109">AI12/AH12-1</f>
        <v>9.6267705361585465E-2</v>
      </c>
      <c r="AJ37" s="10">
        <f t="shared" si="109"/>
        <v>0.13510225456889269</v>
      </c>
      <c r="AK37" s="10">
        <f t="shared" si="109"/>
        <v>0.15244131821956608</v>
      </c>
      <c r="AL37" s="10">
        <f t="shared" si="109"/>
        <v>-2.1550343672242622E-2</v>
      </c>
      <c r="AM37" s="10">
        <f t="shared" si="109"/>
        <v>-6.5107691016481617E-3</v>
      </c>
      <c r="AN37" s="10">
        <f t="shared" si="109"/>
        <v>2.4245393797572845E-3</v>
      </c>
      <c r="AO37" s="10">
        <f t="shared" si="109"/>
        <v>3.3374768245407083E-2</v>
      </c>
      <c r="AP37" s="10">
        <f t="shared" si="109"/>
        <v>-5.520499265007206E-2</v>
      </c>
      <c r="AQ37" s="10">
        <f t="shared" si="109"/>
        <v>-0.2157944255983979</v>
      </c>
      <c r="AR37" s="10">
        <f t="shared" si="109"/>
        <v>3.8786034275902326E-2</v>
      </c>
      <c r="AS37" s="10">
        <f t="shared" si="109"/>
        <v>7.1210784664330173E-2</v>
      </c>
      <c r="AT37" s="10">
        <f t="shared" si="109"/>
        <v>0.28639822345758081</v>
      </c>
      <c r="AU37" s="10">
        <f t="shared" si="109"/>
        <v>2.1934082411403377E-3</v>
      </c>
      <c r="AV37" s="10">
        <f>AV12/AU12-1</f>
        <v>0.18644789540718465</v>
      </c>
    </row>
    <row r="38" spans="2:146" x14ac:dyDescent="0.3">
      <c r="B38" s="1" t="s">
        <v>64</v>
      </c>
      <c r="S38" s="10"/>
      <c r="T38" s="10">
        <f>T14/P14-1</f>
        <v>-0.18954875052436027</v>
      </c>
      <c r="U38" s="10">
        <f>U14/Q14-1</f>
        <v>-3.4926958831341337E-2</v>
      </c>
      <c r="V38" s="10">
        <f>V14/R14-1</f>
        <v>-0.37098308668076108</v>
      </c>
      <c r="W38" s="10">
        <f>W14/S14-1</f>
        <v>0.21698824238769965</v>
      </c>
      <c r="X38" s="10">
        <f t="shared" ref="X38:Y40" si="110">X14/T14-1</f>
        <v>0.41393078970718733</v>
      </c>
      <c r="Y38" s="10">
        <f t="shared" si="110"/>
        <v>0.35000000000000009</v>
      </c>
      <c r="Z38" s="10">
        <f t="shared" ref="Z38:Z40" si="111">Z14/V14-1</f>
        <v>0.7</v>
      </c>
      <c r="AD38" s="10"/>
      <c r="AE38" s="10">
        <f t="shared" ref="AE38:AE40" si="112">AE14/AD14-1</f>
        <v>-0.12040526564882825</v>
      </c>
      <c r="AF38" s="10">
        <f t="shared" ref="AF38:AF40" si="113">AF14/AE14-1</f>
        <v>0.13654842566759662</v>
      </c>
      <c r="AG38" s="10">
        <f t="shared" ref="AG38:AG40" si="114">AG14/AF14-1</f>
        <v>-7.7956235096086401E-2</v>
      </c>
      <c r="AH38" s="10">
        <f t="shared" ref="AH38:AH40" si="115">AH14/AG14-1</f>
        <v>9.1564294679192137E-2</v>
      </c>
      <c r="AI38" s="10">
        <f t="shared" ref="AI38:AI40" si="116">AI14/AH14-1</f>
        <v>0.24098883294716122</v>
      </c>
      <c r="AJ38" s="10">
        <f t="shared" ref="AJ38:AJ40" si="117">AJ14/AI14-1</f>
        <v>7.8024538843810554E-2</v>
      </c>
      <c r="AK38" s="10">
        <f t="shared" ref="AK38:AK40" si="118">AK14/AJ14-1</f>
        <v>5.0734451505365152E-2</v>
      </c>
      <c r="AL38" s="10">
        <f t="shared" ref="AL38:AL40" si="119">AL14/AK14-1</f>
        <v>5.6600733690263638E-2</v>
      </c>
      <c r="AM38" s="10">
        <f t="shared" ref="AM38:AM40" si="120">AM14/AL14-1</f>
        <v>-2.4127617148554381E-2</v>
      </c>
      <c r="AN38" s="10">
        <f t="shared" ref="AN38:AP38" si="121">AN14/AM14-1</f>
        <v>6.514579677395993E-3</v>
      </c>
      <c r="AO38" s="10">
        <f t="shared" si="121"/>
        <v>7.7489849534272848E-2</v>
      </c>
      <c r="AP38" s="10">
        <f t="shared" si="121"/>
        <v>-0.26748606323909163</v>
      </c>
      <c r="AQ38" s="10">
        <f t="shared" ref="AQ38:AS38" si="122">AQ14/AP14-1</f>
        <v>-0.28674312343026598</v>
      </c>
      <c r="AR38" s="10">
        <f t="shared" si="122"/>
        <v>9.0025879258410768E-2</v>
      </c>
      <c r="AS38" s="10">
        <f t="shared" si="122"/>
        <v>8.7708714435838608E-2</v>
      </c>
      <c r="AT38" s="10">
        <f t="shared" ref="AT38" si="123">AT14/AS14-1</f>
        <v>0.17333118637396461</v>
      </c>
      <c r="AU38" s="10">
        <f t="shared" ref="AU38:BF38" si="124">AU14/AT14-1</f>
        <v>-0.18837773135511815</v>
      </c>
      <c r="AV38" s="10">
        <f t="shared" si="124"/>
        <v>0.4113438668345013</v>
      </c>
      <c r="AW38" s="10">
        <f t="shared" si="124"/>
        <v>0.19999999999999996</v>
      </c>
      <c r="AX38" s="10">
        <f t="shared" si="124"/>
        <v>5.0000000000000044E-2</v>
      </c>
      <c r="AY38" s="10">
        <f t="shared" si="124"/>
        <v>3.0000000000000027E-2</v>
      </c>
      <c r="AZ38" s="10">
        <f t="shared" si="124"/>
        <v>2.0000000000000018E-2</v>
      </c>
      <c r="BA38" s="10">
        <f t="shared" si="124"/>
        <v>2.0000000000000018E-2</v>
      </c>
      <c r="BB38" s="10">
        <f t="shared" si="124"/>
        <v>2.0000000000000018E-2</v>
      </c>
      <c r="BC38" s="10">
        <f t="shared" si="124"/>
        <v>2.0000000000000018E-2</v>
      </c>
      <c r="BD38" s="10">
        <f t="shared" si="124"/>
        <v>2.0000000000000018E-2</v>
      </c>
      <c r="BE38" s="10">
        <f t="shared" si="124"/>
        <v>2.0000000000000018E-2</v>
      </c>
      <c r="BF38" s="10">
        <f t="shared" si="124"/>
        <v>2.0000000000000018E-2</v>
      </c>
    </row>
    <row r="39" spans="2:146" x14ac:dyDescent="0.3">
      <c r="B39" s="1" t="s">
        <v>65</v>
      </c>
      <c r="S39" s="10"/>
      <c r="T39" s="10">
        <f t="shared" ref="T39:W40" si="125">T15/P15-1</f>
        <v>9.0731070496083532E-2</v>
      </c>
      <c r="U39" s="10">
        <f t="shared" si="125"/>
        <v>8.6070959264126223E-2</v>
      </c>
      <c r="V39" s="10">
        <f t="shared" si="125"/>
        <v>7.8437701743059973E-2</v>
      </c>
      <c r="W39" s="10">
        <f t="shared" si="125"/>
        <v>1.4541048167222126E-2</v>
      </c>
      <c r="X39" s="10">
        <f t="shared" si="110"/>
        <v>8.5278276481149051E-2</v>
      </c>
      <c r="Y39" s="10">
        <f t="shared" si="110"/>
        <v>0.1100000000000001</v>
      </c>
      <c r="Z39" s="10">
        <f t="shared" si="111"/>
        <v>0.1100000000000001</v>
      </c>
      <c r="AD39" s="10"/>
      <c r="AE39" s="10">
        <f t="shared" si="112"/>
        <v>0.14896123366887992</v>
      </c>
      <c r="AF39" s="10">
        <f t="shared" si="113"/>
        <v>4.846677229937546E-2</v>
      </c>
      <c r="AG39" s="10">
        <f t="shared" si="114"/>
        <v>4.1870388478975951E-2</v>
      </c>
      <c r="AH39" s="10">
        <f t="shared" si="115"/>
        <v>-3.293515358361776E-2</v>
      </c>
      <c r="AI39" s="10">
        <f t="shared" si="116"/>
        <v>-7.6760190577024878E-2</v>
      </c>
      <c r="AJ39" s="10">
        <f t="shared" si="117"/>
        <v>-6.0493119266055051E-2</v>
      </c>
      <c r="AK39" s="10">
        <f t="shared" si="118"/>
        <v>2.471772963075991E-2</v>
      </c>
      <c r="AL39" s="10">
        <f t="shared" si="119"/>
        <v>7.7923367083581496E-2</v>
      </c>
      <c r="AM39" s="10">
        <f t="shared" si="120"/>
        <v>-5.1662215673634826E-2</v>
      </c>
      <c r="AN39" s="10">
        <f t="shared" ref="AN39:AP39" si="126">AN15/AM15-1</f>
        <v>-3.2045057292677814E-3</v>
      </c>
      <c r="AO39" s="10">
        <f t="shared" si="126"/>
        <v>6.1665854846566059E-2</v>
      </c>
      <c r="AP39" s="10">
        <f t="shared" si="126"/>
        <v>-3.9732060928610702E-2</v>
      </c>
      <c r="AQ39" s="10">
        <f t="shared" ref="AQ39:AS39" si="127">AQ15/AP15-1</f>
        <v>5.2651696129957015E-2</v>
      </c>
      <c r="AR39" s="10">
        <f t="shared" si="127"/>
        <v>-1.0530137981118348E-2</v>
      </c>
      <c r="AS39" s="10">
        <f t="shared" si="127"/>
        <v>-1.6972477064220226E-2</v>
      </c>
      <c r="AT39" s="10">
        <f t="shared" ref="AT39:AU40" si="128">AT15/AS15-1</f>
        <v>0.1398040130657956</v>
      </c>
      <c r="AU39" s="10">
        <f t="shared" si="128"/>
        <v>8.8184721198722782E-2</v>
      </c>
      <c r="AV39" s="10">
        <f t="shared" ref="AV39:BF39" si="129">AV15/AU15-1</f>
        <v>8.0072987208427371E-2</v>
      </c>
      <c r="AW39" s="10">
        <f t="shared" si="129"/>
        <v>5.0000000000000044E-2</v>
      </c>
      <c r="AX39" s="10">
        <f t="shared" si="129"/>
        <v>4.0000000000000036E-2</v>
      </c>
      <c r="AY39" s="10">
        <f t="shared" si="129"/>
        <v>3.0000000000000027E-2</v>
      </c>
      <c r="AZ39" s="10">
        <f t="shared" si="129"/>
        <v>3.0000000000000027E-2</v>
      </c>
      <c r="BA39" s="10">
        <f t="shared" si="129"/>
        <v>3.0000000000000027E-2</v>
      </c>
      <c r="BB39" s="10">
        <f t="shared" si="129"/>
        <v>3.0000000000000027E-2</v>
      </c>
      <c r="BC39" s="10">
        <f t="shared" si="129"/>
        <v>3.0000000000000027E-2</v>
      </c>
      <c r="BD39" s="10">
        <f t="shared" si="129"/>
        <v>3.0000000000000027E-2</v>
      </c>
      <c r="BE39" s="10">
        <f t="shared" si="129"/>
        <v>3.0000000000000027E-2</v>
      </c>
      <c r="BF39" s="10">
        <f t="shared" si="129"/>
        <v>3.0000000000000027E-2</v>
      </c>
      <c r="BH39" s="1" t="s">
        <v>70</v>
      </c>
      <c r="BI39" s="10">
        <v>-0.01</v>
      </c>
    </row>
    <row r="40" spans="2:146" s="3" customFormat="1" x14ac:dyDescent="0.3">
      <c r="B40" s="3" t="s">
        <v>56</v>
      </c>
      <c r="S40" s="11"/>
      <c r="T40" s="11">
        <f t="shared" si="125"/>
        <v>-0.14606855349096248</v>
      </c>
      <c r="U40" s="11">
        <f t="shared" si="125"/>
        <v>-1.4582412726469318E-2</v>
      </c>
      <c r="V40" s="11">
        <f t="shared" si="125"/>
        <v>-0.30774820601326192</v>
      </c>
      <c r="W40" s="11">
        <f t="shared" si="125"/>
        <v>0.17665519946888764</v>
      </c>
      <c r="X40" s="11">
        <f t="shared" si="110"/>
        <v>0.3488082532906438</v>
      </c>
      <c r="Y40" s="11">
        <f t="shared" si="110"/>
        <v>0.30552466367713005</v>
      </c>
      <c r="Z40" s="11">
        <f t="shared" si="111"/>
        <v>0.57067379608975188</v>
      </c>
      <c r="AD40" s="11"/>
      <c r="AE40" s="11">
        <f t="shared" si="112"/>
        <v>-8.2516155271363356E-2</v>
      </c>
      <c r="AF40" s="11">
        <f t="shared" si="113"/>
        <v>0.12103301646718867</v>
      </c>
      <c r="AG40" s="11">
        <f t="shared" si="114"/>
        <v>-5.8215316120150518E-2</v>
      </c>
      <c r="AH40" s="11">
        <f t="shared" si="115"/>
        <v>6.8873822038379107E-2</v>
      </c>
      <c r="AI40" s="11">
        <f t="shared" si="116"/>
        <v>0.18859387502727865</v>
      </c>
      <c r="AJ40" s="11">
        <f t="shared" si="117"/>
        <v>6.0282993463732337E-2</v>
      </c>
      <c r="AK40" s="11">
        <f t="shared" si="118"/>
        <v>4.778176696720271E-2</v>
      </c>
      <c r="AL40" s="11">
        <f t="shared" si="119"/>
        <v>5.8967409268195992E-2</v>
      </c>
      <c r="AM40" s="11">
        <f t="shared" si="120"/>
        <v>-2.7238487629273611E-2</v>
      </c>
      <c r="AN40" s="11">
        <f t="shared" ref="AN40:AP40" si="130">AN16/AM16-1</f>
        <v>5.4440831693334246E-3</v>
      </c>
      <c r="AO40" s="11">
        <f t="shared" si="130"/>
        <v>7.5761927557044917E-2</v>
      </c>
      <c r="AP40" s="11">
        <f t="shared" si="130"/>
        <v>-0.24294204317343537</v>
      </c>
      <c r="AQ40" s="11">
        <f t="shared" ref="AQ40:AS40" si="131">AQ16/AP16-1</f>
        <v>-0.24035057929178805</v>
      </c>
      <c r="AR40" s="11">
        <f t="shared" si="131"/>
        <v>7.0979057051480554E-2</v>
      </c>
      <c r="AS40" s="11">
        <f t="shared" si="131"/>
        <v>6.9389589956009301E-2</v>
      </c>
      <c r="AT40" s="11">
        <f t="shared" si="128"/>
        <v>0.16793778525102088</v>
      </c>
      <c r="AU40" s="11">
        <f t="shared" si="128"/>
        <v>-0.14495976553461709</v>
      </c>
      <c r="AV40" s="11">
        <f t="shared" ref="AV40:BF40" si="132">AV16/AU16-1</f>
        <v>0.34515642617676701</v>
      </c>
      <c r="AW40" s="11">
        <f t="shared" si="132"/>
        <v>0.17593621714571439</v>
      </c>
      <c r="AX40" s="11">
        <f t="shared" si="132"/>
        <v>4.8567554281227387E-2</v>
      </c>
      <c r="AY40" s="11">
        <f t="shared" si="132"/>
        <v>3.0000000000000249E-2</v>
      </c>
      <c r="AZ40" s="11">
        <f t="shared" si="132"/>
        <v>2.1420741602618643E-2</v>
      </c>
      <c r="BA40" s="11">
        <f t="shared" si="132"/>
        <v>2.1432674892034376E-2</v>
      </c>
      <c r="BB40" s="11">
        <f t="shared" si="132"/>
        <v>2.1444691534810545E-2</v>
      </c>
      <c r="BC40" s="11">
        <f t="shared" si="132"/>
        <v>2.1456791829442157E-2</v>
      </c>
      <c r="BD40" s="11">
        <f t="shared" si="132"/>
        <v>2.1468976070576407E-2</v>
      </c>
      <c r="BE40" s="11">
        <f t="shared" si="132"/>
        <v>2.1481244548918532E-2</v>
      </c>
      <c r="BF40" s="11">
        <f t="shared" si="132"/>
        <v>2.1493597551132337E-2</v>
      </c>
      <c r="BH40" s="1" t="s">
        <v>71</v>
      </c>
      <c r="BI40" s="10">
        <v>0.06</v>
      </c>
    </row>
    <row r="41" spans="2:146" x14ac:dyDescent="0.3">
      <c r="B41" s="1" t="s">
        <v>58</v>
      </c>
      <c r="P41" s="10">
        <f t="shared" ref="P41:S41" si="133">(P14-P17)/P14</f>
        <v>9.3725654701264455E-2</v>
      </c>
      <c r="Q41" s="10">
        <f t="shared" si="133"/>
        <v>3.9575033200531205E-2</v>
      </c>
      <c r="R41" s="10">
        <f t="shared" si="133"/>
        <v>0.1160676532769556</v>
      </c>
      <c r="S41" s="10">
        <f t="shared" si="133"/>
        <v>9.0744648779017181E-2</v>
      </c>
      <c r="T41" s="10">
        <f t="shared" ref="T41:W42" si="134">(T14-T17)/T14</f>
        <v>4.5622596864832887E-2</v>
      </c>
      <c r="U41" s="10">
        <f t="shared" si="134"/>
        <v>-0.26689142699876151</v>
      </c>
      <c r="V41" s="10">
        <f t="shared" si="134"/>
        <v>-0.17721199899168136</v>
      </c>
      <c r="W41" s="10">
        <f t="shared" si="134"/>
        <v>0.10949402365764538</v>
      </c>
      <c r="X41" s="10">
        <f t="shared" ref="X41:Y41" si="135">(X14-X17)/X14</f>
        <v>8.9739566990900535E-2</v>
      </c>
      <c r="Y41" s="10">
        <f t="shared" si="135"/>
        <v>0.1</v>
      </c>
      <c r="Z41" s="10">
        <f t="shared" ref="Z41" si="136">(Z14-Z17)/Z14</f>
        <v>0.11000000000000004</v>
      </c>
      <c r="AD41" s="10">
        <f t="shared" ref="AD41:AH41" si="137">(AD14-AD17)/AD14</f>
        <v>0.2046311065925783</v>
      </c>
      <c r="AE41" s="10">
        <f t="shared" si="137"/>
        <v>0.16974890394579514</v>
      </c>
      <c r="AF41" s="10">
        <f t="shared" si="137"/>
        <v>0.16469701220367514</v>
      </c>
      <c r="AG41" s="10">
        <f t="shared" si="137"/>
        <v>0.19761913817365839</v>
      </c>
      <c r="AH41" s="10">
        <f t="shared" si="137"/>
        <v>0.18743575895890316</v>
      </c>
      <c r="AI41" s="10">
        <f t="shared" ref="AI41" si="138">(AI14-AI17)/AI14</f>
        <v>0.15336777381587444</v>
      </c>
      <c r="AJ41" s="10">
        <f t="shared" ref="AJ41:AM41" si="139">(AJ14-AJ17)/AJ14</f>
        <v>0.14522346077716428</v>
      </c>
      <c r="AK41" s="10">
        <f t="shared" si="139"/>
        <v>0.15041889748165774</v>
      </c>
      <c r="AL41" s="10">
        <f t="shared" si="139"/>
        <v>0.13851387015424316</v>
      </c>
      <c r="AM41" s="10">
        <f t="shared" si="139"/>
        <v>0.14645784754441213</v>
      </c>
      <c r="AN41" s="10">
        <f t="shared" ref="AN41:AP41" si="140">(AN14-AN17)/AN14</f>
        <v>0.17746596608550275</v>
      </c>
      <c r="AO41" s="10">
        <f t="shared" si="140"/>
        <v>0.19181194516175509</v>
      </c>
      <c r="AP41" s="10">
        <f t="shared" si="140"/>
        <v>4.8673101945713677E-2</v>
      </c>
      <c r="AQ41" s="10">
        <f t="shared" ref="AQ41:AS41" si="141">(AQ14-AQ17)/AQ14</f>
        <v>-0.15752407619532477</v>
      </c>
      <c r="AR41" s="10">
        <f t="shared" si="141"/>
        <v>2.7867512552056981E-2</v>
      </c>
      <c r="AS41" s="10">
        <f t="shared" si="141"/>
        <v>3.4422915212996258E-2</v>
      </c>
      <c r="AT41" s="10">
        <f t="shared" ref="AT41" si="142">(AT14-AT17)/AT14</f>
        <v>8.7174638996050685E-2</v>
      </c>
      <c r="AU41" s="10">
        <f t="shared" ref="AU41:BF41" si="143">(AU14-AU17)/AU14</f>
        <v>-7.8287335374903719E-2</v>
      </c>
      <c r="AV41" s="10">
        <f t="shared" si="143"/>
        <v>0.10212211933718138</v>
      </c>
      <c r="AW41" s="10">
        <f t="shared" si="143"/>
        <v>0.12999999999999998</v>
      </c>
      <c r="AX41" s="10">
        <f t="shared" si="143"/>
        <v>0.14000000000000007</v>
      </c>
      <c r="AY41" s="10">
        <f t="shared" si="143"/>
        <v>0.15000000000000005</v>
      </c>
      <c r="AZ41" s="10">
        <f t="shared" si="143"/>
        <v>0.16000000000000009</v>
      </c>
      <c r="BA41" s="10">
        <f t="shared" si="143"/>
        <v>0.17000000000000004</v>
      </c>
      <c r="BB41" s="10">
        <f t="shared" si="143"/>
        <v>0.18000000000000005</v>
      </c>
      <c r="BC41" s="10">
        <f t="shared" si="143"/>
        <v>0.18999999999999989</v>
      </c>
      <c r="BD41" s="10">
        <f t="shared" si="143"/>
        <v>0.18999999999999997</v>
      </c>
      <c r="BE41" s="10">
        <f t="shared" si="143"/>
        <v>0.19</v>
      </c>
      <c r="BF41" s="10">
        <f t="shared" si="143"/>
        <v>0.18999999999999992</v>
      </c>
      <c r="BH41" s="1" t="s">
        <v>72</v>
      </c>
      <c r="BI41" s="7">
        <f>NPV(BI40,AV33:EP33)</f>
        <v>115021.92796404022</v>
      </c>
    </row>
    <row r="42" spans="2:146" x14ac:dyDescent="0.3">
      <c r="B42" s="1" t="s">
        <v>59</v>
      </c>
      <c r="P42" s="10">
        <f t="shared" ref="P42:S42" si="144">(P15-P18)/P15</f>
        <v>0.12238903394255875</v>
      </c>
      <c r="Q42" s="10">
        <f t="shared" si="144"/>
        <v>0.18692509855453351</v>
      </c>
      <c r="R42" s="10">
        <f t="shared" si="144"/>
        <v>0.1617172369270497</v>
      </c>
      <c r="S42" s="10">
        <f t="shared" si="144"/>
        <v>0.20357467434110876</v>
      </c>
      <c r="T42" s="10">
        <f t="shared" si="134"/>
        <v>0.18312387791741472</v>
      </c>
      <c r="U42" s="10">
        <f t="shared" si="134"/>
        <v>0.11252268602540835</v>
      </c>
      <c r="V42" s="10">
        <f t="shared" si="134"/>
        <v>0.1556420233463035</v>
      </c>
      <c r="W42" s="10">
        <f t="shared" si="134"/>
        <v>0.19378919080322485</v>
      </c>
      <c r="X42" s="10">
        <f t="shared" ref="X42:Y42" si="145">(X15-X18)/X15</f>
        <v>0.19823545629997244</v>
      </c>
      <c r="Y42" s="10">
        <f t="shared" si="145"/>
        <v>0.15</v>
      </c>
      <c r="Z42" s="10">
        <f t="shared" ref="Z42" si="146">(Z15-Z18)/Z15</f>
        <v>0.14999999999999997</v>
      </c>
      <c r="AD42" s="10">
        <f t="shared" ref="AD42:AH42" si="147">(AD15-AD18)/AD15</f>
        <v>0.14039408866995073</v>
      </c>
      <c r="AE42" s="10">
        <f t="shared" si="147"/>
        <v>0.19004567061235902</v>
      </c>
      <c r="AF42" s="10">
        <f t="shared" si="147"/>
        <v>0.20872966485909858</v>
      </c>
      <c r="AG42" s="10">
        <f t="shared" si="147"/>
        <v>0.17670648464163821</v>
      </c>
      <c r="AH42" s="10">
        <f t="shared" si="147"/>
        <v>0.1860772895712017</v>
      </c>
      <c r="AI42" s="10">
        <f t="shared" ref="AI42" si="148">(AI15-AI18)/AI15</f>
        <v>0.20345948012232415</v>
      </c>
      <c r="AJ42" s="10">
        <f t="shared" ref="AJ42:AM42" si="149">(AJ15-AJ18)/AJ15</f>
        <v>0.22408707150849355</v>
      </c>
      <c r="AK42" s="10">
        <f t="shared" si="149"/>
        <v>0.1859241612070677</v>
      </c>
      <c r="AL42" s="10">
        <f t="shared" si="149"/>
        <v>0.20416244589741228</v>
      </c>
      <c r="AM42" s="10">
        <f t="shared" si="149"/>
        <v>0.22188774519324139</v>
      </c>
      <c r="AN42" s="10">
        <f t="shared" ref="AN42:AP42" si="150">(AN15-AN18)/AN15</f>
        <v>0.24666341938626402</v>
      </c>
      <c r="AO42" s="10">
        <f t="shared" si="150"/>
        <v>0.21380069737566526</v>
      </c>
      <c r="AP42" s="10">
        <f t="shared" si="150"/>
        <v>0.11935021500238892</v>
      </c>
      <c r="AQ42" s="10">
        <f t="shared" ref="AQ42:AS42" si="151">(AQ15-AQ18)/AQ15</f>
        <v>0.15804284676833696</v>
      </c>
      <c r="AR42" s="10">
        <f t="shared" si="151"/>
        <v>0.14541284403669724</v>
      </c>
      <c r="AS42" s="10">
        <f t="shared" si="151"/>
        <v>0.14988334111059262</v>
      </c>
      <c r="AT42" s="10">
        <f t="shared" ref="AT42" si="152">(AT15-AT18)/AT15</f>
        <v>0.1643330876934414</v>
      </c>
      <c r="AU42" s="10">
        <f t="shared" ref="AU42:BF42" si="153">(AU15-AU18)/AU15</f>
        <v>0.16373212942061702</v>
      </c>
      <c r="AV42" s="10">
        <f t="shared" si="153"/>
        <v>0.17240463920937263</v>
      </c>
      <c r="AW42" s="10">
        <f t="shared" si="153"/>
        <v>0.16000000000000003</v>
      </c>
      <c r="AX42" s="10">
        <f t="shared" si="153"/>
        <v>0.16000000000000006</v>
      </c>
      <c r="AY42" s="10">
        <f t="shared" si="153"/>
        <v>0.16000000000000003</v>
      </c>
      <c r="AZ42" s="10">
        <f t="shared" si="153"/>
        <v>0.16000000000000006</v>
      </c>
      <c r="BA42" s="10">
        <f t="shared" si="153"/>
        <v>0.16000000000000003</v>
      </c>
      <c r="BB42" s="10">
        <f t="shared" si="153"/>
        <v>0.16000000000000009</v>
      </c>
      <c r="BC42" s="10">
        <f t="shared" si="153"/>
        <v>0.16000000000000006</v>
      </c>
      <c r="BD42" s="10">
        <f t="shared" si="153"/>
        <v>0.16000000000000003</v>
      </c>
      <c r="BE42" s="10">
        <f t="shared" si="153"/>
        <v>0.16000000000000003</v>
      </c>
      <c r="BF42" s="10">
        <f t="shared" si="153"/>
        <v>0.15999999999999998</v>
      </c>
      <c r="BH42" s="1" t="s">
        <v>73</v>
      </c>
      <c r="BI42" s="7">
        <f>Main!D8</f>
        <v>-29320</v>
      </c>
    </row>
    <row r="43" spans="2:146" x14ac:dyDescent="0.3">
      <c r="B43" s="1" t="s">
        <v>57</v>
      </c>
      <c r="P43" s="10">
        <f t="shared" ref="P43:S43" si="154">P20/P16</f>
        <v>9.8172244443319331E-2</v>
      </c>
      <c r="Q43" s="10">
        <f t="shared" si="154"/>
        <v>6.4350419796730007E-2</v>
      </c>
      <c r="R43" s="10">
        <f t="shared" si="154"/>
        <v>0.12249068943591607</v>
      </c>
      <c r="S43" s="10">
        <f t="shared" si="154"/>
        <v>0.11322348964934516</v>
      </c>
      <c r="T43" s="10">
        <f>T20/T16</f>
        <v>7.2868492825803391E-2</v>
      </c>
      <c r="U43" s="10">
        <f>U20/U16</f>
        <v>-0.19658071748878925</v>
      </c>
      <c r="V43" s="10">
        <f>V20/V16</f>
        <v>-0.10425141057603989</v>
      </c>
      <c r="W43" s="10">
        <f>W20/W16</f>
        <v>0.12397414854329093</v>
      </c>
      <c r="X43" s="10">
        <f t="shared" ref="X43:Y43" si="155">X20/X16</f>
        <v>0.10703767198558178</v>
      </c>
      <c r="Y43" s="10">
        <f t="shared" si="155"/>
        <v>0.10787799863979228</v>
      </c>
      <c r="Z43" s="10">
        <f t="shared" ref="Z43" si="156">Z20/Z16</f>
        <v>0.11619628649874003</v>
      </c>
      <c r="AD43" s="10">
        <f t="shared" ref="AD43:AH43" si="157">AD20/AD16</f>
        <v>0.1955955232199075</v>
      </c>
      <c r="AE43" s="10">
        <f t="shared" si="157"/>
        <v>0.17332413928976012</v>
      </c>
      <c r="AF43" s="10">
        <f t="shared" si="157"/>
        <v>0.1719512016519969</v>
      </c>
      <c r="AG43" s="10">
        <f t="shared" si="157"/>
        <v>0.19380773178241534</v>
      </c>
      <c r="AH43" s="10">
        <f t="shared" si="157"/>
        <v>0.18721175529206371</v>
      </c>
      <c r="AI43" s="10">
        <f t="shared" ref="AI43" si="158">AI20/AI16</f>
        <v>0.15978359323361649</v>
      </c>
      <c r="AJ43" s="10">
        <f t="shared" ref="AJ43:AM43" si="159">AJ20/AJ16</f>
        <v>0.15417383373930713</v>
      </c>
      <c r="AK43" s="10">
        <f t="shared" si="159"/>
        <v>0.15435975408210484</v>
      </c>
      <c r="AL43" s="10">
        <f t="shared" si="159"/>
        <v>0.1459308737540837</v>
      </c>
      <c r="AM43" s="10">
        <f t="shared" si="159"/>
        <v>0.1547659792932318</v>
      </c>
      <c r="AN43" s="10">
        <f t="shared" ref="AN43:AP43" si="160">AN20/AN16</f>
        <v>0.18502207329397372</v>
      </c>
      <c r="AO43" s="10">
        <f t="shared" si="160"/>
        <v>0.19418157366479774</v>
      </c>
      <c r="AP43" s="10">
        <f t="shared" si="160"/>
        <v>5.833409527292676E-2</v>
      </c>
      <c r="AQ43" s="10">
        <f t="shared" ref="AQ43:AS43" si="161">AQ20/AQ16</f>
        <v>-9.7750954296915299E-2</v>
      </c>
      <c r="AR43" s="10">
        <f t="shared" si="161"/>
        <v>4.8437851202517417E-2</v>
      </c>
      <c r="AS43" s="10">
        <f t="shared" si="161"/>
        <v>5.2996637040595727E-2</v>
      </c>
      <c r="AT43" s="10">
        <f t="shared" ref="AT43" si="162">AT20/AT16</f>
        <v>9.9287862817183839E-2</v>
      </c>
      <c r="AU43" s="10">
        <f t="shared" ref="AU43:BF43" si="163">AU20/AU16</f>
        <v>-2.9932197784025137E-2</v>
      </c>
      <c r="AV43" s="10">
        <f t="shared" si="163"/>
        <v>0.11339720798155752</v>
      </c>
      <c r="AW43" s="10">
        <f t="shared" si="163"/>
        <v>0.13429733715631767</v>
      </c>
      <c r="AX43" s="10">
        <f t="shared" si="163"/>
        <v>0.14284148320523746</v>
      </c>
      <c r="AY43" s="10">
        <f t="shared" si="163"/>
        <v>0.15142074160261873</v>
      </c>
      <c r="AZ43" s="10">
        <f t="shared" si="163"/>
        <v>0.16000000000000011</v>
      </c>
      <c r="BA43" s="10">
        <f t="shared" si="163"/>
        <v>0.16855530846518946</v>
      </c>
      <c r="BB43" s="10">
        <f t="shared" si="163"/>
        <v>0.17708641634111594</v>
      </c>
      <c r="BC43" s="10">
        <f t="shared" si="163"/>
        <v>0.18559307178827028</v>
      </c>
      <c r="BD43" s="10">
        <f t="shared" si="163"/>
        <v>0.18555626635324463</v>
      </c>
      <c r="BE43" s="10">
        <f t="shared" si="163"/>
        <v>0.1855192073466026</v>
      </c>
      <c r="BF43" s="10">
        <f t="shared" si="163"/>
        <v>0.18548189392076106</v>
      </c>
      <c r="BH43" s="1" t="s">
        <v>74</v>
      </c>
      <c r="BI43" s="7">
        <f>BI41+BI42</f>
        <v>85701.927964040224</v>
      </c>
    </row>
    <row r="44" spans="2:146" x14ac:dyDescent="0.3">
      <c r="B44" s="1" t="s">
        <v>60</v>
      </c>
      <c r="P44" s="10"/>
      <c r="Q44" s="10"/>
      <c r="R44" s="10"/>
      <c r="S44" s="10"/>
      <c r="T44" s="10">
        <f t="shared" ref="T44:W45" si="164">T22/P22-1</f>
        <v>7.0762052877138437E-2</v>
      </c>
      <c r="U44" s="10">
        <f t="shared" si="164"/>
        <v>4.0268456375838868E-2</v>
      </c>
      <c r="V44" s="10">
        <f t="shared" si="164"/>
        <v>-8.9250814332247574E-2</v>
      </c>
      <c r="W44" s="10">
        <f t="shared" si="164"/>
        <v>-4.2204995693367775E-2</v>
      </c>
      <c r="X44" s="10">
        <f t="shared" ref="X44:Y44" si="165">X22/T22-1</f>
        <v>0.30210602759622374</v>
      </c>
      <c r="Y44" s="10">
        <f t="shared" si="165"/>
        <v>0.5</v>
      </c>
      <c r="Z44" s="10">
        <f t="shared" ref="Z44:Z45" si="166">Z22/V22-1</f>
        <v>0.35000000000000009</v>
      </c>
      <c r="AD44" s="10"/>
      <c r="AE44" s="10">
        <f t="shared" ref="AE44:AE45" si="167">AE22/AD22-1</f>
        <v>-0.12659303313508918</v>
      </c>
      <c r="AF44" s="10">
        <f t="shared" ref="AF44:AF45" si="168">AF22/AE22-1</f>
        <v>9.0791180285343609E-2</v>
      </c>
      <c r="AG44" s="10">
        <f t="shared" ref="AG44:AG45" si="169">AG22/AF22-1</f>
        <v>8.3234244946492231E-2</v>
      </c>
      <c r="AH44" s="10">
        <f t="shared" ref="AH44:AH45" si="170">AH22/AG22-1</f>
        <v>-6.4763995609220637E-2</v>
      </c>
      <c r="AI44" s="10">
        <f t="shared" ref="AI44:AI45" si="171">AI22/AH22-1</f>
        <v>9.0669014084507005E-2</v>
      </c>
      <c r="AJ44" s="10">
        <f t="shared" ref="AJ44:AJ45" si="172">AJ22/AI22-1</f>
        <v>6.4299165994081253E-2</v>
      </c>
      <c r="AK44" s="10">
        <f t="shared" ref="AK44:AK45" si="173">AK22/AJ22-1</f>
        <v>-4.7775530839231584E-2</v>
      </c>
      <c r="AL44" s="10">
        <f t="shared" ref="AL44:AL45" si="174">AL22/AK22-1</f>
        <v>-6.4242102468808016E-2</v>
      </c>
      <c r="AM44" s="10">
        <f t="shared" ref="AM44:AM45" si="175">AM22/AL22-1</f>
        <v>2.4964539007092279E-2</v>
      </c>
      <c r="AN44" s="10">
        <f t="shared" ref="AN44:AP44" si="176">AN22/AM22-1</f>
        <v>0.13340714088015493</v>
      </c>
      <c r="AO44" s="10">
        <f t="shared" si="176"/>
        <v>0.1152625152625153</v>
      </c>
      <c r="AP44" s="10">
        <f t="shared" si="176"/>
        <v>-0.14407707466608277</v>
      </c>
      <c r="AQ44" s="10">
        <f t="shared" ref="AQ44:AS44" si="177">AQ22/AP22-1</f>
        <v>0.23228447173190081</v>
      </c>
      <c r="AR44" s="10">
        <f t="shared" si="177"/>
        <v>-0.13701473946439691</v>
      </c>
      <c r="AS44" s="10">
        <f t="shared" si="177"/>
        <v>7.216742843396684E-3</v>
      </c>
      <c r="AT44" s="10">
        <f t="shared" ref="AT44" si="178">AT22/AS22-1</f>
        <v>0.23429663243372345</v>
      </c>
      <c r="AU44" s="10">
        <f t="shared" ref="AU44:BF44" si="179">AU22/AT22-1</f>
        <v>-2.8444272445820484E-2</v>
      </c>
      <c r="AV44" s="10">
        <f t="shared" si="179"/>
        <v>0.27858992232622981</v>
      </c>
      <c r="AW44" s="10">
        <f t="shared" si="179"/>
        <v>1.0000000000000009E-2</v>
      </c>
      <c r="AX44" s="10">
        <f t="shared" si="179"/>
        <v>1.0000000000000009E-2</v>
      </c>
      <c r="AY44" s="10">
        <f t="shared" si="179"/>
        <v>1.0000000000000009E-2</v>
      </c>
      <c r="AZ44" s="10">
        <f t="shared" si="179"/>
        <v>1.0000000000000009E-2</v>
      </c>
      <c r="BA44" s="10">
        <f t="shared" si="179"/>
        <v>1.0000000000000009E-2</v>
      </c>
      <c r="BB44" s="10">
        <f t="shared" si="179"/>
        <v>1.0000000000000009E-2</v>
      </c>
      <c r="BC44" s="10">
        <f t="shared" si="179"/>
        <v>1.0000000000000009E-2</v>
      </c>
      <c r="BD44" s="10">
        <f t="shared" si="179"/>
        <v>1.0000000000000009E-2</v>
      </c>
      <c r="BE44" s="10">
        <f t="shared" si="179"/>
        <v>1.0000000000000009E-2</v>
      </c>
      <c r="BF44" s="10">
        <f t="shared" si="179"/>
        <v>1.0000000000000009E-2</v>
      </c>
      <c r="BH44" s="1" t="s">
        <v>75</v>
      </c>
      <c r="BI44" s="5">
        <f>BI43/BF34</f>
        <v>113.75355450496447</v>
      </c>
    </row>
    <row r="45" spans="2:146" x14ac:dyDescent="0.3">
      <c r="B45" s="1" t="s">
        <v>61</v>
      </c>
      <c r="P45" s="10"/>
      <c r="Q45" s="10"/>
      <c r="R45" s="10"/>
      <c r="S45" s="10"/>
      <c r="T45" s="10">
        <f t="shared" si="164"/>
        <v>0.19698870765370136</v>
      </c>
      <c r="U45" s="10">
        <f t="shared" si="164"/>
        <v>0.20459290187891432</v>
      </c>
      <c r="V45" s="10">
        <f t="shared" si="164"/>
        <v>-5.1078320090805929E-2</v>
      </c>
      <c r="W45" s="10">
        <f t="shared" si="164"/>
        <v>-2.7649769585253448E-2</v>
      </c>
      <c r="X45" s="10">
        <f t="shared" ref="X45:Y45" si="180">X23/T23-1</f>
        <v>-4.6121593291404639E-2</v>
      </c>
      <c r="Y45" s="10">
        <f t="shared" si="180"/>
        <v>-9.9999999999999867E-2</v>
      </c>
      <c r="Z45" s="10">
        <f t="shared" si="166"/>
        <v>1.0000000000000009E-2</v>
      </c>
      <c r="AD45" s="10"/>
      <c r="AE45" s="10">
        <f t="shared" si="167"/>
        <v>-2.1298701298701261E-2</v>
      </c>
      <c r="AF45" s="10">
        <f t="shared" si="168"/>
        <v>0.72664543524416136</v>
      </c>
      <c r="AG45" s="10">
        <f t="shared" si="169"/>
        <v>-0.36658469105441127</v>
      </c>
      <c r="AH45" s="10">
        <f t="shared" si="170"/>
        <v>-4.9259888376607663E-2</v>
      </c>
      <c r="AI45" s="10">
        <f t="shared" si="171"/>
        <v>-0.15824400204185807</v>
      </c>
      <c r="AJ45" s="10">
        <f t="shared" si="172"/>
        <v>-6.882959369314734E-2</v>
      </c>
      <c r="AK45" s="10">
        <f t="shared" si="173"/>
        <v>-7.815043959622292E-3</v>
      </c>
      <c r="AL45" s="10">
        <f t="shared" si="174"/>
        <v>9.3206432556613095E-2</v>
      </c>
      <c r="AM45" s="10">
        <f t="shared" si="175"/>
        <v>0.38877214049834885</v>
      </c>
      <c r="AN45" s="10">
        <f t="shared" ref="AN45:AP45" si="181">AN23/AM23-1</f>
        <v>-0.31279723303069606</v>
      </c>
      <c r="AO45" s="10">
        <f t="shared" si="181"/>
        <v>2.8310789556464266E-2</v>
      </c>
      <c r="AP45" s="10">
        <f t="shared" si="181"/>
        <v>-1.5295197308045294E-2</v>
      </c>
      <c r="AQ45" s="10">
        <f t="shared" ref="AQ45:AS45" si="182">AQ23/AP23-1</f>
        <v>-0.23081702392047221</v>
      </c>
      <c r="AR45" s="10">
        <f t="shared" si="182"/>
        <v>-9.1680129240710784E-2</v>
      </c>
      <c r="AS45" s="10">
        <f t="shared" si="182"/>
        <v>0.26811916407292125</v>
      </c>
      <c r="AT45" s="10">
        <f t="shared" ref="AT45" si="183">AT23/AS23-1</f>
        <v>0.18408134642356244</v>
      </c>
      <c r="AU45" s="10">
        <f t="shared" ref="AU45:BF45" si="184">AU23/AT23-1</f>
        <v>0.12881255552265314</v>
      </c>
      <c r="AV45" s="10">
        <f t="shared" si="184"/>
        <v>-4.5918153200419587E-2</v>
      </c>
      <c r="AW45" s="10">
        <f t="shared" si="184"/>
        <v>2.0000000000000018E-2</v>
      </c>
      <c r="AX45" s="10">
        <f t="shared" si="184"/>
        <v>2.0000000000000018E-2</v>
      </c>
      <c r="AY45" s="10">
        <f t="shared" si="184"/>
        <v>2.0000000000000018E-2</v>
      </c>
      <c r="AZ45" s="10">
        <f t="shared" si="184"/>
        <v>2.0000000000000018E-2</v>
      </c>
      <c r="BA45" s="10">
        <f t="shared" si="184"/>
        <v>1.0000000000000009E-2</v>
      </c>
      <c r="BB45" s="10">
        <f t="shared" si="184"/>
        <v>1.0000000000000009E-2</v>
      </c>
      <c r="BC45" s="10">
        <f t="shared" si="184"/>
        <v>1.0000000000000009E-2</v>
      </c>
      <c r="BD45" s="10">
        <f t="shared" si="184"/>
        <v>1.0000000000000009E-2</v>
      </c>
      <c r="BE45" s="10">
        <f t="shared" si="184"/>
        <v>1.0000000000000009E-2</v>
      </c>
      <c r="BF45" s="10">
        <f t="shared" si="184"/>
        <v>1.0000000000000009E-2</v>
      </c>
      <c r="BH45" s="1" t="s">
        <v>76</v>
      </c>
      <c r="BI45" s="5">
        <f>Main!D3</f>
        <v>216.3</v>
      </c>
    </row>
    <row r="46" spans="2:146" x14ac:dyDescent="0.3">
      <c r="B46" s="1" t="s">
        <v>62</v>
      </c>
      <c r="P46" s="10">
        <f t="shared" ref="P46:S46" si="185">P26/P16</f>
        <v>-5.0124044352184696E-3</v>
      </c>
      <c r="Q46" s="10">
        <f t="shared" si="185"/>
        <v>-4.4631020768890854E-2</v>
      </c>
      <c r="R46" s="10">
        <f t="shared" si="185"/>
        <v>1.2853120174402762E-2</v>
      </c>
      <c r="S46" s="10">
        <f t="shared" si="185"/>
        <v>-5.1904158368036692E-3</v>
      </c>
      <c r="T46" s="10">
        <f>T26/T16</f>
        <v>-6.4627060358116925E-2</v>
      </c>
      <c r="U46" s="10">
        <f>U26/U16</f>
        <v>-0.32292600896860985</v>
      </c>
      <c r="V46" s="10">
        <f>V26/V16</f>
        <v>-0.24734286838997507</v>
      </c>
      <c r="W46" s="10">
        <f>W26/W16</f>
        <v>2.364587607714403E-2</v>
      </c>
      <c r="X46" s="10">
        <f t="shared" ref="X46:Y46" si="186">X26/X16</f>
        <v>-7.7366038067607371E-3</v>
      </c>
      <c r="Y46" s="10">
        <f t="shared" si="186"/>
        <v>-6.5932721239849827E-3</v>
      </c>
      <c r="Z46" s="10">
        <f t="shared" ref="Z46" si="187">Z26/Z16</f>
        <v>2.0928596699862126E-3</v>
      </c>
      <c r="AD46" s="10">
        <f t="shared" ref="AD46:AH46" si="188">AD26/AD16</f>
        <v>8.7818398180366644E-2</v>
      </c>
      <c r="AE46" s="10">
        <f t="shared" si="188"/>
        <v>6.4850843060959798E-2</v>
      </c>
      <c r="AF46" s="10">
        <f t="shared" si="188"/>
        <v>3.0696679896310832E-2</v>
      </c>
      <c r="AG46" s="10">
        <f t="shared" si="188"/>
        <v>7.7302273504805147E-2</v>
      </c>
      <c r="AH46" s="10">
        <f t="shared" si="188"/>
        <v>8.50221866589074E-2</v>
      </c>
      <c r="AI46" s="10">
        <f t="shared" ref="AI46" si="189">AI26/AI16</f>
        <v>7.7247913045606992E-2</v>
      </c>
      <c r="AJ46" s="10">
        <f t="shared" ref="AJ46:AM46" si="190">AJ26/AJ16</f>
        <v>7.5753552751578676E-2</v>
      </c>
      <c r="AK46" s="10">
        <f t="shared" si="190"/>
        <v>8.2336220003966412E-2</v>
      </c>
      <c r="AL46" s="10">
        <f t="shared" si="190"/>
        <v>7.7439290842124975E-2</v>
      </c>
      <c r="AM46" s="10">
        <f t="shared" si="190"/>
        <v>6.9810473175323004E-2</v>
      </c>
      <c r="AN46" s="10">
        <f t="shared" ref="AN46:AP46" si="191">AN26/AN16</f>
        <v>0.11003670017552258</v>
      </c>
      <c r="AO46" s="10">
        <f t="shared" si="191"/>
        <v>0.11853412046238888</v>
      </c>
      <c r="AP46" s="10">
        <f t="shared" si="191"/>
        <v>-2.5797097663240117E-2</v>
      </c>
      <c r="AQ46" s="10">
        <f t="shared" ref="AQ46:AS46" si="192">AQ26/AQ16</f>
        <v>-0.21952267959696001</v>
      </c>
      <c r="AR46" s="10">
        <f t="shared" si="192"/>
        <v>-4.6591529396654147E-2</v>
      </c>
      <c r="AS46" s="10">
        <f t="shared" si="192"/>
        <v>-5.2831491712707179E-2</v>
      </c>
      <c r="AT46" s="10">
        <f t="shared" ref="AT46" si="193">AT26/AT16</f>
        <v>-9.9364989587885956E-3</v>
      </c>
      <c r="AU46" s="10">
        <f t="shared" ref="AU46:BF46" si="194">AU26/AU16</f>
        <v>-0.16096636949952645</v>
      </c>
      <c r="AV46" s="10">
        <f t="shared" si="194"/>
        <v>2.0289571131939408E-3</v>
      </c>
      <c r="AW46" s="10">
        <f t="shared" si="194"/>
        <v>3.7415465977460045E-2</v>
      </c>
      <c r="AX46" s="10">
        <f t="shared" si="194"/>
        <v>4.9186798924218907E-2</v>
      </c>
      <c r="AY46" s="10">
        <f t="shared" si="194"/>
        <v>5.9251616514687834E-2</v>
      </c>
      <c r="AZ46" s="10">
        <f t="shared" si="194"/>
        <v>6.8528924010981748E-2</v>
      </c>
      <c r="BA46" s="10">
        <f t="shared" si="194"/>
        <v>7.8108048435375235E-2</v>
      </c>
      <c r="BB46" s="10">
        <f t="shared" si="194"/>
        <v>8.7652565064402818E-2</v>
      </c>
      <c r="BC46" s="10">
        <f t="shared" si="194"/>
        <v>9.7162322184362576E-2</v>
      </c>
      <c r="BD46" s="10">
        <f t="shared" si="194"/>
        <v>9.8118410488520116E-2</v>
      </c>
      <c r="BE46" s="10">
        <f t="shared" si="194"/>
        <v>9.9064135464817807E-2</v>
      </c>
      <c r="BF46" s="10">
        <f t="shared" si="194"/>
        <v>9.9999593483501847E-2</v>
      </c>
      <c r="BH46" s="3" t="s">
        <v>77</v>
      </c>
      <c r="BI46" s="11">
        <f>BI44/BI45-1</f>
        <v>-0.4740935991448707</v>
      </c>
    </row>
    <row r="47" spans="2:146" x14ac:dyDescent="0.3">
      <c r="B47" s="1" t="s">
        <v>52</v>
      </c>
      <c r="P47" s="10">
        <f t="shared" ref="P47:S47" si="195">P31/P30</f>
        <v>0.62749999999999995</v>
      </c>
      <c r="Q47" s="10">
        <f t="shared" si="195"/>
        <v>-0.48909090909090908</v>
      </c>
      <c r="R47" s="10">
        <f t="shared" si="195"/>
        <v>-2.3333333333333335</v>
      </c>
      <c r="S47" s="10">
        <f t="shared" si="195"/>
        <v>-6.0846560846560843E-2</v>
      </c>
      <c r="T47" s="10">
        <f>T31/T30</f>
        <v>5.0165016501650166E-2</v>
      </c>
      <c r="U47" s="10">
        <f>U31/U30</f>
        <v>8.0334190231362464E-3</v>
      </c>
      <c r="V47" s="10">
        <f>V31/V30</f>
        <v>5.6682140239433181E-2</v>
      </c>
      <c r="W47" s="10">
        <f>W31/W30</f>
        <v>1.4078947368421053</v>
      </c>
      <c r="X47" s="10">
        <f t="shared" ref="X47:Y47" si="196">X31/X30</f>
        <v>-9.0909090909090912E-2</v>
      </c>
      <c r="Y47" s="10">
        <f t="shared" si="196"/>
        <v>0.15</v>
      </c>
      <c r="Z47" s="10">
        <f t="shared" ref="Z47" si="197">Z31/Z30</f>
        <v>0.15</v>
      </c>
      <c r="AD47" s="10">
        <f t="shared" ref="AD47:AH47" si="198">AD31/AD30</f>
        <v>0.33671134357633214</v>
      </c>
      <c r="AE47" s="10">
        <f t="shared" si="198"/>
        <v>0.33566958698372967</v>
      </c>
      <c r="AF47" s="10">
        <f t="shared" si="198"/>
        <v>0.22876949740034663</v>
      </c>
      <c r="AG47" s="10">
        <f t="shared" si="198"/>
        <v>0.2653649877967606</v>
      </c>
      <c r="AH47" s="10">
        <f t="shared" si="198"/>
        <v>0.25625811236788432</v>
      </c>
      <c r="AI47" s="10">
        <f t="shared" ref="AI47" si="199">AI31/AI30</f>
        <v>0.33959390862944161</v>
      </c>
      <c r="AJ47" s="10">
        <f t="shared" ref="AJ47:AM47" si="200">AJ31/AJ30</f>
        <v>0.26412066752246471</v>
      </c>
      <c r="AK47" s="10">
        <f t="shared" si="200"/>
        <v>0.23693428611461398</v>
      </c>
      <c r="AL47" s="10">
        <f t="shared" si="200"/>
        <v>0.27658979734451433</v>
      </c>
      <c r="AM47" s="10">
        <f t="shared" si="200"/>
        <v>0.12951755144388727</v>
      </c>
      <c r="AN47" s="10">
        <f t="shared" ref="AN47:AP47" si="201">AN31/AN30</f>
        <v>0.16315424953002869</v>
      </c>
      <c r="AO47" s="10">
        <f t="shared" si="201"/>
        <v>9.8586694243364359E-2</v>
      </c>
      <c r="AP47" s="10">
        <f t="shared" si="201"/>
        <v>0.71845949535192566</v>
      </c>
      <c r="AQ47" s="10">
        <f t="shared" ref="AQ47:AS47" si="202">AQ31/AQ30</f>
        <v>0.17511743575573363</v>
      </c>
      <c r="AR47" s="10">
        <f t="shared" si="202"/>
        <v>0.14762567057421022</v>
      </c>
      <c r="AS47" s="10">
        <f t="shared" si="202"/>
        <v>-6.1728395061728392E-3</v>
      </c>
      <c r="AT47" s="10">
        <f t="shared" ref="AT47" si="203">AT31/AT30</f>
        <v>-0.11820448877805487</v>
      </c>
      <c r="AU47" s="10">
        <f t="shared" ref="AU47:BF47" si="204">AU31/AU30</f>
        <v>3.1203931203931203E-2</v>
      </c>
      <c r="AV47" s="10">
        <f t="shared" si="204"/>
        <v>-1.6929811711130217E-2</v>
      </c>
      <c r="AW47" s="10">
        <f t="shared" si="204"/>
        <v>0.15</v>
      </c>
      <c r="AX47" s="10">
        <f t="shared" si="204"/>
        <v>0.15</v>
      </c>
      <c r="AY47" s="10">
        <f t="shared" si="204"/>
        <v>0.15</v>
      </c>
      <c r="AZ47" s="10">
        <f t="shared" si="204"/>
        <v>0.15</v>
      </c>
      <c r="BA47" s="10">
        <f t="shared" si="204"/>
        <v>0.15</v>
      </c>
      <c r="BB47" s="10">
        <f t="shared" si="204"/>
        <v>0.15</v>
      </c>
      <c r="BC47" s="10">
        <f t="shared" si="204"/>
        <v>0.15</v>
      </c>
      <c r="BD47" s="10">
        <f t="shared" si="204"/>
        <v>0.15</v>
      </c>
      <c r="BE47" s="10">
        <f t="shared" si="204"/>
        <v>0.15</v>
      </c>
      <c r="BF47" s="10">
        <f t="shared" si="204"/>
        <v>0.15</v>
      </c>
      <c r="BH47" s="1" t="s">
        <v>78</v>
      </c>
      <c r="BI47" s="2" t="s">
        <v>83</v>
      </c>
    </row>
    <row r="48" spans="2:146" x14ac:dyDescent="0.3">
      <c r="B48" s="1" t="s">
        <v>63</v>
      </c>
      <c r="P48" s="10">
        <f t="shared" ref="P48:S48" si="205">P33/P16</f>
        <v>-7.5439218267429496E-3</v>
      </c>
      <c r="Q48" s="10">
        <f t="shared" si="205"/>
        <v>-9.0366769774635439E-2</v>
      </c>
      <c r="R48" s="10">
        <f t="shared" si="205"/>
        <v>-1.0445998728313198E-3</v>
      </c>
      <c r="S48" s="10">
        <f t="shared" si="205"/>
        <v>-2.347757861065846E-2</v>
      </c>
      <c r="T48" s="10">
        <f>T33/T16</f>
        <v>-8.5319577848926839E-2</v>
      </c>
      <c r="U48" s="10">
        <f>U33/U16</f>
        <v>-0.34585201793721976</v>
      </c>
      <c r="V48" s="10">
        <f>V33/V16</f>
        <v>-0.25738092113895816</v>
      </c>
      <c r="W48" s="10">
        <f>W33/W16</f>
        <v>-6.3089864587607715E-3</v>
      </c>
      <c r="X48" s="10">
        <f t="shared" ref="X48:Y48" si="206">X33/X16</f>
        <v>-3.0638709393819508E-2</v>
      </c>
      <c r="Y48" s="10">
        <f t="shared" si="206"/>
        <v>-2.6620757508621508E-2</v>
      </c>
      <c r="Z48" s="10">
        <f t="shared" ref="Z48" si="207">Z33/Z16</f>
        <v>-1.3646811159968917E-2</v>
      </c>
      <c r="AD48" s="10">
        <f t="shared" ref="AD48:AH48" si="208">AD33/AD16</f>
        <v>6.1367436395679875E-2</v>
      </c>
      <c r="AE48" s="10">
        <f t="shared" si="208"/>
        <v>4.3868722192122678E-2</v>
      </c>
      <c r="AF48" s="10">
        <f t="shared" si="208"/>
        <v>1.921471566028617E-2</v>
      </c>
      <c r="AG48" s="10">
        <f t="shared" si="208"/>
        <v>5.142599446396915E-2</v>
      </c>
      <c r="AH48" s="10">
        <f t="shared" si="208"/>
        <v>5.8456390485196769E-2</v>
      </c>
      <c r="AI48" s="10">
        <f t="shared" ref="AI48" si="209">AI33/AI16</f>
        <v>4.7736786702244856E-2</v>
      </c>
      <c r="AJ48" s="10">
        <f t="shared" ref="AJ48:AM48" si="210">AJ33/AJ16</f>
        <v>5.2930514990245085E-2</v>
      </c>
      <c r="AK48" s="10">
        <f t="shared" si="210"/>
        <v>6.000308499151627E-2</v>
      </c>
      <c r="AL48" s="10">
        <f t="shared" si="210"/>
        <v>5.3852716565744842E-2</v>
      </c>
      <c r="AM48" s="10">
        <f t="shared" si="210"/>
        <v>5.3841875588260459E-2</v>
      </c>
      <c r="AN48" s="10">
        <f t="shared" ref="AN48:AP48" si="211">AN33/AN16</f>
        <v>8.9973937556512951E-2</v>
      </c>
      <c r="AO48" s="10">
        <f t="shared" si="211"/>
        <v>0.10343429548982962</v>
      </c>
      <c r="AP48" s="10">
        <f t="shared" si="211"/>
        <v>-8.3073185386434E-3</v>
      </c>
      <c r="AQ48" s="10">
        <f t="shared" ref="AQ48:AS48" si="212">AQ33/AQ16</f>
        <v>-0.20415076171807833</v>
      </c>
      <c r="AR48" s="10">
        <f t="shared" si="212"/>
        <v>-6.7462993289021611E-2</v>
      </c>
      <c r="AS48" s="10">
        <f t="shared" si="212"/>
        <v>-7.4090199375450402E-2</v>
      </c>
      <c r="AT48" s="10">
        <f t="shared" ref="AT48" si="213">AT33/AT16</f>
        <v>-2.8562614083348332E-2</v>
      </c>
      <c r="AU48" s="10">
        <f t="shared" ref="AU48:BF48" si="214">AU33/AU16</f>
        <v>-0.17852579039944677</v>
      </c>
      <c r="AV48" s="10">
        <f t="shared" si="214"/>
        <v>-1.9745232424375838E-2</v>
      </c>
      <c r="AW48" s="10">
        <f t="shared" si="214"/>
        <v>1.9152415083081187E-2</v>
      </c>
      <c r="AX48" s="10">
        <f t="shared" si="214"/>
        <v>2.9729599978977794E-2</v>
      </c>
      <c r="AY48" s="10">
        <f t="shared" si="214"/>
        <v>3.8624453661221199E-2</v>
      </c>
      <c r="AZ48" s="10">
        <f t="shared" si="214"/>
        <v>4.6746491427612245E-2</v>
      </c>
      <c r="BA48" s="10">
        <f t="shared" si="214"/>
        <v>5.512241668372786E-2</v>
      </c>
      <c r="BB48" s="10">
        <f t="shared" si="214"/>
        <v>6.3466292603617719E-2</v>
      </c>
      <c r="BC48" s="10">
        <f t="shared" si="214"/>
        <v>7.1778014184183017E-2</v>
      </c>
      <c r="BD48" s="10">
        <f t="shared" si="214"/>
        <v>7.2816532235332923E-2</v>
      </c>
      <c r="BE48" s="10">
        <f t="shared" si="214"/>
        <v>7.3843679912048307E-2</v>
      </c>
      <c r="BF48" s="10">
        <f t="shared" si="214"/>
        <v>7.4859562391353815E-2</v>
      </c>
    </row>
    <row r="51" spans="2:24" s="15" customFormat="1" x14ac:dyDescent="0.3">
      <c r="B51" s="15" t="s">
        <v>80</v>
      </c>
      <c r="V51" s="16">
        <v>156363</v>
      </c>
      <c r="W51" s="16"/>
      <c r="X51" s="16">
        <v>155120</v>
      </c>
    </row>
    <row r="53" spans="2:24" x14ac:dyDescent="0.3">
      <c r="B53" s="1" t="s">
        <v>81</v>
      </c>
      <c r="X53" s="17">
        <f>Main!D9/Model!X51</f>
        <v>1.2395591799896855</v>
      </c>
    </row>
    <row r="54" spans="2:24" x14ac:dyDescent="0.3">
      <c r="B54" s="1" t="s">
        <v>82</v>
      </c>
      <c r="X54" s="10">
        <f>X51/Main!D9-1</f>
        <v>-0.19326159158587242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2025-04-23T14:48:03Z</dcterms:created>
  <dcterms:modified xsi:type="dcterms:W3CDTF">2025-10-04T07:04:47Z</dcterms:modified>
</cp:coreProperties>
</file>