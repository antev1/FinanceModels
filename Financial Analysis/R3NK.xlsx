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1092088-301D-4C51-A120-1DE72F9A1EC5}" xr6:coauthVersionLast="47" xr6:coauthVersionMax="47" xr10:uidLastSave="{00000000-0000-0000-0000-000000000000}"/>
  <bookViews>
    <workbookView xWindow="-108" yWindow="-108" windowWidth="23256" windowHeight="12576" activeTab="1" xr2:uid="{C5F860F1-6CA0-404D-ADF8-14FACB36A36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5" i="2" l="1"/>
  <c r="V4" i="2"/>
  <c r="V3" i="2"/>
  <c r="V6" i="2" s="1"/>
  <c r="V65" i="2"/>
  <c r="V64" i="2"/>
  <c r="M6" i="2"/>
  <c r="J6" i="2"/>
  <c r="J5" i="2"/>
  <c r="J4" i="2"/>
  <c r="J3" i="2"/>
  <c r="M5" i="2"/>
  <c r="M4" i="2"/>
  <c r="M3" i="2"/>
  <c r="I13" i="2"/>
  <c r="I34" i="2" s="1"/>
  <c r="M13" i="2"/>
  <c r="M15" i="2" s="1"/>
  <c r="M48" i="2"/>
  <c r="M47" i="2"/>
  <c r="M45" i="2"/>
  <c r="M44" i="2"/>
  <c r="M41" i="2"/>
  <c r="M40" i="2"/>
  <c r="M39" i="2"/>
  <c r="M38" i="2"/>
  <c r="M37" i="2"/>
  <c r="M35" i="2"/>
  <c r="M21" i="2"/>
  <c r="AF50" i="2"/>
  <c r="AE50" i="2"/>
  <c r="AD50" i="2"/>
  <c r="AC50" i="2"/>
  <c r="AB50" i="2"/>
  <c r="AA50" i="2"/>
  <c r="Z50" i="2"/>
  <c r="Y50" i="2"/>
  <c r="X50" i="2"/>
  <c r="W50" i="2"/>
  <c r="V50" i="2"/>
  <c r="N50" i="2"/>
  <c r="M50" i="2"/>
  <c r="D4" i="1"/>
  <c r="AI60" i="2"/>
  <c r="AI57" i="2"/>
  <c r="T56" i="2"/>
  <c r="U56" i="2"/>
  <c r="T53" i="2"/>
  <c r="U53" i="2"/>
  <c r="U55" i="2"/>
  <c r="T55" i="2"/>
  <c r="S55" i="2"/>
  <c r="C48" i="2"/>
  <c r="S42" i="2"/>
  <c r="S36" i="2"/>
  <c r="S54" i="2" s="1"/>
  <c r="C21" i="2"/>
  <c r="C15" i="2"/>
  <c r="D21" i="2"/>
  <c r="D15" i="2"/>
  <c r="F48" i="2"/>
  <c r="F47" i="2"/>
  <c r="F45" i="2"/>
  <c r="F44" i="2"/>
  <c r="F41" i="2"/>
  <c r="F40" i="2"/>
  <c r="F39" i="2"/>
  <c r="F38" i="2"/>
  <c r="F37" i="2"/>
  <c r="F35" i="2"/>
  <c r="F34" i="2"/>
  <c r="E48" i="2"/>
  <c r="D48" i="2"/>
  <c r="E47" i="2"/>
  <c r="D47" i="2"/>
  <c r="C47" i="2"/>
  <c r="E45" i="2"/>
  <c r="D45" i="2"/>
  <c r="C45" i="2"/>
  <c r="E44" i="2"/>
  <c r="D44" i="2"/>
  <c r="C44" i="2"/>
  <c r="E41" i="2"/>
  <c r="D41" i="2"/>
  <c r="C41" i="2"/>
  <c r="E40" i="2"/>
  <c r="D40" i="2"/>
  <c r="C40" i="2"/>
  <c r="E39" i="2"/>
  <c r="D39" i="2"/>
  <c r="C39" i="2"/>
  <c r="E38" i="2"/>
  <c r="D38" i="2"/>
  <c r="C38" i="2"/>
  <c r="E37" i="2"/>
  <c r="D37" i="2"/>
  <c r="C37" i="2"/>
  <c r="E35" i="2"/>
  <c r="D35" i="2"/>
  <c r="C35" i="2"/>
  <c r="E34" i="2"/>
  <c r="D34" i="2"/>
  <c r="C34" i="2"/>
  <c r="J48" i="2"/>
  <c r="J47" i="2"/>
  <c r="J45" i="2"/>
  <c r="J44" i="2"/>
  <c r="J41" i="2"/>
  <c r="J40" i="2"/>
  <c r="J39" i="2"/>
  <c r="J38" i="2"/>
  <c r="N38" i="2" s="1"/>
  <c r="N56" i="2" s="1"/>
  <c r="J37" i="2"/>
  <c r="J35" i="2"/>
  <c r="J34" i="2"/>
  <c r="I48" i="2"/>
  <c r="I47" i="2"/>
  <c r="I45" i="2"/>
  <c r="I44" i="2"/>
  <c r="I41" i="2"/>
  <c r="I40" i="2"/>
  <c r="I39" i="2"/>
  <c r="I38" i="2"/>
  <c r="I37" i="2"/>
  <c r="I35" i="2"/>
  <c r="E21" i="2"/>
  <c r="E15" i="2"/>
  <c r="I21" i="2"/>
  <c r="I15" i="2"/>
  <c r="U42" i="2"/>
  <c r="T42" i="2"/>
  <c r="U36" i="2"/>
  <c r="U54" i="2" s="1"/>
  <c r="T36" i="2"/>
  <c r="T54" i="2" s="1"/>
  <c r="G21" i="2"/>
  <c r="G15" i="2"/>
  <c r="K48" i="2"/>
  <c r="K47" i="2"/>
  <c r="K45" i="2"/>
  <c r="K44" i="2"/>
  <c r="K41" i="2"/>
  <c r="K40" i="2"/>
  <c r="K39" i="2"/>
  <c r="K38" i="2"/>
  <c r="K37" i="2"/>
  <c r="K35" i="2"/>
  <c r="K34" i="2"/>
  <c r="G47" i="2"/>
  <c r="G45" i="2"/>
  <c r="G44" i="2"/>
  <c r="G41" i="2"/>
  <c r="G40" i="2"/>
  <c r="G39" i="2"/>
  <c r="G38" i="2"/>
  <c r="G37" i="2"/>
  <c r="G35" i="2"/>
  <c r="G34" i="2"/>
  <c r="G48" i="2"/>
  <c r="H48" i="2"/>
  <c r="H47" i="2"/>
  <c r="H45" i="2"/>
  <c r="H44" i="2"/>
  <c r="H41" i="2"/>
  <c r="H40" i="2"/>
  <c r="H39" i="2"/>
  <c r="H38" i="2"/>
  <c r="H37" i="2"/>
  <c r="H35" i="2"/>
  <c r="H34" i="2"/>
  <c r="L48" i="2"/>
  <c r="L47" i="2"/>
  <c r="L45" i="2"/>
  <c r="L44" i="2"/>
  <c r="L41" i="2"/>
  <c r="L40" i="2"/>
  <c r="L39" i="2"/>
  <c r="L38" i="2"/>
  <c r="L37" i="2"/>
  <c r="L35" i="2"/>
  <c r="L34" i="2"/>
  <c r="K21" i="2"/>
  <c r="K15" i="2"/>
  <c r="H21" i="2"/>
  <c r="H15" i="2"/>
  <c r="L21" i="2"/>
  <c r="L15" i="2"/>
  <c r="D7" i="1"/>
  <c r="D6" i="1"/>
  <c r="D8" i="1"/>
  <c r="D5" i="1"/>
  <c r="F3" i="1"/>
  <c r="F36" i="2" l="1"/>
  <c r="F54" i="2" s="1"/>
  <c r="M34" i="2"/>
  <c r="V45" i="2"/>
  <c r="J53" i="2"/>
  <c r="G56" i="2"/>
  <c r="C55" i="2"/>
  <c r="I55" i="2"/>
  <c r="E55" i="2"/>
  <c r="V41" i="2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L53" i="2"/>
  <c r="K55" i="2"/>
  <c r="H55" i="2"/>
  <c r="D55" i="2"/>
  <c r="M53" i="2"/>
  <c r="G53" i="2"/>
  <c r="I56" i="2"/>
  <c r="L56" i="2"/>
  <c r="H53" i="2"/>
  <c r="J55" i="2"/>
  <c r="L55" i="2"/>
  <c r="K56" i="2"/>
  <c r="E22" i="2"/>
  <c r="E25" i="2" s="1"/>
  <c r="E28" i="2" s="1"/>
  <c r="E30" i="2" s="1"/>
  <c r="N34" i="2"/>
  <c r="N53" i="2" s="1"/>
  <c r="V40" i="2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H56" i="2"/>
  <c r="K53" i="2"/>
  <c r="F55" i="2"/>
  <c r="V44" i="2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F42" i="2"/>
  <c r="G55" i="2"/>
  <c r="C36" i="2"/>
  <c r="C54" i="2" s="1"/>
  <c r="T43" i="2"/>
  <c r="I53" i="2"/>
  <c r="J56" i="2"/>
  <c r="V48" i="2"/>
  <c r="V38" i="2"/>
  <c r="W38" i="2" s="1"/>
  <c r="X38" i="2" s="1"/>
  <c r="Y38" i="2" s="1"/>
  <c r="V39" i="2"/>
  <c r="M56" i="2"/>
  <c r="M55" i="2"/>
  <c r="M42" i="2"/>
  <c r="M36" i="2"/>
  <c r="M54" i="2" s="1"/>
  <c r="M22" i="2"/>
  <c r="M25" i="2" s="1"/>
  <c r="M28" i="2" s="1"/>
  <c r="M30" i="2" s="1"/>
  <c r="D9" i="1"/>
  <c r="S43" i="2"/>
  <c r="C22" i="2"/>
  <c r="C25" i="2" s="1"/>
  <c r="C28" i="2" s="1"/>
  <c r="C30" i="2" s="1"/>
  <c r="E42" i="2"/>
  <c r="D22" i="2"/>
  <c r="D25" i="2" s="1"/>
  <c r="D28" i="2" s="1"/>
  <c r="D30" i="2" s="1"/>
  <c r="D36" i="2"/>
  <c r="D54" i="2" s="1"/>
  <c r="H22" i="2"/>
  <c r="H25" i="2" s="1"/>
  <c r="H28" i="2" s="1"/>
  <c r="H30" i="2" s="1"/>
  <c r="D42" i="2"/>
  <c r="E36" i="2"/>
  <c r="E54" i="2" s="1"/>
  <c r="U43" i="2"/>
  <c r="C42" i="2"/>
  <c r="F43" i="2"/>
  <c r="I22" i="2"/>
  <c r="I25" i="2" s="1"/>
  <c r="I28" i="2" s="1"/>
  <c r="I30" i="2" s="1"/>
  <c r="J36" i="2"/>
  <c r="J54" i="2" s="1"/>
  <c r="H42" i="2"/>
  <c r="G22" i="2"/>
  <c r="G25" i="2" s="1"/>
  <c r="G28" i="2" s="1"/>
  <c r="G30" i="2" s="1"/>
  <c r="J42" i="2"/>
  <c r="H36" i="2"/>
  <c r="H54" i="2" s="1"/>
  <c r="I42" i="2"/>
  <c r="I36" i="2"/>
  <c r="I54" i="2" s="1"/>
  <c r="G42" i="2"/>
  <c r="L42" i="2"/>
  <c r="K22" i="2"/>
  <c r="K25" i="2" s="1"/>
  <c r="K28" i="2" s="1"/>
  <c r="K30" i="2" s="1"/>
  <c r="K42" i="2"/>
  <c r="K36" i="2"/>
  <c r="K54" i="2" s="1"/>
  <c r="L36" i="2"/>
  <c r="L54" i="2" s="1"/>
  <c r="G36" i="2"/>
  <c r="G54" i="2" s="1"/>
  <c r="L22" i="2"/>
  <c r="L25" i="2" s="1"/>
  <c r="L28" i="2" s="1"/>
  <c r="L30" i="2" s="1"/>
  <c r="L43" i="2" l="1"/>
  <c r="L57" i="2" s="1"/>
  <c r="N37" i="2"/>
  <c r="V34" i="2"/>
  <c r="W34" i="2" s="1"/>
  <c r="W53" i="2" s="1"/>
  <c r="N36" i="2"/>
  <c r="V37" i="2"/>
  <c r="V55" i="2" s="1"/>
  <c r="C43" i="2"/>
  <c r="C46" i="2" s="1"/>
  <c r="Z38" i="2"/>
  <c r="AA38" i="2" s="1"/>
  <c r="AB38" i="2" s="1"/>
  <c r="AC38" i="2" s="1"/>
  <c r="AD38" i="2" s="1"/>
  <c r="AE38" i="2" s="1"/>
  <c r="AF38" i="2" s="1"/>
  <c r="Y56" i="2"/>
  <c r="U46" i="2"/>
  <c r="U57" i="2"/>
  <c r="S46" i="2"/>
  <c r="S57" i="2"/>
  <c r="V56" i="2"/>
  <c r="W56" i="2"/>
  <c r="F46" i="2"/>
  <c r="F57" i="2"/>
  <c r="T46" i="2"/>
  <c r="T57" i="2"/>
  <c r="X56" i="2"/>
  <c r="M43" i="2"/>
  <c r="E43" i="2"/>
  <c r="D43" i="2"/>
  <c r="J43" i="2"/>
  <c r="H43" i="2"/>
  <c r="G43" i="2"/>
  <c r="I43" i="2"/>
  <c r="K43" i="2"/>
  <c r="L46" i="2" l="1"/>
  <c r="L49" i="2" s="1"/>
  <c r="C57" i="2"/>
  <c r="W36" i="2"/>
  <c r="W54" i="2" s="1"/>
  <c r="W37" i="2"/>
  <c r="V42" i="2"/>
  <c r="X34" i="2"/>
  <c r="X36" i="2" s="1"/>
  <c r="X54" i="2" s="1"/>
  <c r="V53" i="2"/>
  <c r="N35" i="2"/>
  <c r="V35" i="2" s="1"/>
  <c r="V36" i="2" s="1"/>
  <c r="V54" i="2" s="1"/>
  <c r="N54" i="2"/>
  <c r="N42" i="2"/>
  <c r="N43" i="2" s="1"/>
  <c r="N57" i="2" s="1"/>
  <c r="N55" i="2"/>
  <c r="T49" i="2"/>
  <c r="T58" i="2"/>
  <c r="D46" i="2"/>
  <c r="D57" i="2"/>
  <c r="E46" i="2"/>
  <c r="E57" i="2"/>
  <c r="K46" i="2"/>
  <c r="K57" i="2"/>
  <c r="C49" i="2"/>
  <c r="C58" i="2"/>
  <c r="I46" i="2"/>
  <c r="I57" i="2"/>
  <c r="J46" i="2"/>
  <c r="J57" i="2"/>
  <c r="U49" i="2"/>
  <c r="U58" i="2"/>
  <c r="Z56" i="2"/>
  <c r="G46" i="2"/>
  <c r="G57" i="2"/>
  <c r="F49" i="2"/>
  <c r="F58" i="2"/>
  <c r="H46" i="2"/>
  <c r="H57" i="2"/>
  <c r="S49" i="2"/>
  <c r="S58" i="2"/>
  <c r="M57" i="2"/>
  <c r="M46" i="2"/>
  <c r="AA56" i="2"/>
  <c r="L58" i="2" l="1"/>
  <c r="V43" i="2"/>
  <c r="V46" i="2" s="1"/>
  <c r="W35" i="2"/>
  <c r="X35" i="2"/>
  <c r="X53" i="2"/>
  <c r="Y34" i="2"/>
  <c r="Y37" i="2" s="1"/>
  <c r="Y55" i="2" s="1"/>
  <c r="N46" i="2"/>
  <c r="X37" i="2"/>
  <c r="X42" i="2" s="1"/>
  <c r="X43" i="2" s="1"/>
  <c r="X46" i="2" s="1"/>
  <c r="X47" i="2" s="1"/>
  <c r="X58" i="2" s="1"/>
  <c r="W42" i="2"/>
  <c r="W43" i="2" s="1"/>
  <c r="W55" i="2"/>
  <c r="G49" i="2"/>
  <c r="G58" i="2"/>
  <c r="K49" i="2"/>
  <c r="K58" i="2"/>
  <c r="J49" i="2"/>
  <c r="J58" i="2"/>
  <c r="L51" i="2"/>
  <c r="L59" i="2"/>
  <c r="D49" i="2"/>
  <c r="D58" i="2"/>
  <c r="H49" i="2"/>
  <c r="H58" i="2"/>
  <c r="T51" i="2"/>
  <c r="T59" i="2"/>
  <c r="S51" i="2"/>
  <c r="S59" i="2"/>
  <c r="F51" i="2"/>
  <c r="F59" i="2"/>
  <c r="C51" i="2"/>
  <c r="C59" i="2"/>
  <c r="U51" i="2"/>
  <c r="U59" i="2"/>
  <c r="I49" i="2"/>
  <c r="I58" i="2"/>
  <c r="E49" i="2"/>
  <c r="E58" i="2"/>
  <c r="V57" i="2"/>
  <c r="AB56" i="2"/>
  <c r="Y53" i="2" l="1"/>
  <c r="Z34" i="2"/>
  <c r="AA34" i="2" s="1"/>
  <c r="AA36" i="2" s="1"/>
  <c r="N47" i="2"/>
  <c r="N58" i="2" s="1"/>
  <c r="Y36" i="2"/>
  <c r="Y54" i="2" s="1"/>
  <c r="X57" i="2"/>
  <c r="Y42" i="2"/>
  <c r="V47" i="2"/>
  <c r="V58" i="2" s="1"/>
  <c r="W46" i="2"/>
  <c r="W57" i="2"/>
  <c r="X55" i="2"/>
  <c r="I51" i="2"/>
  <c r="I59" i="2"/>
  <c r="J51" i="2"/>
  <c r="J59" i="2"/>
  <c r="G51" i="2"/>
  <c r="G59" i="2"/>
  <c r="H51" i="2"/>
  <c r="H59" i="2"/>
  <c r="E51" i="2"/>
  <c r="E59" i="2"/>
  <c r="D51" i="2"/>
  <c r="D59" i="2"/>
  <c r="K51" i="2"/>
  <c r="K59" i="2"/>
  <c r="M58" i="2"/>
  <c r="M49" i="2"/>
  <c r="X49" i="2"/>
  <c r="AC56" i="2"/>
  <c r="Z37" i="2" l="1"/>
  <c r="Z42" i="2" s="1"/>
  <c r="N49" i="2"/>
  <c r="Y35" i="2"/>
  <c r="AA53" i="2"/>
  <c r="Y43" i="2"/>
  <c r="Z36" i="2"/>
  <c r="Z53" i="2"/>
  <c r="AB34" i="2"/>
  <c r="AB53" i="2" s="1"/>
  <c r="AA37" i="2"/>
  <c r="AA42" i="2" s="1"/>
  <c r="AA43" i="2" s="1"/>
  <c r="AA46" i="2" s="1"/>
  <c r="AA35" i="2"/>
  <c r="V49" i="2"/>
  <c r="V51" i="2" s="1"/>
  <c r="W47" i="2"/>
  <c r="W58" i="2" s="1"/>
  <c r="M59" i="2"/>
  <c r="M51" i="2"/>
  <c r="AA54" i="2"/>
  <c r="X51" i="2"/>
  <c r="X59" i="2"/>
  <c r="AD56" i="2"/>
  <c r="Z43" i="2" l="1"/>
  <c r="Z46" i="2" s="1"/>
  <c r="Z47" i="2" s="1"/>
  <c r="Z58" i="2" s="1"/>
  <c r="Z55" i="2"/>
  <c r="Z35" i="2"/>
  <c r="Z54" i="2"/>
  <c r="N59" i="2"/>
  <c r="N51" i="2"/>
  <c r="AA55" i="2"/>
  <c r="Y46" i="2"/>
  <c r="Y57" i="2"/>
  <c r="AB36" i="2"/>
  <c r="AB54" i="2" s="1"/>
  <c r="W49" i="2"/>
  <c r="W51" i="2" s="1"/>
  <c r="AB37" i="2"/>
  <c r="AC34" i="2"/>
  <c r="AC36" i="2" s="1"/>
  <c r="AC35" i="2" s="1"/>
  <c r="V59" i="2"/>
  <c r="AC37" i="2"/>
  <c r="AC42" i="2" s="1"/>
  <c r="AC53" i="2"/>
  <c r="AA57" i="2"/>
  <c r="AF56" i="2"/>
  <c r="AE56" i="2"/>
  <c r="AA47" i="2"/>
  <c r="AA58" i="2" s="1"/>
  <c r="Z49" i="2" l="1"/>
  <c r="Z59" i="2" s="1"/>
  <c r="Z57" i="2"/>
  <c r="Y47" i="2"/>
  <c r="Y58" i="2" s="1"/>
  <c r="W59" i="2"/>
  <c r="AB35" i="2"/>
  <c r="AD34" i="2"/>
  <c r="AE34" i="2" s="1"/>
  <c r="AB55" i="2"/>
  <c r="AB42" i="2"/>
  <c r="AB43" i="2" s="1"/>
  <c r="AB57" i="2" s="1"/>
  <c r="AC55" i="2"/>
  <c r="AC43" i="2"/>
  <c r="AC57" i="2" s="1"/>
  <c r="AC54" i="2"/>
  <c r="AA49" i="2"/>
  <c r="Z51" i="2" l="1"/>
  <c r="Y49" i="2"/>
  <c r="Y59" i="2" s="1"/>
  <c r="AD53" i="2"/>
  <c r="AB46" i="2"/>
  <c r="AB47" i="2" s="1"/>
  <c r="AB58" i="2" s="1"/>
  <c r="AD36" i="2"/>
  <c r="AD37" i="2"/>
  <c r="AE53" i="2"/>
  <c r="AE36" i="2"/>
  <c r="AE54" i="2" s="1"/>
  <c r="AE37" i="2"/>
  <c r="AE55" i="2" s="1"/>
  <c r="AC46" i="2"/>
  <c r="AC47" i="2" s="1"/>
  <c r="AC58" i="2" s="1"/>
  <c r="AF34" i="2"/>
  <c r="AF36" i="2" s="1"/>
  <c r="AA59" i="2"/>
  <c r="AA51" i="2"/>
  <c r="AB49" i="2" l="1"/>
  <c r="AB51" i="2" s="1"/>
  <c r="Y51" i="2"/>
  <c r="AD54" i="2"/>
  <c r="AD35" i="2"/>
  <c r="AF35" i="2"/>
  <c r="AF37" i="2"/>
  <c r="AF42" i="2" s="1"/>
  <c r="AF43" i="2" s="1"/>
  <c r="AD55" i="2"/>
  <c r="AD42" i="2"/>
  <c r="AD43" i="2" s="1"/>
  <c r="AF53" i="2"/>
  <c r="AE42" i="2"/>
  <c r="AE43" i="2" s="1"/>
  <c r="AE46" i="2" s="1"/>
  <c r="AE35" i="2"/>
  <c r="AC49" i="2"/>
  <c r="AF54" i="2"/>
  <c r="AF55" i="2" l="1"/>
  <c r="AB59" i="2"/>
  <c r="AD57" i="2"/>
  <c r="AD46" i="2"/>
  <c r="AD47" i="2" s="1"/>
  <c r="AD58" i="2" s="1"/>
  <c r="AE57" i="2"/>
  <c r="AF46" i="2"/>
  <c r="AF57" i="2"/>
  <c r="AE47" i="2"/>
  <c r="AE58" i="2" s="1"/>
  <c r="AC59" i="2"/>
  <c r="AC51" i="2"/>
  <c r="AD49" i="2" l="1"/>
  <c r="AD51" i="2" s="1"/>
  <c r="AE49" i="2"/>
  <c r="AF47" i="2"/>
  <c r="AF58" i="2" s="1"/>
  <c r="AD59" i="2" l="1"/>
  <c r="AF49" i="2"/>
  <c r="AG49" i="2" s="1"/>
  <c r="AH49" i="2" s="1"/>
  <c r="AI49" i="2" s="1"/>
  <c r="AJ49" i="2" s="1"/>
  <c r="AK49" i="2" s="1"/>
  <c r="AL49" i="2" s="1"/>
  <c r="AM49" i="2" s="1"/>
  <c r="AN49" i="2" s="1"/>
  <c r="AO49" i="2" s="1"/>
  <c r="AP49" i="2" s="1"/>
  <c r="AQ49" i="2" s="1"/>
  <c r="AR49" i="2" s="1"/>
  <c r="AS49" i="2" s="1"/>
  <c r="AT49" i="2" s="1"/>
  <c r="AU49" i="2" s="1"/>
  <c r="AV49" i="2" s="1"/>
  <c r="AW49" i="2" s="1"/>
  <c r="AX49" i="2" s="1"/>
  <c r="AY49" i="2" s="1"/>
  <c r="AZ49" i="2" s="1"/>
  <c r="BA49" i="2" s="1"/>
  <c r="BB49" i="2" s="1"/>
  <c r="BC49" i="2" s="1"/>
  <c r="BD49" i="2" s="1"/>
  <c r="BE49" i="2" s="1"/>
  <c r="BF49" i="2" s="1"/>
  <c r="BG49" i="2" s="1"/>
  <c r="BH49" i="2" s="1"/>
  <c r="BI49" i="2" s="1"/>
  <c r="BJ49" i="2" s="1"/>
  <c r="BK49" i="2" s="1"/>
  <c r="BL49" i="2" s="1"/>
  <c r="BM49" i="2" s="1"/>
  <c r="BN49" i="2" s="1"/>
  <c r="BO49" i="2" s="1"/>
  <c r="BP49" i="2" s="1"/>
  <c r="BQ49" i="2" s="1"/>
  <c r="BR49" i="2" s="1"/>
  <c r="BS49" i="2" s="1"/>
  <c r="BT49" i="2" s="1"/>
  <c r="BU49" i="2" s="1"/>
  <c r="BV49" i="2" s="1"/>
  <c r="BW49" i="2" s="1"/>
  <c r="BX49" i="2" s="1"/>
  <c r="BY49" i="2" s="1"/>
  <c r="BZ49" i="2" s="1"/>
  <c r="CA49" i="2" s="1"/>
  <c r="CB49" i="2" s="1"/>
  <c r="CC49" i="2" s="1"/>
  <c r="CD49" i="2" s="1"/>
  <c r="CE49" i="2" s="1"/>
  <c r="CF49" i="2" s="1"/>
  <c r="CG49" i="2" s="1"/>
  <c r="CH49" i="2" s="1"/>
  <c r="CI49" i="2" s="1"/>
  <c r="CJ49" i="2" s="1"/>
  <c r="CK49" i="2" s="1"/>
  <c r="CL49" i="2" s="1"/>
  <c r="CM49" i="2" s="1"/>
  <c r="CN49" i="2" s="1"/>
  <c r="CO49" i="2" s="1"/>
  <c r="CP49" i="2" s="1"/>
  <c r="CQ49" i="2" s="1"/>
  <c r="CR49" i="2" s="1"/>
  <c r="CS49" i="2" s="1"/>
  <c r="CT49" i="2" s="1"/>
  <c r="CU49" i="2" s="1"/>
  <c r="CV49" i="2" s="1"/>
  <c r="CW49" i="2" s="1"/>
  <c r="CX49" i="2" s="1"/>
  <c r="CY49" i="2" s="1"/>
  <c r="CZ49" i="2" s="1"/>
  <c r="DA49" i="2" s="1"/>
  <c r="DB49" i="2" s="1"/>
  <c r="DC49" i="2" s="1"/>
  <c r="DD49" i="2" s="1"/>
  <c r="DE49" i="2" s="1"/>
  <c r="DF49" i="2" s="1"/>
  <c r="DG49" i="2" s="1"/>
  <c r="DH49" i="2" s="1"/>
  <c r="DI49" i="2" s="1"/>
  <c r="DJ49" i="2" s="1"/>
  <c r="DK49" i="2" s="1"/>
  <c r="DL49" i="2" s="1"/>
  <c r="DM49" i="2" s="1"/>
  <c r="DN49" i="2" s="1"/>
  <c r="DO49" i="2" s="1"/>
  <c r="DP49" i="2" s="1"/>
  <c r="DQ49" i="2" s="1"/>
  <c r="DR49" i="2" s="1"/>
  <c r="DS49" i="2" s="1"/>
  <c r="DT49" i="2" s="1"/>
  <c r="DU49" i="2" s="1"/>
  <c r="DV49" i="2" s="1"/>
  <c r="DW49" i="2" s="1"/>
  <c r="DX49" i="2" s="1"/>
  <c r="DY49" i="2" s="1"/>
  <c r="DZ49" i="2" s="1"/>
  <c r="EA49" i="2" s="1"/>
  <c r="EB49" i="2" s="1"/>
  <c r="EC49" i="2" s="1"/>
  <c r="ED49" i="2" s="1"/>
  <c r="EE49" i="2" s="1"/>
  <c r="EF49" i="2" s="1"/>
  <c r="EG49" i="2" s="1"/>
  <c r="EH49" i="2" s="1"/>
  <c r="EI49" i="2" s="1"/>
  <c r="EJ49" i="2" s="1"/>
  <c r="AI56" i="2" s="1"/>
  <c r="AI58" i="2" s="1"/>
  <c r="AI59" i="2" s="1"/>
  <c r="AI61" i="2" s="1"/>
  <c r="AE51" i="2"/>
  <c r="AE59" i="2"/>
  <c r="AF51" i="2" l="1"/>
  <c r="AF59" i="2"/>
</calcChain>
</file>

<file path=xl/sharedStrings.xml><?xml version="1.0" encoding="utf-8"?>
<sst xmlns="http://schemas.openxmlformats.org/spreadsheetml/2006/main" count="91" uniqueCount="65">
  <si>
    <t>R3NK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</si>
  <si>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</si>
  <si>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</si>
  <si>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</si>
  <si>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</si>
  <si>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</si>
  <si>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</si>
  <si>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</si>
  <si>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</si>
  <si>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</si>
  <si>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</si>
  <si>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</si>
  <si>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Q225</t>
  </si>
  <si>
    <t>Revenue</t>
  </si>
  <si>
    <t>Cost of sales</t>
  </si>
  <si>
    <t>Gross profit</t>
  </si>
  <si>
    <t>S&amp;M</t>
  </si>
  <si>
    <t>G&amp;A</t>
  </si>
  <si>
    <t>Investments</t>
  </si>
  <si>
    <t>Other income</t>
  </si>
  <si>
    <t>Other expenses</t>
  </si>
  <si>
    <t>Total opex</t>
  </si>
  <si>
    <t>Operating profit</t>
  </si>
  <si>
    <t>Interest expense</t>
  </si>
  <si>
    <t>Finance expense</t>
  </si>
  <si>
    <t>Pretax profit</t>
  </si>
  <si>
    <t>Taxes</t>
  </si>
  <si>
    <t>Net profit</t>
  </si>
  <si>
    <t>MI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</si>
  <si>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</si>
  <si>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</si>
  <si>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</si>
  <si>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</si>
  <si>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</si>
  <si>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</si>
  <si>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</si>
  <si>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</si>
  <si>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</si>
  <si>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Q325</t>
  </si>
  <si>
    <t>Q425</t>
  </si>
  <si>
    <t>Gross Margin</t>
  </si>
  <si>
    <t>Revenue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</si>
  <si>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</si>
  <si>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</si>
  <si>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</si>
  <si>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</si>
  <si>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</si>
  <si>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</si>
  <si>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</si>
  <si>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</si>
  <si>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</si>
  <si>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</si>
  <si>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</si>
  <si>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</si>
  <si>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</si>
  <si>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</si>
  <si>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L+S/E</t>
  </si>
  <si>
    <t>EV/B</t>
  </si>
  <si>
    <t>B/EV</t>
  </si>
  <si>
    <t>VMS</t>
  </si>
  <si>
    <t>M&amp;I</t>
  </si>
  <si>
    <t>SB</t>
  </si>
  <si>
    <t>Eliminations</t>
  </si>
  <si>
    <t>Total backlog</t>
  </si>
  <si>
    <t>Discrepancy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</si>
</sst>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2]\ 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164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  <xf numFmtId="3" fontId="5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30480</xdr:colOff>
      <xdr:row>0</xdr:row>
      <xdr:rowOff>0</xdr:rowOff>
    </xdr:from>
    <xdr:to>
      <xdr:col>13</xdr:col>
      <xdr:colOff>30480</xdr:colOff>
      <xdr:row>68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AED7BA7-63F0-A089-2130-70B15E99C6F0}"/>
            </a:ext>
          </a:extLst>
        </xdr:cNvPr>
        <xdr:cNvCxnSpPr/>
      </xdr:nvCxnSpPr>
      <xdr:spPr>
        <a:xfrm>
          <a:off x="8420100" y="0"/>
          <a:ext cx="0" cy="107137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15240</xdr:colOff>
      <xdr:row>0</xdr:row>
      <xdr:rowOff>0</xdr:rowOff>
    </xdr:from>
    <xdr:to>
      <xdr:col>21</xdr:col>
      <xdr:colOff>15240</xdr:colOff>
      <xdr:row>68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ECEC3E2-2D02-26B5-563A-C062FE8B80C6}"/>
            </a:ext>
          </a:extLst>
        </xdr:cNvPr>
        <xdr:cNvCxnSpPr/>
      </xdr:nvCxnSpPr>
      <xdr:spPr>
        <a:xfrm>
          <a:off x="13281660" y="0"/>
          <a:ext cx="0" cy="105308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4FC64-471B-4434-9DE7-B2AC24AAEF0E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2"/>
    <col min="5" max="5" width="11.88671875" style="4" bestFit="1" customWidth="1"/>
    <col min="6" max="7" width="11.21875" style="4" bestFit="1" customWidth="1"/>
    <col min="8" max="16384" width="8.88671875" style="2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1" t="s">
        <v>0</v>
      </c>
      <c r="C3" s="2" t="s">
        <v>1</v>
      </c>
      <c r="D3" s="3">
        <v>52.25</v>
      </c>
      <c r="E3" s="5">
        <v>45988</v>
      </c>
      <c r="F3" s="5">
        <f ca="1">TODAY()</f>
        <v>45988</v>
      </c>
      <c r="G3" s="5">
        <v>46113</v>
      </c>
    </row>
    <row r="4" spans="2:7" x14ac:dyDescent="0.3">
      <c r="C4" s="2" t="s">
        <v>2</v>
      </c>
      <c r="D4" s="6">
        <f>100.1</f>
        <v>100.1</v>
      </c>
      <c r="E4" s="4" t="s">
        <v>38</v>
      </c>
    </row>
    <row r="5" spans="2:7" x14ac:dyDescent="0.3">
      <c r="C5" s="2" t="s">
        <v>3</v>
      </c>
      <c r="D5" s="6">
        <f>D3*D4</f>
        <v>5230.2249999999995</v>
      </c>
    </row>
    <row r="6" spans="2:7" x14ac:dyDescent="0.3">
      <c r="C6" s="2" t="s">
        <v>4</v>
      </c>
      <c r="D6" s="6">
        <f>95</f>
        <v>95</v>
      </c>
      <c r="E6" s="4" t="s">
        <v>12</v>
      </c>
    </row>
    <row r="7" spans="2:7" x14ac:dyDescent="0.3">
      <c r="C7" s="2" t="s">
        <v>5</v>
      </c>
      <c r="D7" s="6">
        <f>6.3+527.1</f>
        <v>533.4</v>
      </c>
      <c r="E7" s="4" t="s">
        <v>12</v>
      </c>
    </row>
    <row r="8" spans="2:7" x14ac:dyDescent="0.3">
      <c r="C8" s="2" t="s">
        <v>6</v>
      </c>
      <c r="D8" s="6">
        <f>D6-D7</f>
        <v>-438.4</v>
      </c>
    </row>
    <row r="9" spans="2:7" x14ac:dyDescent="0.3">
      <c r="C9" s="2" t="s">
        <v>7</v>
      </c>
      <c r="D9" s="6">
        <f>D5-D8</f>
        <v>5668.6249999999991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E31C0-E16A-400B-8345-C16CF6CA3BC9}">
  <dimension ref="B2:EJ65"/>
  <sheetViews>
    <sheetView tabSelected="1" workbookViewId="0">
      <pane xSplit="2" ySplit="2" topLeftCell="K36" activePane="bottomRight" state="frozen"/>
      <selection pane="topRight" activeCell="C1" sqref="C1"/>
      <selection pane="bottomLeft" activeCell="A3" sqref="A3"/>
      <selection pane="bottomRight" activeCell="V3" sqref="V3:V7"/>
    </sheetView>
  </sheetViews>
  <sheetFormatPr defaultRowHeight="14.4" x14ac:dyDescent="0.3"/>
  <cols>
    <col min="1" max="1" width="8.88671875" style="2"/>
    <col min="2" max="2" width="15.6640625" style="2" customWidth="1"/>
    <col min="3" max="33" width="8.88671875" style="2"/>
    <col min="34" max="34" width="12" style="2" bestFit="1" customWidth="1"/>
    <col min="35" max="35" width="16.44140625" style="2" bestFit="1" customWidth="1"/>
    <col min="36" max="16384" width="8.88671875" style="2"/>
  </cols>
  <sheetData>
    <row r="2" spans="2:32" x14ac:dyDescent="0.3">
      <c r="C2" s="7" t="s">
        <v>30</v>
      </c>
      <c r="D2" s="7" t="s">
        <v>31</v>
      </c>
      <c r="E2" s="7" t="s">
        <v>32</v>
      </c>
      <c r="F2" s="7" t="s">
        <v>33</v>
      </c>
      <c r="G2" s="7" t="s">
        <v>34</v>
      </c>
      <c r="H2" s="7" t="s">
        <v>35</v>
      </c>
      <c r="I2" s="7" t="s">
        <v>36</v>
      </c>
      <c r="J2" s="7" t="s">
        <v>37</v>
      </c>
      <c r="K2" s="7" t="s">
        <v>11</v>
      </c>
      <c r="L2" s="7" t="s">
        <v>12</v>
      </c>
      <c r="M2" s="7" t="s">
        <v>38</v>
      </c>
      <c r="N2" s="7" t="s">
        <v>39</v>
      </c>
      <c r="P2" s="2">
        <v>2019</v>
      </c>
      <c r="Q2" s="2">
        <v>2020</v>
      </c>
      <c r="R2" s="2">
        <v>2021</v>
      </c>
      <c r="S2" s="2">
        <v>2022</v>
      </c>
      <c r="T2" s="2">
        <v>2023</v>
      </c>
      <c r="U2" s="2">
        <v>2024</v>
      </c>
      <c r="V2" s="2">
        <v>2025</v>
      </c>
      <c r="W2" s="2">
        <v>2026</v>
      </c>
      <c r="X2" s="2">
        <v>2027</v>
      </c>
      <c r="Y2" s="2">
        <v>2028</v>
      </c>
      <c r="Z2" s="2">
        <v>2029</v>
      </c>
      <c r="AA2" s="2">
        <v>2030</v>
      </c>
      <c r="AB2" s="2">
        <v>2031</v>
      </c>
      <c r="AC2" s="2">
        <v>2032</v>
      </c>
      <c r="AD2" s="2">
        <v>2033</v>
      </c>
      <c r="AE2" s="2">
        <v>2034</v>
      </c>
      <c r="AF2" s="2">
        <v>2035</v>
      </c>
    </row>
    <row r="3" spans="2:32" x14ac:dyDescent="0.3">
      <c r="B3" s="2" t="s">
        <v>59</v>
      </c>
      <c r="C3" s="7"/>
      <c r="D3" s="7"/>
      <c r="E3" s="7"/>
      <c r="F3" s="7"/>
      <c r="G3" s="7"/>
      <c r="H3" s="7"/>
      <c r="I3" s="7"/>
      <c r="J3" s="15">
        <f>J7*0.761</f>
        <v>1582.88</v>
      </c>
      <c r="K3" s="7"/>
      <c r="L3" s="7"/>
      <c r="M3" s="15">
        <f>M7*0.765</f>
        <v>1822.9950000000001</v>
      </c>
      <c r="N3" s="7"/>
      <c r="V3" s="15">
        <f>V7*0.765</f>
        <v>1822.9950000000001</v>
      </c>
    </row>
    <row r="4" spans="2:32" x14ac:dyDescent="0.3">
      <c r="B4" s="2" t="s">
        <v>60</v>
      </c>
      <c r="C4" s="7"/>
      <c r="D4" s="7"/>
      <c r="E4" s="7"/>
      <c r="F4" s="7"/>
      <c r="G4" s="7"/>
      <c r="H4" s="7"/>
      <c r="I4" s="7"/>
      <c r="J4" s="15">
        <f>J7*0.205</f>
        <v>426.4</v>
      </c>
      <c r="K4" s="7"/>
      <c r="L4" s="7"/>
      <c r="M4" s="15">
        <f>M7*0.203</f>
        <v>483.74900000000002</v>
      </c>
      <c r="N4" s="7"/>
      <c r="V4" s="15">
        <f>V7*0.203</f>
        <v>483.74900000000002</v>
      </c>
    </row>
    <row r="5" spans="2:32" x14ac:dyDescent="0.3">
      <c r="B5" s="2" t="s">
        <v>61</v>
      </c>
      <c r="C5" s="7"/>
      <c r="D5" s="7"/>
      <c r="E5" s="7"/>
      <c r="F5" s="7"/>
      <c r="G5" s="7"/>
      <c r="H5" s="7"/>
      <c r="I5" s="7"/>
      <c r="J5" s="15">
        <f>J7*0.034</f>
        <v>70.72</v>
      </c>
      <c r="K5" s="7"/>
      <c r="L5" s="7"/>
      <c r="M5" s="15">
        <f>M7*0.031</f>
        <v>73.873000000000005</v>
      </c>
      <c r="N5" s="7"/>
      <c r="V5" s="15">
        <f>V7*0.031</f>
        <v>73.873000000000005</v>
      </c>
    </row>
    <row r="6" spans="2:32" x14ac:dyDescent="0.3">
      <c r="B6" s="2" t="s">
        <v>64</v>
      </c>
      <c r="C6" s="7"/>
      <c r="D6" s="7"/>
      <c r="E6" s="7"/>
      <c r="F6" s="7"/>
      <c r="G6" s="7"/>
      <c r="H6" s="7"/>
      <c r="I6" s="7"/>
      <c r="J6" s="15">
        <f>SUM(J3:J5)-J7</f>
        <v>0</v>
      </c>
      <c r="K6" s="7"/>
      <c r="L6" s="7"/>
      <c r="M6" s="15">
        <f>SUM(M3:M5)-M7</f>
        <v>-2.3829999999998108</v>
      </c>
      <c r="N6" s="7"/>
      <c r="V6" s="15">
        <f>SUM(V3:V5)-V7</f>
        <v>-2.3829999999998108</v>
      </c>
    </row>
    <row r="7" spans="2:32" s="1" customFormat="1" x14ac:dyDescent="0.3">
      <c r="B7" s="1" t="s">
        <v>63</v>
      </c>
      <c r="C7" s="16"/>
      <c r="D7" s="16"/>
      <c r="E7" s="16"/>
      <c r="F7" s="16"/>
      <c r="G7" s="16"/>
      <c r="H7" s="16"/>
      <c r="I7" s="17"/>
      <c r="J7" s="17">
        <v>2080</v>
      </c>
      <c r="K7" s="16"/>
      <c r="L7" s="16"/>
      <c r="M7" s="17">
        <v>2383</v>
      </c>
      <c r="N7" s="16"/>
      <c r="V7" s="17">
        <v>2383</v>
      </c>
    </row>
    <row r="8" spans="2:32" x14ac:dyDescent="0.3"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spans="2:32" x14ac:dyDescent="0.3">
      <c r="B9" s="2" t="s">
        <v>59</v>
      </c>
      <c r="C9" s="7"/>
      <c r="D9" s="7"/>
      <c r="E9" s="7"/>
      <c r="F9" s="7"/>
      <c r="G9" s="7"/>
      <c r="H9" s="7"/>
      <c r="I9" s="15">
        <v>464</v>
      </c>
      <c r="J9" s="7"/>
      <c r="K9" s="7"/>
      <c r="L9" s="7"/>
      <c r="M9" s="15">
        <v>578.9</v>
      </c>
      <c r="N9" s="7"/>
    </row>
    <row r="10" spans="2:32" x14ac:dyDescent="0.3">
      <c r="B10" s="2" t="s">
        <v>60</v>
      </c>
      <c r="C10" s="7"/>
      <c r="D10" s="7"/>
      <c r="E10" s="7"/>
      <c r="F10" s="7"/>
      <c r="G10" s="7"/>
      <c r="H10" s="7"/>
      <c r="I10" s="15">
        <v>231.6</v>
      </c>
      <c r="J10" s="7"/>
      <c r="K10" s="7"/>
      <c r="L10" s="7"/>
      <c r="M10" s="15">
        <v>267.60000000000002</v>
      </c>
      <c r="N10" s="7"/>
    </row>
    <row r="11" spans="2:32" x14ac:dyDescent="0.3">
      <c r="B11" s="2" t="s">
        <v>61</v>
      </c>
      <c r="C11" s="7"/>
      <c r="D11" s="7"/>
      <c r="E11" s="7"/>
      <c r="F11" s="7"/>
      <c r="G11" s="7"/>
      <c r="H11" s="7"/>
      <c r="I11" s="15">
        <v>92</v>
      </c>
      <c r="J11" s="7"/>
      <c r="K11" s="7"/>
      <c r="L11" s="7"/>
      <c r="M11" s="15">
        <v>91.8</v>
      </c>
      <c r="N11" s="7"/>
    </row>
    <row r="12" spans="2:32" x14ac:dyDescent="0.3">
      <c r="B12" s="2" t="s">
        <v>62</v>
      </c>
      <c r="C12" s="7"/>
      <c r="D12" s="7"/>
      <c r="E12" s="7"/>
      <c r="F12" s="7"/>
      <c r="G12" s="7"/>
      <c r="H12" s="7"/>
      <c r="I12" s="15">
        <v>-9.1999999999999993</v>
      </c>
      <c r="J12" s="7"/>
      <c r="K12" s="7"/>
      <c r="L12" s="7"/>
      <c r="M12" s="15">
        <v>-10.6</v>
      </c>
      <c r="N12" s="7"/>
    </row>
    <row r="13" spans="2:32" s="1" customFormat="1" x14ac:dyDescent="0.3">
      <c r="B13" s="1" t="s">
        <v>13</v>
      </c>
      <c r="C13" s="9">
        <v>193.9</v>
      </c>
      <c r="D13" s="9">
        <v>410.2</v>
      </c>
      <c r="E13" s="9">
        <v>652.70000000000005</v>
      </c>
      <c r="G13" s="9">
        <v>237.7</v>
      </c>
      <c r="H13" s="9">
        <v>510.3</v>
      </c>
      <c r="I13" s="9">
        <f>SUM(I9:I12)</f>
        <v>778.4</v>
      </c>
      <c r="K13" s="9">
        <v>272.60000000000002</v>
      </c>
      <c r="L13" s="9">
        <v>620.20000000000005</v>
      </c>
      <c r="M13" s="9">
        <f>SUM(M9:M12)</f>
        <v>927.69999999999993</v>
      </c>
      <c r="T13" s="9"/>
      <c r="U13" s="9"/>
    </row>
    <row r="14" spans="2:32" x14ac:dyDescent="0.3">
      <c r="B14" s="2" t="s">
        <v>14</v>
      </c>
      <c r="C14" s="6">
        <v>157.1</v>
      </c>
      <c r="D14" s="6">
        <v>317.10000000000002</v>
      </c>
      <c r="E14" s="6">
        <v>504.1</v>
      </c>
      <c r="G14" s="6">
        <v>187.7</v>
      </c>
      <c r="H14" s="6">
        <v>395.6</v>
      </c>
      <c r="I14" s="6">
        <v>597.20000000000005</v>
      </c>
      <c r="K14" s="6">
        <v>206.3</v>
      </c>
      <c r="L14" s="6">
        <v>474</v>
      </c>
      <c r="M14" s="6">
        <v>705.1</v>
      </c>
      <c r="T14" s="6"/>
      <c r="U14" s="6"/>
    </row>
    <row r="15" spans="2:32" s="1" customFormat="1" x14ac:dyDescent="0.3">
      <c r="B15" s="1" t="s">
        <v>15</v>
      </c>
      <c r="C15" s="9">
        <f>C13-C14</f>
        <v>36.800000000000011</v>
      </c>
      <c r="D15" s="9">
        <f>D13-D14</f>
        <v>93.099999999999966</v>
      </c>
      <c r="E15" s="9">
        <f>E13-E14</f>
        <v>148.60000000000002</v>
      </c>
      <c r="G15" s="9">
        <f>G13-G14</f>
        <v>50</v>
      </c>
      <c r="H15" s="9">
        <f>H13-H14</f>
        <v>114.69999999999999</v>
      </c>
      <c r="I15" s="9">
        <f>I13-I14</f>
        <v>181.19999999999993</v>
      </c>
      <c r="K15" s="9">
        <f>K13-K14</f>
        <v>66.300000000000011</v>
      </c>
      <c r="L15" s="9">
        <f>L13-L14</f>
        <v>146.20000000000005</v>
      </c>
      <c r="M15" s="9">
        <f>M13-M14</f>
        <v>222.59999999999991</v>
      </c>
      <c r="T15" s="9"/>
      <c r="U15" s="9"/>
    </row>
    <row r="16" spans="2:32" x14ac:dyDescent="0.3">
      <c r="B16" s="2" t="s">
        <v>16</v>
      </c>
      <c r="C16" s="6">
        <v>13.3</v>
      </c>
      <c r="D16" s="6">
        <v>27.6</v>
      </c>
      <c r="E16" s="6">
        <v>41.5</v>
      </c>
      <c r="G16" s="6">
        <v>15.2</v>
      </c>
      <c r="H16" s="6">
        <v>30.4</v>
      </c>
      <c r="I16" s="6">
        <v>45.5</v>
      </c>
      <c r="K16" s="6">
        <v>16.8</v>
      </c>
      <c r="L16" s="6">
        <v>34.200000000000003</v>
      </c>
      <c r="M16" s="6">
        <v>51.1</v>
      </c>
      <c r="T16" s="6"/>
      <c r="U16" s="6"/>
    </row>
    <row r="17" spans="2:21" x14ac:dyDescent="0.3">
      <c r="B17" s="2" t="s">
        <v>17</v>
      </c>
      <c r="C17" s="6">
        <v>15.6</v>
      </c>
      <c r="D17" s="6">
        <v>31.5</v>
      </c>
      <c r="E17" s="6">
        <v>49.2</v>
      </c>
      <c r="G17" s="6">
        <v>23.6</v>
      </c>
      <c r="H17" s="6">
        <v>48.7</v>
      </c>
      <c r="I17" s="6">
        <v>72.400000000000006</v>
      </c>
      <c r="K17" s="6">
        <v>22.3</v>
      </c>
      <c r="L17" s="6">
        <v>50.5</v>
      </c>
      <c r="M17" s="6">
        <v>72.7</v>
      </c>
      <c r="T17" s="6"/>
      <c r="U17" s="6"/>
    </row>
    <row r="18" spans="2:21" x14ac:dyDescent="0.3">
      <c r="B18" s="2" t="s">
        <v>18</v>
      </c>
      <c r="C18" s="6">
        <v>0</v>
      </c>
      <c r="D18" s="6">
        <v>0.1</v>
      </c>
      <c r="E18" s="6">
        <v>0.2</v>
      </c>
      <c r="G18" s="6">
        <v>-0.4</v>
      </c>
      <c r="H18" s="6">
        <v>-0.5</v>
      </c>
      <c r="I18" s="6">
        <v>-0.3</v>
      </c>
      <c r="K18" s="6">
        <v>-0.1</v>
      </c>
      <c r="L18" s="6">
        <v>-0.2</v>
      </c>
      <c r="M18" s="6">
        <v>-0.2</v>
      </c>
      <c r="T18" s="6"/>
      <c r="U18" s="6"/>
    </row>
    <row r="19" spans="2:21" x14ac:dyDescent="0.3">
      <c r="B19" s="2" t="s">
        <v>19</v>
      </c>
      <c r="C19" s="6">
        <v>-3.7</v>
      </c>
      <c r="D19" s="6">
        <v>-6.7</v>
      </c>
      <c r="E19" s="6">
        <v>-9.1</v>
      </c>
      <c r="G19" s="6">
        <v>-4.9000000000000004</v>
      </c>
      <c r="H19" s="6">
        <v>-3.4</v>
      </c>
      <c r="I19" s="6">
        <v>-3.1</v>
      </c>
      <c r="K19" s="6">
        <v>-3.3</v>
      </c>
      <c r="L19" s="6">
        <v>-11.4</v>
      </c>
      <c r="M19" s="6">
        <v>-11.3</v>
      </c>
      <c r="T19" s="6"/>
      <c r="U19" s="6"/>
    </row>
    <row r="20" spans="2:21" x14ac:dyDescent="0.3">
      <c r="B20" s="2" t="s">
        <v>20</v>
      </c>
      <c r="C20" s="6">
        <v>4.9000000000000004</v>
      </c>
      <c r="D20" s="6">
        <v>8.6999999999999993</v>
      </c>
      <c r="E20" s="6">
        <v>9.8000000000000007</v>
      </c>
      <c r="G20" s="6">
        <v>4.5</v>
      </c>
      <c r="H20" s="6">
        <v>4</v>
      </c>
      <c r="I20" s="6">
        <v>8.4</v>
      </c>
      <c r="K20" s="6">
        <v>6.3</v>
      </c>
      <c r="L20" s="6">
        <v>13.8</v>
      </c>
      <c r="M20" s="6">
        <v>14.7</v>
      </c>
      <c r="T20" s="6"/>
      <c r="U20" s="6"/>
    </row>
    <row r="21" spans="2:21" x14ac:dyDescent="0.3">
      <c r="B21" s="2" t="s">
        <v>21</v>
      </c>
      <c r="C21" s="6">
        <f>SUM(C16:C20)</f>
        <v>30.1</v>
      </c>
      <c r="D21" s="6">
        <f>SUM(D16:D20)</f>
        <v>61.2</v>
      </c>
      <c r="E21" s="6">
        <f>SUM(E16:E20)</f>
        <v>91.600000000000009</v>
      </c>
      <c r="G21" s="6">
        <f>SUM(G16:G20)</f>
        <v>38</v>
      </c>
      <c r="H21" s="6">
        <f>SUM(H16:H20)</f>
        <v>79.199999999999989</v>
      </c>
      <c r="I21" s="6">
        <f>SUM(I16:I20)</f>
        <v>122.90000000000002</v>
      </c>
      <c r="K21" s="6">
        <f>SUM(K16:K20)</f>
        <v>42</v>
      </c>
      <c r="L21" s="6">
        <f>SUM(L16:L20)</f>
        <v>86.899999999999991</v>
      </c>
      <c r="M21" s="6">
        <f>SUM(M16:M20)</f>
        <v>127.00000000000001</v>
      </c>
      <c r="T21" s="6"/>
      <c r="U21" s="6"/>
    </row>
    <row r="22" spans="2:21" s="1" customFormat="1" x14ac:dyDescent="0.3">
      <c r="B22" s="1" t="s">
        <v>22</v>
      </c>
      <c r="C22" s="9">
        <f>C15-C21</f>
        <v>6.7000000000000099</v>
      </c>
      <c r="D22" s="9">
        <f>D15-D21</f>
        <v>31.899999999999963</v>
      </c>
      <c r="E22" s="9">
        <f>E15-E21</f>
        <v>57.000000000000014</v>
      </c>
      <c r="G22" s="9">
        <f>G15-G21</f>
        <v>12</v>
      </c>
      <c r="H22" s="9">
        <f>H15-H21</f>
        <v>35.5</v>
      </c>
      <c r="I22" s="9">
        <f>I15-I21</f>
        <v>58.299999999999912</v>
      </c>
      <c r="K22" s="9">
        <f>K15-K21</f>
        <v>24.300000000000011</v>
      </c>
      <c r="L22" s="9">
        <f>L15-L21</f>
        <v>59.300000000000054</v>
      </c>
      <c r="M22" s="9">
        <f>M15-M21</f>
        <v>95.599999999999895</v>
      </c>
      <c r="T22" s="9"/>
      <c r="U22" s="9"/>
    </row>
    <row r="23" spans="2:21" x14ac:dyDescent="0.3">
      <c r="B23" s="2" t="s">
        <v>23</v>
      </c>
      <c r="C23" s="6">
        <v>10</v>
      </c>
      <c r="D23" s="6">
        <v>20.3</v>
      </c>
      <c r="E23" s="6">
        <v>30.2</v>
      </c>
      <c r="G23" s="6">
        <v>8.8000000000000007</v>
      </c>
      <c r="H23" s="6">
        <v>23.2</v>
      </c>
      <c r="I23" s="6">
        <v>33.9</v>
      </c>
      <c r="K23" s="6">
        <v>9.6999999999999993</v>
      </c>
      <c r="L23" s="6">
        <v>17.399999999999999</v>
      </c>
      <c r="M23" s="6">
        <v>26.2</v>
      </c>
      <c r="T23" s="6"/>
      <c r="U23" s="6"/>
    </row>
    <row r="24" spans="2:21" x14ac:dyDescent="0.3">
      <c r="B24" s="2" t="s">
        <v>24</v>
      </c>
      <c r="C24" s="6">
        <v>0.5</v>
      </c>
      <c r="D24" s="6">
        <v>1.1000000000000001</v>
      </c>
      <c r="E24" s="6">
        <v>-0.9</v>
      </c>
      <c r="G24" s="6">
        <v>-0.7</v>
      </c>
      <c r="H24" s="6">
        <v>-7.8</v>
      </c>
      <c r="I24" s="6">
        <v>-0.4</v>
      </c>
      <c r="K24" s="6">
        <v>9.9</v>
      </c>
      <c r="L24" s="6">
        <v>10.9</v>
      </c>
      <c r="M24" s="6">
        <v>9.9</v>
      </c>
      <c r="T24" s="6"/>
      <c r="U24" s="6"/>
    </row>
    <row r="25" spans="2:21" s="1" customFormat="1" x14ac:dyDescent="0.3">
      <c r="B25" s="1" t="s">
        <v>25</v>
      </c>
      <c r="C25" s="9">
        <f>C22-C23-C24</f>
        <v>-3.7999999999999901</v>
      </c>
      <c r="D25" s="9">
        <f>D22-D23-D24</f>
        <v>10.499999999999963</v>
      </c>
      <c r="E25" s="9">
        <f>E22-E23-E24</f>
        <v>27.700000000000014</v>
      </c>
      <c r="G25" s="9">
        <f>G22-G23-G24</f>
        <v>3.8999999999999995</v>
      </c>
      <c r="H25" s="9">
        <f>H22-H23-H24</f>
        <v>20.100000000000001</v>
      </c>
      <c r="I25" s="9">
        <f>I22-I23-I24</f>
        <v>24.799999999999912</v>
      </c>
      <c r="K25" s="9">
        <f>K22-K23-K24</f>
        <v>4.7000000000000117</v>
      </c>
      <c r="L25" s="9">
        <f>L22-L23-L24</f>
        <v>31.000000000000057</v>
      </c>
      <c r="M25" s="9">
        <f>M22-M23-M24</f>
        <v>59.499999999999893</v>
      </c>
      <c r="T25" s="9"/>
      <c r="U25" s="9"/>
    </row>
    <row r="26" spans="2:21" x14ac:dyDescent="0.3">
      <c r="B26" s="2" t="s">
        <v>26</v>
      </c>
      <c r="C26" s="6">
        <v>-1.9</v>
      </c>
      <c r="D26" s="6">
        <v>4.8</v>
      </c>
      <c r="E26" s="6">
        <v>8.8000000000000007</v>
      </c>
      <c r="G26" s="6">
        <v>6.6</v>
      </c>
      <c r="H26" s="6">
        <v>12.7</v>
      </c>
      <c r="I26" s="6">
        <v>17.8</v>
      </c>
      <c r="K26" s="6">
        <v>4</v>
      </c>
      <c r="L26" s="6">
        <v>-0.2</v>
      </c>
      <c r="M26" s="6">
        <v>4</v>
      </c>
      <c r="T26" s="6"/>
      <c r="U26" s="6"/>
    </row>
    <row r="27" spans="2:21" x14ac:dyDescent="0.3">
      <c r="B27" s="2" t="s">
        <v>28</v>
      </c>
      <c r="C27" s="6">
        <v>0</v>
      </c>
      <c r="D27" s="6">
        <v>0</v>
      </c>
      <c r="E27" s="6">
        <v>0</v>
      </c>
      <c r="G27" s="6">
        <v>0</v>
      </c>
      <c r="H27" s="6">
        <v>0</v>
      </c>
      <c r="I27" s="6">
        <v>0</v>
      </c>
      <c r="K27" s="6">
        <v>-0.1</v>
      </c>
      <c r="L27" s="6">
        <v>0.2</v>
      </c>
      <c r="M27" s="6">
        <v>0.4</v>
      </c>
      <c r="T27" s="6"/>
      <c r="U27" s="6"/>
    </row>
    <row r="28" spans="2:21" s="1" customFormat="1" x14ac:dyDescent="0.3">
      <c r="B28" s="1" t="s">
        <v>27</v>
      </c>
      <c r="C28" s="9">
        <f>C25-C26-C27</f>
        <v>-1.8999999999999901</v>
      </c>
      <c r="D28" s="9">
        <f>D25-D26-D27</f>
        <v>5.6999999999999629</v>
      </c>
      <c r="E28" s="9">
        <f>E25-E26-E27</f>
        <v>18.900000000000013</v>
      </c>
      <c r="G28" s="9">
        <f>G25-G26-G27</f>
        <v>-2.7</v>
      </c>
      <c r="H28" s="9">
        <f>H25-H26-H27</f>
        <v>7.4000000000000021</v>
      </c>
      <c r="I28" s="9">
        <f>I25-I26-I27</f>
        <v>6.9999999999999112</v>
      </c>
      <c r="K28" s="9">
        <f>K25-K26-K27</f>
        <v>0.8000000000000117</v>
      </c>
      <c r="L28" s="9">
        <f>L25-L26-L27</f>
        <v>31.000000000000057</v>
      </c>
      <c r="M28" s="9">
        <f>M25-M26-M27</f>
        <v>55.099999999999895</v>
      </c>
      <c r="T28" s="9"/>
      <c r="U28" s="9"/>
    </row>
    <row r="29" spans="2:21" x14ac:dyDescent="0.3">
      <c r="B29" s="2" t="s">
        <v>2</v>
      </c>
      <c r="C29" s="6">
        <v>100</v>
      </c>
      <c r="D29" s="6">
        <v>100</v>
      </c>
      <c r="E29" s="6">
        <v>100</v>
      </c>
      <c r="G29" s="6">
        <v>100</v>
      </c>
      <c r="H29" s="6">
        <v>100</v>
      </c>
      <c r="I29" s="6">
        <v>100</v>
      </c>
      <c r="K29" s="6">
        <v>100</v>
      </c>
      <c r="L29" s="6">
        <v>100</v>
      </c>
      <c r="M29" s="6">
        <v>100</v>
      </c>
      <c r="T29" s="6"/>
      <c r="U29" s="6"/>
    </row>
    <row r="30" spans="2:21" x14ac:dyDescent="0.3">
      <c r="B30" s="2" t="s">
        <v>29</v>
      </c>
      <c r="C30" s="8">
        <f>C28/C29</f>
        <v>-1.8999999999999902E-2</v>
      </c>
      <c r="D30" s="8">
        <f>D28/D29</f>
        <v>5.6999999999999627E-2</v>
      </c>
      <c r="E30" s="8">
        <f>E28/E29</f>
        <v>0.18900000000000014</v>
      </c>
      <c r="G30" s="8">
        <f>G28/G29</f>
        <v>-2.7000000000000003E-2</v>
      </c>
      <c r="H30" s="8">
        <f>H28/H29</f>
        <v>7.4000000000000024E-2</v>
      </c>
      <c r="I30" s="8">
        <f>I28/I29</f>
        <v>6.9999999999999118E-2</v>
      </c>
      <c r="K30" s="8">
        <f>K28/K29</f>
        <v>8.0000000000001164E-3</v>
      </c>
      <c r="L30" s="8">
        <f>L28/L29</f>
        <v>0.31000000000000055</v>
      </c>
      <c r="M30" s="8">
        <f>M28/M29</f>
        <v>0.55099999999999894</v>
      </c>
      <c r="T30" s="8"/>
      <c r="U30" s="8"/>
    </row>
    <row r="31" spans="2:21" x14ac:dyDescent="0.3">
      <c r="E31" s="8"/>
      <c r="G31" s="8"/>
      <c r="H31" s="8"/>
      <c r="I31" s="8"/>
      <c r="K31" s="8"/>
      <c r="L31" s="8"/>
      <c r="T31" s="8"/>
      <c r="U31" s="8"/>
    </row>
    <row r="34" spans="2:32" s="1" customFormat="1" x14ac:dyDescent="0.3">
      <c r="B34" s="1" t="s">
        <v>13</v>
      </c>
      <c r="C34" s="9">
        <f>C13</f>
        <v>193.9</v>
      </c>
      <c r="D34" s="9">
        <f>D13-C13</f>
        <v>216.29999999999998</v>
      </c>
      <c r="E34" s="9">
        <f>E13-D13</f>
        <v>242.50000000000006</v>
      </c>
      <c r="F34" s="9">
        <f>T34-E13</f>
        <v>272.79999999999995</v>
      </c>
      <c r="G34" s="9">
        <f>G13</f>
        <v>237.7</v>
      </c>
      <c r="H34" s="9">
        <f>H13-G13</f>
        <v>272.60000000000002</v>
      </c>
      <c r="I34" s="9">
        <f>I13-H13</f>
        <v>268.09999999999997</v>
      </c>
      <c r="J34" s="9">
        <f>U34-I13</f>
        <v>362.1</v>
      </c>
      <c r="K34" s="9">
        <f>K13</f>
        <v>272.60000000000002</v>
      </c>
      <c r="L34" s="9">
        <f>L13-K13</f>
        <v>347.6</v>
      </c>
      <c r="M34" s="9">
        <f>M13-L13</f>
        <v>307.49999999999989</v>
      </c>
      <c r="N34" s="9">
        <f>J34*1.15</f>
        <v>416.41500000000002</v>
      </c>
      <c r="S34" s="9">
        <v>849</v>
      </c>
      <c r="T34" s="9">
        <v>925.5</v>
      </c>
      <c r="U34" s="9">
        <v>1140.5</v>
      </c>
      <c r="V34" s="9">
        <f>SUM(K34:N34)</f>
        <v>1344.115</v>
      </c>
      <c r="W34" s="9">
        <f>V34*1.15</f>
        <v>1545.7322499999998</v>
      </c>
      <c r="X34" s="9">
        <f>W34*1.11</f>
        <v>1715.7627975</v>
      </c>
      <c r="Y34" s="9">
        <f>X34*1.08</f>
        <v>1853.0238213000002</v>
      </c>
      <c r="Z34" s="9">
        <f>Y34*1.06</f>
        <v>1964.2052505780005</v>
      </c>
      <c r="AA34" s="9">
        <f>Z34*1.05</f>
        <v>2062.4155131069006</v>
      </c>
      <c r="AB34" s="9">
        <f t="shared" ref="AB34:AF34" si="0">AA34*1.05</f>
        <v>2165.5362887622455</v>
      </c>
      <c r="AC34" s="9">
        <f t="shared" si="0"/>
        <v>2273.813103200358</v>
      </c>
      <c r="AD34" s="9">
        <f t="shared" si="0"/>
        <v>2387.5037583603762</v>
      </c>
      <c r="AE34" s="9">
        <f t="shared" si="0"/>
        <v>2506.8789462783952</v>
      </c>
      <c r="AF34" s="9">
        <f t="shared" si="0"/>
        <v>2632.2228935923149</v>
      </c>
    </row>
    <row r="35" spans="2:32" x14ac:dyDescent="0.3">
      <c r="B35" s="2" t="s">
        <v>14</v>
      </c>
      <c r="C35" s="6">
        <f>C14</f>
        <v>157.1</v>
      </c>
      <c r="D35" s="6">
        <f>D14-C14</f>
        <v>160.00000000000003</v>
      </c>
      <c r="E35" s="6">
        <f>E14-D14</f>
        <v>187</v>
      </c>
      <c r="F35" s="6">
        <f>T35-E14</f>
        <v>212.69999999999993</v>
      </c>
      <c r="G35" s="6">
        <f>G14</f>
        <v>187.7</v>
      </c>
      <c r="H35" s="6">
        <f>H14-G14</f>
        <v>207.90000000000003</v>
      </c>
      <c r="I35" s="6">
        <f>I14-H14</f>
        <v>201.60000000000002</v>
      </c>
      <c r="J35" s="6">
        <f>U35-I14</f>
        <v>263.59999999999991</v>
      </c>
      <c r="K35" s="6">
        <f>K14</f>
        <v>206.3</v>
      </c>
      <c r="L35" s="6">
        <f>L14-K14</f>
        <v>267.7</v>
      </c>
      <c r="M35" s="6">
        <f>M14-L14</f>
        <v>231.10000000000002</v>
      </c>
      <c r="N35" s="6">
        <f>N34-N36</f>
        <v>299.81880000000001</v>
      </c>
      <c r="S35" s="6">
        <v>684.2</v>
      </c>
      <c r="T35" s="6">
        <v>716.8</v>
      </c>
      <c r="U35" s="6">
        <v>860.8</v>
      </c>
      <c r="V35" s="6">
        <f>SUM(K35:N35)</f>
        <v>1004.9188</v>
      </c>
      <c r="W35" s="6">
        <f>W34-W36</f>
        <v>1143.8418649999999</v>
      </c>
      <c r="X35" s="6">
        <f t="shared" ref="X35:AF35" si="1">X34-X36</f>
        <v>1252.506842175</v>
      </c>
      <c r="Y35" s="6">
        <f t="shared" si="1"/>
        <v>1352.7073895490003</v>
      </c>
      <c r="Z35" s="6">
        <f t="shared" si="1"/>
        <v>1433.8698329219403</v>
      </c>
      <c r="AA35" s="6">
        <f t="shared" si="1"/>
        <v>1505.5633245680374</v>
      </c>
      <c r="AB35" s="6">
        <f t="shared" si="1"/>
        <v>1580.8414907964393</v>
      </c>
      <c r="AC35" s="6">
        <f t="shared" si="1"/>
        <v>1659.8835653362612</v>
      </c>
      <c r="AD35" s="6">
        <f t="shared" si="1"/>
        <v>1742.8777436030746</v>
      </c>
      <c r="AE35" s="6">
        <f t="shared" si="1"/>
        <v>1830.0216307832284</v>
      </c>
      <c r="AF35" s="6">
        <f t="shared" si="1"/>
        <v>1921.5227123223899</v>
      </c>
    </row>
    <row r="36" spans="2:32" s="1" customFormat="1" x14ac:dyDescent="0.3">
      <c r="B36" s="1" t="s">
        <v>15</v>
      </c>
      <c r="C36" s="9">
        <f t="shared" ref="C36:L36" si="2">C34-C35</f>
        <v>36.800000000000011</v>
      </c>
      <c r="D36" s="9">
        <f t="shared" si="2"/>
        <v>56.299999999999955</v>
      </c>
      <c r="E36" s="9">
        <f t="shared" si="2"/>
        <v>55.500000000000057</v>
      </c>
      <c r="F36" s="9">
        <f t="shared" si="2"/>
        <v>60.100000000000023</v>
      </c>
      <c r="G36" s="9">
        <f t="shared" si="2"/>
        <v>50</v>
      </c>
      <c r="H36" s="9">
        <f t="shared" si="2"/>
        <v>64.699999999999989</v>
      </c>
      <c r="I36" s="9">
        <f t="shared" si="2"/>
        <v>66.499999999999943</v>
      </c>
      <c r="J36" s="9">
        <f t="shared" si="2"/>
        <v>98.500000000000114</v>
      </c>
      <c r="K36" s="9">
        <f t="shared" si="2"/>
        <v>66.300000000000011</v>
      </c>
      <c r="L36" s="9">
        <f t="shared" si="2"/>
        <v>79.900000000000034</v>
      </c>
      <c r="M36" s="9">
        <f>M34*0.26</f>
        <v>79.949999999999974</v>
      </c>
      <c r="N36" s="9">
        <f>N34*0.28</f>
        <v>116.59620000000001</v>
      </c>
      <c r="S36" s="9">
        <f>S34-S35</f>
        <v>164.79999999999995</v>
      </c>
      <c r="T36" s="9">
        <f>T34-T35</f>
        <v>208.70000000000005</v>
      </c>
      <c r="U36" s="9">
        <f>U34-U35</f>
        <v>279.70000000000005</v>
      </c>
      <c r="V36" s="9">
        <f>V34-V35</f>
        <v>339.19619999999998</v>
      </c>
      <c r="W36" s="9">
        <f>W34*0.26</f>
        <v>401.89038499999998</v>
      </c>
      <c r="X36" s="9">
        <f>X34*0.27</f>
        <v>463.25595532500006</v>
      </c>
      <c r="Y36" s="9">
        <f t="shared" ref="Y36:AF36" si="3">Y34*0.27</f>
        <v>500.3164317510001</v>
      </c>
      <c r="Z36" s="9">
        <f t="shared" si="3"/>
        <v>530.33541765606014</v>
      </c>
      <c r="AA36" s="9">
        <f t="shared" si="3"/>
        <v>556.85218853886317</v>
      </c>
      <c r="AB36" s="9">
        <f t="shared" si="3"/>
        <v>584.69479796580629</v>
      </c>
      <c r="AC36" s="9">
        <f t="shared" si="3"/>
        <v>613.92953786409669</v>
      </c>
      <c r="AD36" s="9">
        <f t="shared" si="3"/>
        <v>644.62601475730162</v>
      </c>
      <c r="AE36" s="9">
        <f t="shared" si="3"/>
        <v>676.85731549516674</v>
      </c>
      <c r="AF36" s="9">
        <f t="shared" si="3"/>
        <v>710.70018126992511</v>
      </c>
    </row>
    <row r="37" spans="2:32" x14ac:dyDescent="0.3">
      <c r="B37" s="2" t="s">
        <v>16</v>
      </c>
      <c r="C37" s="6">
        <f t="shared" ref="C37:C41" si="4">C16</f>
        <v>13.3</v>
      </c>
      <c r="D37" s="6">
        <f t="shared" ref="D37:E37" si="5">D16-C16</f>
        <v>14.3</v>
      </c>
      <c r="E37" s="6">
        <f t="shared" si="5"/>
        <v>13.899999999999999</v>
      </c>
      <c r="F37" s="6">
        <f>T37-E16</f>
        <v>10.200000000000003</v>
      </c>
      <c r="G37" s="6">
        <f t="shared" ref="G37:G41" si="6">G16</f>
        <v>15.2</v>
      </c>
      <c r="H37" s="6">
        <f t="shared" ref="H37:I37" si="7">H16-G16</f>
        <v>15.2</v>
      </c>
      <c r="I37" s="6">
        <f t="shared" si="7"/>
        <v>15.100000000000001</v>
      </c>
      <c r="J37" s="6">
        <f>U37-I16</f>
        <v>16.299999999999997</v>
      </c>
      <c r="K37" s="6">
        <f t="shared" ref="K37:K41" si="8">K16</f>
        <v>16.8</v>
      </c>
      <c r="L37" s="6">
        <f>L16-K16</f>
        <v>17.400000000000002</v>
      </c>
      <c r="M37" s="6">
        <f t="shared" ref="M37:M41" si="9">M16-L16</f>
        <v>16.899999999999999</v>
      </c>
      <c r="N37" s="6">
        <f>N34*0.04</f>
        <v>16.656600000000001</v>
      </c>
      <c r="S37" s="6">
        <v>48.1</v>
      </c>
      <c r="T37" s="6">
        <v>51.7</v>
      </c>
      <c r="U37" s="6">
        <v>61.8</v>
      </c>
      <c r="V37" s="6">
        <f t="shared" ref="V37:V41" si="10">SUM(K37:N37)</f>
        <v>67.756600000000006</v>
      </c>
      <c r="W37" s="6">
        <f>W34*0.05</f>
        <v>77.28661249999999</v>
      </c>
      <c r="X37" s="6">
        <f t="shared" ref="X37:AF37" si="11">X34*0.05</f>
        <v>85.788139875000013</v>
      </c>
      <c r="Y37" s="6">
        <f t="shared" si="11"/>
        <v>92.65119106500002</v>
      </c>
      <c r="Z37" s="6">
        <f t="shared" si="11"/>
        <v>98.210262528900031</v>
      </c>
      <c r="AA37" s="6">
        <f t="shared" si="11"/>
        <v>103.12077565534503</v>
      </c>
      <c r="AB37" s="6">
        <f t="shared" si="11"/>
        <v>108.27681443811228</v>
      </c>
      <c r="AC37" s="6">
        <f t="shared" si="11"/>
        <v>113.69065516001791</v>
      </c>
      <c r="AD37" s="6">
        <f t="shared" si="11"/>
        <v>119.37518791801881</v>
      </c>
      <c r="AE37" s="6">
        <f t="shared" si="11"/>
        <v>125.34394731391977</v>
      </c>
      <c r="AF37" s="6">
        <f t="shared" si="11"/>
        <v>131.61114467961576</v>
      </c>
    </row>
    <row r="38" spans="2:32" x14ac:dyDescent="0.3">
      <c r="B38" s="2" t="s">
        <v>17</v>
      </c>
      <c r="C38" s="6">
        <f t="shared" si="4"/>
        <v>15.6</v>
      </c>
      <c r="D38" s="6">
        <f t="shared" ref="D38:E38" si="12">D17-C17</f>
        <v>15.9</v>
      </c>
      <c r="E38" s="6">
        <f t="shared" si="12"/>
        <v>17.700000000000003</v>
      </c>
      <c r="F38" s="6">
        <f>T38-E17</f>
        <v>16.799999999999997</v>
      </c>
      <c r="G38" s="6">
        <f t="shared" si="6"/>
        <v>23.6</v>
      </c>
      <c r="H38" s="6">
        <f t="shared" ref="H38:I38" si="13">H17-G17</f>
        <v>25.1</v>
      </c>
      <c r="I38" s="6">
        <f t="shared" si="13"/>
        <v>23.700000000000003</v>
      </c>
      <c r="J38" s="6">
        <f>U38-I17</f>
        <v>24.5</v>
      </c>
      <c r="K38" s="6">
        <f t="shared" si="8"/>
        <v>22.3</v>
      </c>
      <c r="L38" s="6">
        <f>L17-K17</f>
        <v>28.2</v>
      </c>
      <c r="M38" s="6">
        <f t="shared" si="9"/>
        <v>22.200000000000003</v>
      </c>
      <c r="N38" s="6">
        <f>J38*1.2</f>
        <v>29.4</v>
      </c>
      <c r="S38" s="6">
        <v>49.8</v>
      </c>
      <c r="T38" s="6">
        <v>66</v>
      </c>
      <c r="U38" s="6">
        <v>96.9</v>
      </c>
      <c r="V38" s="6">
        <f t="shared" si="10"/>
        <v>102.1</v>
      </c>
      <c r="W38" s="6">
        <f>V38*1.07</f>
        <v>109.247</v>
      </c>
      <c r="X38" s="6">
        <f>W38*1.05</f>
        <v>114.70935</v>
      </c>
      <c r="Y38" s="6">
        <f>X38*1.03</f>
        <v>118.15063050000001</v>
      </c>
      <c r="Z38" s="6">
        <f>Y38*1.02</f>
        <v>120.51364311</v>
      </c>
      <c r="AA38" s="6">
        <f t="shared" ref="AA38:AF38" si="14">Z38*1.02</f>
        <v>122.92391597220001</v>
      </c>
      <c r="AB38" s="6">
        <f t="shared" si="14"/>
        <v>125.382394291644</v>
      </c>
      <c r="AC38" s="6">
        <f t="shared" si="14"/>
        <v>127.89004217747689</v>
      </c>
      <c r="AD38" s="6">
        <f t="shared" si="14"/>
        <v>130.44784302102642</v>
      </c>
      <c r="AE38" s="6">
        <f t="shared" si="14"/>
        <v>133.05679988144695</v>
      </c>
      <c r="AF38" s="6">
        <f t="shared" si="14"/>
        <v>135.7179358790759</v>
      </c>
    </row>
    <row r="39" spans="2:32" x14ac:dyDescent="0.3">
      <c r="B39" s="2" t="s">
        <v>18</v>
      </c>
      <c r="C39" s="6">
        <f t="shared" si="4"/>
        <v>0</v>
      </c>
      <c r="D39" s="6">
        <f t="shared" ref="D39:E39" si="15">D18-C18</f>
        <v>0.1</v>
      </c>
      <c r="E39" s="6">
        <f t="shared" si="15"/>
        <v>0.1</v>
      </c>
      <c r="F39" s="6">
        <f>T39-E18</f>
        <v>0.3</v>
      </c>
      <c r="G39" s="6">
        <f t="shared" si="6"/>
        <v>-0.4</v>
      </c>
      <c r="H39" s="6">
        <f t="shared" ref="H39:I39" si="16">H18-G18</f>
        <v>-9.9999999999999978E-2</v>
      </c>
      <c r="I39" s="6">
        <f t="shared" si="16"/>
        <v>0.2</v>
      </c>
      <c r="J39" s="6">
        <f>U39-I18</f>
        <v>1.7</v>
      </c>
      <c r="K39" s="6">
        <f t="shared" si="8"/>
        <v>-0.1</v>
      </c>
      <c r="L39" s="6">
        <f>L18-K18</f>
        <v>-0.1</v>
      </c>
      <c r="M39" s="6">
        <f t="shared" si="9"/>
        <v>0</v>
      </c>
      <c r="N39" s="6">
        <v>0</v>
      </c>
      <c r="S39" s="6">
        <v>-2.2999999999999998</v>
      </c>
      <c r="T39" s="6">
        <v>0.5</v>
      </c>
      <c r="U39" s="6">
        <v>1.4</v>
      </c>
      <c r="V39" s="6">
        <f t="shared" si="10"/>
        <v>-0.2</v>
      </c>
      <c r="W39" s="6">
        <v>0</v>
      </c>
      <c r="X39" s="6">
        <v>0</v>
      </c>
      <c r="Y39" s="6">
        <v>0</v>
      </c>
      <c r="Z39" s="6">
        <v>0</v>
      </c>
      <c r="AA39" s="6">
        <v>0</v>
      </c>
      <c r="AB39" s="6">
        <v>0</v>
      </c>
      <c r="AC39" s="6">
        <v>0</v>
      </c>
      <c r="AD39" s="6">
        <v>0</v>
      </c>
      <c r="AE39" s="6">
        <v>0</v>
      </c>
      <c r="AF39" s="6">
        <v>0</v>
      </c>
    </row>
    <row r="40" spans="2:32" x14ac:dyDescent="0.3">
      <c r="B40" s="2" t="s">
        <v>19</v>
      </c>
      <c r="C40" s="6">
        <f t="shared" si="4"/>
        <v>-3.7</v>
      </c>
      <c r="D40" s="6">
        <f t="shared" ref="D40:E40" si="17">D19-C19</f>
        <v>-3</v>
      </c>
      <c r="E40" s="6">
        <f t="shared" si="17"/>
        <v>-2.3999999999999995</v>
      </c>
      <c r="F40" s="6">
        <f>T40-E19</f>
        <v>-2.5</v>
      </c>
      <c r="G40" s="6">
        <f t="shared" si="6"/>
        <v>-4.9000000000000004</v>
      </c>
      <c r="H40" s="6">
        <f t="shared" ref="H40:I40" si="18">H19-G19</f>
        <v>1.5000000000000004</v>
      </c>
      <c r="I40" s="6">
        <f t="shared" si="18"/>
        <v>0.29999999999999982</v>
      </c>
      <c r="J40" s="6">
        <f>U40-I19</f>
        <v>-6.5</v>
      </c>
      <c r="K40" s="6">
        <f t="shared" si="8"/>
        <v>-3.3</v>
      </c>
      <c r="L40" s="6">
        <f>L19-K19</f>
        <v>-8.1000000000000014</v>
      </c>
      <c r="M40" s="6">
        <f t="shared" si="9"/>
        <v>9.9999999999999645E-2</v>
      </c>
      <c r="N40" s="6">
        <v>0</v>
      </c>
      <c r="S40" s="6">
        <v>-11.3</v>
      </c>
      <c r="T40" s="6">
        <v>-11.6</v>
      </c>
      <c r="U40" s="6">
        <v>-9.6</v>
      </c>
      <c r="V40" s="6">
        <f t="shared" si="10"/>
        <v>-11.300000000000002</v>
      </c>
      <c r="W40" s="6">
        <f>V40*1.03</f>
        <v>-11.639000000000003</v>
      </c>
      <c r="X40" s="6">
        <f t="shared" ref="X40:AF40" si="19">W40*1.03</f>
        <v>-11.988170000000004</v>
      </c>
      <c r="Y40" s="6">
        <f t="shared" si="19"/>
        <v>-12.347815100000004</v>
      </c>
      <c r="Z40" s="6">
        <f t="shared" si="19"/>
        <v>-12.718249553000003</v>
      </c>
      <c r="AA40" s="6">
        <f t="shared" si="19"/>
        <v>-13.099797039590003</v>
      </c>
      <c r="AB40" s="6">
        <f t="shared" si="19"/>
        <v>-13.492790950777703</v>
      </c>
      <c r="AC40" s="6">
        <f t="shared" si="19"/>
        <v>-13.897574679301034</v>
      </c>
      <c r="AD40" s="6">
        <f t="shared" si="19"/>
        <v>-14.314501919680065</v>
      </c>
      <c r="AE40" s="6">
        <f t="shared" si="19"/>
        <v>-14.743936977270467</v>
      </c>
      <c r="AF40" s="6">
        <f t="shared" si="19"/>
        <v>-15.186255086588581</v>
      </c>
    </row>
    <row r="41" spans="2:32" x14ac:dyDescent="0.3">
      <c r="B41" s="2" t="s">
        <v>20</v>
      </c>
      <c r="C41" s="6">
        <f t="shared" si="4"/>
        <v>4.9000000000000004</v>
      </c>
      <c r="D41" s="6">
        <f t="shared" ref="D41:E41" si="20">D20-C20</f>
        <v>3.7999999999999989</v>
      </c>
      <c r="E41" s="6">
        <f t="shared" si="20"/>
        <v>1.1000000000000014</v>
      </c>
      <c r="F41" s="6">
        <f>T41-E20</f>
        <v>3.2999999999999989</v>
      </c>
      <c r="G41" s="6">
        <f t="shared" si="6"/>
        <v>4.5</v>
      </c>
      <c r="H41" s="6">
        <f t="shared" ref="H41:I41" si="21">H20-G20</f>
        <v>-0.5</v>
      </c>
      <c r="I41" s="6">
        <f t="shared" si="21"/>
        <v>4.4000000000000004</v>
      </c>
      <c r="J41" s="6">
        <f>U41-I20</f>
        <v>4.6999999999999993</v>
      </c>
      <c r="K41" s="6">
        <f t="shared" si="8"/>
        <v>6.3</v>
      </c>
      <c r="L41" s="6">
        <f>L20-K20</f>
        <v>7.5000000000000009</v>
      </c>
      <c r="M41" s="6">
        <f t="shared" si="9"/>
        <v>0.89999999999999858</v>
      </c>
      <c r="N41" s="6">
        <v>0</v>
      </c>
      <c r="S41" s="6">
        <v>15.3</v>
      </c>
      <c r="T41" s="6">
        <v>13.1</v>
      </c>
      <c r="U41" s="6">
        <v>13.1</v>
      </c>
      <c r="V41" s="6">
        <f t="shared" si="10"/>
        <v>14.7</v>
      </c>
      <c r="W41" s="6">
        <f>V41*1.03</f>
        <v>15.141</v>
      </c>
      <c r="X41" s="6">
        <f t="shared" ref="X41:AF41" si="22">W41*1.03</f>
        <v>15.595230000000001</v>
      </c>
      <c r="Y41" s="6">
        <f t="shared" si="22"/>
        <v>16.063086900000002</v>
      </c>
      <c r="Z41" s="6">
        <f t="shared" si="22"/>
        <v>16.544979507000001</v>
      </c>
      <c r="AA41" s="6">
        <f t="shared" si="22"/>
        <v>17.04132889221</v>
      </c>
      <c r="AB41" s="6">
        <f t="shared" si="22"/>
        <v>17.5525687589763</v>
      </c>
      <c r="AC41" s="6">
        <f t="shared" si="22"/>
        <v>18.079145821745588</v>
      </c>
      <c r="AD41" s="6">
        <f t="shared" si="22"/>
        <v>18.621520196397956</v>
      </c>
      <c r="AE41" s="6">
        <f t="shared" si="22"/>
        <v>19.180165802289896</v>
      </c>
      <c r="AF41" s="6">
        <f t="shared" si="22"/>
        <v>19.755570776358592</v>
      </c>
    </row>
    <row r="42" spans="2:32" x14ac:dyDescent="0.3">
      <c r="B42" s="2" t="s">
        <v>21</v>
      </c>
      <c r="C42" s="6">
        <f t="shared" ref="C42:L42" si="23">SUM(C37:C41)</f>
        <v>30.1</v>
      </c>
      <c r="D42" s="6">
        <f t="shared" si="23"/>
        <v>31.1</v>
      </c>
      <c r="E42" s="6">
        <f t="shared" si="23"/>
        <v>30.400000000000006</v>
      </c>
      <c r="F42" s="6">
        <f t="shared" si="23"/>
        <v>28.1</v>
      </c>
      <c r="G42" s="6">
        <f t="shared" si="23"/>
        <v>38</v>
      </c>
      <c r="H42" s="6">
        <f t="shared" si="23"/>
        <v>41.199999999999996</v>
      </c>
      <c r="I42" s="6">
        <f t="shared" si="23"/>
        <v>43.7</v>
      </c>
      <c r="J42" s="6">
        <f t="shared" si="23"/>
        <v>40.700000000000003</v>
      </c>
      <c r="K42" s="6">
        <f t="shared" si="23"/>
        <v>42</v>
      </c>
      <c r="L42" s="6">
        <f t="shared" si="23"/>
        <v>44.9</v>
      </c>
      <c r="M42" s="6">
        <f t="shared" ref="M42:N42" si="24">SUM(M37:M41)</f>
        <v>40.1</v>
      </c>
      <c r="N42" s="6">
        <f t="shared" si="24"/>
        <v>46.056600000000003</v>
      </c>
      <c r="S42" s="6">
        <f>SUM(S37:S41)</f>
        <v>99.600000000000009</v>
      </c>
      <c r="T42" s="6">
        <f>SUM(T37:T41)</f>
        <v>119.7</v>
      </c>
      <c r="U42" s="6">
        <f>SUM(U37:U41)</f>
        <v>163.6</v>
      </c>
      <c r="V42" s="6">
        <f>SUM(V37:V41)</f>
        <v>173.0566</v>
      </c>
      <c r="W42" s="6">
        <f>SUM(W37:W41)</f>
        <v>190.03561249999998</v>
      </c>
      <c r="X42" s="6">
        <f t="shared" ref="X42:AF42" si="25">SUM(X37:X41)</f>
        <v>204.10454987500003</v>
      </c>
      <c r="Y42" s="6">
        <f t="shared" si="25"/>
        <v>214.51709336500002</v>
      </c>
      <c r="Z42" s="6">
        <f t="shared" si="25"/>
        <v>222.55063559290002</v>
      </c>
      <c r="AA42" s="6">
        <f t="shared" si="25"/>
        <v>229.98622348016502</v>
      </c>
      <c r="AB42" s="6">
        <f t="shared" si="25"/>
        <v>237.71898653795489</v>
      </c>
      <c r="AC42" s="6">
        <f t="shared" si="25"/>
        <v>245.76226847993934</v>
      </c>
      <c r="AD42" s="6">
        <f t="shared" si="25"/>
        <v>254.13004921576314</v>
      </c>
      <c r="AE42" s="6">
        <f t="shared" si="25"/>
        <v>262.83697602038615</v>
      </c>
      <c r="AF42" s="6">
        <f t="shared" si="25"/>
        <v>271.89839624846167</v>
      </c>
    </row>
    <row r="43" spans="2:32" s="1" customFormat="1" x14ac:dyDescent="0.3">
      <c r="B43" s="1" t="s">
        <v>22</v>
      </c>
      <c r="C43" s="9">
        <f t="shared" ref="C43:L43" si="26">C36-C42</f>
        <v>6.7000000000000099</v>
      </c>
      <c r="D43" s="9">
        <f t="shared" si="26"/>
        <v>25.199999999999953</v>
      </c>
      <c r="E43" s="9">
        <f t="shared" si="26"/>
        <v>25.100000000000051</v>
      </c>
      <c r="F43" s="9">
        <f t="shared" si="26"/>
        <v>32.000000000000021</v>
      </c>
      <c r="G43" s="9">
        <f t="shared" si="26"/>
        <v>12</v>
      </c>
      <c r="H43" s="9">
        <f t="shared" si="26"/>
        <v>23.499999999999993</v>
      </c>
      <c r="I43" s="9">
        <f t="shared" si="26"/>
        <v>22.79999999999994</v>
      </c>
      <c r="J43" s="9">
        <f t="shared" si="26"/>
        <v>57.800000000000111</v>
      </c>
      <c r="K43" s="9">
        <f t="shared" si="26"/>
        <v>24.300000000000011</v>
      </c>
      <c r="L43" s="9">
        <f t="shared" si="26"/>
        <v>35.000000000000036</v>
      </c>
      <c r="M43" s="9">
        <f t="shared" ref="M43:N43" si="27">M36-M42</f>
        <v>39.849999999999973</v>
      </c>
      <c r="N43" s="9">
        <f t="shared" si="27"/>
        <v>70.539600000000007</v>
      </c>
      <c r="S43" s="9">
        <f>S36-S42</f>
        <v>65.199999999999946</v>
      </c>
      <c r="T43" s="9">
        <f>T36-T42</f>
        <v>89.000000000000043</v>
      </c>
      <c r="U43" s="9">
        <f>U36-U42</f>
        <v>116.10000000000005</v>
      </c>
      <c r="V43" s="9">
        <f>V36-V42</f>
        <v>166.13959999999997</v>
      </c>
      <c r="W43" s="9">
        <f>W36-W42</f>
        <v>211.8547725</v>
      </c>
      <c r="X43" s="9">
        <f t="shared" ref="X43:AF43" si="28">X36-X42</f>
        <v>259.15140545000003</v>
      </c>
      <c r="Y43" s="9">
        <f t="shared" si="28"/>
        <v>285.79933838600004</v>
      </c>
      <c r="Z43" s="9">
        <f t="shared" si="28"/>
        <v>307.78478206316015</v>
      </c>
      <c r="AA43" s="9">
        <f t="shared" si="28"/>
        <v>326.86596505869818</v>
      </c>
      <c r="AB43" s="9">
        <f t="shared" si="28"/>
        <v>346.9758114278514</v>
      </c>
      <c r="AC43" s="9">
        <f t="shared" si="28"/>
        <v>368.16726938415735</v>
      </c>
      <c r="AD43" s="9">
        <f t="shared" si="28"/>
        <v>390.49596554153845</v>
      </c>
      <c r="AE43" s="9">
        <f t="shared" si="28"/>
        <v>414.0203394747806</v>
      </c>
      <c r="AF43" s="9">
        <f t="shared" si="28"/>
        <v>438.80178502146344</v>
      </c>
    </row>
    <row r="44" spans="2:32" x14ac:dyDescent="0.3">
      <c r="B44" s="2" t="s">
        <v>23</v>
      </c>
      <c r="C44" s="6">
        <f t="shared" ref="C44:C45" si="29">C23</f>
        <v>10</v>
      </c>
      <c r="D44" s="6">
        <f t="shared" ref="D44:E44" si="30">D23-C23</f>
        <v>10.3</v>
      </c>
      <c r="E44" s="6">
        <f t="shared" si="30"/>
        <v>9.8999999999999986</v>
      </c>
      <c r="F44" s="6">
        <f>T44-E23</f>
        <v>9.5999999999999979</v>
      </c>
      <c r="G44" s="6">
        <f t="shared" ref="G44:G45" si="31">G23</f>
        <v>8.8000000000000007</v>
      </c>
      <c r="H44" s="6">
        <f t="shared" ref="H44:I44" si="32">H23-G23</f>
        <v>14.399999999999999</v>
      </c>
      <c r="I44" s="6">
        <f t="shared" si="32"/>
        <v>10.7</v>
      </c>
      <c r="J44" s="6">
        <f>U44-I23</f>
        <v>7.8999999999999986</v>
      </c>
      <c r="K44" s="6">
        <f t="shared" ref="K44:K45" si="33">K23</f>
        <v>9.6999999999999993</v>
      </c>
      <c r="L44" s="6">
        <f>L23-K23</f>
        <v>7.6999999999999993</v>
      </c>
      <c r="M44" s="6">
        <f t="shared" ref="M44:M45" si="34">M23-L23</f>
        <v>8.8000000000000007</v>
      </c>
      <c r="N44" s="6">
        <v>10</v>
      </c>
      <c r="S44" s="6">
        <v>41.7</v>
      </c>
      <c r="T44" s="6">
        <v>39.799999999999997</v>
      </c>
      <c r="U44" s="6">
        <v>41.8</v>
      </c>
      <c r="V44" s="6">
        <f t="shared" ref="V44:V45" si="35">SUM(K44:N44)</f>
        <v>36.200000000000003</v>
      </c>
      <c r="W44" s="6">
        <f>V44*1.03</f>
        <v>37.286000000000001</v>
      </c>
      <c r="X44" s="6">
        <f t="shared" ref="X44:AF44" si="36">W44*1.03</f>
        <v>38.404580000000003</v>
      </c>
      <c r="Y44" s="6">
        <f t="shared" si="36"/>
        <v>39.556717400000004</v>
      </c>
      <c r="Z44" s="6">
        <f t="shared" si="36"/>
        <v>40.743418922000004</v>
      </c>
      <c r="AA44" s="6">
        <f t="shared" si="36"/>
        <v>41.965721489660005</v>
      </c>
      <c r="AB44" s="6">
        <f t="shared" si="36"/>
        <v>43.224693134349806</v>
      </c>
      <c r="AC44" s="6">
        <f t="shared" si="36"/>
        <v>44.521433928380304</v>
      </c>
      <c r="AD44" s="6">
        <f t="shared" si="36"/>
        <v>45.857076946231714</v>
      </c>
      <c r="AE44" s="6">
        <f t="shared" si="36"/>
        <v>47.232789254618666</v>
      </c>
      <c r="AF44" s="6">
        <f t="shared" si="36"/>
        <v>48.649772932257228</v>
      </c>
    </row>
    <row r="45" spans="2:32" x14ac:dyDescent="0.3">
      <c r="B45" s="2" t="s">
        <v>24</v>
      </c>
      <c r="C45" s="6">
        <f t="shared" si="29"/>
        <v>0.5</v>
      </c>
      <c r="D45" s="6">
        <f t="shared" ref="D45:E45" si="37">D24-C24</f>
        <v>0.60000000000000009</v>
      </c>
      <c r="E45" s="6">
        <f t="shared" si="37"/>
        <v>-2</v>
      </c>
      <c r="F45" s="6">
        <f>T45-E24</f>
        <v>3.5</v>
      </c>
      <c r="G45" s="6">
        <f t="shared" si="31"/>
        <v>-0.7</v>
      </c>
      <c r="H45" s="6">
        <f t="shared" ref="H45:I45" si="38">H24-G24</f>
        <v>-7.1</v>
      </c>
      <c r="I45" s="6">
        <f t="shared" si="38"/>
        <v>7.3999999999999995</v>
      </c>
      <c r="J45" s="6">
        <f>U45-I24</f>
        <v>-20.100000000000001</v>
      </c>
      <c r="K45" s="6">
        <f t="shared" si="33"/>
        <v>9.9</v>
      </c>
      <c r="L45" s="6">
        <f>L24-K24</f>
        <v>1</v>
      </c>
      <c r="M45" s="6">
        <f t="shared" si="34"/>
        <v>-1</v>
      </c>
      <c r="N45" s="6">
        <v>0</v>
      </c>
      <c r="S45" s="6">
        <v>8.6999999999999993</v>
      </c>
      <c r="T45" s="6">
        <v>2.6</v>
      </c>
      <c r="U45" s="6">
        <v>-20.5</v>
      </c>
      <c r="V45" s="6">
        <f t="shared" si="35"/>
        <v>9.9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</row>
    <row r="46" spans="2:32" s="1" customFormat="1" x14ac:dyDescent="0.3">
      <c r="B46" s="1" t="s">
        <v>25</v>
      </c>
      <c r="C46" s="9">
        <f t="shared" ref="C46:L46" si="39">C43-C44-C45</f>
        <v>-3.7999999999999901</v>
      </c>
      <c r="D46" s="9">
        <f t="shared" si="39"/>
        <v>14.299999999999953</v>
      </c>
      <c r="E46" s="9">
        <f t="shared" si="39"/>
        <v>17.200000000000053</v>
      </c>
      <c r="F46" s="9">
        <f t="shared" si="39"/>
        <v>18.900000000000023</v>
      </c>
      <c r="G46" s="9">
        <f t="shared" si="39"/>
        <v>3.8999999999999995</v>
      </c>
      <c r="H46" s="9">
        <f t="shared" si="39"/>
        <v>16.199999999999996</v>
      </c>
      <c r="I46" s="9">
        <f t="shared" si="39"/>
        <v>4.6999999999999416</v>
      </c>
      <c r="J46" s="9">
        <f t="shared" si="39"/>
        <v>70.000000000000114</v>
      </c>
      <c r="K46" s="9">
        <f t="shared" si="39"/>
        <v>4.7000000000000117</v>
      </c>
      <c r="L46" s="9">
        <f t="shared" si="39"/>
        <v>26.300000000000036</v>
      </c>
      <c r="M46" s="9">
        <f t="shared" ref="M46:N46" si="40">M43-M44-M45</f>
        <v>32.049999999999969</v>
      </c>
      <c r="N46" s="9">
        <f t="shared" si="40"/>
        <v>60.539600000000007</v>
      </c>
      <c r="S46" s="9">
        <f>S43-S44-S45</f>
        <v>14.799999999999944</v>
      </c>
      <c r="T46" s="9">
        <f>T43-T44-T45</f>
        <v>46.600000000000044</v>
      </c>
      <c r="U46" s="9">
        <f>U43-U44-U45</f>
        <v>94.800000000000054</v>
      </c>
      <c r="V46" s="9">
        <f>V43-V44-V45</f>
        <v>120.03959999999998</v>
      </c>
      <c r="W46" s="9">
        <f>W43-W44-W45</f>
        <v>174.56877249999999</v>
      </c>
      <c r="X46" s="9">
        <f t="shared" ref="X46:AF46" si="41">X43-X44-X45</f>
        <v>220.74682545000002</v>
      </c>
      <c r="Y46" s="9">
        <f t="shared" si="41"/>
        <v>246.24262098600005</v>
      </c>
      <c r="Z46" s="9">
        <f t="shared" si="41"/>
        <v>267.04136314116016</v>
      </c>
      <c r="AA46" s="9">
        <f t="shared" si="41"/>
        <v>284.9002435690382</v>
      </c>
      <c r="AB46" s="9">
        <f t="shared" si="41"/>
        <v>303.75111829350158</v>
      </c>
      <c r="AC46" s="9">
        <f t="shared" si="41"/>
        <v>323.64583545577705</v>
      </c>
      <c r="AD46" s="9">
        <f t="shared" si="41"/>
        <v>344.63888859530675</v>
      </c>
      <c r="AE46" s="9">
        <f t="shared" si="41"/>
        <v>366.78755022016196</v>
      </c>
      <c r="AF46" s="9">
        <f t="shared" si="41"/>
        <v>390.15201208920621</v>
      </c>
    </row>
    <row r="47" spans="2:32" x14ac:dyDescent="0.3">
      <c r="B47" s="2" t="s">
        <v>26</v>
      </c>
      <c r="C47" s="6">
        <f>C26</f>
        <v>-1.9</v>
      </c>
      <c r="D47" s="6">
        <f>D26-C26</f>
        <v>6.6999999999999993</v>
      </c>
      <c r="E47" s="6">
        <f>E26-D26</f>
        <v>4.0000000000000009</v>
      </c>
      <c r="F47" s="6">
        <f>T47-E26</f>
        <v>5.5</v>
      </c>
      <c r="G47" s="6">
        <f>G26</f>
        <v>6.6</v>
      </c>
      <c r="H47" s="6">
        <f>H26-G26</f>
        <v>6.1</v>
      </c>
      <c r="I47" s="6">
        <f>I26-H26</f>
        <v>5.1000000000000014</v>
      </c>
      <c r="J47" s="6">
        <f>U47-I26</f>
        <v>22.099999999999998</v>
      </c>
      <c r="K47" s="6">
        <f>K26</f>
        <v>4</v>
      </c>
      <c r="L47" s="6">
        <f>L26-K26</f>
        <v>-4.2</v>
      </c>
      <c r="M47" s="6">
        <f t="shared" ref="M47:M48" si="42">M26-L26</f>
        <v>4.2</v>
      </c>
      <c r="N47" s="6">
        <f>N46*0.3</f>
        <v>18.16188</v>
      </c>
      <c r="S47" s="6">
        <v>-1.4</v>
      </c>
      <c r="T47" s="6">
        <v>14.3</v>
      </c>
      <c r="U47" s="6">
        <v>39.9</v>
      </c>
      <c r="V47" s="6">
        <f t="shared" ref="V47:V48" si="43">SUM(K47:N47)</f>
        <v>22.16188</v>
      </c>
      <c r="W47" s="6">
        <f>W46*0.25</f>
        <v>43.642193124999999</v>
      </c>
      <c r="X47" s="6">
        <f t="shared" ref="X47:AF47" si="44">X46*0.25</f>
        <v>55.186706362500004</v>
      </c>
      <c r="Y47" s="6">
        <f t="shared" si="44"/>
        <v>61.560655246500012</v>
      </c>
      <c r="Z47" s="6">
        <f t="shared" si="44"/>
        <v>66.76034078529004</v>
      </c>
      <c r="AA47" s="6">
        <f t="shared" si="44"/>
        <v>71.225060892259549</v>
      </c>
      <c r="AB47" s="6">
        <f t="shared" si="44"/>
        <v>75.937779573375394</v>
      </c>
      <c r="AC47" s="6">
        <f t="shared" si="44"/>
        <v>80.911458863944262</v>
      </c>
      <c r="AD47" s="6">
        <f t="shared" si="44"/>
        <v>86.159722148826688</v>
      </c>
      <c r="AE47" s="6">
        <f t="shared" si="44"/>
        <v>91.69688755504049</v>
      </c>
      <c r="AF47" s="6">
        <f t="shared" si="44"/>
        <v>97.538003022301552</v>
      </c>
    </row>
    <row r="48" spans="2:32" x14ac:dyDescent="0.3">
      <c r="B48" s="2" t="s">
        <v>28</v>
      </c>
      <c r="C48" s="6">
        <f>C27</f>
        <v>0</v>
      </c>
      <c r="D48" s="6">
        <f>D27-C27</f>
        <v>0</v>
      </c>
      <c r="E48" s="6">
        <f>E27-D27</f>
        <v>0</v>
      </c>
      <c r="F48" s="6">
        <f>T48-E27</f>
        <v>0</v>
      </c>
      <c r="G48" s="6">
        <f>G27-F27</f>
        <v>0</v>
      </c>
      <c r="H48" s="6">
        <f>H27-G27</f>
        <v>0</v>
      </c>
      <c r="I48" s="6">
        <f>I27-H27</f>
        <v>0</v>
      </c>
      <c r="J48" s="6">
        <f>U48-I27</f>
        <v>1.4</v>
      </c>
      <c r="K48" s="6">
        <f>K27-J27</f>
        <v>-0.1</v>
      </c>
      <c r="L48" s="6">
        <f>L27-K27</f>
        <v>0.30000000000000004</v>
      </c>
      <c r="M48" s="6">
        <f t="shared" si="42"/>
        <v>0.2</v>
      </c>
      <c r="N48" s="6">
        <v>0</v>
      </c>
      <c r="S48" s="6">
        <v>0</v>
      </c>
      <c r="T48" s="6">
        <v>0</v>
      </c>
      <c r="U48" s="6">
        <v>1.4</v>
      </c>
      <c r="V48" s="6">
        <f t="shared" si="43"/>
        <v>0.4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</row>
    <row r="49" spans="2:140" s="1" customFormat="1" x14ac:dyDescent="0.3">
      <c r="B49" s="1" t="s">
        <v>27</v>
      </c>
      <c r="C49" s="9">
        <f t="shared" ref="C49:L49" si="45">C46-C47-C48</f>
        <v>-1.8999999999999901</v>
      </c>
      <c r="D49" s="9">
        <f t="shared" si="45"/>
        <v>7.5999999999999535</v>
      </c>
      <c r="E49" s="9">
        <f t="shared" si="45"/>
        <v>13.200000000000053</v>
      </c>
      <c r="F49" s="9">
        <f t="shared" si="45"/>
        <v>13.400000000000023</v>
      </c>
      <c r="G49" s="9">
        <f t="shared" si="45"/>
        <v>-2.7</v>
      </c>
      <c r="H49" s="9">
        <f t="shared" si="45"/>
        <v>10.099999999999996</v>
      </c>
      <c r="I49" s="9">
        <f t="shared" si="45"/>
        <v>-0.40000000000005986</v>
      </c>
      <c r="J49" s="9">
        <f t="shared" si="45"/>
        <v>46.500000000000121</v>
      </c>
      <c r="K49" s="9">
        <f t="shared" si="45"/>
        <v>0.8000000000000117</v>
      </c>
      <c r="L49" s="9">
        <f t="shared" si="45"/>
        <v>30.200000000000035</v>
      </c>
      <c r="M49" s="9">
        <f t="shared" ref="M49:N49" si="46">M46-M47-M48</f>
        <v>27.64999999999997</v>
      </c>
      <c r="N49" s="9">
        <f t="shared" si="46"/>
        <v>42.377720000000011</v>
      </c>
      <c r="S49" s="9">
        <f>S46-S47-S48</f>
        <v>16.199999999999942</v>
      </c>
      <c r="T49" s="9">
        <f>T46-T47-T48</f>
        <v>32.30000000000004</v>
      </c>
      <c r="U49" s="9">
        <f>U46-U47-U48</f>
        <v>53.500000000000057</v>
      </c>
      <c r="V49" s="9">
        <f>V46-V47-V48</f>
        <v>97.477719999999977</v>
      </c>
      <c r="W49" s="9">
        <f>W46-W47-W48</f>
        <v>130.92657937499999</v>
      </c>
      <c r="X49" s="9">
        <f t="shared" ref="X49:AF49" si="47">X46-X47-X48</f>
        <v>165.56011908750003</v>
      </c>
      <c r="Y49" s="9">
        <f t="shared" si="47"/>
        <v>184.68196573950004</v>
      </c>
      <c r="Z49" s="9">
        <f t="shared" si="47"/>
        <v>200.28102235587011</v>
      </c>
      <c r="AA49" s="9">
        <f t="shared" si="47"/>
        <v>213.67518267677866</v>
      </c>
      <c r="AB49" s="9">
        <f t="shared" si="47"/>
        <v>227.81333872012618</v>
      </c>
      <c r="AC49" s="9">
        <f t="shared" si="47"/>
        <v>242.73437659183278</v>
      </c>
      <c r="AD49" s="9">
        <f t="shared" si="47"/>
        <v>258.47916644648006</v>
      </c>
      <c r="AE49" s="9">
        <f t="shared" si="47"/>
        <v>275.0906626651215</v>
      </c>
      <c r="AF49" s="9">
        <f t="shared" si="47"/>
        <v>292.61400906690466</v>
      </c>
      <c r="AG49" s="1">
        <f>AF49*(1+$AI$54)</f>
        <v>289.68786897623562</v>
      </c>
      <c r="AH49" s="1">
        <f t="shared" ref="AH49:CS49" si="48">AG49*(1+$AI$54)</f>
        <v>286.79099028647329</v>
      </c>
      <c r="AI49" s="1">
        <f t="shared" si="48"/>
        <v>283.92308038360858</v>
      </c>
      <c r="AJ49" s="1">
        <f t="shared" si="48"/>
        <v>281.0838495797725</v>
      </c>
      <c r="AK49" s="1">
        <f t="shared" si="48"/>
        <v>278.27301108397478</v>
      </c>
      <c r="AL49" s="1">
        <f t="shared" si="48"/>
        <v>275.49028097313504</v>
      </c>
      <c r="AM49" s="1">
        <f t="shared" si="48"/>
        <v>272.73537816340371</v>
      </c>
      <c r="AN49" s="1">
        <f t="shared" si="48"/>
        <v>270.00802438176964</v>
      </c>
      <c r="AO49" s="1">
        <f t="shared" si="48"/>
        <v>267.30794413795195</v>
      </c>
      <c r="AP49" s="1">
        <f t="shared" si="48"/>
        <v>264.63486469657244</v>
      </c>
      <c r="AQ49" s="1">
        <f t="shared" si="48"/>
        <v>261.98851604960669</v>
      </c>
      <c r="AR49" s="1">
        <f t="shared" si="48"/>
        <v>259.36863088911059</v>
      </c>
      <c r="AS49" s="1">
        <f t="shared" si="48"/>
        <v>256.77494458021948</v>
      </c>
      <c r="AT49" s="1">
        <f t="shared" si="48"/>
        <v>254.20719513441728</v>
      </c>
      <c r="AU49" s="1">
        <f t="shared" si="48"/>
        <v>251.66512318307309</v>
      </c>
      <c r="AV49" s="1">
        <f t="shared" si="48"/>
        <v>249.14847195124236</v>
      </c>
      <c r="AW49" s="1">
        <f t="shared" si="48"/>
        <v>246.65698723172994</v>
      </c>
      <c r="AX49" s="1">
        <f t="shared" si="48"/>
        <v>244.19041735941263</v>
      </c>
      <c r="AY49" s="1">
        <f t="shared" si="48"/>
        <v>241.7485131858185</v>
      </c>
      <c r="AZ49" s="1">
        <f t="shared" si="48"/>
        <v>239.3310280539603</v>
      </c>
      <c r="BA49" s="1">
        <f t="shared" si="48"/>
        <v>236.9377177734207</v>
      </c>
      <c r="BB49" s="1">
        <f t="shared" si="48"/>
        <v>234.56834059568649</v>
      </c>
      <c r="BC49" s="1">
        <f t="shared" si="48"/>
        <v>232.22265718972963</v>
      </c>
      <c r="BD49" s="1">
        <f t="shared" si="48"/>
        <v>229.90043061783234</v>
      </c>
      <c r="BE49" s="1">
        <f t="shared" si="48"/>
        <v>227.60142631165402</v>
      </c>
      <c r="BF49" s="1">
        <f t="shared" si="48"/>
        <v>225.32541204853749</v>
      </c>
      <c r="BG49" s="1">
        <f t="shared" si="48"/>
        <v>223.07215792805212</v>
      </c>
      <c r="BH49" s="1">
        <f t="shared" si="48"/>
        <v>220.84143634877159</v>
      </c>
      <c r="BI49" s="1">
        <f t="shared" si="48"/>
        <v>218.63302198528388</v>
      </c>
      <c r="BJ49" s="1">
        <f t="shared" si="48"/>
        <v>216.44669176543104</v>
      </c>
      <c r="BK49" s="1">
        <f t="shared" si="48"/>
        <v>214.28222484777672</v>
      </c>
      <c r="BL49" s="1">
        <f t="shared" si="48"/>
        <v>212.13940259929896</v>
      </c>
      <c r="BM49" s="1">
        <f t="shared" si="48"/>
        <v>210.01800857330596</v>
      </c>
      <c r="BN49" s="1">
        <f t="shared" si="48"/>
        <v>207.9178284875729</v>
      </c>
      <c r="BO49" s="1">
        <f t="shared" si="48"/>
        <v>205.83865020269718</v>
      </c>
      <c r="BP49" s="1">
        <f t="shared" si="48"/>
        <v>203.78026370067022</v>
      </c>
      <c r="BQ49" s="1">
        <f t="shared" si="48"/>
        <v>201.74246106366351</v>
      </c>
      <c r="BR49" s="1">
        <f t="shared" si="48"/>
        <v>199.72503645302689</v>
      </c>
      <c r="BS49" s="1">
        <f t="shared" si="48"/>
        <v>197.72778608849663</v>
      </c>
      <c r="BT49" s="1">
        <f t="shared" si="48"/>
        <v>195.75050822761165</v>
      </c>
      <c r="BU49" s="1">
        <f t="shared" si="48"/>
        <v>193.79300314533552</v>
      </c>
      <c r="BV49" s="1">
        <f t="shared" si="48"/>
        <v>191.85507311388216</v>
      </c>
      <c r="BW49" s="1">
        <f t="shared" si="48"/>
        <v>189.93652238274333</v>
      </c>
      <c r="BX49" s="1">
        <f t="shared" si="48"/>
        <v>188.0371571589159</v>
      </c>
      <c r="BY49" s="1">
        <f t="shared" si="48"/>
        <v>186.15678558732674</v>
      </c>
      <c r="BZ49" s="1">
        <f t="shared" si="48"/>
        <v>184.29521773145348</v>
      </c>
      <c r="CA49" s="1">
        <f t="shared" si="48"/>
        <v>182.45226555413893</v>
      </c>
      <c r="CB49" s="1">
        <f t="shared" si="48"/>
        <v>180.62774289859755</v>
      </c>
      <c r="CC49" s="1">
        <f t="shared" si="48"/>
        <v>178.82146546961158</v>
      </c>
      <c r="CD49" s="1">
        <f t="shared" si="48"/>
        <v>177.03325081491548</v>
      </c>
      <c r="CE49" s="1">
        <f t="shared" si="48"/>
        <v>175.26291830676632</v>
      </c>
      <c r="CF49" s="1">
        <f t="shared" si="48"/>
        <v>173.51028912369867</v>
      </c>
      <c r="CG49" s="1">
        <f t="shared" si="48"/>
        <v>171.77518623246169</v>
      </c>
      <c r="CH49" s="1">
        <f t="shared" si="48"/>
        <v>170.05743437013709</v>
      </c>
      <c r="CI49" s="1">
        <f t="shared" si="48"/>
        <v>168.35686002643573</v>
      </c>
      <c r="CJ49" s="1">
        <f t="shared" si="48"/>
        <v>166.67329142617137</v>
      </c>
      <c r="CK49" s="1">
        <f t="shared" si="48"/>
        <v>165.00655851190965</v>
      </c>
      <c r="CL49" s="1">
        <f t="shared" si="48"/>
        <v>163.35649292679054</v>
      </c>
      <c r="CM49" s="1">
        <f t="shared" si="48"/>
        <v>161.72292799752262</v>
      </c>
      <c r="CN49" s="1">
        <f t="shared" si="48"/>
        <v>160.1056987175474</v>
      </c>
      <c r="CO49" s="1">
        <f t="shared" si="48"/>
        <v>158.50464173037193</v>
      </c>
      <c r="CP49" s="1">
        <f t="shared" si="48"/>
        <v>156.91959531306821</v>
      </c>
      <c r="CQ49" s="1">
        <f t="shared" si="48"/>
        <v>155.35039935993754</v>
      </c>
      <c r="CR49" s="1">
        <f t="shared" si="48"/>
        <v>153.79689536633816</v>
      </c>
      <c r="CS49" s="1">
        <f t="shared" si="48"/>
        <v>152.25892641267478</v>
      </c>
      <c r="CT49" s="1">
        <f t="shared" ref="CT49:EJ49" si="49">CS49*(1+$AI$54)</f>
        <v>150.73633714854805</v>
      </c>
      <c r="CU49" s="1">
        <f t="shared" si="49"/>
        <v>149.22897377706258</v>
      </c>
      <c r="CV49" s="1">
        <f t="shared" si="49"/>
        <v>147.73668403929196</v>
      </c>
      <c r="CW49" s="1">
        <f t="shared" si="49"/>
        <v>146.25931719889903</v>
      </c>
      <c r="CX49" s="1">
        <f t="shared" si="49"/>
        <v>144.79672402691003</v>
      </c>
      <c r="CY49" s="1">
        <f t="shared" si="49"/>
        <v>143.34875678664093</v>
      </c>
      <c r="CZ49" s="1">
        <f t="shared" si="49"/>
        <v>141.91526921877451</v>
      </c>
      <c r="DA49" s="1">
        <f t="shared" si="49"/>
        <v>140.49611652658677</v>
      </c>
      <c r="DB49" s="1">
        <f t="shared" si="49"/>
        <v>139.09115536132092</v>
      </c>
      <c r="DC49" s="1">
        <f t="shared" si="49"/>
        <v>137.70024380770769</v>
      </c>
      <c r="DD49" s="1">
        <f t="shared" si="49"/>
        <v>136.32324136963061</v>
      </c>
      <c r="DE49" s="1">
        <f t="shared" si="49"/>
        <v>134.96000895593431</v>
      </c>
      <c r="DF49" s="1">
        <f t="shared" si="49"/>
        <v>133.61040886637497</v>
      </c>
      <c r="DG49" s="1">
        <f t="shared" si="49"/>
        <v>132.27430477771122</v>
      </c>
      <c r="DH49" s="1">
        <f t="shared" si="49"/>
        <v>130.9515617299341</v>
      </c>
      <c r="DI49" s="1">
        <f t="shared" si="49"/>
        <v>129.64204611263474</v>
      </c>
      <c r="DJ49" s="1">
        <f t="shared" si="49"/>
        <v>128.34562565150839</v>
      </c>
      <c r="DK49" s="1">
        <f t="shared" si="49"/>
        <v>127.0621693949933</v>
      </c>
      <c r="DL49" s="1">
        <f t="shared" si="49"/>
        <v>125.79154770104337</v>
      </c>
      <c r="DM49" s="1">
        <f t="shared" si="49"/>
        <v>124.53363222403294</v>
      </c>
      <c r="DN49" s="1">
        <f t="shared" si="49"/>
        <v>123.28829590179261</v>
      </c>
      <c r="DO49" s="1">
        <f t="shared" si="49"/>
        <v>122.05541294277468</v>
      </c>
      <c r="DP49" s="1">
        <f t="shared" si="49"/>
        <v>120.83485881334693</v>
      </c>
      <c r="DQ49" s="1">
        <f t="shared" si="49"/>
        <v>119.62651022521345</v>
      </c>
      <c r="DR49" s="1">
        <f t="shared" si="49"/>
        <v>118.43024512296131</v>
      </c>
      <c r="DS49" s="1">
        <f t="shared" si="49"/>
        <v>117.2459426717317</v>
      </c>
      <c r="DT49" s="1">
        <f t="shared" si="49"/>
        <v>116.07348324501437</v>
      </c>
      <c r="DU49" s="1">
        <f t="shared" si="49"/>
        <v>114.91274841256423</v>
      </c>
      <c r="DV49" s="1">
        <f t="shared" si="49"/>
        <v>113.76362092843858</v>
      </c>
      <c r="DW49" s="1">
        <f t="shared" si="49"/>
        <v>112.6259847191542</v>
      </c>
      <c r="DX49" s="1">
        <f t="shared" si="49"/>
        <v>111.49972487196266</v>
      </c>
      <c r="DY49" s="1">
        <f t="shared" si="49"/>
        <v>110.38472762324302</v>
      </c>
      <c r="DZ49" s="1">
        <f t="shared" si="49"/>
        <v>109.28088034701059</v>
      </c>
      <c r="EA49" s="1">
        <f t="shared" si="49"/>
        <v>108.18807154354049</v>
      </c>
      <c r="EB49" s="1">
        <f t="shared" si="49"/>
        <v>107.10619082810508</v>
      </c>
      <c r="EC49" s="1">
        <f t="shared" si="49"/>
        <v>106.03512891982403</v>
      </c>
      <c r="ED49" s="1">
        <f t="shared" si="49"/>
        <v>104.97477763062579</v>
      </c>
      <c r="EE49" s="1">
        <f t="shared" si="49"/>
        <v>103.92502985431953</v>
      </c>
      <c r="EF49" s="1">
        <f t="shared" si="49"/>
        <v>102.88577955577634</v>
      </c>
      <c r="EG49" s="1">
        <f t="shared" si="49"/>
        <v>101.85692176021857</v>
      </c>
      <c r="EH49" s="1">
        <f t="shared" si="49"/>
        <v>100.83835254261638</v>
      </c>
      <c r="EI49" s="1">
        <f t="shared" si="49"/>
        <v>99.829969017190209</v>
      </c>
      <c r="EJ49" s="1">
        <f t="shared" si="49"/>
        <v>98.831669327018304</v>
      </c>
    </row>
    <row r="50" spans="2:140" x14ac:dyDescent="0.3">
      <c r="B50" s="2" t="s">
        <v>2</v>
      </c>
      <c r="C50" s="6">
        <v>100</v>
      </c>
      <c r="D50" s="6">
        <v>100</v>
      </c>
      <c r="E50" s="6">
        <v>100</v>
      </c>
      <c r="F50" s="6">
        <v>100</v>
      </c>
      <c r="G50" s="6">
        <v>100</v>
      </c>
      <c r="H50" s="6">
        <v>100</v>
      </c>
      <c r="I50" s="6">
        <v>100</v>
      </c>
      <c r="J50" s="6">
        <v>100</v>
      </c>
      <c r="K50" s="6">
        <v>100</v>
      </c>
      <c r="L50" s="6">
        <v>100</v>
      </c>
      <c r="M50" s="6">
        <f>100.1</f>
        <v>100.1</v>
      </c>
      <c r="N50" s="6">
        <f>100.1</f>
        <v>100.1</v>
      </c>
      <c r="S50" s="6">
        <v>100</v>
      </c>
      <c r="T50" s="6">
        <v>100</v>
      </c>
      <c r="U50" s="6">
        <v>100</v>
      </c>
      <c r="V50" s="6">
        <f>100.1</f>
        <v>100.1</v>
      </c>
      <c r="W50" s="6">
        <f>100.1</f>
        <v>100.1</v>
      </c>
      <c r="X50" s="6">
        <f>100.1</f>
        <v>100.1</v>
      </c>
      <c r="Y50" s="6">
        <f>100.1</f>
        <v>100.1</v>
      </c>
      <c r="Z50" s="6">
        <f>100.1</f>
        <v>100.1</v>
      </c>
      <c r="AA50" s="6">
        <f>100.1</f>
        <v>100.1</v>
      </c>
      <c r="AB50" s="6">
        <f>100.1</f>
        <v>100.1</v>
      </c>
      <c r="AC50" s="6">
        <f>100.1</f>
        <v>100.1</v>
      </c>
      <c r="AD50" s="6">
        <f>100.1</f>
        <v>100.1</v>
      </c>
      <c r="AE50" s="6">
        <f>100.1</f>
        <v>100.1</v>
      </c>
      <c r="AF50" s="6">
        <f>100.1</f>
        <v>100.1</v>
      </c>
    </row>
    <row r="51" spans="2:140" x14ac:dyDescent="0.3">
      <c r="B51" s="2" t="s">
        <v>29</v>
      </c>
      <c r="C51" s="8">
        <f t="shared" ref="C51:L51" si="50">C49/C50</f>
        <v>-1.8999999999999902E-2</v>
      </c>
      <c r="D51" s="8">
        <f t="shared" si="50"/>
        <v>7.599999999999954E-2</v>
      </c>
      <c r="E51" s="8">
        <f t="shared" si="50"/>
        <v>0.13200000000000053</v>
      </c>
      <c r="F51" s="8">
        <f t="shared" si="50"/>
        <v>0.13400000000000023</v>
      </c>
      <c r="G51" s="8">
        <f t="shared" si="50"/>
        <v>-2.7000000000000003E-2</v>
      </c>
      <c r="H51" s="8">
        <f t="shared" si="50"/>
        <v>0.10099999999999996</v>
      </c>
      <c r="I51" s="8">
        <f t="shared" si="50"/>
        <v>-4.0000000000005986E-3</v>
      </c>
      <c r="J51" s="8">
        <f t="shared" si="50"/>
        <v>0.46500000000000119</v>
      </c>
      <c r="K51" s="8">
        <f t="shared" si="50"/>
        <v>8.0000000000001164E-3</v>
      </c>
      <c r="L51" s="8">
        <f t="shared" si="50"/>
        <v>0.30200000000000032</v>
      </c>
      <c r="M51" s="8">
        <f t="shared" ref="M51:N51" si="51">M49/M50</f>
        <v>0.27622377622377592</v>
      </c>
      <c r="N51" s="8">
        <f t="shared" si="51"/>
        <v>0.4233538461538463</v>
      </c>
      <c r="S51" s="8">
        <f>S49/S50</f>
        <v>0.16199999999999942</v>
      </c>
      <c r="T51" s="8">
        <f>T49/T50</f>
        <v>0.3230000000000004</v>
      </c>
      <c r="U51" s="8">
        <f>U49/U50</f>
        <v>0.53500000000000059</v>
      </c>
      <c r="V51" s="8">
        <f>V49/V50</f>
        <v>0.97380339660339643</v>
      </c>
      <c r="W51" s="8">
        <f>W49/W50</f>
        <v>1.3079578359140858</v>
      </c>
      <c r="X51" s="8">
        <f t="shared" ref="X51:AF51" si="52">X49/X50</f>
        <v>1.6539472436313689</v>
      </c>
      <c r="Y51" s="8">
        <f t="shared" si="52"/>
        <v>1.8449746827122881</v>
      </c>
      <c r="Z51" s="8">
        <f t="shared" si="52"/>
        <v>2.0008094141445567</v>
      </c>
      <c r="AA51" s="8">
        <f t="shared" si="52"/>
        <v>2.1346172095582285</v>
      </c>
      <c r="AB51" s="8">
        <f t="shared" si="52"/>
        <v>2.2758575296715904</v>
      </c>
      <c r="AC51" s="8">
        <f t="shared" si="52"/>
        <v>2.4249188470712566</v>
      </c>
      <c r="AD51" s="8">
        <f t="shared" si="52"/>
        <v>2.5822094550097909</v>
      </c>
      <c r="AE51" s="8">
        <f t="shared" si="52"/>
        <v>2.748158468183032</v>
      </c>
      <c r="AF51" s="8">
        <f t="shared" si="52"/>
        <v>2.9232168737952513</v>
      </c>
    </row>
    <row r="53" spans="2:140" x14ac:dyDescent="0.3">
      <c r="B53" s="2" t="s">
        <v>41</v>
      </c>
      <c r="C53" s="10"/>
      <c r="D53" s="10"/>
      <c r="E53" s="10"/>
      <c r="F53" s="10"/>
      <c r="G53" s="10">
        <f t="shared" ref="G53:K53" si="53">G34/C34-1</f>
        <v>0.22588963383187211</v>
      </c>
      <c r="H53" s="10">
        <f t="shared" si="53"/>
        <v>0.26028663892741588</v>
      </c>
      <c r="I53" s="10">
        <f t="shared" si="53"/>
        <v>0.10556701030927784</v>
      </c>
      <c r="J53" s="10">
        <f t="shared" si="53"/>
        <v>0.32734604105571874</v>
      </c>
      <c r="K53" s="10">
        <f t="shared" si="53"/>
        <v>0.1468237273874633</v>
      </c>
      <c r="L53" s="10">
        <f>L34/H34-1</f>
        <v>0.27512839325018335</v>
      </c>
      <c r="M53" s="10">
        <f t="shared" ref="M53:N53" si="54">M34/I34-1</f>
        <v>0.14696008951883588</v>
      </c>
      <c r="N53" s="10">
        <f t="shared" si="54"/>
        <v>0.14999999999999991</v>
      </c>
      <c r="S53" s="10"/>
      <c r="T53" s="10">
        <f t="shared" ref="T53" si="55">T34/S34-1</f>
        <v>9.0106007067137783E-2</v>
      </c>
      <c r="U53" s="10">
        <f>U34/T34-1</f>
        <v>0.23230686115613186</v>
      </c>
      <c r="V53" s="10">
        <f t="shared" ref="V53:AF53" si="56">V34/U34-1</f>
        <v>0.17853134590092057</v>
      </c>
      <c r="W53" s="10">
        <f t="shared" si="56"/>
        <v>0.14999999999999991</v>
      </c>
      <c r="X53" s="10">
        <f t="shared" si="56"/>
        <v>0.1100000000000001</v>
      </c>
      <c r="Y53" s="10">
        <f t="shared" si="56"/>
        <v>8.0000000000000071E-2</v>
      </c>
      <c r="Z53" s="10">
        <f t="shared" si="56"/>
        <v>6.0000000000000053E-2</v>
      </c>
      <c r="AA53" s="10">
        <f t="shared" si="56"/>
        <v>5.0000000000000044E-2</v>
      </c>
      <c r="AB53" s="10">
        <f t="shared" si="56"/>
        <v>5.0000000000000044E-2</v>
      </c>
      <c r="AC53" s="10">
        <f t="shared" si="56"/>
        <v>5.0000000000000044E-2</v>
      </c>
      <c r="AD53" s="10">
        <f t="shared" si="56"/>
        <v>5.0000000000000044E-2</v>
      </c>
      <c r="AE53" s="10">
        <f t="shared" si="56"/>
        <v>5.0000000000000044E-2</v>
      </c>
      <c r="AF53" s="10">
        <f t="shared" si="56"/>
        <v>5.0000000000000044E-2</v>
      </c>
    </row>
    <row r="54" spans="2:140" x14ac:dyDescent="0.3">
      <c r="B54" s="2" t="s">
        <v>40</v>
      </c>
      <c r="C54" s="10">
        <f t="shared" ref="C54:K54" si="57">C36/C34</f>
        <v>0.18978855079938117</v>
      </c>
      <c r="D54" s="10">
        <f t="shared" si="57"/>
        <v>0.26028663892741544</v>
      </c>
      <c r="E54" s="10">
        <f t="shared" si="57"/>
        <v>0.22886597938144349</v>
      </c>
      <c r="F54" s="10">
        <f t="shared" si="57"/>
        <v>0.22030791788856316</v>
      </c>
      <c r="G54" s="10">
        <f t="shared" si="57"/>
        <v>0.21034917963819941</v>
      </c>
      <c r="H54" s="10">
        <f t="shared" si="57"/>
        <v>0.23734409391049149</v>
      </c>
      <c r="I54" s="10">
        <f t="shared" si="57"/>
        <v>0.24804177545691888</v>
      </c>
      <c r="J54" s="10">
        <f t="shared" si="57"/>
        <v>0.27202430267881833</v>
      </c>
      <c r="K54" s="10">
        <f t="shared" si="57"/>
        <v>0.24321349963316216</v>
      </c>
      <c r="L54" s="10">
        <f>L36/L34</f>
        <v>0.22986191024165717</v>
      </c>
      <c r="M54" s="10">
        <f t="shared" ref="M54:N54" si="58">M36/M34</f>
        <v>0.26</v>
      </c>
      <c r="N54" s="10">
        <f t="shared" si="58"/>
        <v>0.28000000000000003</v>
      </c>
      <c r="S54" s="10">
        <f t="shared" ref="S54:U54" si="59">S36/S34</f>
        <v>0.19411071849234388</v>
      </c>
      <c r="T54" s="10">
        <f t="shared" si="59"/>
        <v>0.22549972987574288</v>
      </c>
      <c r="U54" s="10">
        <f t="shared" si="59"/>
        <v>0.24524331433581767</v>
      </c>
      <c r="V54" s="10">
        <f t="shared" ref="V54:AF54" si="60">V36/V34</f>
        <v>0.25235653199317021</v>
      </c>
      <c r="W54" s="10">
        <f t="shared" si="60"/>
        <v>0.26</v>
      </c>
      <c r="X54" s="10">
        <f t="shared" si="60"/>
        <v>0.27</v>
      </c>
      <c r="Y54" s="10">
        <f t="shared" si="60"/>
        <v>0.27</v>
      </c>
      <c r="Z54" s="10">
        <f t="shared" si="60"/>
        <v>0.27</v>
      </c>
      <c r="AA54" s="10">
        <f t="shared" si="60"/>
        <v>0.27</v>
      </c>
      <c r="AB54" s="10">
        <f t="shared" si="60"/>
        <v>0.27</v>
      </c>
      <c r="AC54" s="10">
        <f t="shared" si="60"/>
        <v>0.27</v>
      </c>
      <c r="AD54" s="10">
        <f t="shared" si="60"/>
        <v>0.27</v>
      </c>
      <c r="AE54" s="10">
        <f t="shared" si="60"/>
        <v>0.27</v>
      </c>
      <c r="AF54" s="10">
        <f t="shared" si="60"/>
        <v>0.27</v>
      </c>
      <c r="AH54" s="2" t="s">
        <v>46</v>
      </c>
      <c r="AI54" s="10">
        <v>-0.01</v>
      </c>
    </row>
    <row r="55" spans="2:140" x14ac:dyDescent="0.3">
      <c r="B55" s="2" t="s">
        <v>42</v>
      </c>
      <c r="C55" s="10">
        <f t="shared" ref="C55:K55" si="61">C37/C34</f>
        <v>6.8592057761732855E-2</v>
      </c>
      <c r="D55" s="10">
        <f t="shared" si="61"/>
        <v>6.6111881645862236E-2</v>
      </c>
      <c r="E55" s="10">
        <f t="shared" si="61"/>
        <v>5.7319587628865958E-2</v>
      </c>
      <c r="F55" s="10">
        <f t="shared" si="61"/>
        <v>3.7390029325513212E-2</v>
      </c>
      <c r="G55" s="10">
        <f t="shared" si="61"/>
        <v>6.3946150610012617E-2</v>
      </c>
      <c r="H55" s="10">
        <f t="shared" si="61"/>
        <v>5.5759354365370502E-2</v>
      </c>
      <c r="I55" s="10">
        <f t="shared" si="61"/>
        <v>5.6322267810518474E-2</v>
      </c>
      <c r="J55" s="10">
        <f t="shared" si="61"/>
        <v>4.5015189174261241E-2</v>
      </c>
      <c r="K55" s="10">
        <f t="shared" si="61"/>
        <v>6.1628760088041086E-2</v>
      </c>
      <c r="L55" s="10">
        <f>L37/L34</f>
        <v>5.0057537399309557E-2</v>
      </c>
      <c r="M55" s="10">
        <f t="shared" ref="M55:N55" si="62">M37/M34</f>
        <v>5.4959349593495951E-2</v>
      </c>
      <c r="N55" s="10">
        <f t="shared" si="62"/>
        <v>0.04</v>
      </c>
      <c r="S55" s="10">
        <f t="shared" ref="S55:U55" si="63">S37/S34</f>
        <v>5.6654888103651359E-2</v>
      </c>
      <c r="T55" s="10">
        <f t="shared" si="63"/>
        <v>5.586169638033496E-2</v>
      </c>
      <c r="U55" s="10">
        <f t="shared" si="63"/>
        <v>5.4186760192897851E-2</v>
      </c>
      <c r="V55" s="10">
        <f t="shared" ref="V55:AF55" si="64">V37/V34</f>
        <v>5.0409823564203961E-2</v>
      </c>
      <c r="W55" s="10">
        <f t="shared" si="64"/>
        <v>0.05</v>
      </c>
      <c r="X55" s="10">
        <f t="shared" si="64"/>
        <v>5.000000000000001E-2</v>
      </c>
      <c r="Y55" s="10">
        <f t="shared" si="64"/>
        <v>0.05</v>
      </c>
      <c r="Z55" s="10">
        <f t="shared" si="64"/>
        <v>0.05</v>
      </c>
      <c r="AA55" s="10">
        <f t="shared" si="64"/>
        <v>0.05</v>
      </c>
      <c r="AB55" s="10">
        <f t="shared" si="64"/>
        <v>0.05</v>
      </c>
      <c r="AC55" s="10">
        <f t="shared" si="64"/>
        <v>0.05</v>
      </c>
      <c r="AD55" s="10">
        <f t="shared" si="64"/>
        <v>0.05</v>
      </c>
      <c r="AE55" s="10">
        <f t="shared" si="64"/>
        <v>0.05</v>
      </c>
      <c r="AF55" s="10">
        <f t="shared" si="64"/>
        <v>5.000000000000001E-2</v>
      </c>
      <c r="AH55" s="2" t="s">
        <v>47</v>
      </c>
      <c r="AI55" s="10">
        <v>0.09</v>
      </c>
    </row>
    <row r="56" spans="2:140" x14ac:dyDescent="0.3">
      <c r="B56" s="2" t="s">
        <v>43</v>
      </c>
      <c r="C56" s="10"/>
      <c r="D56" s="10"/>
      <c r="E56" s="10"/>
      <c r="F56" s="10"/>
      <c r="G56" s="10">
        <f t="shared" ref="G56:K56" si="65">G38/C38-1</f>
        <v>0.512820512820513</v>
      </c>
      <c r="H56" s="10">
        <f t="shared" si="65"/>
        <v>0.57861635220125796</v>
      </c>
      <c r="I56" s="10">
        <f t="shared" si="65"/>
        <v>0.33898305084745761</v>
      </c>
      <c r="J56" s="10">
        <f t="shared" si="65"/>
        <v>0.45833333333333348</v>
      </c>
      <c r="K56" s="10">
        <f t="shared" si="65"/>
        <v>-5.508474576271194E-2</v>
      </c>
      <c r="L56" s="10">
        <f>L38/H38-1</f>
        <v>0.12350597609561742</v>
      </c>
      <c r="M56" s="10">
        <f t="shared" ref="M56:N56" si="66">M38/I38-1</f>
        <v>-6.3291139240506333E-2</v>
      </c>
      <c r="N56" s="10">
        <f t="shared" si="66"/>
        <v>0.19999999999999996</v>
      </c>
      <c r="S56" s="10"/>
      <c r="T56" s="10">
        <f>T38/S38-1</f>
        <v>0.32530120481927716</v>
      </c>
      <c r="U56" s="10">
        <f>U38/T38-1</f>
        <v>0.46818181818181825</v>
      </c>
      <c r="V56" s="10">
        <f t="shared" ref="V56:AF56" si="67">V38/U38-1</f>
        <v>5.3663570691434348E-2</v>
      </c>
      <c r="W56" s="10">
        <f t="shared" si="67"/>
        <v>7.0000000000000062E-2</v>
      </c>
      <c r="X56" s="10">
        <f t="shared" si="67"/>
        <v>5.0000000000000044E-2</v>
      </c>
      <c r="Y56" s="10">
        <f t="shared" si="67"/>
        <v>3.0000000000000027E-2</v>
      </c>
      <c r="Z56" s="10">
        <f t="shared" si="67"/>
        <v>2.0000000000000018E-2</v>
      </c>
      <c r="AA56" s="10">
        <f t="shared" si="67"/>
        <v>2.0000000000000018E-2</v>
      </c>
      <c r="AB56" s="10">
        <f t="shared" si="67"/>
        <v>2.0000000000000018E-2</v>
      </c>
      <c r="AC56" s="10">
        <f t="shared" si="67"/>
        <v>2.0000000000000018E-2</v>
      </c>
      <c r="AD56" s="10">
        <f t="shared" si="67"/>
        <v>2.0000000000000018E-2</v>
      </c>
      <c r="AE56" s="10">
        <f t="shared" si="67"/>
        <v>2.0000000000000018E-2</v>
      </c>
      <c r="AF56" s="10">
        <f t="shared" si="67"/>
        <v>2.0000000000000018E-2</v>
      </c>
      <c r="AH56" s="2" t="s">
        <v>48</v>
      </c>
      <c r="AI56" s="6">
        <f>NPV(AI55,V49:EJ49)</f>
        <v>2433.532918416845</v>
      </c>
    </row>
    <row r="57" spans="2:140" x14ac:dyDescent="0.3">
      <c r="B57" s="2" t="s">
        <v>44</v>
      </c>
      <c r="C57" s="10">
        <f t="shared" ref="C57:K57" si="68">C43/C34</f>
        <v>3.4553893759669982E-2</v>
      </c>
      <c r="D57" s="10">
        <f t="shared" si="68"/>
        <v>0.11650485436893183</v>
      </c>
      <c r="E57" s="10">
        <f t="shared" si="68"/>
        <v>0.10350515463917545</v>
      </c>
      <c r="F57" s="10">
        <f t="shared" si="68"/>
        <v>0.11730205278592386</v>
      </c>
      <c r="G57" s="10">
        <f t="shared" si="68"/>
        <v>5.0483803113167858E-2</v>
      </c>
      <c r="H57" s="10">
        <f t="shared" si="68"/>
        <v>8.6206896551724102E-2</v>
      </c>
      <c r="I57" s="10">
        <f t="shared" si="68"/>
        <v>8.5042894442372036E-2</v>
      </c>
      <c r="J57" s="10">
        <f t="shared" si="68"/>
        <v>0.15962441314554021</v>
      </c>
      <c r="K57" s="10">
        <f t="shared" si="68"/>
        <v>8.9141599413059464E-2</v>
      </c>
      <c r="L57" s="10">
        <f>L43/L34</f>
        <v>0.10069044879171471</v>
      </c>
      <c r="M57" s="10">
        <f t="shared" ref="M57:N57" si="69">M43/M34</f>
        <v>0.12959349593495931</v>
      </c>
      <c r="N57" s="10">
        <f t="shared" si="69"/>
        <v>0.16939735600302583</v>
      </c>
      <c r="S57" s="10">
        <f t="shared" ref="S57:U57" si="70">S43/S34</f>
        <v>7.679623085983503E-2</v>
      </c>
      <c r="T57" s="10">
        <f t="shared" si="70"/>
        <v>9.6164235548352295E-2</v>
      </c>
      <c r="U57" s="10">
        <f t="shared" si="70"/>
        <v>0.1017974572555897</v>
      </c>
      <c r="V57" s="10">
        <f t="shared" ref="V57:AF57" si="71">V43/V34</f>
        <v>0.12360519747194249</v>
      </c>
      <c r="W57" s="10">
        <f t="shared" si="71"/>
        <v>0.13705787176271961</v>
      </c>
      <c r="X57" s="10">
        <f t="shared" si="71"/>
        <v>0.15104151099884192</v>
      </c>
      <c r="Y57" s="10">
        <f t="shared" si="71"/>
        <v>0.1542340336377844</v>
      </c>
      <c r="Z57" s="10">
        <f t="shared" si="71"/>
        <v>0.15669685333169195</v>
      </c>
      <c r="AA57" s="10">
        <f t="shared" si="71"/>
        <v>0.15848696006281243</v>
      </c>
      <c r="AB57" s="10">
        <f t="shared" si="71"/>
        <v>0.1602262743083249</v>
      </c>
      <c r="AC57" s="10">
        <f t="shared" si="71"/>
        <v>0.1619162405502754</v>
      </c>
      <c r="AD57" s="10">
        <f t="shared" si="71"/>
        <v>0.16355826212801963</v>
      </c>
      <c r="AE57" s="10">
        <f t="shared" si="71"/>
        <v>0.1651537024112861</v>
      </c>
      <c r="AF57" s="10">
        <f t="shared" si="71"/>
        <v>0.16670388593976956</v>
      </c>
      <c r="AH57" s="2" t="s">
        <v>49</v>
      </c>
      <c r="AI57" s="6">
        <f>Main!D8</f>
        <v>-438.4</v>
      </c>
    </row>
    <row r="58" spans="2:140" x14ac:dyDescent="0.3">
      <c r="B58" s="2" t="s">
        <v>26</v>
      </c>
      <c r="C58" s="10">
        <f t="shared" ref="C58:K58" si="72">C47/C46</f>
        <v>0.50000000000000133</v>
      </c>
      <c r="D58" s="10">
        <f t="shared" si="72"/>
        <v>0.46853146853147004</v>
      </c>
      <c r="E58" s="10">
        <f t="shared" si="72"/>
        <v>0.23255813953488305</v>
      </c>
      <c r="F58" s="10">
        <f t="shared" si="72"/>
        <v>0.29100529100529066</v>
      </c>
      <c r="G58" s="10">
        <f t="shared" si="72"/>
        <v>1.6923076923076925</v>
      </c>
      <c r="H58" s="10">
        <f t="shared" si="72"/>
        <v>0.37654320987654327</v>
      </c>
      <c r="I58" s="10">
        <f t="shared" si="72"/>
        <v>1.0851063829787373</v>
      </c>
      <c r="J58" s="10">
        <f t="shared" si="72"/>
        <v>0.31571428571428517</v>
      </c>
      <c r="K58" s="10">
        <f t="shared" si="72"/>
        <v>0.85106382978723194</v>
      </c>
      <c r="L58" s="10">
        <f>L47/L46</f>
        <v>-0.15969581749049408</v>
      </c>
      <c r="M58" s="10">
        <f t="shared" ref="M58:N58" si="73">M47/M46</f>
        <v>0.13104524180967253</v>
      </c>
      <c r="N58" s="10">
        <f t="shared" si="73"/>
        <v>0.3</v>
      </c>
      <c r="S58" s="10">
        <f t="shared" ref="S58:U58" si="74">S47/S46</f>
        <v>-9.4594594594594947E-2</v>
      </c>
      <c r="T58" s="10">
        <f t="shared" si="74"/>
        <v>0.30686695278969928</v>
      </c>
      <c r="U58" s="10">
        <f t="shared" si="74"/>
        <v>0.42088607594936683</v>
      </c>
      <c r="V58" s="10">
        <f t="shared" ref="V58:AF58" si="75">V47/V46</f>
        <v>0.18462140826860474</v>
      </c>
      <c r="W58" s="10">
        <f t="shared" si="75"/>
        <v>0.25</v>
      </c>
      <c r="X58" s="10">
        <f t="shared" si="75"/>
        <v>0.25</v>
      </c>
      <c r="Y58" s="10">
        <f t="shared" si="75"/>
        <v>0.25</v>
      </c>
      <c r="Z58" s="10">
        <f t="shared" si="75"/>
        <v>0.25</v>
      </c>
      <c r="AA58" s="10">
        <f t="shared" si="75"/>
        <v>0.25</v>
      </c>
      <c r="AB58" s="10">
        <f t="shared" si="75"/>
        <v>0.25</v>
      </c>
      <c r="AC58" s="10">
        <f t="shared" si="75"/>
        <v>0.25</v>
      </c>
      <c r="AD58" s="10">
        <f t="shared" si="75"/>
        <v>0.25</v>
      </c>
      <c r="AE58" s="10">
        <f t="shared" si="75"/>
        <v>0.25</v>
      </c>
      <c r="AF58" s="10">
        <f t="shared" si="75"/>
        <v>0.25</v>
      </c>
      <c r="AH58" s="2" t="s">
        <v>50</v>
      </c>
      <c r="AI58" s="6">
        <f>AI56+AI57</f>
        <v>1995.1329184168449</v>
      </c>
    </row>
    <row r="59" spans="2:140" x14ac:dyDescent="0.3">
      <c r="B59" s="2" t="s">
        <v>45</v>
      </c>
      <c r="C59" s="10">
        <f t="shared" ref="C59:K59" si="76">C49/C34</f>
        <v>-9.7988653945332137E-3</v>
      </c>
      <c r="D59" s="10">
        <f t="shared" si="76"/>
        <v>3.5136384650947546E-2</v>
      </c>
      <c r="E59" s="10">
        <f t="shared" si="76"/>
        <v>5.4432989690721856E-2</v>
      </c>
      <c r="F59" s="10">
        <f t="shared" si="76"/>
        <v>4.9120234604105667E-2</v>
      </c>
      <c r="G59" s="10">
        <f t="shared" si="76"/>
        <v>-1.1358855700462769E-2</v>
      </c>
      <c r="H59" s="10">
        <f t="shared" si="76"/>
        <v>3.7050623624358014E-2</v>
      </c>
      <c r="I59" s="10">
        <f t="shared" si="76"/>
        <v>-1.4919806042523681E-3</v>
      </c>
      <c r="J59" s="10">
        <f t="shared" si="76"/>
        <v>0.12841756420878242</v>
      </c>
      <c r="K59" s="10">
        <f t="shared" si="76"/>
        <v>2.9347028613353325E-3</v>
      </c>
      <c r="L59" s="10">
        <f>L49/L34</f>
        <v>8.688147295742242E-2</v>
      </c>
      <c r="M59" s="10">
        <f t="shared" ref="M59:N59" si="77">M49/M34</f>
        <v>8.9918699186991802E-2</v>
      </c>
      <c r="N59" s="10">
        <f t="shared" si="77"/>
        <v>0.1017679958695052</v>
      </c>
      <c r="S59" s="10">
        <f t="shared" ref="S59:U59" si="78">S49/S34</f>
        <v>1.9081272084805586E-2</v>
      </c>
      <c r="T59" s="10">
        <f t="shared" si="78"/>
        <v>3.4900054024851475E-2</v>
      </c>
      <c r="U59" s="10">
        <f t="shared" si="78"/>
        <v>4.6909250328803206E-2</v>
      </c>
      <c r="V59" s="10">
        <f t="shared" ref="V59:AF59" si="79">V49/V34</f>
        <v>7.2521860108696032E-2</v>
      </c>
      <c r="W59" s="10">
        <f t="shared" si="79"/>
        <v>8.4701978221001728E-2</v>
      </c>
      <c r="X59" s="10">
        <f t="shared" si="79"/>
        <v>9.6493594177898018E-2</v>
      </c>
      <c r="Y59" s="10">
        <f t="shared" si="79"/>
        <v>9.9665187040032369E-2</v>
      </c>
      <c r="Z59" s="10">
        <f t="shared" si="79"/>
        <v>0.10196542458937732</v>
      </c>
      <c r="AA59" s="10">
        <f t="shared" si="79"/>
        <v>0.10360433255027757</v>
      </c>
      <c r="AB59" s="10">
        <f t="shared" si="79"/>
        <v>0.1051995018057801</v>
      </c>
      <c r="AC59" s="10">
        <f t="shared" si="79"/>
        <v>0.1067521232286804</v>
      </c>
      <c r="AD59" s="10">
        <f t="shared" si="79"/>
        <v>0.10826335478692241</v>
      </c>
      <c r="AE59" s="10">
        <f t="shared" si="79"/>
        <v>0.10973432246240261</v>
      </c>
      <c r="AF59" s="10">
        <f t="shared" si="79"/>
        <v>0.11116612114392825</v>
      </c>
      <c r="AH59" s="2" t="s">
        <v>51</v>
      </c>
      <c r="AI59" s="3">
        <f>AI58/AF50</f>
        <v>19.931397786382067</v>
      </c>
    </row>
    <row r="60" spans="2:140" x14ac:dyDescent="0.3">
      <c r="AH60" s="2" t="s">
        <v>52</v>
      </c>
      <c r="AI60" s="3">
        <f>Main!D3</f>
        <v>52.25</v>
      </c>
    </row>
    <row r="61" spans="2:140" x14ac:dyDescent="0.3">
      <c r="AH61" s="1" t="s">
        <v>53</v>
      </c>
      <c r="AI61" s="11">
        <f>AI59/AI60-1</f>
        <v>-0.61853784140895562</v>
      </c>
    </row>
    <row r="62" spans="2:140" s="12" customFormat="1" x14ac:dyDescent="0.3">
      <c r="B62" s="12" t="s">
        <v>56</v>
      </c>
      <c r="J62" s="14">
        <v>1589.2</v>
      </c>
      <c r="L62" s="14">
        <v>1620</v>
      </c>
      <c r="M62" s="14">
        <v>1655.7</v>
      </c>
      <c r="V62" s="14">
        <v>1655.7</v>
      </c>
      <c r="AH62" s="2" t="s">
        <v>54</v>
      </c>
      <c r="AI62" s="7" t="s">
        <v>55</v>
      </c>
    </row>
    <row r="64" spans="2:140" x14ac:dyDescent="0.3">
      <c r="B64" s="2" t="s">
        <v>57</v>
      </c>
      <c r="L64" s="13"/>
      <c r="V64" s="13">
        <f>Main!$D$9/Model!V62</f>
        <v>3.4237029655130753</v>
      </c>
    </row>
    <row r="65" spans="2:22" x14ac:dyDescent="0.3">
      <c r="B65" s="2" t="s">
        <v>58</v>
      </c>
      <c r="L65" s="10"/>
      <c r="V65" s="10">
        <f>V62/Main!$D$9-1</f>
        <v>-0.70791858695891863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2025-09-03T13:53:50Z</dcterms:created>
  <dcterms:modified xsi:type="dcterms:W3CDTF">2025-11-27T11:04:28Z</dcterms:modified>
</cp:coreProperties>
</file>