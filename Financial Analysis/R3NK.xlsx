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A59947BF-C694-49FA-8745-58F7C6A742E4}" xr6:coauthVersionLast="47" xr6:coauthVersionMax="47" xr10:uidLastSave="{00000000-0000-0000-0000-000000000000}"/>
  <bookViews>
    <workbookView xWindow="-108" yWindow="-108" windowWidth="23256" windowHeight="12576" activeTab="1" xr2:uid="{C5F860F1-6CA0-404D-ADF8-14FACB36A36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5" i="2" l="1"/>
  <c r="L54" i="2"/>
  <c r="AA28" i="2"/>
  <c r="AB28" i="2" s="1"/>
  <c r="AC28" i="2" s="1"/>
  <c r="AD28" i="2" s="1"/>
  <c r="AE28" i="2" s="1"/>
  <c r="AF28" i="2" s="1"/>
  <c r="Z28" i="2"/>
  <c r="Y28" i="2"/>
  <c r="X28" i="2"/>
  <c r="AF26" i="2"/>
  <c r="AE26" i="2"/>
  <c r="AD26" i="2"/>
  <c r="AC26" i="2"/>
  <c r="AB26" i="2"/>
  <c r="AA26" i="2"/>
  <c r="Z26" i="2"/>
  <c r="Y26" i="2"/>
  <c r="X26" i="2"/>
  <c r="W26" i="2"/>
  <c r="AB24" i="2"/>
  <c r="AC24" i="2" s="1"/>
  <c r="AD24" i="2" s="1"/>
  <c r="AE24" i="2" s="1"/>
  <c r="AF24" i="2" s="1"/>
  <c r="AA24" i="2"/>
  <c r="Z24" i="2"/>
  <c r="Y24" i="2"/>
  <c r="X24" i="2"/>
  <c r="X27" i="2" s="1"/>
  <c r="AI50" i="2"/>
  <c r="AI47" i="2"/>
  <c r="X34" i="2"/>
  <c r="Y34" i="2" s="1"/>
  <c r="Z34" i="2" s="1"/>
  <c r="AA34" i="2" s="1"/>
  <c r="AB34" i="2" s="1"/>
  <c r="AC34" i="2" s="1"/>
  <c r="AD34" i="2" s="1"/>
  <c r="AE34" i="2" s="1"/>
  <c r="AF34" i="2" s="1"/>
  <c r="Y31" i="2"/>
  <c r="Z31" i="2" s="1"/>
  <c r="AA31" i="2" s="1"/>
  <c r="AB31" i="2" s="1"/>
  <c r="AC31" i="2" s="1"/>
  <c r="AD31" i="2" s="1"/>
  <c r="AE31" i="2" s="1"/>
  <c r="AF31" i="2" s="1"/>
  <c r="X31" i="2"/>
  <c r="X30" i="2"/>
  <c r="Y30" i="2" s="1"/>
  <c r="Z30" i="2" s="1"/>
  <c r="AA30" i="2" s="1"/>
  <c r="AB30" i="2" s="1"/>
  <c r="AC30" i="2" s="1"/>
  <c r="AD30" i="2" s="1"/>
  <c r="AE30" i="2" s="1"/>
  <c r="AF30" i="2" s="1"/>
  <c r="W24" i="2"/>
  <c r="W34" i="2"/>
  <c r="W31" i="2"/>
  <c r="W30" i="2"/>
  <c r="W28" i="2"/>
  <c r="X46" i="2" s="1"/>
  <c r="N39" i="2"/>
  <c r="N41" i="2" s="1"/>
  <c r="M39" i="2"/>
  <c r="M41" i="2" s="1"/>
  <c r="N37" i="2"/>
  <c r="M37" i="2"/>
  <c r="N36" i="2"/>
  <c r="M36" i="2"/>
  <c r="M48" i="2" s="1"/>
  <c r="N32" i="2"/>
  <c r="N33" i="2" s="1"/>
  <c r="M32" i="2"/>
  <c r="M33" i="2" s="1"/>
  <c r="M47" i="2" s="1"/>
  <c r="N28" i="2"/>
  <c r="N46" i="2" s="1"/>
  <c r="M28" i="2"/>
  <c r="N27" i="2"/>
  <c r="M27" i="2"/>
  <c r="M45" i="2" s="1"/>
  <c r="N26" i="2"/>
  <c r="M26" i="2"/>
  <c r="M44" i="2" s="1"/>
  <c r="N24" i="2"/>
  <c r="V24" i="2" s="1"/>
  <c r="M24" i="2"/>
  <c r="V38" i="2"/>
  <c r="V37" i="2"/>
  <c r="V35" i="2"/>
  <c r="V34" i="2"/>
  <c r="V31" i="2"/>
  <c r="V30" i="2"/>
  <c r="V29" i="2"/>
  <c r="V28" i="2"/>
  <c r="M49" i="2"/>
  <c r="M46" i="2"/>
  <c r="N43" i="2"/>
  <c r="M43" i="2"/>
  <c r="T46" i="2"/>
  <c r="U46" i="2"/>
  <c r="T43" i="2"/>
  <c r="U43" i="2"/>
  <c r="U49" i="2"/>
  <c r="T49" i="2"/>
  <c r="S49" i="2"/>
  <c r="U48" i="2"/>
  <c r="T48" i="2"/>
  <c r="S48" i="2"/>
  <c r="U47" i="2"/>
  <c r="T47" i="2"/>
  <c r="S47" i="2"/>
  <c r="U45" i="2"/>
  <c r="T45" i="2"/>
  <c r="S45" i="2"/>
  <c r="U44" i="2"/>
  <c r="T44" i="2"/>
  <c r="S44" i="2"/>
  <c r="C38" i="2"/>
  <c r="K49" i="2"/>
  <c r="J49" i="2"/>
  <c r="I49" i="2"/>
  <c r="H49" i="2"/>
  <c r="G49" i="2"/>
  <c r="F49" i="2"/>
  <c r="E49" i="2"/>
  <c r="D49" i="2"/>
  <c r="K48" i="2"/>
  <c r="J48" i="2"/>
  <c r="I48" i="2"/>
  <c r="H48" i="2"/>
  <c r="G48" i="2"/>
  <c r="F48" i="2"/>
  <c r="E48" i="2"/>
  <c r="D48" i="2"/>
  <c r="C48" i="2"/>
  <c r="K47" i="2"/>
  <c r="J47" i="2"/>
  <c r="I47" i="2"/>
  <c r="H47" i="2"/>
  <c r="G47" i="2"/>
  <c r="F47" i="2"/>
  <c r="E47" i="2"/>
  <c r="D47" i="2"/>
  <c r="C47" i="2"/>
  <c r="K46" i="2"/>
  <c r="J46" i="2"/>
  <c r="I46" i="2"/>
  <c r="H46" i="2"/>
  <c r="G46" i="2"/>
  <c r="K45" i="2"/>
  <c r="J45" i="2"/>
  <c r="I45" i="2"/>
  <c r="H45" i="2"/>
  <c r="G45" i="2"/>
  <c r="F45" i="2"/>
  <c r="E45" i="2"/>
  <c r="D45" i="2"/>
  <c r="C45" i="2"/>
  <c r="K44" i="2"/>
  <c r="J44" i="2"/>
  <c r="I44" i="2"/>
  <c r="H44" i="2"/>
  <c r="G44" i="2"/>
  <c r="F44" i="2"/>
  <c r="E44" i="2"/>
  <c r="D44" i="2"/>
  <c r="C44" i="2"/>
  <c r="K43" i="2"/>
  <c r="J43" i="2"/>
  <c r="I43" i="2"/>
  <c r="H43" i="2"/>
  <c r="G43" i="2"/>
  <c r="L48" i="2"/>
  <c r="L47" i="2"/>
  <c r="L46" i="2"/>
  <c r="L45" i="2"/>
  <c r="L44" i="2"/>
  <c r="L43" i="2"/>
  <c r="S32" i="2"/>
  <c r="S26" i="2"/>
  <c r="C11" i="2"/>
  <c r="C5" i="2"/>
  <c r="D11" i="2"/>
  <c r="D5" i="2"/>
  <c r="F38" i="2"/>
  <c r="F37" i="2"/>
  <c r="F35" i="2"/>
  <c r="F34" i="2"/>
  <c r="F31" i="2"/>
  <c r="F30" i="2"/>
  <c r="F29" i="2"/>
  <c r="F28" i="2"/>
  <c r="F32" i="2" s="1"/>
  <c r="F27" i="2"/>
  <c r="F25" i="2"/>
  <c r="F24" i="2"/>
  <c r="E38" i="2"/>
  <c r="D38" i="2"/>
  <c r="E37" i="2"/>
  <c r="D37" i="2"/>
  <c r="C37" i="2"/>
  <c r="E35" i="2"/>
  <c r="D35" i="2"/>
  <c r="C35" i="2"/>
  <c r="E34" i="2"/>
  <c r="D34" i="2"/>
  <c r="C34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5" i="2"/>
  <c r="D25" i="2"/>
  <c r="C25" i="2"/>
  <c r="F26" i="2"/>
  <c r="E24" i="2"/>
  <c r="D24" i="2"/>
  <c r="C24" i="2"/>
  <c r="C26" i="2" s="1"/>
  <c r="J38" i="2"/>
  <c r="J37" i="2"/>
  <c r="J35" i="2"/>
  <c r="J34" i="2"/>
  <c r="J31" i="2"/>
  <c r="J30" i="2"/>
  <c r="J29" i="2"/>
  <c r="J28" i="2"/>
  <c r="J27" i="2"/>
  <c r="J25" i="2"/>
  <c r="J24" i="2"/>
  <c r="I38" i="2"/>
  <c r="I37" i="2"/>
  <c r="I35" i="2"/>
  <c r="I34" i="2"/>
  <c r="I31" i="2"/>
  <c r="I30" i="2"/>
  <c r="I29" i="2"/>
  <c r="I28" i="2"/>
  <c r="I27" i="2"/>
  <c r="I25" i="2"/>
  <c r="I24" i="2"/>
  <c r="E11" i="2"/>
  <c r="E5" i="2"/>
  <c r="E12" i="2" s="1"/>
  <c r="E15" i="2" s="1"/>
  <c r="E18" i="2" s="1"/>
  <c r="E20" i="2" s="1"/>
  <c r="I11" i="2"/>
  <c r="I5" i="2"/>
  <c r="U32" i="2"/>
  <c r="T32" i="2"/>
  <c r="U26" i="2"/>
  <c r="T26" i="2"/>
  <c r="T33" i="2" s="1"/>
  <c r="T36" i="2" s="1"/>
  <c r="T39" i="2" s="1"/>
  <c r="T41" i="2" s="1"/>
  <c r="G11" i="2"/>
  <c r="G5" i="2"/>
  <c r="K38" i="2"/>
  <c r="K37" i="2"/>
  <c r="K35" i="2"/>
  <c r="K34" i="2"/>
  <c r="K31" i="2"/>
  <c r="K30" i="2"/>
  <c r="K29" i="2"/>
  <c r="K28" i="2"/>
  <c r="K27" i="2"/>
  <c r="K25" i="2"/>
  <c r="K24" i="2"/>
  <c r="G37" i="2"/>
  <c r="G35" i="2"/>
  <c r="G34" i="2"/>
  <c r="G31" i="2"/>
  <c r="G30" i="2"/>
  <c r="G29" i="2"/>
  <c r="G28" i="2"/>
  <c r="G27" i="2"/>
  <c r="G25" i="2"/>
  <c r="G24" i="2"/>
  <c r="G38" i="2"/>
  <c r="H38" i="2"/>
  <c r="H37" i="2"/>
  <c r="H35" i="2"/>
  <c r="H34" i="2"/>
  <c r="H31" i="2"/>
  <c r="H30" i="2"/>
  <c r="H29" i="2"/>
  <c r="H28" i="2"/>
  <c r="H27" i="2"/>
  <c r="H25" i="2"/>
  <c r="H24" i="2"/>
  <c r="L38" i="2"/>
  <c r="L37" i="2"/>
  <c r="L35" i="2"/>
  <c r="L34" i="2"/>
  <c r="L31" i="2"/>
  <c r="L30" i="2"/>
  <c r="L29" i="2"/>
  <c r="L28" i="2"/>
  <c r="L27" i="2"/>
  <c r="L25" i="2"/>
  <c r="L24" i="2"/>
  <c r="K11" i="2"/>
  <c r="K5" i="2"/>
  <c r="H11" i="2"/>
  <c r="H5" i="2"/>
  <c r="L11" i="2"/>
  <c r="L5" i="2"/>
  <c r="D7" i="1"/>
  <c r="D6" i="1"/>
  <c r="D8" i="1"/>
  <c r="D9" i="1" s="1"/>
  <c r="D5" i="1"/>
  <c r="F3" i="1"/>
  <c r="X45" i="2" l="1"/>
  <c r="X32" i="2"/>
  <c r="Y46" i="2"/>
  <c r="X25" i="2"/>
  <c r="W27" i="2"/>
  <c r="W32" i="2" s="1"/>
  <c r="W33" i="2" s="1"/>
  <c r="W36" i="2" s="1"/>
  <c r="W37" i="2" s="1"/>
  <c r="W48" i="2" s="1"/>
  <c r="W25" i="2"/>
  <c r="W46" i="2"/>
  <c r="N48" i="2"/>
  <c r="V46" i="2"/>
  <c r="V27" i="2"/>
  <c r="V32" i="2" s="1"/>
  <c r="M25" i="2"/>
  <c r="N44" i="2"/>
  <c r="N25" i="2"/>
  <c r="V25" i="2" s="1"/>
  <c r="V26" i="2" s="1"/>
  <c r="N47" i="2"/>
  <c r="N45" i="2"/>
  <c r="N49" i="2"/>
  <c r="V43" i="2"/>
  <c r="S33" i="2"/>
  <c r="S36" i="2" s="1"/>
  <c r="S39" i="2" s="1"/>
  <c r="S41" i="2" s="1"/>
  <c r="C12" i="2"/>
  <c r="C15" i="2" s="1"/>
  <c r="C18" i="2" s="1"/>
  <c r="C20" i="2" s="1"/>
  <c r="E32" i="2"/>
  <c r="D12" i="2"/>
  <c r="D15" i="2" s="1"/>
  <c r="D18" i="2" s="1"/>
  <c r="D20" i="2" s="1"/>
  <c r="D26" i="2"/>
  <c r="H12" i="2"/>
  <c r="H15" i="2" s="1"/>
  <c r="H18" i="2" s="1"/>
  <c r="H20" i="2" s="1"/>
  <c r="D32" i="2"/>
  <c r="E26" i="2"/>
  <c r="U33" i="2"/>
  <c r="U36" i="2" s="1"/>
  <c r="U39" i="2" s="1"/>
  <c r="U41" i="2" s="1"/>
  <c r="C32" i="2"/>
  <c r="C33" i="2" s="1"/>
  <c r="C36" i="2" s="1"/>
  <c r="C39" i="2" s="1"/>
  <c r="F33" i="2"/>
  <c r="F36" i="2" s="1"/>
  <c r="F39" i="2" s="1"/>
  <c r="F41" i="2" s="1"/>
  <c r="I12" i="2"/>
  <c r="I15" i="2" s="1"/>
  <c r="I18" i="2" s="1"/>
  <c r="I20" i="2" s="1"/>
  <c r="J26" i="2"/>
  <c r="H32" i="2"/>
  <c r="G12" i="2"/>
  <c r="G15" i="2" s="1"/>
  <c r="G18" i="2" s="1"/>
  <c r="G20" i="2" s="1"/>
  <c r="J32" i="2"/>
  <c r="H26" i="2"/>
  <c r="I32" i="2"/>
  <c r="I26" i="2"/>
  <c r="G32" i="2"/>
  <c r="L32" i="2"/>
  <c r="K12" i="2"/>
  <c r="K15" i="2" s="1"/>
  <c r="K18" i="2" s="1"/>
  <c r="K20" i="2" s="1"/>
  <c r="K32" i="2"/>
  <c r="K26" i="2"/>
  <c r="L26" i="2"/>
  <c r="G26" i="2"/>
  <c r="L33" i="2"/>
  <c r="L36" i="2" s="1"/>
  <c r="L39" i="2" s="1"/>
  <c r="L12" i="2"/>
  <c r="L15" i="2" s="1"/>
  <c r="L18" i="2" s="1"/>
  <c r="L20" i="2" s="1"/>
  <c r="Z46" i="2" l="1"/>
  <c r="X33" i="2"/>
  <c r="X44" i="2"/>
  <c r="Y27" i="2"/>
  <c r="Y25" i="2"/>
  <c r="Y43" i="2"/>
  <c r="W39" i="2"/>
  <c r="W41" i="2" s="1"/>
  <c r="L41" i="2"/>
  <c r="L49" i="2"/>
  <c r="V45" i="2"/>
  <c r="W45" i="2"/>
  <c r="X43" i="2"/>
  <c r="W44" i="2"/>
  <c r="W47" i="2"/>
  <c r="W43" i="2"/>
  <c r="V33" i="2"/>
  <c r="V44" i="2"/>
  <c r="C41" i="2"/>
  <c r="C49" i="2"/>
  <c r="E33" i="2"/>
  <c r="E36" i="2" s="1"/>
  <c r="E39" i="2" s="1"/>
  <c r="E41" i="2" s="1"/>
  <c r="D33" i="2"/>
  <c r="D36" i="2" s="1"/>
  <c r="D39" i="2" s="1"/>
  <c r="D41" i="2" s="1"/>
  <c r="J33" i="2"/>
  <c r="J36" i="2" s="1"/>
  <c r="J39" i="2" s="1"/>
  <c r="J41" i="2" s="1"/>
  <c r="H33" i="2"/>
  <c r="H36" i="2" s="1"/>
  <c r="H39" i="2" s="1"/>
  <c r="H41" i="2" s="1"/>
  <c r="G33" i="2"/>
  <c r="G36" i="2" s="1"/>
  <c r="G39" i="2" s="1"/>
  <c r="G41" i="2" s="1"/>
  <c r="I33" i="2"/>
  <c r="I36" i="2" s="1"/>
  <c r="I39" i="2" s="1"/>
  <c r="I41" i="2" s="1"/>
  <c r="K33" i="2"/>
  <c r="K36" i="2" s="1"/>
  <c r="K39" i="2" s="1"/>
  <c r="K41" i="2" s="1"/>
  <c r="Y32" i="2" l="1"/>
  <c r="Y33" i="2" s="1"/>
  <c r="Y45" i="2"/>
  <c r="Y44" i="2"/>
  <c r="Z27" i="2"/>
  <c r="Z25" i="2"/>
  <c r="Z43" i="2"/>
  <c r="X36" i="2"/>
  <c r="X47" i="2"/>
  <c r="AA46" i="2"/>
  <c r="W49" i="2"/>
  <c r="V36" i="2"/>
  <c r="V47" i="2"/>
  <c r="Y36" i="2" l="1"/>
  <c r="Y47" i="2"/>
  <c r="AA25" i="2"/>
  <c r="AA43" i="2"/>
  <c r="AA27" i="2"/>
  <c r="Z44" i="2"/>
  <c r="AB46" i="2"/>
  <c r="Z32" i="2"/>
  <c r="Z33" i="2" s="1"/>
  <c r="Z45" i="2"/>
  <c r="X37" i="2"/>
  <c r="X48" i="2" s="1"/>
  <c r="V39" i="2"/>
  <c r="V48" i="2"/>
  <c r="Z36" i="2" l="1"/>
  <c r="Z47" i="2"/>
  <c r="AB27" i="2"/>
  <c r="AB43" i="2"/>
  <c r="AA44" i="2"/>
  <c r="X39" i="2"/>
  <c r="AC46" i="2"/>
  <c r="AA32" i="2"/>
  <c r="AA33" i="2" s="1"/>
  <c r="AA45" i="2"/>
  <c r="Y37" i="2"/>
  <c r="Y48" i="2" s="1"/>
  <c r="V41" i="2"/>
  <c r="V49" i="2"/>
  <c r="AA36" i="2" l="1"/>
  <c r="AA47" i="2"/>
  <c r="AB44" i="2"/>
  <c r="AB25" i="2"/>
  <c r="AB32" i="2"/>
  <c r="AB33" i="2" s="1"/>
  <c r="AB45" i="2"/>
  <c r="AC43" i="2"/>
  <c r="AC27" i="2"/>
  <c r="X41" i="2"/>
  <c r="X49" i="2"/>
  <c r="Y39" i="2"/>
  <c r="AD46" i="2"/>
  <c r="Z37" i="2"/>
  <c r="Z48" i="2" s="1"/>
  <c r="Z39" i="2" l="1"/>
  <c r="AB47" i="2"/>
  <c r="AB36" i="2"/>
  <c r="Y49" i="2"/>
  <c r="Y41" i="2"/>
  <c r="AF46" i="2"/>
  <c r="AE46" i="2"/>
  <c r="AA37" i="2"/>
  <c r="AA48" i="2" s="1"/>
  <c r="AC32" i="2"/>
  <c r="AC33" i="2" s="1"/>
  <c r="AC45" i="2"/>
  <c r="AC44" i="2"/>
  <c r="AD43" i="2"/>
  <c r="AD27" i="2"/>
  <c r="AD25" i="2"/>
  <c r="AC25" i="2"/>
  <c r="Z49" i="2" l="1"/>
  <c r="Z41" i="2"/>
  <c r="AA39" i="2"/>
  <c r="AC47" i="2"/>
  <c r="AC36" i="2"/>
  <c r="AD44" i="2"/>
  <c r="AB37" i="2"/>
  <c r="AB48" i="2" s="1"/>
  <c r="AE43" i="2"/>
  <c r="AE27" i="2"/>
  <c r="AE25" i="2"/>
  <c r="AD32" i="2"/>
  <c r="AD33" i="2" s="1"/>
  <c r="AD45" i="2"/>
  <c r="AB39" i="2" l="1"/>
  <c r="AB41" i="2" s="1"/>
  <c r="AD36" i="2"/>
  <c r="AD47" i="2"/>
  <c r="AA49" i="2"/>
  <c r="AA41" i="2"/>
  <c r="AE32" i="2"/>
  <c r="AE33" i="2" s="1"/>
  <c r="AE45" i="2"/>
  <c r="AF43" i="2"/>
  <c r="AF27" i="2"/>
  <c r="AF25" i="2"/>
  <c r="AC37" i="2"/>
  <c r="AC48" i="2" s="1"/>
  <c r="AE44" i="2"/>
  <c r="AB49" i="2" l="1"/>
  <c r="AD37" i="2"/>
  <c r="AD48" i="2" s="1"/>
  <c r="AE47" i="2"/>
  <c r="AE36" i="2"/>
  <c r="AC39" i="2"/>
  <c r="AF44" i="2"/>
  <c r="AF32" i="2"/>
  <c r="AF33" i="2" s="1"/>
  <c r="AF45" i="2"/>
  <c r="AD39" i="2" l="1"/>
  <c r="AD41" i="2" s="1"/>
  <c r="AF36" i="2"/>
  <c r="AF47" i="2"/>
  <c r="AE37" i="2"/>
  <c r="AE48" i="2" s="1"/>
  <c r="AC49" i="2"/>
  <c r="AC41" i="2"/>
  <c r="AD49" i="2" l="1"/>
  <c r="AE39" i="2"/>
  <c r="AF37" i="2"/>
  <c r="AF48" i="2" s="1"/>
  <c r="AF39" i="2" l="1"/>
  <c r="AG39" i="2" s="1"/>
  <c r="AH39" i="2" s="1"/>
  <c r="AI39" i="2" s="1"/>
  <c r="AJ39" i="2" s="1"/>
  <c r="AK39" i="2" s="1"/>
  <c r="AL39" i="2" s="1"/>
  <c r="AM39" i="2" s="1"/>
  <c r="AN39" i="2" s="1"/>
  <c r="AO39" i="2" s="1"/>
  <c r="AP39" i="2" s="1"/>
  <c r="AQ39" i="2" s="1"/>
  <c r="AR39" i="2" s="1"/>
  <c r="AS39" i="2" s="1"/>
  <c r="AT39" i="2" s="1"/>
  <c r="AU39" i="2" s="1"/>
  <c r="AV39" i="2" s="1"/>
  <c r="AW39" i="2" s="1"/>
  <c r="AX39" i="2" s="1"/>
  <c r="AY39" i="2" s="1"/>
  <c r="AZ39" i="2" s="1"/>
  <c r="BA39" i="2" s="1"/>
  <c r="BB39" i="2" s="1"/>
  <c r="BC39" i="2" s="1"/>
  <c r="BD39" i="2" s="1"/>
  <c r="BE39" i="2" s="1"/>
  <c r="BF39" i="2" s="1"/>
  <c r="BG39" i="2" s="1"/>
  <c r="BH39" i="2" s="1"/>
  <c r="BI39" i="2" s="1"/>
  <c r="BJ39" i="2" s="1"/>
  <c r="BK39" i="2" s="1"/>
  <c r="BL39" i="2" s="1"/>
  <c r="BM39" i="2" s="1"/>
  <c r="BN39" i="2" s="1"/>
  <c r="BO39" i="2" s="1"/>
  <c r="BP39" i="2" s="1"/>
  <c r="BQ39" i="2" s="1"/>
  <c r="BR39" i="2" s="1"/>
  <c r="BS39" i="2" s="1"/>
  <c r="BT39" i="2" s="1"/>
  <c r="BU39" i="2" s="1"/>
  <c r="BV39" i="2" s="1"/>
  <c r="BW39" i="2" s="1"/>
  <c r="BX39" i="2" s="1"/>
  <c r="BY39" i="2" s="1"/>
  <c r="BZ39" i="2" s="1"/>
  <c r="CA39" i="2" s="1"/>
  <c r="CB39" i="2" s="1"/>
  <c r="CC39" i="2" s="1"/>
  <c r="CD39" i="2" s="1"/>
  <c r="CE39" i="2" s="1"/>
  <c r="CF39" i="2" s="1"/>
  <c r="CG39" i="2" s="1"/>
  <c r="CH39" i="2" s="1"/>
  <c r="CI39" i="2" s="1"/>
  <c r="CJ39" i="2" s="1"/>
  <c r="CK39" i="2" s="1"/>
  <c r="CL39" i="2" s="1"/>
  <c r="CM39" i="2" s="1"/>
  <c r="CN39" i="2" s="1"/>
  <c r="CO39" i="2" s="1"/>
  <c r="CP39" i="2" s="1"/>
  <c r="CQ39" i="2" s="1"/>
  <c r="CR39" i="2" s="1"/>
  <c r="CS39" i="2" s="1"/>
  <c r="CT39" i="2" s="1"/>
  <c r="CU39" i="2" s="1"/>
  <c r="CV39" i="2" s="1"/>
  <c r="CW39" i="2" s="1"/>
  <c r="CX39" i="2" s="1"/>
  <c r="CY39" i="2" s="1"/>
  <c r="CZ39" i="2" s="1"/>
  <c r="DA39" i="2" s="1"/>
  <c r="DB39" i="2" s="1"/>
  <c r="DC39" i="2" s="1"/>
  <c r="DD39" i="2" s="1"/>
  <c r="DE39" i="2" s="1"/>
  <c r="DF39" i="2" s="1"/>
  <c r="DG39" i="2" s="1"/>
  <c r="DH39" i="2" s="1"/>
  <c r="DI39" i="2" s="1"/>
  <c r="DJ39" i="2" s="1"/>
  <c r="DK39" i="2" s="1"/>
  <c r="DL39" i="2" s="1"/>
  <c r="DM39" i="2" s="1"/>
  <c r="DN39" i="2" s="1"/>
  <c r="DO39" i="2" s="1"/>
  <c r="DP39" i="2" s="1"/>
  <c r="DQ39" i="2" s="1"/>
  <c r="DR39" i="2" s="1"/>
  <c r="DS39" i="2" s="1"/>
  <c r="DT39" i="2" s="1"/>
  <c r="DU39" i="2" s="1"/>
  <c r="DV39" i="2" s="1"/>
  <c r="DW39" i="2" s="1"/>
  <c r="DX39" i="2" s="1"/>
  <c r="DY39" i="2" s="1"/>
  <c r="DZ39" i="2" s="1"/>
  <c r="EA39" i="2" s="1"/>
  <c r="EB39" i="2" s="1"/>
  <c r="EC39" i="2" s="1"/>
  <c r="ED39" i="2" s="1"/>
  <c r="EE39" i="2" s="1"/>
  <c r="EF39" i="2" s="1"/>
  <c r="EG39" i="2" s="1"/>
  <c r="EH39" i="2" s="1"/>
  <c r="EI39" i="2" s="1"/>
  <c r="EJ39" i="2" s="1"/>
  <c r="AI46" i="2" s="1"/>
  <c r="AI48" i="2" s="1"/>
  <c r="AI49" i="2" s="1"/>
  <c r="AI51" i="2" s="1"/>
  <c r="AE41" i="2"/>
  <c r="AE49" i="2"/>
  <c r="AF41" i="2" l="1"/>
  <c r="AF49" i="2"/>
</calcChain>
</file>

<file path=xl/sharedStrings.xml><?xml version="1.0" encoding="utf-8"?>
<sst xmlns="http://schemas.openxmlformats.org/spreadsheetml/2006/main" count="82" uniqueCount="59">
  <si>
    <t>R3NK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</si>
  <si>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</si>
  <si>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</si>
  <si>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</si>
  <si>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</si>
  <si>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</si>
  <si>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</si>
  <si>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</si>
  <si>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</si>
  <si>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</si>
  <si>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</si>
  <si>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Q125</t>
  </si>
  <si>
    <t>Q225</t>
  </si>
  <si>
    <t>Revenue</t>
  </si>
  <si>
    <t>Cost of sales</t>
  </si>
  <si>
    <t>Gross profit</t>
  </si>
  <si>
    <t>S&amp;M</t>
  </si>
  <si>
    <t>G&amp;A</t>
  </si>
  <si>
    <t>Investments</t>
  </si>
  <si>
    <t>Other income</t>
  </si>
  <si>
    <t>Other expenses</t>
  </si>
  <si>
    <t>Total opex</t>
  </si>
  <si>
    <t>Operating profit</t>
  </si>
  <si>
    <t>Interest expense</t>
  </si>
  <si>
    <t>Finance expense</t>
  </si>
  <si>
    <t>Pretax profit</t>
  </si>
  <si>
    <t>Taxes</t>
  </si>
  <si>
    <t>Net profit</t>
  </si>
  <si>
    <t>MI</t>
  </si>
  <si>
    <t>EPS</t>
  </si>
  <si>
    <t>Q123</t>
  </si>
  <si>
    <t>Q223</t>
  </si>
  <si>
    <t>Q323</t>
  </si>
  <si>
    <t>Q423</t>
  </si>
  <si>
    <t>Q124</t>
  </si>
  <si>
    <t>Q224</t>
  </si>
  <si>
    <t>Q324</t>
  </si>
  <si>
    <t>Q424</t>
  </si>
  <si>
    <t>Q325</t>
  </si>
  <si>
    <t>Q425</t>
  </si>
  <si>
    <t>Gross Margin</t>
  </si>
  <si>
    <t>Revenue y/y</t>
  </si>
  <si>
    <t>S&amp;M Margin</t>
  </si>
  <si>
    <t>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</si>
  <si>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</si>
  <si>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</si>
  <si>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</si>
  <si>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</si>
  <si>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</si>
  <si>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</si>
  <si>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</si>
  <si>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</si>
  <si>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</si>
  <si>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</si>
  <si>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</si>
  <si>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Heavily overvalued</t>
  </si>
  <si>
    <t>L+S/E</t>
  </si>
  <si>
    <t>EV/B</t>
  </si>
  <si>
    <t>B/EV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</si>
</sst>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"/>
    <numFmt numFmtId="165" formatCode="0.0\x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165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0</xdr:row>
      <xdr:rowOff>0</xdr:rowOff>
    </xdr:from>
    <xdr:to>
      <xdr:col>12</xdr:col>
      <xdr:colOff>38100</xdr:colOff>
      <xdr:row>58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AED7BA7-63F0-A089-2130-70B15E99C6F0}"/>
            </a:ext>
          </a:extLst>
        </xdr:cNvPr>
        <xdr:cNvCxnSpPr/>
      </xdr:nvCxnSpPr>
      <xdr:spPr>
        <a:xfrm>
          <a:off x="7818120" y="0"/>
          <a:ext cx="0" cy="105308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15240</xdr:colOff>
      <xdr:row>0</xdr:row>
      <xdr:rowOff>0</xdr:rowOff>
    </xdr:from>
    <xdr:to>
      <xdr:col>21</xdr:col>
      <xdr:colOff>15240</xdr:colOff>
      <xdr:row>58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ECEC3E2-2D02-26B5-563A-C062FE8B80C6}"/>
            </a:ext>
          </a:extLst>
        </xdr:cNvPr>
        <xdr:cNvCxnSpPr/>
      </xdr:nvCxnSpPr>
      <xdr:spPr>
        <a:xfrm>
          <a:off x="13281660" y="0"/>
          <a:ext cx="0" cy="105308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4FC64-471B-4434-9DE7-B2AC24AAEF0E}">
  <dimension ref="B2:G9"/>
  <sheetViews>
    <sheetView workbookViewId="0">
      <selection activeCell="D4" sqref="D4"/>
    </sheetView>
  </sheetViews>
  <sheetFormatPr defaultRowHeight="14.4" x14ac:dyDescent="0.3"/>
  <cols>
    <col min="1" max="4" width="8.88671875" style="2"/>
    <col min="5" max="5" width="11.88671875" style="4" bestFit="1" customWidth="1"/>
    <col min="6" max="7" width="11.21875" style="4" bestFit="1" customWidth="1"/>
    <col min="8" max="16384" width="8.88671875" style="2"/>
  </cols>
  <sheetData>
    <row r="2" spans="2:7" x14ac:dyDescent="0.3">
      <c r="E2" s="4" t="s">
        <v>8</v>
      </c>
      <c r="F2" s="4" t="s">
        <v>9</v>
      </c>
      <c r="G2" s="4" t="s">
        <v>10</v>
      </c>
    </row>
    <row r="3" spans="2:7" x14ac:dyDescent="0.3">
      <c r="B3" s="1" t="s">
        <v>0</v>
      </c>
      <c r="C3" s="2" t="s">
        <v>1</v>
      </c>
      <c r="D3" s="3">
        <v>66.63</v>
      </c>
      <c r="E3" s="5">
        <v>45903</v>
      </c>
      <c r="F3" s="5">
        <f ca="1">TODAY()</f>
        <v>45934</v>
      </c>
      <c r="G3" s="5">
        <v>45974</v>
      </c>
    </row>
    <row r="4" spans="2:7" x14ac:dyDescent="0.3">
      <c r="C4" s="2" t="s">
        <v>2</v>
      </c>
      <c r="D4" s="6">
        <v>100</v>
      </c>
      <c r="E4" s="4" t="s">
        <v>11</v>
      </c>
    </row>
    <row r="5" spans="2:7" x14ac:dyDescent="0.3">
      <c r="C5" s="2" t="s">
        <v>3</v>
      </c>
      <c r="D5" s="6">
        <f>D3*D4</f>
        <v>6663</v>
      </c>
    </row>
    <row r="6" spans="2:7" x14ac:dyDescent="0.3">
      <c r="C6" s="2" t="s">
        <v>4</v>
      </c>
      <c r="D6" s="6">
        <f>95</f>
        <v>95</v>
      </c>
      <c r="E6" s="4" t="s">
        <v>12</v>
      </c>
    </row>
    <row r="7" spans="2:7" x14ac:dyDescent="0.3">
      <c r="C7" s="2" t="s">
        <v>5</v>
      </c>
      <c r="D7" s="6">
        <f>6.3+527.1</f>
        <v>533.4</v>
      </c>
      <c r="E7" s="4" t="s">
        <v>12</v>
      </c>
    </row>
    <row r="8" spans="2:7" x14ac:dyDescent="0.3">
      <c r="C8" s="2" t="s">
        <v>6</v>
      </c>
      <c r="D8" s="6">
        <f>D6-D7</f>
        <v>-438.4</v>
      </c>
    </row>
    <row r="9" spans="2:7" x14ac:dyDescent="0.3">
      <c r="C9" s="2" t="s">
        <v>7</v>
      </c>
      <c r="D9" s="6">
        <f>D5-D8</f>
        <v>7101.4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E31C0-E16A-400B-8345-C16CF6CA3BC9}">
  <dimension ref="B2:EJ55"/>
  <sheetViews>
    <sheetView tabSelected="1" workbookViewId="0">
      <pane xSplit="2" ySplit="2" topLeftCell="C30" activePane="bottomRight" state="frozen"/>
      <selection pane="topRight" activeCell="C1" sqref="C1"/>
      <selection pane="bottomLeft" activeCell="A3" sqref="A3"/>
      <selection pane="bottomRight" activeCell="L55" sqref="L55"/>
    </sheetView>
  </sheetViews>
  <sheetFormatPr defaultRowHeight="14.4" x14ac:dyDescent="0.3"/>
  <cols>
    <col min="1" max="1" width="8.88671875" style="2"/>
    <col min="2" max="2" width="15.6640625" style="2" customWidth="1"/>
    <col min="3" max="33" width="8.88671875" style="2"/>
    <col min="34" max="34" width="12" style="2" bestFit="1" customWidth="1"/>
    <col min="35" max="35" width="16.44140625" style="2" bestFit="1" customWidth="1"/>
    <col min="36" max="16384" width="8.88671875" style="2"/>
  </cols>
  <sheetData>
    <row r="2" spans="2:32" x14ac:dyDescent="0.3"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  <c r="H2" s="7" t="s">
        <v>35</v>
      </c>
      <c r="I2" s="7" t="s">
        <v>36</v>
      </c>
      <c r="J2" s="7" t="s">
        <v>37</v>
      </c>
      <c r="K2" s="7" t="s">
        <v>11</v>
      </c>
      <c r="L2" s="7" t="s">
        <v>12</v>
      </c>
      <c r="M2" s="7" t="s">
        <v>38</v>
      </c>
      <c r="N2" s="7" t="s">
        <v>39</v>
      </c>
      <c r="P2" s="2">
        <v>2019</v>
      </c>
      <c r="Q2" s="2">
        <v>2020</v>
      </c>
      <c r="R2" s="2">
        <v>2021</v>
      </c>
      <c r="S2" s="2">
        <v>2022</v>
      </c>
      <c r="T2" s="2">
        <v>2023</v>
      </c>
      <c r="U2" s="2">
        <v>2024</v>
      </c>
      <c r="V2" s="2">
        <v>2025</v>
      </c>
      <c r="W2" s="2">
        <v>2026</v>
      </c>
      <c r="X2" s="2">
        <v>2027</v>
      </c>
      <c r="Y2" s="2">
        <v>2028</v>
      </c>
      <c r="Z2" s="2">
        <v>2029</v>
      </c>
      <c r="AA2" s="2">
        <v>2030</v>
      </c>
      <c r="AB2" s="2">
        <v>2031</v>
      </c>
      <c r="AC2" s="2">
        <v>2032</v>
      </c>
      <c r="AD2" s="2">
        <v>2033</v>
      </c>
      <c r="AE2" s="2">
        <v>2034</v>
      </c>
      <c r="AF2" s="2">
        <v>2035</v>
      </c>
    </row>
    <row r="3" spans="2:32" s="1" customFormat="1" x14ac:dyDescent="0.3">
      <c r="B3" s="1" t="s">
        <v>13</v>
      </c>
      <c r="C3" s="9">
        <v>193.9</v>
      </c>
      <c r="D3" s="9">
        <v>410.2</v>
      </c>
      <c r="E3" s="9">
        <v>652.70000000000005</v>
      </c>
      <c r="G3" s="9">
        <v>237.7</v>
      </c>
      <c r="H3" s="9">
        <v>510.3</v>
      </c>
      <c r="I3" s="9">
        <v>778.3</v>
      </c>
      <c r="K3" s="9">
        <v>272.60000000000002</v>
      </c>
      <c r="L3" s="9">
        <v>620.20000000000005</v>
      </c>
      <c r="T3" s="9"/>
      <c r="U3" s="9"/>
    </row>
    <row r="4" spans="2:32" x14ac:dyDescent="0.3">
      <c r="B4" s="2" t="s">
        <v>14</v>
      </c>
      <c r="C4" s="6">
        <v>157.1</v>
      </c>
      <c r="D4" s="6">
        <v>317.10000000000002</v>
      </c>
      <c r="E4" s="6">
        <v>504.1</v>
      </c>
      <c r="G4" s="6">
        <v>187.7</v>
      </c>
      <c r="H4" s="6">
        <v>395.6</v>
      </c>
      <c r="I4" s="6">
        <v>597.20000000000005</v>
      </c>
      <c r="K4" s="6">
        <v>206.3</v>
      </c>
      <c r="L4" s="6">
        <v>474</v>
      </c>
      <c r="T4" s="6"/>
      <c r="U4" s="6"/>
    </row>
    <row r="5" spans="2:32" s="1" customFormat="1" x14ac:dyDescent="0.3">
      <c r="B5" s="1" t="s">
        <v>15</v>
      </c>
      <c r="C5" s="9">
        <f>C3-C4</f>
        <v>36.800000000000011</v>
      </c>
      <c r="D5" s="9">
        <f>D3-D4</f>
        <v>93.099999999999966</v>
      </c>
      <c r="E5" s="9">
        <f>E3-E4</f>
        <v>148.60000000000002</v>
      </c>
      <c r="G5" s="9">
        <f>G3-G4</f>
        <v>50</v>
      </c>
      <c r="H5" s="9">
        <f>H3-H4</f>
        <v>114.69999999999999</v>
      </c>
      <c r="I5" s="9">
        <f>I3-I4</f>
        <v>181.09999999999991</v>
      </c>
      <c r="K5" s="9">
        <f>K3-K4</f>
        <v>66.300000000000011</v>
      </c>
      <c r="L5" s="9">
        <f>L3-L4</f>
        <v>146.20000000000005</v>
      </c>
      <c r="T5" s="9"/>
      <c r="U5" s="9"/>
    </row>
    <row r="6" spans="2:32" x14ac:dyDescent="0.3">
      <c r="B6" s="2" t="s">
        <v>16</v>
      </c>
      <c r="C6" s="6">
        <v>13.3</v>
      </c>
      <c r="D6" s="6">
        <v>27.6</v>
      </c>
      <c r="E6" s="6">
        <v>41.5</v>
      </c>
      <c r="G6" s="6">
        <v>15.2</v>
      </c>
      <c r="H6" s="6">
        <v>30.4</v>
      </c>
      <c r="I6" s="6">
        <v>45.5</v>
      </c>
      <c r="K6" s="6">
        <v>16.8</v>
      </c>
      <c r="L6" s="6">
        <v>34.200000000000003</v>
      </c>
      <c r="T6" s="6"/>
      <c r="U6" s="6"/>
    </row>
    <row r="7" spans="2:32" x14ac:dyDescent="0.3">
      <c r="B7" s="2" t="s">
        <v>17</v>
      </c>
      <c r="C7" s="6">
        <v>15.6</v>
      </c>
      <c r="D7" s="6">
        <v>31.5</v>
      </c>
      <c r="E7" s="6">
        <v>49.2</v>
      </c>
      <c r="G7" s="6">
        <v>23.6</v>
      </c>
      <c r="H7" s="6">
        <v>48.7</v>
      </c>
      <c r="I7" s="6">
        <v>72.400000000000006</v>
      </c>
      <c r="K7" s="6">
        <v>22.3</v>
      </c>
      <c r="L7" s="6">
        <v>50.5</v>
      </c>
      <c r="T7" s="6"/>
      <c r="U7" s="6"/>
    </row>
    <row r="8" spans="2:32" x14ac:dyDescent="0.3">
      <c r="B8" s="2" t="s">
        <v>18</v>
      </c>
      <c r="C8" s="6">
        <v>0</v>
      </c>
      <c r="D8" s="6">
        <v>0.1</v>
      </c>
      <c r="E8" s="6">
        <v>0.2</v>
      </c>
      <c r="G8" s="6">
        <v>-0.4</v>
      </c>
      <c r="H8" s="6">
        <v>-0.5</v>
      </c>
      <c r="I8" s="6">
        <v>-0.3</v>
      </c>
      <c r="K8" s="6">
        <v>-0.1</v>
      </c>
      <c r="L8" s="6">
        <v>-0.2</v>
      </c>
      <c r="T8" s="6"/>
      <c r="U8" s="6"/>
    </row>
    <row r="9" spans="2:32" x14ac:dyDescent="0.3">
      <c r="B9" s="2" t="s">
        <v>19</v>
      </c>
      <c r="C9" s="6">
        <v>-3.7</v>
      </c>
      <c r="D9" s="6">
        <v>-6.7</v>
      </c>
      <c r="E9" s="6">
        <v>-9.1</v>
      </c>
      <c r="G9" s="6">
        <v>-4.9000000000000004</v>
      </c>
      <c r="H9" s="6">
        <v>-3.4</v>
      </c>
      <c r="I9" s="6">
        <v>-3.1</v>
      </c>
      <c r="K9" s="6">
        <v>-3.3</v>
      </c>
      <c r="L9" s="6">
        <v>-11.4</v>
      </c>
      <c r="T9" s="6"/>
      <c r="U9" s="6"/>
    </row>
    <row r="10" spans="2:32" x14ac:dyDescent="0.3">
      <c r="B10" s="2" t="s">
        <v>20</v>
      </c>
      <c r="C10" s="6">
        <v>4.9000000000000004</v>
      </c>
      <c r="D10" s="6">
        <v>8.6999999999999993</v>
      </c>
      <c r="E10" s="6">
        <v>9.8000000000000007</v>
      </c>
      <c r="G10" s="6">
        <v>4.5</v>
      </c>
      <c r="H10" s="6">
        <v>4</v>
      </c>
      <c r="I10" s="6">
        <v>8.4</v>
      </c>
      <c r="K10" s="6">
        <v>6.3</v>
      </c>
      <c r="L10" s="6">
        <v>13.8</v>
      </c>
      <c r="T10" s="6"/>
      <c r="U10" s="6"/>
    </row>
    <row r="11" spans="2:32" x14ac:dyDescent="0.3">
      <c r="B11" s="2" t="s">
        <v>21</v>
      </c>
      <c r="C11" s="6">
        <f>SUM(C6:C10)</f>
        <v>30.1</v>
      </c>
      <c r="D11" s="6">
        <f>SUM(D6:D10)</f>
        <v>61.2</v>
      </c>
      <c r="E11" s="6">
        <f>SUM(E6:E10)</f>
        <v>91.600000000000009</v>
      </c>
      <c r="G11" s="6">
        <f>SUM(G6:G10)</f>
        <v>38</v>
      </c>
      <c r="H11" s="6">
        <f>SUM(H6:H10)</f>
        <v>79.199999999999989</v>
      </c>
      <c r="I11" s="6">
        <f>SUM(I6:I10)</f>
        <v>122.90000000000002</v>
      </c>
      <c r="K11" s="6">
        <f>SUM(K6:K10)</f>
        <v>42</v>
      </c>
      <c r="L11" s="6">
        <f>SUM(L6:L10)</f>
        <v>86.899999999999991</v>
      </c>
      <c r="T11" s="6"/>
      <c r="U11" s="6"/>
    </row>
    <row r="12" spans="2:32" s="1" customFormat="1" x14ac:dyDescent="0.3">
      <c r="B12" s="1" t="s">
        <v>22</v>
      </c>
      <c r="C12" s="9">
        <f>C5-C11</f>
        <v>6.7000000000000099</v>
      </c>
      <c r="D12" s="9">
        <f>D5-D11</f>
        <v>31.899999999999963</v>
      </c>
      <c r="E12" s="9">
        <f>E5-E11</f>
        <v>57.000000000000014</v>
      </c>
      <c r="G12" s="9">
        <f>G5-G11</f>
        <v>12</v>
      </c>
      <c r="H12" s="9">
        <f>H5-H11</f>
        <v>35.5</v>
      </c>
      <c r="I12" s="9">
        <f>I5-I11</f>
        <v>58.199999999999889</v>
      </c>
      <c r="K12" s="9">
        <f>K5-K11</f>
        <v>24.300000000000011</v>
      </c>
      <c r="L12" s="9">
        <f>L5-L11</f>
        <v>59.300000000000054</v>
      </c>
      <c r="T12" s="9"/>
      <c r="U12" s="9"/>
    </row>
    <row r="13" spans="2:32" x14ac:dyDescent="0.3">
      <c r="B13" s="2" t="s">
        <v>23</v>
      </c>
      <c r="C13" s="6">
        <v>10</v>
      </c>
      <c r="D13" s="6">
        <v>20.3</v>
      </c>
      <c r="E13" s="6">
        <v>30.2</v>
      </c>
      <c r="G13" s="6">
        <v>8.8000000000000007</v>
      </c>
      <c r="H13" s="6">
        <v>23.2</v>
      </c>
      <c r="I13" s="6">
        <v>33.9</v>
      </c>
      <c r="K13" s="6">
        <v>9.6999999999999993</v>
      </c>
      <c r="L13" s="6">
        <v>17.399999999999999</v>
      </c>
      <c r="T13" s="6"/>
      <c r="U13" s="6"/>
    </row>
    <row r="14" spans="2:32" x14ac:dyDescent="0.3">
      <c r="B14" s="2" t="s">
        <v>24</v>
      </c>
      <c r="C14" s="6">
        <v>0.5</v>
      </c>
      <c r="D14" s="6">
        <v>1.1000000000000001</v>
      </c>
      <c r="E14" s="6">
        <v>-0.9</v>
      </c>
      <c r="G14" s="6">
        <v>-0.7</v>
      </c>
      <c r="H14" s="6">
        <v>-7.8</v>
      </c>
      <c r="I14" s="6">
        <v>-0.4</v>
      </c>
      <c r="K14" s="6">
        <v>9.9</v>
      </c>
      <c r="L14" s="6">
        <v>10.9</v>
      </c>
      <c r="T14" s="6"/>
      <c r="U14" s="6"/>
    </row>
    <row r="15" spans="2:32" s="1" customFormat="1" x14ac:dyDescent="0.3">
      <c r="B15" s="1" t="s">
        <v>25</v>
      </c>
      <c r="C15" s="9">
        <f>C12-C13-C14</f>
        <v>-3.7999999999999901</v>
      </c>
      <c r="D15" s="9">
        <f>D12-D13-D14</f>
        <v>10.499999999999963</v>
      </c>
      <c r="E15" s="9">
        <f>E12-E13-E14</f>
        <v>27.700000000000014</v>
      </c>
      <c r="G15" s="9">
        <f>G12-G13-G14</f>
        <v>3.8999999999999995</v>
      </c>
      <c r="H15" s="9">
        <f>H12-H13-H14</f>
        <v>20.100000000000001</v>
      </c>
      <c r="I15" s="9">
        <f>I12-I13-I14</f>
        <v>24.699999999999889</v>
      </c>
      <c r="K15" s="9">
        <f>K12-K13-K14</f>
        <v>4.7000000000000117</v>
      </c>
      <c r="L15" s="9">
        <f>L12-L13-L14</f>
        <v>31.000000000000057</v>
      </c>
      <c r="T15" s="9"/>
      <c r="U15" s="9"/>
    </row>
    <row r="16" spans="2:32" x14ac:dyDescent="0.3">
      <c r="B16" s="2" t="s">
        <v>26</v>
      </c>
      <c r="C16" s="6">
        <v>-1.9</v>
      </c>
      <c r="D16" s="6">
        <v>4.8</v>
      </c>
      <c r="E16" s="6">
        <v>8.8000000000000007</v>
      </c>
      <c r="G16" s="6">
        <v>6.6</v>
      </c>
      <c r="H16" s="6">
        <v>12.7</v>
      </c>
      <c r="I16" s="6">
        <v>17.8</v>
      </c>
      <c r="K16" s="6">
        <v>4</v>
      </c>
      <c r="L16" s="6">
        <v>-0.2</v>
      </c>
      <c r="T16" s="6"/>
      <c r="U16" s="6"/>
    </row>
    <row r="17" spans="2:32" x14ac:dyDescent="0.3">
      <c r="B17" s="2" t="s">
        <v>28</v>
      </c>
      <c r="C17" s="6">
        <v>0</v>
      </c>
      <c r="D17" s="6">
        <v>0</v>
      </c>
      <c r="E17" s="6">
        <v>0</v>
      </c>
      <c r="G17" s="6">
        <v>0</v>
      </c>
      <c r="H17" s="6">
        <v>0</v>
      </c>
      <c r="I17" s="6">
        <v>0</v>
      </c>
      <c r="K17" s="6">
        <v>-0.1</v>
      </c>
      <c r="L17" s="6">
        <v>0.2</v>
      </c>
      <c r="T17" s="6"/>
      <c r="U17" s="6"/>
    </row>
    <row r="18" spans="2:32" s="1" customFormat="1" x14ac:dyDescent="0.3">
      <c r="B18" s="1" t="s">
        <v>27</v>
      </c>
      <c r="C18" s="9">
        <f>C15-C16-C17</f>
        <v>-1.8999999999999901</v>
      </c>
      <c r="D18" s="9">
        <f>D15-D16-D17</f>
        <v>5.6999999999999629</v>
      </c>
      <c r="E18" s="9">
        <f>E15-E16-E17</f>
        <v>18.900000000000013</v>
      </c>
      <c r="G18" s="9">
        <f>G15-G16-G17</f>
        <v>-2.7</v>
      </c>
      <c r="H18" s="9">
        <f>H15-H16-H17</f>
        <v>7.4000000000000021</v>
      </c>
      <c r="I18" s="9">
        <f>I15-I16-I17</f>
        <v>6.8999999999998884</v>
      </c>
      <c r="K18" s="9">
        <f>K15-K16-K17</f>
        <v>0.8000000000000117</v>
      </c>
      <c r="L18" s="9">
        <f>L15-L16-L17</f>
        <v>31.000000000000057</v>
      </c>
      <c r="T18" s="9"/>
      <c r="U18" s="9"/>
    </row>
    <row r="19" spans="2:32" x14ac:dyDescent="0.3">
      <c r="B19" s="2" t="s">
        <v>2</v>
      </c>
      <c r="C19" s="6">
        <v>100</v>
      </c>
      <c r="D19" s="6">
        <v>100</v>
      </c>
      <c r="E19" s="6">
        <v>100</v>
      </c>
      <c r="G19" s="6">
        <v>100</v>
      </c>
      <c r="H19" s="6">
        <v>100</v>
      </c>
      <c r="I19" s="6">
        <v>100</v>
      </c>
      <c r="K19" s="6">
        <v>100</v>
      </c>
      <c r="L19" s="6">
        <v>100</v>
      </c>
      <c r="T19" s="6"/>
      <c r="U19" s="6"/>
    </row>
    <row r="20" spans="2:32" x14ac:dyDescent="0.3">
      <c r="B20" s="2" t="s">
        <v>29</v>
      </c>
      <c r="C20" s="8">
        <f>C18/C19</f>
        <v>-1.8999999999999902E-2</v>
      </c>
      <c r="D20" s="8">
        <f>D18/D19</f>
        <v>5.6999999999999627E-2</v>
      </c>
      <c r="E20" s="8">
        <f>E18/E19</f>
        <v>0.18900000000000014</v>
      </c>
      <c r="G20" s="8">
        <f>G18/G19</f>
        <v>-2.7000000000000003E-2</v>
      </c>
      <c r="H20" s="8">
        <f>H18/H19</f>
        <v>7.4000000000000024E-2</v>
      </c>
      <c r="I20" s="8">
        <f>I18/I19</f>
        <v>6.8999999999998882E-2</v>
      </c>
      <c r="K20" s="8">
        <f>K18/K19</f>
        <v>8.0000000000001164E-3</v>
      </c>
      <c r="L20" s="8">
        <f>L18/L19</f>
        <v>0.31000000000000055</v>
      </c>
      <c r="T20" s="8"/>
      <c r="U20" s="8"/>
    </row>
    <row r="21" spans="2:32" x14ac:dyDescent="0.3">
      <c r="E21" s="8"/>
      <c r="G21" s="8"/>
      <c r="H21" s="8"/>
      <c r="I21" s="8"/>
      <c r="K21" s="8"/>
      <c r="L21" s="8"/>
      <c r="T21" s="8"/>
      <c r="U21" s="8"/>
    </row>
    <row r="24" spans="2:32" s="1" customFormat="1" x14ac:dyDescent="0.3">
      <c r="B24" s="1" t="s">
        <v>13</v>
      </c>
      <c r="C24" s="9">
        <f>C3</f>
        <v>193.9</v>
      </c>
      <c r="D24" s="9">
        <f>D3-C3</f>
        <v>216.29999999999998</v>
      </c>
      <c r="E24" s="9">
        <f>E3-D3</f>
        <v>242.50000000000006</v>
      </c>
      <c r="F24" s="9">
        <f>T24-E3</f>
        <v>272.79999999999995</v>
      </c>
      <c r="G24" s="9">
        <f>G3</f>
        <v>237.7</v>
      </c>
      <c r="H24" s="9">
        <f>H3-G3</f>
        <v>272.60000000000002</v>
      </c>
      <c r="I24" s="9">
        <f>I3-H3</f>
        <v>267.99999999999994</v>
      </c>
      <c r="J24" s="9">
        <f>U24-I3</f>
        <v>362.20000000000005</v>
      </c>
      <c r="K24" s="9">
        <f>K3</f>
        <v>272.60000000000002</v>
      </c>
      <c r="L24" s="9">
        <f>L3-K3</f>
        <v>347.6</v>
      </c>
      <c r="M24" s="9">
        <f>I24*1.2</f>
        <v>321.59999999999991</v>
      </c>
      <c r="N24" s="9">
        <f>J24*1.15</f>
        <v>416.53000000000003</v>
      </c>
      <c r="S24" s="9">
        <v>849</v>
      </c>
      <c r="T24" s="9">
        <v>925.5</v>
      </c>
      <c r="U24" s="9">
        <v>1140.5</v>
      </c>
      <c r="V24" s="9">
        <f>SUM(K24:N24)</f>
        <v>1358.33</v>
      </c>
      <c r="W24" s="9">
        <f>V24*1.15</f>
        <v>1562.0794999999998</v>
      </c>
      <c r="X24" s="9">
        <f>W24*1.11</f>
        <v>1733.9082449999999</v>
      </c>
      <c r="Y24" s="9">
        <f>X24*1.08</f>
        <v>1872.6209045999999</v>
      </c>
      <c r="Z24" s="9">
        <f>Y24*1.06</f>
        <v>1984.978158876</v>
      </c>
      <c r="AA24" s="9">
        <f>Z24*1.05</f>
        <v>2084.2270668198003</v>
      </c>
      <c r="AB24" s="9">
        <f t="shared" ref="AB24:AF24" si="0">AA24*1.05</f>
        <v>2188.4384201607904</v>
      </c>
      <c r="AC24" s="9">
        <f t="shared" si="0"/>
        <v>2297.86034116883</v>
      </c>
      <c r="AD24" s="9">
        <f t="shared" si="0"/>
        <v>2412.7533582272717</v>
      </c>
      <c r="AE24" s="9">
        <f t="shared" si="0"/>
        <v>2533.3910261386354</v>
      </c>
      <c r="AF24" s="9">
        <f t="shared" si="0"/>
        <v>2660.0605774455671</v>
      </c>
    </row>
    <row r="25" spans="2:32" x14ac:dyDescent="0.3">
      <c r="B25" s="2" t="s">
        <v>14</v>
      </c>
      <c r="C25" s="6">
        <f>C4</f>
        <v>157.1</v>
      </c>
      <c r="D25" s="6">
        <f>D4-C4</f>
        <v>160.00000000000003</v>
      </c>
      <c r="E25" s="6">
        <f>E4-D4</f>
        <v>187</v>
      </c>
      <c r="F25" s="6">
        <f>T25-E4</f>
        <v>212.69999999999993</v>
      </c>
      <c r="G25" s="6">
        <f>G4</f>
        <v>187.7</v>
      </c>
      <c r="H25" s="6">
        <f>H4-G4</f>
        <v>207.90000000000003</v>
      </c>
      <c r="I25" s="6">
        <f>I4-H4</f>
        <v>201.60000000000002</v>
      </c>
      <c r="J25" s="6">
        <f>U25-I4</f>
        <v>263.59999999999991</v>
      </c>
      <c r="K25" s="6">
        <f>K4</f>
        <v>206.3</v>
      </c>
      <c r="L25" s="6">
        <f>L4-K4</f>
        <v>267.7</v>
      </c>
      <c r="M25" s="6">
        <f>M24-M26</f>
        <v>237.98399999999992</v>
      </c>
      <c r="N25" s="6">
        <f>N24-N26</f>
        <v>299.90160000000003</v>
      </c>
      <c r="S25" s="6">
        <v>684.2</v>
      </c>
      <c r="T25" s="6">
        <v>716.8</v>
      </c>
      <c r="U25" s="6">
        <v>860.8</v>
      </c>
      <c r="V25" s="6">
        <f>SUM(K25:N25)</f>
        <v>1011.8856</v>
      </c>
      <c r="W25" s="6">
        <f>W24-W26</f>
        <v>1140.3180349999998</v>
      </c>
      <c r="X25" s="6">
        <f t="shared" ref="X25:AF25" si="1">X24-X26</f>
        <v>1248.4139363999998</v>
      </c>
      <c r="Y25" s="6">
        <f t="shared" si="1"/>
        <v>1348.2870513119999</v>
      </c>
      <c r="Z25" s="6">
        <f t="shared" si="1"/>
        <v>1429.18427439072</v>
      </c>
      <c r="AA25" s="6">
        <f t="shared" si="1"/>
        <v>1500.6434881102562</v>
      </c>
      <c r="AB25" s="6">
        <f t="shared" si="1"/>
        <v>1575.6756625157691</v>
      </c>
      <c r="AC25" s="6">
        <f t="shared" si="1"/>
        <v>1654.4594456415575</v>
      </c>
      <c r="AD25" s="6">
        <f t="shared" si="1"/>
        <v>1737.1824179236355</v>
      </c>
      <c r="AE25" s="6">
        <f t="shared" si="1"/>
        <v>1824.0415388198176</v>
      </c>
      <c r="AF25" s="6">
        <f t="shared" si="1"/>
        <v>1915.2436157608081</v>
      </c>
    </row>
    <row r="26" spans="2:32" s="1" customFormat="1" x14ac:dyDescent="0.3">
      <c r="B26" s="1" t="s">
        <v>15</v>
      </c>
      <c r="C26" s="9">
        <f t="shared" ref="C26:L26" si="2">C24-C25</f>
        <v>36.800000000000011</v>
      </c>
      <c r="D26" s="9">
        <f t="shared" si="2"/>
        <v>56.299999999999955</v>
      </c>
      <c r="E26" s="9">
        <f t="shared" si="2"/>
        <v>55.500000000000057</v>
      </c>
      <c r="F26" s="9">
        <f t="shared" si="2"/>
        <v>60.100000000000023</v>
      </c>
      <c r="G26" s="9">
        <f t="shared" si="2"/>
        <v>50</v>
      </c>
      <c r="H26" s="9">
        <f t="shared" si="2"/>
        <v>64.699999999999989</v>
      </c>
      <c r="I26" s="9">
        <f t="shared" si="2"/>
        <v>66.39999999999992</v>
      </c>
      <c r="J26" s="9">
        <f t="shared" si="2"/>
        <v>98.600000000000136</v>
      </c>
      <c r="K26" s="9">
        <f t="shared" si="2"/>
        <v>66.300000000000011</v>
      </c>
      <c r="L26" s="9">
        <f t="shared" si="2"/>
        <v>79.900000000000034</v>
      </c>
      <c r="M26" s="9">
        <f>M24*0.26</f>
        <v>83.615999999999985</v>
      </c>
      <c r="N26" s="9">
        <f>N24*0.28</f>
        <v>116.62840000000001</v>
      </c>
      <c r="S26" s="9">
        <f>S24-S25</f>
        <v>164.79999999999995</v>
      </c>
      <c r="T26" s="9">
        <f>T24-T25</f>
        <v>208.70000000000005</v>
      </c>
      <c r="U26" s="9">
        <f>U24-U25</f>
        <v>279.70000000000005</v>
      </c>
      <c r="V26" s="9">
        <f>V24-V25</f>
        <v>346.44439999999997</v>
      </c>
      <c r="W26" s="9">
        <f>W24*0.27</f>
        <v>421.76146499999999</v>
      </c>
      <c r="X26" s="9">
        <f>X24*0.28</f>
        <v>485.49430860000001</v>
      </c>
      <c r="Y26" s="9">
        <f t="shared" ref="Y26:AF26" si="3">Y24*0.28</f>
        <v>524.333853288</v>
      </c>
      <c r="Z26" s="9">
        <f t="shared" si="3"/>
        <v>555.79388448528005</v>
      </c>
      <c r="AA26" s="9">
        <f t="shared" si="3"/>
        <v>583.5835787095441</v>
      </c>
      <c r="AB26" s="9">
        <f t="shared" si="3"/>
        <v>612.76275764502134</v>
      </c>
      <c r="AC26" s="9">
        <f t="shared" si="3"/>
        <v>643.4008955272725</v>
      </c>
      <c r="AD26" s="9">
        <f t="shared" si="3"/>
        <v>675.57094030363612</v>
      </c>
      <c r="AE26" s="9">
        <f t="shared" si="3"/>
        <v>709.34948731881798</v>
      </c>
      <c r="AF26" s="9">
        <f t="shared" si="3"/>
        <v>744.81696168475889</v>
      </c>
    </row>
    <row r="27" spans="2:32" x14ac:dyDescent="0.3">
      <c r="B27" s="2" t="s">
        <v>16</v>
      </c>
      <c r="C27" s="6">
        <f t="shared" ref="C27:C31" si="4">C6</f>
        <v>13.3</v>
      </c>
      <c r="D27" s="6">
        <f t="shared" ref="D27:E27" si="5">D6-C6</f>
        <v>14.3</v>
      </c>
      <c r="E27" s="6">
        <f t="shared" si="5"/>
        <v>13.899999999999999</v>
      </c>
      <c r="F27" s="6">
        <f>T27-E6</f>
        <v>10.200000000000003</v>
      </c>
      <c r="G27" s="6">
        <f t="shared" ref="G27:G31" si="6">G6</f>
        <v>15.2</v>
      </c>
      <c r="H27" s="6">
        <f t="shared" ref="H27:I27" si="7">H6-G6</f>
        <v>15.2</v>
      </c>
      <c r="I27" s="6">
        <f t="shared" si="7"/>
        <v>15.100000000000001</v>
      </c>
      <c r="J27" s="6">
        <f>U27-I6</f>
        <v>16.299999999999997</v>
      </c>
      <c r="K27" s="6">
        <f t="shared" ref="K27:K31" si="8">K6</f>
        <v>16.8</v>
      </c>
      <c r="L27" s="6">
        <f>L6-K6</f>
        <v>17.400000000000002</v>
      </c>
      <c r="M27" s="6">
        <f>M24*0.05</f>
        <v>16.079999999999995</v>
      </c>
      <c r="N27" s="6">
        <f>N24*0.04</f>
        <v>16.661200000000001</v>
      </c>
      <c r="S27" s="6">
        <v>48.1</v>
      </c>
      <c r="T27" s="6">
        <v>51.7</v>
      </c>
      <c r="U27" s="6">
        <v>61.8</v>
      </c>
      <c r="V27" s="6">
        <f t="shared" ref="V27:V31" si="9">SUM(K27:N27)</f>
        <v>66.941200000000009</v>
      </c>
      <c r="W27" s="6">
        <f>W24*0.05</f>
        <v>78.103974999999991</v>
      </c>
      <c r="X27" s="6">
        <f t="shared" ref="X27:AF27" si="10">X24*0.05</f>
        <v>86.695412250000004</v>
      </c>
      <c r="Y27" s="6">
        <f t="shared" si="10"/>
        <v>93.631045229999998</v>
      </c>
      <c r="Z27" s="6">
        <f t="shared" si="10"/>
        <v>99.248907943800006</v>
      </c>
      <c r="AA27" s="6">
        <f t="shared" si="10"/>
        <v>104.21135334099002</v>
      </c>
      <c r="AB27" s="6">
        <f t="shared" si="10"/>
        <v>109.42192100803953</v>
      </c>
      <c r="AC27" s="6">
        <f t="shared" si="10"/>
        <v>114.8930170584415</v>
      </c>
      <c r="AD27" s="6">
        <f t="shared" si="10"/>
        <v>120.63766791136359</v>
      </c>
      <c r="AE27" s="6">
        <f t="shared" si="10"/>
        <v>126.66955130693178</v>
      </c>
      <c r="AF27" s="6">
        <f t="shared" si="10"/>
        <v>133.00302887227835</v>
      </c>
    </row>
    <row r="28" spans="2:32" x14ac:dyDescent="0.3">
      <c r="B28" s="2" t="s">
        <v>17</v>
      </c>
      <c r="C28" s="6">
        <f t="shared" si="4"/>
        <v>15.6</v>
      </c>
      <c r="D28" s="6">
        <f t="shared" ref="D28:E28" si="11">D7-C7</f>
        <v>15.9</v>
      </c>
      <c r="E28" s="6">
        <f t="shared" si="11"/>
        <v>17.700000000000003</v>
      </c>
      <c r="F28" s="6">
        <f>T28-E7</f>
        <v>16.799999999999997</v>
      </c>
      <c r="G28" s="6">
        <f t="shared" si="6"/>
        <v>23.6</v>
      </c>
      <c r="H28" s="6">
        <f t="shared" ref="H28:I28" si="12">H7-G7</f>
        <v>25.1</v>
      </c>
      <c r="I28" s="6">
        <f t="shared" si="12"/>
        <v>23.700000000000003</v>
      </c>
      <c r="J28" s="6">
        <f>U28-I7</f>
        <v>24.5</v>
      </c>
      <c r="K28" s="6">
        <f t="shared" si="8"/>
        <v>22.3</v>
      </c>
      <c r="L28" s="6">
        <f>L7-K7</f>
        <v>28.2</v>
      </c>
      <c r="M28" s="6">
        <f>I28*1.1</f>
        <v>26.070000000000004</v>
      </c>
      <c r="N28" s="6">
        <f>J28*1.2</f>
        <v>29.4</v>
      </c>
      <c r="S28" s="6">
        <v>49.8</v>
      </c>
      <c r="T28" s="6">
        <v>66</v>
      </c>
      <c r="U28" s="6">
        <v>96.9</v>
      </c>
      <c r="V28" s="6">
        <f t="shared" si="9"/>
        <v>105.97</v>
      </c>
      <c r="W28" s="6">
        <f>V28*1.07</f>
        <v>113.3879</v>
      </c>
      <c r="X28" s="6">
        <f>W28*1.05</f>
        <v>119.05729500000001</v>
      </c>
      <c r="Y28" s="6">
        <f>X28*1.03</f>
        <v>122.62901385000002</v>
      </c>
      <c r="Z28" s="6">
        <f>Y28*1.02</f>
        <v>125.08159412700002</v>
      </c>
      <c r="AA28" s="6">
        <f t="shared" ref="AA28:AF28" si="13">Z28*1.02</f>
        <v>127.58322600954001</v>
      </c>
      <c r="AB28" s="6">
        <f t="shared" si="13"/>
        <v>130.13489052973082</v>
      </c>
      <c r="AC28" s="6">
        <f t="shared" si="13"/>
        <v>132.73758834032543</v>
      </c>
      <c r="AD28" s="6">
        <f t="shared" si="13"/>
        <v>135.39234010713193</v>
      </c>
      <c r="AE28" s="6">
        <f t="shared" si="13"/>
        <v>138.10018690927458</v>
      </c>
      <c r="AF28" s="6">
        <f t="shared" si="13"/>
        <v>140.86219064746007</v>
      </c>
    </row>
    <row r="29" spans="2:32" x14ac:dyDescent="0.3">
      <c r="B29" s="2" t="s">
        <v>18</v>
      </c>
      <c r="C29" s="6">
        <f t="shared" si="4"/>
        <v>0</v>
      </c>
      <c r="D29" s="6">
        <f t="shared" ref="D29:E29" si="14">D8-C8</f>
        <v>0.1</v>
      </c>
      <c r="E29" s="6">
        <f t="shared" si="14"/>
        <v>0.1</v>
      </c>
      <c r="F29" s="6">
        <f>T29-E8</f>
        <v>0.3</v>
      </c>
      <c r="G29" s="6">
        <f t="shared" si="6"/>
        <v>-0.4</v>
      </c>
      <c r="H29" s="6">
        <f t="shared" ref="H29:I29" si="15">H8-G8</f>
        <v>-9.9999999999999978E-2</v>
      </c>
      <c r="I29" s="6">
        <f t="shared" si="15"/>
        <v>0.2</v>
      </c>
      <c r="J29" s="6">
        <f>U29-I8</f>
        <v>1.7</v>
      </c>
      <c r="K29" s="6">
        <f t="shared" si="8"/>
        <v>-0.1</v>
      </c>
      <c r="L29" s="6">
        <f>L8-K8</f>
        <v>-0.1</v>
      </c>
      <c r="M29" s="6">
        <v>0</v>
      </c>
      <c r="N29" s="6">
        <v>0</v>
      </c>
      <c r="S29" s="6">
        <v>-2.2999999999999998</v>
      </c>
      <c r="T29" s="6">
        <v>0.5</v>
      </c>
      <c r="U29" s="6">
        <v>1.4</v>
      </c>
      <c r="V29" s="6">
        <f t="shared" si="9"/>
        <v>-0.2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</row>
    <row r="30" spans="2:32" x14ac:dyDescent="0.3">
      <c r="B30" s="2" t="s">
        <v>19</v>
      </c>
      <c r="C30" s="6">
        <f t="shared" si="4"/>
        <v>-3.7</v>
      </c>
      <c r="D30" s="6">
        <f t="shared" ref="D30:E30" si="16">D9-C9</f>
        <v>-3</v>
      </c>
      <c r="E30" s="6">
        <f t="shared" si="16"/>
        <v>-2.3999999999999995</v>
      </c>
      <c r="F30" s="6">
        <f>T30-E9</f>
        <v>-2.5</v>
      </c>
      <c r="G30" s="6">
        <f t="shared" si="6"/>
        <v>-4.9000000000000004</v>
      </c>
      <c r="H30" s="6">
        <f t="shared" ref="H30:I30" si="17">H9-G9</f>
        <v>1.5000000000000004</v>
      </c>
      <c r="I30" s="6">
        <f t="shared" si="17"/>
        <v>0.29999999999999982</v>
      </c>
      <c r="J30" s="6">
        <f>U30-I9</f>
        <v>-6.5</v>
      </c>
      <c r="K30" s="6">
        <f t="shared" si="8"/>
        <v>-3.3</v>
      </c>
      <c r="L30" s="6">
        <f>L9-K9</f>
        <v>-8.1000000000000014</v>
      </c>
      <c r="M30" s="6">
        <v>0</v>
      </c>
      <c r="N30" s="6">
        <v>0</v>
      </c>
      <c r="S30" s="6">
        <v>-11.3</v>
      </c>
      <c r="T30" s="6">
        <v>-11.6</v>
      </c>
      <c r="U30" s="6">
        <v>-9.6</v>
      </c>
      <c r="V30" s="6">
        <f t="shared" si="9"/>
        <v>-11.400000000000002</v>
      </c>
      <c r="W30" s="6">
        <f>V30*1.03</f>
        <v>-11.742000000000003</v>
      </c>
      <c r="X30" s="6">
        <f t="shared" ref="X30:AF30" si="18">W30*1.03</f>
        <v>-12.094260000000004</v>
      </c>
      <c r="Y30" s="6">
        <f t="shared" si="18"/>
        <v>-12.457087800000004</v>
      </c>
      <c r="Z30" s="6">
        <f t="shared" si="18"/>
        <v>-12.830800434000004</v>
      </c>
      <c r="AA30" s="6">
        <f t="shared" si="18"/>
        <v>-13.215724447020005</v>
      </c>
      <c r="AB30" s="6">
        <f t="shared" si="18"/>
        <v>-13.612196180430605</v>
      </c>
      <c r="AC30" s="6">
        <f t="shared" si="18"/>
        <v>-14.020562065843523</v>
      </c>
      <c r="AD30" s="6">
        <f t="shared" si="18"/>
        <v>-14.441178927818829</v>
      </c>
      <c r="AE30" s="6">
        <f t="shared" si="18"/>
        <v>-14.874414295653393</v>
      </c>
      <c r="AF30" s="6">
        <f t="shared" si="18"/>
        <v>-15.320646724522994</v>
      </c>
    </row>
    <row r="31" spans="2:32" x14ac:dyDescent="0.3">
      <c r="B31" s="2" t="s">
        <v>20</v>
      </c>
      <c r="C31" s="6">
        <f t="shared" si="4"/>
        <v>4.9000000000000004</v>
      </c>
      <c r="D31" s="6">
        <f t="shared" ref="D31:E31" si="19">D10-C10</f>
        <v>3.7999999999999989</v>
      </c>
      <c r="E31" s="6">
        <f t="shared" si="19"/>
        <v>1.1000000000000014</v>
      </c>
      <c r="F31" s="6">
        <f>T31-E10</f>
        <v>3.2999999999999989</v>
      </c>
      <c r="G31" s="6">
        <f t="shared" si="6"/>
        <v>4.5</v>
      </c>
      <c r="H31" s="6">
        <f t="shared" ref="H31:I31" si="20">H10-G10</f>
        <v>-0.5</v>
      </c>
      <c r="I31" s="6">
        <f t="shared" si="20"/>
        <v>4.4000000000000004</v>
      </c>
      <c r="J31" s="6">
        <f>U31-I10</f>
        <v>4.6999999999999993</v>
      </c>
      <c r="K31" s="6">
        <f t="shared" si="8"/>
        <v>6.3</v>
      </c>
      <c r="L31" s="6">
        <f>L10-K10</f>
        <v>7.5000000000000009</v>
      </c>
      <c r="M31" s="6">
        <v>0</v>
      </c>
      <c r="N31" s="6">
        <v>0</v>
      </c>
      <c r="S31" s="6">
        <v>15.3</v>
      </c>
      <c r="T31" s="6">
        <v>13.1</v>
      </c>
      <c r="U31" s="6">
        <v>13.1</v>
      </c>
      <c r="V31" s="6">
        <f t="shared" si="9"/>
        <v>13.8</v>
      </c>
      <c r="W31" s="6">
        <f>V31*1.03</f>
        <v>14.214</v>
      </c>
      <c r="X31" s="6">
        <f t="shared" ref="X31:AF31" si="21">W31*1.03</f>
        <v>14.640420000000001</v>
      </c>
      <c r="Y31" s="6">
        <f t="shared" si="21"/>
        <v>15.079632600000002</v>
      </c>
      <c r="Z31" s="6">
        <f t="shared" si="21"/>
        <v>15.532021578000002</v>
      </c>
      <c r="AA31" s="6">
        <f t="shared" si="21"/>
        <v>15.997982225340003</v>
      </c>
      <c r="AB31" s="6">
        <f t="shared" si="21"/>
        <v>16.477921692100203</v>
      </c>
      <c r="AC31" s="6">
        <f t="shared" si="21"/>
        <v>16.972259342863211</v>
      </c>
      <c r="AD31" s="6">
        <f t="shared" si="21"/>
        <v>17.481427123149107</v>
      </c>
      <c r="AE31" s="6">
        <f t="shared" si="21"/>
        <v>18.005869936843581</v>
      </c>
      <c r="AF31" s="6">
        <f t="shared" si="21"/>
        <v>18.54604603494889</v>
      </c>
    </row>
    <row r="32" spans="2:32" x14ac:dyDescent="0.3">
      <c r="B32" s="2" t="s">
        <v>21</v>
      </c>
      <c r="C32" s="6">
        <f t="shared" ref="C32:L32" si="22">SUM(C27:C31)</f>
        <v>30.1</v>
      </c>
      <c r="D32" s="6">
        <f t="shared" si="22"/>
        <v>31.1</v>
      </c>
      <c r="E32" s="6">
        <f t="shared" si="22"/>
        <v>30.400000000000006</v>
      </c>
      <c r="F32" s="6">
        <f t="shared" si="22"/>
        <v>28.1</v>
      </c>
      <c r="G32" s="6">
        <f t="shared" si="22"/>
        <v>38</v>
      </c>
      <c r="H32" s="6">
        <f t="shared" si="22"/>
        <v>41.199999999999996</v>
      </c>
      <c r="I32" s="6">
        <f t="shared" si="22"/>
        <v>43.7</v>
      </c>
      <c r="J32" s="6">
        <f t="shared" si="22"/>
        <v>40.700000000000003</v>
      </c>
      <c r="K32" s="6">
        <f t="shared" si="22"/>
        <v>42</v>
      </c>
      <c r="L32" s="6">
        <f t="shared" si="22"/>
        <v>44.9</v>
      </c>
      <c r="M32" s="6">
        <f t="shared" ref="M32:N32" si="23">SUM(M27:M31)</f>
        <v>42.15</v>
      </c>
      <c r="N32" s="6">
        <f t="shared" si="23"/>
        <v>46.061199999999999</v>
      </c>
      <c r="S32" s="6">
        <f>SUM(S27:S31)</f>
        <v>99.600000000000009</v>
      </c>
      <c r="T32" s="6">
        <f>SUM(T27:T31)</f>
        <v>119.7</v>
      </c>
      <c r="U32" s="6">
        <f>SUM(U27:U31)</f>
        <v>163.6</v>
      </c>
      <c r="V32" s="6">
        <f>SUM(V27:V31)</f>
        <v>175.11120000000003</v>
      </c>
      <c r="W32" s="6">
        <f>SUM(W27:W31)</f>
        <v>193.963875</v>
      </c>
      <c r="X32" s="6">
        <f t="shared" ref="X32:AF32" si="24">SUM(X27:X31)</f>
        <v>208.29886725000003</v>
      </c>
      <c r="Y32" s="6">
        <f t="shared" si="24"/>
        <v>218.88260388</v>
      </c>
      <c r="Z32" s="6">
        <f t="shared" si="24"/>
        <v>227.03172321480005</v>
      </c>
      <c r="AA32" s="6">
        <f t="shared" si="24"/>
        <v>234.57683712885003</v>
      </c>
      <c r="AB32" s="6">
        <f t="shared" si="24"/>
        <v>242.42253704943997</v>
      </c>
      <c r="AC32" s="6">
        <f t="shared" si="24"/>
        <v>250.58230267578659</v>
      </c>
      <c r="AD32" s="6">
        <f t="shared" si="24"/>
        <v>259.07025621382581</v>
      </c>
      <c r="AE32" s="6">
        <f t="shared" si="24"/>
        <v>267.90119385739655</v>
      </c>
      <c r="AF32" s="6">
        <f t="shared" si="24"/>
        <v>277.09061883016432</v>
      </c>
    </row>
    <row r="33" spans="2:140" s="1" customFormat="1" x14ac:dyDescent="0.3">
      <c r="B33" s="1" t="s">
        <v>22</v>
      </c>
      <c r="C33" s="9">
        <f t="shared" ref="C33:L33" si="25">C26-C32</f>
        <v>6.7000000000000099</v>
      </c>
      <c r="D33" s="9">
        <f t="shared" si="25"/>
        <v>25.199999999999953</v>
      </c>
      <c r="E33" s="9">
        <f t="shared" si="25"/>
        <v>25.100000000000051</v>
      </c>
      <c r="F33" s="9">
        <f t="shared" si="25"/>
        <v>32.000000000000021</v>
      </c>
      <c r="G33" s="9">
        <f t="shared" si="25"/>
        <v>12</v>
      </c>
      <c r="H33" s="9">
        <f t="shared" si="25"/>
        <v>23.499999999999993</v>
      </c>
      <c r="I33" s="9">
        <f t="shared" si="25"/>
        <v>22.699999999999918</v>
      </c>
      <c r="J33" s="9">
        <f t="shared" si="25"/>
        <v>57.900000000000134</v>
      </c>
      <c r="K33" s="9">
        <f t="shared" si="25"/>
        <v>24.300000000000011</v>
      </c>
      <c r="L33" s="9">
        <f t="shared" si="25"/>
        <v>35.000000000000036</v>
      </c>
      <c r="M33" s="9">
        <f t="shared" ref="M33:N33" si="26">M26-M32</f>
        <v>41.465999999999987</v>
      </c>
      <c r="N33" s="9">
        <f t="shared" si="26"/>
        <v>70.567200000000014</v>
      </c>
      <c r="S33" s="9">
        <f>S26-S32</f>
        <v>65.199999999999946</v>
      </c>
      <c r="T33" s="9">
        <f>T26-T32</f>
        <v>89.000000000000043</v>
      </c>
      <c r="U33" s="9">
        <f>U26-U32</f>
        <v>116.10000000000005</v>
      </c>
      <c r="V33" s="9">
        <f>V26-V32</f>
        <v>171.33319999999995</v>
      </c>
      <c r="W33" s="9">
        <f>W26-W32</f>
        <v>227.79758999999999</v>
      </c>
      <c r="X33" s="9">
        <f t="shared" ref="X33:AF33" si="27">X26-X32</f>
        <v>277.19544135000001</v>
      </c>
      <c r="Y33" s="9">
        <f t="shared" si="27"/>
        <v>305.45124940799997</v>
      </c>
      <c r="Z33" s="9">
        <f t="shared" si="27"/>
        <v>328.76216127047996</v>
      </c>
      <c r="AA33" s="9">
        <f t="shared" si="27"/>
        <v>349.0067415806941</v>
      </c>
      <c r="AB33" s="9">
        <f t="shared" si="27"/>
        <v>370.3402205955814</v>
      </c>
      <c r="AC33" s="9">
        <f t="shared" si="27"/>
        <v>392.8185928514859</v>
      </c>
      <c r="AD33" s="9">
        <f t="shared" si="27"/>
        <v>416.50068408981031</v>
      </c>
      <c r="AE33" s="9">
        <f t="shared" si="27"/>
        <v>441.44829346142143</v>
      </c>
      <c r="AF33" s="9">
        <f t="shared" si="27"/>
        <v>467.72634285459458</v>
      </c>
    </row>
    <row r="34" spans="2:140" x14ac:dyDescent="0.3">
      <c r="B34" s="2" t="s">
        <v>23</v>
      </c>
      <c r="C34" s="6">
        <f t="shared" ref="C34:C35" si="28">C13</f>
        <v>10</v>
      </c>
      <c r="D34" s="6">
        <f t="shared" ref="D34:E34" si="29">D13-C13</f>
        <v>10.3</v>
      </c>
      <c r="E34" s="6">
        <f t="shared" si="29"/>
        <v>9.8999999999999986</v>
      </c>
      <c r="F34" s="6">
        <f>T34-E13</f>
        <v>9.5999999999999979</v>
      </c>
      <c r="G34" s="6">
        <f t="shared" ref="G34:G35" si="30">G13</f>
        <v>8.8000000000000007</v>
      </c>
      <c r="H34" s="6">
        <f t="shared" ref="H34:I34" si="31">H13-G13</f>
        <v>14.399999999999999</v>
      </c>
      <c r="I34" s="6">
        <f t="shared" si="31"/>
        <v>10.7</v>
      </c>
      <c r="J34" s="6">
        <f>U34-I13</f>
        <v>7.8999999999999986</v>
      </c>
      <c r="K34" s="6">
        <f t="shared" ref="K34:K35" si="32">K13</f>
        <v>9.6999999999999993</v>
      </c>
      <c r="L34" s="6">
        <f>L13-K13</f>
        <v>7.6999999999999993</v>
      </c>
      <c r="M34" s="6">
        <v>8</v>
      </c>
      <c r="N34" s="6">
        <v>10</v>
      </c>
      <c r="S34" s="6">
        <v>41.7</v>
      </c>
      <c r="T34" s="6">
        <v>39.799999999999997</v>
      </c>
      <c r="U34" s="6">
        <v>41.8</v>
      </c>
      <c r="V34" s="6">
        <f t="shared" ref="V34:V35" si="33">SUM(K34:N34)</f>
        <v>35.4</v>
      </c>
      <c r="W34" s="6">
        <f>V34*1.03</f>
        <v>36.461999999999996</v>
      </c>
      <c r="X34" s="6">
        <f t="shared" ref="X34:AF34" si="34">W34*1.03</f>
        <v>37.555859999999996</v>
      </c>
      <c r="Y34" s="6">
        <f t="shared" si="34"/>
        <v>38.682535799999997</v>
      </c>
      <c r="Z34" s="6">
        <f t="shared" si="34"/>
        <v>39.843011873999998</v>
      </c>
      <c r="AA34" s="6">
        <f t="shared" si="34"/>
        <v>41.038302230219998</v>
      </c>
      <c r="AB34" s="6">
        <f t="shared" si="34"/>
        <v>42.269451297126601</v>
      </c>
      <c r="AC34" s="6">
        <f t="shared" si="34"/>
        <v>43.5375348360404</v>
      </c>
      <c r="AD34" s="6">
        <f t="shared" si="34"/>
        <v>44.843660881121615</v>
      </c>
      <c r="AE34" s="6">
        <f t="shared" si="34"/>
        <v>46.188970707555264</v>
      </c>
      <c r="AF34" s="6">
        <f t="shared" si="34"/>
        <v>47.574639828781926</v>
      </c>
    </row>
    <row r="35" spans="2:140" x14ac:dyDescent="0.3">
      <c r="B35" s="2" t="s">
        <v>24</v>
      </c>
      <c r="C35" s="6">
        <f t="shared" si="28"/>
        <v>0.5</v>
      </c>
      <c r="D35" s="6">
        <f t="shared" ref="D35:E35" si="35">D14-C14</f>
        <v>0.60000000000000009</v>
      </c>
      <c r="E35" s="6">
        <f t="shared" si="35"/>
        <v>-2</v>
      </c>
      <c r="F35" s="6">
        <f>T35-E14</f>
        <v>3.5</v>
      </c>
      <c r="G35" s="6">
        <f t="shared" si="30"/>
        <v>-0.7</v>
      </c>
      <c r="H35" s="6">
        <f t="shared" ref="H35:I35" si="36">H14-G14</f>
        <v>-7.1</v>
      </c>
      <c r="I35" s="6">
        <f t="shared" si="36"/>
        <v>7.3999999999999995</v>
      </c>
      <c r="J35" s="6">
        <f>U35-I14</f>
        <v>-20.100000000000001</v>
      </c>
      <c r="K35" s="6">
        <f t="shared" si="32"/>
        <v>9.9</v>
      </c>
      <c r="L35" s="6">
        <f>L14-K14</f>
        <v>1</v>
      </c>
      <c r="M35" s="6">
        <v>0</v>
      </c>
      <c r="N35" s="6">
        <v>0</v>
      </c>
      <c r="S35" s="6">
        <v>8.6999999999999993</v>
      </c>
      <c r="T35" s="6">
        <v>2.6</v>
      </c>
      <c r="U35" s="6">
        <v>-20.5</v>
      </c>
      <c r="V35" s="6">
        <f t="shared" si="33"/>
        <v>10.9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</row>
    <row r="36" spans="2:140" s="1" customFormat="1" x14ac:dyDescent="0.3">
      <c r="B36" s="1" t="s">
        <v>25</v>
      </c>
      <c r="C36" s="9">
        <f t="shared" ref="C36:L36" si="37">C33-C34-C35</f>
        <v>-3.7999999999999901</v>
      </c>
      <c r="D36" s="9">
        <f t="shared" si="37"/>
        <v>14.299999999999953</v>
      </c>
      <c r="E36" s="9">
        <f t="shared" si="37"/>
        <v>17.200000000000053</v>
      </c>
      <c r="F36" s="9">
        <f t="shared" si="37"/>
        <v>18.900000000000023</v>
      </c>
      <c r="G36" s="9">
        <f t="shared" si="37"/>
        <v>3.8999999999999995</v>
      </c>
      <c r="H36" s="9">
        <f t="shared" si="37"/>
        <v>16.199999999999996</v>
      </c>
      <c r="I36" s="9">
        <f t="shared" si="37"/>
        <v>4.5999999999999188</v>
      </c>
      <c r="J36" s="9">
        <f t="shared" si="37"/>
        <v>70.100000000000136</v>
      </c>
      <c r="K36" s="9">
        <f t="shared" si="37"/>
        <v>4.7000000000000117</v>
      </c>
      <c r="L36" s="9">
        <f t="shared" si="37"/>
        <v>26.300000000000036</v>
      </c>
      <c r="M36" s="9">
        <f t="shared" ref="M36:N36" si="38">M33-M34-M35</f>
        <v>33.465999999999987</v>
      </c>
      <c r="N36" s="9">
        <f t="shared" si="38"/>
        <v>60.567200000000014</v>
      </c>
      <c r="S36" s="9">
        <f>S33-S34-S35</f>
        <v>14.799999999999944</v>
      </c>
      <c r="T36" s="9">
        <f>T33-T34-T35</f>
        <v>46.600000000000044</v>
      </c>
      <c r="U36" s="9">
        <f>U33-U34-U35</f>
        <v>94.800000000000054</v>
      </c>
      <c r="V36" s="9">
        <f>V33-V34-V35</f>
        <v>125.03319999999994</v>
      </c>
      <c r="W36" s="9">
        <f>W33-W34-W35</f>
        <v>191.33559</v>
      </c>
      <c r="X36" s="9">
        <f t="shared" ref="X36:AF36" si="39">X33-X34-X35</f>
        <v>239.63958135000001</v>
      </c>
      <c r="Y36" s="9">
        <f t="shared" si="39"/>
        <v>266.76871360799998</v>
      </c>
      <c r="Z36" s="9">
        <f t="shared" si="39"/>
        <v>288.91914939647995</v>
      </c>
      <c r="AA36" s="9">
        <f t="shared" si="39"/>
        <v>307.96843935047411</v>
      </c>
      <c r="AB36" s="9">
        <f t="shared" si="39"/>
        <v>328.07076929845482</v>
      </c>
      <c r="AC36" s="9">
        <f t="shared" si="39"/>
        <v>349.28105801544552</v>
      </c>
      <c r="AD36" s="9">
        <f t="shared" si="39"/>
        <v>371.65702320868871</v>
      </c>
      <c r="AE36" s="9">
        <f t="shared" si="39"/>
        <v>395.25932275386617</v>
      </c>
      <c r="AF36" s="9">
        <f t="shared" si="39"/>
        <v>420.15170302581265</v>
      </c>
    </row>
    <row r="37" spans="2:140" x14ac:dyDescent="0.3">
      <c r="B37" s="2" t="s">
        <v>26</v>
      </c>
      <c r="C37" s="6">
        <f>C16</f>
        <v>-1.9</v>
      </c>
      <c r="D37" s="6">
        <f>D16-C16</f>
        <v>6.6999999999999993</v>
      </c>
      <c r="E37" s="6">
        <f>E16-D16</f>
        <v>4.0000000000000009</v>
      </c>
      <c r="F37" s="6">
        <f>T37-E16</f>
        <v>5.5</v>
      </c>
      <c r="G37" s="6">
        <f>G16</f>
        <v>6.6</v>
      </c>
      <c r="H37" s="6">
        <f>H16-G16</f>
        <v>6.1</v>
      </c>
      <c r="I37" s="6">
        <f>I16-H16</f>
        <v>5.1000000000000014</v>
      </c>
      <c r="J37" s="6">
        <f>U37-I16</f>
        <v>22.099999999999998</v>
      </c>
      <c r="K37" s="6">
        <f>K16</f>
        <v>4</v>
      </c>
      <c r="L37" s="6">
        <f>L16-K16</f>
        <v>-4.2</v>
      </c>
      <c r="M37" s="6">
        <f>M36*0.3</f>
        <v>10.039799999999996</v>
      </c>
      <c r="N37" s="6">
        <f>N36*0.3</f>
        <v>18.170160000000003</v>
      </c>
      <c r="S37" s="6">
        <v>-1.4</v>
      </c>
      <c r="T37" s="6">
        <v>14.3</v>
      </c>
      <c r="U37" s="6">
        <v>39.9</v>
      </c>
      <c r="V37" s="6">
        <f t="shared" ref="V37:V38" si="40">SUM(K37:N37)</f>
        <v>28.00996</v>
      </c>
      <c r="W37" s="6">
        <f>W36*0.25</f>
        <v>47.833897499999999</v>
      </c>
      <c r="X37" s="6">
        <f t="shared" ref="X37:AF37" si="41">X36*0.25</f>
        <v>59.909895337500004</v>
      </c>
      <c r="Y37" s="6">
        <f t="shared" si="41"/>
        <v>66.692178401999996</v>
      </c>
      <c r="Z37" s="6">
        <f t="shared" si="41"/>
        <v>72.229787349119988</v>
      </c>
      <c r="AA37" s="6">
        <f t="shared" si="41"/>
        <v>76.992109837618528</v>
      </c>
      <c r="AB37" s="6">
        <f t="shared" si="41"/>
        <v>82.017692324613705</v>
      </c>
      <c r="AC37" s="6">
        <f t="shared" si="41"/>
        <v>87.320264503861381</v>
      </c>
      <c r="AD37" s="6">
        <f t="shared" si="41"/>
        <v>92.914255802172178</v>
      </c>
      <c r="AE37" s="6">
        <f t="shared" si="41"/>
        <v>98.814830688466543</v>
      </c>
      <c r="AF37" s="6">
        <f t="shared" si="41"/>
        <v>105.03792575645316</v>
      </c>
    </row>
    <row r="38" spans="2:140" x14ac:dyDescent="0.3">
      <c r="B38" s="2" t="s">
        <v>28</v>
      </c>
      <c r="C38" s="6">
        <f>C17</f>
        <v>0</v>
      </c>
      <c r="D38" s="6">
        <f>D17-C17</f>
        <v>0</v>
      </c>
      <c r="E38" s="6">
        <f>E17-D17</f>
        <v>0</v>
      </c>
      <c r="F38" s="6">
        <f>T38-E17</f>
        <v>0</v>
      </c>
      <c r="G38" s="6">
        <f>G17-F17</f>
        <v>0</v>
      </c>
      <c r="H38" s="6">
        <f>H17-G17</f>
        <v>0</v>
      </c>
      <c r="I38" s="6">
        <f>I17-H17</f>
        <v>0</v>
      </c>
      <c r="J38" s="6">
        <f>U38-I17</f>
        <v>1.4</v>
      </c>
      <c r="K38" s="6">
        <f>K17-J17</f>
        <v>-0.1</v>
      </c>
      <c r="L38" s="6">
        <f>L17-K17</f>
        <v>0.30000000000000004</v>
      </c>
      <c r="M38" s="6">
        <v>0</v>
      </c>
      <c r="N38" s="6">
        <v>0</v>
      </c>
      <c r="S38" s="6">
        <v>0</v>
      </c>
      <c r="T38" s="6">
        <v>0</v>
      </c>
      <c r="U38" s="6">
        <v>1.4</v>
      </c>
      <c r="V38" s="6">
        <f t="shared" si="40"/>
        <v>0.20000000000000004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</row>
    <row r="39" spans="2:140" s="1" customFormat="1" x14ac:dyDescent="0.3">
      <c r="B39" s="1" t="s">
        <v>27</v>
      </c>
      <c r="C39" s="9">
        <f t="shared" ref="C39:L39" si="42">C36-C37-C38</f>
        <v>-1.8999999999999901</v>
      </c>
      <c r="D39" s="9">
        <f t="shared" si="42"/>
        <v>7.5999999999999535</v>
      </c>
      <c r="E39" s="9">
        <f t="shared" si="42"/>
        <v>13.200000000000053</v>
      </c>
      <c r="F39" s="9">
        <f t="shared" si="42"/>
        <v>13.400000000000023</v>
      </c>
      <c r="G39" s="9">
        <f t="shared" si="42"/>
        <v>-2.7</v>
      </c>
      <c r="H39" s="9">
        <f t="shared" si="42"/>
        <v>10.099999999999996</v>
      </c>
      <c r="I39" s="9">
        <f t="shared" si="42"/>
        <v>-0.5000000000000826</v>
      </c>
      <c r="J39" s="9">
        <f t="shared" si="42"/>
        <v>46.600000000000144</v>
      </c>
      <c r="K39" s="9">
        <f t="shared" si="42"/>
        <v>0.8000000000000117</v>
      </c>
      <c r="L39" s="9">
        <f t="shared" si="42"/>
        <v>30.200000000000035</v>
      </c>
      <c r="M39" s="9">
        <f t="shared" ref="M39:N39" si="43">M36-M37-M38</f>
        <v>23.426199999999991</v>
      </c>
      <c r="N39" s="9">
        <f t="shared" si="43"/>
        <v>42.397040000000011</v>
      </c>
      <c r="S39" s="9">
        <f>S36-S37-S38</f>
        <v>16.199999999999942</v>
      </c>
      <c r="T39" s="9">
        <f>T36-T37-T38</f>
        <v>32.30000000000004</v>
      </c>
      <c r="U39" s="9">
        <f>U36-U37-U38</f>
        <v>53.500000000000057</v>
      </c>
      <c r="V39" s="9">
        <f>V36-V37-V38</f>
        <v>96.823239999999927</v>
      </c>
      <c r="W39" s="9">
        <f>W36-W37-W38</f>
        <v>143.50169249999999</v>
      </c>
      <c r="X39" s="9">
        <f t="shared" ref="X39:AF39" si="44">X36-X37-X38</f>
        <v>179.7296860125</v>
      </c>
      <c r="Y39" s="9">
        <f t="shared" si="44"/>
        <v>200.07653520599999</v>
      </c>
      <c r="Z39" s="9">
        <f t="shared" si="44"/>
        <v>216.68936204735996</v>
      </c>
      <c r="AA39" s="9">
        <f t="shared" si="44"/>
        <v>230.97632951285559</v>
      </c>
      <c r="AB39" s="9">
        <f t="shared" si="44"/>
        <v>246.05307697384112</v>
      </c>
      <c r="AC39" s="9">
        <f t="shared" si="44"/>
        <v>261.96079351158414</v>
      </c>
      <c r="AD39" s="9">
        <f t="shared" si="44"/>
        <v>278.74276740651652</v>
      </c>
      <c r="AE39" s="9">
        <f t="shared" si="44"/>
        <v>296.44449206539963</v>
      </c>
      <c r="AF39" s="9">
        <f t="shared" si="44"/>
        <v>315.1137772693595</v>
      </c>
      <c r="AG39" s="1">
        <f>AF39*(1+$AI$44)</f>
        <v>311.96263949666593</v>
      </c>
      <c r="AH39" s="1">
        <f t="shared" ref="AH39:CS39" si="45">AG39*(1+$AI$44)</f>
        <v>308.84301310169928</v>
      </c>
      <c r="AI39" s="1">
        <f t="shared" si="45"/>
        <v>305.75458297068229</v>
      </c>
      <c r="AJ39" s="1">
        <f t="shared" si="45"/>
        <v>302.69703714097545</v>
      </c>
      <c r="AK39" s="1">
        <f t="shared" si="45"/>
        <v>299.67006676956572</v>
      </c>
      <c r="AL39" s="1">
        <f t="shared" si="45"/>
        <v>296.67336610187004</v>
      </c>
      <c r="AM39" s="1">
        <f t="shared" si="45"/>
        <v>293.70663244085137</v>
      </c>
      <c r="AN39" s="1">
        <f t="shared" si="45"/>
        <v>290.76956611644283</v>
      </c>
      <c r="AO39" s="1">
        <f t="shared" si="45"/>
        <v>287.86187045527839</v>
      </c>
      <c r="AP39" s="1">
        <f t="shared" si="45"/>
        <v>284.98325175072563</v>
      </c>
      <c r="AQ39" s="1">
        <f t="shared" si="45"/>
        <v>282.13341923321838</v>
      </c>
      <c r="AR39" s="1">
        <f t="shared" si="45"/>
        <v>279.31208504088619</v>
      </c>
      <c r="AS39" s="1">
        <f t="shared" si="45"/>
        <v>276.51896419047733</v>
      </c>
      <c r="AT39" s="1">
        <f t="shared" si="45"/>
        <v>273.75377454857255</v>
      </c>
      <c r="AU39" s="1">
        <f t="shared" si="45"/>
        <v>271.01623680308683</v>
      </c>
      <c r="AV39" s="1">
        <f t="shared" si="45"/>
        <v>268.30607443505596</v>
      </c>
      <c r="AW39" s="1">
        <f t="shared" si="45"/>
        <v>265.62301369070542</v>
      </c>
      <c r="AX39" s="1">
        <f t="shared" si="45"/>
        <v>262.96678355379834</v>
      </c>
      <c r="AY39" s="1">
        <f t="shared" si="45"/>
        <v>260.33711571826035</v>
      </c>
      <c r="AZ39" s="1">
        <f t="shared" si="45"/>
        <v>257.73374456107774</v>
      </c>
      <c r="BA39" s="1">
        <f t="shared" si="45"/>
        <v>255.15640711546698</v>
      </c>
      <c r="BB39" s="1">
        <f t="shared" si="45"/>
        <v>252.6048430443123</v>
      </c>
      <c r="BC39" s="1">
        <f t="shared" si="45"/>
        <v>250.07879461386918</v>
      </c>
      <c r="BD39" s="1">
        <f t="shared" si="45"/>
        <v>247.57800666773048</v>
      </c>
      <c r="BE39" s="1">
        <f t="shared" si="45"/>
        <v>245.10222660105316</v>
      </c>
      <c r="BF39" s="1">
        <f t="shared" si="45"/>
        <v>242.65120433504262</v>
      </c>
      <c r="BG39" s="1">
        <f t="shared" si="45"/>
        <v>240.22469229169218</v>
      </c>
      <c r="BH39" s="1">
        <f t="shared" si="45"/>
        <v>237.82244536877525</v>
      </c>
      <c r="BI39" s="1">
        <f t="shared" si="45"/>
        <v>235.4442209150875</v>
      </c>
      <c r="BJ39" s="1">
        <f t="shared" si="45"/>
        <v>233.08977870593662</v>
      </c>
      <c r="BK39" s="1">
        <f t="shared" si="45"/>
        <v>230.75888091887725</v>
      </c>
      <c r="BL39" s="1">
        <f t="shared" si="45"/>
        <v>228.45129210968847</v>
      </c>
      <c r="BM39" s="1">
        <f t="shared" si="45"/>
        <v>226.16677918859159</v>
      </c>
      <c r="BN39" s="1">
        <f t="shared" si="45"/>
        <v>223.90511139670568</v>
      </c>
      <c r="BO39" s="1">
        <f t="shared" si="45"/>
        <v>221.66606028273861</v>
      </c>
      <c r="BP39" s="1">
        <f t="shared" si="45"/>
        <v>219.44939967991124</v>
      </c>
      <c r="BQ39" s="1">
        <f t="shared" si="45"/>
        <v>217.25490568311213</v>
      </c>
      <c r="BR39" s="1">
        <f t="shared" si="45"/>
        <v>215.08235662628101</v>
      </c>
      <c r="BS39" s="1">
        <f t="shared" si="45"/>
        <v>212.93153306001821</v>
      </c>
      <c r="BT39" s="1">
        <f t="shared" si="45"/>
        <v>210.80221772941803</v>
      </c>
      <c r="BU39" s="1">
        <f t="shared" si="45"/>
        <v>208.69419555212386</v>
      </c>
      <c r="BV39" s="1">
        <f t="shared" si="45"/>
        <v>206.60725359660262</v>
      </c>
      <c r="BW39" s="1">
        <f t="shared" si="45"/>
        <v>204.5411810606366</v>
      </c>
      <c r="BX39" s="1">
        <f t="shared" si="45"/>
        <v>202.49576925003024</v>
      </c>
      <c r="BY39" s="1">
        <f t="shared" si="45"/>
        <v>200.47081155752994</v>
      </c>
      <c r="BZ39" s="1">
        <f t="shared" si="45"/>
        <v>198.46610344195463</v>
      </c>
      <c r="CA39" s="1">
        <f t="shared" si="45"/>
        <v>196.48144240753507</v>
      </c>
      <c r="CB39" s="1">
        <f t="shared" si="45"/>
        <v>194.51662798345973</v>
      </c>
      <c r="CC39" s="1">
        <f t="shared" si="45"/>
        <v>192.57146170362512</v>
      </c>
      <c r="CD39" s="1">
        <f t="shared" si="45"/>
        <v>190.64574708658887</v>
      </c>
      <c r="CE39" s="1">
        <f t="shared" si="45"/>
        <v>188.73928961572298</v>
      </c>
      <c r="CF39" s="1">
        <f t="shared" si="45"/>
        <v>186.85189671956576</v>
      </c>
      <c r="CG39" s="1">
        <f t="shared" si="45"/>
        <v>184.9833777523701</v>
      </c>
      <c r="CH39" s="1">
        <f t="shared" si="45"/>
        <v>183.13354397484639</v>
      </c>
      <c r="CI39" s="1">
        <f t="shared" si="45"/>
        <v>181.30220853509792</v>
      </c>
      <c r="CJ39" s="1">
        <f t="shared" si="45"/>
        <v>179.48918644974694</v>
      </c>
      <c r="CK39" s="1">
        <f t="shared" si="45"/>
        <v>177.69429458524948</v>
      </c>
      <c r="CL39" s="1">
        <f t="shared" si="45"/>
        <v>175.917351639397</v>
      </c>
      <c r="CM39" s="1">
        <f t="shared" si="45"/>
        <v>174.15817812300304</v>
      </c>
      <c r="CN39" s="1">
        <f t="shared" si="45"/>
        <v>172.41659634177302</v>
      </c>
      <c r="CO39" s="1">
        <f t="shared" si="45"/>
        <v>170.69243037835528</v>
      </c>
      <c r="CP39" s="1">
        <f t="shared" si="45"/>
        <v>168.98550607457173</v>
      </c>
      <c r="CQ39" s="1">
        <f t="shared" si="45"/>
        <v>167.29565101382602</v>
      </c>
      <c r="CR39" s="1">
        <f t="shared" si="45"/>
        <v>165.62269450368777</v>
      </c>
      <c r="CS39" s="1">
        <f t="shared" si="45"/>
        <v>163.96646755865089</v>
      </c>
      <c r="CT39" s="1">
        <f t="shared" ref="CT39:EJ39" si="46">CS39*(1+$AI$44)</f>
        <v>162.32680288306437</v>
      </c>
      <c r="CU39" s="1">
        <f t="shared" si="46"/>
        <v>160.70353485423374</v>
      </c>
      <c r="CV39" s="1">
        <f t="shared" si="46"/>
        <v>159.09649950569141</v>
      </c>
      <c r="CW39" s="1">
        <f t="shared" si="46"/>
        <v>157.5055345106345</v>
      </c>
      <c r="CX39" s="1">
        <f t="shared" si="46"/>
        <v>155.93047916552817</v>
      </c>
      <c r="CY39" s="1">
        <f t="shared" si="46"/>
        <v>154.37117437387289</v>
      </c>
      <c r="CZ39" s="1">
        <f t="shared" si="46"/>
        <v>152.82746263013416</v>
      </c>
      <c r="DA39" s="1">
        <f t="shared" si="46"/>
        <v>151.29918800383282</v>
      </c>
      <c r="DB39" s="1">
        <f t="shared" si="46"/>
        <v>149.7861961237945</v>
      </c>
      <c r="DC39" s="1">
        <f t="shared" si="46"/>
        <v>148.28833416255654</v>
      </c>
      <c r="DD39" s="1">
        <f t="shared" si="46"/>
        <v>146.80545082093096</v>
      </c>
      <c r="DE39" s="1">
        <f t="shared" si="46"/>
        <v>145.33739631272164</v>
      </c>
      <c r="DF39" s="1">
        <f t="shared" si="46"/>
        <v>143.88402234959443</v>
      </c>
      <c r="DG39" s="1">
        <f t="shared" si="46"/>
        <v>142.44518212609847</v>
      </c>
      <c r="DH39" s="1">
        <f t="shared" si="46"/>
        <v>141.02073030483749</v>
      </c>
      <c r="DI39" s="1">
        <f t="shared" si="46"/>
        <v>139.61052300178912</v>
      </c>
      <c r="DJ39" s="1">
        <f t="shared" si="46"/>
        <v>138.21441777177122</v>
      </c>
      <c r="DK39" s="1">
        <f t="shared" si="46"/>
        <v>136.8322735940535</v>
      </c>
      <c r="DL39" s="1">
        <f t="shared" si="46"/>
        <v>135.46395085811298</v>
      </c>
      <c r="DM39" s="1">
        <f t="shared" si="46"/>
        <v>134.10931134953185</v>
      </c>
      <c r="DN39" s="1">
        <f t="shared" si="46"/>
        <v>132.76821823603652</v>
      </c>
      <c r="DO39" s="1">
        <f t="shared" si="46"/>
        <v>131.44053605367614</v>
      </c>
      <c r="DP39" s="1">
        <f t="shared" si="46"/>
        <v>130.12613069313937</v>
      </c>
      <c r="DQ39" s="1">
        <f t="shared" si="46"/>
        <v>128.82486938620798</v>
      </c>
      <c r="DR39" s="1">
        <f t="shared" si="46"/>
        <v>127.53662069234589</v>
      </c>
      <c r="DS39" s="1">
        <f t="shared" si="46"/>
        <v>126.26125448542243</v>
      </c>
      <c r="DT39" s="1">
        <f t="shared" si="46"/>
        <v>124.99864194056821</v>
      </c>
      <c r="DU39" s="1">
        <f t="shared" si="46"/>
        <v>123.74865552116252</v>
      </c>
      <c r="DV39" s="1">
        <f t="shared" si="46"/>
        <v>122.51116896595089</v>
      </c>
      <c r="DW39" s="1">
        <f t="shared" si="46"/>
        <v>121.28605727629137</v>
      </c>
      <c r="DX39" s="1">
        <f t="shared" si="46"/>
        <v>120.07319670352845</v>
      </c>
      <c r="DY39" s="1">
        <f t="shared" si="46"/>
        <v>118.87246473649317</v>
      </c>
      <c r="DZ39" s="1">
        <f t="shared" si="46"/>
        <v>117.68374008912824</v>
      </c>
      <c r="EA39" s="1">
        <f t="shared" si="46"/>
        <v>116.50690268823695</v>
      </c>
      <c r="EB39" s="1">
        <f t="shared" si="46"/>
        <v>115.34183366135458</v>
      </c>
      <c r="EC39" s="1">
        <f t="shared" si="46"/>
        <v>114.18841532474104</v>
      </c>
      <c r="ED39" s="1">
        <f t="shared" si="46"/>
        <v>113.04653117149363</v>
      </c>
      <c r="EE39" s="1">
        <f t="shared" si="46"/>
        <v>111.91606585977868</v>
      </c>
      <c r="EF39" s="1">
        <f t="shared" si="46"/>
        <v>110.79690520118089</v>
      </c>
      <c r="EG39" s="1">
        <f t="shared" si="46"/>
        <v>109.68893614916908</v>
      </c>
      <c r="EH39" s="1">
        <f t="shared" si="46"/>
        <v>108.59204678767739</v>
      </c>
      <c r="EI39" s="1">
        <f t="shared" si="46"/>
        <v>107.50612631980061</v>
      </c>
      <c r="EJ39" s="1">
        <f t="shared" si="46"/>
        <v>106.43106505660261</v>
      </c>
    </row>
    <row r="40" spans="2:140" x14ac:dyDescent="0.3">
      <c r="B40" s="2" t="s">
        <v>2</v>
      </c>
      <c r="C40" s="6">
        <v>100</v>
      </c>
      <c r="D40" s="6">
        <v>100</v>
      </c>
      <c r="E40" s="6">
        <v>100</v>
      </c>
      <c r="F40" s="6">
        <v>100</v>
      </c>
      <c r="G40" s="6">
        <v>100</v>
      </c>
      <c r="H40" s="6">
        <v>100</v>
      </c>
      <c r="I40" s="6">
        <v>100</v>
      </c>
      <c r="J40" s="6">
        <v>100</v>
      </c>
      <c r="K40" s="6">
        <v>100</v>
      </c>
      <c r="L40" s="6">
        <v>100</v>
      </c>
      <c r="M40" s="6">
        <v>100</v>
      </c>
      <c r="N40" s="6">
        <v>100</v>
      </c>
      <c r="S40" s="6">
        <v>100</v>
      </c>
      <c r="T40" s="6">
        <v>100</v>
      </c>
      <c r="U40" s="6">
        <v>100</v>
      </c>
      <c r="V40" s="6">
        <v>100</v>
      </c>
      <c r="W40" s="6">
        <v>100</v>
      </c>
      <c r="X40" s="6">
        <v>100</v>
      </c>
      <c r="Y40" s="6">
        <v>100</v>
      </c>
      <c r="Z40" s="6">
        <v>100</v>
      </c>
      <c r="AA40" s="6">
        <v>100</v>
      </c>
      <c r="AB40" s="6">
        <v>100</v>
      </c>
      <c r="AC40" s="6">
        <v>100</v>
      </c>
      <c r="AD40" s="6">
        <v>100</v>
      </c>
      <c r="AE40" s="6">
        <v>100</v>
      </c>
      <c r="AF40" s="6">
        <v>100</v>
      </c>
    </row>
    <row r="41" spans="2:140" x14ac:dyDescent="0.3">
      <c r="B41" s="2" t="s">
        <v>29</v>
      </c>
      <c r="C41" s="8">
        <f t="shared" ref="C41:L41" si="47">C39/C40</f>
        <v>-1.8999999999999902E-2</v>
      </c>
      <c r="D41" s="8">
        <f t="shared" si="47"/>
        <v>7.599999999999954E-2</v>
      </c>
      <c r="E41" s="8">
        <f t="shared" si="47"/>
        <v>0.13200000000000053</v>
      </c>
      <c r="F41" s="8">
        <f t="shared" si="47"/>
        <v>0.13400000000000023</v>
      </c>
      <c r="G41" s="8">
        <f t="shared" si="47"/>
        <v>-2.7000000000000003E-2</v>
      </c>
      <c r="H41" s="8">
        <f t="shared" si="47"/>
        <v>0.10099999999999996</v>
      </c>
      <c r="I41" s="8">
        <f t="shared" si="47"/>
        <v>-5.0000000000008258E-3</v>
      </c>
      <c r="J41" s="8">
        <f t="shared" si="47"/>
        <v>0.46600000000000141</v>
      </c>
      <c r="K41" s="8">
        <f t="shared" si="47"/>
        <v>8.0000000000001164E-3</v>
      </c>
      <c r="L41" s="8">
        <f t="shared" si="47"/>
        <v>0.30200000000000032</v>
      </c>
      <c r="M41" s="8">
        <f t="shared" ref="M41:N41" si="48">M39/M40</f>
        <v>0.23426199999999991</v>
      </c>
      <c r="N41" s="8">
        <f t="shared" si="48"/>
        <v>0.42397040000000014</v>
      </c>
      <c r="S41" s="8">
        <f>S39/S40</f>
        <v>0.16199999999999942</v>
      </c>
      <c r="T41" s="8">
        <f>T39/T40</f>
        <v>0.3230000000000004</v>
      </c>
      <c r="U41" s="8">
        <f>U39/U40</f>
        <v>0.53500000000000059</v>
      </c>
      <c r="V41" s="8">
        <f>V39/V40</f>
        <v>0.96823239999999933</v>
      </c>
      <c r="W41" s="8">
        <f>W39/W40</f>
        <v>1.435016925</v>
      </c>
      <c r="X41" s="8">
        <f t="shared" ref="X41:AF41" si="49">X39/X40</f>
        <v>1.7972968601249999</v>
      </c>
      <c r="Y41" s="8">
        <f t="shared" si="49"/>
        <v>2.0007653520599997</v>
      </c>
      <c r="Z41" s="8">
        <f t="shared" si="49"/>
        <v>2.1668936204735996</v>
      </c>
      <c r="AA41" s="8">
        <f t="shared" si="49"/>
        <v>2.309763295128556</v>
      </c>
      <c r="AB41" s="8">
        <f t="shared" si="49"/>
        <v>2.4605307697384111</v>
      </c>
      <c r="AC41" s="8">
        <f t="shared" si="49"/>
        <v>2.6196079351158414</v>
      </c>
      <c r="AD41" s="8">
        <f t="shared" si="49"/>
        <v>2.7874276740651651</v>
      </c>
      <c r="AE41" s="8">
        <f t="shared" si="49"/>
        <v>2.9644449206539965</v>
      </c>
      <c r="AF41" s="8">
        <f t="shared" si="49"/>
        <v>3.1511377726935952</v>
      </c>
    </row>
    <row r="43" spans="2:140" x14ac:dyDescent="0.3">
      <c r="B43" s="2" t="s">
        <v>41</v>
      </c>
      <c r="C43" s="10"/>
      <c r="D43" s="10"/>
      <c r="E43" s="10"/>
      <c r="F43" s="10"/>
      <c r="G43" s="10">
        <f t="shared" ref="G43:K43" si="50">G24/C24-1</f>
        <v>0.22588963383187211</v>
      </c>
      <c r="H43" s="10">
        <f t="shared" si="50"/>
        <v>0.26028663892741588</v>
      </c>
      <c r="I43" s="10">
        <f t="shared" si="50"/>
        <v>0.10515463917525714</v>
      </c>
      <c r="J43" s="10">
        <f t="shared" si="50"/>
        <v>0.32771260997067486</v>
      </c>
      <c r="K43" s="10">
        <f t="shared" si="50"/>
        <v>0.1468237273874633</v>
      </c>
      <c r="L43" s="10">
        <f>L24/H24-1</f>
        <v>0.27512839325018335</v>
      </c>
      <c r="M43" s="10">
        <f t="shared" ref="M43:N43" si="51">M24/I24-1</f>
        <v>0.19999999999999996</v>
      </c>
      <c r="N43" s="10">
        <f t="shared" si="51"/>
        <v>0.14999999999999991</v>
      </c>
      <c r="S43" s="10"/>
      <c r="T43" s="10">
        <f t="shared" ref="T43" si="52">T24/S24-1</f>
        <v>9.0106007067137783E-2</v>
      </c>
      <c r="U43" s="10">
        <f>U24/T24-1</f>
        <v>0.23230686115613186</v>
      </c>
      <c r="V43" s="10">
        <f t="shared" ref="V43:AF43" si="53">V24/U24-1</f>
        <v>0.19099517755370443</v>
      </c>
      <c r="W43" s="10">
        <f t="shared" si="53"/>
        <v>0.14999999999999991</v>
      </c>
      <c r="X43" s="10">
        <f t="shared" si="53"/>
        <v>0.1100000000000001</v>
      </c>
      <c r="Y43" s="10">
        <f t="shared" si="53"/>
        <v>8.0000000000000071E-2</v>
      </c>
      <c r="Z43" s="10">
        <f t="shared" si="53"/>
        <v>6.0000000000000053E-2</v>
      </c>
      <c r="AA43" s="10">
        <f t="shared" si="53"/>
        <v>5.0000000000000044E-2</v>
      </c>
      <c r="AB43" s="10">
        <f t="shared" si="53"/>
        <v>5.0000000000000044E-2</v>
      </c>
      <c r="AC43" s="10">
        <f t="shared" si="53"/>
        <v>5.0000000000000044E-2</v>
      </c>
      <c r="AD43" s="10">
        <f t="shared" si="53"/>
        <v>5.0000000000000044E-2</v>
      </c>
      <c r="AE43" s="10">
        <f t="shared" si="53"/>
        <v>5.0000000000000044E-2</v>
      </c>
      <c r="AF43" s="10">
        <f t="shared" si="53"/>
        <v>5.0000000000000044E-2</v>
      </c>
    </row>
    <row r="44" spans="2:140" x14ac:dyDescent="0.3">
      <c r="B44" s="2" t="s">
        <v>40</v>
      </c>
      <c r="C44" s="10">
        <f t="shared" ref="C44:K44" si="54">C26/C24</f>
        <v>0.18978855079938117</v>
      </c>
      <c r="D44" s="10">
        <f t="shared" si="54"/>
        <v>0.26028663892741544</v>
      </c>
      <c r="E44" s="10">
        <f t="shared" si="54"/>
        <v>0.22886597938144349</v>
      </c>
      <c r="F44" s="10">
        <f t="shared" si="54"/>
        <v>0.22030791788856316</v>
      </c>
      <c r="G44" s="10">
        <f t="shared" si="54"/>
        <v>0.21034917963819941</v>
      </c>
      <c r="H44" s="10">
        <f t="shared" si="54"/>
        <v>0.23734409391049149</v>
      </c>
      <c r="I44" s="10">
        <f t="shared" si="54"/>
        <v>0.2477611940298505</v>
      </c>
      <c r="J44" s="10">
        <f t="shared" si="54"/>
        <v>0.27222528989508593</v>
      </c>
      <c r="K44" s="10">
        <f t="shared" si="54"/>
        <v>0.24321349963316216</v>
      </c>
      <c r="L44" s="10">
        <f>L26/L24</f>
        <v>0.22986191024165717</v>
      </c>
      <c r="M44" s="10">
        <f t="shared" ref="M44:N44" si="55">M26/M24</f>
        <v>0.26</v>
      </c>
      <c r="N44" s="10">
        <f t="shared" si="55"/>
        <v>0.28000000000000003</v>
      </c>
      <c r="S44" s="10">
        <f t="shared" ref="S44:U44" si="56">S26/S24</f>
        <v>0.19411071849234388</v>
      </c>
      <c r="T44" s="10">
        <f t="shared" si="56"/>
        <v>0.22549972987574288</v>
      </c>
      <c r="U44" s="10">
        <f t="shared" si="56"/>
        <v>0.24524331433581767</v>
      </c>
      <c r="V44" s="10">
        <f t="shared" ref="V44:AF44" si="57">V26/V24</f>
        <v>0.25505171791832615</v>
      </c>
      <c r="W44" s="10">
        <f t="shared" si="57"/>
        <v>0.27</v>
      </c>
      <c r="X44" s="10">
        <f t="shared" si="57"/>
        <v>0.28000000000000003</v>
      </c>
      <c r="Y44" s="10">
        <f t="shared" si="57"/>
        <v>0.28000000000000003</v>
      </c>
      <c r="Z44" s="10">
        <f t="shared" si="57"/>
        <v>0.28000000000000003</v>
      </c>
      <c r="AA44" s="10">
        <f t="shared" si="57"/>
        <v>0.28000000000000003</v>
      </c>
      <c r="AB44" s="10">
        <f t="shared" si="57"/>
        <v>0.28000000000000003</v>
      </c>
      <c r="AC44" s="10">
        <f t="shared" si="57"/>
        <v>0.28000000000000003</v>
      </c>
      <c r="AD44" s="10">
        <f t="shared" si="57"/>
        <v>0.28000000000000003</v>
      </c>
      <c r="AE44" s="10">
        <f t="shared" si="57"/>
        <v>0.28000000000000003</v>
      </c>
      <c r="AF44" s="10">
        <f t="shared" si="57"/>
        <v>0.28000000000000003</v>
      </c>
      <c r="AH44" s="2" t="s">
        <v>46</v>
      </c>
      <c r="AI44" s="10">
        <v>-0.01</v>
      </c>
    </row>
    <row r="45" spans="2:140" x14ac:dyDescent="0.3">
      <c r="B45" s="2" t="s">
        <v>42</v>
      </c>
      <c r="C45" s="10">
        <f t="shared" ref="C45:K45" si="58">C27/C24</f>
        <v>6.8592057761732855E-2</v>
      </c>
      <c r="D45" s="10">
        <f t="shared" si="58"/>
        <v>6.6111881645862236E-2</v>
      </c>
      <c r="E45" s="10">
        <f t="shared" si="58"/>
        <v>5.7319587628865958E-2</v>
      </c>
      <c r="F45" s="10">
        <f t="shared" si="58"/>
        <v>3.7390029325513212E-2</v>
      </c>
      <c r="G45" s="10">
        <f t="shared" si="58"/>
        <v>6.3946150610012617E-2</v>
      </c>
      <c r="H45" s="10">
        <f t="shared" si="58"/>
        <v>5.5759354365370502E-2</v>
      </c>
      <c r="I45" s="10">
        <f t="shared" si="58"/>
        <v>5.6343283582089572E-2</v>
      </c>
      <c r="J45" s="10">
        <f t="shared" si="58"/>
        <v>4.5002760905577019E-2</v>
      </c>
      <c r="K45" s="10">
        <f t="shared" si="58"/>
        <v>6.1628760088041086E-2</v>
      </c>
      <c r="L45" s="10">
        <f>L27/L24</f>
        <v>5.0057537399309557E-2</v>
      </c>
      <c r="M45" s="10">
        <f t="shared" ref="M45:N45" si="59">M27/M24</f>
        <v>4.9999999999999996E-2</v>
      </c>
      <c r="N45" s="10">
        <f t="shared" si="59"/>
        <v>0.04</v>
      </c>
      <c r="S45" s="10">
        <f t="shared" ref="S45:U45" si="60">S27/S24</f>
        <v>5.6654888103651359E-2</v>
      </c>
      <c r="T45" s="10">
        <f t="shared" si="60"/>
        <v>5.586169638033496E-2</v>
      </c>
      <c r="U45" s="10">
        <f t="shared" si="60"/>
        <v>5.4186760192897851E-2</v>
      </c>
      <c r="V45" s="10">
        <f t="shared" ref="V45:AF45" si="61">V27/V24</f>
        <v>4.9281985968063734E-2</v>
      </c>
      <c r="W45" s="10">
        <f t="shared" si="61"/>
        <v>0.05</v>
      </c>
      <c r="X45" s="10">
        <f t="shared" si="61"/>
        <v>5.000000000000001E-2</v>
      </c>
      <c r="Y45" s="10">
        <f t="shared" si="61"/>
        <v>0.05</v>
      </c>
      <c r="Z45" s="10">
        <f t="shared" si="61"/>
        <v>0.05</v>
      </c>
      <c r="AA45" s="10">
        <f t="shared" si="61"/>
        <v>0.05</v>
      </c>
      <c r="AB45" s="10">
        <f t="shared" si="61"/>
        <v>0.05</v>
      </c>
      <c r="AC45" s="10">
        <f t="shared" si="61"/>
        <v>0.05</v>
      </c>
      <c r="AD45" s="10">
        <f t="shared" si="61"/>
        <v>0.05</v>
      </c>
      <c r="AE45" s="10">
        <f t="shared" si="61"/>
        <v>0.05</v>
      </c>
      <c r="AF45" s="10">
        <f t="shared" si="61"/>
        <v>4.9999999999999996E-2</v>
      </c>
      <c r="AH45" s="2" t="s">
        <v>47</v>
      </c>
      <c r="AI45" s="10">
        <v>0.09</v>
      </c>
    </row>
    <row r="46" spans="2:140" x14ac:dyDescent="0.3">
      <c r="B46" s="2" t="s">
        <v>43</v>
      </c>
      <c r="C46" s="10"/>
      <c r="D46" s="10"/>
      <c r="E46" s="10"/>
      <c r="F46" s="10"/>
      <c r="G46" s="10">
        <f t="shared" ref="G46:K46" si="62">G28/C28-1</f>
        <v>0.512820512820513</v>
      </c>
      <c r="H46" s="10">
        <f t="shared" si="62"/>
        <v>0.57861635220125796</v>
      </c>
      <c r="I46" s="10">
        <f t="shared" si="62"/>
        <v>0.33898305084745761</v>
      </c>
      <c r="J46" s="10">
        <f t="shared" si="62"/>
        <v>0.45833333333333348</v>
      </c>
      <c r="K46" s="10">
        <f t="shared" si="62"/>
        <v>-5.508474576271194E-2</v>
      </c>
      <c r="L46" s="10">
        <f>L28/H28-1</f>
        <v>0.12350597609561742</v>
      </c>
      <c r="M46" s="10">
        <f t="shared" ref="M46:N46" si="63">M28/I28-1</f>
        <v>0.10000000000000009</v>
      </c>
      <c r="N46" s="10">
        <f t="shared" si="63"/>
        <v>0.19999999999999996</v>
      </c>
      <c r="S46" s="10"/>
      <c r="T46" s="10">
        <f>T28/S28-1</f>
        <v>0.32530120481927716</v>
      </c>
      <c r="U46" s="10">
        <f>U28/T28-1</f>
        <v>0.46818181818181825</v>
      </c>
      <c r="V46" s="10">
        <f t="shared" ref="V46:AF46" si="64">V28/U28-1</f>
        <v>9.3601651186790535E-2</v>
      </c>
      <c r="W46" s="10">
        <f t="shared" si="64"/>
        <v>7.0000000000000062E-2</v>
      </c>
      <c r="X46" s="10">
        <f t="shared" si="64"/>
        <v>5.0000000000000044E-2</v>
      </c>
      <c r="Y46" s="10">
        <f t="shared" si="64"/>
        <v>3.0000000000000027E-2</v>
      </c>
      <c r="Z46" s="10">
        <f t="shared" si="64"/>
        <v>2.0000000000000018E-2</v>
      </c>
      <c r="AA46" s="10">
        <f t="shared" si="64"/>
        <v>2.0000000000000018E-2</v>
      </c>
      <c r="AB46" s="10">
        <f t="shared" si="64"/>
        <v>2.0000000000000018E-2</v>
      </c>
      <c r="AC46" s="10">
        <f t="shared" si="64"/>
        <v>2.0000000000000018E-2</v>
      </c>
      <c r="AD46" s="10">
        <f t="shared" si="64"/>
        <v>2.0000000000000018E-2</v>
      </c>
      <c r="AE46" s="10">
        <f t="shared" si="64"/>
        <v>2.0000000000000018E-2</v>
      </c>
      <c r="AF46" s="10">
        <f t="shared" si="64"/>
        <v>2.0000000000000018E-2</v>
      </c>
      <c r="AH46" s="2" t="s">
        <v>48</v>
      </c>
      <c r="AI46" s="6">
        <f>NPV(AI45,V39:EJ39)</f>
        <v>2619.3601801964446</v>
      </c>
    </row>
    <row r="47" spans="2:140" x14ac:dyDescent="0.3">
      <c r="B47" s="2" t="s">
        <v>44</v>
      </c>
      <c r="C47" s="10">
        <f t="shared" ref="C47:K47" si="65">C33/C24</f>
        <v>3.4553893759669982E-2</v>
      </c>
      <c r="D47" s="10">
        <f t="shared" si="65"/>
        <v>0.11650485436893183</v>
      </c>
      <c r="E47" s="10">
        <f t="shared" si="65"/>
        <v>0.10350515463917545</v>
      </c>
      <c r="F47" s="10">
        <f t="shared" si="65"/>
        <v>0.11730205278592386</v>
      </c>
      <c r="G47" s="10">
        <f t="shared" si="65"/>
        <v>5.0483803113167858E-2</v>
      </c>
      <c r="H47" s="10">
        <f t="shared" si="65"/>
        <v>8.6206896551724102E-2</v>
      </c>
      <c r="I47" s="10">
        <f t="shared" si="65"/>
        <v>8.4701492537313142E-2</v>
      </c>
      <c r="J47" s="10">
        <f t="shared" si="65"/>
        <v>0.15985643290999482</v>
      </c>
      <c r="K47" s="10">
        <f t="shared" si="65"/>
        <v>8.9141599413059464E-2</v>
      </c>
      <c r="L47" s="10">
        <f>L33/L24</f>
        <v>0.10069044879171471</v>
      </c>
      <c r="M47" s="10">
        <f t="shared" ref="M47:N47" si="66">M33/M24</f>
        <v>0.12893656716417909</v>
      </c>
      <c r="N47" s="10">
        <f t="shared" si="66"/>
        <v>0.16941684872638227</v>
      </c>
      <c r="S47" s="10">
        <f t="shared" ref="S47:U47" si="67">S33/S24</f>
        <v>7.679623085983503E-2</v>
      </c>
      <c r="T47" s="10">
        <f t="shared" si="67"/>
        <v>9.6164235548352295E-2</v>
      </c>
      <c r="U47" s="10">
        <f t="shared" si="67"/>
        <v>0.1017974572555897</v>
      </c>
      <c r="V47" s="10">
        <f t="shared" ref="V47:AF47" si="68">V33/V24</f>
        <v>0.1261351806998299</v>
      </c>
      <c r="W47" s="10">
        <f t="shared" si="68"/>
        <v>0.14582970328974934</v>
      </c>
      <c r="X47" s="10">
        <f t="shared" si="68"/>
        <v>0.1598674221368617</v>
      </c>
      <c r="Y47" s="10">
        <f t="shared" si="68"/>
        <v>0.1631143007416366</v>
      </c>
      <c r="Z47" s="10">
        <f t="shared" si="68"/>
        <v>0.16562507743492882</v>
      </c>
      <c r="AA47" s="10">
        <f t="shared" si="68"/>
        <v>0.16745140063516351</v>
      </c>
      <c r="AB47" s="10">
        <f t="shared" si="68"/>
        <v>0.16922579003542237</v>
      </c>
      <c r="AC47" s="10">
        <f t="shared" si="68"/>
        <v>0.17094972475641176</v>
      </c>
      <c r="AD47" s="10">
        <f t="shared" si="68"/>
        <v>0.17262464174781084</v>
      </c>
      <c r="AE47" s="10">
        <f t="shared" si="68"/>
        <v>0.17425193699145278</v>
      </c>
      <c r="AF47" s="10">
        <f t="shared" si="68"/>
        <v>0.1758329666701606</v>
      </c>
      <c r="AH47" s="2" t="s">
        <v>49</v>
      </c>
      <c r="AI47" s="6">
        <f>Main!D8</f>
        <v>-438.4</v>
      </c>
    </row>
    <row r="48" spans="2:140" x14ac:dyDescent="0.3">
      <c r="B48" s="2" t="s">
        <v>26</v>
      </c>
      <c r="C48" s="10">
        <f t="shared" ref="C48:K48" si="69">C37/C36</f>
        <v>0.50000000000000133</v>
      </c>
      <c r="D48" s="10">
        <f t="shared" si="69"/>
        <v>0.46853146853147004</v>
      </c>
      <c r="E48" s="10">
        <f t="shared" si="69"/>
        <v>0.23255813953488305</v>
      </c>
      <c r="F48" s="10">
        <f t="shared" si="69"/>
        <v>0.29100529100529066</v>
      </c>
      <c r="G48" s="10">
        <f t="shared" si="69"/>
        <v>1.6923076923076925</v>
      </c>
      <c r="H48" s="10">
        <f t="shared" si="69"/>
        <v>0.37654320987654327</v>
      </c>
      <c r="I48" s="10">
        <f t="shared" si="69"/>
        <v>1.1086956521739328</v>
      </c>
      <c r="J48" s="10">
        <f t="shared" si="69"/>
        <v>0.31526390870185383</v>
      </c>
      <c r="K48" s="10">
        <f t="shared" si="69"/>
        <v>0.85106382978723194</v>
      </c>
      <c r="L48" s="10">
        <f>L37/L36</f>
        <v>-0.15969581749049408</v>
      </c>
      <c r="M48" s="10">
        <f t="shared" ref="M48:N48" si="70">M37/M36</f>
        <v>0.3</v>
      </c>
      <c r="N48" s="10">
        <f t="shared" si="70"/>
        <v>0.3</v>
      </c>
      <c r="S48" s="10">
        <f t="shared" ref="S48:U48" si="71">S37/S36</f>
        <v>-9.4594594594594947E-2</v>
      </c>
      <c r="T48" s="10">
        <f t="shared" si="71"/>
        <v>0.30686695278969928</v>
      </c>
      <c r="U48" s="10">
        <f t="shared" si="71"/>
        <v>0.42088607594936683</v>
      </c>
      <c r="V48" s="10">
        <f t="shared" ref="V48:AF48" si="72">V37/V36</f>
        <v>0.22402018024012832</v>
      </c>
      <c r="W48" s="10">
        <f t="shared" si="72"/>
        <v>0.25</v>
      </c>
      <c r="X48" s="10">
        <f t="shared" si="72"/>
        <v>0.25</v>
      </c>
      <c r="Y48" s="10">
        <f t="shared" si="72"/>
        <v>0.25</v>
      </c>
      <c r="Z48" s="10">
        <f t="shared" si="72"/>
        <v>0.25</v>
      </c>
      <c r="AA48" s="10">
        <f t="shared" si="72"/>
        <v>0.25</v>
      </c>
      <c r="AB48" s="10">
        <f t="shared" si="72"/>
        <v>0.25</v>
      </c>
      <c r="AC48" s="10">
        <f t="shared" si="72"/>
        <v>0.25</v>
      </c>
      <c r="AD48" s="10">
        <f t="shared" si="72"/>
        <v>0.25</v>
      </c>
      <c r="AE48" s="10">
        <f t="shared" si="72"/>
        <v>0.25</v>
      </c>
      <c r="AF48" s="10">
        <f t="shared" si="72"/>
        <v>0.25</v>
      </c>
      <c r="AH48" s="2" t="s">
        <v>50</v>
      </c>
      <c r="AI48" s="6">
        <f>AI46+AI47</f>
        <v>2180.9601801964445</v>
      </c>
    </row>
    <row r="49" spans="2:35" x14ac:dyDescent="0.3">
      <c r="B49" s="2" t="s">
        <v>45</v>
      </c>
      <c r="C49" s="10">
        <f t="shared" ref="C49:K49" si="73">C39/C24</f>
        <v>-9.7988653945332137E-3</v>
      </c>
      <c r="D49" s="10">
        <f t="shared" si="73"/>
        <v>3.5136384650947546E-2</v>
      </c>
      <c r="E49" s="10">
        <f t="shared" si="73"/>
        <v>5.4432989690721856E-2</v>
      </c>
      <c r="F49" s="10">
        <f t="shared" si="73"/>
        <v>4.9120234604105667E-2</v>
      </c>
      <c r="G49" s="10">
        <f t="shared" si="73"/>
        <v>-1.1358855700462769E-2</v>
      </c>
      <c r="H49" s="10">
        <f t="shared" si="73"/>
        <v>3.7050623624358014E-2</v>
      </c>
      <c r="I49" s="10">
        <f t="shared" si="73"/>
        <v>-1.8656716417913533E-3</v>
      </c>
      <c r="J49" s="10">
        <f t="shared" si="73"/>
        <v>0.12865819988956415</v>
      </c>
      <c r="K49" s="10">
        <f t="shared" si="73"/>
        <v>2.9347028613353325E-3</v>
      </c>
      <c r="L49" s="10">
        <f>L39/L24</f>
        <v>8.688147295742242E-2</v>
      </c>
      <c r="M49" s="10">
        <f t="shared" ref="M49:N49" si="74">M39/M24</f>
        <v>7.2842661691542285E-2</v>
      </c>
      <c r="N49" s="10">
        <f t="shared" si="74"/>
        <v>0.10178628190046338</v>
      </c>
      <c r="S49" s="10">
        <f t="shared" ref="S49:U49" si="75">S39/S24</f>
        <v>1.9081272084805586E-2</v>
      </c>
      <c r="T49" s="10">
        <f t="shared" si="75"/>
        <v>3.4900054024851475E-2</v>
      </c>
      <c r="U49" s="10">
        <f t="shared" si="75"/>
        <v>4.6909250328803206E-2</v>
      </c>
      <c r="V49" s="10">
        <f t="shared" ref="V49:AF49" si="76">V39/V24</f>
        <v>7.1281087806350396E-2</v>
      </c>
      <c r="W49" s="10">
        <f t="shared" si="76"/>
        <v>9.1865806125744562E-2</v>
      </c>
      <c r="X49" s="10">
        <f t="shared" si="76"/>
        <v>0.10365582292533594</v>
      </c>
      <c r="Y49" s="10">
        <f t="shared" si="76"/>
        <v>0.10684305334545927</v>
      </c>
      <c r="Z49" s="10">
        <f t="shared" si="76"/>
        <v>0.10916460772045018</v>
      </c>
      <c r="AA49" s="10">
        <f t="shared" si="76"/>
        <v>0.110821096794069</v>
      </c>
      <c r="AB49" s="10">
        <f t="shared" si="76"/>
        <v>0.11243317367630702</v>
      </c>
      <c r="AC49" s="10">
        <f t="shared" si="76"/>
        <v>0.11400205174276828</v>
      </c>
      <c r="AD49" s="10">
        <f t="shared" si="76"/>
        <v>0.11552891075916599</v>
      </c>
      <c r="AE49" s="10">
        <f t="shared" si="76"/>
        <v>0.1170148978214535</v>
      </c>
      <c r="AF49" s="10">
        <f t="shared" si="76"/>
        <v>0.11846112826947743</v>
      </c>
      <c r="AH49" s="2" t="s">
        <v>51</v>
      </c>
      <c r="AI49" s="3">
        <f>AI48/AF40</f>
        <v>21.809601801964444</v>
      </c>
    </row>
    <row r="50" spans="2:35" x14ac:dyDescent="0.3">
      <c r="AH50" s="2" t="s">
        <v>52</v>
      </c>
      <c r="AI50" s="3">
        <f>Main!D3</f>
        <v>66.63</v>
      </c>
    </row>
    <row r="51" spans="2:35" x14ac:dyDescent="0.3">
      <c r="AH51" s="1" t="s">
        <v>53</v>
      </c>
      <c r="AI51" s="11">
        <f>AI49/AI50-1</f>
        <v>-0.67267594474014047</v>
      </c>
    </row>
    <row r="52" spans="2:35" s="12" customFormat="1" x14ac:dyDescent="0.3">
      <c r="B52" s="12" t="s">
        <v>56</v>
      </c>
      <c r="L52" s="12">
        <v>1620</v>
      </c>
      <c r="AH52" s="12" t="s">
        <v>54</v>
      </c>
      <c r="AI52" s="13" t="s">
        <v>55</v>
      </c>
    </row>
    <row r="54" spans="2:35" x14ac:dyDescent="0.3">
      <c r="B54" s="2" t="s">
        <v>57</v>
      </c>
      <c r="L54" s="14">
        <f>Main!D9/Model!L52</f>
        <v>4.3835802469135796</v>
      </c>
    </row>
    <row r="55" spans="2:35" x14ac:dyDescent="0.3">
      <c r="B55" s="2" t="s">
        <v>58</v>
      </c>
      <c r="L55" s="10">
        <f>L52/Main!D9-1</f>
        <v>-0.77187596811896242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2025-09-03T13:53:50Z</dcterms:created>
  <dcterms:modified xsi:type="dcterms:W3CDTF">2025-10-04T09:47:08Z</dcterms:modified>
</cp:coreProperties>
</file>