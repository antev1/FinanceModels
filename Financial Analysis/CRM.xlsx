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1D7507A-EA28-4929-AA4F-B7E98EF35AB9}" xr6:coauthVersionLast="47" xr6:coauthVersionMax="47" xr10:uidLastSave="{00000000-0000-0000-0000-000000000000}"/>
  <bookViews>
    <workbookView xWindow="-108" yWindow="-108" windowWidth="23256" windowHeight="12576" activeTab="1" xr2:uid="{A12E68CC-70F9-45A5-9F33-23BEFCB58B5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11" i="2" l="1"/>
  <c r="BI11" i="2"/>
  <c r="BH11" i="2"/>
  <c r="BG11" i="2"/>
  <c r="BF11" i="2"/>
  <c r="BE11" i="2"/>
  <c r="BD11" i="2"/>
  <c r="BC11" i="2"/>
  <c r="BB11" i="2"/>
  <c r="BI32" i="2"/>
  <c r="BH32" i="2"/>
  <c r="BG32" i="2"/>
  <c r="BF32" i="2"/>
  <c r="BA11" i="2"/>
  <c r="BJ9" i="2"/>
  <c r="BI9" i="2"/>
  <c r="BH9" i="2"/>
  <c r="BG9" i="2"/>
  <c r="BF9" i="2"/>
  <c r="BE9" i="2"/>
  <c r="BD9" i="2"/>
  <c r="BC9" i="2"/>
  <c r="BB9" i="2"/>
  <c r="BA9" i="2"/>
  <c r="AL10" i="2"/>
  <c r="AL12" i="2"/>
  <c r="AL33" i="2"/>
  <c r="AL11" i="2"/>
  <c r="AL3" i="2"/>
  <c r="AZ3" i="2" s="1"/>
  <c r="BA3" i="2" s="1"/>
  <c r="BB3" i="2" s="1"/>
  <c r="BC3" i="2" s="1"/>
  <c r="AL4" i="2"/>
  <c r="AL7" i="2" s="1"/>
  <c r="AL28" i="2" s="1"/>
  <c r="D7" i="1"/>
  <c r="D6" i="1"/>
  <c r="AY35" i="2"/>
  <c r="AX35" i="2"/>
  <c r="AW35" i="2"/>
  <c r="AV35" i="2"/>
  <c r="AU35" i="2"/>
  <c r="AT35" i="2"/>
  <c r="AS35" i="2"/>
  <c r="AR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K28" i="2"/>
  <c r="AI21" i="2"/>
  <c r="AZ17" i="2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AZ16" i="2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AZ13" i="2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AL17" i="2"/>
  <c r="AK33" i="2"/>
  <c r="AK31" i="2"/>
  <c r="BJ32" i="2"/>
  <c r="BJ26" i="2"/>
  <c r="BI26" i="2"/>
  <c r="BH26" i="2"/>
  <c r="BG26" i="2"/>
  <c r="BF26" i="2"/>
  <c r="BG5" i="2"/>
  <c r="BH5" i="2" s="1"/>
  <c r="BI5" i="2" s="1"/>
  <c r="BJ5" i="2" s="1"/>
  <c r="BF5" i="2"/>
  <c r="AJ28" i="2"/>
  <c r="AY28" i="2"/>
  <c r="AX28" i="2"/>
  <c r="AW28" i="2"/>
  <c r="AV28" i="2"/>
  <c r="AY27" i="2"/>
  <c r="AX27" i="2"/>
  <c r="AW27" i="2"/>
  <c r="AV27" i="2"/>
  <c r="AY25" i="2"/>
  <c r="AX25" i="2"/>
  <c r="AW25" i="2"/>
  <c r="AY24" i="2"/>
  <c r="AX24" i="2"/>
  <c r="AW24" i="2"/>
  <c r="AJ27" i="2"/>
  <c r="AY14" i="2"/>
  <c r="AX14" i="2"/>
  <c r="AW14" i="2"/>
  <c r="AV14" i="2"/>
  <c r="AV8" i="2"/>
  <c r="AV19" i="2"/>
  <c r="AV17" i="2"/>
  <c r="AV16" i="2"/>
  <c r="AV13" i="2"/>
  <c r="AV12" i="2"/>
  <c r="AV11" i="2"/>
  <c r="AV10" i="2"/>
  <c r="AW5" i="2"/>
  <c r="AW9" i="2" s="1"/>
  <c r="AV5" i="2"/>
  <c r="AV7" i="2"/>
  <c r="AV6" i="2"/>
  <c r="AV4" i="2"/>
  <c r="AV3" i="2"/>
  <c r="AW8" i="2"/>
  <c r="AW19" i="2"/>
  <c r="AW17" i="2"/>
  <c r="AW16" i="2"/>
  <c r="AW13" i="2"/>
  <c r="AW12" i="2"/>
  <c r="AW11" i="2"/>
  <c r="AW10" i="2"/>
  <c r="AW7" i="2"/>
  <c r="AW6" i="2"/>
  <c r="AW4" i="2"/>
  <c r="AW3" i="2"/>
  <c r="AX8" i="2"/>
  <c r="AX19" i="2"/>
  <c r="AX17" i="2"/>
  <c r="AX16" i="2"/>
  <c r="AX13" i="2"/>
  <c r="AX12" i="2"/>
  <c r="AX11" i="2"/>
  <c r="AX10" i="2"/>
  <c r="AX7" i="2"/>
  <c r="AX6" i="2"/>
  <c r="AX5" i="2"/>
  <c r="AX4" i="2"/>
  <c r="AX3" i="2"/>
  <c r="AY5" i="2"/>
  <c r="AY19" i="2"/>
  <c r="AY17" i="2"/>
  <c r="AY16" i="2"/>
  <c r="AY13" i="2"/>
  <c r="AY12" i="2"/>
  <c r="AY11" i="2"/>
  <c r="AY10" i="2"/>
  <c r="AY7" i="2"/>
  <c r="AY6" i="2"/>
  <c r="AY4" i="2"/>
  <c r="AY3" i="2"/>
  <c r="AZ4" i="2"/>
  <c r="BA4" i="2" s="1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AH28" i="2"/>
  <c r="AH27" i="2"/>
  <c r="AJ24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AH24" i="2"/>
  <c r="AG24" i="2"/>
  <c r="AF24" i="2"/>
  <c r="AE24" i="2"/>
  <c r="AD24" i="2"/>
  <c r="AC24" i="2"/>
  <c r="AB24" i="2"/>
  <c r="AA24" i="2"/>
  <c r="Z24" i="2"/>
  <c r="Y24" i="2"/>
  <c r="X24" i="2"/>
  <c r="W24" i="2"/>
  <c r="Q8" i="2"/>
  <c r="Q5" i="2"/>
  <c r="Q9" i="2" s="1"/>
  <c r="S14" i="2"/>
  <c r="S8" i="2"/>
  <c r="S5" i="2"/>
  <c r="W14" i="2"/>
  <c r="W8" i="2"/>
  <c r="W5" i="2"/>
  <c r="W32" i="2" s="1"/>
  <c r="T14" i="2"/>
  <c r="T8" i="2"/>
  <c r="T5" i="2"/>
  <c r="X14" i="2"/>
  <c r="X8" i="2"/>
  <c r="X5" i="2"/>
  <c r="X32" i="2" s="1"/>
  <c r="U14" i="2"/>
  <c r="U8" i="2"/>
  <c r="U5" i="2"/>
  <c r="U32" i="2" s="1"/>
  <c r="Y14" i="2"/>
  <c r="Y8" i="2"/>
  <c r="Y5" i="2"/>
  <c r="Y32" i="2" s="1"/>
  <c r="V14" i="2"/>
  <c r="V8" i="2"/>
  <c r="V5" i="2"/>
  <c r="V32" i="2" s="1"/>
  <c r="Z14" i="2"/>
  <c r="Z8" i="2"/>
  <c r="Z5" i="2"/>
  <c r="AA14" i="2"/>
  <c r="AA8" i="2"/>
  <c r="AA5" i="2"/>
  <c r="AA32" i="2" s="1"/>
  <c r="AE14" i="2"/>
  <c r="AE8" i="2"/>
  <c r="AE5" i="2"/>
  <c r="AE26" i="2" s="1"/>
  <c r="AB14" i="2"/>
  <c r="AB8" i="2"/>
  <c r="AB5" i="2"/>
  <c r="AB32" i="2" s="1"/>
  <c r="AF14" i="2"/>
  <c r="AF8" i="2"/>
  <c r="AF5" i="2"/>
  <c r="AC14" i="2"/>
  <c r="AC8" i="2"/>
  <c r="AC5" i="2"/>
  <c r="AG14" i="2"/>
  <c r="AG8" i="2"/>
  <c r="AG5" i="2"/>
  <c r="AD8" i="2"/>
  <c r="AH8" i="2"/>
  <c r="AD14" i="2"/>
  <c r="AH14" i="2"/>
  <c r="AD5" i="2"/>
  <c r="AH5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T33" i="2"/>
  <c r="S33" i="2"/>
  <c r="AG32" i="2"/>
  <c r="T32" i="2"/>
  <c r="S32" i="2"/>
  <c r="AL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T31" i="2"/>
  <c r="S31" i="2"/>
  <c r="T26" i="2"/>
  <c r="S26" i="2"/>
  <c r="R33" i="2"/>
  <c r="P33" i="2"/>
  <c r="O33" i="2"/>
  <c r="N33" i="2"/>
  <c r="M33" i="2"/>
  <c r="L33" i="2"/>
  <c r="K33" i="2"/>
  <c r="J33" i="2"/>
  <c r="I33" i="2"/>
  <c r="H33" i="2"/>
  <c r="G33" i="2"/>
  <c r="R31" i="2"/>
  <c r="P31" i="2"/>
  <c r="O31" i="2"/>
  <c r="N31" i="2"/>
  <c r="M31" i="2"/>
  <c r="L31" i="2"/>
  <c r="K31" i="2"/>
  <c r="J31" i="2"/>
  <c r="I31" i="2"/>
  <c r="H31" i="2"/>
  <c r="G31" i="2"/>
  <c r="R9" i="2"/>
  <c r="BM36" i="2"/>
  <c r="Q33" i="2"/>
  <c r="Q31" i="2"/>
  <c r="AU17" i="2"/>
  <c r="AU16" i="2"/>
  <c r="AT19" i="2"/>
  <c r="AT17" i="2"/>
  <c r="AT16" i="2"/>
  <c r="AT12" i="2"/>
  <c r="AT10" i="2"/>
  <c r="AT8" i="2"/>
  <c r="AT5" i="2"/>
  <c r="AS19" i="2"/>
  <c r="AS17" i="2"/>
  <c r="AS12" i="2"/>
  <c r="AS11" i="2"/>
  <c r="AS10" i="2"/>
  <c r="AS8" i="2"/>
  <c r="AS5" i="2"/>
  <c r="AR19" i="2"/>
  <c r="AR17" i="2"/>
  <c r="AR12" i="2"/>
  <c r="AR11" i="2"/>
  <c r="AR10" i="2"/>
  <c r="AR8" i="2"/>
  <c r="AR5" i="2"/>
  <c r="P32" i="2"/>
  <c r="O32" i="2"/>
  <c r="N32" i="2"/>
  <c r="M32" i="2"/>
  <c r="K32" i="2"/>
  <c r="J32" i="2"/>
  <c r="I32" i="2"/>
  <c r="H32" i="2"/>
  <c r="G32" i="2"/>
  <c r="F32" i="2"/>
  <c r="E32" i="2"/>
  <c r="D32" i="2"/>
  <c r="C32" i="2"/>
  <c r="P26" i="2"/>
  <c r="O26" i="2"/>
  <c r="N26" i="2"/>
  <c r="M26" i="2"/>
  <c r="L26" i="2"/>
  <c r="K26" i="2"/>
  <c r="J26" i="2"/>
  <c r="I26" i="2"/>
  <c r="H26" i="2"/>
  <c r="G26" i="2"/>
  <c r="F16" i="2"/>
  <c r="F14" i="2"/>
  <c r="F9" i="2"/>
  <c r="F29" i="2" s="1"/>
  <c r="E16" i="2"/>
  <c r="E14" i="2"/>
  <c r="E9" i="2"/>
  <c r="D16" i="2"/>
  <c r="D14" i="2"/>
  <c r="D9" i="2"/>
  <c r="D29" i="2" s="1"/>
  <c r="C16" i="2"/>
  <c r="C14" i="2"/>
  <c r="C9" i="2"/>
  <c r="C29" i="2" s="1"/>
  <c r="G16" i="2"/>
  <c r="AS16" i="2" s="1"/>
  <c r="G14" i="2"/>
  <c r="G9" i="2"/>
  <c r="G29" i="2" s="1"/>
  <c r="H14" i="2"/>
  <c r="H9" i="2"/>
  <c r="H29" i="2" s="1"/>
  <c r="I14" i="2"/>
  <c r="I9" i="2"/>
  <c r="I29" i="2" s="1"/>
  <c r="M14" i="2"/>
  <c r="M9" i="2"/>
  <c r="M29" i="2" s="1"/>
  <c r="J14" i="2"/>
  <c r="J9" i="2"/>
  <c r="J29" i="2" s="1"/>
  <c r="N14" i="2"/>
  <c r="N9" i="2"/>
  <c r="N29" i="2" s="1"/>
  <c r="K14" i="2"/>
  <c r="K9" i="2"/>
  <c r="K29" i="2" s="1"/>
  <c r="O14" i="2"/>
  <c r="O9" i="2"/>
  <c r="O29" i="2" s="1"/>
  <c r="L11" i="2"/>
  <c r="AT11" i="2" s="1"/>
  <c r="L9" i="2"/>
  <c r="L29" i="2" s="1"/>
  <c r="P14" i="2"/>
  <c r="P9" i="2"/>
  <c r="P29" i="2" s="1"/>
  <c r="D5" i="1"/>
  <c r="F3" i="1"/>
  <c r="AZ7" i="2" l="1"/>
  <c r="AZ28" i="2" s="1"/>
  <c r="AK8" i="2"/>
  <c r="AL6" i="2"/>
  <c r="AK24" i="2"/>
  <c r="AJ8" i="2"/>
  <c r="AZ12" i="2"/>
  <c r="AJ33" i="2"/>
  <c r="AJ31" i="2"/>
  <c r="AZ10" i="2"/>
  <c r="BA10" i="2" s="1"/>
  <c r="BB10" i="2" s="1"/>
  <c r="BB4" i="2"/>
  <c r="BA25" i="2"/>
  <c r="AZ25" i="2"/>
  <c r="AI28" i="2"/>
  <c r="AI24" i="2"/>
  <c r="BA24" i="2"/>
  <c r="AZ24" i="2"/>
  <c r="D8" i="1"/>
  <c r="BM33" i="2" s="1"/>
  <c r="AK27" i="2"/>
  <c r="AY8" i="2"/>
  <c r="AY9" i="2" s="1"/>
  <c r="AH26" i="2"/>
  <c r="AJ5" i="2"/>
  <c r="AJ26" i="2" s="1"/>
  <c r="AI5" i="2"/>
  <c r="AI32" i="2" s="1"/>
  <c r="AK5" i="2"/>
  <c r="AL5" i="2"/>
  <c r="AL24" i="2"/>
  <c r="S9" i="2"/>
  <c r="S29" i="2" s="1"/>
  <c r="AC26" i="2"/>
  <c r="X9" i="2"/>
  <c r="X29" i="2" s="1"/>
  <c r="X26" i="2"/>
  <c r="W26" i="2"/>
  <c r="AE32" i="2"/>
  <c r="AA26" i="2"/>
  <c r="W9" i="2"/>
  <c r="T9" i="2"/>
  <c r="T15" i="2" s="1"/>
  <c r="U9" i="2"/>
  <c r="U29" i="2" s="1"/>
  <c r="Y26" i="2"/>
  <c r="Y9" i="2"/>
  <c r="Y29" i="2" s="1"/>
  <c r="V26" i="2"/>
  <c r="V9" i="2"/>
  <c r="Z26" i="2"/>
  <c r="Z9" i="2"/>
  <c r="Z15" i="2" s="1"/>
  <c r="Z18" i="2" s="1"/>
  <c r="Z32" i="2"/>
  <c r="AD26" i="2"/>
  <c r="AA9" i="2"/>
  <c r="AE9" i="2"/>
  <c r="AE29" i="2" s="1"/>
  <c r="AB26" i="2"/>
  <c r="AB9" i="2"/>
  <c r="AF26" i="2"/>
  <c r="AF9" i="2"/>
  <c r="AF32" i="2"/>
  <c r="AC9" i="2"/>
  <c r="AC32" i="2"/>
  <c r="AG26" i="2"/>
  <c r="AG9" i="2"/>
  <c r="AD9" i="2"/>
  <c r="AD32" i="2"/>
  <c r="AH9" i="2"/>
  <c r="AH15" i="2" s="1"/>
  <c r="AH18" i="2" s="1"/>
  <c r="AH32" i="2"/>
  <c r="U31" i="2"/>
  <c r="U33" i="2"/>
  <c r="U26" i="2"/>
  <c r="AS33" i="2"/>
  <c r="AS31" i="2"/>
  <c r="AT33" i="2"/>
  <c r="AT31" i="2"/>
  <c r="AT32" i="2"/>
  <c r="AS32" i="2"/>
  <c r="P15" i="2"/>
  <c r="P30" i="2" s="1"/>
  <c r="E15" i="2"/>
  <c r="E18" i="2" s="1"/>
  <c r="E20" i="2" s="1"/>
  <c r="E22" i="2" s="1"/>
  <c r="AR32" i="2"/>
  <c r="AS26" i="2"/>
  <c r="AT26" i="2"/>
  <c r="E29" i="2"/>
  <c r="AR16" i="2"/>
  <c r="R29" i="2"/>
  <c r="AU10" i="2"/>
  <c r="L14" i="2"/>
  <c r="L15" i="2" s="1"/>
  <c r="G15" i="2"/>
  <c r="AU12" i="2"/>
  <c r="R32" i="2"/>
  <c r="AU5" i="2"/>
  <c r="AZ5" i="2" s="1"/>
  <c r="BA5" i="2" s="1"/>
  <c r="BB5" i="2" s="1"/>
  <c r="BC5" i="2" s="1"/>
  <c r="BD5" i="2" s="1"/>
  <c r="BE5" i="2" s="1"/>
  <c r="L32" i="2"/>
  <c r="AR9" i="2"/>
  <c r="AR29" i="2" s="1"/>
  <c r="Q14" i="2"/>
  <c r="R26" i="2"/>
  <c r="Q26" i="2"/>
  <c r="AT14" i="2"/>
  <c r="AT9" i="2"/>
  <c r="AT29" i="2" s="1"/>
  <c r="AS14" i="2"/>
  <c r="AS9" i="2"/>
  <c r="AS29" i="2" s="1"/>
  <c r="AR14" i="2"/>
  <c r="F15" i="2"/>
  <c r="D15" i="2"/>
  <c r="C15" i="2"/>
  <c r="H15" i="2"/>
  <c r="I15" i="2"/>
  <c r="M15" i="2"/>
  <c r="J15" i="2"/>
  <c r="N15" i="2"/>
  <c r="K15" i="2"/>
  <c r="O15" i="2"/>
  <c r="AL27" i="2" l="1"/>
  <c r="AL8" i="2"/>
  <c r="AL9" i="2" s="1"/>
  <c r="AL29" i="2" s="1"/>
  <c r="AL26" i="2"/>
  <c r="AK26" i="2"/>
  <c r="AK14" i="2"/>
  <c r="AK9" i="2"/>
  <c r="AK29" i="2" s="1"/>
  <c r="AZ11" i="2"/>
  <c r="AZ14" i="2" s="1"/>
  <c r="AJ9" i="2"/>
  <c r="AJ29" i="2" s="1"/>
  <c r="BC4" i="2"/>
  <c r="BB25" i="2"/>
  <c r="AZ6" i="2"/>
  <c r="AI8" i="2"/>
  <c r="AI9" i="2" s="1"/>
  <c r="AI29" i="2" s="1"/>
  <c r="AI27" i="2"/>
  <c r="AI14" i="2"/>
  <c r="AI26" i="2"/>
  <c r="BB24" i="2"/>
  <c r="D9" i="1"/>
  <c r="X15" i="2"/>
  <c r="X18" i="2" s="1"/>
  <c r="S15" i="2"/>
  <c r="S30" i="2"/>
  <c r="S18" i="2"/>
  <c r="W15" i="2"/>
  <c r="W29" i="2"/>
  <c r="T29" i="2"/>
  <c r="T18" i="2"/>
  <c r="T30" i="2"/>
  <c r="U15" i="2"/>
  <c r="U30" i="2" s="1"/>
  <c r="Y15" i="2"/>
  <c r="Y30" i="2" s="1"/>
  <c r="V15" i="2"/>
  <c r="V29" i="2"/>
  <c r="Z30" i="2"/>
  <c r="Z29" i="2"/>
  <c r="Z20" i="2"/>
  <c r="Z22" i="2" s="1"/>
  <c r="Z34" i="2"/>
  <c r="AA29" i="2"/>
  <c r="AA15" i="2"/>
  <c r="AE15" i="2"/>
  <c r="AE30" i="2" s="1"/>
  <c r="AB29" i="2"/>
  <c r="AB15" i="2"/>
  <c r="AF29" i="2"/>
  <c r="AF15" i="2"/>
  <c r="AC29" i="2"/>
  <c r="AC15" i="2"/>
  <c r="AG29" i="2"/>
  <c r="AG15" i="2"/>
  <c r="AD29" i="2"/>
  <c r="AD15" i="2"/>
  <c r="AH29" i="2"/>
  <c r="AH30" i="2"/>
  <c r="AH20" i="2"/>
  <c r="AH22" i="2" s="1"/>
  <c r="AH34" i="2"/>
  <c r="E34" i="2"/>
  <c r="E30" i="2"/>
  <c r="AU33" i="2"/>
  <c r="AV31" i="2"/>
  <c r="AU31" i="2"/>
  <c r="P18" i="2"/>
  <c r="P20" i="2" s="1"/>
  <c r="P22" i="2" s="1"/>
  <c r="AU11" i="2"/>
  <c r="AU32" i="2" s="1"/>
  <c r="Q32" i="2"/>
  <c r="R14" i="2"/>
  <c r="R15" i="2" s="1"/>
  <c r="R18" i="2" s="1"/>
  <c r="AR15" i="2"/>
  <c r="AR18" i="2" s="1"/>
  <c r="O18" i="2"/>
  <c r="O30" i="2"/>
  <c r="D18" i="2"/>
  <c r="D30" i="2"/>
  <c r="K18" i="2"/>
  <c r="K30" i="2"/>
  <c r="N18" i="2"/>
  <c r="N30" i="2"/>
  <c r="L18" i="2"/>
  <c r="L30" i="2"/>
  <c r="F18" i="2"/>
  <c r="F30" i="2"/>
  <c r="AW31" i="2"/>
  <c r="I18" i="2"/>
  <c r="I30" i="2"/>
  <c r="AU26" i="2"/>
  <c r="M18" i="2"/>
  <c r="M30" i="2"/>
  <c r="H18" i="2"/>
  <c r="H30" i="2"/>
  <c r="G18" i="2"/>
  <c r="G30" i="2"/>
  <c r="J18" i="2"/>
  <c r="J30" i="2"/>
  <c r="C18" i="2"/>
  <c r="C30" i="2"/>
  <c r="AT15" i="2"/>
  <c r="AS15" i="2"/>
  <c r="AK32" i="2" l="1"/>
  <c r="AL32" i="2"/>
  <c r="AL14" i="2"/>
  <c r="AL15" i="2" s="1"/>
  <c r="AK15" i="2"/>
  <c r="AJ14" i="2"/>
  <c r="AJ15" i="2" s="1"/>
  <c r="AJ32" i="2"/>
  <c r="BC25" i="2"/>
  <c r="BD4" i="2"/>
  <c r="AI15" i="2"/>
  <c r="AI30" i="2" s="1"/>
  <c r="AZ8" i="2"/>
  <c r="AZ27" i="2"/>
  <c r="BD3" i="2"/>
  <c r="BE3" i="2" s="1"/>
  <c r="BF3" i="2" s="1"/>
  <c r="BG3" i="2" s="1"/>
  <c r="BH3" i="2" s="1"/>
  <c r="BI3" i="2" s="1"/>
  <c r="BJ3" i="2" s="1"/>
  <c r="BC24" i="2"/>
  <c r="X30" i="2"/>
  <c r="S34" i="2"/>
  <c r="S20" i="2"/>
  <c r="S22" i="2" s="1"/>
  <c r="W18" i="2"/>
  <c r="W30" i="2"/>
  <c r="T34" i="2"/>
  <c r="T20" i="2"/>
  <c r="T22" i="2" s="1"/>
  <c r="X34" i="2"/>
  <c r="X20" i="2"/>
  <c r="X22" i="2" s="1"/>
  <c r="U18" i="2"/>
  <c r="U34" i="2" s="1"/>
  <c r="Y18" i="2"/>
  <c r="Y34" i="2" s="1"/>
  <c r="V18" i="2"/>
  <c r="V30" i="2"/>
  <c r="AA18" i="2"/>
  <c r="AA30" i="2"/>
  <c r="AE18" i="2"/>
  <c r="AE20" i="2" s="1"/>
  <c r="AE22" i="2" s="1"/>
  <c r="AB30" i="2"/>
  <c r="AB18" i="2"/>
  <c r="AF18" i="2"/>
  <c r="AF30" i="2"/>
  <c r="AC30" i="2"/>
  <c r="AC18" i="2"/>
  <c r="AG18" i="2"/>
  <c r="AG30" i="2"/>
  <c r="AD18" i="2"/>
  <c r="AD30" i="2"/>
  <c r="P34" i="2"/>
  <c r="AV33" i="2"/>
  <c r="R30" i="2"/>
  <c r="AR30" i="2"/>
  <c r="AU14" i="2"/>
  <c r="C20" i="2"/>
  <c r="C22" i="2" s="1"/>
  <c r="C34" i="2"/>
  <c r="J20" i="2"/>
  <c r="J22" i="2" s="1"/>
  <c r="J34" i="2"/>
  <c r="D20" i="2"/>
  <c r="D22" i="2" s="1"/>
  <c r="D34" i="2"/>
  <c r="AX31" i="2"/>
  <c r="AR20" i="2"/>
  <c r="AR22" i="2" s="1"/>
  <c r="AR34" i="2"/>
  <c r="AS18" i="2"/>
  <c r="AS30" i="2"/>
  <c r="K20" i="2"/>
  <c r="K22" i="2" s="1"/>
  <c r="K34" i="2"/>
  <c r="F20" i="2"/>
  <c r="F22" i="2" s="1"/>
  <c r="F34" i="2"/>
  <c r="AT18" i="2"/>
  <c r="AT30" i="2"/>
  <c r="G20" i="2"/>
  <c r="G22" i="2" s="1"/>
  <c r="G34" i="2"/>
  <c r="L20" i="2"/>
  <c r="L22" i="2" s="1"/>
  <c r="L34" i="2"/>
  <c r="O20" i="2"/>
  <c r="O22" i="2" s="1"/>
  <c r="O34" i="2"/>
  <c r="M20" i="2"/>
  <c r="M22" i="2" s="1"/>
  <c r="M34" i="2"/>
  <c r="AV9" i="2"/>
  <c r="AV26" i="2"/>
  <c r="H20" i="2"/>
  <c r="H22" i="2" s="1"/>
  <c r="H34" i="2"/>
  <c r="I20" i="2"/>
  <c r="I22" i="2" s="1"/>
  <c r="I34" i="2"/>
  <c r="N20" i="2"/>
  <c r="N22" i="2" s="1"/>
  <c r="N34" i="2"/>
  <c r="AL18" i="2" l="1"/>
  <c r="AL30" i="2"/>
  <c r="AK18" i="2"/>
  <c r="AK30" i="2"/>
  <c r="AJ18" i="2"/>
  <c r="AJ30" i="2"/>
  <c r="AI18" i="2"/>
  <c r="BD25" i="2"/>
  <c r="BE4" i="2"/>
  <c r="BD24" i="2"/>
  <c r="W34" i="2"/>
  <c r="W20" i="2"/>
  <c r="W22" i="2" s="1"/>
  <c r="U20" i="2"/>
  <c r="U22" i="2" s="1"/>
  <c r="Y20" i="2"/>
  <c r="Y22" i="2" s="1"/>
  <c r="V34" i="2"/>
  <c r="V20" i="2"/>
  <c r="V22" i="2" s="1"/>
  <c r="AA20" i="2"/>
  <c r="AA22" i="2" s="1"/>
  <c r="AA34" i="2"/>
  <c r="AE34" i="2"/>
  <c r="AB20" i="2"/>
  <c r="AB22" i="2" s="1"/>
  <c r="AB34" i="2"/>
  <c r="AF34" i="2"/>
  <c r="AF20" i="2"/>
  <c r="AF22" i="2" s="1"/>
  <c r="AC20" i="2"/>
  <c r="AC22" i="2" s="1"/>
  <c r="AC34" i="2"/>
  <c r="AG20" i="2"/>
  <c r="AG22" i="2" s="1"/>
  <c r="AG34" i="2"/>
  <c r="AD34" i="2"/>
  <c r="AD20" i="2"/>
  <c r="AD22" i="2" s="1"/>
  <c r="AW33" i="2"/>
  <c r="R34" i="2"/>
  <c r="R20" i="2"/>
  <c r="R22" i="2" s="1"/>
  <c r="AY31" i="2"/>
  <c r="AV32" i="2"/>
  <c r="AV15" i="2"/>
  <c r="AV29" i="2"/>
  <c r="AW26" i="2"/>
  <c r="AT20" i="2"/>
  <c r="AT22" i="2" s="1"/>
  <c r="AT34" i="2"/>
  <c r="AS20" i="2"/>
  <c r="AS22" i="2" s="1"/>
  <c r="AS34" i="2"/>
  <c r="AL19" i="2" l="1"/>
  <c r="AL34" i="2" s="1"/>
  <c r="AK20" i="2"/>
  <c r="AK34" i="2"/>
  <c r="AJ34" i="2"/>
  <c r="BE25" i="2"/>
  <c r="BF4" i="2"/>
  <c r="BE24" i="2"/>
  <c r="AI34" i="2"/>
  <c r="AI20" i="2"/>
  <c r="AI22" i="2" s="1"/>
  <c r="AX33" i="2"/>
  <c r="AV18" i="2"/>
  <c r="AV30" i="2"/>
  <c r="AW29" i="2"/>
  <c r="AW32" i="2"/>
  <c r="AW15" i="2"/>
  <c r="AZ31" i="2"/>
  <c r="AX26" i="2"/>
  <c r="AK22" i="2" l="1"/>
  <c r="AK35" i="2"/>
  <c r="AL20" i="2"/>
  <c r="AZ19" i="2"/>
  <c r="AJ20" i="2"/>
  <c r="AJ22" i="2" s="1"/>
  <c r="BF25" i="2"/>
  <c r="BG4" i="2"/>
  <c r="BF24" i="2"/>
  <c r="AY33" i="2"/>
  <c r="AX32" i="2"/>
  <c r="AY26" i="2"/>
  <c r="AV34" i="2"/>
  <c r="AW18" i="2"/>
  <c r="AW30" i="2"/>
  <c r="AY29" i="2"/>
  <c r="AL22" i="2" l="1"/>
  <c r="AL35" i="2"/>
  <c r="BG25" i="2"/>
  <c r="BH4" i="2"/>
  <c r="BG24" i="2"/>
  <c r="BA31" i="2"/>
  <c r="BA12" i="2"/>
  <c r="AZ33" i="2"/>
  <c r="AV20" i="2"/>
  <c r="AZ26" i="2"/>
  <c r="AW34" i="2"/>
  <c r="AY32" i="2"/>
  <c r="AY15" i="2"/>
  <c r="BH25" i="2" l="1"/>
  <c r="BI4" i="2"/>
  <c r="BH24" i="2"/>
  <c r="BB12" i="2"/>
  <c r="BC12" i="2" s="1"/>
  <c r="BD12" i="2" s="1"/>
  <c r="BE12" i="2" s="1"/>
  <c r="BF12" i="2" s="1"/>
  <c r="BA14" i="2"/>
  <c r="BC10" i="2"/>
  <c r="BD10" i="2" s="1"/>
  <c r="BE10" i="2" s="1"/>
  <c r="BF10" i="2" s="1"/>
  <c r="BG10" i="2" s="1"/>
  <c r="BH10" i="2" s="1"/>
  <c r="BI10" i="2" s="1"/>
  <c r="BJ10" i="2" s="1"/>
  <c r="BB14" i="2"/>
  <c r="BB31" i="2"/>
  <c r="BA33" i="2"/>
  <c r="AV22" i="2"/>
  <c r="AW20" i="2"/>
  <c r="AW22" i="2" s="1"/>
  <c r="AY18" i="2"/>
  <c r="AY30" i="2"/>
  <c r="AZ32" i="2"/>
  <c r="BA26" i="2"/>
  <c r="BI25" i="2" l="1"/>
  <c r="BJ4" i="2"/>
  <c r="BJ25" i="2" s="1"/>
  <c r="BJ24" i="2"/>
  <c r="BI24" i="2"/>
  <c r="BF33" i="2"/>
  <c r="BG12" i="2"/>
  <c r="BC14" i="2"/>
  <c r="BC31" i="2"/>
  <c r="BB33" i="2"/>
  <c r="BB26" i="2"/>
  <c r="BA32" i="2"/>
  <c r="AY34" i="2"/>
  <c r="BH12" i="2" l="1"/>
  <c r="BG33" i="2"/>
  <c r="BD14" i="2"/>
  <c r="BD31" i="2"/>
  <c r="BC33" i="2"/>
  <c r="AY20" i="2"/>
  <c r="AY22" i="2" s="1"/>
  <c r="BB32" i="2"/>
  <c r="BC26" i="2"/>
  <c r="BI12" i="2" l="1"/>
  <c r="BH33" i="2"/>
  <c r="BF31" i="2"/>
  <c r="BF14" i="2"/>
  <c r="BE31" i="2"/>
  <c r="BE33" i="2"/>
  <c r="BD33" i="2"/>
  <c r="BC32" i="2"/>
  <c r="BE14" i="2"/>
  <c r="BD26" i="2"/>
  <c r="BJ12" i="2" l="1"/>
  <c r="BJ33" i="2" s="1"/>
  <c r="BI33" i="2"/>
  <c r="BG31" i="2"/>
  <c r="BG14" i="2"/>
  <c r="BD32" i="2"/>
  <c r="BE26" i="2"/>
  <c r="BH31" i="2" l="1"/>
  <c r="BH14" i="2"/>
  <c r="BE32" i="2"/>
  <c r="BI31" i="2" l="1"/>
  <c r="BI14" i="2"/>
  <c r="BJ14" i="2" l="1"/>
  <c r="BJ31" i="2"/>
  <c r="Q15" i="2" l="1"/>
  <c r="Q18" i="2" s="1"/>
  <c r="AU8" i="2"/>
  <c r="AU9" i="2" s="1"/>
  <c r="Q29" i="2"/>
  <c r="Q20" i="2" l="1"/>
  <c r="Q22" i="2" s="1"/>
  <c r="AU15" i="2"/>
  <c r="AU29" i="2"/>
  <c r="Q30" i="2"/>
  <c r="AU30" i="2" l="1"/>
  <c r="AU18" i="2"/>
  <c r="Q34" i="2"/>
  <c r="AU19" i="2"/>
  <c r="AU34" i="2" l="1"/>
  <c r="AU20" i="2"/>
  <c r="AU22" i="2" l="1"/>
  <c r="AX9" i="2" l="1"/>
  <c r="AX15" i="2" s="1"/>
  <c r="AX18" i="2" l="1"/>
  <c r="AX30" i="2"/>
  <c r="AX29" i="2"/>
  <c r="AX20" i="2" l="1"/>
  <c r="AX34" i="2"/>
  <c r="AX22" i="2" l="1"/>
  <c r="BA15" i="2"/>
  <c r="BA18" i="2" s="1"/>
  <c r="BA8" i="2"/>
  <c r="BA29" i="2"/>
  <c r="BA19" i="2" l="1"/>
  <c r="BA34" i="2" s="1"/>
  <c r="BA30" i="2"/>
  <c r="BA20" i="2" l="1"/>
  <c r="BG29" i="2"/>
  <c r="BE29" i="2"/>
  <c r="BC29" i="2"/>
  <c r="BF15" i="2"/>
  <c r="BF30" i="2" s="1"/>
  <c r="BE8" i="2"/>
  <c r="BE15" i="2"/>
  <c r="BE30" i="2" s="1"/>
  <c r="BH29" i="2"/>
  <c r="BB15" i="2"/>
  <c r="BB30" i="2" s="1"/>
  <c r="BD15" i="2"/>
  <c r="BD30" i="2" s="1"/>
  <c r="BJ29" i="2"/>
  <c r="BF8" i="2"/>
  <c r="BF29" i="2"/>
  <c r="BI29" i="2"/>
  <c r="BB8" i="2"/>
  <c r="BB29" i="2"/>
  <c r="BD8" i="2"/>
  <c r="BD29" i="2"/>
  <c r="BG8" i="2"/>
  <c r="BG15" i="2"/>
  <c r="BG30" i="2" s="1"/>
  <c r="BH8" i="2"/>
  <c r="BH15" i="2"/>
  <c r="BH30" i="2" s="1"/>
  <c r="BC8" i="2"/>
  <c r="BC15" i="2"/>
  <c r="BC18" i="2" s="1"/>
  <c r="BI8" i="2"/>
  <c r="BI15" i="2"/>
  <c r="BI30" i="2" s="1"/>
  <c r="BJ8" i="2"/>
  <c r="BJ15" i="2"/>
  <c r="BJ30" i="2" s="1"/>
  <c r="BA22" i="2" l="1"/>
  <c r="BA35" i="2"/>
  <c r="BI18" i="2"/>
  <c r="BI19" i="2" s="1"/>
  <c r="BI34" i="2" s="1"/>
  <c r="BG18" i="2"/>
  <c r="BG19" i="2" s="1"/>
  <c r="BG34" i="2" s="1"/>
  <c r="BC30" i="2"/>
  <c r="BJ18" i="2"/>
  <c r="BJ19" i="2" s="1"/>
  <c r="BJ34" i="2" s="1"/>
  <c r="BC19" i="2"/>
  <c r="BC34" i="2" s="1"/>
  <c r="BH18" i="2"/>
  <c r="BF18" i="2"/>
  <c r="BD18" i="2"/>
  <c r="BE18" i="2"/>
  <c r="BB18" i="2"/>
  <c r="BG20" i="2" l="1"/>
  <c r="BI20" i="2"/>
  <c r="BC20" i="2"/>
  <c r="BJ20" i="2"/>
  <c r="BE19" i="2"/>
  <c r="BE34" i="2" s="1"/>
  <c r="BF19" i="2"/>
  <c r="BF34" i="2" s="1"/>
  <c r="BB19" i="2"/>
  <c r="BB34" i="2" s="1"/>
  <c r="BD19" i="2"/>
  <c r="BD34" i="2" s="1"/>
  <c r="BH19" i="2"/>
  <c r="BH34" i="2" s="1"/>
  <c r="BC22" i="2" l="1"/>
  <c r="BC35" i="2"/>
  <c r="BJ22" i="2"/>
  <c r="BJ35" i="2"/>
  <c r="BI22" i="2"/>
  <c r="BI35" i="2"/>
  <c r="BG22" i="2"/>
  <c r="BG35" i="2"/>
  <c r="BK20" i="2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Q20" i="2" s="1"/>
  <c r="ER20" i="2" s="1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FC20" i="2" s="1"/>
  <c r="FD20" i="2" s="1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FO20" i="2" s="1"/>
  <c r="FP20" i="2" s="1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GJ20" i="2" s="1"/>
  <c r="GK20" i="2" s="1"/>
  <c r="GL20" i="2" s="1"/>
  <c r="GM20" i="2" s="1"/>
  <c r="GN20" i="2" s="1"/>
  <c r="BH20" i="2"/>
  <c r="BE20" i="2"/>
  <c r="BD20" i="2"/>
  <c r="BB20" i="2"/>
  <c r="BF20" i="2"/>
  <c r="AZ9" i="2"/>
  <c r="AZ15" i="2" s="1"/>
  <c r="BF22" i="2" l="1"/>
  <c r="BF35" i="2"/>
  <c r="BB22" i="2"/>
  <c r="BB35" i="2"/>
  <c r="BD22" i="2"/>
  <c r="BD35" i="2"/>
  <c r="BE22" i="2"/>
  <c r="BE35" i="2"/>
  <c r="BH22" i="2"/>
  <c r="BH35" i="2"/>
  <c r="AZ18" i="2"/>
  <c r="AZ30" i="2"/>
  <c r="AZ29" i="2"/>
  <c r="AZ34" i="2" l="1"/>
  <c r="AZ20" i="2"/>
  <c r="BM32" i="2" l="1"/>
  <c r="BM34" i="2" s="1"/>
  <c r="BM35" i="2" s="1"/>
  <c r="BM37" i="2" s="1"/>
  <c r="AZ35" i="2"/>
  <c r="AZ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L11" authorId="0" shapeId="0" xr:uid="{4D574867-93C7-4B4B-BB51-9280AD9C9CB7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+loss on settlement</t>
        </r>
      </text>
    </comment>
  </commentList>
</comments>
</file>

<file path=xl/sharedStrings.xml><?xml version="1.0" encoding="utf-8"?>
<sst xmlns="http://schemas.openxmlformats.org/spreadsheetml/2006/main" count="92" uniqueCount="87">
  <si>
    <t>CRM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</si>
  <si>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</si>
  <si>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</si>
  <si>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</si>
  <si>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</si>
  <si>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</si>
  <si>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</si>
  <si>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</si>
  <si>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</si>
  <si>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</si>
  <si>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</si>
  <si>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</si>
  <si>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</si>
  <si>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</si>
  <si>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</si>
  <si>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</si>
  <si>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</si>
  <si>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</si>
  <si>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</si>
  <si>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</si>
  <si>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</si>
  <si>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</si>
  <si>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</si>
  <si>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Cost of sales</t>
  </si>
  <si>
    <t>Gross profit</t>
  </si>
  <si>
    <t>R&amp;D</t>
  </si>
  <si>
    <t>S&amp;M</t>
  </si>
  <si>
    <t>G&amp;A</t>
  </si>
  <si>
    <t>Operating expenses</t>
  </si>
  <si>
    <t>Operating profit</t>
  </si>
  <si>
    <t>Finance income</t>
  </si>
  <si>
    <t>Pretax profit</t>
  </si>
  <si>
    <t>Taxes</t>
  </si>
  <si>
    <t>Net profit</t>
  </si>
  <si>
    <t>EPS</t>
  </si>
  <si>
    <t>Q117</t>
  </si>
  <si>
    <t>Q217</t>
  </si>
  <si>
    <t>Q317</t>
  </si>
  <si>
    <t>Q417</t>
  </si>
  <si>
    <t>Revenue y/y</t>
  </si>
  <si>
    <t>Gross Margin</t>
  </si>
  <si>
    <t>Operating Margin</t>
  </si>
  <si>
    <t>S&amp;M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</si>
  <si>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</si>
  <si>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</si>
  <si>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</si>
  <si>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</si>
  <si>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</si>
  <si>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</si>
  <si>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</si>
  <si>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</si>
  <si>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</si>
  <si>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Earnings</t>
  </si>
  <si>
    <t>R&amp;D y/y</t>
  </si>
  <si>
    <t>G&amp;A y/y</t>
  </si>
  <si>
    <t>Q424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</si>
  <si>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</si>
  <si>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</si>
  <si>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</si>
  <si>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</si>
  <si>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</si>
  <si>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</si>
  <si>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</si>
  <si>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</si>
  <si>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</si>
  <si>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</si>
  <si>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</si>
  <si>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</si>
  <si>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</si>
  <si>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</si>
  <si>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</si>
  <si>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</si>
  <si>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</si>
  <si>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</si>
  <si>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</si>
  <si>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Product revenue</t>
  </si>
  <si>
    <t>Service revenue</t>
  </si>
  <si>
    <t>Product cost</t>
  </si>
  <si>
    <t>Service cost</t>
  </si>
  <si>
    <t>Restructuring</t>
  </si>
  <si>
    <t>Service revenue y/y</t>
  </si>
  <si>
    <t>Product revenue y/y</t>
  </si>
  <si>
    <t>Product Margin</t>
  </si>
  <si>
    <t>Service Margin</t>
  </si>
  <si>
    <t>Net Margin</t>
  </si>
  <si>
    <t>Other income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</si>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</sst>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4" fontId="1" fillId="0" borderId="0" xfId="0" applyNumberFormat="1" applyFont="1"/>
    <xf numFmtId="9" fontId="0" fillId="0" borderId="0" xfId="0" applyNumberFormat="1"/>
    <xf numFmtId="3" fontId="1" fillId="0" borderId="0" xfId="0" applyNumberFormat="1" applyFont="1"/>
    <xf numFmtId="9" fontId="1" fillId="0" borderId="0" xfId="0" applyNumberFormat="1" applyFont="1"/>
    <xf numFmtId="164" fontId="0" fillId="0" borderId="0" xfId="0" applyNumberForma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22860</xdr:colOff>
      <xdr:row>0</xdr:row>
      <xdr:rowOff>0</xdr:rowOff>
    </xdr:from>
    <xdr:to>
      <xdr:col>51</xdr:col>
      <xdr:colOff>22860</xdr:colOff>
      <xdr:row>40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BD1381C-096D-C960-5EC3-F237B21F50CC}"/>
            </a:ext>
          </a:extLst>
        </xdr:cNvPr>
        <xdr:cNvCxnSpPr/>
      </xdr:nvCxnSpPr>
      <xdr:spPr>
        <a:xfrm>
          <a:off x="37802820" y="0"/>
          <a:ext cx="0" cy="7421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30480</xdr:colOff>
      <xdr:row>0</xdr:row>
      <xdr:rowOff>15240</xdr:rowOff>
    </xdr:from>
    <xdr:to>
      <xdr:col>37</xdr:col>
      <xdr:colOff>30480</xdr:colOff>
      <xdr:row>42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12FC805-F4B2-78E4-EFDC-C1DBB24D9B14}"/>
            </a:ext>
          </a:extLst>
        </xdr:cNvPr>
        <xdr:cNvCxnSpPr/>
      </xdr:nvCxnSpPr>
      <xdr:spPr>
        <a:xfrm>
          <a:off x="27713940" y="15240"/>
          <a:ext cx="0" cy="777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1AD7-88F5-4523-B94C-818D2677BA2B}">
  <dimension ref="B2:G9"/>
  <sheetViews>
    <sheetView workbookViewId="0">
      <selection activeCell="D4" sqref="D4"/>
    </sheetView>
  </sheetViews>
  <sheetFormatPr defaultRowHeight="14.4" x14ac:dyDescent="0.3"/>
  <cols>
    <col min="5" max="7" width="15.77734375" style="3" customWidth="1"/>
  </cols>
  <sheetData>
    <row r="2" spans="2:7" x14ac:dyDescent="0.3">
      <c r="E2" s="3" t="s">
        <v>8</v>
      </c>
      <c r="F2" s="3" t="s">
        <v>9</v>
      </c>
      <c r="G2" s="3" t="s">
        <v>52</v>
      </c>
    </row>
    <row r="3" spans="2:7" x14ac:dyDescent="0.3">
      <c r="B3" s="1" t="s">
        <v>0</v>
      </c>
      <c r="C3" t="s">
        <v>1</v>
      </c>
      <c r="D3" s="11">
        <v>213.02</v>
      </c>
      <c r="E3" s="4">
        <v>46052</v>
      </c>
      <c r="F3" s="4">
        <f ca="1">TODAY()</f>
        <v>46052</v>
      </c>
      <c r="G3" s="4">
        <v>46085</v>
      </c>
    </row>
    <row r="4" spans="2:7" x14ac:dyDescent="0.3">
      <c r="C4" t="s">
        <v>2</v>
      </c>
      <c r="D4" s="5">
        <v>948</v>
      </c>
      <c r="E4" s="3" t="s">
        <v>73</v>
      </c>
    </row>
    <row r="5" spans="2:7" x14ac:dyDescent="0.3">
      <c r="C5" t="s">
        <v>3</v>
      </c>
      <c r="D5" s="5">
        <f>D3*D4</f>
        <v>201942.96000000002</v>
      </c>
    </row>
    <row r="6" spans="2:7" x14ac:dyDescent="0.3">
      <c r="C6" t="s">
        <v>4</v>
      </c>
      <c r="D6" s="5">
        <f>8978+2345+6410</f>
        <v>17733</v>
      </c>
      <c r="E6" s="3" t="s">
        <v>73</v>
      </c>
    </row>
    <row r="7" spans="2:7" x14ac:dyDescent="0.3">
      <c r="C7" t="s">
        <v>5</v>
      </c>
      <c r="D7" s="5">
        <f>8438</f>
        <v>8438</v>
      </c>
      <c r="E7" s="3" t="s">
        <v>73</v>
      </c>
    </row>
    <row r="8" spans="2:7" x14ac:dyDescent="0.3">
      <c r="C8" t="s">
        <v>6</v>
      </c>
      <c r="D8" s="5">
        <f>D6-D7</f>
        <v>9295</v>
      </c>
    </row>
    <row r="9" spans="2:7" x14ac:dyDescent="0.3">
      <c r="C9" t="s">
        <v>7</v>
      </c>
      <c r="D9" s="5">
        <f>D5-D8</f>
        <v>192647.96000000002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FAC9-910F-4EBF-A355-640842B8D7D8}">
  <dimension ref="B1:GN38"/>
  <sheetViews>
    <sheetView tabSelected="1" workbookViewId="0">
      <pane xSplit="2" ySplit="2" topLeftCell="BE13" activePane="bottomRight" state="frozen"/>
      <selection pane="topRight" activeCell="C1" sqref="C1"/>
      <selection pane="bottomLeft" activeCell="A3" sqref="A3"/>
      <selection pane="bottomRight" activeCell="BM38" sqref="BM38"/>
    </sheetView>
  </sheetViews>
  <sheetFormatPr defaultRowHeight="14.4" x14ac:dyDescent="0.3"/>
  <cols>
    <col min="2" max="2" width="17.5546875" bestFit="1" customWidth="1"/>
    <col min="3" max="42" width="10.77734375" customWidth="1"/>
    <col min="44" max="62" width="10.5546875" bestFit="1" customWidth="1"/>
    <col min="64" max="64" width="11.88671875" bestFit="1" customWidth="1"/>
    <col min="65" max="65" width="16.44140625" bestFit="1" customWidth="1"/>
  </cols>
  <sheetData>
    <row r="1" spans="2:62" x14ac:dyDescent="0.3">
      <c r="C1" s="2">
        <v>42855</v>
      </c>
      <c r="D1" s="2">
        <v>42947</v>
      </c>
      <c r="E1" s="2">
        <v>43039</v>
      </c>
      <c r="F1" s="2">
        <v>43131</v>
      </c>
      <c r="G1" s="2">
        <v>43220</v>
      </c>
      <c r="H1" s="2">
        <v>43312</v>
      </c>
      <c r="I1" s="2">
        <v>43404</v>
      </c>
      <c r="J1" s="2">
        <v>43496</v>
      </c>
      <c r="K1" s="2">
        <v>43585</v>
      </c>
      <c r="L1" s="2">
        <v>43677</v>
      </c>
      <c r="M1" s="2">
        <v>43769</v>
      </c>
      <c r="N1" s="2">
        <v>43861</v>
      </c>
      <c r="O1" s="2">
        <v>43951</v>
      </c>
      <c r="P1" s="2">
        <v>44043</v>
      </c>
      <c r="Q1" s="2">
        <v>44135</v>
      </c>
      <c r="R1" s="2">
        <v>44227</v>
      </c>
      <c r="S1" s="2">
        <v>44316</v>
      </c>
      <c r="T1" s="2">
        <v>44408</v>
      </c>
      <c r="U1" s="2">
        <v>44500</v>
      </c>
      <c r="V1" s="2">
        <v>44592</v>
      </c>
      <c r="W1" s="2">
        <v>44681</v>
      </c>
      <c r="X1" s="2">
        <v>44773</v>
      </c>
      <c r="Y1" s="2">
        <v>44865</v>
      </c>
      <c r="Z1" s="2">
        <v>44957</v>
      </c>
      <c r="AA1" s="2">
        <v>45046</v>
      </c>
      <c r="AB1" s="2">
        <v>45138</v>
      </c>
      <c r="AC1" s="2">
        <v>45230</v>
      </c>
      <c r="AD1" s="2">
        <v>45322</v>
      </c>
      <c r="AE1" s="2">
        <v>45412</v>
      </c>
      <c r="AF1" s="2">
        <v>45504</v>
      </c>
      <c r="AG1" s="2">
        <v>45596</v>
      </c>
      <c r="AH1" s="2">
        <v>45688</v>
      </c>
      <c r="AI1" s="2">
        <v>45777</v>
      </c>
      <c r="AJ1" s="2">
        <v>45869</v>
      </c>
      <c r="AK1" s="2">
        <v>45961</v>
      </c>
      <c r="AL1" s="2">
        <v>46053</v>
      </c>
      <c r="AM1" s="2"/>
      <c r="AN1" s="2"/>
      <c r="AO1" s="2"/>
      <c r="AP1" s="2"/>
      <c r="AR1" s="2">
        <v>43131</v>
      </c>
      <c r="AS1" s="2">
        <v>43496</v>
      </c>
      <c r="AT1" s="2">
        <v>43861</v>
      </c>
      <c r="AU1" s="2">
        <v>44227</v>
      </c>
      <c r="AV1" s="2">
        <v>44592</v>
      </c>
      <c r="AW1" s="2">
        <v>44957</v>
      </c>
      <c r="AX1" s="2">
        <v>45322</v>
      </c>
      <c r="AY1" s="2">
        <v>45688</v>
      </c>
      <c r="AZ1" s="2">
        <v>46053</v>
      </c>
      <c r="BA1" s="2">
        <v>46418</v>
      </c>
      <c r="BB1" s="2">
        <v>46783</v>
      </c>
      <c r="BC1" s="2">
        <v>47149</v>
      </c>
      <c r="BD1" s="2">
        <v>47514</v>
      </c>
      <c r="BE1" s="2">
        <v>47879</v>
      </c>
      <c r="BF1" s="2">
        <v>48244</v>
      </c>
      <c r="BG1" s="2">
        <v>48610</v>
      </c>
      <c r="BH1" s="2">
        <v>48975</v>
      </c>
      <c r="BI1" s="2">
        <v>49340</v>
      </c>
      <c r="BJ1" s="2">
        <v>49705</v>
      </c>
    </row>
    <row r="2" spans="2:62" x14ac:dyDescent="0.3">
      <c r="C2" s="6" t="s">
        <v>35</v>
      </c>
      <c r="D2" s="6" t="s">
        <v>36</v>
      </c>
      <c r="E2" s="6" t="s">
        <v>37</v>
      </c>
      <c r="F2" s="6" t="s">
        <v>38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  <c r="X2" s="6" t="s">
        <v>61</v>
      </c>
      <c r="Y2" s="6" t="s">
        <v>62</v>
      </c>
      <c r="Z2" s="6" t="s">
        <v>63</v>
      </c>
      <c r="AA2" s="6" t="s">
        <v>64</v>
      </c>
      <c r="AB2" s="6" t="s">
        <v>65</v>
      </c>
      <c r="AC2" s="6" t="s">
        <v>66</v>
      </c>
      <c r="AD2" s="6" t="s">
        <v>67</v>
      </c>
      <c r="AE2" s="6" t="s">
        <v>68</v>
      </c>
      <c r="AF2" s="6" t="s">
        <v>69</v>
      </c>
      <c r="AG2" s="6" t="s">
        <v>70</v>
      </c>
      <c r="AH2" s="6" t="s">
        <v>55</v>
      </c>
      <c r="AI2" s="6" t="s">
        <v>71</v>
      </c>
      <c r="AJ2" s="6" t="s">
        <v>72</v>
      </c>
      <c r="AK2" s="6" t="s">
        <v>73</v>
      </c>
      <c r="AL2" s="6" t="s">
        <v>74</v>
      </c>
      <c r="AM2" s="6"/>
      <c r="AN2" s="6"/>
      <c r="AO2" s="6"/>
      <c r="AP2" s="6"/>
      <c r="AR2">
        <v>2017</v>
      </c>
      <c r="AS2">
        <v>2018</v>
      </c>
      <c r="AT2">
        <v>2019</v>
      </c>
      <c r="AU2">
        <v>2020</v>
      </c>
      <c r="AV2">
        <v>2021</v>
      </c>
      <c r="AW2">
        <v>2022</v>
      </c>
      <c r="AX2">
        <v>2023</v>
      </c>
      <c r="AY2">
        <v>2024</v>
      </c>
      <c r="AZ2">
        <v>2025</v>
      </c>
      <c r="BA2">
        <v>2026</v>
      </c>
      <c r="BB2">
        <v>2027</v>
      </c>
      <c r="BC2">
        <v>2028</v>
      </c>
      <c r="BD2">
        <v>2029</v>
      </c>
      <c r="BE2">
        <v>2030</v>
      </c>
      <c r="BF2">
        <v>2031</v>
      </c>
      <c r="BG2">
        <v>2032</v>
      </c>
      <c r="BH2">
        <v>2033</v>
      </c>
      <c r="BI2">
        <v>2034</v>
      </c>
      <c r="BJ2">
        <v>2035</v>
      </c>
    </row>
    <row r="3" spans="2:62" x14ac:dyDescent="0.3">
      <c r="B3" t="s">
        <v>75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12">
        <v>5085</v>
      </c>
      <c r="R3" s="6"/>
      <c r="S3" s="12">
        <v>5536</v>
      </c>
      <c r="T3" s="12">
        <v>5914</v>
      </c>
      <c r="U3" s="12">
        <v>6379</v>
      </c>
      <c r="V3" s="12">
        <v>6828</v>
      </c>
      <c r="W3" s="12">
        <v>6856</v>
      </c>
      <c r="X3" s="12">
        <v>7143</v>
      </c>
      <c r="Y3" s="12">
        <v>7233</v>
      </c>
      <c r="Z3" s="12">
        <v>7789</v>
      </c>
      <c r="AA3" s="12">
        <v>7642</v>
      </c>
      <c r="AB3" s="12">
        <v>8006</v>
      </c>
      <c r="AC3" s="12">
        <v>8141</v>
      </c>
      <c r="AD3" s="12">
        <v>8748</v>
      </c>
      <c r="AE3" s="12">
        <v>8585</v>
      </c>
      <c r="AF3" s="12">
        <v>8764</v>
      </c>
      <c r="AG3" s="12">
        <v>8879</v>
      </c>
      <c r="AH3" s="12">
        <v>9451</v>
      </c>
      <c r="AI3" s="12">
        <v>9297</v>
      </c>
      <c r="AJ3" s="12">
        <v>9690</v>
      </c>
      <c r="AK3" s="12">
        <v>9726</v>
      </c>
      <c r="AL3" s="12">
        <f>AH3*1.11</f>
        <v>10490.61</v>
      </c>
      <c r="AM3" s="6"/>
      <c r="AN3" s="6"/>
      <c r="AO3" s="6"/>
      <c r="AP3" s="6"/>
      <c r="AV3" s="5">
        <f>SUM(S3:V3)</f>
        <v>24657</v>
      </c>
      <c r="AW3" s="5">
        <f>SUM(W3:Z3)</f>
        <v>29021</v>
      </c>
      <c r="AX3" s="5">
        <f>SUM(AA3:AD3)</f>
        <v>32537</v>
      </c>
      <c r="AY3" s="5">
        <f>SUM(AE3:AH3)</f>
        <v>35679</v>
      </c>
      <c r="AZ3" s="5">
        <f>SUM(AI3:AL3)</f>
        <v>39203.61</v>
      </c>
      <c r="BA3" s="5">
        <f>AZ3*1.06</f>
        <v>41555.8266</v>
      </c>
      <c r="BB3" s="5">
        <f>BA3*1.05</f>
        <v>43633.61793</v>
      </c>
      <c r="BC3" s="5">
        <f>BB3*1.03</f>
        <v>44942.626467900001</v>
      </c>
      <c r="BD3" s="5">
        <f t="shared" ref="BD3" si="0">BC3*1.02</f>
        <v>45841.478997258004</v>
      </c>
      <c r="BE3" s="5">
        <f t="shared" ref="BE3" si="1">BD3*1.02</f>
        <v>46758.308577203163</v>
      </c>
      <c r="BF3" s="5">
        <f t="shared" ref="BF3" si="2">BE3*1.02</f>
        <v>47693.474748747227</v>
      </c>
      <c r="BG3" s="5">
        <f t="shared" ref="BG3" si="3">BF3*1.02</f>
        <v>48647.344243722175</v>
      </c>
      <c r="BH3" s="5">
        <f t="shared" ref="BH3" si="4">BG3*1.02</f>
        <v>49620.291128596618</v>
      </c>
      <c r="BI3" s="5">
        <f t="shared" ref="BI3" si="5">BH3*1.02</f>
        <v>50612.696951168553</v>
      </c>
      <c r="BJ3" s="5">
        <f t="shared" ref="BJ3" si="6">BI3*1.02</f>
        <v>51624.950890191925</v>
      </c>
    </row>
    <row r="4" spans="2:62" x14ac:dyDescent="0.3">
      <c r="B4" t="s">
        <v>76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12">
        <v>334</v>
      </c>
      <c r="R4" s="6"/>
      <c r="S4" s="12">
        <v>427</v>
      </c>
      <c r="T4" s="12">
        <v>426</v>
      </c>
      <c r="U4" s="12">
        <v>484</v>
      </c>
      <c r="V4" s="12">
        <v>498</v>
      </c>
      <c r="W4" s="12">
        <v>555</v>
      </c>
      <c r="X4" s="12">
        <v>577</v>
      </c>
      <c r="Y4" s="12">
        <v>604</v>
      </c>
      <c r="Z4" s="12">
        <v>595</v>
      </c>
      <c r="AA4" s="12">
        <v>605</v>
      </c>
      <c r="AB4" s="12">
        <v>597</v>
      </c>
      <c r="AC4" s="12">
        <v>579</v>
      </c>
      <c r="AD4" s="12">
        <v>539</v>
      </c>
      <c r="AE4" s="12">
        <v>548</v>
      </c>
      <c r="AF4" s="12">
        <v>561</v>
      </c>
      <c r="AG4" s="12">
        <v>565</v>
      </c>
      <c r="AH4" s="12">
        <v>542</v>
      </c>
      <c r="AI4" s="12">
        <v>532</v>
      </c>
      <c r="AJ4" s="12">
        <v>546</v>
      </c>
      <c r="AK4" s="12">
        <v>533</v>
      </c>
      <c r="AL4" s="12">
        <f>AH4*1.02</f>
        <v>552.84</v>
      </c>
      <c r="AM4" s="6"/>
      <c r="AN4" s="6"/>
      <c r="AO4" s="6"/>
      <c r="AP4" s="6"/>
      <c r="AV4" s="5">
        <f>SUM(S4:V4)</f>
        <v>1835</v>
      </c>
      <c r="AW4" s="5">
        <f>SUM(W4:Z4)</f>
        <v>2331</v>
      </c>
      <c r="AX4" s="5">
        <f>SUM(AA4:AD4)</f>
        <v>2320</v>
      </c>
      <c r="AY4" s="5">
        <f>SUM(AE4:AH4)</f>
        <v>2216</v>
      </c>
      <c r="AZ4" s="5">
        <f>SUM(AI4:AL4)</f>
        <v>2163.84</v>
      </c>
      <c r="BA4" s="5">
        <f>AZ4*1.01</f>
        <v>2185.4784</v>
      </c>
      <c r="BB4" s="5">
        <f t="shared" ref="BB4:BJ4" si="7">BA4*1.01</f>
        <v>2207.3331840000001</v>
      </c>
      <c r="BC4" s="5">
        <f t="shared" si="7"/>
        <v>2229.4065158399999</v>
      </c>
      <c r="BD4" s="5">
        <f t="shared" si="7"/>
        <v>2251.7005809983998</v>
      </c>
      <c r="BE4" s="5">
        <f t="shared" si="7"/>
        <v>2274.2175868083837</v>
      </c>
      <c r="BF4" s="5">
        <f t="shared" si="7"/>
        <v>2296.9597626764676</v>
      </c>
      <c r="BG4" s="5">
        <f t="shared" si="7"/>
        <v>2319.9293603032324</v>
      </c>
      <c r="BH4" s="5">
        <f t="shared" si="7"/>
        <v>2343.1286539062648</v>
      </c>
      <c r="BI4" s="5">
        <f t="shared" si="7"/>
        <v>2366.5599404453274</v>
      </c>
      <c r="BJ4" s="5">
        <f t="shared" si="7"/>
        <v>2390.2255398497805</v>
      </c>
    </row>
    <row r="5" spans="2:62" s="1" customFormat="1" x14ac:dyDescent="0.3">
      <c r="B5" s="1" t="s">
        <v>10</v>
      </c>
      <c r="C5" s="9">
        <v>2397</v>
      </c>
      <c r="D5" s="9">
        <v>2577</v>
      </c>
      <c r="E5" s="9">
        <v>2701</v>
      </c>
      <c r="F5" s="9">
        <v>2865</v>
      </c>
      <c r="G5" s="9">
        <v>3006</v>
      </c>
      <c r="H5" s="9">
        <v>3281</v>
      </c>
      <c r="I5" s="9">
        <v>3392</v>
      </c>
      <c r="J5" s="9">
        <v>3603</v>
      </c>
      <c r="K5" s="9">
        <v>3737</v>
      </c>
      <c r="L5" s="9">
        <v>3997</v>
      </c>
      <c r="M5" s="9">
        <v>4513</v>
      </c>
      <c r="N5" s="9">
        <v>4851</v>
      </c>
      <c r="O5" s="9">
        <v>4865</v>
      </c>
      <c r="P5" s="9">
        <v>5151</v>
      </c>
      <c r="Q5" s="9">
        <f>Q3+Q4</f>
        <v>5419</v>
      </c>
      <c r="R5" s="9">
        <v>5817</v>
      </c>
      <c r="S5" s="9">
        <f t="shared" ref="S5:AH5" si="8">S3+S4</f>
        <v>5963</v>
      </c>
      <c r="T5" s="9">
        <f t="shared" si="8"/>
        <v>6340</v>
      </c>
      <c r="U5" s="9">
        <f t="shared" si="8"/>
        <v>6863</v>
      </c>
      <c r="V5" s="9">
        <f t="shared" si="8"/>
        <v>7326</v>
      </c>
      <c r="W5" s="9">
        <f t="shared" si="8"/>
        <v>7411</v>
      </c>
      <c r="X5" s="9">
        <f t="shared" si="8"/>
        <v>7720</v>
      </c>
      <c r="Y5" s="9">
        <f t="shared" si="8"/>
        <v>7837</v>
      </c>
      <c r="Z5" s="9">
        <f t="shared" si="8"/>
        <v>8384</v>
      </c>
      <c r="AA5" s="9">
        <f t="shared" si="8"/>
        <v>8247</v>
      </c>
      <c r="AB5" s="9">
        <f t="shared" si="8"/>
        <v>8603</v>
      </c>
      <c r="AC5" s="9">
        <f t="shared" si="8"/>
        <v>8720</v>
      </c>
      <c r="AD5" s="9">
        <f t="shared" si="8"/>
        <v>9287</v>
      </c>
      <c r="AE5" s="9">
        <f t="shared" si="8"/>
        <v>9133</v>
      </c>
      <c r="AF5" s="9">
        <f t="shared" si="8"/>
        <v>9325</v>
      </c>
      <c r="AG5" s="9">
        <f t="shared" si="8"/>
        <v>9444</v>
      </c>
      <c r="AH5" s="9">
        <f t="shared" si="8"/>
        <v>9993</v>
      </c>
      <c r="AI5" s="9">
        <f t="shared" ref="AI5:AL5" si="9">AI3+AI4</f>
        <v>9829</v>
      </c>
      <c r="AJ5" s="9">
        <f t="shared" si="9"/>
        <v>10236</v>
      </c>
      <c r="AK5" s="9">
        <f t="shared" si="9"/>
        <v>10259</v>
      </c>
      <c r="AL5" s="9">
        <f t="shared" si="9"/>
        <v>11043.45</v>
      </c>
      <c r="AM5" s="9"/>
      <c r="AN5" s="9"/>
      <c r="AO5" s="9"/>
      <c r="AP5" s="9"/>
      <c r="AR5" s="9">
        <f>SUM(C5:F5)</f>
        <v>10540</v>
      </c>
      <c r="AS5" s="9">
        <f>SUM(G5:J5)</f>
        <v>13282</v>
      </c>
      <c r="AT5" s="9">
        <f>SUM(K5:N5)</f>
        <v>17098</v>
      </c>
      <c r="AU5" s="9">
        <f>SUM(O5:R5)</f>
        <v>21252</v>
      </c>
      <c r="AV5" s="9">
        <f t="shared" ref="AV5:AW5" si="10">AV3+AV4</f>
        <v>26492</v>
      </c>
      <c r="AW5" s="9">
        <f t="shared" si="10"/>
        <v>31352</v>
      </c>
      <c r="AX5" s="9">
        <f>AX3+AX4</f>
        <v>34857</v>
      </c>
      <c r="AY5" s="9">
        <f>AY3+AY4</f>
        <v>37895</v>
      </c>
      <c r="AZ5" s="9">
        <f>AY5*1.06</f>
        <v>40168.700000000004</v>
      </c>
      <c r="BA5" s="9">
        <f>AZ5*1.05</f>
        <v>42177.135000000009</v>
      </c>
      <c r="BB5" s="9">
        <f>BA5*1.04</f>
        <v>43864.220400000013</v>
      </c>
      <c r="BC5" s="9">
        <f>BB5*1.03</f>
        <v>45180.147012000016</v>
      </c>
      <c r="BD5" s="9">
        <f t="shared" ref="BD5:BE5" si="11">BC5*1.03</f>
        <v>46535.551422360018</v>
      </c>
      <c r="BE5" s="9">
        <f t="shared" si="11"/>
        <v>47931.617965030819</v>
      </c>
      <c r="BF5" s="9">
        <f>BE5*1.02</f>
        <v>48890.250324331435</v>
      </c>
      <c r="BG5" s="9">
        <f t="shared" ref="BG5:BJ5" si="12">BF5*1.02</f>
        <v>49868.055330818068</v>
      </c>
      <c r="BH5" s="9">
        <f t="shared" si="12"/>
        <v>50865.416437434433</v>
      </c>
      <c r="BI5" s="9">
        <f t="shared" si="12"/>
        <v>51882.724766183121</v>
      </c>
      <c r="BJ5" s="9">
        <f t="shared" si="12"/>
        <v>52920.379261506787</v>
      </c>
    </row>
    <row r="6" spans="2:62" s="1" customFormat="1" x14ac:dyDescent="0.3">
      <c r="B6" t="s">
        <v>77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5">
        <v>1060</v>
      </c>
      <c r="R6" s="9"/>
      <c r="S6" s="5">
        <v>1122</v>
      </c>
      <c r="T6" s="5">
        <v>1146</v>
      </c>
      <c r="U6" s="5">
        <v>1335</v>
      </c>
      <c r="V6" s="5">
        <v>1456</v>
      </c>
      <c r="W6" s="5">
        <v>1440</v>
      </c>
      <c r="X6" s="5">
        <v>1490</v>
      </c>
      <c r="Y6" s="5">
        <v>1451</v>
      </c>
      <c r="Z6" s="5">
        <v>1440</v>
      </c>
      <c r="AA6" s="5">
        <v>1510</v>
      </c>
      <c r="AB6" s="5">
        <v>1515</v>
      </c>
      <c r="AC6" s="5">
        <v>1571</v>
      </c>
      <c r="AD6" s="5">
        <v>1581</v>
      </c>
      <c r="AE6" s="5">
        <v>1560</v>
      </c>
      <c r="AF6" s="5">
        <v>1556</v>
      </c>
      <c r="AG6" s="5">
        <v>1501</v>
      </c>
      <c r="AH6" s="5">
        <v>1581</v>
      </c>
      <c r="AI6" s="5">
        <v>1611</v>
      </c>
      <c r="AJ6" s="5">
        <v>1645</v>
      </c>
      <c r="AK6" s="5">
        <v>1665</v>
      </c>
      <c r="AL6" s="5">
        <f t="shared" ref="AL6" si="13">AL3*0.17</f>
        <v>1783.4037000000003</v>
      </c>
      <c r="AM6" s="9"/>
      <c r="AN6" s="9"/>
      <c r="AO6" s="9"/>
      <c r="AP6" s="9"/>
      <c r="AR6" s="9"/>
      <c r="AS6" s="9"/>
      <c r="AT6" s="9"/>
      <c r="AU6" s="9"/>
      <c r="AV6" s="5">
        <f>SUM(S6:V6)</f>
        <v>5059</v>
      </c>
      <c r="AW6" s="5">
        <f>SUM(W6:Z6)</f>
        <v>5821</v>
      </c>
      <c r="AX6" s="5">
        <f>SUM(AA6:AD6)</f>
        <v>6177</v>
      </c>
      <c r="AY6" s="5">
        <f>SUM(AE6:AH6)</f>
        <v>6198</v>
      </c>
      <c r="AZ6" s="5">
        <f>SUM(AI6:AL6)</f>
        <v>6704.4037000000008</v>
      </c>
      <c r="BA6" s="9"/>
      <c r="BB6" s="9"/>
      <c r="BC6" s="9"/>
      <c r="BD6" s="9"/>
      <c r="BE6" s="9"/>
      <c r="BF6" s="9"/>
      <c r="BG6" s="9"/>
      <c r="BH6" s="9"/>
      <c r="BI6" s="9"/>
      <c r="BJ6" s="9"/>
    </row>
    <row r="7" spans="2:62" s="1" customFormat="1" x14ac:dyDescent="0.3">
      <c r="B7" t="s">
        <v>78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5">
        <v>334</v>
      </c>
      <c r="R7" s="9"/>
      <c r="S7" s="5">
        <v>433</v>
      </c>
      <c r="T7" s="5">
        <v>467</v>
      </c>
      <c r="U7" s="5">
        <v>509</v>
      </c>
      <c r="V7" s="5">
        <v>558</v>
      </c>
      <c r="W7" s="5">
        <v>605</v>
      </c>
      <c r="X7" s="5">
        <v>637</v>
      </c>
      <c r="Y7" s="5">
        <v>637</v>
      </c>
      <c r="Z7" s="5">
        <v>660</v>
      </c>
      <c r="AA7" s="5">
        <v>615</v>
      </c>
      <c r="AB7" s="5">
        <v>598</v>
      </c>
      <c r="AC7" s="5">
        <v>584</v>
      </c>
      <c r="AD7" s="5">
        <v>567</v>
      </c>
      <c r="AE7" s="5">
        <v>602</v>
      </c>
      <c r="AF7" s="5">
        <v>603</v>
      </c>
      <c r="AG7" s="5">
        <v>604</v>
      </c>
      <c r="AH7" s="5">
        <v>636</v>
      </c>
      <c r="AI7" s="5">
        <v>654</v>
      </c>
      <c r="AJ7" s="5">
        <v>597</v>
      </c>
      <c r="AK7" s="5">
        <v>590</v>
      </c>
      <c r="AL7" s="5">
        <f t="shared" ref="AL7" si="14">AL4*1.15</f>
        <v>635.76599999999996</v>
      </c>
      <c r="AM7" s="9"/>
      <c r="AN7" s="9"/>
      <c r="AO7" s="9"/>
      <c r="AP7" s="9"/>
      <c r="AR7" s="9"/>
      <c r="AS7" s="9"/>
      <c r="AT7" s="9"/>
      <c r="AU7" s="9"/>
      <c r="AV7" s="5">
        <f>SUM(S7:V7)</f>
        <v>1967</v>
      </c>
      <c r="AW7" s="5">
        <f>SUM(W7:Z7)</f>
        <v>2539</v>
      </c>
      <c r="AX7" s="5">
        <f>SUM(AA7:AD7)</f>
        <v>2364</v>
      </c>
      <c r="AY7" s="5">
        <f>SUM(AE7:AH7)</f>
        <v>2445</v>
      </c>
      <c r="AZ7" s="5">
        <f>SUM(AI7:AL7)</f>
        <v>2476.7660000000001</v>
      </c>
      <c r="BA7" s="9"/>
      <c r="BB7" s="9"/>
      <c r="BC7" s="9"/>
      <c r="BD7" s="9"/>
      <c r="BE7" s="9"/>
      <c r="BF7" s="9"/>
      <c r="BG7" s="9"/>
      <c r="BH7" s="9"/>
      <c r="BI7" s="9"/>
      <c r="BJ7" s="9"/>
    </row>
    <row r="8" spans="2:62" x14ac:dyDescent="0.3">
      <c r="B8" t="s">
        <v>23</v>
      </c>
      <c r="C8" s="5">
        <v>651</v>
      </c>
      <c r="D8" s="5">
        <v>670</v>
      </c>
      <c r="E8" s="5">
        <v>714</v>
      </c>
      <c r="F8" s="5">
        <v>738</v>
      </c>
      <c r="G8" s="5">
        <v>767</v>
      </c>
      <c r="H8" s="5">
        <v>849</v>
      </c>
      <c r="I8" s="5">
        <v>889</v>
      </c>
      <c r="J8" s="5">
        <v>946</v>
      </c>
      <c r="K8" s="5">
        <v>914</v>
      </c>
      <c r="L8" s="5">
        <v>967</v>
      </c>
      <c r="M8" s="5">
        <v>1134</v>
      </c>
      <c r="N8" s="5">
        <v>1220</v>
      </c>
      <c r="O8" s="5">
        <v>1254</v>
      </c>
      <c r="P8" s="5">
        <v>1311</v>
      </c>
      <c r="Q8" s="5">
        <f>Q6+Q7</f>
        <v>1394</v>
      </c>
      <c r="R8" s="5">
        <v>1479</v>
      </c>
      <c r="S8" s="5">
        <f t="shared" ref="S8:AH8" si="15">S6+S7</f>
        <v>1555</v>
      </c>
      <c r="T8" s="5">
        <f t="shared" si="15"/>
        <v>1613</v>
      </c>
      <c r="U8" s="5">
        <f t="shared" si="15"/>
        <v>1844</v>
      </c>
      <c r="V8" s="5">
        <f t="shared" si="15"/>
        <v>2014</v>
      </c>
      <c r="W8" s="5">
        <f t="shared" si="15"/>
        <v>2045</v>
      </c>
      <c r="X8" s="5">
        <f t="shared" si="15"/>
        <v>2127</v>
      </c>
      <c r="Y8" s="5">
        <f t="shared" si="15"/>
        <v>2088</v>
      </c>
      <c r="Z8" s="5">
        <f t="shared" si="15"/>
        <v>2100</v>
      </c>
      <c r="AA8" s="5">
        <f t="shared" si="15"/>
        <v>2125</v>
      </c>
      <c r="AB8" s="5">
        <f t="shared" si="15"/>
        <v>2113</v>
      </c>
      <c r="AC8" s="5">
        <f t="shared" si="15"/>
        <v>2155</v>
      </c>
      <c r="AD8" s="5">
        <f t="shared" si="15"/>
        <v>2148</v>
      </c>
      <c r="AE8" s="5">
        <f t="shared" si="15"/>
        <v>2162</v>
      </c>
      <c r="AF8" s="5">
        <f t="shared" si="15"/>
        <v>2159</v>
      </c>
      <c r="AG8" s="5">
        <f t="shared" si="15"/>
        <v>2105</v>
      </c>
      <c r="AH8" s="5">
        <f t="shared" si="15"/>
        <v>2217</v>
      </c>
      <c r="AI8" s="5">
        <f t="shared" ref="AI8:AL8" si="16">AI6+AI7</f>
        <v>2265</v>
      </c>
      <c r="AJ8" s="5">
        <f t="shared" si="16"/>
        <v>2242</v>
      </c>
      <c r="AK8" s="5">
        <f t="shared" si="16"/>
        <v>2255</v>
      </c>
      <c r="AL8" s="5">
        <f t="shared" si="16"/>
        <v>2419.1697000000004</v>
      </c>
      <c r="AM8" s="5"/>
      <c r="AN8" s="5"/>
      <c r="AO8" s="5"/>
      <c r="AP8" s="5"/>
      <c r="AR8" s="5">
        <f>SUM(C8:F8)</f>
        <v>2773</v>
      </c>
      <c r="AS8" s="5">
        <f>SUM(G8:J8)</f>
        <v>3451</v>
      </c>
      <c r="AT8" s="5">
        <f>SUM(K8:N8)</f>
        <v>4235</v>
      </c>
      <c r="AU8" s="5">
        <f>SUM(O8:R8)</f>
        <v>5438</v>
      </c>
      <c r="AV8" s="5">
        <f>AV6+AV7</f>
        <v>7026</v>
      </c>
      <c r="AW8" s="5">
        <f>AW6+AW7</f>
        <v>8360</v>
      </c>
      <c r="AX8" s="5">
        <f>AX6+AX7</f>
        <v>8541</v>
      </c>
      <c r="AY8" s="5">
        <f>AY6+AY7</f>
        <v>8643</v>
      </c>
      <c r="AZ8" s="5">
        <f>AZ6+AZ7</f>
        <v>9181.1697000000004</v>
      </c>
      <c r="BA8" s="5">
        <f t="shared" ref="BA8:BE8" si="17">BA5-BA9</f>
        <v>9700.7410500000005</v>
      </c>
      <c r="BB8" s="5">
        <f t="shared" si="17"/>
        <v>10088.770692000006</v>
      </c>
      <c r="BC8" s="5">
        <f t="shared" si="17"/>
        <v>10391.433812760006</v>
      </c>
      <c r="BD8" s="5">
        <f t="shared" si="17"/>
        <v>10703.176827142801</v>
      </c>
      <c r="BE8" s="5">
        <f t="shared" si="17"/>
        <v>11024.272131957085</v>
      </c>
      <c r="BF8" s="5">
        <f t="shared" ref="BF8:BJ8" si="18">BF5-BF9</f>
        <v>11244.757574596231</v>
      </c>
      <c r="BG8" s="5">
        <f t="shared" si="18"/>
        <v>11469.652726088156</v>
      </c>
      <c r="BH8" s="5">
        <f t="shared" si="18"/>
        <v>11699.045780609922</v>
      </c>
      <c r="BI8" s="5">
        <f t="shared" si="18"/>
        <v>11933.026696222114</v>
      </c>
      <c r="BJ8" s="5">
        <f t="shared" si="18"/>
        <v>12171.687230146563</v>
      </c>
    </row>
    <row r="9" spans="2:62" s="1" customFormat="1" x14ac:dyDescent="0.3">
      <c r="B9" s="1" t="s">
        <v>24</v>
      </c>
      <c r="C9" s="9">
        <f t="shared" ref="C9:S9" si="19">C5-C8</f>
        <v>1746</v>
      </c>
      <c r="D9" s="9">
        <f t="shared" si="19"/>
        <v>1907</v>
      </c>
      <c r="E9" s="9">
        <f t="shared" si="19"/>
        <v>1987</v>
      </c>
      <c r="F9" s="9">
        <f t="shared" si="19"/>
        <v>2127</v>
      </c>
      <c r="G9" s="9">
        <f t="shared" si="19"/>
        <v>2239</v>
      </c>
      <c r="H9" s="9">
        <f t="shared" si="19"/>
        <v>2432</v>
      </c>
      <c r="I9" s="9">
        <f t="shared" si="19"/>
        <v>2503</v>
      </c>
      <c r="J9" s="9">
        <f t="shared" si="19"/>
        <v>2657</v>
      </c>
      <c r="K9" s="9">
        <f t="shared" si="19"/>
        <v>2823</v>
      </c>
      <c r="L9" s="9">
        <f t="shared" si="19"/>
        <v>3030</v>
      </c>
      <c r="M9" s="9">
        <f t="shared" si="19"/>
        <v>3379</v>
      </c>
      <c r="N9" s="9">
        <f t="shared" si="19"/>
        <v>3631</v>
      </c>
      <c r="O9" s="9">
        <f t="shared" si="19"/>
        <v>3611</v>
      </c>
      <c r="P9" s="9">
        <f t="shared" si="19"/>
        <v>3840</v>
      </c>
      <c r="Q9" s="9">
        <f>Q5*0.75</f>
        <v>4064.25</v>
      </c>
      <c r="R9" s="9">
        <f t="shared" si="19"/>
        <v>4338</v>
      </c>
      <c r="S9" s="9">
        <f t="shared" si="19"/>
        <v>4408</v>
      </c>
      <c r="T9" s="9">
        <f t="shared" ref="T9" si="20">T5-T8</f>
        <v>4727</v>
      </c>
      <c r="U9" s="9">
        <f t="shared" ref="U9" si="21">U5-U8</f>
        <v>5019</v>
      </c>
      <c r="V9" s="9">
        <f t="shared" ref="V9:W9" si="22">V5-V8</f>
        <v>5312</v>
      </c>
      <c r="W9" s="9">
        <f t="shared" si="22"/>
        <v>5366</v>
      </c>
      <c r="X9" s="9">
        <f t="shared" ref="X9" si="23">X5-X8</f>
        <v>5593</v>
      </c>
      <c r="Y9" s="9">
        <f t="shared" ref="Y9" si="24">Y5-Y8</f>
        <v>5749</v>
      </c>
      <c r="Z9" s="9">
        <f t="shared" ref="Z9:AA9" si="25">Z5-Z8</f>
        <v>6284</v>
      </c>
      <c r="AA9" s="9">
        <f t="shared" si="25"/>
        <v>6122</v>
      </c>
      <c r="AB9" s="9">
        <f t="shared" ref="AB9" si="26">AB5-AB8</f>
        <v>6490</v>
      </c>
      <c r="AC9" s="9">
        <f t="shared" ref="AC9" si="27">AC5-AC8</f>
        <v>6565</v>
      </c>
      <c r="AD9" s="9">
        <f t="shared" ref="AD9:AE9" si="28">AD5-AD8</f>
        <v>7139</v>
      </c>
      <c r="AE9" s="9">
        <f t="shared" si="28"/>
        <v>6971</v>
      </c>
      <c r="AF9" s="9">
        <f t="shared" ref="AF9" si="29">AF5-AF8</f>
        <v>7166</v>
      </c>
      <c r="AG9" s="9">
        <f t="shared" ref="AG9" si="30">AG5-AG8</f>
        <v>7339</v>
      </c>
      <c r="AH9" s="9">
        <f t="shared" ref="AH9:AL9" si="31">AH5-AH8</f>
        <v>7776</v>
      </c>
      <c r="AI9" s="9">
        <f t="shared" si="31"/>
        <v>7564</v>
      </c>
      <c r="AJ9" s="9">
        <f t="shared" si="31"/>
        <v>7994</v>
      </c>
      <c r="AK9" s="9">
        <f t="shared" si="31"/>
        <v>8004</v>
      </c>
      <c r="AL9" s="9">
        <f t="shared" si="31"/>
        <v>8624.2803000000004</v>
      </c>
      <c r="AM9" s="9"/>
      <c r="AN9" s="9"/>
      <c r="AO9" s="9"/>
      <c r="AP9" s="9"/>
      <c r="AR9" s="9">
        <f>AR5-AR8</f>
        <v>7767</v>
      </c>
      <c r="AS9" s="9">
        <f>AS5-AS8</f>
        <v>9831</v>
      </c>
      <c r="AT9" s="9">
        <f>AT5-AT8</f>
        <v>12863</v>
      </c>
      <c r="AU9" s="9">
        <f>AU5-AU8</f>
        <v>15814</v>
      </c>
      <c r="AV9" s="9">
        <f>AV5*0.75</f>
        <v>19869</v>
      </c>
      <c r="AW9" s="9">
        <f>AW5-AW8</f>
        <v>22992</v>
      </c>
      <c r="AX9" s="9">
        <f>AX5-AX8</f>
        <v>26316</v>
      </c>
      <c r="AY9" s="9">
        <f>AY5-AY8</f>
        <v>29252</v>
      </c>
      <c r="AZ9" s="9">
        <f t="shared" ref="AZ9" si="32">AZ5-AZ8</f>
        <v>30987.530300000006</v>
      </c>
      <c r="BA9" s="9">
        <f>BA5*0.77</f>
        <v>32476.393950000009</v>
      </c>
      <c r="BB9" s="9">
        <f t="shared" ref="BB9:BJ9" si="33">BB5*0.77</f>
        <v>33775.449708000007</v>
      </c>
      <c r="BC9" s="9">
        <f t="shared" si="33"/>
        <v>34788.71319924001</v>
      </c>
      <c r="BD9" s="9">
        <f t="shared" si="33"/>
        <v>35832.374595217218</v>
      </c>
      <c r="BE9" s="9">
        <f t="shared" si="33"/>
        <v>36907.345833073734</v>
      </c>
      <c r="BF9" s="9">
        <f t="shared" si="33"/>
        <v>37645.492749735204</v>
      </c>
      <c r="BG9" s="9">
        <f t="shared" si="33"/>
        <v>38398.402604729912</v>
      </c>
      <c r="BH9" s="9">
        <f t="shared" si="33"/>
        <v>39166.370656824511</v>
      </c>
      <c r="BI9" s="9">
        <f t="shared" si="33"/>
        <v>39949.698069961007</v>
      </c>
      <c r="BJ9" s="9">
        <f t="shared" si="33"/>
        <v>40748.692031360224</v>
      </c>
    </row>
    <row r="10" spans="2:62" x14ac:dyDescent="0.3">
      <c r="B10" t="s">
        <v>25</v>
      </c>
      <c r="C10" s="5">
        <v>376</v>
      </c>
      <c r="D10" s="5">
        <v>387</v>
      </c>
      <c r="E10" s="5">
        <v>394</v>
      </c>
      <c r="F10" s="5">
        <v>396</v>
      </c>
      <c r="G10" s="5">
        <v>424</v>
      </c>
      <c r="H10" s="5">
        <v>463</v>
      </c>
      <c r="I10" s="5">
        <v>481</v>
      </c>
      <c r="J10" s="5">
        <v>518</v>
      </c>
      <c r="K10" s="5">
        <v>554</v>
      </c>
      <c r="L10" s="5">
        <v>607</v>
      </c>
      <c r="M10" s="5">
        <v>774</v>
      </c>
      <c r="N10" s="5">
        <v>831</v>
      </c>
      <c r="O10" s="5">
        <v>859</v>
      </c>
      <c r="P10" s="5">
        <v>898</v>
      </c>
      <c r="Q10" s="5">
        <v>902</v>
      </c>
      <c r="R10" s="5">
        <v>939</v>
      </c>
      <c r="S10" s="5">
        <v>951</v>
      </c>
      <c r="T10" s="5">
        <v>1020</v>
      </c>
      <c r="U10" s="5">
        <v>1203</v>
      </c>
      <c r="V10" s="5">
        <v>1291</v>
      </c>
      <c r="W10" s="5">
        <v>1318</v>
      </c>
      <c r="X10" s="5">
        <v>1329</v>
      </c>
      <c r="Y10" s="5">
        <v>1280</v>
      </c>
      <c r="Z10" s="5">
        <v>1128</v>
      </c>
      <c r="AA10" s="5">
        <v>1207</v>
      </c>
      <c r="AB10" s="5">
        <v>1220</v>
      </c>
      <c r="AC10" s="5">
        <v>1204</v>
      </c>
      <c r="AD10" s="5">
        <v>1275</v>
      </c>
      <c r="AE10" s="5">
        <v>1368</v>
      </c>
      <c r="AF10" s="5">
        <v>1349</v>
      </c>
      <c r="AG10" s="5">
        <v>1356</v>
      </c>
      <c r="AH10" s="5">
        <v>1420</v>
      </c>
      <c r="AI10" s="5">
        <v>1460</v>
      </c>
      <c r="AJ10" s="5">
        <v>1481</v>
      </c>
      <c r="AK10" s="5">
        <v>1433</v>
      </c>
      <c r="AL10" s="5">
        <f>AH10*1.05</f>
        <v>1491</v>
      </c>
      <c r="AM10" s="5"/>
      <c r="AN10" s="5"/>
      <c r="AO10" s="5"/>
      <c r="AP10" s="5"/>
      <c r="AR10" s="5">
        <f>SUM(C10:F10)</f>
        <v>1553</v>
      </c>
      <c r="AS10" s="5">
        <f>SUM(G10:J10)</f>
        <v>1886</v>
      </c>
      <c r="AT10" s="5">
        <f>SUM(K10:N10)</f>
        <v>2766</v>
      </c>
      <c r="AU10" s="5">
        <f>SUM(O10:R10)</f>
        <v>3598</v>
      </c>
      <c r="AV10" s="5">
        <f>SUM(S10:V10)</f>
        <v>4465</v>
      </c>
      <c r="AW10" s="5">
        <f>SUM(W10:Z10)</f>
        <v>5055</v>
      </c>
      <c r="AX10" s="5">
        <f>SUM(AA10:AD10)</f>
        <v>4906</v>
      </c>
      <c r="AY10" s="5">
        <f>SUM(AE10:AH10)</f>
        <v>5493</v>
      </c>
      <c r="AZ10" s="5">
        <f>SUM(AI10:AL10)</f>
        <v>5865</v>
      </c>
      <c r="BA10" s="5">
        <f>AZ10*1.06</f>
        <v>6216.9000000000005</v>
      </c>
      <c r="BB10" s="5">
        <f>BA10*1.04</f>
        <v>6465.5760000000009</v>
      </c>
      <c r="BC10" s="5">
        <f t="shared" ref="BC10" si="34">BB10*1.03</f>
        <v>6659.5432800000008</v>
      </c>
      <c r="BD10" s="5">
        <f>BC10*1.02</f>
        <v>6792.7341456000013</v>
      </c>
      <c r="BE10" s="5">
        <f>BD10*1.02</f>
        <v>6928.5888285120018</v>
      </c>
      <c r="BF10" s="5">
        <f>BE10*1.01</f>
        <v>6997.8747167971214</v>
      </c>
      <c r="BG10" s="5">
        <f t="shared" ref="BG10:BJ10" si="35">BF10*1.01</f>
        <v>7067.8534639650925</v>
      </c>
      <c r="BH10" s="5">
        <f t="shared" si="35"/>
        <v>7138.5319986047434</v>
      </c>
      <c r="BI10" s="5">
        <f t="shared" si="35"/>
        <v>7209.9173185907912</v>
      </c>
      <c r="BJ10" s="5">
        <f t="shared" si="35"/>
        <v>7282.0164917766988</v>
      </c>
    </row>
    <row r="11" spans="2:62" x14ac:dyDescent="0.3">
      <c r="B11" t="s">
        <v>26</v>
      </c>
      <c r="C11" s="5">
        <v>1106</v>
      </c>
      <c r="D11" s="5">
        <v>1153</v>
      </c>
      <c r="E11" s="5">
        <v>1167</v>
      </c>
      <c r="F11" s="5">
        <v>1245</v>
      </c>
      <c r="G11" s="5">
        <v>1329</v>
      </c>
      <c r="H11" s="5">
        <v>1504</v>
      </c>
      <c r="I11" s="5">
        <v>1588</v>
      </c>
      <c r="J11" s="5">
        <v>1643</v>
      </c>
      <c r="K11" s="5">
        <v>1697</v>
      </c>
      <c r="L11" s="5">
        <f>1824+166</f>
        <v>1990</v>
      </c>
      <c r="M11" s="5">
        <v>2063</v>
      </c>
      <c r="N11" s="5">
        <v>2346</v>
      </c>
      <c r="O11" s="5">
        <v>2390</v>
      </c>
      <c r="P11" s="5">
        <v>2275</v>
      </c>
      <c r="Q11" s="5">
        <v>2377</v>
      </c>
      <c r="R11" s="5">
        <v>2632</v>
      </c>
      <c r="S11" s="5">
        <v>2544</v>
      </c>
      <c r="T11" s="5">
        <v>2736</v>
      </c>
      <c r="U11" s="5">
        <v>3111</v>
      </c>
      <c r="V11" s="5">
        <v>3464</v>
      </c>
      <c r="W11" s="5">
        <v>3372</v>
      </c>
      <c r="X11" s="5">
        <v>3424</v>
      </c>
      <c r="Y11" s="5">
        <v>3345</v>
      </c>
      <c r="Z11" s="5">
        <v>3385</v>
      </c>
      <c r="AA11" s="5">
        <v>3154</v>
      </c>
      <c r="AB11" s="5">
        <v>3113</v>
      </c>
      <c r="AC11" s="5">
        <v>3173</v>
      </c>
      <c r="AD11" s="5">
        <v>3437</v>
      </c>
      <c r="AE11" s="5">
        <v>3239</v>
      </c>
      <c r="AF11" s="5">
        <v>3224</v>
      </c>
      <c r="AG11" s="5">
        <v>3323</v>
      </c>
      <c r="AH11" s="5">
        <v>3471</v>
      </c>
      <c r="AI11" s="5">
        <v>3429</v>
      </c>
      <c r="AJ11" s="5">
        <v>3443</v>
      </c>
      <c r="AK11" s="5">
        <v>3456</v>
      </c>
      <c r="AL11" s="5">
        <f t="shared" ref="AL11" si="36">AL5*0.34</f>
        <v>3754.7730000000006</v>
      </c>
      <c r="AM11" s="5"/>
      <c r="AN11" s="5"/>
      <c r="AO11" s="5"/>
      <c r="AP11" s="5"/>
      <c r="AR11" s="5">
        <f>SUM(C11:F11)</f>
        <v>4671</v>
      </c>
      <c r="AS11" s="5">
        <f>SUM(G11:J11)</f>
        <v>6064</v>
      </c>
      <c r="AT11" s="5">
        <f>SUM(K11:N11)</f>
        <v>8096</v>
      </c>
      <c r="AU11" s="5">
        <f>SUM(O11:R11)</f>
        <v>9674</v>
      </c>
      <c r="AV11" s="5">
        <f>SUM(S11:V11)</f>
        <v>11855</v>
      </c>
      <c r="AW11" s="5">
        <f>SUM(W11:Z11)</f>
        <v>13526</v>
      </c>
      <c r="AX11" s="5">
        <f>SUM(AA11:AD11)</f>
        <v>12877</v>
      </c>
      <c r="AY11" s="5">
        <f>SUM(AE11:AH11)</f>
        <v>13257</v>
      </c>
      <c r="AZ11" s="5">
        <f>SUM(AI11:AL11)</f>
        <v>14082.773000000001</v>
      </c>
      <c r="BA11" s="5">
        <f>BA5*0.34</f>
        <v>14340.225900000005</v>
      </c>
      <c r="BB11" s="5">
        <f>BB5*0.33</f>
        <v>14475.192732000005</v>
      </c>
      <c r="BC11" s="5">
        <f t="shared" ref="BC11:BJ11" si="37">BC5*0.33</f>
        <v>14909.448513960006</v>
      </c>
      <c r="BD11" s="5">
        <f t="shared" si="37"/>
        <v>15356.731969378807</v>
      </c>
      <c r="BE11" s="5">
        <f t="shared" si="37"/>
        <v>15817.43392846017</v>
      </c>
      <c r="BF11" s="5">
        <f t="shared" si="37"/>
        <v>16133.782607029374</v>
      </c>
      <c r="BG11" s="5">
        <f t="shared" si="37"/>
        <v>16456.458259169962</v>
      </c>
      <c r="BH11" s="5">
        <f t="shared" si="37"/>
        <v>16785.587424353365</v>
      </c>
      <c r="BI11" s="5">
        <f t="shared" si="37"/>
        <v>17121.29917284043</v>
      </c>
      <c r="BJ11" s="5">
        <f t="shared" si="37"/>
        <v>17463.725156297241</v>
      </c>
    </row>
    <row r="12" spans="2:62" x14ac:dyDescent="0.3">
      <c r="B12" t="s">
        <v>27</v>
      </c>
      <c r="C12" s="5">
        <v>260</v>
      </c>
      <c r="D12" s="5">
        <v>283</v>
      </c>
      <c r="E12" s="5">
        <v>271</v>
      </c>
      <c r="F12" s="5">
        <v>275</v>
      </c>
      <c r="G12" s="5">
        <v>295</v>
      </c>
      <c r="H12" s="5">
        <v>350</v>
      </c>
      <c r="I12" s="5">
        <v>342</v>
      </c>
      <c r="J12" s="5">
        <v>359</v>
      </c>
      <c r="K12" s="5">
        <v>362</v>
      </c>
      <c r="L12" s="5">
        <v>375</v>
      </c>
      <c r="M12" s="5">
        <v>477</v>
      </c>
      <c r="N12" s="5">
        <v>490</v>
      </c>
      <c r="O12" s="5">
        <v>502</v>
      </c>
      <c r="P12" s="5">
        <v>489</v>
      </c>
      <c r="Q12" s="5">
        <v>522</v>
      </c>
      <c r="R12" s="5">
        <v>574</v>
      </c>
      <c r="S12" s="5">
        <v>559</v>
      </c>
      <c r="T12" s="5">
        <v>639</v>
      </c>
      <c r="U12" s="5">
        <v>667</v>
      </c>
      <c r="V12" s="5">
        <v>733</v>
      </c>
      <c r="W12" s="5">
        <v>656</v>
      </c>
      <c r="X12" s="5">
        <v>647</v>
      </c>
      <c r="Y12" s="5">
        <v>664</v>
      </c>
      <c r="Z12" s="5">
        <v>586</v>
      </c>
      <c r="AA12" s="5">
        <v>638</v>
      </c>
      <c r="AB12" s="5">
        <v>632</v>
      </c>
      <c r="AC12" s="5">
        <v>632</v>
      </c>
      <c r="AD12" s="5">
        <v>632</v>
      </c>
      <c r="AE12" s="5">
        <v>647</v>
      </c>
      <c r="AF12" s="5">
        <v>711</v>
      </c>
      <c r="AG12" s="5">
        <v>711</v>
      </c>
      <c r="AH12" s="5">
        <v>767</v>
      </c>
      <c r="AI12" s="5">
        <v>697</v>
      </c>
      <c r="AJ12" s="5">
        <v>734</v>
      </c>
      <c r="AK12" s="5">
        <v>667</v>
      </c>
      <c r="AL12" s="5">
        <f>AH12*0.98</f>
        <v>751.66</v>
      </c>
      <c r="AM12" s="5"/>
      <c r="AN12" s="5"/>
      <c r="AO12" s="5"/>
      <c r="AP12" s="5"/>
      <c r="AR12" s="5">
        <f>SUM(C12:F12)</f>
        <v>1089</v>
      </c>
      <c r="AS12" s="5">
        <f>SUM(G12:J12)</f>
        <v>1346</v>
      </c>
      <c r="AT12" s="5">
        <f>SUM(K12:N12)</f>
        <v>1704</v>
      </c>
      <c r="AU12" s="5">
        <f>SUM(O12:R12)</f>
        <v>2087</v>
      </c>
      <c r="AV12" s="5">
        <f>SUM(S12:V12)</f>
        <v>2598</v>
      </c>
      <c r="AW12" s="5">
        <f>SUM(W12:Z12)</f>
        <v>2553</v>
      </c>
      <c r="AX12" s="5">
        <f>SUM(AA12:AD12)</f>
        <v>2534</v>
      </c>
      <c r="AY12" s="5">
        <f>SUM(AE12:AH12)</f>
        <v>2836</v>
      </c>
      <c r="AZ12" s="5">
        <f>SUM(AI12:AL12)</f>
        <v>2849.66</v>
      </c>
      <c r="BA12" s="5">
        <f t="shared" ref="BA12" si="38">AZ12*1.03</f>
        <v>2935.1498000000001</v>
      </c>
      <c r="BB12" s="5">
        <f>BA12*1.02</f>
        <v>2993.8527960000001</v>
      </c>
      <c r="BC12" s="5">
        <f>BB12*1.02</f>
        <v>3053.7298519200003</v>
      </c>
      <c r="BD12" s="5">
        <f t="shared" ref="BD12:BE12" si="39">BC12*1.02</f>
        <v>3114.8044489584004</v>
      </c>
      <c r="BE12" s="5">
        <f t="shared" si="39"/>
        <v>3177.1005379375683</v>
      </c>
      <c r="BF12" s="5">
        <f t="shared" ref="BF12" si="40">BE12*1.02</f>
        <v>3240.6425486963199</v>
      </c>
      <c r="BG12" s="5">
        <f t="shared" ref="BG12" si="41">BF12*1.02</f>
        <v>3305.4553996702462</v>
      </c>
      <c r="BH12" s="5">
        <f t="shared" ref="BH12" si="42">BG12*1.02</f>
        <v>3371.5645076636511</v>
      </c>
      <c r="BI12" s="5">
        <f t="shared" ref="BI12" si="43">BH12*1.02</f>
        <v>3438.9957978169241</v>
      </c>
      <c r="BJ12" s="5">
        <f t="shared" ref="BJ12" si="44">BI12*1.02</f>
        <v>3507.7757137732629</v>
      </c>
    </row>
    <row r="13" spans="2:62" x14ac:dyDescent="0.3">
      <c r="B13" t="s">
        <v>79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828</v>
      </c>
      <c r="AA13" s="5">
        <v>711</v>
      </c>
      <c r="AB13" s="5">
        <v>49</v>
      </c>
      <c r="AC13" s="5">
        <v>55</v>
      </c>
      <c r="AD13" s="5">
        <v>173</v>
      </c>
      <c r="AE13" s="5">
        <v>8</v>
      </c>
      <c r="AF13" s="5">
        <v>99</v>
      </c>
      <c r="AG13" s="5">
        <v>56</v>
      </c>
      <c r="AH13" s="5">
        <v>298</v>
      </c>
      <c r="AI13" s="5">
        <v>36</v>
      </c>
      <c r="AJ13" s="5">
        <v>4</v>
      </c>
      <c r="AK13" s="5">
        <v>260</v>
      </c>
      <c r="AL13" s="5">
        <v>50</v>
      </c>
      <c r="AM13" s="5"/>
      <c r="AN13" s="5"/>
      <c r="AO13" s="5"/>
      <c r="AP13" s="5"/>
      <c r="AR13" s="5"/>
      <c r="AS13" s="5"/>
      <c r="AT13" s="5"/>
      <c r="AU13" s="5"/>
      <c r="AV13" s="5">
        <f>SUM(S13:V13)</f>
        <v>0</v>
      </c>
      <c r="AW13" s="5">
        <f>SUM(W13:Z13)</f>
        <v>828</v>
      </c>
      <c r="AX13" s="5">
        <f>SUM(AA13:AD13)</f>
        <v>988</v>
      </c>
      <c r="AY13" s="5">
        <f>SUM(AE13:AH13)</f>
        <v>461</v>
      </c>
      <c r="AZ13" s="5">
        <f>SUM(AI13:AL13)</f>
        <v>350</v>
      </c>
      <c r="BA13" s="5">
        <f t="shared" ref="BA13:BE13" si="45">AZ13*0.5</f>
        <v>175</v>
      </c>
      <c r="BB13" s="5">
        <f t="shared" si="45"/>
        <v>87.5</v>
      </c>
      <c r="BC13" s="5">
        <f t="shared" si="45"/>
        <v>43.75</v>
      </c>
      <c r="BD13" s="5">
        <f t="shared" si="45"/>
        <v>21.875</v>
      </c>
      <c r="BE13" s="5">
        <f t="shared" si="45"/>
        <v>10.9375</v>
      </c>
      <c r="BF13" s="5">
        <f t="shared" ref="BF13:BJ13" si="46">BE13*0.5</f>
        <v>5.46875</v>
      </c>
      <c r="BG13" s="5">
        <f t="shared" si="46"/>
        <v>2.734375</v>
      </c>
      <c r="BH13" s="5">
        <f t="shared" si="46"/>
        <v>1.3671875</v>
      </c>
      <c r="BI13" s="5">
        <f t="shared" si="46"/>
        <v>0.68359375</v>
      </c>
      <c r="BJ13" s="5">
        <f t="shared" si="46"/>
        <v>0.341796875</v>
      </c>
    </row>
    <row r="14" spans="2:62" x14ac:dyDescent="0.3">
      <c r="B14" t="s">
        <v>28</v>
      </c>
      <c r="C14" s="5">
        <f t="shared" ref="C14:P14" si="47">SUM(C10:C12)</f>
        <v>1742</v>
      </c>
      <c r="D14" s="5">
        <f t="shared" si="47"/>
        <v>1823</v>
      </c>
      <c r="E14" s="5">
        <f t="shared" si="47"/>
        <v>1832</v>
      </c>
      <c r="F14" s="5">
        <f t="shared" si="47"/>
        <v>1916</v>
      </c>
      <c r="G14" s="5">
        <f t="shared" si="47"/>
        <v>2048</v>
      </c>
      <c r="H14" s="5">
        <f t="shared" si="47"/>
        <v>2317</v>
      </c>
      <c r="I14" s="5">
        <f t="shared" si="47"/>
        <v>2411</v>
      </c>
      <c r="J14" s="5">
        <f t="shared" si="47"/>
        <v>2520</v>
      </c>
      <c r="K14" s="5">
        <f t="shared" si="47"/>
        <v>2613</v>
      </c>
      <c r="L14" s="5">
        <f t="shared" si="47"/>
        <v>2972</v>
      </c>
      <c r="M14" s="5">
        <f t="shared" si="47"/>
        <v>3314</v>
      </c>
      <c r="N14" s="5">
        <f t="shared" si="47"/>
        <v>3667</v>
      </c>
      <c r="O14" s="5">
        <f t="shared" si="47"/>
        <v>3751</v>
      </c>
      <c r="P14" s="5">
        <f t="shared" si="47"/>
        <v>3662</v>
      </c>
      <c r="Q14" s="5">
        <f t="shared" ref="Q14:R14" si="48">SUM(Q10:Q12)</f>
        <v>3801</v>
      </c>
      <c r="R14" s="5">
        <f t="shared" si="48"/>
        <v>4145</v>
      </c>
      <c r="S14" s="5">
        <f t="shared" ref="S14:AH14" si="49">SUM(S10:S13)</f>
        <v>4054</v>
      </c>
      <c r="T14" s="5">
        <f t="shared" si="49"/>
        <v>4395</v>
      </c>
      <c r="U14" s="5">
        <f t="shared" si="49"/>
        <v>4981</v>
      </c>
      <c r="V14" s="5">
        <f t="shared" si="49"/>
        <v>5488</v>
      </c>
      <c r="W14" s="5">
        <f t="shared" si="49"/>
        <v>5346</v>
      </c>
      <c r="X14" s="5">
        <f t="shared" si="49"/>
        <v>5400</v>
      </c>
      <c r="Y14" s="5">
        <f t="shared" si="49"/>
        <v>5289</v>
      </c>
      <c r="Z14" s="5">
        <f t="shared" si="49"/>
        <v>5927</v>
      </c>
      <c r="AA14" s="5">
        <f t="shared" si="49"/>
        <v>5710</v>
      </c>
      <c r="AB14" s="5">
        <f t="shared" si="49"/>
        <v>5014</v>
      </c>
      <c r="AC14" s="5">
        <f t="shared" si="49"/>
        <v>5064</v>
      </c>
      <c r="AD14" s="5">
        <f t="shared" si="49"/>
        <v>5517</v>
      </c>
      <c r="AE14" s="5">
        <f t="shared" si="49"/>
        <v>5262</v>
      </c>
      <c r="AF14" s="5">
        <f t="shared" si="49"/>
        <v>5383</v>
      </c>
      <c r="AG14" s="5">
        <f t="shared" si="49"/>
        <v>5446</v>
      </c>
      <c r="AH14" s="5">
        <f t="shared" si="49"/>
        <v>5956</v>
      </c>
      <c r="AI14" s="5">
        <f t="shared" ref="AI14:AL14" si="50">SUM(AI10:AI13)</f>
        <v>5622</v>
      </c>
      <c r="AJ14" s="5">
        <f t="shared" si="50"/>
        <v>5662</v>
      </c>
      <c r="AK14" s="5">
        <f t="shared" si="50"/>
        <v>5816</v>
      </c>
      <c r="AL14" s="5">
        <f t="shared" si="50"/>
        <v>6047.4330000000009</v>
      </c>
      <c r="AM14" s="5"/>
      <c r="AN14" s="5"/>
      <c r="AO14" s="5"/>
      <c r="AP14" s="5"/>
      <c r="AR14" s="5">
        <f>SUM(AR10:AR12)</f>
        <v>7313</v>
      </c>
      <c r="AS14" s="5">
        <f>SUM(AS10:AS12)</f>
        <v>9296</v>
      </c>
      <c r="AT14" s="5">
        <f>SUM(AT10:AT12)</f>
        <v>12566</v>
      </c>
      <c r="AU14" s="5">
        <f>SUM(AU10:AU12)</f>
        <v>15359</v>
      </c>
      <c r="AV14" s="5">
        <f>SUM(AV10:AV13)</f>
        <v>18918</v>
      </c>
      <c r="AW14" s="5">
        <f t="shared" ref="AW14:BE14" si="51">SUM(AW10:AW13)</f>
        <v>21962</v>
      </c>
      <c r="AX14" s="5">
        <f t="shared" si="51"/>
        <v>21305</v>
      </c>
      <c r="AY14" s="5">
        <f t="shared" si="51"/>
        <v>22047</v>
      </c>
      <c r="AZ14" s="5">
        <f t="shared" si="51"/>
        <v>23147.433000000001</v>
      </c>
      <c r="BA14" s="5">
        <f t="shared" si="51"/>
        <v>23667.275700000006</v>
      </c>
      <c r="BB14" s="5">
        <f t="shared" si="51"/>
        <v>24022.121528000003</v>
      </c>
      <c r="BC14" s="5">
        <f t="shared" si="51"/>
        <v>24666.471645880007</v>
      </c>
      <c r="BD14" s="5">
        <f t="shared" si="51"/>
        <v>25286.145563937207</v>
      </c>
      <c r="BE14" s="5">
        <f t="shared" si="51"/>
        <v>25934.060794909739</v>
      </c>
      <c r="BF14" s="5">
        <f t="shared" ref="BF14" si="52">SUM(BF10:BF13)</f>
        <v>26377.768622522817</v>
      </c>
      <c r="BG14" s="5">
        <f t="shared" ref="BG14" si="53">SUM(BG10:BG13)</f>
        <v>26832.5014978053</v>
      </c>
      <c r="BH14" s="5">
        <f t="shared" ref="BH14" si="54">SUM(BH10:BH13)</f>
        <v>27297.051118121759</v>
      </c>
      <c r="BI14" s="5">
        <f t="shared" ref="BI14" si="55">SUM(BI10:BI13)</f>
        <v>27770.895882998149</v>
      </c>
      <c r="BJ14" s="5">
        <f t="shared" ref="BJ14" si="56">SUM(BJ10:BJ13)</f>
        <v>28253.859158722204</v>
      </c>
    </row>
    <row r="15" spans="2:62" s="1" customFormat="1" x14ac:dyDescent="0.3">
      <c r="B15" s="1" t="s">
        <v>29</v>
      </c>
      <c r="C15" s="9">
        <f t="shared" ref="C15:P15" si="57">C9-C14</f>
        <v>4</v>
      </c>
      <c r="D15" s="9">
        <f t="shared" si="57"/>
        <v>84</v>
      </c>
      <c r="E15" s="9">
        <f t="shared" si="57"/>
        <v>155</v>
      </c>
      <c r="F15" s="9">
        <f t="shared" si="57"/>
        <v>211</v>
      </c>
      <c r="G15" s="9">
        <f t="shared" si="57"/>
        <v>191</v>
      </c>
      <c r="H15" s="9">
        <f t="shared" si="57"/>
        <v>115</v>
      </c>
      <c r="I15" s="9">
        <f t="shared" si="57"/>
        <v>92</v>
      </c>
      <c r="J15" s="9">
        <f t="shared" si="57"/>
        <v>137</v>
      </c>
      <c r="K15" s="9">
        <f t="shared" si="57"/>
        <v>210</v>
      </c>
      <c r="L15" s="9">
        <f t="shared" si="57"/>
        <v>58</v>
      </c>
      <c r="M15" s="9">
        <f t="shared" si="57"/>
        <v>65</v>
      </c>
      <c r="N15" s="9">
        <f t="shared" si="57"/>
        <v>-36</v>
      </c>
      <c r="O15" s="9">
        <f t="shared" si="57"/>
        <v>-140</v>
      </c>
      <c r="P15" s="9">
        <f t="shared" si="57"/>
        <v>178</v>
      </c>
      <c r="Q15" s="9">
        <f t="shared" ref="Q15:S15" si="58">Q9-Q14</f>
        <v>263.25</v>
      </c>
      <c r="R15" s="9">
        <f t="shared" si="58"/>
        <v>193</v>
      </c>
      <c r="S15" s="9">
        <f t="shared" si="58"/>
        <v>354</v>
      </c>
      <c r="T15" s="9">
        <f t="shared" ref="T15" si="59">T9-T14</f>
        <v>332</v>
      </c>
      <c r="U15" s="9">
        <f t="shared" ref="U15" si="60">U9-U14</f>
        <v>38</v>
      </c>
      <c r="V15" s="9">
        <f t="shared" ref="V15:W15" si="61">V9-V14</f>
        <v>-176</v>
      </c>
      <c r="W15" s="9">
        <f t="shared" si="61"/>
        <v>20</v>
      </c>
      <c r="X15" s="9">
        <f t="shared" ref="X15" si="62">X9-X14</f>
        <v>193</v>
      </c>
      <c r="Y15" s="9">
        <f t="shared" ref="Y15" si="63">Y9-Y14</f>
        <v>460</v>
      </c>
      <c r="Z15" s="9">
        <f t="shared" ref="Z15:AA15" si="64">Z9-Z14</f>
        <v>357</v>
      </c>
      <c r="AA15" s="9">
        <f t="shared" si="64"/>
        <v>412</v>
      </c>
      <c r="AB15" s="9">
        <f t="shared" ref="AB15" si="65">AB9-AB14</f>
        <v>1476</v>
      </c>
      <c r="AC15" s="9">
        <f t="shared" ref="AC15" si="66">AC9-AC14</f>
        <v>1501</v>
      </c>
      <c r="AD15" s="9">
        <f t="shared" ref="AD15:AE15" si="67">AD9-AD14</f>
        <v>1622</v>
      </c>
      <c r="AE15" s="9">
        <f t="shared" si="67"/>
        <v>1709</v>
      </c>
      <c r="AF15" s="9">
        <f t="shared" ref="AF15" si="68">AF9-AF14</f>
        <v>1783</v>
      </c>
      <c r="AG15" s="9">
        <f t="shared" ref="AG15" si="69">AG9-AG14</f>
        <v>1893</v>
      </c>
      <c r="AH15" s="9">
        <f t="shared" ref="AH15:AL15" si="70">AH9-AH14</f>
        <v>1820</v>
      </c>
      <c r="AI15" s="9">
        <f t="shared" si="70"/>
        <v>1942</v>
      </c>
      <c r="AJ15" s="9">
        <f t="shared" si="70"/>
        <v>2332</v>
      </c>
      <c r="AK15" s="9">
        <f t="shared" si="70"/>
        <v>2188</v>
      </c>
      <c r="AL15" s="9">
        <f t="shared" si="70"/>
        <v>2576.8472999999994</v>
      </c>
      <c r="AM15" s="9"/>
      <c r="AN15" s="9"/>
      <c r="AO15" s="9"/>
      <c r="AP15" s="9"/>
      <c r="AR15" s="9">
        <f>AR9-AR14</f>
        <v>454</v>
      </c>
      <c r="AS15" s="9">
        <f>AS9-AS14</f>
        <v>535</v>
      </c>
      <c r="AT15" s="9">
        <f>AT9-AT14</f>
        <v>297</v>
      </c>
      <c r="AU15" s="9">
        <f>AU9-AU14</f>
        <v>455</v>
      </c>
      <c r="AV15" s="9">
        <f t="shared" ref="AV15:BE15" si="71">AV9-AV14</f>
        <v>951</v>
      </c>
      <c r="AW15" s="9">
        <f t="shared" si="71"/>
        <v>1030</v>
      </c>
      <c r="AX15" s="9">
        <f t="shared" si="71"/>
        <v>5011</v>
      </c>
      <c r="AY15" s="9">
        <f t="shared" si="71"/>
        <v>7205</v>
      </c>
      <c r="AZ15" s="9">
        <f t="shared" si="71"/>
        <v>7840.0973000000049</v>
      </c>
      <c r="BA15" s="9">
        <f t="shared" si="71"/>
        <v>8809.1182500000032</v>
      </c>
      <c r="BB15" s="9">
        <f t="shared" si="71"/>
        <v>9753.3281800000041</v>
      </c>
      <c r="BC15" s="9">
        <f t="shared" si="71"/>
        <v>10122.241553360003</v>
      </c>
      <c r="BD15" s="9">
        <f t="shared" si="71"/>
        <v>10546.229031280011</v>
      </c>
      <c r="BE15" s="9">
        <f t="shared" si="71"/>
        <v>10973.285038163995</v>
      </c>
      <c r="BF15" s="9">
        <f t="shared" ref="BF15:BJ15" si="72">BF9-BF14</f>
        <v>11267.724127212387</v>
      </c>
      <c r="BG15" s="9">
        <f t="shared" si="72"/>
        <v>11565.901106924612</v>
      </c>
      <c r="BH15" s="9">
        <f t="shared" si="72"/>
        <v>11869.319538702752</v>
      </c>
      <c r="BI15" s="9">
        <f t="shared" si="72"/>
        <v>12178.802186962857</v>
      </c>
      <c r="BJ15" s="9">
        <f t="shared" si="72"/>
        <v>12494.83287263802</v>
      </c>
    </row>
    <row r="16" spans="2:62" x14ac:dyDescent="0.3">
      <c r="B16" t="s">
        <v>30</v>
      </c>
      <c r="C16" s="5">
        <f>-5-3</f>
        <v>-8</v>
      </c>
      <c r="D16" s="5">
        <f>-9+8</f>
        <v>-1</v>
      </c>
      <c r="E16" s="5">
        <f>-10-1-1</f>
        <v>-12</v>
      </c>
      <c r="F16" s="5">
        <f>-12-23+3</f>
        <v>-32</v>
      </c>
      <c r="G16" s="5">
        <f>-16-211-1</f>
        <v>-228</v>
      </c>
      <c r="H16" s="5">
        <v>-143</v>
      </c>
      <c r="I16" s="5">
        <v>-63</v>
      </c>
      <c r="J16" s="5">
        <v>-125</v>
      </c>
      <c r="K16" s="5">
        <v>-281</v>
      </c>
      <c r="L16" s="5">
        <v>-109</v>
      </c>
      <c r="M16" s="5">
        <v>-6</v>
      </c>
      <c r="N16" s="5">
        <v>-31</v>
      </c>
      <c r="O16" s="5">
        <v>-192</v>
      </c>
      <c r="P16" s="5">
        <v>-682</v>
      </c>
      <c r="Q16" s="5">
        <v>-1036</v>
      </c>
      <c r="R16" s="5">
        <v>-260</v>
      </c>
      <c r="S16" s="5">
        <v>-288</v>
      </c>
      <c r="T16" s="5">
        <v>-526</v>
      </c>
      <c r="U16" s="5">
        <v>-363</v>
      </c>
      <c r="V16" s="5">
        <v>-34</v>
      </c>
      <c r="W16" s="5">
        <v>-7</v>
      </c>
      <c r="X16" s="5">
        <v>-45</v>
      </c>
      <c r="Y16" s="5">
        <v>-23</v>
      </c>
      <c r="Z16" s="5">
        <v>314</v>
      </c>
      <c r="AA16" s="5">
        <v>141</v>
      </c>
      <c r="AB16" s="5">
        <v>29</v>
      </c>
      <c r="AC16" s="5">
        <v>72</v>
      </c>
      <c r="AD16" s="5">
        <v>35</v>
      </c>
      <c r="AE16" s="5">
        <v>-37</v>
      </c>
      <c r="AF16" s="5">
        <v>37</v>
      </c>
      <c r="AG16" s="5">
        <v>217</v>
      </c>
      <c r="AH16" s="5">
        <v>-96</v>
      </c>
      <c r="AI16" s="5">
        <v>63</v>
      </c>
      <c r="AJ16" s="5">
        <v>-6</v>
      </c>
      <c r="AK16" s="5">
        <v>-263</v>
      </c>
      <c r="AL16" s="5">
        <v>0</v>
      </c>
      <c r="AM16" s="5"/>
      <c r="AN16" s="5"/>
      <c r="AO16" s="5"/>
      <c r="AP16" s="5"/>
      <c r="AR16" s="5">
        <f>SUM(C16:F16)</f>
        <v>-53</v>
      </c>
      <c r="AS16" s="5">
        <f>SUM(G16:J16)</f>
        <v>-559</v>
      </c>
      <c r="AT16" s="5">
        <f>SUM(K16:N16)</f>
        <v>-427</v>
      </c>
      <c r="AU16" s="5">
        <f>SUM(O16:R16)</f>
        <v>-2170</v>
      </c>
      <c r="AV16" s="5">
        <f>SUM(S16:V16)</f>
        <v>-1211</v>
      </c>
      <c r="AW16" s="5">
        <f>SUM(W16:Z16)</f>
        <v>239</v>
      </c>
      <c r="AX16" s="5">
        <f>SUM(AA16:AD16)</f>
        <v>277</v>
      </c>
      <c r="AY16" s="5">
        <f>SUM(AE16:AH16)</f>
        <v>121</v>
      </c>
      <c r="AZ16" s="5">
        <f>SUM(AI16:AL16)</f>
        <v>-206</v>
      </c>
      <c r="BA16" s="5">
        <f t="shared" ref="BA16:BE16" si="73">AZ16*1.03</f>
        <v>-212.18</v>
      </c>
      <c r="BB16" s="5">
        <f t="shared" si="73"/>
        <v>-218.5454</v>
      </c>
      <c r="BC16" s="5">
        <f t="shared" si="73"/>
        <v>-225.10176200000001</v>
      </c>
      <c r="BD16" s="5">
        <f t="shared" si="73"/>
        <v>-231.85481486</v>
      </c>
      <c r="BE16" s="5">
        <f t="shared" si="73"/>
        <v>-238.81045930580001</v>
      </c>
      <c r="BF16" s="5">
        <f t="shared" ref="BF16" si="74">BE16*1.03</f>
        <v>-245.974773084974</v>
      </c>
      <c r="BG16" s="5">
        <f t="shared" ref="BG16" si="75">BF16*1.03</f>
        <v>-253.35401627752324</v>
      </c>
      <c r="BH16" s="5">
        <f t="shared" ref="BH16" si="76">BG16*1.03</f>
        <v>-260.95463676584893</v>
      </c>
      <c r="BI16" s="5">
        <f t="shared" ref="BI16" si="77">BH16*1.03</f>
        <v>-268.78327586882443</v>
      </c>
      <c r="BJ16" s="5">
        <f t="shared" ref="BJ16" si="78">BI16*1.03</f>
        <v>-276.8467741448892</v>
      </c>
    </row>
    <row r="17" spans="2:196" x14ac:dyDescent="0.3">
      <c r="B17" t="s">
        <v>85</v>
      </c>
      <c r="C17" s="5">
        <v>22</v>
      </c>
      <c r="D17" s="5">
        <v>22</v>
      </c>
      <c r="E17" s="5">
        <v>21</v>
      </c>
      <c r="F17" s="5">
        <v>22</v>
      </c>
      <c r="G17" s="5">
        <v>34</v>
      </c>
      <c r="H17" s="5">
        <v>27</v>
      </c>
      <c r="I17" s="5">
        <v>27</v>
      </c>
      <c r="J17" s="5">
        <v>23</v>
      </c>
      <c r="K17" s="5">
        <v>9</v>
      </c>
      <c r="L17" s="5">
        <v>3</v>
      </c>
      <c r="M17" s="5">
        <v>7</v>
      </c>
      <c r="N17" s="5">
        <v>-1</v>
      </c>
      <c r="O17" s="5">
        <v>5</v>
      </c>
      <c r="P17" s="5">
        <v>21</v>
      </c>
      <c r="Q17" s="5">
        <v>10</v>
      </c>
      <c r="R17" s="5">
        <v>28</v>
      </c>
      <c r="S17" s="5">
        <v>38</v>
      </c>
      <c r="T17" s="5">
        <v>32</v>
      </c>
      <c r="U17" s="5">
        <v>102</v>
      </c>
      <c r="V17" s="5">
        <v>55</v>
      </c>
      <c r="W17" s="5">
        <v>56</v>
      </c>
      <c r="X17" s="5">
        <v>57</v>
      </c>
      <c r="Y17" s="5">
        <v>8</v>
      </c>
      <c r="Z17" s="5">
        <v>10</v>
      </c>
      <c r="AA17" s="5">
        <v>-55</v>
      </c>
      <c r="AB17" s="5">
        <v>-45</v>
      </c>
      <c r="AC17" s="5">
        <v>-58</v>
      </c>
      <c r="AD17" s="5">
        <v>-58</v>
      </c>
      <c r="AE17" s="5">
        <v>-121</v>
      </c>
      <c r="AF17" s="5">
        <v>-91</v>
      </c>
      <c r="AG17" s="5">
        <v>-70</v>
      </c>
      <c r="AH17" s="5">
        <v>-72</v>
      </c>
      <c r="AI17" s="5">
        <v>-95</v>
      </c>
      <c r="AJ17" s="5">
        <v>-68</v>
      </c>
      <c r="AK17" s="5">
        <v>-61</v>
      </c>
      <c r="AL17" s="5">
        <f t="shared" ref="AL17" si="79">AH17*0.9</f>
        <v>-64.8</v>
      </c>
      <c r="AM17" s="5"/>
      <c r="AN17" s="5"/>
      <c r="AO17" s="5"/>
      <c r="AP17" s="5"/>
      <c r="AR17" s="5">
        <f>SUM(C17:F17)</f>
        <v>87</v>
      </c>
      <c r="AS17" s="5">
        <f>SUM(G17:J17)</f>
        <v>111</v>
      </c>
      <c r="AT17" s="5">
        <f>SUM(K17:N17)</f>
        <v>18</v>
      </c>
      <c r="AU17" s="5">
        <f>SUM(O17:R17)</f>
        <v>64</v>
      </c>
      <c r="AV17" s="5">
        <f>SUM(S17:V17)</f>
        <v>227</v>
      </c>
      <c r="AW17" s="5">
        <f>SUM(W17:Z17)</f>
        <v>131</v>
      </c>
      <c r="AX17" s="5">
        <f>SUM(AA17:AD17)</f>
        <v>-216</v>
      </c>
      <c r="AY17" s="5">
        <f>SUM(AE17:AH17)</f>
        <v>-354</v>
      </c>
      <c r="AZ17" s="5">
        <f>SUM(AI17:AL17)</f>
        <v>-288.8</v>
      </c>
      <c r="BA17" s="5">
        <f t="shared" ref="BA17:BE17" si="80">AZ17*0.97</f>
        <v>-280.13600000000002</v>
      </c>
      <c r="BB17" s="5">
        <f t="shared" si="80"/>
        <v>-271.73192</v>
      </c>
      <c r="BC17" s="5">
        <f t="shared" si="80"/>
        <v>-263.5799624</v>
      </c>
      <c r="BD17" s="5">
        <f t="shared" si="80"/>
        <v>-255.67256352799998</v>
      </c>
      <c r="BE17" s="5">
        <f t="shared" si="80"/>
        <v>-248.00238662215997</v>
      </c>
      <c r="BF17" s="5">
        <f t="shared" ref="BF17" si="81">BE17*0.97</f>
        <v>-240.56231502349516</v>
      </c>
      <c r="BG17" s="5">
        <f t="shared" ref="BG17" si="82">BF17*0.97</f>
        <v>-233.34544557279031</v>
      </c>
      <c r="BH17" s="5">
        <f t="shared" ref="BH17" si="83">BG17*0.97</f>
        <v>-226.34508220560659</v>
      </c>
      <c r="BI17" s="5">
        <f t="shared" ref="BI17" si="84">BH17*0.97</f>
        <v>-219.55472973943839</v>
      </c>
      <c r="BJ17" s="5">
        <f t="shared" ref="BJ17" si="85">BI17*0.97</f>
        <v>-212.96808784725522</v>
      </c>
    </row>
    <row r="18" spans="2:196" s="1" customFormat="1" x14ac:dyDescent="0.3">
      <c r="B18" s="1" t="s">
        <v>31</v>
      </c>
      <c r="C18" s="9">
        <f t="shared" ref="C18:P18" si="86">C15-C16-C17</f>
        <v>-10</v>
      </c>
      <c r="D18" s="9">
        <f t="shared" si="86"/>
        <v>63</v>
      </c>
      <c r="E18" s="9">
        <f t="shared" si="86"/>
        <v>146</v>
      </c>
      <c r="F18" s="9">
        <f t="shared" si="86"/>
        <v>221</v>
      </c>
      <c r="G18" s="9">
        <f t="shared" si="86"/>
        <v>385</v>
      </c>
      <c r="H18" s="9">
        <f t="shared" si="86"/>
        <v>231</v>
      </c>
      <c r="I18" s="9">
        <f t="shared" si="86"/>
        <v>128</v>
      </c>
      <c r="J18" s="9">
        <f t="shared" si="86"/>
        <v>239</v>
      </c>
      <c r="K18" s="9">
        <f t="shared" si="86"/>
        <v>482</v>
      </c>
      <c r="L18" s="9">
        <f t="shared" si="86"/>
        <v>164</v>
      </c>
      <c r="M18" s="9">
        <f t="shared" si="86"/>
        <v>64</v>
      </c>
      <c r="N18" s="9">
        <f t="shared" si="86"/>
        <v>-4</v>
      </c>
      <c r="O18" s="9">
        <f t="shared" si="86"/>
        <v>47</v>
      </c>
      <c r="P18" s="9">
        <f t="shared" si="86"/>
        <v>839</v>
      </c>
      <c r="Q18" s="9">
        <f t="shared" ref="Q18:S18" si="87">Q15-Q16-Q17</f>
        <v>1289.25</v>
      </c>
      <c r="R18" s="9">
        <f t="shared" si="87"/>
        <v>425</v>
      </c>
      <c r="S18" s="9">
        <f t="shared" si="87"/>
        <v>604</v>
      </c>
      <c r="T18" s="9">
        <f t="shared" ref="T18" si="88">T15-T16-T17</f>
        <v>826</v>
      </c>
      <c r="U18" s="9">
        <f t="shared" ref="U18" si="89">U15-U16-U17</f>
        <v>299</v>
      </c>
      <c r="V18" s="9">
        <f t="shared" ref="V18:W18" si="90">V15-V16-V17</f>
        <v>-197</v>
      </c>
      <c r="W18" s="9">
        <f t="shared" si="90"/>
        <v>-29</v>
      </c>
      <c r="X18" s="9">
        <f t="shared" ref="X18" si="91">X15-X16-X17</f>
        <v>181</v>
      </c>
      <c r="Y18" s="9">
        <f t="shared" ref="Y18" si="92">Y15-Y16-Y17</f>
        <v>475</v>
      </c>
      <c r="Z18" s="9">
        <f t="shared" ref="Z18:AA18" si="93">Z15-Z16-Z17</f>
        <v>33</v>
      </c>
      <c r="AA18" s="9">
        <f t="shared" si="93"/>
        <v>326</v>
      </c>
      <c r="AB18" s="9">
        <f t="shared" ref="AB18" si="94">AB15-AB16-AB17</f>
        <v>1492</v>
      </c>
      <c r="AC18" s="9">
        <f t="shared" ref="AC18" si="95">AC15-AC16-AC17</f>
        <v>1487</v>
      </c>
      <c r="AD18" s="9">
        <f t="shared" ref="AD18:AE18" si="96">AD15-AD16-AD17</f>
        <v>1645</v>
      </c>
      <c r="AE18" s="9">
        <f t="shared" si="96"/>
        <v>1867</v>
      </c>
      <c r="AF18" s="9">
        <f t="shared" ref="AF18" si="97">AF15-AF16-AF17</f>
        <v>1837</v>
      </c>
      <c r="AG18" s="9">
        <f t="shared" ref="AG18" si="98">AG15-AG16-AG17</f>
        <v>1746</v>
      </c>
      <c r="AH18" s="9">
        <f t="shared" ref="AH18:AL18" si="99">AH15-AH16-AH17</f>
        <v>1988</v>
      </c>
      <c r="AI18" s="9">
        <f t="shared" si="99"/>
        <v>1974</v>
      </c>
      <c r="AJ18" s="9">
        <f t="shared" si="99"/>
        <v>2406</v>
      </c>
      <c r="AK18" s="9">
        <f t="shared" si="99"/>
        <v>2512</v>
      </c>
      <c r="AL18" s="9">
        <f t="shared" si="99"/>
        <v>2641.6472999999996</v>
      </c>
      <c r="AM18" s="9"/>
      <c r="AN18" s="9"/>
      <c r="AO18" s="9"/>
      <c r="AP18" s="9"/>
      <c r="AR18" s="9">
        <f>AR15-AR16-AR17</f>
        <v>420</v>
      </c>
      <c r="AS18" s="9">
        <f>AS15-AS16-AS17</f>
        <v>983</v>
      </c>
      <c r="AT18" s="9">
        <f>AT15-AT16-AT17</f>
        <v>706</v>
      </c>
      <c r="AU18" s="9">
        <f>AU15-AU16-AU17</f>
        <v>2561</v>
      </c>
      <c r="AV18" s="9">
        <f t="shared" ref="AV18:BE18" si="100">AV15-AV16-AV17</f>
        <v>1935</v>
      </c>
      <c r="AW18" s="9">
        <f t="shared" si="100"/>
        <v>660</v>
      </c>
      <c r="AX18" s="9">
        <f t="shared" si="100"/>
        <v>4950</v>
      </c>
      <c r="AY18" s="9">
        <f t="shared" si="100"/>
        <v>7438</v>
      </c>
      <c r="AZ18" s="9">
        <f t="shared" si="100"/>
        <v>8334.8973000000042</v>
      </c>
      <c r="BA18" s="9">
        <f t="shared" si="100"/>
        <v>9301.4342500000039</v>
      </c>
      <c r="BB18" s="9">
        <f t="shared" si="100"/>
        <v>10243.605500000005</v>
      </c>
      <c r="BC18" s="9">
        <f t="shared" si="100"/>
        <v>10610.923277760003</v>
      </c>
      <c r="BD18" s="9">
        <f t="shared" si="100"/>
        <v>11033.756409668011</v>
      </c>
      <c r="BE18" s="9">
        <f t="shared" si="100"/>
        <v>11460.097884091954</v>
      </c>
      <c r="BF18" s="9">
        <f t="shared" ref="BF18:BJ18" si="101">BF15-BF16-BF17</f>
        <v>11754.261215320856</v>
      </c>
      <c r="BG18" s="9">
        <f t="shared" si="101"/>
        <v>12052.600568774924</v>
      </c>
      <c r="BH18" s="9">
        <f t="shared" si="101"/>
        <v>12356.619257674209</v>
      </c>
      <c r="BI18" s="9">
        <f t="shared" si="101"/>
        <v>12667.14019257112</v>
      </c>
      <c r="BJ18" s="9">
        <f t="shared" si="101"/>
        <v>12984.647734630165</v>
      </c>
    </row>
    <row r="19" spans="2:196" x14ac:dyDescent="0.3">
      <c r="B19" t="s">
        <v>32</v>
      </c>
      <c r="C19" s="5">
        <v>-11</v>
      </c>
      <c r="D19" s="5">
        <v>17</v>
      </c>
      <c r="E19" s="5">
        <v>39</v>
      </c>
      <c r="F19" s="5">
        <v>15</v>
      </c>
      <c r="G19" s="5">
        <v>41</v>
      </c>
      <c r="H19" s="5">
        <v>-68</v>
      </c>
      <c r="I19" s="5">
        <v>23</v>
      </c>
      <c r="J19" s="5">
        <v>-123</v>
      </c>
      <c r="K19" s="5">
        <v>90</v>
      </c>
      <c r="L19" s="5">
        <v>73</v>
      </c>
      <c r="M19" s="5">
        <v>173</v>
      </c>
      <c r="N19" s="5">
        <v>244</v>
      </c>
      <c r="O19" s="5">
        <v>-52</v>
      </c>
      <c r="P19" s="5">
        <v>-1786</v>
      </c>
      <c r="Q19" s="5">
        <v>169</v>
      </c>
      <c r="R19" s="5">
        <v>158</v>
      </c>
      <c r="S19" s="5">
        <v>135</v>
      </c>
      <c r="T19" s="5">
        <v>291</v>
      </c>
      <c r="U19" s="5">
        <v>-169</v>
      </c>
      <c r="V19" s="5">
        <v>-169</v>
      </c>
      <c r="W19" s="5">
        <v>-57</v>
      </c>
      <c r="X19" s="5">
        <v>113</v>
      </c>
      <c r="Y19" s="5">
        <v>265</v>
      </c>
      <c r="Z19" s="5">
        <v>131</v>
      </c>
      <c r="AA19" s="5">
        <v>127</v>
      </c>
      <c r="AB19" s="5">
        <v>225</v>
      </c>
      <c r="AC19" s="5">
        <v>263</v>
      </c>
      <c r="AD19" s="5">
        <v>199</v>
      </c>
      <c r="AE19" s="5">
        <v>334</v>
      </c>
      <c r="AF19" s="5">
        <v>408</v>
      </c>
      <c r="AG19" s="5">
        <v>219</v>
      </c>
      <c r="AH19" s="5">
        <v>280</v>
      </c>
      <c r="AI19" s="5">
        <v>433</v>
      </c>
      <c r="AJ19" s="5">
        <v>519</v>
      </c>
      <c r="AK19" s="5">
        <v>426</v>
      </c>
      <c r="AL19" s="5">
        <f t="shared" ref="AL19" si="102">AL18*0.18</f>
        <v>475.49651399999993</v>
      </c>
      <c r="AM19" s="5"/>
      <c r="AN19" s="5"/>
      <c r="AO19" s="5"/>
      <c r="AP19" s="5"/>
      <c r="AR19" s="5">
        <f>SUM(C19:F19)</f>
        <v>60</v>
      </c>
      <c r="AS19" s="5">
        <f>SUM(G19:J19)</f>
        <v>-127</v>
      </c>
      <c r="AT19" s="5">
        <f>SUM(K19:N19)</f>
        <v>580</v>
      </c>
      <c r="AU19" s="5">
        <f>SUM(O19:R19)</f>
        <v>-1511</v>
      </c>
      <c r="AV19" s="5">
        <f>SUM(S19:V19)</f>
        <v>88</v>
      </c>
      <c r="AW19" s="5">
        <f>SUM(W19:Z19)</f>
        <v>452</v>
      </c>
      <c r="AX19" s="5">
        <f>SUM(AA19:AD19)</f>
        <v>814</v>
      </c>
      <c r="AY19" s="5">
        <f>SUM(AE19:AH19)</f>
        <v>1241</v>
      </c>
      <c r="AZ19" s="5">
        <f>SUM(AI19:AL19)</f>
        <v>1853.4965139999999</v>
      </c>
      <c r="BA19" s="5">
        <f>BA18*0.18</f>
        <v>1674.2581650000006</v>
      </c>
      <c r="BB19" s="5">
        <f t="shared" ref="BB19:BJ19" si="103">BB18*0.18</f>
        <v>1843.8489900000009</v>
      </c>
      <c r="BC19" s="5">
        <f t="shared" si="103"/>
        <v>1909.9661899968005</v>
      </c>
      <c r="BD19" s="5">
        <f t="shared" si="103"/>
        <v>1986.0761537402418</v>
      </c>
      <c r="BE19" s="5">
        <f t="shared" si="103"/>
        <v>2062.8176191365519</v>
      </c>
      <c r="BF19" s="5">
        <f t="shared" si="103"/>
        <v>2115.7670187577542</v>
      </c>
      <c r="BG19" s="5">
        <f t="shared" si="103"/>
        <v>2169.468102379486</v>
      </c>
      <c r="BH19" s="5">
        <f t="shared" si="103"/>
        <v>2224.1914663813573</v>
      </c>
      <c r="BI19" s="5">
        <f t="shared" si="103"/>
        <v>2280.0852346628017</v>
      </c>
      <c r="BJ19" s="5">
        <f t="shared" si="103"/>
        <v>2337.2365922334297</v>
      </c>
    </row>
    <row r="20" spans="2:196" s="1" customFormat="1" x14ac:dyDescent="0.3">
      <c r="B20" s="1" t="s">
        <v>33</v>
      </c>
      <c r="C20" s="9">
        <f t="shared" ref="C20:P20" si="104">C18-C19</f>
        <v>1</v>
      </c>
      <c r="D20" s="9">
        <f t="shared" si="104"/>
        <v>46</v>
      </c>
      <c r="E20" s="9">
        <f t="shared" si="104"/>
        <v>107</v>
      </c>
      <c r="F20" s="9">
        <f t="shared" si="104"/>
        <v>206</v>
      </c>
      <c r="G20" s="9">
        <f t="shared" si="104"/>
        <v>344</v>
      </c>
      <c r="H20" s="9">
        <f t="shared" si="104"/>
        <v>299</v>
      </c>
      <c r="I20" s="9">
        <f t="shared" si="104"/>
        <v>105</v>
      </c>
      <c r="J20" s="9">
        <f t="shared" si="104"/>
        <v>362</v>
      </c>
      <c r="K20" s="9">
        <f t="shared" si="104"/>
        <v>392</v>
      </c>
      <c r="L20" s="9">
        <f t="shared" si="104"/>
        <v>91</v>
      </c>
      <c r="M20" s="9">
        <f t="shared" si="104"/>
        <v>-109</v>
      </c>
      <c r="N20" s="9">
        <f t="shared" si="104"/>
        <v>-248</v>
      </c>
      <c r="O20" s="9">
        <f t="shared" si="104"/>
        <v>99</v>
      </c>
      <c r="P20" s="9">
        <f t="shared" si="104"/>
        <v>2625</v>
      </c>
      <c r="Q20" s="9">
        <f t="shared" ref="Q20:S20" si="105">Q18-Q19</f>
        <v>1120.25</v>
      </c>
      <c r="R20" s="9">
        <f t="shared" si="105"/>
        <v>267</v>
      </c>
      <c r="S20" s="9">
        <f t="shared" si="105"/>
        <v>469</v>
      </c>
      <c r="T20" s="9">
        <f t="shared" ref="T20" si="106">T18-T19</f>
        <v>535</v>
      </c>
      <c r="U20" s="9">
        <f t="shared" ref="U20" si="107">U18-U19</f>
        <v>468</v>
      </c>
      <c r="V20" s="9">
        <f t="shared" ref="V20:W20" si="108">V18-V19</f>
        <v>-28</v>
      </c>
      <c r="W20" s="9">
        <f t="shared" si="108"/>
        <v>28</v>
      </c>
      <c r="X20" s="9">
        <f t="shared" ref="X20" si="109">X18-X19</f>
        <v>68</v>
      </c>
      <c r="Y20" s="9">
        <f t="shared" ref="Y20" si="110">Y18-Y19</f>
        <v>210</v>
      </c>
      <c r="Z20" s="9">
        <f t="shared" ref="Z20:AA20" si="111">Z18-Z19</f>
        <v>-98</v>
      </c>
      <c r="AA20" s="9">
        <f t="shared" si="111"/>
        <v>199</v>
      </c>
      <c r="AB20" s="9">
        <f t="shared" ref="AB20" si="112">AB18-AB19</f>
        <v>1267</v>
      </c>
      <c r="AC20" s="9">
        <f t="shared" ref="AC20" si="113">AC18-AC19</f>
        <v>1224</v>
      </c>
      <c r="AD20" s="9">
        <f t="shared" ref="AD20:AE20" si="114">AD18-AD19</f>
        <v>1446</v>
      </c>
      <c r="AE20" s="9">
        <f t="shared" si="114"/>
        <v>1533</v>
      </c>
      <c r="AF20" s="9">
        <f t="shared" ref="AF20" si="115">AF18-AF19</f>
        <v>1429</v>
      </c>
      <c r="AG20" s="9">
        <f t="shared" ref="AG20" si="116">AG18-AG19</f>
        <v>1527</v>
      </c>
      <c r="AH20" s="9">
        <f t="shared" ref="AH20:AL20" si="117">AH18-AH19</f>
        <v>1708</v>
      </c>
      <c r="AI20" s="9">
        <f t="shared" si="117"/>
        <v>1541</v>
      </c>
      <c r="AJ20" s="9">
        <f t="shared" si="117"/>
        <v>1887</v>
      </c>
      <c r="AK20" s="9">
        <f t="shared" si="117"/>
        <v>2086</v>
      </c>
      <c r="AL20" s="9">
        <f t="shared" si="117"/>
        <v>2166.1507859999997</v>
      </c>
      <c r="AM20" s="9"/>
      <c r="AN20" s="9"/>
      <c r="AO20" s="9"/>
      <c r="AP20" s="9"/>
      <c r="AR20" s="9">
        <f>AR18-AR19</f>
        <v>360</v>
      </c>
      <c r="AS20" s="9">
        <f>AS18-AS19</f>
        <v>1110</v>
      </c>
      <c r="AT20" s="9">
        <f>AT18-AT19</f>
        <v>126</v>
      </c>
      <c r="AU20" s="9">
        <f>AU18-AU19</f>
        <v>4072</v>
      </c>
      <c r="AV20" s="9">
        <f t="shared" ref="AV20:BE20" si="118">AV18-AV19</f>
        <v>1847</v>
      </c>
      <c r="AW20" s="9">
        <f t="shared" si="118"/>
        <v>208</v>
      </c>
      <c r="AX20" s="9">
        <f t="shared" si="118"/>
        <v>4136</v>
      </c>
      <c r="AY20" s="9">
        <f t="shared" si="118"/>
        <v>6197</v>
      </c>
      <c r="AZ20" s="9">
        <f t="shared" si="118"/>
        <v>6481.4007860000038</v>
      </c>
      <c r="BA20" s="9">
        <f t="shared" si="118"/>
        <v>7627.1760850000028</v>
      </c>
      <c r="BB20" s="9">
        <f t="shared" si="118"/>
        <v>8399.7565100000047</v>
      </c>
      <c r="BC20" s="9">
        <f t="shared" si="118"/>
        <v>8700.9570877632032</v>
      </c>
      <c r="BD20" s="9">
        <f t="shared" si="118"/>
        <v>9047.6802559277694</v>
      </c>
      <c r="BE20" s="9">
        <f t="shared" si="118"/>
        <v>9397.2802649554033</v>
      </c>
      <c r="BF20" s="9">
        <f t="shared" ref="BF20:BJ20" si="119">BF18-BF19</f>
        <v>9638.4941965631006</v>
      </c>
      <c r="BG20" s="9">
        <f t="shared" si="119"/>
        <v>9883.1324663954383</v>
      </c>
      <c r="BH20" s="9">
        <f t="shared" si="119"/>
        <v>10132.427791292852</v>
      </c>
      <c r="BI20" s="9">
        <f t="shared" si="119"/>
        <v>10387.054957908318</v>
      </c>
      <c r="BJ20" s="9">
        <f t="shared" si="119"/>
        <v>10647.411142396735</v>
      </c>
      <c r="BK20" s="1">
        <f>BJ20*(1+$BM$30)</f>
        <v>10540.937030972767</v>
      </c>
      <c r="BL20" s="1">
        <f t="shared" ref="BL20:DW20" si="120">BK20*(1+$BM$30)</f>
        <v>10435.52766066304</v>
      </c>
      <c r="BM20" s="1">
        <f t="shared" si="120"/>
        <v>10331.172384056408</v>
      </c>
      <c r="BN20" s="1">
        <f t="shared" si="120"/>
        <v>10227.860660215843</v>
      </c>
      <c r="BO20" s="1">
        <f t="shared" si="120"/>
        <v>10125.582053613685</v>
      </c>
      <c r="BP20" s="1">
        <f t="shared" si="120"/>
        <v>10024.326233077549</v>
      </c>
      <c r="BQ20" s="1">
        <f t="shared" si="120"/>
        <v>9924.0829707467728</v>
      </c>
      <c r="BR20" s="1">
        <f t="shared" si="120"/>
        <v>9824.8421410393057</v>
      </c>
      <c r="BS20" s="1">
        <f t="shared" si="120"/>
        <v>9726.5937196289124</v>
      </c>
      <c r="BT20" s="1">
        <f t="shared" si="120"/>
        <v>9629.3277824326233</v>
      </c>
      <c r="BU20" s="1">
        <f t="shared" si="120"/>
        <v>9533.0345046082966</v>
      </c>
      <c r="BV20" s="1">
        <f t="shared" si="120"/>
        <v>9437.704159562214</v>
      </c>
      <c r="BW20" s="1">
        <f t="shared" si="120"/>
        <v>9343.3271179665917</v>
      </c>
      <c r="BX20" s="1">
        <f t="shared" si="120"/>
        <v>9249.8938467869266</v>
      </c>
      <c r="BY20" s="1">
        <f t="shared" si="120"/>
        <v>9157.3949083190564</v>
      </c>
      <c r="BZ20" s="1">
        <f t="shared" si="120"/>
        <v>9065.8209592358653</v>
      </c>
      <c r="CA20" s="1">
        <f t="shared" si="120"/>
        <v>8975.1627496435067</v>
      </c>
      <c r="CB20" s="1">
        <f t="shared" si="120"/>
        <v>8885.4111221470721</v>
      </c>
      <c r="CC20" s="1">
        <f t="shared" si="120"/>
        <v>8796.5570109256005</v>
      </c>
      <c r="CD20" s="1">
        <f t="shared" si="120"/>
        <v>8708.5914408163444</v>
      </c>
      <c r="CE20" s="1">
        <f t="shared" si="120"/>
        <v>8621.5055264081802</v>
      </c>
      <c r="CF20" s="1">
        <f t="shared" si="120"/>
        <v>8535.2904711440988</v>
      </c>
      <c r="CG20" s="1">
        <f t="shared" si="120"/>
        <v>8449.9375664326581</v>
      </c>
      <c r="CH20" s="1">
        <f t="shared" si="120"/>
        <v>8365.438190768331</v>
      </c>
      <c r="CI20" s="1">
        <f t="shared" si="120"/>
        <v>8281.7838088606477</v>
      </c>
      <c r="CJ20" s="1">
        <f t="shared" si="120"/>
        <v>8198.9659707720402</v>
      </c>
      <c r="CK20" s="1">
        <f t="shared" si="120"/>
        <v>8116.9763110643198</v>
      </c>
      <c r="CL20" s="1">
        <f t="shared" si="120"/>
        <v>8035.8065479536763</v>
      </c>
      <c r="CM20" s="1">
        <f t="shared" si="120"/>
        <v>7955.4484824741394</v>
      </c>
      <c r="CN20" s="1">
        <f t="shared" si="120"/>
        <v>7875.8939976493975</v>
      </c>
      <c r="CO20" s="1">
        <f t="shared" si="120"/>
        <v>7797.1350576729037</v>
      </c>
      <c r="CP20" s="1">
        <f t="shared" si="120"/>
        <v>7719.1637070961742</v>
      </c>
      <c r="CQ20" s="1">
        <f t="shared" si="120"/>
        <v>7641.9720700252128</v>
      </c>
      <c r="CR20" s="1">
        <f t="shared" si="120"/>
        <v>7565.5523493249602</v>
      </c>
      <c r="CS20" s="1">
        <f t="shared" si="120"/>
        <v>7489.8968258317109</v>
      </c>
      <c r="CT20" s="1">
        <f t="shared" si="120"/>
        <v>7414.997857573394</v>
      </c>
      <c r="CU20" s="1">
        <f t="shared" si="120"/>
        <v>7340.8478789976598</v>
      </c>
      <c r="CV20" s="1">
        <f t="shared" si="120"/>
        <v>7267.4394002076833</v>
      </c>
      <c r="CW20" s="1">
        <f t="shared" si="120"/>
        <v>7194.7650062056064</v>
      </c>
      <c r="CX20" s="1">
        <f t="shared" si="120"/>
        <v>7122.8173561435506</v>
      </c>
      <c r="CY20" s="1">
        <f t="shared" si="120"/>
        <v>7051.5891825821154</v>
      </c>
      <c r="CZ20" s="1">
        <f t="shared" si="120"/>
        <v>6981.0732907562942</v>
      </c>
      <c r="DA20" s="1">
        <f t="shared" si="120"/>
        <v>6911.2625578487314</v>
      </c>
      <c r="DB20" s="1">
        <f t="shared" si="120"/>
        <v>6842.1499322702439</v>
      </c>
      <c r="DC20" s="1">
        <f t="shared" si="120"/>
        <v>6773.7284329475415</v>
      </c>
      <c r="DD20" s="1">
        <f t="shared" si="120"/>
        <v>6705.9911486180663</v>
      </c>
      <c r="DE20" s="1">
        <f t="shared" si="120"/>
        <v>6638.9312371318856</v>
      </c>
      <c r="DF20" s="1">
        <f t="shared" si="120"/>
        <v>6572.5419247605669</v>
      </c>
      <c r="DG20" s="1">
        <f t="shared" si="120"/>
        <v>6506.8165055129612</v>
      </c>
      <c r="DH20" s="1">
        <f t="shared" si="120"/>
        <v>6441.7483404578315</v>
      </c>
      <c r="DI20" s="1">
        <f t="shared" si="120"/>
        <v>6377.3308570532536</v>
      </c>
      <c r="DJ20" s="1">
        <f t="shared" si="120"/>
        <v>6313.5575484827214</v>
      </c>
      <c r="DK20" s="1">
        <f t="shared" si="120"/>
        <v>6250.421972997894</v>
      </c>
      <c r="DL20" s="1">
        <f t="shared" si="120"/>
        <v>6187.917753267915</v>
      </c>
      <c r="DM20" s="1">
        <f t="shared" si="120"/>
        <v>6126.038575735236</v>
      </c>
      <c r="DN20" s="1">
        <f t="shared" si="120"/>
        <v>6064.7781899778838</v>
      </c>
      <c r="DO20" s="1">
        <f t="shared" si="120"/>
        <v>6004.1304080781047</v>
      </c>
      <c r="DP20" s="1">
        <f t="shared" si="120"/>
        <v>5944.0891039973239</v>
      </c>
      <c r="DQ20" s="1">
        <f t="shared" si="120"/>
        <v>5884.6482129573506</v>
      </c>
      <c r="DR20" s="1">
        <f t="shared" si="120"/>
        <v>5825.8017308277767</v>
      </c>
      <c r="DS20" s="1">
        <f t="shared" si="120"/>
        <v>5767.5437135194989</v>
      </c>
      <c r="DT20" s="1">
        <f t="shared" si="120"/>
        <v>5709.8682763843035</v>
      </c>
      <c r="DU20" s="1">
        <f t="shared" si="120"/>
        <v>5652.76959362046</v>
      </c>
      <c r="DV20" s="1">
        <f t="shared" si="120"/>
        <v>5596.2418976842555</v>
      </c>
      <c r="DW20" s="1">
        <f t="shared" si="120"/>
        <v>5540.2794787074126</v>
      </c>
      <c r="DX20" s="1">
        <f t="shared" ref="DX20:GI20" si="121">DW20*(1+$BM$30)</f>
        <v>5484.8766839203381</v>
      </c>
      <c r="DY20" s="1">
        <f t="shared" si="121"/>
        <v>5430.0279170811345</v>
      </c>
      <c r="DZ20" s="1">
        <f t="shared" si="121"/>
        <v>5375.7276379103232</v>
      </c>
      <c r="EA20" s="1">
        <f t="shared" si="121"/>
        <v>5321.9703615312201</v>
      </c>
      <c r="EB20" s="1">
        <f t="shared" si="121"/>
        <v>5268.7506579159081</v>
      </c>
      <c r="EC20" s="1">
        <f t="shared" si="121"/>
        <v>5216.0631513367489</v>
      </c>
      <c r="ED20" s="1">
        <f t="shared" si="121"/>
        <v>5163.9025198233812</v>
      </c>
      <c r="EE20" s="1">
        <f t="shared" si="121"/>
        <v>5112.2634946251474</v>
      </c>
      <c r="EF20" s="1">
        <f t="shared" si="121"/>
        <v>5061.140859678896</v>
      </c>
      <c r="EG20" s="1">
        <f t="shared" si="121"/>
        <v>5010.5294510821068</v>
      </c>
      <c r="EH20" s="1">
        <f t="shared" si="121"/>
        <v>4960.4241565712855</v>
      </c>
      <c r="EI20" s="1">
        <f t="shared" si="121"/>
        <v>4910.8199150055725</v>
      </c>
      <c r="EJ20" s="1">
        <f t="shared" si="121"/>
        <v>4861.7117158555166</v>
      </c>
      <c r="EK20" s="1">
        <f t="shared" si="121"/>
        <v>4813.0945986969609</v>
      </c>
      <c r="EL20" s="1">
        <f t="shared" si="121"/>
        <v>4764.963652709991</v>
      </c>
      <c r="EM20" s="1">
        <f t="shared" si="121"/>
        <v>4717.3140161828915</v>
      </c>
      <c r="EN20" s="1">
        <f t="shared" si="121"/>
        <v>4670.1408760210625</v>
      </c>
      <c r="EO20" s="1">
        <f t="shared" si="121"/>
        <v>4623.4394672608514</v>
      </c>
      <c r="EP20" s="1">
        <f t="shared" si="121"/>
        <v>4577.2050725882427</v>
      </c>
      <c r="EQ20" s="1">
        <f t="shared" si="121"/>
        <v>4531.43302186236</v>
      </c>
      <c r="ER20" s="1">
        <f t="shared" si="121"/>
        <v>4486.1186916437364</v>
      </c>
      <c r="ES20" s="1">
        <f t="shared" si="121"/>
        <v>4441.2575047272994</v>
      </c>
      <c r="ET20" s="1">
        <f t="shared" si="121"/>
        <v>4396.8449296800263</v>
      </c>
      <c r="EU20" s="1">
        <f t="shared" si="121"/>
        <v>4352.8764803832264</v>
      </c>
      <c r="EV20" s="1">
        <f t="shared" si="121"/>
        <v>4309.3477155793944</v>
      </c>
      <c r="EW20" s="1">
        <f t="shared" si="121"/>
        <v>4266.2542384236003</v>
      </c>
      <c r="EX20" s="1">
        <f t="shared" si="121"/>
        <v>4223.5916960393643</v>
      </c>
      <c r="EY20" s="1">
        <f t="shared" si="121"/>
        <v>4181.355779078971</v>
      </c>
      <c r="EZ20" s="1">
        <f t="shared" si="121"/>
        <v>4139.5422212881813</v>
      </c>
      <c r="FA20" s="1">
        <f t="shared" si="121"/>
        <v>4098.146799075299</v>
      </c>
      <c r="FB20" s="1">
        <f t="shared" si="121"/>
        <v>4057.1653310845459</v>
      </c>
      <c r="FC20" s="1">
        <f t="shared" si="121"/>
        <v>4016.5936777737002</v>
      </c>
      <c r="FD20" s="1">
        <f t="shared" si="121"/>
        <v>3976.4277409959632</v>
      </c>
      <c r="FE20" s="1">
        <f t="shared" si="121"/>
        <v>3936.6634635860037</v>
      </c>
      <c r="FF20" s="1">
        <f t="shared" si="121"/>
        <v>3897.2968289501437</v>
      </c>
      <c r="FG20" s="1">
        <f t="shared" si="121"/>
        <v>3858.3238606606424</v>
      </c>
      <c r="FH20" s="1">
        <f t="shared" si="121"/>
        <v>3819.7406220540361</v>
      </c>
      <c r="FI20" s="1">
        <f t="shared" si="121"/>
        <v>3781.5432158334957</v>
      </c>
      <c r="FJ20" s="1">
        <f t="shared" si="121"/>
        <v>3743.7277836751605</v>
      </c>
      <c r="FK20" s="1">
        <f t="shared" si="121"/>
        <v>3706.290505838409</v>
      </c>
      <c r="FL20" s="1">
        <f t="shared" si="121"/>
        <v>3669.2276007800247</v>
      </c>
      <c r="FM20" s="1">
        <f t="shared" si="121"/>
        <v>3632.5353247722242</v>
      </c>
      <c r="FN20" s="1">
        <f t="shared" si="121"/>
        <v>3596.2099715245017</v>
      </c>
      <c r="FO20" s="1">
        <f t="shared" si="121"/>
        <v>3560.2478718092566</v>
      </c>
      <c r="FP20" s="1">
        <f t="shared" si="121"/>
        <v>3524.6453930911639</v>
      </c>
      <c r="FQ20" s="1">
        <f t="shared" si="121"/>
        <v>3489.3989391602522</v>
      </c>
      <c r="FR20" s="1">
        <f t="shared" si="121"/>
        <v>3454.5049497686496</v>
      </c>
      <c r="FS20" s="1">
        <f t="shared" si="121"/>
        <v>3419.9599002709629</v>
      </c>
      <c r="FT20" s="1">
        <f t="shared" si="121"/>
        <v>3385.760301268253</v>
      </c>
      <c r="FU20" s="1">
        <f t="shared" si="121"/>
        <v>3351.9026982555706</v>
      </c>
      <c r="FV20" s="1">
        <f t="shared" si="121"/>
        <v>3318.3836712730149</v>
      </c>
      <c r="FW20" s="1">
        <f t="shared" si="121"/>
        <v>3285.1998345602847</v>
      </c>
      <c r="FX20" s="1">
        <f t="shared" si="121"/>
        <v>3252.3478362146816</v>
      </c>
      <c r="FY20" s="1">
        <f t="shared" si="121"/>
        <v>3219.8243578525348</v>
      </c>
      <c r="FZ20" s="1">
        <f t="shared" si="121"/>
        <v>3187.6261142740095</v>
      </c>
      <c r="GA20" s="1">
        <f t="shared" si="121"/>
        <v>3155.7498531312694</v>
      </c>
      <c r="GB20" s="1">
        <f t="shared" si="121"/>
        <v>3124.1923545999566</v>
      </c>
      <c r="GC20" s="1">
        <f t="shared" si="121"/>
        <v>3092.9504310539569</v>
      </c>
      <c r="GD20" s="1">
        <f t="shared" si="121"/>
        <v>3062.0209267434175</v>
      </c>
      <c r="GE20" s="1">
        <f t="shared" si="121"/>
        <v>3031.4007174759831</v>
      </c>
      <c r="GF20" s="1">
        <f t="shared" si="121"/>
        <v>3001.0867103012233</v>
      </c>
      <c r="GG20" s="1">
        <f t="shared" si="121"/>
        <v>2971.0758431982113</v>
      </c>
      <c r="GH20" s="1">
        <f t="shared" si="121"/>
        <v>2941.3650847662293</v>
      </c>
      <c r="GI20" s="1">
        <f t="shared" si="121"/>
        <v>2911.9514339185671</v>
      </c>
      <c r="GJ20" s="1">
        <f t="shared" ref="GJ20:GN20" si="122">GI20*(1+$BM$30)</f>
        <v>2882.8319195793815</v>
      </c>
      <c r="GK20" s="1">
        <f t="shared" si="122"/>
        <v>2854.0036003835876</v>
      </c>
      <c r="GL20" s="1">
        <f t="shared" si="122"/>
        <v>2825.4635643797515</v>
      </c>
      <c r="GM20" s="1">
        <f t="shared" si="122"/>
        <v>2797.208928735954</v>
      </c>
      <c r="GN20" s="1">
        <f t="shared" si="122"/>
        <v>2769.2368394485943</v>
      </c>
    </row>
    <row r="21" spans="2:196" x14ac:dyDescent="0.3">
      <c r="B21" t="s">
        <v>2</v>
      </c>
      <c r="C21" s="5">
        <v>910</v>
      </c>
      <c r="D21" s="5">
        <v>910</v>
      </c>
      <c r="E21" s="5">
        <v>910</v>
      </c>
      <c r="F21" s="5">
        <v>910</v>
      </c>
      <c r="G21" s="5">
        <v>910</v>
      </c>
      <c r="H21" s="5">
        <v>910</v>
      </c>
      <c r="I21" s="5">
        <v>910</v>
      </c>
      <c r="J21" s="5">
        <v>910</v>
      </c>
      <c r="K21" s="5">
        <v>910</v>
      </c>
      <c r="L21" s="5">
        <v>910</v>
      </c>
      <c r="M21" s="5">
        <v>910</v>
      </c>
      <c r="N21" s="5">
        <v>910</v>
      </c>
      <c r="O21" s="5">
        <v>910</v>
      </c>
      <c r="P21" s="5">
        <v>910</v>
      </c>
      <c r="Q21" s="5">
        <v>911</v>
      </c>
      <c r="R21" s="5">
        <v>911</v>
      </c>
      <c r="S21" s="5">
        <v>921</v>
      </c>
      <c r="T21" s="5">
        <v>933</v>
      </c>
      <c r="U21" s="5">
        <v>980</v>
      </c>
      <c r="V21" s="5">
        <v>986</v>
      </c>
      <c r="W21" s="5">
        <v>933</v>
      </c>
      <c r="X21" s="5">
        <v>997</v>
      </c>
      <c r="Y21" s="5">
        <v>997</v>
      </c>
      <c r="Z21" s="5">
        <v>984</v>
      </c>
      <c r="AA21" s="5">
        <v>980</v>
      </c>
      <c r="AB21" s="5">
        <v>975</v>
      </c>
      <c r="AC21" s="5">
        <v>972</v>
      </c>
      <c r="AD21" s="5">
        <v>970</v>
      </c>
      <c r="AE21" s="5">
        <v>970</v>
      </c>
      <c r="AF21" s="5">
        <v>964</v>
      </c>
      <c r="AG21" s="5">
        <v>956</v>
      </c>
      <c r="AH21" s="5">
        <v>961</v>
      </c>
      <c r="AI21" s="5">
        <f>960</f>
        <v>960</v>
      </c>
      <c r="AJ21" s="5">
        <v>952</v>
      </c>
      <c r="AK21" s="5">
        <v>948</v>
      </c>
      <c r="AL21" s="5">
        <v>948</v>
      </c>
      <c r="AM21" s="5"/>
      <c r="AN21" s="5"/>
      <c r="AO21" s="5"/>
      <c r="AP21" s="5"/>
      <c r="AR21" s="5">
        <v>910</v>
      </c>
      <c r="AS21" s="5">
        <v>910</v>
      </c>
      <c r="AT21" s="5">
        <v>910</v>
      </c>
      <c r="AU21" s="5">
        <v>911</v>
      </c>
      <c r="AV21" s="5">
        <v>986</v>
      </c>
      <c r="AW21" s="5">
        <v>984</v>
      </c>
      <c r="AX21" s="5">
        <v>970</v>
      </c>
      <c r="AY21" s="5">
        <v>961</v>
      </c>
      <c r="AZ21" s="5">
        <v>948</v>
      </c>
      <c r="BA21" s="5">
        <v>948</v>
      </c>
      <c r="BB21" s="5">
        <v>948</v>
      </c>
      <c r="BC21" s="5">
        <v>948</v>
      </c>
      <c r="BD21" s="5">
        <v>948</v>
      </c>
      <c r="BE21" s="5">
        <v>948</v>
      </c>
      <c r="BF21" s="5">
        <v>948</v>
      </c>
      <c r="BG21" s="5">
        <v>948</v>
      </c>
      <c r="BH21" s="5">
        <v>948</v>
      </c>
      <c r="BI21" s="5">
        <v>948</v>
      </c>
      <c r="BJ21" s="5">
        <v>948</v>
      </c>
    </row>
    <row r="22" spans="2:196" s="1" customFormat="1" x14ac:dyDescent="0.3">
      <c r="B22" s="1" t="s">
        <v>34</v>
      </c>
      <c r="C22" s="7">
        <f t="shared" ref="C22:P22" si="123">C20/C21</f>
        <v>1.0989010989010989E-3</v>
      </c>
      <c r="D22" s="7">
        <f t="shared" si="123"/>
        <v>5.054945054945055E-2</v>
      </c>
      <c r="E22" s="7">
        <f t="shared" si="123"/>
        <v>0.11758241758241758</v>
      </c>
      <c r="F22" s="7">
        <f t="shared" si="123"/>
        <v>0.22637362637362637</v>
      </c>
      <c r="G22" s="7">
        <f t="shared" si="123"/>
        <v>0.37802197802197801</v>
      </c>
      <c r="H22" s="7">
        <f t="shared" si="123"/>
        <v>0.32857142857142857</v>
      </c>
      <c r="I22" s="7">
        <f t="shared" si="123"/>
        <v>0.11538461538461539</v>
      </c>
      <c r="J22" s="7">
        <f t="shared" si="123"/>
        <v>0.39780219780219778</v>
      </c>
      <c r="K22" s="7">
        <f t="shared" si="123"/>
        <v>0.43076923076923079</v>
      </c>
      <c r="L22" s="7">
        <f t="shared" si="123"/>
        <v>0.1</v>
      </c>
      <c r="M22" s="7">
        <f t="shared" si="123"/>
        <v>-0.11978021978021978</v>
      </c>
      <c r="N22" s="7">
        <f t="shared" si="123"/>
        <v>-0.2725274725274725</v>
      </c>
      <c r="O22" s="7">
        <f t="shared" si="123"/>
        <v>0.10879120879120879</v>
      </c>
      <c r="P22" s="7">
        <f t="shared" si="123"/>
        <v>2.8846153846153846</v>
      </c>
      <c r="Q22" s="7">
        <f t="shared" ref="Q22:S22" si="124">Q20/Q21</f>
        <v>1.2296926454445665</v>
      </c>
      <c r="R22" s="7">
        <f t="shared" si="124"/>
        <v>0.29308452250274425</v>
      </c>
      <c r="S22" s="7">
        <f t="shared" si="124"/>
        <v>0.50922909880564604</v>
      </c>
      <c r="T22" s="7">
        <f t="shared" ref="T22" si="125">T20/T21</f>
        <v>0.57341907824222937</v>
      </c>
      <c r="U22" s="7">
        <f t="shared" ref="U22" si="126">U20/U21</f>
        <v>0.47755102040816327</v>
      </c>
      <c r="V22" s="7">
        <f t="shared" ref="V22:W22" si="127">V20/V21</f>
        <v>-2.8397565922920892E-2</v>
      </c>
      <c r="W22" s="7">
        <f t="shared" si="127"/>
        <v>3.0010718113612004E-2</v>
      </c>
      <c r="X22" s="7">
        <f t="shared" ref="X22" si="128">X20/X21</f>
        <v>6.820461384152457E-2</v>
      </c>
      <c r="Y22" s="7">
        <f t="shared" ref="Y22" si="129">Y20/Y21</f>
        <v>0.21063189568706117</v>
      </c>
      <c r="Z22" s="7">
        <f t="shared" ref="Z22:AA22" si="130">Z20/Z21</f>
        <v>-9.959349593495935E-2</v>
      </c>
      <c r="AA22" s="7">
        <f t="shared" si="130"/>
        <v>0.20306122448979591</v>
      </c>
      <c r="AB22" s="7">
        <f t="shared" ref="AB22" si="131">AB20/AB21</f>
        <v>1.2994871794871794</v>
      </c>
      <c r="AC22" s="7">
        <f t="shared" ref="AC22" si="132">AC20/AC21</f>
        <v>1.2592592592592593</v>
      </c>
      <c r="AD22" s="7">
        <f t="shared" ref="AD22:AE22" si="133">AD20/AD21</f>
        <v>1.4907216494845361</v>
      </c>
      <c r="AE22" s="7">
        <f t="shared" si="133"/>
        <v>1.5804123711340206</v>
      </c>
      <c r="AF22" s="7">
        <f t="shared" ref="AF22" si="134">AF20/AF21</f>
        <v>1.4823651452282158</v>
      </c>
      <c r="AG22" s="7">
        <f t="shared" ref="AG22" si="135">AG20/AG21</f>
        <v>1.5972803347280335</v>
      </c>
      <c r="AH22" s="7">
        <f t="shared" ref="AH22:AL22" si="136">AH20/AH21</f>
        <v>1.777315296566077</v>
      </c>
      <c r="AI22" s="7">
        <f t="shared" si="136"/>
        <v>1.6052083333333333</v>
      </c>
      <c r="AJ22" s="7">
        <f t="shared" si="136"/>
        <v>1.9821428571428572</v>
      </c>
      <c r="AK22" s="7">
        <f t="shared" si="136"/>
        <v>2.2004219409282699</v>
      </c>
      <c r="AL22" s="7">
        <f t="shared" si="136"/>
        <v>2.2849691835443036</v>
      </c>
      <c r="AM22" s="7"/>
      <c r="AN22" s="7"/>
      <c r="AO22" s="7"/>
      <c r="AP22" s="7"/>
      <c r="AR22" s="7">
        <f>AR20/AR21</f>
        <v>0.39560439560439559</v>
      </c>
      <c r="AS22" s="7">
        <f>AS20/AS21</f>
        <v>1.2197802197802199</v>
      </c>
      <c r="AT22" s="7">
        <f>AT20/AT21</f>
        <v>0.13846153846153847</v>
      </c>
      <c r="AU22" s="7">
        <f>AU20/AU21</f>
        <v>4.4698133918770582</v>
      </c>
      <c r="AV22" s="7">
        <f t="shared" ref="AV22:BE22" si="137">AV20/AV21</f>
        <v>1.8732251521298176</v>
      </c>
      <c r="AW22" s="7">
        <f t="shared" si="137"/>
        <v>0.21138211382113822</v>
      </c>
      <c r="AX22" s="7">
        <f t="shared" si="137"/>
        <v>4.2639175257731958</v>
      </c>
      <c r="AY22" s="7">
        <f t="shared" si="137"/>
        <v>6.4484911550468258</v>
      </c>
      <c r="AZ22" s="7">
        <f t="shared" si="137"/>
        <v>6.8369206603375563</v>
      </c>
      <c r="BA22" s="7">
        <f t="shared" si="137"/>
        <v>8.0455443934599185</v>
      </c>
      <c r="BB22" s="7">
        <f t="shared" si="137"/>
        <v>8.8605026476793292</v>
      </c>
      <c r="BC22" s="7">
        <f t="shared" si="137"/>
        <v>9.1782247761215228</v>
      </c>
      <c r="BD22" s="7">
        <f t="shared" si="137"/>
        <v>9.5439665146917392</v>
      </c>
      <c r="BE22" s="7">
        <f t="shared" si="137"/>
        <v>9.9127428955225767</v>
      </c>
      <c r="BF22" s="7">
        <f t="shared" ref="BF22:BJ22" si="138">BF20/BF21</f>
        <v>10.167187971058123</v>
      </c>
      <c r="BG22" s="7">
        <f t="shared" si="138"/>
        <v>10.425245217716707</v>
      </c>
      <c r="BH22" s="7">
        <f t="shared" si="138"/>
        <v>10.688214969718198</v>
      </c>
      <c r="BI22" s="7">
        <f t="shared" si="138"/>
        <v>10.956809027329449</v>
      </c>
      <c r="BJ22" s="7">
        <f t="shared" si="138"/>
        <v>11.231446352739171</v>
      </c>
    </row>
    <row r="24" spans="2:196" x14ac:dyDescent="0.3">
      <c r="B24" t="s">
        <v>81</v>
      </c>
      <c r="W24" s="8">
        <f t="shared" ref="W24:W25" si="139">W3/S3-1</f>
        <v>0.2384393063583814</v>
      </c>
      <c r="X24" s="8">
        <f t="shared" ref="X24:X25" si="140">X3/T3-1</f>
        <v>0.2078119715928306</v>
      </c>
      <c r="Y24" s="8">
        <f t="shared" ref="Y24:Y25" si="141">Y3/U3-1</f>
        <v>0.13387678319485818</v>
      </c>
      <c r="Z24" s="8">
        <f t="shared" ref="Z24:Z25" si="142">Z3/V3-1</f>
        <v>0.1407439953134153</v>
      </c>
      <c r="AA24" s="8">
        <f t="shared" ref="AA24:AA25" si="143">AA3/W3-1</f>
        <v>0.11464410735122521</v>
      </c>
      <c r="AB24" s="8">
        <f t="shared" ref="AB24:AB25" si="144">AB3/X3-1</f>
        <v>0.12081758364832695</v>
      </c>
      <c r="AC24" s="8">
        <f t="shared" ref="AC24:AC25" si="145">AC3/Y3-1</f>
        <v>0.12553573897414627</v>
      </c>
      <c r="AD24" s="8">
        <f t="shared" ref="AD24:AD25" si="146">AD3/Z3-1</f>
        <v>0.12312235203492095</v>
      </c>
      <c r="AE24" s="8">
        <f t="shared" ref="AE24:AE25" si="147">AE3/AA3-1</f>
        <v>0.12339701648783041</v>
      </c>
      <c r="AF24" s="8">
        <f t="shared" ref="AF24:AF25" si="148">AF3/AB3-1</f>
        <v>9.4678990756932313E-2</v>
      </c>
      <c r="AG24" s="8">
        <f t="shared" ref="AG24:AG25" si="149">AG3/AC3-1</f>
        <v>9.0652254022847378E-2</v>
      </c>
      <c r="AH24" s="8">
        <f t="shared" ref="AH24:AH25" si="150">AH3/AD3-1</f>
        <v>8.0361225422953764E-2</v>
      </c>
      <c r="AI24" s="8">
        <f t="shared" ref="AI24:AI25" si="151">AI3/AE3-1</f>
        <v>8.2935352358765257E-2</v>
      </c>
      <c r="AJ24" s="8">
        <f t="shared" ref="AJ24:AJ26" si="152">AJ3/AF3-1</f>
        <v>0.10565951620264724</v>
      </c>
      <c r="AK24" s="8">
        <f t="shared" ref="AK24:AK26" si="153">AK3/AG3-1</f>
        <v>9.5393625408266791E-2</v>
      </c>
      <c r="AL24" s="8">
        <f t="shared" ref="AL24:AL26" si="154">AL3/AH3-1</f>
        <v>0.1100000000000001</v>
      </c>
      <c r="AW24" s="8">
        <f t="shared" ref="AW24:AW25" si="155">AW3/AV3-1</f>
        <v>0.17698827919049354</v>
      </c>
      <c r="AX24" s="8">
        <f t="shared" ref="AX24:AX25" si="156">AX3/AW3-1</f>
        <v>0.12115364735880907</v>
      </c>
      <c r="AY24" s="8">
        <f t="shared" ref="AY24:AY25" si="157">AY3/AX3-1</f>
        <v>9.6566985278298656E-2</v>
      </c>
      <c r="AZ24" s="8">
        <f t="shared" ref="AT24:BE26" si="158">AZ3/AY3-1</f>
        <v>9.8786681241066265E-2</v>
      </c>
      <c r="BA24" s="8">
        <f t="shared" ref="BA24:BA25" si="159">BA3/AZ3-1</f>
        <v>6.0000000000000053E-2</v>
      </c>
      <c r="BB24" s="8">
        <f t="shared" ref="BB24:BB25" si="160">BB3/BA3-1</f>
        <v>5.0000000000000044E-2</v>
      </c>
      <c r="BC24" s="8">
        <f t="shared" ref="BC24:BC25" si="161">BC3/BB3-1</f>
        <v>3.0000000000000027E-2</v>
      </c>
      <c r="BD24" s="8">
        <f t="shared" ref="BD24:BD25" si="162">BD3/BC3-1</f>
        <v>2.0000000000000018E-2</v>
      </c>
      <c r="BE24" s="8">
        <f t="shared" ref="BE24:BE25" si="163">BE3/BD3-1</f>
        <v>2.0000000000000018E-2</v>
      </c>
      <c r="BF24" s="8">
        <f t="shared" ref="BF24:BF25" si="164">BF3/BE3-1</f>
        <v>2.0000000000000018E-2</v>
      </c>
      <c r="BG24" s="8">
        <f t="shared" ref="BG24:BG25" si="165">BG3/BF3-1</f>
        <v>2.0000000000000018E-2</v>
      </c>
      <c r="BH24" s="8">
        <f t="shared" ref="BH24:BH25" si="166">BH3/BG3-1</f>
        <v>2.0000000000000018E-2</v>
      </c>
      <c r="BI24" s="8">
        <f t="shared" ref="BI24:BI25" si="167">BI3/BH3-1</f>
        <v>2.0000000000000018E-2</v>
      </c>
      <c r="BJ24" s="8">
        <f t="shared" ref="BJ24:BJ25" si="168">BJ3/BI3-1</f>
        <v>2.0000000000000018E-2</v>
      </c>
    </row>
    <row r="25" spans="2:196" x14ac:dyDescent="0.3">
      <c r="B25" t="s">
        <v>80</v>
      </c>
      <c r="W25" s="8">
        <f t="shared" si="139"/>
        <v>0.29976580796252938</v>
      </c>
      <c r="X25" s="8">
        <f t="shared" si="140"/>
        <v>0.35446009389671351</v>
      </c>
      <c r="Y25" s="8">
        <f t="shared" si="141"/>
        <v>0.24793388429752072</v>
      </c>
      <c r="Z25" s="8">
        <f t="shared" si="142"/>
        <v>0.19477911646586343</v>
      </c>
      <c r="AA25" s="8">
        <f t="shared" si="143"/>
        <v>9.0090090090090058E-2</v>
      </c>
      <c r="AB25" s="8">
        <f t="shared" si="144"/>
        <v>3.4662045060658508E-2</v>
      </c>
      <c r="AC25" s="8">
        <f t="shared" si="145"/>
        <v>-4.1390728476821237E-2</v>
      </c>
      <c r="AD25" s="8">
        <f t="shared" si="146"/>
        <v>-9.4117647058823528E-2</v>
      </c>
      <c r="AE25" s="8">
        <f t="shared" si="147"/>
        <v>-9.4214876033057893E-2</v>
      </c>
      <c r="AF25" s="8">
        <f t="shared" si="148"/>
        <v>-6.0301507537688481E-2</v>
      </c>
      <c r="AG25" s="8">
        <f t="shared" si="149"/>
        <v>-2.4179620034542326E-2</v>
      </c>
      <c r="AH25" s="8">
        <f t="shared" si="150"/>
        <v>5.5658627087198376E-3</v>
      </c>
      <c r="AI25" s="8">
        <f t="shared" si="151"/>
        <v>-2.9197080291970767E-2</v>
      </c>
      <c r="AJ25" s="8">
        <f t="shared" si="152"/>
        <v>-2.6737967914438499E-2</v>
      </c>
      <c r="AK25" s="8">
        <f t="shared" si="153"/>
        <v>-5.663716814159292E-2</v>
      </c>
      <c r="AL25" s="8">
        <f t="shared" si="154"/>
        <v>2.0000000000000018E-2</v>
      </c>
      <c r="AW25" s="8">
        <f t="shared" si="155"/>
        <v>0.27029972752043596</v>
      </c>
      <c r="AX25" s="8">
        <f t="shared" si="156"/>
        <v>-4.7190047190047713E-3</v>
      </c>
      <c r="AY25" s="8">
        <f t="shared" si="157"/>
        <v>-4.482758620689653E-2</v>
      </c>
      <c r="AZ25" s="8">
        <f t="shared" si="158"/>
        <v>-2.3537906137184095E-2</v>
      </c>
      <c r="BA25" s="8">
        <f t="shared" si="159"/>
        <v>1.0000000000000009E-2</v>
      </c>
      <c r="BB25" s="8">
        <f t="shared" si="160"/>
        <v>1.0000000000000009E-2</v>
      </c>
      <c r="BC25" s="8">
        <f t="shared" si="161"/>
        <v>1.0000000000000009E-2</v>
      </c>
      <c r="BD25" s="8">
        <f t="shared" si="162"/>
        <v>1.0000000000000009E-2</v>
      </c>
      <c r="BE25" s="8">
        <f t="shared" si="163"/>
        <v>1.0000000000000009E-2</v>
      </c>
      <c r="BF25" s="8">
        <f t="shared" si="164"/>
        <v>1.0000000000000009E-2</v>
      </c>
      <c r="BG25" s="8">
        <f t="shared" si="165"/>
        <v>1.0000000000000009E-2</v>
      </c>
      <c r="BH25" s="8">
        <f t="shared" si="166"/>
        <v>1.0000000000000009E-2</v>
      </c>
      <c r="BI25" s="8">
        <f t="shared" si="167"/>
        <v>1.0000000000000009E-2</v>
      </c>
      <c r="BJ25" s="8">
        <f t="shared" si="168"/>
        <v>1.0000000000000009E-2</v>
      </c>
    </row>
    <row r="26" spans="2:196" x14ac:dyDescent="0.3">
      <c r="B26" s="1" t="s">
        <v>39</v>
      </c>
      <c r="G26" s="8">
        <f>G5/C5-1</f>
        <v>0.25406758448060085</v>
      </c>
      <c r="H26" s="8">
        <f t="shared" ref="H26:R26" si="169">H5/D5-1</f>
        <v>0.27318587504850611</v>
      </c>
      <c r="I26" s="8">
        <f t="shared" si="169"/>
        <v>0.25583117363939278</v>
      </c>
      <c r="J26" s="8">
        <f t="shared" si="169"/>
        <v>0.25759162303664929</v>
      </c>
      <c r="K26" s="8">
        <f t="shared" si="169"/>
        <v>0.24318030605455765</v>
      </c>
      <c r="L26" s="8">
        <f t="shared" si="169"/>
        <v>0.21822615056385253</v>
      </c>
      <c r="M26" s="8">
        <f t="shared" si="169"/>
        <v>0.33048349056603765</v>
      </c>
      <c r="N26" s="8">
        <f t="shared" si="169"/>
        <v>0.34637801831806825</v>
      </c>
      <c r="O26" s="8">
        <f t="shared" si="169"/>
        <v>0.30184640085630177</v>
      </c>
      <c r="P26" s="8">
        <f t="shared" si="169"/>
        <v>0.28871653740305225</v>
      </c>
      <c r="Q26" s="8">
        <f t="shared" si="169"/>
        <v>0.20075337912696645</v>
      </c>
      <c r="R26" s="8">
        <f t="shared" si="169"/>
        <v>0.19913419913419905</v>
      </c>
      <c r="S26" s="8">
        <f t="shared" ref="S26" si="170">S5/O5-1</f>
        <v>0.225693730729702</v>
      </c>
      <c r="T26" s="8">
        <f t="shared" ref="T26" si="171">T5/P5-1</f>
        <v>0.23082896524946617</v>
      </c>
      <c r="U26" s="8">
        <f t="shared" ref="U26" si="172">U5/Q5-1</f>
        <v>0.26646982838162026</v>
      </c>
      <c r="V26" s="8">
        <f t="shared" ref="V26" si="173">V5/R5-1</f>
        <v>0.25941206807632811</v>
      </c>
      <c r="W26" s="8">
        <f t="shared" ref="W26" si="174">W5/S5-1</f>
        <v>0.24283078987087037</v>
      </c>
      <c r="X26" s="8">
        <f t="shared" ref="X26" si="175">X5/T5-1</f>
        <v>0.21766561514195581</v>
      </c>
      <c r="Y26" s="8">
        <f t="shared" ref="Y26" si="176">Y5/U5-1</f>
        <v>0.14192044295497586</v>
      </c>
      <c r="Z26" s="8">
        <f t="shared" ref="Z26" si="177">Z5/V5-1</f>
        <v>0.14441714441714448</v>
      </c>
      <c r="AA26" s="8">
        <f t="shared" ref="AA26" si="178">AA5/W5-1</f>
        <v>0.11280528943462431</v>
      </c>
      <c r="AB26" s="8">
        <f t="shared" ref="AB26" si="179">AB5/X5-1</f>
        <v>0.11437823834196892</v>
      </c>
      <c r="AC26" s="8">
        <f t="shared" ref="AC26" si="180">AC5/Y5-1</f>
        <v>0.11267066479520227</v>
      </c>
      <c r="AD26" s="8">
        <f t="shared" ref="AD26" si="181">AD5/Z5-1</f>
        <v>0.10770515267175562</v>
      </c>
      <c r="AE26" s="8">
        <f t="shared" ref="AE26" si="182">AE5/AA5-1</f>
        <v>0.10743300594155447</v>
      </c>
      <c r="AF26" s="8">
        <f t="shared" ref="AF26" si="183">AF5/AB5-1</f>
        <v>8.3924212484017158E-2</v>
      </c>
      <c r="AG26" s="8">
        <f t="shared" ref="AG26" si="184">AG5/AC5-1</f>
        <v>8.3027522935779752E-2</v>
      </c>
      <c r="AH26" s="8">
        <f t="shared" ref="AH26" si="185">AH5/AD5-1</f>
        <v>7.6020243350920724E-2</v>
      </c>
      <c r="AI26" s="8">
        <f t="shared" ref="AI26" si="186">AI5/AE5-1</f>
        <v>7.6207160845286337E-2</v>
      </c>
      <c r="AJ26" s="8">
        <f t="shared" si="152"/>
        <v>9.7694369973190254E-2</v>
      </c>
      <c r="AK26" s="8">
        <f t="shared" si="153"/>
        <v>8.6298178737822973E-2</v>
      </c>
      <c r="AL26" s="8">
        <f t="shared" si="154"/>
        <v>0.10511858300810584</v>
      </c>
      <c r="AM26" s="8"/>
      <c r="AN26" s="8"/>
      <c r="AO26" s="8"/>
      <c r="AP26" s="8"/>
      <c r="AS26" s="8">
        <f>AS5/AR5-1</f>
        <v>0.26015180265654658</v>
      </c>
      <c r="AT26" s="8">
        <f t="shared" si="158"/>
        <v>0.28730612859509108</v>
      </c>
      <c r="AU26" s="8">
        <f t="shared" si="158"/>
        <v>0.24295239209264241</v>
      </c>
      <c r="AV26" s="8">
        <f t="shared" si="158"/>
        <v>0.24656502917372491</v>
      </c>
      <c r="AW26" s="8">
        <f t="shared" si="158"/>
        <v>0.18345160803261362</v>
      </c>
      <c r="AX26" s="8">
        <f t="shared" si="158"/>
        <v>0.11179510079101806</v>
      </c>
      <c r="AY26" s="8">
        <f t="shared" si="158"/>
        <v>8.7156094902028247E-2</v>
      </c>
      <c r="AZ26" s="8">
        <f t="shared" si="158"/>
        <v>6.0000000000000053E-2</v>
      </c>
      <c r="BA26" s="8">
        <f t="shared" si="158"/>
        <v>5.0000000000000044E-2</v>
      </c>
      <c r="BB26" s="8">
        <f t="shared" si="158"/>
        <v>4.0000000000000036E-2</v>
      </c>
      <c r="BC26" s="8">
        <f t="shared" si="158"/>
        <v>3.0000000000000027E-2</v>
      </c>
      <c r="BD26" s="8">
        <f t="shared" si="158"/>
        <v>3.0000000000000027E-2</v>
      </c>
      <c r="BE26" s="8">
        <f t="shared" si="158"/>
        <v>3.0000000000000027E-2</v>
      </c>
      <c r="BF26" s="8">
        <f t="shared" ref="BF26" si="187">BF5/BE5-1</f>
        <v>2.0000000000000018E-2</v>
      </c>
      <c r="BG26" s="8">
        <f t="shared" ref="BG26" si="188">BG5/BF5-1</f>
        <v>2.0000000000000018E-2</v>
      </c>
      <c r="BH26" s="8">
        <f t="shared" ref="BH26" si="189">BH5/BG5-1</f>
        <v>2.0000000000000018E-2</v>
      </c>
      <c r="BI26" s="8">
        <f t="shared" ref="BI26" si="190">BI5/BH5-1</f>
        <v>2.0000000000000018E-2</v>
      </c>
      <c r="BJ26" s="8">
        <f t="shared" ref="BJ26" si="191">BJ5/BI5-1</f>
        <v>2.0000000000000018E-2</v>
      </c>
    </row>
    <row r="27" spans="2:196" x14ac:dyDescent="0.3">
      <c r="B27" t="s">
        <v>82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>
        <f t="shared" ref="S27:AG27" si="192">(S3-S6)/S3</f>
        <v>0.79732658959537572</v>
      </c>
      <c r="T27" s="8">
        <f t="shared" si="192"/>
        <v>0.80622252282718976</v>
      </c>
      <c r="U27" s="8">
        <f t="shared" si="192"/>
        <v>0.79071954851857662</v>
      </c>
      <c r="V27" s="8">
        <f t="shared" si="192"/>
        <v>0.78676039835969536</v>
      </c>
      <c r="W27" s="8">
        <f t="shared" si="192"/>
        <v>0.78996499416569432</v>
      </c>
      <c r="X27" s="8">
        <f t="shared" si="192"/>
        <v>0.79140417191656165</v>
      </c>
      <c r="Y27" s="8">
        <f t="shared" si="192"/>
        <v>0.79939167703580816</v>
      </c>
      <c r="Z27" s="8">
        <f t="shared" si="192"/>
        <v>0.81512389266914875</v>
      </c>
      <c r="AA27" s="8">
        <f t="shared" si="192"/>
        <v>0.80240774666317716</v>
      </c>
      <c r="AB27" s="8">
        <f t="shared" si="192"/>
        <v>0.81076692480639523</v>
      </c>
      <c r="AC27" s="8">
        <f t="shared" si="192"/>
        <v>0.80702616386193338</v>
      </c>
      <c r="AD27" s="8">
        <f t="shared" si="192"/>
        <v>0.81927297668038412</v>
      </c>
      <c r="AE27" s="8">
        <f t="shared" si="192"/>
        <v>0.81828771112405363</v>
      </c>
      <c r="AF27" s="8">
        <f t="shared" si="192"/>
        <v>0.82245549977179366</v>
      </c>
      <c r="AG27" s="8">
        <f t="shared" si="192"/>
        <v>0.83094943124225706</v>
      </c>
      <c r="AH27" s="8">
        <f>(AH3-AH6)/AH3</f>
        <v>0.83271611469685747</v>
      </c>
      <c r="AI27" s="8">
        <f t="shared" ref="AI27:AL27" si="193">(AI3-AI6)/AI3</f>
        <v>0.82671829622458859</v>
      </c>
      <c r="AJ27" s="8">
        <f t="shared" si="193"/>
        <v>0.83023735810113519</v>
      </c>
      <c r="AK27" s="8">
        <f t="shared" si="193"/>
        <v>0.82880937692782231</v>
      </c>
      <c r="AL27" s="8">
        <f t="shared" si="193"/>
        <v>0.83</v>
      </c>
      <c r="AM27" s="8"/>
      <c r="AN27" s="8"/>
      <c r="AO27" s="8"/>
      <c r="AP27" s="8"/>
      <c r="AS27" s="8"/>
      <c r="AT27" s="8"/>
      <c r="AU27" s="8"/>
      <c r="AV27" s="8">
        <f t="shared" ref="AV27:AY27" si="194">(AV3-AV6)/AV3</f>
        <v>0.79482499898608916</v>
      </c>
      <c r="AW27" s="8">
        <f t="shared" si="194"/>
        <v>0.79942110885221052</v>
      </c>
      <c r="AX27" s="8">
        <f t="shared" si="194"/>
        <v>0.81015459323232009</v>
      </c>
      <c r="AY27" s="8">
        <f t="shared" si="194"/>
        <v>0.82628436895652901</v>
      </c>
      <c r="AZ27" s="8">
        <f t="shared" ref="AZ27" si="195">(AZ3-AZ6)/AZ3</f>
        <v>0.82898504244889681</v>
      </c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2:196" x14ac:dyDescent="0.3">
      <c r="B28" t="s">
        <v>83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>
        <f t="shared" ref="S28:AG28" si="196">(S4-S7)/S4</f>
        <v>-1.405152224824356E-2</v>
      </c>
      <c r="T28" s="8">
        <f t="shared" si="196"/>
        <v>-9.6244131455399062E-2</v>
      </c>
      <c r="U28" s="8">
        <f t="shared" si="196"/>
        <v>-5.1652892561983473E-2</v>
      </c>
      <c r="V28" s="8">
        <f t="shared" si="196"/>
        <v>-0.12048192771084337</v>
      </c>
      <c r="W28" s="8">
        <f t="shared" si="196"/>
        <v>-9.0090090090090086E-2</v>
      </c>
      <c r="X28" s="8">
        <f t="shared" si="196"/>
        <v>-0.10398613518197573</v>
      </c>
      <c r="Y28" s="8">
        <f t="shared" si="196"/>
        <v>-5.4635761589403975E-2</v>
      </c>
      <c r="Z28" s="8">
        <f t="shared" si="196"/>
        <v>-0.1092436974789916</v>
      </c>
      <c r="AA28" s="8">
        <f t="shared" si="196"/>
        <v>-1.6528925619834711E-2</v>
      </c>
      <c r="AB28" s="8">
        <f t="shared" si="196"/>
        <v>-1.6750418760469012E-3</v>
      </c>
      <c r="AC28" s="8">
        <f t="shared" si="196"/>
        <v>-8.6355785837651123E-3</v>
      </c>
      <c r="AD28" s="8">
        <f t="shared" si="196"/>
        <v>-5.1948051948051951E-2</v>
      </c>
      <c r="AE28" s="8">
        <f t="shared" si="196"/>
        <v>-9.8540145985401464E-2</v>
      </c>
      <c r="AF28" s="8">
        <f t="shared" si="196"/>
        <v>-7.4866310160427801E-2</v>
      </c>
      <c r="AG28" s="8">
        <f t="shared" si="196"/>
        <v>-6.9026548672566371E-2</v>
      </c>
      <c r="AH28" s="8">
        <f>(AH4-AH7)/AH4</f>
        <v>-0.17343173431734318</v>
      </c>
      <c r="AI28" s="8">
        <f t="shared" ref="AI28:AL28" si="197">(AI4-AI7)/AI4</f>
        <v>-0.22932330827067668</v>
      </c>
      <c r="AJ28" s="8">
        <f t="shared" si="197"/>
        <v>-9.3406593406593408E-2</v>
      </c>
      <c r="AK28" s="8">
        <f t="shared" si="197"/>
        <v>-0.10694183864915573</v>
      </c>
      <c r="AL28" s="8">
        <f t="shared" si="197"/>
        <v>-0.14999999999999986</v>
      </c>
      <c r="AM28" s="8"/>
      <c r="AN28" s="8"/>
      <c r="AO28" s="8"/>
      <c r="AP28" s="8"/>
      <c r="AS28" s="8"/>
      <c r="AT28" s="8"/>
      <c r="AU28" s="8"/>
      <c r="AV28" s="8">
        <f t="shared" ref="AV28:AY28" si="198">(AV4-AV7)/AV4</f>
        <v>-7.1934604904632146E-2</v>
      </c>
      <c r="AW28" s="8">
        <f t="shared" si="198"/>
        <v>-8.9232089232089237E-2</v>
      </c>
      <c r="AX28" s="8">
        <f t="shared" si="198"/>
        <v>-1.896551724137931E-2</v>
      </c>
      <c r="AY28" s="8">
        <f t="shared" si="198"/>
        <v>-0.10333935018050541</v>
      </c>
      <c r="AZ28" s="8">
        <f t="shared" ref="AZ28" si="199">(AZ4-AZ7)/AZ4</f>
        <v>-0.14461605294291627</v>
      </c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2:196" x14ac:dyDescent="0.3">
      <c r="B29" s="1" t="s">
        <v>40</v>
      </c>
      <c r="C29" s="8">
        <f>C9/C5</f>
        <v>0.7284105131414268</v>
      </c>
      <c r="D29" s="8">
        <f t="shared" ref="D29:R29" si="200">D9/D5</f>
        <v>0.74000776096235932</v>
      </c>
      <c r="E29" s="8">
        <f t="shared" si="200"/>
        <v>0.73565346168085899</v>
      </c>
      <c r="F29" s="8">
        <f t="shared" si="200"/>
        <v>0.74240837696335082</v>
      </c>
      <c r="G29" s="8">
        <f t="shared" si="200"/>
        <v>0.74484364604125086</v>
      </c>
      <c r="H29" s="8">
        <f t="shared" si="200"/>
        <v>0.74123742761353251</v>
      </c>
      <c r="I29" s="8">
        <f t="shared" si="200"/>
        <v>0.73791273584905659</v>
      </c>
      <c r="J29" s="8">
        <f t="shared" si="200"/>
        <v>0.7374410213710797</v>
      </c>
      <c r="K29" s="8">
        <f t="shared" si="200"/>
        <v>0.75541878512175542</v>
      </c>
      <c r="L29" s="8">
        <f t="shared" si="200"/>
        <v>0.75806855141356022</v>
      </c>
      <c r="M29" s="8">
        <f t="shared" si="200"/>
        <v>0.74872590294704189</v>
      </c>
      <c r="N29" s="8">
        <f t="shared" si="200"/>
        <v>0.74850546279117702</v>
      </c>
      <c r="O29" s="8">
        <f t="shared" si="200"/>
        <v>0.74224049331963005</v>
      </c>
      <c r="P29" s="8">
        <f t="shared" si="200"/>
        <v>0.74548631333721604</v>
      </c>
      <c r="Q29" s="8">
        <f t="shared" si="200"/>
        <v>0.75</v>
      </c>
      <c r="R29" s="8">
        <f t="shared" si="200"/>
        <v>0.74574522949974209</v>
      </c>
      <c r="S29" s="8">
        <f t="shared" ref="S29:AL29" si="201">S9/S5</f>
        <v>0.73922522220358877</v>
      </c>
      <c r="T29" s="8">
        <f t="shared" si="201"/>
        <v>0.74558359621451109</v>
      </c>
      <c r="U29" s="8">
        <f t="shared" si="201"/>
        <v>0.73131283695177041</v>
      </c>
      <c r="V29" s="8">
        <f t="shared" si="201"/>
        <v>0.72508872508872513</v>
      </c>
      <c r="W29" s="8">
        <f t="shared" si="201"/>
        <v>0.72405883146673866</v>
      </c>
      <c r="X29" s="8">
        <f t="shared" si="201"/>
        <v>0.72448186528497405</v>
      </c>
      <c r="Y29" s="8">
        <f t="shared" si="201"/>
        <v>0.73357151971417633</v>
      </c>
      <c r="Z29" s="8">
        <f t="shared" si="201"/>
        <v>0.74952290076335881</v>
      </c>
      <c r="AA29" s="8">
        <f t="shared" si="201"/>
        <v>0.74233054444040258</v>
      </c>
      <c r="AB29" s="8">
        <f t="shared" si="201"/>
        <v>0.75438800418458674</v>
      </c>
      <c r="AC29" s="8">
        <f t="shared" si="201"/>
        <v>0.75286697247706424</v>
      </c>
      <c r="AD29" s="8">
        <f t="shared" si="201"/>
        <v>0.76870894799181655</v>
      </c>
      <c r="AE29" s="8">
        <f t="shared" si="201"/>
        <v>0.7632760319719698</v>
      </c>
      <c r="AF29" s="8">
        <f t="shared" si="201"/>
        <v>0.76847184986595174</v>
      </c>
      <c r="AG29" s="8">
        <f t="shared" si="201"/>
        <v>0.77710715798390517</v>
      </c>
      <c r="AH29" s="8">
        <f t="shared" si="201"/>
        <v>0.77814470129090363</v>
      </c>
      <c r="AI29" s="8">
        <f t="shared" si="201"/>
        <v>0.76955946688371146</v>
      </c>
      <c r="AJ29" s="8">
        <f t="shared" si="201"/>
        <v>0.78096912856584599</v>
      </c>
      <c r="AK29" s="8">
        <f t="shared" si="201"/>
        <v>0.78019300126718005</v>
      </c>
      <c r="AL29" s="8">
        <f t="shared" si="201"/>
        <v>0.7809407657932983</v>
      </c>
      <c r="AM29" s="8"/>
      <c r="AN29" s="8"/>
      <c r="AO29" s="8"/>
      <c r="AP29" s="8"/>
      <c r="AR29" s="8">
        <f t="shared" ref="AR29:BE29" si="202">AR9/AR5</f>
        <v>0.7369070208728653</v>
      </c>
      <c r="AS29" s="8">
        <f t="shared" si="202"/>
        <v>0.74017467248908297</v>
      </c>
      <c r="AT29" s="8">
        <f t="shared" si="202"/>
        <v>0.75231021172066903</v>
      </c>
      <c r="AU29" s="8">
        <f t="shared" si="202"/>
        <v>0.74411820063993972</v>
      </c>
      <c r="AV29" s="8">
        <f t="shared" si="202"/>
        <v>0.75</v>
      </c>
      <c r="AW29" s="8">
        <f t="shared" si="202"/>
        <v>0.73335034447563152</v>
      </c>
      <c r="AX29" s="8">
        <f t="shared" si="202"/>
        <v>0.75497030725535763</v>
      </c>
      <c r="AY29" s="8">
        <f t="shared" si="202"/>
        <v>0.77192241720543608</v>
      </c>
      <c r="AZ29" s="8">
        <f t="shared" si="202"/>
        <v>0.77143473151981523</v>
      </c>
      <c r="BA29" s="8">
        <f t="shared" si="202"/>
        <v>0.77</v>
      </c>
      <c r="BB29" s="8">
        <f t="shared" si="202"/>
        <v>0.76999999999999991</v>
      </c>
      <c r="BC29" s="8">
        <f t="shared" si="202"/>
        <v>0.76999999999999991</v>
      </c>
      <c r="BD29" s="8">
        <f t="shared" si="202"/>
        <v>0.77</v>
      </c>
      <c r="BE29" s="8">
        <f t="shared" si="202"/>
        <v>0.77000000000000013</v>
      </c>
      <c r="BF29" s="8">
        <f t="shared" ref="BF29:BJ29" si="203">BF9/BF5</f>
        <v>0.77</v>
      </c>
      <c r="BG29" s="8">
        <f t="shared" si="203"/>
        <v>0.77</v>
      </c>
      <c r="BH29" s="8">
        <f t="shared" si="203"/>
        <v>0.76999999999999991</v>
      </c>
      <c r="BI29" s="8">
        <f t="shared" si="203"/>
        <v>0.77</v>
      </c>
      <c r="BJ29" s="8">
        <f t="shared" si="203"/>
        <v>0.77</v>
      </c>
    </row>
    <row r="30" spans="2:196" x14ac:dyDescent="0.3">
      <c r="B30" t="s">
        <v>41</v>
      </c>
      <c r="C30" s="8">
        <f>C15/C5</f>
        <v>1.6687526074259491E-3</v>
      </c>
      <c r="D30" s="8">
        <f t="shared" ref="D30:R30" si="204">D15/D5</f>
        <v>3.2596041909196738E-2</v>
      </c>
      <c r="E30" s="8">
        <f t="shared" si="204"/>
        <v>5.7386153276564232E-2</v>
      </c>
      <c r="F30" s="8">
        <f t="shared" si="204"/>
        <v>7.3647469458987785E-2</v>
      </c>
      <c r="G30" s="8">
        <f t="shared" si="204"/>
        <v>6.35395874916833E-2</v>
      </c>
      <c r="H30" s="8">
        <f t="shared" si="204"/>
        <v>3.505028954587016E-2</v>
      </c>
      <c r="I30" s="8">
        <f t="shared" si="204"/>
        <v>2.7122641509433963E-2</v>
      </c>
      <c r="J30" s="8">
        <f t="shared" si="204"/>
        <v>3.8023868998057174E-2</v>
      </c>
      <c r="K30" s="8">
        <f t="shared" si="204"/>
        <v>5.6194808670056197E-2</v>
      </c>
      <c r="L30" s="8">
        <f t="shared" si="204"/>
        <v>1.451088316237178E-2</v>
      </c>
      <c r="M30" s="8">
        <f t="shared" si="204"/>
        <v>1.4402836250830933E-2</v>
      </c>
      <c r="N30" s="8">
        <f t="shared" si="204"/>
        <v>-7.4211502782931356E-3</v>
      </c>
      <c r="O30" s="8">
        <f t="shared" si="204"/>
        <v>-2.8776978417266189E-2</v>
      </c>
      <c r="P30" s="8">
        <f t="shared" si="204"/>
        <v>3.4556396816152204E-2</v>
      </c>
      <c r="Q30" s="8">
        <f t="shared" si="204"/>
        <v>4.8579073629821001E-2</v>
      </c>
      <c r="R30" s="8">
        <f t="shared" si="204"/>
        <v>3.3178614406051229E-2</v>
      </c>
      <c r="S30" s="8">
        <f t="shared" ref="S30:AL30" si="205">S15/S5</f>
        <v>5.9366090893845383E-2</v>
      </c>
      <c r="T30" s="8">
        <f t="shared" si="205"/>
        <v>5.2365930599369087E-2</v>
      </c>
      <c r="U30" s="8">
        <f t="shared" si="205"/>
        <v>5.5369371994754479E-3</v>
      </c>
      <c r="V30" s="8">
        <f t="shared" si="205"/>
        <v>-2.4024024024024024E-2</v>
      </c>
      <c r="W30" s="8">
        <f t="shared" si="205"/>
        <v>2.698691134799622E-3</v>
      </c>
      <c r="X30" s="8">
        <f t="shared" si="205"/>
        <v>2.5000000000000001E-2</v>
      </c>
      <c r="Y30" s="8">
        <f t="shared" si="205"/>
        <v>5.8695929564884522E-2</v>
      </c>
      <c r="Z30" s="8">
        <f t="shared" si="205"/>
        <v>4.2581106870229007E-2</v>
      </c>
      <c r="AA30" s="8">
        <f t="shared" si="205"/>
        <v>4.9957560324966656E-2</v>
      </c>
      <c r="AB30" s="8">
        <f t="shared" si="205"/>
        <v>0.17156805765430663</v>
      </c>
      <c r="AC30" s="8">
        <f t="shared" si="205"/>
        <v>0.17213302752293577</v>
      </c>
      <c r="AD30" s="8">
        <f t="shared" si="205"/>
        <v>0.17465274038979217</v>
      </c>
      <c r="AE30" s="8">
        <f t="shared" si="205"/>
        <v>0.18712361765027921</v>
      </c>
      <c r="AF30" s="8">
        <f t="shared" si="205"/>
        <v>0.1912064343163539</v>
      </c>
      <c r="AG30" s="8">
        <f t="shared" si="205"/>
        <v>0.20044472681067343</v>
      </c>
      <c r="AH30" s="8">
        <f t="shared" si="205"/>
        <v>0.18212748924246974</v>
      </c>
      <c r="AI30" s="8">
        <f t="shared" si="205"/>
        <v>0.19757859395665886</v>
      </c>
      <c r="AJ30" s="8">
        <f t="shared" si="205"/>
        <v>0.2278233685033216</v>
      </c>
      <c r="AK30" s="8">
        <f t="shared" si="205"/>
        <v>0.21327614777268739</v>
      </c>
      <c r="AL30" s="8">
        <f t="shared" si="205"/>
        <v>0.2333371636580959</v>
      </c>
      <c r="AM30" s="8"/>
      <c r="AN30" s="8"/>
      <c r="AO30" s="8"/>
      <c r="AP30" s="8"/>
      <c r="AR30" s="8">
        <f t="shared" ref="AR30:BE30" si="206">AR15/AR5</f>
        <v>4.3074003795066415E-2</v>
      </c>
      <c r="AS30" s="8">
        <f t="shared" si="206"/>
        <v>4.0280078301460624E-2</v>
      </c>
      <c r="AT30" s="8">
        <f t="shared" si="206"/>
        <v>1.7370452684524505E-2</v>
      </c>
      <c r="AU30" s="8">
        <f t="shared" si="206"/>
        <v>2.1409749670619236E-2</v>
      </c>
      <c r="AV30" s="8">
        <f t="shared" si="206"/>
        <v>3.5897629473048469E-2</v>
      </c>
      <c r="AW30" s="8">
        <f t="shared" si="206"/>
        <v>3.2852768563409032E-2</v>
      </c>
      <c r="AX30" s="8">
        <f t="shared" si="206"/>
        <v>0.14375878589666352</v>
      </c>
      <c r="AY30" s="8">
        <f t="shared" si="206"/>
        <v>0.19013062409288825</v>
      </c>
      <c r="AZ30" s="8">
        <f t="shared" si="206"/>
        <v>0.19517926395427296</v>
      </c>
      <c r="BA30" s="8">
        <f t="shared" si="206"/>
        <v>0.20886004348090503</v>
      </c>
      <c r="BB30" s="8">
        <f t="shared" si="206"/>
        <v>0.22235270776635074</v>
      </c>
      <c r="BC30" s="8">
        <f t="shared" si="206"/>
        <v>0.22404180204795479</v>
      </c>
      <c r="BD30" s="8">
        <f t="shared" si="206"/>
        <v>0.22662735712663371</v>
      </c>
      <c r="BE30" s="8">
        <f t="shared" si="206"/>
        <v>0.22893625343859053</v>
      </c>
      <c r="BF30" s="8">
        <f t="shared" ref="BF30:BJ30" si="207">BF15/BF5</f>
        <v>0.23046975731283434</v>
      </c>
      <c r="BG30" s="8">
        <f t="shared" si="207"/>
        <v>0.23193006084151382</v>
      </c>
      <c r="BH30" s="8">
        <f t="shared" si="207"/>
        <v>0.2333475349268451</v>
      </c>
      <c r="BI30" s="8">
        <f t="shared" si="207"/>
        <v>0.23473713537306226</v>
      </c>
      <c r="BJ30" s="8">
        <f t="shared" si="207"/>
        <v>0.23610626089610262</v>
      </c>
      <c r="BL30" t="s">
        <v>43</v>
      </c>
      <c r="BM30" s="8">
        <v>-0.01</v>
      </c>
    </row>
    <row r="31" spans="2:196" x14ac:dyDescent="0.3">
      <c r="B31" t="s">
        <v>53</v>
      </c>
      <c r="C31" s="8"/>
      <c r="D31" s="8"/>
      <c r="E31" s="8"/>
      <c r="F31" s="8"/>
      <c r="G31" s="8">
        <f t="shared" ref="G31:R31" si="208">G10/C10-1</f>
        <v>0.12765957446808507</v>
      </c>
      <c r="H31" s="8">
        <f t="shared" si="208"/>
        <v>0.19638242894056845</v>
      </c>
      <c r="I31" s="8">
        <f t="shared" si="208"/>
        <v>0.22081218274111669</v>
      </c>
      <c r="J31" s="8">
        <f t="shared" si="208"/>
        <v>0.30808080808080818</v>
      </c>
      <c r="K31" s="8">
        <f t="shared" si="208"/>
        <v>0.30660377358490565</v>
      </c>
      <c r="L31" s="8">
        <f t="shared" si="208"/>
        <v>0.31101511879049681</v>
      </c>
      <c r="M31" s="8">
        <f t="shared" si="208"/>
        <v>0.60914760914760913</v>
      </c>
      <c r="N31" s="8">
        <f t="shared" si="208"/>
        <v>0.60424710424710426</v>
      </c>
      <c r="O31" s="8">
        <f t="shared" si="208"/>
        <v>0.55054151624548742</v>
      </c>
      <c r="P31" s="8">
        <f t="shared" si="208"/>
        <v>0.47940691927512358</v>
      </c>
      <c r="Q31" s="8">
        <f t="shared" si="208"/>
        <v>0.1653746770025839</v>
      </c>
      <c r="R31" s="8">
        <f t="shared" si="208"/>
        <v>0.12996389891696758</v>
      </c>
      <c r="S31" s="8">
        <f t="shared" ref="S31" si="209">S10/O10-1</f>
        <v>0.1071012805587892</v>
      </c>
      <c r="T31" s="8">
        <f t="shared" ref="T31" si="210">T10/P10-1</f>
        <v>0.13585746102449892</v>
      </c>
      <c r="U31" s="8">
        <f t="shared" ref="U31" si="211">U10/Q10-1</f>
        <v>0.33370288248337032</v>
      </c>
      <c r="V31" s="8">
        <f t="shared" ref="V31" si="212">V10/R10-1</f>
        <v>0.37486687965921184</v>
      </c>
      <c r="W31" s="8">
        <f t="shared" ref="W31" si="213">W10/S10-1</f>
        <v>0.3859095688748686</v>
      </c>
      <c r="X31" s="8">
        <f t="shared" ref="X31" si="214">X10/T10-1</f>
        <v>0.30294117647058827</v>
      </c>
      <c r="Y31" s="8">
        <f t="shared" ref="Y31" si="215">Y10/U10-1</f>
        <v>6.4006650041562807E-2</v>
      </c>
      <c r="Z31" s="8">
        <f t="shared" ref="Z31" si="216">Z10/V10-1</f>
        <v>-0.12625871417505807</v>
      </c>
      <c r="AA31" s="8">
        <f t="shared" ref="AA31" si="217">AA10/W10-1</f>
        <v>-8.4218512898330822E-2</v>
      </c>
      <c r="AB31" s="8">
        <f t="shared" ref="AB31" si="218">AB10/X10-1</f>
        <v>-8.2016553799849512E-2</v>
      </c>
      <c r="AC31" s="8">
        <f t="shared" ref="AC31" si="219">AC10/Y10-1</f>
        <v>-5.9374999999999956E-2</v>
      </c>
      <c r="AD31" s="8">
        <f t="shared" ref="AD31" si="220">AD10/Z10-1</f>
        <v>0.13031914893617014</v>
      </c>
      <c r="AE31" s="8">
        <f t="shared" ref="AE31" si="221">AE10/AA10-1</f>
        <v>0.13338856669428334</v>
      </c>
      <c r="AF31" s="8">
        <f t="shared" ref="AF31" si="222">AF10/AB10-1</f>
        <v>0.1057377049180328</v>
      </c>
      <c r="AG31" s="8">
        <f t="shared" ref="AG31" si="223">AG10/AC10-1</f>
        <v>0.12624584717607967</v>
      </c>
      <c r="AH31" s="8">
        <f t="shared" ref="AH31" si="224">AH10/AD10-1</f>
        <v>0.11372549019607847</v>
      </c>
      <c r="AI31" s="8">
        <f t="shared" ref="AI31" si="225">AI10/AE10-1</f>
        <v>6.7251461988304007E-2</v>
      </c>
      <c r="AJ31" s="8">
        <f t="shared" ref="AJ31" si="226">AJ10/AF10-1</f>
        <v>9.7850259451445432E-2</v>
      </c>
      <c r="AK31" s="8">
        <f t="shared" ref="AK31" si="227">AK10/AG10-1</f>
        <v>5.6784660766961759E-2</v>
      </c>
      <c r="AL31" s="8">
        <f t="shared" ref="AL31" si="228">AL10/AH10-1</f>
        <v>5.0000000000000044E-2</v>
      </c>
      <c r="AM31" s="8"/>
      <c r="AN31" s="8"/>
      <c r="AO31" s="8"/>
      <c r="AP31" s="8"/>
      <c r="AR31" s="8"/>
      <c r="AS31" s="8">
        <f t="shared" ref="AS31:BE31" si="229">AS10/AR10-1</f>
        <v>0.21442369607211842</v>
      </c>
      <c r="AT31" s="8">
        <f t="shared" si="229"/>
        <v>0.46659597030752908</v>
      </c>
      <c r="AU31" s="8">
        <f t="shared" si="229"/>
        <v>0.30079537237888654</v>
      </c>
      <c r="AV31" s="8">
        <f t="shared" si="229"/>
        <v>0.24096720400222349</v>
      </c>
      <c r="AW31" s="8">
        <f t="shared" si="229"/>
        <v>0.13213885778275469</v>
      </c>
      <c r="AX31" s="8">
        <f t="shared" si="229"/>
        <v>-2.9475766567754746E-2</v>
      </c>
      <c r="AY31" s="8">
        <f t="shared" si="229"/>
        <v>0.11964940888707698</v>
      </c>
      <c r="AZ31" s="8">
        <f t="shared" si="229"/>
        <v>6.7722555980338717E-2</v>
      </c>
      <c r="BA31" s="8">
        <f t="shared" si="229"/>
        <v>6.0000000000000053E-2</v>
      </c>
      <c r="BB31" s="8">
        <f t="shared" si="229"/>
        <v>4.0000000000000036E-2</v>
      </c>
      <c r="BC31" s="8">
        <f t="shared" si="229"/>
        <v>3.0000000000000027E-2</v>
      </c>
      <c r="BD31" s="8">
        <f t="shared" si="229"/>
        <v>2.0000000000000018E-2</v>
      </c>
      <c r="BE31" s="8">
        <f t="shared" si="229"/>
        <v>2.0000000000000018E-2</v>
      </c>
      <c r="BF31" s="8">
        <f t="shared" ref="BF31" si="230">BF10/BE10-1</f>
        <v>1.0000000000000009E-2</v>
      </c>
      <c r="BG31" s="8">
        <f t="shared" ref="BG31" si="231">BG10/BF10-1</f>
        <v>1.0000000000000009E-2</v>
      </c>
      <c r="BH31" s="8">
        <f t="shared" ref="BH31" si="232">BH10/BG10-1</f>
        <v>1.0000000000000009E-2</v>
      </c>
      <c r="BI31" s="8">
        <f t="shared" ref="BI31" si="233">BI10/BH10-1</f>
        <v>1.0000000000000009E-2</v>
      </c>
      <c r="BJ31" s="8">
        <f t="shared" ref="BJ31" si="234">BJ10/BI10-1</f>
        <v>1.0000000000000009E-2</v>
      </c>
      <c r="BL31" t="s">
        <v>44</v>
      </c>
      <c r="BM31" s="8">
        <v>0.06</v>
      </c>
    </row>
    <row r="32" spans="2:196" x14ac:dyDescent="0.3">
      <c r="B32" t="s">
        <v>42</v>
      </c>
      <c r="C32" s="8">
        <f>C11/C5</f>
        <v>0.46141009595327492</v>
      </c>
      <c r="D32" s="8">
        <f t="shared" ref="D32:R32" si="235">D11/D5</f>
        <v>0.4474194800155219</v>
      </c>
      <c r="E32" s="8">
        <f t="shared" si="235"/>
        <v>0.43206219918548688</v>
      </c>
      <c r="F32" s="8">
        <f t="shared" si="235"/>
        <v>0.43455497382198954</v>
      </c>
      <c r="G32" s="8">
        <f t="shared" si="235"/>
        <v>0.44211576846307388</v>
      </c>
      <c r="H32" s="8">
        <f t="shared" si="235"/>
        <v>0.45839683023468453</v>
      </c>
      <c r="I32" s="8">
        <f t="shared" si="235"/>
        <v>0.46816037735849059</v>
      </c>
      <c r="J32" s="8">
        <f t="shared" si="235"/>
        <v>0.45600888148764918</v>
      </c>
      <c r="K32" s="8">
        <f t="shared" si="235"/>
        <v>0.45410757291945408</v>
      </c>
      <c r="L32" s="8">
        <f t="shared" si="235"/>
        <v>0.49787340505379035</v>
      </c>
      <c r="M32" s="8">
        <f t="shared" si="235"/>
        <v>0.45712386439175717</v>
      </c>
      <c r="N32" s="8">
        <f t="shared" si="235"/>
        <v>0.48361162646876932</v>
      </c>
      <c r="O32" s="8">
        <f t="shared" si="235"/>
        <v>0.49126413155190135</v>
      </c>
      <c r="P32" s="8">
        <f t="shared" si="235"/>
        <v>0.44166181324014753</v>
      </c>
      <c r="Q32" s="8">
        <f t="shared" si="235"/>
        <v>0.43864181583317957</v>
      </c>
      <c r="R32" s="8">
        <f t="shared" si="235"/>
        <v>0.45246690734055356</v>
      </c>
      <c r="S32" s="8">
        <f t="shared" ref="S32:AL32" si="236">S11/S5</f>
        <v>0.42663089049136343</v>
      </c>
      <c r="T32" s="8">
        <f t="shared" si="236"/>
        <v>0.43154574132492113</v>
      </c>
      <c r="U32" s="8">
        <f t="shared" si="236"/>
        <v>0.45330030598863469</v>
      </c>
      <c r="V32" s="8">
        <f t="shared" si="236"/>
        <v>0.47283647283647284</v>
      </c>
      <c r="W32" s="8">
        <f t="shared" si="236"/>
        <v>0.45499932532721632</v>
      </c>
      <c r="X32" s="8">
        <f t="shared" si="236"/>
        <v>0.44352331606217615</v>
      </c>
      <c r="Y32" s="8">
        <f t="shared" si="236"/>
        <v>0.42682148781421464</v>
      </c>
      <c r="Z32" s="8">
        <f t="shared" si="236"/>
        <v>0.4037452290076336</v>
      </c>
      <c r="AA32" s="8">
        <f t="shared" si="236"/>
        <v>0.38244210015763308</v>
      </c>
      <c r="AB32" s="8">
        <f t="shared" si="236"/>
        <v>0.36185051726142042</v>
      </c>
      <c r="AC32" s="8">
        <f t="shared" si="236"/>
        <v>0.36387614678899083</v>
      </c>
      <c r="AD32" s="8">
        <f t="shared" si="236"/>
        <v>0.37008721869279637</v>
      </c>
      <c r="AE32" s="8">
        <f t="shared" si="236"/>
        <v>0.35464797985327934</v>
      </c>
      <c r="AF32" s="8">
        <f t="shared" si="236"/>
        <v>0.34573726541554961</v>
      </c>
      <c r="AG32" s="8">
        <f t="shared" si="236"/>
        <v>0.35186361711139347</v>
      </c>
      <c r="AH32" s="8">
        <f t="shared" si="236"/>
        <v>0.34734314019813872</v>
      </c>
      <c r="AI32" s="8">
        <f t="shared" si="236"/>
        <v>0.34886560179061959</v>
      </c>
      <c r="AJ32" s="8">
        <f t="shared" si="236"/>
        <v>0.33636186010160218</v>
      </c>
      <c r="AK32" s="8">
        <f t="shared" si="236"/>
        <v>0.33687493907788285</v>
      </c>
      <c r="AL32" s="8">
        <f t="shared" si="236"/>
        <v>0.34</v>
      </c>
      <c r="AM32" s="8"/>
      <c r="AN32" s="8"/>
      <c r="AO32" s="8"/>
      <c r="AP32" s="8"/>
      <c r="AR32" s="8">
        <f t="shared" ref="AR32:BE32" si="237">AR11/AR5</f>
        <v>0.44316888045540798</v>
      </c>
      <c r="AS32" s="8">
        <f t="shared" si="237"/>
        <v>0.45655774732720977</v>
      </c>
      <c r="AT32" s="8">
        <f t="shared" si="237"/>
        <v>0.47350567317814951</v>
      </c>
      <c r="AU32" s="8">
        <f t="shared" si="237"/>
        <v>0.45520421607378131</v>
      </c>
      <c r="AV32" s="8">
        <f t="shared" si="237"/>
        <v>0.44749358296844333</v>
      </c>
      <c r="AW32" s="8">
        <f t="shared" si="237"/>
        <v>0.43142383261035977</v>
      </c>
      <c r="AX32" s="8">
        <f t="shared" si="237"/>
        <v>0.36942364517887366</v>
      </c>
      <c r="AY32" s="8">
        <f t="shared" si="237"/>
        <v>0.34983507058978758</v>
      </c>
      <c r="AZ32" s="8">
        <f t="shared" si="237"/>
        <v>0.3505907086861163</v>
      </c>
      <c r="BA32" s="8">
        <f t="shared" si="237"/>
        <v>0.34</v>
      </c>
      <c r="BB32" s="8">
        <f t="shared" si="237"/>
        <v>0.33</v>
      </c>
      <c r="BC32" s="8">
        <f t="shared" si="237"/>
        <v>0.33</v>
      </c>
      <c r="BD32" s="8">
        <f t="shared" si="237"/>
        <v>0.33</v>
      </c>
      <c r="BE32" s="8">
        <f t="shared" si="237"/>
        <v>0.33</v>
      </c>
      <c r="BF32" s="8">
        <f t="shared" ref="BF32:BJ32" si="238">BF11/BF5</f>
        <v>0.33</v>
      </c>
      <c r="BG32" s="8">
        <f t="shared" si="238"/>
        <v>0.33</v>
      </c>
      <c r="BH32" s="8">
        <f t="shared" si="238"/>
        <v>0.33000000000000007</v>
      </c>
      <c r="BI32" s="8">
        <f t="shared" si="238"/>
        <v>0.33</v>
      </c>
      <c r="BJ32" s="8">
        <f t="shared" si="238"/>
        <v>0.33</v>
      </c>
      <c r="BL32" t="s">
        <v>45</v>
      </c>
      <c r="BM32" s="5">
        <f>NPV(BM31,AZ20:GN20)</f>
        <v>149568.05772935235</v>
      </c>
    </row>
    <row r="33" spans="2:65" x14ac:dyDescent="0.3">
      <c r="B33" t="s">
        <v>54</v>
      </c>
      <c r="C33" s="8"/>
      <c r="D33" s="8"/>
      <c r="E33" s="8"/>
      <c r="F33" s="8"/>
      <c r="G33" s="8">
        <f t="shared" ref="G33:R33" si="239">G12/C12-1</f>
        <v>0.13461538461538458</v>
      </c>
      <c r="H33" s="8">
        <f t="shared" si="239"/>
        <v>0.23674911660777376</v>
      </c>
      <c r="I33" s="8">
        <f t="shared" si="239"/>
        <v>0.26199261992619927</v>
      </c>
      <c r="J33" s="8">
        <f t="shared" si="239"/>
        <v>0.30545454545454542</v>
      </c>
      <c r="K33" s="8">
        <f t="shared" si="239"/>
        <v>0.22711864406779658</v>
      </c>
      <c r="L33" s="8">
        <f t="shared" si="239"/>
        <v>7.1428571428571397E-2</v>
      </c>
      <c r="M33" s="8">
        <f t="shared" si="239"/>
        <v>0.39473684210526305</v>
      </c>
      <c r="N33" s="8">
        <f t="shared" si="239"/>
        <v>0.36490250696378834</v>
      </c>
      <c r="O33" s="8">
        <f t="shared" si="239"/>
        <v>0.38674033149171261</v>
      </c>
      <c r="P33" s="8">
        <f t="shared" si="239"/>
        <v>0.30400000000000005</v>
      </c>
      <c r="Q33" s="8">
        <f t="shared" si="239"/>
        <v>9.4339622641509413E-2</v>
      </c>
      <c r="R33" s="8">
        <f t="shared" si="239"/>
        <v>0.17142857142857149</v>
      </c>
      <c r="S33" s="8">
        <f t="shared" ref="S33" si="240">S12/O12-1</f>
        <v>0.11354581673306763</v>
      </c>
      <c r="T33" s="8">
        <f t="shared" ref="T33" si="241">T12/P12-1</f>
        <v>0.30674846625766872</v>
      </c>
      <c r="U33" s="8">
        <f t="shared" ref="U33" si="242">U12/Q12-1</f>
        <v>0.27777777777777768</v>
      </c>
      <c r="V33" s="8">
        <f t="shared" ref="V33" si="243">V12/R12-1</f>
        <v>0.27700348432055755</v>
      </c>
      <c r="W33" s="8">
        <f t="shared" ref="W33" si="244">W12/S12-1</f>
        <v>0.17352415026833623</v>
      </c>
      <c r="X33" s="8">
        <f t="shared" ref="X33" si="245">X12/T12-1</f>
        <v>1.2519561815336422E-2</v>
      </c>
      <c r="Y33" s="8">
        <f t="shared" ref="Y33" si="246">Y12/U12-1</f>
        <v>-4.4977511244377322E-3</v>
      </c>
      <c r="Z33" s="8">
        <f t="shared" ref="Z33" si="247">Z12/V12-1</f>
        <v>-0.20054570259208726</v>
      </c>
      <c r="AA33" s="8">
        <f t="shared" ref="AA33" si="248">AA12/W12-1</f>
        <v>-2.7439024390243927E-2</v>
      </c>
      <c r="AB33" s="8">
        <f t="shared" ref="AB33" si="249">AB12/X12-1</f>
        <v>-2.3183925811437356E-2</v>
      </c>
      <c r="AC33" s="8">
        <f t="shared" ref="AC33" si="250">AC12/Y12-1</f>
        <v>-4.8192771084337394E-2</v>
      </c>
      <c r="AD33" s="8">
        <f t="shared" ref="AD33" si="251">AD12/Z12-1</f>
        <v>7.8498293515358419E-2</v>
      </c>
      <c r="AE33" s="8">
        <f t="shared" ref="AE33" si="252">AE12/AA12-1</f>
        <v>1.4106583072100332E-2</v>
      </c>
      <c r="AF33" s="8">
        <f t="shared" ref="AF33" si="253">AF12/AB12-1</f>
        <v>0.125</v>
      </c>
      <c r="AG33" s="8">
        <f t="shared" ref="AG33" si="254">AG12/AC12-1</f>
        <v>0.125</v>
      </c>
      <c r="AH33" s="8">
        <f t="shared" ref="AH33" si="255">AH12/AD12-1</f>
        <v>0.21360759493670889</v>
      </c>
      <c r="AI33" s="8">
        <f t="shared" ref="AI33" si="256">AI12/AE12-1</f>
        <v>7.727975270479126E-2</v>
      </c>
      <c r="AJ33" s="8">
        <f t="shared" ref="AJ33" si="257">AJ12/AF12-1</f>
        <v>3.234880450070321E-2</v>
      </c>
      <c r="AK33" s="8">
        <f t="shared" ref="AK33" si="258">AK12/AG12-1</f>
        <v>-6.1884669479606136E-2</v>
      </c>
      <c r="AL33" s="8">
        <f t="shared" ref="AL33" si="259">AL12/AH12-1</f>
        <v>-2.0000000000000018E-2</v>
      </c>
      <c r="AM33" s="8"/>
      <c r="AN33" s="8"/>
      <c r="AO33" s="8"/>
      <c r="AP33" s="8"/>
      <c r="AR33" s="8"/>
      <c r="AS33" s="8">
        <f t="shared" ref="AS33:BE33" si="260">AS12/AR12-1</f>
        <v>0.23599632690541772</v>
      </c>
      <c r="AT33" s="8">
        <f t="shared" si="260"/>
        <v>0.26597325408618122</v>
      </c>
      <c r="AU33" s="8">
        <f t="shared" si="260"/>
        <v>0.22476525821596249</v>
      </c>
      <c r="AV33" s="8">
        <f t="shared" si="260"/>
        <v>0.24484906564446574</v>
      </c>
      <c r="AW33" s="8">
        <f t="shared" si="260"/>
        <v>-1.7321016166281789E-2</v>
      </c>
      <c r="AX33" s="8">
        <f t="shared" si="260"/>
        <v>-7.4422248335291874E-3</v>
      </c>
      <c r="AY33" s="8">
        <f t="shared" si="260"/>
        <v>0.11917916337805834</v>
      </c>
      <c r="AZ33" s="8">
        <f t="shared" si="260"/>
        <v>4.8166431593794634E-3</v>
      </c>
      <c r="BA33" s="8">
        <f t="shared" si="260"/>
        <v>3.0000000000000027E-2</v>
      </c>
      <c r="BB33" s="8">
        <f t="shared" si="260"/>
        <v>2.0000000000000018E-2</v>
      </c>
      <c r="BC33" s="8">
        <f t="shared" si="260"/>
        <v>2.0000000000000018E-2</v>
      </c>
      <c r="BD33" s="8">
        <f t="shared" si="260"/>
        <v>2.0000000000000018E-2</v>
      </c>
      <c r="BE33" s="8">
        <f t="shared" si="260"/>
        <v>2.0000000000000018E-2</v>
      </c>
      <c r="BF33" s="8">
        <f t="shared" ref="BF33" si="261">BF12/BE12-1</f>
        <v>2.0000000000000018E-2</v>
      </c>
      <c r="BG33" s="8">
        <f t="shared" ref="BG33" si="262">BG12/BF12-1</f>
        <v>2.0000000000000018E-2</v>
      </c>
      <c r="BH33" s="8">
        <f t="shared" ref="BH33" si="263">BH12/BG12-1</f>
        <v>2.0000000000000018E-2</v>
      </c>
      <c r="BI33" s="8">
        <f t="shared" ref="BI33" si="264">BI12/BH12-1</f>
        <v>2.0000000000000018E-2</v>
      </c>
      <c r="BJ33" s="8">
        <f t="shared" ref="BJ33" si="265">BJ12/BI12-1</f>
        <v>2.0000000000000018E-2</v>
      </c>
      <c r="BL33" t="s">
        <v>46</v>
      </c>
      <c r="BM33" s="5">
        <f>Main!D8</f>
        <v>9295</v>
      </c>
    </row>
    <row r="34" spans="2:65" x14ac:dyDescent="0.3">
      <c r="B34" t="s">
        <v>32</v>
      </c>
      <c r="C34" s="8">
        <f>C19/C18</f>
        <v>1.1000000000000001</v>
      </c>
      <c r="D34" s="8">
        <f t="shared" ref="D34:R34" si="266">D19/D18</f>
        <v>0.26984126984126983</v>
      </c>
      <c r="E34" s="8">
        <f t="shared" si="266"/>
        <v>0.26712328767123289</v>
      </c>
      <c r="F34" s="8">
        <f t="shared" si="266"/>
        <v>6.7873303167420809E-2</v>
      </c>
      <c r="G34" s="8">
        <f t="shared" si="266"/>
        <v>0.10649350649350649</v>
      </c>
      <c r="H34" s="8">
        <f t="shared" si="266"/>
        <v>-0.2943722943722944</v>
      </c>
      <c r="I34" s="8">
        <f t="shared" si="266"/>
        <v>0.1796875</v>
      </c>
      <c r="J34" s="8">
        <f t="shared" si="266"/>
        <v>-0.5146443514644351</v>
      </c>
      <c r="K34" s="8">
        <f t="shared" si="266"/>
        <v>0.18672199170124482</v>
      </c>
      <c r="L34" s="8">
        <f t="shared" si="266"/>
        <v>0.4451219512195122</v>
      </c>
      <c r="M34" s="8">
        <f t="shared" si="266"/>
        <v>2.703125</v>
      </c>
      <c r="N34" s="8">
        <f t="shared" si="266"/>
        <v>-61</v>
      </c>
      <c r="O34" s="8">
        <f t="shared" si="266"/>
        <v>-1.1063829787234043</v>
      </c>
      <c r="P34" s="8">
        <f t="shared" si="266"/>
        <v>-2.1287246722288438</v>
      </c>
      <c r="Q34" s="8">
        <f t="shared" si="266"/>
        <v>0.13108396354469654</v>
      </c>
      <c r="R34" s="8">
        <f t="shared" si="266"/>
        <v>0.37176470588235294</v>
      </c>
      <c r="S34" s="8">
        <f t="shared" ref="S34:AL34" si="267">S19/S18</f>
        <v>0.22350993377483444</v>
      </c>
      <c r="T34" s="8">
        <f t="shared" si="267"/>
        <v>0.35230024213075062</v>
      </c>
      <c r="U34" s="8">
        <f t="shared" si="267"/>
        <v>-0.56521739130434778</v>
      </c>
      <c r="V34" s="8">
        <f t="shared" si="267"/>
        <v>0.85786802030456855</v>
      </c>
      <c r="W34" s="8">
        <f t="shared" si="267"/>
        <v>1.9655172413793103</v>
      </c>
      <c r="X34" s="8">
        <f t="shared" si="267"/>
        <v>0.62430939226519333</v>
      </c>
      <c r="Y34" s="8">
        <f t="shared" si="267"/>
        <v>0.55789473684210522</v>
      </c>
      <c r="Z34" s="8">
        <f t="shared" si="267"/>
        <v>3.9696969696969697</v>
      </c>
      <c r="AA34" s="8">
        <f t="shared" si="267"/>
        <v>0.38957055214723929</v>
      </c>
      <c r="AB34" s="8">
        <f t="shared" si="267"/>
        <v>0.15080428954423591</v>
      </c>
      <c r="AC34" s="8">
        <f t="shared" si="267"/>
        <v>0.17686617350369871</v>
      </c>
      <c r="AD34" s="8">
        <f t="shared" si="267"/>
        <v>0.1209726443768997</v>
      </c>
      <c r="AE34" s="8">
        <f t="shared" si="267"/>
        <v>0.17889662560257097</v>
      </c>
      <c r="AF34" s="8">
        <f t="shared" si="267"/>
        <v>0.22210125204137179</v>
      </c>
      <c r="AG34" s="8">
        <f t="shared" si="267"/>
        <v>0.12542955326460481</v>
      </c>
      <c r="AH34" s="8">
        <f t="shared" si="267"/>
        <v>0.14084507042253522</v>
      </c>
      <c r="AI34" s="8">
        <f t="shared" si="267"/>
        <v>0.21935157041540021</v>
      </c>
      <c r="AJ34" s="8">
        <f t="shared" si="267"/>
        <v>0.21571072319201995</v>
      </c>
      <c r="AK34" s="8">
        <f t="shared" si="267"/>
        <v>0.16958598726114649</v>
      </c>
      <c r="AL34" s="8">
        <f t="shared" si="267"/>
        <v>0.18</v>
      </c>
      <c r="AM34" s="8"/>
      <c r="AN34" s="8"/>
      <c r="AO34" s="8"/>
      <c r="AP34" s="8"/>
      <c r="AR34" s="8">
        <f t="shared" ref="AR34:BE34" si="268">AR19/AR18</f>
        <v>0.14285714285714285</v>
      </c>
      <c r="AS34" s="8">
        <f t="shared" si="268"/>
        <v>-0.12919633774160733</v>
      </c>
      <c r="AT34" s="8">
        <f t="shared" si="268"/>
        <v>0.82152974504249288</v>
      </c>
      <c r="AU34" s="8">
        <f t="shared" si="268"/>
        <v>-0.59000390472471687</v>
      </c>
      <c r="AV34" s="8">
        <f t="shared" si="268"/>
        <v>4.5478036175710591E-2</v>
      </c>
      <c r="AW34" s="8">
        <f t="shared" si="268"/>
        <v>0.68484848484848482</v>
      </c>
      <c r="AX34" s="8">
        <f t="shared" si="268"/>
        <v>0.16444444444444445</v>
      </c>
      <c r="AY34" s="8">
        <f t="shared" si="268"/>
        <v>0.16684592632428072</v>
      </c>
      <c r="AZ34" s="8">
        <f t="shared" si="268"/>
        <v>0.22237784669524349</v>
      </c>
      <c r="BA34" s="8">
        <f t="shared" si="268"/>
        <v>0.18</v>
      </c>
      <c r="BB34" s="8">
        <f t="shared" si="268"/>
        <v>0.18</v>
      </c>
      <c r="BC34" s="8">
        <f t="shared" si="268"/>
        <v>0.18</v>
      </c>
      <c r="BD34" s="8">
        <f t="shared" si="268"/>
        <v>0.18</v>
      </c>
      <c r="BE34" s="8">
        <f t="shared" si="268"/>
        <v>0.18000000000000002</v>
      </c>
      <c r="BF34" s="8">
        <f t="shared" ref="BF34:BJ34" si="269">BF19/BF18</f>
        <v>0.18000000000000002</v>
      </c>
      <c r="BG34" s="8">
        <f t="shared" si="269"/>
        <v>0.17999999999999997</v>
      </c>
      <c r="BH34" s="8">
        <f t="shared" si="269"/>
        <v>0.17999999999999997</v>
      </c>
      <c r="BI34" s="8">
        <f t="shared" si="269"/>
        <v>0.18000000000000002</v>
      </c>
      <c r="BJ34" s="8">
        <f t="shared" si="269"/>
        <v>0.18</v>
      </c>
      <c r="BL34" t="s">
        <v>47</v>
      </c>
      <c r="BM34" s="5">
        <f>BM32+BM33</f>
        <v>158863.05772935235</v>
      </c>
    </row>
    <row r="35" spans="2:65" x14ac:dyDescent="0.3">
      <c r="B35" t="s">
        <v>84</v>
      </c>
      <c r="C35" s="8">
        <f>C20/C5</f>
        <v>4.1718815185648727E-4</v>
      </c>
      <c r="D35" s="8">
        <f t="shared" ref="D35:AL35" si="270">D20/D5</f>
        <v>1.7850213426464881E-2</v>
      </c>
      <c r="E35" s="8">
        <f t="shared" si="270"/>
        <v>3.9614957423176604E-2</v>
      </c>
      <c r="F35" s="8">
        <f t="shared" si="270"/>
        <v>7.1902268760907509E-2</v>
      </c>
      <c r="G35" s="8">
        <f t="shared" si="270"/>
        <v>0.11443779108449767</v>
      </c>
      <c r="H35" s="8">
        <f t="shared" si="270"/>
        <v>9.1130752819262417E-2</v>
      </c>
      <c r="I35" s="8">
        <f t="shared" si="270"/>
        <v>3.0955188679245283E-2</v>
      </c>
      <c r="J35" s="8">
        <f t="shared" si="270"/>
        <v>0.10047182903136276</v>
      </c>
      <c r="K35" s="8">
        <f t="shared" si="270"/>
        <v>0.1048969761841049</v>
      </c>
      <c r="L35" s="8">
        <f t="shared" si="270"/>
        <v>2.276707530647986E-2</v>
      </c>
      <c r="M35" s="8">
        <f t="shared" si="270"/>
        <v>-2.415244848216264E-2</v>
      </c>
      <c r="N35" s="8">
        <f t="shared" si="270"/>
        <v>-5.1123479694908269E-2</v>
      </c>
      <c r="O35" s="8">
        <f t="shared" si="270"/>
        <v>2.0349434737923947E-2</v>
      </c>
      <c r="P35" s="8">
        <f t="shared" si="270"/>
        <v>0.50960978450786254</v>
      </c>
      <c r="Q35" s="8">
        <f t="shared" si="270"/>
        <v>0.20672633327182138</v>
      </c>
      <c r="R35" s="8">
        <f t="shared" si="270"/>
        <v>4.5899948427024238E-2</v>
      </c>
      <c r="S35" s="8">
        <f t="shared" si="270"/>
        <v>7.8651685393258425E-2</v>
      </c>
      <c r="T35" s="8">
        <f t="shared" si="270"/>
        <v>8.4384858044164041E-2</v>
      </c>
      <c r="U35" s="8">
        <f t="shared" si="270"/>
        <v>6.8191752877750256E-2</v>
      </c>
      <c r="V35" s="8">
        <f t="shared" si="270"/>
        <v>-3.8220038220038218E-3</v>
      </c>
      <c r="W35" s="8">
        <f t="shared" si="270"/>
        <v>3.778167588719471E-3</v>
      </c>
      <c r="X35" s="8">
        <f t="shared" si="270"/>
        <v>8.8082901554404139E-3</v>
      </c>
      <c r="Y35" s="8">
        <f t="shared" si="270"/>
        <v>2.6795967844838585E-2</v>
      </c>
      <c r="Z35" s="8">
        <f t="shared" si="270"/>
        <v>-1.1688931297709924E-2</v>
      </c>
      <c r="AA35" s="8">
        <f t="shared" si="270"/>
        <v>2.4129986661816417E-2</v>
      </c>
      <c r="AB35" s="8">
        <f t="shared" si="270"/>
        <v>0.14727420667209112</v>
      </c>
      <c r="AC35" s="8">
        <f t="shared" si="270"/>
        <v>0.14036697247706423</v>
      </c>
      <c r="AD35" s="8">
        <f t="shared" si="270"/>
        <v>0.15570151825131906</v>
      </c>
      <c r="AE35" s="8">
        <f t="shared" si="270"/>
        <v>0.16785284134457462</v>
      </c>
      <c r="AF35" s="8">
        <f t="shared" si="270"/>
        <v>0.15324396782841823</v>
      </c>
      <c r="AG35" s="8">
        <f t="shared" si="270"/>
        <v>0.16168996188055909</v>
      </c>
      <c r="AH35" s="8">
        <f t="shared" si="270"/>
        <v>0.17091964375062543</v>
      </c>
      <c r="AI35" s="8">
        <f t="shared" si="270"/>
        <v>0.15678095431885239</v>
      </c>
      <c r="AJ35" s="8">
        <f t="shared" si="270"/>
        <v>0.18434935521688159</v>
      </c>
      <c r="AK35" s="8">
        <f t="shared" si="270"/>
        <v>0.20333365825129154</v>
      </c>
      <c r="AL35" s="8">
        <f t="shared" si="270"/>
        <v>0.19614801407168952</v>
      </c>
      <c r="AR35" s="8">
        <f t="shared" ref="AR35:BJ35" si="271">AR20/AR5</f>
        <v>3.4155597722960153E-2</v>
      </c>
      <c r="AS35" s="8">
        <f t="shared" si="271"/>
        <v>8.3571751242282791E-2</v>
      </c>
      <c r="AT35" s="8">
        <f t="shared" si="271"/>
        <v>7.3692829570710027E-3</v>
      </c>
      <c r="AU35" s="8">
        <f t="shared" si="271"/>
        <v>0.19160549595332205</v>
      </c>
      <c r="AV35" s="8">
        <f t="shared" si="271"/>
        <v>6.9719160501283406E-2</v>
      </c>
      <c r="AW35" s="8">
        <f t="shared" si="271"/>
        <v>6.6343454963000764E-3</v>
      </c>
      <c r="AX35" s="8">
        <f t="shared" si="271"/>
        <v>0.11865622400091803</v>
      </c>
      <c r="AY35" s="8">
        <f t="shared" si="271"/>
        <v>0.16353080881382767</v>
      </c>
      <c r="AZ35" s="8">
        <f t="shared" si="271"/>
        <v>0.16135450701665732</v>
      </c>
      <c r="BA35" s="8">
        <f t="shared" si="271"/>
        <v>0.18083675159538459</v>
      </c>
      <c r="BB35" s="8">
        <f t="shared" si="271"/>
        <v>0.19149448989181173</v>
      </c>
      <c r="BC35" s="8">
        <f t="shared" si="271"/>
        <v>0.1925836382394284</v>
      </c>
      <c r="BD35" s="8">
        <f t="shared" si="271"/>
        <v>0.19442512185598429</v>
      </c>
      <c r="BE35" s="8">
        <f t="shared" si="271"/>
        <v>0.19605597857788404</v>
      </c>
      <c r="BF35" s="8">
        <f t="shared" si="271"/>
        <v>0.19714552763838616</v>
      </c>
      <c r="BG35" s="8">
        <f t="shared" si="271"/>
        <v>0.19818564010230694</v>
      </c>
      <c r="BH35" s="8">
        <f t="shared" si="271"/>
        <v>0.19920072420435125</v>
      </c>
      <c r="BI35" s="8">
        <f t="shared" si="271"/>
        <v>0.20020257233441494</v>
      </c>
      <c r="BJ35" s="8">
        <f t="shared" si="271"/>
        <v>0.20119680340502485</v>
      </c>
      <c r="BL35" t="s">
        <v>48</v>
      </c>
      <c r="BM35" s="11">
        <f>BM34/BE21</f>
        <v>167.57706511535059</v>
      </c>
    </row>
    <row r="36" spans="2:65" x14ac:dyDescent="0.3">
      <c r="BL36" t="s">
        <v>49</v>
      </c>
      <c r="BM36" s="11">
        <f>Main!D3</f>
        <v>213.02</v>
      </c>
    </row>
    <row r="37" spans="2:65" x14ac:dyDescent="0.3">
      <c r="BL37" s="1" t="s">
        <v>50</v>
      </c>
      <c r="BM37" s="10">
        <f>BM35/BM36-1</f>
        <v>-0.21332708142263368</v>
      </c>
    </row>
    <row r="38" spans="2:65" x14ac:dyDescent="0.3">
      <c r="BL38" t="s">
        <v>51</v>
      </c>
      <c r="BM38" s="6" t="s">
        <v>86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2020-10-18T08:07:57Z</dcterms:created>
  <dcterms:modified xsi:type="dcterms:W3CDTF">2026-01-30T11:46:49Z</dcterms:modified>
</cp:coreProperties>
</file>