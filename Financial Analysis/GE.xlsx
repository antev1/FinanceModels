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EEF30A8F-06BD-48C1-9DE6-354B518BD6A8}" xr6:coauthVersionLast="47" xr6:coauthVersionMax="47" xr10:uidLastSave="{00000000-0000-0000-0000-000000000000}"/>
  <bookViews>
    <workbookView xWindow="-108" yWindow="-108" windowWidth="23256" windowHeight="12576" activeTab="1" xr2:uid="{BC781BE9-3E96-4748-AFB4-8F94403DD9F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2" l="1"/>
  <c r="N5" i="2"/>
  <c r="N29" i="2"/>
  <c r="AK29" i="2"/>
  <c r="AJ29" i="2"/>
  <c r="AI29" i="2"/>
  <c r="AH29" i="2"/>
  <c r="AG29" i="2"/>
  <c r="AF29" i="2"/>
  <c r="AE29" i="2"/>
  <c r="AD29" i="2"/>
  <c r="AC29" i="2"/>
  <c r="AB29" i="2"/>
  <c r="AA29" i="2"/>
  <c r="O37" i="2"/>
  <c r="R29" i="2"/>
  <c r="Q29" i="2"/>
  <c r="P29" i="2"/>
  <c r="O29" i="2"/>
  <c r="D4" i="1"/>
  <c r="R43" i="2"/>
  <c r="Q43" i="2"/>
  <c r="P43" i="2"/>
  <c r="R42" i="2"/>
  <c r="Q42" i="2"/>
  <c r="P42" i="2"/>
  <c r="R41" i="2"/>
  <c r="Q41" i="2"/>
  <c r="P41" i="2"/>
  <c r="R40" i="2"/>
  <c r="Q40" i="2"/>
  <c r="P40" i="2"/>
  <c r="O40" i="2"/>
  <c r="R39" i="2"/>
  <c r="Q39" i="2"/>
  <c r="P39" i="2"/>
  <c r="O39" i="2"/>
  <c r="R38" i="2"/>
  <c r="Q38" i="2"/>
  <c r="P38" i="2"/>
  <c r="O38" i="2"/>
  <c r="R37" i="2"/>
  <c r="Q37" i="2"/>
  <c r="P37" i="2"/>
  <c r="R36" i="2"/>
  <c r="Q36" i="2"/>
  <c r="P36" i="2"/>
  <c r="O36" i="2"/>
  <c r="R35" i="2"/>
  <c r="Q35" i="2"/>
  <c r="P35" i="2"/>
  <c r="O35" i="2"/>
  <c r="R33" i="2"/>
  <c r="Q33" i="2"/>
  <c r="P33" i="2"/>
  <c r="O33" i="2"/>
  <c r="R32" i="2"/>
  <c r="Q32" i="2"/>
  <c r="P32" i="2"/>
  <c r="O32" i="2"/>
  <c r="N27" i="2"/>
  <c r="D7" i="1"/>
  <c r="D6" i="1"/>
  <c r="AN39" i="2"/>
  <c r="N40" i="2"/>
  <c r="N36" i="2"/>
  <c r="N35" i="2"/>
  <c r="Z33" i="2"/>
  <c r="Z32" i="2"/>
  <c r="Y33" i="2"/>
  <c r="Y32" i="2"/>
  <c r="L33" i="2"/>
  <c r="K33" i="2"/>
  <c r="L32" i="2"/>
  <c r="K32" i="2"/>
  <c r="M33" i="2"/>
  <c r="M32" i="2"/>
  <c r="N21" i="2"/>
  <c r="N13" i="2"/>
  <c r="AA24" i="2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A23" i="2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A20" i="2"/>
  <c r="AA19" i="2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A18" i="2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A17" i="2"/>
  <c r="AA39" i="2" s="1"/>
  <c r="AA16" i="2"/>
  <c r="AA15" i="2"/>
  <c r="AB15" i="2" s="1"/>
  <c r="AA12" i="2"/>
  <c r="AA11" i="2"/>
  <c r="AA9" i="2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Y39" i="2"/>
  <c r="Y38" i="2"/>
  <c r="Z39" i="2"/>
  <c r="Z38" i="2"/>
  <c r="Z36" i="2"/>
  <c r="Z35" i="2"/>
  <c r="Z40" i="2"/>
  <c r="Y40" i="2"/>
  <c r="Y36" i="2"/>
  <c r="Y35" i="2"/>
  <c r="X40" i="2"/>
  <c r="X36" i="2"/>
  <c r="X35" i="2"/>
  <c r="L40" i="2"/>
  <c r="K40" i="2"/>
  <c r="I40" i="2"/>
  <c r="H40" i="2"/>
  <c r="G40" i="2"/>
  <c r="M40" i="2"/>
  <c r="L39" i="2"/>
  <c r="K39" i="2"/>
  <c r="L38" i="2"/>
  <c r="K38" i="2"/>
  <c r="M39" i="2"/>
  <c r="M38" i="2"/>
  <c r="L36" i="2"/>
  <c r="K36" i="2"/>
  <c r="I36" i="2"/>
  <c r="H36" i="2"/>
  <c r="G36" i="2"/>
  <c r="L35" i="2"/>
  <c r="K35" i="2"/>
  <c r="I35" i="2"/>
  <c r="H35" i="2"/>
  <c r="G35" i="2"/>
  <c r="M36" i="2"/>
  <c r="M35" i="2"/>
  <c r="J26" i="2"/>
  <c r="J24" i="2"/>
  <c r="J23" i="2"/>
  <c r="J20" i="2"/>
  <c r="J19" i="2"/>
  <c r="J18" i="2"/>
  <c r="J17" i="2"/>
  <c r="N39" i="2" s="1"/>
  <c r="J16" i="2"/>
  <c r="J15" i="2"/>
  <c r="N38" i="2" s="1"/>
  <c r="J12" i="2"/>
  <c r="J11" i="2"/>
  <c r="J9" i="2"/>
  <c r="J8" i="2"/>
  <c r="N33" i="2" s="1"/>
  <c r="J7" i="2"/>
  <c r="N32" i="2" s="1"/>
  <c r="J29" i="2"/>
  <c r="X27" i="2"/>
  <c r="X18" i="2"/>
  <c r="X21" i="2" s="1"/>
  <c r="X29" i="2"/>
  <c r="X13" i="2"/>
  <c r="X10" i="2"/>
  <c r="Y27" i="2"/>
  <c r="Y29" i="2"/>
  <c r="Y21" i="2"/>
  <c r="Y13" i="2"/>
  <c r="Y10" i="2"/>
  <c r="Y34" i="2" s="1"/>
  <c r="Z27" i="2"/>
  <c r="Z29" i="2"/>
  <c r="Z21" i="2"/>
  <c r="Z13" i="2"/>
  <c r="Z10" i="2"/>
  <c r="G27" i="2"/>
  <c r="G29" i="2"/>
  <c r="G21" i="2"/>
  <c r="G13" i="2"/>
  <c r="G10" i="2"/>
  <c r="K27" i="2"/>
  <c r="K29" i="2"/>
  <c r="K21" i="2"/>
  <c r="K13" i="2"/>
  <c r="K10" i="2"/>
  <c r="O34" i="2" s="1"/>
  <c r="H27" i="2"/>
  <c r="H29" i="2"/>
  <c r="H21" i="2"/>
  <c r="H13" i="2"/>
  <c r="H10" i="2"/>
  <c r="L27" i="2"/>
  <c r="L29" i="2"/>
  <c r="L21" i="2"/>
  <c r="L13" i="2"/>
  <c r="L10" i="2"/>
  <c r="P34" i="2" s="1"/>
  <c r="I27" i="2"/>
  <c r="M27" i="2"/>
  <c r="M21" i="2"/>
  <c r="I21" i="2"/>
  <c r="I29" i="2"/>
  <c r="I13" i="2"/>
  <c r="I10" i="2"/>
  <c r="M29" i="2"/>
  <c r="M10" i="2"/>
  <c r="Q34" i="2" s="1"/>
  <c r="M13" i="2"/>
  <c r="D8" i="1"/>
  <c r="AN36" i="2" s="1"/>
  <c r="D5" i="1"/>
  <c r="F3" i="1"/>
  <c r="Z34" i="2" l="1"/>
  <c r="K34" i="2"/>
  <c r="L34" i="2"/>
  <c r="AA27" i="2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B17" i="2"/>
  <c r="AC17" i="2" s="1"/>
  <c r="M34" i="2"/>
  <c r="J40" i="2"/>
  <c r="AC15" i="2"/>
  <c r="AD15" i="2" s="1"/>
  <c r="AD38" i="2" s="1"/>
  <c r="D9" i="1"/>
  <c r="AB38" i="2"/>
  <c r="AB40" i="2"/>
  <c r="J10" i="2"/>
  <c r="J13" i="2"/>
  <c r="AA38" i="2"/>
  <c r="AA7" i="2"/>
  <c r="AB7" i="2" s="1"/>
  <c r="J36" i="2"/>
  <c r="AA13" i="2"/>
  <c r="AA8" i="2"/>
  <c r="AB8" i="2" s="1"/>
  <c r="AA21" i="2"/>
  <c r="AA40" i="2"/>
  <c r="J35" i="2"/>
  <c r="J27" i="2"/>
  <c r="K14" i="2"/>
  <c r="K37" i="2" s="1"/>
  <c r="M14" i="2"/>
  <c r="J21" i="2"/>
  <c r="Z14" i="2"/>
  <c r="X14" i="2"/>
  <c r="Y14" i="2"/>
  <c r="G14" i="2"/>
  <c r="H14" i="2"/>
  <c r="L14" i="2"/>
  <c r="I14" i="2"/>
  <c r="AA48" i="2" l="1"/>
  <c r="AA47" i="2"/>
  <c r="N47" i="2"/>
  <c r="N48" i="2"/>
  <c r="J14" i="2"/>
  <c r="J37" i="2" s="1"/>
  <c r="AC8" i="2"/>
  <c r="AD8" i="2" s="1"/>
  <c r="AB12" i="2"/>
  <c r="AC7" i="2"/>
  <c r="AB11" i="2"/>
  <c r="O41" i="2"/>
  <c r="AE15" i="2"/>
  <c r="AF15" i="2" s="1"/>
  <c r="AC38" i="2"/>
  <c r="AD17" i="2"/>
  <c r="AE17" i="2" s="1"/>
  <c r="AF17" i="2" s="1"/>
  <c r="AG17" i="2" s="1"/>
  <c r="AH17" i="2" s="1"/>
  <c r="AI17" i="2" s="1"/>
  <c r="AJ17" i="2" s="1"/>
  <c r="AK17" i="2" s="1"/>
  <c r="AC39" i="2"/>
  <c r="AB21" i="2"/>
  <c r="AB39" i="2"/>
  <c r="AC21" i="2"/>
  <c r="AC40" i="2"/>
  <c r="AA36" i="2"/>
  <c r="AA33" i="2"/>
  <c r="AA32" i="2"/>
  <c r="N10" i="2"/>
  <c r="R34" i="2" s="1"/>
  <c r="AA35" i="2"/>
  <c r="AA10" i="2"/>
  <c r="K22" i="2"/>
  <c r="K25" i="2" s="1"/>
  <c r="X22" i="2"/>
  <c r="X37" i="2"/>
  <c r="I22" i="2"/>
  <c r="I37" i="2"/>
  <c r="H22" i="2"/>
  <c r="H37" i="2"/>
  <c r="G22" i="2"/>
  <c r="G37" i="2"/>
  <c r="Z22" i="2"/>
  <c r="Z37" i="2"/>
  <c r="L22" i="2"/>
  <c r="L37" i="2"/>
  <c r="Y22" i="2"/>
  <c r="Y37" i="2"/>
  <c r="M22" i="2"/>
  <c r="M37" i="2"/>
  <c r="J22" i="2" l="1"/>
  <c r="J25" i="2" s="1"/>
  <c r="AD7" i="2"/>
  <c r="AC11" i="2"/>
  <c r="AD39" i="2"/>
  <c r="O42" i="2"/>
  <c r="O43" i="2"/>
  <c r="AE38" i="2"/>
  <c r="AD21" i="2"/>
  <c r="AD40" i="2"/>
  <c r="AB33" i="2"/>
  <c r="AC12" i="2"/>
  <c r="AB36" i="2"/>
  <c r="AA14" i="2"/>
  <c r="AA37" i="2" s="1"/>
  <c r="AA34" i="2"/>
  <c r="AB10" i="2"/>
  <c r="AB34" i="2" s="1"/>
  <c r="AB35" i="2"/>
  <c r="AB32" i="2"/>
  <c r="N14" i="2"/>
  <c r="N22" i="2" s="1"/>
  <c r="N25" i="2" s="1"/>
  <c r="AA26" i="2" s="1"/>
  <c r="N34" i="2"/>
  <c r="AE39" i="2"/>
  <c r="AG15" i="2"/>
  <c r="AF38" i="2"/>
  <c r="K41" i="2"/>
  <c r="G25" i="2"/>
  <c r="G41" i="2"/>
  <c r="L25" i="2"/>
  <c r="L41" i="2"/>
  <c r="X25" i="2"/>
  <c r="X41" i="2"/>
  <c r="Y25" i="2"/>
  <c r="Y41" i="2"/>
  <c r="I25" i="2"/>
  <c r="I41" i="2"/>
  <c r="M25" i="2"/>
  <c r="M41" i="2"/>
  <c r="K28" i="2"/>
  <c r="K42" i="2"/>
  <c r="H25" i="2"/>
  <c r="H41" i="2"/>
  <c r="Z25" i="2"/>
  <c r="Z41" i="2"/>
  <c r="J41" i="2" l="1"/>
  <c r="AE7" i="2"/>
  <c r="AD11" i="2"/>
  <c r="AC33" i="2"/>
  <c r="N37" i="2"/>
  <c r="AA22" i="2"/>
  <c r="AA41" i="2" s="1"/>
  <c r="AE21" i="2"/>
  <c r="AE40" i="2"/>
  <c r="AD12" i="2"/>
  <c r="AC36" i="2"/>
  <c r="AB13" i="2"/>
  <c r="AB14" i="2" s="1"/>
  <c r="AB37" i="2" s="1"/>
  <c r="AC10" i="2"/>
  <c r="AC13" i="2"/>
  <c r="AC35" i="2"/>
  <c r="AC32" i="2"/>
  <c r="AF39" i="2"/>
  <c r="AH15" i="2"/>
  <c r="AG38" i="2"/>
  <c r="N41" i="2"/>
  <c r="N28" i="2"/>
  <c r="N42" i="2"/>
  <c r="AA25" i="2"/>
  <c r="AA42" i="2" s="1"/>
  <c r="J28" i="2"/>
  <c r="J42" i="2"/>
  <c r="Y28" i="2"/>
  <c r="Y42" i="2"/>
  <c r="X28" i="2"/>
  <c r="X42" i="2"/>
  <c r="G28" i="2"/>
  <c r="G42" i="2"/>
  <c r="H28" i="2"/>
  <c r="H42" i="2"/>
  <c r="Z28" i="2"/>
  <c r="Z42" i="2"/>
  <c r="M28" i="2"/>
  <c r="M42" i="2"/>
  <c r="L28" i="2"/>
  <c r="L42" i="2"/>
  <c r="I28" i="2"/>
  <c r="I42" i="2"/>
  <c r="K30" i="2"/>
  <c r="K43" i="2"/>
  <c r="AF7" i="2" l="1"/>
  <c r="AE11" i="2"/>
  <c r="AF21" i="2"/>
  <c r="AF40" i="2"/>
  <c r="AB22" i="2"/>
  <c r="AB41" i="2" s="1"/>
  <c r="AE8" i="2"/>
  <c r="AE12" i="2" s="1"/>
  <c r="AD36" i="2"/>
  <c r="AD33" i="2"/>
  <c r="AD13" i="2"/>
  <c r="AD10" i="2"/>
  <c r="AD32" i="2"/>
  <c r="AC34" i="2"/>
  <c r="AC14" i="2"/>
  <c r="AG39" i="2"/>
  <c r="AI15" i="2"/>
  <c r="AH38" i="2"/>
  <c r="AA28" i="2"/>
  <c r="N30" i="2"/>
  <c r="N43" i="2"/>
  <c r="H30" i="2"/>
  <c r="H43" i="2"/>
  <c r="L30" i="2"/>
  <c r="L43" i="2"/>
  <c r="M30" i="2"/>
  <c r="M43" i="2"/>
  <c r="I30" i="2"/>
  <c r="I43" i="2"/>
  <c r="X30" i="2"/>
  <c r="X43" i="2"/>
  <c r="Y30" i="2"/>
  <c r="Y43" i="2"/>
  <c r="J30" i="2"/>
  <c r="J43" i="2"/>
  <c r="G30" i="2"/>
  <c r="G43" i="2"/>
  <c r="Z30" i="2"/>
  <c r="Z43" i="2"/>
  <c r="AG7" i="2" l="1"/>
  <c r="AF11" i="2"/>
  <c r="AB25" i="2"/>
  <c r="AB26" i="2" s="1"/>
  <c r="AB42" i="2" s="1"/>
  <c r="AD35" i="2"/>
  <c r="AG21" i="2"/>
  <c r="AG40" i="2"/>
  <c r="AE36" i="2"/>
  <c r="AF8" i="2"/>
  <c r="AF12" i="2" s="1"/>
  <c r="AE33" i="2"/>
  <c r="AA43" i="2"/>
  <c r="AE10" i="2"/>
  <c r="AE32" i="2"/>
  <c r="AE35" i="2"/>
  <c r="AD14" i="2"/>
  <c r="AD34" i="2"/>
  <c r="AC37" i="2"/>
  <c r="AC22" i="2"/>
  <c r="AH39" i="2"/>
  <c r="AJ15" i="2"/>
  <c r="AI38" i="2"/>
  <c r="AA30" i="2"/>
  <c r="AH7" i="2" l="1"/>
  <c r="AH11" i="2" s="1"/>
  <c r="AG11" i="2"/>
  <c r="AB28" i="2"/>
  <c r="AB43" i="2" s="1"/>
  <c r="AH21" i="2"/>
  <c r="AH40" i="2"/>
  <c r="AE13" i="2"/>
  <c r="AE14" i="2" s="1"/>
  <c r="AG8" i="2"/>
  <c r="AG12" i="2" s="1"/>
  <c r="AF33" i="2"/>
  <c r="AF36" i="2"/>
  <c r="AD37" i="2"/>
  <c r="AD22" i="2"/>
  <c r="AE34" i="2"/>
  <c r="AF13" i="2"/>
  <c r="AF10" i="2"/>
  <c r="AF34" i="2" s="1"/>
  <c r="AF35" i="2"/>
  <c r="AF32" i="2"/>
  <c r="AC25" i="2"/>
  <c r="AC26" i="2" s="1"/>
  <c r="AC41" i="2"/>
  <c r="AI39" i="2"/>
  <c r="AK15" i="2"/>
  <c r="AK38" i="2" s="1"/>
  <c r="AJ38" i="2"/>
  <c r="AB30" i="2" l="1"/>
  <c r="AI21" i="2"/>
  <c r="AI40" i="2"/>
  <c r="AH8" i="2"/>
  <c r="AH12" i="2" s="1"/>
  <c r="AG33" i="2"/>
  <c r="AG36" i="2"/>
  <c r="AC42" i="2"/>
  <c r="AD41" i="2"/>
  <c r="AD25" i="2"/>
  <c r="AD26" i="2" s="1"/>
  <c r="AE37" i="2"/>
  <c r="AE22" i="2"/>
  <c r="AF14" i="2"/>
  <c r="AG10" i="2"/>
  <c r="AG34" i="2" s="1"/>
  <c r="AG13" i="2"/>
  <c r="AG32" i="2"/>
  <c r="AJ39" i="2"/>
  <c r="AK39" i="2"/>
  <c r="AG14" i="2" l="1"/>
  <c r="AG35" i="2"/>
  <c r="AC28" i="2"/>
  <c r="AJ21" i="2"/>
  <c r="AJ40" i="2"/>
  <c r="AI8" i="2"/>
  <c r="AI12" i="2" s="1"/>
  <c r="AH36" i="2"/>
  <c r="AH33" i="2"/>
  <c r="AE25" i="2"/>
  <c r="AE26" i="2" s="1"/>
  <c r="AE41" i="2"/>
  <c r="AD42" i="2"/>
  <c r="AI7" i="2"/>
  <c r="AI11" i="2" s="1"/>
  <c r="AH10" i="2"/>
  <c r="AH13" i="2"/>
  <c r="AH32" i="2"/>
  <c r="AG37" i="2"/>
  <c r="AG22" i="2"/>
  <c r="AF22" i="2"/>
  <c r="AF37" i="2"/>
  <c r="AH35" i="2" l="1"/>
  <c r="AC43" i="2"/>
  <c r="AC30" i="2"/>
  <c r="AD28" i="2"/>
  <c r="AK21" i="2"/>
  <c r="AK40" i="2"/>
  <c r="AJ8" i="2"/>
  <c r="AJ12" i="2" s="1"/>
  <c r="AI36" i="2"/>
  <c r="AI33" i="2"/>
  <c r="AF25" i="2"/>
  <c r="AF26" i="2" s="1"/>
  <c r="AF41" i="2"/>
  <c r="AH34" i="2"/>
  <c r="AH14" i="2"/>
  <c r="AG25" i="2"/>
  <c r="AG26" i="2" s="1"/>
  <c r="AG41" i="2"/>
  <c r="AI10" i="2"/>
  <c r="AI34" i="2" s="1"/>
  <c r="AI13" i="2"/>
  <c r="AJ7" i="2"/>
  <c r="AJ11" i="2" s="1"/>
  <c r="AI32" i="2"/>
  <c r="AE42" i="2"/>
  <c r="AI14" i="2" l="1"/>
  <c r="AI22" i="2" s="1"/>
  <c r="AI35" i="2"/>
  <c r="AD30" i="2"/>
  <c r="AD43" i="2"/>
  <c r="AK8" i="2"/>
  <c r="AK12" i="2" s="1"/>
  <c r="AJ36" i="2"/>
  <c r="AJ33" i="2"/>
  <c r="AG42" i="2"/>
  <c r="AH37" i="2"/>
  <c r="AH22" i="2"/>
  <c r="AE28" i="2"/>
  <c r="AJ10" i="2"/>
  <c r="AJ34" i="2" s="1"/>
  <c r="AJ13" i="2"/>
  <c r="AK7" i="2"/>
  <c r="AK11" i="2" s="1"/>
  <c r="AJ32" i="2"/>
  <c r="AF42" i="2"/>
  <c r="AI37" i="2" l="1"/>
  <c r="AJ14" i="2"/>
  <c r="AJ22" i="2" s="1"/>
  <c r="AK33" i="2"/>
  <c r="AK36" i="2"/>
  <c r="AH25" i="2"/>
  <c r="AH26" i="2" s="1"/>
  <c r="AH41" i="2"/>
  <c r="AE43" i="2"/>
  <c r="AE30" i="2"/>
  <c r="AF28" i="2"/>
  <c r="AJ35" i="2"/>
  <c r="AI25" i="2"/>
  <c r="AI26" i="2" s="1"/>
  <c r="AI41" i="2"/>
  <c r="AK10" i="2"/>
  <c r="AK13" i="2"/>
  <c r="AK35" i="2"/>
  <c r="AK32" i="2"/>
  <c r="AG28" i="2"/>
  <c r="AJ37" i="2" l="1"/>
  <c r="AF30" i="2"/>
  <c r="AF43" i="2"/>
  <c r="AG30" i="2"/>
  <c r="AG43" i="2"/>
  <c r="AH42" i="2"/>
  <c r="AK14" i="2"/>
  <c r="AK34" i="2"/>
  <c r="AI42" i="2"/>
  <c r="AJ25" i="2"/>
  <c r="AJ26" i="2" s="1"/>
  <c r="AJ41" i="2"/>
  <c r="AH28" i="2" l="1"/>
  <c r="AH43" i="2" s="1"/>
  <c r="AI28" i="2"/>
  <c r="AI30" i="2" s="1"/>
  <c r="AK37" i="2"/>
  <c r="AK22" i="2"/>
  <c r="AJ42" i="2"/>
  <c r="AI43" i="2" l="1"/>
  <c r="AH30" i="2"/>
  <c r="AK25" i="2"/>
  <c r="AK26" i="2" s="1"/>
  <c r="AK41" i="2"/>
  <c r="AJ28" i="2"/>
  <c r="AJ30" i="2" l="1"/>
  <c r="AJ43" i="2"/>
  <c r="AK42" i="2"/>
  <c r="AK28" i="2" l="1"/>
  <c r="AK30" i="2" l="1"/>
  <c r="AL28" i="2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EK28" i="2" s="1"/>
  <c r="AN35" i="2" s="1"/>
  <c r="AN37" i="2" s="1"/>
  <c r="AN38" i="2" s="1"/>
  <c r="AN40" i="2" s="1"/>
  <c r="AK43" i="2"/>
</calcChain>
</file>

<file path=xl/sharedStrings.xml><?xml version="1.0" encoding="utf-8"?>
<sst xmlns="http://schemas.openxmlformats.org/spreadsheetml/2006/main" count="82" uniqueCount="74">
  <si>
    <t>GE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</si>
  <si>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</si>
  <si>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</si>
  <si>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</si>
  <si>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</si>
  <si>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</si>
  <si>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</si>
  <si>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</si>
  <si>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</si>
  <si>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</si>
  <si>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</si>
  <si>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Q325</t>
  </si>
  <si>
    <t>Revenue</t>
  </si>
  <si>
    <t>Cost of sales</t>
  </si>
  <si>
    <t>Gross profit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</si>
  <si>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</si>
  <si>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</si>
  <si>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</si>
  <si>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</si>
  <si>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</si>
  <si>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</si>
  <si>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</si>
  <si>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</si>
  <si>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</si>
  <si>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</si>
  <si>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Q425</t>
  </si>
  <si>
    <t>Equipment</t>
  </si>
  <si>
    <t>Services</t>
  </si>
  <si>
    <t>Insurance</t>
  </si>
  <si>
    <t>SG&amp;A</t>
  </si>
  <si>
    <t>Restructuring</t>
  </si>
  <si>
    <t>R&amp;D</t>
  </si>
  <si>
    <t>Total opex</t>
  </si>
  <si>
    <t>Impairment</t>
  </si>
  <si>
    <t>Operating profit</t>
  </si>
  <si>
    <t>Other expense</t>
  </si>
  <si>
    <t>Other income</t>
  </si>
  <si>
    <t>Pretax profit</t>
  </si>
  <si>
    <t>Taxes</t>
  </si>
  <si>
    <t>MI</t>
  </si>
  <si>
    <t>Net profit</t>
  </si>
  <si>
    <t>EPS</t>
  </si>
  <si>
    <t>Gross Margin</t>
  </si>
  <si>
    <t>Insurance Margin</t>
  </si>
  <si>
    <t>SG&amp;A y/y</t>
  </si>
  <si>
    <t>R&amp;D y/y</t>
  </si>
  <si>
    <t>Finance expense</t>
  </si>
  <si>
    <t>Revenue y/y</t>
  </si>
  <si>
    <t>Operating Margin</t>
  </si>
  <si>
    <t>Net Margin</t>
  </si>
  <si>
    <t>Equipment Margin</t>
  </si>
  <si>
    <t>Services Margin</t>
  </si>
  <si>
    <t>Q126</t>
  </si>
  <si>
    <t>Q226</t>
  </si>
  <si>
    <t>Q326</t>
  </si>
  <si>
    <t>Q426</t>
  </si>
  <si>
    <t>Equipment y/y</t>
  </si>
  <si>
    <t>Services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</si>
  <si>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</si>
  <si>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</si>
  <si>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</si>
  <si>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</si>
  <si>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</si>
  <si>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</si>
  <si>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</si>
  <si>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</si>
  <si>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</si>
  <si>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Commercial (CES)</t>
  </si>
  <si>
    <t>Defense (DPT)</t>
  </si>
  <si>
    <t>Total revenue</t>
  </si>
  <si>
    <t>L+S/E</t>
  </si>
  <si>
    <t>EV/B</t>
  </si>
  <si>
    <t>B/EV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</si>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</sst>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3" fontId="5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</xdr:colOff>
      <xdr:row>0</xdr:row>
      <xdr:rowOff>7620</xdr:rowOff>
    </xdr:from>
    <xdr:to>
      <xdr:col>14</xdr:col>
      <xdr:colOff>30480</xdr:colOff>
      <xdr:row>56</xdr:row>
      <xdr:rowOff>167640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F17DCD-8F0F-321B-50A4-AF91F098CB8A}"/>
            </a:ext>
          </a:extLst>
        </xdr:cNvPr>
        <xdr:cNvCxnSpPr/>
      </xdr:nvCxnSpPr>
      <xdr:spPr>
        <a:xfrm>
          <a:off x="9044940" y="7620"/>
          <a:ext cx="0" cy="9669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0</xdr:row>
      <xdr:rowOff>7620</xdr:rowOff>
    </xdr:from>
    <xdr:to>
      <xdr:col>27</xdr:col>
      <xdr:colOff>30480</xdr:colOff>
      <xdr:row>54</xdr:row>
      <xdr:rowOff>106680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117271A-59B9-0672-9012-207DE781F985}"/>
            </a:ext>
          </a:extLst>
        </xdr:cNvPr>
        <xdr:cNvCxnSpPr/>
      </xdr:nvCxnSpPr>
      <xdr:spPr>
        <a:xfrm>
          <a:off x="16969740" y="7620"/>
          <a:ext cx="0" cy="9974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F774-6D98-4CE6-8EE1-5936DC1672E7}">
  <dimension ref="B2:G9"/>
  <sheetViews>
    <sheetView workbookViewId="0">
      <selection activeCell="F3" sqref="F3"/>
    </sheetView>
  </sheetViews>
  <sheetFormatPr defaultRowHeight="14.4" x14ac:dyDescent="0.3"/>
  <cols>
    <col min="1" max="4" width="8.88671875" style="1"/>
    <col min="5" max="5" width="11.88671875" style="4" bestFit="1" customWidth="1"/>
    <col min="6" max="7" width="11.21875" style="4" bestFit="1" customWidth="1"/>
    <col min="8" max="16384" width="8.88671875" style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2" t="s">
        <v>0</v>
      </c>
      <c r="C3" s="1" t="s">
        <v>1</v>
      </c>
      <c r="D3" s="7">
        <v>329.58</v>
      </c>
      <c r="E3" s="5">
        <v>46072</v>
      </c>
      <c r="F3" s="5">
        <f ca="1">TODAY()</f>
        <v>46072</v>
      </c>
      <c r="G3" s="5">
        <v>46140</v>
      </c>
    </row>
    <row r="4" spans="2:7" x14ac:dyDescent="0.3">
      <c r="C4" s="1" t="s">
        <v>2</v>
      </c>
      <c r="D4" s="6">
        <f>1048.8</f>
        <v>1048.8</v>
      </c>
      <c r="E4" s="4" t="s">
        <v>25</v>
      </c>
    </row>
    <row r="5" spans="2:7" x14ac:dyDescent="0.3">
      <c r="C5" s="1" t="s">
        <v>3</v>
      </c>
      <c r="D5" s="6">
        <f>D3*D4</f>
        <v>345663.50399999996</v>
      </c>
    </row>
    <row r="6" spans="2:7" x14ac:dyDescent="0.3">
      <c r="C6" s="1" t="s">
        <v>4</v>
      </c>
      <c r="D6" s="6">
        <f>12392+38788</f>
        <v>51180</v>
      </c>
      <c r="E6" s="4" t="s">
        <v>25</v>
      </c>
    </row>
    <row r="7" spans="2:7" x14ac:dyDescent="0.3">
      <c r="C7" s="1" t="s">
        <v>5</v>
      </c>
      <c r="D7" s="6">
        <f>1686+18808</f>
        <v>20494</v>
      </c>
      <c r="E7" s="4" t="s">
        <v>25</v>
      </c>
    </row>
    <row r="8" spans="2:7" x14ac:dyDescent="0.3">
      <c r="C8" s="1" t="s">
        <v>6</v>
      </c>
      <c r="D8" s="6">
        <f>D6-D7</f>
        <v>30686</v>
      </c>
    </row>
    <row r="9" spans="2:7" x14ac:dyDescent="0.3">
      <c r="C9" s="1" t="s">
        <v>7</v>
      </c>
      <c r="D9" s="6">
        <f>D5-D8</f>
        <v>314977.50399999996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80E7-442C-4A1D-A64D-57D2374D09BA}">
  <dimension ref="B2:EK48"/>
  <sheetViews>
    <sheetView tabSelected="1" workbookViewId="0">
      <pane xSplit="2" ySplit="2" topLeftCell="AA18" activePane="bottomRight" state="frozen"/>
      <selection pane="topRight" activeCell="C1" sqref="C1"/>
      <selection pane="bottomLeft" activeCell="A3" sqref="A3"/>
      <selection pane="bottomRight" activeCell="AN42" sqref="AN42"/>
    </sheetView>
  </sheetViews>
  <sheetFormatPr defaultRowHeight="14.4" x14ac:dyDescent="0.3"/>
  <cols>
    <col min="1" max="1" width="8.88671875" style="1"/>
    <col min="2" max="2" width="15.88671875" style="1" bestFit="1" customWidth="1"/>
    <col min="3" max="38" width="8.88671875" style="1"/>
    <col min="39" max="39" width="11.88671875" style="1" bestFit="1" customWidth="1"/>
    <col min="40" max="40" width="16.21875" style="1" bestFit="1" customWidth="1"/>
    <col min="41" max="16384" width="8.88671875" style="1"/>
  </cols>
  <sheetData>
    <row r="2" spans="2:37" x14ac:dyDescent="0.3"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11</v>
      </c>
      <c r="N2" s="3" t="s">
        <v>25</v>
      </c>
      <c r="O2" s="3" t="s">
        <v>52</v>
      </c>
      <c r="P2" s="3" t="s">
        <v>53</v>
      </c>
      <c r="Q2" s="3" t="s">
        <v>54</v>
      </c>
      <c r="R2" s="3" t="s">
        <v>55</v>
      </c>
      <c r="U2" s="1">
        <v>2019</v>
      </c>
      <c r="V2" s="1">
        <v>2020</v>
      </c>
      <c r="W2" s="1">
        <v>2021</v>
      </c>
      <c r="X2" s="1">
        <v>2022</v>
      </c>
      <c r="Y2" s="1">
        <v>2023</v>
      </c>
      <c r="Z2" s="1">
        <v>2024</v>
      </c>
      <c r="AA2" s="1">
        <v>2025</v>
      </c>
      <c r="AB2" s="1">
        <v>2026</v>
      </c>
      <c r="AC2" s="1">
        <v>2027</v>
      </c>
      <c r="AD2" s="1">
        <v>2028</v>
      </c>
      <c r="AE2" s="1">
        <v>2029</v>
      </c>
      <c r="AF2" s="1">
        <v>2030</v>
      </c>
      <c r="AG2" s="1">
        <v>2031</v>
      </c>
      <c r="AH2" s="1">
        <v>2032</v>
      </c>
      <c r="AI2" s="1">
        <v>2033</v>
      </c>
      <c r="AJ2" s="1">
        <v>2034</v>
      </c>
      <c r="AK2" s="1">
        <v>2035</v>
      </c>
    </row>
    <row r="3" spans="2:37" x14ac:dyDescent="0.3">
      <c r="B3" s="1" t="s">
        <v>67</v>
      </c>
      <c r="C3" s="3"/>
      <c r="D3" s="3"/>
      <c r="E3" s="3"/>
      <c r="F3" s="3"/>
      <c r="G3" s="3"/>
      <c r="H3" s="3"/>
      <c r="I3" s="3"/>
      <c r="J3" s="9">
        <v>7650</v>
      </c>
      <c r="K3" s="3"/>
      <c r="L3" s="3"/>
      <c r="M3" s="3"/>
      <c r="N3" s="9">
        <v>9468</v>
      </c>
      <c r="O3" s="3"/>
      <c r="P3" s="3"/>
      <c r="Q3" s="3"/>
      <c r="R3" s="3"/>
    </row>
    <row r="4" spans="2:37" x14ac:dyDescent="0.3">
      <c r="B4" s="1" t="s">
        <v>68</v>
      </c>
      <c r="C4" s="3"/>
      <c r="D4" s="3"/>
      <c r="E4" s="3"/>
      <c r="F4" s="3"/>
      <c r="G4" s="3"/>
      <c r="H4" s="3"/>
      <c r="I4" s="3"/>
      <c r="J4" s="9">
        <v>2523</v>
      </c>
      <c r="K4" s="3"/>
      <c r="L4" s="3"/>
      <c r="M4" s="3"/>
      <c r="N4" s="9">
        <v>2839</v>
      </c>
      <c r="O4" s="3"/>
      <c r="P4" s="3"/>
      <c r="Q4" s="3"/>
      <c r="R4" s="3"/>
    </row>
    <row r="5" spans="2:37" s="2" customFormat="1" x14ac:dyDescent="0.3">
      <c r="B5" s="2" t="s">
        <v>69</v>
      </c>
      <c r="C5" s="13"/>
      <c r="D5" s="13"/>
      <c r="E5" s="13"/>
      <c r="F5" s="13"/>
      <c r="G5" s="13"/>
      <c r="H5" s="13"/>
      <c r="I5" s="13"/>
      <c r="J5" s="14">
        <f>SUM(J3:J4)</f>
        <v>10173</v>
      </c>
      <c r="K5" s="13"/>
      <c r="L5" s="13"/>
      <c r="M5" s="13"/>
      <c r="N5" s="14">
        <f>SUM(N3:N4)</f>
        <v>12307</v>
      </c>
      <c r="O5" s="13"/>
      <c r="P5" s="13"/>
      <c r="Q5" s="13"/>
      <c r="R5" s="13"/>
    </row>
    <row r="6" spans="2:37" x14ac:dyDescent="0.3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9"/>
      <c r="O6" s="3"/>
      <c r="P6" s="3"/>
      <c r="Q6" s="3"/>
      <c r="R6" s="3"/>
    </row>
    <row r="7" spans="2:37" x14ac:dyDescent="0.3">
      <c r="B7" s="1" t="s">
        <v>26</v>
      </c>
      <c r="C7" s="3"/>
      <c r="D7" s="3"/>
      <c r="E7" s="3"/>
      <c r="F7" s="3"/>
      <c r="G7" s="9">
        <v>2421</v>
      </c>
      <c r="H7" s="9">
        <v>2175</v>
      </c>
      <c r="I7" s="9">
        <v>2448</v>
      </c>
      <c r="J7" s="9">
        <f>Z7-I7-H7-G7</f>
        <v>3230</v>
      </c>
      <c r="K7" s="9">
        <v>2653</v>
      </c>
      <c r="L7" s="9">
        <v>2842</v>
      </c>
      <c r="M7" s="9">
        <v>3163</v>
      </c>
      <c r="N7" s="9">
        <v>3500</v>
      </c>
      <c r="O7" s="3"/>
      <c r="P7" s="3"/>
      <c r="Q7" s="3"/>
      <c r="R7" s="3"/>
      <c r="X7" s="9">
        <v>7837</v>
      </c>
      <c r="Y7" s="9">
        <v>9318</v>
      </c>
      <c r="Z7" s="9">
        <v>10274</v>
      </c>
      <c r="AA7" s="9">
        <f>SUM(K7:N7)</f>
        <v>12158</v>
      </c>
      <c r="AB7" s="6">
        <f>AA7*1.14</f>
        <v>13860.119999999999</v>
      </c>
      <c r="AC7" s="6">
        <f>AB7*1.11</f>
        <v>15384.733200000001</v>
      </c>
      <c r="AD7" s="6">
        <f>AC7*1.08</f>
        <v>16615.511856000001</v>
      </c>
      <c r="AE7" s="6">
        <f>AD7*1.05</f>
        <v>17446.287448800002</v>
      </c>
      <c r="AF7" s="6">
        <f>AE7*1.04</f>
        <v>18144.138946752002</v>
      </c>
      <c r="AG7" s="6">
        <f>AF7*1.03</f>
        <v>18688.463115154562</v>
      </c>
      <c r="AH7" s="6">
        <f>AG7*1.02</f>
        <v>19062.232377457654</v>
      </c>
      <c r="AI7" s="6">
        <f>AH7*1.02</f>
        <v>19443.477025006807</v>
      </c>
      <c r="AJ7" s="6">
        <f t="shared" ref="AJ7:AK7" si="0">AI7*1.02</f>
        <v>19832.346565506945</v>
      </c>
      <c r="AK7" s="6">
        <f t="shared" si="0"/>
        <v>20228.993496817086</v>
      </c>
    </row>
    <row r="8" spans="2:37" x14ac:dyDescent="0.3">
      <c r="B8" s="1" t="s">
        <v>27</v>
      </c>
      <c r="C8" s="3"/>
      <c r="D8" s="3"/>
      <c r="E8" s="3"/>
      <c r="F8" s="3"/>
      <c r="G8" s="9">
        <v>5655</v>
      </c>
      <c r="H8" s="9">
        <v>6047</v>
      </c>
      <c r="I8" s="9">
        <v>6495</v>
      </c>
      <c r="J8" s="9">
        <f t="shared" ref="J8:J9" si="1">Z8-I8-H8-G8</f>
        <v>6650</v>
      </c>
      <c r="K8" s="9">
        <v>6347</v>
      </c>
      <c r="L8" s="9">
        <v>7308</v>
      </c>
      <c r="M8" s="9">
        <v>8143</v>
      </c>
      <c r="N8" s="9">
        <v>8365</v>
      </c>
      <c r="O8" s="3"/>
      <c r="P8" s="3"/>
      <c r="Q8" s="3"/>
      <c r="R8" s="3"/>
      <c r="X8" s="9">
        <v>18345</v>
      </c>
      <c r="Y8" s="9">
        <v>22641</v>
      </c>
      <c r="Z8" s="9">
        <v>24847</v>
      </c>
      <c r="AA8" s="9">
        <f t="shared" ref="AA8:AA9" si="2">SUM(K8:N8)</f>
        <v>30163</v>
      </c>
      <c r="AB8" s="6">
        <f>AA8*1.15</f>
        <v>34687.449999999997</v>
      </c>
      <c r="AC8" s="6">
        <f>AB8*1.13</f>
        <v>39196.818499999994</v>
      </c>
      <c r="AD8" s="6">
        <f>AC8*1.09</f>
        <v>42724.532164999997</v>
      </c>
      <c r="AE8" s="6">
        <f>AD8*1.07</f>
        <v>45715.249416550003</v>
      </c>
      <c r="AF8" s="6">
        <f>AE8*1.04</f>
        <v>47543.859393212006</v>
      </c>
      <c r="AG8" s="6">
        <f>AF8*1.03</f>
        <v>48970.175175008364</v>
      </c>
      <c r="AH8" s="6">
        <f>AG8*1.02</f>
        <v>49949.578678508529</v>
      </c>
      <c r="AI8" s="6">
        <f t="shared" ref="AI8:AK8" si="3">AH8*1.02</f>
        <v>50948.570252078702</v>
      </c>
      <c r="AJ8" s="6">
        <f t="shared" si="3"/>
        <v>51967.541657120273</v>
      </c>
      <c r="AK8" s="6">
        <f t="shared" si="3"/>
        <v>53006.892490262682</v>
      </c>
    </row>
    <row r="9" spans="2:37" x14ac:dyDescent="0.3">
      <c r="B9" s="1" t="s">
        <v>28</v>
      </c>
      <c r="C9" s="3"/>
      <c r="D9" s="3"/>
      <c r="E9" s="3"/>
      <c r="F9" s="3"/>
      <c r="G9" s="9">
        <v>879</v>
      </c>
      <c r="H9" s="9">
        <v>871</v>
      </c>
      <c r="I9" s="9">
        <v>899</v>
      </c>
      <c r="J9" s="9">
        <f t="shared" si="1"/>
        <v>932</v>
      </c>
      <c r="K9" s="9">
        <v>934</v>
      </c>
      <c r="L9" s="9">
        <v>872</v>
      </c>
      <c r="M9" s="9">
        <v>875</v>
      </c>
      <c r="N9" s="9">
        <v>852</v>
      </c>
      <c r="O9" s="3"/>
      <c r="P9" s="3"/>
      <c r="Q9" s="3"/>
      <c r="R9" s="3"/>
      <c r="X9" s="9">
        <v>2957</v>
      </c>
      <c r="Y9" s="9">
        <v>3389</v>
      </c>
      <c r="Z9" s="9">
        <v>3581</v>
      </c>
      <c r="AA9" s="9">
        <f t="shared" si="2"/>
        <v>3533</v>
      </c>
      <c r="AB9" s="6">
        <f>AA9*1.04</f>
        <v>3674.32</v>
      </c>
      <c r="AC9" s="6">
        <f>AB9*1.03</f>
        <v>3784.5496000000003</v>
      </c>
      <c r="AD9" s="6">
        <f>AC9*1.02</f>
        <v>3860.2405920000006</v>
      </c>
      <c r="AE9" s="6">
        <f>AD9*1.01</f>
        <v>3898.8429979200005</v>
      </c>
      <c r="AF9" s="6">
        <f t="shared" ref="AF9:AK9" si="4">AE9*1.01</f>
        <v>3937.8314278992007</v>
      </c>
      <c r="AG9" s="6">
        <f t="shared" si="4"/>
        <v>3977.2097421781928</v>
      </c>
      <c r="AH9" s="6">
        <f t="shared" si="4"/>
        <v>4016.9818395999746</v>
      </c>
      <c r="AI9" s="6">
        <f t="shared" si="4"/>
        <v>4057.1516579959743</v>
      </c>
      <c r="AJ9" s="6">
        <f t="shared" si="4"/>
        <v>4097.7231745759345</v>
      </c>
      <c r="AK9" s="6">
        <f t="shared" si="4"/>
        <v>4138.7004063216937</v>
      </c>
    </row>
    <row r="10" spans="2:37" s="2" customFormat="1" x14ac:dyDescent="0.3">
      <c r="B10" s="2" t="s">
        <v>12</v>
      </c>
      <c r="G10" s="10">
        <f t="shared" ref="G10:N10" si="5">SUM(G7:G8)</f>
        <v>8076</v>
      </c>
      <c r="H10" s="10">
        <f t="shared" si="5"/>
        <v>8222</v>
      </c>
      <c r="I10" s="10">
        <f t="shared" si="5"/>
        <v>8943</v>
      </c>
      <c r="J10" s="10">
        <f t="shared" si="5"/>
        <v>9880</v>
      </c>
      <c r="K10" s="10">
        <f t="shared" si="5"/>
        <v>9000</v>
      </c>
      <c r="L10" s="10">
        <f t="shared" si="5"/>
        <v>10150</v>
      </c>
      <c r="M10" s="10">
        <f t="shared" si="5"/>
        <v>11306</v>
      </c>
      <c r="N10" s="10">
        <f t="shared" si="5"/>
        <v>11865</v>
      </c>
      <c r="X10" s="10">
        <f>SUM(X7:X8)</f>
        <v>26182</v>
      </c>
      <c r="Y10" s="10">
        <f>SUM(Y7:Y8)</f>
        <v>31959</v>
      </c>
      <c r="Z10" s="10">
        <f>SUM(Z7:Z8)</f>
        <v>35121</v>
      </c>
      <c r="AA10" s="10">
        <f>SUM(AA7:AA8)</f>
        <v>42321</v>
      </c>
      <c r="AB10" s="10">
        <f t="shared" ref="AB10:AK10" si="6">SUM(AB7:AB8)</f>
        <v>48547.569999999992</v>
      </c>
      <c r="AC10" s="10">
        <f t="shared" si="6"/>
        <v>54581.551699999996</v>
      </c>
      <c r="AD10" s="10">
        <f t="shared" si="6"/>
        <v>59340.044020999994</v>
      </c>
      <c r="AE10" s="10">
        <f t="shared" si="6"/>
        <v>63161.536865350005</v>
      </c>
      <c r="AF10" s="10">
        <f t="shared" si="6"/>
        <v>65687.998339964004</v>
      </c>
      <c r="AG10" s="10">
        <f t="shared" si="6"/>
        <v>67658.638290162926</v>
      </c>
      <c r="AH10" s="10">
        <f t="shared" si="6"/>
        <v>69011.811055966187</v>
      </c>
      <c r="AI10" s="10">
        <f t="shared" si="6"/>
        <v>70392.047277085512</v>
      </c>
      <c r="AJ10" s="10">
        <f t="shared" si="6"/>
        <v>71799.888222627225</v>
      </c>
      <c r="AK10" s="10">
        <f t="shared" si="6"/>
        <v>73235.885987079761</v>
      </c>
    </row>
    <row r="11" spans="2:37" s="2" customFormat="1" x14ac:dyDescent="0.3">
      <c r="B11" s="1" t="s">
        <v>26</v>
      </c>
      <c r="G11" s="6">
        <v>2465</v>
      </c>
      <c r="H11" s="6">
        <v>2302</v>
      </c>
      <c r="I11" s="6">
        <v>2625</v>
      </c>
      <c r="J11" s="9">
        <f t="shared" ref="J11:J12" si="7">Z11-I11-H11-G11</f>
        <v>2949</v>
      </c>
      <c r="K11" s="6">
        <v>2335</v>
      </c>
      <c r="L11" s="6">
        <v>2754</v>
      </c>
      <c r="M11" s="6">
        <v>3361</v>
      </c>
      <c r="N11" s="6">
        <v>3931</v>
      </c>
      <c r="X11" s="6">
        <v>8151</v>
      </c>
      <c r="Y11" s="6">
        <v>9900</v>
      </c>
      <c r="Z11" s="6">
        <v>10341</v>
      </c>
      <c r="AA11" s="9">
        <f t="shared" ref="AA11:AA12" si="8">SUM(K11:N11)</f>
        <v>12381</v>
      </c>
      <c r="AB11" s="6">
        <f>AB7*0.99</f>
        <v>13721.518799999998</v>
      </c>
      <c r="AC11" s="6">
        <f t="shared" ref="AC11:AK11" si="9">AC7*0.99</f>
        <v>15230.885868000001</v>
      </c>
      <c r="AD11" s="6">
        <f t="shared" si="9"/>
        <v>16449.356737440001</v>
      </c>
      <c r="AE11" s="6">
        <f t="shared" si="9"/>
        <v>17271.824574312002</v>
      </c>
      <c r="AF11" s="6">
        <f t="shared" si="9"/>
        <v>17962.697557284482</v>
      </c>
      <c r="AG11" s="6">
        <f t="shared" si="9"/>
        <v>18501.578484003017</v>
      </c>
      <c r="AH11" s="6">
        <f t="shared" si="9"/>
        <v>18871.610053683078</v>
      </c>
      <c r="AI11" s="6">
        <f t="shared" si="9"/>
        <v>19249.04225475674</v>
      </c>
      <c r="AJ11" s="6">
        <f t="shared" si="9"/>
        <v>19634.023099851875</v>
      </c>
      <c r="AK11" s="6">
        <f t="shared" si="9"/>
        <v>20026.703561848914</v>
      </c>
    </row>
    <row r="12" spans="2:37" s="2" customFormat="1" x14ac:dyDescent="0.3">
      <c r="B12" s="1" t="s">
        <v>27</v>
      </c>
      <c r="G12" s="6">
        <v>3281</v>
      </c>
      <c r="H12" s="6">
        <v>3273</v>
      </c>
      <c r="I12" s="6">
        <v>3601</v>
      </c>
      <c r="J12" s="9">
        <f t="shared" si="7"/>
        <v>3812</v>
      </c>
      <c r="K12" s="6">
        <v>3660</v>
      </c>
      <c r="L12" s="6">
        <v>4092</v>
      </c>
      <c r="M12" s="6">
        <v>4401</v>
      </c>
      <c r="N12" s="6">
        <v>4432</v>
      </c>
      <c r="X12" s="6">
        <v>10836</v>
      </c>
      <c r="Y12" s="6">
        <v>13039</v>
      </c>
      <c r="Z12" s="6">
        <v>13967</v>
      </c>
      <c r="AA12" s="9">
        <f t="shared" si="8"/>
        <v>16585</v>
      </c>
      <c r="AB12" s="6">
        <f>AB8*0.54</f>
        <v>18731.222999999998</v>
      </c>
      <c r="AC12" s="6">
        <f>AC8*0.53</f>
        <v>20774.313804999998</v>
      </c>
      <c r="AD12" s="6">
        <f t="shared" ref="AD12:AK12" si="10">AD8*0.53</f>
        <v>22644.002047449998</v>
      </c>
      <c r="AE12" s="6">
        <f t="shared" si="10"/>
        <v>24229.082190771504</v>
      </c>
      <c r="AF12" s="6">
        <f t="shared" si="10"/>
        <v>25198.245478402365</v>
      </c>
      <c r="AG12" s="6">
        <f t="shared" si="10"/>
        <v>25954.192842754434</v>
      </c>
      <c r="AH12" s="6">
        <f t="shared" si="10"/>
        <v>26473.276699609523</v>
      </c>
      <c r="AI12" s="6">
        <f t="shared" si="10"/>
        <v>27002.742233601712</v>
      </c>
      <c r="AJ12" s="6">
        <f t="shared" si="10"/>
        <v>27542.797078273747</v>
      </c>
      <c r="AK12" s="6">
        <f t="shared" si="10"/>
        <v>28093.653019839225</v>
      </c>
    </row>
    <row r="13" spans="2:37" x14ac:dyDescent="0.3">
      <c r="B13" s="1" t="s">
        <v>13</v>
      </c>
      <c r="G13" s="6">
        <f t="shared" ref="G13:N13" si="11">SUM(G11:G12)</f>
        <v>5746</v>
      </c>
      <c r="H13" s="6">
        <f t="shared" si="11"/>
        <v>5575</v>
      </c>
      <c r="I13" s="6">
        <f t="shared" si="11"/>
        <v>6226</v>
      </c>
      <c r="J13" s="6">
        <f t="shared" si="11"/>
        <v>6761</v>
      </c>
      <c r="K13" s="6">
        <f t="shared" si="11"/>
        <v>5995</v>
      </c>
      <c r="L13" s="6">
        <f t="shared" si="11"/>
        <v>6846</v>
      </c>
      <c r="M13" s="6">
        <f t="shared" si="11"/>
        <v>7762</v>
      </c>
      <c r="N13" s="6">
        <f t="shared" si="11"/>
        <v>8363</v>
      </c>
      <c r="X13" s="6">
        <f>SUM(X11:X12)</f>
        <v>18987</v>
      </c>
      <c r="Y13" s="6">
        <f>SUM(Y11:Y12)</f>
        <v>22939</v>
      </c>
      <c r="Z13" s="6">
        <f>SUM(Z11:Z12)</f>
        <v>24308</v>
      </c>
      <c r="AA13" s="6">
        <f>SUM(AA11:AA12)</f>
        <v>28966</v>
      </c>
      <c r="AB13" s="6">
        <f t="shared" ref="AB13:AK13" si="12">SUM(AB11:AB12)</f>
        <v>32452.741799999996</v>
      </c>
      <c r="AC13" s="6">
        <f t="shared" si="12"/>
        <v>36005.199672999996</v>
      </c>
      <c r="AD13" s="6">
        <f t="shared" si="12"/>
        <v>39093.358784889999</v>
      </c>
      <c r="AE13" s="6">
        <f t="shared" si="12"/>
        <v>41500.906765083506</v>
      </c>
      <c r="AF13" s="6">
        <f t="shared" si="12"/>
        <v>43160.943035686847</v>
      </c>
      <c r="AG13" s="6">
        <f t="shared" si="12"/>
        <v>44455.771326757451</v>
      </c>
      <c r="AH13" s="6">
        <f t="shared" si="12"/>
        <v>45344.886753292601</v>
      </c>
      <c r="AI13" s="6">
        <f t="shared" si="12"/>
        <v>46251.784488358448</v>
      </c>
      <c r="AJ13" s="6">
        <f t="shared" si="12"/>
        <v>47176.820178125621</v>
      </c>
      <c r="AK13" s="6">
        <f t="shared" si="12"/>
        <v>48120.356581688138</v>
      </c>
    </row>
    <row r="14" spans="2:37" s="2" customFormat="1" x14ac:dyDescent="0.3">
      <c r="B14" s="2" t="s">
        <v>14</v>
      </c>
      <c r="G14" s="10">
        <f t="shared" ref="G14:N14" si="13">G10-G13</f>
        <v>2330</v>
      </c>
      <c r="H14" s="10">
        <f t="shared" si="13"/>
        <v>2647</v>
      </c>
      <c r="I14" s="10">
        <f t="shared" si="13"/>
        <v>2717</v>
      </c>
      <c r="J14" s="10">
        <f t="shared" si="13"/>
        <v>3119</v>
      </c>
      <c r="K14" s="10">
        <f t="shared" si="13"/>
        <v>3005</v>
      </c>
      <c r="L14" s="10">
        <f t="shared" si="13"/>
        <v>3304</v>
      </c>
      <c r="M14" s="10">
        <f t="shared" si="13"/>
        <v>3544</v>
      </c>
      <c r="N14" s="10">
        <f t="shared" si="13"/>
        <v>3502</v>
      </c>
      <c r="X14" s="10">
        <f>X10-X13</f>
        <v>7195</v>
      </c>
      <c r="Y14" s="10">
        <f>Y10-Y13</f>
        <v>9020</v>
      </c>
      <c r="Z14" s="10">
        <f>Z10-Z13</f>
        <v>10813</v>
      </c>
      <c r="AA14" s="10">
        <f>AA10-AA13</f>
        <v>13355</v>
      </c>
      <c r="AB14" s="10">
        <f t="shared" ref="AB14:AK14" si="14">AB10-AB13</f>
        <v>16094.828199999996</v>
      </c>
      <c r="AC14" s="10">
        <f t="shared" si="14"/>
        <v>18576.352027000001</v>
      </c>
      <c r="AD14" s="10">
        <f t="shared" si="14"/>
        <v>20246.685236109995</v>
      </c>
      <c r="AE14" s="10">
        <f t="shared" si="14"/>
        <v>21660.630100266499</v>
      </c>
      <c r="AF14" s="10">
        <f t="shared" si="14"/>
        <v>22527.055304277157</v>
      </c>
      <c r="AG14" s="10">
        <f t="shared" si="14"/>
        <v>23202.866963405475</v>
      </c>
      <c r="AH14" s="10">
        <f t="shared" si="14"/>
        <v>23666.924302673586</v>
      </c>
      <c r="AI14" s="10">
        <f t="shared" si="14"/>
        <v>24140.262788727065</v>
      </c>
      <c r="AJ14" s="10">
        <f t="shared" si="14"/>
        <v>24623.068044501604</v>
      </c>
      <c r="AK14" s="10">
        <f t="shared" si="14"/>
        <v>25115.529405391622</v>
      </c>
    </row>
    <row r="15" spans="2:37" x14ac:dyDescent="0.3">
      <c r="B15" s="1" t="s">
        <v>29</v>
      </c>
      <c r="G15" s="6">
        <v>1026</v>
      </c>
      <c r="H15" s="6">
        <v>924</v>
      </c>
      <c r="I15" s="6">
        <v>1330</v>
      </c>
      <c r="J15" s="9">
        <f t="shared" ref="J15:J20" si="15">Z15-I15-H15-G15</f>
        <v>1157</v>
      </c>
      <c r="K15" s="6">
        <v>876</v>
      </c>
      <c r="L15" s="6">
        <v>1020</v>
      </c>
      <c r="M15" s="6">
        <v>1195</v>
      </c>
      <c r="N15" s="6">
        <v>997</v>
      </c>
      <c r="X15" s="6">
        <v>3672</v>
      </c>
      <c r="Y15" s="6">
        <v>4045</v>
      </c>
      <c r="Z15" s="6">
        <v>4437</v>
      </c>
      <c r="AA15" s="9">
        <f t="shared" ref="AA15:AA20" si="16">SUM(K15:N15)</f>
        <v>4088</v>
      </c>
      <c r="AB15" s="6">
        <f>AA15*1.03</f>
        <v>4210.6400000000003</v>
      </c>
      <c r="AC15" s="6">
        <f t="shared" ref="AC15:AK15" si="17">AB15*1.02</f>
        <v>4294.8528000000006</v>
      </c>
      <c r="AD15" s="6">
        <f t="shared" si="17"/>
        <v>4380.7498560000004</v>
      </c>
      <c r="AE15" s="6">
        <f t="shared" si="17"/>
        <v>4468.3648531200006</v>
      </c>
      <c r="AF15" s="6">
        <f t="shared" si="17"/>
        <v>4557.7321501824008</v>
      </c>
      <c r="AG15" s="6">
        <f t="shared" si="17"/>
        <v>4648.8867931860486</v>
      </c>
      <c r="AH15" s="6">
        <f t="shared" si="17"/>
        <v>4741.8645290497698</v>
      </c>
      <c r="AI15" s="6">
        <f t="shared" si="17"/>
        <v>4836.7018196307654</v>
      </c>
      <c r="AJ15" s="6">
        <f t="shared" si="17"/>
        <v>4933.4358560233804</v>
      </c>
      <c r="AK15" s="6">
        <f t="shared" si="17"/>
        <v>5032.104573143848</v>
      </c>
    </row>
    <row r="16" spans="2:37" x14ac:dyDescent="0.3">
      <c r="B16" s="1" t="s">
        <v>30</v>
      </c>
      <c r="G16" s="6">
        <v>259</v>
      </c>
      <c r="H16" s="6">
        <v>75</v>
      </c>
      <c r="I16" s="6">
        <v>74</v>
      </c>
      <c r="J16" s="9">
        <f t="shared" si="15"/>
        <v>84</v>
      </c>
      <c r="K16" s="6">
        <v>51</v>
      </c>
      <c r="L16" s="6">
        <v>47</v>
      </c>
      <c r="M16" s="6">
        <v>53</v>
      </c>
      <c r="N16" s="6">
        <v>52</v>
      </c>
      <c r="X16" s="6">
        <v>625</v>
      </c>
      <c r="Y16" s="6">
        <v>692</v>
      </c>
      <c r="Z16" s="6">
        <v>492</v>
      </c>
      <c r="AA16" s="9">
        <f t="shared" si="16"/>
        <v>203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</row>
    <row r="17" spans="2:141" x14ac:dyDescent="0.3">
      <c r="B17" s="1" t="s">
        <v>31</v>
      </c>
      <c r="G17" s="6">
        <v>270</v>
      </c>
      <c r="H17" s="6">
        <v>300</v>
      </c>
      <c r="I17" s="6">
        <v>331</v>
      </c>
      <c r="J17" s="9">
        <f t="shared" si="15"/>
        <v>385</v>
      </c>
      <c r="K17" s="6">
        <v>359</v>
      </c>
      <c r="L17" s="6">
        <v>359</v>
      </c>
      <c r="M17" s="6">
        <v>415</v>
      </c>
      <c r="N17" s="6">
        <v>448</v>
      </c>
      <c r="X17" s="6">
        <v>808</v>
      </c>
      <c r="Y17" s="6">
        <v>1011</v>
      </c>
      <c r="Z17" s="6">
        <v>1286</v>
      </c>
      <c r="AA17" s="9">
        <f t="shared" si="16"/>
        <v>1581</v>
      </c>
      <c r="AB17" s="6">
        <f>AA17*1.18</f>
        <v>1865.58</v>
      </c>
      <c r="AC17" s="6">
        <f>AB17*1.12</f>
        <v>2089.4495999999999</v>
      </c>
      <c r="AD17" s="6">
        <f>AC17*1.08</f>
        <v>2256.6055679999999</v>
      </c>
      <c r="AE17" s="6">
        <f>AD17*1.05</f>
        <v>2369.4358464000002</v>
      </c>
      <c r="AF17" s="6">
        <f>AE17*1.03</f>
        <v>2440.5189217920001</v>
      </c>
      <c r="AG17" s="6">
        <f t="shared" ref="AG17:AK17" si="18">AF17*1.03</f>
        <v>2513.7344894457601</v>
      </c>
      <c r="AH17" s="6">
        <f t="shared" si="18"/>
        <v>2589.146524129133</v>
      </c>
      <c r="AI17" s="6">
        <f t="shared" si="18"/>
        <v>2666.8209198530071</v>
      </c>
      <c r="AJ17" s="6">
        <f t="shared" si="18"/>
        <v>2746.8255474485973</v>
      </c>
      <c r="AK17" s="6">
        <f t="shared" si="18"/>
        <v>2829.2303138720554</v>
      </c>
    </row>
    <row r="18" spans="2:141" x14ac:dyDescent="0.3">
      <c r="B18" s="1" t="s">
        <v>46</v>
      </c>
      <c r="G18" s="6">
        <v>263</v>
      </c>
      <c r="H18" s="6">
        <v>248</v>
      </c>
      <c r="I18" s="6">
        <v>251</v>
      </c>
      <c r="J18" s="9">
        <f t="shared" si="15"/>
        <v>224</v>
      </c>
      <c r="K18" s="6">
        <v>210</v>
      </c>
      <c r="L18" s="6">
        <v>158</v>
      </c>
      <c r="M18" s="6">
        <v>225</v>
      </c>
      <c r="N18" s="6">
        <v>250</v>
      </c>
      <c r="X18" s="6">
        <f>1339+465</f>
        <v>1804</v>
      </c>
      <c r="Y18" s="6">
        <v>1029</v>
      </c>
      <c r="Z18" s="6">
        <v>986</v>
      </c>
      <c r="AA18" s="9">
        <f t="shared" si="16"/>
        <v>843</v>
      </c>
      <c r="AB18" s="6">
        <f>AA18*1.02</f>
        <v>859.86</v>
      </c>
      <c r="AC18" s="6">
        <f t="shared" ref="AC18:AK18" si="19">AB18*1.02</f>
        <v>877.05720000000008</v>
      </c>
      <c r="AD18" s="6">
        <f t="shared" si="19"/>
        <v>894.59834400000011</v>
      </c>
      <c r="AE18" s="6">
        <f t="shared" si="19"/>
        <v>912.49031088000015</v>
      </c>
      <c r="AF18" s="6">
        <f t="shared" si="19"/>
        <v>930.7401170976002</v>
      </c>
      <c r="AG18" s="6">
        <f t="shared" si="19"/>
        <v>949.35491943955219</v>
      </c>
      <c r="AH18" s="6">
        <f t="shared" si="19"/>
        <v>968.34201782834327</v>
      </c>
      <c r="AI18" s="6">
        <f t="shared" si="19"/>
        <v>987.70885818491013</v>
      </c>
      <c r="AJ18" s="6">
        <f t="shared" si="19"/>
        <v>1007.4630353486084</v>
      </c>
      <c r="AK18" s="6">
        <f t="shared" si="19"/>
        <v>1027.6122960555806</v>
      </c>
    </row>
    <row r="19" spans="2:141" x14ac:dyDescent="0.3">
      <c r="B19" s="1" t="s">
        <v>28</v>
      </c>
      <c r="G19" s="6">
        <v>627</v>
      </c>
      <c r="H19" s="6">
        <v>667</v>
      </c>
      <c r="I19" s="6">
        <v>714</v>
      </c>
      <c r="J19" s="9">
        <f t="shared" si="15"/>
        <v>421</v>
      </c>
      <c r="K19" s="6">
        <v>701</v>
      </c>
      <c r="L19" s="6">
        <v>698</v>
      </c>
      <c r="M19" s="6">
        <v>500</v>
      </c>
      <c r="N19" s="6">
        <v>550</v>
      </c>
      <c r="X19" s="6">
        <v>2592</v>
      </c>
      <c r="Y19" s="6">
        <v>2886</v>
      </c>
      <c r="Z19" s="6">
        <v>2429</v>
      </c>
      <c r="AA19" s="9">
        <f t="shared" si="16"/>
        <v>2449</v>
      </c>
      <c r="AB19" s="6">
        <f>AA19*1.03</f>
        <v>2522.4700000000003</v>
      </c>
      <c r="AC19" s="6">
        <f t="shared" ref="AC19:AD19" si="20">AB19*1.02</f>
        <v>2572.9194000000002</v>
      </c>
      <c r="AD19" s="6">
        <f t="shared" si="20"/>
        <v>2624.3777880000002</v>
      </c>
      <c r="AE19" s="6">
        <f>AD19*1.01</f>
        <v>2650.6215658800002</v>
      </c>
      <c r="AF19" s="6">
        <f t="shared" ref="AF19:AK19" si="21">AE19*1.01</f>
        <v>2677.1277815388003</v>
      </c>
      <c r="AG19" s="6">
        <f t="shared" si="21"/>
        <v>2703.8990593541885</v>
      </c>
      <c r="AH19" s="6">
        <f t="shared" si="21"/>
        <v>2730.9380499477302</v>
      </c>
      <c r="AI19" s="6">
        <f t="shared" si="21"/>
        <v>2758.2474304472075</v>
      </c>
      <c r="AJ19" s="6">
        <f t="shared" si="21"/>
        <v>2785.8299047516798</v>
      </c>
      <c r="AK19" s="6">
        <f t="shared" si="21"/>
        <v>2813.6882037991968</v>
      </c>
    </row>
    <row r="20" spans="2:141" x14ac:dyDescent="0.3">
      <c r="B20" s="1" t="s">
        <v>33</v>
      </c>
      <c r="G20" s="6">
        <v>0</v>
      </c>
      <c r="H20" s="6">
        <v>0</v>
      </c>
      <c r="I20" s="6">
        <v>251</v>
      </c>
      <c r="J20" s="9">
        <f t="shared" si="15"/>
        <v>0</v>
      </c>
      <c r="K20" s="6">
        <v>0</v>
      </c>
      <c r="L20" s="6">
        <v>0</v>
      </c>
      <c r="M20" s="6">
        <v>0</v>
      </c>
      <c r="N20" s="6">
        <v>0</v>
      </c>
      <c r="X20" s="6">
        <v>0</v>
      </c>
      <c r="Y20" s="6">
        <v>0</v>
      </c>
      <c r="Z20" s="6">
        <v>251</v>
      </c>
      <c r="AA20" s="9">
        <f t="shared" si="16"/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</row>
    <row r="21" spans="2:141" x14ac:dyDescent="0.3">
      <c r="B21" s="1" t="s">
        <v>32</v>
      </c>
      <c r="G21" s="6">
        <f t="shared" ref="G21:N21" si="22">-G9+SUM(G15:G20)</f>
        <v>1566</v>
      </c>
      <c r="H21" s="6">
        <f t="shared" si="22"/>
        <v>1343</v>
      </c>
      <c r="I21" s="6">
        <f t="shared" si="22"/>
        <v>2052</v>
      </c>
      <c r="J21" s="6">
        <f t="shared" si="22"/>
        <v>1339</v>
      </c>
      <c r="K21" s="6">
        <f t="shared" si="22"/>
        <v>1263</v>
      </c>
      <c r="L21" s="6">
        <f t="shared" si="22"/>
        <v>1410</v>
      </c>
      <c r="M21" s="6">
        <f t="shared" si="22"/>
        <v>1513</v>
      </c>
      <c r="N21" s="6">
        <f t="shared" si="22"/>
        <v>1445</v>
      </c>
      <c r="X21" s="6">
        <f>-X9+SUM(X15:X20)</f>
        <v>6544</v>
      </c>
      <c r="Y21" s="6">
        <f>-Y9+SUM(Y15:Y20)</f>
        <v>6274</v>
      </c>
      <c r="Z21" s="6">
        <f>-Z9+SUM(Z15:Z20)</f>
        <v>6300</v>
      </c>
      <c r="AA21" s="6">
        <f>-AA9+SUM(AA15:AA20)</f>
        <v>5631</v>
      </c>
      <c r="AB21" s="6">
        <f>-AB9+SUM(AB15:AB20)</f>
        <v>5784.23</v>
      </c>
      <c r="AC21" s="6">
        <f t="shared" ref="AC21:AK21" si="23">-AC9+SUM(AC15:AC20)</f>
        <v>6049.7294000000002</v>
      </c>
      <c r="AD21" s="6">
        <f t="shared" si="23"/>
        <v>6296.0909640000009</v>
      </c>
      <c r="AE21" s="6">
        <f t="shared" si="23"/>
        <v>6502.0695783600004</v>
      </c>
      <c r="AF21" s="6">
        <f t="shared" si="23"/>
        <v>6668.2875427116014</v>
      </c>
      <c r="AG21" s="6">
        <f t="shared" si="23"/>
        <v>6838.6655192473572</v>
      </c>
      <c r="AH21" s="6">
        <f t="shared" si="23"/>
        <v>7013.309281355002</v>
      </c>
      <c r="AI21" s="6">
        <f t="shared" si="23"/>
        <v>7192.327370119915</v>
      </c>
      <c r="AJ21" s="6">
        <f t="shared" si="23"/>
        <v>7375.8311689963302</v>
      </c>
      <c r="AK21" s="6">
        <f t="shared" si="23"/>
        <v>7563.9349805489874</v>
      </c>
    </row>
    <row r="22" spans="2:141" s="2" customFormat="1" x14ac:dyDescent="0.3">
      <c r="B22" s="2" t="s">
        <v>34</v>
      </c>
      <c r="G22" s="10">
        <f t="shared" ref="G22:N22" si="24">G14-G21</f>
        <v>764</v>
      </c>
      <c r="H22" s="10">
        <f t="shared" si="24"/>
        <v>1304</v>
      </c>
      <c r="I22" s="10">
        <f t="shared" si="24"/>
        <v>665</v>
      </c>
      <c r="J22" s="10">
        <f t="shared" si="24"/>
        <v>1780</v>
      </c>
      <c r="K22" s="10">
        <f t="shared" si="24"/>
        <v>1742</v>
      </c>
      <c r="L22" s="10">
        <f t="shared" si="24"/>
        <v>1894</v>
      </c>
      <c r="M22" s="10">
        <f t="shared" si="24"/>
        <v>2031</v>
      </c>
      <c r="N22" s="10">
        <f t="shared" si="24"/>
        <v>2057</v>
      </c>
      <c r="X22" s="10">
        <f>X14-X21</f>
        <v>651</v>
      </c>
      <c r="Y22" s="10">
        <f>Y14-Y21</f>
        <v>2746</v>
      </c>
      <c r="Z22" s="10">
        <f>Z14-Z21</f>
        <v>4513</v>
      </c>
      <c r="AA22" s="10">
        <f>AA14-AA21</f>
        <v>7724</v>
      </c>
      <c r="AB22" s="10">
        <f>AB14-AB21</f>
        <v>10310.598199999997</v>
      </c>
      <c r="AC22" s="10">
        <f t="shared" ref="AC22:AK22" si="25">AC14-AC21</f>
        <v>12526.622627000001</v>
      </c>
      <c r="AD22" s="10">
        <f t="shared" si="25"/>
        <v>13950.594272109995</v>
      </c>
      <c r="AE22" s="10">
        <f t="shared" si="25"/>
        <v>15158.560521906498</v>
      </c>
      <c r="AF22" s="10">
        <f t="shared" si="25"/>
        <v>15858.767761565556</v>
      </c>
      <c r="AG22" s="10">
        <f t="shared" si="25"/>
        <v>16364.201444158118</v>
      </c>
      <c r="AH22" s="10">
        <f t="shared" si="25"/>
        <v>16653.615021318583</v>
      </c>
      <c r="AI22" s="10">
        <f t="shared" si="25"/>
        <v>16947.93541860715</v>
      </c>
      <c r="AJ22" s="10">
        <f t="shared" si="25"/>
        <v>17247.236875505274</v>
      </c>
      <c r="AK22" s="10">
        <f t="shared" si="25"/>
        <v>17551.594424842635</v>
      </c>
    </row>
    <row r="23" spans="2:141" x14ac:dyDescent="0.3">
      <c r="B23" s="1" t="s">
        <v>35</v>
      </c>
      <c r="G23" s="6">
        <v>-217</v>
      </c>
      <c r="H23" s="6">
        <v>-204</v>
      </c>
      <c r="I23" s="6">
        <v>-207</v>
      </c>
      <c r="J23" s="9">
        <f t="shared" ref="J23:J24" si="26">Z23-I23-H23-G23</f>
        <v>-214</v>
      </c>
      <c r="K23" s="6">
        <v>-201</v>
      </c>
      <c r="L23" s="6">
        <v>-197</v>
      </c>
      <c r="M23" s="6">
        <v>-198</v>
      </c>
      <c r="N23" s="6">
        <v>-192</v>
      </c>
      <c r="X23" s="6">
        <v>-60</v>
      </c>
      <c r="Y23" s="6">
        <v>-978</v>
      </c>
      <c r="Z23" s="6">
        <v>-842</v>
      </c>
      <c r="AA23" s="9">
        <f t="shared" ref="AA23:AA24" si="27">SUM(K23:N23)</f>
        <v>-788</v>
      </c>
      <c r="AB23" s="6">
        <f>AA23*1.01</f>
        <v>-795.88</v>
      </c>
      <c r="AC23" s="6">
        <f t="shared" ref="AC23:AK23" si="28">AB23*1.01</f>
        <v>-803.83879999999999</v>
      </c>
      <c r="AD23" s="6">
        <f t="shared" si="28"/>
        <v>-811.87718800000005</v>
      </c>
      <c r="AE23" s="6">
        <f t="shared" si="28"/>
        <v>-819.9959598800001</v>
      </c>
      <c r="AF23" s="6">
        <f t="shared" si="28"/>
        <v>-828.19591947880008</v>
      </c>
      <c r="AG23" s="6">
        <f t="shared" si="28"/>
        <v>-836.47787867358807</v>
      </c>
      <c r="AH23" s="6">
        <f t="shared" si="28"/>
        <v>-844.84265746032395</v>
      </c>
      <c r="AI23" s="6">
        <f t="shared" si="28"/>
        <v>-853.29108403492717</v>
      </c>
      <c r="AJ23" s="6">
        <f t="shared" si="28"/>
        <v>-861.82399487527641</v>
      </c>
      <c r="AK23" s="6">
        <f t="shared" si="28"/>
        <v>-870.44223482402913</v>
      </c>
    </row>
    <row r="24" spans="2:141" x14ac:dyDescent="0.3">
      <c r="B24" s="1" t="s">
        <v>36</v>
      </c>
      <c r="G24" s="6">
        <v>-1007</v>
      </c>
      <c r="H24" s="6">
        <v>63</v>
      </c>
      <c r="I24" s="6">
        <v>-1021</v>
      </c>
      <c r="J24" s="9">
        <f t="shared" si="26"/>
        <v>-299</v>
      </c>
      <c r="K24" s="6">
        <v>-302</v>
      </c>
      <c r="L24" s="6">
        <v>-298</v>
      </c>
      <c r="M24" s="6">
        <v>-285</v>
      </c>
      <c r="N24" s="6">
        <v>-602</v>
      </c>
      <c r="X24" s="6">
        <v>-811</v>
      </c>
      <c r="Y24" s="6">
        <v>-6718</v>
      </c>
      <c r="Z24" s="6">
        <v>-2264</v>
      </c>
      <c r="AA24" s="9">
        <f t="shared" si="27"/>
        <v>-1487</v>
      </c>
      <c r="AB24" s="6">
        <f>AA24*1.01</f>
        <v>-1501.8700000000001</v>
      </c>
      <c r="AC24" s="6">
        <f t="shared" ref="AC24:AK24" si="29">AB24*1.01</f>
        <v>-1516.8887000000002</v>
      </c>
      <c r="AD24" s="6">
        <f t="shared" si="29"/>
        <v>-1532.0575870000002</v>
      </c>
      <c r="AE24" s="6">
        <f t="shared" si="29"/>
        <v>-1547.3781628700003</v>
      </c>
      <c r="AF24" s="6">
        <f t="shared" si="29"/>
        <v>-1562.8519444987003</v>
      </c>
      <c r="AG24" s="6">
        <f t="shared" si="29"/>
        <v>-1578.4804639436873</v>
      </c>
      <c r="AH24" s="6">
        <f t="shared" si="29"/>
        <v>-1594.2652685831242</v>
      </c>
      <c r="AI24" s="6">
        <f t="shared" si="29"/>
        <v>-1610.2079212689555</v>
      </c>
      <c r="AJ24" s="6">
        <f t="shared" si="29"/>
        <v>-1626.3100004816451</v>
      </c>
      <c r="AK24" s="6">
        <f t="shared" si="29"/>
        <v>-1642.5731004864617</v>
      </c>
    </row>
    <row r="25" spans="2:141" s="2" customFormat="1" x14ac:dyDescent="0.3">
      <c r="B25" s="2" t="s">
        <v>37</v>
      </c>
      <c r="G25" s="10">
        <f t="shared" ref="G25:N25" si="30">G22-G23-G24</f>
        <v>1988</v>
      </c>
      <c r="H25" s="10">
        <f t="shared" si="30"/>
        <v>1445</v>
      </c>
      <c r="I25" s="10">
        <f t="shared" si="30"/>
        <v>1893</v>
      </c>
      <c r="J25" s="10">
        <f t="shared" si="30"/>
        <v>2293</v>
      </c>
      <c r="K25" s="10">
        <f t="shared" si="30"/>
        <v>2245</v>
      </c>
      <c r="L25" s="10">
        <f t="shared" si="30"/>
        <v>2389</v>
      </c>
      <c r="M25" s="10">
        <f t="shared" si="30"/>
        <v>2514</v>
      </c>
      <c r="N25" s="10">
        <f t="shared" si="30"/>
        <v>2851</v>
      </c>
      <c r="X25" s="10">
        <f>X22-X23-X24</f>
        <v>1522</v>
      </c>
      <c r="Y25" s="10">
        <f>Y22-Y23-Y24</f>
        <v>10442</v>
      </c>
      <c r="Z25" s="10">
        <f>Z22-Z23-Z24</f>
        <v>7619</v>
      </c>
      <c r="AA25" s="10">
        <f>AA22-AA23-AA24</f>
        <v>9999</v>
      </c>
      <c r="AB25" s="10">
        <f>AB22-AB23-AB24</f>
        <v>12608.348199999997</v>
      </c>
      <c r="AC25" s="10">
        <f t="shared" ref="AC25:AK25" si="31">AC22-AC23-AC24</f>
        <v>14847.350127</v>
      </c>
      <c r="AD25" s="10">
        <f t="shared" si="31"/>
        <v>16294.529047109994</v>
      </c>
      <c r="AE25" s="10">
        <f t="shared" si="31"/>
        <v>17525.9346446565</v>
      </c>
      <c r="AF25" s="10">
        <f t="shared" si="31"/>
        <v>18249.815625543055</v>
      </c>
      <c r="AG25" s="10">
        <f t="shared" si="31"/>
        <v>18779.159786775395</v>
      </c>
      <c r="AH25" s="10">
        <f t="shared" si="31"/>
        <v>19092.722947362032</v>
      </c>
      <c r="AI25" s="10">
        <f t="shared" si="31"/>
        <v>19411.434423911036</v>
      </c>
      <c r="AJ25" s="10">
        <f t="shared" si="31"/>
        <v>19735.370870862196</v>
      </c>
      <c r="AK25" s="10">
        <f t="shared" si="31"/>
        <v>20064.609760153126</v>
      </c>
    </row>
    <row r="26" spans="2:141" x14ac:dyDescent="0.3">
      <c r="B26" s="1" t="s">
        <v>38</v>
      </c>
      <c r="G26" s="6">
        <v>244</v>
      </c>
      <c r="H26" s="6">
        <v>125</v>
      </c>
      <c r="I26" s="6">
        <v>198</v>
      </c>
      <c r="J26" s="9">
        <f t="shared" ref="J26:J27" si="32">Z26-I26-H26-G26</f>
        <v>395</v>
      </c>
      <c r="K26" s="6">
        <v>283</v>
      </c>
      <c r="L26" s="6">
        <v>388</v>
      </c>
      <c r="M26" s="6">
        <v>344</v>
      </c>
      <c r="N26" s="6">
        <v>390</v>
      </c>
      <c r="X26" s="6">
        <v>169</v>
      </c>
      <c r="Y26" s="6">
        <v>994</v>
      </c>
      <c r="Z26" s="6">
        <v>962</v>
      </c>
      <c r="AA26" s="9">
        <f t="shared" ref="AA26:AA27" si="33">SUM(K26:N26)</f>
        <v>1405</v>
      </c>
      <c r="AB26" s="6">
        <f>AB25*0.14</f>
        <v>1765.1687479999996</v>
      </c>
      <c r="AC26" s="6">
        <f t="shared" ref="AC26:AK26" si="34">AC25*0.14</f>
        <v>2078.6290177800001</v>
      </c>
      <c r="AD26" s="6">
        <f t="shared" si="34"/>
        <v>2281.2340665953993</v>
      </c>
      <c r="AE26" s="6">
        <f t="shared" si="34"/>
        <v>2453.63085025191</v>
      </c>
      <c r="AF26" s="6">
        <f t="shared" si="34"/>
        <v>2554.9741875760278</v>
      </c>
      <c r="AG26" s="6">
        <f t="shared" si="34"/>
        <v>2629.0823701485556</v>
      </c>
      <c r="AH26" s="6">
        <f t="shared" si="34"/>
        <v>2672.9812126306847</v>
      </c>
      <c r="AI26" s="6">
        <f t="shared" si="34"/>
        <v>2717.6008193475454</v>
      </c>
      <c r="AJ26" s="6">
        <f t="shared" si="34"/>
        <v>2762.9519219207077</v>
      </c>
      <c r="AK26" s="6">
        <f t="shared" si="34"/>
        <v>2809.0453664214378</v>
      </c>
    </row>
    <row r="27" spans="2:141" x14ac:dyDescent="0.3">
      <c r="B27" s="1" t="s">
        <v>39</v>
      </c>
      <c r="G27" s="6">
        <f>178+27</f>
        <v>205</v>
      </c>
      <c r="H27" s="6">
        <f>54+2</f>
        <v>56</v>
      </c>
      <c r="I27" s="6">
        <f>-147-10</f>
        <v>-157</v>
      </c>
      <c r="J27" s="9">
        <f t="shared" si="32"/>
        <v>-2</v>
      </c>
      <c r="K27" s="6">
        <f>-10-5</f>
        <v>-15</v>
      </c>
      <c r="L27" s="6">
        <f>-21-7</f>
        <v>-28</v>
      </c>
      <c r="M27" s="6">
        <f>17-3</f>
        <v>14</v>
      </c>
      <c r="N27" s="6">
        <f>-89+10</f>
        <v>-79</v>
      </c>
      <c r="X27" s="6">
        <f>949+67</f>
        <v>1016</v>
      </c>
      <c r="Y27" s="6">
        <f>3-37</f>
        <v>-34</v>
      </c>
      <c r="Z27" s="6">
        <f>91+11</f>
        <v>102</v>
      </c>
      <c r="AA27" s="9">
        <f t="shared" si="33"/>
        <v>-108</v>
      </c>
      <c r="AB27" s="6">
        <f>AA27*1.02</f>
        <v>-110.16</v>
      </c>
      <c r="AC27" s="6">
        <f t="shared" ref="AC27:AK27" si="35">AB27*1.02</f>
        <v>-112.36319999999999</v>
      </c>
      <c r="AD27" s="6">
        <f t="shared" si="35"/>
        <v>-114.61046399999999</v>
      </c>
      <c r="AE27" s="6">
        <f t="shared" si="35"/>
        <v>-116.90267328</v>
      </c>
      <c r="AF27" s="6">
        <f t="shared" si="35"/>
        <v>-119.2407267456</v>
      </c>
      <c r="AG27" s="6">
        <f t="shared" si="35"/>
        <v>-121.625541280512</v>
      </c>
      <c r="AH27" s="6">
        <f t="shared" si="35"/>
        <v>-124.05805210612223</v>
      </c>
      <c r="AI27" s="6">
        <f t="shared" si="35"/>
        <v>-126.53921314824468</v>
      </c>
      <c r="AJ27" s="6">
        <f t="shared" si="35"/>
        <v>-129.06999741120958</v>
      </c>
      <c r="AK27" s="6">
        <f t="shared" si="35"/>
        <v>-131.65139735943379</v>
      </c>
    </row>
    <row r="28" spans="2:141" s="2" customFormat="1" x14ac:dyDescent="0.3">
      <c r="B28" s="2" t="s">
        <v>40</v>
      </c>
      <c r="G28" s="10">
        <f t="shared" ref="G28:N28" si="36">G25-G26-G27</f>
        <v>1539</v>
      </c>
      <c r="H28" s="10">
        <f t="shared" si="36"/>
        <v>1264</v>
      </c>
      <c r="I28" s="10">
        <f t="shared" si="36"/>
        <v>1852</v>
      </c>
      <c r="J28" s="10">
        <f t="shared" si="36"/>
        <v>1900</v>
      </c>
      <c r="K28" s="10">
        <f t="shared" si="36"/>
        <v>1977</v>
      </c>
      <c r="L28" s="10">
        <f t="shared" si="36"/>
        <v>2029</v>
      </c>
      <c r="M28" s="10">
        <f t="shared" si="36"/>
        <v>2156</v>
      </c>
      <c r="N28" s="10">
        <f t="shared" si="36"/>
        <v>2540</v>
      </c>
      <c r="X28" s="10">
        <f>X25-X26-X27</f>
        <v>337</v>
      </c>
      <c r="Y28" s="10">
        <f>Y25-Y26-Y27</f>
        <v>9482</v>
      </c>
      <c r="Z28" s="10">
        <f>Z25-Z26-Z27</f>
        <v>6555</v>
      </c>
      <c r="AA28" s="10">
        <f>AA25-AA26-AA27</f>
        <v>8702</v>
      </c>
      <c r="AB28" s="10">
        <f>AB25-AB26-AB27</f>
        <v>10953.339451999997</v>
      </c>
      <c r="AC28" s="10">
        <f t="shared" ref="AC28:AK28" si="37">AC25-AC26-AC27</f>
        <v>12881.084309219999</v>
      </c>
      <c r="AD28" s="10">
        <f t="shared" si="37"/>
        <v>14127.905444514594</v>
      </c>
      <c r="AE28" s="10">
        <f t="shared" si="37"/>
        <v>15189.206467684589</v>
      </c>
      <c r="AF28" s="10">
        <f t="shared" si="37"/>
        <v>15814.082164712627</v>
      </c>
      <c r="AG28" s="10">
        <f t="shared" si="37"/>
        <v>16271.702957907351</v>
      </c>
      <c r="AH28" s="10">
        <f t="shared" si="37"/>
        <v>16543.79978683747</v>
      </c>
      <c r="AI28" s="10">
        <f t="shared" si="37"/>
        <v>16820.372817711734</v>
      </c>
      <c r="AJ28" s="10">
        <f t="shared" si="37"/>
        <v>17101.4889463527</v>
      </c>
      <c r="AK28" s="10">
        <f t="shared" si="37"/>
        <v>17387.215791091123</v>
      </c>
      <c r="AL28" s="2">
        <f>AK28*(1+$AN$33)</f>
        <v>17213.343633180211</v>
      </c>
      <c r="AM28" s="2">
        <f t="shared" ref="AM28:CX28" si="38">AL28*(1+$AN$33)</f>
        <v>17041.210196848409</v>
      </c>
      <c r="AN28" s="2">
        <f t="shared" si="38"/>
        <v>16870.798094879927</v>
      </c>
      <c r="AO28" s="2">
        <f t="shared" si="38"/>
        <v>16702.090113931128</v>
      </c>
      <c r="AP28" s="2">
        <f t="shared" si="38"/>
        <v>16535.069212791816</v>
      </c>
      <c r="AQ28" s="2">
        <f t="shared" si="38"/>
        <v>16369.718520663897</v>
      </c>
      <c r="AR28" s="2">
        <f t="shared" si="38"/>
        <v>16206.021335457257</v>
      </c>
      <c r="AS28" s="2">
        <f t="shared" si="38"/>
        <v>16043.961122102684</v>
      </c>
      <c r="AT28" s="2">
        <f t="shared" si="38"/>
        <v>15883.521510881657</v>
      </c>
      <c r="AU28" s="2">
        <f t="shared" si="38"/>
        <v>15724.686295772841</v>
      </c>
      <c r="AV28" s="2">
        <f t="shared" si="38"/>
        <v>15567.439432815112</v>
      </c>
      <c r="AW28" s="2">
        <f t="shared" si="38"/>
        <v>15411.765038486961</v>
      </c>
      <c r="AX28" s="2">
        <f t="shared" si="38"/>
        <v>15257.647388102092</v>
      </c>
      <c r="AY28" s="2">
        <f t="shared" si="38"/>
        <v>15105.070914221071</v>
      </c>
      <c r="AZ28" s="2">
        <f t="shared" si="38"/>
        <v>14954.020205078859</v>
      </c>
      <c r="BA28" s="2">
        <f t="shared" si="38"/>
        <v>14804.480003028071</v>
      </c>
      <c r="BB28" s="2">
        <f t="shared" si="38"/>
        <v>14656.435202997791</v>
      </c>
      <c r="BC28" s="2">
        <f t="shared" si="38"/>
        <v>14509.870850967813</v>
      </c>
      <c r="BD28" s="2">
        <f t="shared" si="38"/>
        <v>14364.772142458134</v>
      </c>
      <c r="BE28" s="2">
        <f t="shared" si="38"/>
        <v>14221.124421033554</v>
      </c>
      <c r="BF28" s="2">
        <f t="shared" si="38"/>
        <v>14078.913176823218</v>
      </c>
      <c r="BG28" s="2">
        <f t="shared" si="38"/>
        <v>13938.124045054987</v>
      </c>
      <c r="BH28" s="2">
        <f t="shared" si="38"/>
        <v>13798.742804604437</v>
      </c>
      <c r="BI28" s="2">
        <f t="shared" si="38"/>
        <v>13660.755376558393</v>
      </c>
      <c r="BJ28" s="2">
        <f t="shared" si="38"/>
        <v>13524.147822792809</v>
      </c>
      <c r="BK28" s="2">
        <f t="shared" si="38"/>
        <v>13388.906344564881</v>
      </c>
      <c r="BL28" s="2">
        <f t="shared" si="38"/>
        <v>13255.017281119231</v>
      </c>
      <c r="BM28" s="2">
        <f t="shared" si="38"/>
        <v>13122.467108308039</v>
      </c>
      <c r="BN28" s="2">
        <f t="shared" si="38"/>
        <v>12991.242437224959</v>
      </c>
      <c r="BO28" s="2">
        <f t="shared" si="38"/>
        <v>12861.33001285271</v>
      </c>
      <c r="BP28" s="2">
        <f t="shared" si="38"/>
        <v>12732.716712724183</v>
      </c>
      <c r="BQ28" s="2">
        <f t="shared" si="38"/>
        <v>12605.389545596941</v>
      </c>
      <c r="BR28" s="2">
        <f t="shared" si="38"/>
        <v>12479.335650140973</v>
      </c>
      <c r="BS28" s="2">
        <f t="shared" si="38"/>
        <v>12354.542293639563</v>
      </c>
      <c r="BT28" s="2">
        <f t="shared" si="38"/>
        <v>12230.996870703168</v>
      </c>
      <c r="BU28" s="2">
        <f t="shared" si="38"/>
        <v>12108.686901996136</v>
      </c>
      <c r="BV28" s="2">
        <f t="shared" si="38"/>
        <v>11987.600032976174</v>
      </c>
      <c r="BW28" s="2">
        <f t="shared" si="38"/>
        <v>11867.724032646413</v>
      </c>
      <c r="BX28" s="2">
        <f t="shared" si="38"/>
        <v>11749.046792319949</v>
      </c>
      <c r="BY28" s="2">
        <f t="shared" si="38"/>
        <v>11631.556324396748</v>
      </c>
      <c r="BZ28" s="2">
        <f t="shared" si="38"/>
        <v>11515.24076115278</v>
      </c>
      <c r="CA28" s="2">
        <f t="shared" si="38"/>
        <v>11400.088353541252</v>
      </c>
      <c r="CB28" s="2">
        <f t="shared" si="38"/>
        <v>11286.087470005839</v>
      </c>
      <c r="CC28" s="2">
        <f t="shared" si="38"/>
        <v>11173.226595305781</v>
      </c>
      <c r="CD28" s="2">
        <f t="shared" si="38"/>
        <v>11061.494329352723</v>
      </c>
      <c r="CE28" s="2">
        <f t="shared" si="38"/>
        <v>10950.879386059196</v>
      </c>
      <c r="CF28" s="2">
        <f t="shared" si="38"/>
        <v>10841.370592198604</v>
      </c>
      <c r="CG28" s="2">
        <f t="shared" si="38"/>
        <v>10732.956886276617</v>
      </c>
      <c r="CH28" s="2">
        <f t="shared" si="38"/>
        <v>10625.627317413851</v>
      </c>
      <c r="CI28" s="2">
        <f t="shared" si="38"/>
        <v>10519.371044239713</v>
      </c>
      <c r="CJ28" s="2">
        <f t="shared" si="38"/>
        <v>10414.177333797315</v>
      </c>
      <c r="CK28" s="2">
        <f t="shared" si="38"/>
        <v>10310.035560459342</v>
      </c>
      <c r="CL28" s="2">
        <f t="shared" si="38"/>
        <v>10206.935204854748</v>
      </c>
      <c r="CM28" s="2">
        <f t="shared" si="38"/>
        <v>10104.865852806201</v>
      </c>
      <c r="CN28" s="2">
        <f t="shared" si="38"/>
        <v>10003.817194278139</v>
      </c>
      <c r="CO28" s="2">
        <f t="shared" si="38"/>
        <v>9903.7790223353568</v>
      </c>
      <c r="CP28" s="2">
        <f t="shared" si="38"/>
        <v>9804.7412321120028</v>
      </c>
      <c r="CQ28" s="2">
        <f t="shared" si="38"/>
        <v>9706.6938197908821</v>
      </c>
      <c r="CR28" s="2">
        <f t="shared" si="38"/>
        <v>9609.6268815929725</v>
      </c>
      <c r="CS28" s="2">
        <f t="shared" si="38"/>
        <v>9513.5306127770418</v>
      </c>
      <c r="CT28" s="2">
        <f t="shared" si="38"/>
        <v>9418.3953066492704</v>
      </c>
      <c r="CU28" s="2">
        <f t="shared" si="38"/>
        <v>9324.2113535827775</v>
      </c>
      <c r="CV28" s="2">
        <f t="shared" si="38"/>
        <v>9230.9692400469503</v>
      </c>
      <c r="CW28" s="2">
        <f t="shared" si="38"/>
        <v>9138.6595476464809</v>
      </c>
      <c r="CX28" s="2">
        <f t="shared" si="38"/>
        <v>9047.2729521700167</v>
      </c>
      <c r="CY28" s="2">
        <f t="shared" ref="CY28:EK28" si="39">CX28*(1+$AN$33)</f>
        <v>8956.8002226483168</v>
      </c>
      <c r="CZ28" s="2">
        <f t="shared" si="39"/>
        <v>8867.2322204218344</v>
      </c>
      <c r="DA28" s="2">
        <f t="shared" si="39"/>
        <v>8778.5598982176161</v>
      </c>
      <c r="DB28" s="2">
        <f t="shared" si="39"/>
        <v>8690.7742992354397</v>
      </c>
      <c r="DC28" s="2">
        <f t="shared" si="39"/>
        <v>8603.8665562430851</v>
      </c>
      <c r="DD28" s="2">
        <f t="shared" si="39"/>
        <v>8517.8278906806536</v>
      </c>
      <c r="DE28" s="2">
        <f t="shared" si="39"/>
        <v>8432.6496117738461</v>
      </c>
      <c r="DF28" s="2">
        <f t="shared" si="39"/>
        <v>8348.3231156561069</v>
      </c>
      <c r="DG28" s="2">
        <f t="shared" si="39"/>
        <v>8264.8398844995463</v>
      </c>
      <c r="DH28" s="2">
        <f t="shared" si="39"/>
        <v>8182.1914856545509</v>
      </c>
      <c r="DI28" s="2">
        <f t="shared" si="39"/>
        <v>8100.369570798005</v>
      </c>
      <c r="DJ28" s="2">
        <f t="shared" si="39"/>
        <v>8019.3658750900249</v>
      </c>
      <c r="DK28" s="2">
        <f t="shared" si="39"/>
        <v>7939.172216339125</v>
      </c>
      <c r="DL28" s="2">
        <f t="shared" si="39"/>
        <v>7859.780494175734</v>
      </c>
      <c r="DM28" s="2">
        <f t="shared" si="39"/>
        <v>7781.1826892339768</v>
      </c>
      <c r="DN28" s="2">
        <f t="shared" si="39"/>
        <v>7703.3708623416369</v>
      </c>
      <c r="DO28" s="2">
        <f t="shared" si="39"/>
        <v>7626.3371537182202</v>
      </c>
      <c r="DP28" s="2">
        <f t="shared" si="39"/>
        <v>7550.073782181038</v>
      </c>
      <c r="DQ28" s="2">
        <f t="shared" si="39"/>
        <v>7474.5730443592274</v>
      </c>
      <c r="DR28" s="2">
        <f t="shared" si="39"/>
        <v>7399.8273139156354</v>
      </c>
      <c r="DS28" s="2">
        <f t="shared" si="39"/>
        <v>7325.8290407764789</v>
      </c>
      <c r="DT28" s="2">
        <f t="shared" si="39"/>
        <v>7252.5707503687145</v>
      </c>
      <c r="DU28" s="2">
        <f t="shared" si="39"/>
        <v>7180.0450428650274</v>
      </c>
      <c r="DV28" s="2">
        <f t="shared" si="39"/>
        <v>7108.2445924363774</v>
      </c>
      <c r="DW28" s="2">
        <f t="shared" si="39"/>
        <v>7037.1621465120134</v>
      </c>
      <c r="DX28" s="2">
        <f t="shared" si="39"/>
        <v>6966.790525046893</v>
      </c>
      <c r="DY28" s="2">
        <f t="shared" si="39"/>
        <v>6897.1226197964243</v>
      </c>
      <c r="DZ28" s="2">
        <f t="shared" si="39"/>
        <v>6828.1513935984603</v>
      </c>
      <c r="EA28" s="2">
        <f t="shared" si="39"/>
        <v>6759.8698796624758</v>
      </c>
      <c r="EB28" s="2">
        <f t="shared" si="39"/>
        <v>6692.2711808658514</v>
      </c>
      <c r="EC28" s="2">
        <f t="shared" si="39"/>
        <v>6625.3484690571931</v>
      </c>
      <c r="ED28" s="2">
        <f t="shared" si="39"/>
        <v>6559.0949843666212</v>
      </c>
      <c r="EE28" s="2">
        <f t="shared" si="39"/>
        <v>6493.5040345229554</v>
      </c>
      <c r="EF28" s="2">
        <f t="shared" si="39"/>
        <v>6428.5689941777255</v>
      </c>
      <c r="EG28" s="2">
        <f t="shared" si="39"/>
        <v>6364.283304235948</v>
      </c>
      <c r="EH28" s="2">
        <f t="shared" si="39"/>
        <v>6300.6404711935884</v>
      </c>
      <c r="EI28" s="2">
        <f t="shared" si="39"/>
        <v>6237.6340664816526</v>
      </c>
      <c r="EJ28" s="2">
        <f t="shared" si="39"/>
        <v>6175.2577258168358</v>
      </c>
      <c r="EK28" s="2">
        <f t="shared" si="39"/>
        <v>6113.5051485586673</v>
      </c>
    </row>
    <row r="29" spans="2:141" x14ac:dyDescent="0.3">
      <c r="B29" s="1" t="s">
        <v>2</v>
      </c>
      <c r="G29" s="6">
        <f t="shared" ref="G29:M29" si="40">1054.8</f>
        <v>1054.8</v>
      </c>
      <c r="H29" s="6">
        <f t="shared" si="40"/>
        <v>1054.8</v>
      </c>
      <c r="I29" s="6">
        <f t="shared" si="40"/>
        <v>1054.8</v>
      </c>
      <c r="J29" s="6">
        <f t="shared" si="40"/>
        <v>1054.8</v>
      </c>
      <c r="K29" s="6">
        <f t="shared" si="40"/>
        <v>1054.8</v>
      </c>
      <c r="L29" s="6">
        <f t="shared" si="40"/>
        <v>1054.8</v>
      </c>
      <c r="M29" s="6">
        <f t="shared" si="40"/>
        <v>1054.8</v>
      </c>
      <c r="N29" s="6">
        <f>1048.8</f>
        <v>1048.8</v>
      </c>
      <c r="O29" s="6">
        <f>1048.8</f>
        <v>1048.8</v>
      </c>
      <c r="P29" s="6">
        <f>1048.8</f>
        <v>1048.8</v>
      </c>
      <c r="Q29" s="6">
        <f>1048.8</f>
        <v>1048.8</v>
      </c>
      <c r="R29" s="6">
        <f>1048.8</f>
        <v>1048.8</v>
      </c>
      <c r="X29" s="6">
        <f>1054.8</f>
        <v>1054.8</v>
      </c>
      <c r="Y29" s="6">
        <f>1054.8</f>
        <v>1054.8</v>
      </c>
      <c r="Z29" s="6">
        <f>1054.8</f>
        <v>1054.8</v>
      </c>
      <c r="AA29" s="6">
        <f t="shared" ref="AA29:AK29" si="41">1048.8</f>
        <v>1048.8</v>
      </c>
      <c r="AB29" s="6">
        <f t="shared" si="41"/>
        <v>1048.8</v>
      </c>
      <c r="AC29" s="6">
        <f t="shared" si="41"/>
        <v>1048.8</v>
      </c>
      <c r="AD29" s="6">
        <f t="shared" si="41"/>
        <v>1048.8</v>
      </c>
      <c r="AE29" s="6">
        <f t="shared" si="41"/>
        <v>1048.8</v>
      </c>
      <c r="AF29" s="6">
        <f t="shared" si="41"/>
        <v>1048.8</v>
      </c>
      <c r="AG29" s="6">
        <f t="shared" si="41"/>
        <v>1048.8</v>
      </c>
      <c r="AH29" s="6">
        <f t="shared" si="41"/>
        <v>1048.8</v>
      </c>
      <c r="AI29" s="6">
        <f t="shared" si="41"/>
        <v>1048.8</v>
      </c>
      <c r="AJ29" s="6">
        <f t="shared" si="41"/>
        <v>1048.8</v>
      </c>
      <c r="AK29" s="6">
        <f t="shared" si="41"/>
        <v>1048.8</v>
      </c>
    </row>
    <row r="30" spans="2:141" x14ac:dyDescent="0.3">
      <c r="B30" s="1" t="s">
        <v>41</v>
      </c>
      <c r="G30" s="8">
        <f t="shared" ref="G30:N30" si="42">G28/G29</f>
        <v>1.4590443686006827</v>
      </c>
      <c r="H30" s="8">
        <f t="shared" si="42"/>
        <v>1.198331437239287</v>
      </c>
      <c r="I30" s="8">
        <f t="shared" si="42"/>
        <v>1.7557830868411073</v>
      </c>
      <c r="J30" s="8">
        <f t="shared" si="42"/>
        <v>1.8012893439514601</v>
      </c>
      <c r="K30" s="8">
        <f t="shared" si="42"/>
        <v>1.8742889647326508</v>
      </c>
      <c r="L30" s="8">
        <f t="shared" si="42"/>
        <v>1.9235874099355328</v>
      </c>
      <c r="M30" s="8">
        <f t="shared" si="42"/>
        <v>2.0439893818733412</v>
      </c>
      <c r="N30" s="8">
        <f t="shared" si="42"/>
        <v>2.4218154080854313</v>
      </c>
      <c r="X30" s="8">
        <f>X28/X29</f>
        <v>0.31949184679560105</v>
      </c>
      <c r="Y30" s="8">
        <f>Y28/Y29</f>
        <v>8.9893818733409177</v>
      </c>
      <c r="Z30" s="8">
        <f>Z28/Z29</f>
        <v>6.2144482366325375</v>
      </c>
      <c r="AA30" s="8">
        <f>AA28/AA29</f>
        <v>8.2971014492753632</v>
      </c>
      <c r="AB30" s="8">
        <f>AB28/AB29</f>
        <v>10.443687501906938</v>
      </c>
      <c r="AC30" s="8">
        <f t="shared" ref="AC30:AK30" si="43">AC28/AC29</f>
        <v>12.281735611384439</v>
      </c>
      <c r="AD30" s="8">
        <f t="shared" si="43"/>
        <v>13.470542948621848</v>
      </c>
      <c r="AE30" s="8">
        <f t="shared" si="43"/>
        <v>14.482462307098197</v>
      </c>
      <c r="AF30" s="8">
        <f t="shared" si="43"/>
        <v>15.078262933555136</v>
      </c>
      <c r="AG30" s="8">
        <f t="shared" si="43"/>
        <v>15.514590920964295</v>
      </c>
      <c r="AH30" s="8">
        <f t="shared" si="43"/>
        <v>15.774027256710021</v>
      </c>
      <c r="AI30" s="8">
        <f t="shared" si="43"/>
        <v>16.037731519557337</v>
      </c>
      <c r="AJ30" s="8">
        <f t="shared" si="43"/>
        <v>16.305767492708526</v>
      </c>
      <c r="AK30" s="8">
        <f t="shared" si="43"/>
        <v>16.57819964825622</v>
      </c>
    </row>
    <row r="32" spans="2:141" x14ac:dyDescent="0.3">
      <c r="B32" s="1" t="s">
        <v>56</v>
      </c>
      <c r="K32" s="11">
        <f t="shared" ref="K32:L32" si="44">K7/G7-1</f>
        <v>9.5828170177612471E-2</v>
      </c>
      <c r="L32" s="11">
        <f t="shared" si="44"/>
        <v>0.30666666666666664</v>
      </c>
      <c r="M32" s="11">
        <f>M7/I7-1</f>
        <v>0.29207516339869288</v>
      </c>
      <c r="N32" s="11">
        <f>N7/J7-1</f>
        <v>8.3591331269349922E-2</v>
      </c>
      <c r="O32" s="11">
        <f t="shared" ref="O32:R32" si="45">O7/K7-1</f>
        <v>-1</v>
      </c>
      <c r="P32" s="11">
        <f t="shared" si="45"/>
        <v>-1</v>
      </c>
      <c r="Q32" s="11">
        <f t="shared" si="45"/>
        <v>-1</v>
      </c>
      <c r="R32" s="11">
        <f t="shared" si="45"/>
        <v>-1</v>
      </c>
      <c r="Y32" s="11">
        <f>Y7/X7-1</f>
        <v>0.18897537322955205</v>
      </c>
      <c r="Z32" s="11">
        <f t="shared" ref="Z32:AK32" si="46">Z7/Y7-1</f>
        <v>0.10259712384631903</v>
      </c>
      <c r="AA32" s="11">
        <f t="shared" si="46"/>
        <v>0.18337551099863725</v>
      </c>
      <c r="AB32" s="11">
        <f t="shared" si="46"/>
        <v>0.1399999999999999</v>
      </c>
      <c r="AC32" s="11">
        <f t="shared" si="46"/>
        <v>0.1100000000000001</v>
      </c>
      <c r="AD32" s="11">
        <f t="shared" si="46"/>
        <v>8.0000000000000071E-2</v>
      </c>
      <c r="AE32" s="11">
        <f t="shared" si="46"/>
        <v>5.0000000000000044E-2</v>
      </c>
      <c r="AF32" s="11">
        <f t="shared" si="46"/>
        <v>4.0000000000000036E-2</v>
      </c>
      <c r="AG32" s="11">
        <f t="shared" si="46"/>
        <v>3.0000000000000027E-2</v>
      </c>
      <c r="AH32" s="11">
        <f t="shared" si="46"/>
        <v>2.0000000000000018E-2</v>
      </c>
      <c r="AI32" s="11">
        <f t="shared" si="46"/>
        <v>2.0000000000000018E-2</v>
      </c>
      <c r="AJ32" s="11">
        <f t="shared" si="46"/>
        <v>2.0000000000000018E-2</v>
      </c>
      <c r="AK32" s="11">
        <f t="shared" si="46"/>
        <v>2.0000000000000018E-2</v>
      </c>
    </row>
    <row r="33" spans="2:40" x14ac:dyDescent="0.3">
      <c r="B33" s="1" t="s">
        <v>57</v>
      </c>
      <c r="K33" s="11">
        <f t="shared" ref="K33:L33" si="47">K8/G8-1</f>
        <v>0.12236958443854995</v>
      </c>
      <c r="L33" s="11">
        <f t="shared" si="47"/>
        <v>0.20853315693732433</v>
      </c>
      <c r="M33" s="11">
        <f>M8/I8-1</f>
        <v>0.25373364126250952</v>
      </c>
      <c r="N33" s="11">
        <f>N8/J8-1</f>
        <v>0.25789473684210518</v>
      </c>
      <c r="O33" s="11">
        <f t="shared" ref="O33:R33" si="48">O8/K8-1</f>
        <v>-1</v>
      </c>
      <c r="P33" s="11">
        <f t="shared" si="48"/>
        <v>-1</v>
      </c>
      <c r="Q33" s="11">
        <f t="shared" si="48"/>
        <v>-1</v>
      </c>
      <c r="R33" s="11">
        <f t="shared" si="48"/>
        <v>-1</v>
      </c>
      <c r="Y33" s="11">
        <f>Y8/X8-1</f>
        <v>0.23417825020441541</v>
      </c>
      <c r="Z33" s="11">
        <f t="shared" ref="Z33:AK33" si="49">Z8/Y8-1</f>
        <v>9.7433858928492656E-2</v>
      </c>
      <c r="AA33" s="11">
        <f t="shared" si="49"/>
        <v>0.21394937014528925</v>
      </c>
      <c r="AB33" s="11">
        <f t="shared" si="49"/>
        <v>0.14999999999999991</v>
      </c>
      <c r="AC33" s="11">
        <f t="shared" si="49"/>
        <v>0.12999999999999989</v>
      </c>
      <c r="AD33" s="11">
        <f t="shared" si="49"/>
        <v>9.000000000000008E-2</v>
      </c>
      <c r="AE33" s="11">
        <f t="shared" si="49"/>
        <v>7.0000000000000062E-2</v>
      </c>
      <c r="AF33" s="11">
        <f t="shared" si="49"/>
        <v>4.0000000000000036E-2</v>
      </c>
      <c r="AG33" s="11">
        <f t="shared" si="49"/>
        <v>3.0000000000000027E-2</v>
      </c>
      <c r="AH33" s="11">
        <f t="shared" si="49"/>
        <v>2.0000000000000018E-2</v>
      </c>
      <c r="AI33" s="11">
        <f t="shared" si="49"/>
        <v>2.0000000000000018E-2</v>
      </c>
      <c r="AJ33" s="11">
        <f t="shared" si="49"/>
        <v>2.0000000000000018E-2</v>
      </c>
      <c r="AK33" s="11">
        <f t="shared" si="49"/>
        <v>2.0000000000000018E-2</v>
      </c>
      <c r="AM33" s="1" t="s">
        <v>58</v>
      </c>
      <c r="AN33" s="11">
        <v>-0.01</v>
      </c>
    </row>
    <row r="34" spans="2:40" x14ac:dyDescent="0.3">
      <c r="B34" s="1" t="s">
        <v>47</v>
      </c>
      <c r="K34" s="11">
        <f t="shared" ref="K34:L34" si="50">K10/G10-1</f>
        <v>0.11441307578008919</v>
      </c>
      <c r="L34" s="11">
        <f t="shared" si="50"/>
        <v>0.23449282413038186</v>
      </c>
      <c r="M34" s="11">
        <f>M10/I10-1</f>
        <v>0.26422900592642296</v>
      </c>
      <c r="N34" s="11">
        <f>N10/J10-1</f>
        <v>0.20091093117408909</v>
      </c>
      <c r="O34" s="11">
        <f t="shared" ref="O34:R34" si="51">O10/K10-1</f>
        <v>-1</v>
      </c>
      <c r="P34" s="11">
        <f t="shared" si="51"/>
        <v>-1</v>
      </c>
      <c r="Q34" s="11">
        <f t="shared" si="51"/>
        <v>-1</v>
      </c>
      <c r="R34" s="11">
        <f t="shared" si="51"/>
        <v>-1</v>
      </c>
      <c r="X34" s="11"/>
      <c r="Y34" s="11">
        <f>Y10/X10-1</f>
        <v>0.22064777327935214</v>
      </c>
      <c r="Z34" s="11">
        <f t="shared" ref="Z34:AK34" si="52">Z10/Y10-1</f>
        <v>9.8939265934478549E-2</v>
      </c>
      <c r="AA34" s="11">
        <f t="shared" si="52"/>
        <v>0.20500555223370642</v>
      </c>
      <c r="AB34" s="11">
        <f t="shared" si="52"/>
        <v>0.14712719453699097</v>
      </c>
      <c r="AC34" s="11">
        <f t="shared" si="52"/>
        <v>0.1242900870218635</v>
      </c>
      <c r="AD34" s="11">
        <f t="shared" si="52"/>
        <v>8.7181330922110778E-2</v>
      </c>
      <c r="AE34" s="11">
        <f t="shared" si="52"/>
        <v>6.439989904620913E-2</v>
      </c>
      <c r="AF34" s="11">
        <f t="shared" si="52"/>
        <v>4.0000000000000036E-2</v>
      </c>
      <c r="AG34" s="11">
        <f t="shared" si="52"/>
        <v>3.0000000000000027E-2</v>
      </c>
      <c r="AH34" s="11">
        <f t="shared" si="52"/>
        <v>2.0000000000000018E-2</v>
      </c>
      <c r="AI34" s="11">
        <f t="shared" si="52"/>
        <v>2.0000000000000018E-2</v>
      </c>
      <c r="AJ34" s="11">
        <f t="shared" si="52"/>
        <v>2.0000000000000018E-2</v>
      </c>
      <c r="AK34" s="11">
        <f t="shared" si="52"/>
        <v>1.9999999999999796E-2</v>
      </c>
      <c r="AM34" s="1" t="s">
        <v>59</v>
      </c>
      <c r="AN34" s="11">
        <v>0.06</v>
      </c>
    </row>
    <row r="35" spans="2:40" x14ac:dyDescent="0.3">
      <c r="B35" s="1" t="s">
        <v>50</v>
      </c>
      <c r="G35" s="11">
        <f t="shared" ref="G35:L35" si="53">(G7-G11)/G7</f>
        <v>-1.8174308137133416E-2</v>
      </c>
      <c r="H35" s="11">
        <f t="shared" si="53"/>
        <v>-5.839080459770115E-2</v>
      </c>
      <c r="I35" s="11">
        <f t="shared" si="53"/>
        <v>-7.2303921568627458E-2</v>
      </c>
      <c r="J35" s="11">
        <f t="shared" si="53"/>
        <v>8.6996904024767799E-2</v>
      </c>
      <c r="K35" s="11">
        <f t="shared" si="53"/>
        <v>0.11986430456087448</v>
      </c>
      <c r="L35" s="11">
        <f t="shared" si="53"/>
        <v>3.096410978184377E-2</v>
      </c>
      <c r="M35" s="11">
        <f>(M7-M11)/M7</f>
        <v>-6.2598798608915582E-2</v>
      </c>
      <c r="N35" s="11">
        <f>(N7-N11)/N7</f>
        <v>-0.12314285714285714</v>
      </c>
      <c r="O35" s="11" t="e">
        <f t="shared" ref="O35:R35" si="54">(O7-O11)/O7</f>
        <v>#DIV/0!</v>
      </c>
      <c r="P35" s="11" t="e">
        <f t="shared" si="54"/>
        <v>#DIV/0!</v>
      </c>
      <c r="Q35" s="11" t="e">
        <f t="shared" si="54"/>
        <v>#DIV/0!</v>
      </c>
      <c r="R35" s="11" t="e">
        <f t="shared" si="54"/>
        <v>#DIV/0!</v>
      </c>
      <c r="X35" s="11">
        <f t="shared" ref="X35:AK35" si="55">(X7-X11)/X7</f>
        <v>-4.0066351920377698E-2</v>
      </c>
      <c r="Y35" s="11">
        <f t="shared" si="55"/>
        <v>-6.2459755312298776E-2</v>
      </c>
      <c r="Z35" s="11">
        <f t="shared" si="55"/>
        <v>-6.521315943157485E-3</v>
      </c>
      <c r="AA35" s="11">
        <f t="shared" si="55"/>
        <v>-1.8341832538246422E-2</v>
      </c>
      <c r="AB35" s="11">
        <f t="shared" si="55"/>
        <v>1.0000000000000071E-2</v>
      </c>
      <c r="AC35" s="11">
        <f t="shared" si="55"/>
        <v>9.9999999999999586E-3</v>
      </c>
      <c r="AD35" s="11">
        <f t="shared" si="55"/>
        <v>1.0000000000000007E-2</v>
      </c>
      <c r="AE35" s="11">
        <f t="shared" si="55"/>
        <v>9.9999999999999534E-3</v>
      </c>
      <c r="AF35" s="11">
        <f t="shared" si="55"/>
        <v>9.9999999999999933E-3</v>
      </c>
      <c r="AG35" s="11">
        <f t="shared" si="55"/>
        <v>9.9999999999999378E-3</v>
      </c>
      <c r="AH35" s="11">
        <f t="shared" si="55"/>
        <v>9.9999999999999829E-3</v>
      </c>
      <c r="AI35" s="11">
        <f t="shared" si="55"/>
        <v>9.9999999999999568E-3</v>
      </c>
      <c r="AJ35" s="11">
        <f t="shared" si="55"/>
        <v>1.0000000000000044E-2</v>
      </c>
      <c r="AK35" s="11">
        <f t="shared" si="55"/>
        <v>1.0000000000000057E-2</v>
      </c>
      <c r="AM35" s="1" t="s">
        <v>60</v>
      </c>
      <c r="AN35" s="6">
        <f>NPV(AN34,AA28:EK28)</f>
        <v>241761.66980588814</v>
      </c>
    </row>
    <row r="36" spans="2:40" x14ac:dyDescent="0.3">
      <c r="B36" s="1" t="s">
        <v>51</v>
      </c>
      <c r="G36" s="11">
        <f t="shared" ref="G36:L36" si="56">(G8-G12)/G8</f>
        <v>0.41980548187444738</v>
      </c>
      <c r="H36" s="11">
        <f t="shared" si="56"/>
        <v>0.45873987101041841</v>
      </c>
      <c r="I36" s="11">
        <f t="shared" si="56"/>
        <v>0.44557351809083912</v>
      </c>
      <c r="J36" s="11">
        <f t="shared" si="56"/>
        <v>0.42676691729323307</v>
      </c>
      <c r="K36" s="11">
        <f t="shared" si="56"/>
        <v>0.42334961399086185</v>
      </c>
      <c r="L36" s="11">
        <f t="shared" si="56"/>
        <v>0.44006568144499181</v>
      </c>
      <c r="M36" s="11">
        <f>(M8-M12)/M8</f>
        <v>0.45953579761758567</v>
      </c>
      <c r="N36" s="11">
        <f>(N8-N12)/N8</f>
        <v>0.47017334130304844</v>
      </c>
      <c r="O36" s="11" t="e">
        <f t="shared" ref="O36:R36" si="57">(O8-O12)/O8</f>
        <v>#DIV/0!</v>
      </c>
      <c r="P36" s="11" t="e">
        <f t="shared" si="57"/>
        <v>#DIV/0!</v>
      </c>
      <c r="Q36" s="11" t="e">
        <f t="shared" si="57"/>
        <v>#DIV/0!</v>
      </c>
      <c r="R36" s="11" t="e">
        <f t="shared" si="57"/>
        <v>#DIV/0!</v>
      </c>
      <c r="X36" s="11">
        <f t="shared" ref="X36:AK36" si="58">(X8-X12)/X8</f>
        <v>0.40932134096484057</v>
      </c>
      <c r="Y36" s="11">
        <f t="shared" si="58"/>
        <v>0.42409787553553291</v>
      </c>
      <c r="Z36" s="11">
        <f t="shared" si="58"/>
        <v>0.43787982452609975</v>
      </c>
      <c r="AA36" s="11">
        <f t="shared" si="58"/>
        <v>0.45015416238437822</v>
      </c>
      <c r="AB36" s="11">
        <f t="shared" si="58"/>
        <v>0.46</v>
      </c>
      <c r="AC36" s="11">
        <f t="shared" si="58"/>
        <v>0.47</v>
      </c>
      <c r="AD36" s="11">
        <f t="shared" si="58"/>
        <v>0.47000000000000003</v>
      </c>
      <c r="AE36" s="11">
        <f t="shared" si="58"/>
        <v>0.47</v>
      </c>
      <c r="AF36" s="11">
        <f t="shared" si="58"/>
        <v>0.47</v>
      </c>
      <c r="AG36" s="11">
        <f t="shared" si="58"/>
        <v>0.47</v>
      </c>
      <c r="AH36" s="11">
        <f t="shared" si="58"/>
        <v>0.46999999999999992</v>
      </c>
      <c r="AI36" s="11">
        <f t="shared" si="58"/>
        <v>0.47000000000000003</v>
      </c>
      <c r="AJ36" s="11">
        <f t="shared" si="58"/>
        <v>0.47</v>
      </c>
      <c r="AK36" s="11">
        <f t="shared" si="58"/>
        <v>0.46999999999999992</v>
      </c>
      <c r="AM36" s="1" t="s">
        <v>61</v>
      </c>
      <c r="AN36" s="6">
        <f>Main!D8</f>
        <v>30686</v>
      </c>
    </row>
    <row r="37" spans="2:40" x14ac:dyDescent="0.3">
      <c r="B37" s="1" t="s">
        <v>42</v>
      </c>
      <c r="G37" s="11">
        <f t="shared" ref="G37:L37" si="59">G14/G10</f>
        <v>0.28850916295195639</v>
      </c>
      <c r="H37" s="11">
        <f t="shared" si="59"/>
        <v>0.32194113354414983</v>
      </c>
      <c r="I37" s="11">
        <f t="shared" si="59"/>
        <v>0.3038130381303813</v>
      </c>
      <c r="J37" s="11">
        <f t="shared" si="59"/>
        <v>0.31568825910931175</v>
      </c>
      <c r="K37" s="11">
        <f t="shared" si="59"/>
        <v>0.3338888888888889</v>
      </c>
      <c r="L37" s="11">
        <f t="shared" si="59"/>
        <v>0.32551724137931032</v>
      </c>
      <c r="M37" s="11">
        <f>M14/M10</f>
        <v>0.31346187864850522</v>
      </c>
      <c r="N37" s="11">
        <f>N14/N10</f>
        <v>0.29515381373788452</v>
      </c>
      <c r="O37" s="11" t="e">
        <f t="shared" ref="O37:R37" si="60">O14/O10</f>
        <v>#DIV/0!</v>
      </c>
      <c r="P37" s="11" t="e">
        <f t="shared" si="60"/>
        <v>#DIV/0!</v>
      </c>
      <c r="Q37" s="11" t="e">
        <f t="shared" si="60"/>
        <v>#DIV/0!</v>
      </c>
      <c r="R37" s="11" t="e">
        <f t="shared" si="60"/>
        <v>#DIV/0!</v>
      </c>
      <c r="X37" s="11">
        <f t="shared" ref="X37:AK37" si="61">X14/X10</f>
        <v>0.27480711939500418</v>
      </c>
      <c r="Y37" s="11">
        <f t="shared" si="61"/>
        <v>0.28223661566381925</v>
      </c>
      <c r="Z37" s="11">
        <f t="shared" si="61"/>
        <v>0.30787847726431478</v>
      </c>
      <c r="AA37" s="11">
        <f t="shared" si="61"/>
        <v>0.31556437702322726</v>
      </c>
      <c r="AB37" s="11">
        <f t="shared" si="61"/>
        <v>0.33152695799192416</v>
      </c>
      <c r="AC37" s="11">
        <f t="shared" si="61"/>
        <v>0.34034122241709741</v>
      </c>
      <c r="AD37" s="11">
        <f t="shared" si="61"/>
        <v>0.34119767806280776</v>
      </c>
      <c r="AE37" s="11">
        <f t="shared" si="61"/>
        <v>0.34294020024312255</v>
      </c>
      <c r="AF37" s="11">
        <f t="shared" si="61"/>
        <v>0.34294020024312255</v>
      </c>
      <c r="AG37" s="11">
        <f t="shared" si="61"/>
        <v>0.34294020024312261</v>
      </c>
      <c r="AH37" s="11">
        <f t="shared" si="61"/>
        <v>0.34294020024312261</v>
      </c>
      <c r="AI37" s="11">
        <f t="shared" si="61"/>
        <v>0.34294020024312266</v>
      </c>
      <c r="AJ37" s="11">
        <f t="shared" si="61"/>
        <v>0.34294020024312266</v>
      </c>
      <c r="AK37" s="11">
        <f t="shared" si="61"/>
        <v>0.34294020024312249</v>
      </c>
      <c r="AM37" s="1" t="s">
        <v>62</v>
      </c>
      <c r="AN37" s="6">
        <f>AN35+AN36</f>
        <v>272447.66980588814</v>
      </c>
    </row>
    <row r="38" spans="2:40" x14ac:dyDescent="0.3">
      <c r="B38" s="1" t="s">
        <v>44</v>
      </c>
      <c r="K38" s="11">
        <f t="shared" ref="K38:L38" si="62">K15/G15-1</f>
        <v>-0.14619883040935677</v>
      </c>
      <c r="L38" s="11">
        <f t="shared" si="62"/>
        <v>0.10389610389610393</v>
      </c>
      <c r="M38" s="11">
        <f>M15/I15-1</f>
        <v>-0.10150375939849621</v>
      </c>
      <c r="N38" s="11">
        <f>N15/J15-1</f>
        <v>-0.13828867761452035</v>
      </c>
      <c r="O38" s="11">
        <f t="shared" ref="O38:R38" si="63">O15/K15-1</f>
        <v>-1</v>
      </c>
      <c r="P38" s="11">
        <f t="shared" si="63"/>
        <v>-1</v>
      </c>
      <c r="Q38" s="11">
        <f t="shared" si="63"/>
        <v>-1</v>
      </c>
      <c r="R38" s="11">
        <f t="shared" si="63"/>
        <v>-1</v>
      </c>
      <c r="X38" s="11"/>
      <c r="Y38" s="11">
        <f>Y15/X15-1</f>
        <v>0.10157952069716769</v>
      </c>
      <c r="Z38" s="11">
        <f>Z15/Y15-1</f>
        <v>9.6909765142150883E-2</v>
      </c>
      <c r="AA38" s="11">
        <f t="shared" ref="AA38:AK38" si="64">AA15/Z15-1</f>
        <v>-7.8656750056344427E-2</v>
      </c>
      <c r="AB38" s="11">
        <f t="shared" si="64"/>
        <v>3.0000000000000027E-2</v>
      </c>
      <c r="AC38" s="11">
        <f t="shared" si="64"/>
        <v>2.0000000000000018E-2</v>
      </c>
      <c r="AD38" s="11">
        <f t="shared" si="64"/>
        <v>2.0000000000000018E-2</v>
      </c>
      <c r="AE38" s="11">
        <f t="shared" si="64"/>
        <v>2.0000000000000018E-2</v>
      </c>
      <c r="AF38" s="11">
        <f t="shared" si="64"/>
        <v>2.0000000000000018E-2</v>
      </c>
      <c r="AG38" s="11">
        <f t="shared" si="64"/>
        <v>2.0000000000000018E-2</v>
      </c>
      <c r="AH38" s="11">
        <f t="shared" si="64"/>
        <v>2.0000000000000018E-2</v>
      </c>
      <c r="AI38" s="11">
        <f t="shared" si="64"/>
        <v>2.0000000000000018E-2</v>
      </c>
      <c r="AJ38" s="11">
        <f t="shared" si="64"/>
        <v>2.0000000000000018E-2</v>
      </c>
      <c r="AK38" s="11">
        <f t="shared" si="64"/>
        <v>2.0000000000000018E-2</v>
      </c>
      <c r="AM38" s="1" t="s">
        <v>63</v>
      </c>
      <c r="AN38" s="7">
        <f>AN37/AK29</f>
        <v>259.77085221766606</v>
      </c>
    </row>
    <row r="39" spans="2:40" x14ac:dyDescent="0.3">
      <c r="B39" s="1" t="s">
        <v>45</v>
      </c>
      <c r="K39" s="11">
        <f t="shared" ref="K39:L39" si="65">K17/G17-1</f>
        <v>0.32962962962962972</v>
      </c>
      <c r="L39" s="11">
        <f t="shared" si="65"/>
        <v>0.19666666666666677</v>
      </c>
      <c r="M39" s="11">
        <f>M17/I17-1</f>
        <v>0.25377643504531733</v>
      </c>
      <c r="N39" s="11">
        <f>N17/J17-1</f>
        <v>0.16363636363636358</v>
      </c>
      <c r="O39" s="11">
        <f t="shared" ref="O39:R39" si="66">O17/K17-1</f>
        <v>-1</v>
      </c>
      <c r="P39" s="11">
        <f t="shared" si="66"/>
        <v>-1</v>
      </c>
      <c r="Q39" s="11">
        <f t="shared" si="66"/>
        <v>-1</v>
      </c>
      <c r="R39" s="11">
        <f t="shared" si="66"/>
        <v>-1</v>
      </c>
      <c r="X39" s="11"/>
      <c r="Y39" s="11">
        <f>Y17/X17-1</f>
        <v>0.25123762376237613</v>
      </c>
      <c r="Z39" s="11">
        <f>Z17/Y17-1</f>
        <v>0.27200791295746796</v>
      </c>
      <c r="AA39" s="11">
        <f t="shared" ref="AA39:AK39" si="67">AA17/Z17-1</f>
        <v>0.22939346811819594</v>
      </c>
      <c r="AB39" s="11">
        <f t="shared" si="67"/>
        <v>0.17999999999999994</v>
      </c>
      <c r="AC39" s="11">
        <f t="shared" si="67"/>
        <v>0.12000000000000011</v>
      </c>
      <c r="AD39" s="11">
        <f t="shared" si="67"/>
        <v>8.0000000000000071E-2</v>
      </c>
      <c r="AE39" s="11">
        <f t="shared" si="67"/>
        <v>5.0000000000000044E-2</v>
      </c>
      <c r="AF39" s="11">
        <f t="shared" si="67"/>
        <v>3.0000000000000027E-2</v>
      </c>
      <c r="AG39" s="11">
        <f t="shared" si="67"/>
        <v>3.0000000000000027E-2</v>
      </c>
      <c r="AH39" s="11">
        <f t="shared" si="67"/>
        <v>3.0000000000000027E-2</v>
      </c>
      <c r="AI39" s="11">
        <f t="shared" si="67"/>
        <v>3.0000000000000027E-2</v>
      </c>
      <c r="AJ39" s="11">
        <f t="shared" si="67"/>
        <v>3.0000000000000027E-2</v>
      </c>
      <c r="AK39" s="11">
        <f t="shared" si="67"/>
        <v>3.0000000000000027E-2</v>
      </c>
      <c r="AM39" s="1" t="s">
        <v>64</v>
      </c>
      <c r="AN39" s="7">
        <f>Main!D3</f>
        <v>329.58</v>
      </c>
    </row>
    <row r="40" spans="2:40" x14ac:dyDescent="0.3">
      <c r="B40" s="1" t="s">
        <v>43</v>
      </c>
      <c r="G40" s="11">
        <f t="shared" ref="G40:L40" si="68">(G9-G19)/G9</f>
        <v>0.28668941979522183</v>
      </c>
      <c r="H40" s="11">
        <f t="shared" si="68"/>
        <v>0.23421354764638347</v>
      </c>
      <c r="I40" s="11">
        <f t="shared" si="68"/>
        <v>0.20578420467185762</v>
      </c>
      <c r="J40" s="11">
        <f t="shared" si="68"/>
        <v>0.54828326180257514</v>
      </c>
      <c r="K40" s="11">
        <f t="shared" si="68"/>
        <v>0.24946466809421841</v>
      </c>
      <c r="L40" s="11">
        <f t="shared" si="68"/>
        <v>0.19954128440366972</v>
      </c>
      <c r="M40" s="11">
        <f>(M9-M19)/M9</f>
        <v>0.42857142857142855</v>
      </c>
      <c r="N40" s="11">
        <f>(N9-N19)/N9</f>
        <v>0.35446009389671362</v>
      </c>
      <c r="O40" s="11" t="e">
        <f t="shared" ref="O40:R40" si="69">(O9-O19)/O9</f>
        <v>#DIV/0!</v>
      </c>
      <c r="P40" s="11" t="e">
        <f t="shared" si="69"/>
        <v>#DIV/0!</v>
      </c>
      <c r="Q40" s="11" t="e">
        <f t="shared" si="69"/>
        <v>#DIV/0!</v>
      </c>
      <c r="R40" s="11" t="e">
        <f t="shared" si="69"/>
        <v>#DIV/0!</v>
      </c>
      <c r="X40" s="11">
        <f>(X9-X19)/X9</f>
        <v>0.12343591477849171</v>
      </c>
      <c r="Y40" s="11">
        <f t="shared" ref="Y40:AK40" si="70">(Y9-Y19)/Y9</f>
        <v>0.14842136323399233</v>
      </c>
      <c r="Z40" s="11">
        <f t="shared" si="70"/>
        <v>0.32169784976263616</v>
      </c>
      <c r="AA40" s="11">
        <f t="shared" si="70"/>
        <v>0.30682139824511745</v>
      </c>
      <c r="AB40" s="11">
        <f t="shared" si="70"/>
        <v>0.31348657710814515</v>
      </c>
      <c r="AC40" s="11">
        <f t="shared" si="70"/>
        <v>0.3201517559711729</v>
      </c>
      <c r="AD40" s="11">
        <f t="shared" si="70"/>
        <v>0.32015175597117296</v>
      </c>
      <c r="AE40" s="11">
        <f t="shared" si="70"/>
        <v>0.32015175597117296</v>
      </c>
      <c r="AF40" s="11">
        <f t="shared" si="70"/>
        <v>0.32015175597117296</v>
      </c>
      <c r="AG40" s="11">
        <f t="shared" si="70"/>
        <v>0.3201517559711729</v>
      </c>
      <c r="AH40" s="11">
        <f t="shared" si="70"/>
        <v>0.32015175597117296</v>
      </c>
      <c r="AI40" s="11">
        <f t="shared" si="70"/>
        <v>0.3201517559711729</v>
      </c>
      <c r="AJ40" s="11">
        <f t="shared" si="70"/>
        <v>0.32015175597117296</v>
      </c>
      <c r="AK40" s="11">
        <f t="shared" si="70"/>
        <v>0.32015175597117285</v>
      </c>
      <c r="AM40" s="2" t="s">
        <v>65</v>
      </c>
      <c r="AN40" s="12">
        <f>AN38/AN39-1</f>
        <v>-0.21181245155147133</v>
      </c>
    </row>
    <row r="41" spans="2:40" x14ac:dyDescent="0.3">
      <c r="B41" s="1" t="s">
        <v>48</v>
      </c>
      <c r="G41" s="11">
        <f t="shared" ref="G41:L41" si="71">G22/(G10+G9)</f>
        <v>8.5315466219988839E-2</v>
      </c>
      <c r="H41" s="11">
        <f t="shared" si="71"/>
        <v>0.14340701638623116</v>
      </c>
      <c r="I41" s="11">
        <f t="shared" si="71"/>
        <v>6.7567567567567571E-2</v>
      </c>
      <c r="J41" s="11">
        <f t="shared" si="71"/>
        <v>0.16463189049204588</v>
      </c>
      <c r="K41" s="11">
        <f t="shared" si="71"/>
        <v>0.17535735856653917</v>
      </c>
      <c r="L41" s="11">
        <f t="shared" si="71"/>
        <v>0.17183814189802213</v>
      </c>
      <c r="M41" s="11">
        <f>M22/(M10+M9)</f>
        <v>0.16673507922173877</v>
      </c>
      <c r="N41" s="11">
        <f>N22/(N10+N9)</f>
        <v>0.16175198553117873</v>
      </c>
      <c r="O41" s="11" t="e">
        <f t="shared" ref="O41:R41" si="72">O22/(O10+O9)</f>
        <v>#DIV/0!</v>
      </c>
      <c r="P41" s="11" t="e">
        <f t="shared" si="72"/>
        <v>#DIV/0!</v>
      </c>
      <c r="Q41" s="11" t="e">
        <f t="shared" si="72"/>
        <v>#DIV/0!</v>
      </c>
      <c r="R41" s="11" t="e">
        <f t="shared" si="72"/>
        <v>#DIV/0!</v>
      </c>
      <c r="X41" s="11">
        <f>X22/(X10+X9)</f>
        <v>2.2341192216616904E-2</v>
      </c>
      <c r="Y41" s="11">
        <f t="shared" ref="Y41:AK41" si="73">Y22/(Y10+Y9)</f>
        <v>7.7684734638451963E-2</v>
      </c>
      <c r="Z41" s="11">
        <f t="shared" si="73"/>
        <v>0.11660896077722081</v>
      </c>
      <c r="AA41" s="11">
        <f t="shared" si="73"/>
        <v>0.16844768177258254</v>
      </c>
      <c r="AB41" s="11">
        <f t="shared" si="73"/>
        <v>0.19743824285180023</v>
      </c>
      <c r="AC41" s="11">
        <f t="shared" si="73"/>
        <v>0.21462154140831746</v>
      </c>
      <c r="AD41" s="11">
        <f t="shared" si="73"/>
        <v>0.220736257083887</v>
      </c>
      <c r="AE41" s="11">
        <f t="shared" si="73"/>
        <v>0.22604346341033885</v>
      </c>
      <c r="AF41" s="11">
        <f t="shared" si="73"/>
        <v>0.22777132875025924</v>
      </c>
      <c r="AG41" s="11">
        <f t="shared" si="73"/>
        <v>0.22843592829068268</v>
      </c>
      <c r="AH41" s="11">
        <f t="shared" si="73"/>
        <v>0.22804176765092996</v>
      </c>
      <c r="AI41" s="11">
        <f t="shared" si="73"/>
        <v>0.22764429518422999</v>
      </c>
      <c r="AJ41" s="11">
        <f t="shared" si="73"/>
        <v>0.22724347391176053</v>
      </c>
      <c r="AK41" s="11">
        <f t="shared" si="73"/>
        <v>0.22683926652097031</v>
      </c>
      <c r="AM41" s="1" t="s">
        <v>66</v>
      </c>
      <c r="AN41" s="3" t="s">
        <v>73</v>
      </c>
    </row>
    <row r="42" spans="2:40" x14ac:dyDescent="0.3">
      <c r="B42" s="1" t="s">
        <v>38</v>
      </c>
      <c r="G42" s="11">
        <f t="shared" ref="G42:L42" si="74">G26/G25</f>
        <v>0.1227364185110664</v>
      </c>
      <c r="H42" s="11">
        <f t="shared" si="74"/>
        <v>8.6505190311418678E-2</v>
      </c>
      <c r="I42" s="11">
        <f t="shared" si="74"/>
        <v>0.1045958795562599</v>
      </c>
      <c r="J42" s="11">
        <f t="shared" si="74"/>
        <v>0.17226341037941562</v>
      </c>
      <c r="K42" s="11">
        <f t="shared" si="74"/>
        <v>0.12605790645879733</v>
      </c>
      <c r="L42" s="11">
        <f t="shared" si="74"/>
        <v>0.16241105064880704</v>
      </c>
      <c r="M42" s="11">
        <f>M26/M25</f>
        <v>0.13683373110580749</v>
      </c>
      <c r="N42" s="11">
        <f>N26/N25</f>
        <v>0.13679410733076114</v>
      </c>
      <c r="O42" s="11" t="e">
        <f t="shared" ref="O42:R42" si="75">O26/O25</f>
        <v>#DIV/0!</v>
      </c>
      <c r="P42" s="11" t="e">
        <f t="shared" si="75"/>
        <v>#DIV/0!</v>
      </c>
      <c r="Q42" s="11" t="e">
        <f t="shared" si="75"/>
        <v>#DIV/0!</v>
      </c>
      <c r="R42" s="11" t="e">
        <f t="shared" si="75"/>
        <v>#DIV/0!</v>
      </c>
      <c r="X42" s="11">
        <f>X26/X25</f>
        <v>0.11103810775295664</v>
      </c>
      <c r="Y42" s="11">
        <f t="shared" ref="Y42:AK42" si="76">Y26/Y25</f>
        <v>9.5192491859796974E-2</v>
      </c>
      <c r="Z42" s="11">
        <f t="shared" si="76"/>
        <v>0.12626328914555715</v>
      </c>
      <c r="AA42" s="11">
        <f t="shared" si="76"/>
        <v>0.14051405140514051</v>
      </c>
      <c r="AB42" s="11">
        <f t="shared" si="76"/>
        <v>0.14000000000000001</v>
      </c>
      <c r="AC42" s="11">
        <f t="shared" si="76"/>
        <v>0.14000000000000001</v>
      </c>
      <c r="AD42" s="11">
        <f t="shared" si="76"/>
        <v>0.14000000000000001</v>
      </c>
      <c r="AE42" s="11">
        <f t="shared" si="76"/>
        <v>0.14000000000000001</v>
      </c>
      <c r="AF42" s="11">
        <f t="shared" si="76"/>
        <v>0.14000000000000001</v>
      </c>
      <c r="AG42" s="11">
        <f t="shared" si="76"/>
        <v>0.14000000000000001</v>
      </c>
      <c r="AH42" s="11">
        <f t="shared" si="76"/>
        <v>0.14000000000000001</v>
      </c>
      <c r="AI42" s="11">
        <f t="shared" si="76"/>
        <v>0.14000000000000001</v>
      </c>
      <c r="AJ42" s="11">
        <f t="shared" si="76"/>
        <v>0.14000000000000001</v>
      </c>
      <c r="AK42" s="11">
        <f t="shared" si="76"/>
        <v>0.14000000000000001</v>
      </c>
    </row>
    <row r="43" spans="2:40" x14ac:dyDescent="0.3">
      <c r="B43" s="1" t="s">
        <v>49</v>
      </c>
      <c r="G43" s="11">
        <f t="shared" ref="G43:L43" si="77">G28/(G10+G9)</f>
        <v>0.17185929648241205</v>
      </c>
      <c r="H43" s="11">
        <f t="shared" si="77"/>
        <v>0.1390080281535247</v>
      </c>
      <c r="I43" s="11">
        <f t="shared" si="77"/>
        <v>0.1881731355415566</v>
      </c>
      <c r="J43" s="11">
        <f t="shared" si="77"/>
        <v>0.1757306696263411</v>
      </c>
      <c r="K43" s="11">
        <f t="shared" si="77"/>
        <v>0.19901348902758204</v>
      </c>
      <c r="L43" s="11">
        <f t="shared" si="77"/>
        <v>0.1840863727091272</v>
      </c>
      <c r="M43" s="11">
        <f>M28/(M10+M9)</f>
        <v>0.17699696248255481</v>
      </c>
      <c r="N43" s="11">
        <f>N28/(N10+N9)</f>
        <v>0.19973264134622945</v>
      </c>
      <c r="O43" s="11" t="e">
        <f t="shared" ref="O43:R43" si="78">O28/(O10+O9)</f>
        <v>#DIV/0!</v>
      </c>
      <c r="P43" s="11" t="e">
        <f t="shared" si="78"/>
        <v>#DIV/0!</v>
      </c>
      <c r="Q43" s="11" t="e">
        <f t="shared" si="78"/>
        <v>#DIV/0!</v>
      </c>
      <c r="R43" s="11" t="e">
        <f t="shared" si="78"/>
        <v>#DIV/0!</v>
      </c>
      <c r="X43" s="11">
        <f>X28/(X10+X9)</f>
        <v>1.1565256185867737E-2</v>
      </c>
      <c r="Y43" s="11">
        <f t="shared" ref="Y43:AK43" si="79">Y28/(Y10+Y9)</f>
        <v>0.26824714269548489</v>
      </c>
      <c r="Z43" s="11">
        <f t="shared" si="79"/>
        <v>0.16937109193323344</v>
      </c>
      <c r="AA43" s="11">
        <f t="shared" si="79"/>
        <v>0.18977624634710166</v>
      </c>
      <c r="AB43" s="11">
        <f t="shared" si="79"/>
        <v>0.20974613235943773</v>
      </c>
      <c r="AC43" s="11">
        <f t="shared" si="79"/>
        <v>0.22069461592117684</v>
      </c>
      <c r="AD43" s="11">
        <f t="shared" si="79"/>
        <v>0.22354180097487333</v>
      </c>
      <c r="AE43" s="11">
        <f t="shared" si="79"/>
        <v>0.22650045375009797</v>
      </c>
      <c r="AF43" s="11">
        <f t="shared" si="79"/>
        <v>0.22712953249444565</v>
      </c>
      <c r="AG43" s="11">
        <f t="shared" si="79"/>
        <v>0.2271446964732132</v>
      </c>
      <c r="AH43" s="11">
        <f t="shared" si="79"/>
        <v>0.22653804247450327</v>
      </c>
      <c r="AI43" s="11">
        <f t="shared" si="79"/>
        <v>0.22593087713917287</v>
      </c>
      <c r="AJ43" s="11">
        <f t="shared" si="79"/>
        <v>0.22532315090726152</v>
      </c>
      <c r="AK43" s="11">
        <f t="shared" si="79"/>
        <v>0.22471481401771881</v>
      </c>
    </row>
    <row r="46" spans="2:40" s="15" customFormat="1" x14ac:dyDescent="0.3">
      <c r="B46" s="15" t="s">
        <v>70</v>
      </c>
      <c r="N46" s="16">
        <v>130169</v>
      </c>
      <c r="AA46" s="16">
        <v>130169</v>
      </c>
    </row>
    <row r="47" spans="2:40" x14ac:dyDescent="0.3">
      <c r="B47" s="1" t="s">
        <v>71</v>
      </c>
      <c r="N47" s="17">
        <f>Main!$D$9/Model!N46</f>
        <v>2.4197581912744197</v>
      </c>
      <c r="AA47" s="17">
        <f>Main!$D$9/Model!AA46</f>
        <v>2.4197581912744197</v>
      </c>
    </row>
    <row r="48" spans="2:40" x14ac:dyDescent="0.3">
      <c r="B48" s="1" t="s">
        <v>72</v>
      </c>
      <c r="N48" s="11">
        <f>N46/Main!$D$9-1</f>
        <v>-0.58673556572471908</v>
      </c>
      <c r="AA48" s="11">
        <f>AA46/Main!$D$9-1</f>
        <v>-0.58673556572471908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2025-12-24T12:14:50Z</dcterms:created>
  <dcterms:modified xsi:type="dcterms:W3CDTF">2026-02-19T08:58:06Z</dcterms:modified>
</cp:coreProperties>
</file>