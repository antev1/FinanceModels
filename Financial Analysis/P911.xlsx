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405BD6D-EDE1-4FE5-8275-0B9EC245EF1B}" xr6:coauthVersionLast="47" xr6:coauthVersionMax="47" xr10:uidLastSave="{00000000-0000-0000-0000-000000000000}"/>
  <bookViews>
    <workbookView xWindow="-108" yWindow="-108" windowWidth="23256" windowHeight="12576" activeTab="1" xr2:uid="{ADB93E99-8582-4CC2-91C5-631F33C446C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4" i="2" l="1"/>
  <c r="R32" i="2"/>
  <c r="Q50" i="2"/>
  <c r="Q48" i="2"/>
  <c r="Q47" i="2"/>
  <c r="Q44" i="2"/>
  <c r="Q45" i="2" s="1"/>
  <c r="Q40" i="2"/>
  <c r="Q37" i="2"/>
  <c r="Q34" i="2"/>
  <c r="Q33" i="2"/>
  <c r="Q38" i="2" s="1"/>
  <c r="Q31" i="2"/>
  <c r="Q32" i="2" s="1"/>
  <c r="Q30" i="2"/>
  <c r="Q83" i="2"/>
  <c r="Q78" i="2"/>
  <c r="Q71" i="2"/>
  <c r="Q65" i="2"/>
  <c r="Q7" i="2"/>
  <c r="Q27" i="2" s="1"/>
  <c r="Q25" i="2"/>
  <c r="Q24" i="2"/>
  <c r="Q26" i="2" s="1"/>
  <c r="Q22" i="2"/>
  <c r="Q21" i="2"/>
  <c r="Q20" i="2"/>
  <c r="Q23" i="2" s="1"/>
  <c r="Q18" i="2"/>
  <c r="Q19" i="2" s="1"/>
  <c r="Q17" i="2"/>
  <c r="Q11" i="2"/>
  <c r="Q10" i="2"/>
  <c r="Q8" i="2"/>
  <c r="Q6" i="2"/>
  <c r="Q4" i="2"/>
  <c r="Q3" i="2"/>
  <c r="Q12" i="2"/>
  <c r="Q9" i="2"/>
  <c r="Q5" i="2"/>
  <c r="R33" i="2"/>
  <c r="P15" i="2"/>
  <c r="W27" i="2"/>
  <c r="V27" i="2"/>
  <c r="U27" i="2"/>
  <c r="T27" i="2"/>
  <c r="M27" i="2"/>
  <c r="L27" i="2"/>
  <c r="K27" i="2"/>
  <c r="J27" i="2"/>
  <c r="I27" i="2"/>
  <c r="H27" i="2"/>
  <c r="G27" i="2"/>
  <c r="N27" i="2"/>
  <c r="O27" i="2"/>
  <c r="P27" i="2"/>
  <c r="P11" i="2"/>
  <c r="P10" i="2"/>
  <c r="P12" i="2" s="1"/>
  <c r="P8" i="2"/>
  <c r="P7" i="2"/>
  <c r="P6" i="2"/>
  <c r="P4" i="2"/>
  <c r="P3" i="2"/>
  <c r="P50" i="2"/>
  <c r="P48" i="2"/>
  <c r="P47" i="2"/>
  <c r="P44" i="2"/>
  <c r="P40" i="2"/>
  <c r="X40" i="2" s="1"/>
  <c r="P37" i="2"/>
  <c r="X37" i="2" s="1"/>
  <c r="P34" i="2"/>
  <c r="P33" i="2"/>
  <c r="P38" i="2" s="1"/>
  <c r="P31" i="2"/>
  <c r="P30" i="2"/>
  <c r="P32" i="2" s="1"/>
  <c r="P83" i="2"/>
  <c r="P78" i="2"/>
  <c r="P71" i="2"/>
  <c r="P65" i="2"/>
  <c r="D7" i="1"/>
  <c r="D6" i="1"/>
  <c r="O21" i="2"/>
  <c r="W21" i="2"/>
  <c r="T12" i="2"/>
  <c r="T9" i="2"/>
  <c r="T5" i="2"/>
  <c r="U12" i="2"/>
  <c r="U9" i="2"/>
  <c r="U5" i="2"/>
  <c r="V12" i="2"/>
  <c r="V9" i="2"/>
  <c r="V5" i="2"/>
  <c r="W12" i="2"/>
  <c r="W9" i="2"/>
  <c r="W5" i="2"/>
  <c r="H11" i="2"/>
  <c r="I11" i="2" s="1"/>
  <c r="H10" i="2"/>
  <c r="I10" i="2" s="1"/>
  <c r="J10" i="2" s="1"/>
  <c r="H8" i="2"/>
  <c r="I8" i="2" s="1"/>
  <c r="J8" i="2" s="1"/>
  <c r="H6" i="2"/>
  <c r="I6" i="2" s="1"/>
  <c r="J6" i="2" s="1"/>
  <c r="H4" i="2"/>
  <c r="I4" i="2" s="1"/>
  <c r="J4" i="2" s="1"/>
  <c r="H3" i="2"/>
  <c r="I3" i="2" s="1"/>
  <c r="J3" i="2" s="1"/>
  <c r="L11" i="2"/>
  <c r="M11" i="2" s="1"/>
  <c r="N11" i="2" s="1"/>
  <c r="L10" i="2"/>
  <c r="M10" i="2" s="1"/>
  <c r="N10" i="2" s="1"/>
  <c r="L8" i="2"/>
  <c r="L6" i="2"/>
  <c r="M6" i="2" s="1"/>
  <c r="N6" i="2" s="1"/>
  <c r="L4" i="2"/>
  <c r="M4" i="2" s="1"/>
  <c r="N4" i="2" s="1"/>
  <c r="L3" i="2"/>
  <c r="M3" i="2" s="1"/>
  <c r="N3" i="2" s="1"/>
  <c r="G12" i="2"/>
  <c r="G9" i="2"/>
  <c r="G5" i="2"/>
  <c r="O5" i="2"/>
  <c r="O9" i="2"/>
  <c r="O12" i="2"/>
  <c r="K12" i="2"/>
  <c r="K9" i="2"/>
  <c r="K5" i="2"/>
  <c r="AK61" i="2"/>
  <c r="AH50" i="2"/>
  <c r="AG50" i="2"/>
  <c r="AF50" i="2"/>
  <c r="AE50" i="2"/>
  <c r="AD50" i="2"/>
  <c r="AC50" i="2"/>
  <c r="AB50" i="2"/>
  <c r="AA50" i="2"/>
  <c r="Z50" i="2"/>
  <c r="Y50" i="2"/>
  <c r="R50" i="2"/>
  <c r="R45" i="2"/>
  <c r="X48" i="2"/>
  <c r="Y48" i="2" s="1"/>
  <c r="Z48" i="2" s="1"/>
  <c r="AA48" i="2" s="1"/>
  <c r="AB48" i="2" s="1"/>
  <c r="AC48" i="2" s="1"/>
  <c r="AD48" i="2" s="1"/>
  <c r="AE48" i="2" s="1"/>
  <c r="AF48" i="2" s="1"/>
  <c r="AG48" i="2" s="1"/>
  <c r="AH48" i="2" s="1"/>
  <c r="X43" i="2"/>
  <c r="X42" i="2"/>
  <c r="X41" i="2"/>
  <c r="X50" i="2"/>
  <c r="J48" i="2"/>
  <c r="J47" i="2"/>
  <c r="J40" i="2"/>
  <c r="J34" i="2"/>
  <c r="J33" i="2"/>
  <c r="J31" i="2"/>
  <c r="J30" i="2"/>
  <c r="J50" i="2"/>
  <c r="I48" i="2"/>
  <c r="I47" i="2"/>
  <c r="I44" i="2"/>
  <c r="I40" i="2"/>
  <c r="I37" i="2"/>
  <c r="I34" i="2"/>
  <c r="I33" i="2"/>
  <c r="I31" i="2"/>
  <c r="I30" i="2"/>
  <c r="I50" i="2"/>
  <c r="H48" i="2"/>
  <c r="H47" i="2"/>
  <c r="H44" i="2"/>
  <c r="H40" i="2"/>
  <c r="H37" i="2"/>
  <c r="H34" i="2"/>
  <c r="H33" i="2"/>
  <c r="H31" i="2"/>
  <c r="H30" i="2"/>
  <c r="H50" i="2"/>
  <c r="C55" i="2"/>
  <c r="G56" i="2"/>
  <c r="G55" i="2"/>
  <c r="G53" i="2"/>
  <c r="V56" i="2"/>
  <c r="U56" i="2"/>
  <c r="V55" i="2"/>
  <c r="U55" i="2"/>
  <c r="T55" i="2"/>
  <c r="V53" i="2"/>
  <c r="U53" i="2"/>
  <c r="W56" i="2"/>
  <c r="W53" i="2"/>
  <c r="W55" i="2"/>
  <c r="C50" i="2"/>
  <c r="C45" i="2"/>
  <c r="C38" i="2"/>
  <c r="C32" i="2"/>
  <c r="C54" i="2" s="1"/>
  <c r="G50" i="2"/>
  <c r="G45" i="2"/>
  <c r="G38" i="2"/>
  <c r="G32" i="2"/>
  <c r="G54" i="2" s="1"/>
  <c r="K56" i="2"/>
  <c r="K55" i="2"/>
  <c r="K53" i="2"/>
  <c r="O56" i="2"/>
  <c r="O55" i="2"/>
  <c r="O53" i="2"/>
  <c r="T50" i="2"/>
  <c r="T45" i="2"/>
  <c r="T44" i="2"/>
  <c r="T38" i="2"/>
  <c r="T37" i="2"/>
  <c r="T32" i="2"/>
  <c r="T54" i="2" s="1"/>
  <c r="U50" i="2"/>
  <c r="U45" i="2"/>
  <c r="U44" i="2"/>
  <c r="U38" i="2"/>
  <c r="U37" i="2"/>
  <c r="U32" i="2"/>
  <c r="U54" i="2" s="1"/>
  <c r="I83" i="2"/>
  <c r="I78" i="2"/>
  <c r="I71" i="2"/>
  <c r="I65" i="2"/>
  <c r="L48" i="2"/>
  <c r="L47" i="2"/>
  <c r="L44" i="2"/>
  <c r="L40" i="2"/>
  <c r="L37" i="2"/>
  <c r="L34" i="2"/>
  <c r="P56" i="2" s="1"/>
  <c r="L33" i="2"/>
  <c r="L31" i="2"/>
  <c r="L30" i="2"/>
  <c r="L50" i="2"/>
  <c r="M48" i="2"/>
  <c r="M47" i="2"/>
  <c r="M44" i="2"/>
  <c r="M40" i="2"/>
  <c r="M37" i="2"/>
  <c r="M34" i="2"/>
  <c r="M33" i="2"/>
  <c r="M31" i="2"/>
  <c r="M30" i="2"/>
  <c r="M50" i="2"/>
  <c r="N48" i="2"/>
  <c r="N47" i="2"/>
  <c r="N40" i="2"/>
  <c r="N34" i="2"/>
  <c r="N33" i="2"/>
  <c r="N31" i="2"/>
  <c r="N30" i="2"/>
  <c r="R30" i="2" s="1"/>
  <c r="N50" i="2"/>
  <c r="M83" i="2"/>
  <c r="M78" i="2"/>
  <c r="M71" i="2"/>
  <c r="M65" i="2"/>
  <c r="H83" i="2"/>
  <c r="H78" i="2"/>
  <c r="H71" i="2"/>
  <c r="H65" i="2"/>
  <c r="L83" i="2"/>
  <c r="L78" i="2"/>
  <c r="L71" i="2"/>
  <c r="L65" i="2"/>
  <c r="W37" i="2"/>
  <c r="N37" i="2" s="1"/>
  <c r="V37" i="2"/>
  <c r="J37" i="2" s="1"/>
  <c r="K50" i="2"/>
  <c r="K45" i="2"/>
  <c r="K38" i="2"/>
  <c r="K32" i="2"/>
  <c r="K54" i="2" s="1"/>
  <c r="O45" i="2"/>
  <c r="W44" i="2"/>
  <c r="N44" i="2" s="1"/>
  <c r="V44" i="2"/>
  <c r="J44" i="2" s="1"/>
  <c r="O38" i="2"/>
  <c r="O50" i="2"/>
  <c r="O32" i="2"/>
  <c r="O54" i="2" s="1"/>
  <c r="V50" i="2"/>
  <c r="V45" i="2"/>
  <c r="V38" i="2"/>
  <c r="V32" i="2"/>
  <c r="V54" i="2" s="1"/>
  <c r="W50" i="2"/>
  <c r="W45" i="2"/>
  <c r="W38" i="2"/>
  <c r="W32" i="2"/>
  <c r="W54" i="2" s="1"/>
  <c r="D4" i="1"/>
  <c r="D5" i="1"/>
  <c r="F3" i="1"/>
  <c r="R56" i="2" l="1"/>
  <c r="Q39" i="2"/>
  <c r="Q46" i="2" s="1"/>
  <c r="Q49" i="2" s="1"/>
  <c r="Q51" i="2" s="1"/>
  <c r="X44" i="2"/>
  <c r="X45" i="2" s="1"/>
  <c r="Q72" i="2"/>
  <c r="Q79" i="2" s="1"/>
  <c r="Q82" i="2" s="1"/>
  <c r="Q84" i="2" s="1"/>
  <c r="Q13" i="2"/>
  <c r="Q56" i="2"/>
  <c r="P39" i="2"/>
  <c r="P45" i="2"/>
  <c r="P46" i="2" s="1"/>
  <c r="P49" i="2" s="1"/>
  <c r="P51" i="2" s="1"/>
  <c r="P21" i="2"/>
  <c r="P9" i="2"/>
  <c r="P5" i="2"/>
  <c r="P72" i="2"/>
  <c r="P79" i="2" s="1"/>
  <c r="P82" i="2" s="1"/>
  <c r="P84" i="2" s="1"/>
  <c r="K13" i="2"/>
  <c r="L9" i="2"/>
  <c r="M8" i="2"/>
  <c r="I12" i="2"/>
  <c r="J11" i="2"/>
  <c r="N12" i="2"/>
  <c r="J5" i="2"/>
  <c r="J9" i="2"/>
  <c r="N5" i="2"/>
  <c r="T13" i="2"/>
  <c r="U13" i="2"/>
  <c r="W13" i="2"/>
  <c r="V13" i="2"/>
  <c r="M12" i="2"/>
  <c r="M5" i="2"/>
  <c r="I9" i="2"/>
  <c r="I5" i="2"/>
  <c r="H12" i="2"/>
  <c r="H9" i="2"/>
  <c r="H5" i="2"/>
  <c r="L12" i="2"/>
  <c r="L5" i="2"/>
  <c r="G13" i="2"/>
  <c r="O13" i="2"/>
  <c r="I38" i="2"/>
  <c r="N53" i="2"/>
  <c r="H55" i="2"/>
  <c r="J45" i="2"/>
  <c r="I55" i="2"/>
  <c r="P54" i="2"/>
  <c r="P53" i="2"/>
  <c r="Q54" i="2"/>
  <c r="Q53" i="2"/>
  <c r="I45" i="2"/>
  <c r="M55" i="2"/>
  <c r="Y40" i="2"/>
  <c r="J32" i="2"/>
  <c r="J54" i="2" s="1"/>
  <c r="J38" i="2"/>
  <c r="J55" i="2"/>
  <c r="X34" i="2"/>
  <c r="Y34" i="2" s="1"/>
  <c r="Z34" i="2" s="1"/>
  <c r="N56" i="2"/>
  <c r="I32" i="2"/>
  <c r="M53" i="2"/>
  <c r="M56" i="2"/>
  <c r="H45" i="2"/>
  <c r="H38" i="2"/>
  <c r="L56" i="2"/>
  <c r="H32" i="2"/>
  <c r="H54" i="2" s="1"/>
  <c r="C39" i="2"/>
  <c r="G39" i="2"/>
  <c r="L45" i="2"/>
  <c r="N55" i="2"/>
  <c r="L55" i="2"/>
  <c r="M45" i="2"/>
  <c r="L53" i="2"/>
  <c r="M32" i="2"/>
  <c r="M54" i="2" s="1"/>
  <c r="N45" i="2"/>
  <c r="N32" i="2"/>
  <c r="N54" i="2" s="1"/>
  <c r="M38" i="2"/>
  <c r="L38" i="2"/>
  <c r="L72" i="2"/>
  <c r="L79" i="2" s="1"/>
  <c r="L82" i="2" s="1"/>
  <c r="L84" i="2" s="1"/>
  <c r="T39" i="2"/>
  <c r="U39" i="2"/>
  <c r="I72" i="2"/>
  <c r="I79" i="2" s="1"/>
  <c r="I82" i="2" s="1"/>
  <c r="I84" i="2" s="1"/>
  <c r="L32" i="2"/>
  <c r="L54" i="2" s="1"/>
  <c r="N38" i="2"/>
  <c r="M72" i="2"/>
  <c r="M79" i="2" s="1"/>
  <c r="M82" i="2" s="1"/>
  <c r="M84" i="2" s="1"/>
  <c r="H72" i="2"/>
  <c r="H79" i="2" s="1"/>
  <c r="H82" i="2" s="1"/>
  <c r="H84" i="2" s="1"/>
  <c r="K39" i="2"/>
  <c r="O39" i="2"/>
  <c r="D8" i="1"/>
  <c r="W39" i="2"/>
  <c r="V39" i="2"/>
  <c r="V15" i="2" l="1"/>
  <c r="V25" i="2"/>
  <c r="V22" i="2"/>
  <c r="V18" i="2"/>
  <c r="V19" i="2" s="1"/>
  <c r="V24" i="2"/>
  <c r="V20" i="2"/>
  <c r="V17" i="2"/>
  <c r="W15" i="2"/>
  <c r="W25" i="2"/>
  <c r="W18" i="2"/>
  <c r="W19" i="2" s="1"/>
  <c r="W24" i="2"/>
  <c r="W26" i="2" s="1"/>
  <c r="W20" i="2"/>
  <c r="W23" i="2" s="1"/>
  <c r="W17" i="2"/>
  <c r="W22" i="2"/>
  <c r="U15" i="2"/>
  <c r="U25" i="2"/>
  <c r="U22" i="2"/>
  <c r="U18" i="2"/>
  <c r="U17" i="2"/>
  <c r="U24" i="2"/>
  <c r="U26" i="2" s="1"/>
  <c r="U20" i="2"/>
  <c r="N8" i="2"/>
  <c r="T15" i="2"/>
  <c r="T24" i="2"/>
  <c r="T17" i="2"/>
  <c r="T25" i="2"/>
  <c r="T22" i="2"/>
  <c r="T18" i="2"/>
  <c r="T20" i="2"/>
  <c r="J12" i="2"/>
  <c r="K15" i="2"/>
  <c r="K22" i="2"/>
  <c r="K20" i="2"/>
  <c r="K23" i="2" s="1"/>
  <c r="K18" i="2"/>
  <c r="K19" i="2" s="1"/>
  <c r="K24" i="2"/>
  <c r="K25" i="2"/>
  <c r="K17" i="2"/>
  <c r="O15" i="2"/>
  <c r="O17" i="2"/>
  <c r="O25" i="2"/>
  <c r="O24" i="2"/>
  <c r="O26" i="2" s="1"/>
  <c r="O22" i="2"/>
  <c r="O20" i="2"/>
  <c r="O18" i="2"/>
  <c r="G15" i="2"/>
  <c r="G22" i="2"/>
  <c r="G17" i="2"/>
  <c r="G20" i="2"/>
  <c r="G18" i="2"/>
  <c r="G24" i="2"/>
  <c r="G25" i="2"/>
  <c r="P13" i="2"/>
  <c r="D9" i="1"/>
  <c r="AK58" i="2"/>
  <c r="L13" i="2"/>
  <c r="M9" i="2"/>
  <c r="M13" i="2" s="1"/>
  <c r="J13" i="2"/>
  <c r="J25" i="2" s="1"/>
  <c r="I13" i="2"/>
  <c r="H13" i="2"/>
  <c r="P55" i="2"/>
  <c r="Q55" i="2"/>
  <c r="U46" i="2"/>
  <c r="U57" i="2"/>
  <c r="T46" i="2"/>
  <c r="T57" i="2"/>
  <c r="R53" i="2"/>
  <c r="Y45" i="2"/>
  <c r="Z40" i="2"/>
  <c r="X56" i="2"/>
  <c r="Y56" i="2"/>
  <c r="M39" i="2"/>
  <c r="M57" i="2" s="1"/>
  <c r="G46" i="2"/>
  <c r="G57" i="2"/>
  <c r="I39" i="2"/>
  <c r="I54" i="2"/>
  <c r="V46" i="2"/>
  <c r="V58" i="2" s="1"/>
  <c r="V57" i="2"/>
  <c r="C46" i="2"/>
  <c r="C57" i="2"/>
  <c r="J39" i="2"/>
  <c r="X30" i="2"/>
  <c r="Y30" i="2" s="1"/>
  <c r="Z30" i="2" s="1"/>
  <c r="Z32" i="2" s="1"/>
  <c r="W46" i="2"/>
  <c r="W58" i="2" s="1"/>
  <c r="W57" i="2"/>
  <c r="H39" i="2"/>
  <c r="O46" i="2"/>
  <c r="O58" i="2" s="1"/>
  <c r="O57" i="2"/>
  <c r="K46" i="2"/>
  <c r="K57" i="2"/>
  <c r="N39" i="2"/>
  <c r="N57" i="2" s="1"/>
  <c r="L39" i="2"/>
  <c r="G26" i="2" l="1"/>
  <c r="G23" i="2"/>
  <c r="U19" i="2"/>
  <c r="L15" i="2"/>
  <c r="L24" i="2"/>
  <c r="L20" i="2"/>
  <c r="L23" i="2" s="1"/>
  <c r="L25" i="2"/>
  <c r="L22" i="2"/>
  <c r="L18" i="2"/>
  <c r="L17" i="2"/>
  <c r="G19" i="2"/>
  <c r="T26" i="2"/>
  <c r="J15" i="2"/>
  <c r="J17" i="2"/>
  <c r="J24" i="2"/>
  <c r="J26" i="2" s="1"/>
  <c r="J22" i="2"/>
  <c r="J20" i="2"/>
  <c r="J23" i="2" s="1"/>
  <c r="J18" i="2"/>
  <c r="M15" i="2"/>
  <c r="M25" i="2"/>
  <c r="M24" i="2"/>
  <c r="M17" i="2"/>
  <c r="M20" i="2"/>
  <c r="M18" i="2"/>
  <c r="M22" i="2"/>
  <c r="H15" i="2"/>
  <c r="H17" i="2"/>
  <c r="H18" i="2"/>
  <c r="H19" i="2" s="1"/>
  <c r="H24" i="2"/>
  <c r="H20" i="2"/>
  <c r="H23" i="2" s="1"/>
  <c r="H25" i="2"/>
  <c r="H22" i="2"/>
  <c r="O19" i="2"/>
  <c r="T23" i="2"/>
  <c r="N9" i="2"/>
  <c r="N13" i="2" s="1"/>
  <c r="N22" i="2"/>
  <c r="V23" i="2"/>
  <c r="I15" i="2"/>
  <c r="I17" i="2"/>
  <c r="I20" i="2"/>
  <c r="I25" i="2"/>
  <c r="I22" i="2"/>
  <c r="I18" i="2"/>
  <c r="I19" i="2" s="1"/>
  <c r="I24" i="2"/>
  <c r="I26" i="2" s="1"/>
  <c r="O23" i="2"/>
  <c r="K26" i="2"/>
  <c r="T19" i="2"/>
  <c r="U23" i="2"/>
  <c r="V26" i="2"/>
  <c r="P17" i="2"/>
  <c r="P25" i="2"/>
  <c r="P24" i="2"/>
  <c r="P22" i="2"/>
  <c r="P20" i="2"/>
  <c r="P18" i="2"/>
  <c r="V49" i="2"/>
  <c r="V59" i="2" s="1"/>
  <c r="N46" i="2"/>
  <c r="N58" i="2" s="1"/>
  <c r="M46" i="2"/>
  <c r="M58" i="2" s="1"/>
  <c r="W49" i="2"/>
  <c r="W51" i="2" s="1"/>
  <c r="X53" i="2"/>
  <c r="Q57" i="2"/>
  <c r="H46" i="2"/>
  <c r="H57" i="2"/>
  <c r="C49" i="2"/>
  <c r="C58" i="2"/>
  <c r="R31" i="2"/>
  <c r="X31" i="2" s="1"/>
  <c r="X32" i="2" s="1"/>
  <c r="R54" i="2"/>
  <c r="J46" i="2"/>
  <c r="J57" i="2"/>
  <c r="G49" i="2"/>
  <c r="G58" i="2"/>
  <c r="R38" i="2"/>
  <c r="R39" i="2" s="1"/>
  <c r="R55" i="2"/>
  <c r="I46" i="2"/>
  <c r="I57" i="2"/>
  <c r="AA34" i="2"/>
  <c r="T49" i="2"/>
  <c r="T58" i="2"/>
  <c r="X33" i="2"/>
  <c r="Z45" i="2"/>
  <c r="AA40" i="2"/>
  <c r="U49" i="2"/>
  <c r="U58" i="2"/>
  <c r="P57" i="2"/>
  <c r="O49" i="2"/>
  <c r="O51" i="2" s="1"/>
  <c r="K49" i="2"/>
  <c r="K58" i="2"/>
  <c r="L46" i="2"/>
  <c r="L57" i="2"/>
  <c r="L19" i="2" l="1"/>
  <c r="I23" i="2"/>
  <c r="H26" i="2"/>
  <c r="M26" i="2"/>
  <c r="L26" i="2"/>
  <c r="N15" i="2"/>
  <c r="N17" i="2"/>
  <c r="N20" i="2"/>
  <c r="N23" i="2" s="1"/>
  <c r="N24" i="2"/>
  <c r="N18" i="2"/>
  <c r="N25" i="2"/>
  <c r="J19" i="2"/>
  <c r="N49" i="2"/>
  <c r="M19" i="2"/>
  <c r="M23" i="2"/>
  <c r="P19" i="2"/>
  <c r="P26" i="2"/>
  <c r="P23" i="2"/>
  <c r="V51" i="2"/>
  <c r="W59" i="2"/>
  <c r="M49" i="2"/>
  <c r="M59" i="2" s="1"/>
  <c r="X54" i="2"/>
  <c r="X55" i="2"/>
  <c r="X38" i="2"/>
  <c r="X39" i="2" s="1"/>
  <c r="C51" i="2"/>
  <c r="C59" i="2"/>
  <c r="T51" i="2"/>
  <c r="T59" i="2"/>
  <c r="G51" i="2"/>
  <c r="G59" i="2"/>
  <c r="AB34" i="2"/>
  <c r="AA56" i="2"/>
  <c r="H49" i="2"/>
  <c r="H58" i="2"/>
  <c r="Z56" i="2"/>
  <c r="J49" i="2"/>
  <c r="J58" i="2"/>
  <c r="U51" i="2"/>
  <c r="U59" i="2"/>
  <c r="R57" i="2"/>
  <c r="R46" i="2"/>
  <c r="Q58" i="2"/>
  <c r="AA45" i="2"/>
  <c r="AB40" i="2"/>
  <c r="I49" i="2"/>
  <c r="I58" i="2"/>
  <c r="Y33" i="2"/>
  <c r="Y32" i="2"/>
  <c r="Y31" i="2" s="1"/>
  <c r="Y53" i="2"/>
  <c r="O59" i="2"/>
  <c r="N51" i="2"/>
  <c r="N59" i="2"/>
  <c r="K51" i="2"/>
  <c r="K59" i="2"/>
  <c r="L49" i="2"/>
  <c r="L58" i="2"/>
  <c r="N26" i="2" l="1"/>
  <c r="N19" i="2"/>
  <c r="M51" i="2"/>
  <c r="X46" i="2"/>
  <c r="X57" i="2"/>
  <c r="J51" i="2"/>
  <c r="J59" i="2"/>
  <c r="I51" i="2"/>
  <c r="I59" i="2"/>
  <c r="Y54" i="2"/>
  <c r="R47" i="2"/>
  <c r="R58" i="2" s="1"/>
  <c r="H51" i="2"/>
  <c r="H59" i="2"/>
  <c r="AB45" i="2"/>
  <c r="AC40" i="2"/>
  <c r="AA30" i="2"/>
  <c r="AA32" i="2" s="1"/>
  <c r="Z33" i="2"/>
  <c r="Z53" i="2"/>
  <c r="Y38" i="2"/>
  <c r="Y39" i="2" s="1"/>
  <c r="Y55" i="2"/>
  <c r="AC34" i="2"/>
  <c r="AB56" i="2"/>
  <c r="P59" i="2"/>
  <c r="P58" i="2"/>
  <c r="L51" i="2"/>
  <c r="L59" i="2"/>
  <c r="Q59" i="2" l="1"/>
  <c r="X47" i="2"/>
  <c r="X58" i="2" s="1"/>
  <c r="R49" i="2"/>
  <c r="R51" i="2" s="1"/>
  <c r="Y46" i="2"/>
  <c r="Y57" i="2"/>
  <c r="AD34" i="2"/>
  <c r="AC56" i="2"/>
  <c r="AC45" i="2"/>
  <c r="AD40" i="2"/>
  <c r="Z38" i="2"/>
  <c r="Z39" i="2" s="1"/>
  <c r="Z55" i="2"/>
  <c r="AA54" i="2"/>
  <c r="AA33" i="2"/>
  <c r="AB30" i="2"/>
  <c r="AB32" i="2" s="1"/>
  <c r="AA53" i="2"/>
  <c r="Z54" i="2"/>
  <c r="Z31" i="2"/>
  <c r="X49" i="2" l="1"/>
  <c r="X59" i="2" s="1"/>
  <c r="R59" i="2"/>
  <c r="AD45" i="2"/>
  <c r="AE40" i="2"/>
  <c r="AA38" i="2"/>
  <c r="AA39" i="2" s="1"/>
  <c r="AA55" i="2"/>
  <c r="AA31" i="2"/>
  <c r="AE34" i="2"/>
  <c r="AD56" i="2"/>
  <c r="AB33" i="2"/>
  <c r="AC30" i="2"/>
  <c r="AC32" i="2" s="1"/>
  <c r="AB54" i="2"/>
  <c r="AB53" i="2"/>
  <c r="Z46" i="2"/>
  <c r="Z57" i="2"/>
  <c r="Y47" i="2"/>
  <c r="Y58" i="2" s="1"/>
  <c r="X51" i="2" l="1"/>
  <c r="AC33" i="2"/>
  <c r="AD30" i="2"/>
  <c r="AD32" i="2" s="1"/>
  <c r="AC53" i="2"/>
  <c r="AF34" i="2"/>
  <c r="AE56" i="2"/>
  <c r="AB38" i="2"/>
  <c r="AB39" i="2" s="1"/>
  <c r="AB55" i="2"/>
  <c r="AA46" i="2"/>
  <c r="AA57" i="2"/>
  <c r="Z47" i="2"/>
  <c r="Z58" i="2" s="1"/>
  <c r="Y49" i="2"/>
  <c r="AB31" i="2"/>
  <c r="AE45" i="2"/>
  <c r="AF40" i="2"/>
  <c r="Z49" i="2" l="1"/>
  <c r="Z51" i="2" s="1"/>
  <c r="AB57" i="2"/>
  <c r="AB46" i="2"/>
  <c r="Y51" i="2"/>
  <c r="Y59" i="2"/>
  <c r="AG34" i="2"/>
  <c r="AF56" i="2"/>
  <c r="AC38" i="2"/>
  <c r="AC39" i="2" s="1"/>
  <c r="AC55" i="2"/>
  <c r="AC54" i="2"/>
  <c r="AD33" i="2"/>
  <c r="AE30" i="2"/>
  <c r="AE32" i="2" s="1"/>
  <c r="AD31" i="2"/>
  <c r="AD53" i="2"/>
  <c r="AA47" i="2"/>
  <c r="AA58" i="2" s="1"/>
  <c r="AF45" i="2"/>
  <c r="AG40" i="2"/>
  <c r="AC31" i="2"/>
  <c r="Z59" i="2" l="1"/>
  <c r="AA49" i="2"/>
  <c r="AA51" i="2" s="1"/>
  <c r="AH40" i="2"/>
  <c r="AH45" i="2" s="1"/>
  <c r="AG45" i="2"/>
  <c r="AC57" i="2"/>
  <c r="AC46" i="2"/>
  <c r="AH34" i="2"/>
  <c r="AH56" i="2" s="1"/>
  <c r="AG56" i="2"/>
  <c r="AD54" i="2"/>
  <c r="AB47" i="2"/>
  <c r="AB58" i="2" s="1"/>
  <c r="AD38" i="2"/>
  <c r="AD39" i="2" s="1"/>
  <c r="AD55" i="2"/>
  <c r="AE33" i="2"/>
  <c r="AE53" i="2"/>
  <c r="AF30" i="2"/>
  <c r="AF32" i="2" s="1"/>
  <c r="AA59" i="2" l="1"/>
  <c r="AB49" i="2"/>
  <c r="AB59" i="2" s="1"/>
  <c r="AD57" i="2"/>
  <c r="AD46" i="2"/>
  <c r="AE38" i="2"/>
  <c r="AE39" i="2" s="1"/>
  <c r="AE55" i="2"/>
  <c r="AF33" i="2"/>
  <c r="AG30" i="2"/>
  <c r="AG32" i="2" s="1"/>
  <c r="AF53" i="2"/>
  <c r="AF54" i="2"/>
  <c r="AC47" i="2"/>
  <c r="AC58" i="2" s="1"/>
  <c r="AE54" i="2"/>
  <c r="AE31" i="2"/>
  <c r="AF31" i="2" l="1"/>
  <c r="AC49" i="2"/>
  <c r="AC59" i="2" s="1"/>
  <c r="AB51" i="2"/>
  <c r="AE57" i="2"/>
  <c r="AE46" i="2"/>
  <c r="AG33" i="2"/>
  <c r="AH30" i="2"/>
  <c r="AH32" i="2" s="1"/>
  <c r="AG53" i="2"/>
  <c r="AD47" i="2"/>
  <c r="AD58" i="2" s="1"/>
  <c r="AF38" i="2"/>
  <c r="AF39" i="2" s="1"/>
  <c r="AF55" i="2"/>
  <c r="AC51" i="2" l="1"/>
  <c r="AD49" i="2"/>
  <c r="AD51" i="2" s="1"/>
  <c r="AG54" i="2"/>
  <c r="AH33" i="2"/>
  <c r="AH53" i="2"/>
  <c r="AG31" i="2"/>
  <c r="AG38" i="2"/>
  <c r="AG39" i="2" s="1"/>
  <c r="AG55" i="2"/>
  <c r="AF57" i="2"/>
  <c r="AF46" i="2"/>
  <c r="AE47" i="2"/>
  <c r="AE58" i="2" s="1"/>
  <c r="AD59" i="2" l="1"/>
  <c r="AE49" i="2"/>
  <c r="AE59" i="2" s="1"/>
  <c r="AG57" i="2"/>
  <c r="AG46" i="2"/>
  <c r="AH54" i="2"/>
  <c r="AF47" i="2"/>
  <c r="AF58" i="2" s="1"/>
  <c r="AH31" i="2"/>
  <c r="AH38" i="2"/>
  <c r="AH39" i="2" s="1"/>
  <c r="AH55" i="2"/>
  <c r="AE51" i="2" l="1"/>
  <c r="AH57" i="2"/>
  <c r="AH46" i="2"/>
  <c r="AF49" i="2"/>
  <c r="AG47" i="2"/>
  <c r="AG58" i="2" s="1"/>
  <c r="AG49" i="2" l="1"/>
  <c r="AG59" i="2" s="1"/>
  <c r="AF51" i="2"/>
  <c r="AF59" i="2"/>
  <c r="AH47" i="2"/>
  <c r="AH58" i="2" s="1"/>
  <c r="AG51" i="2" l="1"/>
  <c r="AH49" i="2"/>
  <c r="AH59" i="2" s="1"/>
  <c r="AI49" i="2" l="1"/>
  <c r="AJ49" i="2" s="1"/>
  <c r="AK49" i="2" s="1"/>
  <c r="AL49" i="2" s="1"/>
  <c r="AM49" i="2" s="1"/>
  <c r="AN49" i="2" s="1"/>
  <c r="AO49" i="2" s="1"/>
  <c r="AP49" i="2" s="1"/>
  <c r="AQ49" i="2" s="1"/>
  <c r="AR49" i="2" s="1"/>
  <c r="AS49" i="2" s="1"/>
  <c r="AT49" i="2" s="1"/>
  <c r="AU49" i="2" s="1"/>
  <c r="AV49" i="2" s="1"/>
  <c r="AW49" i="2" s="1"/>
  <c r="AX49" i="2" s="1"/>
  <c r="AY49" i="2" s="1"/>
  <c r="AZ49" i="2" s="1"/>
  <c r="BA49" i="2" s="1"/>
  <c r="BB49" i="2" s="1"/>
  <c r="BC49" i="2" s="1"/>
  <c r="BD49" i="2" s="1"/>
  <c r="BE49" i="2" s="1"/>
  <c r="BF49" i="2" s="1"/>
  <c r="BG49" i="2" s="1"/>
  <c r="BH49" i="2" s="1"/>
  <c r="BI49" i="2" s="1"/>
  <c r="BJ49" i="2" s="1"/>
  <c r="BK49" i="2" s="1"/>
  <c r="BL49" i="2" s="1"/>
  <c r="BM49" i="2" s="1"/>
  <c r="BN49" i="2" s="1"/>
  <c r="BO49" i="2" s="1"/>
  <c r="BP49" i="2" s="1"/>
  <c r="BQ49" i="2" s="1"/>
  <c r="BR49" i="2" s="1"/>
  <c r="BS49" i="2" s="1"/>
  <c r="BT49" i="2" s="1"/>
  <c r="BU49" i="2" s="1"/>
  <c r="BV49" i="2" s="1"/>
  <c r="BW49" i="2" s="1"/>
  <c r="BX49" i="2" s="1"/>
  <c r="BY49" i="2" s="1"/>
  <c r="BZ49" i="2" s="1"/>
  <c r="CA49" i="2" s="1"/>
  <c r="CB49" i="2" s="1"/>
  <c r="CC49" i="2" s="1"/>
  <c r="CD49" i="2" s="1"/>
  <c r="CE49" i="2" s="1"/>
  <c r="CF49" i="2" s="1"/>
  <c r="CG49" i="2" s="1"/>
  <c r="CH49" i="2" s="1"/>
  <c r="CI49" i="2" s="1"/>
  <c r="CJ49" i="2" s="1"/>
  <c r="CK49" i="2" s="1"/>
  <c r="CL49" i="2" s="1"/>
  <c r="CM49" i="2" s="1"/>
  <c r="CN49" i="2" s="1"/>
  <c r="CO49" i="2" s="1"/>
  <c r="CP49" i="2" s="1"/>
  <c r="CQ49" i="2" s="1"/>
  <c r="CR49" i="2" s="1"/>
  <c r="CS49" i="2" s="1"/>
  <c r="CT49" i="2" s="1"/>
  <c r="CU49" i="2" s="1"/>
  <c r="CV49" i="2" s="1"/>
  <c r="CW49" i="2" s="1"/>
  <c r="CX49" i="2" s="1"/>
  <c r="CY49" i="2" s="1"/>
  <c r="CZ49" i="2" s="1"/>
  <c r="DA49" i="2" s="1"/>
  <c r="DB49" i="2" s="1"/>
  <c r="DC49" i="2" s="1"/>
  <c r="DD49" i="2" s="1"/>
  <c r="DE49" i="2" s="1"/>
  <c r="DF49" i="2" s="1"/>
  <c r="DG49" i="2" s="1"/>
  <c r="DH49" i="2" s="1"/>
  <c r="DI49" i="2" s="1"/>
  <c r="DJ49" i="2" s="1"/>
  <c r="DK49" i="2" s="1"/>
  <c r="DL49" i="2" s="1"/>
  <c r="DM49" i="2" s="1"/>
  <c r="DN49" i="2" s="1"/>
  <c r="DO49" i="2" s="1"/>
  <c r="DP49" i="2" s="1"/>
  <c r="DQ49" i="2" s="1"/>
  <c r="DR49" i="2" s="1"/>
  <c r="DS49" i="2" s="1"/>
  <c r="DT49" i="2" s="1"/>
  <c r="DU49" i="2" s="1"/>
  <c r="DV49" i="2" s="1"/>
  <c r="DW49" i="2" s="1"/>
  <c r="DX49" i="2" s="1"/>
  <c r="DY49" i="2" s="1"/>
  <c r="DZ49" i="2" s="1"/>
  <c r="EA49" i="2" s="1"/>
  <c r="EB49" i="2" s="1"/>
  <c r="EC49" i="2" s="1"/>
  <c r="ED49" i="2" s="1"/>
  <c r="EE49" i="2" s="1"/>
  <c r="EF49" i="2" s="1"/>
  <c r="EG49" i="2" s="1"/>
  <c r="EH49" i="2" s="1"/>
  <c r="EI49" i="2" s="1"/>
  <c r="AK57" i="2" s="1"/>
  <c r="AK59" i="2" s="1"/>
  <c r="AK60" i="2" s="1"/>
  <c r="AK62" i="2" s="1"/>
  <c r="AH51" i="2"/>
</calcChain>
</file>

<file path=xl/sharedStrings.xml><?xml version="1.0" encoding="utf-8"?>
<sst xmlns="http://schemas.openxmlformats.org/spreadsheetml/2006/main" count="88" uniqueCount="75">
  <si>
    <t>P911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</si>
  <si>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</si>
  <si>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</si>
  <si>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</si>
  <si>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</si>
  <si>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</si>
  <si>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</si>
  <si>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</si>
  <si>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</si>
  <si>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</si>
  <si>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</si>
  <si>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Q424</t>
  </si>
  <si>
    <t>Revenue</t>
  </si>
  <si>
    <t>Other operating income</t>
  </si>
  <si>
    <t>Cost of sales</t>
  </si>
  <si>
    <t>Gross profit</t>
  </si>
  <si>
    <t>G&amp;A</t>
  </si>
  <si>
    <t>Operating profit</t>
  </si>
  <si>
    <t>Investment income</t>
  </si>
  <si>
    <t>Interest expense</t>
  </si>
  <si>
    <t>Pretax profit</t>
  </si>
  <si>
    <t>Taxes</t>
  </si>
  <si>
    <t>Net profit</t>
  </si>
  <si>
    <t>EPS</t>
  </si>
  <si>
    <t>Other operating expense</t>
  </si>
  <si>
    <t>S&amp;M</t>
  </si>
  <si>
    <t>Total operating expense</t>
  </si>
  <si>
    <t>Interest income</t>
  </si>
  <si>
    <t>Finance income</t>
  </si>
  <si>
    <t>Total other expense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</si>
  <si>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</si>
  <si>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</si>
  <si>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</si>
  <si>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</si>
  <si>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</si>
  <si>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</si>
  <si>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</si>
  <si>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</si>
  <si>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</si>
  <si>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</si>
  <si>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</si>
  <si>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Net operating expense</t>
  </si>
  <si>
    <t>Net finance expense</t>
  </si>
  <si>
    <t>MI</t>
  </si>
  <si>
    <t>Revenue y/y</t>
  </si>
  <si>
    <t>Gross Margin</t>
  </si>
  <si>
    <t>S&amp;M Margin</t>
  </si>
  <si>
    <t>G&amp;A y/y</t>
  </si>
  <si>
    <t>Operating Margin</t>
  </si>
  <si>
    <t>Net Margin</t>
  </si>
  <si>
    <t>Q122</t>
  </si>
  <si>
    <t>Q222</t>
  </si>
  <si>
    <t>Q322</t>
  </si>
  <si>
    <t>Q422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</si>
  <si>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</si>
  <si>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</si>
  <si>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</si>
  <si>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</si>
  <si>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</si>
  <si>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</si>
  <si>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</si>
  <si>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</si>
  <si>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</si>
  <si>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Macan</t>
  </si>
  <si>
    <t>Cayenne</t>
  </si>
  <si>
    <t>Panamera</t>
  </si>
  <si>
    <t>Taycan</t>
  </si>
  <si>
    <t>of which EV</t>
  </si>
  <si>
    <t>Total SUVs</t>
  </si>
  <si>
    <t>Total estates</t>
  </si>
  <si>
    <t>Total sports</t>
  </si>
  <si>
    <t>Total deliveries</t>
  </si>
  <si>
    <t>Average price</t>
  </si>
  <si>
    <t>EVs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</si>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</sst>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€-2]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3" fontId="2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/>
    <xf numFmtId="9" fontId="2" fillId="2" borderId="1" xfId="0" applyNumberFormat="1" applyFont="1" applyFill="1" applyBorder="1" applyAlignment="1">
      <alignment horizontal="right"/>
    </xf>
    <xf numFmtId="9" fontId="3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9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22860</xdr:colOff>
      <xdr:row>0</xdr:row>
      <xdr:rowOff>7620</xdr:rowOff>
    </xdr:from>
    <xdr:to>
      <xdr:col>23</xdr:col>
      <xdr:colOff>22860</xdr:colOff>
      <xdr:row>70</xdr:row>
      <xdr:rowOff>45720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7B4A640-405E-BFB6-89C8-C98455C648A6}"/>
            </a:ext>
          </a:extLst>
        </xdr:cNvPr>
        <xdr:cNvCxnSpPr/>
      </xdr:nvCxnSpPr>
      <xdr:spPr>
        <a:xfrm>
          <a:off x="10020300" y="7620"/>
          <a:ext cx="0" cy="5707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</xdr:colOff>
      <xdr:row>0</xdr:row>
      <xdr:rowOff>15240</xdr:rowOff>
    </xdr:from>
    <xdr:to>
      <xdr:col>16</xdr:col>
      <xdr:colOff>22860</xdr:colOff>
      <xdr:row>60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7AB77BC-8C33-E93A-460D-04131D5A4D9B}"/>
            </a:ext>
          </a:extLst>
        </xdr:cNvPr>
        <xdr:cNvCxnSpPr/>
      </xdr:nvCxnSpPr>
      <xdr:spPr>
        <a:xfrm>
          <a:off x="10629900" y="15240"/>
          <a:ext cx="0" cy="11064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987C-45FD-45DD-9FD9-8B621E194241}">
  <dimension ref="B2:G9"/>
  <sheetViews>
    <sheetView workbookViewId="0">
      <selection activeCell="D6" sqref="D6"/>
    </sheetView>
  </sheetViews>
  <sheetFormatPr defaultRowHeight="14.4" x14ac:dyDescent="0.3"/>
  <cols>
    <col min="1" max="4" width="8.88671875" style="1"/>
    <col min="5" max="7" width="13.3320312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48.41</v>
      </c>
      <c r="E3" s="4">
        <v>45957</v>
      </c>
      <c r="F3" s="4">
        <f ca="1">TODAY()</f>
        <v>45957</v>
      </c>
      <c r="G3" s="4">
        <v>46098</v>
      </c>
    </row>
    <row r="4" spans="2:7" x14ac:dyDescent="0.3">
      <c r="C4" s="1" t="s">
        <v>2</v>
      </c>
      <c r="D4" s="6">
        <f>455.5+455.5</f>
        <v>911</v>
      </c>
      <c r="E4" s="3" t="s">
        <v>38</v>
      </c>
    </row>
    <row r="5" spans="2:7" x14ac:dyDescent="0.3">
      <c r="C5" s="1" t="s">
        <v>3</v>
      </c>
      <c r="D5" s="6">
        <f>D3*D4</f>
        <v>44101.509999999995</v>
      </c>
    </row>
    <row r="6" spans="2:7" x14ac:dyDescent="0.3">
      <c r="C6" s="1" t="s">
        <v>4</v>
      </c>
      <c r="D6" s="6">
        <f>4367+3989</f>
        <v>8356</v>
      </c>
      <c r="E6" s="3" t="s">
        <v>38</v>
      </c>
    </row>
    <row r="7" spans="2:7" x14ac:dyDescent="0.3">
      <c r="C7" s="1" t="s">
        <v>5</v>
      </c>
      <c r="D7" s="6">
        <f>4125+6759</f>
        <v>10884</v>
      </c>
      <c r="E7" s="3" t="s">
        <v>38</v>
      </c>
    </row>
    <row r="8" spans="2:7" x14ac:dyDescent="0.3">
      <c r="C8" s="1" t="s">
        <v>6</v>
      </c>
      <c r="D8" s="6">
        <f>D6-D7</f>
        <v>-2528</v>
      </c>
    </row>
    <row r="9" spans="2:7" x14ac:dyDescent="0.3">
      <c r="C9" s="1" t="s">
        <v>7</v>
      </c>
      <c r="D9" s="6">
        <f>D5-D8</f>
        <v>46629.509999999995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A458-A045-4CDD-AB9F-50D0E0A9F456}">
  <dimension ref="B2:EI84"/>
  <sheetViews>
    <sheetView tabSelected="1" workbookViewId="0">
      <pane xSplit="2" ySplit="2" topLeftCell="Y38" activePane="bottomRight" state="frozen"/>
      <selection pane="topRight" activeCell="C1" sqref="C1"/>
      <selection pane="bottomLeft" activeCell="A3" sqref="A3"/>
      <selection pane="bottomRight" activeCell="AK63" sqref="AK63"/>
    </sheetView>
  </sheetViews>
  <sheetFormatPr defaultRowHeight="14.4" x14ac:dyDescent="0.3"/>
  <cols>
    <col min="1" max="1" width="8.88671875" style="1"/>
    <col min="2" max="2" width="21.33203125" style="1" bestFit="1" customWidth="1"/>
    <col min="3" max="6" width="8.88671875" style="1" customWidth="1"/>
    <col min="7" max="35" width="8.88671875" style="1"/>
    <col min="36" max="36" width="12" style="1" bestFit="1" customWidth="1"/>
    <col min="37" max="37" width="17.88671875" style="1" customWidth="1"/>
    <col min="38" max="16384" width="8.88671875" style="1"/>
  </cols>
  <sheetData>
    <row r="2" spans="2:34" x14ac:dyDescent="0.3">
      <c r="C2" s="9" t="s">
        <v>50</v>
      </c>
      <c r="D2" s="9" t="s">
        <v>51</v>
      </c>
      <c r="E2" s="9" t="s">
        <v>52</v>
      </c>
      <c r="F2" s="9" t="s">
        <v>53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s">
        <v>11</v>
      </c>
      <c r="O2" s="9" t="s">
        <v>37</v>
      </c>
      <c r="P2" s="9" t="s">
        <v>38</v>
      </c>
      <c r="Q2" s="9" t="s">
        <v>39</v>
      </c>
      <c r="R2" s="9" t="s">
        <v>40</v>
      </c>
      <c r="T2" s="1">
        <v>2021</v>
      </c>
      <c r="U2" s="1">
        <v>2022</v>
      </c>
      <c r="V2" s="1">
        <v>2023</v>
      </c>
      <c r="W2" s="1">
        <v>2024</v>
      </c>
      <c r="X2" s="1">
        <v>2025</v>
      </c>
      <c r="Y2" s="1">
        <v>2026</v>
      </c>
      <c r="Z2" s="1">
        <v>2027</v>
      </c>
      <c r="AA2" s="1">
        <v>2028</v>
      </c>
      <c r="AB2" s="1">
        <v>2029</v>
      </c>
      <c r="AC2" s="1">
        <v>2030</v>
      </c>
      <c r="AD2" s="1">
        <v>2031</v>
      </c>
      <c r="AE2" s="1">
        <v>2032</v>
      </c>
      <c r="AF2" s="1">
        <v>2033</v>
      </c>
      <c r="AG2" s="1">
        <v>2034</v>
      </c>
      <c r="AH2" s="1">
        <v>2035</v>
      </c>
    </row>
    <row r="3" spans="2:34" x14ac:dyDescent="0.3">
      <c r="B3" s="12">
        <v>911</v>
      </c>
      <c r="C3" s="9"/>
      <c r="D3" s="9"/>
      <c r="E3" s="9"/>
      <c r="F3" s="9"/>
      <c r="G3" s="14">
        <v>11063</v>
      </c>
      <c r="H3" s="14">
        <f>27856-G3</f>
        <v>16793</v>
      </c>
      <c r="I3" s="14">
        <f>38789-H3-G3</f>
        <v>10933</v>
      </c>
      <c r="J3" s="14">
        <f>V3-I3-H3-G3</f>
        <v>11357</v>
      </c>
      <c r="K3" s="14">
        <v>12892</v>
      </c>
      <c r="L3" s="14">
        <f>26346-K3</f>
        <v>13454</v>
      </c>
      <c r="M3" s="14">
        <f>39744-L3-K3</f>
        <v>13398</v>
      </c>
      <c r="N3" s="14">
        <f>W3-M3-L3-K3</f>
        <v>11197</v>
      </c>
      <c r="O3" s="14">
        <v>11390</v>
      </c>
      <c r="P3" s="14">
        <f>25608-O3</f>
        <v>14218</v>
      </c>
      <c r="Q3" s="14">
        <f>35808-P3-O3</f>
        <v>10200</v>
      </c>
      <c r="R3" s="9"/>
      <c r="T3" s="14">
        <v>38464</v>
      </c>
      <c r="U3" s="14">
        <v>40410</v>
      </c>
      <c r="V3" s="14">
        <v>50146</v>
      </c>
      <c r="W3" s="14">
        <v>50941</v>
      </c>
    </row>
    <row r="4" spans="2:34" x14ac:dyDescent="0.3">
      <c r="B4" s="12">
        <v>718</v>
      </c>
      <c r="C4" s="9"/>
      <c r="D4" s="9"/>
      <c r="E4" s="9"/>
      <c r="F4" s="9"/>
      <c r="G4" s="14">
        <v>4806</v>
      </c>
      <c r="H4" s="14">
        <f>11703-G4</f>
        <v>6897</v>
      </c>
      <c r="I4" s="14">
        <f>16458-H4-G4</f>
        <v>4755</v>
      </c>
      <c r="J4" s="14">
        <f>V4-I4-H4-G4</f>
        <v>4060</v>
      </c>
      <c r="K4" s="14">
        <v>5772</v>
      </c>
      <c r="L4" s="14">
        <f>11955-K4</f>
        <v>6183</v>
      </c>
      <c r="M4" s="14">
        <f>18048-L4-K4</f>
        <v>6093</v>
      </c>
      <c r="N4" s="14">
        <f>W4-M4-L4-K4</f>
        <v>5622</v>
      </c>
      <c r="O4" s="14">
        <v>4498</v>
      </c>
      <c r="P4" s="14">
        <f>10496-O4</f>
        <v>5998</v>
      </c>
      <c r="Q4" s="14">
        <f>14416-P4-O4</f>
        <v>3920</v>
      </c>
      <c r="R4" s="9"/>
      <c r="T4" s="14">
        <v>20502</v>
      </c>
      <c r="U4" s="14">
        <v>18203</v>
      </c>
      <c r="V4" s="14">
        <v>20518</v>
      </c>
      <c r="W4" s="14">
        <v>23670</v>
      </c>
    </row>
    <row r="5" spans="2:34" x14ac:dyDescent="0.3">
      <c r="B5" s="12" t="s">
        <v>70</v>
      </c>
      <c r="C5" s="9"/>
      <c r="D5" s="9"/>
      <c r="E5" s="9"/>
      <c r="F5" s="9"/>
      <c r="G5" s="14">
        <f t="shared" ref="G5:O5" si="0">G3+G4</f>
        <v>15869</v>
      </c>
      <c r="H5" s="14">
        <f t="shared" si="0"/>
        <v>23690</v>
      </c>
      <c r="I5" s="14">
        <f t="shared" si="0"/>
        <v>15688</v>
      </c>
      <c r="J5" s="14">
        <f t="shared" si="0"/>
        <v>15417</v>
      </c>
      <c r="K5" s="14">
        <f t="shared" si="0"/>
        <v>18664</v>
      </c>
      <c r="L5" s="14">
        <f t="shared" si="0"/>
        <v>19637</v>
      </c>
      <c r="M5" s="14">
        <f t="shared" si="0"/>
        <v>19491</v>
      </c>
      <c r="N5" s="14">
        <f t="shared" si="0"/>
        <v>16819</v>
      </c>
      <c r="O5" s="14">
        <f t="shared" si="0"/>
        <v>15888</v>
      </c>
      <c r="P5" s="14">
        <f t="shared" ref="P5:Q5" si="1">P3+P4</f>
        <v>20216</v>
      </c>
      <c r="Q5" s="14">
        <f t="shared" si="1"/>
        <v>14120</v>
      </c>
      <c r="R5" s="9"/>
      <c r="T5" s="14">
        <f>T3+T4</f>
        <v>58966</v>
      </c>
      <c r="U5" s="14">
        <f>U3+U4</f>
        <v>58613</v>
      </c>
      <c r="V5" s="14">
        <f>V3+V4</f>
        <v>70664</v>
      </c>
      <c r="W5" s="14">
        <f>W3+W4</f>
        <v>74611</v>
      </c>
    </row>
    <row r="6" spans="2:34" x14ac:dyDescent="0.3">
      <c r="B6" s="1" t="s">
        <v>63</v>
      </c>
      <c r="C6" s="9"/>
      <c r="D6" s="9"/>
      <c r="E6" s="9"/>
      <c r="F6" s="9"/>
      <c r="G6" s="14">
        <v>23880</v>
      </c>
      <c r="H6" s="14">
        <f>46842-G6</f>
        <v>22962</v>
      </c>
      <c r="I6" s="14">
        <f>68354-H6-G6</f>
        <v>21512</v>
      </c>
      <c r="J6" s="14">
        <f>V6-I6-H6-G6</f>
        <v>19001</v>
      </c>
      <c r="K6" s="14">
        <v>20576</v>
      </c>
      <c r="L6" s="14">
        <f>36600-K6</f>
        <v>16024</v>
      </c>
      <c r="M6" s="14">
        <f>55000-L6-K6</f>
        <v>18400</v>
      </c>
      <c r="N6" s="14">
        <f>W6-M6-L6-K6</f>
        <v>27795</v>
      </c>
      <c r="O6" s="14">
        <v>23555</v>
      </c>
      <c r="P6" s="14">
        <f>45137-O6</f>
        <v>21582</v>
      </c>
      <c r="Q6" s="14">
        <f>61483-P6-O6</f>
        <v>16346</v>
      </c>
      <c r="R6" s="9"/>
      <c r="T6" s="14">
        <v>88362</v>
      </c>
      <c r="U6" s="14">
        <v>86724</v>
      </c>
      <c r="V6" s="14">
        <v>87355</v>
      </c>
      <c r="W6" s="14">
        <v>82795</v>
      </c>
    </row>
    <row r="7" spans="2:34" s="13" customFormat="1" x14ac:dyDescent="0.3">
      <c r="B7" s="13" t="s">
        <v>67</v>
      </c>
      <c r="C7" s="3"/>
      <c r="D7" s="3"/>
      <c r="E7" s="3"/>
      <c r="F7" s="3"/>
      <c r="G7" s="15"/>
      <c r="H7" s="15"/>
      <c r="I7" s="15"/>
      <c r="J7" s="15"/>
      <c r="K7" s="15"/>
      <c r="L7" s="15"/>
      <c r="M7" s="15"/>
      <c r="N7" s="15"/>
      <c r="O7" s="15">
        <v>14185</v>
      </c>
      <c r="P7" s="15">
        <f>25884-O7</f>
        <v>11699</v>
      </c>
      <c r="Q7" s="15">
        <f>33888-P7-O7</f>
        <v>8004</v>
      </c>
      <c r="R7" s="3"/>
      <c r="T7" s="15"/>
      <c r="U7" s="15"/>
      <c r="V7" s="15"/>
      <c r="W7" s="15">
        <v>18278</v>
      </c>
    </row>
    <row r="8" spans="2:34" x14ac:dyDescent="0.3">
      <c r="B8" s="1" t="s">
        <v>64</v>
      </c>
      <c r="C8" s="9"/>
      <c r="D8" s="9"/>
      <c r="E8" s="9"/>
      <c r="F8" s="9"/>
      <c r="G8" s="14">
        <v>23387</v>
      </c>
      <c r="H8" s="14">
        <f>46399-G8</f>
        <v>23012</v>
      </c>
      <c r="I8" s="14">
        <f>64457-H8-G8</f>
        <v>18058</v>
      </c>
      <c r="J8" s="14">
        <f>V8-I8-H8-G8</f>
        <v>23096</v>
      </c>
      <c r="K8" s="14">
        <v>28025</v>
      </c>
      <c r="L8" s="14">
        <f>52769-K8</f>
        <v>24744</v>
      </c>
      <c r="M8" s="14">
        <f>77686-L8-K8</f>
        <v>24917</v>
      </c>
      <c r="N8" s="14">
        <f>W8-M8-L8-K8</f>
        <v>25203</v>
      </c>
      <c r="O8" s="14">
        <v>20055</v>
      </c>
      <c r="P8" s="14">
        <f>41873-O8</f>
        <v>21818</v>
      </c>
      <c r="Q8" s="14">
        <f>56945-P8-O8</f>
        <v>15072</v>
      </c>
      <c r="R8" s="9"/>
      <c r="T8" s="14">
        <v>83071</v>
      </c>
      <c r="U8" s="14">
        <v>95604</v>
      </c>
      <c r="V8" s="14">
        <v>87553</v>
      </c>
      <c r="W8" s="14">
        <v>102889</v>
      </c>
    </row>
    <row r="9" spans="2:34" x14ac:dyDescent="0.3">
      <c r="B9" s="1" t="s">
        <v>68</v>
      </c>
      <c r="C9" s="9"/>
      <c r="D9" s="9"/>
      <c r="E9" s="9"/>
      <c r="F9" s="9"/>
      <c r="G9" s="14">
        <f t="shared" ref="G9:O9" si="2">G6+G8</f>
        <v>47267</v>
      </c>
      <c r="H9" s="14">
        <f t="shared" si="2"/>
        <v>45974</v>
      </c>
      <c r="I9" s="14">
        <f t="shared" si="2"/>
        <v>39570</v>
      </c>
      <c r="J9" s="14">
        <f t="shared" si="2"/>
        <v>42097</v>
      </c>
      <c r="K9" s="14">
        <f t="shared" si="2"/>
        <v>48601</v>
      </c>
      <c r="L9" s="14">
        <f t="shared" si="2"/>
        <v>40768</v>
      </c>
      <c r="M9" s="14">
        <f t="shared" si="2"/>
        <v>43317</v>
      </c>
      <c r="N9" s="14">
        <f t="shared" si="2"/>
        <v>52998</v>
      </c>
      <c r="O9" s="14">
        <f t="shared" si="2"/>
        <v>43610</v>
      </c>
      <c r="P9" s="14">
        <f t="shared" ref="P9:Q9" si="3">P6+P8</f>
        <v>43400</v>
      </c>
      <c r="Q9" s="14">
        <f t="shared" si="3"/>
        <v>31418</v>
      </c>
      <c r="R9" s="9"/>
      <c r="T9" s="14">
        <f>T6+T8</f>
        <v>171433</v>
      </c>
      <c r="U9" s="14">
        <f>U6+U8</f>
        <v>182328</v>
      </c>
      <c r="V9" s="14">
        <f>V6+V8</f>
        <v>174908</v>
      </c>
      <c r="W9" s="14">
        <f>W6+W8</f>
        <v>185684</v>
      </c>
    </row>
    <row r="10" spans="2:34" x14ac:dyDescent="0.3">
      <c r="B10" s="1" t="s">
        <v>65</v>
      </c>
      <c r="C10" s="9"/>
      <c r="D10" s="9"/>
      <c r="E10" s="9"/>
      <c r="F10" s="9"/>
      <c r="G10" s="14">
        <v>8479</v>
      </c>
      <c r="H10" s="14">
        <f>18993-G10</f>
        <v>10514</v>
      </c>
      <c r="I10" s="14">
        <f>26779-H10-G10</f>
        <v>7786</v>
      </c>
      <c r="J10" s="14">
        <f>V10-I10-H10-G10</f>
        <v>7241</v>
      </c>
      <c r="K10" s="14">
        <v>6139</v>
      </c>
      <c r="L10" s="14">
        <f>15092-K10</f>
        <v>8953</v>
      </c>
      <c r="M10" s="14">
        <f>21506-L10-K10</f>
        <v>6414</v>
      </c>
      <c r="N10" s="14">
        <f>W10-M10-L10-K10</f>
        <v>8081</v>
      </c>
      <c r="O10" s="14">
        <v>7769</v>
      </c>
      <c r="P10" s="14">
        <f>14975-O10</f>
        <v>7206</v>
      </c>
      <c r="Q10" s="14">
        <f>19300-P10-O10</f>
        <v>4325</v>
      </c>
      <c r="R10" s="9"/>
      <c r="T10" s="14">
        <v>30220</v>
      </c>
      <c r="U10" s="14">
        <v>34142</v>
      </c>
      <c r="V10" s="14">
        <v>34020</v>
      </c>
      <c r="W10" s="14">
        <v>29587</v>
      </c>
    </row>
    <row r="11" spans="2:34" x14ac:dyDescent="0.3">
      <c r="B11" s="1" t="s">
        <v>66</v>
      </c>
      <c r="C11" s="9"/>
      <c r="D11" s="9"/>
      <c r="E11" s="9"/>
      <c r="F11" s="9"/>
      <c r="G11" s="14">
        <v>9152</v>
      </c>
      <c r="H11" s="14">
        <f>19009-G11</f>
        <v>9857</v>
      </c>
      <c r="I11" s="14">
        <f>27885-H11-G11</f>
        <v>8876</v>
      </c>
      <c r="J11" s="14">
        <f>V11-I11-H11-G11</f>
        <v>12744</v>
      </c>
      <c r="K11" s="14">
        <v>4236</v>
      </c>
      <c r="L11" s="14">
        <f>9182-K11</f>
        <v>4946</v>
      </c>
      <c r="M11" s="14">
        <f>14042-L11-K11</f>
        <v>4860</v>
      </c>
      <c r="N11" s="14">
        <f>W11-M11-L11-K11</f>
        <v>6794</v>
      </c>
      <c r="O11" s="14">
        <v>4203</v>
      </c>
      <c r="P11" s="14">
        <f>8302-O11</f>
        <v>4099</v>
      </c>
      <c r="Q11" s="14">
        <f>10103-P11-O11</f>
        <v>1801</v>
      </c>
      <c r="R11" s="9"/>
      <c r="T11" s="14">
        <v>41296</v>
      </c>
      <c r="U11" s="14">
        <v>34801</v>
      </c>
      <c r="V11" s="14">
        <v>40629</v>
      </c>
      <c r="W11" s="14">
        <v>20836</v>
      </c>
    </row>
    <row r="12" spans="2:34" x14ac:dyDescent="0.3">
      <c r="B12" s="1" t="s">
        <v>69</v>
      </c>
      <c r="C12" s="9"/>
      <c r="D12" s="9"/>
      <c r="E12" s="9"/>
      <c r="F12" s="9"/>
      <c r="G12" s="14">
        <f t="shared" ref="G12:O12" si="4">G10+G11</f>
        <v>17631</v>
      </c>
      <c r="H12" s="14">
        <f t="shared" si="4"/>
        <v>20371</v>
      </c>
      <c r="I12" s="14">
        <f t="shared" si="4"/>
        <v>16662</v>
      </c>
      <c r="J12" s="14">
        <f t="shared" si="4"/>
        <v>19985</v>
      </c>
      <c r="K12" s="14">
        <f t="shared" si="4"/>
        <v>10375</v>
      </c>
      <c r="L12" s="14">
        <f t="shared" si="4"/>
        <v>13899</v>
      </c>
      <c r="M12" s="14">
        <f t="shared" si="4"/>
        <v>11274</v>
      </c>
      <c r="N12" s="14">
        <f t="shared" si="4"/>
        <v>14875</v>
      </c>
      <c r="O12" s="14">
        <f t="shared" si="4"/>
        <v>11972</v>
      </c>
      <c r="P12" s="14">
        <f t="shared" ref="P12:Q12" si="5">P10+P11</f>
        <v>11305</v>
      </c>
      <c r="Q12" s="14">
        <f t="shared" si="5"/>
        <v>6126</v>
      </c>
      <c r="R12" s="9"/>
      <c r="T12" s="14">
        <f>T10+T11</f>
        <v>71516</v>
      </c>
      <c r="U12" s="14">
        <f>U10+U11</f>
        <v>68943</v>
      </c>
      <c r="V12" s="14">
        <f>V10+V11</f>
        <v>74649</v>
      </c>
      <c r="W12" s="14">
        <f>W10+W11</f>
        <v>50423</v>
      </c>
    </row>
    <row r="13" spans="2:34" x14ac:dyDescent="0.3">
      <c r="B13" s="1" t="s">
        <v>71</v>
      </c>
      <c r="C13" s="9"/>
      <c r="D13" s="9"/>
      <c r="E13" s="9"/>
      <c r="F13" s="9"/>
      <c r="G13" s="14">
        <f t="shared" ref="G13:O13" si="6">G5+G9+G12</f>
        <v>80767</v>
      </c>
      <c r="H13" s="14">
        <f t="shared" si="6"/>
        <v>90035</v>
      </c>
      <c r="I13" s="14">
        <f t="shared" si="6"/>
        <v>71920</v>
      </c>
      <c r="J13" s="14">
        <f t="shared" si="6"/>
        <v>77499</v>
      </c>
      <c r="K13" s="14">
        <f t="shared" si="6"/>
        <v>77640</v>
      </c>
      <c r="L13" s="14">
        <f t="shared" si="6"/>
        <v>74304</v>
      </c>
      <c r="M13" s="14">
        <f t="shared" si="6"/>
        <v>74082</v>
      </c>
      <c r="N13" s="14">
        <f t="shared" si="6"/>
        <v>84692</v>
      </c>
      <c r="O13" s="14">
        <f t="shared" si="6"/>
        <v>71470</v>
      </c>
      <c r="P13" s="14">
        <f t="shared" ref="P13:Q13" si="7">P5+P9+P12</f>
        <v>74921</v>
      </c>
      <c r="Q13" s="14">
        <f t="shared" si="7"/>
        <v>51664</v>
      </c>
      <c r="R13" s="14"/>
      <c r="T13" s="14">
        <f>T5+T9+T12</f>
        <v>301915</v>
      </c>
      <c r="U13" s="14">
        <f>U5+U9+U12</f>
        <v>309884</v>
      </c>
      <c r="V13" s="14">
        <f>V5+V9+V12</f>
        <v>320221</v>
      </c>
      <c r="W13" s="14">
        <f>W5+W9+W12</f>
        <v>310718</v>
      </c>
    </row>
    <row r="14" spans="2:34" x14ac:dyDescent="0.3">
      <c r="C14" s="9"/>
      <c r="D14" s="9"/>
      <c r="E14" s="9"/>
      <c r="F14" s="9"/>
      <c r="G14" s="14"/>
      <c r="H14" s="14"/>
      <c r="I14" s="14"/>
      <c r="J14" s="14"/>
      <c r="K14" s="14"/>
      <c r="L14" s="14"/>
      <c r="M14" s="14"/>
      <c r="N14" s="14"/>
      <c r="O14" s="14"/>
      <c r="P14" s="9"/>
      <c r="Q14" s="9"/>
      <c r="R14" s="9"/>
      <c r="T14" s="14"/>
      <c r="U14" s="14"/>
      <c r="V14" s="14"/>
      <c r="W14" s="14"/>
    </row>
    <row r="15" spans="2:34" x14ac:dyDescent="0.3">
      <c r="B15" s="1" t="s">
        <v>72</v>
      </c>
      <c r="C15" s="9"/>
      <c r="D15" s="9"/>
      <c r="E15" s="9"/>
      <c r="F15" s="9"/>
      <c r="G15" s="6">
        <f t="shared" ref="G15:P15" si="8">(G30/G13)*1000000</f>
        <v>125013.92895613308</v>
      </c>
      <c r="H15" s="6">
        <f t="shared" si="8"/>
        <v>114777.58649414117</v>
      </c>
      <c r="I15" s="6">
        <f t="shared" si="8"/>
        <v>134885.98442714129</v>
      </c>
      <c r="J15" s="6">
        <f t="shared" si="8"/>
        <v>134169.47315449233</v>
      </c>
      <c r="K15" s="6">
        <f t="shared" si="8"/>
        <v>116061.30860381247</v>
      </c>
      <c r="L15" s="6">
        <f t="shared" si="8"/>
        <v>140584.62532299742</v>
      </c>
      <c r="M15" s="6">
        <f t="shared" si="8"/>
        <v>124146.21635485002</v>
      </c>
      <c r="N15" s="6">
        <f t="shared" si="8"/>
        <v>134947.8108912294</v>
      </c>
      <c r="O15" s="6">
        <f t="shared" si="8"/>
        <v>123940.1147334546</v>
      </c>
      <c r="P15" s="6">
        <f t="shared" si="8"/>
        <v>124117.403665194</v>
      </c>
      <c r="Q15" s="9"/>
      <c r="R15" s="9"/>
      <c r="T15" s="6">
        <f>(T30/T13)*1000000</f>
        <v>109759.36935892553</v>
      </c>
      <c r="U15" s="6">
        <f>(U30/U13)*1000000</f>
        <v>121432.53604574615</v>
      </c>
      <c r="V15" s="6">
        <f>(V30/V13)*1000000</f>
        <v>126568.83839598276</v>
      </c>
      <c r="W15" s="6">
        <f>(W30/W13)*1000000</f>
        <v>129001.21653718164</v>
      </c>
    </row>
    <row r="16" spans="2:34" x14ac:dyDescent="0.3">
      <c r="C16" s="9"/>
      <c r="D16" s="9"/>
      <c r="E16" s="9"/>
      <c r="F16" s="9"/>
      <c r="G16" s="9"/>
      <c r="H16" s="14"/>
      <c r="I16" s="14"/>
      <c r="J16" s="9"/>
      <c r="K16" s="9"/>
      <c r="L16" s="9"/>
      <c r="M16" s="14"/>
      <c r="P16" s="9"/>
      <c r="Q16" s="9"/>
      <c r="R16" s="9"/>
    </row>
    <row r="17" spans="2:34" x14ac:dyDescent="0.3">
      <c r="B17" s="12">
        <v>911</v>
      </c>
      <c r="C17" s="9"/>
      <c r="D17" s="9"/>
      <c r="E17" s="9"/>
      <c r="F17" s="9"/>
      <c r="G17" s="17">
        <f>G3/G13</f>
        <v>0.13697425928906609</v>
      </c>
      <c r="H17" s="17">
        <f t="shared" ref="H17:O17" si="9">H3/H13</f>
        <v>0.1865163547509302</v>
      </c>
      <c r="I17" s="17">
        <f t="shared" si="9"/>
        <v>0.15201612903225806</v>
      </c>
      <c r="J17" s="17">
        <f t="shared" si="9"/>
        <v>0.14654382637195318</v>
      </c>
      <c r="K17" s="17">
        <f t="shared" si="9"/>
        <v>0.16604842864502833</v>
      </c>
      <c r="L17" s="17">
        <f t="shared" si="9"/>
        <v>0.18106696813092163</v>
      </c>
      <c r="M17" s="17">
        <f t="shared" si="9"/>
        <v>0.18085364865959341</v>
      </c>
      <c r="N17" s="17">
        <f t="shared" si="9"/>
        <v>0.13220847305530628</v>
      </c>
      <c r="O17" s="17">
        <f t="shared" si="9"/>
        <v>0.15936756681124947</v>
      </c>
      <c r="P17" s="17">
        <f t="shared" ref="P17:Q17" si="10">P3/P13</f>
        <v>0.18977322779994929</v>
      </c>
      <c r="Q17" s="17">
        <f t="shared" si="10"/>
        <v>0.19742954475069682</v>
      </c>
      <c r="R17" s="9"/>
      <c r="T17" s="17">
        <f t="shared" ref="T17:W17" si="11">T3/T13</f>
        <v>0.12740009605352501</v>
      </c>
      <c r="U17" s="17">
        <f t="shared" si="11"/>
        <v>0.13040363490854642</v>
      </c>
      <c r="V17" s="17">
        <f t="shared" si="11"/>
        <v>0.15659809943757591</v>
      </c>
      <c r="W17" s="17">
        <f t="shared" si="11"/>
        <v>0.16394608616172865</v>
      </c>
      <c r="X17" s="17"/>
    </row>
    <row r="18" spans="2:34" x14ac:dyDescent="0.3">
      <c r="B18" s="12">
        <v>718</v>
      </c>
      <c r="C18" s="9"/>
      <c r="D18" s="9"/>
      <c r="E18" s="9"/>
      <c r="F18" s="9"/>
      <c r="G18" s="17">
        <f>G4/G13</f>
        <v>5.9504500600492775E-2</v>
      </c>
      <c r="H18" s="17">
        <f t="shared" ref="H18:O18" si="12">H4/H13</f>
        <v>7.660354306658522E-2</v>
      </c>
      <c r="I18" s="17">
        <f t="shared" si="12"/>
        <v>6.6115127919911018E-2</v>
      </c>
      <c r="J18" s="17">
        <f t="shared" si="12"/>
        <v>5.238777274545478E-2</v>
      </c>
      <c r="K18" s="17">
        <f t="shared" si="12"/>
        <v>7.4343122102009274E-2</v>
      </c>
      <c r="L18" s="17">
        <f t="shared" si="12"/>
        <v>8.3212209302325577E-2</v>
      </c>
      <c r="M18" s="17">
        <f t="shared" si="12"/>
        <v>8.2246699603142459E-2</v>
      </c>
      <c r="N18" s="17">
        <f t="shared" si="12"/>
        <v>6.6381712558447076E-2</v>
      </c>
      <c r="O18" s="17">
        <f t="shared" si="12"/>
        <v>6.2935497411501326E-2</v>
      </c>
      <c r="P18" s="17">
        <f t="shared" ref="P18:Q18" si="13">P4/P13</f>
        <v>8.0057660735975228E-2</v>
      </c>
      <c r="Q18" s="17">
        <f t="shared" si="13"/>
        <v>7.587488386497368E-2</v>
      </c>
      <c r="R18" s="9"/>
      <c r="T18" s="17">
        <f t="shared" ref="T18:W18" si="14">T4/T13</f>
        <v>6.7906529983604663E-2</v>
      </c>
      <c r="U18" s="17">
        <f t="shared" si="14"/>
        <v>5.8741335467465246E-2</v>
      </c>
      <c r="V18" s="17">
        <f t="shared" si="14"/>
        <v>6.4074498549439293E-2</v>
      </c>
      <c r="W18" s="17">
        <f t="shared" si="14"/>
        <v>7.6178399706486266E-2</v>
      </c>
      <c r="X18" s="17"/>
    </row>
    <row r="19" spans="2:34" s="2" customFormat="1" x14ac:dyDescent="0.3">
      <c r="B19" s="21" t="s">
        <v>70</v>
      </c>
      <c r="C19" s="19"/>
      <c r="D19" s="19"/>
      <c r="E19" s="19"/>
      <c r="F19" s="19"/>
      <c r="G19" s="20">
        <f>G17+G18</f>
        <v>0.19647875988955887</v>
      </c>
      <c r="H19" s="20">
        <f t="shared" ref="H19:O19" si="15">H17+H18</f>
        <v>0.26311989781751544</v>
      </c>
      <c r="I19" s="20">
        <f t="shared" si="15"/>
        <v>0.21813125695216906</v>
      </c>
      <c r="J19" s="20">
        <f t="shared" si="15"/>
        <v>0.19893159911740796</v>
      </c>
      <c r="K19" s="20">
        <f t="shared" si="15"/>
        <v>0.24039155074703761</v>
      </c>
      <c r="L19" s="20">
        <f t="shared" si="15"/>
        <v>0.26427917743324719</v>
      </c>
      <c r="M19" s="20">
        <f t="shared" si="15"/>
        <v>0.26310034826273587</v>
      </c>
      <c r="N19" s="20">
        <f t="shared" si="15"/>
        <v>0.19859018561375336</v>
      </c>
      <c r="O19" s="20">
        <f t="shared" si="15"/>
        <v>0.22230306422275081</v>
      </c>
      <c r="P19" s="20">
        <f t="shared" ref="P19:Q19" si="16">P17+P18</f>
        <v>0.26983088853592452</v>
      </c>
      <c r="Q19" s="20">
        <f t="shared" si="16"/>
        <v>0.2733044286156705</v>
      </c>
      <c r="R19" s="19"/>
      <c r="T19" s="20">
        <f t="shared" ref="T19:W19" si="17">T17+T18</f>
        <v>0.19530662603712967</v>
      </c>
      <c r="U19" s="20">
        <f t="shared" si="17"/>
        <v>0.18914497037601166</v>
      </c>
      <c r="V19" s="20">
        <f t="shared" si="17"/>
        <v>0.22067259798701522</v>
      </c>
      <c r="W19" s="20">
        <f t="shared" si="17"/>
        <v>0.24012448586821492</v>
      </c>
      <c r="X19" s="20"/>
    </row>
    <row r="20" spans="2:34" x14ac:dyDescent="0.3">
      <c r="B20" s="1" t="s">
        <v>63</v>
      </c>
      <c r="C20" s="9"/>
      <c r="D20" s="9"/>
      <c r="E20" s="9"/>
      <c r="F20" s="9"/>
      <c r="G20" s="17">
        <f>G6/G13</f>
        <v>0.29566530885138731</v>
      </c>
      <c r="H20" s="17">
        <f t="shared" ref="H20:O20" si="18">H6/H13</f>
        <v>0.25503415338479479</v>
      </c>
      <c r="I20" s="17">
        <f t="shared" si="18"/>
        <v>0.29911012235817575</v>
      </c>
      <c r="J20" s="17">
        <f t="shared" si="18"/>
        <v>0.24517735712718874</v>
      </c>
      <c r="K20" s="17">
        <f t="shared" si="18"/>
        <v>0.26501803194229778</v>
      </c>
      <c r="L20" s="17">
        <f t="shared" si="18"/>
        <v>0.21565460809646855</v>
      </c>
      <c r="M20" s="17">
        <f t="shared" si="18"/>
        <v>0.24837342404362733</v>
      </c>
      <c r="N20" s="17">
        <f t="shared" si="18"/>
        <v>0.32818920323052947</v>
      </c>
      <c r="O20" s="17">
        <f t="shared" si="18"/>
        <v>0.32957884427032319</v>
      </c>
      <c r="P20" s="17">
        <f t="shared" ref="P20:Q20" si="19">P6/P13</f>
        <v>0.28806342680957275</v>
      </c>
      <c r="Q20" s="17">
        <f t="shared" si="19"/>
        <v>0.31639052338185197</v>
      </c>
      <c r="R20" s="9"/>
      <c r="T20" s="17">
        <f t="shared" ref="T20:W20" si="20">T6/T13</f>
        <v>0.2926717784806982</v>
      </c>
      <c r="U20" s="17">
        <f t="shared" si="20"/>
        <v>0.27985956035161547</v>
      </c>
      <c r="V20" s="17">
        <f t="shared" si="20"/>
        <v>0.27279597527957256</v>
      </c>
      <c r="W20" s="17">
        <f t="shared" si="20"/>
        <v>0.26646348135608494</v>
      </c>
      <c r="X20" s="17"/>
    </row>
    <row r="21" spans="2:34" s="13" customFormat="1" x14ac:dyDescent="0.3">
      <c r="B21" s="13" t="s">
        <v>67</v>
      </c>
      <c r="C21" s="3"/>
      <c r="D21" s="3"/>
      <c r="E21" s="3"/>
      <c r="F21" s="3"/>
      <c r="G21" s="18"/>
      <c r="H21" s="18"/>
      <c r="I21" s="18"/>
      <c r="J21" s="18"/>
      <c r="K21" s="18"/>
      <c r="L21" s="18"/>
      <c r="M21" s="18"/>
      <c r="N21" s="18"/>
      <c r="O21" s="18">
        <f>O7/O6</f>
        <v>0.602207599235831</v>
      </c>
      <c r="P21" s="18">
        <f>P7/P6</f>
        <v>0.54207209711796867</v>
      </c>
      <c r="Q21" s="18">
        <f>Q7/Q6</f>
        <v>0.48966107916309798</v>
      </c>
      <c r="R21" s="3"/>
      <c r="T21" s="18"/>
      <c r="U21" s="18"/>
      <c r="V21" s="18"/>
      <c r="W21" s="18">
        <f>W7/W6</f>
        <v>0.2207621233166254</v>
      </c>
      <c r="X21" s="18"/>
    </row>
    <row r="22" spans="2:34" x14ac:dyDescent="0.3">
      <c r="B22" s="1" t="s">
        <v>64</v>
      </c>
      <c r="C22" s="9"/>
      <c r="D22" s="9"/>
      <c r="E22" s="9"/>
      <c r="F22" s="9"/>
      <c r="G22" s="17">
        <f>G8/G13</f>
        <v>0.28956133074151574</v>
      </c>
      <c r="H22" s="17">
        <f t="shared" ref="H22:O22" si="21">H8/H13</f>
        <v>0.2555894929749542</v>
      </c>
      <c r="I22" s="17">
        <f t="shared" si="21"/>
        <v>0.25108453837597328</v>
      </c>
      <c r="J22" s="17">
        <f t="shared" si="21"/>
        <v>0.29801674860320776</v>
      </c>
      <c r="K22" s="17">
        <f t="shared" si="21"/>
        <v>0.36096084492529623</v>
      </c>
      <c r="L22" s="17">
        <f t="shared" si="21"/>
        <v>0.33301033591731266</v>
      </c>
      <c r="M22" s="17">
        <f t="shared" si="21"/>
        <v>0.33634351124429684</v>
      </c>
      <c r="N22" s="17">
        <f t="shared" si="21"/>
        <v>0.29758418740849196</v>
      </c>
      <c r="O22" s="17">
        <f t="shared" si="21"/>
        <v>0.28060724779627816</v>
      </c>
      <c r="P22" s="17">
        <f t="shared" ref="P22:Q22" si="22">P8/P13</f>
        <v>0.29121341146007129</v>
      </c>
      <c r="Q22" s="17">
        <f t="shared" si="22"/>
        <v>0.29173118612573551</v>
      </c>
      <c r="R22" s="9"/>
      <c r="T22" s="17">
        <f t="shared" ref="T22:W22" si="23">T8/T13</f>
        <v>0.27514697845420066</v>
      </c>
      <c r="U22" s="17">
        <f t="shared" si="23"/>
        <v>0.3085154444889055</v>
      </c>
      <c r="V22" s="17">
        <f t="shared" si="23"/>
        <v>0.27341429825027092</v>
      </c>
      <c r="W22" s="17">
        <f t="shared" si="23"/>
        <v>0.3311330531221236</v>
      </c>
      <c r="X22" s="17"/>
    </row>
    <row r="23" spans="2:34" s="2" customFormat="1" x14ac:dyDescent="0.3">
      <c r="B23" s="2" t="s">
        <v>68</v>
      </c>
      <c r="C23" s="19"/>
      <c r="D23" s="19"/>
      <c r="E23" s="19"/>
      <c r="F23" s="19"/>
      <c r="G23" s="20">
        <f>G20+G22</f>
        <v>0.58522663959290311</v>
      </c>
      <c r="H23" s="20">
        <f t="shared" ref="H23:O23" si="24">H20+H22</f>
        <v>0.51062364635974899</v>
      </c>
      <c r="I23" s="20">
        <f t="shared" si="24"/>
        <v>0.55019466073414902</v>
      </c>
      <c r="J23" s="20">
        <f t="shared" si="24"/>
        <v>0.5431941057303965</v>
      </c>
      <c r="K23" s="20">
        <f t="shared" si="24"/>
        <v>0.62597887686759401</v>
      </c>
      <c r="L23" s="20">
        <f t="shared" si="24"/>
        <v>0.54866494401378119</v>
      </c>
      <c r="M23" s="20">
        <f t="shared" si="24"/>
        <v>0.58471693528792423</v>
      </c>
      <c r="N23" s="20">
        <f t="shared" si="24"/>
        <v>0.62577339063902149</v>
      </c>
      <c r="O23" s="20">
        <f t="shared" si="24"/>
        <v>0.61018609206660135</v>
      </c>
      <c r="P23" s="20">
        <f t="shared" ref="P23:Q23" si="25">P20+P22</f>
        <v>0.57927683826964405</v>
      </c>
      <c r="Q23" s="20">
        <f t="shared" si="25"/>
        <v>0.60812170950758748</v>
      </c>
      <c r="R23" s="19"/>
      <c r="T23" s="20">
        <f t="shared" ref="T23:W23" si="26">T20+T22</f>
        <v>0.56781875693489892</v>
      </c>
      <c r="U23" s="20">
        <f t="shared" si="26"/>
        <v>0.58837500484052097</v>
      </c>
      <c r="V23" s="20">
        <f t="shared" si="26"/>
        <v>0.54621027352984353</v>
      </c>
      <c r="W23" s="20">
        <f t="shared" si="26"/>
        <v>0.5975965344782086</v>
      </c>
      <c r="X23" s="20"/>
    </row>
    <row r="24" spans="2:34" x14ac:dyDescent="0.3">
      <c r="B24" s="1" t="s">
        <v>65</v>
      </c>
      <c r="C24" s="9"/>
      <c r="D24" s="9"/>
      <c r="E24" s="9"/>
      <c r="F24" s="9"/>
      <c r="G24" s="17">
        <f>G10/G13</f>
        <v>0.10498099471318732</v>
      </c>
      <c r="H24" s="17">
        <f t="shared" ref="H24:O24" si="27">H10/H13</f>
        <v>0.11677680901871494</v>
      </c>
      <c r="I24" s="17">
        <f t="shared" si="27"/>
        <v>0.10825917686318132</v>
      </c>
      <c r="J24" s="17">
        <f t="shared" si="27"/>
        <v>9.3433463657595583E-2</v>
      </c>
      <c r="K24" s="17">
        <f t="shared" si="27"/>
        <v>7.9070066975785683E-2</v>
      </c>
      <c r="L24" s="17">
        <f t="shared" si="27"/>
        <v>0.12049149440137812</v>
      </c>
      <c r="M24" s="17">
        <f t="shared" si="27"/>
        <v>8.6579735968251401E-2</v>
      </c>
      <c r="N24" s="17">
        <f t="shared" si="27"/>
        <v>9.5416332121097625E-2</v>
      </c>
      <c r="O24" s="17">
        <f t="shared" si="27"/>
        <v>0.10870295228767315</v>
      </c>
      <c r="P24" s="17">
        <f t="shared" ref="P24:Q24" si="28">P10/P13</f>
        <v>9.6181310980899881E-2</v>
      </c>
      <c r="Q24" s="17">
        <f t="shared" si="28"/>
        <v>8.371399814183958E-2</v>
      </c>
      <c r="R24" s="9"/>
      <c r="T24" s="17">
        <f t="shared" ref="T24:W24" si="29">T10/T13</f>
        <v>0.10009439742974016</v>
      </c>
      <c r="U24" s="17">
        <f t="shared" si="29"/>
        <v>0.11017671128551329</v>
      </c>
      <c r="V24" s="17">
        <f t="shared" si="29"/>
        <v>0.10623912860180938</v>
      </c>
      <c r="W24" s="17">
        <f t="shared" si="29"/>
        <v>9.5221390456941668E-2</v>
      </c>
      <c r="X24" s="17"/>
    </row>
    <row r="25" spans="2:34" x14ac:dyDescent="0.3">
      <c r="B25" s="1" t="s">
        <v>66</v>
      </c>
      <c r="C25" s="9"/>
      <c r="D25" s="9"/>
      <c r="E25" s="9"/>
      <c r="F25" s="9"/>
      <c r="G25" s="17">
        <f>G11/G13</f>
        <v>0.11331360580435079</v>
      </c>
      <c r="H25" s="17">
        <f t="shared" ref="H25:O25" si="30">H11/H13</f>
        <v>0.10947964680402066</v>
      </c>
      <c r="I25" s="17">
        <f t="shared" si="30"/>
        <v>0.12341490545050056</v>
      </c>
      <c r="J25" s="17">
        <f t="shared" si="30"/>
        <v>0.16444083149459993</v>
      </c>
      <c r="K25" s="17">
        <f t="shared" si="30"/>
        <v>5.4559505409582688E-2</v>
      </c>
      <c r="L25" s="17">
        <f t="shared" si="30"/>
        <v>6.656438415159345E-2</v>
      </c>
      <c r="M25" s="17">
        <f t="shared" si="30"/>
        <v>6.5602980481088521E-2</v>
      </c>
      <c r="N25" s="17">
        <f t="shared" si="30"/>
        <v>8.0220091626127615E-2</v>
      </c>
      <c r="O25" s="17">
        <f t="shared" si="30"/>
        <v>5.8807891422974677E-2</v>
      </c>
      <c r="P25" s="17">
        <f t="shared" ref="P25:Q25" si="31">P11/P13</f>
        <v>5.4710962213531583E-2</v>
      </c>
      <c r="Q25" s="17">
        <f t="shared" si="31"/>
        <v>3.4859863734902449E-2</v>
      </c>
      <c r="R25" s="9"/>
      <c r="T25" s="17">
        <f t="shared" ref="T25:W25" si="32">T11/T13</f>
        <v>0.13678021959823128</v>
      </c>
      <c r="U25" s="17">
        <f t="shared" si="32"/>
        <v>0.11230331349795407</v>
      </c>
      <c r="V25" s="17">
        <f t="shared" si="32"/>
        <v>0.12687799988133194</v>
      </c>
      <c r="W25" s="17">
        <f t="shared" si="32"/>
        <v>6.705758919663489E-2</v>
      </c>
      <c r="X25" s="17"/>
    </row>
    <row r="26" spans="2:34" s="2" customFormat="1" x14ac:dyDescent="0.3">
      <c r="B26" s="2" t="s">
        <v>69</v>
      </c>
      <c r="C26" s="19"/>
      <c r="D26" s="19"/>
      <c r="E26" s="19"/>
      <c r="F26" s="19"/>
      <c r="G26" s="20">
        <f t="shared" ref="G26:P26" si="33">G24+G25</f>
        <v>0.21829460051753813</v>
      </c>
      <c r="H26" s="20">
        <f t="shared" si="33"/>
        <v>0.2262564558227356</v>
      </c>
      <c r="I26" s="20">
        <f t="shared" si="33"/>
        <v>0.23167408231368186</v>
      </c>
      <c r="J26" s="20">
        <f t="shared" si="33"/>
        <v>0.25787429515219551</v>
      </c>
      <c r="K26" s="20">
        <f t="shared" si="33"/>
        <v>0.13362957238536838</v>
      </c>
      <c r="L26" s="20">
        <f t="shared" si="33"/>
        <v>0.18705587855297157</v>
      </c>
      <c r="M26" s="20">
        <f t="shared" si="33"/>
        <v>0.15218271644933992</v>
      </c>
      <c r="N26" s="20">
        <f t="shared" si="33"/>
        <v>0.17563642374722524</v>
      </c>
      <c r="O26" s="20">
        <f t="shared" si="33"/>
        <v>0.16751084371064784</v>
      </c>
      <c r="P26" s="20">
        <f t="shared" si="33"/>
        <v>0.15089227319443146</v>
      </c>
      <c r="Q26" s="20">
        <f t="shared" ref="Q26" si="34">Q24+Q25</f>
        <v>0.11857386187674203</v>
      </c>
      <c r="R26" s="19"/>
      <c r="T26" s="20">
        <f>T24+T25</f>
        <v>0.23687461702797144</v>
      </c>
      <c r="U26" s="20">
        <f>U24+U25</f>
        <v>0.22248002478346735</v>
      </c>
      <c r="V26" s="20">
        <f>V24+V25</f>
        <v>0.23311712848314131</v>
      </c>
      <c r="W26" s="20">
        <f>W24+W25</f>
        <v>0.16227897965357657</v>
      </c>
      <c r="X26" s="20"/>
    </row>
    <row r="27" spans="2:34" s="2" customFormat="1" x14ac:dyDescent="0.3">
      <c r="B27" s="2" t="s">
        <v>73</v>
      </c>
      <c r="C27" s="19"/>
      <c r="D27" s="19"/>
      <c r="E27" s="19"/>
      <c r="F27" s="19"/>
      <c r="G27" s="20">
        <f t="shared" ref="G27:M27" si="35">(G11+G7)/G13</f>
        <v>0.11331360580435079</v>
      </c>
      <c r="H27" s="20">
        <f t="shared" si="35"/>
        <v>0.10947964680402066</v>
      </c>
      <c r="I27" s="20">
        <f t="shared" si="35"/>
        <v>0.12341490545050056</v>
      </c>
      <c r="J27" s="20">
        <f t="shared" si="35"/>
        <v>0.16444083149459993</v>
      </c>
      <c r="K27" s="20">
        <f t="shared" si="35"/>
        <v>5.4559505409582688E-2</v>
      </c>
      <c r="L27" s="20">
        <f t="shared" si="35"/>
        <v>6.656438415159345E-2</v>
      </c>
      <c r="M27" s="20">
        <f t="shared" si="35"/>
        <v>6.5602980481088521E-2</v>
      </c>
      <c r="N27" s="20">
        <f t="shared" ref="N27:O27" si="36">(N11+N7)/N13</f>
        <v>8.0220091626127615E-2</v>
      </c>
      <c r="O27" s="20">
        <f t="shared" si="36"/>
        <v>0.25728277598992583</v>
      </c>
      <c r="P27" s="20">
        <f>(P11+P7)/P13</f>
        <v>0.21086210808718517</v>
      </c>
      <c r="Q27" s="20">
        <f>(Q11+Q7)/Q13</f>
        <v>0.18978398885103748</v>
      </c>
      <c r="R27" s="19"/>
      <c r="T27" s="20">
        <f t="shared" ref="T27:W27" si="37">(T11+T7)/T13</f>
        <v>0.13678021959823128</v>
      </c>
      <c r="U27" s="20">
        <f t="shared" si="37"/>
        <v>0.11230331349795407</v>
      </c>
      <c r="V27" s="20">
        <f t="shared" si="37"/>
        <v>0.12687799988133194</v>
      </c>
      <c r="W27" s="20">
        <f t="shared" si="37"/>
        <v>0.12588263312714423</v>
      </c>
      <c r="X27" s="20"/>
    </row>
    <row r="28" spans="2:34" x14ac:dyDescent="0.3">
      <c r="C28" s="9"/>
      <c r="D28" s="9"/>
      <c r="E28" s="9"/>
      <c r="F28" s="9"/>
      <c r="G28" s="9"/>
      <c r="H28" s="14"/>
      <c r="I28" s="14"/>
      <c r="J28" s="9"/>
      <c r="K28" s="9"/>
      <c r="L28" s="9"/>
      <c r="M28" s="14"/>
      <c r="P28" s="9"/>
      <c r="Q28" s="9"/>
      <c r="R28" s="9"/>
    </row>
    <row r="29" spans="2:34" x14ac:dyDescent="0.3">
      <c r="C29" s="9"/>
      <c r="D29" s="9"/>
      <c r="E29" s="9"/>
      <c r="F29" s="9"/>
      <c r="G29" s="9"/>
      <c r="H29" s="14"/>
      <c r="I29" s="14"/>
      <c r="J29" s="9"/>
      <c r="K29" s="9"/>
      <c r="L29" s="9"/>
      <c r="M29" s="14"/>
      <c r="P29" s="9"/>
      <c r="Q29" s="9"/>
      <c r="R29" s="9"/>
    </row>
    <row r="30" spans="2:34" s="2" customFormat="1" x14ac:dyDescent="0.3">
      <c r="B30" s="2" t="s">
        <v>12</v>
      </c>
      <c r="C30" s="8">
        <v>8043</v>
      </c>
      <c r="G30" s="8">
        <v>10097</v>
      </c>
      <c r="H30" s="8">
        <f>H63-G30</f>
        <v>10334</v>
      </c>
      <c r="I30" s="8">
        <f>I63-H63</f>
        <v>9701</v>
      </c>
      <c r="J30" s="8">
        <f>V30-I63</f>
        <v>10398</v>
      </c>
      <c r="K30" s="8">
        <v>9011</v>
      </c>
      <c r="L30" s="8">
        <f>L63-K30</f>
        <v>10446</v>
      </c>
      <c r="M30" s="8">
        <f>M63-L63</f>
        <v>9197</v>
      </c>
      <c r="N30" s="8">
        <f>W30-M63</f>
        <v>11429</v>
      </c>
      <c r="O30" s="8">
        <v>8858</v>
      </c>
      <c r="P30" s="8">
        <f>P63-O30</f>
        <v>9299</v>
      </c>
      <c r="Q30" s="8">
        <f>Q63-P63</f>
        <v>8707</v>
      </c>
      <c r="R30" s="8">
        <f>N30*0.95</f>
        <v>10857.55</v>
      </c>
      <c r="T30" s="8">
        <v>33138</v>
      </c>
      <c r="U30" s="8">
        <v>37630</v>
      </c>
      <c r="V30" s="8">
        <v>40530</v>
      </c>
      <c r="W30" s="8">
        <v>40083</v>
      </c>
      <c r="X30" s="8">
        <f>SUM(O30:R30)</f>
        <v>37721.550000000003</v>
      </c>
      <c r="Y30" s="8">
        <f>X30*1.02</f>
        <v>38475.981000000007</v>
      </c>
      <c r="Z30" s="8">
        <f t="shared" ref="Z30:AH30" si="38">Y30*1.02</f>
        <v>39245.500620000006</v>
      </c>
      <c r="AA30" s="8">
        <f t="shared" si="38"/>
        <v>40030.410632400009</v>
      </c>
      <c r="AB30" s="8">
        <f t="shared" si="38"/>
        <v>40831.018845048013</v>
      </c>
      <c r="AC30" s="8">
        <f t="shared" si="38"/>
        <v>41647.639221948972</v>
      </c>
      <c r="AD30" s="8">
        <f t="shared" si="38"/>
        <v>42480.592006387953</v>
      </c>
      <c r="AE30" s="8">
        <f t="shared" si="38"/>
        <v>43330.203846515709</v>
      </c>
      <c r="AF30" s="8">
        <f t="shared" si="38"/>
        <v>44196.807923446024</v>
      </c>
      <c r="AG30" s="8">
        <f t="shared" si="38"/>
        <v>45080.744081914941</v>
      </c>
      <c r="AH30" s="8">
        <f t="shared" si="38"/>
        <v>45982.358963553241</v>
      </c>
    </row>
    <row r="31" spans="2:34" x14ac:dyDescent="0.3">
      <c r="B31" s="1" t="s">
        <v>14</v>
      </c>
      <c r="C31" s="6">
        <v>5856</v>
      </c>
      <c r="G31" s="6">
        <v>7280</v>
      </c>
      <c r="H31" s="6">
        <f>H64-G31</f>
        <v>7242</v>
      </c>
      <c r="I31" s="6">
        <f>I64-H64</f>
        <v>7021</v>
      </c>
      <c r="J31" s="6">
        <f>V31-I64</f>
        <v>7381</v>
      </c>
      <c r="K31" s="6">
        <v>6694</v>
      </c>
      <c r="L31" s="6">
        <f>L64-K31</f>
        <v>7557</v>
      </c>
      <c r="M31" s="6">
        <f>M64-L64</f>
        <v>7028</v>
      </c>
      <c r="N31" s="6">
        <f>W31-M64</f>
        <v>8477</v>
      </c>
      <c r="O31" s="6">
        <v>6996</v>
      </c>
      <c r="P31" s="6">
        <f>P64-O31</f>
        <v>7797</v>
      </c>
      <c r="Q31" s="6">
        <f>Q64-P64</f>
        <v>8797</v>
      </c>
      <c r="R31" s="6">
        <f t="shared" ref="Q31:R31" si="39">R30-R32</f>
        <v>9228.9174999999996</v>
      </c>
      <c r="T31" s="6">
        <v>24281</v>
      </c>
      <c r="U31" s="6">
        <v>27084</v>
      </c>
      <c r="V31" s="6">
        <v>28924</v>
      </c>
      <c r="W31" s="6">
        <v>29756</v>
      </c>
      <c r="X31" s="6">
        <f>SUM(O31:R31)</f>
        <v>32818.917499999996</v>
      </c>
      <c r="Y31" s="6">
        <f>Y30-Y32</f>
        <v>28856.985750000007</v>
      </c>
      <c r="Z31" s="6">
        <f t="shared" ref="Z31:AH31" si="40">Z30-Z32</f>
        <v>28649.215452600001</v>
      </c>
      <c r="AA31" s="6">
        <f t="shared" si="40"/>
        <v>28821.895655328008</v>
      </c>
      <c r="AB31" s="6">
        <f t="shared" si="40"/>
        <v>28990.02337998409</v>
      </c>
      <c r="AC31" s="6">
        <f t="shared" si="40"/>
        <v>29569.823847583772</v>
      </c>
      <c r="AD31" s="6">
        <f t="shared" si="40"/>
        <v>30161.220324535447</v>
      </c>
      <c r="AE31" s="6">
        <f t="shared" si="40"/>
        <v>30764.444731026153</v>
      </c>
      <c r="AF31" s="6">
        <f t="shared" si="40"/>
        <v>31379.733625646677</v>
      </c>
      <c r="AG31" s="6">
        <f t="shared" si="40"/>
        <v>32007.328298159609</v>
      </c>
      <c r="AH31" s="6">
        <f t="shared" si="40"/>
        <v>32647.4748641228</v>
      </c>
    </row>
    <row r="32" spans="2:34" s="2" customFormat="1" x14ac:dyDescent="0.3">
      <c r="B32" s="2" t="s">
        <v>15</v>
      </c>
      <c r="C32" s="8">
        <f>C30-C31</f>
        <v>2187</v>
      </c>
      <c r="G32" s="8">
        <f t="shared" ref="G32:O32" si="41">G30-G31</f>
        <v>2817</v>
      </c>
      <c r="H32" s="8">
        <f t="shared" si="41"/>
        <v>3092</v>
      </c>
      <c r="I32" s="8">
        <f t="shared" si="41"/>
        <v>2680</v>
      </c>
      <c r="J32" s="8">
        <f t="shared" si="41"/>
        <v>3017</v>
      </c>
      <c r="K32" s="8">
        <f t="shared" si="41"/>
        <v>2317</v>
      </c>
      <c r="L32" s="8">
        <f t="shared" si="41"/>
        <v>2889</v>
      </c>
      <c r="M32" s="8">
        <f t="shared" si="41"/>
        <v>2169</v>
      </c>
      <c r="N32" s="8">
        <f t="shared" si="41"/>
        <v>2952</v>
      </c>
      <c r="O32" s="8">
        <f t="shared" si="41"/>
        <v>1862</v>
      </c>
      <c r="P32" s="8">
        <f t="shared" ref="P32:Q32" si="42">P30-P31</f>
        <v>1502</v>
      </c>
      <c r="Q32" s="8">
        <f t="shared" si="42"/>
        <v>-90</v>
      </c>
      <c r="R32" s="8">
        <f>R30*0.15</f>
        <v>1628.6324999999999</v>
      </c>
      <c r="T32" s="8">
        <f>T30-T31</f>
        <v>8857</v>
      </c>
      <c r="U32" s="8">
        <f>U30-U31</f>
        <v>10546</v>
      </c>
      <c r="V32" s="8">
        <f>V30-V31</f>
        <v>11606</v>
      </c>
      <c r="W32" s="8">
        <f>W30-W31</f>
        <v>10327</v>
      </c>
      <c r="X32" s="8">
        <f>X30-X31</f>
        <v>4902.632500000007</v>
      </c>
      <c r="Y32" s="8">
        <f>Y30*0.25</f>
        <v>9618.9952500000018</v>
      </c>
      <c r="Z32" s="8">
        <f>Z30*0.27</f>
        <v>10596.285167400003</v>
      </c>
      <c r="AA32" s="8">
        <f>AA30*0.28</f>
        <v>11208.514977072004</v>
      </c>
      <c r="AB32" s="8">
        <f>AB30*0.29</f>
        <v>11840.995465063923</v>
      </c>
      <c r="AC32" s="8">
        <f t="shared" ref="AC32:AH32" si="43">AC30*0.29</f>
        <v>12077.8153743652</v>
      </c>
      <c r="AD32" s="8">
        <f t="shared" si="43"/>
        <v>12319.371681852506</v>
      </c>
      <c r="AE32" s="8">
        <f t="shared" si="43"/>
        <v>12565.759115489554</v>
      </c>
      <c r="AF32" s="8">
        <f t="shared" si="43"/>
        <v>12817.074297799347</v>
      </c>
      <c r="AG32" s="8">
        <f t="shared" si="43"/>
        <v>13073.415783755332</v>
      </c>
      <c r="AH32" s="8">
        <f t="shared" si="43"/>
        <v>13334.884099430439</v>
      </c>
    </row>
    <row r="33" spans="2:34" x14ac:dyDescent="0.3">
      <c r="B33" s="1" t="s">
        <v>25</v>
      </c>
      <c r="C33" s="6">
        <v>425</v>
      </c>
      <c r="G33" s="6">
        <v>521</v>
      </c>
      <c r="H33" s="6">
        <f t="shared" ref="H33:H34" si="44">H66-G33</f>
        <v>772</v>
      </c>
      <c r="I33" s="6">
        <f t="shared" ref="I33:I34" si="45">I66-H66</f>
        <v>717</v>
      </c>
      <c r="J33" s="6">
        <f t="shared" ref="J33:J34" si="46">V33-I66</f>
        <v>859</v>
      </c>
      <c r="K33" s="6">
        <v>657</v>
      </c>
      <c r="L33" s="6">
        <f>L66-K33</f>
        <v>722</v>
      </c>
      <c r="M33" s="6">
        <f>M66-L66</f>
        <v>769</v>
      </c>
      <c r="N33" s="6">
        <f>W33-M66</f>
        <v>951</v>
      </c>
      <c r="O33" s="6">
        <v>629</v>
      </c>
      <c r="P33" s="6">
        <f>P66-O33</f>
        <v>681</v>
      </c>
      <c r="Q33" s="6">
        <f>Q66-P66</f>
        <v>736</v>
      </c>
      <c r="R33" s="6">
        <f>R30*0.09</f>
        <v>977.17949999999985</v>
      </c>
      <c r="T33" s="6">
        <v>2111</v>
      </c>
      <c r="U33" s="6">
        <v>2353</v>
      </c>
      <c r="V33" s="6">
        <v>2869</v>
      </c>
      <c r="W33" s="6">
        <v>3099</v>
      </c>
      <c r="X33" s="6">
        <f t="shared" ref="X33:X34" si="47">SUM(O33:R33)</f>
        <v>3023.1794999999997</v>
      </c>
      <c r="Y33" s="6">
        <f>Y30*0.08</f>
        <v>3078.0784800000006</v>
      </c>
      <c r="Z33" s="6">
        <f t="shared" ref="Z33:AH33" si="48">Z30*0.08</f>
        <v>3139.6400496000006</v>
      </c>
      <c r="AA33" s="6">
        <f t="shared" si="48"/>
        <v>3202.4328505920007</v>
      </c>
      <c r="AB33" s="6">
        <f t="shared" si="48"/>
        <v>3266.4815076038412</v>
      </c>
      <c r="AC33" s="6">
        <f t="shared" si="48"/>
        <v>3331.811137755918</v>
      </c>
      <c r="AD33" s="6">
        <f t="shared" si="48"/>
        <v>3398.4473605110361</v>
      </c>
      <c r="AE33" s="6">
        <f t="shared" si="48"/>
        <v>3466.416307721257</v>
      </c>
      <c r="AF33" s="6">
        <f t="shared" si="48"/>
        <v>3535.7446338756818</v>
      </c>
      <c r="AG33" s="6">
        <f t="shared" si="48"/>
        <v>3606.4595265531952</v>
      </c>
      <c r="AH33" s="6">
        <f t="shared" si="48"/>
        <v>3678.5887170842593</v>
      </c>
    </row>
    <row r="34" spans="2:34" x14ac:dyDescent="0.3">
      <c r="B34" s="1" t="s">
        <v>16</v>
      </c>
      <c r="C34" s="6">
        <v>384</v>
      </c>
      <c r="G34" s="6">
        <v>509</v>
      </c>
      <c r="H34" s="6">
        <f t="shared" si="44"/>
        <v>366</v>
      </c>
      <c r="I34" s="6">
        <f t="shared" si="45"/>
        <v>504</v>
      </c>
      <c r="J34" s="6">
        <f t="shared" si="46"/>
        <v>408</v>
      </c>
      <c r="K34" s="6">
        <v>462</v>
      </c>
      <c r="L34" s="6">
        <f>L67-K34</f>
        <v>490</v>
      </c>
      <c r="M34" s="6">
        <f>M67-L67</f>
        <v>416</v>
      </c>
      <c r="N34" s="6">
        <f>W34-M67</f>
        <v>491</v>
      </c>
      <c r="O34" s="6">
        <v>514</v>
      </c>
      <c r="P34" s="6">
        <f>P67-O34</f>
        <v>464</v>
      </c>
      <c r="Q34" s="6">
        <f>Q67-P67</f>
        <v>433</v>
      </c>
      <c r="R34" s="6">
        <f>N34*1.06</f>
        <v>520.46</v>
      </c>
      <c r="T34" s="6">
        <v>1426</v>
      </c>
      <c r="U34" s="6">
        <v>1655</v>
      </c>
      <c r="V34" s="6">
        <v>1787</v>
      </c>
      <c r="W34" s="6">
        <v>1859</v>
      </c>
      <c r="X34" s="6">
        <f t="shared" si="47"/>
        <v>1931.46</v>
      </c>
      <c r="Y34" s="6">
        <f>X34*1.03</f>
        <v>1989.4038</v>
      </c>
      <c r="Z34" s="6">
        <f>Y34*1.02</f>
        <v>2029.1918760000001</v>
      </c>
      <c r="AA34" s="6">
        <f>Z34*1.02</f>
        <v>2069.77571352</v>
      </c>
      <c r="AB34" s="6">
        <f>AA34*1.01</f>
        <v>2090.4734706551999</v>
      </c>
      <c r="AC34" s="6">
        <f t="shared" ref="AC34:AH34" si="49">AB34*1.01</f>
        <v>2111.378205361752</v>
      </c>
      <c r="AD34" s="6">
        <f t="shared" si="49"/>
        <v>2132.4919874153693</v>
      </c>
      <c r="AE34" s="6">
        <f t="shared" si="49"/>
        <v>2153.816907289523</v>
      </c>
      <c r="AF34" s="6">
        <f t="shared" si="49"/>
        <v>2175.3550763624185</v>
      </c>
      <c r="AG34" s="6">
        <f t="shared" si="49"/>
        <v>2197.1086271260428</v>
      </c>
      <c r="AH34" s="6">
        <f t="shared" si="49"/>
        <v>2219.0797133973033</v>
      </c>
    </row>
    <row r="35" spans="2:34" x14ac:dyDescent="0.3">
      <c r="B35" s="1" t="s">
        <v>13</v>
      </c>
      <c r="C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T35" s="6">
        <v>-1079</v>
      </c>
      <c r="U35" s="6">
        <v>-1894</v>
      </c>
      <c r="V35" s="6">
        <v>-1496</v>
      </c>
      <c r="W35" s="6">
        <v>-1375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2:34" x14ac:dyDescent="0.3">
      <c r="B36" s="1" t="s">
        <v>24</v>
      </c>
      <c r="C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T36" s="6">
        <v>1085</v>
      </c>
      <c r="U36" s="6">
        <v>1662</v>
      </c>
      <c r="V36" s="6">
        <v>1162</v>
      </c>
      <c r="W36" s="6">
        <v>1107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2:34" x14ac:dyDescent="0.3">
      <c r="B37" s="1" t="s">
        <v>41</v>
      </c>
      <c r="C37" s="6">
        <v>-89</v>
      </c>
      <c r="G37" s="6">
        <v>-53</v>
      </c>
      <c r="H37" s="6">
        <f>H70-G37</f>
        <v>-58</v>
      </c>
      <c r="I37" s="6">
        <f>I70-H70</f>
        <v>-190</v>
      </c>
      <c r="J37" s="6">
        <f>V37-I70</f>
        <v>-33</v>
      </c>
      <c r="K37" s="6">
        <v>-84</v>
      </c>
      <c r="L37" s="6">
        <f>L70-K37</f>
        <v>-103</v>
      </c>
      <c r="M37" s="6">
        <f>M70-L70</f>
        <v>-80</v>
      </c>
      <c r="N37" s="6">
        <f>W37-M70</f>
        <v>-1</v>
      </c>
      <c r="O37" s="6">
        <v>-42</v>
      </c>
      <c r="P37" s="6">
        <f>P70-O37</f>
        <v>111</v>
      </c>
      <c r="Q37" s="6">
        <f>Q70-P70</f>
        <v>-293</v>
      </c>
      <c r="R37" s="6">
        <v>0</v>
      </c>
      <c r="T37" s="6">
        <f>SUM(T35:T36)</f>
        <v>6</v>
      </c>
      <c r="U37" s="6">
        <f>SUM(U35:U36)</f>
        <v>-232</v>
      </c>
      <c r="V37" s="6">
        <f>SUM(V35:V36)</f>
        <v>-334</v>
      </c>
      <c r="W37" s="6">
        <f>SUM(W35:W36)</f>
        <v>-268</v>
      </c>
      <c r="X37" s="6">
        <f t="shared" ref="X37:X48" si="50">SUM(O37:R37)</f>
        <v>-224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</row>
    <row r="38" spans="2:34" x14ac:dyDescent="0.3">
      <c r="B38" s="1" t="s">
        <v>26</v>
      </c>
      <c r="C38" s="6">
        <f>SUM(C33:C37)</f>
        <v>720</v>
      </c>
      <c r="G38" s="6">
        <f t="shared" ref="G38:O38" si="51">SUM(G33:G37)</f>
        <v>977</v>
      </c>
      <c r="H38" s="6">
        <f t="shared" si="51"/>
        <v>1080</v>
      </c>
      <c r="I38" s="6">
        <f t="shared" si="51"/>
        <v>1031</v>
      </c>
      <c r="J38" s="6">
        <f t="shared" si="51"/>
        <v>1234</v>
      </c>
      <c r="K38" s="6">
        <f t="shared" si="51"/>
        <v>1035</v>
      </c>
      <c r="L38" s="6">
        <f t="shared" si="51"/>
        <v>1109</v>
      </c>
      <c r="M38" s="6">
        <f t="shared" si="51"/>
        <v>1105</v>
      </c>
      <c r="N38" s="6">
        <f t="shared" si="51"/>
        <v>1441</v>
      </c>
      <c r="O38" s="6">
        <f t="shared" si="51"/>
        <v>1101</v>
      </c>
      <c r="P38" s="6">
        <f t="shared" ref="P38:Q38" si="52">SUM(P33:P37)</f>
        <v>1256</v>
      </c>
      <c r="Q38" s="6">
        <f t="shared" si="52"/>
        <v>876</v>
      </c>
      <c r="R38" s="6">
        <f t="shared" ref="Q38:R38" si="53">SUM(R33:R37)</f>
        <v>1497.6394999999998</v>
      </c>
      <c r="T38" s="6">
        <f>SUM(T33:T36)</f>
        <v>3543</v>
      </c>
      <c r="U38" s="6">
        <f>SUM(U33:U36)</f>
        <v>3776</v>
      </c>
      <c r="V38" s="6">
        <f>SUM(V33:V36)</f>
        <v>4322</v>
      </c>
      <c r="W38" s="6">
        <f>SUM(W33:W36)</f>
        <v>4690</v>
      </c>
      <c r="X38" s="6">
        <f>SUM(X33:X37)</f>
        <v>4730.6394999999993</v>
      </c>
      <c r="Y38" s="6">
        <f t="shared" ref="Y38:AH38" si="54">SUM(Y33:Y37)</f>
        <v>5067.4822800000002</v>
      </c>
      <c r="Z38" s="6">
        <f t="shared" si="54"/>
        <v>5168.8319256000004</v>
      </c>
      <c r="AA38" s="6">
        <f t="shared" si="54"/>
        <v>5272.2085641120011</v>
      </c>
      <c r="AB38" s="6">
        <f t="shared" si="54"/>
        <v>5356.9549782590411</v>
      </c>
      <c r="AC38" s="6">
        <f t="shared" si="54"/>
        <v>5443.1893431176704</v>
      </c>
      <c r="AD38" s="6">
        <f t="shared" si="54"/>
        <v>5530.9393479264054</v>
      </c>
      <c r="AE38" s="6">
        <f t="shared" si="54"/>
        <v>5620.2332150107795</v>
      </c>
      <c r="AF38" s="6">
        <f t="shared" si="54"/>
        <v>5711.0997102381007</v>
      </c>
      <c r="AG38" s="6">
        <f t="shared" si="54"/>
        <v>5803.5681536792381</v>
      </c>
      <c r="AH38" s="6">
        <f t="shared" si="54"/>
        <v>5897.6684304815626</v>
      </c>
    </row>
    <row r="39" spans="2:34" s="2" customFormat="1" x14ac:dyDescent="0.3">
      <c r="B39" s="2" t="s">
        <v>17</v>
      </c>
      <c r="C39" s="8">
        <f>C32-C38</f>
        <v>1467</v>
      </c>
      <c r="G39" s="8">
        <f t="shared" ref="G39:O39" si="55">G32-G38</f>
        <v>1840</v>
      </c>
      <c r="H39" s="8">
        <f t="shared" si="55"/>
        <v>2012</v>
      </c>
      <c r="I39" s="8">
        <f t="shared" si="55"/>
        <v>1649</v>
      </c>
      <c r="J39" s="8">
        <f t="shared" si="55"/>
        <v>1783</v>
      </c>
      <c r="K39" s="8">
        <f t="shared" si="55"/>
        <v>1282</v>
      </c>
      <c r="L39" s="8">
        <f t="shared" si="55"/>
        <v>1780</v>
      </c>
      <c r="M39" s="8">
        <f t="shared" si="55"/>
        <v>1064</v>
      </c>
      <c r="N39" s="8">
        <f t="shared" si="55"/>
        <v>1511</v>
      </c>
      <c r="O39" s="8">
        <f t="shared" si="55"/>
        <v>761</v>
      </c>
      <c r="P39" s="8">
        <f t="shared" ref="P39:Q39" si="56">P32-P38</f>
        <v>246</v>
      </c>
      <c r="Q39" s="8">
        <f t="shared" si="56"/>
        <v>-966</v>
      </c>
      <c r="R39" s="8">
        <f t="shared" ref="Q39:R39" si="57">R32-R38</f>
        <v>130.99300000000017</v>
      </c>
      <c r="T39" s="8">
        <f t="shared" ref="T39:Y39" si="58">T32-T38</f>
        <v>5314</v>
      </c>
      <c r="U39" s="8">
        <f t="shared" si="58"/>
        <v>6770</v>
      </c>
      <c r="V39" s="8">
        <f t="shared" si="58"/>
        <v>7284</v>
      </c>
      <c r="W39" s="8">
        <f t="shared" si="58"/>
        <v>5637</v>
      </c>
      <c r="X39" s="8">
        <f t="shared" si="58"/>
        <v>171.99300000000767</v>
      </c>
      <c r="Y39" s="8">
        <f t="shared" si="58"/>
        <v>4551.5129700000016</v>
      </c>
      <c r="Z39" s="8">
        <f t="shared" ref="Z39:AH39" si="59">Z32-Z38</f>
        <v>5427.4532418000026</v>
      </c>
      <c r="AA39" s="8">
        <f t="shared" si="59"/>
        <v>5936.3064129600025</v>
      </c>
      <c r="AB39" s="8">
        <f t="shared" si="59"/>
        <v>6484.0404868048818</v>
      </c>
      <c r="AC39" s="8">
        <f t="shared" si="59"/>
        <v>6634.6260312475297</v>
      </c>
      <c r="AD39" s="8">
        <f t="shared" si="59"/>
        <v>6788.4323339261009</v>
      </c>
      <c r="AE39" s="8">
        <f t="shared" si="59"/>
        <v>6945.5259004787749</v>
      </c>
      <c r="AF39" s="8">
        <f t="shared" si="59"/>
        <v>7105.9745875612462</v>
      </c>
      <c r="AG39" s="8">
        <f t="shared" si="59"/>
        <v>7269.847630076094</v>
      </c>
      <c r="AH39" s="8">
        <f t="shared" si="59"/>
        <v>7437.2156689488766</v>
      </c>
    </row>
    <row r="40" spans="2:34" x14ac:dyDescent="0.3">
      <c r="B40" s="1" t="s">
        <v>18</v>
      </c>
      <c r="C40" s="6">
        <v>10</v>
      </c>
      <c r="G40" s="6">
        <v>5</v>
      </c>
      <c r="H40" s="6">
        <f>H73-G40</f>
        <v>-12</v>
      </c>
      <c r="I40" s="6">
        <f>I73-H73</f>
        <v>13</v>
      </c>
      <c r="J40" s="6">
        <f>V40-I73</f>
        <v>3</v>
      </c>
      <c r="K40" s="6">
        <v>7</v>
      </c>
      <c r="L40" s="6">
        <f>L73-K40</f>
        <v>20</v>
      </c>
      <c r="M40" s="6">
        <f>M73-L73</f>
        <v>62</v>
      </c>
      <c r="N40" s="6">
        <f>W40-M73</f>
        <v>66</v>
      </c>
      <c r="O40" s="6">
        <v>26</v>
      </c>
      <c r="P40" s="6">
        <f>P73-O40</f>
        <v>10</v>
      </c>
      <c r="Q40" s="6">
        <f>Q73-P73</f>
        <v>19</v>
      </c>
      <c r="R40" s="6">
        <v>40</v>
      </c>
      <c r="T40" s="6">
        <v>22</v>
      </c>
      <c r="U40" s="6">
        <v>7</v>
      </c>
      <c r="V40" s="6">
        <v>9</v>
      </c>
      <c r="W40" s="6">
        <v>155</v>
      </c>
      <c r="X40" s="6">
        <f t="shared" si="50"/>
        <v>95</v>
      </c>
      <c r="Y40" s="6">
        <f>X40*1.02</f>
        <v>96.9</v>
      </c>
      <c r="Z40" s="6">
        <f t="shared" ref="Z40:AH40" si="60">Y40*1.02</f>
        <v>98.838000000000008</v>
      </c>
      <c r="AA40" s="6">
        <f t="shared" si="60"/>
        <v>100.81476000000001</v>
      </c>
      <c r="AB40" s="6">
        <f t="shared" si="60"/>
        <v>102.83105520000001</v>
      </c>
      <c r="AC40" s="6">
        <f t="shared" si="60"/>
        <v>104.88767630400001</v>
      </c>
      <c r="AD40" s="6">
        <f t="shared" si="60"/>
        <v>106.98542983008001</v>
      </c>
      <c r="AE40" s="6">
        <f t="shared" si="60"/>
        <v>109.12513842668162</v>
      </c>
      <c r="AF40" s="6">
        <f t="shared" si="60"/>
        <v>111.30764119521525</v>
      </c>
      <c r="AG40" s="6">
        <f t="shared" si="60"/>
        <v>113.53379401911955</v>
      </c>
      <c r="AH40" s="6">
        <f t="shared" si="60"/>
        <v>115.80446989950195</v>
      </c>
    </row>
    <row r="41" spans="2:34" x14ac:dyDescent="0.3">
      <c r="B41" s="1" t="s">
        <v>27</v>
      </c>
      <c r="C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0</v>
      </c>
      <c r="T41" s="6">
        <v>-425</v>
      </c>
      <c r="U41" s="6">
        <v>-461</v>
      </c>
      <c r="V41" s="6">
        <v>-264</v>
      </c>
      <c r="W41" s="6">
        <v>-278</v>
      </c>
      <c r="X41" s="6">
        <f t="shared" si="50"/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</row>
    <row r="42" spans="2:34" x14ac:dyDescent="0.3">
      <c r="B42" s="1" t="s">
        <v>19</v>
      </c>
      <c r="C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0</v>
      </c>
      <c r="T42" s="6">
        <v>117</v>
      </c>
      <c r="U42" s="6">
        <v>114</v>
      </c>
      <c r="V42" s="6">
        <v>184</v>
      </c>
      <c r="W42" s="6">
        <v>223</v>
      </c>
      <c r="X42" s="6">
        <f t="shared" si="50"/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</row>
    <row r="43" spans="2:34" x14ac:dyDescent="0.3">
      <c r="B43" s="1" t="s">
        <v>28</v>
      </c>
      <c r="C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0</v>
      </c>
      <c r="T43" s="6">
        <v>-129</v>
      </c>
      <c r="U43" s="6">
        <v>40</v>
      </c>
      <c r="V43" s="6">
        <v>-19</v>
      </c>
      <c r="W43" s="6">
        <v>309</v>
      </c>
      <c r="X43" s="6">
        <f t="shared" si="50"/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</row>
    <row r="44" spans="2:34" x14ac:dyDescent="0.3">
      <c r="B44" s="1" t="s">
        <v>42</v>
      </c>
      <c r="C44" s="6">
        <v>-54</v>
      </c>
      <c r="G44" s="6">
        <v>-150</v>
      </c>
      <c r="H44" s="6">
        <f>H77-G44</f>
        <v>27</v>
      </c>
      <c r="I44" s="6">
        <f>I77-H77</f>
        <v>-26</v>
      </c>
      <c r="J44" s="6">
        <f>V44-I77</f>
        <v>50</v>
      </c>
      <c r="K44" s="6">
        <v>-58</v>
      </c>
      <c r="L44" s="6">
        <f>L77-K44</f>
        <v>-2</v>
      </c>
      <c r="M44" s="6">
        <f>M77-L77</f>
        <v>21</v>
      </c>
      <c r="N44" s="6">
        <f>W44-M77</f>
        <v>293</v>
      </c>
      <c r="O44" s="6">
        <v>-12</v>
      </c>
      <c r="P44" s="6">
        <f>P77-O44</f>
        <v>-69</v>
      </c>
      <c r="Q44" s="6">
        <f>Q77-P77</f>
        <v>-43</v>
      </c>
      <c r="R44" s="6">
        <v>0</v>
      </c>
      <c r="T44" s="6">
        <f t="shared" ref="T44:W44" si="61">SUM(T41:T43)</f>
        <v>-437</v>
      </c>
      <c r="U44" s="6">
        <f t="shared" si="61"/>
        <v>-307</v>
      </c>
      <c r="V44" s="6">
        <f t="shared" si="61"/>
        <v>-99</v>
      </c>
      <c r="W44" s="6">
        <f t="shared" si="61"/>
        <v>254</v>
      </c>
      <c r="X44" s="6">
        <f t="shared" si="50"/>
        <v>-124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</row>
    <row r="45" spans="2:34" x14ac:dyDescent="0.3">
      <c r="B45" s="1" t="s">
        <v>29</v>
      </c>
      <c r="C45" s="6">
        <f>SUM(C40:C44)</f>
        <v>-44</v>
      </c>
      <c r="G45" s="6">
        <f t="shared" ref="G45:O45" si="62">SUM(G40:G44)</f>
        <v>-145</v>
      </c>
      <c r="H45" s="6">
        <f t="shared" si="62"/>
        <v>15</v>
      </c>
      <c r="I45" s="6">
        <f t="shared" si="62"/>
        <v>-13</v>
      </c>
      <c r="J45" s="6">
        <f t="shared" si="62"/>
        <v>53</v>
      </c>
      <c r="K45" s="6">
        <f t="shared" si="62"/>
        <v>-51</v>
      </c>
      <c r="L45" s="6">
        <f t="shared" si="62"/>
        <v>18</v>
      </c>
      <c r="M45" s="6">
        <f t="shared" si="62"/>
        <v>83</v>
      </c>
      <c r="N45" s="6">
        <f t="shared" si="62"/>
        <v>359</v>
      </c>
      <c r="O45" s="6">
        <f t="shared" si="62"/>
        <v>14</v>
      </c>
      <c r="P45" s="6">
        <f t="shared" ref="P45:Q45" si="63">SUM(P40:P44)</f>
        <v>-59</v>
      </c>
      <c r="Q45" s="6">
        <f t="shared" si="63"/>
        <v>-24</v>
      </c>
      <c r="R45" s="6">
        <f t="shared" ref="Q45:R45" si="64">SUM(R40:R44)</f>
        <v>40</v>
      </c>
      <c r="T45" s="6">
        <f>SUM(T40:T43)</f>
        <v>-415</v>
      </c>
      <c r="U45" s="6">
        <f>SUM(U40:U43)</f>
        <v>-300</v>
      </c>
      <c r="V45" s="6">
        <f>SUM(V40:V43)</f>
        <v>-90</v>
      </c>
      <c r="W45" s="6">
        <f>SUM(W40:W43)</f>
        <v>409</v>
      </c>
      <c r="X45" s="6">
        <f t="shared" ref="X45:Y45" si="65">SUM(X40:X44)</f>
        <v>-29</v>
      </c>
      <c r="Y45" s="6">
        <f t="shared" si="65"/>
        <v>96.9</v>
      </c>
      <c r="Z45" s="6">
        <f t="shared" ref="Z45" si="66">SUM(Z40:Z44)</f>
        <v>98.838000000000008</v>
      </c>
      <c r="AA45" s="6">
        <f t="shared" ref="AA45" si="67">SUM(AA40:AA44)</f>
        <v>100.81476000000001</v>
      </c>
      <c r="AB45" s="6">
        <f t="shared" ref="AB45" si="68">SUM(AB40:AB44)</f>
        <v>102.83105520000001</v>
      </c>
      <c r="AC45" s="6">
        <f t="shared" ref="AC45" si="69">SUM(AC40:AC44)</f>
        <v>104.88767630400001</v>
      </c>
      <c r="AD45" s="6">
        <f t="shared" ref="AD45" si="70">SUM(AD40:AD44)</f>
        <v>106.98542983008001</v>
      </c>
      <c r="AE45" s="6">
        <f t="shared" ref="AE45" si="71">SUM(AE40:AE44)</f>
        <v>109.12513842668162</v>
      </c>
      <c r="AF45" s="6">
        <f t="shared" ref="AF45" si="72">SUM(AF40:AF44)</f>
        <v>111.30764119521525</v>
      </c>
      <c r="AG45" s="6">
        <f t="shared" ref="AG45" si="73">SUM(AG40:AG44)</f>
        <v>113.53379401911955</v>
      </c>
      <c r="AH45" s="6">
        <f t="shared" ref="AH45" si="74">SUM(AH40:AH44)</f>
        <v>115.80446989950195</v>
      </c>
    </row>
    <row r="46" spans="2:34" s="2" customFormat="1" x14ac:dyDescent="0.3">
      <c r="B46" s="2" t="s">
        <v>20</v>
      </c>
      <c r="C46" s="8">
        <f>C39-C45</f>
        <v>1511</v>
      </c>
      <c r="G46" s="8">
        <f t="shared" ref="G46:O46" si="75">G39-G45</f>
        <v>1985</v>
      </c>
      <c r="H46" s="8">
        <f t="shared" si="75"/>
        <v>1997</v>
      </c>
      <c r="I46" s="8">
        <f t="shared" si="75"/>
        <v>1662</v>
      </c>
      <c r="J46" s="8">
        <f t="shared" si="75"/>
        <v>1730</v>
      </c>
      <c r="K46" s="8">
        <f t="shared" si="75"/>
        <v>1333</v>
      </c>
      <c r="L46" s="8">
        <f t="shared" si="75"/>
        <v>1762</v>
      </c>
      <c r="M46" s="8">
        <f t="shared" si="75"/>
        <v>981</v>
      </c>
      <c r="N46" s="8">
        <f t="shared" si="75"/>
        <v>1152</v>
      </c>
      <c r="O46" s="8">
        <f t="shared" si="75"/>
        <v>747</v>
      </c>
      <c r="P46" s="8">
        <f t="shared" ref="P46:Q46" si="76">P39-P45</f>
        <v>305</v>
      </c>
      <c r="Q46" s="8">
        <f t="shared" si="76"/>
        <v>-942</v>
      </c>
      <c r="R46" s="8">
        <f t="shared" ref="Q46:R46" si="77">R39-R45</f>
        <v>90.993000000000166</v>
      </c>
      <c r="T46" s="8">
        <f t="shared" ref="T46:Y46" si="78">T39-T45</f>
        <v>5729</v>
      </c>
      <c r="U46" s="8">
        <f t="shared" si="78"/>
        <v>7070</v>
      </c>
      <c r="V46" s="8">
        <f t="shared" si="78"/>
        <v>7374</v>
      </c>
      <c r="W46" s="8">
        <f t="shared" si="78"/>
        <v>5228</v>
      </c>
      <c r="X46" s="8">
        <f t="shared" si="78"/>
        <v>200.99300000000767</v>
      </c>
      <c r="Y46" s="8">
        <f t="shared" si="78"/>
        <v>4454.612970000002</v>
      </c>
      <c r="Z46" s="8">
        <f t="shared" ref="Z46:AH46" si="79">Z39-Z45</f>
        <v>5328.6152418000029</v>
      </c>
      <c r="AA46" s="8">
        <f t="shared" si="79"/>
        <v>5835.4916529600023</v>
      </c>
      <c r="AB46" s="8">
        <f t="shared" si="79"/>
        <v>6381.2094316048815</v>
      </c>
      <c r="AC46" s="8">
        <f t="shared" si="79"/>
        <v>6529.7383549435299</v>
      </c>
      <c r="AD46" s="8">
        <f t="shared" si="79"/>
        <v>6681.4469040960212</v>
      </c>
      <c r="AE46" s="8">
        <f t="shared" si="79"/>
        <v>6836.4007620520933</v>
      </c>
      <c r="AF46" s="8">
        <f t="shared" si="79"/>
        <v>6994.666946366031</v>
      </c>
      <c r="AG46" s="8">
        <f t="shared" si="79"/>
        <v>7156.3138360569747</v>
      </c>
      <c r="AH46" s="8">
        <f t="shared" si="79"/>
        <v>7321.4111990493748</v>
      </c>
    </row>
    <row r="47" spans="2:34" x14ac:dyDescent="0.3">
      <c r="B47" s="1" t="s">
        <v>21</v>
      </c>
      <c r="C47" s="6">
        <v>500</v>
      </c>
      <c r="G47" s="6">
        <v>578</v>
      </c>
      <c r="H47" s="6">
        <f t="shared" ref="H47:H48" si="80">H80-G47</f>
        <v>637</v>
      </c>
      <c r="I47" s="6">
        <f>I80-H80</f>
        <v>490</v>
      </c>
      <c r="J47" s="6">
        <f t="shared" ref="J47:J48" si="81">V47-I80</f>
        <v>513</v>
      </c>
      <c r="K47" s="6">
        <v>406</v>
      </c>
      <c r="L47" s="6">
        <f>L80-K47</f>
        <v>536</v>
      </c>
      <c r="M47" s="6">
        <f>M80-L80</f>
        <v>279</v>
      </c>
      <c r="N47" s="6">
        <f>W47-M80</f>
        <v>411</v>
      </c>
      <c r="O47" s="6">
        <v>229</v>
      </c>
      <c r="P47" s="6">
        <f>P80-O47</f>
        <v>106</v>
      </c>
      <c r="Q47" s="6">
        <f>Q80-P80</f>
        <v>-339</v>
      </c>
      <c r="R47" s="6">
        <f t="shared" ref="Q47:R47" si="82">R46*0.3</f>
        <v>27.297900000000048</v>
      </c>
      <c r="T47" s="6">
        <v>1691</v>
      </c>
      <c r="U47" s="6">
        <v>2112</v>
      </c>
      <c r="V47" s="6">
        <v>2218</v>
      </c>
      <c r="W47" s="6">
        <v>1632</v>
      </c>
      <c r="X47" s="6">
        <f t="shared" si="50"/>
        <v>23.297900000000048</v>
      </c>
      <c r="Y47" s="6">
        <f>Y46*0.3</f>
        <v>1336.3838910000006</v>
      </c>
      <c r="Z47" s="6">
        <f t="shared" ref="Z47:AH47" si="83">Z46*0.3</f>
        <v>1598.5845725400009</v>
      </c>
      <c r="AA47" s="6">
        <f t="shared" si="83"/>
        <v>1750.6474958880005</v>
      </c>
      <c r="AB47" s="6">
        <f t="shared" si="83"/>
        <v>1914.3628294814644</v>
      </c>
      <c r="AC47" s="6">
        <f t="shared" si="83"/>
        <v>1958.9215064830589</v>
      </c>
      <c r="AD47" s="6">
        <f t="shared" si="83"/>
        <v>2004.4340712288063</v>
      </c>
      <c r="AE47" s="6">
        <f t="shared" si="83"/>
        <v>2050.9202286156278</v>
      </c>
      <c r="AF47" s="6">
        <f t="shared" si="83"/>
        <v>2098.4000839098094</v>
      </c>
      <c r="AG47" s="6">
        <f t="shared" si="83"/>
        <v>2146.8941508170924</v>
      </c>
      <c r="AH47" s="6">
        <f t="shared" si="83"/>
        <v>2196.4233597148122</v>
      </c>
    </row>
    <row r="48" spans="2:34" x14ac:dyDescent="0.3">
      <c r="B48" s="1" t="s">
        <v>43</v>
      </c>
      <c r="C48" s="6">
        <v>3</v>
      </c>
      <c r="G48" s="6">
        <v>0</v>
      </c>
      <c r="H48" s="6">
        <f t="shared" si="80"/>
        <v>0</v>
      </c>
      <c r="I48" s="6">
        <f>I81-H81</f>
        <v>0</v>
      </c>
      <c r="J48" s="6">
        <f t="shared" si="81"/>
        <v>0</v>
      </c>
      <c r="K48" s="6">
        <v>-1</v>
      </c>
      <c r="L48" s="6">
        <f>L81-K48</f>
        <v>0</v>
      </c>
      <c r="M48" s="6">
        <f>M81-L81</f>
        <v>0</v>
      </c>
      <c r="N48" s="6">
        <f>W48-M81</f>
        <v>4</v>
      </c>
      <c r="O48" s="6">
        <v>1</v>
      </c>
      <c r="P48" s="6">
        <f>P81-O48</f>
        <v>-7</v>
      </c>
      <c r="Q48" s="6">
        <f>Q81-P81</f>
        <v>-5</v>
      </c>
      <c r="R48" s="6">
        <v>1</v>
      </c>
      <c r="T48" s="6">
        <v>6</v>
      </c>
      <c r="U48" s="6">
        <v>7</v>
      </c>
      <c r="V48" s="6">
        <v>0</v>
      </c>
      <c r="W48" s="6">
        <v>3</v>
      </c>
      <c r="X48" s="6">
        <f t="shared" si="50"/>
        <v>-10</v>
      </c>
      <c r="Y48" s="6">
        <f>X48*1.05</f>
        <v>-10.5</v>
      </c>
      <c r="Z48" s="6">
        <f t="shared" ref="Z48:AH48" si="84">Y48*1.05</f>
        <v>-11.025</v>
      </c>
      <c r="AA48" s="6">
        <f t="shared" si="84"/>
        <v>-11.576250000000002</v>
      </c>
      <c r="AB48" s="6">
        <f t="shared" si="84"/>
        <v>-12.155062500000001</v>
      </c>
      <c r="AC48" s="6">
        <f t="shared" si="84"/>
        <v>-12.762815625000002</v>
      </c>
      <c r="AD48" s="6">
        <f t="shared" si="84"/>
        <v>-13.400956406250003</v>
      </c>
      <c r="AE48" s="6">
        <f t="shared" si="84"/>
        <v>-14.071004226562504</v>
      </c>
      <c r="AF48" s="6">
        <f t="shared" si="84"/>
        <v>-14.774554437890631</v>
      </c>
      <c r="AG48" s="6">
        <f t="shared" si="84"/>
        <v>-15.513282159785163</v>
      </c>
      <c r="AH48" s="6">
        <f t="shared" si="84"/>
        <v>-16.288946267774421</v>
      </c>
    </row>
    <row r="49" spans="2:139" s="2" customFormat="1" x14ac:dyDescent="0.3">
      <c r="B49" s="2" t="s">
        <v>22</v>
      </c>
      <c r="C49" s="8">
        <f>C46-C47-C48</f>
        <v>1008</v>
      </c>
      <c r="G49" s="8">
        <f t="shared" ref="G49:O49" si="85">G46-G47-G48</f>
        <v>1407</v>
      </c>
      <c r="H49" s="8">
        <f t="shared" si="85"/>
        <v>1360</v>
      </c>
      <c r="I49" s="8">
        <f t="shared" si="85"/>
        <v>1172</v>
      </c>
      <c r="J49" s="8">
        <f t="shared" si="85"/>
        <v>1217</v>
      </c>
      <c r="K49" s="8">
        <f t="shared" si="85"/>
        <v>928</v>
      </c>
      <c r="L49" s="8">
        <f t="shared" si="85"/>
        <v>1226</v>
      </c>
      <c r="M49" s="8">
        <f t="shared" si="85"/>
        <v>702</v>
      </c>
      <c r="N49" s="8">
        <f t="shared" si="85"/>
        <v>737</v>
      </c>
      <c r="O49" s="8">
        <f t="shared" si="85"/>
        <v>517</v>
      </c>
      <c r="P49" s="8">
        <f t="shared" ref="P49:Q49" si="86">P46-P47-P48</f>
        <v>206</v>
      </c>
      <c r="Q49" s="8">
        <f t="shared" si="86"/>
        <v>-598</v>
      </c>
      <c r="R49" s="8">
        <f t="shared" ref="Q49:R49" si="87">R46-R47-R48</f>
        <v>62.695100000000117</v>
      </c>
      <c r="T49" s="8">
        <f t="shared" ref="T49:Y49" si="88">T46-T47-T48</f>
        <v>4032</v>
      </c>
      <c r="U49" s="8">
        <f t="shared" si="88"/>
        <v>4951</v>
      </c>
      <c r="V49" s="8">
        <f t="shared" si="88"/>
        <v>5156</v>
      </c>
      <c r="W49" s="8">
        <f t="shared" si="88"/>
        <v>3593</v>
      </c>
      <c r="X49" s="8">
        <f t="shared" si="88"/>
        <v>187.69510000000761</v>
      </c>
      <c r="Y49" s="8">
        <f t="shared" si="88"/>
        <v>3128.7290790000015</v>
      </c>
      <c r="Z49" s="8">
        <f t="shared" ref="Z49" si="89">Z46-Z47-Z48</f>
        <v>3741.0556692600021</v>
      </c>
      <c r="AA49" s="8">
        <f t="shared" ref="AA49" si="90">AA46-AA47-AA48</f>
        <v>4096.4204070720016</v>
      </c>
      <c r="AB49" s="8">
        <f t="shared" ref="AB49" si="91">AB46-AB47-AB48</f>
        <v>4479.0016646234171</v>
      </c>
      <c r="AC49" s="8">
        <f t="shared" ref="AC49" si="92">AC46-AC47-AC48</f>
        <v>4583.5796640854714</v>
      </c>
      <c r="AD49" s="8">
        <f t="shared" ref="AD49" si="93">AD46-AD47-AD48</f>
        <v>4690.4137892734643</v>
      </c>
      <c r="AE49" s="8">
        <f t="shared" ref="AE49" si="94">AE46-AE47-AE48</f>
        <v>4799.5515376630283</v>
      </c>
      <c r="AF49" s="8">
        <f t="shared" ref="AF49" si="95">AF46-AF47-AF48</f>
        <v>4911.0414168941115</v>
      </c>
      <c r="AG49" s="8">
        <f t="shared" ref="AG49" si="96">AG46-AG47-AG48</f>
        <v>5024.9329673996672</v>
      </c>
      <c r="AH49" s="8">
        <f t="shared" ref="AH49" si="97">AH46-AH47-AH48</f>
        <v>5141.2767856023365</v>
      </c>
      <c r="AI49" s="2">
        <f>AH49*(1+$AK$55)</f>
        <v>5089.864017746313</v>
      </c>
      <c r="AJ49" s="2">
        <f t="shared" ref="AJ49:CU49" si="98">AI49*(1+$AK$55)</f>
        <v>5038.9653775688503</v>
      </c>
      <c r="AK49" s="2">
        <f t="shared" si="98"/>
        <v>4988.5757237931621</v>
      </c>
      <c r="AL49" s="2">
        <f t="shared" si="98"/>
        <v>4938.6899665552301</v>
      </c>
      <c r="AM49" s="2">
        <f t="shared" si="98"/>
        <v>4889.3030668896781</v>
      </c>
      <c r="AN49" s="2">
        <f t="shared" si="98"/>
        <v>4840.410036220781</v>
      </c>
      <c r="AO49" s="2">
        <f t="shared" si="98"/>
        <v>4792.0059358585731</v>
      </c>
      <c r="AP49" s="2">
        <f t="shared" si="98"/>
        <v>4744.0858764999875</v>
      </c>
      <c r="AQ49" s="2">
        <f t="shared" si="98"/>
        <v>4696.645017734988</v>
      </c>
      <c r="AR49" s="2">
        <f t="shared" si="98"/>
        <v>4649.6785675576384</v>
      </c>
      <c r="AS49" s="2">
        <f t="shared" si="98"/>
        <v>4603.1817818820618</v>
      </c>
      <c r="AT49" s="2">
        <f t="shared" si="98"/>
        <v>4557.149964063241</v>
      </c>
      <c r="AU49" s="2">
        <f t="shared" si="98"/>
        <v>4511.5784644226087</v>
      </c>
      <c r="AV49" s="2">
        <f t="shared" si="98"/>
        <v>4466.4626797783822</v>
      </c>
      <c r="AW49" s="2">
        <f t="shared" si="98"/>
        <v>4421.7980529805982</v>
      </c>
      <c r="AX49" s="2">
        <f t="shared" si="98"/>
        <v>4377.5800724507926</v>
      </c>
      <c r="AY49" s="2">
        <f t="shared" si="98"/>
        <v>4333.8042717262842</v>
      </c>
      <c r="AZ49" s="2">
        <f t="shared" si="98"/>
        <v>4290.4662290090209</v>
      </c>
      <c r="BA49" s="2">
        <f t="shared" si="98"/>
        <v>4247.5615667189304</v>
      </c>
      <c r="BB49" s="2">
        <f t="shared" si="98"/>
        <v>4205.0859510517412</v>
      </c>
      <c r="BC49" s="2">
        <f t="shared" si="98"/>
        <v>4163.0350915412237</v>
      </c>
      <c r="BD49" s="2">
        <f t="shared" si="98"/>
        <v>4121.4047406258114</v>
      </c>
      <c r="BE49" s="2">
        <f t="shared" si="98"/>
        <v>4080.1906932195534</v>
      </c>
      <c r="BF49" s="2">
        <f t="shared" si="98"/>
        <v>4039.388786287358</v>
      </c>
      <c r="BG49" s="2">
        <f t="shared" si="98"/>
        <v>3998.9948984244843</v>
      </c>
      <c r="BH49" s="2">
        <f t="shared" si="98"/>
        <v>3959.0049494402392</v>
      </c>
      <c r="BI49" s="2">
        <f t="shared" si="98"/>
        <v>3919.4148999458366</v>
      </c>
      <c r="BJ49" s="2">
        <f t="shared" si="98"/>
        <v>3880.2207509463783</v>
      </c>
      <c r="BK49" s="2">
        <f t="shared" si="98"/>
        <v>3841.4185434369147</v>
      </c>
      <c r="BL49" s="2">
        <f t="shared" si="98"/>
        <v>3803.0043580025454</v>
      </c>
      <c r="BM49" s="2">
        <f t="shared" si="98"/>
        <v>3764.9743144225199</v>
      </c>
      <c r="BN49" s="2">
        <f t="shared" si="98"/>
        <v>3727.3245712782946</v>
      </c>
      <c r="BO49" s="2">
        <f t="shared" si="98"/>
        <v>3690.0513255655114</v>
      </c>
      <c r="BP49" s="2">
        <f t="shared" si="98"/>
        <v>3653.1508123098561</v>
      </c>
      <c r="BQ49" s="2">
        <f t="shared" si="98"/>
        <v>3616.6193041867573</v>
      </c>
      <c r="BR49" s="2">
        <f t="shared" si="98"/>
        <v>3580.4531111448896</v>
      </c>
      <c r="BS49" s="2">
        <f t="shared" si="98"/>
        <v>3544.6485800334408</v>
      </c>
      <c r="BT49" s="2">
        <f t="shared" si="98"/>
        <v>3509.2020942331064</v>
      </c>
      <c r="BU49" s="2">
        <f t="shared" si="98"/>
        <v>3474.1100732907753</v>
      </c>
      <c r="BV49" s="2">
        <f t="shared" si="98"/>
        <v>3439.3689725578674</v>
      </c>
      <c r="BW49" s="2">
        <f t="shared" si="98"/>
        <v>3404.9752828322889</v>
      </c>
      <c r="BX49" s="2">
        <f t="shared" si="98"/>
        <v>3370.9255300039658</v>
      </c>
      <c r="BY49" s="2">
        <f t="shared" si="98"/>
        <v>3337.216274703926</v>
      </c>
      <c r="BZ49" s="2">
        <f t="shared" si="98"/>
        <v>3303.8441119568865</v>
      </c>
      <c r="CA49" s="2">
        <f t="shared" si="98"/>
        <v>3270.8056708373178</v>
      </c>
      <c r="CB49" s="2">
        <f t="shared" si="98"/>
        <v>3238.0976141289448</v>
      </c>
      <c r="CC49" s="2">
        <f t="shared" si="98"/>
        <v>3205.7166379876553</v>
      </c>
      <c r="CD49" s="2">
        <f t="shared" si="98"/>
        <v>3173.6594716077789</v>
      </c>
      <c r="CE49" s="2">
        <f t="shared" si="98"/>
        <v>3141.922876891701</v>
      </c>
      <c r="CF49" s="2">
        <f t="shared" si="98"/>
        <v>3110.5036481227839</v>
      </c>
      <c r="CG49" s="2">
        <f t="shared" si="98"/>
        <v>3079.3986116415563</v>
      </c>
      <c r="CH49" s="2">
        <f t="shared" si="98"/>
        <v>3048.6046255251408</v>
      </c>
      <c r="CI49" s="2">
        <f t="shared" si="98"/>
        <v>3018.1185792698893</v>
      </c>
      <c r="CJ49" s="2">
        <f t="shared" si="98"/>
        <v>2987.9373934771902</v>
      </c>
      <c r="CK49" s="2">
        <f t="shared" si="98"/>
        <v>2958.0580195424182</v>
      </c>
      <c r="CL49" s="2">
        <f t="shared" si="98"/>
        <v>2928.4774393469938</v>
      </c>
      <c r="CM49" s="2">
        <f t="shared" si="98"/>
        <v>2899.1926649535239</v>
      </c>
      <c r="CN49" s="2">
        <f t="shared" si="98"/>
        <v>2870.2007383039886</v>
      </c>
      <c r="CO49" s="2">
        <f t="shared" si="98"/>
        <v>2841.4987309209487</v>
      </c>
      <c r="CP49" s="2">
        <f t="shared" si="98"/>
        <v>2813.083743611739</v>
      </c>
      <c r="CQ49" s="2">
        <f t="shared" si="98"/>
        <v>2784.9529061756216</v>
      </c>
      <c r="CR49" s="2">
        <f t="shared" si="98"/>
        <v>2757.1033771138655</v>
      </c>
      <c r="CS49" s="2">
        <f t="shared" si="98"/>
        <v>2729.5323433427266</v>
      </c>
      <c r="CT49" s="2">
        <f t="shared" si="98"/>
        <v>2702.2370199092993</v>
      </c>
      <c r="CU49" s="2">
        <f t="shared" si="98"/>
        <v>2675.2146497102062</v>
      </c>
      <c r="CV49" s="2">
        <f t="shared" ref="CV49:EI49" si="99">CU49*(1+$AK$55)</f>
        <v>2648.4625032131044</v>
      </c>
      <c r="CW49" s="2">
        <f t="shared" si="99"/>
        <v>2621.9778781809732</v>
      </c>
      <c r="CX49" s="2">
        <f t="shared" si="99"/>
        <v>2595.7580993991633</v>
      </c>
      <c r="CY49" s="2">
        <f t="shared" si="99"/>
        <v>2569.8005184051717</v>
      </c>
      <c r="CZ49" s="2">
        <f t="shared" si="99"/>
        <v>2544.1025132211198</v>
      </c>
      <c r="DA49" s="2">
        <f t="shared" si="99"/>
        <v>2518.6614880889088</v>
      </c>
      <c r="DB49" s="2">
        <f t="shared" si="99"/>
        <v>2493.4748732080197</v>
      </c>
      <c r="DC49" s="2">
        <f t="shared" si="99"/>
        <v>2468.5401244759396</v>
      </c>
      <c r="DD49" s="2">
        <f t="shared" si="99"/>
        <v>2443.8547232311803</v>
      </c>
      <c r="DE49" s="2">
        <f t="shared" si="99"/>
        <v>2419.4161759988683</v>
      </c>
      <c r="DF49" s="2">
        <f t="shared" si="99"/>
        <v>2395.2220142388796</v>
      </c>
      <c r="DG49" s="2">
        <f t="shared" si="99"/>
        <v>2371.2697940964908</v>
      </c>
      <c r="DH49" s="2">
        <f t="shared" si="99"/>
        <v>2347.5570961555259</v>
      </c>
      <c r="DI49" s="2">
        <f t="shared" si="99"/>
        <v>2324.0815251939707</v>
      </c>
      <c r="DJ49" s="2">
        <f t="shared" si="99"/>
        <v>2300.840709942031</v>
      </c>
      <c r="DK49" s="2">
        <f t="shared" si="99"/>
        <v>2277.8323028426107</v>
      </c>
      <c r="DL49" s="2">
        <f t="shared" si="99"/>
        <v>2255.0539798141845</v>
      </c>
      <c r="DM49" s="2">
        <f t="shared" si="99"/>
        <v>2232.5034400160425</v>
      </c>
      <c r="DN49" s="2">
        <f t="shared" si="99"/>
        <v>2210.1784056158822</v>
      </c>
      <c r="DO49" s="2">
        <f t="shared" si="99"/>
        <v>2188.0766215597232</v>
      </c>
      <c r="DP49" s="2">
        <f t="shared" si="99"/>
        <v>2166.1958553441259</v>
      </c>
      <c r="DQ49" s="2">
        <f t="shared" si="99"/>
        <v>2144.5338967906846</v>
      </c>
      <c r="DR49" s="2">
        <f t="shared" si="99"/>
        <v>2123.0885578227776</v>
      </c>
      <c r="DS49" s="2">
        <f t="shared" si="99"/>
        <v>2101.85767224455</v>
      </c>
      <c r="DT49" s="2">
        <f t="shared" si="99"/>
        <v>2080.8390955221043</v>
      </c>
      <c r="DU49" s="2">
        <f t="shared" si="99"/>
        <v>2060.0307045668833</v>
      </c>
      <c r="DV49" s="2">
        <f t="shared" si="99"/>
        <v>2039.4303975212144</v>
      </c>
      <c r="DW49" s="2">
        <f t="shared" si="99"/>
        <v>2019.0360935460023</v>
      </c>
      <c r="DX49" s="2">
        <f t="shared" si="99"/>
        <v>1998.8457326105422</v>
      </c>
      <c r="DY49" s="2">
        <f t="shared" si="99"/>
        <v>1978.8572752844368</v>
      </c>
      <c r="DZ49" s="2">
        <f t="shared" si="99"/>
        <v>1959.0687025315924</v>
      </c>
      <c r="EA49" s="2">
        <f t="shared" si="99"/>
        <v>1939.4780155062765</v>
      </c>
      <c r="EB49" s="2">
        <f t="shared" si="99"/>
        <v>1920.0832353512137</v>
      </c>
      <c r="EC49" s="2">
        <f t="shared" si="99"/>
        <v>1900.8824029977015</v>
      </c>
      <c r="ED49" s="2">
        <f t="shared" si="99"/>
        <v>1881.8735789677246</v>
      </c>
      <c r="EE49" s="2">
        <f t="shared" si="99"/>
        <v>1863.0548431780473</v>
      </c>
      <c r="EF49" s="2">
        <f t="shared" si="99"/>
        <v>1844.4242947462669</v>
      </c>
      <c r="EG49" s="2">
        <f t="shared" si="99"/>
        <v>1825.9800517988042</v>
      </c>
      <c r="EH49" s="2">
        <f t="shared" si="99"/>
        <v>1807.7202512808162</v>
      </c>
      <c r="EI49" s="2">
        <f t="shared" si="99"/>
        <v>1789.6430487680082</v>
      </c>
    </row>
    <row r="50" spans="2:139" x14ac:dyDescent="0.3">
      <c r="B50" s="1" t="s">
        <v>2</v>
      </c>
      <c r="C50" s="6">
        <f>455.5+455.5</f>
        <v>911</v>
      </c>
      <c r="G50" s="6">
        <f t="shared" ref="G50:Q50" si="100">455.5+455.5</f>
        <v>911</v>
      </c>
      <c r="H50" s="6">
        <f t="shared" si="100"/>
        <v>911</v>
      </c>
      <c r="I50" s="6">
        <f t="shared" si="100"/>
        <v>911</v>
      </c>
      <c r="J50" s="6">
        <f t="shared" si="100"/>
        <v>911</v>
      </c>
      <c r="K50" s="6">
        <f t="shared" si="100"/>
        <v>911</v>
      </c>
      <c r="L50" s="6">
        <f t="shared" si="100"/>
        <v>911</v>
      </c>
      <c r="M50" s="6">
        <f t="shared" si="100"/>
        <v>911</v>
      </c>
      <c r="N50" s="6">
        <f t="shared" si="100"/>
        <v>911</v>
      </c>
      <c r="O50" s="6">
        <f t="shared" si="100"/>
        <v>911</v>
      </c>
      <c r="P50" s="6">
        <f t="shared" si="100"/>
        <v>911</v>
      </c>
      <c r="Q50" s="6">
        <f t="shared" si="100"/>
        <v>911</v>
      </c>
      <c r="R50" s="6">
        <f t="shared" ref="Q50:R50" si="101">455.5+455.5</f>
        <v>911</v>
      </c>
      <c r="T50" s="6">
        <f t="shared" ref="T50:Y50" si="102">455.5+455.5</f>
        <v>911</v>
      </c>
      <c r="U50" s="6">
        <f t="shared" si="102"/>
        <v>911</v>
      </c>
      <c r="V50" s="6">
        <f t="shared" si="102"/>
        <v>911</v>
      </c>
      <c r="W50" s="6">
        <f t="shared" si="102"/>
        <v>911</v>
      </c>
      <c r="X50" s="6">
        <f t="shared" si="102"/>
        <v>911</v>
      </c>
      <c r="Y50" s="6">
        <f t="shared" si="102"/>
        <v>911</v>
      </c>
      <c r="Z50" s="6">
        <f t="shared" ref="Z50:AH50" si="103">455.5+455.5</f>
        <v>911</v>
      </c>
      <c r="AA50" s="6">
        <f t="shared" si="103"/>
        <v>911</v>
      </c>
      <c r="AB50" s="6">
        <f t="shared" si="103"/>
        <v>911</v>
      </c>
      <c r="AC50" s="6">
        <f t="shared" si="103"/>
        <v>911</v>
      </c>
      <c r="AD50" s="6">
        <f t="shared" si="103"/>
        <v>911</v>
      </c>
      <c r="AE50" s="6">
        <f t="shared" si="103"/>
        <v>911</v>
      </c>
      <c r="AF50" s="6">
        <f t="shared" si="103"/>
        <v>911</v>
      </c>
      <c r="AG50" s="6">
        <f t="shared" si="103"/>
        <v>911</v>
      </c>
      <c r="AH50" s="6">
        <f t="shared" si="103"/>
        <v>911</v>
      </c>
    </row>
    <row r="51" spans="2:139" x14ac:dyDescent="0.3">
      <c r="B51" s="1" t="s">
        <v>23</v>
      </c>
      <c r="C51" s="7">
        <f>C49/C50</f>
        <v>1.1064763995609221</v>
      </c>
      <c r="G51" s="7">
        <f t="shared" ref="G51:O51" si="104">G49/G50</f>
        <v>1.544456641053787</v>
      </c>
      <c r="H51" s="7">
        <f t="shared" si="104"/>
        <v>1.4928649835345773</v>
      </c>
      <c r="I51" s="7">
        <f t="shared" si="104"/>
        <v>1.2864983534577388</v>
      </c>
      <c r="J51" s="7">
        <f t="shared" si="104"/>
        <v>1.3358946212952798</v>
      </c>
      <c r="K51" s="7">
        <f t="shared" si="104"/>
        <v>1.0186608122941823</v>
      </c>
      <c r="L51" s="7">
        <f t="shared" si="104"/>
        <v>1.3457738748627881</v>
      </c>
      <c r="M51" s="7">
        <f t="shared" si="104"/>
        <v>0.77058177826564211</v>
      </c>
      <c r="N51" s="7">
        <f t="shared" si="104"/>
        <v>0.80900109769484085</v>
      </c>
      <c r="O51" s="7">
        <f t="shared" si="104"/>
        <v>0.56750823271130624</v>
      </c>
      <c r="P51" s="7">
        <f t="shared" ref="P51:Q51" si="105">P49/P50</f>
        <v>0.22612513721185509</v>
      </c>
      <c r="Q51" s="7">
        <f t="shared" si="105"/>
        <v>-0.65642151481888034</v>
      </c>
      <c r="R51" s="7">
        <f t="shared" ref="Q51:R51" si="106">R49/R50</f>
        <v>6.8820087815587391E-2</v>
      </c>
      <c r="T51" s="7">
        <f t="shared" ref="T51:Y51" si="107">T49/T50</f>
        <v>4.4259055982436886</v>
      </c>
      <c r="U51" s="7">
        <f t="shared" si="107"/>
        <v>5.4346871569703623</v>
      </c>
      <c r="V51" s="7">
        <f t="shared" si="107"/>
        <v>5.6597145993413829</v>
      </c>
      <c r="W51" s="7">
        <f t="shared" si="107"/>
        <v>3.9440175631174532</v>
      </c>
      <c r="X51" s="7">
        <f t="shared" si="107"/>
        <v>0.20603194291987664</v>
      </c>
      <c r="Y51" s="7">
        <f t="shared" si="107"/>
        <v>3.4343897683863904</v>
      </c>
      <c r="Z51" s="7">
        <f t="shared" ref="Z51:AH51" si="108">Z49/Z50</f>
        <v>4.1065375074204198</v>
      </c>
      <c r="AA51" s="7">
        <f t="shared" si="108"/>
        <v>4.4966195467310666</v>
      </c>
      <c r="AB51" s="7">
        <f t="shared" si="108"/>
        <v>4.9165770193451337</v>
      </c>
      <c r="AC51" s="7">
        <f t="shared" si="108"/>
        <v>5.0313717498193977</v>
      </c>
      <c r="AD51" s="7">
        <f t="shared" si="108"/>
        <v>5.1486430178632983</v>
      </c>
      <c r="AE51" s="7">
        <f t="shared" si="108"/>
        <v>5.2684429612107886</v>
      </c>
      <c r="AF51" s="7">
        <f t="shared" si="108"/>
        <v>5.3908248264479823</v>
      </c>
      <c r="AG51" s="7">
        <f t="shared" si="108"/>
        <v>5.5158429938525435</v>
      </c>
      <c r="AH51" s="7">
        <f t="shared" si="108"/>
        <v>5.6435530028565717</v>
      </c>
    </row>
    <row r="53" spans="2:139" x14ac:dyDescent="0.3">
      <c r="B53" s="1" t="s">
        <v>44</v>
      </c>
      <c r="C53" s="10"/>
      <c r="G53" s="10">
        <f t="shared" ref="G53" si="109">G30/C30-1</f>
        <v>0.25537734676115886</v>
      </c>
      <c r="H53" s="10"/>
      <c r="I53" s="10"/>
      <c r="K53" s="10">
        <f t="shared" ref="K53:N53" si="110">K30/G30-1</f>
        <v>-0.10755670000990392</v>
      </c>
      <c r="L53" s="10">
        <f t="shared" si="110"/>
        <v>1.0838010450938684E-2</v>
      </c>
      <c r="M53" s="10">
        <f t="shared" si="110"/>
        <v>-5.1953406865271612E-2</v>
      </c>
      <c r="N53" s="10">
        <f t="shared" si="110"/>
        <v>9.9153683400653891E-2</v>
      </c>
      <c r="O53" s="10">
        <f>O30/K30-1</f>
        <v>-1.6979247586283441E-2</v>
      </c>
      <c r="P53" s="10">
        <f t="shared" ref="P53:R53" si="111">P30/L30-1</f>
        <v>-0.10980279532835535</v>
      </c>
      <c r="Q53" s="10">
        <f t="shared" si="111"/>
        <v>-5.3278242905295259E-2</v>
      </c>
      <c r="R53" s="10">
        <f t="shared" si="111"/>
        <v>-5.0000000000000044E-2</v>
      </c>
      <c r="T53" s="10"/>
      <c r="U53" s="10">
        <f t="shared" ref="U53:V53" si="112">U30/T30-1</f>
        <v>0.13555434848210512</v>
      </c>
      <c r="V53" s="10">
        <f t="shared" si="112"/>
        <v>7.7066170608556916E-2</v>
      </c>
      <c r="W53" s="10">
        <f>W30/V30-1</f>
        <v>-1.1028867505551432E-2</v>
      </c>
      <c r="X53" s="10">
        <f t="shared" ref="X53:AH53" si="113">X30/W30-1</f>
        <v>-5.8914003442856022E-2</v>
      </c>
      <c r="Y53" s="10">
        <f t="shared" si="113"/>
        <v>2.0000000000000018E-2</v>
      </c>
      <c r="Z53" s="10">
        <f t="shared" si="113"/>
        <v>2.0000000000000018E-2</v>
      </c>
      <c r="AA53" s="10">
        <f t="shared" si="113"/>
        <v>2.0000000000000018E-2</v>
      </c>
      <c r="AB53" s="10">
        <f t="shared" si="113"/>
        <v>2.0000000000000018E-2</v>
      </c>
      <c r="AC53" s="10">
        <f t="shared" si="113"/>
        <v>2.0000000000000018E-2</v>
      </c>
      <c r="AD53" s="10">
        <f t="shared" si="113"/>
        <v>2.0000000000000018E-2</v>
      </c>
      <c r="AE53" s="10">
        <f t="shared" si="113"/>
        <v>2.0000000000000018E-2</v>
      </c>
      <c r="AF53" s="10">
        <f t="shared" si="113"/>
        <v>2.0000000000000018E-2</v>
      </c>
      <c r="AG53" s="10">
        <f t="shared" si="113"/>
        <v>2.0000000000000018E-2</v>
      </c>
      <c r="AH53" s="10">
        <f t="shared" si="113"/>
        <v>2.0000000000000018E-2</v>
      </c>
    </row>
    <row r="54" spans="2:139" x14ac:dyDescent="0.3">
      <c r="B54" s="1" t="s">
        <v>45</v>
      </c>
      <c r="C54" s="10">
        <f t="shared" ref="C54" si="114">C32/C30</f>
        <v>0.2719134651249534</v>
      </c>
      <c r="G54" s="10">
        <f t="shared" ref="G54:H54" si="115">G32/G30</f>
        <v>0.27899376052292763</v>
      </c>
      <c r="H54" s="10">
        <f t="shared" si="115"/>
        <v>0.29920650280627054</v>
      </c>
      <c r="I54" s="10">
        <f t="shared" ref="I54:J54" si="116">I32/I30</f>
        <v>0.27626017936295227</v>
      </c>
      <c r="J54" s="10">
        <f t="shared" si="116"/>
        <v>0.29015195229851892</v>
      </c>
      <c r="K54" s="10">
        <f t="shared" ref="K54:N54" si="117">K32/K30</f>
        <v>0.25713017423149481</v>
      </c>
      <c r="L54" s="10">
        <f t="shared" si="117"/>
        <v>0.27656519241815047</v>
      </c>
      <c r="M54" s="10">
        <f t="shared" si="117"/>
        <v>0.23583777318690877</v>
      </c>
      <c r="N54" s="10">
        <f t="shared" si="117"/>
        <v>0.25829031411322073</v>
      </c>
      <c r="O54" s="10">
        <f>O32/O30</f>
        <v>0.21020546398735607</v>
      </c>
      <c r="P54" s="10">
        <f t="shared" ref="P54:R54" si="118">P32/P30</f>
        <v>0.16152274438111625</v>
      </c>
      <c r="Q54" s="10">
        <f t="shared" si="118"/>
        <v>-1.0336510853336396E-2</v>
      </c>
      <c r="R54" s="10">
        <f t="shared" si="118"/>
        <v>0.15</v>
      </c>
      <c r="T54" s="10">
        <f t="shared" ref="T54:V54" si="119">T32/T30</f>
        <v>0.26727623875912848</v>
      </c>
      <c r="U54" s="10">
        <f t="shared" si="119"/>
        <v>0.28025511559925592</v>
      </c>
      <c r="V54" s="10">
        <f t="shared" si="119"/>
        <v>0.28635578583765114</v>
      </c>
      <c r="W54" s="10">
        <f>W32/W30</f>
        <v>0.25764039617793077</v>
      </c>
      <c r="X54" s="10">
        <f t="shared" ref="X54:AH54" si="120">X32/X30</f>
        <v>0.12996900975702236</v>
      </c>
      <c r="Y54" s="10">
        <f t="shared" si="120"/>
        <v>0.25</v>
      </c>
      <c r="Z54" s="10">
        <f t="shared" si="120"/>
        <v>0.27</v>
      </c>
      <c r="AA54" s="10">
        <f t="shared" si="120"/>
        <v>0.28000000000000003</v>
      </c>
      <c r="AB54" s="10">
        <f t="shared" si="120"/>
        <v>0.28999999999999998</v>
      </c>
      <c r="AC54" s="10">
        <f t="shared" si="120"/>
        <v>0.28999999999999998</v>
      </c>
      <c r="AD54" s="10">
        <f t="shared" si="120"/>
        <v>0.28999999999999998</v>
      </c>
      <c r="AE54" s="10">
        <f t="shared" si="120"/>
        <v>0.28999999999999998</v>
      </c>
      <c r="AF54" s="10">
        <f t="shared" si="120"/>
        <v>0.28999999999999998</v>
      </c>
      <c r="AG54" s="10">
        <f t="shared" si="120"/>
        <v>0.28999999999999998</v>
      </c>
      <c r="AH54" s="10">
        <f t="shared" si="120"/>
        <v>0.28999999999999998</v>
      </c>
    </row>
    <row r="55" spans="2:139" x14ac:dyDescent="0.3">
      <c r="B55" s="1" t="s">
        <v>46</v>
      </c>
      <c r="C55" s="10">
        <f t="shared" ref="C55" si="121">C33/C30</f>
        <v>5.2840979733930128E-2</v>
      </c>
      <c r="G55" s="10">
        <f t="shared" ref="G55:H55" si="122">G33/G30</f>
        <v>5.1599484995543232E-2</v>
      </c>
      <c r="H55" s="10">
        <f t="shared" si="122"/>
        <v>7.4704857751112838E-2</v>
      </c>
      <c r="I55" s="10">
        <f t="shared" ref="I55:J55" si="123">I33/I30</f>
        <v>7.3909906195237601E-2</v>
      </c>
      <c r="J55" s="10">
        <f t="shared" si="123"/>
        <v>8.2612040777072515E-2</v>
      </c>
      <c r="K55" s="10">
        <f t="shared" ref="K55:N55" si="124">K33/K30</f>
        <v>7.2910886694040611E-2</v>
      </c>
      <c r="L55" s="10">
        <f t="shared" si="124"/>
        <v>6.9117365498755509E-2</v>
      </c>
      <c r="M55" s="10">
        <f t="shared" si="124"/>
        <v>8.3614222028922477E-2</v>
      </c>
      <c r="N55" s="10">
        <f t="shared" si="124"/>
        <v>8.3209379648263193E-2</v>
      </c>
      <c r="O55" s="10">
        <f>O33/O30</f>
        <v>7.1009257168661091E-2</v>
      </c>
      <c r="P55" s="10">
        <f t="shared" ref="P55:R55" si="125">P33/P30</f>
        <v>7.3233681040972151E-2</v>
      </c>
      <c r="Q55" s="10">
        <f t="shared" si="125"/>
        <v>8.4529688756173199E-2</v>
      </c>
      <c r="R55" s="10">
        <f t="shared" si="125"/>
        <v>0.09</v>
      </c>
      <c r="T55" s="10">
        <f t="shared" ref="T55:V55" si="126">T33/T30</f>
        <v>6.3703301345886892E-2</v>
      </c>
      <c r="U55" s="10">
        <f t="shared" si="126"/>
        <v>6.2529896359287795E-2</v>
      </c>
      <c r="V55" s="10">
        <f t="shared" si="126"/>
        <v>7.078707130520602E-2</v>
      </c>
      <c r="W55" s="10">
        <f>W33/W30</f>
        <v>7.7314572262555198E-2</v>
      </c>
      <c r="X55" s="10">
        <f t="shared" ref="X55:AH55" si="127">X33/X30</f>
        <v>8.0144625552237364E-2</v>
      </c>
      <c r="Y55" s="10">
        <f t="shared" si="127"/>
        <v>0.08</v>
      </c>
      <c r="Z55" s="10">
        <f t="shared" si="127"/>
        <v>0.08</v>
      </c>
      <c r="AA55" s="10">
        <f t="shared" si="127"/>
        <v>0.08</v>
      </c>
      <c r="AB55" s="10">
        <f t="shared" si="127"/>
        <v>0.08</v>
      </c>
      <c r="AC55" s="10">
        <f t="shared" si="127"/>
        <v>0.08</v>
      </c>
      <c r="AD55" s="10">
        <f t="shared" si="127"/>
        <v>0.08</v>
      </c>
      <c r="AE55" s="10">
        <f t="shared" si="127"/>
        <v>0.08</v>
      </c>
      <c r="AF55" s="10">
        <f t="shared" si="127"/>
        <v>0.08</v>
      </c>
      <c r="AG55" s="10">
        <f t="shared" si="127"/>
        <v>0.08</v>
      </c>
      <c r="AH55" s="10">
        <f t="shared" si="127"/>
        <v>0.08</v>
      </c>
      <c r="AJ55" s="1" t="s">
        <v>54</v>
      </c>
      <c r="AK55" s="10">
        <v>-0.01</v>
      </c>
    </row>
    <row r="56" spans="2:139" x14ac:dyDescent="0.3">
      <c r="B56" s="1" t="s">
        <v>47</v>
      </c>
      <c r="C56" s="10"/>
      <c r="G56" s="10">
        <f t="shared" ref="G56" si="128">G34/C34-1</f>
        <v>0.32552083333333326</v>
      </c>
      <c r="H56" s="10"/>
      <c r="I56" s="10"/>
      <c r="J56" s="10"/>
      <c r="K56" s="10">
        <f t="shared" ref="K56:N56" si="129">K34/G34-1</f>
        <v>-9.2337917485265208E-2</v>
      </c>
      <c r="L56" s="10">
        <f t="shared" si="129"/>
        <v>0.33879781420765021</v>
      </c>
      <c r="M56" s="10">
        <f t="shared" si="129"/>
        <v>-0.17460317460317465</v>
      </c>
      <c r="N56" s="10">
        <f t="shared" si="129"/>
        <v>0.20343137254901955</v>
      </c>
      <c r="O56" s="10">
        <f>O34/K34-1</f>
        <v>0.11255411255411252</v>
      </c>
      <c r="P56" s="10">
        <f t="shared" ref="P56:R56" si="130">P34/L34-1</f>
        <v>-5.3061224489795888E-2</v>
      </c>
      <c r="Q56" s="10">
        <f t="shared" si="130"/>
        <v>4.0865384615384581E-2</v>
      </c>
      <c r="R56" s="10">
        <f t="shared" si="130"/>
        <v>6.0000000000000053E-2</v>
      </c>
      <c r="T56" s="10"/>
      <c r="U56" s="10">
        <f t="shared" ref="U56:V56" si="131">U34/T34-1</f>
        <v>0.16058906030855535</v>
      </c>
      <c r="V56" s="10">
        <f t="shared" si="131"/>
        <v>7.9758308157099611E-2</v>
      </c>
      <c r="W56" s="10">
        <f>W34/V34-1</f>
        <v>4.0290990486849365E-2</v>
      </c>
      <c r="X56" s="10">
        <f t="shared" ref="X56:AH56" si="132">X34/W34-1</f>
        <v>3.8977945131791314E-2</v>
      </c>
      <c r="Y56" s="10">
        <f t="shared" si="132"/>
        <v>3.0000000000000027E-2</v>
      </c>
      <c r="Z56" s="10">
        <f t="shared" si="132"/>
        <v>2.0000000000000018E-2</v>
      </c>
      <c r="AA56" s="10">
        <f t="shared" si="132"/>
        <v>2.0000000000000018E-2</v>
      </c>
      <c r="AB56" s="10">
        <f t="shared" si="132"/>
        <v>1.0000000000000009E-2</v>
      </c>
      <c r="AC56" s="10">
        <f t="shared" si="132"/>
        <v>1.0000000000000009E-2</v>
      </c>
      <c r="AD56" s="10">
        <f t="shared" si="132"/>
        <v>1.0000000000000009E-2</v>
      </c>
      <c r="AE56" s="10">
        <f t="shared" si="132"/>
        <v>1.0000000000000009E-2</v>
      </c>
      <c r="AF56" s="10">
        <f t="shared" si="132"/>
        <v>1.0000000000000009E-2</v>
      </c>
      <c r="AG56" s="10">
        <f t="shared" si="132"/>
        <v>1.0000000000000009E-2</v>
      </c>
      <c r="AH56" s="10">
        <f t="shared" si="132"/>
        <v>1.0000000000000009E-2</v>
      </c>
      <c r="AJ56" s="1" t="s">
        <v>55</v>
      </c>
      <c r="AK56" s="10">
        <v>0.08</v>
      </c>
    </row>
    <row r="57" spans="2:139" x14ac:dyDescent="0.3">
      <c r="B57" s="1" t="s">
        <v>48</v>
      </c>
      <c r="C57" s="10">
        <f t="shared" ref="C57" si="133">C39/C30</f>
        <v>0.18239462886982469</v>
      </c>
      <c r="G57" s="10">
        <f t="shared" ref="G57:H57" si="134">G39/G30</f>
        <v>0.18223234624145787</v>
      </c>
      <c r="H57" s="10">
        <f t="shared" si="134"/>
        <v>0.19469711631507644</v>
      </c>
      <c r="I57" s="10">
        <f t="shared" ref="I57:J57" si="135">I39/I30</f>
        <v>0.16998247603339861</v>
      </c>
      <c r="J57" s="10">
        <f t="shared" si="135"/>
        <v>0.17147528370840545</v>
      </c>
      <c r="K57" s="10">
        <f t="shared" ref="K57:N57" si="136">K39/K30</f>
        <v>0.14227055820663634</v>
      </c>
      <c r="L57" s="10">
        <f t="shared" si="136"/>
        <v>0.17040015316867702</v>
      </c>
      <c r="M57" s="10">
        <f t="shared" si="136"/>
        <v>0.11568989888006959</v>
      </c>
      <c r="N57" s="10">
        <f t="shared" si="136"/>
        <v>0.13220754221716685</v>
      </c>
      <c r="O57" s="10">
        <f>O39/O30</f>
        <v>8.5911040867012872E-2</v>
      </c>
      <c r="P57" s="10">
        <f t="shared" ref="P57:R57" si="137">P39/P30</f>
        <v>2.6454457468545006E-2</v>
      </c>
      <c r="Q57" s="10">
        <f t="shared" si="137"/>
        <v>-0.11094521649247732</v>
      </c>
      <c r="R57" s="10">
        <f t="shared" si="137"/>
        <v>1.2064692310880464E-2</v>
      </c>
      <c r="T57" s="10">
        <f t="shared" ref="T57:V57" si="138">T39/T30</f>
        <v>0.16035970788822501</v>
      </c>
      <c r="U57" s="10">
        <f t="shared" si="138"/>
        <v>0.17990964655859687</v>
      </c>
      <c r="V57" s="10">
        <f t="shared" si="138"/>
        <v>0.17971872686898593</v>
      </c>
      <c r="W57" s="10">
        <f>W39/W30</f>
        <v>0.14063318613876208</v>
      </c>
      <c r="X57" s="10">
        <f t="shared" ref="X57:AH57" si="139">X39/X30</f>
        <v>4.5595422245376356E-3</v>
      </c>
      <c r="Y57" s="10">
        <f t="shared" si="139"/>
        <v>0.11829491676898377</v>
      </c>
      <c r="Z57" s="10">
        <f t="shared" si="139"/>
        <v>0.13829491676898378</v>
      </c>
      <c r="AA57" s="10">
        <f t="shared" si="139"/>
        <v>0.14829491676898376</v>
      </c>
      <c r="AB57" s="10">
        <f t="shared" si="139"/>
        <v>0.15880182934967998</v>
      </c>
      <c r="AC57" s="10">
        <f t="shared" si="139"/>
        <v>0.15930377219919289</v>
      </c>
      <c r="AD57" s="10">
        <f t="shared" si="139"/>
        <v>0.15980079404037734</v>
      </c>
      <c r="AE57" s="10">
        <f t="shared" si="139"/>
        <v>0.16029294311841283</v>
      </c>
      <c r="AF57" s="10">
        <f t="shared" si="139"/>
        <v>0.16078026720548722</v>
      </c>
      <c r="AG57" s="10">
        <f t="shared" si="139"/>
        <v>0.1612628136054334</v>
      </c>
      <c r="AH57" s="10">
        <f t="shared" si="139"/>
        <v>0.1617406291583213</v>
      </c>
      <c r="AJ57" s="1" t="s">
        <v>56</v>
      </c>
      <c r="AK57" s="6">
        <f>NPV(AK56,X49:EI49)</f>
        <v>51345.273565913034</v>
      </c>
    </row>
    <row r="58" spans="2:139" x14ac:dyDescent="0.3">
      <c r="B58" s="1" t="s">
        <v>21</v>
      </c>
      <c r="C58" s="10">
        <f t="shared" ref="C58" si="140">C47/C46</f>
        <v>0.33090668431502318</v>
      </c>
      <c r="G58" s="10">
        <f t="shared" ref="G58:H58" si="141">G47/G46</f>
        <v>0.29118387909319898</v>
      </c>
      <c r="H58" s="10">
        <f t="shared" si="141"/>
        <v>0.3189784677015523</v>
      </c>
      <c r="I58" s="10">
        <f t="shared" ref="I58:J58" si="142">I47/I46</f>
        <v>0.29482551143200963</v>
      </c>
      <c r="J58" s="10">
        <f t="shared" si="142"/>
        <v>0.29653179190751444</v>
      </c>
      <c r="K58" s="10">
        <f t="shared" ref="K58:N58" si="143">K47/K46</f>
        <v>0.30457614403600902</v>
      </c>
      <c r="L58" s="10">
        <f t="shared" si="143"/>
        <v>0.30419977298524403</v>
      </c>
      <c r="M58" s="10">
        <f t="shared" si="143"/>
        <v>0.28440366972477066</v>
      </c>
      <c r="N58" s="10">
        <f t="shared" si="143"/>
        <v>0.35677083333333331</v>
      </c>
      <c r="O58" s="10">
        <f>O47/O46</f>
        <v>0.30655957161981257</v>
      </c>
      <c r="P58" s="10">
        <f t="shared" ref="P58:R58" si="144">P47/P46</f>
        <v>0.34754098360655739</v>
      </c>
      <c r="Q58" s="10">
        <f t="shared" si="144"/>
        <v>0.35987261146496813</v>
      </c>
      <c r="R58" s="10">
        <f t="shared" si="144"/>
        <v>0.3</v>
      </c>
      <c r="T58" s="10">
        <f t="shared" ref="T58:V58" si="145">T47/T46</f>
        <v>0.29516495025309825</v>
      </c>
      <c r="U58" s="10">
        <f t="shared" si="145"/>
        <v>0.29872701555869874</v>
      </c>
      <c r="V58" s="10">
        <f t="shared" si="145"/>
        <v>0.30078654732845134</v>
      </c>
      <c r="W58" s="10">
        <f>W47/W46</f>
        <v>0.31216526396327465</v>
      </c>
      <c r="X58" s="10">
        <f t="shared" ref="X58:AH58" si="146">X47/X46</f>
        <v>0.11591398705427133</v>
      </c>
      <c r="Y58" s="10">
        <f t="shared" si="146"/>
        <v>0.3</v>
      </c>
      <c r="Z58" s="10">
        <f t="shared" si="146"/>
        <v>0.3</v>
      </c>
      <c r="AA58" s="10">
        <f t="shared" si="146"/>
        <v>0.3</v>
      </c>
      <c r="AB58" s="10">
        <f t="shared" si="146"/>
        <v>0.3</v>
      </c>
      <c r="AC58" s="10">
        <f t="shared" si="146"/>
        <v>0.3</v>
      </c>
      <c r="AD58" s="10">
        <f t="shared" si="146"/>
        <v>0.3</v>
      </c>
      <c r="AE58" s="10">
        <f t="shared" si="146"/>
        <v>0.3</v>
      </c>
      <c r="AF58" s="10">
        <f t="shared" si="146"/>
        <v>0.3</v>
      </c>
      <c r="AG58" s="10">
        <f t="shared" si="146"/>
        <v>0.3</v>
      </c>
      <c r="AH58" s="10">
        <f t="shared" si="146"/>
        <v>0.3</v>
      </c>
      <c r="AJ58" s="1" t="s">
        <v>57</v>
      </c>
      <c r="AK58" s="6">
        <f>Main!D8</f>
        <v>-2528</v>
      </c>
    </row>
    <row r="59" spans="2:139" x14ac:dyDescent="0.3">
      <c r="B59" s="1" t="s">
        <v>49</v>
      </c>
      <c r="C59" s="10">
        <f t="shared" ref="C59" si="147">C49/C30</f>
        <v>0.12532637075718014</v>
      </c>
      <c r="G59" s="10">
        <f t="shared" ref="G59:H59" si="148">G49/G30</f>
        <v>0.13934832128354957</v>
      </c>
      <c r="H59" s="10">
        <f t="shared" si="148"/>
        <v>0.13160441261854075</v>
      </c>
      <c r="I59" s="10">
        <f t="shared" ref="I59:J59" si="149">I49/I30</f>
        <v>0.12081228739305226</v>
      </c>
      <c r="J59" s="10">
        <f t="shared" si="149"/>
        <v>0.11704173879592229</v>
      </c>
      <c r="K59" s="10">
        <f t="shared" ref="K59:N59" si="150">K49/K30</f>
        <v>0.10298524026190212</v>
      </c>
      <c r="L59" s="10">
        <f t="shared" si="150"/>
        <v>0.1173654987555045</v>
      </c>
      <c r="M59" s="10">
        <f t="shared" si="150"/>
        <v>7.6329237794933127E-2</v>
      </c>
      <c r="N59" s="10">
        <f t="shared" si="150"/>
        <v>6.4485081809432146E-2</v>
      </c>
      <c r="O59" s="10">
        <f>O49/O30</f>
        <v>5.8365319485211106E-2</v>
      </c>
      <c r="P59" s="10">
        <f t="shared" ref="P59:R59" si="151">P49/P30</f>
        <v>2.2152919668781589E-2</v>
      </c>
      <c r="Q59" s="10">
        <f t="shared" si="151"/>
        <v>-6.8680372114390723E-2</v>
      </c>
      <c r="R59" s="10">
        <f t="shared" si="151"/>
        <v>5.7743321467550344E-3</v>
      </c>
      <c r="T59" s="10">
        <f t="shared" ref="T59:V59" si="152">T49/T30</f>
        <v>0.12167300380228137</v>
      </c>
      <c r="U59" s="10">
        <f t="shared" si="152"/>
        <v>0.1315705554079192</v>
      </c>
      <c r="V59" s="10">
        <f t="shared" si="152"/>
        <v>0.12721440907969406</v>
      </c>
      <c r="W59" s="10">
        <f>W49/W30</f>
        <v>8.9638999076915402E-2</v>
      </c>
      <c r="X59" s="10">
        <f t="shared" ref="X59:AH59" si="153">X49/X30</f>
        <v>4.9758056071398868E-3</v>
      </c>
      <c r="Y59" s="10">
        <f t="shared" si="153"/>
        <v>8.1316421249922152E-2</v>
      </c>
      <c r="Z59" s="10">
        <f t="shared" si="153"/>
        <v>9.5324447647726337E-2</v>
      </c>
      <c r="AA59" s="10">
        <f t="shared" si="153"/>
        <v>0.10233271011605413</v>
      </c>
      <c r="AB59" s="10">
        <f t="shared" si="153"/>
        <v>0.10969605440464365</v>
      </c>
      <c r="AC59" s="10">
        <f t="shared" si="153"/>
        <v>0.11005617004264318</v>
      </c>
      <c r="AD59" s="10">
        <f t="shared" si="153"/>
        <v>0.11041309849373451</v>
      </c>
      <c r="AE59" s="10">
        <f t="shared" si="153"/>
        <v>0.11076688110362934</v>
      </c>
      <c r="AF59" s="10">
        <f t="shared" si="153"/>
        <v>0.11111755910971223</v>
      </c>
      <c r="AG59" s="10">
        <f t="shared" si="153"/>
        <v>0.11146517365083868</v>
      </c>
      <c r="AH59" s="10">
        <f t="shared" si="153"/>
        <v>0.11180976577729386</v>
      </c>
      <c r="AJ59" s="1" t="s">
        <v>58</v>
      </c>
      <c r="AK59" s="6">
        <f>AK57+AK58</f>
        <v>48817.273565913034</v>
      </c>
    </row>
    <row r="60" spans="2:139" x14ac:dyDescent="0.3">
      <c r="AJ60" s="1" t="s">
        <v>59</v>
      </c>
      <c r="AK60" s="16">
        <f>AK59/AH50</f>
        <v>53.586469336896855</v>
      </c>
    </row>
    <row r="61" spans="2:139" x14ac:dyDescent="0.3">
      <c r="AJ61" s="1" t="s">
        <v>60</v>
      </c>
      <c r="AK61" s="16">
        <f>Main!D3</f>
        <v>48.41</v>
      </c>
    </row>
    <row r="62" spans="2:139" x14ac:dyDescent="0.3">
      <c r="AJ62" s="2" t="s">
        <v>61</v>
      </c>
      <c r="AK62" s="11">
        <f>AK60/AK61-1</f>
        <v>0.10692975287950546</v>
      </c>
    </row>
    <row r="63" spans="2:139" x14ac:dyDescent="0.3">
      <c r="H63" s="8">
        <v>20431</v>
      </c>
      <c r="I63" s="8">
        <v>30132</v>
      </c>
      <c r="L63" s="8">
        <v>19457</v>
      </c>
      <c r="M63" s="8">
        <v>28654</v>
      </c>
      <c r="P63" s="8">
        <v>18157</v>
      </c>
      <c r="Q63" s="8">
        <v>26864</v>
      </c>
      <c r="AJ63" s="1" t="s">
        <v>62</v>
      </c>
      <c r="AK63" s="9" t="s">
        <v>74</v>
      </c>
    </row>
    <row r="64" spans="2:139" x14ac:dyDescent="0.3">
      <c r="H64" s="6">
        <v>14522</v>
      </c>
      <c r="I64" s="6">
        <v>21543</v>
      </c>
      <c r="L64" s="6">
        <v>14251</v>
      </c>
      <c r="M64" s="6">
        <v>21279</v>
      </c>
      <c r="P64" s="6">
        <v>14793</v>
      </c>
      <c r="Q64" s="6">
        <v>23590</v>
      </c>
    </row>
    <row r="65" spans="8:17" x14ac:dyDescent="0.3">
      <c r="H65" s="8">
        <f>H63-H64</f>
        <v>5909</v>
      </c>
      <c r="I65" s="8">
        <f>I63-I64</f>
        <v>8589</v>
      </c>
      <c r="L65" s="8">
        <f>L63-L64</f>
        <v>5206</v>
      </c>
      <c r="M65" s="8">
        <f>M63-M64</f>
        <v>7375</v>
      </c>
      <c r="P65" s="8">
        <f>P63-P64</f>
        <v>3364</v>
      </c>
      <c r="Q65" s="8">
        <f>Q63-Q64</f>
        <v>3274</v>
      </c>
    </row>
    <row r="66" spans="8:17" x14ac:dyDescent="0.3">
      <c r="H66" s="6">
        <v>1293</v>
      </c>
      <c r="I66" s="6">
        <v>2010</v>
      </c>
      <c r="L66" s="6">
        <v>1379</v>
      </c>
      <c r="M66" s="6">
        <v>2148</v>
      </c>
      <c r="P66" s="6">
        <v>1310</v>
      </c>
      <c r="Q66" s="6">
        <v>2046</v>
      </c>
    </row>
    <row r="67" spans="8:17" x14ac:dyDescent="0.3">
      <c r="H67" s="6">
        <v>875</v>
      </c>
      <c r="I67" s="6">
        <v>1379</v>
      </c>
      <c r="L67" s="6">
        <v>952</v>
      </c>
      <c r="M67" s="6">
        <v>1368</v>
      </c>
      <c r="P67" s="6">
        <v>978</v>
      </c>
      <c r="Q67" s="6">
        <v>1411</v>
      </c>
    </row>
    <row r="68" spans="8:17" x14ac:dyDescent="0.3">
      <c r="H68" s="6"/>
      <c r="I68" s="6"/>
      <c r="L68" s="6"/>
      <c r="M68" s="6"/>
      <c r="P68" s="6"/>
      <c r="Q68" s="6"/>
    </row>
    <row r="69" spans="8:17" x14ac:dyDescent="0.3">
      <c r="H69" s="6"/>
      <c r="I69" s="6"/>
      <c r="L69" s="6"/>
      <c r="M69" s="6"/>
      <c r="P69" s="6"/>
      <c r="Q69" s="6"/>
    </row>
    <row r="70" spans="8:17" x14ac:dyDescent="0.3">
      <c r="H70" s="6">
        <v>-111</v>
      </c>
      <c r="I70" s="6">
        <v>-301</v>
      </c>
      <c r="L70" s="6">
        <v>-187</v>
      </c>
      <c r="M70" s="6">
        <v>-267</v>
      </c>
      <c r="P70" s="6">
        <v>69</v>
      </c>
      <c r="Q70" s="6">
        <v>-224</v>
      </c>
    </row>
    <row r="71" spans="8:17" x14ac:dyDescent="0.3">
      <c r="H71" s="6">
        <f>SUM(H66:H70)</f>
        <v>2057</v>
      </c>
      <c r="I71" s="6">
        <f>SUM(I66:I70)</f>
        <v>3088</v>
      </c>
      <c r="L71" s="6">
        <f>SUM(L66:L70)</f>
        <v>2144</v>
      </c>
      <c r="M71" s="6">
        <f>SUM(M66:M70)</f>
        <v>3249</v>
      </c>
      <c r="P71" s="6">
        <f>SUM(P66:P70)</f>
        <v>2357</v>
      </c>
      <c r="Q71" s="6">
        <f>SUM(Q66:Q70)</f>
        <v>3233</v>
      </c>
    </row>
    <row r="72" spans="8:17" x14ac:dyDescent="0.3">
      <c r="H72" s="8">
        <f>H65-H71</f>
        <v>3852</v>
      </c>
      <c r="I72" s="8">
        <f>I65-I71</f>
        <v>5501</v>
      </c>
      <c r="L72" s="8">
        <f>L65-L71</f>
        <v>3062</v>
      </c>
      <c r="M72" s="8">
        <f>M65-M71</f>
        <v>4126</v>
      </c>
      <c r="P72" s="8">
        <f>P65-P71</f>
        <v>1007</v>
      </c>
      <c r="Q72" s="8">
        <f>Q65-Q71</f>
        <v>41</v>
      </c>
    </row>
    <row r="73" spans="8:17" x14ac:dyDescent="0.3">
      <c r="H73" s="6">
        <v>-7</v>
      </c>
      <c r="I73" s="6">
        <v>6</v>
      </c>
      <c r="L73" s="6">
        <v>27</v>
      </c>
      <c r="M73" s="6">
        <v>89</v>
      </c>
      <c r="P73" s="6">
        <v>36</v>
      </c>
      <c r="Q73" s="6">
        <v>55</v>
      </c>
    </row>
    <row r="74" spans="8:17" x14ac:dyDescent="0.3">
      <c r="H74" s="6"/>
      <c r="I74" s="6"/>
      <c r="L74" s="6"/>
      <c r="M74" s="6"/>
      <c r="P74" s="6"/>
      <c r="Q74" s="6"/>
    </row>
    <row r="75" spans="8:17" x14ac:dyDescent="0.3">
      <c r="H75" s="6"/>
      <c r="I75" s="6"/>
      <c r="L75" s="6"/>
      <c r="M75" s="6"/>
      <c r="P75" s="6"/>
      <c r="Q75" s="6"/>
    </row>
    <row r="76" spans="8:17" x14ac:dyDescent="0.3">
      <c r="H76" s="6"/>
      <c r="I76" s="6"/>
      <c r="L76" s="6"/>
      <c r="M76" s="6"/>
      <c r="P76" s="6"/>
      <c r="Q76" s="6"/>
    </row>
    <row r="77" spans="8:17" x14ac:dyDescent="0.3">
      <c r="H77" s="6">
        <v>-123</v>
      </c>
      <c r="I77" s="6">
        <v>-149</v>
      </c>
      <c r="L77" s="6">
        <v>-60</v>
      </c>
      <c r="M77" s="6">
        <v>-39</v>
      </c>
      <c r="P77" s="6">
        <v>-81</v>
      </c>
      <c r="Q77" s="6">
        <v>-124</v>
      </c>
    </row>
    <row r="78" spans="8:17" x14ac:dyDescent="0.3">
      <c r="H78" s="6">
        <f>SUM(H73:H77)</f>
        <v>-130</v>
      </c>
      <c r="I78" s="6">
        <f>SUM(I73:I77)</f>
        <v>-143</v>
      </c>
      <c r="L78" s="6">
        <f>SUM(L73:L77)</f>
        <v>-33</v>
      </c>
      <c r="M78" s="6">
        <f>SUM(M73:M77)</f>
        <v>50</v>
      </c>
      <c r="P78" s="6">
        <f>SUM(P73:P77)</f>
        <v>-45</v>
      </c>
      <c r="Q78" s="6">
        <f>SUM(Q73:Q77)</f>
        <v>-69</v>
      </c>
    </row>
    <row r="79" spans="8:17" x14ac:dyDescent="0.3">
      <c r="H79" s="8">
        <f>H72-H78</f>
        <v>3982</v>
      </c>
      <c r="I79" s="8">
        <f>I72-I78</f>
        <v>5644</v>
      </c>
      <c r="L79" s="8">
        <f>L72-L78</f>
        <v>3095</v>
      </c>
      <c r="M79" s="8">
        <f>M72-M78</f>
        <v>4076</v>
      </c>
      <c r="P79" s="8">
        <f>P72-P78</f>
        <v>1052</v>
      </c>
      <c r="Q79" s="8">
        <f>Q72-Q78</f>
        <v>110</v>
      </c>
    </row>
    <row r="80" spans="8:17" x14ac:dyDescent="0.3">
      <c r="H80" s="6">
        <v>1215</v>
      </c>
      <c r="I80" s="6">
        <v>1705</v>
      </c>
      <c r="L80" s="6">
        <v>942</v>
      </c>
      <c r="M80" s="6">
        <v>1221</v>
      </c>
      <c r="P80" s="6">
        <v>335</v>
      </c>
      <c r="Q80" s="6">
        <v>-4</v>
      </c>
    </row>
    <row r="81" spans="8:17" x14ac:dyDescent="0.3">
      <c r="H81" s="6">
        <v>0</v>
      </c>
      <c r="I81" s="6">
        <v>0</v>
      </c>
      <c r="L81" s="6">
        <v>-1</v>
      </c>
      <c r="M81" s="6">
        <v>-1</v>
      </c>
      <c r="P81" s="6">
        <v>-6</v>
      </c>
      <c r="Q81" s="6">
        <v>-11</v>
      </c>
    </row>
    <row r="82" spans="8:17" x14ac:dyDescent="0.3">
      <c r="H82" s="8">
        <f>H79-H80-H81</f>
        <v>2767</v>
      </c>
      <c r="I82" s="8">
        <f>I79-I80-I81</f>
        <v>3939</v>
      </c>
      <c r="L82" s="8">
        <f>L79-L80-L81</f>
        <v>2154</v>
      </c>
      <c r="M82" s="8">
        <f>M79-M80-M81</f>
        <v>2856</v>
      </c>
      <c r="P82" s="8">
        <f>P79-P80-P81</f>
        <v>723</v>
      </c>
      <c r="Q82" s="8">
        <f>Q79-Q80-Q81</f>
        <v>125</v>
      </c>
    </row>
    <row r="83" spans="8:17" x14ac:dyDescent="0.3">
      <c r="H83" s="6">
        <f>455.5+455.5</f>
        <v>911</v>
      </c>
      <c r="I83" s="6">
        <f>455.5+455.5</f>
        <v>911</v>
      </c>
      <c r="L83" s="6">
        <f>455.5+455.5</f>
        <v>911</v>
      </c>
      <c r="M83" s="6">
        <f>455.5+455.5</f>
        <v>911</v>
      </c>
      <c r="P83" s="6">
        <f>455.5+455.5</f>
        <v>911</v>
      </c>
      <c r="Q83" s="6">
        <f>455.5+455.5</f>
        <v>911</v>
      </c>
    </row>
    <row r="84" spans="8:17" x14ac:dyDescent="0.3">
      <c r="H84" s="7">
        <f>H82/H83</f>
        <v>3.0373216245883645</v>
      </c>
      <c r="I84" s="7">
        <f>I82/I83</f>
        <v>4.3238199780461031</v>
      </c>
      <c r="L84" s="7">
        <f>L82/L83</f>
        <v>2.3644346871569706</v>
      </c>
      <c r="M84" s="7">
        <f>M82/M83</f>
        <v>3.1350164654226127</v>
      </c>
      <c r="P84" s="7">
        <f>P82/P83</f>
        <v>0.79363336992316136</v>
      </c>
      <c r="Q84" s="7">
        <f>Q82/Q83</f>
        <v>0.13721185510428102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2025-04-24T17:56:29Z</dcterms:created>
  <dcterms:modified xsi:type="dcterms:W3CDTF">2025-10-27T14:13:25Z</dcterms:modified>
</cp:coreProperties>
</file>