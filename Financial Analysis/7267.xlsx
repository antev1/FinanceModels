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FB303ACD-057F-4756-8427-4E92F8AC5475}" xr6:coauthVersionLast="47" xr6:coauthVersionMax="47" xr10:uidLastSave="{00000000-0000-0000-0000-000000000000}"/>
  <bookViews>
    <workbookView xWindow="-108" yWindow="-108" windowWidth="23256" windowHeight="12576" activeTab="1" xr2:uid="{8F00B6D5-E9B7-41D1-B249-CAFA93BFC4C7}"/>
  </bookViews>
  <sheets>
    <sheet name="Main" sheetId="1" r:id="rId1"/>
    <sheet name="Model" sheetId="3" r:id="rId2"/>
    <sheet name="Currency" sheetId="2" r:id="rId3"/>
  </sheets>
  <definedNames>
    <definedName name="ExternalData_1" localSheetId="2" hidden="1">Currency!$A$1:$F$2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3" l="1"/>
  <c r="P7" i="3" s="1"/>
  <c r="Q7" i="3" s="1"/>
  <c r="R7" i="3" s="1"/>
  <c r="S7" i="3" s="1"/>
  <c r="T7" i="3" s="1"/>
  <c r="N7" i="3"/>
  <c r="M7" i="3"/>
  <c r="M25" i="3"/>
  <c r="L7" i="3"/>
  <c r="K7" i="3"/>
  <c r="K25" i="3" s="1"/>
  <c r="J25" i="3"/>
  <c r="I25" i="3"/>
  <c r="H25" i="3"/>
  <c r="G25" i="3"/>
  <c r="F25" i="3"/>
  <c r="E25" i="3"/>
  <c r="D25" i="3"/>
  <c r="D26" i="3"/>
  <c r="L24" i="3"/>
  <c r="J24" i="3"/>
  <c r="I24" i="3"/>
  <c r="H24" i="3"/>
  <c r="G24" i="3"/>
  <c r="F24" i="3"/>
  <c r="E24" i="3"/>
  <c r="D24" i="3"/>
  <c r="C24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L16" i="3"/>
  <c r="M16" i="3" s="1"/>
  <c r="N16" i="3" s="1"/>
  <c r="O16" i="3" s="1"/>
  <c r="P16" i="3" s="1"/>
  <c r="Q16" i="3" s="1"/>
  <c r="R16" i="3" s="1"/>
  <c r="S16" i="3" s="1"/>
  <c r="T16" i="3" s="1"/>
  <c r="K16" i="3"/>
  <c r="L3" i="3"/>
  <c r="K3" i="3"/>
  <c r="K13" i="3"/>
  <c r="L11" i="3"/>
  <c r="M11" i="3" s="1"/>
  <c r="N11" i="3" s="1"/>
  <c r="O11" i="3" s="1"/>
  <c r="P11" i="3" s="1"/>
  <c r="Q11" i="3" s="1"/>
  <c r="R11" i="3" s="1"/>
  <c r="S11" i="3" s="1"/>
  <c r="T11" i="3" s="1"/>
  <c r="K11" i="3"/>
  <c r="L10" i="3"/>
  <c r="M10" i="3" s="1"/>
  <c r="N10" i="3" s="1"/>
  <c r="O10" i="3" s="1"/>
  <c r="P10" i="3" s="1"/>
  <c r="Q10" i="3" s="1"/>
  <c r="R10" i="3" s="1"/>
  <c r="S10" i="3" s="1"/>
  <c r="T10" i="3" s="1"/>
  <c r="K10" i="3"/>
  <c r="G16" i="3"/>
  <c r="F16" i="3"/>
  <c r="G15" i="3"/>
  <c r="F15" i="3"/>
  <c r="G12" i="3"/>
  <c r="F12" i="3"/>
  <c r="G11" i="3"/>
  <c r="F11" i="3"/>
  <c r="G10" i="3"/>
  <c r="F10" i="3"/>
  <c r="G9" i="3"/>
  <c r="G13" i="3" s="1"/>
  <c r="F9" i="3"/>
  <c r="F13" i="3" s="1"/>
  <c r="G7" i="3"/>
  <c r="F7" i="3"/>
  <c r="G6" i="3"/>
  <c r="F6" i="3"/>
  <c r="G4" i="3"/>
  <c r="F4" i="3"/>
  <c r="G3" i="3"/>
  <c r="G5" i="3" s="1"/>
  <c r="G8" i="3" s="1"/>
  <c r="G14" i="3" s="1"/>
  <c r="G17" i="3" s="1"/>
  <c r="G19" i="3" s="1"/>
  <c r="F3" i="3"/>
  <c r="F5" i="3" s="1"/>
  <c r="F8" i="3" s="1"/>
  <c r="F14" i="3" s="1"/>
  <c r="F17" i="3" s="1"/>
  <c r="F19" i="3" s="1"/>
  <c r="F40" i="3"/>
  <c r="F32" i="3"/>
  <c r="F35" i="3" s="1"/>
  <c r="F41" i="3" s="1"/>
  <c r="F44" i="3" s="1"/>
  <c r="F46" i="3" s="1"/>
  <c r="G40" i="3"/>
  <c r="G32" i="3"/>
  <c r="G35" i="3" s="1"/>
  <c r="E32" i="3"/>
  <c r="E35" i="3"/>
  <c r="E41" i="3" s="1"/>
  <c r="E44" i="3" s="1"/>
  <c r="E46" i="3" s="1"/>
  <c r="H16" i="3"/>
  <c r="H15" i="3"/>
  <c r="H13" i="3"/>
  <c r="H12" i="3"/>
  <c r="H11" i="3"/>
  <c r="H10" i="3"/>
  <c r="H9" i="3"/>
  <c r="H7" i="3"/>
  <c r="H6" i="3"/>
  <c r="H4" i="3"/>
  <c r="H3" i="3"/>
  <c r="H5" i="3" s="1"/>
  <c r="H8" i="3" s="1"/>
  <c r="H14" i="3" s="1"/>
  <c r="H17" i="3" s="1"/>
  <c r="H19" i="3" s="1"/>
  <c r="I16" i="3"/>
  <c r="I15" i="3"/>
  <c r="I12" i="3"/>
  <c r="I11" i="3"/>
  <c r="I10" i="3"/>
  <c r="I9" i="3"/>
  <c r="I13" i="3" s="1"/>
  <c r="I7" i="3"/>
  <c r="I6" i="3"/>
  <c r="I5" i="3"/>
  <c r="I8" i="3" s="1"/>
  <c r="I14" i="3" s="1"/>
  <c r="I17" i="3" s="1"/>
  <c r="I19" i="3" s="1"/>
  <c r="I4" i="3"/>
  <c r="I3" i="3"/>
  <c r="J16" i="3"/>
  <c r="J15" i="3"/>
  <c r="J13" i="3"/>
  <c r="J14" i="3" s="1"/>
  <c r="J12" i="3"/>
  <c r="J11" i="3"/>
  <c r="J10" i="3"/>
  <c r="J9" i="3"/>
  <c r="J7" i="3"/>
  <c r="J6" i="3"/>
  <c r="J4" i="3"/>
  <c r="J3" i="3"/>
  <c r="H40" i="3"/>
  <c r="I40" i="3"/>
  <c r="J40" i="3"/>
  <c r="J32" i="3"/>
  <c r="J35" i="3" s="1"/>
  <c r="J41" i="3" s="1"/>
  <c r="I32" i="3"/>
  <c r="I35" i="3" s="1"/>
  <c r="H32" i="3"/>
  <c r="H35" i="3" s="1"/>
  <c r="M24" i="3" l="1"/>
  <c r="K24" i="3"/>
  <c r="L25" i="3"/>
  <c r="G41" i="3"/>
  <c r="G44" i="3" s="1"/>
  <c r="G46" i="3" s="1"/>
  <c r="J5" i="3"/>
  <c r="J8" i="3" s="1"/>
  <c r="H41" i="3"/>
  <c r="H44" i="3" s="1"/>
  <c r="H46" i="3" s="1"/>
  <c r="I41" i="3"/>
  <c r="I44" i="3" s="1"/>
  <c r="I46" i="3" s="1"/>
  <c r="J44" i="3"/>
  <c r="J46" i="3" s="1"/>
  <c r="D7" i="1"/>
  <c r="D6" i="1"/>
  <c r="D4" i="1"/>
  <c r="W31" i="3"/>
  <c r="N25" i="3" l="1"/>
  <c r="N24" i="3"/>
  <c r="J17" i="3"/>
  <c r="J19" i="3" s="1"/>
  <c r="D32" i="3"/>
  <c r="D35" i="3" s="1"/>
  <c r="D41" i="3" s="1"/>
  <c r="D44" i="3" s="1"/>
  <c r="C32" i="3"/>
  <c r="C35" i="3" s="1"/>
  <c r="D9" i="1"/>
  <c r="E16" i="3"/>
  <c r="O25" i="3" l="1"/>
  <c r="O24" i="3"/>
  <c r="D8" i="1"/>
  <c r="D10" i="1" s="1"/>
  <c r="W28" i="3" s="1"/>
  <c r="E10" i="3"/>
  <c r="C15" i="3"/>
  <c r="C4" i="3"/>
  <c r="D15" i="3"/>
  <c r="E15" i="3"/>
  <c r="C3" i="3"/>
  <c r="C5" i="3" s="1"/>
  <c r="E6" i="3"/>
  <c r="D3" i="3"/>
  <c r="D7" i="3"/>
  <c r="E7" i="3"/>
  <c r="D4" i="3"/>
  <c r="C9" i="3"/>
  <c r="E4" i="3"/>
  <c r="D9" i="3"/>
  <c r="C16" i="3"/>
  <c r="D10" i="3"/>
  <c r="C7" i="3"/>
  <c r="E3" i="3"/>
  <c r="C6" i="3"/>
  <c r="E9" i="3"/>
  <c r="K9" i="3" s="1"/>
  <c r="L9" i="3" s="1"/>
  <c r="M9" i="3" s="1"/>
  <c r="N9" i="3" s="1"/>
  <c r="O9" i="3" s="1"/>
  <c r="P9" i="3" s="1"/>
  <c r="Q9" i="3" s="1"/>
  <c r="R9" i="3" s="1"/>
  <c r="S9" i="3" s="1"/>
  <c r="T9" i="3" s="1"/>
  <c r="D16" i="3"/>
  <c r="D6" i="3"/>
  <c r="C10" i="3"/>
  <c r="C41" i="3"/>
  <c r="D46" i="3"/>
  <c r="P25" i="3" l="1"/>
  <c r="P24" i="3"/>
  <c r="C8" i="3"/>
  <c r="C22" i="3" s="1"/>
  <c r="C21" i="3"/>
  <c r="D5" i="3"/>
  <c r="D8" i="3" s="1"/>
  <c r="D22" i="3" s="1"/>
  <c r="D21" i="3"/>
  <c r="E26" i="3"/>
  <c r="E5" i="3"/>
  <c r="C44" i="3"/>
  <c r="Q24" i="3" l="1"/>
  <c r="Q25" i="3"/>
  <c r="D14" i="3"/>
  <c r="D17" i="3" s="1"/>
  <c r="D19" i="3" s="1"/>
  <c r="C14" i="3"/>
  <c r="C17" i="3" s="1"/>
  <c r="C19" i="3" s="1"/>
  <c r="E21" i="3"/>
  <c r="E8" i="3"/>
  <c r="D28" i="3"/>
  <c r="F26" i="3"/>
  <c r="C46" i="3"/>
  <c r="R24" i="3" l="1"/>
  <c r="R25" i="3"/>
  <c r="C28" i="3"/>
  <c r="G26" i="3"/>
  <c r="G21" i="3"/>
  <c r="E22" i="3"/>
  <c r="E14" i="3"/>
  <c r="F21" i="3"/>
  <c r="D5" i="1"/>
  <c r="D11" i="1" s="1"/>
  <c r="F3" i="1"/>
  <c r="S25" i="3" l="1"/>
  <c r="S24" i="3"/>
  <c r="F22" i="3"/>
  <c r="E17" i="3"/>
  <c r="E19" i="3" s="1"/>
  <c r="E28" i="3"/>
  <c r="H26" i="3"/>
  <c r="T25" i="3" l="1"/>
  <c r="T24" i="3"/>
  <c r="G22" i="3"/>
  <c r="F28" i="3"/>
  <c r="I26" i="3"/>
  <c r="H21" i="3"/>
  <c r="H22" i="3" l="1"/>
  <c r="J26" i="3"/>
  <c r="I21" i="3"/>
  <c r="G28" i="3"/>
  <c r="J21" i="3" l="1"/>
  <c r="I22" i="3"/>
  <c r="K26" i="3"/>
  <c r="K6" i="3"/>
  <c r="K5" i="3"/>
  <c r="H28" i="3"/>
  <c r="K21" i="3" l="1"/>
  <c r="K8" i="3"/>
  <c r="K14" i="3" s="1"/>
  <c r="K15" i="3" s="1"/>
  <c r="I28" i="3"/>
  <c r="L26" i="3"/>
  <c r="M3" i="3"/>
  <c r="L5" i="3"/>
  <c r="L6" i="3"/>
  <c r="K4" i="3"/>
  <c r="J22" i="3"/>
  <c r="M26" i="3" l="1"/>
  <c r="N3" i="3"/>
  <c r="M5" i="3"/>
  <c r="M6" i="3"/>
  <c r="L21" i="3"/>
  <c r="L8" i="3"/>
  <c r="J28" i="3"/>
  <c r="L4" i="3"/>
  <c r="K22" i="3"/>
  <c r="L14" i="3" l="1"/>
  <c r="L15" i="3" s="1"/>
  <c r="L22" i="3"/>
  <c r="M21" i="3"/>
  <c r="M8" i="3"/>
  <c r="K17" i="3"/>
  <c r="K19" i="3" s="1"/>
  <c r="K28" i="3"/>
  <c r="M4" i="3"/>
  <c r="N26" i="3"/>
  <c r="O3" i="3"/>
  <c r="P3" i="3" s="1"/>
  <c r="N5" i="3"/>
  <c r="N6" i="3"/>
  <c r="Q3" i="3" l="1"/>
  <c r="P5" i="3"/>
  <c r="P4" i="3" s="1"/>
  <c r="P26" i="3"/>
  <c r="P6" i="3"/>
  <c r="N4" i="3"/>
  <c r="N21" i="3"/>
  <c r="N8" i="3"/>
  <c r="M14" i="3"/>
  <c r="M15" i="3" s="1"/>
  <c r="M22" i="3"/>
  <c r="O26" i="3"/>
  <c r="O6" i="3"/>
  <c r="O5" i="3"/>
  <c r="L17" i="3"/>
  <c r="L28" i="3"/>
  <c r="P21" i="3" l="1"/>
  <c r="P8" i="3"/>
  <c r="R3" i="3"/>
  <c r="Q6" i="3"/>
  <c r="Q5" i="3"/>
  <c r="Q4" i="3" s="1"/>
  <c r="Q26" i="3"/>
  <c r="M17" i="3"/>
  <c r="M19" i="3" s="1"/>
  <c r="M28" i="3"/>
  <c r="N14" i="3"/>
  <c r="N15" i="3" s="1"/>
  <c r="N22" i="3"/>
  <c r="L19" i="3"/>
  <c r="O4" i="3"/>
  <c r="O21" i="3"/>
  <c r="O8" i="3"/>
  <c r="R6" i="3" l="1"/>
  <c r="R5" i="3"/>
  <c r="R4" i="3" s="1"/>
  <c r="S3" i="3"/>
  <c r="R26" i="3"/>
  <c r="P22" i="3"/>
  <c r="P14" i="3"/>
  <c r="P15" i="3" s="1"/>
  <c r="Q8" i="3"/>
  <c r="Q21" i="3"/>
  <c r="O14" i="3"/>
  <c r="O15" i="3" s="1"/>
  <c r="O22" i="3"/>
  <c r="N17" i="3"/>
  <c r="N19" i="3" s="1"/>
  <c r="N28" i="3"/>
  <c r="P28" i="3" l="1"/>
  <c r="R8" i="3"/>
  <c r="R21" i="3"/>
  <c r="S5" i="3"/>
  <c r="S4" i="3" s="1"/>
  <c r="T3" i="3"/>
  <c r="S6" i="3"/>
  <c r="S26" i="3"/>
  <c r="Q14" i="3"/>
  <c r="Q15" i="3" s="1"/>
  <c r="Q22" i="3"/>
  <c r="O17" i="3"/>
  <c r="O28" i="3"/>
  <c r="P17" i="3" l="1"/>
  <c r="P19" i="3" s="1"/>
  <c r="S8" i="3"/>
  <c r="S21" i="3"/>
  <c r="T5" i="3"/>
  <c r="T26" i="3"/>
  <c r="T6" i="3"/>
  <c r="Q28" i="3"/>
  <c r="R14" i="3"/>
  <c r="R15" i="3" s="1"/>
  <c r="R22" i="3"/>
  <c r="O19" i="3"/>
  <c r="Q17" i="3" l="1"/>
  <c r="Q19" i="3" s="1"/>
  <c r="R28" i="3"/>
  <c r="S22" i="3"/>
  <c r="S14" i="3"/>
  <c r="S15" i="3" s="1"/>
  <c r="T4" i="3"/>
  <c r="T21" i="3"/>
  <c r="T8" i="3"/>
  <c r="R17" i="3" l="1"/>
  <c r="R19" i="3" s="1"/>
  <c r="T14" i="3"/>
  <c r="T15" i="3" s="1"/>
  <c r="T22" i="3"/>
  <c r="S28" i="3"/>
  <c r="S17" i="3" l="1"/>
  <c r="S19" i="3" s="1"/>
  <c r="T28" i="3"/>
  <c r="T17" i="3" l="1"/>
  <c r="T19" i="3" l="1"/>
  <c r="U17" i="3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Z17" i="3" s="1"/>
  <c r="BA17" i="3" s="1"/>
  <c r="BB17" i="3" s="1"/>
  <c r="BC17" i="3" s="1"/>
  <c r="BD17" i="3" s="1"/>
  <c r="BE17" i="3" s="1"/>
  <c r="BF17" i="3" s="1"/>
  <c r="BG17" i="3" s="1"/>
  <c r="BH17" i="3" s="1"/>
  <c r="BI17" i="3" s="1"/>
  <c r="BJ17" i="3" s="1"/>
  <c r="BK17" i="3" s="1"/>
  <c r="BL17" i="3" s="1"/>
  <c r="BM17" i="3" s="1"/>
  <c r="BN17" i="3" s="1"/>
  <c r="BO17" i="3" s="1"/>
  <c r="BP17" i="3" s="1"/>
  <c r="BQ17" i="3" s="1"/>
  <c r="BR17" i="3" s="1"/>
  <c r="BS17" i="3" s="1"/>
  <c r="BT17" i="3" s="1"/>
  <c r="BU17" i="3" s="1"/>
  <c r="BV17" i="3" s="1"/>
  <c r="BW17" i="3" s="1"/>
  <c r="BX17" i="3" s="1"/>
  <c r="BY17" i="3" s="1"/>
  <c r="BZ17" i="3" s="1"/>
  <c r="CA17" i="3" s="1"/>
  <c r="CB17" i="3" s="1"/>
  <c r="CC17" i="3" s="1"/>
  <c r="CD17" i="3" s="1"/>
  <c r="CE17" i="3" s="1"/>
  <c r="CF17" i="3" s="1"/>
  <c r="CG17" i="3" s="1"/>
  <c r="CH17" i="3" s="1"/>
  <c r="CI17" i="3" s="1"/>
  <c r="CJ17" i="3" s="1"/>
  <c r="CK17" i="3" s="1"/>
  <c r="CL17" i="3" s="1"/>
  <c r="CM17" i="3" s="1"/>
  <c r="CN17" i="3" s="1"/>
  <c r="CO17" i="3" s="1"/>
  <c r="CP17" i="3" s="1"/>
  <c r="CQ17" i="3" s="1"/>
  <c r="CR17" i="3" s="1"/>
  <c r="CS17" i="3" s="1"/>
  <c r="CT17" i="3" s="1"/>
  <c r="CU17" i="3" s="1"/>
  <c r="CV17" i="3" s="1"/>
  <c r="CW17" i="3" s="1"/>
  <c r="CX17" i="3" s="1"/>
  <c r="CY17" i="3" s="1"/>
  <c r="CZ17" i="3" s="1"/>
  <c r="DA17" i="3" s="1"/>
  <c r="DB17" i="3" s="1"/>
  <c r="DC17" i="3" s="1"/>
  <c r="DD17" i="3" s="1"/>
  <c r="DE17" i="3" s="1"/>
  <c r="DF17" i="3" s="1"/>
  <c r="DG17" i="3" s="1"/>
  <c r="DH17" i="3" s="1"/>
  <c r="DI17" i="3" s="1"/>
  <c r="DJ17" i="3" s="1"/>
  <c r="W27" i="3" s="1"/>
  <c r="W29" i="3" s="1"/>
  <c r="W30" i="3" s="1"/>
  <c r="W3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AC32BD-238B-4666-BE62-5996BC5568ED}" keepAlive="1" name="Query - Table 0" description="Connection to the 'Table 0' query in the workbook." type="5" refreshedVersion="6" background="1" saveData="1">
    <dbPr connection="Provider=Microsoft.Mashup.OleDb.1;Data Source=$Workbook$;Location=Table 0;Extended Properties=&quot;&quot;" command="SELECT * FROM [Table 0]"/>
  </connection>
</connections>
</file>

<file path=xl/sharedStrings.xml><?xml version="1.0" encoding="utf-8"?>
<sst xmlns="http://schemas.openxmlformats.org/spreadsheetml/2006/main" count="77" uniqueCount="55">
  <si>
    <t>Price</t>
  </si>
  <si>
    <t>Shares</t>
  </si>
  <si>
    <t>MC</t>
  </si>
  <si>
    <t>Net Cash</t>
  </si>
  <si>
    <t>EV</t>
  </si>
  <si>
    <t>Time last checked</t>
  </si>
  <si>
    <t>Today</t>
  </si>
  <si>
    <t>Cash JPY</t>
  </si>
  <si>
    <t>Debt JPY</t>
  </si>
  <si>
    <t>Cash USD</t>
  </si>
  <si>
    <t>Debt USD</t>
  </si>
  <si>
    <t>USD/JPY</t>
  </si>
  <si>
    <t>Currency Name</t>
  </si>
  <si>
    <t>Code</t>
  </si>
  <si>
    <t>1 usd</t>
  </si>
  <si>
    <t>in usd</t>
  </si>
  <si>
    <t>Converter</t>
  </si>
  <si>
    <t>Chart</t>
  </si>
  <si>
    <t>Japanese Yen</t>
  </si>
  <si>
    <t>JPY</t>
  </si>
  <si>
    <t/>
  </si>
  <si>
    <t>Revenue</t>
  </si>
  <si>
    <t>Cost of sales</t>
  </si>
  <si>
    <t>Gross profit</t>
  </si>
  <si>
    <t>SG&amp;A</t>
  </si>
  <si>
    <t>R&amp;D</t>
  </si>
  <si>
    <t>Operating profit</t>
  </si>
  <si>
    <t>Net finance expense</t>
  </si>
  <si>
    <t>Pretax income</t>
  </si>
  <si>
    <t>Taxes</t>
  </si>
  <si>
    <t>Minority interest</t>
  </si>
  <si>
    <t>Net income</t>
  </si>
  <si>
    <t>EPS</t>
  </si>
  <si>
    <t>Gross Margin</t>
  </si>
  <si>
    <t>Operating Margin</t>
  </si>
  <si>
    <t>SG&amp;A Margin</t>
  </si>
  <si>
    <t>R&amp;D Margin</t>
  </si>
  <si>
    <t>Revenue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</si>
  <si>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</si>
  <si>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</si>
  <si>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</si>
  <si>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</si>
  <si>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</si>
  <si>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</si>
  <si>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</si>
  <si>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</si>
  <si>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</si>
  <si>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Earnings</t>
  </si>
  <si>
    <t>Q425</t>
  </si>
  <si>
    <t>Investments</t>
  </si>
  <si>
    <t>Interest income</t>
  </si>
  <si>
    <t>Interest expense</t>
  </si>
  <si>
    <t>Other income</t>
  </si>
  <si>
    <t>R&amp;D y/y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</si>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</sst>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¥-411]#,##0"/>
    <numFmt numFmtId="165" formatCode="[$$-409]#,##0.00"/>
    <numFmt numFmtId="166" formatCode="[$$-409]#,##0"/>
    <numFmt numFmtId="167" formatCode="[$¥-411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1" fillId="0" borderId="0" xfId="0" applyNumberFormat="1" applyFont="1"/>
    <xf numFmtId="9" fontId="1" fillId="0" borderId="0" xfId="0" applyNumberFormat="1" applyFont="1"/>
    <xf numFmtId="9" fontId="0" fillId="0" borderId="0" xfId="0" applyNumberFormat="1"/>
    <xf numFmtId="3" fontId="1" fillId="0" borderId="0" xfId="0" applyNumberFormat="1" applyFont="1"/>
    <xf numFmtId="0" fontId="0" fillId="0" borderId="0" xfId="0" applyFont="1"/>
    <xf numFmtId="167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 applyFont="1"/>
    <xf numFmtId="3" fontId="0" fillId="0" borderId="0" xfId="0" applyNumberFormat="1" applyFont="1"/>
    <xf numFmtId="9" fontId="0" fillId="0" borderId="0" xfId="0" applyNumberFormat="1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</xdr:colOff>
      <xdr:row>0</xdr:row>
      <xdr:rowOff>0</xdr:rowOff>
    </xdr:from>
    <xdr:to>
      <xdr:col>10</xdr:col>
      <xdr:colOff>30480</xdr:colOff>
      <xdr:row>49</xdr:row>
      <xdr:rowOff>45720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330145A-FC68-490D-A34A-B7FDF2F12E1D}"/>
            </a:ext>
          </a:extLst>
        </xdr:cNvPr>
        <xdr:cNvCxnSpPr/>
      </xdr:nvCxnSpPr>
      <xdr:spPr>
        <a:xfrm>
          <a:off x="8153400" y="0"/>
          <a:ext cx="0" cy="90068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E7AD02-70A5-4735-A231-C91126A672E7}" autoFormatId="16" applyNumberFormats="0" applyBorderFormats="0" applyFontFormats="0" applyPatternFormats="0" applyAlignmentFormats="0" applyWidthHeightFormats="0">
  <queryTableRefresh nextId="7">
    <queryTableFields count="6">
      <queryTableField id="1" name="Currency Name" tableColumnId="7"/>
      <queryTableField id="2" name="Code" tableColumnId="2"/>
      <queryTableField id="3" name="1 usd" tableColumnId="3"/>
      <queryTableField id="4" name="in usd" tableColumnId="4"/>
      <queryTableField id="5" name="Converter" tableColumnId="5"/>
      <queryTableField id="6" name="Char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CB891-1B80-4ADE-9937-30D74DAA39A2}" name="Table_0" displayName="Table_0" ref="A1:F2" tableType="queryTable" totalsRowShown="0">
  <autoFilter ref="A1:F2" xr:uid="{C6B998BE-C8A5-4DCE-90E1-15679A2A3605}"/>
  <tableColumns count="6">
    <tableColumn id="7" xr3:uid="{649F0816-BA25-477C-9DD0-13F9FC731CFC}" uniqueName="7" name="Currency Name" queryTableFieldId="1" dataDxfId="5"/>
    <tableColumn id="2" xr3:uid="{60A0F2C1-47D7-4AEA-A708-8BB85E54E638}" uniqueName="2" name="Code" queryTableFieldId="2" dataDxfId="4"/>
    <tableColumn id="3" xr3:uid="{971A0527-6157-473D-84CB-DE9E68A73D17}" uniqueName="3" name="1 usd" queryTableFieldId="3" dataDxfId="3"/>
    <tableColumn id="4" xr3:uid="{7BA674FD-6AC6-4972-977A-387CB012BDF7}" uniqueName="4" name="in usd" queryTableFieldId="4" dataDxfId="2"/>
    <tableColumn id="5" xr3:uid="{FCAA5105-9009-4925-B28D-42ADD0778847}" uniqueName="5" name="Converter" queryTableFieldId="5" dataDxfId="1"/>
    <tableColumn id="6" xr3:uid="{08F5F954-895D-401B-8424-F85564A5A5C6}" uniqueName="6" name="Chart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0D48-739A-4DB7-823C-4A585D1462CF}">
  <dimension ref="B2:G13"/>
  <sheetViews>
    <sheetView workbookViewId="0">
      <selection activeCell="D7" sqref="D7"/>
    </sheetView>
  </sheetViews>
  <sheetFormatPr defaultRowHeight="14.4" x14ac:dyDescent="0.3"/>
  <cols>
    <col min="4" max="4" width="10.88671875" bestFit="1" customWidth="1"/>
    <col min="5" max="5" width="16" style="3" bestFit="1" customWidth="1"/>
    <col min="6" max="7" width="11.21875" style="3" bestFit="1" customWidth="1"/>
  </cols>
  <sheetData>
    <row r="2" spans="2:7" x14ac:dyDescent="0.3">
      <c r="E2" s="3" t="s">
        <v>5</v>
      </c>
      <c r="F2" s="3" t="s">
        <v>6</v>
      </c>
      <c r="G2" s="3" t="s">
        <v>47</v>
      </c>
    </row>
    <row r="3" spans="2:7" x14ac:dyDescent="0.3">
      <c r="B3" s="1">
        <v>7267</v>
      </c>
      <c r="C3" t="s">
        <v>0</v>
      </c>
      <c r="D3" s="7">
        <v>33.54</v>
      </c>
      <c r="E3" s="4">
        <v>45904</v>
      </c>
      <c r="F3" s="4">
        <f ca="1">TODAY()</f>
        <v>45904</v>
      </c>
      <c r="G3" s="4">
        <v>45966</v>
      </c>
    </row>
    <row r="4" spans="2:7" x14ac:dyDescent="0.3">
      <c r="C4" t="s">
        <v>1</v>
      </c>
      <c r="D4" s="5">
        <f>4346.5/3</f>
        <v>1448.8333333333333</v>
      </c>
      <c r="E4" s="3" t="s">
        <v>48</v>
      </c>
    </row>
    <row r="5" spans="2:7" x14ac:dyDescent="0.3">
      <c r="C5" t="s">
        <v>2</v>
      </c>
      <c r="D5" s="8">
        <f>D3*D4</f>
        <v>48593.869999999995</v>
      </c>
    </row>
    <row r="6" spans="2:7" x14ac:dyDescent="0.3">
      <c r="C6" t="s">
        <v>7</v>
      </c>
      <c r="D6" s="6">
        <f>4528795+1242614</f>
        <v>5771409</v>
      </c>
      <c r="E6" s="3" t="s">
        <v>48</v>
      </c>
    </row>
    <row r="7" spans="2:7" x14ac:dyDescent="0.3">
      <c r="C7" t="s">
        <v>8</v>
      </c>
      <c r="D7" s="6">
        <f>4497747+6953520</f>
        <v>11451267</v>
      </c>
      <c r="E7" s="3" t="s">
        <v>48</v>
      </c>
    </row>
    <row r="8" spans="2:7" x14ac:dyDescent="0.3">
      <c r="C8" t="s">
        <v>9</v>
      </c>
      <c r="D8" s="8">
        <f>D6/$D$13</f>
        <v>38893.517083361417</v>
      </c>
      <c r="E8" s="3" t="s">
        <v>48</v>
      </c>
    </row>
    <row r="9" spans="2:7" x14ac:dyDescent="0.3">
      <c r="C9" t="s">
        <v>10</v>
      </c>
      <c r="D9" s="8">
        <f>D7/$D$13</f>
        <v>77170.072107284868</v>
      </c>
      <c r="E9" s="3" t="s">
        <v>48</v>
      </c>
    </row>
    <row r="10" spans="2:7" x14ac:dyDescent="0.3">
      <c r="C10" t="s">
        <v>3</v>
      </c>
      <c r="D10" s="8">
        <f>D8-D9</f>
        <v>-38276.555023923451</v>
      </c>
      <c r="E10" s="3" t="s">
        <v>48</v>
      </c>
    </row>
    <row r="11" spans="2:7" x14ac:dyDescent="0.3">
      <c r="C11" t="s">
        <v>4</v>
      </c>
      <c r="D11" s="8">
        <f>D5-D10</f>
        <v>86870.425023923453</v>
      </c>
    </row>
    <row r="13" spans="2:7" x14ac:dyDescent="0.3">
      <c r="C13" t="s">
        <v>11</v>
      </c>
      <c r="D13" s="14">
        <v>148.38999999999999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802D-8D46-4D62-BF35-B00035FF1C38}">
  <dimension ref="B1:DJ46"/>
  <sheetViews>
    <sheetView tabSelected="1" workbookViewId="0">
      <pane xSplit="2" ySplit="2" topLeftCell="O9" activePane="bottomRight" state="frozen"/>
      <selection pane="topRight" activeCell="C1" sqref="C1"/>
      <selection pane="bottomLeft" activeCell="A3" sqref="A3"/>
      <selection pane="bottomRight" activeCell="W26" sqref="W26"/>
    </sheetView>
  </sheetViews>
  <sheetFormatPr defaultRowHeight="14.4" x14ac:dyDescent="0.3"/>
  <cols>
    <col min="2" max="2" width="23.33203125" bestFit="1" customWidth="1"/>
    <col min="3" max="20" width="10.77734375" customWidth="1"/>
    <col min="22" max="22" width="11.88671875" bestFit="1" customWidth="1"/>
    <col min="23" max="23" width="17.33203125" bestFit="1" customWidth="1"/>
  </cols>
  <sheetData>
    <row r="1" spans="2:20" x14ac:dyDescent="0.3">
      <c r="C1" s="2">
        <v>43190</v>
      </c>
      <c r="D1" s="2">
        <v>43555</v>
      </c>
      <c r="E1" s="2">
        <v>43921</v>
      </c>
      <c r="F1" s="2">
        <v>44286</v>
      </c>
      <c r="G1" s="2">
        <v>44651</v>
      </c>
      <c r="H1" s="2">
        <v>45016</v>
      </c>
      <c r="I1" s="2">
        <v>45382</v>
      </c>
      <c r="J1" s="2">
        <v>45747</v>
      </c>
      <c r="K1" s="2">
        <v>46112</v>
      </c>
      <c r="L1" s="2">
        <v>46477</v>
      </c>
      <c r="M1" s="2">
        <v>46843</v>
      </c>
      <c r="N1" s="2">
        <v>47208</v>
      </c>
      <c r="O1" s="2">
        <v>47573</v>
      </c>
      <c r="P1" s="2">
        <v>47938</v>
      </c>
      <c r="Q1" s="2">
        <v>48304</v>
      </c>
      <c r="R1" s="2">
        <v>48669</v>
      </c>
      <c r="S1" s="2">
        <v>49034</v>
      </c>
      <c r="T1" s="2">
        <v>49399</v>
      </c>
    </row>
    <row r="2" spans="2:20" x14ac:dyDescent="0.3"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I2">
        <v>2024</v>
      </c>
      <c r="J2">
        <v>2025</v>
      </c>
      <c r="K2">
        <v>2026</v>
      </c>
      <c r="L2">
        <v>2027</v>
      </c>
      <c r="M2">
        <v>2028</v>
      </c>
      <c r="N2">
        <v>2029</v>
      </c>
      <c r="O2">
        <v>2030</v>
      </c>
      <c r="P2">
        <v>2031</v>
      </c>
      <c r="Q2">
        <v>2032</v>
      </c>
      <c r="R2">
        <v>2033</v>
      </c>
      <c r="S2">
        <v>2034</v>
      </c>
      <c r="T2">
        <v>2035</v>
      </c>
    </row>
    <row r="3" spans="2:20" s="1" customFormat="1" x14ac:dyDescent="0.3">
      <c r="B3" s="1" t="s">
        <v>21</v>
      </c>
      <c r="C3" s="12">
        <f>C30/Main!$D$13</f>
        <v>103518.74115506437</v>
      </c>
      <c r="D3" s="12">
        <f>D30/Main!$D$13</f>
        <v>107073.36747759284</v>
      </c>
      <c r="E3" s="12">
        <f>E30/Main!$D$13</f>
        <v>100620.04852078982</v>
      </c>
      <c r="F3" s="12">
        <f>F30/Main!$D$13</f>
        <v>88756.108902217136</v>
      </c>
      <c r="G3" s="12">
        <f>G30/Main!$D$13</f>
        <v>98070.597749174485</v>
      </c>
      <c r="H3" s="12">
        <f>H30/Main!$D$13</f>
        <v>113941.1348473617</v>
      </c>
      <c r="I3" s="12">
        <f>I30/Main!$D$13</f>
        <v>137669.66776736977</v>
      </c>
      <c r="J3" s="12">
        <f>J30/Main!$D$13</f>
        <v>146160.57011928028</v>
      </c>
      <c r="K3" s="12">
        <f>J3*1.03</f>
        <v>150545.3872228587</v>
      </c>
      <c r="L3" s="12">
        <f>K3*1.02</f>
        <v>153556.29496731589</v>
      </c>
      <c r="M3" s="12">
        <f t="shared" ref="L3:O3" si="0">L3*1.01</f>
        <v>155091.85791698904</v>
      </c>
      <c r="N3" s="12">
        <f t="shared" si="0"/>
        <v>156642.77649615894</v>
      </c>
      <c r="O3" s="12">
        <f t="shared" si="0"/>
        <v>158209.20426112053</v>
      </c>
      <c r="P3" s="12">
        <f t="shared" ref="P3" si="1">O3*1.01</f>
        <v>159791.29630373174</v>
      </c>
      <c r="Q3" s="12">
        <f t="shared" ref="Q3" si="2">P3*1.01</f>
        <v>161389.20926676906</v>
      </c>
      <c r="R3" s="12">
        <f t="shared" ref="R3" si="3">Q3*1.01</f>
        <v>163003.10135943675</v>
      </c>
      <c r="S3" s="12">
        <f t="shared" ref="S3" si="4">R3*1.01</f>
        <v>164633.13237303111</v>
      </c>
      <c r="T3" s="12">
        <f t="shared" ref="T3" si="5">S3*1.01</f>
        <v>166279.46369676144</v>
      </c>
    </row>
    <row r="4" spans="2:20" x14ac:dyDescent="0.3">
      <c r="B4" t="s">
        <v>22</v>
      </c>
      <c r="C4" s="5">
        <f>C31/Main!$D$13</f>
        <v>80871.89837590135</v>
      </c>
      <c r="D4" s="5">
        <f>D31/Main!$D$13</f>
        <v>84782.997506570537</v>
      </c>
      <c r="E4" s="5">
        <f>E31/Main!$D$13</f>
        <v>79868.313228654224</v>
      </c>
      <c r="F4" s="17">
        <f>F31/Main!$D$13</f>
        <v>70353.049396859627</v>
      </c>
      <c r="G4" s="17">
        <f>G31/Main!$D$13</f>
        <v>77956.2167261945</v>
      </c>
      <c r="H4" s="17">
        <f>H31/Main!$D$13</f>
        <v>91489.541074196386</v>
      </c>
      <c r="I4" s="17">
        <f>I31/Main!$D$13</f>
        <v>107936.24233438911</v>
      </c>
      <c r="J4" s="17">
        <f>J31/Main!$D$13</f>
        <v>114730.02223869534</v>
      </c>
      <c r="K4" s="5">
        <f t="shared" ref="G4:O4" si="6">K3-K5</f>
        <v>118930.85590605836</v>
      </c>
      <c r="L4" s="5">
        <f t="shared" si="6"/>
        <v>121309.47302417955</v>
      </c>
      <c r="M4" s="5">
        <f t="shared" si="6"/>
        <v>122522.56775442135</v>
      </c>
      <c r="N4" s="5">
        <f t="shared" si="6"/>
        <v>123747.79343196558</v>
      </c>
      <c r="O4" s="5">
        <f t="shared" si="6"/>
        <v>124985.27136628522</v>
      </c>
      <c r="P4" s="5">
        <f t="shared" ref="P4:T4" si="7">P3-P5</f>
        <v>126235.12407994807</v>
      </c>
      <c r="Q4" s="5">
        <f t="shared" si="7"/>
        <v>127497.47532074756</v>
      </c>
      <c r="R4" s="5">
        <f t="shared" si="7"/>
        <v>128772.45007395503</v>
      </c>
      <c r="S4" s="5">
        <f t="shared" si="7"/>
        <v>130060.17457469458</v>
      </c>
      <c r="T4" s="5">
        <f t="shared" si="7"/>
        <v>131360.77632044154</v>
      </c>
    </row>
    <row r="5" spans="2:20" s="1" customFormat="1" x14ac:dyDescent="0.3">
      <c r="B5" s="1" t="s">
        <v>23</v>
      </c>
      <c r="C5" s="12">
        <f>C3-C4</f>
        <v>22646.842779163024</v>
      </c>
      <c r="D5" s="12">
        <f t="shared" ref="D5:E5" si="8">D3-D4</f>
        <v>22290.369971022301</v>
      </c>
      <c r="E5" s="12">
        <f t="shared" si="8"/>
        <v>20751.735292135592</v>
      </c>
      <c r="F5" s="12">
        <f t="shared" ref="F5:H5" si="9">F3*0.21</f>
        <v>18638.782869465598</v>
      </c>
      <c r="G5" s="12">
        <f t="shared" si="9"/>
        <v>20594.82552732664</v>
      </c>
      <c r="H5" s="12">
        <f t="shared" si="9"/>
        <v>23927.638317945955</v>
      </c>
      <c r="I5" s="12">
        <f t="shared" ref="I5" si="10">I3*0.21</f>
        <v>28910.63023114765</v>
      </c>
      <c r="J5" s="12">
        <f t="shared" ref="G5:O5" si="11">J3*0.21</f>
        <v>30693.719725048857</v>
      </c>
      <c r="K5" s="12">
        <f t="shared" si="11"/>
        <v>31614.531316800327</v>
      </c>
      <c r="L5" s="12">
        <f t="shared" si="11"/>
        <v>32246.821943136336</v>
      </c>
      <c r="M5" s="12">
        <f t="shared" si="11"/>
        <v>32569.290162567697</v>
      </c>
      <c r="N5" s="12">
        <f t="shared" si="11"/>
        <v>32894.983064193373</v>
      </c>
      <c r="O5" s="12">
        <f t="shared" si="11"/>
        <v>33223.932894835307</v>
      </c>
      <c r="P5" s="12">
        <f t="shared" ref="P5:T5" si="12">P3*0.21</f>
        <v>33556.172223783666</v>
      </c>
      <c r="Q5" s="12">
        <f t="shared" si="12"/>
        <v>33891.733946021501</v>
      </c>
      <c r="R5" s="12">
        <f t="shared" si="12"/>
        <v>34230.651285481719</v>
      </c>
      <c r="S5" s="12">
        <f t="shared" si="12"/>
        <v>34572.957798336531</v>
      </c>
      <c r="T5" s="12">
        <f t="shared" si="12"/>
        <v>34918.687376319904</v>
      </c>
    </row>
    <row r="6" spans="2:20" x14ac:dyDescent="0.3">
      <c r="B6" t="s">
        <v>24</v>
      </c>
      <c r="C6" s="5">
        <f>C33/Main!$D$13</f>
        <v>11962.740076824584</v>
      </c>
      <c r="D6" s="5">
        <f>D33/Main!$D$13</f>
        <v>11957.631915897298</v>
      </c>
      <c r="E6" s="5">
        <f>E33/Main!$D$13</f>
        <v>11062.672686838736</v>
      </c>
      <c r="F6" s="17">
        <f>F33/Main!$D$13</f>
        <v>8974.513107352248</v>
      </c>
      <c r="G6" s="17">
        <f>G33/Main!$D$13</f>
        <v>8939.1805377720884</v>
      </c>
      <c r="H6" s="17">
        <f>H33/Main!$D$13</f>
        <v>11253.507648763394</v>
      </c>
      <c r="I6" s="17">
        <f>I33/Main!$D$13</f>
        <v>14195.9633398477</v>
      </c>
      <c r="J6" s="17">
        <f>J33/Main!$D$13</f>
        <v>15843.459801873443</v>
      </c>
      <c r="K6" s="5">
        <f t="shared" ref="G6:O6" si="13">K3*0.11</f>
        <v>16559.992594514457</v>
      </c>
      <c r="L6" s="5">
        <f t="shared" si="13"/>
        <v>16891.192446404748</v>
      </c>
      <c r="M6" s="5">
        <f t="shared" si="13"/>
        <v>17060.104370868794</v>
      </c>
      <c r="N6" s="5">
        <f t="shared" si="13"/>
        <v>17230.705414577485</v>
      </c>
      <c r="O6" s="5">
        <f t="shared" si="13"/>
        <v>17403.012468723256</v>
      </c>
      <c r="P6" s="5">
        <f t="shared" ref="P6:T6" si="14">P3*0.11</f>
        <v>17577.04259341049</v>
      </c>
      <c r="Q6" s="5">
        <f t="shared" si="14"/>
        <v>17752.813019344598</v>
      </c>
      <c r="R6" s="5">
        <f t="shared" si="14"/>
        <v>17930.341149538042</v>
      </c>
      <c r="S6" s="5">
        <f t="shared" si="14"/>
        <v>18109.644561033423</v>
      </c>
      <c r="T6" s="5">
        <f t="shared" si="14"/>
        <v>18290.741006643759</v>
      </c>
    </row>
    <row r="7" spans="2:20" x14ac:dyDescent="0.3">
      <c r="B7" t="s">
        <v>25</v>
      </c>
      <c r="C7" s="5">
        <f>C34/Main!$D$13</f>
        <v>5066.7565199811315</v>
      </c>
      <c r="D7" s="5">
        <f>D34/Main!$D$13</f>
        <v>5437.7316530763537</v>
      </c>
      <c r="E7" s="5">
        <f>E34/Main!$D$13</f>
        <v>5418.9837590134111</v>
      </c>
      <c r="F7" s="17">
        <f>F34/Main!$D$13</f>
        <v>4979.4056203248201</v>
      </c>
      <c r="G7" s="17">
        <f>G34/Main!$D$13</f>
        <v>5303.9692701664535</v>
      </c>
      <c r="H7" s="17">
        <f>H34/Main!$D$13</f>
        <v>5936.4849383381634</v>
      </c>
      <c r="I7" s="17">
        <f>I34/Main!$D$13</f>
        <v>6224.3210458925805</v>
      </c>
      <c r="J7" s="17">
        <f>J34/Main!$D$13</f>
        <v>7409.4076420243955</v>
      </c>
      <c r="K7" s="5">
        <f>J7*1.07</f>
        <v>7928.0661769661037</v>
      </c>
      <c r="L7" s="5">
        <f>K7*1.03</f>
        <v>8165.9081622750873</v>
      </c>
      <c r="M7" s="5">
        <f>L7*1.02</f>
        <v>8329.2263255205889</v>
      </c>
      <c r="N7" s="5">
        <f>M7*1.01</f>
        <v>8412.5185887757943</v>
      </c>
      <c r="O7" s="5">
        <f t="shared" ref="O7:T7" si="15">N7*1.01</f>
        <v>8496.6437746635529</v>
      </c>
      <c r="P7" s="5">
        <f t="shared" si="15"/>
        <v>8581.610212410189</v>
      </c>
      <c r="Q7" s="5">
        <f t="shared" si="15"/>
        <v>8667.4263145342902</v>
      </c>
      <c r="R7" s="5">
        <f t="shared" si="15"/>
        <v>8754.1005776796337</v>
      </c>
      <c r="S7" s="5">
        <f t="shared" si="15"/>
        <v>8841.6415834564305</v>
      </c>
      <c r="T7" s="5">
        <f t="shared" si="15"/>
        <v>8930.0579992909952</v>
      </c>
    </row>
    <row r="8" spans="2:20" s="1" customFormat="1" x14ac:dyDescent="0.3">
      <c r="B8" s="1" t="s">
        <v>26</v>
      </c>
      <c r="C8" s="12">
        <f>C5-C6-C7</f>
        <v>5617.346182357308</v>
      </c>
      <c r="D8" s="12">
        <f>D5-D6-D7</f>
        <v>4895.0064020486489</v>
      </c>
      <c r="E8" s="12">
        <f>E5-E6-E7</f>
        <v>4270.0788462834453</v>
      </c>
      <c r="F8" s="12">
        <f t="shared" ref="F8:H8" si="16">F5-F6-F7</f>
        <v>4684.8641417885301</v>
      </c>
      <c r="G8" s="12">
        <f t="shared" si="16"/>
        <v>6351.6757193880985</v>
      </c>
      <c r="H8" s="12">
        <f t="shared" si="16"/>
        <v>6737.6457308443978</v>
      </c>
      <c r="I8" s="12">
        <f t="shared" ref="I8" si="17">I5-I6-I7</f>
        <v>8490.3458454073698</v>
      </c>
      <c r="J8" s="12">
        <f t="shared" ref="G8:O8" si="18">J5-J6-J7</f>
        <v>7440.8522811510184</v>
      </c>
      <c r="K8" s="12">
        <f t="shared" si="18"/>
        <v>7126.4725453197661</v>
      </c>
      <c r="L8" s="12">
        <f t="shared" si="18"/>
        <v>7189.7213344565007</v>
      </c>
      <c r="M8" s="12">
        <f t="shared" si="18"/>
        <v>7179.959466178314</v>
      </c>
      <c r="N8" s="12">
        <f t="shared" si="18"/>
        <v>7251.7590608400933</v>
      </c>
      <c r="O8" s="12">
        <f t="shared" si="18"/>
        <v>7324.2766514484974</v>
      </c>
      <c r="P8" s="12">
        <f t="shared" ref="P8:T8" si="19">P5-P6-P7</f>
        <v>7397.5194179629871</v>
      </c>
      <c r="Q8" s="12">
        <f t="shared" si="19"/>
        <v>7471.4946121426128</v>
      </c>
      <c r="R8" s="12">
        <f t="shared" si="19"/>
        <v>7546.2095582640432</v>
      </c>
      <c r="S8" s="12">
        <f t="shared" si="19"/>
        <v>7621.6716538466771</v>
      </c>
      <c r="T8" s="12">
        <f t="shared" si="19"/>
        <v>7697.8883703851498</v>
      </c>
    </row>
    <row r="9" spans="2:20" x14ac:dyDescent="0.3">
      <c r="B9" t="s">
        <v>49</v>
      </c>
      <c r="C9" s="5">
        <f>C36/Main!$D$13</f>
        <v>-1668.8658265381766</v>
      </c>
      <c r="D9" s="5">
        <f>D36/Main!$D$13</f>
        <v>-1542.0648291663861</v>
      </c>
      <c r="E9" s="5">
        <f>E36/Main!$D$13</f>
        <v>-1106.5637846216052</v>
      </c>
      <c r="F9" s="17">
        <f>F36/Main!$D$13</f>
        <v>-1837.9540400296517</v>
      </c>
      <c r="G9" s="17">
        <f>G36/Main!$D$13</f>
        <v>-1364.728081407103</v>
      </c>
      <c r="H9" s="17">
        <f>H36/Main!$D$13</f>
        <v>-791.46168879304548</v>
      </c>
      <c r="I9" s="17">
        <f>I36/Main!$D$13</f>
        <v>-746.79560617292282</v>
      </c>
      <c r="J9" s="17">
        <f>J36/Main!$D$13</f>
        <v>-6.617696610283712</v>
      </c>
      <c r="K9" s="17">
        <f t="shared" ref="G9:O9" si="20">J9*1.05</f>
        <v>-6.9485814407978976</v>
      </c>
      <c r="L9" s="17">
        <f t="shared" si="20"/>
        <v>-7.2960105128377926</v>
      </c>
      <c r="M9" s="17">
        <f t="shared" si="20"/>
        <v>-7.6608110384796824</v>
      </c>
      <c r="N9" s="17">
        <f t="shared" si="20"/>
        <v>-8.0438515904036674</v>
      </c>
      <c r="O9" s="17">
        <f t="shared" si="20"/>
        <v>-8.4460441699238515</v>
      </c>
      <c r="P9" s="17">
        <f t="shared" ref="P9" si="21">O9*1.05</f>
        <v>-8.8683463784200445</v>
      </c>
      <c r="Q9" s="17">
        <f t="shared" ref="Q9" si="22">P9*1.05</f>
        <v>-9.3117636973410463</v>
      </c>
      <c r="R9" s="17">
        <f t="shared" ref="R9" si="23">Q9*1.05</f>
        <v>-9.7773518822080998</v>
      </c>
      <c r="S9" s="17">
        <f t="shared" ref="S9" si="24">R9*1.05</f>
        <v>-10.266219476318506</v>
      </c>
      <c r="T9" s="17">
        <f t="shared" ref="T9" si="25">S9*1.05</f>
        <v>-10.779530450134432</v>
      </c>
    </row>
    <row r="10" spans="2:20" x14ac:dyDescent="0.3">
      <c r="B10" t="s">
        <v>50</v>
      </c>
      <c r="C10" s="5">
        <f>C40/Main!$D$13</f>
        <v>-227.58946020621337</v>
      </c>
      <c r="D10" s="5">
        <f>D40/Main!$D$13</f>
        <v>-162.93550778354339</v>
      </c>
      <c r="E10" s="5">
        <f>E40/Main!$D$13</f>
        <v>53.386346788867179</v>
      </c>
      <c r="F10" s="17">
        <f>F37/Main!$D$13</f>
        <v>-133.46586697216796</v>
      </c>
      <c r="G10" s="17">
        <f>G37/Main!$D$13</f>
        <v>-172.70031673293352</v>
      </c>
      <c r="H10" s="17">
        <f>H37/Main!$D$13</f>
        <v>-492.42536559067327</v>
      </c>
      <c r="I10" s="17">
        <f>I37/Main!$D$13</f>
        <v>-1170.5303591886247</v>
      </c>
      <c r="J10" s="17">
        <f>J37/Main!$D$13</f>
        <v>-1288.031538513377</v>
      </c>
      <c r="K10" s="5">
        <f>J10*1.01</f>
        <v>-1300.9118538985108</v>
      </c>
      <c r="L10" s="5">
        <f t="shared" ref="L10:T10" si="26">K10*1.01</f>
        <v>-1313.9209724374959</v>
      </c>
      <c r="M10" s="5">
        <f t="shared" si="26"/>
        <v>-1327.0601821618709</v>
      </c>
      <c r="N10" s="5">
        <f t="shared" si="26"/>
        <v>-1340.3307839834897</v>
      </c>
      <c r="O10" s="5">
        <f t="shared" si="26"/>
        <v>-1353.7340918233247</v>
      </c>
      <c r="P10" s="5">
        <f t="shared" si="26"/>
        <v>-1367.2714327415579</v>
      </c>
      <c r="Q10" s="5">
        <f t="shared" si="26"/>
        <v>-1380.9441470689735</v>
      </c>
      <c r="R10" s="5">
        <f t="shared" si="26"/>
        <v>-1394.7535885396633</v>
      </c>
      <c r="S10" s="5">
        <f t="shared" si="26"/>
        <v>-1408.70112442506</v>
      </c>
      <c r="T10" s="5">
        <f t="shared" si="26"/>
        <v>-1422.7881356693106</v>
      </c>
    </row>
    <row r="11" spans="2:20" x14ac:dyDescent="0.3">
      <c r="B11" t="s">
        <v>51</v>
      </c>
      <c r="C11" s="5"/>
      <c r="D11" s="5"/>
      <c r="E11" s="5"/>
      <c r="F11" s="17">
        <f>F38/Main!$D$13</f>
        <v>93.517083361412503</v>
      </c>
      <c r="G11" s="17">
        <f>G38/Main!$D$13</f>
        <v>113.66668912999529</v>
      </c>
      <c r="H11" s="17">
        <f>H38/Main!$D$13</f>
        <v>243.35871689466947</v>
      </c>
      <c r="I11" s="17">
        <f>I38/Main!$D$13</f>
        <v>401.85322461082285</v>
      </c>
      <c r="J11" s="17">
        <f>J38/Main!$D$13</f>
        <v>370.01819529617904</v>
      </c>
      <c r="K11" s="5">
        <f>J11*1.01</f>
        <v>373.71837724914081</v>
      </c>
      <c r="L11" s="5">
        <f t="shared" ref="L11:T11" si="27">K11*1.01</f>
        <v>377.45556102163221</v>
      </c>
      <c r="M11" s="5">
        <f t="shared" si="27"/>
        <v>381.23011663184855</v>
      </c>
      <c r="N11" s="5">
        <f t="shared" si="27"/>
        <v>385.04241779816704</v>
      </c>
      <c r="O11" s="5">
        <f t="shared" si="27"/>
        <v>388.8928419761487</v>
      </c>
      <c r="P11" s="5">
        <f t="shared" si="27"/>
        <v>392.7817703959102</v>
      </c>
      <c r="Q11" s="5">
        <f t="shared" si="27"/>
        <v>396.70958809986928</v>
      </c>
      <c r="R11" s="5">
        <f t="shared" si="27"/>
        <v>400.67668398086795</v>
      </c>
      <c r="S11" s="5">
        <f t="shared" si="27"/>
        <v>404.68345082067663</v>
      </c>
      <c r="T11" s="5">
        <f t="shared" si="27"/>
        <v>408.73028532888338</v>
      </c>
    </row>
    <row r="12" spans="2:20" x14ac:dyDescent="0.3">
      <c r="B12" t="s">
        <v>52</v>
      </c>
      <c r="C12" s="5"/>
      <c r="D12" s="5"/>
      <c r="E12" s="5"/>
      <c r="F12" s="17">
        <f>F39/Main!$D$13</f>
        <v>167.24172787923717</v>
      </c>
      <c r="G12" s="17">
        <f>G39/Main!$D$13</f>
        <v>82.98402857335401</v>
      </c>
      <c r="H12" s="17">
        <f>H39/Main!$D$13</f>
        <v>374.74223330413105</v>
      </c>
      <c r="I12" s="17">
        <f>I39/Main!$D$13</f>
        <v>-239.40966372397065</v>
      </c>
      <c r="J12" s="17">
        <f>J39/Main!$D$13</f>
        <v>222.73738122514996</v>
      </c>
      <c r="K12" s="5">
        <v>0</v>
      </c>
      <c r="L12" s="5"/>
      <c r="M12" s="5"/>
      <c r="N12" s="5"/>
      <c r="O12" s="5"/>
      <c r="P12" s="5"/>
      <c r="Q12" s="5"/>
      <c r="R12" s="5"/>
      <c r="S12" s="5"/>
      <c r="T12" s="5"/>
    </row>
    <row r="13" spans="2:20" x14ac:dyDescent="0.3">
      <c r="B13" t="s">
        <v>27</v>
      </c>
      <c r="C13" s="5"/>
      <c r="D13" s="5"/>
      <c r="E13" s="5"/>
      <c r="F13" s="17">
        <f t="shared" ref="F13:G13" si="28">SUM(F9:F12)</f>
        <v>-1710.6610957611699</v>
      </c>
      <c r="G13" s="17">
        <f t="shared" si="28"/>
        <v>-1340.7776804366872</v>
      </c>
      <c r="H13" s="17">
        <f>SUM(H9:H12)</f>
        <v>-665.78610418491826</v>
      </c>
      <c r="I13" s="17">
        <f>SUM(I9:I12)</f>
        <v>-1754.8824044746955</v>
      </c>
      <c r="J13" s="17">
        <f>SUM(J9:J12)</f>
        <v>-701.89365860233158</v>
      </c>
      <c r="K13" s="17">
        <f>SUM(K9:K12)</f>
        <v>-934.14205809016789</v>
      </c>
      <c r="L13" s="5"/>
      <c r="M13" s="5"/>
      <c r="N13" s="5"/>
      <c r="O13" s="5"/>
      <c r="P13" s="5"/>
      <c r="Q13" s="5"/>
      <c r="R13" s="5"/>
      <c r="S13" s="5"/>
      <c r="T13" s="5"/>
    </row>
    <row r="14" spans="2:20" s="1" customFormat="1" x14ac:dyDescent="0.3">
      <c r="B14" s="1" t="s">
        <v>28</v>
      </c>
      <c r="C14" s="12">
        <f t="shared" ref="C14:F14" si="29">C8-C9-C10</f>
        <v>7513.8014691016979</v>
      </c>
      <c r="D14" s="12">
        <f t="shared" si="29"/>
        <v>6600.0067389985788</v>
      </c>
      <c r="E14" s="12">
        <f t="shared" si="29"/>
        <v>5323.2562841161835</v>
      </c>
      <c r="F14" s="12">
        <f t="shared" ref="F14:G14" si="30">F8-F13</f>
        <v>6395.5252375497003</v>
      </c>
      <c r="G14" s="12">
        <f t="shared" si="30"/>
        <v>7692.4533998247862</v>
      </c>
      <c r="H14" s="12">
        <f>H8-H13</f>
        <v>7403.4318350293161</v>
      </c>
      <c r="I14" s="12">
        <f>I8-I13</f>
        <v>10245.228249882066</v>
      </c>
      <c r="J14" s="12">
        <f>J8-J13</f>
        <v>8142.7459397533503</v>
      </c>
      <c r="K14" s="12">
        <f>K8-K13</f>
        <v>8060.6146034099338</v>
      </c>
      <c r="L14" s="12">
        <f t="shared" ref="G14:O14" si="31">L8-L9-L10</f>
        <v>8510.9383174068353</v>
      </c>
      <c r="M14" s="12">
        <f t="shared" si="31"/>
        <v>8514.6804593786637</v>
      </c>
      <c r="N14" s="12">
        <f t="shared" si="31"/>
        <v>8600.1336964139864</v>
      </c>
      <c r="O14" s="12">
        <f t="shared" si="31"/>
        <v>8686.4567874417462</v>
      </c>
      <c r="P14" s="12">
        <f t="shared" ref="P14:T14" si="32">P8-P9-P10</f>
        <v>8773.659197082965</v>
      </c>
      <c r="Q14" s="12">
        <f t="shared" si="32"/>
        <v>8861.7505229089275</v>
      </c>
      <c r="R14" s="12">
        <f t="shared" si="32"/>
        <v>8950.7404986859146</v>
      </c>
      <c r="S14" s="12">
        <f t="shared" si="32"/>
        <v>9040.6389977480558</v>
      </c>
      <c r="T14" s="12">
        <f t="shared" si="32"/>
        <v>9131.4560365045945</v>
      </c>
    </row>
    <row r="15" spans="2:20" x14ac:dyDescent="0.3">
      <c r="B15" t="s">
        <v>29</v>
      </c>
      <c r="C15" s="5">
        <f>C42/Main!$D$13</f>
        <v>-92.095154660017528</v>
      </c>
      <c r="D15" s="5">
        <f>D42/Main!$D$13</f>
        <v>2042.5163420715683</v>
      </c>
      <c r="E15" s="5">
        <f>E42/Main!$D$13</f>
        <v>1886.825257766696</v>
      </c>
      <c r="F15" s="17">
        <f>F42/Main!$D$13</f>
        <v>1473.2057416267944</v>
      </c>
      <c r="G15" s="17">
        <f>G42/Main!$D$13</f>
        <v>2085.6459330143543</v>
      </c>
      <c r="H15" s="17">
        <f>H42/Main!$D$13</f>
        <v>1093.4429543769797</v>
      </c>
      <c r="I15" s="17">
        <f>I42/Main!$D$13</f>
        <v>3098.5511153042662</v>
      </c>
      <c r="J15" s="17">
        <f>J42/Main!$D$13</f>
        <v>2794.0292472538586</v>
      </c>
      <c r="K15" s="5">
        <f>K14*0.3</f>
        <v>2418.1843810229802</v>
      </c>
      <c r="L15" s="5">
        <f t="shared" ref="L15:T15" si="33">L14*0.3</f>
        <v>2553.2814952220506</v>
      </c>
      <c r="M15" s="5">
        <f t="shared" si="33"/>
        <v>2554.4041378135989</v>
      </c>
      <c r="N15" s="5">
        <f t="shared" si="33"/>
        <v>2580.0401089241959</v>
      </c>
      <c r="O15" s="5">
        <f t="shared" si="33"/>
        <v>2605.937036232524</v>
      </c>
      <c r="P15" s="5">
        <f t="shared" si="33"/>
        <v>2632.0977591248893</v>
      </c>
      <c r="Q15" s="5">
        <f t="shared" si="33"/>
        <v>2658.5251568726781</v>
      </c>
      <c r="R15" s="5">
        <f t="shared" si="33"/>
        <v>2685.2221496057741</v>
      </c>
      <c r="S15" s="5">
        <f t="shared" si="33"/>
        <v>2712.1916993244167</v>
      </c>
      <c r="T15" s="5">
        <f t="shared" si="33"/>
        <v>2739.4368109513784</v>
      </c>
    </row>
    <row r="16" spans="2:20" x14ac:dyDescent="0.3">
      <c r="B16" t="s">
        <v>30</v>
      </c>
      <c r="C16" s="5">
        <f>C43/Main!$D$13</f>
        <v>467.02607992452323</v>
      </c>
      <c r="D16" s="5">
        <f>D43/Main!$D$13</f>
        <v>444.57173663993535</v>
      </c>
      <c r="E16" s="5">
        <f>E43/Main!$D$13</f>
        <v>365.15937731653082</v>
      </c>
      <c r="F16" s="17">
        <f>F43/Main!$D$13</f>
        <v>256.20998719590273</v>
      </c>
      <c r="G16" s="17">
        <f>G43/Main!$D$13</f>
        <v>361.43945009771551</v>
      </c>
      <c r="H16" s="17">
        <f>H43/Main!$D$13</f>
        <v>444.05283374890496</v>
      </c>
      <c r="I16" s="17">
        <f>I43/Main!$D$13</f>
        <v>508.2283172720534</v>
      </c>
      <c r="J16" s="17">
        <f>J43/Main!$D$13</f>
        <v>452.8404879034976</v>
      </c>
      <c r="K16" s="5">
        <f>J16*1.01</f>
        <v>457.36889278253261</v>
      </c>
      <c r="L16" s="5">
        <f t="shared" ref="L16:T16" si="34">K16*1.01</f>
        <v>461.94258171035796</v>
      </c>
      <c r="M16" s="5">
        <f t="shared" si="34"/>
        <v>466.56200752746156</v>
      </c>
      <c r="N16" s="5">
        <f t="shared" si="34"/>
        <v>471.22762760273616</v>
      </c>
      <c r="O16" s="5">
        <f t="shared" si="34"/>
        <v>475.93990387876352</v>
      </c>
      <c r="P16" s="5">
        <f t="shared" si="34"/>
        <v>480.69930291755117</v>
      </c>
      <c r="Q16" s="5">
        <f t="shared" si="34"/>
        <v>485.50629594672671</v>
      </c>
      <c r="R16" s="5">
        <f t="shared" si="34"/>
        <v>490.36135890619397</v>
      </c>
      <c r="S16" s="5">
        <f t="shared" si="34"/>
        <v>495.2649724952559</v>
      </c>
      <c r="T16" s="5">
        <f t="shared" si="34"/>
        <v>500.21762222020845</v>
      </c>
    </row>
    <row r="17" spans="2:114" s="1" customFormat="1" x14ac:dyDescent="0.3">
      <c r="B17" s="1" t="s">
        <v>31</v>
      </c>
      <c r="C17" s="12">
        <f>C14-C15-C16</f>
        <v>7138.8705438371917</v>
      </c>
      <c r="D17" s="12">
        <f>D14-D15-D16</f>
        <v>4112.9186602870759</v>
      </c>
      <c r="E17" s="12">
        <f>E14-E15-E16</f>
        <v>3071.2716490329562</v>
      </c>
      <c r="F17" s="12">
        <f t="shared" ref="F17:H17" si="35">F14-F15-F16</f>
        <v>4666.1095087270032</v>
      </c>
      <c r="G17" s="12">
        <f t="shared" si="35"/>
        <v>5245.3680167127168</v>
      </c>
      <c r="H17" s="12">
        <f t="shared" si="35"/>
        <v>5865.9360469034309</v>
      </c>
      <c r="I17" s="12">
        <f t="shared" ref="I17" si="36">I14-I15-I16</f>
        <v>6638.4488173057462</v>
      </c>
      <c r="J17" s="12">
        <f t="shared" ref="G17:O17" si="37">J14-J15-J16</f>
        <v>4895.8762045959938</v>
      </c>
      <c r="K17" s="12">
        <f t="shared" si="37"/>
        <v>5185.0613296044212</v>
      </c>
      <c r="L17" s="12">
        <f t="shared" si="37"/>
        <v>5495.7142404744263</v>
      </c>
      <c r="M17" s="12">
        <f t="shared" si="37"/>
        <v>5493.7143140376029</v>
      </c>
      <c r="N17" s="12">
        <f t="shared" si="37"/>
        <v>5548.8659598870545</v>
      </c>
      <c r="O17" s="12">
        <f t="shared" si="37"/>
        <v>5604.5798473304585</v>
      </c>
      <c r="P17" s="12">
        <f t="shared" ref="P17:T17" si="38">P14-P15-P16</f>
        <v>5660.8621350405247</v>
      </c>
      <c r="Q17" s="12">
        <f t="shared" si="38"/>
        <v>5717.7190700895226</v>
      </c>
      <c r="R17" s="12">
        <f t="shared" si="38"/>
        <v>5775.1569901739467</v>
      </c>
      <c r="S17" s="12">
        <f t="shared" si="38"/>
        <v>5833.1823259283829</v>
      </c>
      <c r="T17" s="12">
        <f t="shared" si="38"/>
        <v>5891.8016033330077</v>
      </c>
      <c r="U17" s="1">
        <f>T17*(1+$W$25)</f>
        <v>5832.8835872996779</v>
      </c>
      <c r="V17" s="1">
        <f t="shared" ref="V17:CG17" si="39">U17*(1+$W$25)</f>
        <v>5774.5547514266809</v>
      </c>
      <c r="W17" s="1">
        <f t="shared" si="39"/>
        <v>5716.809203912414</v>
      </c>
      <c r="X17" s="1">
        <f t="shared" si="39"/>
        <v>5659.6411118732894</v>
      </c>
      <c r="Y17" s="1">
        <f t="shared" si="39"/>
        <v>5603.0447007545563</v>
      </c>
      <c r="Z17" s="1">
        <f t="shared" si="39"/>
        <v>5547.014253747011</v>
      </c>
      <c r="AA17" s="1">
        <f t="shared" si="39"/>
        <v>5491.5441112095405</v>
      </c>
      <c r="AB17" s="1">
        <f t="shared" si="39"/>
        <v>5436.6286700974451</v>
      </c>
      <c r="AC17" s="1">
        <f t="shared" si="39"/>
        <v>5382.2623833964708</v>
      </c>
      <c r="AD17" s="1">
        <f t="shared" si="39"/>
        <v>5328.439759562506</v>
      </c>
      <c r="AE17" s="1">
        <f t="shared" si="39"/>
        <v>5275.1553619668812</v>
      </c>
      <c r="AF17" s="1">
        <f t="shared" si="39"/>
        <v>5222.4038083472124</v>
      </c>
      <c r="AG17" s="1">
        <f t="shared" si="39"/>
        <v>5170.1797702637405</v>
      </c>
      <c r="AH17" s="1">
        <f t="shared" si="39"/>
        <v>5118.4779725611033</v>
      </c>
      <c r="AI17" s="1">
        <f t="shared" si="39"/>
        <v>5067.2931928354919</v>
      </c>
      <c r="AJ17" s="1">
        <f t="shared" si="39"/>
        <v>5016.620260907137</v>
      </c>
      <c r="AK17" s="1">
        <f t="shared" si="39"/>
        <v>4966.4540582980653</v>
      </c>
      <c r="AL17" s="1">
        <f t="shared" si="39"/>
        <v>4916.7895177150849</v>
      </c>
      <c r="AM17" s="1">
        <f t="shared" si="39"/>
        <v>4867.6216225379339</v>
      </c>
      <c r="AN17" s="1">
        <f t="shared" si="39"/>
        <v>4818.945406312555</v>
      </c>
      <c r="AO17" s="1">
        <f t="shared" si="39"/>
        <v>4770.7559522494294</v>
      </c>
      <c r="AP17" s="1">
        <f t="shared" si="39"/>
        <v>4723.0483927269352</v>
      </c>
      <c r="AQ17" s="1">
        <f t="shared" si="39"/>
        <v>4675.8179087996659</v>
      </c>
      <c r="AR17" s="1">
        <f t="shared" si="39"/>
        <v>4629.0597297116692</v>
      </c>
      <c r="AS17" s="1">
        <f t="shared" si="39"/>
        <v>4582.7691324145526</v>
      </c>
      <c r="AT17" s="1">
        <f t="shared" si="39"/>
        <v>4536.9414410904074</v>
      </c>
      <c r="AU17" s="1">
        <f t="shared" si="39"/>
        <v>4491.5720266795033</v>
      </c>
      <c r="AV17" s="1">
        <f t="shared" si="39"/>
        <v>4446.6563064127085</v>
      </c>
      <c r="AW17" s="1">
        <f t="shared" si="39"/>
        <v>4402.189743348581</v>
      </c>
      <c r="AX17" s="1">
        <f t="shared" si="39"/>
        <v>4358.1678459150953</v>
      </c>
      <c r="AY17" s="1">
        <f t="shared" si="39"/>
        <v>4314.5861674559446</v>
      </c>
      <c r="AZ17" s="1">
        <f t="shared" si="39"/>
        <v>4271.4403057813852</v>
      </c>
      <c r="BA17" s="1">
        <f t="shared" si="39"/>
        <v>4228.7259027235714</v>
      </c>
      <c r="BB17" s="1">
        <f t="shared" si="39"/>
        <v>4186.4386436963359</v>
      </c>
      <c r="BC17" s="1">
        <f t="shared" si="39"/>
        <v>4144.5742572593726</v>
      </c>
      <c r="BD17" s="1">
        <f t="shared" si="39"/>
        <v>4103.1285146867785</v>
      </c>
      <c r="BE17" s="1">
        <f t="shared" si="39"/>
        <v>4062.0972295399106</v>
      </c>
      <c r="BF17" s="1">
        <f t="shared" si="39"/>
        <v>4021.4762572445115</v>
      </c>
      <c r="BG17" s="1">
        <f t="shared" si="39"/>
        <v>3981.2614946720664</v>
      </c>
      <c r="BH17" s="1">
        <f t="shared" si="39"/>
        <v>3941.4488797253457</v>
      </c>
      <c r="BI17" s="1">
        <f t="shared" si="39"/>
        <v>3902.0343909280923</v>
      </c>
      <c r="BJ17" s="1">
        <f t="shared" si="39"/>
        <v>3863.0140470188112</v>
      </c>
      <c r="BK17" s="1">
        <f t="shared" si="39"/>
        <v>3824.3839065486231</v>
      </c>
      <c r="BL17" s="1">
        <f t="shared" si="39"/>
        <v>3786.140067483137</v>
      </c>
      <c r="BM17" s="1">
        <f t="shared" si="39"/>
        <v>3748.2786668083058</v>
      </c>
      <c r="BN17" s="1">
        <f t="shared" si="39"/>
        <v>3710.7958801402228</v>
      </c>
      <c r="BO17" s="1">
        <f t="shared" si="39"/>
        <v>3673.6879213388206</v>
      </c>
      <c r="BP17" s="1">
        <f t="shared" si="39"/>
        <v>3636.9510421254322</v>
      </c>
      <c r="BQ17" s="1">
        <f t="shared" si="39"/>
        <v>3600.5815317041779</v>
      </c>
      <c r="BR17" s="1">
        <f t="shared" si="39"/>
        <v>3564.5757163871363</v>
      </c>
      <c r="BS17" s="1">
        <f t="shared" si="39"/>
        <v>3528.9299592232651</v>
      </c>
      <c r="BT17" s="1">
        <f t="shared" si="39"/>
        <v>3493.6406596310326</v>
      </c>
      <c r="BU17" s="1">
        <f t="shared" si="39"/>
        <v>3458.7042530347221</v>
      </c>
      <c r="BV17" s="1">
        <f t="shared" si="39"/>
        <v>3424.1172105043747</v>
      </c>
      <c r="BW17" s="1">
        <f t="shared" si="39"/>
        <v>3389.8760383993308</v>
      </c>
      <c r="BX17" s="1">
        <f t="shared" si="39"/>
        <v>3355.9772780153376</v>
      </c>
      <c r="BY17" s="1">
        <f t="shared" si="39"/>
        <v>3322.4175052351843</v>
      </c>
      <c r="BZ17" s="1">
        <f t="shared" si="39"/>
        <v>3289.1933301828326</v>
      </c>
      <c r="CA17" s="1">
        <f t="shared" si="39"/>
        <v>3256.3013968810042</v>
      </c>
      <c r="CB17" s="1">
        <f t="shared" si="39"/>
        <v>3223.7383829121941</v>
      </c>
      <c r="CC17" s="1">
        <f t="shared" si="39"/>
        <v>3191.5009990830722</v>
      </c>
      <c r="CD17" s="1">
        <f t="shared" si="39"/>
        <v>3159.5859890922416</v>
      </c>
      <c r="CE17" s="1">
        <f t="shared" si="39"/>
        <v>3127.9901292013192</v>
      </c>
      <c r="CF17" s="1">
        <f t="shared" si="39"/>
        <v>3096.710227909306</v>
      </c>
      <c r="CG17" s="1">
        <f t="shared" si="39"/>
        <v>3065.7431256302129</v>
      </c>
      <c r="CH17" s="1">
        <f t="shared" ref="CH17:DJ17" si="40">CG17*(1+$W$25)</f>
        <v>3035.0856943739109</v>
      </c>
      <c r="CI17" s="1">
        <f t="shared" si="40"/>
        <v>3004.7348374301719</v>
      </c>
      <c r="CJ17" s="1">
        <f t="shared" si="40"/>
        <v>2974.6874890558702</v>
      </c>
      <c r="CK17" s="1">
        <f t="shared" si="40"/>
        <v>2944.9406141653117</v>
      </c>
      <c r="CL17" s="1">
        <f t="shared" si="40"/>
        <v>2915.4912080236586</v>
      </c>
      <c r="CM17" s="1">
        <f t="shared" si="40"/>
        <v>2886.3362959434221</v>
      </c>
      <c r="CN17" s="1">
        <f t="shared" si="40"/>
        <v>2857.4729329839879</v>
      </c>
      <c r="CO17" s="1">
        <f t="shared" si="40"/>
        <v>2828.8982036541479</v>
      </c>
      <c r="CP17" s="1">
        <f t="shared" si="40"/>
        <v>2800.6092216176062</v>
      </c>
      <c r="CQ17" s="1">
        <f t="shared" si="40"/>
        <v>2772.6031294014301</v>
      </c>
      <c r="CR17" s="1">
        <f t="shared" si="40"/>
        <v>2744.8770981074158</v>
      </c>
      <c r="CS17" s="1">
        <f t="shared" si="40"/>
        <v>2717.4283271263416</v>
      </c>
      <c r="CT17" s="1">
        <f t="shared" si="40"/>
        <v>2690.2540438550782</v>
      </c>
      <c r="CU17" s="1">
        <f t="shared" si="40"/>
        <v>2663.3515034165275</v>
      </c>
      <c r="CV17" s="1">
        <f t="shared" si="40"/>
        <v>2636.7179883823624</v>
      </c>
      <c r="CW17" s="1">
        <f t="shared" si="40"/>
        <v>2610.3508084985388</v>
      </c>
      <c r="CX17" s="1">
        <f t="shared" si="40"/>
        <v>2584.2473004135531</v>
      </c>
      <c r="CY17" s="1">
        <f t="shared" si="40"/>
        <v>2558.4048274094175</v>
      </c>
      <c r="CZ17" s="1">
        <f t="shared" si="40"/>
        <v>2532.8207791353234</v>
      </c>
      <c r="DA17" s="1">
        <f t="shared" si="40"/>
        <v>2507.4925713439702</v>
      </c>
      <c r="DB17" s="1">
        <f t="shared" si="40"/>
        <v>2482.4176456305304</v>
      </c>
      <c r="DC17" s="1">
        <f t="shared" si="40"/>
        <v>2457.593469174225</v>
      </c>
      <c r="DD17" s="1">
        <f t="shared" si="40"/>
        <v>2433.0175344824829</v>
      </c>
      <c r="DE17" s="1">
        <f t="shared" si="40"/>
        <v>2408.6873591376579</v>
      </c>
      <c r="DF17" s="1">
        <f t="shared" si="40"/>
        <v>2384.6004855462816</v>
      </c>
      <c r="DG17" s="1">
        <f t="shared" si="40"/>
        <v>2360.7544806908186</v>
      </c>
      <c r="DH17" s="1">
        <f t="shared" si="40"/>
        <v>2337.1469358839104</v>
      </c>
      <c r="DI17" s="1">
        <f t="shared" si="40"/>
        <v>2313.7754665250714</v>
      </c>
      <c r="DJ17" s="1">
        <f t="shared" si="40"/>
        <v>2290.6377118598207</v>
      </c>
    </row>
    <row r="18" spans="2:114" x14ac:dyDescent="0.3">
      <c r="B18" t="s">
        <v>1</v>
      </c>
      <c r="C18" s="5">
        <v>1727</v>
      </c>
      <c r="D18" s="5">
        <v>1727</v>
      </c>
      <c r="E18" s="5">
        <v>1727</v>
      </c>
      <c r="F18" s="5">
        <v>1727</v>
      </c>
      <c r="G18" s="5">
        <v>1727</v>
      </c>
      <c r="H18" s="5">
        <v>1727</v>
      </c>
      <c r="I18" s="5">
        <v>1727</v>
      </c>
      <c r="J18" s="5">
        <v>1727</v>
      </c>
      <c r="K18" s="5">
        <v>1727</v>
      </c>
      <c r="L18" s="5">
        <v>1727</v>
      </c>
      <c r="M18" s="5">
        <v>1727</v>
      </c>
      <c r="N18" s="5">
        <v>1727</v>
      </c>
      <c r="O18" s="5">
        <v>1727</v>
      </c>
      <c r="P18" s="5">
        <v>1727</v>
      </c>
      <c r="Q18" s="5">
        <v>1727</v>
      </c>
      <c r="R18" s="5">
        <v>1727</v>
      </c>
      <c r="S18" s="5">
        <v>1727</v>
      </c>
      <c r="T18" s="5">
        <v>1727</v>
      </c>
    </row>
    <row r="19" spans="2:114" s="1" customFormat="1" x14ac:dyDescent="0.3">
      <c r="B19" s="1" t="s">
        <v>32</v>
      </c>
      <c r="C19" s="9">
        <f>C17/C18</f>
        <v>4.1336830016428436</v>
      </c>
      <c r="D19" s="9">
        <f t="shared" ref="D19:E19" si="41">D17/D18</f>
        <v>2.3815394674505361</v>
      </c>
      <c r="E19" s="9">
        <f t="shared" si="41"/>
        <v>1.7783854366143348</v>
      </c>
      <c r="F19" s="9">
        <f t="shared" ref="F19:H19" si="42">F17/F18</f>
        <v>2.7018584300677495</v>
      </c>
      <c r="G19" s="9">
        <f t="shared" si="42"/>
        <v>3.0372715788724474</v>
      </c>
      <c r="H19" s="9">
        <f t="shared" si="42"/>
        <v>3.3966045436615118</v>
      </c>
      <c r="I19" s="9">
        <f t="shared" ref="I19" si="43">I17/I18</f>
        <v>3.8439194078203509</v>
      </c>
      <c r="J19" s="9">
        <f t="shared" ref="F19:O19" si="44">J17/J18</f>
        <v>2.8349022609125614</v>
      </c>
      <c r="K19" s="9">
        <f t="shared" si="44"/>
        <v>3.0023516674026758</v>
      </c>
      <c r="L19" s="9">
        <f t="shared" si="44"/>
        <v>3.1822317547622618</v>
      </c>
      <c r="M19" s="9">
        <f t="shared" si="44"/>
        <v>3.1810737197669963</v>
      </c>
      <c r="N19" s="9">
        <f t="shared" si="44"/>
        <v>3.2130086623549823</v>
      </c>
      <c r="O19" s="9">
        <f t="shared" si="44"/>
        <v>3.2452691646383665</v>
      </c>
      <c r="P19" s="9">
        <f t="shared" ref="P19:T19" si="45">P17/P18</f>
        <v>3.2778587927275766</v>
      </c>
      <c r="Q19" s="9">
        <f t="shared" si="45"/>
        <v>3.3107811639198164</v>
      </c>
      <c r="R19" s="9">
        <f t="shared" si="45"/>
        <v>3.3440399479872305</v>
      </c>
      <c r="S19" s="9">
        <f t="shared" si="45"/>
        <v>3.3776388685167245</v>
      </c>
      <c r="T19" s="9">
        <f t="shared" si="45"/>
        <v>3.411581704304</v>
      </c>
    </row>
    <row r="20" spans="2:114" s="1" customFormat="1" x14ac:dyDescent="0.3">
      <c r="C20"/>
      <c r="D20"/>
      <c r="E20"/>
    </row>
    <row r="21" spans="2:114" s="1" customFormat="1" x14ac:dyDescent="0.3">
      <c r="B21" s="1" t="s">
        <v>33</v>
      </c>
      <c r="C21" s="10">
        <f>C5/C3</f>
        <v>0.21877046152676374</v>
      </c>
      <c r="D21" s="10">
        <f t="shared" ref="D21:E21" si="46">D5/D3</f>
        <v>0.20817847141761922</v>
      </c>
      <c r="E21" s="10">
        <f t="shared" si="46"/>
        <v>0.20623857369585674</v>
      </c>
      <c r="F21" s="10">
        <f t="shared" ref="F21:O21" si="47">F5/F3</f>
        <v>0.21</v>
      </c>
      <c r="G21" s="10">
        <f t="shared" si="47"/>
        <v>0.21</v>
      </c>
      <c r="H21" s="10">
        <f t="shared" si="47"/>
        <v>0.21</v>
      </c>
      <c r="I21" s="10">
        <f t="shared" si="47"/>
        <v>0.21</v>
      </c>
      <c r="J21" s="10">
        <f t="shared" si="47"/>
        <v>0.21</v>
      </c>
      <c r="K21" s="10">
        <f t="shared" si="47"/>
        <v>0.21</v>
      </c>
      <c r="L21" s="10">
        <f t="shared" si="47"/>
        <v>0.21</v>
      </c>
      <c r="M21" s="10">
        <f t="shared" si="47"/>
        <v>0.21</v>
      </c>
      <c r="N21" s="10">
        <f t="shared" si="47"/>
        <v>0.20999999999999996</v>
      </c>
      <c r="O21" s="10">
        <f t="shared" si="47"/>
        <v>0.20999999999999996</v>
      </c>
      <c r="P21" s="10">
        <f t="shared" ref="P21:T21" si="48">P5/P3</f>
        <v>0.21</v>
      </c>
      <c r="Q21" s="10">
        <f t="shared" si="48"/>
        <v>0.21</v>
      </c>
      <c r="R21" s="10">
        <f t="shared" si="48"/>
        <v>0.21</v>
      </c>
      <c r="S21" s="10">
        <f t="shared" si="48"/>
        <v>0.21</v>
      </c>
      <c r="T21" s="10">
        <f t="shared" si="48"/>
        <v>0.21000000000000002</v>
      </c>
    </row>
    <row r="22" spans="2:114" s="1" customFormat="1" x14ac:dyDescent="0.3">
      <c r="B22" s="1" t="s">
        <v>34</v>
      </c>
      <c r="C22" s="10">
        <f>C8/C3</f>
        <v>5.4264050351451695E-2</v>
      </c>
      <c r="D22" s="10">
        <f t="shared" ref="D22:E22" si="49">D8/D3</f>
        <v>4.5716376699117295E-2</v>
      </c>
      <c r="E22" s="10">
        <f t="shared" si="49"/>
        <v>4.2437654414380195E-2</v>
      </c>
      <c r="F22" s="10">
        <f t="shared" ref="F22:O22" si="50">F8/F3</f>
        <v>5.2783568362036452E-2</v>
      </c>
      <c r="G22" s="10">
        <f t="shared" si="50"/>
        <v>6.476636081726711E-2</v>
      </c>
      <c r="H22" s="10">
        <f t="shared" si="50"/>
        <v>5.9132689347620691E-2</v>
      </c>
      <c r="I22" s="10">
        <f t="shared" si="50"/>
        <v>6.1671869941272113E-2</v>
      </c>
      <c r="J22" s="10">
        <f t="shared" si="50"/>
        <v>5.0908752443142552E-2</v>
      </c>
      <c r="K22" s="10">
        <f t="shared" si="50"/>
        <v>4.7337701119796835E-2</v>
      </c>
      <c r="L22" s="10">
        <f t="shared" si="50"/>
        <v>4.6821404071951699E-2</v>
      </c>
      <c r="M22" s="10">
        <f t="shared" si="50"/>
        <v>4.6294883320188843E-2</v>
      </c>
      <c r="N22" s="10">
        <f t="shared" si="50"/>
        <v>4.6294883320188815E-2</v>
      </c>
      <c r="O22" s="10">
        <f t="shared" si="50"/>
        <v>4.6294883320188836E-2</v>
      </c>
      <c r="P22" s="10">
        <f t="shared" ref="P22:T22" si="51">P8/P3</f>
        <v>4.6294883320188863E-2</v>
      </c>
      <c r="Q22" s="10">
        <f t="shared" si="51"/>
        <v>4.6294883320188836E-2</v>
      </c>
      <c r="R22" s="10">
        <f t="shared" si="51"/>
        <v>4.6294883320188863E-2</v>
      </c>
      <c r="S22" s="10">
        <f t="shared" si="51"/>
        <v>4.6294883320188829E-2</v>
      </c>
      <c r="T22" s="10">
        <f t="shared" si="51"/>
        <v>4.6294883320188857E-2</v>
      </c>
    </row>
    <row r="23" spans="2:114" x14ac:dyDescent="0.3">
      <c r="B23" t="s">
        <v>35</v>
      </c>
      <c r="C23" s="11">
        <f>C6/C3</f>
        <v>0.11556110462070993</v>
      </c>
      <c r="D23" s="11">
        <f t="shared" ref="D23:T23" si="52">D6/D3</f>
        <v>0.11167699492032566</v>
      </c>
      <c r="E23" s="11">
        <f t="shared" si="52"/>
        <v>0.10994501443271516</v>
      </c>
      <c r="F23" s="11">
        <f t="shared" si="52"/>
        <v>0.1011143144776603</v>
      </c>
      <c r="G23" s="11">
        <f t="shared" si="52"/>
        <v>9.1150464491253039E-2</v>
      </c>
      <c r="H23" s="11">
        <f t="shared" si="52"/>
        <v>9.8765978273244917E-2</v>
      </c>
      <c r="I23" s="11">
        <f t="shared" si="52"/>
        <v>0.10311612986410071</v>
      </c>
      <c r="J23" s="11">
        <f t="shared" si="52"/>
        <v>0.10839763274694224</v>
      </c>
      <c r="K23" s="11">
        <f t="shared" si="52"/>
        <v>0.11</v>
      </c>
      <c r="L23" s="11">
        <f t="shared" si="52"/>
        <v>0.11</v>
      </c>
      <c r="M23" s="11">
        <f t="shared" si="52"/>
        <v>0.11</v>
      </c>
      <c r="N23" s="11">
        <f t="shared" si="52"/>
        <v>0.11000000000000001</v>
      </c>
      <c r="O23" s="11">
        <f t="shared" si="52"/>
        <v>0.10999999999999999</v>
      </c>
      <c r="P23" s="11">
        <f t="shared" si="52"/>
        <v>0.10999999999999999</v>
      </c>
      <c r="Q23" s="11">
        <f t="shared" si="52"/>
        <v>0.11</v>
      </c>
      <c r="R23" s="11">
        <f t="shared" si="52"/>
        <v>0.11</v>
      </c>
      <c r="S23" s="11">
        <f t="shared" si="52"/>
        <v>0.11</v>
      </c>
      <c r="T23" s="11">
        <f t="shared" si="52"/>
        <v>0.11</v>
      </c>
    </row>
    <row r="24" spans="2:114" x14ac:dyDescent="0.3">
      <c r="B24" t="s">
        <v>36</v>
      </c>
      <c r="C24" s="11">
        <f>C7/C3</f>
        <v>4.8945306554602108E-2</v>
      </c>
      <c r="D24" s="11">
        <f t="shared" ref="D24:T26" si="53">D7/D3</f>
        <v>5.0785099798176268E-2</v>
      </c>
      <c r="E24" s="11">
        <f t="shared" si="53"/>
        <v>5.3855904848761398E-2</v>
      </c>
      <c r="F24" s="11">
        <f t="shared" si="53"/>
        <v>5.610211716030325E-2</v>
      </c>
      <c r="G24" s="11">
        <f t="shared" si="53"/>
        <v>5.4083174691479843E-2</v>
      </c>
      <c r="H24" s="11">
        <f t="shared" si="53"/>
        <v>5.2101332379134384E-2</v>
      </c>
      <c r="I24" s="11">
        <f t="shared" si="53"/>
        <v>4.5212000194627178E-2</v>
      </c>
      <c r="J24" s="11">
        <f t="shared" si="53"/>
        <v>5.0693614809915195E-2</v>
      </c>
      <c r="K24" s="11">
        <f t="shared" si="53"/>
        <v>5.2662298880203164E-2</v>
      </c>
      <c r="L24" s="11">
        <f t="shared" si="53"/>
        <v>5.3178595928048293E-2</v>
      </c>
      <c r="M24" s="11">
        <f t="shared" si="53"/>
        <v>5.3705116679811149E-2</v>
      </c>
      <c r="N24" s="11">
        <f t="shared" si="53"/>
        <v>5.3705116679811142E-2</v>
      </c>
      <c r="O24" s="11">
        <f t="shared" si="53"/>
        <v>5.3705116679811149E-2</v>
      </c>
      <c r="P24" s="11">
        <f t="shared" si="53"/>
        <v>5.3705116679811149E-2</v>
      </c>
      <c r="Q24" s="11">
        <f t="shared" si="53"/>
        <v>5.3705116679811142E-2</v>
      </c>
      <c r="R24" s="11">
        <f t="shared" si="53"/>
        <v>5.3705116679811149E-2</v>
      </c>
      <c r="S24" s="11">
        <f t="shared" si="53"/>
        <v>5.3705116679811149E-2</v>
      </c>
      <c r="T24" s="11">
        <f t="shared" si="53"/>
        <v>5.3705116679811149E-2</v>
      </c>
    </row>
    <row r="25" spans="2:114" s="1" customFormat="1" x14ac:dyDescent="0.3">
      <c r="B25" s="13" t="s">
        <v>53</v>
      </c>
      <c r="C25" s="10"/>
      <c r="D25" s="18">
        <f>D7/C7-1</f>
        <v>7.3217477814900844E-2</v>
      </c>
      <c r="E25" s="18">
        <f t="shared" ref="E25:T25" si="54">E7/D7-1</f>
        <v>-3.4477416796278026E-3</v>
      </c>
      <c r="F25" s="18">
        <f t="shared" si="54"/>
        <v>-8.1118187143011777E-2</v>
      </c>
      <c r="G25" s="18">
        <f t="shared" si="54"/>
        <v>6.5181203257842046E-2</v>
      </c>
      <c r="H25" s="18">
        <f t="shared" si="54"/>
        <v>0.11925326787420465</v>
      </c>
      <c r="I25" s="18">
        <f t="shared" si="54"/>
        <v>4.8485949268658013E-2</v>
      </c>
      <c r="J25" s="18">
        <f t="shared" si="54"/>
        <v>0.19039612311030329</v>
      </c>
      <c r="K25" s="18">
        <f t="shared" si="54"/>
        <v>7.0000000000000062E-2</v>
      </c>
      <c r="L25" s="18">
        <f t="shared" si="54"/>
        <v>3.0000000000000027E-2</v>
      </c>
      <c r="M25" s="18">
        <f t="shared" si="54"/>
        <v>2.0000000000000018E-2</v>
      </c>
      <c r="N25" s="18">
        <f t="shared" si="54"/>
        <v>1.0000000000000009E-2</v>
      </c>
      <c r="O25" s="18">
        <f t="shared" si="54"/>
        <v>1.0000000000000009E-2</v>
      </c>
      <c r="P25" s="18">
        <f t="shared" si="54"/>
        <v>1.0000000000000009E-2</v>
      </c>
      <c r="Q25" s="18">
        <f t="shared" si="54"/>
        <v>1.0000000000000009E-2</v>
      </c>
      <c r="R25" s="18">
        <f t="shared" si="54"/>
        <v>1.0000000000000009E-2</v>
      </c>
      <c r="S25" s="18">
        <f t="shared" si="54"/>
        <v>1.0000000000000009E-2</v>
      </c>
      <c r="T25" s="18">
        <f t="shared" si="54"/>
        <v>1.0000000000000009E-2</v>
      </c>
      <c r="V25" t="s">
        <v>38</v>
      </c>
      <c r="W25" s="11">
        <v>-0.01</v>
      </c>
    </row>
    <row r="26" spans="2:114" s="1" customFormat="1" x14ac:dyDescent="0.3">
      <c r="B26" s="1" t="s">
        <v>37</v>
      </c>
      <c r="C26" s="10"/>
      <c r="D26" s="10">
        <f>D3/C3-1</f>
        <v>3.4337997959266842E-2</v>
      </c>
      <c r="E26" s="10">
        <f>E3/D3-1</f>
        <v>-6.0270066299666025E-2</v>
      </c>
      <c r="F26" s="10">
        <f t="shared" ref="F26:O26" si="55">F3/E3-1</f>
        <v>-0.11790830746937464</v>
      </c>
      <c r="G26" s="10">
        <f t="shared" si="55"/>
        <v>0.10494476337644709</v>
      </c>
      <c r="H26" s="10">
        <f t="shared" si="55"/>
        <v>0.16182767784058716</v>
      </c>
      <c r="I26" s="10">
        <f t="shared" si="55"/>
        <v>0.20825255911129359</v>
      </c>
      <c r="J26" s="10">
        <f t="shared" si="55"/>
        <v>6.1675912273269962E-2</v>
      </c>
      <c r="K26" s="10">
        <f t="shared" si="55"/>
        <v>3.0000000000000027E-2</v>
      </c>
      <c r="L26" s="10">
        <f t="shared" si="55"/>
        <v>2.0000000000000018E-2</v>
      </c>
      <c r="M26" s="10">
        <f t="shared" si="55"/>
        <v>1.0000000000000009E-2</v>
      </c>
      <c r="N26" s="10">
        <f t="shared" si="55"/>
        <v>1.0000000000000009E-2</v>
      </c>
      <c r="O26" s="10">
        <f t="shared" si="55"/>
        <v>1.0000000000000009E-2</v>
      </c>
      <c r="P26" s="10">
        <f t="shared" ref="P26" si="56">P3/O3-1</f>
        <v>1.0000000000000009E-2</v>
      </c>
      <c r="Q26" s="10">
        <f t="shared" ref="Q26" si="57">Q3/P3-1</f>
        <v>1.0000000000000009E-2</v>
      </c>
      <c r="R26" s="10">
        <f t="shared" ref="R26" si="58">R3/Q3-1</f>
        <v>1.0000000000000009E-2</v>
      </c>
      <c r="S26" s="10">
        <f t="shared" ref="S26" si="59">S3/R3-1</f>
        <v>1.0000000000000009E-2</v>
      </c>
      <c r="T26" s="10">
        <f t="shared" ref="T26" si="60">T3/S3-1</f>
        <v>1.0000000000000009E-2</v>
      </c>
      <c r="V26" t="s">
        <v>39</v>
      </c>
      <c r="W26" s="11">
        <v>7.0000000000000007E-2</v>
      </c>
    </row>
    <row r="27" spans="2:114" s="1" customFormat="1" x14ac:dyDescent="0.3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V27" t="s">
        <v>40</v>
      </c>
      <c r="W27" s="7">
        <f>NPV(W26,F17:DJ17)</f>
        <v>76658.885630659628</v>
      </c>
    </row>
    <row r="28" spans="2:114" s="1" customFormat="1" x14ac:dyDescent="0.3">
      <c r="B28" s="1" t="s">
        <v>29</v>
      </c>
      <c r="C28" s="10">
        <f>C15/C14</f>
        <v>-1.2256799043564274E-2</v>
      </c>
      <c r="D28" s="10">
        <f t="shared" ref="D28:E28" si="61">D15/D14</f>
        <v>0.30947185705169145</v>
      </c>
      <c r="E28" s="10">
        <f t="shared" si="61"/>
        <v>0.35444944918333277</v>
      </c>
      <c r="F28" s="10">
        <f t="shared" ref="F28:O28" si="62">F15/F14</f>
        <v>0.23034945323602846</v>
      </c>
      <c r="G28" s="10">
        <f t="shared" si="62"/>
        <v>0.27112883557563833</v>
      </c>
      <c r="H28" s="10">
        <f t="shared" si="62"/>
        <v>0.14769406658184622</v>
      </c>
      <c r="I28" s="10">
        <f t="shared" si="62"/>
        <v>0.30243846595998813</v>
      </c>
      <c r="J28" s="10">
        <f t="shared" si="62"/>
        <v>0.34313108476260429</v>
      </c>
      <c r="K28" s="10">
        <f t="shared" si="62"/>
        <v>0.3</v>
      </c>
      <c r="L28" s="10">
        <f t="shared" si="62"/>
        <v>0.3</v>
      </c>
      <c r="M28" s="10">
        <f t="shared" si="62"/>
        <v>0.3</v>
      </c>
      <c r="N28" s="10">
        <f t="shared" si="62"/>
        <v>0.3</v>
      </c>
      <c r="O28" s="10">
        <f t="shared" si="62"/>
        <v>0.3</v>
      </c>
      <c r="P28" s="10">
        <f t="shared" ref="P28:T28" si="63">P15/P14</f>
        <v>0.3</v>
      </c>
      <c r="Q28" s="10">
        <f t="shared" si="63"/>
        <v>0.3</v>
      </c>
      <c r="R28" s="10">
        <f t="shared" si="63"/>
        <v>0.3</v>
      </c>
      <c r="S28" s="10">
        <f t="shared" si="63"/>
        <v>0.3</v>
      </c>
      <c r="T28" s="10">
        <f t="shared" si="63"/>
        <v>0.3</v>
      </c>
      <c r="V28" t="s">
        <v>41</v>
      </c>
      <c r="W28" s="7">
        <f>Main!D10</f>
        <v>-38276.555023923451</v>
      </c>
    </row>
    <row r="29" spans="2:114" s="1" customFormat="1" x14ac:dyDescent="0.3">
      <c r="C29"/>
      <c r="D29"/>
      <c r="E29"/>
      <c r="V29" t="s">
        <v>42</v>
      </c>
      <c r="W29" s="7">
        <f>W27+W28</f>
        <v>38382.330606736177</v>
      </c>
    </row>
    <row r="30" spans="2:114" s="1" customFormat="1" x14ac:dyDescent="0.3">
      <c r="B30" s="1" t="s">
        <v>21</v>
      </c>
      <c r="C30" s="12">
        <v>15361146</v>
      </c>
      <c r="D30" s="12">
        <v>15888617</v>
      </c>
      <c r="E30" s="12">
        <v>14931009</v>
      </c>
      <c r="F30" s="12">
        <v>13170519</v>
      </c>
      <c r="G30" s="12">
        <v>14552696</v>
      </c>
      <c r="H30" s="12">
        <v>16907725</v>
      </c>
      <c r="I30" s="12">
        <v>20428802</v>
      </c>
      <c r="J30" s="12">
        <v>21688767</v>
      </c>
      <c r="V30" s="13" t="s">
        <v>43</v>
      </c>
      <c r="W30" s="16">
        <f>W29/O18</f>
        <v>22.224858486818864</v>
      </c>
    </row>
    <row r="31" spans="2:114" x14ac:dyDescent="0.3">
      <c r="B31" t="s">
        <v>22</v>
      </c>
      <c r="C31" s="5">
        <v>12000581</v>
      </c>
      <c r="D31" s="5">
        <v>12580949</v>
      </c>
      <c r="E31" s="5">
        <v>11851659</v>
      </c>
      <c r="F31" s="5">
        <v>10439689</v>
      </c>
      <c r="G31" s="5">
        <v>11567923</v>
      </c>
      <c r="H31" s="5">
        <v>13576133</v>
      </c>
      <c r="I31" s="5">
        <v>16016659</v>
      </c>
      <c r="J31" s="5">
        <v>17024788</v>
      </c>
      <c r="V31" t="s">
        <v>44</v>
      </c>
      <c r="W31" s="7">
        <f>Main!D3</f>
        <v>33.54</v>
      </c>
    </row>
    <row r="32" spans="2:114" x14ac:dyDescent="0.3">
      <c r="B32" s="1" t="s">
        <v>23</v>
      </c>
      <c r="C32" s="12">
        <f>C30-C31</f>
        <v>3360565</v>
      </c>
      <c r="D32" s="12">
        <f>D30-D31</f>
        <v>3307668</v>
      </c>
      <c r="E32" s="12">
        <f>E30-E31</f>
        <v>3079350</v>
      </c>
      <c r="F32" s="12">
        <f t="shared" ref="F32:J32" si="64">F30-F31</f>
        <v>2730830</v>
      </c>
      <c r="G32" s="12">
        <f t="shared" si="64"/>
        <v>2984773</v>
      </c>
      <c r="H32" s="12">
        <f t="shared" si="64"/>
        <v>3331592</v>
      </c>
      <c r="I32" s="12">
        <f t="shared" si="64"/>
        <v>4412143</v>
      </c>
      <c r="J32" s="12">
        <f t="shared" si="64"/>
        <v>4663979</v>
      </c>
      <c r="V32" s="1" t="s">
        <v>45</v>
      </c>
      <c r="W32" s="10">
        <f>W30/W31-1</f>
        <v>-0.33736259729222229</v>
      </c>
    </row>
    <row r="33" spans="2:23" x14ac:dyDescent="0.3">
      <c r="B33" t="s">
        <v>24</v>
      </c>
      <c r="C33" s="5">
        <v>1775151</v>
      </c>
      <c r="D33" s="5">
        <v>1774393</v>
      </c>
      <c r="E33" s="5">
        <v>1641590</v>
      </c>
      <c r="F33" s="5">
        <v>1331728</v>
      </c>
      <c r="G33" s="5">
        <v>1326485</v>
      </c>
      <c r="H33" s="5">
        <v>1669908</v>
      </c>
      <c r="I33" s="5">
        <v>2106539</v>
      </c>
      <c r="J33" s="5">
        <v>2351011</v>
      </c>
      <c r="V33" t="s">
        <v>46</v>
      </c>
      <c r="W33" s="15" t="s">
        <v>54</v>
      </c>
    </row>
    <row r="34" spans="2:23" x14ac:dyDescent="0.3">
      <c r="B34" t="s">
        <v>25</v>
      </c>
      <c r="C34" s="5">
        <v>751856</v>
      </c>
      <c r="D34" s="5">
        <v>806905</v>
      </c>
      <c r="E34" s="5">
        <v>804123</v>
      </c>
      <c r="F34" s="5">
        <v>738894</v>
      </c>
      <c r="G34" s="5">
        <v>787056</v>
      </c>
      <c r="H34" s="5">
        <v>880915</v>
      </c>
      <c r="I34" s="5">
        <v>923627</v>
      </c>
      <c r="J34" s="5">
        <v>1099482</v>
      </c>
    </row>
    <row r="35" spans="2:23" x14ac:dyDescent="0.3">
      <c r="B35" s="1" t="s">
        <v>26</v>
      </c>
      <c r="C35" s="12">
        <f>C32-C33-C34</f>
        <v>833558</v>
      </c>
      <c r="D35" s="12">
        <f>D32-D33-D34</f>
        <v>726370</v>
      </c>
      <c r="E35" s="12">
        <f>E32-E33-E34</f>
        <v>633637</v>
      </c>
      <c r="F35" s="12">
        <f t="shared" ref="F35:J35" si="65">F32-F33-F34</f>
        <v>660208</v>
      </c>
      <c r="G35" s="12">
        <f t="shared" si="65"/>
        <v>871232</v>
      </c>
      <c r="H35" s="12">
        <f t="shared" si="65"/>
        <v>780769</v>
      </c>
      <c r="I35" s="12">
        <f t="shared" si="65"/>
        <v>1381977</v>
      </c>
      <c r="J35" s="12">
        <f t="shared" si="65"/>
        <v>1213486</v>
      </c>
    </row>
    <row r="36" spans="2:23" x14ac:dyDescent="0.3">
      <c r="B36" t="s">
        <v>49</v>
      </c>
      <c r="C36" s="5">
        <v>-247643</v>
      </c>
      <c r="D36" s="5">
        <v>-228827</v>
      </c>
      <c r="E36" s="5">
        <v>-164203</v>
      </c>
      <c r="F36" s="5">
        <v>-272734</v>
      </c>
      <c r="G36" s="5">
        <v>-202512</v>
      </c>
      <c r="H36" s="5">
        <v>-117445</v>
      </c>
      <c r="I36" s="5">
        <v>-110817</v>
      </c>
      <c r="J36" s="5">
        <v>-982</v>
      </c>
    </row>
    <row r="37" spans="2:23" x14ac:dyDescent="0.3">
      <c r="C37" s="5"/>
      <c r="D37" s="5"/>
      <c r="E37" s="5"/>
      <c r="F37" s="5">
        <v>-19805</v>
      </c>
      <c r="G37" s="5">
        <v>-25627</v>
      </c>
      <c r="H37" s="5">
        <v>-73071</v>
      </c>
      <c r="I37" s="5">
        <v>-173695</v>
      </c>
      <c r="J37" s="5">
        <v>-191131</v>
      </c>
    </row>
    <row r="38" spans="2:23" x14ac:dyDescent="0.3">
      <c r="C38" s="5"/>
      <c r="D38" s="5"/>
      <c r="E38" s="5"/>
      <c r="F38" s="5">
        <v>13877</v>
      </c>
      <c r="G38" s="5">
        <v>16867</v>
      </c>
      <c r="H38" s="5">
        <v>36112</v>
      </c>
      <c r="I38" s="5">
        <v>59631</v>
      </c>
      <c r="J38" s="5">
        <v>54907</v>
      </c>
    </row>
    <row r="39" spans="2:23" x14ac:dyDescent="0.3">
      <c r="C39" s="5"/>
      <c r="D39" s="5"/>
      <c r="E39" s="5"/>
      <c r="F39" s="5">
        <v>24817</v>
      </c>
      <c r="G39" s="5">
        <v>12314</v>
      </c>
      <c r="H39" s="5">
        <v>55608</v>
      </c>
      <c r="I39" s="5">
        <v>-35526</v>
      </c>
      <c r="J39" s="5">
        <v>33052</v>
      </c>
    </row>
    <row r="40" spans="2:23" x14ac:dyDescent="0.3">
      <c r="B40" t="s">
        <v>27</v>
      </c>
      <c r="C40" s="5">
        <v>-33772</v>
      </c>
      <c r="D40" s="5">
        <v>-24178</v>
      </c>
      <c r="E40" s="5">
        <v>7922</v>
      </c>
      <c r="F40" s="5">
        <f t="shared" ref="F40:I40" si="66">SUM(F36:F39)</f>
        <v>-253845</v>
      </c>
      <c r="G40" s="5">
        <f t="shared" si="66"/>
        <v>-198958</v>
      </c>
      <c r="H40" s="5">
        <f t="shared" si="66"/>
        <v>-98796</v>
      </c>
      <c r="I40" s="5">
        <f t="shared" si="66"/>
        <v>-260407</v>
      </c>
      <c r="J40" s="5">
        <f>SUM(J36:J39)</f>
        <v>-104154</v>
      </c>
    </row>
    <row r="41" spans="2:23" x14ac:dyDescent="0.3">
      <c r="B41" s="1" t="s">
        <v>28</v>
      </c>
      <c r="C41" s="12">
        <f>C35-C36-C40</f>
        <v>1114973</v>
      </c>
      <c r="D41" s="12">
        <f>D35-D36-D40</f>
        <v>979375</v>
      </c>
      <c r="E41" s="12">
        <f>E35-E36-E40</f>
        <v>789918</v>
      </c>
      <c r="F41" s="12">
        <f>F35-F40</f>
        <v>914053</v>
      </c>
      <c r="G41" s="12">
        <f>G35-G40</f>
        <v>1070190</v>
      </c>
      <c r="H41" s="12">
        <f>H35-H40</f>
        <v>879565</v>
      </c>
      <c r="I41" s="12">
        <f>I35-I40</f>
        <v>1642384</v>
      </c>
      <c r="J41" s="12">
        <f>J35-J40</f>
        <v>1317640</v>
      </c>
    </row>
    <row r="42" spans="2:23" x14ac:dyDescent="0.3">
      <c r="B42" t="s">
        <v>29</v>
      </c>
      <c r="C42" s="5">
        <v>-13666</v>
      </c>
      <c r="D42" s="5">
        <v>303089</v>
      </c>
      <c r="E42" s="5">
        <v>279986</v>
      </c>
      <c r="F42" s="5">
        <v>218609</v>
      </c>
      <c r="G42" s="5">
        <v>309489</v>
      </c>
      <c r="H42" s="5">
        <v>162256</v>
      </c>
      <c r="I42" s="5">
        <v>459794</v>
      </c>
      <c r="J42" s="5">
        <v>414606</v>
      </c>
    </row>
    <row r="43" spans="2:23" x14ac:dyDescent="0.3">
      <c r="B43" t="s">
        <v>30</v>
      </c>
      <c r="C43" s="5">
        <v>69302</v>
      </c>
      <c r="D43" s="5">
        <v>65970</v>
      </c>
      <c r="E43" s="5">
        <v>54186</v>
      </c>
      <c r="F43" s="5">
        <v>38019</v>
      </c>
      <c r="G43" s="5">
        <v>53634</v>
      </c>
      <c r="H43" s="5">
        <v>65893</v>
      </c>
      <c r="I43" s="5">
        <v>75416</v>
      </c>
      <c r="J43" s="5">
        <v>67197</v>
      </c>
    </row>
    <row r="44" spans="2:23" x14ac:dyDescent="0.3">
      <c r="B44" s="1" t="s">
        <v>31</v>
      </c>
      <c r="C44" s="12">
        <f>C41-C42-C43</f>
        <v>1059337</v>
      </c>
      <c r="D44" s="12">
        <f>D41-D42-D43</f>
        <v>610316</v>
      </c>
      <c r="E44" s="12">
        <f>E41-E42-E43</f>
        <v>455746</v>
      </c>
      <c r="F44" s="12">
        <f t="shared" ref="F44:J44" si="67">F41-F42-F43</f>
        <v>657425</v>
      </c>
      <c r="G44" s="12">
        <f t="shared" si="67"/>
        <v>707067</v>
      </c>
      <c r="H44" s="12">
        <f t="shared" si="67"/>
        <v>651416</v>
      </c>
      <c r="I44" s="12">
        <f t="shared" si="67"/>
        <v>1107174</v>
      </c>
      <c r="J44" s="12">
        <f t="shared" si="67"/>
        <v>835837</v>
      </c>
    </row>
    <row r="45" spans="2:23" x14ac:dyDescent="0.3">
      <c r="B45" t="s">
        <v>1</v>
      </c>
      <c r="C45" s="5">
        <v>1727</v>
      </c>
      <c r="D45" s="5">
        <v>1727</v>
      </c>
      <c r="E45" s="5">
        <v>1727</v>
      </c>
      <c r="F45" s="5">
        <v>1727</v>
      </c>
      <c r="G45" s="5">
        <v>1727</v>
      </c>
      <c r="H45" s="5">
        <v>1727</v>
      </c>
      <c r="I45" s="5">
        <v>1727</v>
      </c>
      <c r="J45" s="5">
        <v>1727</v>
      </c>
    </row>
    <row r="46" spans="2:23" x14ac:dyDescent="0.3">
      <c r="B46" s="1" t="s">
        <v>32</v>
      </c>
      <c r="C46" s="9">
        <f>C44/C45</f>
        <v>613.39722061378109</v>
      </c>
      <c r="D46" s="9">
        <f>D44/D45</f>
        <v>353.39664157498555</v>
      </c>
      <c r="E46" s="9">
        <f>E44/E45</f>
        <v>263.89461493920095</v>
      </c>
      <c r="F46" s="9">
        <f t="shared" ref="F46:J46" si="68">F44/F45</f>
        <v>380.67458019687319</v>
      </c>
      <c r="G46" s="9">
        <f t="shared" si="68"/>
        <v>409.41922408801389</v>
      </c>
      <c r="H46" s="9">
        <f t="shared" si="68"/>
        <v>377.19513607411699</v>
      </c>
      <c r="I46" s="9">
        <f t="shared" si="68"/>
        <v>641.09669947886505</v>
      </c>
      <c r="J46" s="9">
        <f t="shared" si="68"/>
        <v>483.9820497973364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8AC0-8E34-4223-B25B-85F8A750EC8B}">
  <dimension ref="A1:F2"/>
  <sheetViews>
    <sheetView workbookViewId="0">
      <selection activeCell="C2" sqref="C2"/>
    </sheetView>
  </sheetViews>
  <sheetFormatPr defaultRowHeight="14.4" x14ac:dyDescent="0.3"/>
  <cols>
    <col min="1" max="1" width="16.33203125" bestFit="1" customWidth="1"/>
    <col min="2" max="2" width="7.5546875" bestFit="1" customWidth="1"/>
    <col min="3" max="3" width="11" bestFit="1" customWidth="1"/>
    <col min="4" max="4" width="9" bestFit="1" customWidth="1"/>
    <col min="5" max="5" width="11.5546875" bestFit="1" customWidth="1"/>
    <col min="6" max="6" width="7.77734375" bestFit="1" customWidth="1"/>
  </cols>
  <sheetData>
    <row r="1" spans="1: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 t="s">
        <v>18</v>
      </c>
      <c r="B2" t="s">
        <v>19</v>
      </c>
      <c r="C2">
        <v>105.674927</v>
      </c>
      <c r="D2">
        <v>9.4629999999999992E-3</v>
      </c>
      <c r="E2" t="s">
        <v>11</v>
      </c>
      <c r="F2" t="s">
        <v>20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67EC95-1364-4BEC-98C3-CA9584EBE5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2020-09-15T15:25:21Z</dcterms:created>
  <dcterms:modified xsi:type="dcterms:W3CDTF">2025-09-04T08:26:35Z</dcterms:modified>
</cp:coreProperties>
</file>