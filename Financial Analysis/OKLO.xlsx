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811E51CA-31F5-461B-9532-100C083596F7}" xr6:coauthVersionLast="47" xr6:coauthVersionMax="47" xr10:uidLastSave="{00000000-0000-0000-0000-000000000000}"/>
  <bookViews>
    <workbookView xWindow="-108" yWindow="-108" windowWidth="23256" windowHeight="12576" activeTab="1" xr2:uid="{543179D5-D9B2-452E-AB54-2C523DB11FC7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" i="2" l="1"/>
  <c r="I11" i="2" s="1"/>
  <c r="I14" i="2" s="1"/>
  <c r="I17" i="2" s="1"/>
  <c r="I19" i="2" s="1"/>
  <c r="M19" i="2"/>
  <c r="M8" i="2"/>
  <c r="M11" i="2" s="1"/>
  <c r="M14" i="2" s="1"/>
  <c r="M17" i="2" s="1"/>
  <c r="D7" i="1"/>
  <c r="D6" i="1"/>
  <c r="AC18" i="2"/>
  <c r="AB18" i="2"/>
  <c r="AA18" i="2"/>
  <c r="Z18" i="2"/>
  <c r="Y18" i="2"/>
  <c r="X18" i="2"/>
  <c r="W18" i="2"/>
  <c r="V18" i="2"/>
  <c r="U18" i="2"/>
  <c r="T18" i="2"/>
  <c r="S18" i="2"/>
  <c r="M18" i="2"/>
  <c r="D4" i="1"/>
  <c r="J50" i="2"/>
  <c r="J46" i="2"/>
  <c r="J41" i="2"/>
  <c r="J34" i="2"/>
  <c r="L53" i="2"/>
  <c r="L51" i="2"/>
  <c r="L50" i="2"/>
  <c r="L46" i="2"/>
  <c r="L42" i="2"/>
  <c r="L41" i="2"/>
  <c r="L34" i="2"/>
  <c r="J51" i="2" l="1"/>
  <c r="J53" i="2" s="1"/>
  <c r="J42" i="2"/>
  <c r="W6" i="2" l="1"/>
  <c r="V6" i="2"/>
  <c r="U6" i="2"/>
  <c r="Y6" i="2"/>
  <c r="AA6" i="2"/>
  <c r="Z6" i="2"/>
  <c r="X6" i="2"/>
  <c r="Y3" i="2"/>
  <c r="Z3" i="2" s="1"/>
  <c r="AA3" i="2" s="1"/>
  <c r="AB3" i="2" s="1"/>
  <c r="AC3" i="2" s="1"/>
  <c r="X3" i="2"/>
  <c r="W3" i="2"/>
  <c r="G8" i="2"/>
  <c r="G11" i="2" s="1"/>
  <c r="G14" i="2" s="1"/>
  <c r="G17" i="2" s="1"/>
  <c r="G19" i="2" s="1"/>
  <c r="K18" i="2"/>
  <c r="K8" i="2"/>
  <c r="K11" i="2" s="1"/>
  <c r="K14" i="2" s="1"/>
  <c r="K17" i="2" s="1"/>
  <c r="K19" i="2" s="1"/>
  <c r="L18" i="2"/>
  <c r="L8" i="2"/>
  <c r="L11" i="2" s="1"/>
  <c r="L14" i="2" s="1"/>
  <c r="L17" i="2" s="1"/>
  <c r="L19" i="2" s="1"/>
  <c r="AC25" i="2" l="1"/>
  <c r="AB25" i="2"/>
  <c r="AA25" i="2"/>
  <c r="Z25" i="2"/>
  <c r="Y25" i="2"/>
  <c r="X25" i="2"/>
  <c r="W25" i="2"/>
  <c r="V25" i="2"/>
  <c r="U25" i="2"/>
  <c r="T25" i="2"/>
  <c r="S25" i="2"/>
  <c r="AC24" i="2"/>
  <c r="AB24" i="2"/>
  <c r="AA24" i="2"/>
  <c r="Z24" i="2"/>
  <c r="Y24" i="2"/>
  <c r="X24" i="2"/>
  <c r="W24" i="2"/>
  <c r="V24" i="2"/>
  <c r="U24" i="2"/>
  <c r="T24" i="2"/>
  <c r="S24" i="2"/>
  <c r="H21" i="2"/>
  <c r="AG28" i="2"/>
  <c r="T8" i="2"/>
  <c r="T11" i="2" s="1"/>
  <c r="T14" i="2" s="1"/>
  <c r="T17" i="2" s="1"/>
  <c r="T19" i="2" s="1"/>
  <c r="S8" i="2"/>
  <c r="S11" i="2" s="1"/>
  <c r="S14" i="2" s="1"/>
  <c r="S17" i="2" s="1"/>
  <c r="S19" i="2" s="1"/>
  <c r="R8" i="2"/>
  <c r="R11" i="2" s="1"/>
  <c r="R14" i="2" s="1"/>
  <c r="R27" i="2" s="1"/>
  <c r="S3" i="2"/>
  <c r="S21" i="2" s="1"/>
  <c r="R21" i="2"/>
  <c r="D8" i="2"/>
  <c r="D11" i="2" s="1"/>
  <c r="D14" i="2" s="1"/>
  <c r="D17" i="2" s="1"/>
  <c r="D19" i="2" s="1"/>
  <c r="H8" i="2"/>
  <c r="H11" i="2" s="1"/>
  <c r="H14" i="2" s="1"/>
  <c r="H17" i="2" s="1"/>
  <c r="H19" i="2" s="1"/>
  <c r="D8" i="1"/>
  <c r="AG25" i="2" s="1"/>
  <c r="D5" i="1"/>
  <c r="F3" i="1"/>
  <c r="R17" i="2" l="1"/>
  <c r="R19" i="2" s="1"/>
  <c r="T27" i="2"/>
  <c r="S27" i="2"/>
  <c r="D9" i="1"/>
  <c r="T3" i="2"/>
  <c r="L56" i="2" l="1"/>
  <c r="L55" i="2"/>
  <c r="T21" i="2"/>
  <c r="U3" i="2"/>
  <c r="U8" i="2" s="1"/>
  <c r="U7" i="2" l="1"/>
  <c r="U23" i="2"/>
  <c r="U11" i="2"/>
  <c r="U21" i="2"/>
  <c r="V3" i="2"/>
  <c r="V22" i="2" l="1"/>
  <c r="V8" i="2"/>
  <c r="V7" i="2" s="1"/>
  <c r="U26" i="2"/>
  <c r="U14" i="2"/>
  <c r="V21" i="2"/>
  <c r="W22" i="2" l="1"/>
  <c r="W8" i="2"/>
  <c r="W7" i="2" s="1"/>
  <c r="U15" i="2"/>
  <c r="U27" i="2" s="1"/>
  <c r="V23" i="2"/>
  <c r="V11" i="2"/>
  <c r="W21" i="2"/>
  <c r="V14" i="2" l="1"/>
  <c r="V26" i="2"/>
  <c r="X22" i="2"/>
  <c r="X8" i="2"/>
  <c r="U17" i="2"/>
  <c r="W11" i="2"/>
  <c r="W23" i="2"/>
  <c r="X21" i="2"/>
  <c r="X11" i="2" l="1"/>
  <c r="X23" i="2"/>
  <c r="X7" i="2"/>
  <c r="W14" i="2"/>
  <c r="W26" i="2"/>
  <c r="Y8" i="2"/>
  <c r="Y22" i="2"/>
  <c r="Y7" i="2"/>
  <c r="U19" i="2"/>
  <c r="U28" i="2"/>
  <c r="V15" i="2"/>
  <c r="V27" i="2" s="1"/>
  <c r="Y21" i="2"/>
  <c r="Z8" i="2" l="1"/>
  <c r="Z22" i="2"/>
  <c r="Y11" i="2"/>
  <c r="Y23" i="2"/>
  <c r="W15" i="2"/>
  <c r="W27" i="2" s="1"/>
  <c r="V17" i="2"/>
  <c r="X14" i="2"/>
  <c r="X26" i="2"/>
  <c r="Z21" i="2"/>
  <c r="W17" i="2" l="1"/>
  <c r="W28" i="2" s="1"/>
  <c r="X15" i="2"/>
  <c r="X27" i="2" s="1"/>
  <c r="Z11" i="2"/>
  <c r="Z23" i="2"/>
  <c r="V19" i="2"/>
  <c r="V28" i="2"/>
  <c r="AA22" i="2"/>
  <c r="AA8" i="2"/>
  <c r="AA7" i="2" s="1"/>
  <c r="Y14" i="2"/>
  <c r="Y26" i="2"/>
  <c r="Z7" i="2"/>
  <c r="AA21" i="2"/>
  <c r="AB6" i="2"/>
  <c r="W19" i="2" l="1"/>
  <c r="X17" i="2"/>
  <c r="X19" i="2" s="1"/>
  <c r="AB22" i="2"/>
  <c r="AB8" i="2"/>
  <c r="AB7" i="2"/>
  <c r="Z14" i="2"/>
  <c r="Z26" i="2"/>
  <c r="Y15" i="2"/>
  <c r="Y27" i="2" s="1"/>
  <c r="AA23" i="2"/>
  <c r="AA11" i="2"/>
  <c r="AB21" i="2"/>
  <c r="Y17" i="2" l="1"/>
  <c r="Y19" i="2" s="1"/>
  <c r="X28" i="2"/>
  <c r="Z15" i="2"/>
  <c r="Z27" i="2" s="1"/>
  <c r="AC21" i="2"/>
  <c r="AC6" i="2"/>
  <c r="AA14" i="2"/>
  <c r="AA26" i="2"/>
  <c r="AB11" i="2"/>
  <c r="AB23" i="2"/>
  <c r="Y28" i="2" l="1"/>
  <c r="AB14" i="2"/>
  <c r="AB26" i="2"/>
  <c r="AA15" i="2"/>
  <c r="AA27" i="2" s="1"/>
  <c r="Z17" i="2"/>
  <c r="AC22" i="2"/>
  <c r="AC8" i="2"/>
  <c r="AC23" i="2" l="1"/>
  <c r="AC11" i="2"/>
  <c r="AA17" i="2"/>
  <c r="AC7" i="2"/>
  <c r="Z19" i="2"/>
  <c r="Z28" i="2"/>
  <c r="AB15" i="2"/>
  <c r="AB27" i="2" s="1"/>
  <c r="AC14" i="2" l="1"/>
  <c r="AC26" i="2"/>
  <c r="AB17" i="2"/>
  <c r="AA19" i="2"/>
  <c r="AA28" i="2"/>
  <c r="AC15" i="2" l="1"/>
  <c r="AC27" i="2" s="1"/>
  <c r="AB19" i="2"/>
  <c r="AB28" i="2"/>
  <c r="AC17" i="2" l="1"/>
  <c r="AC28" i="2" s="1"/>
  <c r="AD17" i="2"/>
  <c r="AE17" i="2" s="1"/>
  <c r="AF17" i="2" s="1"/>
  <c r="AG17" i="2" s="1"/>
  <c r="AH17" i="2" s="1"/>
  <c r="AI17" i="2" s="1"/>
  <c r="AJ17" i="2" s="1"/>
  <c r="AK17" i="2" s="1"/>
  <c r="AL17" i="2" s="1"/>
  <c r="AM17" i="2" s="1"/>
  <c r="AN17" i="2" s="1"/>
  <c r="AO17" i="2" s="1"/>
  <c r="AP17" i="2" s="1"/>
  <c r="AQ17" i="2" s="1"/>
  <c r="AR17" i="2" s="1"/>
  <c r="AS17" i="2" s="1"/>
  <c r="AT17" i="2" s="1"/>
  <c r="AU17" i="2" s="1"/>
  <c r="AV17" i="2" s="1"/>
  <c r="AW17" i="2" s="1"/>
  <c r="AX17" i="2" s="1"/>
  <c r="AY17" i="2" s="1"/>
  <c r="AZ17" i="2" s="1"/>
  <c r="BA17" i="2" s="1"/>
  <c r="BB17" i="2" s="1"/>
  <c r="BC17" i="2" s="1"/>
  <c r="BD17" i="2" s="1"/>
  <c r="BE17" i="2" s="1"/>
  <c r="BF17" i="2" s="1"/>
  <c r="BG17" i="2" s="1"/>
  <c r="BH17" i="2" s="1"/>
  <c r="BI17" i="2" s="1"/>
  <c r="BJ17" i="2" s="1"/>
  <c r="BK17" i="2" s="1"/>
  <c r="BL17" i="2" s="1"/>
  <c r="BM17" i="2" s="1"/>
  <c r="BN17" i="2" s="1"/>
  <c r="BO17" i="2" s="1"/>
  <c r="BP17" i="2" s="1"/>
  <c r="BQ17" i="2" s="1"/>
  <c r="BR17" i="2" s="1"/>
  <c r="BS17" i="2" s="1"/>
  <c r="BT17" i="2" s="1"/>
  <c r="BU17" i="2" s="1"/>
  <c r="BV17" i="2" s="1"/>
  <c r="BW17" i="2" s="1"/>
  <c r="BX17" i="2" s="1"/>
  <c r="BY17" i="2" s="1"/>
  <c r="BZ17" i="2" s="1"/>
  <c r="CA17" i="2" s="1"/>
  <c r="CB17" i="2" s="1"/>
  <c r="CC17" i="2" s="1"/>
  <c r="CD17" i="2" s="1"/>
  <c r="CE17" i="2" s="1"/>
  <c r="CF17" i="2" s="1"/>
  <c r="CG17" i="2" s="1"/>
  <c r="CH17" i="2" s="1"/>
  <c r="CI17" i="2" s="1"/>
  <c r="CJ17" i="2" s="1"/>
  <c r="CK17" i="2" s="1"/>
  <c r="CL17" i="2" s="1"/>
  <c r="CM17" i="2" s="1"/>
  <c r="CN17" i="2" s="1"/>
  <c r="CO17" i="2" s="1"/>
  <c r="CP17" i="2" s="1"/>
  <c r="CQ17" i="2" s="1"/>
  <c r="CR17" i="2" s="1"/>
  <c r="CS17" i="2" s="1"/>
  <c r="CT17" i="2" s="1"/>
  <c r="CU17" i="2" s="1"/>
  <c r="CV17" i="2" s="1"/>
  <c r="CW17" i="2" s="1"/>
  <c r="CX17" i="2" s="1"/>
  <c r="CY17" i="2" s="1"/>
  <c r="CZ17" i="2" s="1"/>
  <c r="DA17" i="2" s="1"/>
  <c r="DB17" i="2" s="1"/>
  <c r="DC17" i="2" s="1"/>
  <c r="DD17" i="2" s="1"/>
  <c r="DE17" i="2" s="1"/>
  <c r="DF17" i="2" s="1"/>
  <c r="DG17" i="2" s="1"/>
  <c r="DH17" i="2" s="1"/>
  <c r="DI17" i="2" s="1"/>
  <c r="DJ17" i="2" s="1"/>
  <c r="DK17" i="2" s="1"/>
  <c r="DL17" i="2" s="1"/>
  <c r="DM17" i="2" s="1"/>
  <c r="DN17" i="2" s="1"/>
  <c r="DO17" i="2" s="1"/>
  <c r="DP17" i="2" s="1"/>
  <c r="DQ17" i="2" s="1"/>
  <c r="DR17" i="2" s="1"/>
  <c r="DS17" i="2" s="1"/>
  <c r="DT17" i="2" s="1"/>
  <c r="DU17" i="2" s="1"/>
  <c r="DV17" i="2" s="1"/>
  <c r="DW17" i="2" s="1"/>
  <c r="DX17" i="2" s="1"/>
  <c r="DY17" i="2" s="1"/>
  <c r="DZ17" i="2" s="1"/>
  <c r="EA17" i="2" s="1"/>
  <c r="EB17" i="2" s="1"/>
  <c r="EC17" i="2" s="1"/>
  <c r="ED17" i="2" s="1"/>
  <c r="EE17" i="2" s="1"/>
  <c r="EF17" i="2" s="1"/>
  <c r="EG17" i="2" s="1"/>
  <c r="EH17" i="2" s="1"/>
  <c r="EI17" i="2" s="1"/>
  <c r="EJ17" i="2" s="1"/>
  <c r="EK17" i="2" s="1"/>
  <c r="EL17" i="2" s="1"/>
  <c r="EM17" i="2" s="1"/>
  <c r="EN17" i="2" s="1"/>
  <c r="EO17" i="2" s="1"/>
  <c r="EP17" i="2" s="1"/>
  <c r="EQ17" i="2" s="1"/>
  <c r="ER17" i="2" s="1"/>
  <c r="AG24" i="2" s="1"/>
  <c r="AG26" i="2" s="1"/>
  <c r="AG27" i="2" s="1"/>
  <c r="AG29" i="2" s="1"/>
  <c r="AC19" i="2" l="1"/>
</calcChain>
</file>

<file path=xl/sharedStrings.xml><?xml version="1.0" encoding="utf-8"?>
<sst xmlns="http://schemas.openxmlformats.org/spreadsheetml/2006/main" count="87" uniqueCount="76">
  <si>
    <t>OKLO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</si>
  <si>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</si>
  <si>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</si>
  <si>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</si>
  <si>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</si>
  <si>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</si>
  <si>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</si>
  <si>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</si>
  <si>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</si>
  <si>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</si>
  <si>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</si>
  <si>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Revenue</t>
  </si>
  <si>
    <t>Q123</t>
  </si>
  <si>
    <t>GWh</t>
  </si>
  <si>
    <t>Cost of sales</t>
  </si>
  <si>
    <t>Gross profit</t>
  </si>
  <si>
    <t>R&amp;D</t>
  </si>
  <si>
    <t>G&amp;A</t>
  </si>
  <si>
    <t>Operating profit</t>
  </si>
  <si>
    <t>Impairment</t>
  </si>
  <si>
    <t>Interest income</t>
  </si>
  <si>
    <t>Pretax profit</t>
  </si>
  <si>
    <t>Taxes</t>
  </si>
  <si>
    <t>Net profit</t>
  </si>
  <si>
    <t>EPS</t>
  </si>
  <si>
    <t>MI</t>
  </si>
  <si>
    <t>Q223</t>
  </si>
  <si>
    <t>Q323</t>
  </si>
  <si>
    <t>Q423</t>
  </si>
  <si>
    <t>Q124</t>
  </si>
  <si>
    <t>Q224</t>
  </si>
  <si>
    <t>Q324</t>
  </si>
  <si>
    <t>Q424</t>
  </si>
  <si>
    <t>GWh y/y</t>
  </si>
  <si>
    <t>MWe</t>
  </si>
  <si>
    <t>Revenue y/y</t>
  </si>
  <si>
    <t>Gross Margin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</si>
  <si>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</si>
  <si>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</si>
  <si>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</si>
  <si>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</si>
  <si>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</si>
  <si>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</si>
  <si>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</si>
  <si>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</si>
  <si>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</si>
  <si>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Heavily overvalued</t>
  </si>
  <si>
    <t>R&amp;D y/y</t>
  </si>
  <si>
    <t>G&amp;A y/y</t>
  </si>
  <si>
    <t>Operating Margin</t>
  </si>
  <si>
    <t>Net Margin</t>
  </si>
  <si>
    <t>Q125</t>
  </si>
  <si>
    <t>Q225</t>
  </si>
  <si>
    <t>Q325</t>
  </si>
  <si>
    <t>Q425</t>
  </si>
  <si>
    <t>Targeting commercial operations between late 2027 and early 2028, pending regulatory approvals and construction progress.</t>
  </si>
  <si>
    <t>Securities</t>
  </si>
  <si>
    <t>Prepaids</t>
  </si>
  <si>
    <t>Current assets</t>
  </si>
  <si>
    <t>PP&amp;E</t>
  </si>
  <si>
    <t>Leases</t>
  </si>
  <si>
    <t>Intangibles</t>
  </si>
  <si>
    <t>Goodwill</t>
  </si>
  <si>
    <t>ONCA</t>
  </si>
  <si>
    <t>Non-current assets</t>
  </si>
  <si>
    <t>Total assets</t>
  </si>
  <si>
    <t>A/P</t>
  </si>
  <si>
    <t>A/L</t>
  </si>
  <si>
    <t>Current liabiities</t>
  </si>
  <si>
    <t>ONCL</t>
  </si>
  <si>
    <t>Non-current liabilities</t>
  </si>
  <si>
    <t>Total liabilities</t>
  </si>
  <si>
    <t>S/E</t>
  </si>
  <si>
    <t>L+S/E</t>
  </si>
  <si>
    <t>EV/B</t>
  </si>
  <si>
    <t>B/EV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</si>
</sst>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0\x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3" fontId="0" fillId="0" borderId="0" xfId="0" applyNumberFormat="1"/>
    <xf numFmtId="164" fontId="0" fillId="0" borderId="0" xfId="0" applyNumberFormat="1"/>
    <xf numFmtId="2" fontId="0" fillId="0" borderId="0" xfId="0" applyNumberFormat="1"/>
    <xf numFmtId="3" fontId="1" fillId="0" borderId="0" xfId="0" applyNumberFormat="1" applyFont="1"/>
    <xf numFmtId="9" fontId="0" fillId="0" borderId="0" xfId="0" applyNumberFormat="1"/>
    <xf numFmtId="9" fontId="1" fillId="0" borderId="0" xfId="0" applyNumberFormat="1" applyFont="1"/>
    <xf numFmtId="0" fontId="4" fillId="0" borderId="0" xfId="0" applyFont="1"/>
    <xf numFmtId="3" fontId="4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22860</xdr:colOff>
      <xdr:row>0</xdr:row>
      <xdr:rowOff>7620</xdr:rowOff>
    </xdr:from>
    <xdr:to>
      <xdr:col>18</xdr:col>
      <xdr:colOff>22860</xdr:colOff>
      <xdr:row>33</xdr:row>
      <xdr:rowOff>106680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EA9D34A-6BDA-15E3-53F7-D04A0B801F76}"/>
            </a:ext>
          </a:extLst>
        </xdr:cNvPr>
        <xdr:cNvCxnSpPr/>
      </xdr:nvCxnSpPr>
      <xdr:spPr>
        <a:xfrm>
          <a:off x="11475720" y="7620"/>
          <a:ext cx="0" cy="6134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2C8E2-8783-4FD6-BA1C-EDF9B42ABC38}">
  <dimension ref="B2:J9"/>
  <sheetViews>
    <sheetView workbookViewId="0">
      <selection activeCell="E7" sqref="E7"/>
    </sheetView>
  </sheetViews>
  <sheetFormatPr defaultRowHeight="14.4" x14ac:dyDescent="0.3"/>
  <cols>
    <col min="5" max="7" width="15.5546875" style="3" customWidth="1"/>
  </cols>
  <sheetData>
    <row r="2" spans="2:10" x14ac:dyDescent="0.3">
      <c r="E2" s="3" t="s">
        <v>8</v>
      </c>
      <c r="F2" s="3" t="s">
        <v>9</v>
      </c>
      <c r="G2" s="3" t="s">
        <v>10</v>
      </c>
    </row>
    <row r="3" spans="2:10" x14ac:dyDescent="0.3">
      <c r="B3" s="1" t="s">
        <v>0</v>
      </c>
      <c r="C3" t="s">
        <v>1</v>
      </c>
      <c r="D3" s="6">
        <v>63.83</v>
      </c>
      <c r="E3" s="4">
        <v>46076</v>
      </c>
      <c r="F3" s="4">
        <f ca="1">TODAY()</f>
        <v>46076</v>
      </c>
      <c r="G3" s="4">
        <v>46077</v>
      </c>
    </row>
    <row r="4" spans="2:10" x14ac:dyDescent="0.3">
      <c r="C4" t="s">
        <v>2</v>
      </c>
      <c r="D4" s="5">
        <f>156.2</f>
        <v>156.19999999999999</v>
      </c>
      <c r="E4" s="3" t="s">
        <v>53</v>
      </c>
    </row>
    <row r="5" spans="2:10" x14ac:dyDescent="0.3">
      <c r="C5" t="s">
        <v>3</v>
      </c>
      <c r="D5" s="5">
        <f>D3*D4</f>
        <v>9970.2459999999992</v>
      </c>
    </row>
    <row r="6" spans="2:10" x14ac:dyDescent="0.3">
      <c r="C6" t="s">
        <v>4</v>
      </c>
      <c r="D6" s="5">
        <f>410+511.6+262</f>
        <v>1183.5999999999999</v>
      </c>
      <c r="E6" s="3" t="s">
        <v>53</v>
      </c>
      <c r="J6" t="s">
        <v>55</v>
      </c>
    </row>
    <row r="7" spans="2:10" x14ac:dyDescent="0.3">
      <c r="C7" t="s">
        <v>5</v>
      </c>
      <c r="D7" s="5">
        <f>0</f>
        <v>0</v>
      </c>
      <c r="E7" s="3" t="s">
        <v>53</v>
      </c>
    </row>
    <row r="8" spans="2:10" x14ac:dyDescent="0.3">
      <c r="C8" t="s">
        <v>6</v>
      </c>
      <c r="D8" s="5">
        <f>D6-D7</f>
        <v>1183.5999999999999</v>
      </c>
    </row>
    <row r="9" spans="2:10" x14ac:dyDescent="0.3">
      <c r="C9" t="s">
        <v>7</v>
      </c>
      <c r="D9" s="5">
        <f>D5-D8</f>
        <v>8786.6459999999988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48B55-EA2A-4C8A-AE37-E232F3C44AA9}">
  <dimension ref="B2:ER56"/>
  <sheetViews>
    <sheetView tabSelected="1" workbookViewId="0">
      <pane xSplit="2" ySplit="2" topLeftCell="Q8" activePane="bottomRight" state="frozen"/>
      <selection pane="topRight" activeCell="C1" sqref="C1"/>
      <selection pane="bottomLeft" activeCell="A3" sqref="A3"/>
      <selection pane="bottomRight" activeCell="AA29" sqref="AA29"/>
    </sheetView>
  </sheetViews>
  <sheetFormatPr defaultRowHeight="14.4" x14ac:dyDescent="0.3"/>
  <cols>
    <col min="2" max="2" width="19.21875" bestFit="1" customWidth="1"/>
    <col min="32" max="32" width="11.88671875" bestFit="1" customWidth="1"/>
    <col min="33" max="33" width="16.44140625" bestFit="1" customWidth="1"/>
  </cols>
  <sheetData>
    <row r="2" spans="2:29" x14ac:dyDescent="0.3">
      <c r="C2" s="2" t="s">
        <v>12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51</v>
      </c>
      <c r="L2" s="2" t="s">
        <v>52</v>
      </c>
      <c r="M2" s="2" t="s">
        <v>53</v>
      </c>
      <c r="N2" s="2" t="s">
        <v>54</v>
      </c>
      <c r="P2">
        <v>2022</v>
      </c>
      <c r="Q2">
        <v>2023</v>
      </c>
      <c r="R2">
        <v>2024</v>
      </c>
      <c r="S2">
        <v>2025</v>
      </c>
      <c r="T2">
        <v>2026</v>
      </c>
      <c r="U2">
        <v>2027</v>
      </c>
      <c r="V2">
        <v>2028</v>
      </c>
      <c r="W2">
        <v>2029</v>
      </c>
      <c r="X2">
        <v>2030</v>
      </c>
      <c r="Y2">
        <v>2031</v>
      </c>
      <c r="Z2">
        <v>2032</v>
      </c>
      <c r="AA2">
        <v>2033</v>
      </c>
      <c r="AB2">
        <v>2034</v>
      </c>
      <c r="AC2">
        <v>2035</v>
      </c>
    </row>
    <row r="3" spans="2:29" x14ac:dyDescent="0.3">
      <c r="B3" t="s">
        <v>13</v>
      </c>
      <c r="C3" s="2"/>
      <c r="D3">
        <v>700</v>
      </c>
      <c r="H3">
        <v>1350</v>
      </c>
      <c r="P3" s="5"/>
      <c r="Q3" s="5">
        <v>700</v>
      </c>
      <c r="R3" s="5">
        <v>1350</v>
      </c>
      <c r="S3" s="5">
        <f>R3*1.5</f>
        <v>2025</v>
      </c>
      <c r="T3" s="5">
        <f>S3*1.25</f>
        <v>2531.25</v>
      </c>
      <c r="U3" s="5">
        <f>T3*1.2</f>
        <v>3037.5</v>
      </c>
      <c r="V3" s="5">
        <f>U3*1.15</f>
        <v>3493.1249999999995</v>
      </c>
      <c r="W3" s="5">
        <f t="shared" ref="W3:AC3" si="0">V3*1.15</f>
        <v>4017.0937499999991</v>
      </c>
      <c r="X3" s="5">
        <f t="shared" si="0"/>
        <v>4619.6578124999987</v>
      </c>
      <c r="Y3" s="5">
        <f t="shared" si="0"/>
        <v>5312.6064843749982</v>
      </c>
      <c r="Z3" s="5">
        <f t="shared" si="0"/>
        <v>6109.4974570312479</v>
      </c>
      <c r="AA3" s="5">
        <f t="shared" si="0"/>
        <v>7025.9220755859342</v>
      </c>
      <c r="AB3" s="5">
        <f t="shared" si="0"/>
        <v>8079.8103869238239</v>
      </c>
      <c r="AC3" s="5">
        <f t="shared" si="0"/>
        <v>9291.7819449623967</v>
      </c>
    </row>
    <row r="4" spans="2:29" x14ac:dyDescent="0.3">
      <c r="B4" t="s">
        <v>34</v>
      </c>
      <c r="C4" s="2"/>
      <c r="H4">
        <v>700</v>
      </c>
      <c r="P4" s="5"/>
      <c r="Q4" s="5"/>
      <c r="R4">
        <v>700</v>
      </c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2:29" x14ac:dyDescent="0.3">
      <c r="C5" s="2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2:29" s="1" customFormat="1" x14ac:dyDescent="0.3">
      <c r="B6" s="1" t="s">
        <v>11</v>
      </c>
      <c r="D6" s="8">
        <v>0</v>
      </c>
      <c r="G6" s="8">
        <v>0</v>
      </c>
      <c r="H6" s="8">
        <v>0</v>
      </c>
      <c r="I6" s="8">
        <v>0</v>
      </c>
      <c r="K6" s="8">
        <v>0</v>
      </c>
      <c r="L6" s="8">
        <v>0</v>
      </c>
      <c r="M6" s="8">
        <v>0</v>
      </c>
      <c r="P6" s="8"/>
      <c r="Q6" s="8"/>
      <c r="R6" s="8">
        <v>0</v>
      </c>
      <c r="S6" s="8">
        <v>0</v>
      </c>
      <c r="T6" s="8">
        <v>0</v>
      </c>
      <c r="U6" s="8">
        <f>U3*0.1</f>
        <v>303.75</v>
      </c>
      <c r="V6" s="8">
        <f>V3*0.25</f>
        <v>873.28124999999989</v>
      </c>
      <c r="W6" s="8">
        <f>W3*0.35</f>
        <v>1405.9828124999997</v>
      </c>
      <c r="X6" s="8">
        <f>X3*0.45</f>
        <v>2078.8460156249994</v>
      </c>
      <c r="Y6" s="8">
        <f>Y3*0.47</f>
        <v>2496.9250476562488</v>
      </c>
      <c r="Z6" s="8">
        <f>Z3*0.48</f>
        <v>2932.5587793749987</v>
      </c>
      <c r="AA6" s="8">
        <f>AA3*0.49</f>
        <v>3442.7018170371075</v>
      </c>
      <c r="AB6" s="8">
        <f t="shared" ref="AB6:AC6" si="1">AB3*0.5</f>
        <v>4039.9051934619119</v>
      </c>
      <c r="AC6" s="8">
        <f t="shared" si="1"/>
        <v>4645.8909724811983</v>
      </c>
    </row>
    <row r="7" spans="2:29" x14ac:dyDescent="0.3">
      <c r="B7" t="s">
        <v>14</v>
      </c>
      <c r="D7" s="5">
        <v>0</v>
      </c>
      <c r="G7" s="5">
        <v>0</v>
      </c>
      <c r="H7" s="5">
        <v>0</v>
      </c>
      <c r="I7" s="5">
        <v>0</v>
      </c>
      <c r="K7" s="5">
        <v>0</v>
      </c>
      <c r="L7" s="5">
        <v>0</v>
      </c>
      <c r="M7" s="5">
        <v>0</v>
      </c>
      <c r="P7" s="5"/>
      <c r="Q7" s="5"/>
      <c r="R7" s="5">
        <v>0</v>
      </c>
      <c r="S7" s="5">
        <v>0</v>
      </c>
      <c r="T7" s="5">
        <v>0</v>
      </c>
      <c r="U7" s="5">
        <f>U6-U8</f>
        <v>273.375</v>
      </c>
      <c r="V7" s="5">
        <f t="shared" ref="V7:AC7" si="2">V6-V8</f>
        <v>768.48749999999995</v>
      </c>
      <c r="W7" s="5">
        <f t="shared" si="2"/>
        <v>1223.2050468749997</v>
      </c>
      <c r="X7" s="5">
        <f t="shared" si="2"/>
        <v>1787.8075734374995</v>
      </c>
      <c r="Y7" s="5">
        <f t="shared" si="2"/>
        <v>2122.3862905078113</v>
      </c>
      <c r="Z7" s="5">
        <f t="shared" si="2"/>
        <v>2492.6749624687491</v>
      </c>
      <c r="AA7" s="5">
        <f t="shared" si="2"/>
        <v>2926.2965444815413</v>
      </c>
      <c r="AB7" s="5">
        <f t="shared" si="2"/>
        <v>3433.9194144426251</v>
      </c>
      <c r="AC7" s="5">
        <f t="shared" si="2"/>
        <v>3949.0073266090185</v>
      </c>
    </row>
    <row r="8" spans="2:29" s="1" customFormat="1" x14ac:dyDescent="0.3">
      <c r="B8" s="1" t="s">
        <v>15</v>
      </c>
      <c r="D8" s="8">
        <f>D6-D7</f>
        <v>0</v>
      </c>
      <c r="G8" s="8">
        <f>G6-G7</f>
        <v>0</v>
      </c>
      <c r="H8" s="8">
        <f>H6-H7</f>
        <v>0</v>
      </c>
      <c r="I8" s="8">
        <f>I6-I7</f>
        <v>0</v>
      </c>
      <c r="K8" s="8">
        <f>K6-K7</f>
        <v>0</v>
      </c>
      <c r="L8" s="8">
        <f>L6-L7</f>
        <v>0</v>
      </c>
      <c r="M8" s="8">
        <f>M6-M7</f>
        <v>0</v>
      </c>
      <c r="P8" s="8"/>
      <c r="Q8" s="8"/>
      <c r="R8" s="8">
        <f>R6-R7</f>
        <v>0</v>
      </c>
      <c r="S8" s="8">
        <f>S6-S7</f>
        <v>0</v>
      </c>
      <c r="T8" s="8">
        <f>T6-T7</f>
        <v>0</v>
      </c>
      <c r="U8" s="8">
        <f>U6*0.1</f>
        <v>30.375</v>
      </c>
      <c r="V8" s="8">
        <f>V6*0.12</f>
        <v>104.79374999999999</v>
      </c>
      <c r="W8" s="8">
        <f>W6*0.13</f>
        <v>182.77776562499997</v>
      </c>
      <c r="X8" s="8">
        <f>X6*0.14</f>
        <v>291.03844218749992</v>
      </c>
      <c r="Y8" s="8">
        <f>Y6*0.15</f>
        <v>374.5387571484373</v>
      </c>
      <c r="Z8" s="8">
        <f t="shared" ref="Z8:AC8" si="3">Z6*0.15</f>
        <v>439.88381690624982</v>
      </c>
      <c r="AA8" s="8">
        <f t="shared" si="3"/>
        <v>516.40527255556606</v>
      </c>
      <c r="AB8" s="8">
        <f t="shared" si="3"/>
        <v>605.98577901928672</v>
      </c>
      <c r="AC8" s="8">
        <f t="shared" si="3"/>
        <v>696.88364587217973</v>
      </c>
    </row>
    <row r="9" spans="2:29" x14ac:dyDescent="0.3">
      <c r="B9" t="s">
        <v>16</v>
      </c>
      <c r="D9" s="5">
        <v>1.8</v>
      </c>
      <c r="G9" s="5">
        <v>3.7</v>
      </c>
      <c r="H9" s="5">
        <v>10.7</v>
      </c>
      <c r="I9" s="5">
        <v>5.0999999999999996</v>
      </c>
      <c r="K9" s="5">
        <v>7.8</v>
      </c>
      <c r="L9" s="5">
        <v>11.5</v>
      </c>
      <c r="M9" s="5">
        <v>14.9</v>
      </c>
      <c r="P9" s="5"/>
      <c r="Q9" s="5"/>
      <c r="R9" s="5">
        <v>26.7</v>
      </c>
      <c r="S9" s="5">
        <v>60</v>
      </c>
      <c r="T9" s="5">
        <v>70</v>
      </c>
      <c r="U9" s="5">
        <v>80</v>
      </c>
      <c r="V9" s="5">
        <v>80</v>
      </c>
      <c r="W9" s="5">
        <v>80</v>
      </c>
      <c r="X9" s="5">
        <v>80</v>
      </c>
      <c r="Y9" s="5">
        <v>80</v>
      </c>
      <c r="Z9" s="5">
        <v>80</v>
      </c>
      <c r="AA9" s="5">
        <v>80</v>
      </c>
      <c r="AB9" s="5">
        <v>80</v>
      </c>
      <c r="AC9" s="5">
        <v>80</v>
      </c>
    </row>
    <row r="10" spans="2:29" x14ac:dyDescent="0.3">
      <c r="B10" t="s">
        <v>17</v>
      </c>
      <c r="D10" s="5">
        <v>1.5</v>
      </c>
      <c r="G10" s="5">
        <v>3.7</v>
      </c>
      <c r="H10" s="5">
        <v>7.1</v>
      </c>
      <c r="I10" s="5">
        <v>12.3</v>
      </c>
      <c r="K10" s="5">
        <v>10</v>
      </c>
      <c r="L10" s="5">
        <v>16.5</v>
      </c>
      <c r="M10" s="5">
        <v>21.4</v>
      </c>
      <c r="P10" s="5"/>
      <c r="Q10" s="5"/>
      <c r="R10" s="5">
        <v>26.1</v>
      </c>
      <c r="S10" s="5">
        <v>40</v>
      </c>
      <c r="T10" s="5">
        <v>50</v>
      </c>
      <c r="U10" s="5">
        <v>55</v>
      </c>
      <c r="V10" s="5">
        <v>55</v>
      </c>
      <c r="W10" s="5">
        <v>55</v>
      </c>
      <c r="X10" s="5">
        <v>55</v>
      </c>
      <c r="Y10" s="5">
        <v>55</v>
      </c>
      <c r="Z10" s="5">
        <v>55</v>
      </c>
      <c r="AA10" s="5">
        <v>55</v>
      </c>
      <c r="AB10" s="5">
        <v>55</v>
      </c>
      <c r="AC10" s="5">
        <v>55</v>
      </c>
    </row>
    <row r="11" spans="2:29" s="1" customFormat="1" x14ac:dyDescent="0.3">
      <c r="B11" s="1" t="s">
        <v>18</v>
      </c>
      <c r="D11" s="8">
        <f>D8-D9-D10</f>
        <v>-3.3</v>
      </c>
      <c r="G11" s="8">
        <f>G8-G9-G10</f>
        <v>-7.4</v>
      </c>
      <c r="H11" s="8">
        <f>H8-H9-H10</f>
        <v>-17.799999999999997</v>
      </c>
      <c r="I11" s="8">
        <f>I8-I9-I10</f>
        <v>-17.399999999999999</v>
      </c>
      <c r="K11" s="8">
        <f>K8-K9-K10</f>
        <v>-17.8</v>
      </c>
      <c r="L11" s="8">
        <f>L8-L9-L10</f>
        <v>-28</v>
      </c>
      <c r="M11" s="8">
        <f>M8-M9-M10</f>
        <v>-36.299999999999997</v>
      </c>
      <c r="P11" s="8"/>
      <c r="Q11" s="8"/>
      <c r="R11" s="8">
        <f>R8-R9-R10</f>
        <v>-52.8</v>
      </c>
      <c r="S11" s="8">
        <f>S8-S9-S10</f>
        <v>-100</v>
      </c>
      <c r="T11" s="8">
        <f>T8-T9-T10</f>
        <v>-120</v>
      </c>
      <c r="U11" s="8">
        <f>U8-U9-U10</f>
        <v>-104.625</v>
      </c>
      <c r="V11" s="8">
        <f t="shared" ref="V11:AC11" si="4">V8-V9-V10</f>
        <v>-30.206250000000011</v>
      </c>
      <c r="W11" s="8">
        <f t="shared" si="4"/>
        <v>47.777765624999972</v>
      </c>
      <c r="X11" s="8">
        <f t="shared" si="4"/>
        <v>156.03844218749992</v>
      </c>
      <c r="Y11" s="8">
        <f t="shared" si="4"/>
        <v>239.5387571484373</v>
      </c>
      <c r="Z11" s="8">
        <f t="shared" si="4"/>
        <v>304.88381690624982</v>
      </c>
      <c r="AA11" s="8">
        <f t="shared" si="4"/>
        <v>381.40527255556606</v>
      </c>
      <c r="AB11" s="8">
        <f t="shared" si="4"/>
        <v>470.98577901928672</v>
      </c>
      <c r="AC11" s="8">
        <f t="shared" si="4"/>
        <v>561.88364587217973</v>
      </c>
    </row>
    <row r="12" spans="2:29" x14ac:dyDescent="0.3">
      <c r="B12" t="s">
        <v>19</v>
      </c>
      <c r="D12" s="5">
        <v>1.1000000000000001</v>
      </c>
      <c r="G12" s="5">
        <v>16.8</v>
      </c>
      <c r="H12" s="5">
        <v>13.1</v>
      </c>
      <c r="I12" s="5">
        <v>0</v>
      </c>
      <c r="K12" s="5">
        <v>0</v>
      </c>
      <c r="L12" s="5">
        <v>0</v>
      </c>
      <c r="M12" s="5">
        <v>0</v>
      </c>
      <c r="P12" s="5"/>
      <c r="Q12" s="5"/>
      <c r="R12" s="5">
        <v>27.9</v>
      </c>
      <c r="S12" s="5">
        <v>13.1</v>
      </c>
      <c r="T12" s="5">
        <v>13.1</v>
      </c>
      <c r="U12" s="5">
        <v>13.1</v>
      </c>
      <c r="V12" s="5">
        <v>13.1</v>
      </c>
      <c r="W12" s="5">
        <v>13.1</v>
      </c>
      <c r="X12" s="5">
        <v>13.1</v>
      </c>
      <c r="Y12" s="5">
        <v>13.1</v>
      </c>
      <c r="Z12" s="5">
        <v>13.1</v>
      </c>
      <c r="AA12" s="5">
        <v>13.1</v>
      </c>
      <c r="AB12" s="5">
        <v>13.1</v>
      </c>
      <c r="AC12" s="5">
        <v>13.1</v>
      </c>
    </row>
    <row r="13" spans="2:29" x14ac:dyDescent="0.3">
      <c r="B13" t="s">
        <v>20</v>
      </c>
      <c r="D13" s="5">
        <v>0</v>
      </c>
      <c r="G13" s="5">
        <v>-0.1</v>
      </c>
      <c r="H13" s="5">
        <v>-1.7</v>
      </c>
      <c r="I13" s="5">
        <v>-2.5</v>
      </c>
      <c r="K13" s="5">
        <v>-3.7</v>
      </c>
      <c r="L13" s="5">
        <v>-3.8</v>
      </c>
      <c r="M13" s="5">
        <v>-7.1</v>
      </c>
      <c r="P13" s="5"/>
      <c r="Q13" s="5"/>
      <c r="R13" s="5">
        <v>-7.7</v>
      </c>
      <c r="S13" s="5">
        <v>-1.7</v>
      </c>
      <c r="T13" s="5">
        <v>-1.7</v>
      </c>
      <c r="U13" s="5">
        <v>-1.7</v>
      </c>
      <c r="V13" s="5">
        <v>-1.7</v>
      </c>
      <c r="W13" s="5">
        <v>-1.7</v>
      </c>
      <c r="X13" s="5">
        <v>-1.7</v>
      </c>
      <c r="Y13" s="5">
        <v>-1.7</v>
      </c>
      <c r="Z13" s="5">
        <v>-1.7</v>
      </c>
      <c r="AA13" s="5">
        <v>-1.7</v>
      </c>
      <c r="AB13" s="5">
        <v>-1.7</v>
      </c>
      <c r="AC13" s="5">
        <v>-1.7</v>
      </c>
    </row>
    <row r="14" spans="2:29" s="1" customFormat="1" x14ac:dyDescent="0.3">
      <c r="B14" s="1" t="s">
        <v>21</v>
      </c>
      <c r="D14" s="8">
        <f>D11-D12-D13</f>
        <v>-4.4000000000000004</v>
      </c>
      <c r="G14" s="8">
        <f>G11-G12-G13</f>
        <v>-24.1</v>
      </c>
      <c r="H14" s="8">
        <f>H11-H12-H13</f>
        <v>-29.2</v>
      </c>
      <c r="I14" s="8">
        <f>I11-I12-I13</f>
        <v>-14.899999999999999</v>
      </c>
      <c r="K14" s="8">
        <f>K11-K12-K13</f>
        <v>-14.100000000000001</v>
      </c>
      <c r="L14" s="8">
        <f>L11-L12-L13</f>
        <v>-24.2</v>
      </c>
      <c r="M14" s="8">
        <f>M11-M12-M13</f>
        <v>-29.199999999999996</v>
      </c>
      <c r="P14" s="8"/>
      <c r="Q14" s="8"/>
      <c r="R14" s="8">
        <f>R11-R12-R13</f>
        <v>-72.999999999999986</v>
      </c>
      <c r="S14" s="8">
        <f>S11-S12-S13</f>
        <v>-111.39999999999999</v>
      </c>
      <c r="T14" s="8">
        <f>T11-T12-T13</f>
        <v>-131.4</v>
      </c>
      <c r="U14" s="8">
        <f>U11-U12-U13</f>
        <v>-116.02499999999999</v>
      </c>
      <c r="V14" s="8">
        <f t="shared" ref="V14:AC14" si="5">V11-V12-V13</f>
        <v>-41.60625000000001</v>
      </c>
      <c r="W14" s="8">
        <f t="shared" si="5"/>
        <v>36.377765624999974</v>
      </c>
      <c r="X14" s="8">
        <f t="shared" si="5"/>
        <v>144.63844218749992</v>
      </c>
      <c r="Y14" s="8">
        <f t="shared" si="5"/>
        <v>228.13875714843729</v>
      </c>
      <c r="Z14" s="8">
        <f t="shared" si="5"/>
        <v>293.48381690624979</v>
      </c>
      <c r="AA14" s="8">
        <f t="shared" si="5"/>
        <v>370.00527255556602</v>
      </c>
      <c r="AB14" s="8">
        <f t="shared" si="5"/>
        <v>459.58577901928669</v>
      </c>
      <c r="AC14" s="8">
        <f t="shared" si="5"/>
        <v>550.48364587217975</v>
      </c>
    </row>
    <row r="15" spans="2:29" x14ac:dyDescent="0.3">
      <c r="B15" t="s">
        <v>22</v>
      </c>
      <c r="D15" s="5">
        <v>0</v>
      </c>
      <c r="G15" s="5">
        <v>0</v>
      </c>
      <c r="H15" s="5">
        <v>0.2</v>
      </c>
      <c r="I15" s="5">
        <v>0.2</v>
      </c>
      <c r="K15" s="5">
        <v>-4.4000000000000004</v>
      </c>
      <c r="L15" s="5">
        <v>0.4</v>
      </c>
      <c r="M15" s="5">
        <v>0.5</v>
      </c>
      <c r="P15" s="5"/>
      <c r="Q15" s="5"/>
      <c r="R15" s="5">
        <v>0.7</v>
      </c>
      <c r="S15" s="5">
        <v>0.2</v>
      </c>
      <c r="T15" s="5">
        <v>0.2</v>
      </c>
      <c r="U15" s="5">
        <f>U14*0.2</f>
        <v>-23.204999999999998</v>
      </c>
      <c r="V15" s="5">
        <f t="shared" ref="V15:AC15" si="6">V14*0.2</f>
        <v>-8.3212500000000027</v>
      </c>
      <c r="W15" s="5">
        <f t="shared" si="6"/>
        <v>7.2755531249999947</v>
      </c>
      <c r="X15" s="5">
        <f t="shared" si="6"/>
        <v>28.927688437499985</v>
      </c>
      <c r="Y15" s="5">
        <f t="shared" si="6"/>
        <v>45.627751429687464</v>
      </c>
      <c r="Z15" s="5">
        <f t="shared" si="6"/>
        <v>58.696763381249959</v>
      </c>
      <c r="AA15" s="5">
        <f t="shared" si="6"/>
        <v>74.00105451111321</v>
      </c>
      <c r="AB15" s="5">
        <f t="shared" si="6"/>
        <v>91.917155803857341</v>
      </c>
      <c r="AC15" s="5">
        <f t="shared" si="6"/>
        <v>110.09672917443595</v>
      </c>
    </row>
    <row r="16" spans="2:29" x14ac:dyDescent="0.3">
      <c r="B16" t="s">
        <v>25</v>
      </c>
      <c r="D16" s="5">
        <v>0</v>
      </c>
      <c r="G16" s="5">
        <v>0</v>
      </c>
      <c r="H16" s="5">
        <v>0</v>
      </c>
      <c r="I16" s="5">
        <v>0</v>
      </c>
      <c r="K16" s="5">
        <v>0</v>
      </c>
      <c r="L16" s="5">
        <v>0</v>
      </c>
      <c r="M16" s="5">
        <v>0</v>
      </c>
      <c r="P16" s="5"/>
      <c r="Q16" s="5"/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</row>
    <row r="17" spans="2:148" s="1" customFormat="1" x14ac:dyDescent="0.3">
      <c r="B17" s="1" t="s">
        <v>23</v>
      </c>
      <c r="D17" s="8">
        <f>D14-D15-D16</f>
        <v>-4.4000000000000004</v>
      </c>
      <c r="G17" s="8">
        <f>G14-G15-G16</f>
        <v>-24.1</v>
      </c>
      <c r="H17" s="8">
        <f>H14-H15-H16</f>
        <v>-29.4</v>
      </c>
      <c r="I17" s="8">
        <f>I14-I15-I16</f>
        <v>-15.099999999999998</v>
      </c>
      <c r="K17" s="8">
        <f>K14-K15-K16</f>
        <v>-9.7000000000000011</v>
      </c>
      <c r="L17" s="8">
        <f>L14-L15-L16</f>
        <v>-24.599999999999998</v>
      </c>
      <c r="M17" s="8">
        <f>M14-M15-M16</f>
        <v>-29.699999999999996</v>
      </c>
      <c r="P17" s="8"/>
      <c r="Q17" s="8"/>
      <c r="R17" s="8">
        <f>R14-R15-R16</f>
        <v>-73.699999999999989</v>
      </c>
      <c r="S17" s="8">
        <f>S14-S15-S16</f>
        <v>-111.6</v>
      </c>
      <c r="T17" s="8">
        <f>T14-T15-T16</f>
        <v>-131.6</v>
      </c>
      <c r="U17" s="8">
        <f>U14-U15-U16</f>
        <v>-92.82</v>
      </c>
      <c r="V17" s="8">
        <f t="shared" ref="V17:AC17" si="7">V14-V15-V16</f>
        <v>-33.285000000000011</v>
      </c>
      <c r="W17" s="8">
        <f t="shared" si="7"/>
        <v>29.102212499999979</v>
      </c>
      <c r="X17" s="8">
        <f t="shared" si="7"/>
        <v>115.71075374999994</v>
      </c>
      <c r="Y17" s="8">
        <f t="shared" si="7"/>
        <v>182.51100571874983</v>
      </c>
      <c r="Z17" s="8">
        <f t="shared" si="7"/>
        <v>234.78705352499983</v>
      </c>
      <c r="AA17" s="8">
        <f t="shared" si="7"/>
        <v>296.00421804445284</v>
      </c>
      <c r="AB17" s="8">
        <f t="shared" si="7"/>
        <v>367.66862321542936</v>
      </c>
      <c r="AC17" s="8">
        <f t="shared" si="7"/>
        <v>440.3869166977438</v>
      </c>
      <c r="AD17" s="1">
        <f>AC17*(1+$AG$22)</f>
        <v>435.98304753076638</v>
      </c>
      <c r="AE17" s="1">
        <f t="shared" ref="AE17:CP17" si="8">AD17*(1+$AG$22)</f>
        <v>431.62321705545872</v>
      </c>
      <c r="AF17" s="1">
        <f t="shared" si="8"/>
        <v>427.30698488490413</v>
      </c>
      <c r="AG17" s="1">
        <f t="shared" si="8"/>
        <v>423.03391503605508</v>
      </c>
      <c r="AH17" s="1">
        <f t="shared" si="8"/>
        <v>418.8035758856945</v>
      </c>
      <c r="AI17" s="1">
        <f t="shared" si="8"/>
        <v>414.61554012683757</v>
      </c>
      <c r="AJ17" s="1">
        <f t="shared" si="8"/>
        <v>410.46938472556917</v>
      </c>
      <c r="AK17" s="1">
        <f t="shared" si="8"/>
        <v>406.36469087831347</v>
      </c>
      <c r="AL17" s="1">
        <f t="shared" si="8"/>
        <v>402.30104396953033</v>
      </c>
      <c r="AM17" s="1">
        <f t="shared" si="8"/>
        <v>398.278033529835</v>
      </c>
      <c r="AN17" s="1">
        <f t="shared" si="8"/>
        <v>394.29525319453666</v>
      </c>
      <c r="AO17" s="1">
        <f t="shared" si="8"/>
        <v>390.35230066259129</v>
      </c>
      <c r="AP17" s="1">
        <f t="shared" si="8"/>
        <v>386.44877765596539</v>
      </c>
      <c r="AQ17" s="1">
        <f t="shared" si="8"/>
        <v>382.58428987940573</v>
      </c>
      <c r="AR17" s="1">
        <f t="shared" si="8"/>
        <v>378.75844698061167</v>
      </c>
      <c r="AS17" s="1">
        <f t="shared" si="8"/>
        <v>374.97086251080555</v>
      </c>
      <c r="AT17" s="1">
        <f t="shared" si="8"/>
        <v>371.2211538856975</v>
      </c>
      <c r="AU17" s="1">
        <f t="shared" si="8"/>
        <v>367.50894234684051</v>
      </c>
      <c r="AV17" s="1">
        <f t="shared" si="8"/>
        <v>363.83385292337209</v>
      </c>
      <c r="AW17" s="1">
        <f t="shared" si="8"/>
        <v>360.19551439413834</v>
      </c>
      <c r="AX17" s="1">
        <f t="shared" si="8"/>
        <v>356.59355925019696</v>
      </c>
      <c r="AY17" s="1">
        <f t="shared" si="8"/>
        <v>353.02762365769496</v>
      </c>
      <c r="AZ17" s="1">
        <f t="shared" si="8"/>
        <v>349.49734742111798</v>
      </c>
      <c r="BA17" s="1">
        <f t="shared" si="8"/>
        <v>346.0023739469068</v>
      </c>
      <c r="BB17" s="1">
        <f t="shared" si="8"/>
        <v>342.54235020743772</v>
      </c>
      <c r="BC17" s="1">
        <f t="shared" si="8"/>
        <v>339.11692670536337</v>
      </c>
      <c r="BD17" s="1">
        <f t="shared" si="8"/>
        <v>335.72575743830976</v>
      </c>
      <c r="BE17" s="1">
        <f t="shared" si="8"/>
        <v>332.36849986392667</v>
      </c>
      <c r="BF17" s="1">
        <f t="shared" si="8"/>
        <v>329.04481486528738</v>
      </c>
      <c r="BG17" s="1">
        <f t="shared" si="8"/>
        <v>325.75436671663448</v>
      </c>
      <c r="BH17" s="1">
        <f t="shared" si="8"/>
        <v>322.49682304946811</v>
      </c>
      <c r="BI17" s="1">
        <f t="shared" si="8"/>
        <v>319.2718548189734</v>
      </c>
      <c r="BJ17" s="1">
        <f t="shared" si="8"/>
        <v>316.07913627078364</v>
      </c>
      <c r="BK17" s="1">
        <f t="shared" si="8"/>
        <v>312.91834490807582</v>
      </c>
      <c r="BL17" s="1">
        <f t="shared" si="8"/>
        <v>309.78916145899507</v>
      </c>
      <c r="BM17" s="1">
        <f t="shared" si="8"/>
        <v>306.6912698444051</v>
      </c>
      <c r="BN17" s="1">
        <f t="shared" si="8"/>
        <v>303.62435714596103</v>
      </c>
      <c r="BO17" s="1">
        <f t="shared" si="8"/>
        <v>300.58811357450139</v>
      </c>
      <c r="BP17" s="1">
        <f t="shared" si="8"/>
        <v>297.58223243875636</v>
      </c>
      <c r="BQ17" s="1">
        <f t="shared" si="8"/>
        <v>294.60641011436877</v>
      </c>
      <c r="BR17" s="1">
        <f t="shared" si="8"/>
        <v>291.66034601322508</v>
      </c>
      <c r="BS17" s="1">
        <f t="shared" si="8"/>
        <v>288.74374255309283</v>
      </c>
      <c r="BT17" s="1">
        <f t="shared" si="8"/>
        <v>285.85630512756188</v>
      </c>
      <c r="BU17" s="1">
        <f t="shared" si="8"/>
        <v>282.99774207628627</v>
      </c>
      <c r="BV17" s="1">
        <f t="shared" si="8"/>
        <v>280.1677646555234</v>
      </c>
      <c r="BW17" s="1">
        <f t="shared" si="8"/>
        <v>277.36608700896818</v>
      </c>
      <c r="BX17" s="1">
        <f t="shared" si="8"/>
        <v>274.59242613887852</v>
      </c>
      <c r="BY17" s="1">
        <f t="shared" si="8"/>
        <v>271.84650187748974</v>
      </c>
      <c r="BZ17" s="1">
        <f t="shared" si="8"/>
        <v>269.12803685871484</v>
      </c>
      <c r="CA17" s="1">
        <f t="shared" si="8"/>
        <v>266.43675649012766</v>
      </c>
      <c r="CB17" s="1">
        <f t="shared" si="8"/>
        <v>263.77238892522638</v>
      </c>
      <c r="CC17" s="1">
        <f t="shared" si="8"/>
        <v>261.13466503597414</v>
      </c>
      <c r="CD17" s="1">
        <f t="shared" si="8"/>
        <v>258.5233183856144</v>
      </c>
      <c r="CE17" s="1">
        <f t="shared" si="8"/>
        <v>255.93808520175827</v>
      </c>
      <c r="CF17" s="1">
        <f t="shared" si="8"/>
        <v>253.37870434974067</v>
      </c>
      <c r="CG17" s="1">
        <f t="shared" si="8"/>
        <v>250.84491730624327</v>
      </c>
      <c r="CH17" s="1">
        <f t="shared" si="8"/>
        <v>248.33646813318083</v>
      </c>
      <c r="CI17" s="1">
        <f t="shared" si="8"/>
        <v>245.85310345184902</v>
      </c>
      <c r="CJ17" s="1">
        <f t="shared" si="8"/>
        <v>243.39457241733052</v>
      </c>
      <c r="CK17" s="1">
        <f t="shared" si="8"/>
        <v>240.96062669315722</v>
      </c>
      <c r="CL17" s="1">
        <f t="shared" si="8"/>
        <v>238.55102042622565</v>
      </c>
      <c r="CM17" s="1">
        <f t="shared" si="8"/>
        <v>236.16551022196339</v>
      </c>
      <c r="CN17" s="1">
        <f t="shared" si="8"/>
        <v>233.80385511974376</v>
      </c>
      <c r="CO17" s="1">
        <f t="shared" si="8"/>
        <v>231.46581656854633</v>
      </c>
      <c r="CP17" s="1">
        <f t="shared" si="8"/>
        <v>229.15115840286086</v>
      </c>
      <c r="CQ17" s="1">
        <f t="shared" ref="CQ17:ER17" si="9">CP17*(1+$AG$22)</f>
        <v>226.85964681883226</v>
      </c>
      <c r="CR17" s="1">
        <f t="shared" si="9"/>
        <v>224.59105035064394</v>
      </c>
      <c r="CS17" s="1">
        <f t="shared" si="9"/>
        <v>222.34513984713749</v>
      </c>
      <c r="CT17" s="1">
        <f t="shared" si="9"/>
        <v>220.12168844866611</v>
      </c>
      <c r="CU17" s="1">
        <f t="shared" si="9"/>
        <v>217.92047156417945</v>
      </c>
      <c r="CV17" s="1">
        <f t="shared" si="9"/>
        <v>215.74126684853766</v>
      </c>
      <c r="CW17" s="1">
        <f t="shared" si="9"/>
        <v>213.58385418005227</v>
      </c>
      <c r="CX17" s="1">
        <f t="shared" si="9"/>
        <v>211.44801563825175</v>
      </c>
      <c r="CY17" s="1">
        <f t="shared" si="9"/>
        <v>209.33353548186923</v>
      </c>
      <c r="CZ17" s="1">
        <f t="shared" si="9"/>
        <v>207.24020012705054</v>
      </c>
      <c r="DA17" s="1">
        <f t="shared" si="9"/>
        <v>205.16779812578002</v>
      </c>
      <c r="DB17" s="1">
        <f t="shared" si="9"/>
        <v>203.11612014452223</v>
      </c>
      <c r="DC17" s="1">
        <f t="shared" si="9"/>
        <v>201.084958943077</v>
      </c>
      <c r="DD17" s="1">
        <f t="shared" si="9"/>
        <v>199.07410935364624</v>
      </c>
      <c r="DE17" s="1">
        <f t="shared" si="9"/>
        <v>197.08336826010978</v>
      </c>
      <c r="DF17" s="1">
        <f t="shared" si="9"/>
        <v>195.11253457750868</v>
      </c>
      <c r="DG17" s="1">
        <f t="shared" si="9"/>
        <v>193.16140923173359</v>
      </c>
      <c r="DH17" s="1">
        <f t="shared" si="9"/>
        <v>191.22979513941624</v>
      </c>
      <c r="DI17" s="1">
        <f t="shared" si="9"/>
        <v>189.31749718802209</v>
      </c>
      <c r="DJ17" s="1">
        <f t="shared" si="9"/>
        <v>187.42432221614186</v>
      </c>
      <c r="DK17" s="1">
        <f t="shared" si="9"/>
        <v>185.55007899398043</v>
      </c>
      <c r="DL17" s="1">
        <f t="shared" si="9"/>
        <v>183.69457820404062</v>
      </c>
      <c r="DM17" s="1">
        <f t="shared" si="9"/>
        <v>181.85763242200022</v>
      </c>
      <c r="DN17" s="1">
        <f t="shared" si="9"/>
        <v>180.03905609778022</v>
      </c>
      <c r="DO17" s="1">
        <f t="shared" si="9"/>
        <v>178.23866553680242</v>
      </c>
      <c r="DP17" s="1">
        <f t="shared" si="9"/>
        <v>176.4562788814344</v>
      </c>
      <c r="DQ17" s="1">
        <f t="shared" si="9"/>
        <v>174.69171609262006</v>
      </c>
      <c r="DR17" s="1">
        <f t="shared" si="9"/>
        <v>172.94479893169384</v>
      </c>
      <c r="DS17" s="1">
        <f t="shared" si="9"/>
        <v>171.21535094237689</v>
      </c>
      <c r="DT17" s="1">
        <f t="shared" si="9"/>
        <v>169.50319743295313</v>
      </c>
      <c r="DU17" s="1">
        <f t="shared" si="9"/>
        <v>167.80816545862359</v>
      </c>
      <c r="DV17" s="1">
        <f t="shared" si="9"/>
        <v>166.13008380403735</v>
      </c>
      <c r="DW17" s="1">
        <f t="shared" si="9"/>
        <v>164.46878296599698</v>
      </c>
      <c r="DX17" s="1">
        <f t="shared" si="9"/>
        <v>162.82409513633701</v>
      </c>
      <c r="DY17" s="1">
        <f t="shared" si="9"/>
        <v>161.19585418497363</v>
      </c>
      <c r="DZ17" s="1">
        <f t="shared" si="9"/>
        <v>159.5838956431239</v>
      </c>
      <c r="EA17" s="1">
        <f t="shared" si="9"/>
        <v>157.98805668669266</v>
      </c>
      <c r="EB17" s="1">
        <f t="shared" si="9"/>
        <v>156.40817611982573</v>
      </c>
      <c r="EC17" s="1">
        <f t="shared" si="9"/>
        <v>154.84409435862747</v>
      </c>
      <c r="ED17" s="1">
        <f t="shared" si="9"/>
        <v>153.29565341504119</v>
      </c>
      <c r="EE17" s="1">
        <f t="shared" si="9"/>
        <v>151.76269688089079</v>
      </c>
      <c r="EF17" s="1">
        <f t="shared" si="9"/>
        <v>150.24506991208187</v>
      </c>
      <c r="EG17" s="1">
        <f t="shared" si="9"/>
        <v>148.74261921296105</v>
      </c>
      <c r="EH17" s="1">
        <f t="shared" si="9"/>
        <v>147.25519302083143</v>
      </c>
      <c r="EI17" s="1">
        <f t="shared" si="9"/>
        <v>145.78264109062312</v>
      </c>
      <c r="EJ17" s="1">
        <f t="shared" si="9"/>
        <v>144.32481467971689</v>
      </c>
      <c r="EK17" s="1">
        <f t="shared" si="9"/>
        <v>142.88156653291972</v>
      </c>
      <c r="EL17" s="1">
        <f t="shared" si="9"/>
        <v>141.45275086759051</v>
      </c>
      <c r="EM17" s="1">
        <f t="shared" si="9"/>
        <v>140.03822335891459</v>
      </c>
      <c r="EN17" s="1">
        <f t="shared" si="9"/>
        <v>138.63784112532545</v>
      </c>
      <c r="EO17" s="1">
        <f t="shared" si="9"/>
        <v>137.2514627140722</v>
      </c>
      <c r="EP17" s="1">
        <f t="shared" si="9"/>
        <v>135.87894808693147</v>
      </c>
      <c r="EQ17" s="1">
        <f t="shared" si="9"/>
        <v>134.52015860606215</v>
      </c>
      <c r="ER17" s="1">
        <f t="shared" si="9"/>
        <v>133.17495702000153</v>
      </c>
    </row>
    <row r="18" spans="2:148" x14ac:dyDescent="0.3">
      <c r="B18" t="s">
        <v>2</v>
      </c>
      <c r="D18" s="5">
        <v>122.1</v>
      </c>
      <c r="G18" s="5">
        <v>122.1</v>
      </c>
      <c r="H18" s="5">
        <v>122.1</v>
      </c>
      <c r="I18" s="5">
        <v>122.1</v>
      </c>
      <c r="K18" s="5">
        <f>147.6</f>
        <v>147.6</v>
      </c>
      <c r="L18" s="5">
        <f>147.6</f>
        <v>147.6</v>
      </c>
      <c r="M18" s="5">
        <f>156.2</f>
        <v>156.19999999999999</v>
      </c>
      <c r="P18" s="5"/>
      <c r="Q18" s="5"/>
      <c r="R18" s="5">
        <v>122.1</v>
      </c>
      <c r="S18" s="5">
        <f>156.2</f>
        <v>156.19999999999999</v>
      </c>
      <c r="T18" s="5">
        <f>156.2</f>
        <v>156.19999999999999</v>
      </c>
      <c r="U18" s="5">
        <f>156.2</f>
        <v>156.19999999999999</v>
      </c>
      <c r="V18" s="5">
        <f>156.2</f>
        <v>156.19999999999999</v>
      </c>
      <c r="W18" s="5">
        <f>156.2</f>
        <v>156.19999999999999</v>
      </c>
      <c r="X18" s="5">
        <f>156.2</f>
        <v>156.19999999999999</v>
      </c>
      <c r="Y18" s="5">
        <f>156.2</f>
        <v>156.19999999999999</v>
      </c>
      <c r="Z18" s="5">
        <f>156.2</f>
        <v>156.19999999999999</v>
      </c>
      <c r="AA18" s="5">
        <f>156.2</f>
        <v>156.19999999999999</v>
      </c>
      <c r="AB18" s="5">
        <f>156.2</f>
        <v>156.19999999999999</v>
      </c>
      <c r="AC18" s="5">
        <f>156.2</f>
        <v>156.19999999999999</v>
      </c>
    </row>
    <row r="19" spans="2:148" x14ac:dyDescent="0.3">
      <c r="B19" t="s">
        <v>24</v>
      </c>
      <c r="D19" s="7">
        <f>D17/D18</f>
        <v>-3.6036036036036043E-2</v>
      </c>
      <c r="G19" s="7">
        <f>G17/G18</f>
        <v>-0.1973791973791974</v>
      </c>
      <c r="H19" s="7">
        <f>H17/H18</f>
        <v>-0.24078624078624078</v>
      </c>
      <c r="I19" s="7">
        <f>I17/I18</f>
        <v>-0.12366912366912365</v>
      </c>
      <c r="K19" s="7">
        <f>K17/K18</f>
        <v>-6.5718157181571826E-2</v>
      </c>
      <c r="L19" s="7">
        <f>L17/L18</f>
        <v>-0.16666666666666666</v>
      </c>
      <c r="M19" s="7">
        <f>M17/M18</f>
        <v>-0.19014084507042253</v>
      </c>
      <c r="R19" s="7">
        <f>R17/R18</f>
        <v>-0.60360360360360354</v>
      </c>
      <c r="S19" s="7">
        <f>S17/S18</f>
        <v>-0.71446862996158778</v>
      </c>
      <c r="T19" s="7">
        <f>T17/T18</f>
        <v>-0.84250960307298339</v>
      </c>
      <c r="U19" s="7">
        <f>U17/U18</f>
        <v>-0.59423815620998721</v>
      </c>
      <c r="V19" s="7">
        <f t="shared" ref="V19:AC19" si="10">V17/V18</f>
        <v>-0.21309218950064029</v>
      </c>
      <c r="W19" s="7">
        <f t="shared" si="10"/>
        <v>0.18631378040973098</v>
      </c>
      <c r="X19" s="7">
        <f t="shared" si="10"/>
        <v>0.74078587548015329</v>
      </c>
      <c r="Y19" s="7">
        <f t="shared" si="10"/>
        <v>1.1684443387884114</v>
      </c>
      <c r="Z19" s="7">
        <f t="shared" si="10"/>
        <v>1.5031181403649159</v>
      </c>
      <c r="AA19" s="7">
        <f t="shared" si="10"/>
        <v>1.8950334061744742</v>
      </c>
      <c r="AB19" s="7">
        <f t="shared" si="10"/>
        <v>2.3538324149515324</v>
      </c>
      <c r="AC19" s="7">
        <f t="shared" si="10"/>
        <v>2.8193784679753127</v>
      </c>
    </row>
    <row r="21" spans="2:148" x14ac:dyDescent="0.3">
      <c r="B21" t="s">
        <v>33</v>
      </c>
      <c r="H21" s="9">
        <f>H3/D3-1</f>
        <v>0.9285714285714286</v>
      </c>
      <c r="R21" s="9">
        <f>R3/Q3-1</f>
        <v>0.9285714285714286</v>
      </c>
      <c r="S21" s="9">
        <f t="shared" ref="S21:AC21" si="11">S3/R3-1</f>
        <v>0.5</v>
      </c>
      <c r="T21" s="9">
        <f t="shared" si="11"/>
        <v>0.25</v>
      </c>
      <c r="U21" s="9">
        <f t="shared" si="11"/>
        <v>0.19999999999999996</v>
      </c>
      <c r="V21" s="9">
        <f t="shared" si="11"/>
        <v>0.14999999999999991</v>
      </c>
      <c r="W21" s="9">
        <f t="shared" si="11"/>
        <v>0.14999999999999991</v>
      </c>
      <c r="X21" s="9">
        <f t="shared" si="11"/>
        <v>0.14999999999999991</v>
      </c>
      <c r="Y21" s="9">
        <f t="shared" si="11"/>
        <v>0.14999999999999991</v>
      </c>
      <c r="Z21" s="9">
        <f t="shared" si="11"/>
        <v>0.14999999999999991</v>
      </c>
      <c r="AA21" s="9">
        <f t="shared" si="11"/>
        <v>0.14999999999999991</v>
      </c>
      <c r="AB21" s="9">
        <f t="shared" si="11"/>
        <v>0.14999999999999991</v>
      </c>
      <c r="AC21" s="9">
        <f t="shared" si="11"/>
        <v>0.14999999999999991</v>
      </c>
    </row>
    <row r="22" spans="2:148" x14ac:dyDescent="0.3">
      <c r="B22" t="s">
        <v>35</v>
      </c>
      <c r="H22" s="9"/>
      <c r="R22" s="9"/>
      <c r="S22" s="9"/>
      <c r="T22" s="9"/>
      <c r="U22" s="9"/>
      <c r="V22" s="9">
        <f t="shared" ref="V22:AC22" si="12">V6/U6-1</f>
        <v>1.8749999999999996</v>
      </c>
      <c r="W22" s="9">
        <f t="shared" si="12"/>
        <v>0.60999999999999988</v>
      </c>
      <c r="X22" s="9">
        <f t="shared" si="12"/>
        <v>0.47857142857142843</v>
      </c>
      <c r="Y22" s="9">
        <f t="shared" si="12"/>
        <v>0.2011111111111108</v>
      </c>
      <c r="Z22" s="9">
        <f t="shared" si="12"/>
        <v>0.17446808510638312</v>
      </c>
      <c r="AA22" s="9">
        <f t="shared" si="12"/>
        <v>0.17395833333333321</v>
      </c>
      <c r="AB22" s="9">
        <f t="shared" si="12"/>
        <v>0.17346938775510212</v>
      </c>
      <c r="AC22" s="9">
        <f t="shared" si="12"/>
        <v>0.14999999999999991</v>
      </c>
      <c r="AF22" t="s">
        <v>37</v>
      </c>
      <c r="AG22" s="9">
        <v>-0.01</v>
      </c>
    </row>
    <row r="23" spans="2:148" x14ac:dyDescent="0.3">
      <c r="B23" t="s">
        <v>36</v>
      </c>
      <c r="R23" s="9"/>
      <c r="S23" s="9"/>
      <c r="T23" s="9"/>
      <c r="U23" s="9">
        <f t="shared" ref="U23:AC23" si="13">U8/U6</f>
        <v>0.1</v>
      </c>
      <c r="V23" s="9">
        <f t="shared" si="13"/>
        <v>0.12000000000000001</v>
      </c>
      <c r="W23" s="9">
        <f t="shared" si="13"/>
        <v>0.13</v>
      </c>
      <c r="X23" s="9">
        <f t="shared" si="13"/>
        <v>0.14000000000000001</v>
      </c>
      <c r="Y23" s="9">
        <f t="shared" si="13"/>
        <v>0.15</v>
      </c>
      <c r="Z23" s="9">
        <f t="shared" si="13"/>
        <v>0.15</v>
      </c>
      <c r="AA23" s="9">
        <f t="shared" si="13"/>
        <v>0.14999999999999997</v>
      </c>
      <c r="AB23" s="9">
        <f t="shared" si="13"/>
        <v>0.15</v>
      </c>
      <c r="AC23" s="9">
        <f t="shared" si="13"/>
        <v>0.15</v>
      </c>
      <c r="AF23" t="s">
        <v>38</v>
      </c>
      <c r="AG23" s="9">
        <v>0.09</v>
      </c>
    </row>
    <row r="24" spans="2:148" x14ac:dyDescent="0.3">
      <c r="B24" t="s">
        <v>47</v>
      </c>
      <c r="R24" s="9"/>
      <c r="S24" s="9">
        <f t="shared" ref="S24:AC24" si="14">S9/R9-1</f>
        <v>1.2471910112359552</v>
      </c>
      <c r="T24" s="9">
        <f t="shared" si="14"/>
        <v>0.16666666666666674</v>
      </c>
      <c r="U24" s="9">
        <f t="shared" si="14"/>
        <v>0.14285714285714279</v>
      </c>
      <c r="V24" s="9">
        <f t="shared" si="14"/>
        <v>0</v>
      </c>
      <c r="W24" s="9">
        <f t="shared" si="14"/>
        <v>0</v>
      </c>
      <c r="X24" s="9">
        <f t="shared" si="14"/>
        <v>0</v>
      </c>
      <c r="Y24" s="9">
        <f t="shared" si="14"/>
        <v>0</v>
      </c>
      <c r="Z24" s="9">
        <f t="shared" si="14"/>
        <v>0</v>
      </c>
      <c r="AA24" s="9">
        <f t="shared" si="14"/>
        <v>0</v>
      </c>
      <c r="AB24" s="9">
        <f t="shared" si="14"/>
        <v>0</v>
      </c>
      <c r="AC24" s="9">
        <f t="shared" si="14"/>
        <v>0</v>
      </c>
      <c r="AF24" t="s">
        <v>39</v>
      </c>
      <c r="AG24" s="5">
        <f>NPV(AG23,R17:ER17)</f>
        <v>1903.941070329623</v>
      </c>
    </row>
    <row r="25" spans="2:148" x14ac:dyDescent="0.3">
      <c r="B25" t="s">
        <v>48</v>
      </c>
      <c r="R25" s="9"/>
      <c r="S25" s="9">
        <f t="shared" ref="S25:AC25" si="15">S10/R10-1</f>
        <v>0.53256704980842895</v>
      </c>
      <c r="T25" s="9">
        <f t="shared" si="15"/>
        <v>0.25</v>
      </c>
      <c r="U25" s="9">
        <f t="shared" si="15"/>
        <v>0.10000000000000009</v>
      </c>
      <c r="V25" s="9">
        <f t="shared" si="15"/>
        <v>0</v>
      </c>
      <c r="W25" s="9">
        <f t="shared" si="15"/>
        <v>0</v>
      </c>
      <c r="X25" s="9">
        <f t="shared" si="15"/>
        <v>0</v>
      </c>
      <c r="Y25" s="9">
        <f t="shared" si="15"/>
        <v>0</v>
      </c>
      <c r="Z25" s="9">
        <f t="shared" si="15"/>
        <v>0</v>
      </c>
      <c r="AA25" s="9">
        <f t="shared" si="15"/>
        <v>0</v>
      </c>
      <c r="AB25" s="9">
        <f t="shared" si="15"/>
        <v>0</v>
      </c>
      <c r="AC25" s="9">
        <f t="shared" si="15"/>
        <v>0</v>
      </c>
      <c r="AF25" t="s">
        <v>40</v>
      </c>
      <c r="AG25" s="5">
        <f>Main!D8</f>
        <v>1183.5999999999999</v>
      </c>
    </row>
    <row r="26" spans="2:148" x14ac:dyDescent="0.3">
      <c r="B26" t="s">
        <v>49</v>
      </c>
      <c r="R26" s="9"/>
      <c r="S26" s="9"/>
      <c r="T26" s="9"/>
      <c r="U26" s="9">
        <f t="shared" ref="U26:AC26" si="16">U11/U6</f>
        <v>-0.34444444444444444</v>
      </c>
      <c r="V26" s="9">
        <f t="shared" si="16"/>
        <v>-3.4589371980676346E-2</v>
      </c>
      <c r="W26" s="9">
        <f t="shared" si="16"/>
        <v>3.39817565337414E-2</v>
      </c>
      <c r="X26" s="9">
        <f t="shared" si="16"/>
        <v>7.5060125191902388E-2</v>
      </c>
      <c r="Y26" s="9">
        <f t="shared" si="16"/>
        <v>9.5933499234701319E-2</v>
      </c>
      <c r="Z26" s="9">
        <f t="shared" si="16"/>
        <v>0.10396511710201019</v>
      </c>
      <c r="AA26" s="9">
        <f t="shared" si="16"/>
        <v>0.11078661261573182</v>
      </c>
      <c r="AB26" s="9">
        <f t="shared" si="16"/>
        <v>0.11658337422905841</v>
      </c>
      <c r="AC26" s="9">
        <f t="shared" si="16"/>
        <v>0.12094206454700733</v>
      </c>
      <c r="AF26" t="s">
        <v>41</v>
      </c>
      <c r="AG26" s="5">
        <f>AG24+AG25</f>
        <v>3087.5410703296229</v>
      </c>
    </row>
    <row r="27" spans="2:148" x14ac:dyDescent="0.3">
      <c r="B27" t="s">
        <v>22</v>
      </c>
      <c r="R27" s="9">
        <f>R15/R14</f>
        <v>-9.5890410958904115E-3</v>
      </c>
      <c r="S27" s="9">
        <f t="shared" ref="S27:AC27" si="17">S15/S14</f>
        <v>-1.7953321364452427E-3</v>
      </c>
      <c r="T27" s="9">
        <f t="shared" si="17"/>
        <v>-1.5220700152207001E-3</v>
      </c>
      <c r="U27" s="9">
        <f t="shared" si="17"/>
        <v>0.2</v>
      </c>
      <c r="V27" s="9">
        <f t="shared" si="17"/>
        <v>0.2</v>
      </c>
      <c r="W27" s="9">
        <f t="shared" si="17"/>
        <v>0.2</v>
      </c>
      <c r="X27" s="9">
        <f t="shared" si="17"/>
        <v>0.2</v>
      </c>
      <c r="Y27" s="9">
        <f t="shared" si="17"/>
        <v>0.2</v>
      </c>
      <c r="Z27" s="9">
        <f t="shared" si="17"/>
        <v>0.2</v>
      </c>
      <c r="AA27" s="9">
        <f t="shared" si="17"/>
        <v>0.2</v>
      </c>
      <c r="AB27" s="9">
        <f t="shared" si="17"/>
        <v>0.2</v>
      </c>
      <c r="AC27" s="9">
        <f t="shared" si="17"/>
        <v>0.2</v>
      </c>
      <c r="AF27" t="s">
        <v>42</v>
      </c>
      <c r="AG27" s="6">
        <f>AG26/AC18</f>
        <v>19.76658815832025</v>
      </c>
    </row>
    <row r="28" spans="2:148" x14ac:dyDescent="0.3">
      <c r="B28" t="s">
        <v>50</v>
      </c>
      <c r="R28" s="9"/>
      <c r="S28" s="9"/>
      <c r="T28" s="9"/>
      <c r="U28" s="9">
        <f t="shared" ref="U28:AC28" si="18">U17/U6</f>
        <v>-0.30558024691358021</v>
      </c>
      <c r="V28" s="9">
        <f t="shared" si="18"/>
        <v>-3.8114868491680103E-2</v>
      </c>
      <c r="W28" s="9">
        <f t="shared" si="18"/>
        <v>2.0698839446161427E-2</v>
      </c>
      <c r="X28" s="9">
        <f t="shared" si="18"/>
        <v>5.5661050833152648E-2</v>
      </c>
      <c r="Y28" s="9">
        <f t="shared" si="18"/>
        <v>7.3094306891616431E-2</v>
      </c>
      <c r="Z28" s="9">
        <f t="shared" si="18"/>
        <v>8.0062181592499504E-2</v>
      </c>
      <c r="AA28" s="9">
        <f t="shared" si="18"/>
        <v>8.5980207922626006E-2</v>
      </c>
      <c r="AB28" s="9">
        <f t="shared" si="18"/>
        <v>9.100922066449868E-2</v>
      </c>
      <c r="AC28" s="9">
        <f t="shared" si="18"/>
        <v>9.4790626664781469E-2</v>
      </c>
      <c r="AF28" t="s">
        <v>43</v>
      </c>
      <c r="AG28" s="6">
        <f>Main!D3</f>
        <v>63.83</v>
      </c>
    </row>
    <row r="29" spans="2:148" x14ac:dyDescent="0.3">
      <c r="AF29" s="1" t="s">
        <v>44</v>
      </c>
      <c r="AG29" s="10">
        <f>AG27/AG28-1</f>
        <v>-0.69032448443803462</v>
      </c>
    </row>
    <row r="30" spans="2:148" x14ac:dyDescent="0.3">
      <c r="B30" t="s">
        <v>40</v>
      </c>
      <c r="AF30" t="s">
        <v>45</v>
      </c>
      <c r="AG30" s="2" t="s">
        <v>46</v>
      </c>
    </row>
    <row r="31" spans="2:148" x14ac:dyDescent="0.3">
      <c r="B31" t="s">
        <v>4</v>
      </c>
      <c r="J31" s="5">
        <v>97.1</v>
      </c>
      <c r="L31" s="5">
        <v>226.8</v>
      </c>
    </row>
    <row r="32" spans="2:148" x14ac:dyDescent="0.3">
      <c r="B32" t="s">
        <v>56</v>
      </c>
      <c r="J32" s="5">
        <v>130.69999999999999</v>
      </c>
      <c r="L32" s="5">
        <v>307.7</v>
      </c>
    </row>
    <row r="33" spans="2:12" x14ac:dyDescent="0.3">
      <c r="B33" t="s">
        <v>57</v>
      </c>
      <c r="J33" s="5">
        <v>4.0999999999999996</v>
      </c>
      <c r="L33" s="5">
        <v>8.1999999999999993</v>
      </c>
    </row>
    <row r="34" spans="2:12" s="1" customFormat="1" x14ac:dyDescent="0.3">
      <c r="B34" s="1" t="s">
        <v>58</v>
      </c>
      <c r="J34" s="8">
        <f>SUM(J31:J33)</f>
        <v>231.89999999999998</v>
      </c>
      <c r="L34" s="8">
        <f>SUM(L31:L33)</f>
        <v>542.70000000000005</v>
      </c>
    </row>
    <row r="35" spans="2:12" x14ac:dyDescent="0.3">
      <c r="B35" t="s">
        <v>56</v>
      </c>
      <c r="J35" s="5">
        <v>47.5</v>
      </c>
      <c r="L35" s="5">
        <v>148.5</v>
      </c>
    </row>
    <row r="36" spans="2:12" x14ac:dyDescent="0.3">
      <c r="B36" t="s">
        <v>59</v>
      </c>
      <c r="J36" s="5">
        <v>1.2</v>
      </c>
      <c r="L36" s="5">
        <v>3.7</v>
      </c>
    </row>
    <row r="37" spans="2:12" x14ac:dyDescent="0.3">
      <c r="B37" t="s">
        <v>60</v>
      </c>
      <c r="J37" s="5">
        <v>1</v>
      </c>
      <c r="L37" s="5">
        <v>1.8</v>
      </c>
    </row>
    <row r="38" spans="2:12" x14ac:dyDescent="0.3">
      <c r="B38" t="s">
        <v>61</v>
      </c>
      <c r="J38" s="5">
        <v>0</v>
      </c>
      <c r="L38" s="5">
        <v>27.5</v>
      </c>
    </row>
    <row r="39" spans="2:12" x14ac:dyDescent="0.3">
      <c r="B39" t="s">
        <v>62</v>
      </c>
      <c r="J39" s="5">
        <v>0</v>
      </c>
      <c r="L39" s="5">
        <v>6.7</v>
      </c>
    </row>
    <row r="40" spans="2:12" x14ac:dyDescent="0.3">
      <c r="B40" t="s">
        <v>63</v>
      </c>
      <c r="J40" s="5">
        <v>0.1</v>
      </c>
      <c r="L40" s="5">
        <v>0.2</v>
      </c>
    </row>
    <row r="41" spans="2:12" s="1" customFormat="1" x14ac:dyDescent="0.3">
      <c r="B41" s="1" t="s">
        <v>64</v>
      </c>
      <c r="J41" s="8">
        <f>SUM(J35:J40)</f>
        <v>49.800000000000004</v>
      </c>
      <c r="L41" s="8">
        <f>SUM(L35:L40)</f>
        <v>188.39999999999998</v>
      </c>
    </row>
    <row r="42" spans="2:12" s="11" customFormat="1" x14ac:dyDescent="0.3">
      <c r="B42" s="11" t="s">
        <v>65</v>
      </c>
      <c r="J42" s="12">
        <f>SUM(J41,J34)</f>
        <v>281.7</v>
      </c>
      <c r="L42" s="12">
        <f>SUM(L41,L34)</f>
        <v>731.1</v>
      </c>
    </row>
    <row r="43" spans="2:12" x14ac:dyDescent="0.3">
      <c r="B43" t="s">
        <v>66</v>
      </c>
      <c r="J43" s="5">
        <v>3</v>
      </c>
      <c r="L43" s="5">
        <v>2.2999999999999998</v>
      </c>
    </row>
    <row r="44" spans="2:12" x14ac:dyDescent="0.3">
      <c r="B44" t="s">
        <v>67</v>
      </c>
      <c r="J44" s="5">
        <v>1.9</v>
      </c>
      <c r="L44" s="5">
        <v>4.4000000000000004</v>
      </c>
    </row>
    <row r="45" spans="2:12" x14ac:dyDescent="0.3">
      <c r="B45" t="s">
        <v>60</v>
      </c>
      <c r="J45" s="5">
        <v>0.5</v>
      </c>
      <c r="L45" s="5">
        <v>0.9</v>
      </c>
    </row>
    <row r="46" spans="2:12" s="1" customFormat="1" x14ac:dyDescent="0.3">
      <c r="B46" s="1" t="s">
        <v>68</v>
      </c>
      <c r="J46" s="8">
        <f>SUM(J43:J45)</f>
        <v>5.4</v>
      </c>
      <c r="L46" s="8">
        <f>SUM(L43:L45)</f>
        <v>7.6000000000000005</v>
      </c>
    </row>
    <row r="47" spans="2:12" x14ac:dyDescent="0.3">
      <c r="B47" t="s">
        <v>60</v>
      </c>
      <c r="J47" s="5">
        <v>0.5</v>
      </c>
      <c r="L47" s="5">
        <v>1</v>
      </c>
    </row>
    <row r="48" spans="2:12" x14ac:dyDescent="0.3">
      <c r="B48" t="s">
        <v>69</v>
      </c>
      <c r="J48" s="5">
        <v>25</v>
      </c>
      <c r="L48" s="5">
        <v>25</v>
      </c>
    </row>
    <row r="49" spans="2:12" x14ac:dyDescent="0.3">
      <c r="B49" t="s">
        <v>22</v>
      </c>
      <c r="J49" s="5">
        <v>0</v>
      </c>
      <c r="L49" s="5">
        <v>1</v>
      </c>
    </row>
    <row r="50" spans="2:12" s="1" customFormat="1" x14ac:dyDescent="0.3">
      <c r="B50" s="1" t="s">
        <v>70</v>
      </c>
      <c r="J50" s="8">
        <f>SUM(J47:J49)</f>
        <v>25.5</v>
      </c>
      <c r="L50" s="8">
        <f>SUM(L47:L49)</f>
        <v>27</v>
      </c>
    </row>
    <row r="51" spans="2:12" s="1" customFormat="1" x14ac:dyDescent="0.3">
      <c r="B51" s="1" t="s">
        <v>71</v>
      </c>
      <c r="J51" s="8">
        <f>SUM(J50,J46)</f>
        <v>30.9</v>
      </c>
      <c r="L51" s="8">
        <f>SUM(L50,L46)</f>
        <v>34.6</v>
      </c>
    </row>
    <row r="52" spans="2:12" s="1" customFormat="1" x14ac:dyDescent="0.3">
      <c r="B52" s="1" t="s">
        <v>72</v>
      </c>
      <c r="J52" s="8">
        <v>250.9</v>
      </c>
      <c r="L52" s="8">
        <v>696.4</v>
      </c>
    </row>
    <row r="53" spans="2:12" s="11" customFormat="1" x14ac:dyDescent="0.3">
      <c r="B53" s="11" t="s">
        <v>73</v>
      </c>
      <c r="J53" s="12">
        <f>J51+J52</f>
        <v>281.8</v>
      </c>
      <c r="L53" s="12">
        <f>L51+L52</f>
        <v>731</v>
      </c>
    </row>
    <row r="55" spans="2:12" x14ac:dyDescent="0.3">
      <c r="B55" s="1" t="s">
        <v>74</v>
      </c>
      <c r="L55" s="13">
        <f>Main!D9/Model!L53</f>
        <v>12.020035567715457</v>
      </c>
    </row>
    <row r="56" spans="2:12" x14ac:dyDescent="0.3">
      <c r="B56" s="1" t="s">
        <v>75</v>
      </c>
      <c r="L56" s="9">
        <f>L53/Main!D9-1</f>
        <v>-0.91680557063525714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2024-10-06T10:35:20Z</dcterms:created>
  <dcterms:modified xsi:type="dcterms:W3CDTF">2026-02-23T09:08:22Z</dcterms:modified>
</cp:coreProperties>
</file>