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DF7C30C-B1AB-4ECA-920E-128FADDB57D6}" xr6:coauthVersionLast="47" xr6:coauthVersionMax="47" xr10:uidLastSave="{00000000-0000-0000-0000-000000000000}"/>
  <bookViews>
    <workbookView xWindow="-108" yWindow="-108" windowWidth="23256" windowHeight="12576" activeTab="1" xr2:uid="{B9889FC1-6C81-4A49-B2B3-546123B256C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7" i="2" l="1"/>
  <c r="BY7" i="2"/>
  <c r="BX7" i="2"/>
  <c r="BW7" i="2"/>
  <c r="BV7" i="2"/>
  <c r="BU7" i="2"/>
  <c r="BT7" i="2"/>
  <c r="BS7" i="2"/>
  <c r="BR7" i="2"/>
  <c r="BQ7" i="2"/>
  <c r="BV5" i="2"/>
  <c r="BW5" i="2" s="1"/>
  <c r="BX5" i="2" s="1"/>
  <c r="BY5" i="2" s="1"/>
  <c r="BZ5" i="2" s="1"/>
  <c r="BR5" i="2"/>
  <c r="BQ5" i="2"/>
  <c r="BB3" i="2"/>
  <c r="BA3" i="2"/>
  <c r="BA20" i="2" s="1"/>
  <c r="AZ8" i="2"/>
  <c r="D7" i="1"/>
  <c r="D6" i="1"/>
  <c r="CC82" i="2"/>
  <c r="BP74" i="2"/>
  <c r="BQ74" i="2" s="1"/>
  <c r="BR74" i="2" s="1"/>
  <c r="BS74" i="2" s="1"/>
  <c r="BT74" i="2" s="1"/>
  <c r="BU74" i="2" s="1"/>
  <c r="BV74" i="2" s="1"/>
  <c r="BW74" i="2" s="1"/>
  <c r="BX74" i="2" s="1"/>
  <c r="BY74" i="2" s="1"/>
  <c r="BZ74" i="2" s="1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Q58" i="2" s="1"/>
  <c r="BR58" i="2" s="1"/>
  <c r="BS58" i="2" s="1"/>
  <c r="BT58" i="2" s="1"/>
  <c r="BU58" i="2" s="1"/>
  <c r="BV58" i="2" s="1"/>
  <c r="BW58" i="2" s="1"/>
  <c r="BX58" i="2" s="1"/>
  <c r="BY58" i="2" s="1"/>
  <c r="BZ58" i="2" s="1"/>
  <c r="BP57" i="2"/>
  <c r="BQ57" i="2" s="1"/>
  <c r="BR57" i="2" s="1"/>
  <c r="AY73" i="2"/>
  <c r="AY75" i="2" s="1"/>
  <c r="AY56" i="2"/>
  <c r="BA9" i="2"/>
  <c r="BA26" i="2" s="1"/>
  <c r="BP13" i="2"/>
  <c r="AY14" i="2"/>
  <c r="BB4" i="2"/>
  <c r="BA4" i="2"/>
  <c r="BA21" i="2" s="1"/>
  <c r="AZ20" i="2"/>
  <c r="BB5" i="2"/>
  <c r="BB22" i="2" s="1"/>
  <c r="BA5" i="2"/>
  <c r="AY17" i="2"/>
  <c r="BP5" i="2"/>
  <c r="AX17" i="2"/>
  <c r="BP12" i="2"/>
  <c r="BQ12" i="2" s="1"/>
  <c r="BP10" i="2"/>
  <c r="AY26" i="2"/>
  <c r="BA22" i="2"/>
  <c r="AZ22" i="2"/>
  <c r="BB21" i="2"/>
  <c r="AY21" i="2"/>
  <c r="BB9" i="2"/>
  <c r="BB26" i="2" s="1"/>
  <c r="BP9" i="2"/>
  <c r="BS5" i="2" l="1"/>
  <c r="BT5" i="2" s="1"/>
  <c r="BS57" i="2"/>
  <c r="AZ26" i="2"/>
  <c r="BP4" i="2"/>
  <c r="BA6" i="2"/>
  <c r="AZ21" i="2"/>
  <c r="AY22" i="2"/>
  <c r="AZ6" i="2"/>
  <c r="AY6" i="2"/>
  <c r="AY20" i="2"/>
  <c r="BP3" i="2"/>
  <c r="BQ3" i="2" s="1"/>
  <c r="BR3" i="2" s="1"/>
  <c r="BS3" i="2" s="1"/>
  <c r="BB6" i="2"/>
  <c r="BB8" i="2" s="1"/>
  <c r="BB20" i="2"/>
  <c r="BA8" i="2" l="1"/>
  <c r="BA11" i="2" s="1"/>
  <c r="BA25" i="2" s="1"/>
  <c r="BA27" i="2"/>
  <c r="AZ27" i="2"/>
  <c r="BT57" i="2"/>
  <c r="BA14" i="2"/>
  <c r="BA15" i="2" s="1"/>
  <c r="BA28" i="2" s="1"/>
  <c r="AY27" i="2"/>
  <c r="AY8" i="2"/>
  <c r="BB11" i="2"/>
  <c r="BB14" i="2" s="1"/>
  <c r="AZ23" i="2"/>
  <c r="AY24" i="2"/>
  <c r="AY23" i="2"/>
  <c r="BB27" i="2"/>
  <c r="BA7" i="2" l="1"/>
  <c r="BA24" i="2"/>
  <c r="BU57" i="2"/>
  <c r="BA16" i="2"/>
  <c r="BB24" i="2"/>
  <c r="BB7" i="2"/>
  <c r="AZ24" i="2"/>
  <c r="AZ11" i="2"/>
  <c r="AZ14" i="2" s="1"/>
  <c r="AY11" i="2"/>
  <c r="AY25" i="2" s="1"/>
  <c r="BB25" i="2"/>
  <c r="BA29" i="2" l="1"/>
  <c r="BA56" i="2"/>
  <c r="BA73" i="2" s="1"/>
  <c r="BA75" i="2" s="1"/>
  <c r="BV57" i="2"/>
  <c r="BA18" i="2"/>
  <c r="BB15" i="2"/>
  <c r="BB16" i="2" s="1"/>
  <c r="BB56" i="2" s="1"/>
  <c r="BB73" i="2" s="1"/>
  <c r="BB75" i="2" s="1"/>
  <c r="BP7" i="2"/>
  <c r="AZ25" i="2"/>
  <c r="AZ28" i="2"/>
  <c r="AX42" i="2"/>
  <c r="BO42" i="2" s="1"/>
  <c r="AX48" i="2"/>
  <c r="BO48" i="2" s="1"/>
  <c r="AX52" i="2"/>
  <c r="AX20" i="2"/>
  <c r="AW20" i="2"/>
  <c r="BO17" i="2"/>
  <c r="AW17" i="2"/>
  <c r="AP52" i="2"/>
  <c r="AP48" i="2"/>
  <c r="AP42" i="2"/>
  <c r="AP37" i="2"/>
  <c r="AP31" i="2"/>
  <c r="AO31" i="2"/>
  <c r="AO52" i="2"/>
  <c r="AO48" i="2"/>
  <c r="AO42" i="2"/>
  <c r="AO37" i="2"/>
  <c r="AS52" i="2"/>
  <c r="AS48" i="2"/>
  <c r="AS42" i="2"/>
  <c r="AS37" i="2"/>
  <c r="AS31" i="2"/>
  <c r="BR12" i="2"/>
  <c r="BS12" i="2" s="1"/>
  <c r="BT12" i="2" s="1"/>
  <c r="BU12" i="2" s="1"/>
  <c r="BV12" i="2" s="1"/>
  <c r="BW12" i="2" s="1"/>
  <c r="BX12" i="2" s="1"/>
  <c r="BY12" i="2" s="1"/>
  <c r="BZ12" i="2" s="1"/>
  <c r="AX22" i="2"/>
  <c r="AW22" i="2"/>
  <c r="AW21" i="2"/>
  <c r="AV72" i="2"/>
  <c r="BO72" i="2" s="1"/>
  <c r="AV71" i="2"/>
  <c r="BO71" i="2" s="1"/>
  <c r="AV70" i="2"/>
  <c r="AV69" i="2"/>
  <c r="BO69" i="2" s="1"/>
  <c r="AV68" i="2"/>
  <c r="AV67" i="2"/>
  <c r="AV66" i="2"/>
  <c r="AV65" i="2"/>
  <c r="BO65" i="2" s="1"/>
  <c r="AV64" i="2"/>
  <c r="BO64" i="2" s="1"/>
  <c r="AV58" i="2"/>
  <c r="BO58" i="2" s="1"/>
  <c r="AV57" i="2"/>
  <c r="BO57" i="2" s="1"/>
  <c r="AV8" i="2"/>
  <c r="AV11" i="2" s="1"/>
  <c r="BO51" i="2"/>
  <c r="BO50" i="2"/>
  <c r="BO49" i="2"/>
  <c r="BO47" i="2"/>
  <c r="BO46" i="2"/>
  <c r="BO45" i="2"/>
  <c r="BO44" i="2"/>
  <c r="BO41" i="2"/>
  <c r="BO40" i="2"/>
  <c r="BO39" i="2"/>
  <c r="BO38" i="2"/>
  <c r="BO36" i="2"/>
  <c r="BO35" i="2"/>
  <c r="BO34" i="2"/>
  <c r="BO33" i="2"/>
  <c r="AW52" i="2"/>
  <c r="AW48" i="2"/>
  <c r="AW42" i="2"/>
  <c r="BO63" i="2"/>
  <c r="BO62" i="2"/>
  <c r="BO61" i="2"/>
  <c r="BO60" i="2"/>
  <c r="BO59" i="2"/>
  <c r="AV52" i="2"/>
  <c r="AV48" i="2"/>
  <c r="AV42" i="2"/>
  <c r="BL52" i="2"/>
  <c r="BL48" i="2"/>
  <c r="BL42" i="2"/>
  <c r="BL37" i="2"/>
  <c r="BL31" i="2"/>
  <c r="BM31" i="2"/>
  <c r="BM52" i="2"/>
  <c r="BM48" i="2"/>
  <c r="BM42" i="2"/>
  <c r="BM37" i="2"/>
  <c r="BN52" i="2"/>
  <c r="BN48" i="2"/>
  <c r="BN42" i="2"/>
  <c r="BN37" i="2"/>
  <c r="BN31" i="2"/>
  <c r="AQ52" i="2"/>
  <c r="AQ48" i="2"/>
  <c r="AQ42" i="2"/>
  <c r="AQ37" i="2"/>
  <c r="AQ31" i="2"/>
  <c r="AT52" i="2"/>
  <c r="AT48" i="2"/>
  <c r="AT42" i="2"/>
  <c r="AT37" i="2"/>
  <c r="AT31" i="2"/>
  <c r="AU31" i="2"/>
  <c r="AU37" i="2"/>
  <c r="AU42" i="2"/>
  <c r="AU48" i="2"/>
  <c r="AU52" i="2"/>
  <c r="AU53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BN17" i="2"/>
  <c r="BM17" i="2"/>
  <c r="AT9" i="2"/>
  <c r="AT27" i="2" s="1"/>
  <c r="BL5" i="2"/>
  <c r="BL22" i="2" s="1"/>
  <c r="BL4" i="2"/>
  <c r="BL21" i="2" s="1"/>
  <c r="BL3" i="2"/>
  <c r="BL20" i="2" s="1"/>
  <c r="BO12" i="2"/>
  <c r="BO10" i="2"/>
  <c r="BN15" i="2"/>
  <c r="BN10" i="2"/>
  <c r="BN7" i="2"/>
  <c r="BN6" i="2"/>
  <c r="BN5" i="2"/>
  <c r="BN4" i="2"/>
  <c r="BN3" i="2"/>
  <c r="BM15" i="2"/>
  <c r="BM12" i="2"/>
  <c r="BM10" i="2"/>
  <c r="BM7" i="2"/>
  <c r="BM3" i="2"/>
  <c r="BM4" i="2"/>
  <c r="BM21" i="2" s="1"/>
  <c r="BM5" i="2"/>
  <c r="AL6" i="2"/>
  <c r="AL8" i="2" s="1"/>
  <c r="AL11" i="2" s="1"/>
  <c r="AK6" i="2"/>
  <c r="AK8" i="2" s="1"/>
  <c r="AK11" i="2" s="1"/>
  <c r="AJ6" i="2"/>
  <c r="AJ8" i="2" s="1"/>
  <c r="AJ11" i="2" s="1"/>
  <c r="BL9" i="2"/>
  <c r="AU27" i="2"/>
  <c r="AS27" i="2"/>
  <c r="AR27" i="2"/>
  <c r="AQ27" i="2"/>
  <c r="AO27" i="2"/>
  <c r="AU26" i="2"/>
  <c r="AS26" i="2"/>
  <c r="AR26" i="2"/>
  <c r="AQ26" i="2"/>
  <c r="AO26" i="2"/>
  <c r="AN26" i="2"/>
  <c r="AM26" i="2"/>
  <c r="AU23" i="2"/>
  <c r="AT23" i="2"/>
  <c r="AS23" i="2"/>
  <c r="AT12" i="2"/>
  <c r="AS12" i="2"/>
  <c r="AR12" i="2"/>
  <c r="AQ12" i="2"/>
  <c r="AP9" i="2"/>
  <c r="AP26" i="2" s="1"/>
  <c r="AU8" i="2"/>
  <c r="AU11" i="2" s="1"/>
  <c r="AT8" i="2"/>
  <c r="AT24" i="2" s="1"/>
  <c r="AS8" i="2"/>
  <c r="AS11" i="2" s="1"/>
  <c r="AR8" i="2"/>
  <c r="AR11" i="2" s="1"/>
  <c r="AQ8" i="2"/>
  <c r="AQ11" i="2" s="1"/>
  <c r="AP8" i="2"/>
  <c r="AP24" i="2" s="1"/>
  <c r="AO8" i="2"/>
  <c r="AO11" i="2" s="1"/>
  <c r="AN6" i="2"/>
  <c r="AN8" i="2" s="1"/>
  <c r="AN11" i="2" s="1"/>
  <c r="AM6" i="2"/>
  <c r="AM8" i="2" s="1"/>
  <c r="AM11" i="2" s="1"/>
  <c r="AI8" i="2"/>
  <c r="AI11" i="2" s="1"/>
  <c r="AI12" i="2"/>
  <c r="BD6" i="2"/>
  <c r="BE6" i="2"/>
  <c r="BF6" i="2"/>
  <c r="BG6" i="2"/>
  <c r="BH6" i="2"/>
  <c r="BI6" i="2"/>
  <c r="BJ6" i="2"/>
  <c r="BK6" i="2"/>
  <c r="BD7" i="2"/>
  <c r="BE7" i="2"/>
  <c r="BF7" i="2"/>
  <c r="BG7" i="2"/>
  <c r="BH7" i="2"/>
  <c r="BI7" i="2"/>
  <c r="BJ7" i="2"/>
  <c r="BK7" i="2"/>
  <c r="BD9" i="2"/>
  <c r="BE9" i="2"/>
  <c r="BF9" i="2"/>
  <c r="BG9" i="2"/>
  <c r="BH9" i="2"/>
  <c r="BI9" i="2"/>
  <c r="BJ9" i="2"/>
  <c r="BK9" i="2"/>
  <c r="BD15" i="2"/>
  <c r="BE15" i="2"/>
  <c r="BF15" i="2"/>
  <c r="BG15" i="2"/>
  <c r="BH15" i="2"/>
  <c r="BI15" i="2"/>
  <c r="BJ15" i="2"/>
  <c r="BK15" i="2"/>
  <c r="AX21" i="2"/>
  <c r="AV21" i="2"/>
  <c r="AV20" i="2"/>
  <c r="BW57" i="2" l="1"/>
  <c r="BB28" i="2"/>
  <c r="BP15" i="2"/>
  <c r="AY28" i="2"/>
  <c r="BB18" i="2"/>
  <c r="BB29" i="2"/>
  <c r="AZ16" i="2"/>
  <c r="AY16" i="2"/>
  <c r="AY18" i="2" s="1"/>
  <c r="BN54" i="2"/>
  <c r="BL43" i="2"/>
  <c r="BO68" i="2"/>
  <c r="AT11" i="2"/>
  <c r="BM43" i="2"/>
  <c r="BN43" i="2"/>
  <c r="AN14" i="2"/>
  <c r="AN16" i="2" s="1"/>
  <c r="AN18" i="2" s="1"/>
  <c r="AO14" i="2"/>
  <c r="AO16" i="2" s="1"/>
  <c r="AO18" i="2" s="1"/>
  <c r="AP11" i="2"/>
  <c r="AJ14" i="2"/>
  <c r="AJ16" i="2" s="1"/>
  <c r="AJ18" i="2" s="1"/>
  <c r="AU43" i="2"/>
  <c r="BO52" i="2"/>
  <c r="AP54" i="2"/>
  <c r="AP43" i="2"/>
  <c r="AM14" i="2"/>
  <c r="AM16" i="2" s="1"/>
  <c r="AM18" i="2" s="1"/>
  <c r="AU14" i="2"/>
  <c r="AU16" i="2" s="1"/>
  <c r="AU18" i="2" s="1"/>
  <c r="AK14" i="2"/>
  <c r="AK16" i="2" s="1"/>
  <c r="AK18" i="2" s="1"/>
  <c r="AL14" i="2"/>
  <c r="AL16" i="2" s="1"/>
  <c r="AL18" i="2" s="1"/>
  <c r="AO54" i="2"/>
  <c r="AO43" i="2"/>
  <c r="AS54" i="2"/>
  <c r="AS43" i="2"/>
  <c r="BO70" i="2"/>
  <c r="BO66" i="2"/>
  <c r="BO67" i="2"/>
  <c r="BL54" i="2"/>
  <c r="BM54" i="2"/>
  <c r="BN21" i="2"/>
  <c r="BI8" i="2"/>
  <c r="AQ43" i="2"/>
  <c r="AU54" i="2"/>
  <c r="AT54" i="2"/>
  <c r="AT43" i="2"/>
  <c r="BN22" i="2"/>
  <c r="BM20" i="2"/>
  <c r="BN8" i="2"/>
  <c r="BN20" i="2"/>
  <c r="AQ54" i="2"/>
  <c r="BM22" i="2"/>
  <c r="AO56" i="2"/>
  <c r="AO73" i="2" s="1"/>
  <c r="BF8" i="2"/>
  <c r="BO4" i="2"/>
  <c r="BO3" i="2"/>
  <c r="BN9" i="2"/>
  <c r="BN12" i="2"/>
  <c r="BO5" i="2"/>
  <c r="BU5" i="2" s="1"/>
  <c r="BM9" i="2"/>
  <c r="BM6" i="2"/>
  <c r="BM8" i="2" s="1"/>
  <c r="AQ14" i="2"/>
  <c r="AQ16" i="2" s="1"/>
  <c r="AR24" i="2"/>
  <c r="AT26" i="2"/>
  <c r="AN25" i="2"/>
  <c r="AP23" i="2"/>
  <c r="AO25" i="2"/>
  <c r="AN27" i="2"/>
  <c r="AN24" i="2"/>
  <c r="AO23" i="2"/>
  <c r="AO24" i="2"/>
  <c r="AP27" i="2"/>
  <c r="AS24" i="2"/>
  <c r="AX6" i="2"/>
  <c r="BB23" i="2" s="1"/>
  <c r="AI14" i="2"/>
  <c r="AI16" i="2" s="1"/>
  <c r="AM23" i="2"/>
  <c r="AU24" i="2"/>
  <c r="AQ25" i="2"/>
  <c r="AR14" i="2"/>
  <c r="AW6" i="2"/>
  <c r="AS14" i="2"/>
  <c r="AR23" i="2"/>
  <c r="AS25" i="2"/>
  <c r="AQ23" i="2"/>
  <c r="AN29" i="2"/>
  <c r="AR25" i="2"/>
  <c r="AQ24" i="2"/>
  <c r="AM25" i="2"/>
  <c r="AU25" i="2"/>
  <c r="AM27" i="2"/>
  <c r="AN23" i="2"/>
  <c r="AM29" i="2"/>
  <c r="AM24" i="2"/>
  <c r="BL6" i="2"/>
  <c r="BE8" i="2"/>
  <c r="BD8" i="2"/>
  <c r="BG8" i="2"/>
  <c r="BH8" i="2"/>
  <c r="BK8" i="2"/>
  <c r="BJ8" i="2"/>
  <c r="AZ18" i="2" l="1"/>
  <c r="AZ56" i="2"/>
  <c r="AZ73" i="2" s="1"/>
  <c r="AZ75" i="2" s="1"/>
  <c r="BX57" i="2"/>
  <c r="AO29" i="2"/>
  <c r="AO28" i="2"/>
  <c r="AW8" i="2"/>
  <c r="BA23" i="2"/>
  <c r="AZ29" i="2"/>
  <c r="AY29" i="2"/>
  <c r="AN56" i="2"/>
  <c r="AJ56" i="2"/>
  <c r="AN28" i="2"/>
  <c r="AX26" i="2"/>
  <c r="AW23" i="2"/>
  <c r="AW27" i="2"/>
  <c r="AU28" i="2"/>
  <c r="AU29" i="2"/>
  <c r="AU56" i="2"/>
  <c r="AU73" i="2" s="1"/>
  <c r="AU75" i="2" s="1"/>
  <c r="AM56" i="2"/>
  <c r="AM28" i="2"/>
  <c r="AK56" i="2"/>
  <c r="AL56" i="2"/>
  <c r="BO22" i="2"/>
  <c r="BO20" i="2"/>
  <c r="AI18" i="2"/>
  <c r="AI56" i="2"/>
  <c r="AQ18" i="2"/>
  <c r="AQ56" i="2"/>
  <c r="AQ73" i="2" s="1"/>
  <c r="BO21" i="2"/>
  <c r="AQ28" i="2"/>
  <c r="AV23" i="2"/>
  <c r="BO6" i="2"/>
  <c r="AQ29" i="2"/>
  <c r="AX27" i="2"/>
  <c r="AR16" i="2"/>
  <c r="AR28" i="2"/>
  <c r="AT14" i="2"/>
  <c r="AT25" i="2"/>
  <c r="AP14" i="2"/>
  <c r="AP25" i="2"/>
  <c r="AS16" i="2"/>
  <c r="AS28" i="2"/>
  <c r="AX23" i="2"/>
  <c r="BL10" i="2"/>
  <c r="BL12" i="2"/>
  <c r="BL7" i="2"/>
  <c r="BL8" i="2" s="1"/>
  <c r="BL15" i="2"/>
  <c r="BY57" i="2" l="1"/>
  <c r="AW24" i="2"/>
  <c r="AW11" i="2"/>
  <c r="AW14" i="2" s="1"/>
  <c r="BP6" i="2"/>
  <c r="BP20" i="2"/>
  <c r="AR18" i="2"/>
  <c r="AR56" i="2"/>
  <c r="BP21" i="2"/>
  <c r="BQ4" i="2"/>
  <c r="AS18" i="2"/>
  <c r="AS56" i="2"/>
  <c r="AS73" i="2" s="1"/>
  <c r="BP22" i="2"/>
  <c r="BO9" i="2"/>
  <c r="AV27" i="2"/>
  <c r="AV26" i="2"/>
  <c r="AW26" i="2"/>
  <c r="AV24" i="2"/>
  <c r="AP16" i="2"/>
  <c r="AP28" i="2"/>
  <c r="AR29" i="2"/>
  <c r="AT16" i="2"/>
  <c r="AT28" i="2"/>
  <c r="AS29" i="2"/>
  <c r="BL11" i="2"/>
  <c r="BM11" i="2"/>
  <c r="BM14" i="2" s="1"/>
  <c r="BZ57" i="2" l="1"/>
  <c r="BQ6" i="2"/>
  <c r="BQ20" i="2"/>
  <c r="AT18" i="2"/>
  <c r="AT56" i="2"/>
  <c r="AT73" i="2" s="1"/>
  <c r="BR4" i="2"/>
  <c r="BQ21" i="2"/>
  <c r="AP18" i="2"/>
  <c r="AP56" i="2"/>
  <c r="BQ22" i="2"/>
  <c r="BL14" i="2"/>
  <c r="BL16" i="2" s="1"/>
  <c r="BL56" i="2" s="1"/>
  <c r="BL73" i="2" s="1"/>
  <c r="BL75" i="2" s="1"/>
  <c r="BP8" i="2"/>
  <c r="AW25" i="2"/>
  <c r="AV14" i="2"/>
  <c r="AV25" i="2"/>
  <c r="AW16" i="2"/>
  <c r="AW28" i="2"/>
  <c r="AT29" i="2"/>
  <c r="AP29" i="2"/>
  <c r="BM16" i="2"/>
  <c r="BM56" i="2" s="1"/>
  <c r="BM73" i="2" s="1"/>
  <c r="BM75" i="2" s="1"/>
  <c r="BN11" i="2"/>
  <c r="BN14" i="2" s="1"/>
  <c r="AW18" i="2" l="1"/>
  <c r="AW56" i="2"/>
  <c r="AW73" i="2" s="1"/>
  <c r="AW75" i="2" s="1"/>
  <c r="BS4" i="2"/>
  <c r="BR21" i="2"/>
  <c r="BR6" i="2"/>
  <c r="BR20" i="2"/>
  <c r="BR22" i="2"/>
  <c r="BQ8" i="2"/>
  <c r="BQ9" i="2"/>
  <c r="AV16" i="2"/>
  <c r="AV28" i="2"/>
  <c r="AW29" i="2"/>
  <c r="BN16" i="2"/>
  <c r="BN56" i="2" s="1"/>
  <c r="BN73" i="2" s="1"/>
  <c r="BN75" i="2" s="1"/>
  <c r="BR8" i="2" l="1"/>
  <c r="BR9" i="2"/>
  <c r="AV18" i="2"/>
  <c r="AV56" i="2"/>
  <c r="AV73" i="2" s="1"/>
  <c r="AV75" i="2" s="1"/>
  <c r="BS20" i="2"/>
  <c r="BS6" i="2"/>
  <c r="BT3" i="2"/>
  <c r="BS22" i="2"/>
  <c r="BT4" i="2"/>
  <c r="BS21" i="2"/>
  <c r="AV29" i="2"/>
  <c r="BP11" i="2"/>
  <c r="BS8" i="2" l="1"/>
  <c r="BS9" i="2"/>
  <c r="BP14" i="2"/>
  <c r="BP16" i="2" s="1"/>
  <c r="BP56" i="2" s="1"/>
  <c r="BP73" i="2" s="1"/>
  <c r="BP75" i="2" s="1"/>
  <c r="AV37" i="2"/>
  <c r="AV43" i="2" s="1"/>
  <c r="AV31" i="2"/>
  <c r="BT21" i="2"/>
  <c r="BU4" i="2"/>
  <c r="BV4" i="2" s="1"/>
  <c r="BW4" i="2" s="1"/>
  <c r="BX4" i="2" s="1"/>
  <c r="BY4" i="2" s="1"/>
  <c r="BZ4" i="2" s="1"/>
  <c r="BT22" i="2"/>
  <c r="BT20" i="2"/>
  <c r="BT6" i="2"/>
  <c r="BU3" i="2"/>
  <c r="BQ11" i="2"/>
  <c r="BQ14" i="2" s="1"/>
  <c r="AW31" i="2" l="1"/>
  <c r="AW37" i="2"/>
  <c r="AW43" i="2" s="1"/>
  <c r="AW54" i="2" s="1"/>
  <c r="BU6" i="2"/>
  <c r="BU20" i="2"/>
  <c r="BV3" i="2"/>
  <c r="BU22" i="2"/>
  <c r="BU21" i="2"/>
  <c r="BQ15" i="2"/>
  <c r="BQ16" i="2" s="1"/>
  <c r="BT8" i="2"/>
  <c r="BT9" i="2"/>
  <c r="BQ56" i="2" l="1"/>
  <c r="BQ73" i="2" s="1"/>
  <c r="BQ75" i="2" s="1"/>
  <c r="BV21" i="2"/>
  <c r="BV22" i="2"/>
  <c r="BV6" i="2"/>
  <c r="BW3" i="2"/>
  <c r="BV20" i="2"/>
  <c r="BU9" i="2"/>
  <c r="BU8" i="2"/>
  <c r="BS11" i="2"/>
  <c r="BS14" i="2" s="1"/>
  <c r="BR11" i="2"/>
  <c r="BR14" i="2" s="1"/>
  <c r="BW6" i="2" l="1"/>
  <c r="BX3" i="2"/>
  <c r="BW20" i="2"/>
  <c r="BW22" i="2"/>
  <c r="BW21" i="2"/>
  <c r="BS15" i="2"/>
  <c r="BS16" i="2" s="1"/>
  <c r="BS56" i="2" s="1"/>
  <c r="BS73" i="2" s="1"/>
  <c r="BS75" i="2" s="1"/>
  <c r="BV8" i="2"/>
  <c r="BV23" i="2"/>
  <c r="BV9" i="2"/>
  <c r="BR15" i="2"/>
  <c r="BR16" i="2" s="1"/>
  <c r="BU11" i="2"/>
  <c r="BT11" i="2"/>
  <c r="BR56" i="2" l="1"/>
  <c r="BR73" i="2" s="1"/>
  <c r="BR75" i="2" s="1"/>
  <c r="BT14" i="2"/>
  <c r="BT15" i="2" s="1"/>
  <c r="BT16" i="2" s="1"/>
  <c r="BT56" i="2" s="1"/>
  <c r="BT73" i="2" s="1"/>
  <c r="BT75" i="2" s="1"/>
  <c r="BU14" i="2"/>
  <c r="BU15" i="2" s="1"/>
  <c r="BU16" i="2" s="1"/>
  <c r="BU56" i="2" s="1"/>
  <c r="BU73" i="2" s="1"/>
  <c r="BU75" i="2" s="1"/>
  <c r="BX21" i="2"/>
  <c r="BX22" i="2"/>
  <c r="BX6" i="2"/>
  <c r="BY3" i="2"/>
  <c r="BX20" i="2"/>
  <c r="BV24" i="2"/>
  <c r="BV11" i="2"/>
  <c r="BV14" i="2" s="1"/>
  <c r="BW23" i="2"/>
  <c r="BW8" i="2"/>
  <c r="BW9" i="2"/>
  <c r="BV27" i="2"/>
  <c r="BV26" i="2"/>
  <c r="AL26" i="2"/>
  <c r="AK26" i="2"/>
  <c r="AJ26" i="2"/>
  <c r="AK23" i="2"/>
  <c r="AJ23" i="2"/>
  <c r="AI27" i="2"/>
  <c r="AI26" i="2"/>
  <c r="AI23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AH8" i="2"/>
  <c r="AH11" i="2" s="1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Y6" i="2" l="1"/>
  <c r="BZ3" i="2"/>
  <c r="BY20" i="2"/>
  <c r="BZ22" i="2"/>
  <c r="BY22" i="2"/>
  <c r="BZ21" i="2"/>
  <c r="BY21" i="2"/>
  <c r="BW27" i="2"/>
  <c r="BW26" i="2"/>
  <c r="BX23" i="2"/>
  <c r="BX8" i="2"/>
  <c r="BX9" i="2"/>
  <c r="BW24" i="2"/>
  <c r="BW11" i="2"/>
  <c r="BW14" i="2" s="1"/>
  <c r="BV25" i="2"/>
  <c r="AI24" i="2"/>
  <c r="AL23" i="2"/>
  <c r="AK27" i="2"/>
  <c r="AL27" i="2"/>
  <c r="AJ27" i="2"/>
  <c r="AI25" i="2"/>
  <c r="AH27" i="2"/>
  <c r="BZ20" i="2" l="1"/>
  <c r="BZ6" i="2"/>
  <c r="BW25" i="2"/>
  <c r="BY23" i="2"/>
  <c r="BY8" i="2"/>
  <c r="BY9" i="2"/>
  <c r="BX26" i="2"/>
  <c r="BX27" i="2"/>
  <c r="BX11" i="2"/>
  <c r="BX14" i="2" s="1"/>
  <c r="BX24" i="2"/>
  <c r="BV15" i="2"/>
  <c r="BV28" i="2" s="1"/>
  <c r="AK24" i="2"/>
  <c r="AJ24" i="2"/>
  <c r="AL24" i="2"/>
  <c r="AI28" i="2"/>
  <c r="AG8" i="2"/>
  <c r="AG11" i="2" s="1"/>
  <c r="BV16" i="2" l="1"/>
  <c r="BY26" i="2"/>
  <c r="BY27" i="2"/>
  <c r="BZ23" i="2"/>
  <c r="BZ9" i="2"/>
  <c r="BZ8" i="2"/>
  <c r="BY11" i="2"/>
  <c r="BY14" i="2" s="1"/>
  <c r="BY24" i="2"/>
  <c r="BX25" i="2"/>
  <c r="BW15" i="2"/>
  <c r="BW28" i="2" s="1"/>
  <c r="AL25" i="2"/>
  <c r="AJ25" i="2"/>
  <c r="AK25" i="2"/>
  <c r="AI29" i="2"/>
  <c r="CC36" i="2"/>
  <c r="AH24" i="2"/>
  <c r="AG24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E12" i="2"/>
  <c r="F10" i="2"/>
  <c r="BD10" i="2" s="1"/>
  <c r="BD11" i="2" s="1"/>
  <c r="E8" i="2"/>
  <c r="E11" i="2" s="1"/>
  <c r="F8" i="2"/>
  <c r="C12" i="2"/>
  <c r="C8" i="2"/>
  <c r="G12" i="2"/>
  <c r="G8" i="2"/>
  <c r="D12" i="2"/>
  <c r="BV56" i="2" l="1"/>
  <c r="BV73" i="2" s="1"/>
  <c r="BV75" i="2" s="1"/>
  <c r="BV18" i="2"/>
  <c r="C11" i="2"/>
  <c r="C25" i="2" s="1"/>
  <c r="G11" i="2"/>
  <c r="G25" i="2" s="1"/>
  <c r="F24" i="2"/>
  <c r="F11" i="2"/>
  <c r="BD12" i="2"/>
  <c r="BD14" i="2" s="1"/>
  <c r="BD16" i="2" s="1"/>
  <c r="BD56" i="2" s="1"/>
  <c r="BW16" i="2"/>
  <c r="BV29" i="2"/>
  <c r="BY25" i="2"/>
  <c r="BZ11" i="2"/>
  <c r="BZ14" i="2" s="1"/>
  <c r="BZ24" i="2"/>
  <c r="BZ26" i="2"/>
  <c r="BZ27" i="2"/>
  <c r="BX15" i="2"/>
  <c r="BX28" i="2" s="1"/>
  <c r="AK28" i="2"/>
  <c r="AL28" i="2"/>
  <c r="BI26" i="2"/>
  <c r="BG27" i="2"/>
  <c r="BG26" i="2"/>
  <c r="BF27" i="2"/>
  <c r="BF26" i="2"/>
  <c r="BH26" i="2"/>
  <c r="BJ26" i="2"/>
  <c r="BE27" i="2"/>
  <c r="BE26" i="2"/>
  <c r="BH27" i="2"/>
  <c r="BJ27" i="2"/>
  <c r="BI27" i="2"/>
  <c r="BF23" i="2"/>
  <c r="BH23" i="2"/>
  <c r="BE23" i="2"/>
  <c r="C24" i="2"/>
  <c r="BK26" i="2"/>
  <c r="BG23" i="2"/>
  <c r="BI23" i="2"/>
  <c r="BJ23" i="2"/>
  <c r="E14" i="2"/>
  <c r="E16" i="2" s="1"/>
  <c r="BD24" i="2"/>
  <c r="G24" i="2"/>
  <c r="E25" i="2"/>
  <c r="E24" i="2"/>
  <c r="BH24" i="2"/>
  <c r="AH25" i="2"/>
  <c r="BK23" i="2"/>
  <c r="G14" i="2"/>
  <c r="D8" i="2"/>
  <c r="D11" i="2" s="1"/>
  <c r="H12" i="2"/>
  <c r="H8" i="2"/>
  <c r="H11" i="2" s="1"/>
  <c r="I12" i="2"/>
  <c r="I8" i="2"/>
  <c r="I11" i="2" s="1"/>
  <c r="M8" i="2"/>
  <c r="M11" i="2" s="1"/>
  <c r="J10" i="2"/>
  <c r="BE10" i="2" s="1"/>
  <c r="BE11" i="2" s="1"/>
  <c r="J8" i="2"/>
  <c r="N10" i="2"/>
  <c r="BF10" i="2" s="1"/>
  <c r="BF11" i="2" s="1"/>
  <c r="N8" i="2"/>
  <c r="L12" i="2"/>
  <c r="L8" i="2"/>
  <c r="L11" i="2" s="1"/>
  <c r="P12" i="2"/>
  <c r="P8" i="2"/>
  <c r="P11" i="2" s="1"/>
  <c r="O8" i="2"/>
  <c r="O11" i="2" s="1"/>
  <c r="O12" i="2"/>
  <c r="K12" i="2"/>
  <c r="K8" i="2"/>
  <c r="K11" i="2" s="1"/>
  <c r="Q8" i="2"/>
  <c r="Q11" i="2" s="1"/>
  <c r="U12" i="2"/>
  <c r="U8" i="2"/>
  <c r="U11" i="2" s="1"/>
  <c r="R10" i="2"/>
  <c r="BG10" i="2" s="1"/>
  <c r="BG11" i="2" s="1"/>
  <c r="R8" i="2"/>
  <c r="R11" i="2" s="1"/>
  <c r="V10" i="2"/>
  <c r="BH10" i="2" s="1"/>
  <c r="BH11" i="2" s="1"/>
  <c r="V8" i="2"/>
  <c r="S12" i="2"/>
  <c r="S8" i="2"/>
  <c r="S11" i="2" s="1"/>
  <c r="W12" i="2"/>
  <c r="W8" i="2"/>
  <c r="W11" i="2" s="1"/>
  <c r="T8" i="2"/>
  <c r="T11" i="2" s="1"/>
  <c r="X12" i="2"/>
  <c r="X8" i="2"/>
  <c r="X11" i="2" s="1"/>
  <c r="Y10" i="2"/>
  <c r="Y8" i="2"/>
  <c r="AC12" i="2"/>
  <c r="AC10" i="2"/>
  <c r="AC8" i="2"/>
  <c r="Z10" i="2"/>
  <c r="Z8" i="2"/>
  <c r="Z11" i="2" s="1"/>
  <c r="AD10" i="2"/>
  <c r="AD8" i="2"/>
  <c r="AA12" i="2"/>
  <c r="AA10" i="2"/>
  <c r="AA8" i="2"/>
  <c r="AE12" i="2"/>
  <c r="AE10" i="2"/>
  <c r="AE8" i="2"/>
  <c r="AB12" i="2"/>
  <c r="AB10" i="2"/>
  <c r="AB8" i="2"/>
  <c r="AF12" i="2"/>
  <c r="AF10" i="2"/>
  <c r="AF8" i="2"/>
  <c r="D8" i="1"/>
  <c r="D5" i="1"/>
  <c r="F3" i="1"/>
  <c r="BW29" i="2" l="1"/>
  <c r="BW56" i="2"/>
  <c r="BW73" i="2" s="1"/>
  <c r="BW75" i="2" s="1"/>
  <c r="CC33" i="2"/>
  <c r="CC79" i="2"/>
  <c r="C14" i="2"/>
  <c r="C16" i="2" s="1"/>
  <c r="J11" i="2"/>
  <c r="AE24" i="2"/>
  <c r="AE11" i="2"/>
  <c r="AC24" i="2"/>
  <c r="AC11" i="2"/>
  <c r="AF24" i="2"/>
  <c r="AF11" i="2"/>
  <c r="AA24" i="2"/>
  <c r="AA11" i="2"/>
  <c r="AB11" i="2"/>
  <c r="Y24" i="2"/>
  <c r="Y11" i="2"/>
  <c r="N11" i="2"/>
  <c r="AD11" i="2"/>
  <c r="V11" i="2"/>
  <c r="BW18" i="2"/>
  <c r="BX16" i="2"/>
  <c r="BZ25" i="2"/>
  <c r="BY15" i="2"/>
  <c r="BY28" i="2" s="1"/>
  <c r="BG12" i="2"/>
  <c r="BG14" i="2" s="1"/>
  <c r="BG16" i="2" s="1"/>
  <c r="BG56" i="2" s="1"/>
  <c r="BE12" i="2"/>
  <c r="BE14" i="2" s="1"/>
  <c r="BE16" i="2" s="1"/>
  <c r="BE56" i="2" s="1"/>
  <c r="BI12" i="2"/>
  <c r="BI10" i="2"/>
  <c r="BI11" i="2" s="1"/>
  <c r="BJ12" i="2"/>
  <c r="BF12" i="2"/>
  <c r="BF14" i="2" s="1"/>
  <c r="BF16" i="2" s="1"/>
  <c r="BF56" i="2" s="1"/>
  <c r="BJ10" i="2"/>
  <c r="BJ11" i="2" s="1"/>
  <c r="BH12" i="2"/>
  <c r="BH14" i="2" s="1"/>
  <c r="BH16" i="2" s="1"/>
  <c r="BH56" i="2" s="1"/>
  <c r="BK10" i="2"/>
  <c r="BK11" i="2" s="1"/>
  <c r="BK12" i="2"/>
  <c r="E18" i="2"/>
  <c r="E29" i="2"/>
  <c r="AJ28" i="2"/>
  <c r="AJ29" i="2"/>
  <c r="BK27" i="2"/>
  <c r="BL26" i="2"/>
  <c r="D9" i="1"/>
  <c r="E28" i="2"/>
  <c r="BH25" i="2"/>
  <c r="Z24" i="2"/>
  <c r="R24" i="2"/>
  <c r="W25" i="2"/>
  <c r="W24" i="2"/>
  <c r="U24" i="2"/>
  <c r="I25" i="2"/>
  <c r="I24" i="2"/>
  <c r="L24" i="2"/>
  <c r="S25" i="2"/>
  <c r="S24" i="2"/>
  <c r="Q24" i="2"/>
  <c r="H24" i="2"/>
  <c r="BF24" i="2"/>
  <c r="BE24" i="2"/>
  <c r="AB24" i="2"/>
  <c r="K24" i="2"/>
  <c r="N24" i="2"/>
  <c r="BG24" i="2"/>
  <c r="AD24" i="2"/>
  <c r="V24" i="2"/>
  <c r="D24" i="2"/>
  <c r="X24" i="2"/>
  <c r="J24" i="2"/>
  <c r="G16" i="2"/>
  <c r="G28" i="2"/>
  <c r="BI24" i="2"/>
  <c r="BK24" i="2"/>
  <c r="O24" i="2"/>
  <c r="BJ24" i="2"/>
  <c r="T24" i="2"/>
  <c r="P25" i="2"/>
  <c r="P24" i="2"/>
  <c r="M25" i="2"/>
  <c r="M24" i="2"/>
  <c r="F14" i="2"/>
  <c r="F25" i="2"/>
  <c r="BL23" i="2"/>
  <c r="AG25" i="2"/>
  <c r="AG14" i="2"/>
  <c r="AH14" i="2"/>
  <c r="BX56" i="2" l="1"/>
  <c r="BX73" i="2" s="1"/>
  <c r="BX75" i="2" s="1"/>
  <c r="C28" i="2"/>
  <c r="BY16" i="2"/>
  <c r="BY56" i="2" s="1"/>
  <c r="BY73" i="2" s="1"/>
  <c r="BY75" i="2" s="1"/>
  <c r="BZ15" i="2"/>
  <c r="BZ28" i="2" s="1"/>
  <c r="BX29" i="2"/>
  <c r="BX18" i="2"/>
  <c r="BI14" i="2"/>
  <c r="BI16" i="2" s="1"/>
  <c r="BI56" i="2" s="1"/>
  <c r="BJ14" i="2"/>
  <c r="BJ16" i="2" s="1"/>
  <c r="BJ56" i="2" s="1"/>
  <c r="BJ73" i="2" s="1"/>
  <c r="BJ75" i="2" s="1"/>
  <c r="BK14" i="2"/>
  <c r="BK16" i="2" s="1"/>
  <c r="BK56" i="2" s="1"/>
  <c r="BK73" i="2" s="1"/>
  <c r="BK75" i="2" s="1"/>
  <c r="C18" i="2"/>
  <c r="C29" i="2"/>
  <c r="AK29" i="2"/>
  <c r="G18" i="2"/>
  <c r="G29" i="2"/>
  <c r="AL29" i="2"/>
  <c r="I14" i="2"/>
  <c r="I16" i="2" s="1"/>
  <c r="BD25" i="2"/>
  <c r="BL27" i="2"/>
  <c r="BM26" i="2"/>
  <c r="BL28" i="2"/>
  <c r="BL24" i="2"/>
  <c r="AH16" i="2"/>
  <c r="BM23" i="2"/>
  <c r="W14" i="2"/>
  <c r="W28" i="2" s="1"/>
  <c r="BH28" i="2"/>
  <c r="BK25" i="2"/>
  <c r="P14" i="2"/>
  <c r="P28" i="2" s="1"/>
  <c r="BJ25" i="2"/>
  <c r="AE14" i="2"/>
  <c r="AE25" i="2"/>
  <c r="J14" i="2"/>
  <c r="J25" i="2"/>
  <c r="BF25" i="2"/>
  <c r="AA14" i="2"/>
  <c r="AA25" i="2"/>
  <c r="O14" i="2"/>
  <c r="O25" i="2"/>
  <c r="V14" i="2"/>
  <c r="V25" i="2"/>
  <c r="K14" i="2"/>
  <c r="K25" i="2"/>
  <c r="L14" i="2"/>
  <c r="L25" i="2"/>
  <c r="N14" i="2"/>
  <c r="N25" i="2"/>
  <c r="AC14" i="2"/>
  <c r="AC25" i="2"/>
  <c r="T14" i="2"/>
  <c r="T25" i="2"/>
  <c r="H14" i="2"/>
  <c r="H25" i="2"/>
  <c r="BE25" i="2"/>
  <c r="Y14" i="2"/>
  <c r="Y25" i="2"/>
  <c r="AD14" i="2"/>
  <c r="AD25" i="2"/>
  <c r="AF25" i="2"/>
  <c r="AF14" i="2"/>
  <c r="M14" i="2"/>
  <c r="X14" i="2"/>
  <c r="X25" i="2"/>
  <c r="BD28" i="2"/>
  <c r="F16" i="2"/>
  <c r="F28" i="2"/>
  <c r="BI25" i="2"/>
  <c r="AB14" i="2"/>
  <c r="AB25" i="2"/>
  <c r="Q14" i="2"/>
  <c r="Q25" i="2"/>
  <c r="S14" i="2"/>
  <c r="BG25" i="2"/>
  <c r="R14" i="2"/>
  <c r="R25" i="2"/>
  <c r="D14" i="2"/>
  <c r="D25" i="2"/>
  <c r="U14" i="2"/>
  <c r="U25" i="2"/>
  <c r="Z14" i="2"/>
  <c r="Z25" i="2"/>
  <c r="BN23" i="2"/>
  <c r="BZ16" i="2" l="1"/>
  <c r="BY18" i="2"/>
  <c r="BY29" i="2"/>
  <c r="BD18" i="2"/>
  <c r="BD29" i="2"/>
  <c r="I18" i="2"/>
  <c r="I29" i="2"/>
  <c r="F18" i="2"/>
  <c r="F29" i="2"/>
  <c r="AH18" i="2"/>
  <c r="AH29" i="2"/>
  <c r="I28" i="2"/>
  <c r="BL25" i="2"/>
  <c r="BM27" i="2"/>
  <c r="BN26" i="2"/>
  <c r="AH28" i="2"/>
  <c r="W16" i="2"/>
  <c r="BM24" i="2"/>
  <c r="P16" i="2"/>
  <c r="BN24" i="2"/>
  <c r="BG28" i="2"/>
  <c r="V16" i="2"/>
  <c r="V28" i="2"/>
  <c r="J16" i="2"/>
  <c r="J28" i="2"/>
  <c r="BJ28" i="2"/>
  <c r="X16" i="2"/>
  <c r="X28" i="2"/>
  <c r="U16" i="2"/>
  <c r="U28" i="2"/>
  <c r="BI28" i="2"/>
  <c r="D16" i="2"/>
  <c r="D28" i="2"/>
  <c r="N16" i="2"/>
  <c r="N28" i="2"/>
  <c r="AF28" i="2"/>
  <c r="AF16" i="2"/>
  <c r="Y16" i="2"/>
  <c r="Y28" i="2"/>
  <c r="S16" i="2"/>
  <c r="S28" i="2"/>
  <c r="Q16" i="2"/>
  <c r="Q28" i="2"/>
  <c r="H16" i="2"/>
  <c r="H28" i="2"/>
  <c r="L16" i="2"/>
  <c r="L28" i="2"/>
  <c r="AA16" i="2"/>
  <c r="AA28" i="2"/>
  <c r="AE16" i="2"/>
  <c r="AE28" i="2"/>
  <c r="AC16" i="2"/>
  <c r="AC28" i="2"/>
  <c r="BE28" i="2"/>
  <c r="O16" i="2"/>
  <c r="O28" i="2"/>
  <c r="Z16" i="2"/>
  <c r="Z28" i="2"/>
  <c r="R16" i="2"/>
  <c r="R28" i="2"/>
  <c r="AB16" i="2"/>
  <c r="AB28" i="2"/>
  <c r="AD16" i="2"/>
  <c r="AD28" i="2"/>
  <c r="T16" i="2"/>
  <c r="T28" i="2"/>
  <c r="K16" i="2"/>
  <c r="K28" i="2"/>
  <c r="BF28" i="2"/>
  <c r="M16" i="2"/>
  <c r="M28" i="2"/>
  <c r="BO23" i="2"/>
  <c r="AG16" i="2"/>
  <c r="AG28" i="2"/>
  <c r="BZ18" i="2" l="1"/>
  <c r="BZ56" i="2"/>
  <c r="BZ73" i="2" s="1"/>
  <c r="BZ75" i="2" s="1"/>
  <c r="CA75" i="2" s="1"/>
  <c r="CB75" i="2" s="1"/>
  <c r="CC75" i="2" s="1"/>
  <c r="CD75" i="2" s="1"/>
  <c r="CE75" i="2" s="1"/>
  <c r="CF75" i="2" s="1"/>
  <c r="CG75" i="2" s="1"/>
  <c r="CH75" i="2" s="1"/>
  <c r="CI75" i="2" s="1"/>
  <c r="CJ75" i="2" s="1"/>
  <c r="CK75" i="2" s="1"/>
  <c r="CL75" i="2" s="1"/>
  <c r="CM75" i="2" s="1"/>
  <c r="CN75" i="2" s="1"/>
  <c r="CO75" i="2" s="1"/>
  <c r="CP75" i="2" s="1"/>
  <c r="CQ75" i="2" s="1"/>
  <c r="CR75" i="2" s="1"/>
  <c r="CS75" i="2" s="1"/>
  <c r="CT75" i="2" s="1"/>
  <c r="CU75" i="2" s="1"/>
  <c r="CV75" i="2" s="1"/>
  <c r="CW75" i="2" s="1"/>
  <c r="CX75" i="2" s="1"/>
  <c r="CY75" i="2" s="1"/>
  <c r="CZ75" i="2" s="1"/>
  <c r="DA75" i="2" s="1"/>
  <c r="DB75" i="2" s="1"/>
  <c r="DC75" i="2" s="1"/>
  <c r="DD75" i="2" s="1"/>
  <c r="DE75" i="2" s="1"/>
  <c r="DF75" i="2" s="1"/>
  <c r="DG75" i="2" s="1"/>
  <c r="DH75" i="2" s="1"/>
  <c r="DI75" i="2" s="1"/>
  <c r="DJ75" i="2" s="1"/>
  <c r="DK75" i="2" s="1"/>
  <c r="DL75" i="2" s="1"/>
  <c r="DM75" i="2" s="1"/>
  <c r="DN75" i="2" s="1"/>
  <c r="DO75" i="2" s="1"/>
  <c r="DP75" i="2" s="1"/>
  <c r="DQ75" i="2" s="1"/>
  <c r="DR75" i="2" s="1"/>
  <c r="DS75" i="2" s="1"/>
  <c r="DT75" i="2" s="1"/>
  <c r="DU75" i="2" s="1"/>
  <c r="DV75" i="2" s="1"/>
  <c r="DW75" i="2" s="1"/>
  <c r="DX75" i="2" s="1"/>
  <c r="DY75" i="2" s="1"/>
  <c r="DZ75" i="2" s="1"/>
  <c r="EA75" i="2" s="1"/>
  <c r="EB75" i="2" s="1"/>
  <c r="EC75" i="2" s="1"/>
  <c r="ED75" i="2" s="1"/>
  <c r="EE75" i="2" s="1"/>
  <c r="EF75" i="2" s="1"/>
  <c r="EG75" i="2" s="1"/>
  <c r="EH75" i="2" s="1"/>
  <c r="EI75" i="2" s="1"/>
  <c r="EJ75" i="2" s="1"/>
  <c r="EK75" i="2" s="1"/>
  <c r="EL75" i="2" s="1"/>
  <c r="EM75" i="2" s="1"/>
  <c r="EN75" i="2" s="1"/>
  <c r="CC78" i="2" s="1"/>
  <c r="CC80" i="2" s="1"/>
  <c r="CC81" i="2" s="1"/>
  <c r="CC83" i="2" s="1"/>
  <c r="BZ29" i="2"/>
  <c r="AD18" i="2"/>
  <c r="AD29" i="2"/>
  <c r="O18" i="2"/>
  <c r="O29" i="2"/>
  <c r="S18" i="2"/>
  <c r="S29" i="2"/>
  <c r="D18" i="2"/>
  <c r="D29" i="2"/>
  <c r="BJ18" i="2"/>
  <c r="BJ29" i="2"/>
  <c r="P18" i="2"/>
  <c r="P29" i="2"/>
  <c r="M18" i="2"/>
  <c r="M29" i="2"/>
  <c r="AA18" i="2"/>
  <c r="AA29" i="2"/>
  <c r="AB18" i="2"/>
  <c r="AB29" i="2"/>
  <c r="BH18" i="2"/>
  <c r="BH29" i="2"/>
  <c r="W18" i="2"/>
  <c r="W29" i="2"/>
  <c r="AG18" i="2"/>
  <c r="AG29" i="2"/>
  <c r="R18" i="2"/>
  <c r="R29" i="2"/>
  <c r="AC18" i="2"/>
  <c r="AC29" i="2"/>
  <c r="H18" i="2"/>
  <c r="H29" i="2"/>
  <c r="U18" i="2"/>
  <c r="U29" i="2"/>
  <c r="V18" i="2"/>
  <c r="V29" i="2"/>
  <c r="BE18" i="2"/>
  <c r="BE29" i="2"/>
  <c r="Y18" i="2"/>
  <c r="Y29" i="2"/>
  <c r="J18" i="2"/>
  <c r="J29" i="2"/>
  <c r="AF18" i="2"/>
  <c r="AF29" i="2"/>
  <c r="K18" i="2"/>
  <c r="K29" i="2"/>
  <c r="BF18" i="2"/>
  <c r="BF29" i="2"/>
  <c r="L18" i="2"/>
  <c r="L29" i="2"/>
  <c r="BI18" i="2"/>
  <c r="BI29" i="2"/>
  <c r="T18" i="2"/>
  <c r="T29" i="2"/>
  <c r="Z18" i="2"/>
  <c r="Z29" i="2"/>
  <c r="AE18" i="2"/>
  <c r="AE29" i="2"/>
  <c r="Q18" i="2"/>
  <c r="Q29" i="2"/>
  <c r="N18" i="2"/>
  <c r="N29" i="2"/>
  <c r="X18" i="2"/>
  <c r="X29" i="2"/>
  <c r="BG18" i="2"/>
  <c r="BG29" i="2"/>
  <c r="BP24" i="2"/>
  <c r="BL18" i="2"/>
  <c r="BL29" i="2"/>
  <c r="BO26" i="2"/>
  <c r="BN27" i="2"/>
  <c r="BN25" i="2"/>
  <c r="BP23" i="2"/>
  <c r="BK28" i="2"/>
  <c r="BM28" i="2"/>
  <c r="BM25" i="2"/>
  <c r="BK18" i="2" l="1"/>
  <c r="BK29" i="2"/>
  <c r="BQ23" i="2"/>
  <c r="BO27" i="2"/>
  <c r="BQ24" i="2" l="1"/>
  <c r="BR24" i="2"/>
  <c r="BR23" i="2"/>
  <c r="BM18" i="2"/>
  <c r="BM29" i="2"/>
  <c r="BP25" i="2"/>
  <c r="BP26" i="2"/>
  <c r="BQ26" i="2"/>
  <c r="BP27" i="2"/>
  <c r="BN28" i="2"/>
  <c r="BS24" i="2" l="1"/>
  <c r="BS23" i="2"/>
  <c r="BN18" i="2"/>
  <c r="BN29" i="2"/>
  <c r="BP28" i="2"/>
  <c r="BR26" i="2"/>
  <c r="BQ27" i="2"/>
  <c r="BT24" i="2" l="1"/>
  <c r="BT23" i="2"/>
  <c r="BQ25" i="2"/>
  <c r="BQ28" i="2"/>
  <c r="BS26" i="2"/>
  <c r="BR27" i="2"/>
  <c r="BU24" i="2" l="1"/>
  <c r="BU23" i="2"/>
  <c r="BP18" i="2"/>
  <c r="BP29" i="2"/>
  <c r="BR25" i="2"/>
  <c r="BS27" i="2"/>
  <c r="BT26" i="2"/>
  <c r="BQ18" i="2" l="1"/>
  <c r="BQ29" i="2"/>
  <c r="BS25" i="2"/>
  <c r="BU26" i="2"/>
  <c r="BT27" i="2"/>
  <c r="BR28" i="2"/>
  <c r="BT25" i="2" l="1"/>
  <c r="BU27" i="2"/>
  <c r="BS28" i="2"/>
  <c r="BR18" i="2" l="1"/>
  <c r="BR29" i="2"/>
  <c r="BU25" i="2"/>
  <c r="BT28" i="2"/>
  <c r="BS18" i="2" l="1"/>
  <c r="BS29" i="2"/>
  <c r="BU28" i="2"/>
  <c r="BT18" i="2" l="1"/>
  <c r="BT29" i="2"/>
  <c r="BU29" i="2" l="1"/>
  <c r="BU18" i="2"/>
  <c r="CA16" i="2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CC32" i="2" s="1"/>
  <c r="AV54" i="2" l="1"/>
  <c r="BO7" i="2"/>
  <c r="BO8" i="2" s="1"/>
  <c r="AX8" i="2"/>
  <c r="AX11" i="2" s="1"/>
  <c r="BO11" i="2" l="1"/>
  <c r="BO14" i="2" s="1"/>
  <c r="BO24" i="2"/>
  <c r="AX24" i="2"/>
  <c r="AX25" i="2"/>
  <c r="AX14" i="2"/>
  <c r="BO25" i="2" l="1"/>
  <c r="AX16" i="2"/>
  <c r="AX29" i="2" l="1"/>
  <c r="AX18" i="2"/>
  <c r="AX56" i="2"/>
  <c r="AX73" i="2" s="1"/>
  <c r="AX75" i="2" s="1"/>
  <c r="AX28" i="2"/>
  <c r="BO15" i="2"/>
  <c r="BO28" i="2" l="1"/>
  <c r="BO16" i="2"/>
  <c r="CC34" i="2" l="1"/>
  <c r="CC35" i="2" s="1"/>
  <c r="CC37" i="2" s="1"/>
  <c r="BO56" i="2"/>
  <c r="BO73" i="2" s="1"/>
  <c r="BO75" i="2" s="1"/>
  <c r="BO18" i="2"/>
  <c r="BO29" i="2"/>
  <c r="AX31" i="2"/>
  <c r="BO31" i="2" s="1"/>
  <c r="BO32" i="2"/>
  <c r="AX37" i="2"/>
  <c r="AX43" i="2" l="1"/>
  <c r="BO37" i="2"/>
  <c r="BO43" i="2" l="1"/>
  <c r="BO53" i="2" l="1"/>
  <c r="AX54" i="2"/>
  <c r="BO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tc={F23DBBCD-FC90-41B4-912A-05593D9AD727}</author>
  </authors>
  <commentList>
    <comment ref="AM17" authorId="0" shapeId="0" xr:uid="{31C43190-649D-4BAC-A2D8-CD81BFC238D7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12.7m</t>
        </r>
      </text>
    </comment>
  </commentList>
</comments>
</file>

<file path=xl/sharedStrings.xml><?xml version="1.0" encoding="utf-8"?>
<sst xmlns="http://schemas.openxmlformats.org/spreadsheetml/2006/main" count="154" uniqueCount="126">
  <si>
    <t>GME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</si>
  <si>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</si>
  <si>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</si>
  <si>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</si>
  <si>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</si>
  <si>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</si>
  <si>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</si>
  <si>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</si>
  <si>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</si>
  <si>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</si>
  <si>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</si>
  <si>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</si>
  <si>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</si>
  <si>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</si>
  <si>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</si>
  <si>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</si>
  <si>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</si>
  <si>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</si>
  <si>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</si>
  <si>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</si>
  <si>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</si>
  <si>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</si>
  <si>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</si>
  <si>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</si>
  <si>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</si>
  <si>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</si>
  <si>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</si>
  <si>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</si>
  <si>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</si>
  <si>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</si>
  <si>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</si>
  <si>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</si>
  <si>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</si>
  <si>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</si>
  <si>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</si>
  <si>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</si>
  <si>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</si>
  <si>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</si>
  <si>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</si>
  <si>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Q113</t>
  </si>
  <si>
    <t>Q213</t>
  </si>
  <si>
    <t>Q313</t>
  </si>
  <si>
    <t>Q413</t>
  </si>
  <si>
    <t>Cost of sales</t>
  </si>
  <si>
    <t>Gross profit</t>
  </si>
  <si>
    <t>SG&amp;A</t>
  </si>
  <si>
    <t>Impairments</t>
  </si>
  <si>
    <t>Operating profit</t>
  </si>
  <si>
    <t>Pretax profit</t>
  </si>
  <si>
    <t>Taxes</t>
  </si>
  <si>
    <t>Net profit</t>
  </si>
  <si>
    <t>EPS</t>
  </si>
  <si>
    <t>Gross Margin</t>
  </si>
  <si>
    <t>Revenue y/y</t>
  </si>
  <si>
    <t>Operating Margin</t>
  </si>
  <si>
    <t>New consoles released roughly every 7 years</t>
  </si>
  <si>
    <t>Decline in gross margin percentage in the first full year following new console releases and an increase in gross margin percentage subsequently from more sales of accessories and software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</si>
  <si>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</si>
  <si>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</si>
  <si>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</si>
  <si>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</si>
  <si>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</si>
  <si>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</si>
  <si>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</si>
  <si>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</si>
  <si>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</si>
  <si>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We have no remaining goodwill balances as of February 1, 2020.</t>
  </si>
  <si>
    <t>Earnings</t>
  </si>
  <si>
    <t>SG&amp;A Margin</t>
  </si>
  <si>
    <t>SG&amp;A y/y</t>
  </si>
  <si>
    <t>Q121</t>
  </si>
  <si>
    <t>Q221</t>
  </si>
  <si>
    <t>Q321</t>
  </si>
  <si>
    <t>Q421</t>
  </si>
  <si>
    <t>Net Margin</t>
  </si>
  <si>
    <t>Q224</t>
  </si>
  <si>
    <t>Q124</t>
  </si>
  <si>
    <t>Hardware</t>
  </si>
  <si>
    <t>Software</t>
  </si>
  <si>
    <t>Collectibles</t>
  </si>
  <si>
    <t>Q122</t>
  </si>
  <si>
    <t>Q222</t>
  </si>
  <si>
    <t>Q322</t>
  </si>
  <si>
    <t>Q422</t>
  </si>
  <si>
    <t>Q123</t>
  </si>
  <si>
    <t>Q223</t>
  </si>
  <si>
    <t>Q323</t>
  </si>
  <si>
    <t>Q423</t>
  </si>
  <si>
    <t>Q324</t>
  </si>
  <si>
    <t>Q424</t>
  </si>
  <si>
    <t>Finance income</t>
  </si>
  <si>
    <t>Current assets</t>
  </si>
  <si>
    <t>Securities</t>
  </si>
  <si>
    <t>A/R</t>
  </si>
  <si>
    <t>Inventories</t>
  </si>
  <si>
    <t>Prepaids</t>
  </si>
  <si>
    <t>PP&amp;E</t>
  </si>
  <si>
    <t>Leases</t>
  </si>
  <si>
    <t>D/T</t>
  </si>
  <si>
    <t>ONCA</t>
  </si>
  <si>
    <t>Non-current assets</t>
  </si>
  <si>
    <t>Total assets</t>
  </si>
  <si>
    <t>A/P</t>
  </si>
  <si>
    <t>A/L</t>
  </si>
  <si>
    <t>Current liabilities</t>
  </si>
  <si>
    <t>ONCL</t>
  </si>
  <si>
    <t>Non-current liabilities</t>
  </si>
  <si>
    <t>S/E</t>
  </si>
  <si>
    <t>L+S/E</t>
  </si>
  <si>
    <t>Hardware y/y</t>
  </si>
  <si>
    <t>Software y/y</t>
  </si>
  <si>
    <t>Collectibles y/y</t>
  </si>
  <si>
    <t>D&amp;A</t>
  </si>
  <si>
    <t>SBC</t>
  </si>
  <si>
    <t>Other</t>
  </si>
  <si>
    <t>CFFO</t>
  </si>
  <si>
    <t>Digital impairments</t>
  </si>
  <si>
    <t>Sale of assets</t>
  </si>
  <si>
    <t>FCF</t>
  </si>
  <si>
    <t>Q125</t>
  </si>
  <si>
    <t>Q225</t>
  </si>
  <si>
    <t>Q325</t>
  </si>
  <si>
    <t>Q425</t>
  </si>
  <si>
    <t>Other income</t>
  </si>
  <si>
    <t>NPV (FCF)</t>
  </si>
  <si>
    <t>Slightly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</si>
</sst>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[$$-409]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9" fontId="1" fillId="0" borderId="0" xfId="0" applyNumberFormat="1" applyFont="1"/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7" fillId="0" borderId="0" xfId="0" applyNumberFormat="1" applyFont="1"/>
    <xf numFmtId="3" fontId="8" fillId="0" borderId="0" xfId="0" applyNumberFormat="1" applyFont="1"/>
    <xf numFmtId="0" fontId="2" fillId="0" borderId="0" xfId="0" applyFont="1"/>
    <xf numFmtId="9" fontId="0" fillId="0" borderId="0" xfId="0" applyNumberFormat="1" applyAlignment="1">
      <alignment horizontal="right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22860</xdr:colOff>
      <xdr:row>0</xdr:row>
      <xdr:rowOff>0</xdr:rowOff>
    </xdr:from>
    <xdr:to>
      <xdr:col>52</xdr:col>
      <xdr:colOff>22860</xdr:colOff>
      <xdr:row>88</xdr:row>
      <xdr:rowOff>45720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2C7355-8C6C-4C85-B9A8-35E0A4B9B6CF}"/>
            </a:ext>
          </a:extLst>
        </xdr:cNvPr>
        <xdr:cNvCxnSpPr/>
      </xdr:nvCxnSpPr>
      <xdr:spPr>
        <a:xfrm>
          <a:off x="38862000" y="0"/>
          <a:ext cx="0" cy="16139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30480</xdr:colOff>
      <xdr:row>0</xdr:row>
      <xdr:rowOff>0</xdr:rowOff>
    </xdr:from>
    <xdr:to>
      <xdr:col>67</xdr:col>
      <xdr:colOff>30480</xdr:colOff>
      <xdr:row>81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B274386-CF4C-44EE-99E5-43E79423E5A0}"/>
            </a:ext>
          </a:extLst>
        </xdr:cNvPr>
        <xdr:cNvCxnSpPr/>
      </xdr:nvCxnSpPr>
      <xdr:spPr>
        <a:xfrm>
          <a:off x="48272700" y="0"/>
          <a:ext cx="0" cy="147370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B40D-641C-4EB1-95BB-FF7112C8B9F1}">
  <dimension ref="B2:G17"/>
  <sheetViews>
    <sheetView workbookViewId="0">
      <selection activeCell="G3" sqref="G3"/>
    </sheetView>
  </sheetViews>
  <sheetFormatPr defaultRowHeight="14.4" x14ac:dyDescent="0.3"/>
  <cols>
    <col min="5" max="7" width="15.77734375" style="3" customWidth="1"/>
  </cols>
  <sheetData>
    <row r="2" spans="2:7" x14ac:dyDescent="0.3">
      <c r="E2" s="3" t="s">
        <v>8</v>
      </c>
      <c r="F2" s="3" t="s">
        <v>9</v>
      </c>
      <c r="G2" s="3" t="s">
        <v>67</v>
      </c>
    </row>
    <row r="3" spans="2:7" x14ac:dyDescent="0.3">
      <c r="B3" s="1" t="s">
        <v>0</v>
      </c>
      <c r="C3" t="s">
        <v>1</v>
      </c>
      <c r="D3" s="6">
        <v>22.03</v>
      </c>
      <c r="E3" s="4">
        <v>45964</v>
      </c>
      <c r="F3" s="4">
        <f ca="1">TODAY()</f>
        <v>45964</v>
      </c>
      <c r="G3" s="4">
        <v>46000</v>
      </c>
    </row>
    <row r="4" spans="2:7" x14ac:dyDescent="0.3">
      <c r="C4" t="s">
        <v>2</v>
      </c>
      <c r="D4" s="5">
        <v>447.4</v>
      </c>
      <c r="E4" s="3" t="s">
        <v>120</v>
      </c>
    </row>
    <row r="5" spans="2:7" x14ac:dyDescent="0.3">
      <c r="C5" t="s">
        <v>3</v>
      </c>
      <c r="D5" s="5">
        <f>D3*D4</f>
        <v>9856.2219999999998</v>
      </c>
    </row>
    <row r="6" spans="2:7" x14ac:dyDescent="0.3">
      <c r="C6" t="s">
        <v>4</v>
      </c>
      <c r="D6" s="5">
        <f>8694.4</f>
        <v>8694.4</v>
      </c>
      <c r="E6" s="3" t="s">
        <v>120</v>
      </c>
    </row>
    <row r="7" spans="2:7" x14ac:dyDescent="0.3">
      <c r="C7" t="s">
        <v>5</v>
      </c>
      <c r="D7" s="5">
        <f>4160.9</f>
        <v>4160.8999999999996</v>
      </c>
      <c r="E7" s="3" t="s">
        <v>120</v>
      </c>
    </row>
    <row r="8" spans="2:7" x14ac:dyDescent="0.3">
      <c r="C8" t="s">
        <v>6</v>
      </c>
      <c r="D8" s="5">
        <f>D6-D7</f>
        <v>4533.5</v>
      </c>
    </row>
    <row r="9" spans="2:7" x14ac:dyDescent="0.3">
      <c r="C9" t="s">
        <v>7</v>
      </c>
      <c r="D9" s="5">
        <f>D5-D8</f>
        <v>5322.7219999999998</v>
      </c>
    </row>
    <row r="15" spans="2:7" x14ac:dyDescent="0.3">
      <c r="B15" s="11" t="s">
        <v>56</v>
      </c>
    </row>
    <row r="16" spans="2:7" x14ac:dyDescent="0.3">
      <c r="B16" t="s">
        <v>55</v>
      </c>
    </row>
    <row r="17" spans="2:2" x14ac:dyDescent="0.3">
      <c r="B17" t="s">
        <v>66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1761-7DCF-4DD4-9CE9-3ED5B410D286}">
  <dimension ref="A1:FZ83"/>
  <sheetViews>
    <sheetView tabSelected="1" workbookViewId="0">
      <pane xSplit="2" ySplit="2" topLeftCell="AU30" activePane="bottomRight" state="frozen"/>
      <selection pane="topRight" activeCell="C1" sqref="C1"/>
      <selection pane="bottomLeft" activeCell="A3" sqref="A3"/>
      <selection pane="bottomRight" activeCell="AX31" sqref="AX31"/>
    </sheetView>
  </sheetViews>
  <sheetFormatPr defaultRowHeight="14.4" x14ac:dyDescent="0.3"/>
  <cols>
    <col min="2" max="2" width="18.77734375" bestFit="1" customWidth="1"/>
    <col min="3" max="3" width="10.5546875" bestFit="1" customWidth="1"/>
    <col min="4" max="54" width="10.77734375" customWidth="1"/>
    <col min="56" max="78" width="10.5546875" bestFit="1" customWidth="1"/>
    <col min="80" max="80" width="11.88671875" bestFit="1" customWidth="1"/>
    <col min="81" max="81" width="17.44140625" customWidth="1"/>
  </cols>
  <sheetData>
    <row r="1" spans="2:182" x14ac:dyDescent="0.3">
      <c r="C1" s="2">
        <v>41394</v>
      </c>
      <c r="D1" s="2">
        <v>41486</v>
      </c>
      <c r="E1" s="2">
        <v>41578</v>
      </c>
      <c r="F1" s="2">
        <v>41670</v>
      </c>
      <c r="G1" s="2">
        <v>41759</v>
      </c>
      <c r="H1" s="2">
        <v>41851</v>
      </c>
      <c r="I1" s="2">
        <v>41943</v>
      </c>
      <c r="J1" s="2">
        <v>42035</v>
      </c>
      <c r="K1" s="2">
        <v>42124</v>
      </c>
      <c r="L1" s="2">
        <v>42216</v>
      </c>
      <c r="M1" s="2">
        <v>42308</v>
      </c>
      <c r="N1" s="2">
        <v>42400</v>
      </c>
      <c r="O1" s="2">
        <v>42490</v>
      </c>
      <c r="P1" s="2">
        <v>42582</v>
      </c>
      <c r="Q1" s="2">
        <v>42674</v>
      </c>
      <c r="R1" s="2">
        <v>42766</v>
      </c>
      <c r="S1" s="2">
        <v>42855</v>
      </c>
      <c r="T1" s="2">
        <v>42947</v>
      </c>
      <c r="U1" s="2">
        <v>43039</v>
      </c>
      <c r="V1" s="2">
        <v>43131</v>
      </c>
      <c r="W1" s="2">
        <v>43220</v>
      </c>
      <c r="X1" s="2">
        <v>43312</v>
      </c>
      <c r="Y1" s="2">
        <v>43404</v>
      </c>
      <c r="Z1" s="2">
        <v>43496</v>
      </c>
      <c r="AA1" s="2">
        <v>43585</v>
      </c>
      <c r="AB1" s="2">
        <v>43677</v>
      </c>
      <c r="AC1" s="2">
        <v>43769</v>
      </c>
      <c r="AD1" s="2">
        <v>43861</v>
      </c>
      <c r="AE1" s="2">
        <v>43951</v>
      </c>
      <c r="AF1" s="2">
        <v>44043</v>
      </c>
      <c r="AG1" s="2">
        <v>44135</v>
      </c>
      <c r="AH1" s="2">
        <v>44227</v>
      </c>
      <c r="AI1" s="2">
        <v>44316</v>
      </c>
      <c r="AJ1" s="2">
        <v>44408</v>
      </c>
      <c r="AK1" s="2">
        <v>44500</v>
      </c>
      <c r="AL1" s="2">
        <v>44592</v>
      </c>
      <c r="AM1" s="2">
        <v>44681</v>
      </c>
      <c r="AN1" s="2">
        <v>44773</v>
      </c>
      <c r="AO1" s="2">
        <v>44865</v>
      </c>
      <c r="AP1" s="2">
        <v>44957</v>
      </c>
      <c r="AQ1" s="2">
        <v>45046</v>
      </c>
      <c r="AR1" s="2">
        <v>45138</v>
      </c>
      <c r="AS1" s="2">
        <v>45230</v>
      </c>
      <c r="AT1" s="2">
        <v>45322</v>
      </c>
      <c r="AU1" s="2">
        <v>45412</v>
      </c>
      <c r="AV1" s="2">
        <v>45504</v>
      </c>
      <c r="AW1" s="2">
        <v>45596</v>
      </c>
      <c r="AX1" s="2">
        <v>45688</v>
      </c>
      <c r="AY1" s="2">
        <v>45777</v>
      </c>
      <c r="AZ1" s="2">
        <v>45869</v>
      </c>
      <c r="BA1" s="2">
        <v>45961</v>
      </c>
      <c r="BB1" s="2">
        <v>46053</v>
      </c>
      <c r="BD1" s="2">
        <v>41670</v>
      </c>
      <c r="BE1" s="2">
        <v>42035</v>
      </c>
      <c r="BF1" s="2">
        <v>42400</v>
      </c>
      <c r="BG1" s="2">
        <v>42766</v>
      </c>
      <c r="BH1" s="2">
        <v>43131</v>
      </c>
      <c r="BI1" s="2">
        <v>43496</v>
      </c>
      <c r="BJ1" s="2">
        <v>43861</v>
      </c>
      <c r="BK1" s="2">
        <v>44227</v>
      </c>
      <c r="BL1" s="2">
        <v>44592</v>
      </c>
      <c r="BM1" s="2">
        <v>44957</v>
      </c>
      <c r="BN1" s="2">
        <v>45322</v>
      </c>
      <c r="BO1" s="2">
        <v>45688</v>
      </c>
      <c r="BP1" s="2">
        <v>46053</v>
      </c>
      <c r="BQ1" s="2">
        <v>46418</v>
      </c>
      <c r="BR1" s="2">
        <v>46783</v>
      </c>
      <c r="BS1" s="2">
        <v>47149</v>
      </c>
      <c r="BT1" s="2">
        <v>47514</v>
      </c>
      <c r="BU1" s="2">
        <v>47879</v>
      </c>
      <c r="BV1" s="2">
        <v>48244</v>
      </c>
      <c r="BW1" s="2">
        <v>48610</v>
      </c>
      <c r="BX1" s="2">
        <v>48975</v>
      </c>
      <c r="BY1" s="2">
        <v>49340</v>
      </c>
      <c r="BZ1" s="2">
        <v>49705</v>
      </c>
    </row>
    <row r="2" spans="2:182" x14ac:dyDescent="0.3">
      <c r="C2" s="7" t="s">
        <v>39</v>
      </c>
      <c r="D2" s="7" t="s">
        <v>40</v>
      </c>
      <c r="E2" s="7" t="s">
        <v>41</v>
      </c>
      <c r="F2" s="7" t="s">
        <v>42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10</v>
      </c>
      <c r="AG2" s="7" t="s">
        <v>37</v>
      </c>
      <c r="AH2" s="7" t="s">
        <v>38</v>
      </c>
      <c r="AI2" s="7" t="s">
        <v>70</v>
      </c>
      <c r="AJ2" s="7" t="s">
        <v>71</v>
      </c>
      <c r="AK2" s="7" t="s">
        <v>72</v>
      </c>
      <c r="AL2" s="7" t="s">
        <v>73</v>
      </c>
      <c r="AM2" s="7" t="s">
        <v>80</v>
      </c>
      <c r="AN2" s="7" t="s">
        <v>81</v>
      </c>
      <c r="AO2" s="7" t="s">
        <v>82</v>
      </c>
      <c r="AP2" s="7" t="s">
        <v>83</v>
      </c>
      <c r="AQ2" s="7" t="s">
        <v>84</v>
      </c>
      <c r="AR2" s="7" t="s">
        <v>85</v>
      </c>
      <c r="AS2" s="7" t="s">
        <v>86</v>
      </c>
      <c r="AT2" s="7" t="s">
        <v>87</v>
      </c>
      <c r="AU2" s="7" t="s">
        <v>76</v>
      </c>
      <c r="AV2" s="7" t="s">
        <v>75</v>
      </c>
      <c r="AW2" s="7" t="s">
        <v>88</v>
      </c>
      <c r="AX2" s="7" t="s">
        <v>89</v>
      </c>
      <c r="AY2" s="7" t="s">
        <v>119</v>
      </c>
      <c r="AZ2" s="7" t="s">
        <v>120</v>
      </c>
      <c r="BA2" s="7" t="s">
        <v>121</v>
      </c>
      <c r="BB2" s="7" t="s">
        <v>122</v>
      </c>
      <c r="BD2">
        <v>2013</v>
      </c>
      <c r="BE2">
        <v>2014</v>
      </c>
      <c r="BF2">
        <v>2015</v>
      </c>
      <c r="BG2">
        <v>2016</v>
      </c>
      <c r="BH2">
        <v>2017</v>
      </c>
      <c r="BI2">
        <v>2018</v>
      </c>
      <c r="BJ2">
        <v>2019</v>
      </c>
      <c r="BK2">
        <v>2020</v>
      </c>
      <c r="BL2">
        <v>2021</v>
      </c>
      <c r="BM2">
        <v>2022</v>
      </c>
      <c r="BN2">
        <v>2023</v>
      </c>
      <c r="BO2">
        <v>2024</v>
      </c>
      <c r="BP2">
        <v>2025</v>
      </c>
      <c r="BQ2">
        <v>2026</v>
      </c>
      <c r="BR2">
        <v>2027</v>
      </c>
      <c r="BS2">
        <v>2028</v>
      </c>
      <c r="BT2">
        <v>2029</v>
      </c>
      <c r="BU2">
        <v>2030</v>
      </c>
      <c r="BV2">
        <v>2031</v>
      </c>
      <c r="BW2">
        <v>2032</v>
      </c>
      <c r="BX2">
        <v>2033</v>
      </c>
      <c r="BY2">
        <v>2034</v>
      </c>
      <c r="BZ2">
        <v>2035</v>
      </c>
    </row>
    <row r="3" spans="2:182" x14ac:dyDescent="0.3">
      <c r="B3" t="s">
        <v>77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3">
        <v>513.1</v>
      </c>
      <c r="AF3" s="13">
        <v>441.6</v>
      </c>
      <c r="AG3" s="13">
        <v>413.4</v>
      </c>
      <c r="AH3" s="13">
        <v>1162.7</v>
      </c>
      <c r="AI3" s="13">
        <v>703.5</v>
      </c>
      <c r="AJ3" s="13">
        <v>609.6</v>
      </c>
      <c r="AK3" s="13">
        <v>669.9</v>
      </c>
      <c r="AL3" s="13">
        <v>1188.7</v>
      </c>
      <c r="AM3" s="13">
        <v>673.8</v>
      </c>
      <c r="AN3" s="13">
        <v>596.4</v>
      </c>
      <c r="AO3" s="13">
        <v>627</v>
      </c>
      <c r="AP3" s="13">
        <v>1242.8</v>
      </c>
      <c r="AQ3" s="13">
        <v>725.8</v>
      </c>
      <c r="AR3" s="13">
        <v>597</v>
      </c>
      <c r="AS3" s="13">
        <v>579.4</v>
      </c>
      <c r="AT3" s="13">
        <v>1094.5999999999999</v>
      </c>
      <c r="AU3" s="13">
        <v>505.3</v>
      </c>
      <c r="AV3" s="13">
        <v>451.2</v>
      </c>
      <c r="AW3" s="13">
        <v>417.4</v>
      </c>
      <c r="AX3" s="13">
        <v>725.8</v>
      </c>
      <c r="AY3" s="13">
        <v>345.3</v>
      </c>
      <c r="AZ3" s="13">
        <v>592.1</v>
      </c>
      <c r="BA3" s="13">
        <f>AW3*1.1</f>
        <v>459.14</v>
      </c>
      <c r="BB3" s="13">
        <f>AX3*1.02</f>
        <v>740.31599999999992</v>
      </c>
      <c r="BK3" s="13">
        <v>2530.8000000000002</v>
      </c>
      <c r="BL3" s="13">
        <f>SUM(AG3:AJ3)</f>
        <v>2889.2</v>
      </c>
      <c r="BM3" s="5">
        <f>SUM(AM3:AP3)</f>
        <v>3140</v>
      </c>
      <c r="BN3" s="5">
        <f>SUM(AQ3:AT3)</f>
        <v>2996.7999999999997</v>
      </c>
      <c r="BO3" s="5">
        <f>SUM(AU3:AX3)</f>
        <v>2099.6999999999998</v>
      </c>
      <c r="BP3" s="5">
        <f>SUM(AY3:BB3)</f>
        <v>2136.8559999999998</v>
      </c>
      <c r="BQ3" s="5">
        <f>BP3*0.9</f>
        <v>1923.1703999999997</v>
      </c>
      <c r="BR3" s="5">
        <f>BQ3*1.02</f>
        <v>1961.6338079999998</v>
      </c>
      <c r="BS3" s="5">
        <f>BR3*1.02</f>
        <v>2000.8664841599998</v>
      </c>
      <c r="BT3" s="5">
        <f t="shared" ref="BT3:BZ4" si="0">BS3*1.01</f>
        <v>2020.8751490015998</v>
      </c>
      <c r="BU3" s="5">
        <f t="shared" si="0"/>
        <v>2041.0839004916159</v>
      </c>
      <c r="BV3" s="5">
        <f t="shared" si="0"/>
        <v>2061.494739496532</v>
      </c>
      <c r="BW3" s="5">
        <f t="shared" si="0"/>
        <v>2082.1096868914974</v>
      </c>
      <c r="BX3" s="5">
        <f t="shared" si="0"/>
        <v>2102.9307837604124</v>
      </c>
      <c r="BY3" s="5">
        <f t="shared" si="0"/>
        <v>2123.9600915980163</v>
      </c>
      <c r="BZ3" s="5">
        <f t="shared" si="0"/>
        <v>2145.1996925139965</v>
      </c>
    </row>
    <row r="4" spans="2:182" x14ac:dyDescent="0.3">
      <c r="B4" t="s">
        <v>78</v>
      </c>
      <c r="C4" s="7"/>
      <c r="D4" s="7"/>
      <c r="E4" s="7"/>
      <c r="F4" s="21"/>
      <c r="G4" s="7"/>
      <c r="H4" s="7"/>
      <c r="I4" s="7"/>
      <c r="J4" s="21"/>
      <c r="K4" s="7"/>
      <c r="L4" s="7"/>
      <c r="M4" s="7"/>
      <c r="N4" s="21"/>
      <c r="O4" s="7"/>
      <c r="P4" s="7"/>
      <c r="Q4" s="7"/>
      <c r="R4" s="21"/>
      <c r="S4" s="7"/>
      <c r="T4" s="7"/>
      <c r="U4" s="7"/>
      <c r="V4" s="21"/>
      <c r="W4" s="7"/>
      <c r="X4" s="7"/>
      <c r="Y4" s="7"/>
      <c r="Z4" s="21"/>
      <c r="AA4" s="7"/>
      <c r="AB4" s="7"/>
      <c r="AC4" s="7"/>
      <c r="AD4" s="21"/>
      <c r="AE4" s="13">
        <v>417</v>
      </c>
      <c r="AF4" s="13">
        <v>386.5</v>
      </c>
      <c r="AG4" s="13">
        <v>444.4</v>
      </c>
      <c r="AH4" s="13">
        <v>731.2</v>
      </c>
      <c r="AI4" s="13">
        <v>397.9</v>
      </c>
      <c r="AJ4" s="13">
        <v>396.6</v>
      </c>
      <c r="AK4" s="13">
        <v>434.5</v>
      </c>
      <c r="AL4" s="13">
        <v>785.9</v>
      </c>
      <c r="AM4" s="13">
        <v>483.7</v>
      </c>
      <c r="AN4" s="13">
        <v>316.39999999999998</v>
      </c>
      <c r="AO4" s="13">
        <v>352.1</v>
      </c>
      <c r="AP4" s="13">
        <v>670.4</v>
      </c>
      <c r="AQ4" s="13">
        <v>338.3</v>
      </c>
      <c r="AR4" s="13">
        <v>397</v>
      </c>
      <c r="AS4" s="13">
        <v>321.3</v>
      </c>
      <c r="AT4" s="13">
        <v>465.3</v>
      </c>
      <c r="AU4" s="13">
        <v>239.7</v>
      </c>
      <c r="AV4" s="13">
        <v>207.7</v>
      </c>
      <c r="AW4" s="13">
        <v>271.8</v>
      </c>
      <c r="AX4" s="13">
        <v>286.2</v>
      </c>
      <c r="AY4" s="13">
        <v>175.6</v>
      </c>
      <c r="AZ4" s="13">
        <v>152.5</v>
      </c>
      <c r="BA4" s="13">
        <f>AW4*0.8</f>
        <v>217.44000000000003</v>
      </c>
      <c r="BB4" s="13">
        <f>AX4*0.85</f>
        <v>243.26999999999998</v>
      </c>
      <c r="BK4" s="13">
        <v>1979.1</v>
      </c>
      <c r="BL4" s="13">
        <f>SUM(AG4:AJ4)</f>
        <v>1970.1</v>
      </c>
      <c r="BM4" s="5">
        <f>SUM(AM4:AP4)</f>
        <v>1822.6</v>
      </c>
      <c r="BN4" s="5">
        <f>SUM(AQ4:AT4)</f>
        <v>1521.8999999999999</v>
      </c>
      <c r="BO4" s="5">
        <f>SUM(AU4:AX4)</f>
        <v>1005.4000000000001</v>
      </c>
      <c r="BP4" s="5">
        <f>SUM(AY4:BB4)</f>
        <v>788.81000000000006</v>
      </c>
      <c r="BQ4" s="5">
        <f>BP4*1.02</f>
        <v>804.58620000000008</v>
      </c>
      <c r="BR4" s="5">
        <f t="shared" ref="BR4:BU4" si="1">BQ4*1.02</f>
        <v>820.67792400000008</v>
      </c>
      <c r="BS4" s="5">
        <f t="shared" si="1"/>
        <v>837.09148248000008</v>
      </c>
      <c r="BT4" s="5">
        <f t="shared" si="1"/>
        <v>853.83331212960013</v>
      </c>
      <c r="BU4" s="5">
        <f t="shared" si="1"/>
        <v>870.9099783721922</v>
      </c>
      <c r="BV4" s="5">
        <f>BU4*1.01</f>
        <v>879.61907815591417</v>
      </c>
      <c r="BW4" s="5">
        <f t="shared" si="0"/>
        <v>888.41526893747334</v>
      </c>
      <c r="BX4" s="5">
        <f t="shared" si="0"/>
        <v>897.29942162684813</v>
      </c>
      <c r="BY4" s="5">
        <f t="shared" si="0"/>
        <v>906.27241584311662</v>
      </c>
      <c r="BZ4" s="5">
        <f t="shared" si="0"/>
        <v>915.33514000154776</v>
      </c>
    </row>
    <row r="5" spans="2:182" x14ac:dyDescent="0.3">
      <c r="B5" t="s">
        <v>79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3">
        <v>90.9</v>
      </c>
      <c r="AF5" s="13">
        <v>113.9</v>
      </c>
      <c r="AG5" s="13">
        <v>146.9</v>
      </c>
      <c r="AH5" s="13">
        <v>228.2</v>
      </c>
      <c r="AI5" s="13">
        <v>175.4</v>
      </c>
      <c r="AJ5" s="13">
        <v>177.2</v>
      </c>
      <c r="AK5" s="13">
        <v>192.2</v>
      </c>
      <c r="AL5" s="13">
        <v>279.3</v>
      </c>
      <c r="AM5" s="13">
        <v>220.9</v>
      </c>
      <c r="AN5" s="13">
        <v>223.2</v>
      </c>
      <c r="AO5" s="13">
        <v>207.3</v>
      </c>
      <c r="AP5" s="13">
        <v>313.2</v>
      </c>
      <c r="AQ5" s="13">
        <v>173</v>
      </c>
      <c r="AR5" s="13">
        <v>169.8</v>
      </c>
      <c r="AS5" s="13">
        <v>177.6</v>
      </c>
      <c r="AT5" s="13">
        <v>233.7</v>
      </c>
      <c r="AU5" s="13">
        <v>136.80000000000001</v>
      </c>
      <c r="AV5" s="13">
        <v>139.4</v>
      </c>
      <c r="AW5" s="13">
        <v>171.1</v>
      </c>
      <c r="AX5" s="13">
        <v>270.60000000000002</v>
      </c>
      <c r="AY5" s="13">
        <v>211.5</v>
      </c>
      <c r="AZ5" s="13">
        <v>227.6</v>
      </c>
      <c r="BA5" s="13">
        <f>AW5*1.5</f>
        <v>256.64999999999998</v>
      </c>
      <c r="BB5" s="13">
        <f>AX5*1.2</f>
        <v>324.72000000000003</v>
      </c>
      <c r="BK5" s="13">
        <v>579.9</v>
      </c>
      <c r="BL5" s="13">
        <f>SUM(AG5:AJ5)</f>
        <v>727.7</v>
      </c>
      <c r="BM5" s="5">
        <f>SUM(AM5:AP5)</f>
        <v>964.60000000000014</v>
      </c>
      <c r="BN5" s="5">
        <f>SUM(AQ5:AT5)</f>
        <v>754.09999999999991</v>
      </c>
      <c r="BO5" s="5">
        <f>SUM(AU5:AX5)</f>
        <v>717.90000000000009</v>
      </c>
      <c r="BP5" s="5">
        <f>SUM(AY5:BB5)</f>
        <v>1020.47</v>
      </c>
      <c r="BQ5" s="5">
        <f>BP5*1.28</f>
        <v>1306.2016000000001</v>
      </c>
      <c r="BR5" s="5">
        <f>BQ5*1.14</f>
        <v>1489.0698239999999</v>
      </c>
      <c r="BS5" s="5">
        <f>BR5*1.07</f>
        <v>1593.3047116800001</v>
      </c>
      <c r="BT5" s="5">
        <f>BS5*1.04</f>
        <v>1657.0369001472002</v>
      </c>
      <c r="BU5" s="5">
        <f>BT5*1.03</f>
        <v>1706.7480071516163</v>
      </c>
      <c r="BV5" s="5">
        <f t="shared" ref="BV5:BZ5" si="2">BU5*1.03</f>
        <v>1757.9504473661648</v>
      </c>
      <c r="BW5" s="5">
        <f t="shared" si="2"/>
        <v>1810.6889607871499</v>
      </c>
      <c r="BX5" s="5">
        <f t="shared" si="2"/>
        <v>1865.0096296107645</v>
      </c>
      <c r="BY5" s="5">
        <f t="shared" si="2"/>
        <v>1920.9599184990875</v>
      </c>
      <c r="BZ5" s="5">
        <f t="shared" si="2"/>
        <v>1978.5887160540601</v>
      </c>
    </row>
    <row r="6" spans="2:182" s="1" customFormat="1" x14ac:dyDescent="0.3">
      <c r="B6" s="1" t="s">
        <v>11</v>
      </c>
      <c r="C6" s="10">
        <v>1865.3</v>
      </c>
      <c r="D6" s="10">
        <v>1383.7</v>
      </c>
      <c r="E6" s="10">
        <v>2106.6999999999998</v>
      </c>
      <c r="F6" s="10">
        <v>3683.8</v>
      </c>
      <c r="G6" s="10">
        <v>1996.3</v>
      </c>
      <c r="H6" s="10">
        <v>1731.4</v>
      </c>
      <c r="I6" s="10">
        <v>2092.1999999999998</v>
      </c>
      <c r="J6" s="10">
        <v>3476.1</v>
      </c>
      <c r="K6" s="10">
        <v>2060.6</v>
      </c>
      <c r="L6" s="10">
        <v>1761.9</v>
      </c>
      <c r="M6" s="10">
        <v>2016.3</v>
      </c>
      <c r="N6" s="10">
        <v>3525</v>
      </c>
      <c r="O6" s="10">
        <v>1971.5</v>
      </c>
      <c r="P6" s="10">
        <v>1631.8</v>
      </c>
      <c r="Q6" s="10">
        <v>1959.2</v>
      </c>
      <c r="R6" s="10">
        <v>3045.4</v>
      </c>
      <c r="S6" s="10">
        <v>2045.9</v>
      </c>
      <c r="T6" s="10">
        <v>1687.6</v>
      </c>
      <c r="U6" s="10">
        <v>1988.6</v>
      </c>
      <c r="V6" s="10">
        <v>3502.5</v>
      </c>
      <c r="W6" s="10">
        <v>1934</v>
      </c>
      <c r="X6" s="10">
        <v>1646.7</v>
      </c>
      <c r="Y6" s="10">
        <v>1935.4</v>
      </c>
      <c r="Z6" s="10">
        <v>3063</v>
      </c>
      <c r="AA6" s="10">
        <v>1547.7</v>
      </c>
      <c r="AB6" s="10">
        <v>1285.7</v>
      </c>
      <c r="AC6" s="10">
        <v>1438.5</v>
      </c>
      <c r="AD6" s="10">
        <v>2194.1</v>
      </c>
      <c r="AE6" s="10">
        <v>1021</v>
      </c>
      <c r="AF6" s="10">
        <v>942</v>
      </c>
      <c r="AG6" s="10">
        <v>1004.7</v>
      </c>
      <c r="AH6" s="10">
        <v>2122.1</v>
      </c>
      <c r="AI6" s="10">
        <v>1276.8</v>
      </c>
      <c r="AJ6" s="14">
        <f t="shared" ref="AJ6:AL6" si="3">SUM(AJ3:AJ5)</f>
        <v>1183.4000000000001</v>
      </c>
      <c r="AK6" s="14">
        <f t="shared" si="3"/>
        <v>1296.6000000000001</v>
      </c>
      <c r="AL6" s="14">
        <f t="shared" si="3"/>
        <v>2253.9</v>
      </c>
      <c r="AM6" s="14">
        <f>SUM(AM3:AM5)</f>
        <v>1378.4</v>
      </c>
      <c r="AN6" s="14">
        <f>SUM(AN3:AN5)</f>
        <v>1136</v>
      </c>
      <c r="AO6" s="14">
        <v>1186</v>
      </c>
      <c r="AP6" s="14">
        <v>2226.4</v>
      </c>
      <c r="AQ6" s="14">
        <v>1237.0999999999999</v>
      </c>
      <c r="AR6" s="14">
        <v>1163.8</v>
      </c>
      <c r="AS6" s="14">
        <v>1078.3</v>
      </c>
      <c r="AT6" s="14">
        <v>1793.6</v>
      </c>
      <c r="AU6" s="14">
        <v>881.8</v>
      </c>
      <c r="AV6" s="14">
        <v>798.3</v>
      </c>
      <c r="AW6" s="14">
        <f t="shared" ref="AW6:BB6" si="4">SUM(AW3:AW5)</f>
        <v>860.30000000000007</v>
      </c>
      <c r="AX6" s="14">
        <f t="shared" si="4"/>
        <v>1282.5999999999999</v>
      </c>
      <c r="AY6" s="14">
        <f t="shared" si="4"/>
        <v>732.4</v>
      </c>
      <c r="AZ6" s="14">
        <f t="shared" si="4"/>
        <v>972.2</v>
      </c>
      <c r="BA6" s="14">
        <f t="shared" si="4"/>
        <v>933.23</v>
      </c>
      <c r="BB6" s="14">
        <f t="shared" si="4"/>
        <v>1308.306</v>
      </c>
      <c r="BD6" s="10">
        <f>SUM(C6:F6)</f>
        <v>9039.5</v>
      </c>
      <c r="BE6" s="10">
        <f>SUM(G6:J6)</f>
        <v>9296</v>
      </c>
      <c r="BF6" s="10">
        <f>SUM(K6:N6)</f>
        <v>9363.7999999999993</v>
      </c>
      <c r="BG6" s="10">
        <f>SUM(O6:R6)</f>
        <v>8607.9</v>
      </c>
      <c r="BH6" s="10">
        <f>SUM(S6:V6)</f>
        <v>9224.6</v>
      </c>
      <c r="BI6" s="10">
        <f>SUM(W6:Z6)</f>
        <v>8579.1</v>
      </c>
      <c r="BJ6" s="10">
        <f>SUM(AA6:AD6)</f>
        <v>6466</v>
      </c>
      <c r="BK6" s="10">
        <f>SUM(AE6:AH6)</f>
        <v>5089.7999999999993</v>
      </c>
      <c r="BL6" s="10">
        <f>SUM(AI6:AL6)</f>
        <v>6010.7000000000007</v>
      </c>
      <c r="BM6" s="10">
        <f>SUM(AM6:AP6)</f>
        <v>5926.8</v>
      </c>
      <c r="BN6" s="10">
        <f>SUM(AQ6:AT6)</f>
        <v>5272.7999999999993</v>
      </c>
      <c r="BO6" s="10">
        <f>SUM(AU6:AX6)</f>
        <v>3823</v>
      </c>
      <c r="BP6" s="15">
        <f>SUM(BP3:BP5)</f>
        <v>3946.1359999999995</v>
      </c>
      <c r="BQ6" s="15">
        <f t="shared" ref="BQ6:BZ6" si="5">SUM(BQ3:BQ5)</f>
        <v>4033.9582</v>
      </c>
      <c r="BR6" s="15">
        <f t="shared" si="5"/>
        <v>4271.3815560000003</v>
      </c>
      <c r="BS6" s="15">
        <f t="shared" si="5"/>
        <v>4431.2626783200003</v>
      </c>
      <c r="BT6" s="15">
        <f t="shared" si="5"/>
        <v>4531.7453612784002</v>
      </c>
      <c r="BU6" s="15">
        <f t="shared" si="5"/>
        <v>4618.7418860154248</v>
      </c>
      <c r="BV6" s="15">
        <f t="shared" si="5"/>
        <v>4699.064265018611</v>
      </c>
      <c r="BW6" s="15">
        <f t="shared" si="5"/>
        <v>4781.2139166161205</v>
      </c>
      <c r="BX6" s="15">
        <f t="shared" si="5"/>
        <v>4865.2398349980249</v>
      </c>
      <c r="BY6" s="15">
        <f t="shared" si="5"/>
        <v>4951.1924259402203</v>
      </c>
      <c r="BZ6" s="15">
        <f t="shared" si="5"/>
        <v>5039.1235485696043</v>
      </c>
    </row>
    <row r="7" spans="2:182" x14ac:dyDescent="0.3">
      <c r="B7" t="s">
        <v>43</v>
      </c>
      <c r="C7" s="5">
        <v>1287</v>
      </c>
      <c r="D7" s="5">
        <v>902.3</v>
      </c>
      <c r="E7" s="5">
        <v>1508.3</v>
      </c>
      <c r="F7" s="5">
        <v>2680.8</v>
      </c>
      <c r="G7" s="5">
        <v>1369.9</v>
      </c>
      <c r="H7" s="5">
        <v>1180.5</v>
      </c>
      <c r="I7" s="5">
        <v>1470</v>
      </c>
      <c r="J7" s="5">
        <v>2499.6999999999998</v>
      </c>
      <c r="K7" s="5">
        <v>1421.6</v>
      </c>
      <c r="L7" s="5">
        <v>1181.4000000000001</v>
      </c>
      <c r="M7" s="5">
        <v>1360.7</v>
      </c>
      <c r="N7" s="5">
        <v>2481.8000000000002</v>
      </c>
      <c r="O7" s="5">
        <v>1296</v>
      </c>
      <c r="P7" s="5">
        <v>1014.1</v>
      </c>
      <c r="Q7" s="5">
        <v>1251</v>
      </c>
      <c r="R7" s="5">
        <v>2037.5</v>
      </c>
      <c r="S7" s="5">
        <v>1343.4</v>
      </c>
      <c r="T7" s="5">
        <v>1063.9000000000001</v>
      </c>
      <c r="U7" s="5">
        <v>1299.2</v>
      </c>
      <c r="V7" s="5">
        <v>2478</v>
      </c>
      <c r="W7" s="5">
        <v>1276.7</v>
      </c>
      <c r="X7" s="5">
        <v>1050.5999999999999</v>
      </c>
      <c r="Y7" s="5">
        <v>1377.2</v>
      </c>
      <c r="Z7" s="5">
        <v>2314.1999999999998</v>
      </c>
      <c r="AA7" s="5">
        <v>1076.5</v>
      </c>
      <c r="AB7" s="5">
        <v>886.6</v>
      </c>
      <c r="AC7" s="5">
        <v>997.4</v>
      </c>
      <c r="AD7" s="5">
        <v>1596.8</v>
      </c>
      <c r="AE7" s="5">
        <v>738.6</v>
      </c>
      <c r="AF7" s="5">
        <v>689.8</v>
      </c>
      <c r="AG7" s="5">
        <v>728.4</v>
      </c>
      <c r="AH7" s="5">
        <v>1673.5</v>
      </c>
      <c r="AI7" s="5">
        <v>946.7</v>
      </c>
      <c r="AJ7" s="13">
        <v>862.5</v>
      </c>
      <c r="AK7" s="13">
        <v>978</v>
      </c>
      <c r="AL7" s="13">
        <v>1875.7</v>
      </c>
      <c r="AM7" s="13">
        <v>1079.9000000000001</v>
      </c>
      <c r="AN7" s="13">
        <v>853.8</v>
      </c>
      <c r="AO7" s="13">
        <v>894.8</v>
      </c>
      <c r="AP7" s="13">
        <v>1726.6</v>
      </c>
      <c r="AQ7" s="13">
        <v>949.8</v>
      </c>
      <c r="AR7" s="13">
        <v>857.9</v>
      </c>
      <c r="AS7" s="13">
        <v>796.5</v>
      </c>
      <c r="AT7" s="13">
        <v>1374.4</v>
      </c>
      <c r="AU7" s="13">
        <v>637.29999999999995</v>
      </c>
      <c r="AV7" s="13">
        <v>549.5</v>
      </c>
      <c r="AW7" s="13">
        <v>603.1</v>
      </c>
      <c r="AX7" s="13">
        <v>919.2</v>
      </c>
      <c r="AY7" s="13">
        <v>479.6</v>
      </c>
      <c r="AZ7" s="13">
        <v>689.1</v>
      </c>
      <c r="BA7" s="13">
        <f t="shared" ref="BA7:BB7" si="6">BA6-BA8</f>
        <v>634.59640000000002</v>
      </c>
      <c r="BB7" s="13">
        <f t="shared" si="6"/>
        <v>928.89726000000007</v>
      </c>
      <c r="BD7" s="5">
        <f>SUM(C7:F7)</f>
        <v>6378.4000000000005</v>
      </c>
      <c r="BE7" s="5">
        <f>SUM(G7:J7)</f>
        <v>6520.1</v>
      </c>
      <c r="BF7" s="5">
        <f>SUM(K7:N7)</f>
        <v>6445.5</v>
      </c>
      <c r="BG7" s="5">
        <f>SUM(O7:R7)</f>
        <v>5598.6</v>
      </c>
      <c r="BH7" s="5">
        <f>SUM(S7:V7)</f>
        <v>6184.5</v>
      </c>
      <c r="BI7" s="5">
        <f>SUM(W7:Z7)</f>
        <v>6018.7</v>
      </c>
      <c r="BJ7" s="5">
        <f>SUM(AA7:AD7)</f>
        <v>4557.3</v>
      </c>
      <c r="BK7" s="5">
        <f>SUM(AE7:AH7)</f>
        <v>3830.3</v>
      </c>
      <c r="BL7" s="5">
        <f>SUM(AI7:AL7)</f>
        <v>4662.8999999999996</v>
      </c>
      <c r="BM7" s="5">
        <f>SUM(AM7:AP7)</f>
        <v>4555.1000000000004</v>
      </c>
      <c r="BN7" s="5">
        <f>SUM(AQ7:AT7)</f>
        <v>3978.6</v>
      </c>
      <c r="BO7" s="5">
        <f>SUM(AU7:AX7)</f>
        <v>2709.1000000000004</v>
      </c>
      <c r="BP7" s="5">
        <f>SUM(AY7:BB7)</f>
        <v>2732.1936600000004</v>
      </c>
      <c r="BQ7" s="13">
        <f>BQ6*0.67</f>
        <v>2702.7519940000002</v>
      </c>
      <c r="BR7" s="13">
        <f t="shared" ref="BR7:BZ7" si="7">BR6*0.67</f>
        <v>2861.8256425200002</v>
      </c>
      <c r="BS7" s="13">
        <f t="shared" si="7"/>
        <v>2968.9459944744003</v>
      </c>
      <c r="BT7" s="13">
        <f t="shared" si="7"/>
        <v>3036.2693920565284</v>
      </c>
      <c r="BU7" s="13">
        <f t="shared" si="7"/>
        <v>3094.5570636303346</v>
      </c>
      <c r="BV7" s="13">
        <f t="shared" si="7"/>
        <v>3148.3730575624695</v>
      </c>
      <c r="BW7" s="13">
        <f t="shared" si="7"/>
        <v>3203.4133241328009</v>
      </c>
      <c r="BX7" s="13">
        <f t="shared" si="7"/>
        <v>3259.7106894486769</v>
      </c>
      <c r="BY7" s="13">
        <f t="shared" si="7"/>
        <v>3317.2989253799478</v>
      </c>
      <c r="BZ7" s="13">
        <f t="shared" si="7"/>
        <v>3376.2127775416352</v>
      </c>
    </row>
    <row r="8" spans="2:182" s="1" customFormat="1" x14ac:dyDescent="0.3">
      <c r="B8" s="1" t="s">
        <v>44</v>
      </c>
      <c r="C8" s="10">
        <f t="shared" ref="C8:AF8" si="8">C6-C7</f>
        <v>578.29999999999995</v>
      </c>
      <c r="D8" s="10">
        <f t="shared" si="8"/>
        <v>481.40000000000009</v>
      </c>
      <c r="E8" s="10">
        <f t="shared" si="8"/>
        <v>598.39999999999986</v>
      </c>
      <c r="F8" s="10">
        <f t="shared" si="8"/>
        <v>1003</v>
      </c>
      <c r="G8" s="10">
        <f t="shared" si="8"/>
        <v>626.39999999999986</v>
      </c>
      <c r="H8" s="10">
        <f t="shared" si="8"/>
        <v>550.90000000000009</v>
      </c>
      <c r="I8" s="10">
        <f t="shared" si="8"/>
        <v>622.19999999999982</v>
      </c>
      <c r="J8" s="10">
        <f t="shared" si="8"/>
        <v>976.40000000000009</v>
      </c>
      <c r="K8" s="10">
        <f t="shared" si="8"/>
        <v>639</v>
      </c>
      <c r="L8" s="10">
        <f t="shared" si="8"/>
        <v>580.5</v>
      </c>
      <c r="M8" s="10">
        <f t="shared" si="8"/>
        <v>655.59999999999991</v>
      </c>
      <c r="N8" s="10">
        <f t="shared" si="8"/>
        <v>1043.1999999999998</v>
      </c>
      <c r="O8" s="10">
        <f t="shared" si="8"/>
        <v>675.5</v>
      </c>
      <c r="P8" s="10">
        <f t="shared" si="8"/>
        <v>617.69999999999993</v>
      </c>
      <c r="Q8" s="10">
        <f t="shared" si="8"/>
        <v>708.2</v>
      </c>
      <c r="R8" s="10">
        <f t="shared" si="8"/>
        <v>1007.9000000000001</v>
      </c>
      <c r="S8" s="10">
        <f t="shared" si="8"/>
        <v>702.5</v>
      </c>
      <c r="T8" s="10">
        <f t="shared" si="8"/>
        <v>623.69999999999982</v>
      </c>
      <c r="U8" s="10">
        <f t="shared" si="8"/>
        <v>689.39999999999986</v>
      </c>
      <c r="V8" s="10">
        <f t="shared" si="8"/>
        <v>1024.5</v>
      </c>
      <c r="W8" s="10">
        <f t="shared" si="8"/>
        <v>657.3</v>
      </c>
      <c r="X8" s="10">
        <f t="shared" si="8"/>
        <v>596.10000000000014</v>
      </c>
      <c r="Y8" s="10">
        <f t="shared" si="8"/>
        <v>558.20000000000005</v>
      </c>
      <c r="Z8" s="10">
        <f t="shared" si="8"/>
        <v>748.80000000000018</v>
      </c>
      <c r="AA8" s="10">
        <f t="shared" si="8"/>
        <v>471.20000000000005</v>
      </c>
      <c r="AB8" s="10">
        <f t="shared" si="8"/>
        <v>399.1</v>
      </c>
      <c r="AC8" s="10">
        <f t="shared" si="8"/>
        <v>441.1</v>
      </c>
      <c r="AD8" s="10">
        <f t="shared" si="8"/>
        <v>597.29999999999995</v>
      </c>
      <c r="AE8" s="10">
        <f t="shared" si="8"/>
        <v>282.39999999999998</v>
      </c>
      <c r="AF8" s="10">
        <f t="shared" si="8"/>
        <v>252.20000000000005</v>
      </c>
      <c r="AG8" s="10">
        <f>AG6-AG7</f>
        <v>276.30000000000007</v>
      </c>
      <c r="AH8" s="10">
        <f>AH6-AH7</f>
        <v>448.59999999999991</v>
      </c>
      <c r="AI8" s="10">
        <f>AI6-AI7</f>
        <v>330.09999999999991</v>
      </c>
      <c r="AJ8" s="16">
        <f t="shared" ref="AJ8:AK8" si="9">AJ6-AJ7</f>
        <v>320.90000000000009</v>
      </c>
      <c r="AK8" s="16">
        <f t="shared" si="9"/>
        <v>318.60000000000014</v>
      </c>
      <c r="AL8" s="16">
        <f>AL6-AL7</f>
        <v>378.20000000000005</v>
      </c>
      <c r="AM8" s="16">
        <f>AM6-AM7</f>
        <v>298.5</v>
      </c>
      <c r="AN8" s="16">
        <f>+AN6-AN7</f>
        <v>282.20000000000005</v>
      </c>
      <c r="AO8" s="16">
        <f t="shared" ref="AO8:AP8" si="10">AO6-AO7</f>
        <v>291.20000000000005</v>
      </c>
      <c r="AP8" s="16">
        <f t="shared" si="10"/>
        <v>499.80000000000018</v>
      </c>
      <c r="AQ8" s="16">
        <f>AQ6-AQ7</f>
        <v>287.29999999999995</v>
      </c>
      <c r="AR8" s="16">
        <f t="shared" ref="AR8:AZ8" si="11">AR6-AR7</f>
        <v>305.89999999999998</v>
      </c>
      <c r="AS8" s="16">
        <f t="shared" si="11"/>
        <v>281.79999999999995</v>
      </c>
      <c r="AT8" s="16">
        <f t="shared" si="11"/>
        <v>419.19999999999982</v>
      </c>
      <c r="AU8" s="16">
        <f t="shared" si="11"/>
        <v>244.5</v>
      </c>
      <c r="AV8" s="16">
        <f t="shared" si="11"/>
        <v>248.79999999999995</v>
      </c>
      <c r="AW8" s="16">
        <f t="shared" si="11"/>
        <v>257.20000000000005</v>
      </c>
      <c r="AX8" s="16">
        <f t="shared" si="11"/>
        <v>363.39999999999986</v>
      </c>
      <c r="AY8" s="16">
        <f t="shared" si="11"/>
        <v>252.79999999999995</v>
      </c>
      <c r="AZ8" s="16">
        <f t="shared" si="11"/>
        <v>283.10000000000002</v>
      </c>
      <c r="BA8" s="16">
        <f>BA6*0.32</f>
        <v>298.6336</v>
      </c>
      <c r="BB8" s="16">
        <f>BB6*0.29</f>
        <v>379.40873999999997</v>
      </c>
      <c r="BD8" s="10">
        <f t="shared" ref="BD8:BU8" si="12">BD6-BD7</f>
        <v>2661.0999999999995</v>
      </c>
      <c r="BE8" s="10">
        <f t="shared" si="12"/>
        <v>2775.8999999999996</v>
      </c>
      <c r="BF8" s="10">
        <f t="shared" si="12"/>
        <v>2918.2999999999993</v>
      </c>
      <c r="BG8" s="10">
        <f t="shared" si="12"/>
        <v>3009.2999999999993</v>
      </c>
      <c r="BH8" s="10">
        <f t="shared" si="12"/>
        <v>3040.1000000000004</v>
      </c>
      <c r="BI8" s="10">
        <f t="shared" si="12"/>
        <v>2560.4000000000005</v>
      </c>
      <c r="BJ8" s="10">
        <f t="shared" si="12"/>
        <v>1908.6999999999998</v>
      </c>
      <c r="BK8" s="10">
        <f t="shared" si="12"/>
        <v>1259.4999999999991</v>
      </c>
      <c r="BL8" s="10">
        <f t="shared" si="12"/>
        <v>1347.8000000000011</v>
      </c>
      <c r="BM8" s="10">
        <f t="shared" si="12"/>
        <v>1371.6999999999998</v>
      </c>
      <c r="BN8" s="10">
        <f t="shared" si="12"/>
        <v>1294.1999999999994</v>
      </c>
      <c r="BO8" s="10">
        <f t="shared" si="12"/>
        <v>1113.8999999999996</v>
      </c>
      <c r="BP8" s="16">
        <f t="shared" si="12"/>
        <v>1213.9423399999991</v>
      </c>
      <c r="BQ8" s="16">
        <f t="shared" si="12"/>
        <v>1331.2062059999998</v>
      </c>
      <c r="BR8" s="16">
        <f t="shared" si="12"/>
        <v>1409.5559134800001</v>
      </c>
      <c r="BS8" s="16">
        <f t="shared" si="12"/>
        <v>1462.3166838456</v>
      </c>
      <c r="BT8" s="16">
        <f t="shared" si="12"/>
        <v>1495.4759692218718</v>
      </c>
      <c r="BU8" s="16">
        <f t="shared" si="12"/>
        <v>1524.1848223850902</v>
      </c>
      <c r="BV8" s="16">
        <f t="shared" ref="BV8:BZ8" si="13">BV6-BV7</f>
        <v>1550.6912074561415</v>
      </c>
      <c r="BW8" s="16">
        <f t="shared" si="13"/>
        <v>1577.8005924833196</v>
      </c>
      <c r="BX8" s="16">
        <f t="shared" si="13"/>
        <v>1605.529145549348</v>
      </c>
      <c r="BY8" s="16">
        <f t="shared" si="13"/>
        <v>1633.8935005602725</v>
      </c>
      <c r="BZ8" s="16">
        <f t="shared" si="13"/>
        <v>1662.9107710279691</v>
      </c>
    </row>
    <row r="9" spans="2:182" x14ac:dyDescent="0.3">
      <c r="B9" t="s">
        <v>45</v>
      </c>
      <c r="C9" s="5">
        <v>449.2</v>
      </c>
      <c r="D9" s="5">
        <v>421.6</v>
      </c>
      <c r="E9" s="5">
        <v>448.5</v>
      </c>
      <c r="F9" s="5">
        <v>573.1</v>
      </c>
      <c r="G9" s="5">
        <v>481</v>
      </c>
      <c r="H9" s="5">
        <v>475.4</v>
      </c>
      <c r="I9" s="5">
        <v>494.3</v>
      </c>
      <c r="J9" s="5">
        <v>550.29999999999995</v>
      </c>
      <c r="K9" s="5">
        <v>479.3</v>
      </c>
      <c r="L9" s="5">
        <v>490.8</v>
      </c>
      <c r="M9" s="5">
        <v>525.5</v>
      </c>
      <c r="N9" s="5">
        <v>613.9</v>
      </c>
      <c r="O9" s="5">
        <v>520.79999999999995</v>
      </c>
      <c r="P9" s="5">
        <v>518.4</v>
      </c>
      <c r="Q9" s="5">
        <v>567.1</v>
      </c>
      <c r="R9" s="5">
        <v>646.29999999999995</v>
      </c>
      <c r="S9" s="5">
        <v>563.5</v>
      </c>
      <c r="T9" s="5">
        <v>542.4</v>
      </c>
      <c r="U9" s="5">
        <v>565.1</v>
      </c>
      <c r="V9" s="5">
        <v>692</v>
      </c>
      <c r="W9" s="5">
        <v>566.1</v>
      </c>
      <c r="X9" s="5">
        <v>542.29999999999995</v>
      </c>
      <c r="Y9" s="5">
        <v>463.6</v>
      </c>
      <c r="Z9" s="5">
        <v>552.5</v>
      </c>
      <c r="AA9" s="5">
        <v>453.7</v>
      </c>
      <c r="AB9" s="5">
        <v>481.9</v>
      </c>
      <c r="AC9" s="5">
        <v>451.8</v>
      </c>
      <c r="AD9" s="5">
        <v>511.7</v>
      </c>
      <c r="AE9" s="5">
        <v>386.5</v>
      </c>
      <c r="AF9" s="5">
        <v>348.2</v>
      </c>
      <c r="AG9" s="5">
        <v>360.4</v>
      </c>
      <c r="AH9" s="5">
        <v>419.1</v>
      </c>
      <c r="AI9" s="5">
        <v>370.3</v>
      </c>
      <c r="AJ9" s="13">
        <v>378.9</v>
      </c>
      <c r="AK9" s="13">
        <v>421.5</v>
      </c>
      <c r="AL9" s="13">
        <v>538.9</v>
      </c>
      <c r="AM9" s="13">
        <v>452.2</v>
      </c>
      <c r="AN9" s="13">
        <v>387.5</v>
      </c>
      <c r="AO9" s="13">
        <v>387.9</v>
      </c>
      <c r="AP9" s="13">
        <f>453.4+0.2</f>
        <v>453.59999999999997</v>
      </c>
      <c r="AQ9" s="13">
        <v>345.7</v>
      </c>
      <c r="AR9" s="13">
        <v>322.5</v>
      </c>
      <c r="AS9" s="13">
        <v>296.5</v>
      </c>
      <c r="AT9" s="13">
        <f>359.2</f>
        <v>359.2</v>
      </c>
      <c r="AU9" s="13">
        <v>295.10000000000002</v>
      </c>
      <c r="AV9" s="13">
        <v>270.8</v>
      </c>
      <c r="AW9" s="13">
        <v>282</v>
      </c>
      <c r="AX9" s="13">
        <v>282.5</v>
      </c>
      <c r="AY9" s="13">
        <v>228.1</v>
      </c>
      <c r="AZ9" s="13">
        <v>218.8</v>
      </c>
      <c r="BA9" s="13">
        <f>AW9*0.82</f>
        <v>231.23999999999998</v>
      </c>
      <c r="BB9" s="13">
        <f>AX9*0.9</f>
        <v>254.25</v>
      </c>
      <c r="BD9" s="5">
        <f>SUM(C9:F9)</f>
        <v>1892.4</v>
      </c>
      <c r="BE9" s="5">
        <f>SUM(G9:J9)</f>
        <v>2001</v>
      </c>
      <c r="BF9" s="5">
        <f>SUM(K9:N9)</f>
        <v>2109.5</v>
      </c>
      <c r="BG9" s="5">
        <f>SUM(O9:R9)</f>
        <v>2252.5999999999995</v>
      </c>
      <c r="BH9" s="5">
        <f>SUM(S9:V9)</f>
        <v>2363</v>
      </c>
      <c r="BI9" s="5">
        <f>SUM(W9:Z9)</f>
        <v>2124.5</v>
      </c>
      <c r="BJ9" s="5">
        <f>SUM(AA9:AD9)</f>
        <v>1899.1</v>
      </c>
      <c r="BK9" s="5">
        <f>SUM(AE9:AH9)</f>
        <v>1514.1999999999998</v>
      </c>
      <c r="BL9" s="5">
        <f>SUM(AI9:AL9)</f>
        <v>1709.6</v>
      </c>
      <c r="BM9" s="5">
        <f>SUM(AM9:AP9)</f>
        <v>1681.1999999999998</v>
      </c>
      <c r="BN9" s="5">
        <f>SUM(AQ9:AT9)</f>
        <v>1323.9</v>
      </c>
      <c r="BO9" s="5">
        <f>SUM(AU9:AX9)</f>
        <v>1130.4000000000001</v>
      </c>
      <c r="BP9" s="5">
        <f>SUM(AY9:BB9)</f>
        <v>932.39</v>
      </c>
      <c r="BQ9" s="13">
        <f t="shared" ref="BQ9:BU9" si="14">BQ6*0.25</f>
        <v>1008.48955</v>
      </c>
      <c r="BR9" s="13">
        <f>BR6*0.24</f>
        <v>1025.13157344</v>
      </c>
      <c r="BS9" s="13">
        <f>BS6*0.24</f>
        <v>1063.5030427967999</v>
      </c>
      <c r="BT9" s="13">
        <f t="shared" si="14"/>
        <v>1132.9363403196</v>
      </c>
      <c r="BU9" s="13">
        <f t="shared" si="14"/>
        <v>1154.6854715038562</v>
      </c>
      <c r="BV9" s="13">
        <f t="shared" ref="BV9:BZ9" si="15">BV6*0.25</f>
        <v>1174.7660662546527</v>
      </c>
      <c r="BW9" s="13">
        <f t="shared" si="15"/>
        <v>1195.3034791540301</v>
      </c>
      <c r="BX9" s="13">
        <f t="shared" si="15"/>
        <v>1216.3099587495062</v>
      </c>
      <c r="BY9" s="13">
        <f t="shared" si="15"/>
        <v>1237.7981064850551</v>
      </c>
      <c r="BZ9" s="13">
        <f t="shared" si="15"/>
        <v>1259.7808871424011</v>
      </c>
    </row>
    <row r="10" spans="2:182" x14ac:dyDescent="0.3">
      <c r="B10" t="s">
        <v>46</v>
      </c>
      <c r="C10" s="5">
        <v>41.9</v>
      </c>
      <c r="D10" s="5">
        <v>41</v>
      </c>
      <c r="E10" s="5">
        <v>40.799999999999997</v>
      </c>
      <c r="F10" s="5">
        <f>42.8+10.2+18.5</f>
        <v>71.5</v>
      </c>
      <c r="G10" s="5">
        <v>39.5</v>
      </c>
      <c r="H10" s="5">
        <v>38.799999999999997</v>
      </c>
      <c r="I10" s="5">
        <v>38.1</v>
      </c>
      <c r="J10" s="5">
        <f>38+2.2</f>
        <v>40.200000000000003</v>
      </c>
      <c r="K10" s="5">
        <v>35.799999999999997</v>
      </c>
      <c r="L10" s="5">
        <v>38</v>
      </c>
      <c r="M10" s="5">
        <v>39.4</v>
      </c>
      <c r="N10" s="5">
        <f>43.4+4</f>
        <v>47.4</v>
      </c>
      <c r="O10" s="5">
        <v>40.700000000000003</v>
      </c>
      <c r="P10" s="5">
        <v>41</v>
      </c>
      <c r="Q10" s="5">
        <v>42.3</v>
      </c>
      <c r="R10" s="5">
        <f>41.2+33.8</f>
        <v>75</v>
      </c>
      <c r="S10" s="5">
        <v>37.9</v>
      </c>
      <c r="T10" s="5">
        <v>37.700000000000003</v>
      </c>
      <c r="U10" s="5">
        <v>36.700000000000003</v>
      </c>
      <c r="V10" s="5">
        <f>38.4+32.8+358</f>
        <v>429.2</v>
      </c>
      <c r="W10" s="5">
        <v>34.1</v>
      </c>
      <c r="X10" s="5">
        <v>32.200000000000003</v>
      </c>
      <c r="Y10" s="5">
        <f>25+557.3+302-18.3</f>
        <v>866</v>
      </c>
      <c r="Z10" s="5">
        <f>413.4-80.8</f>
        <v>332.59999999999997</v>
      </c>
      <c r="AA10" s="5">
        <f>0.7</f>
        <v>0.7</v>
      </c>
      <c r="AB10" s="5">
        <f>363.9+1.7</f>
        <v>365.59999999999997</v>
      </c>
      <c r="AC10" s="5">
        <f>23.6+11.3+0.2</f>
        <v>35.100000000000009</v>
      </c>
      <c r="AD10" s="5">
        <f>10.4+3.9</f>
        <v>14.3</v>
      </c>
      <c r="AE10" s="5">
        <f>3.9+0.6</f>
        <v>4.5</v>
      </c>
      <c r="AF10" s="5">
        <f>0.9-11.3+0.3</f>
        <v>-10.1</v>
      </c>
      <c r="AG10" s="5">
        <v>-21.1</v>
      </c>
      <c r="AH10" s="5">
        <v>10.7</v>
      </c>
      <c r="AI10" s="5">
        <v>0.6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2.7</v>
      </c>
      <c r="AQ10" s="13">
        <v>0</v>
      </c>
      <c r="AR10" s="13">
        <v>0</v>
      </c>
      <c r="AS10" s="13">
        <v>0</v>
      </c>
      <c r="AT10" s="13">
        <v>4.8</v>
      </c>
      <c r="AU10" s="13">
        <v>0</v>
      </c>
      <c r="AV10" s="13">
        <v>0</v>
      </c>
      <c r="AW10" s="13">
        <v>8.6</v>
      </c>
      <c r="AX10" s="13">
        <v>1.1000000000000001</v>
      </c>
      <c r="AY10" s="13">
        <v>35.5</v>
      </c>
      <c r="AZ10" s="13">
        <v>-2.1</v>
      </c>
      <c r="BA10" s="13">
        <v>3</v>
      </c>
      <c r="BB10" s="13">
        <v>2</v>
      </c>
      <c r="BD10" s="5">
        <f>SUM(C10:F10)</f>
        <v>195.2</v>
      </c>
      <c r="BE10" s="5">
        <f>SUM(G10:J10)</f>
        <v>156.60000000000002</v>
      </c>
      <c r="BF10" s="5">
        <f>SUM(K10:N10)</f>
        <v>160.6</v>
      </c>
      <c r="BG10" s="5">
        <f>SUM(O10:R10)</f>
        <v>199</v>
      </c>
      <c r="BH10" s="5">
        <f>SUM(S10:V10)</f>
        <v>541.5</v>
      </c>
      <c r="BI10" s="5">
        <f>SUM(W10:Z10)</f>
        <v>1264.8999999999999</v>
      </c>
      <c r="BJ10" s="5">
        <f>SUM(AA10:AD10)</f>
        <v>415.7</v>
      </c>
      <c r="BK10" s="5">
        <f>SUM(AE10:AH10)</f>
        <v>-16.000000000000004</v>
      </c>
      <c r="BL10" s="19">
        <f>SUM(AI10:AL10)</f>
        <v>0.6</v>
      </c>
      <c r="BM10" s="5">
        <f>SUM(AM10:AP10)</f>
        <v>2.7</v>
      </c>
      <c r="BN10" s="5">
        <f>SUM(AQ10:AT10)</f>
        <v>4.8</v>
      </c>
      <c r="BO10" s="5">
        <f>SUM(AU10:AX10)</f>
        <v>9.6999999999999993</v>
      </c>
      <c r="BP10" s="5">
        <f>SUM(AY10:BB10)</f>
        <v>38.4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</row>
    <row r="11" spans="2:182" s="1" customFormat="1" x14ac:dyDescent="0.3">
      <c r="B11" s="1" t="s">
        <v>47</v>
      </c>
      <c r="C11" s="10">
        <f t="shared" ref="C11:BB11" si="16">C8-C9-C10</f>
        <v>87.19999999999996</v>
      </c>
      <c r="D11" s="10">
        <f t="shared" si="16"/>
        <v>18.800000000000068</v>
      </c>
      <c r="E11" s="10">
        <f t="shared" si="16"/>
        <v>109.09999999999987</v>
      </c>
      <c r="F11" s="10">
        <f t="shared" si="16"/>
        <v>358.4</v>
      </c>
      <c r="G11" s="10">
        <f t="shared" si="16"/>
        <v>105.89999999999986</v>
      </c>
      <c r="H11" s="10">
        <f t="shared" si="16"/>
        <v>36.700000000000117</v>
      </c>
      <c r="I11" s="10">
        <f t="shared" si="16"/>
        <v>89.799999999999812</v>
      </c>
      <c r="J11" s="10">
        <f t="shared" si="16"/>
        <v>385.90000000000015</v>
      </c>
      <c r="K11" s="10">
        <f t="shared" si="16"/>
        <v>123.89999999999999</v>
      </c>
      <c r="L11" s="10">
        <f t="shared" si="16"/>
        <v>51.699999999999989</v>
      </c>
      <c r="M11" s="10">
        <f t="shared" si="16"/>
        <v>90.699999999999903</v>
      </c>
      <c r="N11" s="10">
        <f t="shared" si="16"/>
        <v>381.89999999999986</v>
      </c>
      <c r="O11" s="10">
        <f t="shared" si="16"/>
        <v>114.00000000000004</v>
      </c>
      <c r="P11" s="10">
        <f t="shared" si="16"/>
        <v>58.299999999999955</v>
      </c>
      <c r="Q11" s="10">
        <f t="shared" si="16"/>
        <v>98.800000000000026</v>
      </c>
      <c r="R11" s="10">
        <f t="shared" si="16"/>
        <v>286.60000000000014</v>
      </c>
      <c r="S11" s="10">
        <f t="shared" si="16"/>
        <v>101.1</v>
      </c>
      <c r="T11" s="10">
        <f t="shared" si="16"/>
        <v>43.599999999999838</v>
      </c>
      <c r="U11" s="10">
        <f t="shared" si="16"/>
        <v>87.599999999999838</v>
      </c>
      <c r="V11" s="10">
        <f t="shared" si="16"/>
        <v>-96.699999999999989</v>
      </c>
      <c r="W11" s="10">
        <f t="shared" si="16"/>
        <v>57.09999999999993</v>
      </c>
      <c r="X11" s="10">
        <f t="shared" si="16"/>
        <v>21.600000000000179</v>
      </c>
      <c r="Y11" s="10">
        <f t="shared" si="16"/>
        <v>-771.4</v>
      </c>
      <c r="Z11" s="10">
        <f t="shared" si="16"/>
        <v>-136.29999999999978</v>
      </c>
      <c r="AA11" s="10">
        <f t="shared" si="16"/>
        <v>16.800000000000058</v>
      </c>
      <c r="AB11" s="10">
        <f t="shared" si="16"/>
        <v>-448.39999999999992</v>
      </c>
      <c r="AC11" s="10">
        <f t="shared" si="16"/>
        <v>-45.8</v>
      </c>
      <c r="AD11" s="10">
        <f t="shared" si="16"/>
        <v>71.299999999999969</v>
      </c>
      <c r="AE11" s="10">
        <f t="shared" si="16"/>
        <v>-108.60000000000002</v>
      </c>
      <c r="AF11" s="10">
        <f t="shared" si="16"/>
        <v>-85.899999999999949</v>
      </c>
      <c r="AG11" s="10">
        <f t="shared" si="16"/>
        <v>-62.999999999999908</v>
      </c>
      <c r="AH11" s="10">
        <f t="shared" si="16"/>
        <v>18.799999999999887</v>
      </c>
      <c r="AI11" s="10">
        <f t="shared" si="16"/>
        <v>-40.800000000000104</v>
      </c>
      <c r="AJ11" s="10">
        <f t="shared" si="16"/>
        <v>-57.999999999999886</v>
      </c>
      <c r="AK11" s="10">
        <f t="shared" si="16"/>
        <v>-102.89999999999986</v>
      </c>
      <c r="AL11" s="10">
        <f t="shared" si="16"/>
        <v>-160.69999999999993</v>
      </c>
      <c r="AM11" s="10">
        <f t="shared" si="16"/>
        <v>-153.69999999999999</v>
      </c>
      <c r="AN11" s="10">
        <f t="shared" si="16"/>
        <v>-105.29999999999995</v>
      </c>
      <c r="AO11" s="10">
        <f t="shared" si="16"/>
        <v>-96.699999999999932</v>
      </c>
      <c r="AP11" s="10">
        <f t="shared" si="16"/>
        <v>43.500000000000213</v>
      </c>
      <c r="AQ11" s="10">
        <f t="shared" si="16"/>
        <v>-58.400000000000034</v>
      </c>
      <c r="AR11" s="10">
        <f t="shared" si="16"/>
        <v>-16.600000000000023</v>
      </c>
      <c r="AS11" s="10">
        <f t="shared" si="16"/>
        <v>-14.700000000000045</v>
      </c>
      <c r="AT11" s="10">
        <f t="shared" si="16"/>
        <v>55.199999999999832</v>
      </c>
      <c r="AU11" s="10">
        <f t="shared" si="16"/>
        <v>-50.600000000000023</v>
      </c>
      <c r="AV11" s="10">
        <f t="shared" si="16"/>
        <v>-22.000000000000057</v>
      </c>
      <c r="AW11" s="10">
        <f t="shared" si="16"/>
        <v>-33.399999999999956</v>
      </c>
      <c r="AX11" s="10">
        <f t="shared" si="16"/>
        <v>79.799999999999869</v>
      </c>
      <c r="AY11" s="10">
        <f t="shared" si="16"/>
        <v>-10.80000000000004</v>
      </c>
      <c r="AZ11" s="10">
        <f t="shared" si="16"/>
        <v>66.400000000000006</v>
      </c>
      <c r="BA11" s="10">
        <f t="shared" si="16"/>
        <v>64.393600000000021</v>
      </c>
      <c r="BB11" s="10">
        <f t="shared" si="16"/>
        <v>123.15873999999997</v>
      </c>
      <c r="BD11" s="10">
        <f t="shared" ref="BD11:BU11" si="17">BD8-BD9-BD10</f>
        <v>573.49999999999932</v>
      </c>
      <c r="BE11" s="10">
        <f t="shared" si="17"/>
        <v>618.29999999999961</v>
      </c>
      <c r="BF11" s="10">
        <f t="shared" si="17"/>
        <v>648.19999999999925</v>
      </c>
      <c r="BG11" s="10">
        <f t="shared" si="17"/>
        <v>557.69999999999982</v>
      </c>
      <c r="BH11" s="10">
        <f t="shared" si="17"/>
        <v>135.60000000000036</v>
      </c>
      <c r="BI11" s="10">
        <f t="shared" si="17"/>
        <v>-828.99999999999932</v>
      </c>
      <c r="BJ11" s="10">
        <f t="shared" si="17"/>
        <v>-406.10000000000008</v>
      </c>
      <c r="BK11" s="10">
        <f t="shared" si="17"/>
        <v>-238.70000000000073</v>
      </c>
      <c r="BL11" s="10">
        <f t="shared" si="17"/>
        <v>-362.39999999999884</v>
      </c>
      <c r="BM11" s="10">
        <f t="shared" si="17"/>
        <v>-312.2</v>
      </c>
      <c r="BN11" s="10">
        <f t="shared" si="17"/>
        <v>-34.500000000000725</v>
      </c>
      <c r="BO11" s="10">
        <f t="shared" si="17"/>
        <v>-26.200000000000454</v>
      </c>
      <c r="BP11" s="10">
        <f t="shared" si="17"/>
        <v>243.15233999999916</v>
      </c>
      <c r="BQ11" s="10">
        <f t="shared" si="17"/>
        <v>322.71665599999983</v>
      </c>
      <c r="BR11" s="10">
        <f t="shared" si="17"/>
        <v>384.42434004000006</v>
      </c>
      <c r="BS11" s="10">
        <f t="shared" si="17"/>
        <v>398.81364104880004</v>
      </c>
      <c r="BT11" s="10">
        <f t="shared" si="17"/>
        <v>362.53962890227172</v>
      </c>
      <c r="BU11" s="10">
        <f t="shared" si="17"/>
        <v>369.49935088123402</v>
      </c>
      <c r="BV11" s="10">
        <f t="shared" ref="BV11:BZ11" si="18">BV8-BV9-BV10</f>
        <v>375.92514120148871</v>
      </c>
      <c r="BW11" s="10">
        <f t="shared" si="18"/>
        <v>382.4971133292895</v>
      </c>
      <c r="BX11" s="10">
        <f t="shared" si="18"/>
        <v>389.21918679984174</v>
      </c>
      <c r="BY11" s="10">
        <f t="shared" si="18"/>
        <v>396.09539407521743</v>
      </c>
      <c r="BZ11" s="10">
        <f t="shared" si="18"/>
        <v>403.12988388556801</v>
      </c>
    </row>
    <row r="12" spans="2:182" x14ac:dyDescent="0.3">
      <c r="B12" t="s">
        <v>90</v>
      </c>
      <c r="C12" s="5">
        <f>-0.1+1</f>
        <v>0.9</v>
      </c>
      <c r="D12" s="5">
        <f>-0.1+1.4</f>
        <v>1.2999999999999998</v>
      </c>
      <c r="E12" s="5">
        <f>-0.3+1</f>
        <v>0.7</v>
      </c>
      <c r="F12" s="5">
        <v>1.8</v>
      </c>
      <c r="G12" s="5">
        <f>-0.2+0.8</f>
        <v>0.60000000000000009</v>
      </c>
      <c r="H12" s="5">
        <f>-0.1+1.2</f>
        <v>1.0999999999999999</v>
      </c>
      <c r="I12" s="5">
        <f>-0.1+3.2</f>
        <v>3.1</v>
      </c>
      <c r="J12" s="5">
        <v>5.2</v>
      </c>
      <c r="K12" s="5">
        <f>-0.2+5.6</f>
        <v>5.3999999999999995</v>
      </c>
      <c r="L12" s="5">
        <f>-0.1+5.7</f>
        <v>5.6000000000000005</v>
      </c>
      <c r="M12" s="5">
        <v>6.5</v>
      </c>
      <c r="N12" s="5">
        <v>5.5</v>
      </c>
      <c r="O12" s="5">
        <f>-0.2+11</f>
        <v>10.8</v>
      </c>
      <c r="P12" s="5">
        <f>-0.3+13.9</f>
        <v>13.6</v>
      </c>
      <c r="Q12" s="5">
        <v>14.8</v>
      </c>
      <c r="R12" s="5">
        <v>13.8</v>
      </c>
      <c r="S12" s="5">
        <f>-0.2+14.1</f>
        <v>13.9</v>
      </c>
      <c r="T12" s="5">
        <v>14.4</v>
      </c>
      <c r="U12" s="5">
        <f>-0.2+14.1</f>
        <v>13.9</v>
      </c>
      <c r="V12" s="5">
        <v>13.1</v>
      </c>
      <c r="W12" s="5">
        <f>-0.5+14.2</f>
        <v>13.7</v>
      </c>
      <c r="X12" s="5">
        <f>-0.5+14.4</f>
        <v>13.9</v>
      </c>
      <c r="Y12" s="5">
        <v>-24</v>
      </c>
      <c r="Z12" s="5">
        <v>10.5</v>
      </c>
      <c r="AA12" s="5">
        <f>-5.3+13</f>
        <v>7.7</v>
      </c>
      <c r="AB12" s="5">
        <f>-2.6+9.6</f>
        <v>7</v>
      </c>
      <c r="AC12" s="5">
        <f>-2+8</f>
        <v>6</v>
      </c>
      <c r="AD12" s="5">
        <v>6.5</v>
      </c>
      <c r="AE12" s="5">
        <f>-0.9+7.6</f>
        <v>6.6999999999999993</v>
      </c>
      <c r="AF12" s="5">
        <f>-0.4+7.9</f>
        <v>7.5</v>
      </c>
      <c r="AG12" s="5">
        <v>9.6999999999999993</v>
      </c>
      <c r="AH12" s="5">
        <v>8.1999999999999993</v>
      </c>
      <c r="AI12" s="5">
        <f>-0.1+24.8</f>
        <v>24.7</v>
      </c>
      <c r="AJ12" s="13">
        <v>-0.5</v>
      </c>
      <c r="AK12" s="13">
        <v>-0.8</v>
      </c>
      <c r="AL12" s="13">
        <v>-0.9</v>
      </c>
      <c r="AM12" s="13">
        <v>-0.7</v>
      </c>
      <c r="AN12" s="13">
        <v>0.3</v>
      </c>
      <c r="AO12" s="13">
        <v>3.7</v>
      </c>
      <c r="AP12" s="13">
        <v>6.2</v>
      </c>
      <c r="AQ12" s="13">
        <f>9.7-1.9</f>
        <v>7.7999999999999989</v>
      </c>
      <c r="AR12" s="13">
        <f>11.6+2</f>
        <v>13.6</v>
      </c>
      <c r="AS12" s="13">
        <f>12.9-2.5</f>
        <v>10.4</v>
      </c>
      <c r="AT12" s="13">
        <f>15.3+0.5</f>
        <v>15.8</v>
      </c>
      <c r="AU12" s="13">
        <v>14.9</v>
      </c>
      <c r="AV12" s="13">
        <v>39.5</v>
      </c>
      <c r="AW12" s="13">
        <v>54.2</v>
      </c>
      <c r="AX12" s="13">
        <v>54.8</v>
      </c>
      <c r="AY12" s="13">
        <v>56.9</v>
      </c>
      <c r="AZ12" s="13">
        <v>79.599999999999994</v>
      </c>
      <c r="BA12" s="13">
        <v>75</v>
      </c>
      <c r="BB12" s="13">
        <v>75</v>
      </c>
      <c r="BD12" s="5">
        <f>SUM(C12:F12)</f>
        <v>4.6999999999999993</v>
      </c>
      <c r="BE12" s="5">
        <f>SUM(G12:J12)</f>
        <v>10</v>
      </c>
      <c r="BF12" s="5">
        <f>SUM(K12:N12)</f>
        <v>23</v>
      </c>
      <c r="BG12" s="5">
        <f>SUM(O12:R12)</f>
        <v>53</v>
      </c>
      <c r="BH12" s="5">
        <f>SUM(S12:V12)</f>
        <v>55.300000000000004</v>
      </c>
      <c r="BI12" s="5">
        <f>SUM(W12:Z12)</f>
        <v>14.100000000000001</v>
      </c>
      <c r="BJ12" s="5">
        <f>SUM(AA12:AD12)</f>
        <v>27.2</v>
      </c>
      <c r="BK12" s="5">
        <f>SUM(AE12:AH12)</f>
        <v>32.099999999999994</v>
      </c>
      <c r="BL12" s="19">
        <f>SUM(AI12:AL12)</f>
        <v>22.5</v>
      </c>
      <c r="BM12" s="5">
        <f>SUM(AM12:AP12)</f>
        <v>9.5</v>
      </c>
      <c r="BN12" s="5">
        <f>SUM(AQ12:AT12)</f>
        <v>47.599999999999994</v>
      </c>
      <c r="BO12" s="5">
        <f>SUM(AU12:AX12)</f>
        <v>163.39999999999998</v>
      </c>
      <c r="BP12" s="5">
        <f>SUM(AY12:BB12)</f>
        <v>286.5</v>
      </c>
      <c r="BQ12" s="13">
        <f>BP12*1.03</f>
        <v>295.09500000000003</v>
      </c>
      <c r="BR12" s="13">
        <f t="shared" ref="BR12:BZ12" si="19">BQ12*1.03</f>
        <v>303.94785000000002</v>
      </c>
      <c r="BS12" s="13">
        <f t="shared" si="19"/>
        <v>313.06628550000005</v>
      </c>
      <c r="BT12" s="13">
        <f t="shared" si="19"/>
        <v>322.45827406500007</v>
      </c>
      <c r="BU12" s="13">
        <f t="shared" si="19"/>
        <v>332.13202228695008</v>
      </c>
      <c r="BV12" s="13">
        <f t="shared" si="19"/>
        <v>342.09598295555861</v>
      </c>
      <c r="BW12" s="13">
        <f t="shared" si="19"/>
        <v>352.35886244422539</v>
      </c>
      <c r="BX12" s="13">
        <f t="shared" si="19"/>
        <v>362.92962831755216</v>
      </c>
      <c r="BY12" s="13">
        <f t="shared" si="19"/>
        <v>373.81751716707873</v>
      </c>
      <c r="BZ12" s="13">
        <f t="shared" si="19"/>
        <v>385.03204268209112</v>
      </c>
    </row>
    <row r="13" spans="2:182" x14ac:dyDescent="0.3">
      <c r="B13" t="s">
        <v>123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>
        <v>2</v>
      </c>
      <c r="AZ13" s="13">
        <v>28.6</v>
      </c>
      <c r="BA13" s="13"/>
      <c r="BB13" s="13"/>
      <c r="BD13" s="5"/>
      <c r="BE13" s="5"/>
      <c r="BF13" s="5"/>
      <c r="BG13" s="5"/>
      <c r="BH13" s="5"/>
      <c r="BI13" s="5"/>
      <c r="BJ13" s="5"/>
      <c r="BK13" s="5"/>
      <c r="BL13" s="19"/>
      <c r="BM13" s="5"/>
      <c r="BN13" s="5"/>
      <c r="BO13" s="5"/>
      <c r="BP13" s="5">
        <f>SUM(AY13:BB13)</f>
        <v>30.6</v>
      </c>
      <c r="BQ13" s="13"/>
      <c r="BR13" s="13"/>
      <c r="BS13" s="13"/>
      <c r="BT13" s="13"/>
      <c r="BU13" s="13"/>
      <c r="BV13" s="13"/>
      <c r="BW13" s="13"/>
      <c r="BX13" s="13"/>
      <c r="BY13" s="13"/>
      <c r="BZ13" s="13"/>
    </row>
    <row r="14" spans="2:182" s="1" customFormat="1" x14ac:dyDescent="0.3">
      <c r="B14" s="1" t="s">
        <v>48</v>
      </c>
      <c r="C14" s="10">
        <f t="shared" ref="C14:AF14" si="20">C11-C12</f>
        <v>86.299999999999955</v>
      </c>
      <c r="D14" s="10">
        <f t="shared" si="20"/>
        <v>17.500000000000068</v>
      </c>
      <c r="E14" s="10">
        <f t="shared" si="20"/>
        <v>108.39999999999986</v>
      </c>
      <c r="F14" s="10">
        <f t="shared" si="20"/>
        <v>356.59999999999997</v>
      </c>
      <c r="G14" s="10">
        <f t="shared" si="20"/>
        <v>105.29999999999987</v>
      </c>
      <c r="H14" s="10">
        <f t="shared" si="20"/>
        <v>35.600000000000115</v>
      </c>
      <c r="I14" s="10">
        <f t="shared" si="20"/>
        <v>86.699999999999818</v>
      </c>
      <c r="J14" s="10">
        <f t="shared" si="20"/>
        <v>380.70000000000016</v>
      </c>
      <c r="K14" s="10">
        <f t="shared" si="20"/>
        <v>118.49999999999999</v>
      </c>
      <c r="L14" s="10">
        <f t="shared" si="20"/>
        <v>46.099999999999987</v>
      </c>
      <c r="M14" s="10">
        <f t="shared" si="20"/>
        <v>84.199999999999903</v>
      </c>
      <c r="N14" s="10">
        <f t="shared" si="20"/>
        <v>376.39999999999986</v>
      </c>
      <c r="O14" s="10">
        <f t="shared" si="20"/>
        <v>103.20000000000005</v>
      </c>
      <c r="P14" s="10">
        <f t="shared" si="20"/>
        <v>44.699999999999953</v>
      </c>
      <c r="Q14" s="10">
        <f t="shared" si="20"/>
        <v>84.000000000000028</v>
      </c>
      <c r="R14" s="10">
        <f t="shared" si="20"/>
        <v>272.80000000000013</v>
      </c>
      <c r="S14" s="10">
        <f t="shared" si="20"/>
        <v>87.199999999999989</v>
      </c>
      <c r="T14" s="10">
        <f t="shared" si="20"/>
        <v>29.199999999999839</v>
      </c>
      <c r="U14" s="10">
        <f t="shared" si="20"/>
        <v>73.699999999999832</v>
      </c>
      <c r="V14" s="10">
        <f t="shared" si="20"/>
        <v>-109.79999999999998</v>
      </c>
      <c r="W14" s="10">
        <f t="shared" si="20"/>
        <v>43.399999999999935</v>
      </c>
      <c r="X14" s="10">
        <f t="shared" si="20"/>
        <v>7.7000000000001787</v>
      </c>
      <c r="Y14" s="10">
        <f t="shared" si="20"/>
        <v>-747.4</v>
      </c>
      <c r="Z14" s="10">
        <f t="shared" si="20"/>
        <v>-146.79999999999978</v>
      </c>
      <c r="AA14" s="10">
        <f t="shared" si="20"/>
        <v>9.1000000000000583</v>
      </c>
      <c r="AB14" s="10">
        <f t="shared" si="20"/>
        <v>-455.39999999999992</v>
      </c>
      <c r="AC14" s="10">
        <f t="shared" si="20"/>
        <v>-51.8</v>
      </c>
      <c r="AD14" s="10">
        <f t="shared" si="20"/>
        <v>64.799999999999969</v>
      </c>
      <c r="AE14" s="10">
        <f t="shared" si="20"/>
        <v>-115.30000000000003</v>
      </c>
      <c r="AF14" s="10">
        <f t="shared" si="20"/>
        <v>-93.399999999999949</v>
      </c>
      <c r="AG14" s="10">
        <f t="shared" ref="AG14:AH14" si="21">AG11-AG12</f>
        <v>-72.699999999999903</v>
      </c>
      <c r="AH14" s="10">
        <f t="shared" si="21"/>
        <v>10.599999999999888</v>
      </c>
      <c r="AI14" s="10">
        <f t="shared" ref="AI14" si="22">AI11-AI12</f>
        <v>-65.500000000000099</v>
      </c>
      <c r="AJ14" s="16">
        <f t="shared" ref="AJ14:AK14" si="23">AJ11+AJ12</f>
        <v>-58.499999999999886</v>
      </c>
      <c r="AK14" s="16">
        <f t="shared" si="23"/>
        <v>-103.69999999999986</v>
      </c>
      <c r="AL14" s="16">
        <f>AL11+AL12</f>
        <v>-161.59999999999994</v>
      </c>
      <c r="AM14" s="16">
        <f>AM11+AM12</f>
        <v>-154.39999999999998</v>
      </c>
      <c r="AN14" s="16">
        <f t="shared" ref="AN14:AP14" si="24">AN11+AN12</f>
        <v>-104.99999999999996</v>
      </c>
      <c r="AO14" s="16">
        <f t="shared" si="24"/>
        <v>-92.999999999999929</v>
      </c>
      <c r="AP14" s="16">
        <f t="shared" si="24"/>
        <v>49.700000000000216</v>
      </c>
      <c r="AQ14" s="16">
        <f>AQ11+AQ12</f>
        <v>-50.600000000000037</v>
      </c>
      <c r="AR14" s="16">
        <f t="shared" ref="AR14:AX14" si="25">AR11+AR12</f>
        <v>-3.0000000000000231</v>
      </c>
      <c r="AS14" s="16">
        <f t="shared" si="25"/>
        <v>-4.3000000000000451</v>
      </c>
      <c r="AT14" s="16">
        <f t="shared" si="25"/>
        <v>70.999999999999829</v>
      </c>
      <c r="AU14" s="16">
        <f t="shared" si="25"/>
        <v>-35.700000000000024</v>
      </c>
      <c r="AV14" s="16">
        <f t="shared" si="25"/>
        <v>17.499999999999943</v>
      </c>
      <c r="AW14" s="16">
        <f t="shared" si="25"/>
        <v>20.800000000000047</v>
      </c>
      <c r="AX14" s="16">
        <f t="shared" si="25"/>
        <v>134.59999999999985</v>
      </c>
      <c r="AY14" s="16">
        <f>AY11+AY12+AY13</f>
        <v>48.099999999999959</v>
      </c>
      <c r="AZ14" s="16">
        <f t="shared" ref="AZ14:BB14" si="26">AZ11+AZ12+AZ13</f>
        <v>174.6</v>
      </c>
      <c r="BA14" s="16">
        <f t="shared" si="26"/>
        <v>139.39360000000002</v>
      </c>
      <c r="BB14" s="16">
        <f t="shared" si="26"/>
        <v>198.15873999999997</v>
      </c>
      <c r="BD14" s="10">
        <f t="shared" ref="BD14:BL14" si="27">BD11-BD12</f>
        <v>568.79999999999927</v>
      </c>
      <c r="BE14" s="10">
        <f t="shared" si="27"/>
        <v>608.29999999999961</v>
      </c>
      <c r="BF14" s="10">
        <f t="shared" si="27"/>
        <v>625.19999999999925</v>
      </c>
      <c r="BG14" s="10">
        <f t="shared" si="27"/>
        <v>504.69999999999982</v>
      </c>
      <c r="BH14" s="10">
        <f t="shared" si="27"/>
        <v>80.300000000000352</v>
      </c>
      <c r="BI14" s="10">
        <f t="shared" si="27"/>
        <v>-843.09999999999934</v>
      </c>
      <c r="BJ14" s="10">
        <f t="shared" si="27"/>
        <v>-433.30000000000007</v>
      </c>
      <c r="BK14" s="10">
        <f t="shared" si="27"/>
        <v>-270.80000000000075</v>
      </c>
      <c r="BL14" s="10">
        <f t="shared" si="27"/>
        <v>-384.89999999999884</v>
      </c>
      <c r="BM14" s="16">
        <f t="shared" ref="BM14:BO14" si="28">BM11+BM12</f>
        <v>-302.7</v>
      </c>
      <c r="BN14" s="16">
        <f t="shared" si="28"/>
        <v>13.09999999999927</v>
      </c>
      <c r="BO14" s="16">
        <f t="shared" si="28"/>
        <v>137.19999999999953</v>
      </c>
      <c r="BP14" s="16">
        <f t="shared" ref="BP14:BZ14" si="29">BP11+BP12+BP13</f>
        <v>560.25233999999921</v>
      </c>
      <c r="BQ14" s="16">
        <f t="shared" si="29"/>
        <v>617.81165599999986</v>
      </c>
      <c r="BR14" s="16">
        <f t="shared" si="29"/>
        <v>688.37219004000008</v>
      </c>
      <c r="BS14" s="16">
        <f t="shared" si="29"/>
        <v>711.87992654880009</v>
      </c>
      <c r="BT14" s="16">
        <f t="shared" si="29"/>
        <v>684.99790296727178</v>
      </c>
      <c r="BU14" s="16">
        <f t="shared" si="29"/>
        <v>701.63137316818415</v>
      </c>
      <c r="BV14" s="16">
        <f t="shared" si="29"/>
        <v>718.02112415704732</v>
      </c>
      <c r="BW14" s="16">
        <f t="shared" si="29"/>
        <v>734.85597577351496</v>
      </c>
      <c r="BX14" s="16">
        <f t="shared" si="29"/>
        <v>752.14881511739395</v>
      </c>
      <c r="BY14" s="16">
        <f t="shared" si="29"/>
        <v>769.9129112422961</v>
      </c>
      <c r="BZ14" s="16">
        <f t="shared" si="29"/>
        <v>788.16192656765907</v>
      </c>
    </row>
    <row r="15" spans="2:182" x14ac:dyDescent="0.3">
      <c r="B15" t="s">
        <v>49</v>
      </c>
      <c r="C15" s="5">
        <v>31.7</v>
      </c>
      <c r="D15" s="5">
        <v>7</v>
      </c>
      <c r="E15" s="5">
        <v>39.799999999999997</v>
      </c>
      <c r="F15" s="5">
        <v>136.1</v>
      </c>
      <c r="G15" s="5">
        <v>37.299999999999997</v>
      </c>
      <c r="H15" s="5">
        <v>11</v>
      </c>
      <c r="I15" s="5">
        <v>30.3</v>
      </c>
      <c r="J15" s="5">
        <v>136.6</v>
      </c>
      <c r="K15" s="5">
        <v>44.7</v>
      </c>
      <c r="L15" s="5">
        <v>20.8</v>
      </c>
      <c r="M15" s="5">
        <v>28.3</v>
      </c>
      <c r="N15" s="5">
        <v>128.6</v>
      </c>
      <c r="O15" s="5">
        <v>37.4</v>
      </c>
      <c r="P15" s="5">
        <v>16.8</v>
      </c>
      <c r="Q15" s="5">
        <v>33.200000000000003</v>
      </c>
      <c r="R15" s="5">
        <v>64.099999999999994</v>
      </c>
      <c r="S15" s="5">
        <v>28.2</v>
      </c>
      <c r="T15" s="5">
        <v>7</v>
      </c>
      <c r="U15" s="5">
        <v>14.3</v>
      </c>
      <c r="V15" s="5">
        <v>-3.9</v>
      </c>
      <c r="W15" s="5">
        <v>15.2</v>
      </c>
      <c r="X15" s="5">
        <v>32.6</v>
      </c>
      <c r="Y15" s="5">
        <v>25.9</v>
      </c>
      <c r="Z15" s="5">
        <v>25.9</v>
      </c>
      <c r="AA15" s="5">
        <v>2.2999999999999998</v>
      </c>
      <c r="AB15" s="5">
        <v>-40.1</v>
      </c>
      <c r="AC15" s="5">
        <v>31.6</v>
      </c>
      <c r="AD15" s="5">
        <v>43.8</v>
      </c>
      <c r="AE15" s="5">
        <v>50.4</v>
      </c>
      <c r="AF15" s="5">
        <v>17.899999999999999</v>
      </c>
      <c r="AG15" s="5">
        <v>-53.9</v>
      </c>
      <c r="AH15" s="5">
        <v>-69.900000000000006</v>
      </c>
      <c r="AI15" s="5">
        <v>1.3</v>
      </c>
      <c r="AJ15" s="13">
        <v>3.1</v>
      </c>
      <c r="AK15" s="13">
        <v>1.7</v>
      </c>
      <c r="AL15" s="13">
        <v>-20.2</v>
      </c>
      <c r="AM15" s="13">
        <v>3.5</v>
      </c>
      <c r="AN15" s="13">
        <v>1.2</v>
      </c>
      <c r="AO15" s="13">
        <v>2.1</v>
      </c>
      <c r="AP15" s="13">
        <v>4.2</v>
      </c>
      <c r="AQ15" s="13">
        <v>0.1</v>
      </c>
      <c r="AR15" s="13">
        <v>-0.2</v>
      </c>
      <c r="AS15" s="13">
        <v>-1.2</v>
      </c>
      <c r="AT15" s="13">
        <v>7.9</v>
      </c>
      <c r="AU15" s="13">
        <v>-3.4</v>
      </c>
      <c r="AV15" s="13">
        <v>2.7</v>
      </c>
      <c r="AW15" s="13">
        <v>3.4</v>
      </c>
      <c r="AX15" s="13">
        <v>3.3</v>
      </c>
      <c r="AY15" s="13">
        <v>3.5</v>
      </c>
      <c r="AZ15" s="13">
        <v>6</v>
      </c>
      <c r="BA15" s="13">
        <f t="shared" ref="BA15:BB15" si="30">BA14*0.16</f>
        <v>22.302976000000005</v>
      </c>
      <c r="BB15" s="13">
        <f t="shared" si="30"/>
        <v>31.705398399999996</v>
      </c>
      <c r="BD15" s="5">
        <f>SUM(C15:F15)</f>
        <v>214.6</v>
      </c>
      <c r="BE15" s="5">
        <f>SUM(G15:J15)</f>
        <v>215.2</v>
      </c>
      <c r="BF15" s="5">
        <f>SUM(K15:N15)</f>
        <v>222.39999999999998</v>
      </c>
      <c r="BG15" s="5">
        <f>SUM(O15:R15)</f>
        <v>151.5</v>
      </c>
      <c r="BH15" s="5">
        <f>SUM(S15:V15)</f>
        <v>45.6</v>
      </c>
      <c r="BI15" s="5">
        <f>SUM(W15:Z15)</f>
        <v>99.6</v>
      </c>
      <c r="BJ15" s="5">
        <f>SUM(AA15:AD15)</f>
        <v>37.599999999999994</v>
      </c>
      <c r="BK15" s="5">
        <f>SUM(AE15:AH15)</f>
        <v>-55.500000000000007</v>
      </c>
      <c r="BL15" s="5">
        <f>SUM(AI15:AL15)</f>
        <v>-14.099999999999998</v>
      </c>
      <c r="BM15" s="5">
        <f>SUM(AM15:AP15)</f>
        <v>11</v>
      </c>
      <c r="BN15" s="5">
        <f>SUM(AQ15:AT15)</f>
        <v>6.6000000000000005</v>
      </c>
      <c r="BO15" s="5">
        <f>SUM(AU15:AX15)</f>
        <v>6</v>
      </c>
      <c r="BP15" s="5">
        <f>SUM(AY15:BB15)</f>
        <v>63.508374400000001</v>
      </c>
      <c r="BQ15" s="5">
        <f t="shared" ref="BQ15:BZ15" si="31">BQ14*0.17</f>
        <v>105.02798151999998</v>
      </c>
      <c r="BR15" s="5">
        <f t="shared" si="31"/>
        <v>117.02327230680002</v>
      </c>
      <c r="BS15" s="5">
        <f t="shared" si="31"/>
        <v>121.01958751329602</v>
      </c>
      <c r="BT15" s="5">
        <f t="shared" si="31"/>
        <v>116.44964350443621</v>
      </c>
      <c r="BU15" s="5">
        <f t="shared" si="31"/>
        <v>119.27733343859131</v>
      </c>
      <c r="BV15" s="5">
        <f t="shared" si="31"/>
        <v>122.06359110669806</v>
      </c>
      <c r="BW15" s="5">
        <f t="shared" si="31"/>
        <v>124.92551588149755</v>
      </c>
      <c r="BX15" s="5">
        <f t="shared" si="31"/>
        <v>127.86529856995698</v>
      </c>
      <c r="BY15" s="5">
        <f t="shared" si="31"/>
        <v>130.88519491119035</v>
      </c>
      <c r="BZ15" s="5">
        <f t="shared" si="31"/>
        <v>133.98752751650204</v>
      </c>
    </row>
    <row r="16" spans="2:182" s="1" customFormat="1" x14ac:dyDescent="0.3">
      <c r="B16" s="1" t="s">
        <v>50</v>
      </c>
      <c r="C16" s="10">
        <f t="shared" ref="C16:AF16" si="32">C14-C15</f>
        <v>54.599999999999952</v>
      </c>
      <c r="D16" s="10">
        <f t="shared" si="32"/>
        <v>10.500000000000068</v>
      </c>
      <c r="E16" s="10">
        <f t="shared" si="32"/>
        <v>68.599999999999866</v>
      </c>
      <c r="F16" s="10">
        <f t="shared" si="32"/>
        <v>220.49999999999997</v>
      </c>
      <c r="G16" s="10">
        <f t="shared" si="32"/>
        <v>67.999999999999872</v>
      </c>
      <c r="H16" s="10">
        <f t="shared" si="32"/>
        <v>24.600000000000115</v>
      </c>
      <c r="I16" s="10">
        <f t="shared" si="32"/>
        <v>56.399999999999821</v>
      </c>
      <c r="J16" s="10">
        <f t="shared" si="32"/>
        <v>244.10000000000016</v>
      </c>
      <c r="K16" s="10">
        <f t="shared" si="32"/>
        <v>73.799999999999983</v>
      </c>
      <c r="L16" s="10">
        <f t="shared" si="32"/>
        <v>25.299999999999986</v>
      </c>
      <c r="M16" s="10">
        <f t="shared" si="32"/>
        <v>55.899999999999906</v>
      </c>
      <c r="N16" s="10">
        <f t="shared" si="32"/>
        <v>247.79999999999987</v>
      </c>
      <c r="O16" s="10">
        <f t="shared" si="32"/>
        <v>65.80000000000004</v>
      </c>
      <c r="P16" s="10">
        <f t="shared" si="32"/>
        <v>27.899999999999952</v>
      </c>
      <c r="Q16" s="10">
        <f t="shared" si="32"/>
        <v>50.800000000000026</v>
      </c>
      <c r="R16" s="10">
        <f t="shared" si="32"/>
        <v>208.70000000000013</v>
      </c>
      <c r="S16" s="10">
        <f t="shared" si="32"/>
        <v>58.999999999999986</v>
      </c>
      <c r="T16" s="10">
        <f t="shared" si="32"/>
        <v>22.199999999999839</v>
      </c>
      <c r="U16" s="10">
        <f t="shared" si="32"/>
        <v>59.399999999999835</v>
      </c>
      <c r="V16" s="10">
        <f t="shared" si="32"/>
        <v>-105.89999999999998</v>
      </c>
      <c r="W16" s="10">
        <f t="shared" si="32"/>
        <v>28.199999999999935</v>
      </c>
      <c r="X16" s="10">
        <f t="shared" si="32"/>
        <v>-24.899999999999821</v>
      </c>
      <c r="Y16" s="10">
        <f t="shared" si="32"/>
        <v>-773.3</v>
      </c>
      <c r="Z16" s="10">
        <f t="shared" si="32"/>
        <v>-172.69999999999979</v>
      </c>
      <c r="AA16" s="10">
        <f t="shared" si="32"/>
        <v>6.8000000000000584</v>
      </c>
      <c r="AB16" s="10">
        <f t="shared" si="32"/>
        <v>-415.2999999999999</v>
      </c>
      <c r="AC16" s="10">
        <f t="shared" si="32"/>
        <v>-83.4</v>
      </c>
      <c r="AD16" s="10">
        <f t="shared" si="32"/>
        <v>20.999999999999972</v>
      </c>
      <c r="AE16" s="10">
        <f t="shared" si="32"/>
        <v>-165.70000000000002</v>
      </c>
      <c r="AF16" s="10">
        <f t="shared" si="32"/>
        <v>-111.29999999999995</v>
      </c>
      <c r="AG16" s="10">
        <f t="shared" ref="AG16:AH16" si="33">AG14-AG15</f>
        <v>-18.799999999999905</v>
      </c>
      <c r="AH16" s="10">
        <f t="shared" si="33"/>
        <v>80.499999999999886</v>
      </c>
      <c r="AI16" s="10">
        <f t="shared" ref="AI16" si="34">AI14-AI15</f>
        <v>-66.800000000000097</v>
      </c>
      <c r="AJ16" s="14">
        <f t="shared" ref="AJ16:AK16" si="35">AJ14-AJ15</f>
        <v>-61.599999999999888</v>
      </c>
      <c r="AK16" s="14">
        <f t="shared" si="35"/>
        <v>-105.39999999999986</v>
      </c>
      <c r="AL16" s="14">
        <f>AL14-AL15</f>
        <v>-141.39999999999995</v>
      </c>
      <c r="AM16" s="14">
        <f>AM14-AM15</f>
        <v>-157.89999999999998</v>
      </c>
      <c r="AN16" s="14">
        <f t="shared" ref="AN16:AP16" si="36">AN14-AN15</f>
        <v>-106.19999999999996</v>
      </c>
      <c r="AO16" s="14">
        <f t="shared" si="36"/>
        <v>-95.099999999999923</v>
      </c>
      <c r="AP16" s="14">
        <f t="shared" si="36"/>
        <v>45.500000000000213</v>
      </c>
      <c r="AQ16" s="14">
        <f>AQ14-AQ15</f>
        <v>-50.700000000000038</v>
      </c>
      <c r="AR16" s="14">
        <f t="shared" ref="AR16:AX16" si="37">AR14-AR15</f>
        <v>-2.8000000000000229</v>
      </c>
      <c r="AS16" s="14">
        <f t="shared" si="37"/>
        <v>-3.1000000000000449</v>
      </c>
      <c r="AT16" s="14">
        <f t="shared" si="37"/>
        <v>63.099999999999831</v>
      </c>
      <c r="AU16" s="14">
        <f t="shared" si="37"/>
        <v>-32.300000000000026</v>
      </c>
      <c r="AV16" s="14">
        <f t="shared" si="37"/>
        <v>14.799999999999944</v>
      </c>
      <c r="AW16" s="14">
        <f t="shared" si="37"/>
        <v>17.400000000000048</v>
      </c>
      <c r="AX16" s="14">
        <f t="shared" si="37"/>
        <v>131.29999999999984</v>
      </c>
      <c r="AY16" s="14">
        <f t="shared" ref="AY16:BB16" si="38">AY14-AY15</f>
        <v>44.599999999999959</v>
      </c>
      <c r="AZ16" s="14">
        <f t="shared" si="38"/>
        <v>168.6</v>
      </c>
      <c r="BA16" s="14">
        <f t="shared" si="38"/>
        <v>117.09062400000002</v>
      </c>
      <c r="BB16" s="14">
        <f t="shared" si="38"/>
        <v>166.45334159999996</v>
      </c>
      <c r="BD16" s="10">
        <f t="shared" ref="BD16:BL16" si="39">BD14-BD15</f>
        <v>354.19999999999925</v>
      </c>
      <c r="BE16" s="10">
        <f t="shared" si="39"/>
        <v>393.09999999999962</v>
      </c>
      <c r="BF16" s="10">
        <f t="shared" si="39"/>
        <v>402.79999999999927</v>
      </c>
      <c r="BG16" s="10">
        <f t="shared" si="39"/>
        <v>353.19999999999982</v>
      </c>
      <c r="BH16" s="10">
        <f t="shared" si="39"/>
        <v>34.700000000000351</v>
      </c>
      <c r="BI16" s="10">
        <f t="shared" si="39"/>
        <v>-942.69999999999936</v>
      </c>
      <c r="BJ16" s="10">
        <f t="shared" si="39"/>
        <v>-470.90000000000009</v>
      </c>
      <c r="BK16" s="10">
        <f t="shared" si="39"/>
        <v>-215.30000000000075</v>
      </c>
      <c r="BL16" s="10">
        <f t="shared" si="39"/>
        <v>-370.79999999999882</v>
      </c>
      <c r="BM16" s="10">
        <f t="shared" ref="BM16:BV16" si="40">BM14-BM15</f>
        <v>-313.7</v>
      </c>
      <c r="BN16" s="10">
        <f t="shared" si="40"/>
        <v>6.499999999999269</v>
      </c>
      <c r="BO16" s="10">
        <f t="shared" si="40"/>
        <v>131.19999999999953</v>
      </c>
      <c r="BP16" s="14">
        <f t="shared" si="40"/>
        <v>496.74396559999923</v>
      </c>
      <c r="BQ16" s="14">
        <f t="shared" si="40"/>
        <v>512.78367447999983</v>
      </c>
      <c r="BR16" s="14">
        <f t="shared" si="40"/>
        <v>571.3489177332001</v>
      </c>
      <c r="BS16" s="14">
        <f t="shared" si="40"/>
        <v>590.86033903550401</v>
      </c>
      <c r="BT16" s="14">
        <f t="shared" si="40"/>
        <v>568.54825946283563</v>
      </c>
      <c r="BU16" s="14">
        <f t="shared" si="40"/>
        <v>582.35403972959284</v>
      </c>
      <c r="BV16" s="14">
        <f t="shared" si="40"/>
        <v>595.9575330503493</v>
      </c>
      <c r="BW16" s="10">
        <f t="shared" ref="BW16:BZ16" si="41">BW14-BW15</f>
        <v>609.93045989201744</v>
      </c>
      <c r="BX16" s="10">
        <f t="shared" si="41"/>
        <v>624.28351654743699</v>
      </c>
      <c r="BY16" s="10">
        <f t="shared" si="41"/>
        <v>639.02771633110569</v>
      </c>
      <c r="BZ16" s="10">
        <f t="shared" si="41"/>
        <v>654.17439905115702</v>
      </c>
      <c r="CA16" s="1">
        <f>BZ16*(1+$CC$30)</f>
        <v>647.63265506064545</v>
      </c>
      <c r="CB16" s="1">
        <f t="shared" ref="CB16:EM16" si="42">CA16*(1+$CC$30)</f>
        <v>641.15632851003897</v>
      </c>
      <c r="CC16" s="1">
        <f t="shared" si="42"/>
        <v>634.74476522493853</v>
      </c>
      <c r="CD16" s="1">
        <f t="shared" si="42"/>
        <v>628.39731757268919</v>
      </c>
      <c r="CE16" s="1">
        <f t="shared" si="42"/>
        <v>622.11334439696225</v>
      </c>
      <c r="CF16" s="1">
        <f t="shared" si="42"/>
        <v>615.89221095299263</v>
      </c>
      <c r="CG16" s="1">
        <f t="shared" si="42"/>
        <v>609.73328884346267</v>
      </c>
      <c r="CH16" s="1">
        <f t="shared" si="42"/>
        <v>603.63595595502807</v>
      </c>
      <c r="CI16" s="1">
        <f t="shared" si="42"/>
        <v>597.59959639547776</v>
      </c>
      <c r="CJ16" s="1">
        <f t="shared" si="42"/>
        <v>591.62360043152296</v>
      </c>
      <c r="CK16" s="1">
        <f t="shared" si="42"/>
        <v>585.70736442720772</v>
      </c>
      <c r="CL16" s="1">
        <f t="shared" si="42"/>
        <v>579.85029078293564</v>
      </c>
      <c r="CM16" s="1">
        <f t="shared" si="42"/>
        <v>574.05178787510624</v>
      </c>
      <c r="CN16" s="1">
        <f t="shared" si="42"/>
        <v>568.31126999635512</v>
      </c>
      <c r="CO16" s="1">
        <f t="shared" si="42"/>
        <v>562.62815729639158</v>
      </c>
      <c r="CP16" s="1">
        <f t="shared" si="42"/>
        <v>557.0018757234277</v>
      </c>
      <c r="CQ16" s="1">
        <f t="shared" si="42"/>
        <v>551.43185696619344</v>
      </c>
      <c r="CR16" s="1">
        <f t="shared" si="42"/>
        <v>545.91753839653154</v>
      </c>
      <c r="CS16" s="1">
        <f t="shared" si="42"/>
        <v>540.45836301256622</v>
      </c>
      <c r="CT16" s="1">
        <f t="shared" si="42"/>
        <v>535.05377938244055</v>
      </c>
      <c r="CU16" s="1">
        <f t="shared" si="42"/>
        <v>529.70324158861615</v>
      </c>
      <c r="CV16" s="1">
        <f t="shared" si="42"/>
        <v>524.40620917272997</v>
      </c>
      <c r="CW16" s="1">
        <f t="shared" si="42"/>
        <v>519.16214708100267</v>
      </c>
      <c r="CX16" s="1">
        <f t="shared" si="42"/>
        <v>513.97052561019268</v>
      </c>
      <c r="CY16" s="1">
        <f t="shared" si="42"/>
        <v>508.83082035409075</v>
      </c>
      <c r="CZ16" s="1">
        <f t="shared" si="42"/>
        <v>503.74251215054983</v>
      </c>
      <c r="DA16" s="1">
        <f t="shared" si="42"/>
        <v>498.70508702904431</v>
      </c>
      <c r="DB16" s="1">
        <f t="shared" si="42"/>
        <v>493.71803615875388</v>
      </c>
      <c r="DC16" s="1">
        <f t="shared" si="42"/>
        <v>488.78085579716634</v>
      </c>
      <c r="DD16" s="1">
        <f t="shared" si="42"/>
        <v>483.89304723919469</v>
      </c>
      <c r="DE16" s="1">
        <f t="shared" si="42"/>
        <v>479.05411676680274</v>
      </c>
      <c r="DF16" s="1">
        <f t="shared" si="42"/>
        <v>474.2635755991347</v>
      </c>
      <c r="DG16" s="1">
        <f t="shared" si="42"/>
        <v>469.52093984314337</v>
      </c>
      <c r="DH16" s="1">
        <f t="shared" si="42"/>
        <v>464.82573044471195</v>
      </c>
      <c r="DI16" s="1">
        <f t="shared" si="42"/>
        <v>460.17747314026485</v>
      </c>
      <c r="DJ16" s="1">
        <f t="shared" si="42"/>
        <v>455.57569840886219</v>
      </c>
      <c r="DK16" s="1">
        <f t="shared" si="42"/>
        <v>451.01994142477355</v>
      </c>
      <c r="DL16" s="1">
        <f t="shared" si="42"/>
        <v>446.50974201052583</v>
      </c>
      <c r="DM16" s="1">
        <f t="shared" si="42"/>
        <v>442.04464459042055</v>
      </c>
      <c r="DN16" s="1">
        <f t="shared" si="42"/>
        <v>437.62419814451636</v>
      </c>
      <c r="DO16" s="1">
        <f t="shared" si="42"/>
        <v>433.24795616307119</v>
      </c>
      <c r="DP16" s="1">
        <f t="shared" si="42"/>
        <v>428.9154766014405</v>
      </c>
      <c r="DQ16" s="1">
        <f t="shared" si="42"/>
        <v>424.6263218354261</v>
      </c>
      <c r="DR16" s="1">
        <f t="shared" si="42"/>
        <v>420.38005861707182</v>
      </c>
      <c r="DS16" s="1">
        <f t="shared" si="42"/>
        <v>416.17625803090112</v>
      </c>
      <c r="DT16" s="1">
        <f t="shared" si="42"/>
        <v>412.01449545059211</v>
      </c>
      <c r="DU16" s="1">
        <f t="shared" si="42"/>
        <v>407.89435049608619</v>
      </c>
      <c r="DV16" s="1">
        <f t="shared" si="42"/>
        <v>403.81540699112531</v>
      </c>
      <c r="DW16" s="1">
        <f t="shared" si="42"/>
        <v>399.77725292121409</v>
      </c>
      <c r="DX16" s="1">
        <f t="shared" si="42"/>
        <v>395.77948039200191</v>
      </c>
      <c r="DY16" s="1">
        <f t="shared" si="42"/>
        <v>391.82168558808189</v>
      </c>
      <c r="DZ16" s="1">
        <f t="shared" si="42"/>
        <v>387.90346873220108</v>
      </c>
      <c r="EA16" s="1">
        <f t="shared" si="42"/>
        <v>384.02443404487906</v>
      </c>
      <c r="EB16" s="1">
        <f t="shared" si="42"/>
        <v>380.18418970443025</v>
      </c>
      <c r="EC16" s="1">
        <f t="shared" si="42"/>
        <v>376.38234780738594</v>
      </c>
      <c r="ED16" s="1">
        <f t="shared" si="42"/>
        <v>372.61852432931209</v>
      </c>
      <c r="EE16" s="1">
        <f t="shared" si="42"/>
        <v>368.89233908601898</v>
      </c>
      <c r="EF16" s="1">
        <f t="shared" si="42"/>
        <v>365.20341569515881</v>
      </c>
      <c r="EG16" s="1">
        <f t="shared" si="42"/>
        <v>361.55138153820724</v>
      </c>
      <c r="EH16" s="1">
        <f t="shared" si="42"/>
        <v>357.93586772282515</v>
      </c>
      <c r="EI16" s="1">
        <f t="shared" si="42"/>
        <v>354.35650904559691</v>
      </c>
      <c r="EJ16" s="1">
        <f t="shared" si="42"/>
        <v>350.81294395514095</v>
      </c>
      <c r="EK16" s="1">
        <f t="shared" si="42"/>
        <v>347.30481451558956</v>
      </c>
      <c r="EL16" s="1">
        <f t="shared" si="42"/>
        <v>343.83176637043368</v>
      </c>
      <c r="EM16" s="1">
        <f t="shared" si="42"/>
        <v>340.39344870672932</v>
      </c>
      <c r="EN16" s="1">
        <f t="shared" ref="EN16:FZ16" si="43">EM16*(1+$CC$30)</f>
        <v>336.989514219662</v>
      </c>
      <c r="EO16" s="1">
        <f t="shared" si="43"/>
        <v>333.61961907746536</v>
      </c>
      <c r="EP16" s="1">
        <f t="shared" si="43"/>
        <v>330.28342288669069</v>
      </c>
      <c r="EQ16" s="1">
        <f t="shared" si="43"/>
        <v>326.98058865782377</v>
      </c>
      <c r="ER16" s="1">
        <f t="shared" si="43"/>
        <v>323.71078277124553</v>
      </c>
      <c r="ES16" s="1">
        <f t="shared" si="43"/>
        <v>320.47367494353307</v>
      </c>
      <c r="ET16" s="1">
        <f t="shared" si="43"/>
        <v>317.26893819409776</v>
      </c>
      <c r="EU16" s="1">
        <f t="shared" si="43"/>
        <v>314.09624881215677</v>
      </c>
      <c r="EV16" s="1">
        <f t="shared" si="43"/>
        <v>310.95528632403523</v>
      </c>
      <c r="EW16" s="1">
        <f t="shared" si="43"/>
        <v>307.84573346079486</v>
      </c>
      <c r="EX16" s="1">
        <f t="shared" si="43"/>
        <v>304.76727612618691</v>
      </c>
      <c r="EY16" s="1">
        <f t="shared" si="43"/>
        <v>301.71960336492504</v>
      </c>
      <c r="EZ16" s="1">
        <f t="shared" si="43"/>
        <v>298.70240733127577</v>
      </c>
      <c r="FA16" s="1">
        <f t="shared" si="43"/>
        <v>295.71538325796303</v>
      </c>
      <c r="FB16" s="1">
        <f t="shared" si="43"/>
        <v>292.75822942538338</v>
      </c>
      <c r="FC16" s="1">
        <f t="shared" si="43"/>
        <v>289.83064713112952</v>
      </c>
      <c r="FD16" s="1">
        <f t="shared" si="43"/>
        <v>286.93234065981824</v>
      </c>
      <c r="FE16" s="1">
        <f t="shared" si="43"/>
        <v>284.06301725322004</v>
      </c>
      <c r="FF16" s="1">
        <f t="shared" si="43"/>
        <v>281.22238708068784</v>
      </c>
      <c r="FG16" s="1">
        <f t="shared" si="43"/>
        <v>278.41016320988098</v>
      </c>
      <c r="FH16" s="1">
        <f t="shared" si="43"/>
        <v>275.62606157778214</v>
      </c>
      <c r="FI16" s="1">
        <f t="shared" si="43"/>
        <v>272.86980096200432</v>
      </c>
      <c r="FJ16" s="1">
        <f t="shared" si="43"/>
        <v>270.1411029523843</v>
      </c>
      <c r="FK16" s="1">
        <f t="shared" si="43"/>
        <v>267.43969192286045</v>
      </c>
      <c r="FL16" s="1">
        <f t="shared" si="43"/>
        <v>264.76529500363182</v>
      </c>
      <c r="FM16" s="1">
        <f t="shared" si="43"/>
        <v>262.11764205359549</v>
      </c>
      <c r="FN16" s="1">
        <f t="shared" si="43"/>
        <v>259.49646563305953</v>
      </c>
      <c r="FO16" s="1">
        <f t="shared" si="43"/>
        <v>256.90150097672893</v>
      </c>
      <c r="FP16" s="1">
        <f t="shared" si="43"/>
        <v>254.33248596696163</v>
      </c>
      <c r="FQ16" s="1">
        <f t="shared" si="43"/>
        <v>251.78916110729202</v>
      </c>
      <c r="FR16" s="1">
        <f t="shared" si="43"/>
        <v>249.27126949621911</v>
      </c>
      <c r="FS16" s="1">
        <f t="shared" si="43"/>
        <v>246.77855680125691</v>
      </c>
      <c r="FT16" s="1">
        <f t="shared" si="43"/>
        <v>244.31077123324434</v>
      </c>
      <c r="FU16" s="1">
        <f t="shared" si="43"/>
        <v>241.86766352091189</v>
      </c>
      <c r="FV16" s="1">
        <f t="shared" si="43"/>
        <v>239.44898688570277</v>
      </c>
      <c r="FW16" s="1">
        <f t="shared" si="43"/>
        <v>237.05449701684574</v>
      </c>
      <c r="FX16" s="1">
        <f t="shared" si="43"/>
        <v>234.68395204667729</v>
      </c>
      <c r="FY16" s="1">
        <f t="shared" si="43"/>
        <v>232.33711252621052</v>
      </c>
      <c r="FZ16" s="1">
        <f t="shared" si="43"/>
        <v>230.01374140094842</v>
      </c>
    </row>
    <row r="17" spans="1:81" x14ac:dyDescent="0.3">
      <c r="B17" t="s">
        <v>2</v>
      </c>
      <c r="C17" s="5">
        <v>65.16</v>
      </c>
      <c r="D17" s="5">
        <v>65.16</v>
      </c>
      <c r="E17" s="5">
        <v>65.16</v>
      </c>
      <c r="F17" s="5">
        <v>65.16</v>
      </c>
      <c r="G17" s="5">
        <v>65.16</v>
      </c>
      <c r="H17" s="5">
        <v>65.16</v>
      </c>
      <c r="I17" s="5">
        <v>65.16</v>
      </c>
      <c r="J17" s="5">
        <v>65.16</v>
      </c>
      <c r="K17" s="5">
        <v>65.16</v>
      </c>
      <c r="L17" s="5">
        <v>65.16</v>
      </c>
      <c r="M17" s="5">
        <v>65.16</v>
      </c>
      <c r="N17" s="5">
        <v>65.16</v>
      </c>
      <c r="O17" s="5">
        <v>65.16</v>
      </c>
      <c r="P17" s="5">
        <v>65.16</v>
      </c>
      <c r="Q17" s="5">
        <v>65.16</v>
      </c>
      <c r="R17" s="5">
        <v>65.16</v>
      </c>
      <c r="S17" s="5">
        <v>65.16</v>
      </c>
      <c r="T17" s="5">
        <v>65.16</v>
      </c>
      <c r="U17" s="5">
        <v>65.16</v>
      </c>
      <c r="V17" s="5">
        <v>65.16</v>
      </c>
      <c r="W17" s="5">
        <v>65.16</v>
      </c>
      <c r="X17" s="5">
        <v>65.16</v>
      </c>
      <c r="Y17" s="5">
        <v>65.16</v>
      </c>
      <c r="Z17" s="5">
        <v>65.16</v>
      </c>
      <c r="AA17" s="5">
        <v>65.16</v>
      </c>
      <c r="AB17" s="5">
        <v>65.16</v>
      </c>
      <c r="AC17" s="5">
        <v>65.16</v>
      </c>
      <c r="AD17" s="5">
        <v>65.16</v>
      </c>
      <c r="AE17" s="5">
        <v>65.16</v>
      </c>
      <c r="AF17" s="5">
        <v>65.16</v>
      </c>
      <c r="AG17" s="5">
        <v>65.16</v>
      </c>
      <c r="AH17" s="5">
        <v>65.2</v>
      </c>
      <c r="AI17" s="5">
        <v>71.8</v>
      </c>
      <c r="AJ17" s="13">
        <v>72.599999999999994</v>
      </c>
      <c r="AK17" s="13">
        <v>75.900000000000006</v>
      </c>
      <c r="AL17" s="13">
        <v>75.900000000000006</v>
      </c>
      <c r="AM17" s="13">
        <v>75.900000000000006</v>
      </c>
      <c r="AN17" s="13">
        <v>304.2</v>
      </c>
      <c r="AO17" s="13">
        <v>304.2</v>
      </c>
      <c r="AP17" s="13">
        <v>304.3</v>
      </c>
      <c r="AQ17" s="13">
        <v>304.5</v>
      </c>
      <c r="AR17" s="13">
        <v>304.8</v>
      </c>
      <c r="AS17" s="13">
        <v>305.3</v>
      </c>
      <c r="AT17" s="13">
        <v>305.60000000000002</v>
      </c>
      <c r="AU17" s="13">
        <v>305.89999999999998</v>
      </c>
      <c r="AV17" s="5">
        <v>426.5</v>
      </c>
      <c r="AW17" s="5">
        <f>426.5+20</f>
        <v>446.5</v>
      </c>
      <c r="AX17" s="5">
        <f>447.1</f>
        <v>447.1</v>
      </c>
      <c r="AY17" s="5">
        <f>447.3</f>
        <v>447.3</v>
      </c>
      <c r="AZ17" s="5">
        <v>447.4</v>
      </c>
      <c r="BA17" s="5">
        <v>447.4</v>
      </c>
      <c r="BB17" s="5">
        <v>447.4</v>
      </c>
      <c r="BD17" s="13">
        <v>118.4</v>
      </c>
      <c r="BE17" s="13">
        <v>113.2</v>
      </c>
      <c r="BF17" s="13">
        <v>106.7</v>
      </c>
      <c r="BG17" s="13">
        <v>103.8</v>
      </c>
      <c r="BH17" s="13">
        <v>101.5</v>
      </c>
      <c r="BI17" s="13">
        <v>102.1</v>
      </c>
      <c r="BJ17" s="13">
        <v>87.5</v>
      </c>
      <c r="BK17" s="13">
        <v>65</v>
      </c>
      <c r="BL17" s="13">
        <v>72.599999999999994</v>
      </c>
      <c r="BM17" s="13">
        <f>AN17</f>
        <v>304.2</v>
      </c>
      <c r="BN17" s="13">
        <f>AR17</f>
        <v>304.8</v>
      </c>
      <c r="BO17" s="5">
        <f t="shared" ref="BO17" si="44">426.5+20</f>
        <v>446.5</v>
      </c>
      <c r="BP17" s="5">
        <v>447.4</v>
      </c>
      <c r="BQ17" s="5">
        <v>447.4</v>
      </c>
      <c r="BR17" s="5">
        <v>447.4</v>
      </c>
      <c r="BS17" s="5">
        <v>447.4</v>
      </c>
      <c r="BT17" s="5">
        <v>447.4</v>
      </c>
      <c r="BU17" s="5">
        <v>447.4</v>
      </c>
      <c r="BV17" s="5">
        <v>447.4</v>
      </c>
      <c r="BW17" s="5">
        <v>447.4</v>
      </c>
      <c r="BX17" s="5">
        <v>447.4</v>
      </c>
      <c r="BY17" s="5">
        <v>447.4</v>
      </c>
      <c r="BZ17" s="5">
        <v>447.4</v>
      </c>
    </row>
    <row r="18" spans="1:81" s="1" customFormat="1" x14ac:dyDescent="0.3">
      <c r="B18" s="1" t="s">
        <v>51</v>
      </c>
      <c r="C18" s="9">
        <f t="shared" ref="C18:AF18" si="45">C16/C17</f>
        <v>0.83793738489871017</v>
      </c>
      <c r="D18" s="9">
        <f t="shared" si="45"/>
        <v>0.16114180478821466</v>
      </c>
      <c r="E18" s="9">
        <f t="shared" si="45"/>
        <v>1.0527931246163271</v>
      </c>
      <c r="F18" s="9">
        <f t="shared" si="45"/>
        <v>3.3839779005524857</v>
      </c>
      <c r="G18" s="9">
        <f t="shared" si="45"/>
        <v>1.043585021485572</v>
      </c>
      <c r="H18" s="9">
        <f t="shared" si="45"/>
        <v>0.37753222836095945</v>
      </c>
      <c r="I18" s="9">
        <f t="shared" si="45"/>
        <v>0.8655616942909734</v>
      </c>
      <c r="J18" s="9">
        <f t="shared" si="45"/>
        <v>3.7461632903621882</v>
      </c>
      <c r="K18" s="9">
        <f t="shared" si="45"/>
        <v>1.1325966850828728</v>
      </c>
      <c r="L18" s="9">
        <f t="shared" si="45"/>
        <v>0.38827501534683834</v>
      </c>
      <c r="M18" s="9">
        <f t="shared" si="45"/>
        <v>0.85788827501534548</v>
      </c>
      <c r="N18" s="9">
        <f t="shared" si="45"/>
        <v>3.80294659300184</v>
      </c>
      <c r="O18" s="9">
        <f t="shared" si="45"/>
        <v>1.009821976672806</v>
      </c>
      <c r="P18" s="9">
        <f t="shared" si="45"/>
        <v>0.42817679558010979</v>
      </c>
      <c r="Q18" s="9">
        <f t="shared" si="45"/>
        <v>0.77961939840392924</v>
      </c>
      <c r="R18" s="9">
        <f t="shared" si="45"/>
        <v>3.2028852056476387</v>
      </c>
      <c r="S18" s="9">
        <f t="shared" si="45"/>
        <v>0.9054634745242478</v>
      </c>
      <c r="T18" s="9">
        <f t="shared" si="45"/>
        <v>0.34069981583793496</v>
      </c>
      <c r="U18" s="9">
        <f t="shared" si="45"/>
        <v>0.91160220994474894</v>
      </c>
      <c r="V18" s="9">
        <f t="shared" si="45"/>
        <v>-1.6252302025782686</v>
      </c>
      <c r="W18" s="9">
        <f t="shared" si="45"/>
        <v>0.43278084714548704</v>
      </c>
      <c r="X18" s="9">
        <f t="shared" si="45"/>
        <v>-0.38213627992633242</v>
      </c>
      <c r="Y18" s="9">
        <f t="shared" si="45"/>
        <v>-11.867710251688152</v>
      </c>
      <c r="Z18" s="9">
        <f t="shared" si="45"/>
        <v>-2.6503990178023296</v>
      </c>
      <c r="AA18" s="9">
        <f t="shared" si="45"/>
        <v>0.1043585021485583</v>
      </c>
      <c r="AB18" s="9">
        <f t="shared" si="45"/>
        <v>-6.3735420503376288</v>
      </c>
      <c r="AC18" s="9">
        <f t="shared" si="45"/>
        <v>-1.2799263351749541</v>
      </c>
      <c r="AD18" s="9">
        <f t="shared" si="45"/>
        <v>0.32228360957642682</v>
      </c>
      <c r="AE18" s="9">
        <f t="shared" si="45"/>
        <v>-2.5429711479435242</v>
      </c>
      <c r="AF18" s="9">
        <f t="shared" si="45"/>
        <v>-1.7081031307550638</v>
      </c>
      <c r="AG18" s="9">
        <f t="shared" ref="AG18:AH18" si="46">AG16/AG17</f>
        <v>-0.28852056476365723</v>
      </c>
      <c r="AH18" s="9">
        <f t="shared" si="46"/>
        <v>1.2346625766871149</v>
      </c>
      <c r="AI18" s="9">
        <f t="shared" ref="AI18" si="47">AI16/AI17</f>
        <v>-0.93036211699164484</v>
      </c>
      <c r="AJ18" s="17">
        <f t="shared" ref="AJ18:AX18" si="48">AJ16/AJ17</f>
        <v>-0.84848484848484695</v>
      </c>
      <c r="AK18" s="17">
        <f t="shared" si="48"/>
        <v>-1.388669301712778</v>
      </c>
      <c r="AL18" s="17">
        <f t="shared" si="48"/>
        <v>-1.862977602108036</v>
      </c>
      <c r="AM18" s="17">
        <f t="shared" si="48"/>
        <v>-2.0803689064558624</v>
      </c>
      <c r="AN18" s="17">
        <f t="shared" si="48"/>
        <v>-0.34911242603550285</v>
      </c>
      <c r="AO18" s="17">
        <f t="shared" si="48"/>
        <v>-0.31262327416173546</v>
      </c>
      <c r="AP18" s="17">
        <f t="shared" si="48"/>
        <v>0.14952349654945846</v>
      </c>
      <c r="AQ18" s="17">
        <f t="shared" si="48"/>
        <v>-0.16650246305418731</v>
      </c>
      <c r="AR18" s="17">
        <f t="shared" si="48"/>
        <v>-9.1863517060368199E-3</v>
      </c>
      <c r="AS18" s="17">
        <f t="shared" si="48"/>
        <v>-1.0153946937438731E-2</v>
      </c>
      <c r="AT18" s="17">
        <f t="shared" si="48"/>
        <v>0.20647905759162247</v>
      </c>
      <c r="AU18" s="17">
        <f t="shared" si="48"/>
        <v>-0.10559006211180133</v>
      </c>
      <c r="AV18" s="17">
        <f t="shared" si="48"/>
        <v>3.4701055099648166E-2</v>
      </c>
      <c r="AW18" s="17">
        <f t="shared" si="48"/>
        <v>3.8969764837626091E-2</v>
      </c>
      <c r="AX18" s="17">
        <f t="shared" si="48"/>
        <v>0.29367031983896186</v>
      </c>
      <c r="AY18" s="17">
        <f t="shared" ref="AY18:BB18" si="49">AY16/AY17</f>
        <v>9.9709367315001018E-2</v>
      </c>
      <c r="AZ18" s="17">
        <f t="shared" si="49"/>
        <v>0.3768439874832365</v>
      </c>
      <c r="BA18" s="17">
        <f t="shared" si="49"/>
        <v>0.26171350916405905</v>
      </c>
      <c r="BB18" s="17">
        <f t="shared" si="49"/>
        <v>0.37204591327670983</v>
      </c>
      <c r="BD18" s="9">
        <f t="shared" ref="BD18:BK18" si="50">BD16/BD17</f>
        <v>2.9915540540540477</v>
      </c>
      <c r="BE18" s="9">
        <f t="shared" si="50"/>
        <v>3.472614840989396</v>
      </c>
      <c r="BF18" s="9">
        <f t="shared" si="50"/>
        <v>3.7750702905342011</v>
      </c>
      <c r="BG18" s="9">
        <f t="shared" si="50"/>
        <v>3.4026974951830429</v>
      </c>
      <c r="BH18" s="9">
        <f t="shared" si="50"/>
        <v>0.34187192118226944</v>
      </c>
      <c r="BI18" s="9">
        <f t="shared" si="50"/>
        <v>-9.2331047992164486</v>
      </c>
      <c r="BJ18" s="9">
        <f t="shared" si="50"/>
        <v>-5.3817142857142866</v>
      </c>
      <c r="BK18" s="9">
        <f t="shared" si="50"/>
        <v>-3.3123076923077037</v>
      </c>
      <c r="BL18" s="9">
        <f t="shared" ref="BL18:BU18" si="51">BL16/BL17</f>
        <v>-5.1074380165289099</v>
      </c>
      <c r="BM18" s="9">
        <f t="shared" si="51"/>
        <v>-1.0312294543063774</v>
      </c>
      <c r="BN18" s="9">
        <f t="shared" si="51"/>
        <v>2.1325459317582902E-2</v>
      </c>
      <c r="BO18" s="9">
        <f t="shared" si="51"/>
        <v>0.29384098544232817</v>
      </c>
      <c r="BP18" s="9">
        <f t="shared" si="51"/>
        <v>1.1102904908359392</v>
      </c>
      <c r="BQ18" s="9">
        <f t="shared" si="51"/>
        <v>1.1461414270898522</v>
      </c>
      <c r="BR18" s="9">
        <f t="shared" si="51"/>
        <v>1.2770427307402774</v>
      </c>
      <c r="BS18" s="9">
        <f t="shared" si="51"/>
        <v>1.3206534176028253</v>
      </c>
      <c r="BT18" s="9">
        <f t="shared" si="51"/>
        <v>1.2707828776549746</v>
      </c>
      <c r="BU18" s="9">
        <f t="shared" si="51"/>
        <v>1.3016406788770516</v>
      </c>
      <c r="BV18" s="9">
        <f t="shared" ref="BV18:BZ18" si="52">BV16/BV17</f>
        <v>1.3320463411943435</v>
      </c>
      <c r="BW18" s="9">
        <f t="shared" si="52"/>
        <v>1.3632777378006649</v>
      </c>
      <c r="BX18" s="9">
        <f t="shared" si="52"/>
        <v>1.3953587763688802</v>
      </c>
      <c r="BY18" s="9">
        <f t="shared" si="52"/>
        <v>1.428314073158484</v>
      </c>
      <c r="BZ18" s="9">
        <f t="shared" si="52"/>
        <v>1.4621689741867614</v>
      </c>
    </row>
    <row r="19" spans="1:81" x14ac:dyDescent="0.3"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81" x14ac:dyDescent="0.3">
      <c r="B20" t="s">
        <v>109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>
        <f t="shared" ref="AI20:AX20" si="53">AI3/AE3-1</f>
        <v>0.37107776261937242</v>
      </c>
      <c r="AJ20" s="8">
        <f t="shared" si="53"/>
        <v>0.38043478260869557</v>
      </c>
      <c r="AK20" s="8">
        <f t="shared" si="53"/>
        <v>0.62046444121915822</v>
      </c>
      <c r="AL20" s="8">
        <f t="shared" si="53"/>
        <v>2.2361744216048862E-2</v>
      </c>
      <c r="AM20" s="8">
        <f t="shared" si="53"/>
        <v>-4.2217484008528872E-2</v>
      </c>
      <c r="AN20" s="8">
        <f t="shared" si="53"/>
        <v>-2.1653543307086687E-2</v>
      </c>
      <c r="AO20" s="8">
        <f t="shared" si="53"/>
        <v>-6.4039408866994996E-2</v>
      </c>
      <c r="AP20" s="8">
        <f t="shared" si="53"/>
        <v>4.5511903760410366E-2</v>
      </c>
      <c r="AQ20" s="8">
        <f t="shared" si="53"/>
        <v>7.7174235678242775E-2</v>
      </c>
      <c r="AR20" s="8">
        <f t="shared" si="53"/>
        <v>1.006036217303885E-3</v>
      </c>
      <c r="AS20" s="8">
        <f t="shared" si="53"/>
        <v>-7.5917065390749605E-2</v>
      </c>
      <c r="AT20" s="8">
        <f t="shared" si="53"/>
        <v>-0.11924686192468625</v>
      </c>
      <c r="AU20" s="8">
        <f t="shared" si="53"/>
        <v>-0.30380270046844859</v>
      </c>
      <c r="AV20" s="8">
        <f t="shared" si="53"/>
        <v>-0.2442211055276382</v>
      </c>
      <c r="AW20" s="8">
        <f t="shared" si="53"/>
        <v>-0.2795995857783915</v>
      </c>
      <c r="AX20" s="8">
        <f t="shared" si="53"/>
        <v>-0.33692673122601857</v>
      </c>
      <c r="AY20" s="8">
        <f t="shared" ref="AY20:BB23" si="54">AY3/AU3-1</f>
        <v>-0.31664357807243226</v>
      </c>
      <c r="AZ20" s="8">
        <f t="shared" si="54"/>
        <v>0.31227836879432624</v>
      </c>
      <c r="BA20" s="8">
        <f t="shared" si="54"/>
        <v>0.10000000000000009</v>
      </c>
      <c r="BB20" s="8">
        <f t="shared" si="54"/>
        <v>2.0000000000000018E-2</v>
      </c>
      <c r="BL20" s="8">
        <f t="shared" ref="BL20:BZ20" si="55">BL3/BK3-1</f>
        <v>0.14161529951003615</v>
      </c>
      <c r="BM20" s="8">
        <f t="shared" si="55"/>
        <v>8.6806036273016751E-2</v>
      </c>
      <c r="BN20" s="8">
        <f t="shared" si="55"/>
        <v>-4.5605095541401353E-2</v>
      </c>
      <c r="BO20" s="8">
        <f t="shared" si="55"/>
        <v>-0.29935264281900698</v>
      </c>
      <c r="BP20" s="8">
        <f t="shared" si="55"/>
        <v>1.7695861313520966E-2</v>
      </c>
      <c r="BQ20" s="8">
        <f t="shared" si="55"/>
        <v>-9.9999999999999978E-2</v>
      </c>
      <c r="BR20" s="8">
        <f t="shared" si="55"/>
        <v>2.0000000000000018E-2</v>
      </c>
      <c r="BS20" s="8">
        <f t="shared" si="55"/>
        <v>2.0000000000000018E-2</v>
      </c>
      <c r="BT20" s="8">
        <f t="shared" si="55"/>
        <v>1.0000000000000009E-2</v>
      </c>
      <c r="BU20" s="8">
        <f t="shared" si="55"/>
        <v>1.0000000000000009E-2</v>
      </c>
      <c r="BV20" s="8">
        <f t="shared" si="55"/>
        <v>1.0000000000000009E-2</v>
      </c>
      <c r="BW20" s="8">
        <f t="shared" si="55"/>
        <v>1.0000000000000009E-2</v>
      </c>
      <c r="BX20" s="8">
        <f t="shared" si="55"/>
        <v>1.0000000000000009E-2</v>
      </c>
      <c r="BY20" s="8">
        <f t="shared" si="55"/>
        <v>1.0000000000000009E-2</v>
      </c>
      <c r="BZ20" s="8">
        <f t="shared" si="55"/>
        <v>1.0000000000000009E-2</v>
      </c>
    </row>
    <row r="21" spans="1:81" x14ac:dyDescent="0.3">
      <c r="B21" t="s">
        <v>110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>
        <f t="shared" ref="AI21:AX21" si="56">AI4/AE4-1</f>
        <v>-4.5803357314148752E-2</v>
      </c>
      <c r="AJ21" s="8">
        <f t="shared" si="56"/>
        <v>2.6131953428201848E-2</v>
      </c>
      <c r="AK21" s="8">
        <f t="shared" si="56"/>
        <v>-2.2277227722772186E-2</v>
      </c>
      <c r="AL21" s="8">
        <f t="shared" si="56"/>
        <v>7.480853391684894E-2</v>
      </c>
      <c r="AM21" s="8">
        <f t="shared" si="56"/>
        <v>0.21563206835888415</v>
      </c>
      <c r="AN21" s="8">
        <f t="shared" si="56"/>
        <v>-0.20221886031265768</v>
      </c>
      <c r="AO21" s="8">
        <f t="shared" si="56"/>
        <v>-0.18964326812428078</v>
      </c>
      <c r="AP21" s="8">
        <f t="shared" si="56"/>
        <v>-0.1469652627560758</v>
      </c>
      <c r="AQ21" s="8">
        <f t="shared" si="56"/>
        <v>-0.30059954517262766</v>
      </c>
      <c r="AR21" s="8">
        <f t="shared" si="56"/>
        <v>0.25474083438685224</v>
      </c>
      <c r="AS21" s="8">
        <f t="shared" si="56"/>
        <v>-8.74751491053678E-2</v>
      </c>
      <c r="AT21" s="8">
        <f t="shared" si="56"/>
        <v>-0.30593675417661093</v>
      </c>
      <c r="AU21" s="8">
        <f t="shared" si="56"/>
        <v>-0.29145728643216084</v>
      </c>
      <c r="AV21" s="8">
        <f t="shared" si="56"/>
        <v>-0.47682619647355162</v>
      </c>
      <c r="AW21" s="8">
        <f t="shared" si="56"/>
        <v>-0.15406162464985995</v>
      </c>
      <c r="AX21" s="8">
        <f t="shared" si="56"/>
        <v>-0.38491295938104453</v>
      </c>
      <c r="AY21" s="8">
        <f t="shared" si="54"/>
        <v>-0.26741760534000836</v>
      </c>
      <c r="AZ21" s="8">
        <f t="shared" si="54"/>
        <v>-0.26576793452094361</v>
      </c>
      <c r="BA21" s="8">
        <f t="shared" si="54"/>
        <v>-0.19999999999999996</v>
      </c>
      <c r="BB21" s="8">
        <f t="shared" si="54"/>
        <v>-0.15000000000000002</v>
      </c>
      <c r="BL21" s="8">
        <f t="shared" ref="BL21:BZ21" si="57">BL4/BK4-1</f>
        <v>-4.5475216007275776E-3</v>
      </c>
      <c r="BM21" s="8">
        <f t="shared" si="57"/>
        <v>-7.4869295974823613E-2</v>
      </c>
      <c r="BN21" s="8">
        <f t="shared" si="57"/>
        <v>-0.16498408866454517</v>
      </c>
      <c r="BO21" s="8">
        <f t="shared" si="57"/>
        <v>-0.33937840856823698</v>
      </c>
      <c r="BP21" s="8">
        <f t="shared" si="57"/>
        <v>-0.21542669584245078</v>
      </c>
      <c r="BQ21" s="8">
        <f t="shared" si="57"/>
        <v>2.0000000000000018E-2</v>
      </c>
      <c r="BR21" s="8">
        <f t="shared" si="57"/>
        <v>2.0000000000000018E-2</v>
      </c>
      <c r="BS21" s="8">
        <f t="shared" si="57"/>
        <v>2.0000000000000018E-2</v>
      </c>
      <c r="BT21" s="8">
        <f t="shared" si="57"/>
        <v>2.0000000000000018E-2</v>
      </c>
      <c r="BU21" s="8">
        <f t="shared" si="57"/>
        <v>2.0000000000000018E-2</v>
      </c>
      <c r="BV21" s="8">
        <f t="shared" si="57"/>
        <v>1.0000000000000009E-2</v>
      </c>
      <c r="BW21" s="8">
        <f t="shared" si="57"/>
        <v>1.0000000000000009E-2</v>
      </c>
      <c r="BX21" s="8">
        <f t="shared" si="57"/>
        <v>1.0000000000000009E-2</v>
      </c>
      <c r="BY21" s="8">
        <f t="shared" si="57"/>
        <v>1.0000000000000009E-2</v>
      </c>
      <c r="BZ21" s="8">
        <f t="shared" si="57"/>
        <v>1.0000000000000009E-2</v>
      </c>
    </row>
    <row r="22" spans="1:81" x14ac:dyDescent="0.3">
      <c r="B22" t="s">
        <v>111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>
        <f t="shared" ref="AI22:AX22" si="58">AI5/AE5-1</f>
        <v>0.92959295929592956</v>
      </c>
      <c r="AJ22" s="8">
        <f t="shared" si="58"/>
        <v>0.55575065847234395</v>
      </c>
      <c r="AK22" s="8">
        <f t="shared" si="58"/>
        <v>0.30837304288631717</v>
      </c>
      <c r="AL22" s="8">
        <f t="shared" si="58"/>
        <v>0.2239263803680982</v>
      </c>
      <c r="AM22" s="8">
        <f t="shared" si="58"/>
        <v>0.25940706955530213</v>
      </c>
      <c r="AN22" s="8">
        <f t="shared" si="58"/>
        <v>0.25959367945823919</v>
      </c>
      <c r="AO22" s="8">
        <f t="shared" si="58"/>
        <v>7.8563995837669154E-2</v>
      </c>
      <c r="AP22" s="8">
        <f t="shared" si="58"/>
        <v>0.12137486573576783</v>
      </c>
      <c r="AQ22" s="8">
        <f t="shared" si="58"/>
        <v>-0.21684019918515163</v>
      </c>
      <c r="AR22" s="8">
        <f t="shared" si="58"/>
        <v>-0.23924731182795689</v>
      </c>
      <c r="AS22" s="8">
        <f t="shared" si="58"/>
        <v>-0.1432706222865413</v>
      </c>
      <c r="AT22" s="8">
        <f t="shared" si="58"/>
        <v>-0.25383141762452111</v>
      </c>
      <c r="AU22" s="8">
        <f t="shared" si="58"/>
        <v>-0.20924855491329475</v>
      </c>
      <c r="AV22" s="8">
        <f t="shared" si="58"/>
        <v>-0.17903415783274446</v>
      </c>
      <c r="AW22" s="8">
        <f t="shared" si="58"/>
        <v>-3.6599099099099086E-2</v>
      </c>
      <c r="AX22" s="8">
        <f t="shared" si="58"/>
        <v>0.15789473684210531</v>
      </c>
      <c r="AY22" s="8">
        <f t="shared" si="54"/>
        <v>0.54605263157894735</v>
      </c>
      <c r="AZ22" s="8">
        <f t="shared" si="54"/>
        <v>0.63271162123385927</v>
      </c>
      <c r="BA22" s="8">
        <f t="shared" si="54"/>
        <v>0.5</v>
      </c>
      <c r="BB22" s="8">
        <f t="shared" si="54"/>
        <v>0.19999999999999996</v>
      </c>
      <c r="BL22" s="8">
        <f t="shared" ref="BL22:BZ22" si="59">BL5/BK5-1</f>
        <v>0.25487152957406467</v>
      </c>
      <c r="BM22" s="8">
        <f t="shared" si="59"/>
        <v>0.32554624158307011</v>
      </c>
      <c r="BN22" s="8">
        <f t="shared" si="59"/>
        <v>-0.21822517105535999</v>
      </c>
      <c r="BO22" s="8">
        <f t="shared" si="59"/>
        <v>-4.8004243469035757E-2</v>
      </c>
      <c r="BP22" s="8">
        <f t="shared" si="59"/>
        <v>0.42146538515113519</v>
      </c>
      <c r="BQ22" s="8">
        <f t="shared" si="59"/>
        <v>0.28000000000000003</v>
      </c>
      <c r="BR22" s="8">
        <f t="shared" si="59"/>
        <v>0.1399999999999999</v>
      </c>
      <c r="BS22" s="8">
        <f t="shared" si="59"/>
        <v>7.0000000000000062E-2</v>
      </c>
      <c r="BT22" s="8">
        <f t="shared" si="59"/>
        <v>4.0000000000000036E-2</v>
      </c>
      <c r="BU22" s="8">
        <f t="shared" si="59"/>
        <v>3.0000000000000027E-2</v>
      </c>
      <c r="BV22" s="8">
        <f t="shared" si="59"/>
        <v>3.0000000000000027E-2</v>
      </c>
      <c r="BW22" s="8">
        <f t="shared" si="59"/>
        <v>3.0000000000000027E-2</v>
      </c>
      <c r="BX22" s="8">
        <f t="shared" si="59"/>
        <v>3.0000000000000027E-2</v>
      </c>
      <c r="BY22" s="8">
        <f t="shared" si="59"/>
        <v>3.0000000000000027E-2</v>
      </c>
      <c r="BZ22" s="8">
        <f t="shared" si="59"/>
        <v>3.0000000000000027E-2</v>
      </c>
    </row>
    <row r="23" spans="1:81" x14ac:dyDescent="0.3">
      <c r="B23" s="1" t="s">
        <v>53</v>
      </c>
      <c r="G23" s="12">
        <f>G6/C6-1</f>
        <v>7.0229989813970883E-2</v>
      </c>
      <c r="H23" s="12">
        <f t="shared" ref="H23:AH23" si="60">H6/D6-1</f>
        <v>0.25128279251282803</v>
      </c>
      <c r="I23" s="12">
        <f t="shared" si="60"/>
        <v>-6.8828024873024418E-3</v>
      </c>
      <c r="J23" s="12">
        <f t="shared" si="60"/>
        <v>-5.6381996851077809E-2</v>
      </c>
      <c r="K23" s="12">
        <f t="shared" si="60"/>
        <v>3.2209587737314083E-2</v>
      </c>
      <c r="L23" s="12">
        <f t="shared" si="60"/>
        <v>1.7615802240961154E-2</v>
      </c>
      <c r="M23" s="12">
        <f t="shared" si="60"/>
        <v>-3.6277602523659191E-2</v>
      </c>
      <c r="N23" s="12">
        <f t="shared" si="60"/>
        <v>1.4067489427807001E-2</v>
      </c>
      <c r="O23" s="12">
        <f t="shared" si="60"/>
        <v>-4.3239833058332455E-2</v>
      </c>
      <c r="P23" s="12">
        <f t="shared" si="60"/>
        <v>-7.3840740110108438E-2</v>
      </c>
      <c r="Q23" s="12">
        <f t="shared" si="60"/>
        <v>-2.8319198531964407E-2</v>
      </c>
      <c r="R23" s="12">
        <f t="shared" si="60"/>
        <v>-0.13605673758865244</v>
      </c>
      <c r="S23" s="12">
        <f t="shared" si="60"/>
        <v>3.7737763124524593E-2</v>
      </c>
      <c r="T23" s="12">
        <f t="shared" si="60"/>
        <v>3.4195367079298933E-2</v>
      </c>
      <c r="U23" s="12">
        <f t="shared" si="60"/>
        <v>1.5006124948958588E-2</v>
      </c>
      <c r="V23" s="12">
        <f t="shared" si="60"/>
        <v>0.15009522558612987</v>
      </c>
      <c r="W23" s="12">
        <f t="shared" si="60"/>
        <v>-5.4694755364387393E-2</v>
      </c>
      <c r="X23" s="12">
        <f t="shared" si="60"/>
        <v>-2.4235600853282691E-2</v>
      </c>
      <c r="Y23" s="12">
        <f t="shared" si="60"/>
        <v>-2.6752489188373585E-2</v>
      </c>
      <c r="Z23" s="12">
        <f t="shared" si="60"/>
        <v>-0.12548179871520337</v>
      </c>
      <c r="AA23" s="12">
        <f t="shared" si="60"/>
        <v>-0.19974146845915197</v>
      </c>
      <c r="AB23" s="12">
        <f t="shared" si="60"/>
        <v>-0.2192263314507803</v>
      </c>
      <c r="AC23" s="12">
        <f t="shared" si="60"/>
        <v>-0.25674279218766149</v>
      </c>
      <c r="AD23" s="12">
        <f t="shared" si="60"/>
        <v>-0.2836761345086517</v>
      </c>
      <c r="AE23" s="12">
        <f t="shared" si="60"/>
        <v>-0.34031142986366869</v>
      </c>
      <c r="AF23" s="12">
        <f t="shared" si="60"/>
        <v>-0.26732519250213893</v>
      </c>
      <c r="AG23" s="12">
        <f t="shared" si="60"/>
        <v>-0.30156412930135557</v>
      </c>
      <c r="AH23" s="12">
        <f t="shared" si="60"/>
        <v>-3.2815277334670268E-2</v>
      </c>
      <c r="AI23" s="12">
        <f t="shared" ref="AI23:AX23" si="61">AI6/AE6-1</f>
        <v>0.25053868756121456</v>
      </c>
      <c r="AJ23" s="12">
        <f t="shared" si="61"/>
        <v>0.25626326963906587</v>
      </c>
      <c r="AK23" s="12">
        <f t="shared" si="61"/>
        <v>0.29053448790683789</v>
      </c>
      <c r="AL23" s="12">
        <f t="shared" si="61"/>
        <v>6.2108288959050073E-2</v>
      </c>
      <c r="AM23" s="12">
        <f t="shared" si="61"/>
        <v>7.9573934837092741E-2</v>
      </c>
      <c r="AN23" s="12">
        <f t="shared" si="61"/>
        <v>-4.0054081460199509E-2</v>
      </c>
      <c r="AO23" s="12">
        <f t="shared" si="61"/>
        <v>-8.5300015424957687E-2</v>
      </c>
      <c r="AP23" s="12">
        <f t="shared" si="61"/>
        <v>-1.2201073694485087E-2</v>
      </c>
      <c r="AQ23" s="12">
        <f t="shared" si="61"/>
        <v>-0.10251015670342434</v>
      </c>
      <c r="AR23" s="12">
        <f t="shared" si="61"/>
        <v>2.4471830985915544E-2</v>
      </c>
      <c r="AS23" s="12">
        <f t="shared" si="61"/>
        <v>-9.0809443507588572E-2</v>
      </c>
      <c r="AT23" s="12">
        <f t="shared" si="61"/>
        <v>-0.19439453826805608</v>
      </c>
      <c r="AU23" s="12">
        <f t="shared" si="61"/>
        <v>-0.28720394470940103</v>
      </c>
      <c r="AV23" s="12">
        <f t="shared" si="61"/>
        <v>-0.31405739817838119</v>
      </c>
      <c r="AW23" s="12">
        <f t="shared" si="61"/>
        <v>-0.20217008253732716</v>
      </c>
      <c r="AX23" s="12">
        <f t="shared" si="61"/>
        <v>-0.28490187332738626</v>
      </c>
      <c r="AY23" s="12">
        <f t="shared" si="54"/>
        <v>-0.16942617373554092</v>
      </c>
      <c r="AZ23" s="12">
        <f t="shared" si="54"/>
        <v>0.21783790554929228</v>
      </c>
      <c r="BA23" s="12">
        <f t="shared" si="54"/>
        <v>8.4772753690572911E-2</v>
      </c>
      <c r="BB23" s="12">
        <f t="shared" si="54"/>
        <v>2.00421019803525E-2</v>
      </c>
      <c r="BC23" s="1"/>
      <c r="BD23" s="1"/>
      <c r="BE23" s="12">
        <f t="shared" ref="BE23:BU23" si="62">BE6/BD6-1</f>
        <v>2.8375463244648458E-2</v>
      </c>
      <c r="BF23" s="12">
        <f t="shared" si="62"/>
        <v>7.293459552495607E-3</v>
      </c>
      <c r="BG23" s="12">
        <f t="shared" si="62"/>
        <v>-8.0725773724342642E-2</v>
      </c>
      <c r="BH23" s="12">
        <f t="shared" si="62"/>
        <v>7.1643490282182754E-2</v>
      </c>
      <c r="BI23" s="12">
        <f t="shared" si="62"/>
        <v>-6.9975933915833788E-2</v>
      </c>
      <c r="BJ23" s="12">
        <f t="shared" si="62"/>
        <v>-0.24630788777377588</v>
      </c>
      <c r="BK23" s="12">
        <f t="shared" si="62"/>
        <v>-0.21283637488400875</v>
      </c>
      <c r="BL23" s="12">
        <f t="shared" si="62"/>
        <v>0.18093048842783643</v>
      </c>
      <c r="BM23" s="12">
        <f t="shared" si="62"/>
        <v>-1.3958440780608039E-2</v>
      </c>
      <c r="BN23" s="12">
        <f t="shared" si="62"/>
        <v>-0.11034622393197013</v>
      </c>
      <c r="BO23" s="12">
        <f t="shared" si="62"/>
        <v>-0.27495827643756632</v>
      </c>
      <c r="BP23" s="12">
        <f t="shared" si="62"/>
        <v>3.2209259743656737E-2</v>
      </c>
      <c r="BQ23" s="12">
        <f t="shared" si="62"/>
        <v>2.2255239049034481E-2</v>
      </c>
      <c r="BR23" s="12">
        <f t="shared" si="62"/>
        <v>5.8856176546400629E-2</v>
      </c>
      <c r="BS23" s="12">
        <f t="shared" si="62"/>
        <v>3.7430775083863832E-2</v>
      </c>
      <c r="BT23" s="12">
        <f t="shared" si="62"/>
        <v>2.2675857933228016E-2</v>
      </c>
      <c r="BU23" s="12">
        <f t="shared" si="62"/>
        <v>1.9197134393377002E-2</v>
      </c>
      <c r="BV23" s="12">
        <f t="shared" ref="BV23:BZ23" si="63">BV6/BU6-1</f>
        <v>1.7390532094115452E-2</v>
      </c>
      <c r="BW23" s="12">
        <f t="shared" si="63"/>
        <v>1.7482129837861349E-2</v>
      </c>
      <c r="BX23" s="12">
        <f t="shared" si="63"/>
        <v>1.7574180918759952E-2</v>
      </c>
      <c r="BY23" s="12">
        <f t="shared" si="63"/>
        <v>1.766667088514251E-2</v>
      </c>
      <c r="BZ23" s="12">
        <f t="shared" si="63"/>
        <v>1.7759584977690812E-2</v>
      </c>
    </row>
    <row r="24" spans="1:81" x14ac:dyDescent="0.3">
      <c r="B24" s="1" t="s">
        <v>52</v>
      </c>
      <c r="C24" s="8">
        <f>C8/C6</f>
        <v>0.31003055808717095</v>
      </c>
      <c r="D24" s="8">
        <f t="shared" ref="D24:G24" si="64">D8/D6</f>
        <v>0.34790778347907791</v>
      </c>
      <c r="E24" s="8">
        <f t="shared" si="64"/>
        <v>0.28404613851046656</v>
      </c>
      <c r="F24" s="8">
        <f t="shared" si="64"/>
        <v>0.27227319615614309</v>
      </c>
      <c r="G24" s="8">
        <f t="shared" si="64"/>
        <v>0.31378049391374035</v>
      </c>
      <c r="H24" s="8">
        <f t="shared" ref="H24:AH24" si="65">H8/H6</f>
        <v>0.31818181818181823</v>
      </c>
      <c r="I24" s="8">
        <f t="shared" si="65"/>
        <v>0.29739030685402917</v>
      </c>
      <c r="J24" s="8">
        <f t="shared" si="65"/>
        <v>0.28088950260349244</v>
      </c>
      <c r="K24" s="8">
        <f t="shared" si="65"/>
        <v>0.3101038532466272</v>
      </c>
      <c r="L24" s="8">
        <f t="shared" si="65"/>
        <v>0.32947386344287416</v>
      </c>
      <c r="M24" s="8">
        <f t="shared" si="65"/>
        <v>0.32515002727768683</v>
      </c>
      <c r="N24" s="8">
        <f t="shared" si="65"/>
        <v>0.29594326241134744</v>
      </c>
      <c r="O24" s="8">
        <f t="shared" si="65"/>
        <v>0.34263251331473499</v>
      </c>
      <c r="P24" s="8">
        <f t="shared" si="65"/>
        <v>0.37853903664664784</v>
      </c>
      <c r="Q24" s="8">
        <f t="shared" si="65"/>
        <v>0.36147407104940793</v>
      </c>
      <c r="R24" s="8">
        <f t="shared" si="65"/>
        <v>0.33095816641492087</v>
      </c>
      <c r="S24" s="8">
        <f t="shared" si="65"/>
        <v>0.34336966616159148</v>
      </c>
      <c r="T24" s="8">
        <f t="shared" si="65"/>
        <v>0.36957809907561023</v>
      </c>
      <c r="U24" s="8">
        <f t="shared" si="65"/>
        <v>0.34667605350497832</v>
      </c>
      <c r="V24" s="8">
        <f t="shared" si="65"/>
        <v>0.2925053533190578</v>
      </c>
      <c r="W24" s="8">
        <f t="shared" si="65"/>
        <v>0.33986556359875902</v>
      </c>
      <c r="X24" s="8">
        <f t="shared" si="65"/>
        <v>0.36199672071415567</v>
      </c>
      <c r="Y24" s="8">
        <f t="shared" si="65"/>
        <v>0.28841583135269194</v>
      </c>
      <c r="Z24" s="8">
        <f t="shared" si="65"/>
        <v>0.24446620959843296</v>
      </c>
      <c r="AA24" s="8">
        <f t="shared" si="65"/>
        <v>0.30445176713833433</v>
      </c>
      <c r="AB24" s="8">
        <f t="shared" si="65"/>
        <v>0.3104145601617796</v>
      </c>
      <c r="AC24" s="8">
        <f t="shared" si="65"/>
        <v>0.30663885992353146</v>
      </c>
      <c r="AD24" s="8">
        <f t="shared" si="65"/>
        <v>0.2722300715555353</v>
      </c>
      <c r="AE24" s="8">
        <f t="shared" si="65"/>
        <v>0.27659157688540642</v>
      </c>
      <c r="AF24" s="8">
        <f t="shared" si="65"/>
        <v>0.26772823779193211</v>
      </c>
      <c r="AG24" s="8">
        <f t="shared" si="65"/>
        <v>0.27500746491490002</v>
      </c>
      <c r="AH24" s="8">
        <f t="shared" si="65"/>
        <v>0.21139437349795012</v>
      </c>
      <c r="AI24" s="8">
        <f t="shared" ref="AI24:AX24" si="66">AI8/AI6</f>
        <v>0.25853696741854632</v>
      </c>
      <c r="AJ24" s="8">
        <f t="shared" si="66"/>
        <v>0.27116782153118141</v>
      </c>
      <c r="AK24" s="8">
        <f t="shared" si="66"/>
        <v>0.24571957427117083</v>
      </c>
      <c r="AL24" s="8">
        <f t="shared" si="66"/>
        <v>0.16779803895470075</v>
      </c>
      <c r="AM24" s="8">
        <f t="shared" si="66"/>
        <v>0.21655542658154381</v>
      </c>
      <c r="AN24" s="8">
        <f t="shared" si="66"/>
        <v>0.24841549295774651</v>
      </c>
      <c r="AO24" s="8">
        <f t="shared" si="66"/>
        <v>0.24553119730185502</v>
      </c>
      <c r="AP24" s="8">
        <f t="shared" si="66"/>
        <v>0.22448796263025519</v>
      </c>
      <c r="AQ24" s="8">
        <f t="shared" si="66"/>
        <v>0.2322366825640611</v>
      </c>
      <c r="AR24" s="8">
        <f t="shared" si="66"/>
        <v>0.26284584980237152</v>
      </c>
      <c r="AS24" s="8">
        <f t="shared" si="66"/>
        <v>0.26133729017898538</v>
      </c>
      <c r="AT24" s="8">
        <f t="shared" si="66"/>
        <v>0.23371989295272069</v>
      </c>
      <c r="AU24" s="8">
        <f t="shared" si="66"/>
        <v>0.27727375822181904</v>
      </c>
      <c r="AV24" s="8">
        <f t="shared" si="66"/>
        <v>0.31166228234999371</v>
      </c>
      <c r="AW24" s="8">
        <f t="shared" si="66"/>
        <v>0.29896547715913058</v>
      </c>
      <c r="AX24" s="8">
        <f t="shared" si="66"/>
        <v>0.28333073444565715</v>
      </c>
      <c r="AY24" s="8">
        <f t="shared" ref="AY24:BB24" si="67">AY8/AY6</f>
        <v>0.34516657564172576</v>
      </c>
      <c r="AZ24" s="8">
        <f t="shared" si="67"/>
        <v>0.29119522731948161</v>
      </c>
      <c r="BA24" s="8">
        <f t="shared" si="67"/>
        <v>0.32</v>
      </c>
      <c r="BB24" s="8">
        <f t="shared" si="67"/>
        <v>0.28999999999999998</v>
      </c>
      <c r="BD24" s="8">
        <f t="shared" ref="BD24:BU24" si="68">BD8/BD6</f>
        <v>0.2943857514243044</v>
      </c>
      <c r="BE24" s="8">
        <f t="shared" si="68"/>
        <v>0.29861230636833042</v>
      </c>
      <c r="BF24" s="8">
        <f t="shared" si="68"/>
        <v>0.31165766035156661</v>
      </c>
      <c r="BG24" s="8">
        <f t="shared" si="68"/>
        <v>0.34959746279580378</v>
      </c>
      <c r="BH24" s="8">
        <f t="shared" si="68"/>
        <v>0.32956442555774779</v>
      </c>
      <c r="BI24" s="8">
        <f t="shared" si="68"/>
        <v>0.29844622396288661</v>
      </c>
      <c r="BJ24" s="8">
        <f t="shared" si="68"/>
        <v>0.29519022579647386</v>
      </c>
      <c r="BK24" s="8">
        <f t="shared" si="68"/>
        <v>0.24745569570513562</v>
      </c>
      <c r="BL24" s="8">
        <f t="shared" si="68"/>
        <v>0.22423345034688155</v>
      </c>
      <c r="BM24" s="8">
        <f t="shared" si="68"/>
        <v>0.23144023756495913</v>
      </c>
      <c r="BN24" s="8">
        <f t="shared" si="68"/>
        <v>0.24544833864360482</v>
      </c>
      <c r="BO24" s="8">
        <f t="shared" si="68"/>
        <v>0.2913680355741563</v>
      </c>
      <c r="BP24" s="8">
        <f t="shared" si="68"/>
        <v>0.30762810506277516</v>
      </c>
      <c r="BQ24" s="8">
        <f t="shared" si="68"/>
        <v>0.32999999999999996</v>
      </c>
      <c r="BR24" s="8">
        <f t="shared" si="68"/>
        <v>0.33</v>
      </c>
      <c r="BS24" s="8">
        <f t="shared" si="68"/>
        <v>0.32999999999999996</v>
      </c>
      <c r="BT24" s="8">
        <f t="shared" si="68"/>
        <v>0.32999999999999996</v>
      </c>
      <c r="BU24" s="8">
        <f t="shared" si="68"/>
        <v>0.33</v>
      </c>
      <c r="BV24" s="8">
        <f t="shared" ref="BV24:BZ24" si="69">BV8/BV6</f>
        <v>0.32999999999999996</v>
      </c>
      <c r="BW24" s="8">
        <f t="shared" si="69"/>
        <v>0.32999999999999996</v>
      </c>
      <c r="BX24" s="8">
        <f t="shared" si="69"/>
        <v>0.32999999999999996</v>
      </c>
      <c r="BY24" s="8">
        <f t="shared" si="69"/>
        <v>0.32999999999999996</v>
      </c>
      <c r="BZ24" s="8">
        <f t="shared" si="69"/>
        <v>0.32999999999999996</v>
      </c>
    </row>
    <row r="25" spans="1:81" x14ac:dyDescent="0.3">
      <c r="B25" t="s">
        <v>54</v>
      </c>
      <c r="C25" s="8">
        <f>C11/C6</f>
        <v>4.6748512303650867E-2</v>
      </c>
      <c r="D25" s="8">
        <f t="shared" ref="D25:G25" si="70">D11/D6</f>
        <v>1.358676013586765E-2</v>
      </c>
      <c r="E25" s="8">
        <f t="shared" si="70"/>
        <v>5.1787155266530535E-2</v>
      </c>
      <c r="F25" s="8">
        <f t="shared" si="70"/>
        <v>9.7290840979423407E-2</v>
      </c>
      <c r="G25" s="8">
        <f t="shared" si="70"/>
        <v>5.3048139057255854E-2</v>
      </c>
      <c r="H25" s="8">
        <f t="shared" ref="H25:AH25" si="71">H11/H6</f>
        <v>2.1196719417812242E-2</v>
      </c>
      <c r="I25" s="8">
        <f t="shared" si="71"/>
        <v>4.2921326832998673E-2</v>
      </c>
      <c r="J25" s="8">
        <f t="shared" si="71"/>
        <v>0.11101521820430947</v>
      </c>
      <c r="K25" s="8">
        <f t="shared" si="71"/>
        <v>6.0128118023876541E-2</v>
      </c>
      <c r="L25" s="8">
        <f t="shared" si="71"/>
        <v>2.9343322549520396E-2</v>
      </c>
      <c r="M25" s="8">
        <f t="shared" si="71"/>
        <v>4.4983385408917276E-2</v>
      </c>
      <c r="N25" s="8">
        <f t="shared" si="71"/>
        <v>0.10834042553191485</v>
      </c>
      <c r="O25" s="8">
        <f t="shared" si="71"/>
        <v>5.7823991884352041E-2</v>
      </c>
      <c r="P25" s="8">
        <f t="shared" si="71"/>
        <v>3.5727417575683269E-2</v>
      </c>
      <c r="Q25" s="8">
        <f t="shared" si="71"/>
        <v>5.0428746427113119E-2</v>
      </c>
      <c r="R25" s="8">
        <f t="shared" si="71"/>
        <v>9.4109148223550321E-2</v>
      </c>
      <c r="S25" s="8">
        <f t="shared" si="71"/>
        <v>4.9415904980693086E-2</v>
      </c>
      <c r="T25" s="8">
        <f t="shared" si="71"/>
        <v>2.583550604408618E-2</v>
      </c>
      <c r="U25" s="8">
        <f t="shared" si="71"/>
        <v>4.405109121995366E-2</v>
      </c>
      <c r="V25" s="8">
        <f t="shared" si="71"/>
        <v>-2.7608850820842253E-2</v>
      </c>
      <c r="W25" s="8">
        <f t="shared" si="71"/>
        <v>2.9524301964839673E-2</v>
      </c>
      <c r="X25" s="8">
        <f t="shared" si="71"/>
        <v>1.3117143377664528E-2</v>
      </c>
      <c r="Y25" s="8">
        <f t="shared" si="71"/>
        <v>-0.39857393820398879</v>
      </c>
      <c r="Z25" s="8">
        <f t="shared" si="71"/>
        <v>-4.4498857329415532E-2</v>
      </c>
      <c r="AA25" s="8">
        <f t="shared" si="71"/>
        <v>1.0854816824966116E-2</v>
      </c>
      <c r="AB25" s="8">
        <f t="shared" si="71"/>
        <v>-0.3487594306603406</v>
      </c>
      <c r="AC25" s="8">
        <f t="shared" si="71"/>
        <v>-3.1838720889815778E-2</v>
      </c>
      <c r="AD25" s="8">
        <f t="shared" si="71"/>
        <v>3.2496239916138724E-2</v>
      </c>
      <c r="AE25" s="8">
        <f t="shared" si="71"/>
        <v>-0.10636630754162588</v>
      </c>
      <c r="AF25" s="8">
        <f t="shared" si="71"/>
        <v>-9.1188959660297192E-2</v>
      </c>
      <c r="AG25" s="8">
        <f t="shared" si="71"/>
        <v>-6.2705285159749088E-2</v>
      </c>
      <c r="AH25" s="8">
        <f t="shared" si="71"/>
        <v>8.8591489562225567E-3</v>
      </c>
      <c r="AI25" s="8">
        <f>AI11/AI6</f>
        <v>-3.1954887218045194E-2</v>
      </c>
      <c r="AJ25" s="8">
        <f>AJ12/AJ6</f>
        <v>-4.2251140780801081E-4</v>
      </c>
      <c r="AK25" s="8">
        <f>AK12/AK6</f>
        <v>-6.1699830325466607E-4</v>
      </c>
      <c r="AL25" s="8">
        <f>AL12/AL6</f>
        <v>-3.993078663649674E-4</v>
      </c>
      <c r="AM25" s="8">
        <f t="shared" ref="AM25:AX25" si="72">AM11/AM6</f>
        <v>-0.11150609402205454</v>
      </c>
      <c r="AN25" s="8">
        <f t="shared" si="72"/>
        <v>-9.2693661971830946E-2</v>
      </c>
      <c r="AO25" s="8">
        <f t="shared" si="72"/>
        <v>-8.1534569983136532E-2</v>
      </c>
      <c r="AP25" s="8">
        <f t="shared" si="72"/>
        <v>1.9538268056054714E-2</v>
      </c>
      <c r="AQ25" s="8">
        <f t="shared" si="72"/>
        <v>-4.7207178077762542E-2</v>
      </c>
      <c r="AR25" s="8">
        <f t="shared" si="72"/>
        <v>-1.4263619178553037E-2</v>
      </c>
      <c r="AS25" s="8">
        <f t="shared" si="72"/>
        <v>-1.3632569785773947E-2</v>
      </c>
      <c r="AT25" s="8">
        <f t="shared" si="72"/>
        <v>3.077609277430856E-2</v>
      </c>
      <c r="AU25" s="8">
        <f t="shared" si="72"/>
        <v>-5.7382626445906131E-2</v>
      </c>
      <c r="AV25" s="8">
        <f t="shared" si="72"/>
        <v>-2.7558561944131352E-2</v>
      </c>
      <c r="AW25" s="8">
        <f t="shared" si="72"/>
        <v>-3.8823666162966355E-2</v>
      </c>
      <c r="AX25" s="8">
        <f t="shared" si="72"/>
        <v>6.2217370965226788E-2</v>
      </c>
      <c r="AY25" s="8">
        <f t="shared" ref="AY25:BB25" si="73">AY11/AY6</f>
        <v>-1.4746040415073785E-2</v>
      </c>
      <c r="AZ25" s="8">
        <f t="shared" si="73"/>
        <v>6.8298703970376462E-2</v>
      </c>
      <c r="BA25" s="8">
        <f t="shared" si="73"/>
        <v>6.9000782229461141E-2</v>
      </c>
      <c r="BB25" s="8">
        <f t="shared" si="73"/>
        <v>9.4136035453479511E-2</v>
      </c>
      <c r="BD25" s="8">
        <f t="shared" ref="BD25:BU25" si="74">BD11/BD6</f>
        <v>6.3443774545052192E-2</v>
      </c>
      <c r="BE25" s="8">
        <f t="shared" si="74"/>
        <v>6.6512478485370008E-2</v>
      </c>
      <c r="BF25" s="8">
        <f t="shared" si="74"/>
        <v>6.9224032978064384E-2</v>
      </c>
      <c r="BG25" s="8">
        <f t="shared" si="74"/>
        <v>6.4789321437284331E-2</v>
      </c>
      <c r="BH25" s="8">
        <f t="shared" si="74"/>
        <v>1.4699824382629095E-2</v>
      </c>
      <c r="BI25" s="8">
        <f t="shared" si="74"/>
        <v>-9.6630182653191982E-2</v>
      </c>
      <c r="BJ25" s="8">
        <f t="shared" si="74"/>
        <v>-6.2805443860191781E-2</v>
      </c>
      <c r="BK25" s="8">
        <f t="shared" si="74"/>
        <v>-4.6897717002632865E-2</v>
      </c>
      <c r="BL25" s="8">
        <f t="shared" si="74"/>
        <v>-6.0292478413495734E-2</v>
      </c>
      <c r="BM25" s="8">
        <f t="shared" si="74"/>
        <v>-5.2675980292906793E-2</v>
      </c>
      <c r="BN25" s="8">
        <f t="shared" si="74"/>
        <v>-6.5430131998180721E-3</v>
      </c>
      <c r="BO25" s="8">
        <f t="shared" si="74"/>
        <v>-6.8532566047607782E-3</v>
      </c>
      <c r="BP25" s="8">
        <f t="shared" si="74"/>
        <v>6.1617830708318007E-2</v>
      </c>
      <c r="BQ25" s="8">
        <f t="shared" si="74"/>
        <v>7.999999999999996E-2</v>
      </c>
      <c r="BR25" s="8">
        <f t="shared" si="74"/>
        <v>9.0000000000000011E-2</v>
      </c>
      <c r="BS25" s="8">
        <f t="shared" si="74"/>
        <v>0.09</v>
      </c>
      <c r="BT25" s="8">
        <f t="shared" si="74"/>
        <v>7.9999999999999932E-2</v>
      </c>
      <c r="BU25" s="8">
        <f t="shared" si="74"/>
        <v>0.08</v>
      </c>
      <c r="BV25" s="8">
        <f t="shared" ref="BV25:BZ25" si="75">BV11/BV6</f>
        <v>7.999999999999996E-2</v>
      </c>
      <c r="BW25" s="8">
        <f t="shared" si="75"/>
        <v>7.9999999999999974E-2</v>
      </c>
      <c r="BX25" s="8">
        <f t="shared" si="75"/>
        <v>7.9999999999999946E-2</v>
      </c>
      <c r="BY25" s="8">
        <f t="shared" si="75"/>
        <v>7.999999999999996E-2</v>
      </c>
      <c r="BZ25" s="8">
        <f t="shared" si="75"/>
        <v>7.9999999999999932E-2</v>
      </c>
    </row>
    <row r="26" spans="1:81" x14ac:dyDescent="0.3">
      <c r="B26" t="s">
        <v>69</v>
      </c>
      <c r="C26" s="8"/>
      <c r="D26" s="8"/>
      <c r="E26" s="8"/>
      <c r="F26" s="8"/>
      <c r="G26" s="8">
        <f t="shared" ref="G26:AH26" si="76">G9/C9-1</f>
        <v>7.0792520035618978E-2</v>
      </c>
      <c r="H26" s="8">
        <f t="shared" si="76"/>
        <v>0.12760910815939264</v>
      </c>
      <c r="I26" s="8">
        <f t="shared" si="76"/>
        <v>0.10211817168338899</v>
      </c>
      <c r="J26" s="8">
        <f t="shared" si="76"/>
        <v>-3.9783632873844121E-2</v>
      </c>
      <c r="K26" s="8">
        <f t="shared" si="76"/>
        <v>-3.5343035343035067E-3</v>
      </c>
      <c r="L26" s="8">
        <f t="shared" si="76"/>
        <v>3.2393773664282755E-2</v>
      </c>
      <c r="M26" s="8">
        <f t="shared" si="76"/>
        <v>6.3119563018409819E-2</v>
      </c>
      <c r="N26" s="8">
        <f t="shared" si="76"/>
        <v>0.11557332364165007</v>
      </c>
      <c r="O26" s="8">
        <f t="shared" si="76"/>
        <v>8.6584602545378475E-2</v>
      </c>
      <c r="P26" s="8">
        <f t="shared" si="76"/>
        <v>5.623471882640585E-2</v>
      </c>
      <c r="Q26" s="8">
        <f t="shared" si="76"/>
        <v>7.9162702188392053E-2</v>
      </c>
      <c r="R26" s="8">
        <f t="shared" si="76"/>
        <v>5.2777325297279631E-2</v>
      </c>
      <c r="S26" s="8">
        <f t="shared" si="76"/>
        <v>8.1989247311827995E-2</v>
      </c>
      <c r="T26" s="8">
        <f t="shared" si="76"/>
        <v>4.629629629629628E-2</v>
      </c>
      <c r="U26" s="8">
        <f t="shared" si="76"/>
        <v>-3.5267148651031421E-3</v>
      </c>
      <c r="V26" s="8">
        <f t="shared" si="76"/>
        <v>7.0710196503172007E-2</v>
      </c>
      <c r="W26" s="8">
        <f t="shared" si="76"/>
        <v>4.6140195208519419E-3</v>
      </c>
      <c r="X26" s="8">
        <f t="shared" si="76"/>
        <v>-1.8436578171099338E-4</v>
      </c>
      <c r="Y26" s="8">
        <f t="shared" si="76"/>
        <v>-0.17961422757034151</v>
      </c>
      <c r="Z26" s="8">
        <f t="shared" si="76"/>
        <v>-0.20158959537572252</v>
      </c>
      <c r="AA26" s="8">
        <f t="shared" si="76"/>
        <v>-0.19855149266913974</v>
      </c>
      <c r="AB26" s="8">
        <f t="shared" si="76"/>
        <v>-0.11137746634704038</v>
      </c>
      <c r="AC26" s="8">
        <f t="shared" si="76"/>
        <v>-2.5452976704055219E-2</v>
      </c>
      <c r="AD26" s="8">
        <f t="shared" si="76"/>
        <v>-7.3846153846153895E-2</v>
      </c>
      <c r="AE26" s="8">
        <f t="shared" si="76"/>
        <v>-0.1481154948203659</v>
      </c>
      <c r="AF26" s="8">
        <f t="shared" si="76"/>
        <v>-0.27744345299854745</v>
      </c>
      <c r="AG26" s="8">
        <f t="shared" si="76"/>
        <v>-0.20230190349712274</v>
      </c>
      <c r="AH26" s="8">
        <f t="shared" si="76"/>
        <v>-0.18096540941958172</v>
      </c>
      <c r="AI26" s="8">
        <f t="shared" ref="AI26:AX26" si="77">AI9/AE9-1</f>
        <v>-4.1914618369987E-2</v>
      </c>
      <c r="AJ26" s="8">
        <f t="shared" si="77"/>
        <v>8.816771970132109E-2</v>
      </c>
      <c r="AK26" s="8">
        <f t="shared" si="77"/>
        <v>0.16953385127635978</v>
      </c>
      <c r="AL26" s="8">
        <f t="shared" si="77"/>
        <v>0.2858506323073251</v>
      </c>
      <c r="AM26" s="8">
        <f t="shared" si="77"/>
        <v>0.22117202268430991</v>
      </c>
      <c r="AN26" s="8">
        <f t="shared" si="77"/>
        <v>2.2697281604645125E-2</v>
      </c>
      <c r="AO26" s="8">
        <f t="shared" si="77"/>
        <v>-7.9715302491103257E-2</v>
      </c>
      <c r="AP26" s="8">
        <f t="shared" si="77"/>
        <v>-0.15828539617739845</v>
      </c>
      <c r="AQ26" s="8">
        <f t="shared" si="77"/>
        <v>-0.23551525873507295</v>
      </c>
      <c r="AR26" s="8">
        <f t="shared" si="77"/>
        <v>-0.16774193548387095</v>
      </c>
      <c r="AS26" s="8">
        <f t="shared" si="77"/>
        <v>-0.23562773910801749</v>
      </c>
      <c r="AT26" s="8">
        <f t="shared" si="77"/>
        <v>-0.20811287477954143</v>
      </c>
      <c r="AU26" s="8">
        <f t="shared" si="77"/>
        <v>-0.14636968469771472</v>
      </c>
      <c r="AV26" s="8">
        <f t="shared" si="77"/>
        <v>-0.16031007751937976</v>
      </c>
      <c r="AW26" s="8">
        <f t="shared" si="77"/>
        <v>-4.8903878583473892E-2</v>
      </c>
      <c r="AX26" s="8">
        <f t="shared" si="77"/>
        <v>-0.21353006681514475</v>
      </c>
      <c r="AY26" s="8">
        <f t="shared" ref="AY26" si="78">AY9/AU9-1</f>
        <v>-0.22704168078617426</v>
      </c>
      <c r="AZ26" s="8">
        <f t="shared" ref="AZ26" si="79">AZ9/AV9-1</f>
        <v>-0.19202363367799113</v>
      </c>
      <c r="BA26" s="8">
        <f t="shared" ref="BA26" si="80">BA9/AW9-1</f>
        <v>-0.18000000000000005</v>
      </c>
      <c r="BB26" s="8">
        <f t="shared" ref="BB26" si="81">BB9/AX9-1</f>
        <v>-9.9999999999999978E-2</v>
      </c>
      <c r="BD26" s="8"/>
      <c r="BE26" s="8">
        <f t="shared" ref="BE26:BU26" si="82">BE9/BD9-1</f>
        <v>5.7387444514901631E-2</v>
      </c>
      <c r="BF26" s="8">
        <f t="shared" si="82"/>
        <v>5.4222888555722104E-2</v>
      </c>
      <c r="BG26" s="8">
        <f t="shared" si="82"/>
        <v>6.7835980090068526E-2</v>
      </c>
      <c r="BH26" s="8">
        <f t="shared" si="82"/>
        <v>4.9010032850927976E-2</v>
      </c>
      <c r="BI26" s="8">
        <f t="shared" si="82"/>
        <v>-0.10093101988997033</v>
      </c>
      <c r="BJ26" s="8">
        <f t="shared" si="82"/>
        <v>-0.10609555189456343</v>
      </c>
      <c r="BK26" s="8">
        <f t="shared" si="82"/>
        <v>-0.20267495129271762</v>
      </c>
      <c r="BL26" s="8">
        <f t="shared" si="82"/>
        <v>0.12904504028529917</v>
      </c>
      <c r="BM26" s="8">
        <f t="shared" si="82"/>
        <v>-1.6612072999532157E-2</v>
      </c>
      <c r="BN26" s="8">
        <f t="shared" si="82"/>
        <v>-0.21252676659528891</v>
      </c>
      <c r="BO26" s="8">
        <f t="shared" si="82"/>
        <v>-0.14615907545887152</v>
      </c>
      <c r="BP26" s="8">
        <f t="shared" si="82"/>
        <v>-0.17516808209483381</v>
      </c>
      <c r="BQ26" s="8">
        <f t="shared" si="82"/>
        <v>8.1617724342817999E-2</v>
      </c>
      <c r="BR26" s="8">
        <f t="shared" si="82"/>
        <v>1.6501929484544542E-2</v>
      </c>
      <c r="BS26" s="8">
        <f t="shared" si="82"/>
        <v>3.743077508386361E-2</v>
      </c>
      <c r="BT26" s="8">
        <f t="shared" si="82"/>
        <v>6.5287352013779332E-2</v>
      </c>
      <c r="BU26" s="8">
        <f t="shared" si="82"/>
        <v>1.9197134393377002E-2</v>
      </c>
      <c r="BV26" s="8">
        <f t="shared" ref="BV26:BZ26" si="83">BV9/BU9-1</f>
        <v>1.7390532094115452E-2</v>
      </c>
      <c r="BW26" s="8">
        <f t="shared" si="83"/>
        <v>1.7482129837861349E-2</v>
      </c>
      <c r="BX26" s="8">
        <f t="shared" si="83"/>
        <v>1.7574180918759952E-2</v>
      </c>
      <c r="BY26" s="8">
        <f t="shared" si="83"/>
        <v>1.766667088514251E-2</v>
      </c>
      <c r="BZ26" s="8">
        <f t="shared" si="83"/>
        <v>1.7759584977690812E-2</v>
      </c>
    </row>
    <row r="27" spans="1:81" x14ac:dyDescent="0.3">
      <c r="B27" t="s">
        <v>68</v>
      </c>
      <c r="C27" s="8">
        <f>C9/C6</f>
        <v>0.24081917117889884</v>
      </c>
      <c r="D27" s="8">
        <f t="shared" ref="D27:AH27" si="84">D9/D6</f>
        <v>0.30469032304690324</v>
      </c>
      <c r="E27" s="8">
        <f t="shared" si="84"/>
        <v>0.21289220107276785</v>
      </c>
      <c r="F27" s="8">
        <f t="shared" si="84"/>
        <v>0.15557304956838047</v>
      </c>
      <c r="G27" s="8">
        <f t="shared" si="84"/>
        <v>0.24094574963682813</v>
      </c>
      <c r="H27" s="8">
        <f t="shared" si="84"/>
        <v>0.27457548804435716</v>
      </c>
      <c r="I27" s="8">
        <f t="shared" si="84"/>
        <v>0.23625848389255333</v>
      </c>
      <c r="J27" s="8">
        <f t="shared" si="84"/>
        <v>0.15830959983889992</v>
      </c>
      <c r="K27" s="8">
        <f t="shared" si="84"/>
        <v>0.23260215471221976</v>
      </c>
      <c r="L27" s="8">
        <f t="shared" si="84"/>
        <v>0.27856291503490549</v>
      </c>
      <c r="M27" s="8">
        <f t="shared" si="84"/>
        <v>0.26062589892377125</v>
      </c>
      <c r="N27" s="8">
        <f t="shared" si="84"/>
        <v>0.17415602836879432</v>
      </c>
      <c r="O27" s="8">
        <f t="shared" si="84"/>
        <v>0.26416434187167132</v>
      </c>
      <c r="P27" s="8">
        <f t="shared" si="84"/>
        <v>0.31768599093026106</v>
      </c>
      <c r="Q27" s="8">
        <f t="shared" si="84"/>
        <v>0.28945487954267046</v>
      </c>
      <c r="R27" s="8">
        <f t="shared" si="84"/>
        <v>0.21222171143363761</v>
      </c>
      <c r="S27" s="8">
        <f t="shared" si="84"/>
        <v>0.27542890659367514</v>
      </c>
      <c r="T27" s="8">
        <f t="shared" si="84"/>
        <v>0.3214031761080825</v>
      </c>
      <c r="U27" s="8">
        <f t="shared" si="84"/>
        <v>0.28416976767575181</v>
      </c>
      <c r="V27" s="8">
        <f t="shared" si="84"/>
        <v>0.19757316202712349</v>
      </c>
      <c r="W27" s="8">
        <f t="shared" si="84"/>
        <v>0.29270941054808686</v>
      </c>
      <c r="X27" s="8">
        <f t="shared" si="84"/>
        <v>0.32932531730126918</v>
      </c>
      <c r="Y27" s="8">
        <f t="shared" si="84"/>
        <v>0.23953704660535291</v>
      </c>
      <c r="Z27" s="8">
        <f t="shared" si="84"/>
        <v>0.18037871367939928</v>
      </c>
      <c r="AA27" s="8">
        <f t="shared" si="84"/>
        <v>0.2931446662789946</v>
      </c>
      <c r="AB27" s="8">
        <f t="shared" si="84"/>
        <v>0.37481527572528578</v>
      </c>
      <c r="AC27" s="8">
        <f t="shared" si="84"/>
        <v>0.31407716371220024</v>
      </c>
      <c r="AD27" s="8">
        <f t="shared" si="84"/>
        <v>0.23321635294653845</v>
      </c>
      <c r="AE27" s="8">
        <f t="shared" si="84"/>
        <v>0.37855044074436828</v>
      </c>
      <c r="AF27" s="8">
        <f t="shared" si="84"/>
        <v>0.36963906581740974</v>
      </c>
      <c r="AG27" s="8">
        <f t="shared" si="84"/>
        <v>0.35871404399323176</v>
      </c>
      <c r="AH27" s="8">
        <f t="shared" si="84"/>
        <v>0.19749304933792</v>
      </c>
      <c r="AI27" s="8">
        <f t="shared" ref="AI27:AX27" si="85">AI9/AI6</f>
        <v>0.29002192982456143</v>
      </c>
      <c r="AJ27" s="8">
        <f t="shared" si="85"/>
        <v>0.32017914483691057</v>
      </c>
      <c r="AK27" s="8">
        <f t="shared" si="85"/>
        <v>0.32508098102730215</v>
      </c>
      <c r="AL27" s="8">
        <f t="shared" si="85"/>
        <v>0.23909667687120101</v>
      </c>
      <c r="AM27" s="8">
        <f t="shared" si="85"/>
        <v>0.32806152060359833</v>
      </c>
      <c r="AN27" s="8">
        <f t="shared" si="85"/>
        <v>0.34110915492957744</v>
      </c>
      <c r="AO27" s="8">
        <f t="shared" si="85"/>
        <v>0.32706576728499154</v>
      </c>
      <c r="AP27" s="8">
        <f t="shared" si="85"/>
        <v>0.2037369744879626</v>
      </c>
      <c r="AQ27" s="8">
        <f t="shared" si="85"/>
        <v>0.27944386064182364</v>
      </c>
      <c r="AR27" s="8">
        <f t="shared" si="85"/>
        <v>0.27710946898092459</v>
      </c>
      <c r="AS27" s="8">
        <f t="shared" si="85"/>
        <v>0.27496985996475937</v>
      </c>
      <c r="AT27" s="8">
        <f t="shared" si="85"/>
        <v>0.20026761819803748</v>
      </c>
      <c r="AU27" s="8">
        <f t="shared" si="85"/>
        <v>0.33465638466772513</v>
      </c>
      <c r="AV27" s="8">
        <f t="shared" si="85"/>
        <v>0.33922084429412502</v>
      </c>
      <c r="AW27" s="8">
        <f t="shared" si="85"/>
        <v>0.32779263047774032</v>
      </c>
      <c r="AX27" s="8">
        <f t="shared" si="85"/>
        <v>0.22025573054732575</v>
      </c>
      <c r="AY27" s="8">
        <f t="shared" ref="AY27:BB27" si="86">AY9/AY6</f>
        <v>0.3114418350628072</v>
      </c>
      <c r="AZ27" s="8">
        <f t="shared" si="86"/>
        <v>0.22505657272166221</v>
      </c>
      <c r="BA27" s="8">
        <f t="shared" si="86"/>
        <v>0.24778457614950225</v>
      </c>
      <c r="BB27" s="8">
        <f t="shared" si="86"/>
        <v>0.1943352701890842</v>
      </c>
      <c r="BD27" s="8"/>
      <c r="BE27" s="8">
        <f t="shared" ref="BE27:BU27" si="87">BE9/BE6</f>
        <v>0.21525387263339071</v>
      </c>
      <c r="BF27" s="8">
        <f t="shared" si="87"/>
        <v>0.22528247079177258</v>
      </c>
      <c r="BG27" s="8">
        <f t="shared" si="87"/>
        <v>0.26168984305115062</v>
      </c>
      <c r="BH27" s="8">
        <f t="shared" si="87"/>
        <v>0.25616286885068185</v>
      </c>
      <c r="BI27" s="8">
        <f t="shared" si="87"/>
        <v>0.2476366984881864</v>
      </c>
      <c r="BJ27" s="8">
        <f t="shared" si="87"/>
        <v>0.29370553665326321</v>
      </c>
      <c r="BK27" s="8">
        <f t="shared" si="87"/>
        <v>0.29749695469370113</v>
      </c>
      <c r="BL27" s="8">
        <f t="shared" si="87"/>
        <v>0.28442610677624897</v>
      </c>
      <c r="BM27" s="8">
        <f t="shared" si="87"/>
        <v>0.28366066005264218</v>
      </c>
      <c r="BN27" s="8">
        <f t="shared" si="87"/>
        <v>0.2510810195721439</v>
      </c>
      <c r="BO27" s="8">
        <f t="shared" si="87"/>
        <v>0.29568401778707826</v>
      </c>
      <c r="BP27" s="8">
        <f t="shared" si="87"/>
        <v>0.23627923619459645</v>
      </c>
      <c r="BQ27" s="8">
        <f t="shared" si="87"/>
        <v>0.25</v>
      </c>
      <c r="BR27" s="8">
        <f t="shared" si="87"/>
        <v>0.24</v>
      </c>
      <c r="BS27" s="8">
        <f t="shared" si="87"/>
        <v>0.23999999999999996</v>
      </c>
      <c r="BT27" s="8">
        <f t="shared" si="87"/>
        <v>0.25</v>
      </c>
      <c r="BU27" s="8">
        <f t="shared" si="87"/>
        <v>0.25</v>
      </c>
      <c r="BV27" s="8">
        <f t="shared" ref="BV27:BZ27" si="88">BV9/BV6</f>
        <v>0.25</v>
      </c>
      <c r="BW27" s="8">
        <f t="shared" si="88"/>
        <v>0.25</v>
      </c>
      <c r="BX27" s="8">
        <f t="shared" si="88"/>
        <v>0.25</v>
      </c>
      <c r="BY27" s="8">
        <f t="shared" si="88"/>
        <v>0.25</v>
      </c>
      <c r="BZ27" s="8">
        <f t="shared" si="88"/>
        <v>0.25</v>
      </c>
    </row>
    <row r="28" spans="1:81" x14ac:dyDescent="0.3">
      <c r="B28" t="s">
        <v>49</v>
      </c>
      <c r="C28" s="8">
        <f>C15/C14</f>
        <v>0.36732329084588661</v>
      </c>
      <c r="D28" s="8">
        <f t="shared" ref="D28:G28" si="89">D15/D14</f>
        <v>0.39999999999999847</v>
      </c>
      <c r="E28" s="8">
        <f t="shared" si="89"/>
        <v>0.36715867158671628</v>
      </c>
      <c r="F28" s="8">
        <f t="shared" si="89"/>
        <v>0.38166012338754912</v>
      </c>
      <c r="G28" s="8">
        <f t="shared" si="89"/>
        <v>0.35422602089268795</v>
      </c>
      <c r="H28" s="8">
        <f t="shared" ref="H28:AH28" si="90">H15/H14</f>
        <v>0.3089887640449428</v>
      </c>
      <c r="I28" s="8">
        <f t="shared" si="90"/>
        <v>0.34948096885813223</v>
      </c>
      <c r="J28" s="8">
        <f t="shared" si="90"/>
        <v>0.35881271342264232</v>
      </c>
      <c r="K28" s="8">
        <f t="shared" si="90"/>
        <v>0.37721518987341779</v>
      </c>
      <c r="L28" s="8">
        <f t="shared" si="90"/>
        <v>0.45119305856832986</v>
      </c>
      <c r="M28" s="8">
        <f t="shared" si="90"/>
        <v>0.33610451306413341</v>
      </c>
      <c r="N28" s="8">
        <f t="shared" si="90"/>
        <v>0.34165781083953251</v>
      </c>
      <c r="O28" s="8">
        <f t="shared" si="90"/>
        <v>0.36240310077519361</v>
      </c>
      <c r="P28" s="8">
        <f t="shared" si="90"/>
        <v>0.37583892617449705</v>
      </c>
      <c r="Q28" s="8">
        <f t="shared" si="90"/>
        <v>0.39523809523809511</v>
      </c>
      <c r="R28" s="8">
        <f t="shared" si="90"/>
        <v>0.23497067448680339</v>
      </c>
      <c r="S28" s="8">
        <f t="shared" si="90"/>
        <v>0.3233944954128441</v>
      </c>
      <c r="T28" s="8">
        <f t="shared" si="90"/>
        <v>0.23972602739726159</v>
      </c>
      <c r="U28" s="8">
        <f t="shared" si="90"/>
        <v>0.19402985074626911</v>
      </c>
      <c r="V28" s="8">
        <f t="shared" si="90"/>
        <v>3.5519125683060114E-2</v>
      </c>
      <c r="W28" s="8">
        <f t="shared" si="90"/>
        <v>0.35023041474654432</v>
      </c>
      <c r="X28" s="8">
        <f t="shared" si="90"/>
        <v>4.2337662337661355</v>
      </c>
      <c r="Y28" s="8">
        <f t="shared" si="90"/>
        <v>-3.465346534653465E-2</v>
      </c>
      <c r="Z28" s="8">
        <f t="shared" si="90"/>
        <v>-0.17643051771117191</v>
      </c>
      <c r="AA28" s="8">
        <f t="shared" si="90"/>
        <v>0.25274725274725113</v>
      </c>
      <c r="AB28" s="8">
        <f t="shared" si="90"/>
        <v>8.8054457619675036E-2</v>
      </c>
      <c r="AC28" s="8">
        <f t="shared" si="90"/>
        <v>-0.61003861003861015</v>
      </c>
      <c r="AD28" s="8">
        <f t="shared" si="90"/>
        <v>0.67592592592592626</v>
      </c>
      <c r="AE28" s="8">
        <f t="shared" si="90"/>
        <v>-0.43712055507372061</v>
      </c>
      <c r="AF28" s="8">
        <f t="shared" si="90"/>
        <v>-0.19164882226980737</v>
      </c>
      <c r="AG28" s="8">
        <f t="shared" si="90"/>
        <v>0.74140302613480147</v>
      </c>
      <c r="AH28" s="8">
        <f t="shared" si="90"/>
        <v>-6.5943396226415798</v>
      </c>
      <c r="AI28" s="8">
        <f t="shared" ref="AI28" si="91">AI15/AI14</f>
        <v>-1.9847328244274778E-2</v>
      </c>
      <c r="AJ28" s="8">
        <f>AJ16/AJ15</f>
        <v>-19.870967741935448</v>
      </c>
      <c r="AK28" s="8">
        <f>AK16/AK15</f>
        <v>-61.999999999999922</v>
      </c>
      <c r="AL28" s="8">
        <f>AL16/AL15</f>
        <v>6.9999999999999973</v>
      </c>
      <c r="AM28" s="8">
        <f t="shared" ref="AM28:AX28" si="92">AM15/AM14</f>
        <v>-2.2668393782383424E-2</v>
      </c>
      <c r="AN28" s="8">
        <f t="shared" si="92"/>
        <v>-1.1428571428571432E-2</v>
      </c>
      <c r="AO28" s="8">
        <f t="shared" si="92"/>
        <v>-2.2580645161290342E-2</v>
      </c>
      <c r="AP28" s="8">
        <f t="shared" si="92"/>
        <v>8.4507042253520764E-2</v>
      </c>
      <c r="AQ28" s="8">
        <f t="shared" si="92"/>
        <v>-1.9762845849802357E-3</v>
      </c>
      <c r="AR28" s="8">
        <f t="shared" si="92"/>
        <v>6.6666666666666152E-2</v>
      </c>
      <c r="AS28" s="8">
        <f t="shared" si="92"/>
        <v>0.27906976744185752</v>
      </c>
      <c r="AT28" s="8">
        <f t="shared" si="92"/>
        <v>0.11126760563380308</v>
      </c>
      <c r="AU28" s="8">
        <f t="shared" si="92"/>
        <v>9.5238095238095177E-2</v>
      </c>
      <c r="AV28" s="8">
        <f t="shared" si="92"/>
        <v>0.1542857142857148</v>
      </c>
      <c r="AW28" s="8">
        <f t="shared" si="92"/>
        <v>0.16346153846153808</v>
      </c>
      <c r="AX28" s="8">
        <f t="shared" si="92"/>
        <v>2.4517087667161985E-2</v>
      </c>
      <c r="AY28" s="8">
        <f t="shared" ref="AY28:BB28" si="93">AY15/AY14</f>
        <v>7.2765072765072825E-2</v>
      </c>
      <c r="AZ28" s="8">
        <f t="shared" si="93"/>
        <v>3.4364261168384883E-2</v>
      </c>
      <c r="BA28" s="8">
        <f t="shared" si="93"/>
        <v>0.16</v>
      </c>
      <c r="BB28" s="8">
        <f t="shared" si="93"/>
        <v>0.16</v>
      </c>
      <c r="BD28" s="8">
        <f t="shared" ref="BD28:BU28" si="94">BD15/BD14</f>
        <v>0.37728551336146321</v>
      </c>
      <c r="BE28" s="8">
        <f t="shared" si="94"/>
        <v>0.35377280946901218</v>
      </c>
      <c r="BF28" s="8">
        <f t="shared" si="94"/>
        <v>0.35572616762635995</v>
      </c>
      <c r="BG28" s="8">
        <f t="shared" si="94"/>
        <v>0.30017832375668724</v>
      </c>
      <c r="BH28" s="8">
        <f t="shared" si="94"/>
        <v>0.56787048567870235</v>
      </c>
      <c r="BI28" s="8">
        <f t="shared" si="94"/>
        <v>-0.11813545249673832</v>
      </c>
      <c r="BJ28" s="8">
        <f t="shared" si="94"/>
        <v>-8.6775905838910664E-2</v>
      </c>
      <c r="BK28" s="8">
        <f t="shared" si="94"/>
        <v>0.20494830132939384</v>
      </c>
      <c r="BL28" s="8">
        <f t="shared" si="94"/>
        <v>3.6632891660171578E-2</v>
      </c>
      <c r="BM28" s="8">
        <f t="shared" si="94"/>
        <v>-3.6339610175090853E-2</v>
      </c>
      <c r="BN28" s="8">
        <f t="shared" si="94"/>
        <v>0.50381679389315792</v>
      </c>
      <c r="BO28" s="8">
        <f t="shared" si="94"/>
        <v>4.3731778425656127E-2</v>
      </c>
      <c r="BP28" s="8">
        <f t="shared" si="94"/>
        <v>0.11335673207540747</v>
      </c>
      <c r="BQ28" s="8">
        <f t="shared" si="94"/>
        <v>0.17</v>
      </c>
      <c r="BR28" s="8">
        <f t="shared" si="94"/>
        <v>0.17</v>
      </c>
      <c r="BS28" s="8">
        <f t="shared" si="94"/>
        <v>0.17</v>
      </c>
      <c r="BT28" s="8">
        <f t="shared" si="94"/>
        <v>0.17</v>
      </c>
      <c r="BU28" s="8">
        <f t="shared" si="94"/>
        <v>0.17</v>
      </c>
      <c r="BV28" s="8">
        <f t="shared" ref="BV28:BZ28" si="95">BV15/BV14</f>
        <v>0.17</v>
      </c>
      <c r="BW28" s="8">
        <f t="shared" si="95"/>
        <v>0.17</v>
      </c>
      <c r="BX28" s="8">
        <f t="shared" si="95"/>
        <v>0.17</v>
      </c>
      <c r="BY28" s="8">
        <f t="shared" si="95"/>
        <v>0.17</v>
      </c>
      <c r="BZ28" s="8">
        <f t="shared" si="95"/>
        <v>0.17</v>
      </c>
    </row>
    <row r="29" spans="1:81" x14ac:dyDescent="0.3">
      <c r="B29" t="s">
        <v>74</v>
      </c>
      <c r="C29" s="8">
        <f>C16/C6</f>
        <v>2.9271430869029086E-2</v>
      </c>
      <c r="D29" s="8">
        <f t="shared" ref="D29:AH29" si="96">D16/D6</f>
        <v>7.5883500758835492E-3</v>
      </c>
      <c r="E29" s="8">
        <f t="shared" si="96"/>
        <v>3.2562775905444472E-2</v>
      </c>
      <c r="F29" s="8">
        <f t="shared" si="96"/>
        <v>5.9856669743199947E-2</v>
      </c>
      <c r="G29" s="8">
        <f t="shared" si="96"/>
        <v>3.4063016580674184E-2</v>
      </c>
      <c r="H29" s="8">
        <f t="shared" si="96"/>
        <v>1.4208155250086701E-2</v>
      </c>
      <c r="I29" s="8">
        <f t="shared" si="96"/>
        <v>2.6957269859477977E-2</v>
      </c>
      <c r="J29" s="8">
        <f t="shared" si="96"/>
        <v>7.0222375650873151E-2</v>
      </c>
      <c r="K29" s="8">
        <f t="shared" si="96"/>
        <v>3.5814811220032994E-2</v>
      </c>
      <c r="L29" s="8">
        <f t="shared" si="96"/>
        <v>1.4359498268914231E-2</v>
      </c>
      <c r="M29" s="8">
        <f t="shared" si="96"/>
        <v>2.77240490006447E-2</v>
      </c>
      <c r="N29" s="8">
        <f t="shared" si="96"/>
        <v>7.0297872340425491E-2</v>
      </c>
      <c r="O29" s="8">
        <f t="shared" si="96"/>
        <v>3.3375602333248815E-2</v>
      </c>
      <c r="P29" s="8">
        <f t="shared" si="96"/>
        <v>1.7097683539649439E-2</v>
      </c>
      <c r="Q29" s="8">
        <f t="shared" si="96"/>
        <v>2.5928950592078413E-2</v>
      </c>
      <c r="R29" s="8">
        <f t="shared" si="96"/>
        <v>6.8529585604518328E-2</v>
      </c>
      <c r="S29" s="8">
        <f t="shared" si="96"/>
        <v>2.8838164133144328E-2</v>
      </c>
      <c r="T29" s="8">
        <f t="shared" si="96"/>
        <v>1.3154776013273193E-2</v>
      </c>
      <c r="U29" s="8">
        <f t="shared" si="96"/>
        <v>2.9870260484763069E-2</v>
      </c>
      <c r="V29" s="8">
        <f t="shared" si="96"/>
        <v>-3.0235546038543892E-2</v>
      </c>
      <c r="W29" s="8">
        <f t="shared" si="96"/>
        <v>1.4581178903826233E-2</v>
      </c>
      <c r="X29" s="8">
        <f t="shared" si="96"/>
        <v>-1.5121151393696375E-2</v>
      </c>
      <c r="Y29" s="8">
        <f t="shared" si="96"/>
        <v>-0.39955564741138777</v>
      </c>
      <c r="Z29" s="8">
        <f t="shared" si="96"/>
        <v>-5.6382631407117134E-2</v>
      </c>
      <c r="AA29" s="8">
        <f t="shared" si="96"/>
        <v>4.3936163339148787E-3</v>
      </c>
      <c r="AB29" s="8">
        <f t="shared" si="96"/>
        <v>-0.32301470016333506</v>
      </c>
      <c r="AC29" s="8">
        <f t="shared" si="96"/>
        <v>-5.7977059436913454E-2</v>
      </c>
      <c r="AD29" s="8">
        <f t="shared" si="96"/>
        <v>9.5711225559454768E-3</v>
      </c>
      <c r="AE29" s="8">
        <f t="shared" si="96"/>
        <v>-0.16229187071498533</v>
      </c>
      <c r="AF29" s="8">
        <f t="shared" si="96"/>
        <v>-0.11815286624203816</v>
      </c>
      <c r="AG29" s="8">
        <f t="shared" si="96"/>
        <v>-1.8712053349258389E-2</v>
      </c>
      <c r="AH29" s="8">
        <f t="shared" si="96"/>
        <v>3.7934121860421229E-2</v>
      </c>
      <c r="AI29" s="8">
        <f>AI16/AI6</f>
        <v>-5.2318295739348451E-2</v>
      </c>
      <c r="AJ29" s="8">
        <f>AJ18/AJ6</f>
        <v>-7.1698905567419877E-4</v>
      </c>
      <c r="AK29" s="8">
        <f>AK18/AK6</f>
        <v>-1.0710082536732823E-3</v>
      </c>
      <c r="AL29" s="8">
        <f>AL18/AL6</f>
        <v>-8.2655734598164774E-4</v>
      </c>
      <c r="AM29" s="8">
        <f t="shared" ref="AM29:AX29" si="97">AM16/AM6</f>
        <v>-0.11455310504933254</v>
      </c>
      <c r="AN29" s="8">
        <f t="shared" si="97"/>
        <v>-9.3485915492957705E-2</v>
      </c>
      <c r="AO29" s="8">
        <f t="shared" si="97"/>
        <v>-8.0185497470488976E-2</v>
      </c>
      <c r="AP29" s="8">
        <f t="shared" si="97"/>
        <v>2.0436579231045728E-2</v>
      </c>
      <c r="AQ29" s="8">
        <f t="shared" si="97"/>
        <v>-4.0982943981893172E-2</v>
      </c>
      <c r="AR29" s="8">
        <f t="shared" si="97"/>
        <v>-2.405911668671613E-3</v>
      </c>
      <c r="AS29" s="8">
        <f t="shared" si="97"/>
        <v>-2.874895669108824E-3</v>
      </c>
      <c r="AT29" s="8">
        <f t="shared" si="97"/>
        <v>3.5180642283675199E-2</v>
      </c>
      <c r="AU29" s="8">
        <f t="shared" si="97"/>
        <v>-3.662962122930373E-2</v>
      </c>
      <c r="AV29" s="8">
        <f t="shared" si="97"/>
        <v>1.8539396216960973E-2</v>
      </c>
      <c r="AW29" s="8">
        <f t="shared" si="97"/>
        <v>2.0225502731605307E-2</v>
      </c>
      <c r="AX29" s="8">
        <f t="shared" si="97"/>
        <v>0.10237018556057996</v>
      </c>
      <c r="AY29" s="8">
        <f t="shared" ref="AY29:BB29" si="98">AY16/AY6</f>
        <v>6.0895685417804421E-2</v>
      </c>
      <c r="AZ29" s="8">
        <f t="shared" si="98"/>
        <v>0.1734211067681547</v>
      </c>
      <c r="BA29" s="8">
        <f t="shared" si="98"/>
        <v>0.12546813111451627</v>
      </c>
      <c r="BB29" s="8">
        <f t="shared" si="98"/>
        <v>0.12722814204016489</v>
      </c>
      <c r="BD29" s="8">
        <f t="shared" ref="BD29:BU29" si="99">BD16/BD6</f>
        <v>3.9183583162785467E-2</v>
      </c>
      <c r="BE29" s="8">
        <f t="shared" si="99"/>
        <v>4.2287005163511145E-2</v>
      </c>
      <c r="BF29" s="8">
        <f t="shared" si="99"/>
        <v>4.3016723979580868E-2</v>
      </c>
      <c r="BG29" s="8">
        <f t="shared" si="99"/>
        <v>4.1032075186747036E-2</v>
      </c>
      <c r="BH29" s="8">
        <f t="shared" si="99"/>
        <v>3.7616807232834322E-3</v>
      </c>
      <c r="BI29" s="8">
        <f t="shared" si="99"/>
        <v>-0.1098833210942872</v>
      </c>
      <c r="BJ29" s="8">
        <f t="shared" si="99"/>
        <v>-7.2827095576863607E-2</v>
      </c>
      <c r="BK29" s="8">
        <f t="shared" si="99"/>
        <v>-4.2300286848206373E-2</v>
      </c>
      <c r="BL29" s="8">
        <f t="shared" si="99"/>
        <v>-6.1689986191291991E-2</v>
      </c>
      <c r="BM29" s="8">
        <f t="shared" si="99"/>
        <v>-5.2929067962475533E-2</v>
      </c>
      <c r="BN29" s="8">
        <f t="shared" si="99"/>
        <v>1.2327416173568634E-3</v>
      </c>
      <c r="BO29" s="8">
        <f t="shared" si="99"/>
        <v>3.4318597959717374E-2</v>
      </c>
      <c r="BP29" s="8">
        <f t="shared" si="99"/>
        <v>0.12588110637849259</v>
      </c>
      <c r="BQ29" s="8">
        <f t="shared" si="99"/>
        <v>0.12711675457618768</v>
      </c>
      <c r="BR29" s="8">
        <f t="shared" si="99"/>
        <v>0.13376208850521151</v>
      </c>
      <c r="BS29" s="8">
        <f t="shared" si="99"/>
        <v>0.13333904621052922</v>
      </c>
      <c r="BT29" s="8">
        <f t="shared" si="99"/>
        <v>0.12545900401218676</v>
      </c>
      <c r="BU29" s="8">
        <f t="shared" si="99"/>
        <v>0.1260849932950005</v>
      </c>
      <c r="BV29" s="8">
        <f t="shared" ref="BV29:BZ29" si="100">BV16/BV6</f>
        <v>0.12682472497489647</v>
      </c>
      <c r="BW29" s="8">
        <f t="shared" si="100"/>
        <v>0.1275681177477398</v>
      </c>
      <c r="BX29" s="8">
        <f t="shared" si="100"/>
        <v>0.1283150549036994</v>
      </c>
      <c r="BY29" s="8">
        <f t="shared" si="100"/>
        <v>0.1290654172484027</v>
      </c>
      <c r="BZ29" s="8">
        <f t="shared" si="100"/>
        <v>0.12981908316910581</v>
      </c>
    </row>
    <row r="30" spans="1:81" x14ac:dyDescent="0.3"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CB30" t="s">
        <v>57</v>
      </c>
      <c r="CC30" s="8">
        <v>-0.01</v>
      </c>
    </row>
    <row r="31" spans="1:81" x14ac:dyDescent="0.3">
      <c r="A31" s="1"/>
      <c r="B31" s="1" t="s">
        <v>60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0">
        <f>AO32+AO33-AO47-AO49</f>
        <v>1003.3999999999999</v>
      </c>
      <c r="AP31" s="10">
        <f>AP32+AP33-AP47-AP49</f>
        <v>1351.1</v>
      </c>
      <c r="AQ31" s="10">
        <f>AQ32+AQ33-AQ47-AQ49</f>
        <v>1272.8999999999999</v>
      </c>
      <c r="AR31" s="10"/>
      <c r="AS31" s="10">
        <f>AS32+AS33-AS47-AS49</f>
        <v>1179</v>
      </c>
      <c r="AT31" s="10">
        <f>AT32+AT33-AT47-AT49</f>
        <v>1170.8000000000002</v>
      </c>
      <c r="AU31" s="10">
        <f>AU32+AU33-AU47-AU49</f>
        <v>1057.2</v>
      </c>
      <c r="AV31" s="10">
        <f>AV32+AV33-AV47-AV49</f>
        <v>4180.8000000000011</v>
      </c>
      <c r="AW31" s="10">
        <f t="shared" ref="AW31:AX31" si="101">AW32+AW33-AW47-AW49</f>
        <v>4595.7</v>
      </c>
      <c r="AX31" s="10">
        <f t="shared" si="101"/>
        <v>4757.9999999999991</v>
      </c>
      <c r="AY31" s="10"/>
      <c r="AZ31" s="10"/>
      <c r="BA31" s="10"/>
      <c r="BB31" s="10"/>
      <c r="BC31" s="1"/>
      <c r="BD31" s="1"/>
      <c r="BE31" s="1"/>
      <c r="BF31" s="1"/>
      <c r="BG31" s="1"/>
      <c r="BH31" s="1"/>
      <c r="BI31" s="1"/>
      <c r="BJ31" s="1"/>
      <c r="BK31" s="1"/>
      <c r="BL31" s="10">
        <f>BL32+BL33-BL47-BL49</f>
        <v>1226.8000000000002</v>
      </c>
      <c r="BM31" s="10">
        <f>BM32+BM33-BM47-BM49</f>
        <v>1351.1</v>
      </c>
      <c r="BN31" s="10">
        <f>BN32+BN33-BN47-BN49</f>
        <v>1170.8000000000002</v>
      </c>
      <c r="BO31" s="10">
        <f>AX31</f>
        <v>4757.9999999999991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B31" t="s">
        <v>58</v>
      </c>
      <c r="CC31" s="8">
        <v>0.08</v>
      </c>
    </row>
    <row r="32" spans="1:81" x14ac:dyDescent="0.3">
      <c r="B32" t="s">
        <v>4</v>
      </c>
      <c r="AO32" s="5">
        <v>803.8</v>
      </c>
      <c r="AP32" s="5">
        <v>1139</v>
      </c>
      <c r="AQ32" s="5">
        <v>1057</v>
      </c>
      <c r="AR32" s="5"/>
      <c r="AS32" s="5">
        <v>909</v>
      </c>
      <c r="AT32" s="5">
        <v>921.7</v>
      </c>
      <c r="AU32" s="5">
        <v>999.9</v>
      </c>
      <c r="AV32" s="5">
        <v>4193.1000000000004</v>
      </c>
      <c r="AW32" s="5">
        <v>4583.3999999999996</v>
      </c>
      <c r="AX32" s="5">
        <v>4756.8999999999996</v>
      </c>
      <c r="AY32" s="5"/>
      <c r="AZ32" s="5"/>
      <c r="BA32" s="5"/>
      <c r="BB32" s="5"/>
      <c r="BL32" s="5">
        <v>1271.4000000000001</v>
      </c>
      <c r="BM32" s="5">
        <v>1139</v>
      </c>
      <c r="BN32" s="5">
        <v>921.7</v>
      </c>
      <c r="BO32" s="5">
        <f t="shared" ref="BO32:BO54" si="102">AX32</f>
        <v>4756.8999999999996</v>
      </c>
      <c r="CB32" t="s">
        <v>59</v>
      </c>
      <c r="CC32" s="5">
        <f>NPV(CC31,BP16:FZ16)</f>
        <v>7193.3191259090754</v>
      </c>
    </row>
    <row r="33" spans="2:81" x14ac:dyDescent="0.3">
      <c r="B33" t="s">
        <v>92</v>
      </c>
      <c r="AO33" s="5">
        <v>238.3</v>
      </c>
      <c r="AP33" s="5">
        <v>251.6</v>
      </c>
      <c r="AQ33" s="5">
        <v>253.1</v>
      </c>
      <c r="AR33" s="5"/>
      <c r="AS33" s="5">
        <v>300.5</v>
      </c>
      <c r="AT33" s="5">
        <v>277.60000000000002</v>
      </c>
      <c r="AU33" s="5">
        <v>83</v>
      </c>
      <c r="AV33" s="5">
        <v>11.1</v>
      </c>
      <c r="AW33" s="5">
        <v>32.799999999999997</v>
      </c>
      <c r="AX33" s="5">
        <v>18</v>
      </c>
      <c r="AY33" s="5"/>
      <c r="AZ33" s="5"/>
      <c r="BA33" s="5"/>
      <c r="BB33" s="5"/>
      <c r="BL33" s="5">
        <v>0</v>
      </c>
      <c r="BM33" s="5">
        <v>251.6</v>
      </c>
      <c r="BN33" s="5">
        <v>277.60000000000002</v>
      </c>
      <c r="BO33" s="5">
        <f t="shared" si="102"/>
        <v>18</v>
      </c>
      <c r="CB33" t="s">
        <v>60</v>
      </c>
      <c r="CC33" s="5">
        <f>Main!D8</f>
        <v>4533.5</v>
      </c>
    </row>
    <row r="34" spans="2:81" x14ac:dyDescent="0.3">
      <c r="B34" t="s">
        <v>93</v>
      </c>
      <c r="AO34" s="5">
        <v>125.3</v>
      </c>
      <c r="AP34" s="5">
        <v>153.9</v>
      </c>
      <c r="AQ34" s="5">
        <v>119.2</v>
      </c>
      <c r="AR34" s="5"/>
      <c r="AS34" s="5">
        <v>88.3</v>
      </c>
      <c r="AT34" s="5">
        <v>91</v>
      </c>
      <c r="AU34" s="5">
        <v>58.9</v>
      </c>
      <c r="AV34" s="5">
        <v>59.7</v>
      </c>
      <c r="AW34" s="5">
        <v>57.5</v>
      </c>
      <c r="AX34" s="5">
        <v>60.9</v>
      </c>
      <c r="AY34" s="5"/>
      <c r="AZ34" s="5"/>
      <c r="BA34" s="5"/>
      <c r="BB34" s="5"/>
      <c r="BL34" s="5">
        <v>141.1</v>
      </c>
      <c r="BM34" s="5">
        <v>153.9</v>
      </c>
      <c r="BN34" s="5">
        <v>91</v>
      </c>
      <c r="BO34" s="5">
        <f t="shared" si="102"/>
        <v>60.9</v>
      </c>
      <c r="CB34" t="s">
        <v>61</v>
      </c>
      <c r="CC34" s="5">
        <f>CC32+CC33</f>
        <v>11726.819125909075</v>
      </c>
    </row>
    <row r="35" spans="2:81" x14ac:dyDescent="0.3">
      <c r="B35" t="s">
        <v>94</v>
      </c>
      <c r="AO35" s="5">
        <v>1131.3</v>
      </c>
      <c r="AP35" s="5">
        <v>682.9</v>
      </c>
      <c r="AQ35" s="5">
        <v>759.2</v>
      </c>
      <c r="AR35" s="5"/>
      <c r="AS35" s="5">
        <v>1021.3</v>
      </c>
      <c r="AT35" s="5">
        <v>632.5</v>
      </c>
      <c r="AU35" s="5">
        <v>675.8</v>
      </c>
      <c r="AV35" s="5">
        <v>560</v>
      </c>
      <c r="AW35" s="5">
        <v>830.2</v>
      </c>
      <c r="AX35" s="5">
        <v>480.2</v>
      </c>
      <c r="AY35" s="5"/>
      <c r="AZ35" s="5"/>
      <c r="BA35" s="5"/>
      <c r="BB35" s="5"/>
      <c r="BL35" s="5">
        <v>915</v>
      </c>
      <c r="BM35" s="5">
        <v>682.9</v>
      </c>
      <c r="BN35" s="5">
        <v>632.5</v>
      </c>
      <c r="BO35" s="5">
        <f t="shared" si="102"/>
        <v>480.2</v>
      </c>
      <c r="CB35" t="s">
        <v>62</v>
      </c>
      <c r="CC35" s="6">
        <f>CC34/BO17</f>
        <v>26.263872622416741</v>
      </c>
    </row>
    <row r="36" spans="2:81" x14ac:dyDescent="0.3">
      <c r="B36" t="s">
        <v>95</v>
      </c>
      <c r="AO36" s="5">
        <v>283.10000000000002</v>
      </c>
      <c r="AP36" s="5">
        <v>96.3</v>
      </c>
      <c r="AQ36" s="5">
        <v>65.8</v>
      </c>
      <c r="AR36" s="5"/>
      <c r="AS36" s="5">
        <v>57.7</v>
      </c>
      <c r="AT36" s="5">
        <v>51.4</v>
      </c>
      <c r="AU36" s="5">
        <v>62.1</v>
      </c>
      <c r="AV36" s="5">
        <v>60</v>
      </c>
      <c r="AW36" s="5">
        <v>119.4</v>
      </c>
      <c r="AX36" s="5">
        <v>39</v>
      </c>
      <c r="AY36" s="5"/>
      <c r="AZ36" s="5"/>
      <c r="BA36" s="5"/>
      <c r="BB36" s="5"/>
      <c r="BL36" s="5">
        <v>271.3</v>
      </c>
      <c r="BM36" s="5">
        <v>96.3</v>
      </c>
      <c r="BN36" s="5">
        <v>51.4</v>
      </c>
      <c r="BO36" s="5">
        <f t="shared" si="102"/>
        <v>39</v>
      </c>
      <c r="CB36" t="s">
        <v>63</v>
      </c>
      <c r="CC36" s="6">
        <f>Main!D3</f>
        <v>22.03</v>
      </c>
    </row>
    <row r="37" spans="2:81" s="1" customFormat="1" x14ac:dyDescent="0.3">
      <c r="B37" s="1" t="s">
        <v>91</v>
      </c>
      <c r="AO37" s="10">
        <f>SUM(AO32:AO36)</f>
        <v>2581.7999999999997</v>
      </c>
      <c r="AP37" s="10">
        <f>SUM(AP32:AP36)</f>
        <v>2323.7000000000003</v>
      </c>
      <c r="AQ37" s="10">
        <f>SUM(AQ32:AQ36)</f>
        <v>2254.3000000000002</v>
      </c>
      <c r="AR37" s="10"/>
      <c r="AS37" s="10">
        <f t="shared" ref="AS37:AX37" si="103">SUM(AS32:AS36)</f>
        <v>2376.7999999999997</v>
      </c>
      <c r="AT37" s="10">
        <f t="shared" si="103"/>
        <v>1974.2000000000003</v>
      </c>
      <c r="AU37" s="10">
        <f t="shared" si="103"/>
        <v>1879.7</v>
      </c>
      <c r="AV37" s="10">
        <f t="shared" si="103"/>
        <v>4883.9000000000005</v>
      </c>
      <c r="AW37" s="10">
        <f t="shared" si="103"/>
        <v>5623.2999999999993</v>
      </c>
      <c r="AX37" s="10">
        <f t="shared" si="103"/>
        <v>5354.9999999999991</v>
      </c>
      <c r="AY37" s="10"/>
      <c r="AZ37" s="10"/>
      <c r="BA37" s="10"/>
      <c r="BB37" s="10"/>
      <c r="BL37" s="10">
        <f>SUM(BL32:BL36)</f>
        <v>2598.8000000000002</v>
      </c>
      <c r="BM37" s="10">
        <f>SUM(BM32:BM36)</f>
        <v>2323.7000000000003</v>
      </c>
      <c r="BN37" s="10">
        <f>SUM(BN32:BN36)</f>
        <v>1974.2000000000003</v>
      </c>
      <c r="BO37" s="10">
        <f t="shared" si="102"/>
        <v>5354.9999999999991</v>
      </c>
      <c r="CB37" s="1" t="s">
        <v>64</v>
      </c>
      <c r="CC37" s="12">
        <f>CC35/CC36-1</f>
        <v>0.19218668281510398</v>
      </c>
    </row>
    <row r="38" spans="2:81" x14ac:dyDescent="0.3">
      <c r="B38" t="s">
        <v>96</v>
      </c>
      <c r="AO38" s="5">
        <v>138.5</v>
      </c>
      <c r="AP38" s="5">
        <v>136.5</v>
      </c>
      <c r="AQ38" s="5">
        <v>123.6</v>
      </c>
      <c r="AR38" s="5"/>
      <c r="AS38" s="5">
        <v>114.5</v>
      </c>
      <c r="AT38" s="5">
        <v>94.9</v>
      </c>
      <c r="AU38" s="5">
        <v>82.4</v>
      </c>
      <c r="AV38" s="5">
        <v>78.900000000000006</v>
      </c>
      <c r="AW38" s="5">
        <v>70.5</v>
      </c>
      <c r="AX38" s="5">
        <v>68.2</v>
      </c>
      <c r="AY38" s="5"/>
      <c r="AZ38" s="5"/>
      <c r="BA38" s="5"/>
      <c r="BB38" s="5"/>
      <c r="BL38" s="5">
        <v>163.6</v>
      </c>
      <c r="BM38" s="5">
        <v>136.5</v>
      </c>
      <c r="BN38" s="5">
        <v>94.9</v>
      </c>
      <c r="BO38" s="5">
        <f t="shared" si="102"/>
        <v>68.2</v>
      </c>
      <c r="CB38" t="s">
        <v>65</v>
      </c>
      <c r="CC38" s="7" t="s">
        <v>125</v>
      </c>
    </row>
    <row r="39" spans="2:81" x14ac:dyDescent="0.3">
      <c r="B39" t="s">
        <v>97</v>
      </c>
      <c r="AO39" s="5">
        <v>523.20000000000005</v>
      </c>
      <c r="AP39" s="5">
        <v>560.79999999999995</v>
      </c>
      <c r="AQ39" s="5">
        <v>595.79999999999995</v>
      </c>
      <c r="AR39" s="5"/>
      <c r="AS39" s="5">
        <v>570.4</v>
      </c>
      <c r="AT39" s="5">
        <v>555.79999999999995</v>
      </c>
      <c r="AU39" s="5">
        <v>542</v>
      </c>
      <c r="AV39" s="5">
        <v>490.9</v>
      </c>
      <c r="AW39" s="5">
        <v>425.3</v>
      </c>
      <c r="AX39" s="5">
        <v>374.1</v>
      </c>
      <c r="AY39" s="5"/>
      <c r="AZ39" s="5"/>
      <c r="BA39" s="5"/>
      <c r="BB39" s="5"/>
      <c r="BL39" s="5">
        <v>586.6</v>
      </c>
      <c r="BM39" s="5">
        <v>560.79999999999995</v>
      </c>
      <c r="BN39" s="5">
        <v>555.79999999999995</v>
      </c>
      <c r="BO39" s="5">
        <f t="shared" si="102"/>
        <v>374.1</v>
      </c>
    </row>
    <row r="40" spans="2:81" x14ac:dyDescent="0.3">
      <c r="B40" t="s">
        <v>98</v>
      </c>
      <c r="AO40" s="5">
        <v>14.3</v>
      </c>
      <c r="AP40" s="5">
        <v>18.3</v>
      </c>
      <c r="AQ40" s="5">
        <v>17.5</v>
      </c>
      <c r="AR40" s="5"/>
      <c r="AS40" s="5">
        <v>16.600000000000001</v>
      </c>
      <c r="AT40" s="5">
        <v>17.3</v>
      </c>
      <c r="AU40" s="5">
        <v>17.5</v>
      </c>
      <c r="AV40" s="5">
        <v>17.5</v>
      </c>
      <c r="AW40" s="5">
        <v>17.7</v>
      </c>
      <c r="AX40" s="5">
        <v>18.100000000000001</v>
      </c>
      <c r="AY40" s="5"/>
      <c r="AZ40" s="5"/>
      <c r="BA40" s="5"/>
      <c r="BB40" s="5"/>
      <c r="BL40" s="5">
        <v>16.3</v>
      </c>
      <c r="BM40" s="5">
        <v>18.3</v>
      </c>
      <c r="BN40" s="5">
        <v>17.3</v>
      </c>
      <c r="BO40" s="5">
        <f t="shared" si="102"/>
        <v>18.100000000000001</v>
      </c>
    </row>
    <row r="41" spans="2:81" x14ac:dyDescent="0.3">
      <c r="B41" t="s">
        <v>99</v>
      </c>
      <c r="AO41" s="5">
        <v>64.7</v>
      </c>
      <c r="AP41" s="5">
        <v>74.099999999999994</v>
      </c>
      <c r="AQ41" s="5">
        <v>78.7</v>
      </c>
      <c r="AR41" s="5"/>
      <c r="AS41" s="5">
        <v>68.599999999999994</v>
      </c>
      <c r="AT41" s="5">
        <v>66.8</v>
      </c>
      <c r="AU41" s="5">
        <v>65.599999999999994</v>
      </c>
      <c r="AV41" s="5">
        <v>65.099999999999994</v>
      </c>
      <c r="AW41" s="5">
        <v>103.4</v>
      </c>
      <c r="AX41" s="5">
        <v>60</v>
      </c>
      <c r="AY41" s="5"/>
      <c r="AZ41" s="5"/>
      <c r="BA41" s="5"/>
      <c r="BB41" s="5"/>
      <c r="BL41" s="5">
        <v>134</v>
      </c>
      <c r="BM41" s="5">
        <v>74.099999999999994</v>
      </c>
      <c r="BN41" s="5">
        <v>66.8</v>
      </c>
      <c r="BO41" s="5">
        <f t="shared" si="102"/>
        <v>60</v>
      </c>
    </row>
    <row r="42" spans="2:81" s="1" customFormat="1" x14ac:dyDescent="0.3">
      <c r="B42" s="1" t="s">
        <v>100</v>
      </c>
      <c r="AO42" s="10">
        <f>SUM(AO38:AO41)</f>
        <v>740.7</v>
      </c>
      <c r="AP42" s="10">
        <f>SUM(AP38:AP41)</f>
        <v>789.69999999999993</v>
      </c>
      <c r="AQ42" s="10">
        <f>SUM(AQ38:AQ41)</f>
        <v>815.6</v>
      </c>
      <c r="AR42" s="10"/>
      <c r="AS42" s="10">
        <f t="shared" ref="AS42:AX42" si="104">SUM(AS38:AS41)</f>
        <v>770.1</v>
      </c>
      <c r="AT42" s="10">
        <f t="shared" si="104"/>
        <v>734.79999999999984</v>
      </c>
      <c r="AU42" s="10">
        <f t="shared" si="104"/>
        <v>707.5</v>
      </c>
      <c r="AV42" s="10">
        <f t="shared" si="104"/>
        <v>652.4</v>
      </c>
      <c r="AW42" s="10">
        <f t="shared" si="104"/>
        <v>616.9</v>
      </c>
      <c r="AX42" s="10">
        <f t="shared" si="104"/>
        <v>520.40000000000009</v>
      </c>
      <c r="AY42" s="10"/>
      <c r="AZ42" s="10"/>
      <c r="BA42" s="10"/>
      <c r="BB42" s="10"/>
      <c r="BL42" s="10">
        <f>SUM(BL38:BL41)</f>
        <v>900.5</v>
      </c>
      <c r="BM42" s="10">
        <f>SUM(BM38:BM41)</f>
        <v>789.69999999999993</v>
      </c>
      <c r="BN42" s="10">
        <f>SUM(BN38:BN41)</f>
        <v>734.79999999999984</v>
      </c>
      <c r="BO42" s="5">
        <f t="shared" si="102"/>
        <v>520.40000000000009</v>
      </c>
    </row>
    <row r="43" spans="2:81" s="1" customFormat="1" x14ac:dyDescent="0.3">
      <c r="B43" s="1" t="s">
        <v>101</v>
      </c>
      <c r="AO43" s="18">
        <f>AO37+AO42</f>
        <v>3322.5</v>
      </c>
      <c r="AP43" s="18">
        <f>AP37+AP42</f>
        <v>3113.4</v>
      </c>
      <c r="AQ43" s="18">
        <f>AQ37+AQ42</f>
        <v>3069.9</v>
      </c>
      <c r="AR43" s="18"/>
      <c r="AS43" s="18">
        <f t="shared" ref="AS43:AX43" si="105">AS37+AS42</f>
        <v>3146.8999999999996</v>
      </c>
      <c r="AT43" s="18">
        <f t="shared" si="105"/>
        <v>2709</v>
      </c>
      <c r="AU43" s="18">
        <f t="shared" si="105"/>
        <v>2587.1999999999998</v>
      </c>
      <c r="AV43" s="18">
        <f t="shared" si="105"/>
        <v>5536.3</v>
      </c>
      <c r="AW43" s="18">
        <f t="shared" si="105"/>
        <v>6240.1999999999989</v>
      </c>
      <c r="AX43" s="18">
        <f t="shared" si="105"/>
        <v>5875.4</v>
      </c>
      <c r="AY43" s="18"/>
      <c r="AZ43" s="18"/>
      <c r="BA43" s="18"/>
      <c r="BB43" s="18"/>
      <c r="BL43" s="18">
        <f>BL37+BL42</f>
        <v>3499.3</v>
      </c>
      <c r="BM43" s="18">
        <f>BM37+BM42</f>
        <v>3113.4</v>
      </c>
      <c r="BN43" s="18">
        <f>BN37+BN42</f>
        <v>2709</v>
      </c>
      <c r="BO43" s="18">
        <f t="shared" si="102"/>
        <v>5875.4</v>
      </c>
    </row>
    <row r="44" spans="2:81" x14ac:dyDescent="0.3">
      <c r="B44" t="s">
        <v>102</v>
      </c>
      <c r="AO44" s="5">
        <v>888.4</v>
      </c>
      <c r="AP44" s="5">
        <v>531.29999999999995</v>
      </c>
      <c r="AQ44" s="5">
        <v>561.4</v>
      </c>
      <c r="AR44" s="5"/>
      <c r="AS44" s="5">
        <v>812.7</v>
      </c>
      <c r="AT44" s="5">
        <v>324</v>
      </c>
      <c r="AU44" s="5">
        <v>282.7</v>
      </c>
      <c r="AV44" s="5">
        <v>220.5</v>
      </c>
      <c r="AW44" s="5">
        <v>494.1</v>
      </c>
      <c r="AX44" s="5">
        <v>148.6</v>
      </c>
      <c r="AY44" s="5"/>
      <c r="AZ44" s="5"/>
      <c r="BA44" s="5"/>
      <c r="BB44" s="5"/>
      <c r="BL44" s="5">
        <v>471</v>
      </c>
      <c r="BM44" s="5">
        <v>531.29999999999995</v>
      </c>
      <c r="BN44" s="5">
        <v>324</v>
      </c>
      <c r="BO44" s="5">
        <f t="shared" si="102"/>
        <v>148.6</v>
      </c>
    </row>
    <row r="45" spans="2:81" x14ac:dyDescent="0.3">
      <c r="B45" t="s">
        <v>103</v>
      </c>
      <c r="AO45" s="5">
        <v>504.2</v>
      </c>
      <c r="AP45" s="5">
        <v>602.29999999999995</v>
      </c>
      <c r="AQ45" s="5">
        <v>546.4</v>
      </c>
      <c r="AR45" s="5"/>
      <c r="AS45" s="5">
        <v>425.7</v>
      </c>
      <c r="AT45" s="5">
        <v>412</v>
      </c>
      <c r="AU45" s="5">
        <v>377.1</v>
      </c>
      <c r="AV45" s="5">
        <v>377.8</v>
      </c>
      <c r="AW45" s="5">
        <v>437</v>
      </c>
      <c r="AX45" s="5">
        <v>362.2</v>
      </c>
      <c r="AY45" s="5"/>
      <c r="AZ45" s="5"/>
      <c r="BA45" s="5"/>
      <c r="BB45" s="5"/>
      <c r="BL45" s="5">
        <v>668.9</v>
      </c>
      <c r="BM45" s="5">
        <v>602.29999999999995</v>
      </c>
      <c r="BN45" s="5">
        <v>412</v>
      </c>
      <c r="BO45" s="5">
        <f t="shared" si="102"/>
        <v>362.2</v>
      </c>
      <c r="BP45" s="5"/>
    </row>
    <row r="46" spans="2:81" x14ac:dyDescent="0.3">
      <c r="B46" t="s">
        <v>97</v>
      </c>
      <c r="AO46" s="5">
        <v>186.2</v>
      </c>
      <c r="AP46" s="5">
        <v>194.7</v>
      </c>
      <c r="AQ46" s="5">
        <v>200.8</v>
      </c>
      <c r="AR46" s="5"/>
      <c r="AS46" s="5">
        <v>188.9</v>
      </c>
      <c r="AT46" s="5">
        <v>187.7</v>
      </c>
      <c r="AU46" s="5">
        <v>177.7</v>
      </c>
      <c r="AV46" s="5">
        <v>174.2</v>
      </c>
      <c r="AW46" s="5">
        <v>157.6</v>
      </c>
      <c r="AX46" s="5">
        <v>144.30000000000001</v>
      </c>
      <c r="AY46" s="5"/>
      <c r="AZ46" s="5"/>
      <c r="BA46" s="5"/>
      <c r="BB46" s="5"/>
      <c r="BL46" s="5">
        <v>210.7</v>
      </c>
      <c r="BM46" s="5">
        <v>194.7</v>
      </c>
      <c r="BN46" s="5">
        <v>187.7</v>
      </c>
      <c r="BO46" s="5">
        <f t="shared" si="102"/>
        <v>144.30000000000001</v>
      </c>
    </row>
    <row r="47" spans="2:81" x14ac:dyDescent="0.3">
      <c r="B47" t="s">
        <v>5</v>
      </c>
      <c r="AO47" s="5">
        <v>9.9</v>
      </c>
      <c r="AP47" s="5">
        <v>10.8</v>
      </c>
      <c r="AQ47" s="5">
        <v>10.9</v>
      </c>
      <c r="AR47" s="5"/>
      <c r="AS47" s="5">
        <v>10.5</v>
      </c>
      <c r="AT47" s="5">
        <v>10.8</v>
      </c>
      <c r="AU47" s="5">
        <v>10.8</v>
      </c>
      <c r="AV47" s="5">
        <v>11</v>
      </c>
      <c r="AW47" s="5">
        <v>10.9</v>
      </c>
      <c r="AX47" s="5">
        <v>10.3</v>
      </c>
      <c r="AY47" s="5"/>
      <c r="AZ47" s="5"/>
      <c r="BA47" s="5"/>
      <c r="BB47" s="5"/>
      <c r="BL47" s="5">
        <v>4.0999999999999996</v>
      </c>
      <c r="BM47" s="5">
        <v>10.8</v>
      </c>
      <c r="BN47" s="5">
        <v>10.8</v>
      </c>
      <c r="BO47" s="5">
        <f t="shared" si="102"/>
        <v>10.3</v>
      </c>
    </row>
    <row r="48" spans="2:81" s="1" customFormat="1" x14ac:dyDescent="0.3">
      <c r="B48" s="1" t="s">
        <v>104</v>
      </c>
      <c r="AO48" s="10">
        <f>SUM(AO44:AO47)</f>
        <v>1588.7</v>
      </c>
      <c r="AP48" s="10">
        <f>SUM(AP44:AP47)</f>
        <v>1339.1</v>
      </c>
      <c r="AQ48" s="10">
        <f>SUM(AQ44:AQ47)</f>
        <v>1319.5</v>
      </c>
      <c r="AR48" s="10"/>
      <c r="AS48" s="10">
        <f t="shared" ref="AS48:AX48" si="106">SUM(AS44:AS47)</f>
        <v>1437.8000000000002</v>
      </c>
      <c r="AT48" s="10">
        <f t="shared" si="106"/>
        <v>934.5</v>
      </c>
      <c r="AU48" s="10">
        <f t="shared" si="106"/>
        <v>848.3</v>
      </c>
      <c r="AV48" s="10">
        <f t="shared" si="106"/>
        <v>783.5</v>
      </c>
      <c r="AW48" s="10">
        <f t="shared" si="106"/>
        <v>1099.6000000000001</v>
      </c>
      <c r="AX48" s="10">
        <f t="shared" si="106"/>
        <v>665.39999999999986</v>
      </c>
      <c r="AY48" s="10"/>
      <c r="AZ48" s="10"/>
      <c r="BA48" s="10"/>
      <c r="BB48" s="10"/>
      <c r="BL48" s="10">
        <f>SUM(BL44:BL47)</f>
        <v>1354.7</v>
      </c>
      <c r="BM48" s="10">
        <f>SUM(BM44:BM47)</f>
        <v>1339.1</v>
      </c>
      <c r="BN48" s="10">
        <f>SUM(BN44:BN47)</f>
        <v>934.5</v>
      </c>
      <c r="BO48" s="10">
        <f t="shared" si="102"/>
        <v>665.39999999999986</v>
      </c>
    </row>
    <row r="49" spans="2:78" x14ac:dyDescent="0.3">
      <c r="B49" t="s">
        <v>5</v>
      </c>
      <c r="AO49" s="5">
        <v>28.8</v>
      </c>
      <c r="AP49" s="5">
        <v>28.7</v>
      </c>
      <c r="AQ49" s="5">
        <v>26.3</v>
      </c>
      <c r="AR49" s="5"/>
      <c r="AS49" s="5">
        <v>20</v>
      </c>
      <c r="AT49" s="5">
        <v>17.7</v>
      </c>
      <c r="AU49" s="5">
        <v>14.9</v>
      </c>
      <c r="AV49" s="5">
        <v>12.4</v>
      </c>
      <c r="AW49" s="5">
        <v>9.6</v>
      </c>
      <c r="AX49" s="5">
        <v>6.6</v>
      </c>
      <c r="AY49" s="5"/>
      <c r="AZ49" s="5"/>
      <c r="BA49" s="5"/>
      <c r="BB49" s="5"/>
      <c r="BL49" s="5">
        <v>40.5</v>
      </c>
      <c r="BM49" s="5">
        <v>28.7</v>
      </c>
      <c r="BN49" s="5">
        <v>17.7</v>
      </c>
      <c r="BO49" s="5">
        <f t="shared" si="102"/>
        <v>6.6</v>
      </c>
    </row>
    <row r="50" spans="2:78" x14ac:dyDescent="0.3">
      <c r="B50" t="s">
        <v>97</v>
      </c>
      <c r="AO50" s="5">
        <v>349.6</v>
      </c>
      <c r="AP50" s="5">
        <v>382.4</v>
      </c>
      <c r="AQ50" s="5">
        <v>412.5</v>
      </c>
      <c r="AR50" s="5"/>
      <c r="AS50" s="5">
        <v>394.8</v>
      </c>
      <c r="AT50" s="5">
        <v>386.6</v>
      </c>
      <c r="AU50" s="5">
        <v>385.3</v>
      </c>
      <c r="AV50" s="5">
        <v>335.9</v>
      </c>
      <c r="AW50" s="5">
        <v>285.39999999999998</v>
      </c>
      <c r="AX50" s="5">
        <v>249.5</v>
      </c>
      <c r="AY50" s="5"/>
      <c r="AZ50" s="5"/>
      <c r="BA50" s="5"/>
      <c r="BB50" s="5"/>
      <c r="BL50" s="5">
        <v>393.7</v>
      </c>
      <c r="BM50" s="5">
        <v>382.4</v>
      </c>
      <c r="BN50" s="5">
        <v>386.6</v>
      </c>
      <c r="BO50" s="5">
        <f t="shared" si="102"/>
        <v>249.5</v>
      </c>
    </row>
    <row r="51" spans="2:78" x14ac:dyDescent="0.3">
      <c r="B51" t="s">
        <v>105</v>
      </c>
      <c r="AO51" s="5">
        <v>110.4</v>
      </c>
      <c r="AP51" s="5">
        <v>40.9</v>
      </c>
      <c r="AQ51" s="5">
        <v>40.299999999999997</v>
      </c>
      <c r="AR51" s="5"/>
      <c r="AS51" s="5">
        <v>31.5</v>
      </c>
      <c r="AT51" s="5">
        <v>31.6</v>
      </c>
      <c r="AU51" s="5">
        <v>31.3</v>
      </c>
      <c r="AV51" s="5">
        <v>21.1</v>
      </c>
      <c r="AW51" s="5">
        <v>41.1</v>
      </c>
      <c r="AX51" s="5">
        <v>24.1</v>
      </c>
      <c r="AY51" s="5"/>
      <c r="AZ51" s="5"/>
      <c r="BA51" s="5"/>
      <c r="BB51" s="5"/>
      <c r="BL51" s="5">
        <v>107.9</v>
      </c>
      <c r="BM51" s="5">
        <v>40.9</v>
      </c>
      <c r="BN51" s="5">
        <v>31.6</v>
      </c>
      <c r="BO51" s="5">
        <f t="shared" si="102"/>
        <v>24.1</v>
      </c>
    </row>
    <row r="52" spans="2:78" s="1" customFormat="1" x14ac:dyDescent="0.3">
      <c r="B52" s="1" t="s">
        <v>106</v>
      </c>
      <c r="AO52" s="10">
        <f>SUM(AO49:AO51)</f>
        <v>488.80000000000007</v>
      </c>
      <c r="AP52" s="10">
        <f>SUM(AP49:AP51)</f>
        <v>451.99999999999994</v>
      </c>
      <c r="AQ52" s="10">
        <f>SUM(AQ49:AQ51)</f>
        <v>479.1</v>
      </c>
      <c r="AR52" s="10"/>
      <c r="AS52" s="10">
        <f t="shared" ref="AS52:AX52" si="107">SUM(AS49:AS51)</f>
        <v>446.3</v>
      </c>
      <c r="AT52" s="10">
        <f t="shared" si="107"/>
        <v>435.90000000000003</v>
      </c>
      <c r="AU52" s="10">
        <f t="shared" si="107"/>
        <v>431.5</v>
      </c>
      <c r="AV52" s="10">
        <f t="shared" si="107"/>
        <v>369.4</v>
      </c>
      <c r="AW52" s="10">
        <f t="shared" si="107"/>
        <v>336.1</v>
      </c>
      <c r="AX52" s="10">
        <f t="shared" si="107"/>
        <v>280.20000000000005</v>
      </c>
      <c r="AY52" s="10"/>
      <c r="AZ52" s="10"/>
      <c r="BA52" s="10"/>
      <c r="BB52" s="10"/>
      <c r="BL52" s="10">
        <f>SUM(BL49:BL51)</f>
        <v>542.1</v>
      </c>
      <c r="BM52" s="10">
        <f>SUM(BM49:BM51)</f>
        <v>451.99999999999994</v>
      </c>
      <c r="BN52" s="10">
        <f>SUM(BN49:BN51)</f>
        <v>435.90000000000003</v>
      </c>
      <c r="BO52" s="10">
        <f t="shared" si="102"/>
        <v>280.20000000000005</v>
      </c>
    </row>
    <row r="53" spans="2:78" s="1" customFormat="1" x14ac:dyDescent="0.3">
      <c r="B53" s="1" t="s">
        <v>107</v>
      </c>
      <c r="AO53" s="10">
        <v>1245</v>
      </c>
      <c r="AP53" s="10">
        <v>1322.3</v>
      </c>
      <c r="AQ53" s="10">
        <v>1271.5999999999999</v>
      </c>
      <c r="AR53" s="10"/>
      <c r="AS53" s="10">
        <v>1262.8</v>
      </c>
      <c r="AT53" s="10">
        <v>1338.6</v>
      </c>
      <c r="AU53" s="10">
        <f>1307.3</f>
        <v>1307.3</v>
      </c>
      <c r="AV53" s="10">
        <v>4383.3999999999996</v>
      </c>
      <c r="AW53" s="10">
        <v>4804.5</v>
      </c>
      <c r="AX53" s="10">
        <v>4929.8</v>
      </c>
      <c r="AY53" s="10"/>
      <c r="AZ53" s="10"/>
      <c r="BA53" s="10"/>
      <c r="BB53" s="10"/>
      <c r="BL53" s="10">
        <v>1602.5</v>
      </c>
      <c r="BM53" s="10">
        <v>1322.3</v>
      </c>
      <c r="BN53" s="10">
        <v>1338.6</v>
      </c>
      <c r="BO53" s="10">
        <f t="shared" si="102"/>
        <v>4929.8</v>
      </c>
    </row>
    <row r="54" spans="2:78" s="1" customFormat="1" x14ac:dyDescent="0.3">
      <c r="B54" s="1" t="s">
        <v>108</v>
      </c>
      <c r="AO54" s="18">
        <f>AO48+AO52+AO53</f>
        <v>3322.5</v>
      </c>
      <c r="AP54" s="18">
        <f>AP48+AP52+AP53</f>
        <v>3113.3999999999996</v>
      </c>
      <c r="AQ54" s="18">
        <f>AQ48+AQ52+AQ53</f>
        <v>3070.2</v>
      </c>
      <c r="AR54" s="18"/>
      <c r="AS54" s="18">
        <f t="shared" ref="AS54:AX54" si="108">AS48+AS52+AS53</f>
        <v>3146.9</v>
      </c>
      <c r="AT54" s="18">
        <f t="shared" si="108"/>
        <v>2709</v>
      </c>
      <c r="AU54" s="18">
        <f t="shared" si="108"/>
        <v>2587.1</v>
      </c>
      <c r="AV54" s="18">
        <f t="shared" si="108"/>
        <v>5536.2999999999993</v>
      </c>
      <c r="AW54" s="18">
        <f t="shared" si="108"/>
        <v>6240.2000000000007</v>
      </c>
      <c r="AX54" s="18">
        <f t="shared" si="108"/>
        <v>5875.4</v>
      </c>
      <c r="AY54" s="18"/>
      <c r="AZ54" s="18"/>
      <c r="BA54" s="18"/>
      <c r="BB54" s="18"/>
      <c r="BL54" s="18">
        <f>BL48+BL52+BL53</f>
        <v>3499.3</v>
      </c>
      <c r="BM54" s="18">
        <f>BM48+BM52+BM53</f>
        <v>3113.3999999999996</v>
      </c>
      <c r="BN54" s="18">
        <f>BN48+BN52+BN53</f>
        <v>2709</v>
      </c>
      <c r="BO54" s="18">
        <f t="shared" si="102"/>
        <v>5875.4</v>
      </c>
    </row>
    <row r="55" spans="2:78" x14ac:dyDescent="0.3">
      <c r="BO55" s="20"/>
    </row>
    <row r="56" spans="2:78" s="1" customFormat="1" x14ac:dyDescent="0.3">
      <c r="B56" s="1" t="s">
        <v>50</v>
      </c>
      <c r="AI56" s="10">
        <f t="shared" ref="AI56:AR56" si="109">AI16</f>
        <v>-66.800000000000097</v>
      </c>
      <c r="AJ56" s="10">
        <f t="shared" si="109"/>
        <v>-61.599999999999888</v>
      </c>
      <c r="AK56" s="10">
        <f t="shared" si="109"/>
        <v>-105.39999999999986</v>
      </c>
      <c r="AL56" s="10">
        <f t="shared" si="109"/>
        <v>-141.39999999999995</v>
      </c>
      <c r="AM56" s="10">
        <f t="shared" si="109"/>
        <v>-157.89999999999998</v>
      </c>
      <c r="AN56" s="10">
        <f t="shared" si="109"/>
        <v>-106.19999999999996</v>
      </c>
      <c r="AO56" s="10">
        <f t="shared" si="109"/>
        <v>-95.099999999999923</v>
      </c>
      <c r="AP56" s="10">
        <f t="shared" si="109"/>
        <v>45.500000000000213</v>
      </c>
      <c r="AQ56" s="10">
        <f t="shared" si="109"/>
        <v>-50.700000000000038</v>
      </c>
      <c r="AR56" s="10">
        <f t="shared" si="109"/>
        <v>-2.8000000000000229</v>
      </c>
      <c r="AS56" s="10">
        <f>AS16</f>
        <v>-3.1000000000000449</v>
      </c>
      <c r="AT56" s="10">
        <f>AT16</f>
        <v>63.099999999999831</v>
      </c>
      <c r="AU56" s="10">
        <f>AU16</f>
        <v>-32.300000000000026</v>
      </c>
      <c r="AV56" s="10">
        <f>AV16</f>
        <v>14.799999999999944</v>
      </c>
      <c r="AW56" s="10">
        <f t="shared" ref="AW56:BB56" si="110">AW16</f>
        <v>17.400000000000048</v>
      </c>
      <c r="AX56" s="10">
        <f t="shared" si="110"/>
        <v>131.29999999999984</v>
      </c>
      <c r="AY56" s="10">
        <f t="shared" si="110"/>
        <v>44.599999999999959</v>
      </c>
      <c r="AZ56" s="10">
        <f t="shared" si="110"/>
        <v>168.6</v>
      </c>
      <c r="BA56" s="10">
        <f t="shared" si="110"/>
        <v>117.09062400000002</v>
      </c>
      <c r="BB56" s="10">
        <f t="shared" si="110"/>
        <v>166.45334159999996</v>
      </c>
      <c r="BD56" s="10">
        <f t="shared" ref="BD56:BK56" si="111">BD16</f>
        <v>354.19999999999925</v>
      </c>
      <c r="BE56" s="10">
        <f t="shared" si="111"/>
        <v>393.09999999999962</v>
      </c>
      <c r="BF56" s="10">
        <f t="shared" si="111"/>
        <v>402.79999999999927</v>
      </c>
      <c r="BG56" s="10">
        <f t="shared" si="111"/>
        <v>353.19999999999982</v>
      </c>
      <c r="BH56" s="10">
        <f t="shared" si="111"/>
        <v>34.700000000000351</v>
      </c>
      <c r="BI56" s="10">
        <f t="shared" si="111"/>
        <v>-942.69999999999936</v>
      </c>
      <c r="BJ56" s="10">
        <f t="shared" si="111"/>
        <v>-470.90000000000009</v>
      </c>
      <c r="BK56" s="10">
        <f t="shared" si="111"/>
        <v>-215.30000000000075</v>
      </c>
      <c r="BL56" s="10">
        <f>BL16</f>
        <v>-370.79999999999882</v>
      </c>
      <c r="BM56" s="10">
        <f>BM16</f>
        <v>-313.7</v>
      </c>
      <c r="BN56" s="10">
        <f>BN16</f>
        <v>6.499999999999269</v>
      </c>
      <c r="BO56" s="10">
        <f>BO16</f>
        <v>131.19999999999953</v>
      </c>
      <c r="BP56" s="10">
        <f t="shared" ref="BP56:BZ56" si="112">BP16</f>
        <v>496.74396559999923</v>
      </c>
      <c r="BQ56" s="10">
        <f t="shared" si="112"/>
        <v>512.78367447999983</v>
      </c>
      <c r="BR56" s="10">
        <f t="shared" si="112"/>
        <v>571.3489177332001</v>
      </c>
      <c r="BS56" s="10">
        <f t="shared" si="112"/>
        <v>590.86033903550401</v>
      </c>
      <c r="BT56" s="10">
        <f t="shared" si="112"/>
        <v>568.54825946283563</v>
      </c>
      <c r="BU56" s="10">
        <f t="shared" si="112"/>
        <v>582.35403972959284</v>
      </c>
      <c r="BV56" s="10">
        <f t="shared" si="112"/>
        <v>595.9575330503493</v>
      </c>
      <c r="BW56" s="10">
        <f t="shared" si="112"/>
        <v>609.93045989201744</v>
      </c>
      <c r="BX56" s="10">
        <f t="shared" si="112"/>
        <v>624.28351654743699</v>
      </c>
      <c r="BY56" s="10">
        <f t="shared" si="112"/>
        <v>639.02771633110569</v>
      </c>
      <c r="BZ56" s="10">
        <f t="shared" si="112"/>
        <v>654.17439905115702</v>
      </c>
    </row>
    <row r="57" spans="2:78" x14ac:dyDescent="0.3">
      <c r="B57" t="s">
        <v>112</v>
      </c>
      <c r="AO57" s="5">
        <v>15.1</v>
      </c>
      <c r="AQ57" s="5">
        <v>13.7</v>
      </c>
      <c r="AS57" s="5">
        <v>11.3</v>
      </c>
      <c r="AT57" s="5">
        <v>18.600000000000001</v>
      </c>
      <c r="AU57" s="5">
        <v>16.8</v>
      </c>
      <c r="AV57" s="5">
        <f>24.4-AU57</f>
        <v>7.5999999999999979</v>
      </c>
      <c r="AW57" s="5">
        <v>8.5</v>
      </c>
      <c r="AX57" s="5">
        <v>6</v>
      </c>
      <c r="AY57" s="5">
        <v>5.6</v>
      </c>
      <c r="AZ57" s="5">
        <v>4.7</v>
      </c>
      <c r="BA57" s="5">
        <v>6</v>
      </c>
      <c r="BB57" s="5">
        <v>6</v>
      </c>
      <c r="BJ57" s="5">
        <v>96.2</v>
      </c>
      <c r="BK57" s="5">
        <v>80.7</v>
      </c>
      <c r="BL57" s="5">
        <v>77.2</v>
      </c>
      <c r="BM57" s="5">
        <v>61.7</v>
      </c>
      <c r="BN57" s="5">
        <v>56.2</v>
      </c>
      <c r="BO57" s="5">
        <f>SUM(AU57:AX57)</f>
        <v>38.9</v>
      </c>
      <c r="BP57" s="5">
        <f>SUM(AY57:BB57)</f>
        <v>22.3</v>
      </c>
      <c r="BQ57" s="5">
        <f>BP57*1.02</f>
        <v>22.746000000000002</v>
      </c>
      <c r="BR57" s="5">
        <f t="shared" ref="BR57:BZ57" si="113">BQ57*1.02</f>
        <v>23.200920000000004</v>
      </c>
      <c r="BS57" s="5">
        <f t="shared" si="113"/>
        <v>23.664938400000004</v>
      </c>
      <c r="BT57" s="5">
        <f t="shared" si="113"/>
        <v>24.138237168000003</v>
      </c>
      <c r="BU57" s="5">
        <f t="shared" si="113"/>
        <v>24.621001911360004</v>
      </c>
      <c r="BV57" s="5">
        <f t="shared" si="113"/>
        <v>25.113421949587206</v>
      </c>
      <c r="BW57" s="5">
        <f t="shared" si="113"/>
        <v>25.615690388578951</v>
      </c>
      <c r="BX57" s="5">
        <f t="shared" si="113"/>
        <v>26.128004196350531</v>
      </c>
      <c r="BY57" s="5">
        <f t="shared" si="113"/>
        <v>26.650564280277543</v>
      </c>
      <c r="BZ57" s="5">
        <f t="shared" si="113"/>
        <v>27.183575565883093</v>
      </c>
    </row>
    <row r="58" spans="2:78" x14ac:dyDescent="0.3">
      <c r="B58" t="s">
        <v>113</v>
      </c>
      <c r="AO58" s="5">
        <v>13.3</v>
      </c>
      <c r="AQ58" s="5">
        <v>7.9</v>
      </c>
      <c r="AS58" s="5">
        <v>6.4</v>
      </c>
      <c r="AT58" s="5">
        <v>8.1999999999999993</v>
      </c>
      <c r="AU58" s="5">
        <v>0.6</v>
      </c>
      <c r="AV58" s="5">
        <f>6-AU58</f>
        <v>5.4</v>
      </c>
      <c r="AW58" s="5">
        <v>4.9000000000000004</v>
      </c>
      <c r="AX58" s="5">
        <v>5.5</v>
      </c>
      <c r="AY58" s="5">
        <v>5.5</v>
      </c>
      <c r="AZ58" s="5">
        <v>6.3</v>
      </c>
      <c r="BA58" s="5">
        <v>6</v>
      </c>
      <c r="BB58" s="5">
        <v>6</v>
      </c>
      <c r="BJ58" s="5">
        <v>8.9</v>
      </c>
      <c r="BK58" s="5">
        <v>7.9</v>
      </c>
      <c r="BL58" s="5">
        <v>30.5</v>
      </c>
      <c r="BM58" s="5">
        <v>40.1</v>
      </c>
      <c r="BN58" s="5">
        <v>22.2</v>
      </c>
      <c r="BO58" s="5">
        <f t="shared" ref="BO58:BO72" si="114">SUM(AU58:AX58)</f>
        <v>16.399999999999999</v>
      </c>
      <c r="BP58" s="5">
        <f t="shared" ref="BP58:BP74" si="115">SUM(AY58:BB58)</f>
        <v>23.8</v>
      </c>
      <c r="BQ58" s="5">
        <f>BP58*1.02</f>
        <v>24.276</v>
      </c>
      <c r="BR58" s="5">
        <f t="shared" ref="BR58:BZ58" si="116">BQ58*1.02</f>
        <v>24.761520000000001</v>
      </c>
      <c r="BS58" s="5">
        <f t="shared" si="116"/>
        <v>25.256750400000001</v>
      </c>
      <c r="BT58" s="5">
        <f t="shared" si="116"/>
        <v>25.761885408000001</v>
      </c>
      <c r="BU58" s="5">
        <f t="shared" si="116"/>
        <v>26.277123116160002</v>
      </c>
      <c r="BV58" s="5">
        <f t="shared" si="116"/>
        <v>26.802665578483204</v>
      </c>
      <c r="BW58" s="5">
        <f t="shared" si="116"/>
        <v>27.338718890052867</v>
      </c>
      <c r="BX58" s="5">
        <f t="shared" si="116"/>
        <v>27.885493267853924</v>
      </c>
      <c r="BY58" s="5">
        <f t="shared" si="116"/>
        <v>28.443203133211004</v>
      </c>
      <c r="BZ58" s="5">
        <f t="shared" si="116"/>
        <v>29.012067195875225</v>
      </c>
    </row>
    <row r="59" spans="2:78" x14ac:dyDescent="0.3">
      <c r="B59" t="s">
        <v>117</v>
      </c>
      <c r="AO59" s="5">
        <v>-0.2</v>
      </c>
      <c r="AQ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8.6</v>
      </c>
      <c r="AX59" s="5">
        <v>0</v>
      </c>
      <c r="AY59" s="5"/>
      <c r="AZ59" s="5"/>
      <c r="BA59" s="5"/>
      <c r="BB59" s="5"/>
      <c r="BJ59" s="5">
        <v>4.0999999999999996</v>
      </c>
      <c r="BK59" s="5">
        <v>0</v>
      </c>
      <c r="BL59" s="5">
        <v>0</v>
      </c>
      <c r="BM59" s="5">
        <v>-7.2</v>
      </c>
      <c r="BN59" s="5">
        <v>0</v>
      </c>
      <c r="BO59" s="5">
        <f t="shared" si="114"/>
        <v>8.6</v>
      </c>
      <c r="BP59" s="5">
        <f t="shared" si="115"/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</row>
    <row r="60" spans="2:78" x14ac:dyDescent="0.3">
      <c r="B60" t="s">
        <v>116</v>
      </c>
      <c r="AO60" s="5">
        <v>0.2</v>
      </c>
      <c r="AQ60" s="5">
        <v>0</v>
      </c>
      <c r="AS60" s="5">
        <v>0</v>
      </c>
      <c r="AT60" s="5">
        <v>0</v>
      </c>
      <c r="AU60" s="5">
        <v>0</v>
      </c>
      <c r="AV60" s="5">
        <v>0</v>
      </c>
      <c r="AW60" s="5"/>
      <c r="AX60" s="5">
        <v>0</v>
      </c>
      <c r="AY60" s="5"/>
      <c r="AZ60" s="5">
        <v>-28.6</v>
      </c>
      <c r="BA60" s="5"/>
      <c r="BB60" s="5"/>
      <c r="BJ60" s="5">
        <v>0</v>
      </c>
      <c r="BK60" s="5">
        <v>0</v>
      </c>
      <c r="BL60" s="5">
        <v>0</v>
      </c>
      <c r="BM60" s="5">
        <v>34</v>
      </c>
      <c r="BN60" s="5">
        <v>0</v>
      </c>
      <c r="BO60" s="5">
        <f t="shared" si="114"/>
        <v>0</v>
      </c>
      <c r="BP60" s="5">
        <f t="shared" si="115"/>
        <v>-28.6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</row>
    <row r="61" spans="2:78" x14ac:dyDescent="0.3">
      <c r="B61" t="s">
        <v>46</v>
      </c>
      <c r="AO61" s="5">
        <v>3.5</v>
      </c>
      <c r="AQ61" s="5">
        <v>0</v>
      </c>
      <c r="AS61" s="5">
        <v>-5.6</v>
      </c>
      <c r="AT61" s="5">
        <v>4.8</v>
      </c>
      <c r="AU61" s="5">
        <v>0</v>
      </c>
      <c r="AV61" s="5">
        <v>0</v>
      </c>
      <c r="AW61" s="5"/>
      <c r="AX61" s="5">
        <v>1.1000000000000001</v>
      </c>
      <c r="AY61" s="5">
        <v>35.5</v>
      </c>
      <c r="AZ61" s="5">
        <v>-2.1</v>
      </c>
      <c r="BA61" s="5">
        <v>5</v>
      </c>
      <c r="BB61" s="5">
        <v>5</v>
      </c>
      <c r="BJ61" s="5">
        <v>8.9</v>
      </c>
      <c r="BK61" s="5">
        <v>15.5</v>
      </c>
      <c r="BL61" s="5">
        <v>6.7</v>
      </c>
      <c r="BM61" s="5">
        <v>2.7</v>
      </c>
      <c r="BN61" s="5">
        <v>4.8</v>
      </c>
      <c r="BO61" s="5">
        <f t="shared" si="114"/>
        <v>1.1000000000000001</v>
      </c>
      <c r="BP61" s="5">
        <f t="shared" si="115"/>
        <v>43.4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</row>
    <row r="62" spans="2:78" x14ac:dyDescent="0.3">
      <c r="B62" t="s">
        <v>5</v>
      </c>
      <c r="AO62" s="5">
        <v>0</v>
      </c>
      <c r="AQ62" s="5">
        <v>0</v>
      </c>
      <c r="AS62" s="5">
        <v>0</v>
      </c>
      <c r="AT62" s="5">
        <v>0</v>
      </c>
      <c r="AU62" s="5">
        <v>0</v>
      </c>
      <c r="AV62" s="5">
        <v>0</v>
      </c>
      <c r="AW62" s="5"/>
      <c r="AX62" s="5">
        <v>0</v>
      </c>
      <c r="AY62" s="5"/>
      <c r="AZ62" s="5"/>
      <c r="BA62" s="5"/>
      <c r="BB62" s="5"/>
      <c r="BJ62" s="5">
        <v>-1.5</v>
      </c>
      <c r="BK62" s="5">
        <v>-1.5</v>
      </c>
      <c r="BL62" s="5">
        <v>18.2</v>
      </c>
      <c r="BM62" s="5">
        <v>0</v>
      </c>
      <c r="BN62" s="5">
        <v>0</v>
      </c>
      <c r="BO62" s="5">
        <f t="shared" si="114"/>
        <v>0</v>
      </c>
      <c r="BP62" s="5">
        <f t="shared" si="115"/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</row>
    <row r="63" spans="2:78" x14ac:dyDescent="0.3">
      <c r="B63" t="s">
        <v>98</v>
      </c>
      <c r="AO63" s="5">
        <v>0</v>
      </c>
      <c r="AQ63" s="5">
        <v>0</v>
      </c>
      <c r="AS63" s="5">
        <v>0</v>
      </c>
      <c r="AT63" s="5">
        <v>-0.1</v>
      </c>
      <c r="AU63" s="5">
        <v>0</v>
      </c>
      <c r="AV63" s="5">
        <v>0</v>
      </c>
      <c r="AW63" s="5"/>
      <c r="AX63" s="5">
        <v>-1.8</v>
      </c>
      <c r="AY63" s="5"/>
      <c r="AZ63" s="5"/>
      <c r="BA63" s="5"/>
      <c r="BB63" s="5"/>
      <c r="BJ63" s="5">
        <v>61.4</v>
      </c>
      <c r="BK63" s="5">
        <v>80.3</v>
      </c>
      <c r="BL63" s="5">
        <v>-16.3</v>
      </c>
      <c r="BM63" s="5">
        <v>-2.6</v>
      </c>
      <c r="BN63" s="5">
        <v>-0.1</v>
      </c>
      <c r="BO63" s="5">
        <f t="shared" si="114"/>
        <v>-1.8</v>
      </c>
      <c r="BP63" s="5">
        <f t="shared" si="115"/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</row>
    <row r="64" spans="2:78" x14ac:dyDescent="0.3">
      <c r="B64" t="s">
        <v>96</v>
      </c>
      <c r="AO64" s="5">
        <v>0</v>
      </c>
      <c r="AQ64" s="5">
        <v>0.6</v>
      </c>
      <c r="AS64" s="5">
        <v>0</v>
      </c>
      <c r="AT64" s="5">
        <v>6.5</v>
      </c>
      <c r="AU64" s="5">
        <v>0.3</v>
      </c>
      <c r="AV64" s="5">
        <f>-2.3-AU64</f>
        <v>-2.5999999999999996</v>
      </c>
      <c r="AW64" s="5">
        <v>-4.0999999999999996</v>
      </c>
      <c r="AX64" s="5">
        <v>-0.7</v>
      </c>
      <c r="AY64" s="5">
        <v>-1.5</v>
      </c>
      <c r="AZ64" s="5">
        <v>0.9</v>
      </c>
      <c r="BA64" s="5">
        <v>-1.5</v>
      </c>
      <c r="BB64" s="5">
        <v>-1.5</v>
      </c>
      <c r="BJ64" s="5">
        <v>1.9</v>
      </c>
      <c r="BK64" s="5">
        <v>-27.3</v>
      </c>
      <c r="BL64" s="5">
        <v>5.4</v>
      </c>
      <c r="BM64" s="5">
        <v>2.5</v>
      </c>
      <c r="BN64" s="5">
        <v>1.5</v>
      </c>
      <c r="BO64" s="5">
        <f t="shared" si="114"/>
        <v>-7.1</v>
      </c>
      <c r="BP64" s="5">
        <f t="shared" si="115"/>
        <v>-3.6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</row>
    <row r="65" spans="2:144" x14ac:dyDescent="0.3">
      <c r="B65" t="s">
        <v>114</v>
      </c>
      <c r="AO65" s="5">
        <v>11.9</v>
      </c>
      <c r="AQ65" s="5">
        <v>0.2</v>
      </c>
      <c r="AS65" s="5">
        <v>5.8</v>
      </c>
      <c r="AT65" s="5">
        <v>-2.1</v>
      </c>
      <c r="AU65" s="5">
        <v>-0.6</v>
      </c>
      <c r="AV65" s="5">
        <f>0.5-AU65</f>
        <v>1.1000000000000001</v>
      </c>
      <c r="AW65" s="5">
        <v>0.6</v>
      </c>
      <c r="AX65" s="5">
        <v>0.1</v>
      </c>
      <c r="AY65" s="5">
        <v>-0.4</v>
      </c>
      <c r="AZ65" s="5">
        <v>3</v>
      </c>
      <c r="BA65" s="5">
        <v>-0.4</v>
      </c>
      <c r="BB65" s="5">
        <v>-0.4</v>
      </c>
      <c r="BJ65" s="5">
        <v>4.0999999999999996</v>
      </c>
      <c r="BK65" s="5">
        <v>2.4</v>
      </c>
      <c r="BL65" s="5">
        <v>-3.5</v>
      </c>
      <c r="BM65" s="5">
        <v>1.2</v>
      </c>
      <c r="BN65" s="5">
        <v>0.8</v>
      </c>
      <c r="BO65" s="5">
        <f t="shared" si="114"/>
        <v>1.2000000000000002</v>
      </c>
      <c r="BP65" s="5">
        <f t="shared" si="115"/>
        <v>1.8000000000000003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</row>
    <row r="66" spans="2:144" x14ac:dyDescent="0.3">
      <c r="B66" t="s">
        <v>93</v>
      </c>
      <c r="AO66" s="5">
        <v>-26</v>
      </c>
      <c r="AQ66" s="5">
        <v>35.6</v>
      </c>
      <c r="AS66" s="5">
        <v>-13.3</v>
      </c>
      <c r="AT66" s="5">
        <v>-0.7</v>
      </c>
      <c r="AU66" s="5">
        <v>33.4</v>
      </c>
      <c r="AV66" s="5">
        <f>33.9-AU66</f>
        <v>0.5</v>
      </c>
      <c r="AW66" s="5">
        <v>-0.1</v>
      </c>
      <c r="AX66" s="5">
        <v>-4.9000000000000004</v>
      </c>
      <c r="AY66" s="5">
        <v>12</v>
      </c>
      <c r="AZ66" s="5">
        <v>-2.2000000000000002</v>
      </c>
      <c r="BA66" s="5">
        <v>0</v>
      </c>
      <c r="BB66" s="5">
        <v>0</v>
      </c>
      <c r="BJ66" s="5">
        <v>-10.9</v>
      </c>
      <c r="BK66" s="5">
        <v>39.799999999999997</v>
      </c>
      <c r="BL66" s="5">
        <v>-38.4</v>
      </c>
      <c r="BM66" s="5">
        <v>-16.8</v>
      </c>
      <c r="BN66" s="5">
        <v>65</v>
      </c>
      <c r="BO66" s="5">
        <f t="shared" si="114"/>
        <v>28.9</v>
      </c>
      <c r="BP66" s="5">
        <f t="shared" si="115"/>
        <v>9.8000000000000007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</row>
    <row r="67" spans="2:144" x14ac:dyDescent="0.3">
      <c r="B67" t="s">
        <v>94</v>
      </c>
      <c r="AO67" s="5">
        <v>-414.6</v>
      </c>
      <c r="AQ67" s="5">
        <v>-83.1</v>
      </c>
      <c r="AS67" s="5">
        <v>-357.5</v>
      </c>
      <c r="AT67" s="5">
        <v>397</v>
      </c>
      <c r="AU67" s="5">
        <v>-43.2</v>
      </c>
      <c r="AV67" s="5">
        <f>72.7-AU67</f>
        <v>115.9</v>
      </c>
      <c r="AW67" s="5">
        <v>-271.3</v>
      </c>
      <c r="AX67" s="5">
        <v>293.10000000000002</v>
      </c>
      <c r="AY67" s="5">
        <v>-10.1</v>
      </c>
      <c r="AZ67" s="5">
        <v>-72.099999999999994</v>
      </c>
      <c r="BA67" s="5">
        <v>0</v>
      </c>
      <c r="BB67" s="5">
        <v>0</v>
      </c>
      <c r="BJ67" s="5">
        <v>361.1</v>
      </c>
      <c r="BK67" s="5">
        <v>282.39999999999998</v>
      </c>
      <c r="BL67" s="5">
        <v>-329.6</v>
      </c>
      <c r="BM67" s="5">
        <v>229.6</v>
      </c>
      <c r="BN67" s="5">
        <v>39.9</v>
      </c>
      <c r="BO67" s="5">
        <f t="shared" si="114"/>
        <v>94.5</v>
      </c>
      <c r="BP67" s="5">
        <f t="shared" si="115"/>
        <v>-82.199999999999989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</row>
    <row r="68" spans="2:144" x14ac:dyDescent="0.3">
      <c r="B68" t="s">
        <v>95</v>
      </c>
      <c r="AO68" s="5">
        <v>-11.3</v>
      </c>
      <c r="AQ68" s="5">
        <v>-4</v>
      </c>
      <c r="AS68" s="5">
        <v>1.7</v>
      </c>
      <c r="AT68" s="5">
        <v>4.7</v>
      </c>
      <c r="AU68" s="5">
        <v>8.5</v>
      </c>
      <c r="AV68" s="5">
        <f>-2.1-AU68</f>
        <v>-10.6</v>
      </c>
      <c r="AW68" s="5">
        <v>-90.5</v>
      </c>
      <c r="AX68" s="5">
        <v>97.5</v>
      </c>
      <c r="AY68" s="5">
        <v>6.7</v>
      </c>
      <c r="AZ68" s="5">
        <v>-0.8</v>
      </c>
      <c r="BA68" s="5">
        <v>0</v>
      </c>
      <c r="BB68" s="5">
        <v>0</v>
      </c>
      <c r="BJ68" s="5">
        <v>3.6</v>
      </c>
      <c r="BK68" s="5">
        <v>8.4</v>
      </c>
      <c r="BL68" s="5">
        <v>-6.5</v>
      </c>
      <c r="BM68" s="5">
        <v>-25.2</v>
      </c>
      <c r="BN68" s="5">
        <v>10.4</v>
      </c>
      <c r="BO68" s="5">
        <f t="shared" si="114"/>
        <v>4.9000000000000057</v>
      </c>
      <c r="BP68" s="5">
        <f t="shared" si="115"/>
        <v>5.9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</row>
    <row r="69" spans="2:144" x14ac:dyDescent="0.3">
      <c r="B69" t="s">
        <v>49</v>
      </c>
      <c r="AO69" s="5">
        <v>0</v>
      </c>
      <c r="AQ69" s="5">
        <v>-0.2</v>
      </c>
      <c r="AS69" s="5">
        <v>-3.8</v>
      </c>
      <c r="AT69" s="5">
        <v>2.7</v>
      </c>
      <c r="AU69" s="5">
        <v>-5.0999999999999996</v>
      </c>
      <c r="AV69" s="5">
        <f>-3.4-AU69</f>
        <v>1.6999999999999997</v>
      </c>
      <c r="AW69" s="5">
        <v>-3.3</v>
      </c>
      <c r="AX69" s="5">
        <v>10.4</v>
      </c>
      <c r="AY69" s="5">
        <v>-1.6</v>
      </c>
      <c r="AZ69" s="5">
        <v>-8.8000000000000007</v>
      </c>
      <c r="BA69" s="5">
        <v>0</v>
      </c>
      <c r="BB69" s="5">
        <v>0</v>
      </c>
      <c r="BJ69" s="5">
        <v>-75.900000000000006</v>
      </c>
      <c r="BK69" s="5">
        <v>-87</v>
      </c>
      <c r="BL69" s="5">
        <v>-21.7</v>
      </c>
      <c r="BM69" s="5">
        <v>172.4</v>
      </c>
      <c r="BN69" s="5">
        <v>-2.4</v>
      </c>
      <c r="BO69" s="5">
        <f t="shared" si="114"/>
        <v>3.7000000000000011</v>
      </c>
      <c r="BP69" s="5">
        <f t="shared" si="115"/>
        <v>-10.4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</row>
    <row r="70" spans="2:144" x14ac:dyDescent="0.3">
      <c r="B70" t="s">
        <v>102</v>
      </c>
      <c r="AO70" s="5">
        <v>672.7</v>
      </c>
      <c r="AQ70" s="5">
        <v>-22.3</v>
      </c>
      <c r="AS70" s="5">
        <v>381.9</v>
      </c>
      <c r="AT70" s="5">
        <v>-512.20000000000005</v>
      </c>
      <c r="AU70" s="5">
        <v>-87.8</v>
      </c>
      <c r="AV70" s="5">
        <f>-143.7-AU70</f>
        <v>-55.899999999999991</v>
      </c>
      <c r="AW70" s="5">
        <v>331.5</v>
      </c>
      <c r="AX70" s="5">
        <v>-367.3</v>
      </c>
      <c r="AY70" s="5">
        <v>110.3</v>
      </c>
      <c r="AZ70" s="5">
        <v>53.6</v>
      </c>
      <c r="BA70" s="5">
        <v>0</v>
      </c>
      <c r="BB70" s="5">
        <v>0</v>
      </c>
      <c r="BJ70" s="5">
        <v>-792.8</v>
      </c>
      <c r="BK70" s="5">
        <v>-78.599999999999994</v>
      </c>
      <c r="BL70" s="5">
        <v>224.4</v>
      </c>
      <c r="BM70" s="5">
        <v>-66.2</v>
      </c>
      <c r="BN70" s="5">
        <v>-397.7</v>
      </c>
      <c r="BO70" s="5">
        <f t="shared" si="114"/>
        <v>-179.5</v>
      </c>
      <c r="BP70" s="5">
        <f t="shared" si="115"/>
        <v>163.9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</row>
    <row r="71" spans="2:144" x14ac:dyDescent="0.3">
      <c r="B71" t="s">
        <v>97</v>
      </c>
      <c r="AO71" s="5">
        <v>8.1</v>
      </c>
      <c r="AQ71" s="5">
        <v>-0.6</v>
      </c>
      <c r="AS71" s="5">
        <v>-3.7</v>
      </c>
      <c r="AT71" s="5">
        <v>-1</v>
      </c>
      <c r="AU71" s="5">
        <v>1.1000000000000001</v>
      </c>
      <c r="AV71" s="5">
        <f>0.5-AU71</f>
        <v>-0.60000000000000009</v>
      </c>
      <c r="AW71" s="5">
        <v>0.1</v>
      </c>
      <c r="AX71" s="5">
        <v>1</v>
      </c>
      <c r="AY71" s="5">
        <v>-0.6</v>
      </c>
      <c r="AZ71" s="5">
        <v>-1.1000000000000001</v>
      </c>
      <c r="BA71" s="5">
        <v>0</v>
      </c>
      <c r="BB71" s="5">
        <v>0</v>
      </c>
      <c r="BJ71" s="5">
        <v>4.0999999999999996</v>
      </c>
      <c r="BK71" s="5">
        <v>19</v>
      </c>
      <c r="BL71" s="5">
        <v>-0.9</v>
      </c>
      <c r="BM71" s="5">
        <v>-4.9000000000000004</v>
      </c>
      <c r="BN71" s="5">
        <v>-8.1</v>
      </c>
      <c r="BO71" s="5">
        <f t="shared" si="114"/>
        <v>1.6</v>
      </c>
      <c r="BP71" s="5">
        <f t="shared" si="115"/>
        <v>-1.7000000000000002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</row>
    <row r="72" spans="2:144" x14ac:dyDescent="0.3">
      <c r="B72" t="s">
        <v>105</v>
      </c>
      <c r="AO72" s="5">
        <v>-0.7</v>
      </c>
      <c r="AQ72" s="5">
        <v>0</v>
      </c>
      <c r="AS72" s="5">
        <v>-1</v>
      </c>
      <c r="AT72" s="5">
        <v>-0.5</v>
      </c>
      <c r="AU72" s="5">
        <v>-1.5</v>
      </c>
      <c r="AV72" s="5">
        <f>-10.2-AU72</f>
        <v>-8.6999999999999993</v>
      </c>
      <c r="AW72" s="5">
        <v>22.2</v>
      </c>
      <c r="AX72" s="5">
        <v>-9</v>
      </c>
      <c r="AY72" s="5">
        <v>-13.7</v>
      </c>
      <c r="AZ72" s="5">
        <v>-4</v>
      </c>
      <c r="BA72" s="5">
        <v>0</v>
      </c>
      <c r="BB72" s="5">
        <v>0</v>
      </c>
      <c r="BJ72" s="5">
        <v>0</v>
      </c>
      <c r="BK72" s="5">
        <v>-3</v>
      </c>
      <c r="BL72" s="5">
        <v>1.5</v>
      </c>
      <c r="BM72" s="5">
        <v>0</v>
      </c>
      <c r="BN72" s="5">
        <v>-2.9</v>
      </c>
      <c r="BO72" s="5">
        <f t="shared" si="114"/>
        <v>3</v>
      </c>
      <c r="BP72" s="5">
        <f t="shared" si="115"/>
        <v>-17.7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</row>
    <row r="73" spans="2:144" s="1" customFormat="1" x14ac:dyDescent="0.3">
      <c r="B73" s="1" t="s">
        <v>115</v>
      </c>
      <c r="AO73" s="10">
        <f>AO56+SUM(AO57:AO72)</f>
        <v>176.90000000000015</v>
      </c>
      <c r="AQ73" s="10">
        <f>AQ56+SUM(AQ57:AQ72)</f>
        <v>-102.90000000000003</v>
      </c>
      <c r="AS73" s="10">
        <f>AS56+SUM(AS57:AS72)</f>
        <v>19.099999999999934</v>
      </c>
      <c r="AT73" s="10">
        <f>AT56+SUM(AT57:AT72)</f>
        <v>-11.000000000000249</v>
      </c>
      <c r="AU73" s="10">
        <f>AU56+SUM(AU57:AU72)</f>
        <v>-109.80000000000003</v>
      </c>
      <c r="AV73" s="10">
        <f>AV56+SUM(AV57:AV72)</f>
        <v>68.599999999999966</v>
      </c>
      <c r="AW73" s="10">
        <f t="shared" ref="AW73:AX73" si="117">AW56+SUM(AW57:AW72)</f>
        <v>24.500000000000057</v>
      </c>
      <c r="AX73" s="10">
        <f t="shared" si="117"/>
        <v>162.29999999999984</v>
      </c>
      <c r="AY73" s="10">
        <f t="shared" ref="AY73:BB73" si="118">AY56+SUM(AY57:AY72)</f>
        <v>192.29999999999998</v>
      </c>
      <c r="AZ73" s="10">
        <f t="shared" si="118"/>
        <v>117.4</v>
      </c>
      <c r="BA73" s="10">
        <f t="shared" si="118"/>
        <v>132.19062400000001</v>
      </c>
      <c r="BB73" s="10">
        <f t="shared" si="118"/>
        <v>181.55334159999995</v>
      </c>
      <c r="BJ73" s="10">
        <f t="shared" ref="BJ73:BO73" si="119">BJ56+SUM(BJ57:BJ72)</f>
        <v>-797.69999999999993</v>
      </c>
      <c r="BK73" s="10">
        <f t="shared" si="119"/>
        <v>123.69999999999925</v>
      </c>
      <c r="BL73" s="10">
        <f t="shared" si="119"/>
        <v>-423.79999999999882</v>
      </c>
      <c r="BM73" s="10">
        <f t="shared" si="119"/>
        <v>107.60000000000002</v>
      </c>
      <c r="BN73" s="10">
        <f t="shared" si="119"/>
        <v>-203.90000000000072</v>
      </c>
      <c r="BO73" s="10">
        <f t="shared" si="119"/>
        <v>145.59999999999951</v>
      </c>
      <c r="BP73" s="10">
        <f t="shared" ref="BP73:BQ73" si="120">BP56+SUM(BP57:BP72)</f>
        <v>623.44396559999927</v>
      </c>
      <c r="BQ73" s="10">
        <f t="shared" si="120"/>
        <v>559.80567447999988</v>
      </c>
      <c r="BR73" s="10">
        <f t="shared" ref="BR73:BZ73" si="121">BR56+SUM(BR57:BR72)</f>
        <v>619.31135773320011</v>
      </c>
      <c r="BS73" s="10">
        <f t="shared" si="121"/>
        <v>639.78202783550398</v>
      </c>
      <c r="BT73" s="10">
        <f t="shared" si="121"/>
        <v>618.44838203883569</v>
      </c>
      <c r="BU73" s="10">
        <f t="shared" si="121"/>
        <v>633.25216475711284</v>
      </c>
      <c r="BV73" s="10">
        <f t="shared" si="121"/>
        <v>647.87362057841972</v>
      </c>
      <c r="BW73" s="10">
        <f t="shared" si="121"/>
        <v>662.88486917064927</v>
      </c>
      <c r="BX73" s="10">
        <f t="shared" si="121"/>
        <v>678.29701401164141</v>
      </c>
      <c r="BY73" s="10">
        <f t="shared" si="121"/>
        <v>694.12148374459423</v>
      </c>
      <c r="BZ73" s="10">
        <f t="shared" si="121"/>
        <v>710.37004181291536</v>
      </c>
    </row>
    <row r="74" spans="2:144" x14ac:dyDescent="0.3">
      <c r="B74" t="s">
        <v>96</v>
      </c>
      <c r="AS74" s="5">
        <v>13.1</v>
      </c>
      <c r="AV74" s="5"/>
      <c r="AW74" s="5">
        <v>5.5</v>
      </c>
      <c r="AX74" s="5">
        <v>3.5</v>
      </c>
      <c r="AY74" s="5">
        <v>2.9</v>
      </c>
      <c r="AZ74" s="5">
        <v>4.0999999999999996</v>
      </c>
      <c r="BA74" s="5">
        <v>4</v>
      </c>
      <c r="BB74" s="5">
        <v>5</v>
      </c>
      <c r="BJ74" s="5">
        <v>78.5</v>
      </c>
      <c r="BK74" s="5">
        <v>60</v>
      </c>
      <c r="BL74" s="5">
        <v>62</v>
      </c>
      <c r="BM74" s="5">
        <v>55.9</v>
      </c>
      <c r="BN74" s="5">
        <v>34.9</v>
      </c>
      <c r="BO74" s="5">
        <v>16.100000000000001</v>
      </c>
      <c r="BP74" s="5">
        <f t="shared" si="115"/>
        <v>16</v>
      </c>
      <c r="BQ74" s="5">
        <f>BP74*1.1</f>
        <v>17.600000000000001</v>
      </c>
      <c r="BR74" s="5">
        <f t="shared" ref="BR74:BZ74" si="122">BQ74*1.1</f>
        <v>19.360000000000003</v>
      </c>
      <c r="BS74" s="5">
        <f t="shared" si="122"/>
        <v>21.296000000000006</v>
      </c>
      <c r="BT74" s="5">
        <f t="shared" si="122"/>
        <v>23.42560000000001</v>
      </c>
      <c r="BU74" s="5">
        <f t="shared" si="122"/>
        <v>25.768160000000012</v>
      </c>
      <c r="BV74" s="5">
        <f t="shared" si="122"/>
        <v>28.344976000000017</v>
      </c>
      <c r="BW74" s="5">
        <f t="shared" si="122"/>
        <v>31.179473600000023</v>
      </c>
      <c r="BX74" s="5">
        <f t="shared" si="122"/>
        <v>34.297420960000025</v>
      </c>
      <c r="BY74" s="5">
        <f t="shared" si="122"/>
        <v>37.72716305600003</v>
      </c>
      <c r="BZ74" s="5">
        <f t="shared" si="122"/>
        <v>41.499879361600037</v>
      </c>
    </row>
    <row r="75" spans="2:144" s="1" customFormat="1" x14ac:dyDescent="0.3">
      <c r="B75" s="1" t="s">
        <v>118</v>
      </c>
      <c r="AU75" s="10">
        <f t="shared" ref="AU75:AW75" si="123">AU73-AU74</f>
        <v>-109.80000000000003</v>
      </c>
      <c r="AV75" s="10">
        <f t="shared" si="123"/>
        <v>68.599999999999966</v>
      </c>
      <c r="AW75" s="10">
        <f t="shared" si="123"/>
        <v>19.000000000000057</v>
      </c>
      <c r="AX75" s="10">
        <f>AX73-AX74</f>
        <v>158.79999999999984</v>
      </c>
      <c r="AY75" s="10">
        <f>AY73-AY74</f>
        <v>189.39999999999998</v>
      </c>
      <c r="AZ75" s="10">
        <f t="shared" ref="AZ75:BB75" si="124">AZ73-AZ74</f>
        <v>113.30000000000001</v>
      </c>
      <c r="BA75" s="10">
        <f t="shared" si="124"/>
        <v>128.19062400000001</v>
      </c>
      <c r="BB75" s="10">
        <f t="shared" si="124"/>
        <v>176.55334159999995</v>
      </c>
      <c r="BJ75" s="10">
        <f t="shared" ref="BJ75:BN75" si="125">BJ73-BJ74</f>
        <v>-876.19999999999993</v>
      </c>
      <c r="BK75" s="10">
        <f t="shared" si="125"/>
        <v>63.69999999999925</v>
      </c>
      <c r="BL75" s="10">
        <f t="shared" si="125"/>
        <v>-485.79999999999882</v>
      </c>
      <c r="BM75" s="10">
        <f t="shared" si="125"/>
        <v>51.700000000000024</v>
      </c>
      <c r="BN75" s="10">
        <f t="shared" si="125"/>
        <v>-238.80000000000072</v>
      </c>
      <c r="BO75" s="10">
        <f>BO73-BO74</f>
        <v>129.49999999999952</v>
      </c>
      <c r="BP75" s="10">
        <f>BP73-BP74</f>
        <v>607.44396559999927</v>
      </c>
      <c r="BQ75" s="10">
        <f>BQ73-BQ74</f>
        <v>542.20567447999986</v>
      </c>
      <c r="BR75" s="10">
        <f t="shared" ref="BR75:BZ75" si="126">BR73-BR74</f>
        <v>599.9513577332001</v>
      </c>
      <c r="BS75" s="10">
        <f t="shared" si="126"/>
        <v>618.48602783550393</v>
      </c>
      <c r="BT75" s="10">
        <f t="shared" si="126"/>
        <v>595.02278203883566</v>
      </c>
      <c r="BU75" s="10">
        <f t="shared" si="126"/>
        <v>607.48400475711287</v>
      </c>
      <c r="BV75" s="10">
        <f t="shared" si="126"/>
        <v>619.52864457841974</v>
      </c>
      <c r="BW75" s="10">
        <f t="shared" si="126"/>
        <v>631.70539557064922</v>
      </c>
      <c r="BX75" s="10">
        <f t="shared" si="126"/>
        <v>643.99959305164134</v>
      </c>
      <c r="BY75" s="10">
        <f t="shared" si="126"/>
        <v>656.39432068859423</v>
      </c>
      <c r="BZ75" s="10">
        <f t="shared" si="126"/>
        <v>668.87016245131531</v>
      </c>
      <c r="CA75" s="1">
        <f>BZ75*(1+$CC$30)</f>
        <v>662.18146082680209</v>
      </c>
      <c r="CB75" s="1">
        <f t="shared" ref="CB75:EM75" si="127">CA75*(1+$CC$30)</f>
        <v>655.55964621853411</v>
      </c>
      <c r="CC75" s="1">
        <f t="shared" si="127"/>
        <v>649.00404975634876</v>
      </c>
      <c r="CD75" s="1">
        <f t="shared" si="127"/>
        <v>642.51400925878522</v>
      </c>
      <c r="CE75" s="1">
        <f t="shared" si="127"/>
        <v>636.08886916619736</v>
      </c>
      <c r="CF75" s="1">
        <f t="shared" si="127"/>
        <v>629.72798047453534</v>
      </c>
      <c r="CG75" s="1">
        <f t="shared" si="127"/>
        <v>623.43070066978999</v>
      </c>
      <c r="CH75" s="1">
        <f t="shared" si="127"/>
        <v>617.19639366309207</v>
      </c>
      <c r="CI75" s="1">
        <f t="shared" si="127"/>
        <v>611.02442972646111</v>
      </c>
      <c r="CJ75" s="1">
        <f t="shared" si="127"/>
        <v>604.91418542919644</v>
      </c>
      <c r="CK75" s="1">
        <f t="shared" si="127"/>
        <v>598.86504357490446</v>
      </c>
      <c r="CL75" s="1">
        <f t="shared" si="127"/>
        <v>592.87639313915543</v>
      </c>
      <c r="CM75" s="1">
        <f t="shared" si="127"/>
        <v>586.94762920776384</v>
      </c>
      <c r="CN75" s="1">
        <f t="shared" si="127"/>
        <v>581.07815291568625</v>
      </c>
      <c r="CO75" s="1">
        <f t="shared" si="127"/>
        <v>575.26737138652936</v>
      </c>
      <c r="CP75" s="1">
        <f t="shared" si="127"/>
        <v>569.51469767266406</v>
      </c>
      <c r="CQ75" s="1">
        <f t="shared" si="127"/>
        <v>563.81955069593744</v>
      </c>
      <c r="CR75" s="1">
        <f t="shared" si="127"/>
        <v>558.18135518897805</v>
      </c>
      <c r="CS75" s="1">
        <f t="shared" si="127"/>
        <v>552.59954163708824</v>
      </c>
      <c r="CT75" s="1">
        <f t="shared" si="127"/>
        <v>547.07354622071739</v>
      </c>
      <c r="CU75" s="1">
        <f t="shared" si="127"/>
        <v>541.60281075851026</v>
      </c>
      <c r="CV75" s="1">
        <f t="shared" si="127"/>
        <v>536.18678265092512</v>
      </c>
      <c r="CW75" s="1">
        <f t="shared" si="127"/>
        <v>530.82491482441583</v>
      </c>
      <c r="CX75" s="1">
        <f t="shared" si="127"/>
        <v>525.51666567617167</v>
      </c>
      <c r="CY75" s="1">
        <f t="shared" si="127"/>
        <v>520.26149901940994</v>
      </c>
      <c r="CZ75" s="1">
        <f t="shared" si="127"/>
        <v>515.05888402921585</v>
      </c>
      <c r="DA75" s="1">
        <f t="shared" si="127"/>
        <v>509.90829518892366</v>
      </c>
      <c r="DB75" s="1">
        <f t="shared" si="127"/>
        <v>504.80921223703444</v>
      </c>
      <c r="DC75" s="1">
        <f t="shared" si="127"/>
        <v>499.7611201146641</v>
      </c>
      <c r="DD75" s="1">
        <f t="shared" si="127"/>
        <v>494.76350891351746</v>
      </c>
      <c r="DE75" s="1">
        <f t="shared" si="127"/>
        <v>489.81587382438227</v>
      </c>
      <c r="DF75" s="1">
        <f t="shared" si="127"/>
        <v>484.91771508613846</v>
      </c>
      <c r="DG75" s="1">
        <f t="shared" si="127"/>
        <v>480.06853793527705</v>
      </c>
      <c r="DH75" s="1">
        <f t="shared" si="127"/>
        <v>475.26785255592426</v>
      </c>
      <c r="DI75" s="1">
        <f t="shared" si="127"/>
        <v>470.51517403036502</v>
      </c>
      <c r="DJ75" s="1">
        <f t="shared" si="127"/>
        <v>465.81002229006134</v>
      </c>
      <c r="DK75" s="1">
        <f t="shared" si="127"/>
        <v>461.15192206716074</v>
      </c>
      <c r="DL75" s="1">
        <f t="shared" si="127"/>
        <v>456.54040284648914</v>
      </c>
      <c r="DM75" s="1">
        <f t="shared" si="127"/>
        <v>451.97499881802423</v>
      </c>
      <c r="DN75" s="1">
        <f t="shared" si="127"/>
        <v>447.45524882984398</v>
      </c>
      <c r="DO75" s="1">
        <f t="shared" si="127"/>
        <v>442.98069634154552</v>
      </c>
      <c r="DP75" s="1">
        <f t="shared" si="127"/>
        <v>438.55088937813008</v>
      </c>
      <c r="DQ75" s="1">
        <f t="shared" si="127"/>
        <v>434.16538048434876</v>
      </c>
      <c r="DR75" s="1">
        <f t="shared" si="127"/>
        <v>429.82372667950528</v>
      </c>
      <c r="DS75" s="1">
        <f t="shared" si="127"/>
        <v>425.52548941271021</v>
      </c>
      <c r="DT75" s="1">
        <f t="shared" si="127"/>
        <v>421.27023451858309</v>
      </c>
      <c r="DU75" s="1">
        <f t="shared" si="127"/>
        <v>417.05753217339725</v>
      </c>
      <c r="DV75" s="1">
        <f t="shared" si="127"/>
        <v>412.88695685166329</v>
      </c>
      <c r="DW75" s="1">
        <f t="shared" si="127"/>
        <v>408.75808728314666</v>
      </c>
      <c r="DX75" s="1">
        <f t="shared" si="127"/>
        <v>404.67050641031517</v>
      </c>
      <c r="DY75" s="1">
        <f t="shared" si="127"/>
        <v>400.62380134621202</v>
      </c>
      <c r="DZ75" s="1">
        <f t="shared" si="127"/>
        <v>396.61756333274991</v>
      </c>
      <c r="EA75" s="1">
        <f t="shared" si="127"/>
        <v>392.6513876994224</v>
      </c>
      <c r="EB75" s="1">
        <f t="shared" si="127"/>
        <v>388.72487382242815</v>
      </c>
      <c r="EC75" s="1">
        <f t="shared" si="127"/>
        <v>384.83762508420386</v>
      </c>
      <c r="ED75" s="1">
        <f t="shared" si="127"/>
        <v>380.98924883336184</v>
      </c>
      <c r="EE75" s="1">
        <f t="shared" si="127"/>
        <v>377.17935634502822</v>
      </c>
      <c r="EF75" s="1">
        <f t="shared" si="127"/>
        <v>373.40756278157795</v>
      </c>
      <c r="EG75" s="1">
        <f t="shared" si="127"/>
        <v>369.67348715376215</v>
      </c>
      <c r="EH75" s="1">
        <f t="shared" si="127"/>
        <v>365.97675228222454</v>
      </c>
      <c r="EI75" s="1">
        <f t="shared" si="127"/>
        <v>362.31698475940232</v>
      </c>
      <c r="EJ75" s="1">
        <f t="shared" si="127"/>
        <v>358.69381491180832</v>
      </c>
      <c r="EK75" s="1">
        <f t="shared" si="127"/>
        <v>355.10687676269021</v>
      </c>
      <c r="EL75" s="1">
        <f t="shared" si="127"/>
        <v>351.55580799506328</v>
      </c>
      <c r="EM75" s="1">
        <f t="shared" si="127"/>
        <v>348.04024991511267</v>
      </c>
      <c r="EN75" s="1">
        <f t="shared" ref="EN75" si="128">EM75*(1+$CC$30)</f>
        <v>344.55984741596154</v>
      </c>
    </row>
    <row r="78" spans="2:144" x14ac:dyDescent="0.3">
      <c r="CB78" t="s">
        <v>124</v>
      </c>
      <c r="CC78" s="22">
        <f>NPV(CC31,BP75:EN75)</f>
        <v>7507.2134023125045</v>
      </c>
    </row>
    <row r="79" spans="2:144" x14ac:dyDescent="0.3">
      <c r="CB79" t="s">
        <v>60</v>
      </c>
      <c r="CC79" s="5">
        <f>Main!D8</f>
        <v>4533.5</v>
      </c>
    </row>
    <row r="80" spans="2:144" x14ac:dyDescent="0.3">
      <c r="CB80" t="s">
        <v>61</v>
      </c>
      <c r="CC80" s="22">
        <f>CC78+CC79</f>
        <v>12040.713402312504</v>
      </c>
    </row>
    <row r="81" spans="80:81" x14ac:dyDescent="0.3">
      <c r="CB81" t="s">
        <v>62</v>
      </c>
      <c r="CC81" s="22">
        <f>CC80/BZ17</f>
        <v>26.912636124972071</v>
      </c>
    </row>
    <row r="82" spans="80:81" x14ac:dyDescent="0.3">
      <c r="CB82" t="s">
        <v>63</v>
      </c>
      <c r="CC82">
        <f>Main!D3</f>
        <v>22.03</v>
      </c>
    </row>
    <row r="83" spans="80:81" x14ac:dyDescent="0.3">
      <c r="CC83" s="12">
        <f>CC81/CC82-1</f>
        <v>0.22163577507816923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2020-10-17T13:44:39Z</dcterms:created>
  <dcterms:modified xsi:type="dcterms:W3CDTF">2025-11-03T17:43:53Z</dcterms:modified>
</cp:coreProperties>
</file>