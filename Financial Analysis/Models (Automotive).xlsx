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5E6B13EA-5DB6-4C62-A6C1-F162B33F00D6}" xr6:coauthVersionLast="47" xr6:coauthVersionMax="47" xr10:uidLastSave="{00000000-0000-0000-0000-000000000000}"/>
  <bookViews>
    <workbookView xWindow="-108" yWindow="-108" windowWidth="23256" windowHeight="12576" xr2:uid="{44A3A52B-B984-4465-AC96-672BE039DB0B}"/>
  </bookViews>
  <sheets>
    <sheet name="Mai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1" i="1" l="1"/>
  <c r="AE11" i="1"/>
  <c r="Y13" i="1"/>
  <c r="X13" i="1"/>
  <c r="Y16" i="1" l="1"/>
  <c r="X16" i="1"/>
  <c r="Y12" i="1" l="1"/>
  <c r="X12" i="1"/>
  <c r="W12" i="1"/>
  <c r="V12" i="1"/>
  <c r="W11" i="1" l="1"/>
  <c r="V11" i="1"/>
  <c r="X11" i="1"/>
  <c r="Y11" i="1"/>
  <c r="T11" i="1"/>
  <c r="M11" i="1"/>
  <c r="L11" i="1"/>
  <c r="K11" i="1"/>
  <c r="J11" i="1"/>
  <c r="I11" i="1"/>
  <c r="H11" i="1"/>
  <c r="Y5" i="1" l="1"/>
  <c r="X5" i="1"/>
  <c r="W5" i="1"/>
  <c r="V5" i="1"/>
  <c r="T5" i="1"/>
  <c r="K5" i="1"/>
  <c r="J5" i="1"/>
  <c r="I5" i="1"/>
  <c r="H5" i="1"/>
  <c r="M5" i="1" l="1"/>
  <c r="L5" i="1"/>
  <c r="Y10" i="1" l="1"/>
  <c r="X10" i="1"/>
  <c r="Y17" i="1" l="1"/>
  <c r="X17" i="1"/>
  <c r="T17" i="1"/>
  <c r="Y9" i="1" l="1"/>
  <c r="X9" i="1"/>
  <c r="W9" i="1"/>
  <c r="V9" i="1"/>
  <c r="T9" i="1"/>
  <c r="Y15" i="1" l="1"/>
  <c r="X15" i="1"/>
  <c r="T15" i="1"/>
  <c r="T4" i="1" l="1"/>
  <c r="T16" i="1" l="1"/>
  <c r="AB12" i="1" l="1"/>
  <c r="Z12" i="1"/>
  <c r="L12" i="1"/>
  <c r="K12" i="1"/>
  <c r="J12" i="1"/>
  <c r="M12" i="1" l="1"/>
  <c r="AF16" i="1"/>
  <c r="AE16" i="1"/>
  <c r="H12" i="1" l="1"/>
  <c r="AB16" i="1"/>
  <c r="Z16" i="1"/>
  <c r="W16" i="1"/>
  <c r="V16" i="1"/>
  <c r="M16" i="1"/>
  <c r="L16" i="1"/>
  <c r="K16" i="1"/>
  <c r="J16" i="1"/>
  <c r="I16" i="1"/>
  <c r="H16" i="1"/>
  <c r="G16" i="1"/>
  <c r="F16" i="1"/>
  <c r="E16" i="1"/>
  <c r="D16" i="1"/>
  <c r="AF12" i="1"/>
  <c r="AE12" i="1"/>
  <c r="T12" i="1"/>
  <c r="G12" i="1"/>
  <c r="E12" i="1"/>
  <c r="D12" i="1"/>
  <c r="S12" i="1" l="1"/>
  <c r="R12" i="1"/>
  <c r="Q12" i="1"/>
  <c r="P12" i="1"/>
  <c r="I12" i="1"/>
  <c r="O12" i="1" s="1"/>
  <c r="U16" i="1"/>
  <c r="N12" i="1"/>
  <c r="U12" i="1"/>
  <c r="F12" i="1"/>
  <c r="AB13" i="1"/>
  <c r="Z13" i="1"/>
  <c r="W13" i="1"/>
  <c r="AB15" i="1" l="1"/>
  <c r="J13" i="1" l="1"/>
  <c r="L13" i="1"/>
  <c r="K13" i="1"/>
  <c r="M13" i="1" l="1"/>
  <c r="AA13" i="1" l="1"/>
  <c r="AA12" i="1" l="1"/>
  <c r="M4" i="1"/>
  <c r="L4" i="1"/>
  <c r="K4" i="1"/>
  <c r="J4" i="1"/>
  <c r="I4" i="1"/>
  <c r="H4" i="1"/>
  <c r="AB4" i="1"/>
  <c r="AA4" i="1"/>
  <c r="Z4" i="1"/>
  <c r="Y4" i="1"/>
  <c r="X4" i="1"/>
  <c r="Y7" i="1" l="1"/>
  <c r="X7" i="1"/>
  <c r="W7" i="1"/>
  <c r="V7" i="1"/>
  <c r="T7" i="1"/>
  <c r="M7" i="1"/>
  <c r="L7" i="1"/>
  <c r="K7" i="1"/>
  <c r="J7" i="1"/>
  <c r="I7" i="1"/>
  <c r="H7" i="1"/>
  <c r="AF13" i="1" l="1"/>
  <c r="AE13" i="1"/>
  <c r="T13" i="1"/>
  <c r="I13" i="1"/>
  <c r="H13" i="1"/>
  <c r="G13" i="1"/>
  <c r="F13" i="1"/>
  <c r="E13" i="1"/>
  <c r="D13" i="1"/>
  <c r="U13" i="1" l="1"/>
  <c r="S13" i="1"/>
  <c r="R13" i="1"/>
  <c r="N13" i="1"/>
  <c r="O13" i="1"/>
  <c r="AF15" i="1"/>
  <c r="AE15" i="1"/>
  <c r="Z15" i="1"/>
  <c r="W15" i="1"/>
  <c r="V15" i="1"/>
  <c r="J15" i="1"/>
  <c r="I15" i="1"/>
  <c r="H15" i="1"/>
  <c r="G15" i="1"/>
  <c r="F15" i="1"/>
  <c r="E15" i="1"/>
  <c r="D15" i="1"/>
  <c r="U15" i="1" l="1"/>
  <c r="Y8" i="1"/>
  <c r="X8" i="1"/>
  <c r="W8" i="1"/>
  <c r="V8" i="1"/>
  <c r="T8" i="1"/>
  <c r="M8" i="1"/>
  <c r="L8" i="1"/>
  <c r="K8" i="1"/>
  <c r="I8" i="1"/>
  <c r="H8" i="1"/>
  <c r="W4" i="1" l="1"/>
  <c r="V4" i="1"/>
  <c r="W17" i="1" l="1"/>
  <c r="V17" i="1"/>
  <c r="M17" i="1"/>
  <c r="L17" i="1"/>
  <c r="K17" i="1"/>
  <c r="J17" i="1"/>
  <c r="I17" i="1"/>
  <c r="H17" i="1"/>
  <c r="AB10" i="1" l="1"/>
  <c r="AA10" i="1"/>
  <c r="Z10" i="1"/>
  <c r="W10" i="1"/>
  <c r="V10" i="1"/>
  <c r="T10" i="1"/>
  <c r="M10" i="1"/>
  <c r="L10" i="1"/>
  <c r="K10" i="1"/>
  <c r="J10" i="1"/>
  <c r="I10" i="1"/>
  <c r="H10" i="1"/>
  <c r="AA16" i="1" l="1"/>
  <c r="F10" i="1"/>
  <c r="H9" i="1" l="1"/>
  <c r="Y6" i="1" l="1"/>
  <c r="X6" i="1"/>
  <c r="W6" i="1"/>
  <c r="V6" i="1"/>
  <c r="T6" i="1"/>
  <c r="M6" i="1"/>
  <c r="L6" i="1"/>
  <c r="K6" i="1"/>
  <c r="J6" i="1"/>
  <c r="I6" i="1"/>
  <c r="H6" i="1"/>
  <c r="F6" i="1" l="1"/>
  <c r="AB6" i="1" l="1"/>
  <c r="AA6" i="1"/>
  <c r="Z6" i="1"/>
  <c r="Z8" i="1" l="1"/>
  <c r="AB8" i="1" l="1"/>
  <c r="AF14" i="1" l="1"/>
  <c r="AE14" i="1"/>
  <c r="AB17" i="1" l="1"/>
  <c r="Z17" i="1"/>
  <c r="AB14" i="1" l="1"/>
  <c r="AB11" i="1" l="1"/>
  <c r="AA11" i="1"/>
  <c r="AF17" i="1" l="1"/>
  <c r="AE17" i="1"/>
  <c r="AF7" i="1" l="1"/>
  <c r="AE7" i="1"/>
  <c r="AB7" i="1"/>
  <c r="AA7" i="1"/>
  <c r="AF10" i="1" l="1"/>
  <c r="AE10" i="1"/>
  <c r="AF8" i="1" l="1"/>
  <c r="AE8" i="1"/>
  <c r="AB9" i="1" l="1"/>
  <c r="AF9" i="1"/>
  <c r="AE9" i="1"/>
  <c r="AF6" i="1" l="1"/>
  <c r="AE6" i="1"/>
  <c r="AF5" i="1" l="1"/>
  <c r="AF4" i="1" l="1"/>
  <c r="AE4" i="1"/>
  <c r="AE5" i="1"/>
  <c r="AB5" i="1"/>
  <c r="AB3" i="1" s="1"/>
  <c r="F4" i="1" l="1"/>
  <c r="Z11" i="1" l="1"/>
  <c r="G11" i="1" l="1"/>
  <c r="F11" i="1"/>
  <c r="E11" i="1"/>
  <c r="D11" i="1"/>
  <c r="Q11" i="1" l="1"/>
  <c r="P11" i="1"/>
  <c r="O11" i="1"/>
  <c r="N11" i="1"/>
  <c r="U11" i="1"/>
  <c r="S11" i="1"/>
  <c r="R11" i="1"/>
  <c r="Z14" i="1"/>
  <c r="G14" i="1" l="1"/>
  <c r="F14" i="1"/>
  <c r="E14" i="1"/>
  <c r="D14" i="1"/>
  <c r="Z7" i="1"/>
  <c r="G7" i="1" l="1"/>
  <c r="U7" i="1" s="1"/>
  <c r="F7" i="1"/>
  <c r="E7" i="1"/>
  <c r="D7" i="1"/>
  <c r="P7" i="1" l="1"/>
  <c r="O7" i="1"/>
  <c r="R7" i="1"/>
  <c r="N7" i="1"/>
  <c r="S7" i="1"/>
  <c r="Q7" i="1"/>
  <c r="Z9" i="1" l="1"/>
  <c r="Z5" i="1" l="1"/>
  <c r="Z3" i="1" l="1"/>
  <c r="V3" i="1" l="1"/>
  <c r="D10" i="1" l="1"/>
  <c r="E10" i="1"/>
  <c r="G10" i="1" l="1"/>
  <c r="U10" i="1" s="1"/>
  <c r="S10" i="1" l="1"/>
  <c r="R10" i="1"/>
  <c r="Q10" i="1"/>
  <c r="P10" i="1"/>
  <c r="O10" i="1"/>
  <c r="N10" i="1"/>
  <c r="F5" i="1"/>
  <c r="E5" i="1"/>
  <c r="D5" i="1"/>
  <c r="G5" i="1" l="1"/>
  <c r="F8" i="1"/>
  <c r="E8" i="1"/>
  <c r="D8" i="1"/>
  <c r="P5" i="1" l="1"/>
  <c r="N5" i="1"/>
  <c r="O5" i="1"/>
  <c r="U5" i="1"/>
  <c r="Q5" i="1"/>
  <c r="R5" i="1"/>
  <c r="S5" i="1"/>
  <c r="G8" i="1"/>
  <c r="U8" i="1" s="1"/>
  <c r="O8" i="1" l="1"/>
  <c r="N8" i="1"/>
  <c r="S8" i="1"/>
  <c r="R8" i="1"/>
  <c r="Q8" i="1"/>
  <c r="F17" i="1"/>
  <c r="E17" i="1"/>
  <c r="D17" i="1"/>
  <c r="G17" i="1" l="1"/>
  <c r="U17" i="1" s="1"/>
  <c r="E9" i="1"/>
  <c r="E4" i="1"/>
  <c r="R17" i="1" l="1"/>
  <c r="S17" i="1"/>
  <c r="D9" i="1"/>
  <c r="F9" i="1" l="1"/>
  <c r="G9" i="1" s="1"/>
  <c r="U9" i="1" s="1"/>
  <c r="N9" i="1" l="1"/>
  <c r="D6" i="1"/>
  <c r="E6" i="1" l="1"/>
  <c r="G6" i="1" l="1"/>
  <c r="S6" i="1" l="1"/>
  <c r="U6" i="1"/>
  <c r="P6" i="1"/>
  <c r="Q6" i="1"/>
  <c r="R6" i="1"/>
  <c r="O6" i="1"/>
  <c r="N6" i="1"/>
  <c r="D4" i="1"/>
  <c r="G4" i="1" l="1"/>
  <c r="N4" i="1" l="1"/>
  <c r="U4" i="1"/>
  <c r="U3" i="1" s="1"/>
  <c r="S4" i="1"/>
  <c r="O4" i="1"/>
  <c r="P4" i="1" l="1"/>
  <c r="Q4" i="1" l="1"/>
  <c r="R4" i="1" l="1"/>
  <c r="AA5" i="1" l="1"/>
  <c r="AA14" i="1" l="1"/>
  <c r="W3" i="1" l="1"/>
  <c r="X3" i="1" l="1"/>
  <c r="Y3" i="1" l="1"/>
  <c r="N3" i="1" l="1"/>
  <c r="J9" i="1" l="1"/>
  <c r="P9" i="1" s="1"/>
  <c r="K9" i="1" l="1"/>
  <c r="Q9" i="1" s="1"/>
  <c r="Q3" i="1" s="1"/>
  <c r="I9" i="1"/>
  <c r="O9" i="1" s="1"/>
  <c r="O3" i="1" s="1"/>
  <c r="L9" i="1" l="1"/>
  <c r="R9" i="1" s="1"/>
  <c r="R3" i="1" s="1"/>
  <c r="M9" i="1" l="1"/>
  <c r="S9" i="1" s="1"/>
  <c r="S3" i="1" s="1"/>
  <c r="AA9" i="1" l="1"/>
  <c r="K15" i="1" l="1"/>
  <c r="M15" i="1"/>
  <c r="L15" i="1"/>
  <c r="AA15" i="1" l="1"/>
  <c r="AA8" i="1" l="1"/>
  <c r="J8" i="1"/>
  <c r="P8" i="1" s="1"/>
  <c r="P3" i="1" s="1"/>
  <c r="AA17" i="1" l="1"/>
  <c r="AA3" i="1" s="1"/>
</calcChain>
</file>

<file path=xl/sharedStrings.xml><?xml version="1.0" encoding="utf-8"?>
<sst xmlns="http://schemas.openxmlformats.org/spreadsheetml/2006/main" count="73" uniqueCount="73">
  <si>
    <t>Company</t>
  </si>
  <si>
    <t>Tesla</t>
  </si>
  <si>
    <t>Volkswagen</t>
  </si>
  <si>
    <t>BMW</t>
  </si>
  <si>
    <t>Aston Martin</t>
  </si>
  <si>
    <t>Ticker</t>
  </si>
  <si>
    <t>TSLA US</t>
  </si>
  <si>
    <t>VOW DE</t>
  </si>
  <si>
    <t>BMW DE</t>
  </si>
  <si>
    <t>AML UK</t>
  </si>
  <si>
    <t>MC</t>
  </si>
  <si>
    <t>Price</t>
  </si>
  <si>
    <t>Net Cash</t>
  </si>
  <si>
    <t>Mercedes-Benz</t>
  </si>
  <si>
    <t>EV</t>
  </si>
  <si>
    <t>2023 EV/E</t>
  </si>
  <si>
    <t>2023 E</t>
  </si>
  <si>
    <t>2024 E</t>
  </si>
  <si>
    <t>2024 EV/E</t>
  </si>
  <si>
    <t>Toyota</t>
  </si>
  <si>
    <t>Ford</t>
  </si>
  <si>
    <t>Ferrari</t>
  </si>
  <si>
    <t>Honda</t>
  </si>
  <si>
    <t>General Motors</t>
  </si>
  <si>
    <t>PACCAR</t>
  </si>
  <si>
    <t>Geely</t>
  </si>
  <si>
    <t>Hyundai</t>
  </si>
  <si>
    <t>NIO</t>
  </si>
  <si>
    <t>Subaru</t>
  </si>
  <si>
    <t>Nissan</t>
  </si>
  <si>
    <t>Renault</t>
  </si>
  <si>
    <t>7203 JP</t>
  </si>
  <si>
    <t>F US</t>
  </si>
  <si>
    <t>RACE IT</t>
  </si>
  <si>
    <t>2025 EV/E</t>
  </si>
  <si>
    <t>GM US</t>
  </si>
  <si>
    <t>Discount</t>
  </si>
  <si>
    <t>Industry Average</t>
  </si>
  <si>
    <t>7267 JP</t>
  </si>
  <si>
    <t>RNO FR</t>
  </si>
  <si>
    <t>Variance</t>
  </si>
  <si>
    <t>Consensus</t>
  </si>
  <si>
    <t>Founded</t>
  </si>
  <si>
    <t>Updated</t>
  </si>
  <si>
    <t>Earnings Call</t>
  </si>
  <si>
    <t>Kia</t>
  </si>
  <si>
    <t>2025 E</t>
  </si>
  <si>
    <t>2026 E</t>
  </si>
  <si>
    <t>2027 E</t>
  </si>
  <si>
    <t>2028 E</t>
  </si>
  <si>
    <t>2026 EV/E</t>
  </si>
  <si>
    <t>2027 EV/E</t>
  </si>
  <si>
    <t>2028 EV/E</t>
  </si>
  <si>
    <t>MBG DE</t>
  </si>
  <si>
    <t>BYD</t>
  </si>
  <si>
    <t>Daimler Trucks</t>
  </si>
  <si>
    <t>DTG DE</t>
  </si>
  <si>
    <t>Rivian</t>
  </si>
  <si>
    <t>RIVN US</t>
  </si>
  <si>
    <t>Volvo</t>
  </si>
  <si>
    <t>Stellantis</t>
  </si>
  <si>
    <t>STLA IT</t>
  </si>
  <si>
    <t>2014*</t>
  </si>
  <si>
    <t>Porsche</t>
  </si>
  <si>
    <t>P911 DE</t>
  </si>
  <si>
    <t>Lucid</t>
  </si>
  <si>
    <t>LCID US</t>
  </si>
  <si>
    <t>2025 Rev</t>
  </si>
  <si>
    <t>2025 EV/R</t>
  </si>
  <si>
    <t>2025 GM%</t>
  </si>
  <si>
    <t>2025 OM%</t>
  </si>
  <si>
    <t>2024 RevG</t>
  </si>
  <si>
    <t>2025 RevG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</si>
</sst>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\x"/>
    <numFmt numFmtId="165" formatCode="[$$-409]#,##0"/>
    <numFmt numFmtId="166" formatCode="[$£-809]#,##0"/>
    <numFmt numFmtId="167" formatCode="[$$-409]#,##0.00"/>
    <numFmt numFmtId="168" formatCode="#,##0.00\ [$€-1]"/>
    <numFmt numFmtId="169" formatCode="&quot;£&quot;#,##0.00"/>
    <numFmt numFmtId="170" formatCode="#,##0\ [$€-1]"/>
    <numFmt numFmtId="171" formatCode="#,##0.00\ [$€-484]"/>
    <numFmt numFmtId="172" formatCode="#,##0.00\ [$€-407]"/>
    <numFmt numFmtId="173" formatCode="#,##0\ [$€-407]"/>
    <numFmt numFmtId="174" formatCode="0.0\x"/>
  </numFmts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u/>
      <sz val="11"/>
      <color rgb="FFC00000"/>
      <name val="Calibri"/>
      <family val="2"/>
      <scheme val="minor"/>
    </font>
    <font>
      <i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4" fillId="2" borderId="0" xfId="0" applyFont="1" applyFill="1"/>
    <xf numFmtId="0" fontId="4" fillId="2" borderId="1" xfId="0" applyFont="1" applyFill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/>
    <xf numFmtId="164" fontId="3" fillId="2" borderId="1" xfId="0" applyNumberFormat="1" applyFont="1" applyFill="1" applyBorder="1" applyAlignment="1">
      <alignment horizontal="center"/>
    </xf>
    <xf numFmtId="9" fontId="3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0" fontId="7" fillId="2" borderId="1" xfId="1" applyFont="1" applyFill="1" applyBorder="1"/>
    <xf numFmtId="167" fontId="4" fillId="2" borderId="1" xfId="0" applyNumberFormat="1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9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4" fontId="4" fillId="2" borderId="1" xfId="0" applyNumberFormat="1" applyFont="1" applyFill="1" applyBorder="1" applyAlignment="1">
      <alignment horizontal="center"/>
    </xf>
    <xf numFmtId="168" fontId="4" fillId="2" borderId="1" xfId="0" applyNumberFormat="1" applyFont="1" applyFill="1" applyBorder="1" applyAlignment="1">
      <alignment horizontal="center"/>
    </xf>
    <xf numFmtId="170" fontId="4" fillId="2" borderId="1" xfId="0" applyNumberFormat="1" applyFont="1" applyFill="1" applyBorder="1" applyAlignment="1">
      <alignment horizontal="center"/>
    </xf>
    <xf numFmtId="169" fontId="4" fillId="2" borderId="1" xfId="0" applyNumberFormat="1" applyFont="1" applyFill="1" applyBorder="1" applyAlignment="1">
      <alignment horizontal="center"/>
    </xf>
    <xf numFmtId="166" fontId="4" fillId="2" borderId="1" xfId="0" applyNumberFormat="1" applyFont="1" applyFill="1" applyBorder="1" applyAlignment="1">
      <alignment horizontal="center"/>
    </xf>
    <xf numFmtId="0" fontId="1" fillId="2" borderId="1" xfId="1" applyFill="1" applyBorder="1"/>
    <xf numFmtId="171" fontId="4" fillId="2" borderId="1" xfId="0" applyNumberFormat="1" applyFont="1" applyFill="1" applyBorder="1" applyAlignment="1">
      <alignment horizontal="center"/>
    </xf>
    <xf numFmtId="0" fontId="8" fillId="2" borderId="1" xfId="1" applyFont="1" applyFill="1" applyBorder="1"/>
    <xf numFmtId="172" fontId="4" fillId="2" borderId="1" xfId="0" applyNumberFormat="1" applyFont="1" applyFill="1" applyBorder="1" applyAlignment="1">
      <alignment horizontal="center"/>
    </xf>
    <xf numFmtId="0" fontId="1" fillId="3" borderId="1" xfId="1" applyFill="1" applyBorder="1"/>
    <xf numFmtId="174" fontId="4" fillId="2" borderId="1" xfId="0" applyNumberFormat="1" applyFont="1" applyFill="1" applyBorder="1" applyAlignment="1">
      <alignment horizontal="center"/>
    </xf>
    <xf numFmtId="174" fontId="3" fillId="2" borderId="1" xfId="0" applyNumberFormat="1" applyFont="1" applyFill="1" applyBorder="1" applyAlignment="1">
      <alignment horizontal="center"/>
    </xf>
    <xf numFmtId="165" fontId="9" fillId="2" borderId="1" xfId="0" applyNumberFormat="1" applyFont="1" applyFill="1" applyBorder="1" applyAlignment="1">
      <alignment horizontal="center"/>
    </xf>
    <xf numFmtId="170" fontId="9" fillId="2" borderId="1" xfId="0" applyNumberFormat="1" applyFont="1" applyFill="1" applyBorder="1" applyAlignment="1">
      <alignment horizontal="center"/>
    </xf>
    <xf numFmtId="173" fontId="9" fillId="2" borderId="1" xfId="0" applyNumberFormat="1" applyFont="1" applyFill="1" applyBorder="1" applyAlignment="1">
      <alignment horizontal="center"/>
    </xf>
    <xf numFmtId="174" fontId="9" fillId="2" borderId="1" xfId="0" applyNumberFormat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esktop\Financial%20Analysis\TSLA.xlsx" TargetMode="External"/><Relationship Id="rId1" Type="http://schemas.openxmlformats.org/officeDocument/2006/relationships/externalLinkPath" Target="TSL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TM.xlsx" TargetMode="External"/><Relationship Id="rId1" Type="http://schemas.openxmlformats.org/officeDocument/2006/relationships/externalLinkPath" Target="TM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VOW.xlsx" TargetMode="External"/><Relationship Id="rId1" Type="http://schemas.openxmlformats.org/officeDocument/2006/relationships/externalLinkPath" Target="VOW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GM.xlsx" TargetMode="External"/><Relationship Id="rId1" Type="http://schemas.openxmlformats.org/officeDocument/2006/relationships/externalLinkPath" Target="GM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F.xlsx" TargetMode="External"/><Relationship Id="rId1" Type="http://schemas.openxmlformats.org/officeDocument/2006/relationships/externalLinkPath" Target="F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DAI.xlsx" TargetMode="External"/><Relationship Id="rId1" Type="http://schemas.openxmlformats.org/officeDocument/2006/relationships/externalLinkPath" Target="DAI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BMW.xlsx" TargetMode="External"/><Relationship Id="rId1" Type="http://schemas.openxmlformats.org/officeDocument/2006/relationships/externalLinkPath" Target="BMW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7267.xlsx" TargetMode="External"/><Relationship Id="rId1" Type="http://schemas.openxmlformats.org/officeDocument/2006/relationships/externalLinkPath" Target="7267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P911.xlsx" TargetMode="External"/><Relationship Id="rId1" Type="http://schemas.openxmlformats.org/officeDocument/2006/relationships/externalLinkPath" Target="P911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STLA.xlsx" TargetMode="External"/><Relationship Id="rId1" Type="http://schemas.openxmlformats.org/officeDocument/2006/relationships/externalLinkPath" Target="STL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RACE.xlsx" TargetMode="External"/><Relationship Id="rId1" Type="http://schemas.openxmlformats.org/officeDocument/2006/relationships/externalLinkPath" Target="RACE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RIVN.xlsx" TargetMode="External"/><Relationship Id="rId1" Type="http://schemas.openxmlformats.org/officeDocument/2006/relationships/externalLinkPath" Target="RIVN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LCID.xlsx" TargetMode="External"/><Relationship Id="rId1" Type="http://schemas.openxmlformats.org/officeDocument/2006/relationships/externalLinkPath" Target="LCID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AML.xlsx" TargetMode="External"/><Relationship Id="rId1" Type="http://schemas.openxmlformats.org/officeDocument/2006/relationships/externalLinkPath" Target="AM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312.60000000000002</v>
          </cell>
          <cell r="E3">
            <v>45862</v>
          </cell>
          <cell r="G3">
            <v>45945</v>
          </cell>
        </row>
        <row r="5">
          <cell r="D5">
            <v>1007509.8</v>
          </cell>
        </row>
        <row r="8">
          <cell r="D8">
            <v>29562</v>
          </cell>
        </row>
      </sheetData>
      <sheetData sheetId="1">
        <row r="6">
          <cell r="AW6">
            <v>64034.32</v>
          </cell>
        </row>
        <row r="27">
          <cell r="AU27">
            <v>14997</v>
          </cell>
          <cell r="AV27">
            <v>7091</v>
          </cell>
          <cell r="AW27">
            <v>3108.4869984000024</v>
          </cell>
          <cell r="AX27">
            <v>6756.6394432400202</v>
          </cell>
          <cell r="AY27">
            <v>7545.3029727164021</v>
          </cell>
          <cell r="AZ27">
            <v>8985.0711792893107</v>
          </cell>
        </row>
        <row r="31">
          <cell r="BJ31">
            <v>0.05</v>
          </cell>
        </row>
        <row r="36">
          <cell r="AP36">
            <v>0.82516435758086049</v>
          </cell>
          <cell r="AQ36">
            <v>0.14528823258046342</v>
          </cell>
        </row>
        <row r="37">
          <cell r="BJ37">
            <v>-0.69705744731799135</v>
          </cell>
        </row>
        <row r="38">
          <cell r="BJ38" t="str">
            <v>Heavily overvalued</v>
          </cell>
        </row>
        <row r="42">
          <cell r="AU42">
            <v>0.18248891736331416</v>
          </cell>
        </row>
        <row r="45">
          <cell r="AU45">
            <v>9.1874799789197395E-2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Currency"/>
    </sheetNames>
    <sheetDataSet>
      <sheetData sheetId="0">
        <row r="3">
          <cell r="D3">
            <v>193.01</v>
          </cell>
          <cell r="E3">
            <v>45904</v>
          </cell>
          <cell r="G3">
            <v>45959</v>
          </cell>
        </row>
        <row r="5">
          <cell r="D5">
            <v>251548.00289999999</v>
          </cell>
        </row>
        <row r="10">
          <cell r="D10">
            <v>-165794.88908367607</v>
          </cell>
        </row>
      </sheetData>
      <sheetData sheetId="1">
        <row r="3">
          <cell r="AO3">
            <v>336849.65383318724</v>
          </cell>
        </row>
        <row r="17">
          <cell r="AL17">
            <v>16541.824556671836</v>
          </cell>
          <cell r="AM17">
            <v>33341.865012473871</v>
          </cell>
          <cell r="AN17">
            <v>32129.215831703863</v>
          </cell>
          <cell r="AO17">
            <v>31093.189943334906</v>
          </cell>
          <cell r="AP17">
            <v>31960.129021656801</v>
          </cell>
          <cell r="AQ17">
            <v>32363.77480878443</v>
          </cell>
        </row>
        <row r="21">
          <cell r="AN21">
            <v>6.5225807774974331E-2</v>
          </cell>
          <cell r="AO21">
            <v>4.0000000000000036E-2</v>
          </cell>
        </row>
        <row r="22">
          <cell r="AO22">
            <v>0.19</v>
          </cell>
        </row>
        <row r="23">
          <cell r="AO23">
            <v>9.2356294694349347E-2</v>
          </cell>
        </row>
        <row r="24">
          <cell r="BA24">
            <v>0.05</v>
          </cell>
        </row>
        <row r="30">
          <cell r="BA30">
            <v>0.7738605857035239</v>
          </cell>
        </row>
        <row r="31">
          <cell r="BA31" t="str">
            <v>Heavily undervalued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101.3</v>
          </cell>
          <cell r="E3">
            <v>45863</v>
          </cell>
          <cell r="G3">
            <v>45960</v>
          </cell>
        </row>
        <row r="5">
          <cell r="D5">
            <v>50781.69</v>
          </cell>
        </row>
        <row r="8">
          <cell r="D8">
            <v>-193006</v>
          </cell>
        </row>
      </sheetData>
      <sheetData sheetId="1">
        <row r="3">
          <cell r="AO3">
            <v>322284</v>
          </cell>
        </row>
        <row r="14">
          <cell r="AO14">
            <v>16013</v>
          </cell>
          <cell r="AP14">
            <v>10721</v>
          </cell>
          <cell r="AQ14">
            <v>10128.217992400052</v>
          </cell>
          <cell r="AR14">
            <v>13477.080804900001</v>
          </cell>
          <cell r="AS14">
            <v>13611.851612949</v>
          </cell>
          <cell r="AT14">
            <v>13747.970129078481</v>
          </cell>
        </row>
        <row r="18">
          <cell r="AO18">
            <v>0.18934231919673331</v>
          </cell>
        </row>
        <row r="19">
          <cell r="AO19">
            <v>7.0050017996549627E-2</v>
          </cell>
        </row>
        <row r="22">
          <cell r="BD22">
            <v>0.06</v>
          </cell>
        </row>
        <row r="23">
          <cell r="AN23">
            <v>0.11603517186250989</v>
          </cell>
          <cell r="AO23">
            <v>0.15418003667201474</v>
          </cell>
        </row>
        <row r="28">
          <cell r="BD28">
            <v>-0.53295190785462565</v>
          </cell>
        </row>
        <row r="29">
          <cell r="BD29" t="str">
            <v>Heavily overvalued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52.41</v>
          </cell>
          <cell r="E3">
            <v>45863</v>
          </cell>
          <cell r="G3">
            <v>45951</v>
          </cell>
        </row>
        <row r="5">
          <cell r="D5">
            <v>49899.561000000002</v>
          </cell>
        </row>
        <row r="8">
          <cell r="D8">
            <v>-105189</v>
          </cell>
        </row>
        <row r="9">
          <cell r="D9">
            <v>155088.56099999999</v>
          </cell>
        </row>
      </sheetData>
      <sheetData sheetId="1">
        <row r="3">
          <cell r="AO3">
            <v>171842</v>
          </cell>
        </row>
        <row r="16">
          <cell r="AO16">
            <v>10128</v>
          </cell>
          <cell r="AP16">
            <v>6009</v>
          </cell>
          <cell r="AQ16">
            <v>10270.633839999999</v>
          </cell>
          <cell r="AR16">
            <v>10558.670929120002</v>
          </cell>
          <cell r="AS16">
            <v>10828.330555136961</v>
          </cell>
          <cell r="AT16">
            <v>11083.806976747897</v>
          </cell>
        </row>
        <row r="20">
          <cell r="AO20">
            <v>0.17755845485969671</v>
          </cell>
        </row>
        <row r="21">
          <cell r="AO21">
            <v>5.4107843251358805E-2</v>
          </cell>
        </row>
        <row r="23">
          <cell r="AN23">
            <v>0.23409498913420057</v>
          </cell>
          <cell r="AO23">
            <v>9.63856190385044E-2</v>
          </cell>
        </row>
        <row r="25">
          <cell r="BD25">
            <v>7.0000000000000007E-2</v>
          </cell>
        </row>
        <row r="31">
          <cell r="BD31">
            <v>-0.1271295548656699</v>
          </cell>
        </row>
        <row r="32">
          <cell r="BD32" t="str">
            <v>Slightly overvalued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10.67</v>
          </cell>
          <cell r="E3">
            <v>45869</v>
          </cell>
          <cell r="G3">
            <v>45952</v>
          </cell>
        </row>
        <row r="5">
          <cell r="D5">
            <v>42466.6</v>
          </cell>
        </row>
        <row r="8">
          <cell r="D8">
            <v>-113353</v>
          </cell>
        </row>
      </sheetData>
      <sheetData sheetId="1">
        <row r="3">
          <cell r="AO3">
            <v>176191</v>
          </cell>
        </row>
        <row r="13">
          <cell r="AO13">
            <v>4347</v>
          </cell>
          <cell r="AP13">
            <v>5879</v>
          </cell>
          <cell r="AQ13">
            <v>1239.4415999999778</v>
          </cell>
          <cell r="AR13">
            <v>4261.1494255000007</v>
          </cell>
          <cell r="AS13">
            <v>6642.8283350600059</v>
          </cell>
          <cell r="AT13">
            <v>7185.6523113568019</v>
          </cell>
        </row>
        <row r="17">
          <cell r="AO17">
            <v>0.14552956734452951</v>
          </cell>
        </row>
        <row r="18">
          <cell r="AO18">
            <v>3.0977745741836985E-2</v>
          </cell>
        </row>
        <row r="20">
          <cell r="BD20">
            <v>0.05</v>
          </cell>
        </row>
        <row r="21">
          <cell r="AN21">
            <v>0.15927710666637318</v>
          </cell>
          <cell r="AO21">
            <v>0.1147307616872395</v>
          </cell>
        </row>
        <row r="26">
          <cell r="BD26">
            <v>-0.61304644993749069</v>
          </cell>
        </row>
        <row r="27">
          <cell r="BD27" t="str">
            <v>Heavily overvalued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53.35</v>
          </cell>
          <cell r="E3">
            <v>45899</v>
          </cell>
          <cell r="G3">
            <v>45959</v>
          </cell>
        </row>
        <row r="5">
          <cell r="D5">
            <v>51370.715000000004</v>
          </cell>
        </row>
      </sheetData>
      <sheetData sheetId="1">
        <row r="3">
          <cell r="AQ3">
            <v>136129.82</v>
          </cell>
        </row>
        <row r="20">
          <cell r="AO20">
            <v>14261</v>
          </cell>
          <cell r="AP20">
            <v>10207</v>
          </cell>
          <cell r="AQ20">
            <v>6865.0766200000116</v>
          </cell>
          <cell r="AR20">
            <v>9707.9691296400015</v>
          </cell>
          <cell r="AS20">
            <v>9880.0234676748005</v>
          </cell>
          <cell r="AT20">
            <v>10945.714426085773</v>
          </cell>
        </row>
        <row r="24">
          <cell r="AP24">
            <v>-4.9759166677544431E-2</v>
          </cell>
          <cell r="AQ24">
            <v>-6.5003914996497048E-2</v>
          </cell>
        </row>
        <row r="25">
          <cell r="AQ25">
            <v>0.19067507765748909</v>
          </cell>
        </row>
        <row r="26">
          <cell r="AQ26">
            <v>6.9121053711817232E-2</v>
          </cell>
        </row>
        <row r="27">
          <cell r="BD27">
            <v>7.0000000000000007E-2</v>
          </cell>
        </row>
        <row r="29">
          <cell r="BD29">
            <v>-83984</v>
          </cell>
        </row>
        <row r="33">
          <cell r="BD33">
            <v>0.1368869007603799</v>
          </cell>
        </row>
        <row r="34">
          <cell r="BD34" t="str">
            <v>Slightly undervalued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88.28</v>
          </cell>
          <cell r="E3">
            <v>45904</v>
          </cell>
          <cell r="G3">
            <v>45966</v>
          </cell>
        </row>
        <row r="5">
          <cell r="D5">
            <v>54362.824000000008</v>
          </cell>
        </row>
        <row r="8">
          <cell r="D8">
            <v>-88259</v>
          </cell>
        </row>
      </sheetData>
      <sheetData sheetId="1">
        <row r="3">
          <cell r="AO3">
            <v>155498</v>
          </cell>
        </row>
        <row r="14">
          <cell r="AO14">
            <v>11290</v>
          </cell>
          <cell r="AP14">
            <v>7290</v>
          </cell>
          <cell r="AQ14">
            <v>7270.331340000007</v>
          </cell>
          <cell r="AR14">
            <v>9446.2380771600037</v>
          </cell>
          <cell r="AS14">
            <v>10846.165776798605</v>
          </cell>
          <cell r="AT14">
            <v>11071.284089391702</v>
          </cell>
        </row>
        <row r="18">
          <cell r="AN18">
            <v>0.28201440142396095</v>
          </cell>
          <cell r="AO18">
            <v>9.0372344155388751E-2</v>
          </cell>
        </row>
        <row r="19">
          <cell r="AQ19">
            <v>0.16677202510748795</v>
          </cell>
        </row>
        <row r="20">
          <cell r="AQ20">
            <v>8.3169312663695386E-2</v>
          </cell>
        </row>
        <row r="21">
          <cell r="BD21">
            <v>7.0000000000000007E-2</v>
          </cell>
        </row>
        <row r="27">
          <cell r="BD27">
            <v>9.5647188673537054E-2</v>
          </cell>
        </row>
        <row r="28">
          <cell r="BD28" t="str">
            <v>Fairly valued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Currency"/>
    </sheetNames>
    <sheetDataSet>
      <sheetData sheetId="0">
        <row r="3">
          <cell r="D3">
            <v>33.54</v>
          </cell>
          <cell r="E3">
            <v>45904</v>
          </cell>
          <cell r="G3">
            <v>45966</v>
          </cell>
        </row>
        <row r="5">
          <cell r="D5">
            <v>48593.869999999995</v>
          </cell>
        </row>
        <row r="10">
          <cell r="D10">
            <v>-38276.555023923451</v>
          </cell>
        </row>
        <row r="11">
          <cell r="D11">
            <v>86870.425023923453</v>
          </cell>
        </row>
      </sheetData>
      <sheetData sheetId="1">
        <row r="3">
          <cell r="J3">
            <v>146160.57011928028</v>
          </cell>
        </row>
        <row r="17">
          <cell r="H17">
            <v>5865.9360469034309</v>
          </cell>
          <cell r="I17">
            <v>6638.4488173057462</v>
          </cell>
          <cell r="J17">
            <v>4895.8762045959938</v>
          </cell>
          <cell r="K17">
            <v>5185.0613296044212</v>
          </cell>
          <cell r="L17">
            <v>5495.7142404744263</v>
          </cell>
          <cell r="M17">
            <v>5493.7143140376029</v>
          </cell>
        </row>
        <row r="21">
          <cell r="K21">
            <v>0.21</v>
          </cell>
        </row>
        <row r="22">
          <cell r="K22">
            <v>4.7337701119796835E-2</v>
          </cell>
        </row>
        <row r="26">
          <cell r="J26">
            <v>6.1675912273269962E-2</v>
          </cell>
          <cell r="K26">
            <v>3.0000000000000027E-2</v>
          </cell>
          <cell r="W26">
            <v>7.0000000000000007E-2</v>
          </cell>
        </row>
        <row r="32">
          <cell r="W32">
            <v>-0.33736259729222229</v>
          </cell>
        </row>
        <row r="33">
          <cell r="W33" t="str">
            <v>Overvalued</v>
          </cell>
        </row>
      </sheetData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41.45</v>
          </cell>
          <cell r="E3">
            <v>45923</v>
          </cell>
          <cell r="G3">
            <v>45954</v>
          </cell>
        </row>
        <row r="5">
          <cell r="D5">
            <v>37760.950000000004</v>
          </cell>
        </row>
        <row r="8">
          <cell r="D8">
            <v>-2528</v>
          </cell>
        </row>
        <row r="9">
          <cell r="D9">
            <v>40288.950000000004</v>
          </cell>
        </row>
      </sheetData>
      <sheetData sheetId="1">
        <row r="30">
          <cell r="V30">
            <v>40530</v>
          </cell>
        </row>
        <row r="49">
          <cell r="V49">
            <v>5156</v>
          </cell>
          <cell r="W49">
            <v>3593</v>
          </cell>
          <cell r="X49">
            <v>2058.3172399999958</v>
          </cell>
          <cell r="Y49">
            <v>3097.2513473999998</v>
          </cell>
          <cell r="Z49">
            <v>3707.8589376360001</v>
          </cell>
          <cell r="AA49">
            <v>4061.902063665601</v>
          </cell>
        </row>
        <row r="53">
          <cell r="W53">
            <v>-1.1028867505551432E-2</v>
          </cell>
          <cell r="X53">
            <v>-6.0456303170920433E-2</v>
          </cell>
        </row>
        <row r="54">
          <cell r="X54">
            <v>0.21190611563067488</v>
          </cell>
        </row>
        <row r="56">
          <cell r="AK56">
            <v>0.08</v>
          </cell>
        </row>
        <row r="57">
          <cell r="X57">
            <v>7.9327525715133795E-2</v>
          </cell>
        </row>
        <row r="62">
          <cell r="AK62">
            <v>0.32757142189307098</v>
          </cell>
        </row>
        <row r="63">
          <cell r="AK63" t="str">
            <v>Undervalued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7.5670000000000002</v>
          </cell>
          <cell r="E3">
            <v>45868</v>
          </cell>
          <cell r="G3">
            <v>45960</v>
          </cell>
        </row>
        <row r="5">
          <cell r="D5">
            <v>21812.6342</v>
          </cell>
        </row>
        <row r="8">
          <cell r="D8">
            <v>-10139</v>
          </cell>
        </row>
        <row r="9">
          <cell r="D9">
            <v>31951.6342</v>
          </cell>
        </row>
      </sheetData>
      <sheetData sheetId="1">
        <row r="10">
          <cell r="Q10">
            <v>189544</v>
          </cell>
        </row>
        <row r="24">
          <cell r="Q24">
            <v>18596</v>
          </cell>
          <cell r="R24">
            <v>5473</v>
          </cell>
          <cell r="S24">
            <v>-3955.4684000000334</v>
          </cell>
          <cell r="T24">
            <v>-980.07988364999983</v>
          </cell>
          <cell r="U24">
            <v>1842.0949888019975</v>
          </cell>
          <cell r="V24">
            <v>5262.873720354808</v>
          </cell>
        </row>
        <row r="35">
          <cell r="Q35">
            <v>5.5414495077731774E-2</v>
          </cell>
        </row>
        <row r="36">
          <cell r="S36">
            <v>8.5394651372724173E-2</v>
          </cell>
        </row>
        <row r="38">
          <cell r="AF38">
            <v>0.09</v>
          </cell>
        </row>
        <row r="39">
          <cell r="S39">
            <v>-3.1254943975238522E-2</v>
          </cell>
        </row>
        <row r="44">
          <cell r="AF44">
            <v>1.6974869917057078</v>
          </cell>
        </row>
        <row r="45">
          <cell r="AF45" t="str">
            <v>Heavily undervalued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163.80000000000001</v>
          </cell>
          <cell r="E3">
            <v>44257</v>
          </cell>
          <cell r="G3">
            <v>44320</v>
          </cell>
        </row>
        <row r="5">
          <cell r="D5">
            <v>31760.820000000003</v>
          </cell>
        </row>
        <row r="8">
          <cell r="D8">
            <v>5460.6</v>
          </cell>
        </row>
        <row r="9">
          <cell r="D9">
            <v>26300.22</v>
          </cell>
        </row>
      </sheetData>
      <sheetData sheetId="1">
        <row r="23">
          <cell r="AI23">
            <v>0.06</v>
          </cell>
        </row>
        <row r="29">
          <cell r="AI29">
            <v>-0.19255438000847924</v>
          </cell>
        </row>
        <row r="30">
          <cell r="AI30" t="str">
            <v>Slightly overvalued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13.57</v>
          </cell>
          <cell r="E3">
            <v>45899</v>
          </cell>
          <cell r="G3">
            <v>45966</v>
          </cell>
        </row>
        <row r="5">
          <cell r="D5">
            <v>16465.838000000003</v>
          </cell>
        </row>
        <row r="8">
          <cell r="D8">
            <v>3259</v>
          </cell>
        </row>
        <row r="9">
          <cell r="D9">
            <v>13206.838000000003</v>
          </cell>
        </row>
      </sheetData>
      <sheetData sheetId="1">
        <row r="5">
          <cell r="Z5">
            <v>5583</v>
          </cell>
        </row>
        <row r="21">
          <cell r="X21">
            <v>-5432</v>
          </cell>
          <cell r="Y21">
            <v>-4747</v>
          </cell>
          <cell r="Z21">
            <v>-2883.1596</v>
          </cell>
          <cell r="AA21">
            <v>-2176.9613879999993</v>
          </cell>
          <cell r="AB21">
            <v>-1518.9675790080003</v>
          </cell>
          <cell r="AC21">
            <v>-1276.1137779020798</v>
          </cell>
        </row>
        <row r="27">
          <cell r="W27">
            <v>29.145454545454545</v>
          </cell>
          <cell r="X27">
            <v>1.6743063932448732</v>
          </cell>
        </row>
        <row r="30">
          <cell r="Z30">
            <v>0.10388679921189324</v>
          </cell>
        </row>
        <row r="31">
          <cell r="AN31">
            <v>0.09</v>
          </cell>
        </row>
        <row r="33">
          <cell r="Z33">
            <v>-0.53904703564391909</v>
          </cell>
        </row>
        <row r="38">
          <cell r="AN38" t="str">
            <v>Heavily overvalued</v>
          </cell>
        </row>
        <row r="82">
          <cell r="AN82">
            <v>-0.77098230893300101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1.98</v>
          </cell>
          <cell r="E3">
            <v>45889</v>
          </cell>
          <cell r="G3">
            <v>45972</v>
          </cell>
        </row>
        <row r="5">
          <cell r="D5">
            <v>6083.55</v>
          </cell>
        </row>
        <row r="8">
          <cell r="D8">
            <v>1563.6</v>
          </cell>
        </row>
        <row r="9">
          <cell r="D9">
            <v>4519.9500000000007</v>
          </cell>
        </row>
      </sheetData>
      <sheetData sheetId="1">
        <row r="6">
          <cell r="AD6">
            <v>1191.3249999999998</v>
          </cell>
        </row>
        <row r="17">
          <cell r="AB17">
            <v>-2828.3</v>
          </cell>
          <cell r="AC17">
            <v>-2714.0000000000005</v>
          </cell>
          <cell r="AD17">
            <v>-1573.4800000000002</v>
          </cell>
          <cell r="AE17">
            <v>-1338.9207800000001</v>
          </cell>
          <cell r="AF17">
            <v>-909.73493530000019</v>
          </cell>
          <cell r="AG17">
            <v>-460.13275752800018</v>
          </cell>
        </row>
        <row r="26">
          <cell r="AA26">
            <v>21.44280442804428</v>
          </cell>
          <cell r="AB26">
            <v>-2.1210128247287185E-2</v>
          </cell>
        </row>
        <row r="27">
          <cell r="AD27">
            <v>-0.6</v>
          </cell>
        </row>
        <row r="28">
          <cell r="AQ28">
            <v>0.09</v>
          </cell>
        </row>
        <row r="31">
          <cell r="AD31">
            <v>-2.3225232409292178</v>
          </cell>
        </row>
        <row r="34">
          <cell r="AQ34">
            <v>-0.1348443553182711</v>
          </cell>
        </row>
        <row r="35">
          <cell r="AQ35" t="str">
            <v>Slightly overvalued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0.71850000000000003</v>
          </cell>
          <cell r="E3">
            <v>45869</v>
          </cell>
          <cell r="G3">
            <v>45961</v>
          </cell>
        </row>
        <row r="5">
          <cell r="D5">
            <v>686.52674999999999</v>
          </cell>
        </row>
        <row r="8">
          <cell r="D8">
            <v>-1169.8</v>
          </cell>
        </row>
      </sheetData>
      <sheetData sheetId="1">
        <row r="3">
          <cell r="AN3">
            <v>1631.4170000000001</v>
          </cell>
        </row>
        <row r="15">
          <cell r="AL15">
            <v>-228.10000000000014</v>
          </cell>
          <cell r="AM15">
            <v>-323.49999999999989</v>
          </cell>
          <cell r="AN15">
            <v>-169.45059199999997</v>
          </cell>
          <cell r="AO15">
            <v>-24.605004735999863</v>
          </cell>
          <cell r="AP15">
            <v>83.85838662611188</v>
          </cell>
          <cell r="AQ15">
            <v>165.4102204171208</v>
          </cell>
        </row>
        <row r="19">
          <cell r="AK19">
            <v>0.26129827444535758</v>
          </cell>
          <cell r="AL19">
            <v>0.18190372783206654</v>
          </cell>
          <cell r="BA19">
            <v>0.1</v>
          </cell>
        </row>
        <row r="20">
          <cell r="AN20">
            <v>0.37</v>
          </cell>
        </row>
        <row r="21">
          <cell r="AN21">
            <v>-1.5595791879084222E-2</v>
          </cell>
        </row>
        <row r="25">
          <cell r="BA25">
            <v>-0.3508624801279675</v>
          </cell>
        </row>
        <row r="26">
          <cell r="BA26" t="str">
            <v>Overvalued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GM.xlsx" TargetMode="External"/><Relationship Id="rId13" Type="http://schemas.openxmlformats.org/officeDocument/2006/relationships/hyperlink" Target="STLA.xlsx" TargetMode="External"/><Relationship Id="rId3" Type="http://schemas.openxmlformats.org/officeDocument/2006/relationships/hyperlink" Target="DAI.xlsx" TargetMode="External"/><Relationship Id="rId7" Type="http://schemas.openxmlformats.org/officeDocument/2006/relationships/hyperlink" Target="BMW.xlsx" TargetMode="External"/><Relationship Id="rId12" Type="http://schemas.openxmlformats.org/officeDocument/2006/relationships/hyperlink" Target="RIVN.xlsx" TargetMode="External"/><Relationship Id="rId2" Type="http://schemas.openxmlformats.org/officeDocument/2006/relationships/hyperlink" Target="VOW.xlsx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TSLA.xlsx" TargetMode="External"/><Relationship Id="rId6" Type="http://schemas.openxmlformats.org/officeDocument/2006/relationships/hyperlink" Target="F.xlsx" TargetMode="External"/><Relationship Id="rId11" Type="http://schemas.openxmlformats.org/officeDocument/2006/relationships/hyperlink" Target="DTG.xlsx" TargetMode="External"/><Relationship Id="rId5" Type="http://schemas.openxmlformats.org/officeDocument/2006/relationships/hyperlink" Target="TM.xlsx" TargetMode="External"/><Relationship Id="rId15" Type="http://schemas.openxmlformats.org/officeDocument/2006/relationships/hyperlink" Target="LCID.xlsx" TargetMode="External"/><Relationship Id="rId10" Type="http://schemas.openxmlformats.org/officeDocument/2006/relationships/hyperlink" Target="7267.xlsx" TargetMode="External"/><Relationship Id="rId4" Type="http://schemas.openxmlformats.org/officeDocument/2006/relationships/hyperlink" Target="AML.xlsx" TargetMode="External"/><Relationship Id="rId9" Type="http://schemas.openxmlformats.org/officeDocument/2006/relationships/hyperlink" Target="RACE.xlsx" TargetMode="External"/><Relationship Id="rId14" Type="http://schemas.openxmlformats.org/officeDocument/2006/relationships/hyperlink" Target="P911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6B80D-B75F-4E09-8164-CA6226650D59}">
  <sheetPr codeName="Sheet1"/>
  <dimension ref="B1:AF28"/>
  <sheetViews>
    <sheetView tabSelected="1" zoomScaleNormal="100" workbookViewId="0">
      <pane xSplit="2" ySplit="2" topLeftCell="Q3" activePane="bottomRight" state="frozen"/>
      <selection pane="topRight" activeCell="C1" sqref="C1"/>
      <selection pane="bottomLeft" activeCell="A3" sqref="A3"/>
      <selection pane="bottomRight" activeCell="AA15" sqref="AA15"/>
    </sheetView>
  </sheetViews>
  <sheetFormatPr defaultRowHeight="14.4" x14ac:dyDescent="0.3"/>
  <cols>
    <col min="1" max="1" width="8.88671875" style="2"/>
    <col min="2" max="2" width="15.44140625" style="2" bestFit="1" customWidth="1"/>
    <col min="3" max="4" width="9.33203125" style="15" customWidth="1"/>
    <col min="5" max="7" width="9.33203125" style="11" customWidth="1"/>
    <col min="8" max="13" width="6.44140625" style="11" customWidth="1"/>
    <col min="14" max="19" width="9.6640625" style="11" customWidth="1"/>
    <col min="20" max="20" width="11" style="11" bestFit="1" customWidth="1"/>
    <col min="21" max="21" width="11" style="11" customWidth="1"/>
    <col min="22" max="23" width="9.6640625" style="11" customWidth="1"/>
    <col min="24" max="25" width="9.6640625" style="14" customWidth="1"/>
    <col min="26" max="26" width="8.33203125" style="14" bestFit="1" customWidth="1"/>
    <col min="27" max="27" width="8.33203125" style="14" customWidth="1"/>
    <col min="28" max="28" width="18.44140625" style="14" bestFit="1" customWidth="1"/>
    <col min="29" max="29" width="9.33203125" style="15" customWidth="1"/>
    <col min="30" max="30" width="9.33203125" style="2" customWidth="1"/>
    <col min="31" max="31" width="10.5546875" style="15" bestFit="1" customWidth="1"/>
    <col min="32" max="32" width="11.5546875" style="15" bestFit="1" customWidth="1"/>
    <col min="33" max="34" width="9.33203125" style="2" customWidth="1"/>
    <col min="35" max="16384" width="8.88671875" style="2"/>
  </cols>
  <sheetData>
    <row r="1" spans="2:32" x14ac:dyDescent="0.3"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E1" s="2"/>
      <c r="AF1" s="2"/>
    </row>
    <row r="2" spans="2:32" x14ac:dyDescent="0.3">
      <c r="B2" s="3" t="s">
        <v>0</v>
      </c>
      <c r="C2" s="4" t="s">
        <v>5</v>
      </c>
      <c r="D2" s="4" t="s">
        <v>11</v>
      </c>
      <c r="E2" s="4" t="s">
        <v>10</v>
      </c>
      <c r="F2" s="4" t="s">
        <v>12</v>
      </c>
      <c r="G2" s="4" t="s">
        <v>14</v>
      </c>
      <c r="H2" s="4" t="s">
        <v>16</v>
      </c>
      <c r="I2" s="4" t="s">
        <v>17</v>
      </c>
      <c r="J2" s="4" t="s">
        <v>46</v>
      </c>
      <c r="K2" s="4" t="s">
        <v>47</v>
      </c>
      <c r="L2" s="4" t="s">
        <v>48</v>
      </c>
      <c r="M2" s="4" t="s">
        <v>49</v>
      </c>
      <c r="N2" s="4" t="s">
        <v>15</v>
      </c>
      <c r="O2" s="4" t="s">
        <v>18</v>
      </c>
      <c r="P2" s="4" t="s">
        <v>34</v>
      </c>
      <c r="Q2" s="4" t="s">
        <v>50</v>
      </c>
      <c r="R2" s="4" t="s">
        <v>51</v>
      </c>
      <c r="S2" s="4" t="s">
        <v>52</v>
      </c>
      <c r="T2" s="4" t="s">
        <v>67</v>
      </c>
      <c r="U2" s="4" t="s">
        <v>68</v>
      </c>
      <c r="V2" s="4" t="s">
        <v>71</v>
      </c>
      <c r="W2" s="4" t="s">
        <v>72</v>
      </c>
      <c r="X2" s="4" t="s">
        <v>69</v>
      </c>
      <c r="Y2" s="4" t="s">
        <v>70</v>
      </c>
      <c r="Z2" s="4" t="s">
        <v>36</v>
      </c>
      <c r="AA2" s="4" t="s">
        <v>40</v>
      </c>
      <c r="AB2" s="4" t="s">
        <v>41</v>
      </c>
      <c r="AC2" s="4" t="s">
        <v>42</v>
      </c>
      <c r="AE2" s="4" t="s">
        <v>43</v>
      </c>
      <c r="AF2" s="4" t="s">
        <v>44</v>
      </c>
    </row>
    <row r="3" spans="2:32" x14ac:dyDescent="0.3">
      <c r="B3" s="5" t="s">
        <v>37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6">
        <f t="shared" ref="N3:U3" si="0">TRIMMEAN(N4:N1048576,80%)</f>
        <v>15.016831977855155</v>
      </c>
      <c r="O3" s="6">
        <f t="shared" si="0"/>
        <v>16.412502823367006</v>
      </c>
      <c r="P3" s="6">
        <f t="shared" si="0"/>
        <v>19.635704216861978</v>
      </c>
      <c r="Q3" s="6">
        <f t="shared" si="0"/>
        <v>15.513504835381363</v>
      </c>
      <c r="R3" s="6">
        <f t="shared" si="0"/>
        <v>15.824896923557986</v>
      </c>
      <c r="S3" s="6">
        <f t="shared" si="0"/>
        <v>13.25662183271748</v>
      </c>
      <c r="T3" s="4"/>
      <c r="U3" s="27">
        <f t="shared" si="0"/>
        <v>0.96851754398012357</v>
      </c>
      <c r="V3" s="7">
        <f t="shared" ref="V3:AA3" si="1">TRIMMEAN(V4:V1048576,80%)</f>
        <v>0.19267638552711031</v>
      </c>
      <c r="W3" s="7">
        <f t="shared" si="1"/>
        <v>8.0724152757208303E-2</v>
      </c>
      <c r="X3" s="7">
        <f t="shared" si="1"/>
        <v>0.1831298971399147</v>
      </c>
      <c r="Y3" s="7">
        <f t="shared" si="1"/>
        <v>5.6855532694324286E-2</v>
      </c>
      <c r="Z3" s="7">
        <f t="shared" si="1"/>
        <v>7.0000000000000007E-2</v>
      </c>
      <c r="AA3" s="7">
        <f t="shared" si="1"/>
        <v>-0.19797272187116063</v>
      </c>
      <c r="AB3" s="8" t="str">
        <f>INDEX(AB4:AB17,MODE(MATCH(AB4:AB17,AB4:AB17,0)))</f>
        <v>Heavily overvalued</v>
      </c>
      <c r="AC3" s="2"/>
      <c r="AE3" s="2"/>
      <c r="AF3" s="2"/>
    </row>
    <row r="4" spans="2:32" x14ac:dyDescent="0.3">
      <c r="B4" s="21" t="s">
        <v>1</v>
      </c>
      <c r="C4" s="15" t="s">
        <v>6</v>
      </c>
      <c r="D4" s="10">
        <f>[1]Main!$D$3</f>
        <v>312.60000000000002</v>
      </c>
      <c r="E4" s="11">
        <f>[1]Main!$D$5</f>
        <v>1007509.8</v>
      </c>
      <c r="F4" s="11">
        <f>[1]Main!$D$8</f>
        <v>29562</v>
      </c>
      <c r="G4" s="11">
        <f>E4-F4</f>
        <v>977947.8</v>
      </c>
      <c r="H4" s="11">
        <f>[1]Model!AU$27</f>
        <v>14997</v>
      </c>
      <c r="I4" s="11">
        <f>[1]Model!AV$27</f>
        <v>7091</v>
      </c>
      <c r="J4" s="11">
        <f>[1]Model!AW$27</f>
        <v>3108.4869984000024</v>
      </c>
      <c r="K4" s="11">
        <f>[1]Model!AX$27</f>
        <v>6756.6394432400202</v>
      </c>
      <c r="L4" s="11">
        <f>[1]Model!AY$27</f>
        <v>7545.3029727164021</v>
      </c>
      <c r="M4" s="11">
        <f>[1]Model!AZ$27</f>
        <v>8985.0711792893107</v>
      </c>
      <c r="N4" s="12">
        <f t="shared" ref="N4:S4" si="2">$G4/H4</f>
        <v>65.209561912382483</v>
      </c>
      <c r="O4" s="12">
        <f t="shared" si="2"/>
        <v>137.91394725708645</v>
      </c>
      <c r="P4" s="12">
        <f t="shared" si="2"/>
        <v>314.60572313906039</v>
      </c>
      <c r="Q4" s="12">
        <f t="shared" si="2"/>
        <v>144.73878741279162</v>
      </c>
      <c r="R4" s="12">
        <f t="shared" si="2"/>
        <v>129.61014336153644</v>
      </c>
      <c r="S4" s="12">
        <f t="shared" si="2"/>
        <v>108.84140820767014</v>
      </c>
      <c r="T4" s="13">
        <f>[1]Model!$AW$6</f>
        <v>64034.32</v>
      </c>
      <c r="U4" s="26">
        <f>G4/T4</f>
        <v>15.272244633815118</v>
      </c>
      <c r="V4" s="14">
        <f>[1]Model!$AP$36</f>
        <v>0.82516435758086049</v>
      </c>
      <c r="W4" s="14">
        <f>[1]Model!$AQ$36</f>
        <v>0.14528823258046342</v>
      </c>
      <c r="X4" s="32">
        <f>[1]Model!$AU$42</f>
        <v>0.18248891736331416</v>
      </c>
      <c r="Y4" s="32">
        <f>[1]Model!$AU$45</f>
        <v>9.1874799789197395E-2</v>
      </c>
      <c r="Z4" s="14">
        <f>[1]Model!$BJ$31</f>
        <v>0.05</v>
      </c>
      <c r="AA4" s="14">
        <f>[1]Model!$BJ$37</f>
        <v>-0.69705744731799135</v>
      </c>
      <c r="AB4" s="14" t="str">
        <f>[1]Model!$BJ$38</f>
        <v>Heavily overvalued</v>
      </c>
      <c r="AC4" s="15">
        <v>2003</v>
      </c>
      <c r="AE4" s="16">
        <f>[1]Main!$E$3</f>
        <v>45862</v>
      </c>
      <c r="AF4" s="16">
        <f>[1]Main!$G$3</f>
        <v>45945</v>
      </c>
    </row>
    <row r="5" spans="2:32" x14ac:dyDescent="0.3">
      <c r="B5" s="9" t="s">
        <v>19</v>
      </c>
      <c r="C5" s="15" t="s">
        <v>31</v>
      </c>
      <c r="D5" s="10">
        <f>[2]Main!$D$3</f>
        <v>193.01</v>
      </c>
      <c r="E5" s="11">
        <f>[2]Main!$D$5</f>
        <v>251548.00289999999</v>
      </c>
      <c r="F5" s="11">
        <f>[2]Main!$D$10</f>
        <v>-165794.88908367607</v>
      </c>
      <c r="G5" s="11">
        <f>E5-F5</f>
        <v>417342.89198367606</v>
      </c>
      <c r="H5" s="11">
        <f>[2]Model!AL$17</f>
        <v>16541.824556671836</v>
      </c>
      <c r="I5" s="11">
        <f>[2]Model!AM$17</f>
        <v>33341.865012473871</v>
      </c>
      <c r="J5" s="11">
        <f>[2]Model!AN$17</f>
        <v>32129.215831703863</v>
      </c>
      <c r="K5" s="11">
        <f>[2]Model!AO$17</f>
        <v>31093.189943334906</v>
      </c>
      <c r="L5" s="11">
        <f>[2]Model!AP$17</f>
        <v>31960.129021656801</v>
      </c>
      <c r="M5" s="11">
        <f>[2]Model!AQ$17</f>
        <v>32363.77480878443</v>
      </c>
      <c r="N5" s="12">
        <f t="shared" ref="N5" si="3">$G5/H5</f>
        <v>25.229556180690395</v>
      </c>
      <c r="O5" s="12">
        <f t="shared" ref="O5" si="4">$G5/I5</f>
        <v>12.517083007430436</v>
      </c>
      <c r="P5" s="12">
        <f t="shared" ref="P5" si="5">$G5/J5</f>
        <v>12.989513786136614</v>
      </c>
      <c r="Q5" s="12">
        <f t="shared" ref="Q5" si="6">$G5/K5</f>
        <v>13.422324719472442</v>
      </c>
      <c r="R5" s="12">
        <f t="shared" ref="R5" si="7">$G5/L5</f>
        <v>13.058235519039252</v>
      </c>
      <c r="S5" s="12">
        <f t="shared" ref="S5" si="8">$G5/M5</f>
        <v>12.895371273884825</v>
      </c>
      <c r="T5" s="13">
        <f>[2]Model!$AO$3</f>
        <v>336849.65383318724</v>
      </c>
      <c r="U5" s="26">
        <f>G5/T5</f>
        <v>1.2389589457329537</v>
      </c>
      <c r="V5" s="14">
        <f>[2]Model!AN$21</f>
        <v>6.5225807774974331E-2</v>
      </c>
      <c r="W5" s="14">
        <f>[2]Model!AO$21</f>
        <v>4.0000000000000036E-2</v>
      </c>
      <c r="X5" s="14">
        <f>[2]Model!$AO$22</f>
        <v>0.19</v>
      </c>
      <c r="Y5" s="14">
        <f>[2]Model!$AO$23</f>
        <v>9.2356294694349347E-2</v>
      </c>
      <c r="Z5" s="14">
        <f>[2]Model!$BA$24</f>
        <v>0.05</v>
      </c>
      <c r="AA5" s="14">
        <f>[2]Model!$BA$30</f>
        <v>0.7738605857035239</v>
      </c>
      <c r="AB5" s="14" t="str">
        <f>[2]Model!$BA$31</f>
        <v>Heavily undervalued</v>
      </c>
      <c r="AC5" s="15">
        <v>1937</v>
      </c>
      <c r="AE5" s="16">
        <f>[2]Main!$E$3</f>
        <v>45904</v>
      </c>
      <c r="AF5" s="16">
        <f>[2]Main!$G$3</f>
        <v>45959</v>
      </c>
    </row>
    <row r="6" spans="2:32" x14ac:dyDescent="0.3">
      <c r="B6" s="9" t="s">
        <v>2</v>
      </c>
      <c r="C6" s="15" t="s">
        <v>7</v>
      </c>
      <c r="D6" s="17">
        <f>[3]Main!$D$3</f>
        <v>101.3</v>
      </c>
      <c r="E6" s="11">
        <f>[3]Main!$D$5</f>
        <v>50781.69</v>
      </c>
      <c r="F6" s="11">
        <f>[3]Main!$D$8</f>
        <v>-193006</v>
      </c>
      <c r="G6" s="11">
        <f>E6-F6</f>
        <v>243787.69</v>
      </c>
      <c r="H6" s="11">
        <f>[3]Model!AO14</f>
        <v>16013</v>
      </c>
      <c r="I6" s="11">
        <f>[3]Model!AP14</f>
        <v>10721</v>
      </c>
      <c r="J6" s="11">
        <f>[3]Model!AQ14</f>
        <v>10128.217992400052</v>
      </c>
      <c r="K6" s="11">
        <f>[3]Model!AR14</f>
        <v>13477.080804900001</v>
      </c>
      <c r="L6" s="11">
        <f>[3]Model!AS14</f>
        <v>13611.851612949</v>
      </c>
      <c r="M6" s="11">
        <f>[3]Model!AT14</f>
        <v>13747.970129078481</v>
      </c>
      <c r="N6" s="12">
        <f t="shared" ref="N6:S10" si="9">$G6/H6</f>
        <v>15.224360831824143</v>
      </c>
      <c r="O6" s="12">
        <f t="shared" si="9"/>
        <v>22.739267792183565</v>
      </c>
      <c r="P6" s="12">
        <f t="shared" si="9"/>
        <v>24.070146414989473</v>
      </c>
      <c r="Q6" s="12">
        <f t="shared" si="9"/>
        <v>18.089057528790924</v>
      </c>
      <c r="R6" s="12">
        <f t="shared" si="9"/>
        <v>17.909957949297947</v>
      </c>
      <c r="S6" s="12">
        <f t="shared" si="9"/>
        <v>17.732631632968275</v>
      </c>
      <c r="T6" s="29">
        <f>[3]Model!$AO$3</f>
        <v>322284</v>
      </c>
      <c r="U6" s="31">
        <f t="shared" ref="U6:U11" si="10">G6/T6</f>
        <v>0.75643745888719272</v>
      </c>
      <c r="V6" s="14">
        <f>[3]Model!$AN$23</f>
        <v>0.11603517186250989</v>
      </c>
      <c r="W6" s="14">
        <f>[3]Model!$AO$23</f>
        <v>0.15418003667201474</v>
      </c>
      <c r="X6" s="32">
        <f>[3]Model!$AO$18</f>
        <v>0.18934231919673331</v>
      </c>
      <c r="Y6" s="32">
        <f>[3]Model!$AO$19</f>
        <v>7.0050017996549627E-2</v>
      </c>
      <c r="Z6" s="14">
        <f>[3]Model!$BD$22</f>
        <v>0.06</v>
      </c>
      <c r="AA6" s="14">
        <f>[3]Model!$BD$28</f>
        <v>-0.53295190785462565</v>
      </c>
      <c r="AB6" s="14" t="str">
        <f>[3]Model!$BD$29</f>
        <v>Heavily overvalued</v>
      </c>
      <c r="AC6" s="15">
        <v>1937</v>
      </c>
      <c r="AE6" s="16">
        <f>[3]Main!$E$3</f>
        <v>45863</v>
      </c>
      <c r="AF6" s="16">
        <f>[3]Main!$G$3</f>
        <v>45960</v>
      </c>
    </row>
    <row r="7" spans="2:32" x14ac:dyDescent="0.3">
      <c r="B7" s="9" t="s">
        <v>23</v>
      </c>
      <c r="C7" s="15" t="s">
        <v>35</v>
      </c>
      <c r="D7" s="10">
        <f>[4]Main!$D$3</f>
        <v>52.41</v>
      </c>
      <c r="E7" s="11">
        <f>[4]Main!$D$5</f>
        <v>49899.561000000002</v>
      </c>
      <c r="F7" s="11">
        <f>[4]Main!$D$8</f>
        <v>-105189</v>
      </c>
      <c r="G7" s="11">
        <f>[4]Main!$D$9</f>
        <v>155088.56099999999</v>
      </c>
      <c r="H7" s="11">
        <f>[4]Model!AO$16</f>
        <v>10128</v>
      </c>
      <c r="I7" s="11">
        <f>[4]Model!AP$16</f>
        <v>6009</v>
      </c>
      <c r="J7" s="11">
        <f>[4]Model!AQ$16</f>
        <v>10270.633839999999</v>
      </c>
      <c r="K7" s="11">
        <f>[4]Model!AR$16</f>
        <v>10558.670929120002</v>
      </c>
      <c r="L7" s="11">
        <f>[4]Model!AS$16</f>
        <v>10828.330555136961</v>
      </c>
      <c r="M7" s="11">
        <f>[4]Model!AT$16</f>
        <v>11083.806976747897</v>
      </c>
      <c r="N7" s="12">
        <f t="shared" si="9"/>
        <v>15.312851599526065</v>
      </c>
      <c r="O7" s="12">
        <f t="shared" si="9"/>
        <v>25.809379430853717</v>
      </c>
      <c r="P7" s="12">
        <f t="shared" si="9"/>
        <v>15.10019375785672</v>
      </c>
      <c r="Q7" s="12">
        <f t="shared" si="9"/>
        <v>14.688265411537513</v>
      </c>
      <c r="R7" s="12">
        <f t="shared" si="9"/>
        <v>14.322481218162107</v>
      </c>
      <c r="S7" s="12">
        <f t="shared" si="9"/>
        <v>13.992354912472912</v>
      </c>
      <c r="T7" s="28">
        <f>[4]Model!$AO$3</f>
        <v>171842</v>
      </c>
      <c r="U7" s="31">
        <f t="shared" si="10"/>
        <v>0.90250672710978685</v>
      </c>
      <c r="V7" s="14">
        <f>[4]Model!AN$23</f>
        <v>0.23409498913420057</v>
      </c>
      <c r="W7" s="14">
        <f>[4]Model!AO$23</f>
        <v>9.63856190385044E-2</v>
      </c>
      <c r="X7" s="32">
        <f>[4]Model!$AO$20</f>
        <v>0.17755845485969671</v>
      </c>
      <c r="Y7" s="32">
        <f>[4]Model!$AO$21</f>
        <v>5.4107843251358805E-2</v>
      </c>
      <c r="Z7" s="14">
        <f>[4]Model!$BD$25</f>
        <v>7.0000000000000007E-2</v>
      </c>
      <c r="AA7" s="14">
        <f>[4]Model!$BD$31</f>
        <v>-0.1271295548656699</v>
      </c>
      <c r="AB7" s="14" t="str">
        <f>[4]Model!$BD$32</f>
        <v>Slightly overvalued</v>
      </c>
      <c r="AC7" s="15">
        <v>1908</v>
      </c>
      <c r="AE7" s="16">
        <f>[4]Main!$E$3</f>
        <v>45863</v>
      </c>
      <c r="AF7" s="16">
        <f>[4]Main!$G$3</f>
        <v>45951</v>
      </c>
    </row>
    <row r="8" spans="2:32" x14ac:dyDescent="0.3">
      <c r="B8" s="9" t="s">
        <v>20</v>
      </c>
      <c r="C8" s="15" t="s">
        <v>32</v>
      </c>
      <c r="D8" s="10">
        <f>[5]Main!$D$3</f>
        <v>10.67</v>
      </c>
      <c r="E8" s="11">
        <f>[5]Main!$D$5</f>
        <v>42466.6</v>
      </c>
      <c r="F8" s="11">
        <f>[5]Main!$D$8</f>
        <v>-113353</v>
      </c>
      <c r="G8" s="11">
        <f>E8-F8</f>
        <v>155819.6</v>
      </c>
      <c r="H8" s="11">
        <f>[5]Model!AO$13</f>
        <v>4347</v>
      </c>
      <c r="I8" s="11">
        <f>[5]Model!AP$13</f>
        <v>5879</v>
      </c>
      <c r="J8" s="11">
        <f>[5]Model!AQ$13</f>
        <v>1239.4415999999778</v>
      </c>
      <c r="K8" s="11">
        <f>[5]Model!AR$13</f>
        <v>4261.1494255000007</v>
      </c>
      <c r="L8" s="11">
        <f>[5]Model!AS$13</f>
        <v>6642.8283350600059</v>
      </c>
      <c r="M8" s="11">
        <f>[5]Model!AT$13</f>
        <v>7185.6523113568019</v>
      </c>
      <c r="N8" s="12">
        <f t="shared" si="9"/>
        <v>35.845318610536005</v>
      </c>
      <c r="O8" s="12">
        <f t="shared" si="9"/>
        <v>26.504439530532405</v>
      </c>
      <c r="P8" s="12">
        <f t="shared" si="9"/>
        <v>125.71758120753958</v>
      </c>
      <c r="Q8" s="12">
        <f t="shared" si="9"/>
        <v>36.567504314100937</v>
      </c>
      <c r="R8" s="12">
        <f t="shared" si="9"/>
        <v>23.456815702673499</v>
      </c>
      <c r="S8" s="12">
        <f t="shared" si="9"/>
        <v>21.684823207174908</v>
      </c>
      <c r="T8" s="28">
        <f>[5]Model!$AO$3</f>
        <v>176191</v>
      </c>
      <c r="U8" s="31">
        <f t="shared" si="10"/>
        <v>0.88437888427899269</v>
      </c>
      <c r="V8" s="14">
        <f>[5]Model!$AN$21</f>
        <v>0.15927710666637318</v>
      </c>
      <c r="W8" s="14">
        <f>[5]Model!$AO$21</f>
        <v>0.1147307616872395</v>
      </c>
      <c r="X8" s="32">
        <f>[5]Model!$AO$17</f>
        <v>0.14552956734452951</v>
      </c>
      <c r="Y8" s="32">
        <f>[5]Model!$AO$18</f>
        <v>3.0977745741836985E-2</v>
      </c>
      <c r="Z8" s="14">
        <f>[5]Model!$BD$20</f>
        <v>0.05</v>
      </c>
      <c r="AA8" s="14">
        <f>[5]Model!$BD$26</f>
        <v>-0.61304644993749069</v>
      </c>
      <c r="AB8" s="14" t="str">
        <f>[5]Model!$BD$27</f>
        <v>Heavily overvalued</v>
      </c>
      <c r="AC8" s="15">
        <v>1903</v>
      </c>
      <c r="AE8" s="16">
        <f>[5]Main!$E$3</f>
        <v>45869</v>
      </c>
      <c r="AF8" s="16">
        <f>[5]Main!$G$3</f>
        <v>45952</v>
      </c>
    </row>
    <row r="9" spans="2:32" x14ac:dyDescent="0.3">
      <c r="B9" s="9" t="s">
        <v>13</v>
      </c>
      <c r="C9" s="15" t="s">
        <v>53</v>
      </c>
      <c r="D9" s="17">
        <f>[6]Main!$D$3</f>
        <v>53.35</v>
      </c>
      <c r="E9" s="11">
        <f>[6]Main!$D$5</f>
        <v>51370.715000000004</v>
      </c>
      <c r="F9" s="11">
        <f>[6]Model!$BD$29</f>
        <v>-83984</v>
      </c>
      <c r="G9" s="11">
        <f>E9-F9</f>
        <v>135354.715</v>
      </c>
      <c r="H9" s="11">
        <f>[6]Model!AO20</f>
        <v>14261</v>
      </c>
      <c r="I9" s="11">
        <f>[6]Model!AP20</f>
        <v>10207</v>
      </c>
      <c r="J9" s="11">
        <f>[6]Model!AQ20</f>
        <v>6865.0766200000116</v>
      </c>
      <c r="K9" s="11">
        <f>[6]Model!AR20</f>
        <v>9707.9691296400015</v>
      </c>
      <c r="L9" s="11">
        <f>[6]Model!AS20</f>
        <v>9880.0234676748005</v>
      </c>
      <c r="M9" s="11">
        <f>[6]Model!AT20</f>
        <v>10945.714426085773</v>
      </c>
      <c r="N9" s="12">
        <f t="shared" ref="N9:S9" si="11">$G9/H9</f>
        <v>9.491249912348362</v>
      </c>
      <c r="O9" s="12">
        <f t="shared" si="11"/>
        <v>13.260969432742236</v>
      </c>
      <c r="P9" s="12">
        <f t="shared" si="11"/>
        <v>19.71641723643279</v>
      </c>
      <c r="Q9" s="12">
        <f t="shared" si="11"/>
        <v>13.942639618284337</v>
      </c>
      <c r="R9" s="12">
        <f t="shared" si="11"/>
        <v>13.699837398448492</v>
      </c>
      <c r="S9" s="12">
        <f t="shared" si="11"/>
        <v>12.366000950785205</v>
      </c>
      <c r="T9" s="18">
        <f>[6]Model!$AQ$3</f>
        <v>136129.82</v>
      </c>
      <c r="U9" s="26">
        <f t="shared" si="10"/>
        <v>0.99430613365976672</v>
      </c>
      <c r="V9" s="14">
        <f>[6]Model!AP$24</f>
        <v>-4.9759166677544431E-2</v>
      </c>
      <c r="W9" s="14">
        <f>[6]Model!AQ$24</f>
        <v>-6.5003914996497048E-2</v>
      </c>
      <c r="X9" s="14">
        <f>[6]Model!$AQ$25</f>
        <v>0.19067507765748909</v>
      </c>
      <c r="Y9" s="14">
        <f>[6]Model!$AQ$26</f>
        <v>6.9121053711817232E-2</v>
      </c>
      <c r="Z9" s="14">
        <f>[6]Model!$BD$27</f>
        <v>7.0000000000000007E-2</v>
      </c>
      <c r="AA9" s="14">
        <f>[6]Model!$BD$33</f>
        <v>0.1368869007603799</v>
      </c>
      <c r="AB9" s="14" t="str">
        <f>[6]Model!$BD$34</f>
        <v>Slightly undervalued</v>
      </c>
      <c r="AC9" s="15">
        <v>1926</v>
      </c>
      <c r="AE9" s="16">
        <f>[6]Main!$E$3</f>
        <v>45899</v>
      </c>
      <c r="AF9" s="16">
        <f>[6]Main!$G$3</f>
        <v>45959</v>
      </c>
    </row>
    <row r="10" spans="2:32" x14ac:dyDescent="0.3">
      <c r="B10" s="9" t="s">
        <v>3</v>
      </c>
      <c r="C10" s="15" t="s">
        <v>8</v>
      </c>
      <c r="D10" s="17">
        <f>[7]Main!$D$3</f>
        <v>88.28</v>
      </c>
      <c r="E10" s="11">
        <f>[7]Main!$D$5</f>
        <v>54362.824000000008</v>
      </c>
      <c r="F10" s="11">
        <f>[7]Main!$D$8</f>
        <v>-88259</v>
      </c>
      <c r="G10" s="11">
        <f>E10-F10</f>
        <v>142621.82400000002</v>
      </c>
      <c r="H10" s="11">
        <f>[7]Model!AO14</f>
        <v>11290</v>
      </c>
      <c r="I10" s="11">
        <f>[7]Model!AP14</f>
        <v>7290</v>
      </c>
      <c r="J10" s="11">
        <f>[7]Model!AQ14</f>
        <v>7270.331340000007</v>
      </c>
      <c r="K10" s="11">
        <f>[7]Model!AR14</f>
        <v>9446.2380771600037</v>
      </c>
      <c r="L10" s="11">
        <f>[7]Model!AS14</f>
        <v>10846.165776798605</v>
      </c>
      <c r="M10" s="11">
        <f>[7]Model!AT14</f>
        <v>11071.284089391702</v>
      </c>
      <c r="N10" s="12">
        <f t="shared" si="9"/>
        <v>12.632579627989372</v>
      </c>
      <c r="O10" s="12">
        <f t="shared" si="9"/>
        <v>19.564036213991773</v>
      </c>
      <c r="P10" s="12">
        <f t="shared" si="9"/>
        <v>19.616963427144146</v>
      </c>
      <c r="Q10" s="12">
        <f t="shared" si="9"/>
        <v>15.098266932827405</v>
      </c>
      <c r="R10" s="12">
        <f t="shared" si="9"/>
        <v>13.149515408024383</v>
      </c>
      <c r="S10" s="12">
        <f t="shared" si="9"/>
        <v>12.882139311794699</v>
      </c>
      <c r="T10" s="29">
        <f>[7]Model!$AO$3</f>
        <v>155498</v>
      </c>
      <c r="U10" s="31">
        <f t="shared" si="10"/>
        <v>0.91719394461665116</v>
      </c>
      <c r="V10" s="14">
        <f>[7]Model!$AN$18</f>
        <v>0.28201440142396095</v>
      </c>
      <c r="W10" s="14">
        <f>[7]Model!$AO$18</f>
        <v>9.0372344155388751E-2</v>
      </c>
      <c r="X10" s="14">
        <f>[7]Model!$AQ$19</f>
        <v>0.16677202510748795</v>
      </c>
      <c r="Y10" s="14">
        <f>[7]Model!$AQ$20</f>
        <v>8.3169312663695386E-2</v>
      </c>
      <c r="Z10" s="14">
        <f>[7]Model!$BD$21</f>
        <v>7.0000000000000007E-2</v>
      </c>
      <c r="AA10" s="14">
        <f>[7]Model!$BD$27</f>
        <v>9.5647188673537054E-2</v>
      </c>
      <c r="AB10" s="14" t="str">
        <f>[7]Model!$BD$28</f>
        <v>Fairly valued</v>
      </c>
      <c r="AC10" s="15">
        <v>1916</v>
      </c>
      <c r="AE10" s="16">
        <f>[7]Main!$E$3</f>
        <v>45904</v>
      </c>
      <c r="AF10" s="16">
        <f>[7]Main!$G$3</f>
        <v>45966</v>
      </c>
    </row>
    <row r="11" spans="2:32" x14ac:dyDescent="0.3">
      <c r="B11" s="9" t="s">
        <v>22</v>
      </c>
      <c r="C11" s="15" t="s">
        <v>38</v>
      </c>
      <c r="D11" s="10">
        <f>[8]Main!$D$3</f>
        <v>33.54</v>
      </c>
      <c r="E11" s="11">
        <f>[8]Main!$D$5</f>
        <v>48593.869999999995</v>
      </c>
      <c r="F11" s="11">
        <f>[8]Main!$D$10</f>
        <v>-38276.555023923451</v>
      </c>
      <c r="G11" s="11">
        <f>[8]Main!$D$11</f>
        <v>86870.425023923453</v>
      </c>
      <c r="H11" s="11">
        <f>[8]Model!H$17</f>
        <v>5865.9360469034309</v>
      </c>
      <c r="I11" s="11">
        <f>[8]Model!I$17</f>
        <v>6638.4488173057462</v>
      </c>
      <c r="J11" s="11">
        <f>[8]Model!J$17</f>
        <v>4895.8762045959938</v>
      </c>
      <c r="K11" s="11">
        <f>[8]Model!K$17</f>
        <v>5185.0613296044212</v>
      </c>
      <c r="L11" s="11">
        <f>[8]Model!L$17</f>
        <v>5495.7142404744263</v>
      </c>
      <c r="M11" s="11">
        <f>[8]Model!M$17</f>
        <v>5493.7143140376029</v>
      </c>
      <c r="N11" s="12">
        <f t="shared" ref="N11" si="12">$G11/H11</f>
        <v>14.809303123886167</v>
      </c>
      <c r="O11" s="12">
        <f t="shared" ref="O11" si="13">$G11/I11</f>
        <v>13.085952368490254</v>
      </c>
      <c r="P11" s="12">
        <f t="shared" ref="P11" si="14">$G11/J11</f>
        <v>17.743591012855681</v>
      </c>
      <c r="Q11" s="12">
        <f t="shared" ref="Q11" si="15">$G11/K11</f>
        <v>16.75398216177917</v>
      </c>
      <c r="R11" s="12">
        <f t="shared" ref="R11" si="16">$G11/L11</f>
        <v>15.806939957712252</v>
      </c>
      <c r="S11" s="12">
        <f t="shared" ref="S11" si="17">$G11/M11</f>
        <v>15.812694300821418</v>
      </c>
      <c r="T11" s="13">
        <f>[8]Model!$J$3</f>
        <v>146160.57011928028</v>
      </c>
      <c r="U11" s="26">
        <f t="shared" si="10"/>
        <v>0.5943492485902957</v>
      </c>
      <c r="V11" s="14">
        <f>[8]Model!$J$26</f>
        <v>6.1675912273269962E-2</v>
      </c>
      <c r="W11" s="14">
        <f>[8]Model!$K$26</f>
        <v>3.0000000000000027E-2</v>
      </c>
      <c r="X11" s="14">
        <f>[8]Model!$K$21</f>
        <v>0.21</v>
      </c>
      <c r="Y11" s="14">
        <f>[8]Model!$K$22</f>
        <v>4.7337701119796835E-2</v>
      </c>
      <c r="Z11" s="14">
        <f>[8]Model!$W$26</f>
        <v>7.0000000000000007E-2</v>
      </c>
      <c r="AA11" s="14">
        <f>[8]Model!$W$32</f>
        <v>-0.33736259729222229</v>
      </c>
      <c r="AB11" s="14" t="str">
        <f>[8]Model!$W$33</f>
        <v>Overvalued</v>
      </c>
      <c r="AC11" s="15">
        <v>1948</v>
      </c>
      <c r="AE11" s="16">
        <f>[8]Main!$E$3</f>
        <v>45904</v>
      </c>
      <c r="AF11" s="16">
        <f>[8]Main!$G$3</f>
        <v>45966</v>
      </c>
    </row>
    <row r="12" spans="2:32" x14ac:dyDescent="0.3">
      <c r="B12" s="21" t="s">
        <v>63</v>
      </c>
      <c r="C12" s="15" t="s">
        <v>64</v>
      </c>
      <c r="D12" s="24">
        <f>[9]Main!$D$3</f>
        <v>41.45</v>
      </c>
      <c r="E12" s="11">
        <f>[9]Main!$D$5</f>
        <v>37760.950000000004</v>
      </c>
      <c r="F12" s="11">
        <f>[9]Main!$D$8</f>
        <v>-2528</v>
      </c>
      <c r="G12" s="11">
        <f>[9]Main!$D$9</f>
        <v>40288.950000000004</v>
      </c>
      <c r="H12" s="11">
        <f>[9]Model!V$49</f>
        <v>5156</v>
      </c>
      <c r="I12" s="11">
        <f>[9]Model!W$49</f>
        <v>3593</v>
      </c>
      <c r="J12" s="11">
        <f>[9]Model!X$49</f>
        <v>2058.3172399999958</v>
      </c>
      <c r="K12" s="11">
        <f>[9]Model!Y$49</f>
        <v>3097.2513473999998</v>
      </c>
      <c r="L12" s="11">
        <f>[9]Model!Z$49</f>
        <v>3707.8589376360001</v>
      </c>
      <c r="M12" s="11">
        <f>[9]Model!AA$49</f>
        <v>4061.902063665601</v>
      </c>
      <c r="N12" s="12">
        <f t="shared" ref="N12" si="18">$G12/H12</f>
        <v>7.8139934057408853</v>
      </c>
      <c r="O12" s="12">
        <f t="shared" ref="O12" si="19">$G12/I12</f>
        <v>11.213178402449207</v>
      </c>
      <c r="P12" s="12">
        <f t="shared" ref="P12" si="20">$G12/J12</f>
        <v>19.573731987009005</v>
      </c>
      <c r="Q12" s="12">
        <f t="shared" ref="Q12" si="21">$G12/K12</f>
        <v>13.007969157498543</v>
      </c>
      <c r="R12" s="12">
        <f t="shared" ref="R12" si="22">$G12/L12</f>
        <v>10.865825986812437</v>
      </c>
      <c r="S12" s="12">
        <f t="shared" ref="S12" si="23">$G12/M12</f>
        <v>9.9187398830689339</v>
      </c>
      <c r="T12" s="30">
        <f>[9]Model!$V$30</f>
        <v>40530</v>
      </c>
      <c r="U12" s="31">
        <f t="shared" ref="U12:U13" si="24">G12/T12</f>
        <v>0.99405255366395273</v>
      </c>
      <c r="V12" s="14">
        <f>[9]Model!$W$53</f>
        <v>-1.1028867505551432E-2</v>
      </c>
      <c r="W12" s="14">
        <f>[9]Model!$X$53</f>
        <v>-6.0456303170920433E-2</v>
      </c>
      <c r="X12" s="14">
        <f>[9]Model!$X$54</f>
        <v>0.21190611563067488</v>
      </c>
      <c r="Y12" s="14">
        <f>[9]Model!$X$57</f>
        <v>7.9327525715133795E-2</v>
      </c>
      <c r="Z12" s="14">
        <f>[9]Model!$AK$56</f>
        <v>0.08</v>
      </c>
      <c r="AA12" s="14">
        <f>[9]Model!$AK$62</f>
        <v>0.32757142189307098</v>
      </c>
      <c r="AB12" s="14" t="str">
        <f>[9]Model!$AK$63</f>
        <v>Undervalued</v>
      </c>
      <c r="AC12" s="15">
        <v>1931</v>
      </c>
      <c r="AE12" s="16">
        <f>[9]Main!$E$3</f>
        <v>45923</v>
      </c>
      <c r="AF12" s="16">
        <f>[9]Main!$G$3</f>
        <v>45954</v>
      </c>
    </row>
    <row r="13" spans="2:32" x14ac:dyDescent="0.3">
      <c r="B13" s="25" t="s">
        <v>60</v>
      </c>
      <c r="C13" s="15" t="s">
        <v>61</v>
      </c>
      <c r="D13" s="22">
        <f>[10]Main!$D$3</f>
        <v>7.5670000000000002</v>
      </c>
      <c r="E13" s="11">
        <f>[10]Main!$D$5</f>
        <v>21812.6342</v>
      </c>
      <c r="F13" s="11">
        <f>[10]Main!$D$8</f>
        <v>-10139</v>
      </c>
      <c r="G13" s="11">
        <f>[10]Main!$D$9</f>
        <v>31951.6342</v>
      </c>
      <c r="H13" s="11">
        <f>[10]Model!Q$24</f>
        <v>18596</v>
      </c>
      <c r="I13" s="11">
        <f>[10]Model!R$24</f>
        <v>5473</v>
      </c>
      <c r="J13" s="11">
        <f>[10]Model!S$24</f>
        <v>-3955.4684000000334</v>
      </c>
      <c r="K13" s="11">
        <f>[10]Model!T$24</f>
        <v>-980.07988364999983</v>
      </c>
      <c r="L13" s="11">
        <f>[10]Model!U$24</f>
        <v>1842.0949888019975</v>
      </c>
      <c r="M13" s="11">
        <f>[10]Model!V$24</f>
        <v>5262.873720354808</v>
      </c>
      <c r="N13" s="12">
        <f>$G13/H13</f>
        <v>1.7181993009249301</v>
      </c>
      <c r="O13" s="12">
        <f>$G13/I13</f>
        <v>5.8380475424812719</v>
      </c>
      <c r="P13" s="12"/>
      <c r="Q13" s="12"/>
      <c r="R13" s="12">
        <f t="shared" ref="R13:S13" si="25">$G13/L13</f>
        <v>17.345269594799603</v>
      </c>
      <c r="S13" s="12">
        <f t="shared" si="25"/>
        <v>6.0711382977750628</v>
      </c>
      <c r="T13" s="28">
        <f>[10]Model!$Q$10</f>
        <v>189544</v>
      </c>
      <c r="U13" s="31">
        <f t="shared" si="24"/>
        <v>0.16857106634871058</v>
      </c>
      <c r="V13" s="14"/>
      <c r="W13" s="14">
        <f>[10]Model!$Q$35</f>
        <v>5.5414495077731774E-2</v>
      </c>
      <c r="X13" s="14">
        <f>[10]Model!$S$36</f>
        <v>8.5394651372724173E-2</v>
      </c>
      <c r="Y13" s="14">
        <f>[10]Model!$S$39</f>
        <v>-3.1254943975238522E-2</v>
      </c>
      <c r="Z13" s="14">
        <f>[10]Model!$AF$38</f>
        <v>0.09</v>
      </c>
      <c r="AA13" s="14">
        <f>[10]Model!$AF$44</f>
        <v>1.6974869917057078</v>
      </c>
      <c r="AB13" s="14" t="str">
        <f>[10]Model!$AF$45</f>
        <v>Heavily undervalued</v>
      </c>
      <c r="AC13" s="15" t="s">
        <v>62</v>
      </c>
      <c r="AE13" s="16">
        <f>[10]Main!$E$3</f>
        <v>45868</v>
      </c>
      <c r="AF13" s="16">
        <f>[10]Main!$G$3</f>
        <v>45960</v>
      </c>
    </row>
    <row r="14" spans="2:32" x14ac:dyDescent="0.3">
      <c r="B14" s="23" t="s">
        <v>21</v>
      </c>
      <c r="C14" s="15" t="s">
        <v>33</v>
      </c>
      <c r="D14" s="17">
        <f>[11]Main!$D$3</f>
        <v>163.80000000000001</v>
      </c>
      <c r="E14" s="11">
        <f>[11]Main!$D$5</f>
        <v>31760.820000000003</v>
      </c>
      <c r="F14" s="11">
        <f>[11]Main!$D$8</f>
        <v>5460.6</v>
      </c>
      <c r="G14" s="11">
        <f>[11]Main!$D$9</f>
        <v>26300.22</v>
      </c>
      <c r="N14" s="12"/>
      <c r="O14" s="12"/>
      <c r="P14" s="12"/>
      <c r="Q14" s="12"/>
      <c r="R14" s="12"/>
      <c r="S14" s="12"/>
      <c r="T14" s="29"/>
      <c r="U14" s="29"/>
      <c r="V14" s="14"/>
      <c r="W14" s="14"/>
      <c r="Z14" s="14">
        <f>[11]Model!$AI$23</f>
        <v>0.06</v>
      </c>
      <c r="AA14" s="14">
        <f>[11]Model!$AI$29</f>
        <v>-0.19255438000847924</v>
      </c>
      <c r="AB14" s="14" t="str">
        <f>[11]Model!$AI$30</f>
        <v>Slightly overvalued</v>
      </c>
      <c r="AC14" s="15">
        <v>1947</v>
      </c>
      <c r="AE14" s="16">
        <f>[11]Main!$E$3</f>
        <v>44257</v>
      </c>
      <c r="AF14" s="16">
        <f>[11]Main!$G$3</f>
        <v>44320</v>
      </c>
    </row>
    <row r="15" spans="2:32" x14ac:dyDescent="0.3">
      <c r="B15" s="9" t="s">
        <v>57</v>
      </c>
      <c r="C15" s="15" t="s">
        <v>58</v>
      </c>
      <c r="D15" s="10">
        <f>[12]Main!$D$3</f>
        <v>13.57</v>
      </c>
      <c r="E15" s="11">
        <f>[12]Main!$D$5</f>
        <v>16465.838000000003</v>
      </c>
      <c r="F15" s="11">
        <f>[12]Main!$D$8</f>
        <v>3259</v>
      </c>
      <c r="G15" s="11">
        <f>[12]Main!$D$9</f>
        <v>13206.838000000003</v>
      </c>
      <c r="H15" s="11">
        <f>[12]Model!X$21</f>
        <v>-5432</v>
      </c>
      <c r="I15" s="11">
        <f>[12]Model!Y$21</f>
        <v>-4747</v>
      </c>
      <c r="J15" s="11">
        <f>[12]Model!Z$21</f>
        <v>-2883.1596</v>
      </c>
      <c r="K15" s="11">
        <f>[12]Model!AA$21</f>
        <v>-2176.9613879999993</v>
      </c>
      <c r="L15" s="11">
        <f>[12]Model!AB$21</f>
        <v>-1518.9675790080003</v>
      </c>
      <c r="M15" s="11">
        <f>[12]Model!AC$21</f>
        <v>-1276.1137779020798</v>
      </c>
      <c r="T15" s="13">
        <f>[12]Model!$Z$5</f>
        <v>5583</v>
      </c>
      <c r="U15" s="26">
        <f t="shared" ref="U15:U17" si="26">G15/T15</f>
        <v>2.3655450474655209</v>
      </c>
      <c r="V15" s="14">
        <f>[12]Model!$W$27</f>
        <v>29.145454545454545</v>
      </c>
      <c r="W15" s="14">
        <f>[12]Model!$X$27</f>
        <v>1.6743063932448732</v>
      </c>
      <c r="X15" s="14">
        <f>[12]Model!$Z$30</f>
        <v>0.10388679921189324</v>
      </c>
      <c r="Y15" s="14">
        <f>[12]Model!$Z$33</f>
        <v>-0.53904703564391909</v>
      </c>
      <c r="Z15" s="14">
        <f>[12]Model!$AN$31</f>
        <v>0.09</v>
      </c>
      <c r="AA15" s="14">
        <f>[12]Model!$AN$82</f>
        <v>-0.77098230893300101</v>
      </c>
      <c r="AB15" s="14" t="str">
        <f>[12]Model!$AN$38</f>
        <v>Heavily overvalued</v>
      </c>
      <c r="AC15" s="15">
        <v>2009</v>
      </c>
      <c r="AE15" s="16">
        <f>[12]Main!$E$3</f>
        <v>45899</v>
      </c>
      <c r="AF15" s="16">
        <f>[12]Main!$G$3</f>
        <v>45966</v>
      </c>
    </row>
    <row r="16" spans="2:32" x14ac:dyDescent="0.3">
      <c r="B16" s="21" t="s">
        <v>65</v>
      </c>
      <c r="C16" s="15" t="s">
        <v>66</v>
      </c>
      <c r="D16" s="10">
        <f>[13]Main!$D$3</f>
        <v>1.98</v>
      </c>
      <c r="E16" s="11">
        <f>[13]Main!$D$5</f>
        <v>6083.55</v>
      </c>
      <c r="F16" s="11">
        <f>[13]Main!$D$8</f>
        <v>1563.6</v>
      </c>
      <c r="G16" s="11">
        <f>[13]Main!$D$9</f>
        <v>4519.9500000000007</v>
      </c>
      <c r="H16" s="11">
        <f>[13]Model!AB$17</f>
        <v>-2828.3</v>
      </c>
      <c r="I16" s="11">
        <f>[13]Model!AC$17</f>
        <v>-2714.0000000000005</v>
      </c>
      <c r="J16" s="11">
        <f>[13]Model!AD$17</f>
        <v>-1573.4800000000002</v>
      </c>
      <c r="K16" s="11">
        <f>[13]Model!AE$17</f>
        <v>-1338.9207800000001</v>
      </c>
      <c r="L16" s="11">
        <f>[13]Model!AF$17</f>
        <v>-909.73493530000019</v>
      </c>
      <c r="M16" s="11">
        <f>[13]Model!AG$17</f>
        <v>-460.13275752800018</v>
      </c>
      <c r="T16" s="13">
        <f>[13]Model!$AD$6</f>
        <v>1191.3249999999998</v>
      </c>
      <c r="U16" s="26">
        <f t="shared" si="26"/>
        <v>3.7940528403248495</v>
      </c>
      <c r="V16" s="14">
        <f>[13]Model!$AA$26</f>
        <v>21.44280442804428</v>
      </c>
      <c r="W16" s="14">
        <f>[13]Model!$AB$26</f>
        <v>-2.1210128247287185E-2</v>
      </c>
      <c r="X16" s="14">
        <f>[13]Model!$AD$27</f>
        <v>-0.6</v>
      </c>
      <c r="Y16" s="14">
        <f>[13]Model!$AD$31</f>
        <v>-2.3225232409292178</v>
      </c>
      <c r="Z16" s="14">
        <f>[13]Model!$AQ$28</f>
        <v>0.09</v>
      </c>
      <c r="AA16" s="14">
        <f>[13]Model!$AQ$34</f>
        <v>-0.1348443553182711</v>
      </c>
      <c r="AB16" s="14" t="str">
        <f>[13]Model!$AQ$35</f>
        <v>Slightly overvalued</v>
      </c>
      <c r="AC16" s="15">
        <v>2007</v>
      </c>
      <c r="AE16" s="16">
        <f>[13]Main!$E$3</f>
        <v>45889</v>
      </c>
      <c r="AF16" s="16">
        <f>[13]Main!$G$3</f>
        <v>45972</v>
      </c>
    </row>
    <row r="17" spans="2:32" x14ac:dyDescent="0.3">
      <c r="B17" s="9" t="s">
        <v>4</v>
      </c>
      <c r="C17" s="15" t="s">
        <v>9</v>
      </c>
      <c r="D17" s="19">
        <f>[14]Main!$D$3</f>
        <v>0.71850000000000003</v>
      </c>
      <c r="E17" s="11">
        <f>[14]Main!$D$5</f>
        <v>686.52674999999999</v>
      </c>
      <c r="F17" s="11">
        <f>[14]Main!$D$8</f>
        <v>-1169.8</v>
      </c>
      <c r="G17" s="11">
        <f>E17-F17</f>
        <v>1856.3267499999999</v>
      </c>
      <c r="H17" s="11">
        <f>[14]Model!AL15</f>
        <v>-228.10000000000014</v>
      </c>
      <c r="I17" s="11">
        <f>[14]Model!AM15</f>
        <v>-323.49999999999989</v>
      </c>
      <c r="J17" s="11">
        <f>[14]Model!AN15</f>
        <v>-169.45059199999997</v>
      </c>
      <c r="K17" s="11">
        <f>[14]Model!AO15</f>
        <v>-24.605004735999863</v>
      </c>
      <c r="L17" s="11">
        <f>[14]Model!AP15</f>
        <v>83.85838662611188</v>
      </c>
      <c r="M17" s="11">
        <f>[14]Model!AQ15</f>
        <v>165.4102204171208</v>
      </c>
      <c r="N17" s="12"/>
      <c r="O17" s="12"/>
      <c r="P17" s="12"/>
      <c r="Q17" s="12"/>
      <c r="R17" s="12">
        <f t="shared" ref="R17:S17" si="27">$G17/L17</f>
        <v>22.136447225923323</v>
      </c>
      <c r="S17" s="12">
        <f t="shared" si="27"/>
        <v>11.222563789098613</v>
      </c>
      <c r="T17" s="20">
        <f>[14]Model!$AN$3</f>
        <v>1631.4170000000001</v>
      </c>
      <c r="U17" s="26">
        <f t="shared" si="26"/>
        <v>1.1378615951654296</v>
      </c>
      <c r="V17" s="14">
        <f>[14]Model!$AK$19</f>
        <v>0.26129827444535758</v>
      </c>
      <c r="W17" s="14">
        <f>[14]Model!$AL$19</f>
        <v>0.18190372783206654</v>
      </c>
      <c r="X17" s="14">
        <f>[14]Model!$AN$20</f>
        <v>0.37</v>
      </c>
      <c r="Y17" s="14">
        <f>[14]Model!$AN$21</f>
        <v>-1.5595791879084222E-2</v>
      </c>
      <c r="Z17" s="14">
        <f>[14]Model!$BA$19</f>
        <v>0.1</v>
      </c>
      <c r="AA17" s="14">
        <f>[14]Model!$BA$25</f>
        <v>-0.3508624801279675</v>
      </c>
      <c r="AB17" s="14" t="str">
        <f>[14]Model!$BA$26</f>
        <v>Overvalued</v>
      </c>
      <c r="AC17" s="15">
        <v>1913</v>
      </c>
      <c r="AE17" s="16">
        <f>[14]Main!$E$3</f>
        <v>45869</v>
      </c>
      <c r="AF17" s="16">
        <f>[14]Main!$G$3</f>
        <v>45961</v>
      </c>
    </row>
    <row r="18" spans="2:32" x14ac:dyDescent="0.3">
      <c r="B18" s="1" t="s">
        <v>26</v>
      </c>
    </row>
    <row r="19" spans="2:32" x14ac:dyDescent="0.3">
      <c r="B19" s="2" t="s">
        <v>45</v>
      </c>
    </row>
    <row r="20" spans="2:32" x14ac:dyDescent="0.3">
      <c r="B20" s="2" t="s">
        <v>30</v>
      </c>
      <c r="C20" s="15" t="s">
        <v>39</v>
      </c>
    </row>
    <row r="21" spans="2:32" x14ac:dyDescent="0.3">
      <c r="B21" s="2" t="s">
        <v>24</v>
      </c>
    </row>
    <row r="22" spans="2:32" x14ac:dyDescent="0.3">
      <c r="B22" s="2" t="s">
        <v>25</v>
      </c>
    </row>
    <row r="23" spans="2:32" x14ac:dyDescent="0.3">
      <c r="B23" s="2" t="s">
        <v>27</v>
      </c>
    </row>
    <row r="24" spans="2:32" x14ac:dyDescent="0.3">
      <c r="B24" s="2" t="s">
        <v>28</v>
      </c>
    </row>
    <row r="25" spans="2:32" x14ac:dyDescent="0.3">
      <c r="B25" s="2" t="s">
        <v>29</v>
      </c>
    </row>
    <row r="26" spans="2:32" x14ac:dyDescent="0.3">
      <c r="B26" s="2" t="s">
        <v>54</v>
      </c>
    </row>
    <row r="27" spans="2:32" x14ac:dyDescent="0.3">
      <c r="B27" s="9" t="s">
        <v>55</v>
      </c>
      <c r="C27" s="15" t="s">
        <v>56</v>
      </c>
    </row>
    <row r="28" spans="2:32" x14ac:dyDescent="0.3">
      <c r="B28" s="2" t="s">
        <v>59</v>
      </c>
    </row>
  </sheetData>
  <phoneticPr fontId="2" type="noConversion"/>
  <hyperlinks>
    <hyperlink ref="B4" r:id="rId1" xr:uid="{BDA7DE5E-15A4-455F-8CE5-D312265DE1B9}"/>
    <hyperlink ref="B6" r:id="rId2" xr:uid="{9EF64D78-9135-4063-BC32-3B49214D1805}"/>
    <hyperlink ref="B9" r:id="rId3" xr:uid="{722BFE42-CB93-43C5-BA8C-9280E02F47E2}"/>
    <hyperlink ref="B17" r:id="rId4" xr:uid="{56C96435-9588-42E6-A4AD-DE6515C50628}"/>
    <hyperlink ref="B5" r:id="rId5" xr:uid="{B819F22F-4950-4627-A2C8-8D2E7FE4A1A6}"/>
    <hyperlink ref="B8" r:id="rId6" xr:uid="{74BE01E6-4BE4-4D16-8062-6C89626A755A}"/>
    <hyperlink ref="B10" r:id="rId7" xr:uid="{2A94898E-7EEA-478F-821F-C9DAF49C9E25}"/>
    <hyperlink ref="B7" r:id="rId8" xr:uid="{D3FC1C66-ECDA-4631-9B91-679FD5526E37}"/>
    <hyperlink ref="B14" r:id="rId9" xr:uid="{E1AFF51E-621B-4FB0-B610-912CBBB2B924}"/>
    <hyperlink ref="B11" r:id="rId10" xr:uid="{11F8A065-CE0B-4391-86EE-09ACE12A468F}"/>
    <hyperlink ref="B27" r:id="rId11" xr:uid="{8E9F1539-AEBD-488A-B36E-E13BE96119DC}"/>
    <hyperlink ref="B15" r:id="rId12" xr:uid="{641483FC-4BA6-4EA3-8B55-3FAC28086E72}"/>
    <hyperlink ref="B13" r:id="rId13" xr:uid="{4B9004F4-029C-478D-A29B-4329790F70F4}"/>
    <hyperlink ref="B12" r:id="rId14" xr:uid="{4E6DFF97-7F95-41BE-ACAC-48943F8E74B5}"/>
    <hyperlink ref="B16" r:id="rId15" xr:uid="{B644FC32-C875-4A03-9BF9-0D1B48B57D9B}"/>
  </hyperlinks>
  <pageMargins left="0.7" right="0.7" top="0.75" bottom="0.75" header="0.3" footer="0.3"/>
  <pageSetup paperSize="9" orientation="portrait" horizontalDpi="4294967293" verticalDpi="0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 Mniszek</cp:lastModifiedBy>
  <cp:lastPrinted>2020-09-09T12:56:30Z</cp:lastPrinted>
  <dcterms:created xsi:type="dcterms:W3CDTF">2020-09-07T10:22:30Z</dcterms:created>
  <dcterms:modified xsi:type="dcterms:W3CDTF">2025-09-25T17:56:08Z</dcterms:modified>
</cp:coreProperties>
</file>