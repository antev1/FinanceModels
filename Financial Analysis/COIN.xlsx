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6134512-35C5-4451-97E7-4CB19A40C1D9}" xr6:coauthVersionLast="47" xr6:coauthVersionMax="47" xr10:uidLastSave="{00000000-0000-0000-0000-000000000000}"/>
  <bookViews>
    <workbookView xWindow="-108" yWindow="-108" windowWidth="23256" windowHeight="12576" activeTab="1" xr2:uid="{4D7A57D7-C14A-49BE-A452-ABD5A8BEC02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AO5" i="2"/>
  <c r="AP5" i="2" s="1"/>
  <c r="AQ5" i="2" s="1"/>
  <c r="AR5" i="2" s="1"/>
  <c r="AS5" i="2" s="1"/>
  <c r="AN5" i="2"/>
  <c r="AM9" i="2"/>
  <c r="AL9" i="2"/>
  <c r="AK9" i="2"/>
  <c r="AJ9" i="2"/>
  <c r="AM11" i="2"/>
  <c r="AL11" i="2"/>
  <c r="AK11" i="2"/>
  <c r="AJ11" i="2"/>
  <c r="Z9" i="2"/>
  <c r="Y9" i="2"/>
  <c r="X9" i="2"/>
  <c r="Z5" i="2"/>
  <c r="Z27" i="2" s="1"/>
  <c r="Y5" i="2"/>
  <c r="Y27" i="2" s="1"/>
  <c r="X7" i="2"/>
  <c r="AS24" i="2"/>
  <c r="AR24" i="2"/>
  <c r="AQ24" i="2"/>
  <c r="AP24" i="2"/>
  <c r="AO24" i="2"/>
  <c r="AN24" i="2"/>
  <c r="AM24" i="2"/>
  <c r="AL24" i="2"/>
  <c r="AK24" i="2"/>
  <c r="AJ24" i="2"/>
  <c r="AI24" i="2"/>
  <c r="Z24" i="2"/>
  <c r="Y24" i="2"/>
  <c r="X24" i="2"/>
  <c r="D4" i="1"/>
  <c r="X16" i="2"/>
  <c r="AJ14" i="2"/>
  <c r="AK14" i="2" s="1"/>
  <c r="AL14" i="2" s="1"/>
  <c r="AM14" i="2" s="1"/>
  <c r="AN14" i="2" s="1"/>
  <c r="AO14" i="2" s="1"/>
  <c r="AP14" i="2" s="1"/>
  <c r="AQ14" i="2" s="1"/>
  <c r="AR14" i="2" s="1"/>
  <c r="AS14" i="2" s="1"/>
  <c r="AI14" i="2"/>
  <c r="AH14" i="2"/>
  <c r="S16" i="2"/>
  <c r="F17" i="2"/>
  <c r="AD16" i="2"/>
  <c r="AC16" i="2"/>
  <c r="W16" i="2"/>
  <c r="V16" i="2"/>
  <c r="U16" i="2"/>
  <c r="T16" i="2"/>
  <c r="R16" i="2"/>
  <c r="Q16" i="2"/>
  <c r="O16" i="2"/>
  <c r="O17" i="2" s="1"/>
  <c r="L16" i="2"/>
  <c r="K16" i="2"/>
  <c r="J16" i="2"/>
  <c r="I16" i="2"/>
  <c r="H16" i="2"/>
  <c r="G16" i="2"/>
  <c r="F16" i="2"/>
  <c r="E16" i="2"/>
  <c r="D16" i="2"/>
  <c r="C16" i="2"/>
  <c r="S7" i="2"/>
  <c r="S9" i="2" s="1"/>
  <c r="W7" i="2"/>
  <c r="W9" i="2" s="1"/>
  <c r="W17" i="2" s="1"/>
  <c r="W24" i="2"/>
  <c r="AI20" i="2"/>
  <c r="AI19" i="2"/>
  <c r="AI18" i="2"/>
  <c r="AI15" i="2"/>
  <c r="AI13" i="2"/>
  <c r="W27" i="2"/>
  <c r="Z12" i="2"/>
  <c r="Z32" i="2" s="1"/>
  <c r="Y12" i="2"/>
  <c r="X32" i="2"/>
  <c r="W32" i="2"/>
  <c r="W31" i="2"/>
  <c r="Z10" i="2"/>
  <c r="Z30" i="2" s="1"/>
  <c r="Y10" i="2"/>
  <c r="Y30" i="2" s="1"/>
  <c r="X30" i="2"/>
  <c r="AH24" i="2"/>
  <c r="V24" i="2"/>
  <c r="V9" i="2"/>
  <c r="V28" i="2" s="1"/>
  <c r="V31" i="2"/>
  <c r="V32" i="2"/>
  <c r="U24" i="2"/>
  <c r="U9" i="2"/>
  <c r="AH20" i="2"/>
  <c r="AH19" i="2"/>
  <c r="AH18" i="2"/>
  <c r="AH13" i="2"/>
  <c r="AH5" i="2"/>
  <c r="U32" i="2"/>
  <c r="U31" i="2"/>
  <c r="V30" i="2"/>
  <c r="AG22" i="2"/>
  <c r="AG20" i="2"/>
  <c r="AG19" i="2"/>
  <c r="AG18" i="2"/>
  <c r="AG15" i="2"/>
  <c r="AG12" i="2"/>
  <c r="AG11" i="2"/>
  <c r="AG10" i="2"/>
  <c r="AG8" i="2"/>
  <c r="AG5" i="2"/>
  <c r="AF22" i="2"/>
  <c r="AF20" i="2"/>
  <c r="AF19" i="2"/>
  <c r="AF18" i="2"/>
  <c r="AF15" i="2"/>
  <c r="AF12" i="2"/>
  <c r="AF11" i="2"/>
  <c r="AF10" i="2"/>
  <c r="AF8" i="2"/>
  <c r="AF5" i="2"/>
  <c r="T32" i="2"/>
  <c r="S32" i="2"/>
  <c r="R32" i="2"/>
  <c r="Q32" i="2"/>
  <c r="P32" i="2"/>
  <c r="O32" i="2"/>
  <c r="N32" i="2"/>
  <c r="M32" i="2"/>
  <c r="L32" i="2"/>
  <c r="K32" i="2"/>
  <c r="T31" i="2"/>
  <c r="S31" i="2"/>
  <c r="R31" i="2"/>
  <c r="Q31" i="2"/>
  <c r="P31" i="2"/>
  <c r="O31" i="2"/>
  <c r="N31" i="2"/>
  <c r="M31" i="2"/>
  <c r="L31" i="2"/>
  <c r="K31" i="2"/>
  <c r="U30" i="2"/>
  <c r="T30" i="2"/>
  <c r="S30" i="2"/>
  <c r="R30" i="2"/>
  <c r="Q30" i="2"/>
  <c r="P30" i="2"/>
  <c r="O30" i="2"/>
  <c r="N30" i="2"/>
  <c r="M30" i="2"/>
  <c r="L30" i="2"/>
  <c r="K30" i="2"/>
  <c r="V27" i="2"/>
  <c r="U27" i="2"/>
  <c r="T27" i="2"/>
  <c r="S27" i="2"/>
  <c r="R27" i="2"/>
  <c r="Q27" i="2"/>
  <c r="P27" i="2"/>
  <c r="O27" i="2"/>
  <c r="N27" i="2"/>
  <c r="M27" i="2"/>
  <c r="L27" i="2"/>
  <c r="K27" i="2"/>
  <c r="H9" i="2"/>
  <c r="H17" i="2" s="1"/>
  <c r="H24" i="2"/>
  <c r="I24" i="2"/>
  <c r="I9" i="2"/>
  <c r="I17" i="2" s="1"/>
  <c r="J24" i="2"/>
  <c r="J9" i="2"/>
  <c r="J17" i="2" s="1"/>
  <c r="K24" i="2"/>
  <c r="K9" i="2"/>
  <c r="K17" i="2" s="1"/>
  <c r="L24" i="2"/>
  <c r="L9" i="2"/>
  <c r="L17" i="2" s="1"/>
  <c r="M13" i="2"/>
  <c r="M16" i="2" s="1"/>
  <c r="M24" i="2"/>
  <c r="M9" i="2"/>
  <c r="M17" i="2" s="1"/>
  <c r="Q13" i="2"/>
  <c r="Q24" i="2"/>
  <c r="Q9" i="2"/>
  <c r="Q28" i="2" s="1"/>
  <c r="N13" i="2"/>
  <c r="N16" i="2" s="1"/>
  <c r="N24" i="2"/>
  <c r="N9" i="2"/>
  <c r="N28" i="2" s="1"/>
  <c r="R24" i="2"/>
  <c r="R9" i="2"/>
  <c r="R17" i="2" s="1"/>
  <c r="O13" i="2"/>
  <c r="O24" i="2"/>
  <c r="O9" i="2"/>
  <c r="O28" i="2" s="1"/>
  <c r="S24" i="2"/>
  <c r="P13" i="2"/>
  <c r="P16" i="2" s="1"/>
  <c r="P17" i="2" s="1"/>
  <c r="P24" i="2"/>
  <c r="P9" i="2"/>
  <c r="P28" i="2" s="1"/>
  <c r="T24" i="2"/>
  <c r="T9" i="2"/>
  <c r="J32" i="2"/>
  <c r="I32" i="2"/>
  <c r="H32" i="2"/>
  <c r="J30" i="2"/>
  <c r="I30" i="2"/>
  <c r="H30" i="2"/>
  <c r="F31" i="2"/>
  <c r="E31" i="2"/>
  <c r="D31" i="2"/>
  <c r="F9" i="2"/>
  <c r="E9" i="2"/>
  <c r="E28" i="2" s="1"/>
  <c r="D9" i="2"/>
  <c r="D28" i="2" s="1"/>
  <c r="J27" i="2"/>
  <c r="I27" i="2"/>
  <c r="H27" i="2"/>
  <c r="AO9" i="2" l="1"/>
  <c r="AN11" i="2"/>
  <c r="AN9" i="2"/>
  <c r="AP11" i="2"/>
  <c r="AP9" i="2"/>
  <c r="AO11" i="2"/>
  <c r="AG16" i="2"/>
  <c r="AF16" i="2"/>
  <c r="N17" i="2"/>
  <c r="Q17" i="2"/>
  <c r="T17" i="2"/>
  <c r="U17" i="2"/>
  <c r="V17" i="2"/>
  <c r="D17" i="2"/>
  <c r="S17" i="2"/>
  <c r="S21" i="2" s="1"/>
  <c r="S23" i="2" s="1"/>
  <c r="H21" i="2"/>
  <c r="H23" i="2" s="1"/>
  <c r="H25" i="2" s="1"/>
  <c r="I21" i="2"/>
  <c r="I23" i="2" s="1"/>
  <c r="E17" i="2"/>
  <c r="K21" i="2"/>
  <c r="K23" i="2" s="1"/>
  <c r="K34" i="2" s="1"/>
  <c r="J21" i="2"/>
  <c r="J23" i="2" s="1"/>
  <c r="J25" i="2" s="1"/>
  <c r="R21" i="2"/>
  <c r="R23" i="2" s="1"/>
  <c r="R25" i="2" s="1"/>
  <c r="F21" i="2"/>
  <c r="L21" i="2"/>
  <c r="L23" i="2" s="1"/>
  <c r="L34" i="2" s="1"/>
  <c r="AI10" i="2"/>
  <c r="X17" i="2"/>
  <c r="AI12" i="2"/>
  <c r="AJ12" i="2" s="1"/>
  <c r="AK12" i="2" s="1"/>
  <c r="AL12" i="2" s="1"/>
  <c r="AM12" i="2" s="1"/>
  <c r="W29" i="2"/>
  <c r="I25" i="2"/>
  <c r="W28" i="2"/>
  <c r="Y32" i="2"/>
  <c r="W30" i="2"/>
  <c r="Z11" i="2"/>
  <c r="M21" i="2"/>
  <c r="M23" i="2" s="1"/>
  <c r="M25" i="2" s="1"/>
  <c r="Y11" i="2"/>
  <c r="X31" i="2"/>
  <c r="AI5" i="2"/>
  <c r="AJ5" i="2" s="1"/>
  <c r="X27" i="2"/>
  <c r="AJ18" i="2"/>
  <c r="AK18" i="2" s="1"/>
  <c r="AL18" i="2" s="1"/>
  <c r="AM18" i="2" s="1"/>
  <c r="AN18" i="2" s="1"/>
  <c r="AO18" i="2" s="1"/>
  <c r="AP18" i="2" s="1"/>
  <c r="AQ18" i="2" s="1"/>
  <c r="AR18" i="2" s="1"/>
  <c r="AS18" i="2" s="1"/>
  <c r="R28" i="2"/>
  <c r="AG13" i="2"/>
  <c r="T21" i="2"/>
  <c r="T33" i="2" s="1"/>
  <c r="AH15" i="2"/>
  <c r="AH12" i="2"/>
  <c r="AG9" i="2"/>
  <c r="AF9" i="2"/>
  <c r="AF13" i="2"/>
  <c r="K28" i="2"/>
  <c r="M28" i="2"/>
  <c r="K29" i="2"/>
  <c r="AH10" i="2"/>
  <c r="L29" i="2"/>
  <c r="S28" i="2"/>
  <c r="L28" i="2"/>
  <c r="T28" i="2"/>
  <c r="R29" i="2"/>
  <c r="AH11" i="2"/>
  <c r="AH8" i="2"/>
  <c r="AH9" i="2" s="1"/>
  <c r="U28" i="2"/>
  <c r="F29" i="2"/>
  <c r="F28" i="2"/>
  <c r="D21" i="2"/>
  <c r="E21" i="2"/>
  <c r="G32" i="2"/>
  <c r="G30" i="2"/>
  <c r="G27" i="2"/>
  <c r="G31" i="2"/>
  <c r="G9" i="2"/>
  <c r="C9" i="2"/>
  <c r="C17" i="2" s="1"/>
  <c r="D8" i="1"/>
  <c r="AV32" i="2" s="1"/>
  <c r="D5" i="1"/>
  <c r="C31" i="2"/>
  <c r="AV35" i="2"/>
  <c r="J31" i="2"/>
  <c r="I31" i="2"/>
  <c r="AE20" i="2"/>
  <c r="AE15" i="2"/>
  <c r="AE13" i="2"/>
  <c r="AE12" i="2"/>
  <c r="AE10" i="2"/>
  <c r="H28" i="2"/>
  <c r="AC31" i="2"/>
  <c r="AD32" i="2"/>
  <c r="AD31" i="2"/>
  <c r="AD30" i="2"/>
  <c r="AD27" i="2"/>
  <c r="AC9" i="2"/>
  <c r="AC17" i="2" s="1"/>
  <c r="AC21" i="2" s="1"/>
  <c r="AD9" i="2"/>
  <c r="AD17" i="2" s="1"/>
  <c r="AD21" i="2" s="1"/>
  <c r="F3" i="1"/>
  <c r="AQ11" i="2" l="1"/>
  <c r="AQ9" i="2"/>
  <c r="AK5" i="2"/>
  <c r="AH16" i="2"/>
  <c r="AE30" i="2"/>
  <c r="L25" i="2"/>
  <c r="G28" i="2"/>
  <c r="G17" i="2"/>
  <c r="G21" i="2" s="1"/>
  <c r="Y31" i="2"/>
  <c r="Y16" i="2"/>
  <c r="Y17" i="2" s="1"/>
  <c r="Z31" i="2"/>
  <c r="Z16" i="2"/>
  <c r="Z17" i="2" s="1"/>
  <c r="K33" i="2"/>
  <c r="K25" i="2"/>
  <c r="R34" i="2"/>
  <c r="R33" i="2"/>
  <c r="L33" i="2"/>
  <c r="M33" i="2"/>
  <c r="W21" i="2"/>
  <c r="W33" i="2" s="1"/>
  <c r="T29" i="2"/>
  <c r="M34" i="2"/>
  <c r="AI11" i="2"/>
  <c r="AI16" i="2" s="1"/>
  <c r="M29" i="2"/>
  <c r="T23" i="2"/>
  <c r="T34" i="2" s="1"/>
  <c r="S29" i="2"/>
  <c r="S33" i="2"/>
  <c r="S25" i="2"/>
  <c r="S34" i="2"/>
  <c r="P21" i="2"/>
  <c r="P29" i="2"/>
  <c r="O21" i="2"/>
  <c r="O29" i="2"/>
  <c r="N21" i="2"/>
  <c r="N29" i="2"/>
  <c r="Q21" i="2"/>
  <c r="Q29" i="2"/>
  <c r="V29" i="2"/>
  <c r="V21" i="2"/>
  <c r="U29" i="2"/>
  <c r="U21" i="2"/>
  <c r="AD23" i="2"/>
  <c r="AC23" i="2"/>
  <c r="E29" i="2"/>
  <c r="D29" i="2"/>
  <c r="AE32" i="2"/>
  <c r="AN12" i="2"/>
  <c r="AO12" i="2" s="1"/>
  <c r="AP12" i="2" s="1"/>
  <c r="F23" i="2"/>
  <c r="F33" i="2"/>
  <c r="C21" i="2"/>
  <c r="D9" i="1"/>
  <c r="C28" i="2"/>
  <c r="AC33" i="2"/>
  <c r="AD29" i="2"/>
  <c r="AD28" i="2"/>
  <c r="AE5" i="2"/>
  <c r="AD33" i="2"/>
  <c r="AC28" i="2"/>
  <c r="AC29" i="2"/>
  <c r="J28" i="2"/>
  <c r="I28" i="2"/>
  <c r="AR9" i="2" l="1"/>
  <c r="AR11" i="2"/>
  <c r="AL5" i="2"/>
  <c r="W23" i="2"/>
  <c r="W25" i="2" s="1"/>
  <c r="T25" i="2"/>
  <c r="Q23" i="2"/>
  <c r="Q33" i="2"/>
  <c r="P23" i="2"/>
  <c r="P33" i="2"/>
  <c r="N23" i="2"/>
  <c r="N33" i="2"/>
  <c r="O23" i="2"/>
  <c r="O33" i="2"/>
  <c r="V23" i="2"/>
  <c r="V33" i="2"/>
  <c r="U23" i="2"/>
  <c r="AH22" i="2"/>
  <c r="U33" i="2"/>
  <c r="I29" i="2"/>
  <c r="J29" i="2"/>
  <c r="H29" i="2"/>
  <c r="AC25" i="2"/>
  <c r="AC34" i="2"/>
  <c r="AD25" i="2"/>
  <c r="AD34" i="2"/>
  <c r="C29" i="2"/>
  <c r="AP32" i="2"/>
  <c r="AQ12" i="2"/>
  <c r="F25" i="2"/>
  <c r="F34" i="2"/>
  <c r="AH30" i="2"/>
  <c r="D33" i="2"/>
  <c r="D23" i="2"/>
  <c r="E23" i="2"/>
  <c r="E33" i="2"/>
  <c r="AE27" i="2"/>
  <c r="G29" i="2"/>
  <c r="AE8" i="2"/>
  <c r="AE9" i="2" s="1"/>
  <c r="AE28" i="2" s="1"/>
  <c r="C33" i="2"/>
  <c r="H31" i="2"/>
  <c r="AF30" i="2"/>
  <c r="AE11" i="2"/>
  <c r="AF32" i="2"/>
  <c r="AH32" i="2"/>
  <c r="AG32" i="2"/>
  <c r="AI32" i="2"/>
  <c r="AS9" i="2" l="1"/>
  <c r="AS11" i="2"/>
  <c r="AM5" i="2"/>
  <c r="AE31" i="2"/>
  <c r="AE16" i="2"/>
  <c r="W34" i="2"/>
  <c r="Q25" i="2"/>
  <c r="Q34" i="2"/>
  <c r="N25" i="2"/>
  <c r="N34" i="2"/>
  <c r="O25" i="2"/>
  <c r="O34" i="2"/>
  <c r="P25" i="2"/>
  <c r="P34" i="2"/>
  <c r="V34" i="2"/>
  <c r="V25" i="2"/>
  <c r="U25" i="2"/>
  <c r="U34" i="2"/>
  <c r="AG30" i="2"/>
  <c r="AR12" i="2"/>
  <c r="AQ32" i="2"/>
  <c r="E25" i="2"/>
  <c r="E34" i="2"/>
  <c r="D25" i="2"/>
  <c r="D34" i="2"/>
  <c r="AF27" i="2"/>
  <c r="AF31" i="2"/>
  <c r="J33" i="2"/>
  <c r="G23" i="2"/>
  <c r="G33" i="2"/>
  <c r="H33" i="2"/>
  <c r="C23" i="2"/>
  <c r="AE17" i="2"/>
  <c r="AE21" i="2" s="1"/>
  <c r="I33" i="2"/>
  <c r="AJ32" i="2"/>
  <c r="AR32" i="2" l="1"/>
  <c r="AS12" i="2"/>
  <c r="AS32" i="2" s="1"/>
  <c r="G25" i="2"/>
  <c r="G34" i="2"/>
  <c r="AJ10" i="2"/>
  <c r="AI30" i="2"/>
  <c r="AG27" i="2"/>
  <c r="AG31" i="2"/>
  <c r="C25" i="2"/>
  <c r="C34" i="2"/>
  <c r="AF17" i="2"/>
  <c r="AF29" i="2" s="1"/>
  <c r="AF28" i="2"/>
  <c r="AE29" i="2"/>
  <c r="AE22" i="2"/>
  <c r="AE33" i="2" s="1"/>
  <c r="AK32" i="2"/>
  <c r="AK10" i="2" l="1"/>
  <c r="AJ30" i="2"/>
  <c r="AH27" i="2"/>
  <c r="AG17" i="2"/>
  <c r="AG29" i="2" s="1"/>
  <c r="AH31" i="2"/>
  <c r="AG28" i="2"/>
  <c r="J34" i="2"/>
  <c r="I34" i="2"/>
  <c r="AE23" i="2"/>
  <c r="AE34" i="2" s="1"/>
  <c r="H34" i="2"/>
  <c r="AL32" i="2"/>
  <c r="AI31" i="2" l="1"/>
  <c r="AI27" i="2"/>
  <c r="AL10" i="2"/>
  <c r="AK30" i="2"/>
  <c r="AJ16" i="2"/>
  <c r="AH28" i="2"/>
  <c r="AH17" i="2"/>
  <c r="AH29" i="2" s="1"/>
  <c r="AF21" i="2"/>
  <c r="AE25" i="2"/>
  <c r="AM32" i="2"/>
  <c r="AJ31" i="2" l="1"/>
  <c r="AJ8" i="2"/>
  <c r="AM10" i="2"/>
  <c r="AL30" i="2"/>
  <c r="AF33" i="2"/>
  <c r="AJ27" i="2"/>
  <c r="AN32" i="2"/>
  <c r="AO32" i="2"/>
  <c r="AK8" i="2" l="1"/>
  <c r="AN10" i="2"/>
  <c r="AO10" i="2" s="1"/>
  <c r="AP10" i="2" s="1"/>
  <c r="AQ10" i="2" s="1"/>
  <c r="AR10" i="2" s="1"/>
  <c r="AS10" i="2" s="1"/>
  <c r="AM30" i="2"/>
  <c r="AF23" i="2"/>
  <c r="AF34" i="2" s="1"/>
  <c r="AK27" i="2"/>
  <c r="AJ28" i="2"/>
  <c r="AJ17" i="2"/>
  <c r="AJ29" i="2" s="1"/>
  <c r="AK31" i="2" l="1"/>
  <c r="AK16" i="2"/>
  <c r="AN30" i="2"/>
  <c r="AG21" i="2"/>
  <c r="AF25" i="2"/>
  <c r="AK28" i="2"/>
  <c r="AK17" i="2"/>
  <c r="AK29" i="2" s="1"/>
  <c r="AL27" i="2"/>
  <c r="AL31" i="2" l="1"/>
  <c r="AL16" i="2"/>
  <c r="AO30" i="2"/>
  <c r="AM27" i="2"/>
  <c r="AL17" i="2"/>
  <c r="AL29" i="2" s="1"/>
  <c r="AL28" i="2"/>
  <c r="AL8" i="2"/>
  <c r="AM31" i="2" l="1"/>
  <c r="AM16" i="2"/>
  <c r="AP30" i="2"/>
  <c r="AG33" i="2"/>
  <c r="AM28" i="2"/>
  <c r="AM17" i="2"/>
  <c r="AM29" i="2" s="1"/>
  <c r="AM8" i="2"/>
  <c r="AN27" i="2"/>
  <c r="AN31" i="2" l="1"/>
  <c r="AN16" i="2"/>
  <c r="AG23" i="2"/>
  <c r="AG34" i="2" s="1"/>
  <c r="AQ30" i="2"/>
  <c r="AO27" i="2"/>
  <c r="AN28" i="2"/>
  <c r="AN8" i="2"/>
  <c r="AN17" i="2"/>
  <c r="AN29" i="2" s="1"/>
  <c r="AO31" i="2" l="1"/>
  <c r="AO16" i="2"/>
  <c r="AS30" i="2"/>
  <c r="AR30" i="2"/>
  <c r="AP27" i="2"/>
  <c r="AG25" i="2"/>
  <c r="AO17" i="2"/>
  <c r="AO29" i="2" s="1"/>
  <c r="AO28" i="2"/>
  <c r="AO8" i="2"/>
  <c r="AP31" i="2" l="1"/>
  <c r="AP16" i="2"/>
  <c r="AQ8" i="2"/>
  <c r="AH21" i="2"/>
  <c r="AQ27" i="2"/>
  <c r="AP8" i="2"/>
  <c r="AP28" i="2"/>
  <c r="AP17" i="2"/>
  <c r="AP29" i="2" s="1"/>
  <c r="AQ31" i="2" l="1"/>
  <c r="AQ16" i="2"/>
  <c r="AR8" i="2"/>
  <c r="AH33" i="2"/>
  <c r="AH23" i="2"/>
  <c r="AR27" i="2"/>
  <c r="AQ28" i="2"/>
  <c r="AQ17" i="2"/>
  <c r="AQ29" i="2" s="1"/>
  <c r="AR31" i="2" l="1"/>
  <c r="AR16" i="2"/>
  <c r="AS8" i="2"/>
  <c r="AH34" i="2"/>
  <c r="AH25" i="2"/>
  <c r="AS27" i="2"/>
  <c r="AR17" i="2"/>
  <c r="AR29" i="2" s="1"/>
  <c r="AR28" i="2"/>
  <c r="AS31" i="2" l="1"/>
  <c r="AS16" i="2"/>
  <c r="AS17" i="2"/>
  <c r="AS29" i="2" s="1"/>
  <c r="AS28" i="2"/>
  <c r="X28" i="2" l="1"/>
  <c r="X21" i="2"/>
  <c r="X29" i="2" l="1"/>
  <c r="X23" i="2"/>
  <c r="X34" i="2" l="1"/>
  <c r="X25" i="2"/>
  <c r="X33" i="2"/>
  <c r="Z28" i="2"/>
  <c r="Y28" i="2"/>
  <c r="Z8" i="2"/>
  <c r="Z21" i="2"/>
  <c r="Y8" i="2"/>
  <c r="Y29" i="2"/>
  <c r="Z29" i="2" l="1"/>
  <c r="AI8" i="2"/>
  <c r="AI9" i="2" s="1"/>
  <c r="AI28" i="2" s="1"/>
  <c r="Z22" i="2"/>
  <c r="Z33" i="2" s="1"/>
  <c r="Y21" i="2"/>
  <c r="AI17" i="2" l="1"/>
  <c r="AI21" i="2" s="1"/>
  <c r="Y22" i="2"/>
  <c r="Y23" i="2" s="1"/>
  <c r="Z23" i="2"/>
  <c r="AI29" i="2" l="1"/>
  <c r="Z25" i="2"/>
  <c r="Z34" i="2"/>
  <c r="Y25" i="2"/>
  <c r="Y34" i="2"/>
  <c r="AI22" i="2"/>
  <c r="AI33" i="2" s="1"/>
  <c r="Y33" i="2"/>
  <c r="AI23" i="2" l="1"/>
  <c r="AI25" i="2" l="1"/>
  <c r="AI34" i="2"/>
  <c r="AJ20" i="2"/>
  <c r="AJ21" i="2" s="1"/>
  <c r="AJ22" i="2" s="1"/>
  <c r="AJ33" i="2" s="1"/>
  <c r="AJ23" i="2" l="1"/>
  <c r="AJ34" i="2" l="1"/>
  <c r="AJ25" i="2"/>
  <c r="AK20" i="2"/>
  <c r="AK21" i="2" s="1"/>
  <c r="AK22" i="2" l="1"/>
  <c r="AK33" i="2" s="1"/>
  <c r="AK23" i="2" l="1"/>
  <c r="AL20" i="2" l="1"/>
  <c r="AL21" i="2" s="1"/>
  <c r="AK34" i="2"/>
  <c r="AK25" i="2"/>
  <c r="AL22" i="2" l="1"/>
  <c r="AL33" i="2" s="1"/>
  <c r="AL23" i="2" l="1"/>
  <c r="AL25" i="2" s="1"/>
  <c r="AM20" i="2" l="1"/>
  <c r="AM21" i="2" s="1"/>
  <c r="AM22" i="2" s="1"/>
  <c r="AM33" i="2" s="1"/>
  <c r="AL34" i="2"/>
  <c r="AM23" i="2" l="1"/>
  <c r="AM25" i="2" s="1"/>
  <c r="AM34" i="2" l="1"/>
  <c r="AN20" i="2"/>
  <c r="AN21" i="2" s="1"/>
  <c r="AN22" i="2" s="1"/>
  <c r="AN33" i="2" s="1"/>
  <c r="AN23" i="2" l="1"/>
  <c r="AO20" i="2" l="1"/>
  <c r="AO21" i="2" s="1"/>
  <c r="AN25" i="2"/>
  <c r="AN34" i="2"/>
  <c r="AO22" i="2" l="1"/>
  <c r="AO33" i="2" s="1"/>
  <c r="AO23" i="2" l="1"/>
  <c r="AO34" i="2" l="1"/>
  <c r="AP20" i="2"/>
  <c r="AP21" i="2" s="1"/>
  <c r="AO25" i="2"/>
  <c r="AP22" i="2" l="1"/>
  <c r="AP33" i="2" s="1"/>
  <c r="AP23" i="2" l="1"/>
  <c r="AP25" i="2" l="1"/>
  <c r="AQ20" i="2"/>
  <c r="AQ21" i="2" s="1"/>
  <c r="AP34" i="2"/>
  <c r="AQ22" i="2" l="1"/>
  <c r="AQ33" i="2" s="1"/>
  <c r="AQ23" i="2" l="1"/>
  <c r="AR20" i="2" s="1"/>
  <c r="AR21" i="2" s="1"/>
  <c r="AQ25" i="2" l="1"/>
  <c r="AQ34" i="2"/>
  <c r="AR22" i="2"/>
  <c r="AR33" i="2" s="1"/>
  <c r="AR23" i="2" l="1"/>
  <c r="AR25" i="2" s="1"/>
  <c r="AS20" i="2" l="1"/>
  <c r="AS21" i="2" s="1"/>
  <c r="AS22" i="2" s="1"/>
  <c r="AS33" i="2" s="1"/>
  <c r="AR34" i="2"/>
  <c r="AS23" i="2" l="1"/>
  <c r="AS25" i="2" l="1"/>
  <c r="AT23" i="2"/>
  <c r="AU23" i="2" s="1"/>
  <c r="AV23" i="2" s="1"/>
  <c r="AW23" i="2" s="1"/>
  <c r="AX23" i="2" s="1"/>
  <c r="AY23" i="2" s="1"/>
  <c r="AZ23" i="2" s="1"/>
  <c r="BA23" i="2" s="1"/>
  <c r="BB23" i="2" s="1"/>
  <c r="BC23" i="2" s="1"/>
  <c r="BD23" i="2" s="1"/>
  <c r="BE23" i="2" s="1"/>
  <c r="BF23" i="2" s="1"/>
  <c r="BG23" i="2" s="1"/>
  <c r="BH23" i="2" s="1"/>
  <c r="BI23" i="2" s="1"/>
  <c r="BJ23" i="2" s="1"/>
  <c r="BK23" i="2" s="1"/>
  <c r="BL23" i="2" s="1"/>
  <c r="BM23" i="2" s="1"/>
  <c r="BN23" i="2" s="1"/>
  <c r="BO23" i="2" s="1"/>
  <c r="BP23" i="2" s="1"/>
  <c r="BQ23" i="2" s="1"/>
  <c r="BR23" i="2" s="1"/>
  <c r="BS23" i="2" s="1"/>
  <c r="BT23" i="2" s="1"/>
  <c r="BU23" i="2" s="1"/>
  <c r="BV23" i="2" s="1"/>
  <c r="BW23" i="2" s="1"/>
  <c r="BX23" i="2" s="1"/>
  <c r="BY23" i="2" s="1"/>
  <c r="BZ23" i="2" s="1"/>
  <c r="CA23" i="2" s="1"/>
  <c r="CB23" i="2" s="1"/>
  <c r="CC23" i="2" s="1"/>
  <c r="CD23" i="2" s="1"/>
  <c r="CE23" i="2" s="1"/>
  <c r="CF23" i="2" s="1"/>
  <c r="CG23" i="2" s="1"/>
  <c r="CH23" i="2" s="1"/>
  <c r="CI23" i="2" s="1"/>
  <c r="CJ23" i="2" s="1"/>
  <c r="CK23" i="2" s="1"/>
  <c r="CL23" i="2" s="1"/>
  <c r="CM23" i="2" s="1"/>
  <c r="CN23" i="2" s="1"/>
  <c r="CO23" i="2" s="1"/>
  <c r="CP23" i="2" s="1"/>
  <c r="CQ23" i="2" s="1"/>
  <c r="CR23" i="2" s="1"/>
  <c r="CS23" i="2" s="1"/>
  <c r="CT23" i="2" s="1"/>
  <c r="CU23" i="2" s="1"/>
  <c r="CV23" i="2" s="1"/>
  <c r="CW23" i="2" s="1"/>
  <c r="CX23" i="2" s="1"/>
  <c r="CY23" i="2" s="1"/>
  <c r="CZ23" i="2" s="1"/>
  <c r="DA23" i="2" s="1"/>
  <c r="DB23" i="2" s="1"/>
  <c r="DC23" i="2" s="1"/>
  <c r="DD23" i="2" s="1"/>
  <c r="DE23" i="2" s="1"/>
  <c r="DF23" i="2" s="1"/>
  <c r="DG23" i="2" s="1"/>
  <c r="DH23" i="2" s="1"/>
  <c r="DI23" i="2" s="1"/>
  <c r="DJ23" i="2" s="1"/>
  <c r="DK23" i="2" s="1"/>
  <c r="DL23" i="2" s="1"/>
  <c r="DM23" i="2" s="1"/>
  <c r="DN23" i="2" s="1"/>
  <c r="DO23" i="2" s="1"/>
  <c r="DP23" i="2" s="1"/>
  <c r="DQ23" i="2" s="1"/>
  <c r="DR23" i="2" s="1"/>
  <c r="DS23" i="2" s="1"/>
  <c r="DT23" i="2" s="1"/>
  <c r="DU23" i="2" s="1"/>
  <c r="DV23" i="2" s="1"/>
  <c r="DW23" i="2" s="1"/>
  <c r="DX23" i="2" s="1"/>
  <c r="DY23" i="2" s="1"/>
  <c r="DZ23" i="2" s="1"/>
  <c r="EA23" i="2" s="1"/>
  <c r="EB23" i="2" s="1"/>
  <c r="EC23" i="2" s="1"/>
  <c r="ED23" i="2" s="1"/>
  <c r="EE23" i="2" s="1"/>
  <c r="EF23" i="2" s="1"/>
  <c r="EG23" i="2" s="1"/>
  <c r="EH23" i="2" s="1"/>
  <c r="EI23" i="2" s="1"/>
  <c r="EJ23" i="2" s="1"/>
  <c r="EK23" i="2" s="1"/>
  <c r="EL23" i="2" s="1"/>
  <c r="EM23" i="2" s="1"/>
  <c r="EN23" i="2" s="1"/>
  <c r="EO23" i="2" s="1"/>
  <c r="EP23" i="2" s="1"/>
  <c r="EQ23" i="2" s="1"/>
  <c r="ER23" i="2" s="1"/>
  <c r="ES23" i="2" s="1"/>
  <c r="ET23" i="2" s="1"/>
  <c r="EU23" i="2" s="1"/>
  <c r="EV23" i="2" s="1"/>
  <c r="EW23" i="2" s="1"/>
  <c r="EX23" i="2" s="1"/>
  <c r="EY23" i="2" s="1"/>
  <c r="EZ23" i="2" s="1"/>
  <c r="FA23" i="2" s="1"/>
  <c r="FB23" i="2" s="1"/>
  <c r="FC23" i="2" s="1"/>
  <c r="FD23" i="2" s="1"/>
  <c r="FE23" i="2" s="1"/>
  <c r="FF23" i="2" s="1"/>
  <c r="AV31" i="2" s="1"/>
  <c r="AV33" i="2" s="1"/>
  <c r="AV34" i="2" s="1"/>
  <c r="AV36" i="2" s="1"/>
  <c r="AS34" i="2"/>
</calcChain>
</file>

<file path=xl/sharedStrings.xml><?xml version="1.0" encoding="utf-8"?>
<sst xmlns="http://schemas.openxmlformats.org/spreadsheetml/2006/main" count="78" uniqueCount="73">
  <si>
    <t>COIN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</si>
  <si>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</si>
  <si>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</si>
  <si>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</si>
  <si>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</si>
  <si>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</si>
  <si>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</si>
  <si>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</si>
  <si>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</si>
  <si>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</si>
  <si>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</si>
  <si>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Q121</t>
  </si>
  <si>
    <t>Q420</t>
  </si>
  <si>
    <t>Revenue</t>
  </si>
  <si>
    <t>Q221</t>
  </si>
  <si>
    <t>Q321</t>
  </si>
  <si>
    <t>Q421</t>
  </si>
  <si>
    <t>Cost of sales</t>
  </si>
  <si>
    <t>Gross profit</t>
  </si>
  <si>
    <t>R&amp;D</t>
  </si>
  <si>
    <t>S&amp;M</t>
  </si>
  <si>
    <t>G&amp;A</t>
  </si>
  <si>
    <t>Restructuring</t>
  </si>
  <si>
    <t>Other operating expense</t>
  </si>
  <si>
    <t>Operating profit</t>
  </si>
  <si>
    <t>Other income</t>
  </si>
  <si>
    <t>Pretax profit</t>
  </si>
  <si>
    <t>Taxes</t>
  </si>
  <si>
    <t>Net profit</t>
  </si>
  <si>
    <t>EPS</t>
  </si>
  <si>
    <t>Gross Margin</t>
  </si>
  <si>
    <t>Operating Margin</t>
  </si>
  <si>
    <t>Revenue y/y</t>
  </si>
  <si>
    <t>R&amp;D y/y</t>
  </si>
  <si>
    <t>G&amp;A y/y</t>
  </si>
  <si>
    <t>S&amp;M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</si>
  <si>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</si>
  <si>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</si>
  <si>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</si>
  <si>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</si>
  <si>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</si>
  <si>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</si>
  <si>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</si>
  <si>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</si>
  <si>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</si>
  <si>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Q120</t>
  </si>
  <si>
    <t>Q220</t>
  </si>
  <si>
    <t>Q320</t>
  </si>
  <si>
    <t>Net Margin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</si>
  <si>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</si>
  <si>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</si>
  <si>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</si>
  <si>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</si>
  <si>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</si>
  <si>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</si>
  <si>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</si>
  <si>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</si>
  <si>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</si>
  <si>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</si>
  <si>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</si>
  <si>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</si>
  <si>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Net investment income</t>
  </si>
  <si>
    <t>Interest expense</t>
  </si>
  <si>
    <t>BTC/USD</t>
  </si>
  <si>
    <t>Q125</t>
  </si>
  <si>
    <t>Q225</t>
  </si>
  <si>
    <t>Q325</t>
  </si>
  <si>
    <t>Q425</t>
  </si>
  <si>
    <t>Other revenue</t>
  </si>
  <si>
    <t>Total revenue</t>
  </si>
  <si>
    <t>Total operating expense</t>
  </si>
  <si>
    <t>Cryptoasset gain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</si>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</sst>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/>
    <xf numFmtId="4" fontId="1" fillId="0" borderId="0" xfId="0" applyNumberFormat="1" applyFont="1"/>
    <xf numFmtId="3" fontId="1" fillId="0" borderId="0" xfId="0" applyNumberFormat="1" applyFont="1"/>
    <xf numFmtId="9" fontId="1" fillId="0" borderId="0" xfId="0" applyNumberFormat="1" applyFon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30480</xdr:colOff>
      <xdr:row>0</xdr:row>
      <xdr:rowOff>0</xdr:rowOff>
    </xdr:from>
    <xdr:to>
      <xdr:col>24</xdr:col>
      <xdr:colOff>30480</xdr:colOff>
      <xdr:row>42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5274D5B-9DD8-4881-8A03-E92FBE4C321D}"/>
            </a:ext>
          </a:extLst>
        </xdr:cNvPr>
        <xdr:cNvCxnSpPr/>
      </xdr:nvCxnSpPr>
      <xdr:spPr>
        <a:xfrm>
          <a:off x="15514320" y="0"/>
          <a:ext cx="0" cy="7772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22860</xdr:colOff>
      <xdr:row>0</xdr:row>
      <xdr:rowOff>0</xdr:rowOff>
    </xdr:from>
    <xdr:to>
      <xdr:col>34</xdr:col>
      <xdr:colOff>22860</xdr:colOff>
      <xdr:row>41</xdr:row>
      <xdr:rowOff>91440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BB9FD12-4AFE-4028-A9E6-F489FC9F2C10}"/>
            </a:ext>
          </a:extLst>
        </xdr:cNvPr>
        <xdr:cNvCxnSpPr/>
      </xdr:nvCxnSpPr>
      <xdr:spPr>
        <a:xfrm>
          <a:off x="21602700" y="0"/>
          <a:ext cx="0" cy="6858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71C3-CF0B-4399-8965-62D5D383DE80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5">
        <v>305.08</v>
      </c>
      <c r="E3" s="3">
        <v>45909</v>
      </c>
      <c r="F3" s="3">
        <f ca="1">TODAY()</f>
        <v>45909</v>
      </c>
      <c r="G3" s="3">
        <v>45961</v>
      </c>
    </row>
    <row r="4" spans="2:7" x14ac:dyDescent="0.3">
      <c r="C4" t="s">
        <v>2</v>
      </c>
      <c r="D4" s="4">
        <f>255.2</f>
        <v>255.2</v>
      </c>
      <c r="E4" s="2" t="s">
        <v>65</v>
      </c>
    </row>
    <row r="5" spans="2:7" x14ac:dyDescent="0.3">
      <c r="C5" t="s">
        <v>3</v>
      </c>
      <c r="D5" s="4">
        <f>D3*D4</f>
        <v>77856.415999999997</v>
      </c>
    </row>
    <row r="6" spans="2:7" x14ac:dyDescent="0.3">
      <c r="C6" t="s">
        <v>4</v>
      </c>
      <c r="D6" s="4">
        <f>7539.4+1933.8</f>
        <v>9473.1999999999989</v>
      </c>
      <c r="E6" s="2" t="s">
        <v>65</v>
      </c>
    </row>
    <row r="7" spans="2:7" x14ac:dyDescent="0.3">
      <c r="C7" t="s">
        <v>5</v>
      </c>
      <c r="D7" s="4">
        <f>1266.6+2973.5</f>
        <v>4240.1000000000004</v>
      </c>
      <c r="E7" s="2" t="s">
        <v>65</v>
      </c>
    </row>
    <row r="8" spans="2:7" x14ac:dyDescent="0.3">
      <c r="C8" t="s">
        <v>6</v>
      </c>
      <c r="D8" s="4">
        <f>D6-D7</f>
        <v>5233.0999999999985</v>
      </c>
    </row>
    <row r="9" spans="2:7" x14ac:dyDescent="0.3">
      <c r="C9" t="s">
        <v>7</v>
      </c>
      <c r="D9" s="4">
        <f>D5-D8</f>
        <v>72623.315999999992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EA2F9-121C-4824-AAEB-0646CE9E29D9}">
  <dimension ref="B2:FF37"/>
  <sheetViews>
    <sheetView tabSelected="1" workbookViewId="0">
      <pane xSplit="2" ySplit="2" topLeftCell="AF11" activePane="bottomRight" state="frozen"/>
      <selection pane="topRight" activeCell="C1" sqref="C1"/>
      <selection pane="bottomLeft" activeCell="A3" sqref="A3"/>
      <selection pane="bottomRight" activeCell="AV33" sqref="AV33"/>
    </sheetView>
  </sheetViews>
  <sheetFormatPr defaultRowHeight="14.4" x14ac:dyDescent="0.3"/>
  <cols>
    <col min="2" max="2" width="21.33203125" bestFit="1" customWidth="1"/>
    <col min="3" max="6" width="8.88671875" customWidth="1"/>
    <col min="43" max="44" width="8.88671875" customWidth="1"/>
    <col min="47" max="47" width="12" bestFit="1" customWidth="1"/>
    <col min="48" max="48" width="17.33203125" bestFit="1" customWidth="1"/>
  </cols>
  <sheetData>
    <row r="2" spans="2:45" x14ac:dyDescent="0.3">
      <c r="C2" s="6" t="s">
        <v>45</v>
      </c>
      <c r="D2" s="6" t="s">
        <v>46</v>
      </c>
      <c r="E2" s="6" t="s">
        <v>47</v>
      </c>
      <c r="F2" s="6" t="s">
        <v>12</v>
      </c>
      <c r="G2" s="6" t="s">
        <v>11</v>
      </c>
      <c r="H2" s="6" t="s">
        <v>14</v>
      </c>
      <c r="I2" s="6" t="s">
        <v>15</v>
      </c>
      <c r="J2" s="6" t="s">
        <v>16</v>
      </c>
      <c r="K2" s="6" t="s">
        <v>50</v>
      </c>
      <c r="L2" s="6" t="s">
        <v>51</v>
      </c>
      <c r="M2" s="6" t="s">
        <v>52</v>
      </c>
      <c r="N2" s="6" t="s">
        <v>53</v>
      </c>
      <c r="O2" s="6" t="s">
        <v>54</v>
      </c>
      <c r="P2" s="6" t="s">
        <v>55</v>
      </c>
      <c r="Q2" s="6" t="s">
        <v>56</v>
      </c>
      <c r="R2" s="6" t="s">
        <v>57</v>
      </c>
      <c r="S2" s="6" t="s">
        <v>58</v>
      </c>
      <c r="T2" s="6" t="s">
        <v>49</v>
      </c>
      <c r="U2" s="6" t="s">
        <v>59</v>
      </c>
      <c r="V2" s="6" t="s">
        <v>60</v>
      </c>
      <c r="W2" s="6" t="s">
        <v>64</v>
      </c>
      <c r="X2" s="6" t="s">
        <v>65</v>
      </c>
      <c r="Y2" s="6" t="s">
        <v>66</v>
      </c>
      <c r="Z2" s="6" t="s">
        <v>67</v>
      </c>
      <c r="AA2" s="6"/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  <c r="AI2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  <c r="AO2">
        <v>2031</v>
      </c>
      <c r="AP2">
        <v>2032</v>
      </c>
      <c r="AQ2">
        <v>2033</v>
      </c>
      <c r="AR2">
        <v>2034</v>
      </c>
      <c r="AS2">
        <v>2035</v>
      </c>
    </row>
    <row r="3" spans="2:45" x14ac:dyDescent="0.3">
      <c r="B3" t="s">
        <v>63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45" x14ac:dyDescent="0.3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2:45" x14ac:dyDescent="0.3">
      <c r="B5" t="s">
        <v>13</v>
      </c>
      <c r="C5" s="4">
        <v>190.6</v>
      </c>
      <c r="D5" s="4">
        <v>186.4</v>
      </c>
      <c r="E5" s="4">
        <v>315.36</v>
      </c>
      <c r="F5" s="4">
        <v>585.11</v>
      </c>
      <c r="G5" s="4">
        <v>1801.1</v>
      </c>
      <c r="H5" s="4">
        <v>2228</v>
      </c>
      <c r="I5" s="4">
        <v>1311.9</v>
      </c>
      <c r="J5" s="4">
        <v>2498.5</v>
      </c>
      <c r="K5" s="4">
        <v>1166.4000000000001</v>
      </c>
      <c r="L5" s="4">
        <v>808.3</v>
      </c>
      <c r="M5" s="4">
        <v>590.29999999999995</v>
      </c>
      <c r="N5" s="4">
        <v>629.1</v>
      </c>
      <c r="O5" s="4">
        <v>772.5</v>
      </c>
      <c r="P5" s="4">
        <v>707.9</v>
      </c>
      <c r="Q5" s="4">
        <v>674.1</v>
      </c>
      <c r="R5" s="4">
        <v>953.8</v>
      </c>
      <c r="S5" s="4">
        <v>1637.6</v>
      </c>
      <c r="T5" s="4">
        <v>1449.6</v>
      </c>
      <c r="U5" s="4">
        <v>1205.2</v>
      </c>
      <c r="V5" s="4">
        <v>2271.6</v>
      </c>
      <c r="W5" s="4">
        <v>1960.3</v>
      </c>
      <c r="X5" s="4">
        <v>1420.1</v>
      </c>
      <c r="Y5" s="4">
        <f>U5*1.5</f>
        <v>1807.8000000000002</v>
      </c>
      <c r="Z5" s="4">
        <f>V5*0.7</f>
        <v>1590.12</v>
      </c>
      <c r="AA5" s="4"/>
      <c r="AC5" s="4">
        <v>533.70000000000005</v>
      </c>
      <c r="AD5" s="4">
        <v>1277.5</v>
      </c>
      <c r="AE5" s="4">
        <f>SUM(G5:J5)</f>
        <v>7839.5</v>
      </c>
      <c r="AF5" s="4">
        <f>SUM(K5:N5)</f>
        <v>3194.1</v>
      </c>
      <c r="AG5" s="4">
        <f>SUM(O5:R5)</f>
        <v>3108.3</v>
      </c>
      <c r="AH5" s="4">
        <f>SUM(S5:V5)</f>
        <v>6564</v>
      </c>
      <c r="AI5" s="4">
        <f>SUM(W5:Z5)</f>
        <v>6778.32</v>
      </c>
      <c r="AJ5" s="4">
        <f>AI5*1.14</f>
        <v>7727.2847999999994</v>
      </c>
      <c r="AK5" s="4">
        <f>AJ5*1.11</f>
        <v>8577.2861279999997</v>
      </c>
      <c r="AL5" s="4">
        <f>AK5*1.08</f>
        <v>9263.4690182400009</v>
      </c>
      <c r="AM5" s="4">
        <f>AL5*1.06</f>
        <v>9819.2771593344023</v>
      </c>
      <c r="AN5" s="4">
        <f>AM5*1.05</f>
        <v>10310.241017301123</v>
      </c>
      <c r="AO5" s="4">
        <f t="shared" ref="AO5:AS5" si="0">AN5*1.05</f>
        <v>10825.753068166179</v>
      </c>
      <c r="AP5" s="4">
        <f t="shared" si="0"/>
        <v>11367.040721574489</v>
      </c>
      <c r="AQ5" s="4">
        <f t="shared" si="0"/>
        <v>11935.392757653213</v>
      </c>
      <c r="AR5" s="4">
        <f t="shared" si="0"/>
        <v>12532.162395535874</v>
      </c>
      <c r="AS5" s="4">
        <f t="shared" si="0"/>
        <v>13158.770515312668</v>
      </c>
    </row>
    <row r="6" spans="2:45" x14ac:dyDescent="0.3">
      <c r="B6" t="s">
        <v>68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>
        <v>49.9</v>
      </c>
      <c r="T6" s="4"/>
      <c r="U6" s="4"/>
      <c r="V6" s="4"/>
      <c r="W6" s="4">
        <v>74</v>
      </c>
      <c r="X6" s="4">
        <v>77.099999999999994</v>
      </c>
      <c r="Y6" s="4"/>
      <c r="Z6" s="4"/>
      <c r="AA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</row>
    <row r="7" spans="2:45" s="1" customFormat="1" x14ac:dyDescent="0.3">
      <c r="B7" s="1" t="s">
        <v>69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>
        <f>S5+S6</f>
        <v>1687.5</v>
      </c>
      <c r="T7" s="9"/>
      <c r="U7" s="9"/>
      <c r="V7" s="9"/>
      <c r="W7" s="9">
        <f>W5+W6</f>
        <v>2034.3</v>
      </c>
      <c r="X7" s="9">
        <f>X5+X6</f>
        <v>1497.1999999999998</v>
      </c>
      <c r="AA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</row>
    <row r="8" spans="2:45" x14ac:dyDescent="0.3">
      <c r="B8" t="s">
        <v>17</v>
      </c>
      <c r="C8" s="4">
        <v>25.4</v>
      </c>
      <c r="D8" s="4">
        <v>23.4</v>
      </c>
      <c r="E8" s="4">
        <v>36.799999999999997</v>
      </c>
      <c r="F8" s="4">
        <v>50</v>
      </c>
      <c r="G8" s="4">
        <v>234.1</v>
      </c>
      <c r="H8" s="4">
        <v>335.4</v>
      </c>
      <c r="I8" s="4">
        <v>197.3</v>
      </c>
      <c r="J8" s="4">
        <v>501.2</v>
      </c>
      <c r="K8" s="4">
        <v>277.8</v>
      </c>
      <c r="L8" s="4">
        <v>167.2</v>
      </c>
      <c r="M8" s="4">
        <v>101.9</v>
      </c>
      <c r="N8" s="4">
        <v>83</v>
      </c>
      <c r="O8" s="4">
        <v>96.4</v>
      </c>
      <c r="P8" s="4">
        <v>108.2</v>
      </c>
      <c r="Q8" s="4">
        <v>90.6</v>
      </c>
      <c r="R8" s="4">
        <v>125.6</v>
      </c>
      <c r="S8" s="4">
        <v>217.4</v>
      </c>
      <c r="T8" s="4">
        <v>191.5</v>
      </c>
      <c r="U8" s="4">
        <v>171.8</v>
      </c>
      <c r="V8" s="4">
        <v>317</v>
      </c>
      <c r="W8" s="4">
        <v>303</v>
      </c>
      <c r="X8" s="4">
        <v>245.3</v>
      </c>
      <c r="Y8" s="4">
        <f>Y5-Y9</f>
        <v>253.0920000000001</v>
      </c>
      <c r="Z8" s="4">
        <f>Z5-Z9</f>
        <v>190.81439999999998</v>
      </c>
      <c r="AA8" s="4"/>
      <c r="AC8" s="4">
        <v>82.1</v>
      </c>
      <c r="AD8" s="4">
        <v>135.5</v>
      </c>
      <c r="AE8" s="4">
        <f>SUM(G8:J8)</f>
        <v>1268</v>
      </c>
      <c r="AF8" s="4">
        <f>SUM(K8:N8)</f>
        <v>629.9</v>
      </c>
      <c r="AG8" s="4">
        <f>SUM(O8:R8)</f>
        <v>420.80000000000007</v>
      </c>
      <c r="AH8" s="4">
        <f>SUM(S8:V8)</f>
        <v>897.7</v>
      </c>
      <c r="AI8" s="4">
        <f>SUM(W8:Z8)</f>
        <v>992.20640000000003</v>
      </c>
      <c r="AJ8" s="4">
        <f t="shared" ref="AJ8:AO8" si="1">AJ5-AJ9</f>
        <v>1004.5470239999995</v>
      </c>
      <c r="AK8" s="4">
        <f t="shared" si="1"/>
        <v>1115.04719664</v>
      </c>
      <c r="AL8" s="4">
        <f t="shared" si="1"/>
        <v>1204.2509723712001</v>
      </c>
      <c r="AM8" s="4">
        <f t="shared" si="1"/>
        <v>1276.5060307134718</v>
      </c>
      <c r="AN8" s="4">
        <f t="shared" si="1"/>
        <v>1340.3313322491467</v>
      </c>
      <c r="AO8" s="4">
        <f t="shared" si="1"/>
        <v>1407.3478988616025</v>
      </c>
      <c r="AP8" s="4">
        <f t="shared" ref="AP8:AS8" si="2">AP5-AP9</f>
        <v>1477.7152938046838</v>
      </c>
      <c r="AQ8" s="4">
        <f t="shared" si="2"/>
        <v>1551.6010584949181</v>
      </c>
      <c r="AR8" s="4">
        <f t="shared" si="2"/>
        <v>1629.1811114196644</v>
      </c>
      <c r="AS8" s="4">
        <f t="shared" si="2"/>
        <v>1710.6401669906463</v>
      </c>
    </row>
    <row r="9" spans="2:45" s="1" customFormat="1" x14ac:dyDescent="0.3">
      <c r="B9" s="1" t="s">
        <v>18</v>
      </c>
      <c r="C9" s="9">
        <f>C5-C8</f>
        <v>165.2</v>
      </c>
      <c r="D9" s="9">
        <f t="shared" ref="D9:F9" si="3">D5-D8</f>
        <v>163</v>
      </c>
      <c r="E9" s="9">
        <f t="shared" si="3"/>
        <v>278.56</v>
      </c>
      <c r="F9" s="9">
        <f t="shared" si="3"/>
        <v>535.11</v>
      </c>
      <c r="G9" s="9">
        <f t="shared" ref="G9:V9" si="4">G5-G8</f>
        <v>1567</v>
      </c>
      <c r="H9" s="9">
        <f t="shared" si="4"/>
        <v>1892.6</v>
      </c>
      <c r="I9" s="9">
        <f t="shared" si="4"/>
        <v>1114.6000000000001</v>
      </c>
      <c r="J9" s="9">
        <f t="shared" si="4"/>
        <v>1997.3</v>
      </c>
      <c r="K9" s="9">
        <f t="shared" si="4"/>
        <v>888.60000000000014</v>
      </c>
      <c r="L9" s="9">
        <f t="shared" si="4"/>
        <v>641.09999999999991</v>
      </c>
      <c r="M9" s="9">
        <f t="shared" si="4"/>
        <v>488.4</v>
      </c>
      <c r="N9" s="9">
        <f t="shared" si="4"/>
        <v>546.1</v>
      </c>
      <c r="O9" s="9">
        <f t="shared" si="4"/>
        <v>676.1</v>
      </c>
      <c r="P9" s="9">
        <f t="shared" si="4"/>
        <v>599.69999999999993</v>
      </c>
      <c r="Q9" s="9">
        <f t="shared" si="4"/>
        <v>583.5</v>
      </c>
      <c r="R9" s="9">
        <f t="shared" si="4"/>
        <v>828.19999999999993</v>
      </c>
      <c r="S9" s="9">
        <f>S7-S8</f>
        <v>1470.1</v>
      </c>
      <c r="T9" s="9">
        <f t="shared" si="4"/>
        <v>1258.0999999999999</v>
      </c>
      <c r="U9" s="9">
        <f t="shared" si="4"/>
        <v>1033.4000000000001</v>
      </c>
      <c r="V9" s="9">
        <f t="shared" si="4"/>
        <v>1954.6</v>
      </c>
      <c r="W9" s="9">
        <f>W7-W8</f>
        <v>1731.3</v>
      </c>
      <c r="X9" s="9">
        <f>X7-X8</f>
        <v>1251.8999999999999</v>
      </c>
      <c r="Y9" s="9">
        <f>Y5*0.86</f>
        <v>1554.7080000000001</v>
      </c>
      <c r="Z9" s="9">
        <f>Z5*0.88</f>
        <v>1399.3055999999999</v>
      </c>
      <c r="AA9" s="9"/>
      <c r="AC9" s="9">
        <f>AC5-AC8</f>
        <v>451.6</v>
      </c>
      <c r="AD9" s="9">
        <f>AD5-AD8</f>
        <v>1142</v>
      </c>
      <c r="AE9" s="9">
        <f>AE5-AE8</f>
        <v>6571.5</v>
      </c>
      <c r="AF9" s="9">
        <f t="shared" ref="AF9:AI9" si="5">AF5-AF8</f>
        <v>2564.1999999999998</v>
      </c>
      <c r="AG9" s="9">
        <f t="shared" si="5"/>
        <v>2687.5</v>
      </c>
      <c r="AH9" s="9">
        <f t="shared" si="5"/>
        <v>5666.3</v>
      </c>
      <c r="AI9" s="9">
        <f t="shared" si="5"/>
        <v>5786.1135999999997</v>
      </c>
      <c r="AJ9" s="9">
        <f>AJ5*0.87</f>
        <v>6722.7377759999999</v>
      </c>
      <c r="AK9" s="9">
        <f t="shared" ref="AK9:AS9" si="6">AK5*0.87</f>
        <v>7462.2389313599997</v>
      </c>
      <c r="AL9" s="9">
        <f t="shared" si="6"/>
        <v>8059.2180458688008</v>
      </c>
      <c r="AM9" s="9">
        <f t="shared" si="6"/>
        <v>8542.7711286209305</v>
      </c>
      <c r="AN9" s="9">
        <f t="shared" si="6"/>
        <v>8969.9096850519763</v>
      </c>
      <c r="AO9" s="9">
        <f t="shared" si="6"/>
        <v>9418.4051693045767</v>
      </c>
      <c r="AP9" s="9">
        <f t="shared" si="6"/>
        <v>9889.3254277698052</v>
      </c>
      <c r="AQ9" s="9">
        <f t="shared" si="6"/>
        <v>10383.791699158295</v>
      </c>
      <c r="AR9" s="9">
        <f t="shared" si="6"/>
        <v>10902.981284116209</v>
      </c>
      <c r="AS9" s="9">
        <f t="shared" si="6"/>
        <v>11448.130348322022</v>
      </c>
    </row>
    <row r="10" spans="2:45" x14ac:dyDescent="0.3">
      <c r="B10" t="s">
        <v>19</v>
      </c>
      <c r="C10" s="4">
        <v>47.1</v>
      </c>
      <c r="D10" s="11">
        <v>50</v>
      </c>
      <c r="E10" s="11">
        <v>63</v>
      </c>
      <c r="F10" s="11">
        <v>76</v>
      </c>
      <c r="G10" s="4">
        <v>184.2</v>
      </c>
      <c r="H10" s="4">
        <v>291.5</v>
      </c>
      <c r="I10" s="4">
        <v>356.3</v>
      </c>
      <c r="J10" s="4">
        <v>459.6</v>
      </c>
      <c r="K10" s="4">
        <v>570.70000000000005</v>
      </c>
      <c r="L10" s="4">
        <v>609.20000000000005</v>
      </c>
      <c r="M10" s="4">
        <v>556.29999999999995</v>
      </c>
      <c r="N10" s="4">
        <v>590.1</v>
      </c>
      <c r="O10" s="4">
        <v>358</v>
      </c>
      <c r="P10" s="4">
        <v>320.7</v>
      </c>
      <c r="Q10" s="4">
        <v>322.8</v>
      </c>
      <c r="R10" s="4">
        <v>323.10000000000002</v>
      </c>
      <c r="S10" s="4">
        <v>357.9</v>
      </c>
      <c r="T10" s="4">
        <v>364.3</v>
      </c>
      <c r="U10" s="4">
        <v>377.4</v>
      </c>
      <c r="V10" s="4">
        <v>368.7</v>
      </c>
      <c r="W10" s="4">
        <v>355.4</v>
      </c>
      <c r="X10" s="4">
        <v>387.3</v>
      </c>
      <c r="Y10" s="4">
        <f>U10*1.07</f>
        <v>403.81799999999998</v>
      </c>
      <c r="Z10" s="4">
        <f>V10*1.12</f>
        <v>412.94400000000002</v>
      </c>
      <c r="AA10" s="4"/>
      <c r="AC10" s="4">
        <v>185</v>
      </c>
      <c r="AD10" s="4">
        <v>271.7</v>
      </c>
      <c r="AE10" s="4">
        <f>SUM(G10:J10)</f>
        <v>1291.5999999999999</v>
      </c>
      <c r="AF10" s="4">
        <f>SUM(K10:N10)</f>
        <v>2326.3000000000002</v>
      </c>
      <c r="AG10" s="4">
        <f>SUM(O10:R10)</f>
        <v>1324.6</v>
      </c>
      <c r="AH10" s="4">
        <f t="shared" ref="AH10:AH15" si="7">SUM(S10:V10)</f>
        <v>1468.3</v>
      </c>
      <c r="AI10" s="4">
        <f>SUM(W10:Z10)</f>
        <v>1559.462</v>
      </c>
      <c r="AJ10" s="4">
        <f>AI10*1.05</f>
        <v>1637.4351000000001</v>
      </c>
      <c r="AK10" s="4">
        <f>AJ10*1.04</f>
        <v>1702.9325040000001</v>
      </c>
      <c r="AL10" s="4">
        <f>AK10*1.03</f>
        <v>1754.0204791200001</v>
      </c>
      <c r="AM10" s="4">
        <f t="shared" ref="AM10:AN10" si="8">AL10*1.03</f>
        <v>1806.6410934936002</v>
      </c>
      <c r="AN10" s="4">
        <f t="shared" si="8"/>
        <v>1860.8403262984084</v>
      </c>
      <c r="AO10" s="4">
        <f>AN10*1.02</f>
        <v>1898.0571328243766</v>
      </c>
      <c r="AP10" s="4">
        <f t="shared" ref="AP10:AS10" si="9">AO10*1.02</f>
        <v>1936.0182754808641</v>
      </c>
      <c r="AQ10" s="4">
        <f t="shared" si="9"/>
        <v>1974.7386409904814</v>
      </c>
      <c r="AR10" s="4">
        <f t="shared" si="9"/>
        <v>2014.233413810291</v>
      </c>
      <c r="AS10" s="4">
        <f t="shared" si="9"/>
        <v>2054.5180820864971</v>
      </c>
    </row>
    <row r="11" spans="2:45" x14ac:dyDescent="0.3">
      <c r="B11" t="s">
        <v>20</v>
      </c>
      <c r="C11" s="4">
        <v>9.9</v>
      </c>
      <c r="D11" s="11">
        <v>11</v>
      </c>
      <c r="E11" s="11">
        <v>20</v>
      </c>
      <c r="F11" s="11">
        <v>40</v>
      </c>
      <c r="G11" s="4">
        <v>118</v>
      </c>
      <c r="H11" s="4">
        <v>195.7</v>
      </c>
      <c r="I11" s="4">
        <v>105.4</v>
      </c>
      <c r="J11" s="4">
        <v>244.6</v>
      </c>
      <c r="K11" s="4">
        <v>200.2</v>
      </c>
      <c r="L11" s="4">
        <v>140.9</v>
      </c>
      <c r="M11" s="4">
        <v>75.900000000000006</v>
      </c>
      <c r="N11" s="4">
        <v>93.1</v>
      </c>
      <c r="O11" s="4">
        <v>64</v>
      </c>
      <c r="P11" s="4">
        <v>83.9</v>
      </c>
      <c r="Q11" s="4">
        <v>78.2</v>
      </c>
      <c r="R11" s="4">
        <v>106.3</v>
      </c>
      <c r="S11" s="4">
        <v>98.9</v>
      </c>
      <c r="T11" s="4">
        <v>165.3</v>
      </c>
      <c r="U11" s="4">
        <v>164.8</v>
      </c>
      <c r="V11" s="4">
        <v>225.8</v>
      </c>
      <c r="W11" s="4">
        <v>247.3</v>
      </c>
      <c r="X11" s="4">
        <v>236.2</v>
      </c>
      <c r="Y11" s="4">
        <f>Y5*0.13</f>
        <v>235.01400000000004</v>
      </c>
      <c r="Z11" s="4">
        <f>Z5*0.11</f>
        <v>174.91319999999999</v>
      </c>
      <c r="AA11" s="4"/>
      <c r="AC11" s="4">
        <v>24.2</v>
      </c>
      <c r="AD11" s="4">
        <v>56.8</v>
      </c>
      <c r="AE11" s="4">
        <f>SUM(G11:J11)</f>
        <v>663.7</v>
      </c>
      <c r="AF11" s="4">
        <f>SUM(K11:N11)</f>
        <v>510.1</v>
      </c>
      <c r="AG11" s="4">
        <f>SUM(O11:R11)</f>
        <v>332.40000000000003</v>
      </c>
      <c r="AH11" s="4">
        <f t="shared" si="7"/>
        <v>654.80000000000007</v>
      </c>
      <c r="AI11" s="4">
        <f>SUM(W11:Z11)</f>
        <v>893.42719999999997</v>
      </c>
      <c r="AJ11" s="4">
        <f>AJ5*0.12</f>
        <v>927.2741759999999</v>
      </c>
      <c r="AK11" s="4">
        <f t="shared" ref="AK11:AS11" si="10">AK5*0.12</f>
        <v>1029.2743353599999</v>
      </c>
      <c r="AL11" s="4">
        <f t="shared" si="10"/>
        <v>1111.6162821888001</v>
      </c>
      <c r="AM11" s="4">
        <f t="shared" si="10"/>
        <v>1178.3132591201281</v>
      </c>
      <c r="AN11" s="4">
        <f t="shared" si="10"/>
        <v>1237.2289220761347</v>
      </c>
      <c r="AO11" s="4">
        <f t="shared" si="10"/>
        <v>1299.0903681799414</v>
      </c>
      <c r="AP11" s="4">
        <f t="shared" si="10"/>
        <v>1364.0448865889387</v>
      </c>
      <c r="AQ11" s="4">
        <f t="shared" si="10"/>
        <v>1432.2471309183854</v>
      </c>
      <c r="AR11" s="4">
        <f t="shared" si="10"/>
        <v>1503.8594874643047</v>
      </c>
      <c r="AS11" s="4">
        <f t="shared" si="10"/>
        <v>1579.05246183752</v>
      </c>
    </row>
    <row r="12" spans="2:45" x14ac:dyDescent="0.3">
      <c r="B12" t="s">
        <v>21</v>
      </c>
      <c r="C12" s="4">
        <v>59</v>
      </c>
      <c r="D12" s="11">
        <v>63</v>
      </c>
      <c r="E12" s="11">
        <v>70</v>
      </c>
      <c r="F12" s="11">
        <v>95</v>
      </c>
      <c r="G12" s="4">
        <v>121.2</v>
      </c>
      <c r="H12" s="4">
        <v>248.2</v>
      </c>
      <c r="I12" s="4">
        <v>242.6</v>
      </c>
      <c r="J12" s="4">
        <v>297.3</v>
      </c>
      <c r="K12" s="4">
        <v>413.6</v>
      </c>
      <c r="L12" s="4">
        <v>470.2</v>
      </c>
      <c r="M12" s="4">
        <v>339.2</v>
      </c>
      <c r="N12" s="4">
        <v>377.7</v>
      </c>
      <c r="O12" s="4">
        <v>248.8</v>
      </c>
      <c r="P12" s="4">
        <v>259</v>
      </c>
      <c r="Q12" s="4">
        <v>252.6</v>
      </c>
      <c r="R12" s="4">
        <v>280.89999999999998</v>
      </c>
      <c r="S12" s="4">
        <v>287.2</v>
      </c>
      <c r="T12" s="4">
        <v>320.10000000000002</v>
      </c>
      <c r="U12" s="4">
        <v>330.4</v>
      </c>
      <c r="V12" s="4">
        <v>362.5</v>
      </c>
      <c r="W12" s="4">
        <v>394.3</v>
      </c>
      <c r="X12" s="4">
        <v>353.7</v>
      </c>
      <c r="Y12" s="4">
        <f>U12*1.12</f>
        <v>370.048</v>
      </c>
      <c r="Z12" s="4">
        <f>V12*1.1</f>
        <v>398.75000000000006</v>
      </c>
      <c r="AA12" s="4"/>
      <c r="AC12" s="4">
        <v>231.9</v>
      </c>
      <c r="AD12" s="4">
        <v>279.89999999999998</v>
      </c>
      <c r="AE12" s="4">
        <f>SUM(G12:J12)</f>
        <v>909.3</v>
      </c>
      <c r="AF12" s="4">
        <f>SUM(K12:N12)</f>
        <v>1600.7</v>
      </c>
      <c r="AG12" s="4">
        <f>SUM(O12:R12)</f>
        <v>1041.3</v>
      </c>
      <c r="AH12" s="4">
        <f t="shared" si="7"/>
        <v>1300.1999999999998</v>
      </c>
      <c r="AI12" s="4">
        <f>SUM(W12:Z12)</f>
        <v>1516.798</v>
      </c>
      <c r="AJ12" s="4">
        <f>AI12*1.11</f>
        <v>1683.6457800000001</v>
      </c>
      <c r="AK12" s="4">
        <f>AJ12*1.06</f>
        <v>1784.6645268000002</v>
      </c>
      <c r="AL12" s="4">
        <f>AK12*1.04</f>
        <v>1856.0511078720003</v>
      </c>
      <c r="AM12" s="4">
        <f>AL12*1.03</f>
        <v>1911.7326411081604</v>
      </c>
      <c r="AN12" s="4">
        <f t="shared" ref="AN12:AO12" si="11">AM12*1.02</f>
        <v>1949.9672939303236</v>
      </c>
      <c r="AO12" s="4">
        <f t="shared" si="11"/>
        <v>1988.9666398089303</v>
      </c>
      <c r="AP12" s="4">
        <f t="shared" ref="AP12" si="12">AO12*1.02</f>
        <v>2028.7459726051088</v>
      </c>
      <c r="AQ12" s="4">
        <f t="shared" ref="AQ12" si="13">AP12*1.02</f>
        <v>2069.320892057211</v>
      </c>
      <c r="AR12" s="4">
        <f t="shared" ref="AR12" si="14">AQ12*1.02</f>
        <v>2110.7073098983551</v>
      </c>
      <c r="AS12" s="4">
        <f t="shared" ref="AS12" si="15">AR12*1.02</f>
        <v>2152.9214560963223</v>
      </c>
    </row>
    <row r="13" spans="2:45" x14ac:dyDescent="0.3">
      <c r="B13" t="s">
        <v>22</v>
      </c>
      <c r="C13" s="4">
        <v>0</v>
      </c>
      <c r="D13" s="11">
        <v>0</v>
      </c>
      <c r="E13" s="11">
        <v>0</v>
      </c>
      <c r="F13" s="11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42.5</v>
      </c>
      <c r="M13" s="4">
        <f>-1.2+12.2</f>
        <v>11</v>
      </c>
      <c r="N13" s="4">
        <f>67.2-0.5</f>
        <v>66.7</v>
      </c>
      <c r="O13" s="4">
        <f>18+144.5</f>
        <v>162.5</v>
      </c>
      <c r="P13" s="4">
        <f>-8.1-1</f>
        <v>-9.1</v>
      </c>
      <c r="Q13" s="4">
        <f>-0.9+7.2</f>
        <v>6.3</v>
      </c>
      <c r="R13" s="4">
        <v>-51.8</v>
      </c>
      <c r="S13" s="4">
        <v>0</v>
      </c>
      <c r="T13" s="4">
        <v>0</v>
      </c>
      <c r="U13" s="4">
        <v>-0.1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/>
      <c r="AC13" s="4">
        <v>10.1</v>
      </c>
      <c r="AD13" s="4">
        <v>0</v>
      </c>
      <c r="AE13" s="4">
        <f>SUM(G13:J13)</f>
        <v>0</v>
      </c>
      <c r="AF13" s="4">
        <f>SUM(K13:N13)</f>
        <v>120.2</v>
      </c>
      <c r="AG13" s="4">
        <f>SUM(O13:R13)</f>
        <v>107.90000000000002</v>
      </c>
      <c r="AH13" s="4">
        <f t="shared" si="7"/>
        <v>-0.1</v>
      </c>
      <c r="AI13" s="4">
        <f>SUM(W13:Z13)</f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</row>
    <row r="14" spans="2:45" x14ac:dyDescent="0.3">
      <c r="B14" t="s">
        <v>71</v>
      </c>
      <c r="C14" s="4"/>
      <c r="D14" s="11"/>
      <c r="E14" s="11"/>
      <c r="F14" s="11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-86.4</v>
      </c>
      <c r="T14" s="4">
        <v>31</v>
      </c>
      <c r="U14" s="4">
        <v>-8.6</v>
      </c>
      <c r="V14" s="4">
        <v>-16.2</v>
      </c>
      <c r="W14" s="4">
        <v>34.4</v>
      </c>
      <c r="X14" s="4">
        <v>-8.6999999999999993</v>
      </c>
      <c r="Y14" s="4">
        <v>-20</v>
      </c>
      <c r="Z14" s="4">
        <v>10</v>
      </c>
      <c r="AA14" s="4"/>
      <c r="AC14" s="4"/>
      <c r="AD14" s="4"/>
      <c r="AE14" s="4"/>
      <c r="AF14" s="4"/>
      <c r="AG14" s="4"/>
      <c r="AH14" s="4">
        <f t="shared" si="7"/>
        <v>-80.2</v>
      </c>
      <c r="AI14" s="4">
        <f>AH14*1.2</f>
        <v>-96.24</v>
      </c>
      <c r="AJ14" s="4">
        <f t="shared" ref="AJ14:AS14" si="16">AI14*1.2</f>
        <v>-115.48799999999999</v>
      </c>
      <c r="AK14" s="4">
        <f t="shared" si="16"/>
        <v>-138.58559999999997</v>
      </c>
      <c r="AL14" s="4">
        <f t="shared" si="16"/>
        <v>-166.30271999999997</v>
      </c>
      <c r="AM14" s="4">
        <f t="shared" si="16"/>
        <v>-199.56326399999995</v>
      </c>
      <c r="AN14" s="4">
        <f t="shared" si="16"/>
        <v>-239.47591679999994</v>
      </c>
      <c r="AO14" s="4">
        <f t="shared" si="16"/>
        <v>-287.37110015999991</v>
      </c>
      <c r="AP14" s="4">
        <f t="shared" si="16"/>
        <v>-344.84532019199986</v>
      </c>
      <c r="AQ14" s="4">
        <f t="shared" si="16"/>
        <v>-413.81438423039981</v>
      </c>
      <c r="AR14" s="4">
        <f t="shared" si="16"/>
        <v>-496.57726107647977</v>
      </c>
      <c r="AS14" s="4">
        <f t="shared" si="16"/>
        <v>-595.89271329177575</v>
      </c>
    </row>
    <row r="15" spans="2:45" x14ac:dyDescent="0.3">
      <c r="B15" t="s">
        <v>23</v>
      </c>
      <c r="C15" s="4">
        <v>10.4</v>
      </c>
      <c r="D15" s="4">
        <v>-3.3</v>
      </c>
      <c r="E15" s="4">
        <v>20.399999999999999</v>
      </c>
      <c r="F15" s="4">
        <v>97.1</v>
      </c>
      <c r="G15" s="4">
        <v>155.9</v>
      </c>
      <c r="H15" s="4">
        <v>282.39999999999998</v>
      </c>
      <c r="I15" s="4">
        <v>118.5</v>
      </c>
      <c r="J15" s="4">
        <v>73.5</v>
      </c>
      <c r="K15" s="4">
        <v>256.7</v>
      </c>
      <c r="L15" s="4">
        <v>422.8</v>
      </c>
      <c r="M15" s="4">
        <v>62.6</v>
      </c>
      <c r="N15" s="4">
        <v>-26.6</v>
      </c>
      <c r="O15" s="4">
        <v>-33.200000000000003</v>
      </c>
      <c r="P15" s="4">
        <v>18.899999999999999</v>
      </c>
      <c r="Q15" s="4">
        <v>3.5</v>
      </c>
      <c r="R15" s="4">
        <v>54.1</v>
      </c>
      <c r="S15" s="4">
        <v>2.4</v>
      </c>
      <c r="T15" s="4">
        <v>34.4</v>
      </c>
      <c r="U15" s="4">
        <v>0</v>
      </c>
      <c r="V15" s="4">
        <v>-20.3</v>
      </c>
      <c r="W15" s="4">
        <v>-5.9</v>
      </c>
      <c r="X15" s="4">
        <v>308</v>
      </c>
      <c r="Y15" s="4">
        <v>0</v>
      </c>
      <c r="Z15" s="4">
        <v>0</v>
      </c>
      <c r="AA15" s="4"/>
      <c r="AC15" s="4">
        <v>46.2</v>
      </c>
      <c r="AD15" s="4">
        <v>124.6</v>
      </c>
      <c r="AE15" s="4">
        <f>SUM(G15:J15)</f>
        <v>630.29999999999995</v>
      </c>
      <c r="AF15" s="4">
        <f>SUM(K15:N15)</f>
        <v>715.5</v>
      </c>
      <c r="AG15" s="4">
        <f>SUM(O15:R15)</f>
        <v>43.3</v>
      </c>
      <c r="AH15" s="4">
        <f t="shared" si="7"/>
        <v>16.499999999999996</v>
      </c>
      <c r="AI15" s="4">
        <f>SUM(W15:Z15)</f>
        <v>302.10000000000002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</row>
    <row r="16" spans="2:45" x14ac:dyDescent="0.3">
      <c r="B16" t="s">
        <v>70</v>
      </c>
      <c r="C16" s="4">
        <f>SUM(C10:C15)</f>
        <v>126.4</v>
      </c>
      <c r="D16" s="4">
        <f t="shared" ref="D16:Z16" si="17">SUM(D10:D15)</f>
        <v>120.7</v>
      </c>
      <c r="E16" s="4">
        <f t="shared" si="17"/>
        <v>173.4</v>
      </c>
      <c r="F16" s="4">
        <f t="shared" si="17"/>
        <v>308.10000000000002</v>
      </c>
      <c r="G16" s="4">
        <f t="shared" si="17"/>
        <v>579.29999999999995</v>
      </c>
      <c r="H16" s="4">
        <f t="shared" si="17"/>
        <v>1017.8</v>
      </c>
      <c r="I16" s="4">
        <f t="shared" si="17"/>
        <v>822.80000000000007</v>
      </c>
      <c r="J16" s="4">
        <f t="shared" si="17"/>
        <v>1075</v>
      </c>
      <c r="K16" s="4">
        <f t="shared" si="17"/>
        <v>1441.2</v>
      </c>
      <c r="L16" s="4">
        <f t="shared" si="17"/>
        <v>1685.6</v>
      </c>
      <c r="M16" s="4">
        <f t="shared" si="17"/>
        <v>1044.9999999999998</v>
      </c>
      <c r="N16" s="4">
        <f t="shared" si="17"/>
        <v>1101.0000000000002</v>
      </c>
      <c r="O16" s="4">
        <f t="shared" si="17"/>
        <v>800.09999999999991</v>
      </c>
      <c r="P16" s="4">
        <f t="shared" si="17"/>
        <v>673.4</v>
      </c>
      <c r="Q16" s="4">
        <f t="shared" si="17"/>
        <v>663.4</v>
      </c>
      <c r="R16" s="4">
        <f t="shared" si="17"/>
        <v>712.6</v>
      </c>
      <c r="S16" s="4">
        <f t="shared" si="17"/>
        <v>660</v>
      </c>
      <c r="T16" s="4">
        <f t="shared" si="17"/>
        <v>915.1</v>
      </c>
      <c r="U16" s="4">
        <f t="shared" si="17"/>
        <v>863.9</v>
      </c>
      <c r="V16" s="4">
        <f t="shared" si="17"/>
        <v>920.5</v>
      </c>
      <c r="W16" s="4">
        <f t="shared" si="17"/>
        <v>1025.5</v>
      </c>
      <c r="X16" s="4">
        <f t="shared" si="17"/>
        <v>1276.5</v>
      </c>
      <c r="Y16" s="4">
        <f t="shared" si="17"/>
        <v>988.88</v>
      </c>
      <c r="Z16" s="4">
        <f t="shared" si="17"/>
        <v>996.60720000000015</v>
      </c>
      <c r="AA16" s="4"/>
      <c r="AC16" s="4">
        <f t="shared" ref="AC16:AS16" si="18">SUM(AC10:AC15)</f>
        <v>497.40000000000003</v>
      </c>
      <c r="AD16" s="4">
        <f t="shared" si="18"/>
        <v>733</v>
      </c>
      <c r="AE16" s="4">
        <f t="shared" si="18"/>
        <v>3494.8999999999996</v>
      </c>
      <c r="AF16" s="4">
        <f t="shared" si="18"/>
        <v>5272.8</v>
      </c>
      <c r="AG16" s="4">
        <f t="shared" si="18"/>
        <v>2849.5000000000005</v>
      </c>
      <c r="AH16" s="4">
        <f t="shared" si="18"/>
        <v>3359.5</v>
      </c>
      <c r="AI16" s="4">
        <f t="shared" si="18"/>
        <v>4175.5472000000009</v>
      </c>
      <c r="AJ16" s="4">
        <f t="shared" si="18"/>
        <v>4132.867056</v>
      </c>
      <c r="AK16" s="4">
        <f t="shared" si="18"/>
        <v>4378.2857661600001</v>
      </c>
      <c r="AL16" s="4">
        <f t="shared" si="18"/>
        <v>4555.3851491808009</v>
      </c>
      <c r="AM16" s="4">
        <f t="shared" si="18"/>
        <v>4697.1237297218886</v>
      </c>
      <c r="AN16" s="4">
        <f t="shared" si="18"/>
        <v>4808.5606255048669</v>
      </c>
      <c r="AO16" s="4">
        <f t="shared" si="18"/>
        <v>4898.7430406532485</v>
      </c>
      <c r="AP16" s="4">
        <f t="shared" si="18"/>
        <v>4983.9638144829114</v>
      </c>
      <c r="AQ16" s="4">
        <f t="shared" si="18"/>
        <v>5062.4922797356776</v>
      </c>
      <c r="AR16" s="4">
        <f t="shared" si="18"/>
        <v>5132.2229500964713</v>
      </c>
      <c r="AS16" s="4">
        <f t="shared" si="18"/>
        <v>5190.599286728564</v>
      </c>
    </row>
    <row r="17" spans="2:162" s="1" customFormat="1" x14ac:dyDescent="0.3">
      <c r="B17" s="1" t="s">
        <v>24</v>
      </c>
      <c r="C17" s="9">
        <f>C9-C16</f>
        <v>38.799999999999983</v>
      </c>
      <c r="D17" s="9">
        <f t="shared" ref="D17:Z17" si="19">D9-D16</f>
        <v>42.3</v>
      </c>
      <c r="E17" s="9">
        <f t="shared" si="19"/>
        <v>105.16</v>
      </c>
      <c r="F17" s="9">
        <f t="shared" si="19"/>
        <v>227.01</v>
      </c>
      <c r="G17" s="9">
        <f t="shared" si="19"/>
        <v>987.7</v>
      </c>
      <c r="H17" s="9">
        <f t="shared" si="19"/>
        <v>874.8</v>
      </c>
      <c r="I17" s="9">
        <f t="shared" si="19"/>
        <v>291.80000000000007</v>
      </c>
      <c r="J17" s="9">
        <f t="shared" si="19"/>
        <v>922.3</v>
      </c>
      <c r="K17" s="9">
        <f t="shared" si="19"/>
        <v>-552.59999999999991</v>
      </c>
      <c r="L17" s="9">
        <f t="shared" si="19"/>
        <v>-1044.5</v>
      </c>
      <c r="M17" s="9">
        <f t="shared" si="19"/>
        <v>-556.5999999999998</v>
      </c>
      <c r="N17" s="9">
        <f t="shared" si="19"/>
        <v>-554.9000000000002</v>
      </c>
      <c r="O17" s="9">
        <f t="shared" si="19"/>
        <v>-123.99999999999989</v>
      </c>
      <c r="P17" s="9">
        <f t="shared" si="19"/>
        <v>-73.700000000000045</v>
      </c>
      <c r="Q17" s="9">
        <f t="shared" si="19"/>
        <v>-79.899999999999977</v>
      </c>
      <c r="R17" s="9">
        <f t="shared" si="19"/>
        <v>115.59999999999991</v>
      </c>
      <c r="S17" s="9">
        <f t="shared" si="19"/>
        <v>810.09999999999991</v>
      </c>
      <c r="T17" s="9">
        <f t="shared" si="19"/>
        <v>342.99999999999989</v>
      </c>
      <c r="U17" s="9">
        <f t="shared" si="19"/>
        <v>169.50000000000011</v>
      </c>
      <c r="V17" s="9">
        <f t="shared" si="19"/>
        <v>1034.0999999999999</v>
      </c>
      <c r="W17" s="9">
        <f t="shared" si="19"/>
        <v>705.8</v>
      </c>
      <c r="X17" s="9">
        <f t="shared" si="19"/>
        <v>-24.600000000000136</v>
      </c>
      <c r="Y17" s="9">
        <f t="shared" si="19"/>
        <v>565.82800000000009</v>
      </c>
      <c r="Z17" s="9">
        <f t="shared" si="19"/>
        <v>402.69839999999976</v>
      </c>
      <c r="AA17" s="9"/>
      <c r="AC17" s="9">
        <f>AC9-AC10-AC11-AC12-AC13-AC15</f>
        <v>-45.799999999999976</v>
      </c>
      <c r="AD17" s="9">
        <f>AD9-AD10-AD11-AD12-AD13-AD15</f>
        <v>409</v>
      </c>
      <c r="AE17" s="9">
        <f>AE9-AE10-AE11-AE12-AE13-AE15</f>
        <v>3076.5999999999995</v>
      </c>
      <c r="AF17" s="9">
        <f>AF9-AF10-AF11-AF12-AF13-AF15</f>
        <v>-2708.6000000000004</v>
      </c>
      <c r="AG17" s="9">
        <f t="shared" ref="AG17:AO17" si="20">AG9-AG10-AG11-AG12-AG13-AG15</f>
        <v>-161.99999999999997</v>
      </c>
      <c r="AH17" s="9">
        <f t="shared" si="20"/>
        <v>2226.6</v>
      </c>
      <c r="AI17" s="9">
        <f t="shared" si="20"/>
        <v>1514.326399999999</v>
      </c>
      <c r="AJ17" s="9">
        <f t="shared" si="20"/>
        <v>2474.3827199999996</v>
      </c>
      <c r="AK17" s="9">
        <f t="shared" si="20"/>
        <v>2945.3675651999993</v>
      </c>
      <c r="AL17" s="9">
        <f t="shared" si="20"/>
        <v>3337.5301766880002</v>
      </c>
      <c r="AM17" s="9">
        <f t="shared" si="20"/>
        <v>3646.0841348990416</v>
      </c>
      <c r="AN17" s="9">
        <f t="shared" si="20"/>
        <v>3921.8731427471093</v>
      </c>
      <c r="AO17" s="9">
        <f t="shared" si="20"/>
        <v>4232.2910284913287</v>
      </c>
      <c r="AP17" s="9">
        <f t="shared" ref="AP17:AS17" si="21">AP9-AP10-AP11-AP12-AP13-AP15</f>
        <v>4560.5162930948936</v>
      </c>
      <c r="AQ17" s="9">
        <f t="shared" si="21"/>
        <v>4907.4850351922178</v>
      </c>
      <c r="AR17" s="9">
        <f t="shared" si="21"/>
        <v>5274.1810729432582</v>
      </c>
      <c r="AS17" s="9">
        <f t="shared" si="21"/>
        <v>5661.6383483016816</v>
      </c>
    </row>
    <row r="18" spans="2:162" s="1" customFormat="1" x14ac:dyDescent="0.3">
      <c r="B18" t="s">
        <v>62</v>
      </c>
      <c r="C18" s="9"/>
      <c r="D18" s="9"/>
      <c r="E18" s="9"/>
      <c r="F18" s="9"/>
      <c r="G18" s="9"/>
      <c r="H18" s="4">
        <v>0.7</v>
      </c>
      <c r="I18" s="4">
        <v>0</v>
      </c>
      <c r="J18" s="4">
        <v>0</v>
      </c>
      <c r="K18" s="4">
        <v>22.1</v>
      </c>
      <c r="L18" s="4">
        <v>23.7</v>
      </c>
      <c r="M18" s="4">
        <v>21.5</v>
      </c>
      <c r="N18" s="4">
        <v>21.6</v>
      </c>
      <c r="O18" s="4">
        <v>21.5</v>
      </c>
      <c r="P18" s="4">
        <v>21.7</v>
      </c>
      <c r="Q18" s="4">
        <v>20.8</v>
      </c>
      <c r="R18" s="4">
        <v>18.7</v>
      </c>
      <c r="S18" s="4">
        <v>19.100000000000001</v>
      </c>
      <c r="T18" s="4">
        <v>20.5</v>
      </c>
      <c r="U18" s="4">
        <v>20.5</v>
      </c>
      <c r="V18" s="4">
        <v>20.5</v>
      </c>
      <c r="W18" s="4">
        <v>20.5</v>
      </c>
      <c r="X18" s="4">
        <v>20.5</v>
      </c>
      <c r="Y18" s="4">
        <v>20.5</v>
      </c>
      <c r="Z18" s="4">
        <v>20.5</v>
      </c>
      <c r="AA18" s="9"/>
      <c r="AC18" s="9"/>
      <c r="AD18" s="9"/>
      <c r="AE18" s="9"/>
      <c r="AF18" s="4">
        <f>SUM(K18:N18)</f>
        <v>88.9</v>
      </c>
      <c r="AG18" s="4">
        <f>SUM(O18:R18)</f>
        <v>82.7</v>
      </c>
      <c r="AH18" s="4">
        <f>SUM(S18:V18)</f>
        <v>80.599999999999994</v>
      </c>
      <c r="AI18" s="4">
        <f>SUM(W18:Z18)</f>
        <v>82</v>
      </c>
      <c r="AJ18" s="4">
        <f t="shared" ref="AJ18:AS18" si="22">AI18*1.03</f>
        <v>84.460000000000008</v>
      </c>
      <c r="AK18" s="4">
        <f t="shared" si="22"/>
        <v>86.993800000000007</v>
      </c>
      <c r="AL18" s="4">
        <f t="shared" si="22"/>
        <v>89.603614000000007</v>
      </c>
      <c r="AM18" s="4">
        <f t="shared" si="22"/>
        <v>92.291722420000013</v>
      </c>
      <c r="AN18" s="4">
        <f t="shared" si="22"/>
        <v>95.060474092600018</v>
      </c>
      <c r="AO18" s="4">
        <f t="shared" si="22"/>
        <v>97.912288315378021</v>
      </c>
      <c r="AP18" s="4">
        <f t="shared" si="22"/>
        <v>100.84965696483937</v>
      </c>
      <c r="AQ18" s="4">
        <f t="shared" si="22"/>
        <v>103.87514667378456</v>
      </c>
      <c r="AR18" s="4">
        <f t="shared" si="22"/>
        <v>106.99140107399809</v>
      </c>
      <c r="AS18" s="4">
        <f t="shared" si="22"/>
        <v>110.20114310621804</v>
      </c>
    </row>
    <row r="19" spans="2:162" s="1" customFormat="1" x14ac:dyDescent="0.3">
      <c r="B19" t="s">
        <v>61</v>
      </c>
      <c r="C19" s="9"/>
      <c r="D19" s="9"/>
      <c r="E19" s="9"/>
      <c r="F19" s="9"/>
      <c r="G19" s="9"/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-650.4</v>
      </c>
      <c r="T19" s="4">
        <v>319</v>
      </c>
      <c r="U19" s="4">
        <v>120.5</v>
      </c>
      <c r="V19" s="4">
        <v>-476.2</v>
      </c>
      <c r="W19" s="4">
        <v>596.70000000000005</v>
      </c>
      <c r="X19" s="4">
        <v>-362.1</v>
      </c>
      <c r="Y19" s="4">
        <v>-500</v>
      </c>
      <c r="Z19" s="4">
        <v>250</v>
      </c>
      <c r="AA19" s="9"/>
      <c r="AC19" s="9"/>
      <c r="AD19" s="9"/>
      <c r="AE19" s="9"/>
      <c r="AF19" s="4">
        <f>SUM(K19:N19)</f>
        <v>0</v>
      </c>
      <c r="AG19" s="4">
        <f>SUM(O19:R19)</f>
        <v>0</v>
      </c>
      <c r="AH19" s="4">
        <f>SUM(S19:V19)</f>
        <v>-687.09999999999991</v>
      </c>
      <c r="AI19" s="4">
        <f>SUM(W19:Z19)</f>
        <v>-15.399999999999977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</row>
    <row r="20" spans="2:162" x14ac:dyDescent="0.3">
      <c r="B20" t="s">
        <v>25</v>
      </c>
      <c r="C20" s="4">
        <v>3.9</v>
      </c>
      <c r="D20" s="4">
        <v>4</v>
      </c>
      <c r="E20" s="4">
        <v>-1.2</v>
      </c>
      <c r="F20" s="4">
        <v>-6.2</v>
      </c>
      <c r="G20" s="4">
        <v>-9</v>
      </c>
      <c r="H20" s="4">
        <v>5.0999999999999996</v>
      </c>
      <c r="I20" s="4">
        <v>20.9</v>
      </c>
      <c r="J20" s="4">
        <v>31.8</v>
      </c>
      <c r="K20" s="4">
        <v>32.799999999999997</v>
      </c>
      <c r="L20" s="4">
        <v>172.5</v>
      </c>
      <c r="M20" s="4">
        <v>65.7</v>
      </c>
      <c r="N20" s="4">
        <v>-5.6</v>
      </c>
      <c r="O20" s="4">
        <v>20.3</v>
      </c>
      <c r="P20" s="4">
        <v>-16.600000000000001</v>
      </c>
      <c r="Q20" s="4">
        <v>-135.30000000000001</v>
      </c>
      <c r="R20" s="4">
        <v>-36</v>
      </c>
      <c r="S20" s="4">
        <v>-45.6</v>
      </c>
      <c r="T20" s="4">
        <v>63.8</v>
      </c>
      <c r="U20" s="4">
        <v>-40.1</v>
      </c>
      <c r="V20" s="4">
        <v>-7.2</v>
      </c>
      <c r="W20" s="4">
        <v>6.2</v>
      </c>
      <c r="X20" s="4">
        <v>-1506.9</v>
      </c>
      <c r="Y20" s="4">
        <v>0</v>
      </c>
      <c r="Z20" s="4">
        <v>0</v>
      </c>
      <c r="AA20" s="4"/>
      <c r="AC20" s="4">
        <v>-0.4</v>
      </c>
      <c r="AD20" s="4">
        <v>-0.2</v>
      </c>
      <c r="AE20" s="4">
        <f>SUM(G20:J20)</f>
        <v>48.8</v>
      </c>
      <c r="AF20" s="4">
        <f>SUM(K20:N20)</f>
        <v>265.39999999999998</v>
      </c>
      <c r="AG20" s="4">
        <f>SUM(O20:R20)</f>
        <v>-167.60000000000002</v>
      </c>
      <c r="AH20" s="4">
        <f>SUM(S20:V20)</f>
        <v>-29.100000000000005</v>
      </c>
      <c r="AI20" s="4">
        <f>SUM(W20:Z20)</f>
        <v>-1500.7</v>
      </c>
      <c r="AJ20" s="4">
        <f t="shared" ref="AJ20:AO20" si="23">-AI23*0.01</f>
        <v>-23.600974399999995</v>
      </c>
      <c r="AK20" s="4">
        <f t="shared" si="23"/>
        <v>-19.308189555199995</v>
      </c>
      <c r="AL20" s="4">
        <f t="shared" si="23"/>
        <v>-23.021455638041594</v>
      </c>
      <c r="AM20" s="4">
        <f t="shared" si="23"/>
        <v>-26.167584146608334</v>
      </c>
      <c r="AN20" s="4">
        <f t="shared" si="23"/>
        <v>-28.639679973005201</v>
      </c>
      <c r="AO20" s="4">
        <f t="shared" si="23"/>
        <v>-30.843618789020116</v>
      </c>
      <c r="AP20" s="4">
        <f t="shared" ref="AP20" si="24">-AO23*0.01</f>
        <v>-33.321778871719772</v>
      </c>
      <c r="AQ20" s="4">
        <f t="shared" ref="AQ20" si="25">-AP23*0.01</f>
        <v>-35.943907320014198</v>
      </c>
      <c r="AR20" s="4">
        <f t="shared" ref="AR20" si="26">-AQ23*0.01</f>
        <v>-38.716430366707577</v>
      </c>
      <c r="AS20" s="4">
        <f t="shared" ref="AS20" si="27">-AR23*0.01</f>
        <v>-41.647248817887743</v>
      </c>
    </row>
    <row r="21" spans="2:162" s="1" customFormat="1" x14ac:dyDescent="0.3">
      <c r="B21" s="1" t="s">
        <v>26</v>
      </c>
      <c r="C21" s="9">
        <f t="shared" ref="C21:G21" si="28">C17-C18-C19-C20</f>
        <v>34.899999999999984</v>
      </c>
      <c r="D21" s="9">
        <f t="shared" si="28"/>
        <v>38.299999999999997</v>
      </c>
      <c r="E21" s="9">
        <f t="shared" si="28"/>
        <v>106.36</v>
      </c>
      <c r="F21" s="9">
        <f t="shared" si="28"/>
        <v>233.20999999999998</v>
      </c>
      <c r="G21" s="9">
        <f t="shared" si="28"/>
        <v>996.7</v>
      </c>
      <c r="H21" s="9">
        <f t="shared" ref="H21:T21" si="29">H17-H18-H19-H20</f>
        <v>868.99999999999989</v>
      </c>
      <c r="I21" s="9">
        <f t="shared" si="29"/>
        <v>270.90000000000009</v>
      </c>
      <c r="J21" s="9">
        <f t="shared" si="29"/>
        <v>890.5</v>
      </c>
      <c r="K21" s="9">
        <f t="shared" si="29"/>
        <v>-607.49999999999989</v>
      </c>
      <c r="L21" s="9">
        <f t="shared" si="29"/>
        <v>-1240.7</v>
      </c>
      <c r="M21" s="9">
        <f t="shared" si="29"/>
        <v>-643.79999999999984</v>
      </c>
      <c r="N21" s="9">
        <f t="shared" si="29"/>
        <v>-570.9000000000002</v>
      </c>
      <c r="O21" s="9">
        <f t="shared" si="29"/>
        <v>-165.7999999999999</v>
      </c>
      <c r="P21" s="9">
        <f t="shared" si="29"/>
        <v>-78.80000000000004</v>
      </c>
      <c r="Q21" s="9">
        <f t="shared" si="29"/>
        <v>34.600000000000037</v>
      </c>
      <c r="R21" s="9">
        <f t="shared" si="29"/>
        <v>132.89999999999992</v>
      </c>
      <c r="S21" s="9">
        <f t="shared" si="29"/>
        <v>1486.9999999999998</v>
      </c>
      <c r="T21" s="9">
        <f t="shared" si="29"/>
        <v>-60.300000000000111</v>
      </c>
      <c r="U21" s="9">
        <f t="shared" ref="U21:Z21" si="30">U17-U18-U19-U20</f>
        <v>68.600000000000108</v>
      </c>
      <c r="V21" s="9">
        <f t="shared" si="30"/>
        <v>1497</v>
      </c>
      <c r="W21" s="9">
        <f t="shared" si="30"/>
        <v>82.399999999999906</v>
      </c>
      <c r="X21" s="9">
        <f t="shared" si="30"/>
        <v>1823.9</v>
      </c>
      <c r="Y21" s="9">
        <f t="shared" si="30"/>
        <v>1045.328</v>
      </c>
      <c r="Z21" s="9">
        <f t="shared" si="30"/>
        <v>132.19839999999976</v>
      </c>
      <c r="AA21" s="9"/>
      <c r="AC21" s="9">
        <f t="shared" ref="AC21:AS21" si="31">AC17-AC18-AC19-AC20</f>
        <v>-45.399999999999977</v>
      </c>
      <c r="AD21" s="9">
        <f t="shared" si="31"/>
        <v>409.2</v>
      </c>
      <c r="AE21" s="9">
        <f t="shared" si="31"/>
        <v>3027.7999999999993</v>
      </c>
      <c r="AF21" s="9">
        <f t="shared" si="31"/>
        <v>-3062.9000000000005</v>
      </c>
      <c r="AG21" s="9">
        <f t="shared" si="31"/>
        <v>-77.099999999999966</v>
      </c>
      <c r="AH21" s="9">
        <f t="shared" si="31"/>
        <v>2862.2</v>
      </c>
      <c r="AI21" s="9">
        <f t="shared" si="31"/>
        <v>2948.4263999999994</v>
      </c>
      <c r="AJ21" s="9">
        <f t="shared" si="31"/>
        <v>2413.5236943999994</v>
      </c>
      <c r="AK21" s="9">
        <f t="shared" si="31"/>
        <v>2877.6819547551991</v>
      </c>
      <c r="AL21" s="9">
        <f t="shared" si="31"/>
        <v>3270.9480183260416</v>
      </c>
      <c r="AM21" s="9">
        <f t="shared" si="31"/>
        <v>3579.9599966256501</v>
      </c>
      <c r="AN21" s="9">
        <f t="shared" si="31"/>
        <v>3855.4523486275143</v>
      </c>
      <c r="AO21" s="9">
        <f t="shared" si="31"/>
        <v>4165.2223589649711</v>
      </c>
      <c r="AP21" s="9">
        <f t="shared" si="31"/>
        <v>4492.9884150017742</v>
      </c>
      <c r="AQ21" s="9">
        <f t="shared" si="31"/>
        <v>4839.5537958384466</v>
      </c>
      <c r="AR21" s="9">
        <f t="shared" si="31"/>
        <v>5205.9061022359674</v>
      </c>
      <c r="AS21" s="9">
        <f t="shared" si="31"/>
        <v>5593.0844540133512</v>
      </c>
    </row>
    <row r="22" spans="2:162" x14ac:dyDescent="0.3">
      <c r="B22" t="s">
        <v>27</v>
      </c>
      <c r="C22" s="4">
        <v>2.9</v>
      </c>
      <c r="D22" s="4">
        <v>6.6</v>
      </c>
      <c r="E22" s="4">
        <v>21.4</v>
      </c>
      <c r="F22" s="4">
        <v>56</v>
      </c>
      <c r="G22" s="4">
        <v>225.2</v>
      </c>
      <c r="H22" s="4">
        <v>-737.5</v>
      </c>
      <c r="I22" s="4">
        <v>-135.19999999999999</v>
      </c>
      <c r="J22" s="4">
        <v>50.3</v>
      </c>
      <c r="K22" s="4">
        <v>-179.8</v>
      </c>
      <c r="L22" s="4">
        <v>-146.9</v>
      </c>
      <c r="M22" s="4">
        <v>-99.1</v>
      </c>
      <c r="N22" s="4">
        <v>-13.9</v>
      </c>
      <c r="O22" s="4">
        <v>-86.8</v>
      </c>
      <c r="P22" s="4">
        <v>18.7</v>
      </c>
      <c r="Q22" s="4">
        <v>36.9</v>
      </c>
      <c r="R22" s="4">
        <v>-140.6</v>
      </c>
      <c r="S22" s="4">
        <v>261.2</v>
      </c>
      <c r="T22" s="4">
        <v>-96.4</v>
      </c>
      <c r="U22" s="4">
        <v>-6.9</v>
      </c>
      <c r="V22" s="4">
        <v>205.7</v>
      </c>
      <c r="W22" s="4">
        <v>16.8</v>
      </c>
      <c r="X22" s="4">
        <v>394.9</v>
      </c>
      <c r="Y22" s="4">
        <f t="shared" ref="Y22:Z22" si="32">Y21*0.15</f>
        <v>156.79919999999998</v>
      </c>
      <c r="Z22" s="4">
        <f t="shared" si="32"/>
        <v>19.829759999999965</v>
      </c>
      <c r="AA22" s="4"/>
      <c r="AC22" s="4">
        <v>-15</v>
      </c>
      <c r="AD22" s="4">
        <v>86.9</v>
      </c>
      <c r="AE22" s="4">
        <f>SUM(G22:J22)</f>
        <v>-597.20000000000005</v>
      </c>
      <c r="AF22" s="4">
        <f>SUM(K22:N22)</f>
        <v>-439.70000000000005</v>
      </c>
      <c r="AG22" s="4">
        <f>SUM(O22:R22)</f>
        <v>-171.79999999999998</v>
      </c>
      <c r="AH22" s="4">
        <f>SUM(S22:V22)</f>
        <v>363.59999999999997</v>
      </c>
      <c r="AI22" s="4">
        <f>SUM(W22:Z22)</f>
        <v>588.32895999999994</v>
      </c>
      <c r="AJ22" s="4">
        <f t="shared" ref="AJ22:AS22" si="33">AJ21*0.2</f>
        <v>482.70473887999992</v>
      </c>
      <c r="AK22" s="4">
        <f t="shared" si="33"/>
        <v>575.53639095103983</v>
      </c>
      <c r="AL22" s="4">
        <f t="shared" si="33"/>
        <v>654.18960366520832</v>
      </c>
      <c r="AM22" s="4">
        <f t="shared" si="33"/>
        <v>715.99199932513011</v>
      </c>
      <c r="AN22" s="4">
        <f t="shared" si="33"/>
        <v>771.09046972550289</v>
      </c>
      <c r="AO22" s="4">
        <f t="shared" si="33"/>
        <v>833.04447179299427</v>
      </c>
      <c r="AP22" s="4">
        <f t="shared" si="33"/>
        <v>898.59768300035489</v>
      </c>
      <c r="AQ22" s="4">
        <f t="shared" si="33"/>
        <v>967.91075916768932</v>
      </c>
      <c r="AR22" s="4">
        <f t="shared" si="33"/>
        <v>1041.1812204471935</v>
      </c>
      <c r="AS22" s="4">
        <f t="shared" si="33"/>
        <v>1118.6168908026702</v>
      </c>
    </row>
    <row r="23" spans="2:162" s="1" customFormat="1" x14ac:dyDescent="0.3">
      <c r="B23" s="1" t="s">
        <v>28</v>
      </c>
      <c r="C23" s="9">
        <f>C21-C22</f>
        <v>31.999999999999986</v>
      </c>
      <c r="D23" s="9">
        <f t="shared" ref="D23:F23" si="34">D21-D22</f>
        <v>31.699999999999996</v>
      </c>
      <c r="E23" s="9">
        <f t="shared" si="34"/>
        <v>84.960000000000008</v>
      </c>
      <c r="F23" s="9">
        <f t="shared" si="34"/>
        <v>177.20999999999998</v>
      </c>
      <c r="G23" s="9">
        <f t="shared" ref="G23:T23" si="35">G21-G22</f>
        <v>771.5</v>
      </c>
      <c r="H23" s="9">
        <f t="shared" si="35"/>
        <v>1606.5</v>
      </c>
      <c r="I23" s="9">
        <f t="shared" si="35"/>
        <v>406.10000000000008</v>
      </c>
      <c r="J23" s="9">
        <f t="shared" si="35"/>
        <v>840.2</v>
      </c>
      <c r="K23" s="9">
        <f t="shared" si="35"/>
        <v>-427.69999999999987</v>
      </c>
      <c r="L23" s="9">
        <f t="shared" si="35"/>
        <v>-1093.8</v>
      </c>
      <c r="M23" s="9">
        <f t="shared" si="35"/>
        <v>-544.69999999999982</v>
      </c>
      <c r="N23" s="9">
        <f t="shared" si="35"/>
        <v>-557.00000000000023</v>
      </c>
      <c r="O23" s="9">
        <f t="shared" si="35"/>
        <v>-78.999999999999901</v>
      </c>
      <c r="P23" s="9">
        <f t="shared" si="35"/>
        <v>-97.500000000000043</v>
      </c>
      <c r="Q23" s="9">
        <f t="shared" si="35"/>
        <v>-2.2999999999999616</v>
      </c>
      <c r="R23" s="9">
        <f t="shared" si="35"/>
        <v>273.49999999999989</v>
      </c>
      <c r="S23" s="9">
        <f t="shared" si="35"/>
        <v>1225.7999999999997</v>
      </c>
      <c r="T23" s="9">
        <f t="shared" si="35"/>
        <v>36.099999999999895</v>
      </c>
      <c r="U23" s="9">
        <f t="shared" ref="U23:V23" si="36">U21-U22</f>
        <v>75.500000000000114</v>
      </c>
      <c r="V23" s="9">
        <f t="shared" si="36"/>
        <v>1291.3</v>
      </c>
      <c r="W23" s="9">
        <f t="shared" ref="W23:Z23" si="37">W21-W22</f>
        <v>65.599999999999909</v>
      </c>
      <c r="X23" s="9">
        <f t="shared" si="37"/>
        <v>1429</v>
      </c>
      <c r="Y23" s="9">
        <f t="shared" si="37"/>
        <v>888.52880000000005</v>
      </c>
      <c r="Z23" s="9">
        <f t="shared" si="37"/>
        <v>112.3686399999998</v>
      </c>
      <c r="AA23" s="9"/>
      <c r="AC23" s="9">
        <f>AC21-AC22</f>
        <v>-30.399999999999977</v>
      </c>
      <c r="AD23" s="9">
        <f>AD21-AD22</f>
        <v>322.29999999999995</v>
      </c>
      <c r="AE23" s="9">
        <f>AE21-AE22</f>
        <v>3624.9999999999991</v>
      </c>
      <c r="AF23" s="9">
        <f>AF21-AF22</f>
        <v>-2623.2000000000007</v>
      </c>
      <c r="AG23" s="9">
        <f t="shared" ref="AG23:AO23" si="38">AG21-AG22</f>
        <v>94.700000000000017</v>
      </c>
      <c r="AH23" s="9">
        <f t="shared" si="38"/>
        <v>2498.6</v>
      </c>
      <c r="AI23" s="9">
        <f t="shared" si="38"/>
        <v>2360.0974399999996</v>
      </c>
      <c r="AJ23" s="9">
        <f t="shared" si="38"/>
        <v>1930.8189555199995</v>
      </c>
      <c r="AK23" s="9">
        <f t="shared" si="38"/>
        <v>2302.1455638041593</v>
      </c>
      <c r="AL23" s="9">
        <f t="shared" si="38"/>
        <v>2616.7584146608333</v>
      </c>
      <c r="AM23" s="9">
        <f t="shared" si="38"/>
        <v>2863.96799730052</v>
      </c>
      <c r="AN23" s="9">
        <f t="shared" si="38"/>
        <v>3084.3618789020115</v>
      </c>
      <c r="AO23" s="9">
        <f t="shared" si="38"/>
        <v>3332.1778871719771</v>
      </c>
      <c r="AP23" s="9">
        <f t="shared" ref="AP23:AS23" si="39">AP21-AP22</f>
        <v>3594.3907320014196</v>
      </c>
      <c r="AQ23" s="9">
        <f t="shared" si="39"/>
        <v>3871.6430366707573</v>
      </c>
      <c r="AR23" s="9">
        <f t="shared" si="39"/>
        <v>4164.7248817887739</v>
      </c>
      <c r="AS23" s="9">
        <f t="shared" si="39"/>
        <v>4474.467563210681</v>
      </c>
      <c r="AT23" s="1">
        <f t="shared" ref="AT23:BY23" si="40">AS23*(1+$AV$29)</f>
        <v>4429.722887578574</v>
      </c>
      <c r="AU23" s="1">
        <f t="shared" si="40"/>
        <v>4385.4256587027885</v>
      </c>
      <c r="AV23" s="1">
        <f t="shared" si="40"/>
        <v>4341.571402115761</v>
      </c>
      <c r="AW23" s="1">
        <f t="shared" si="40"/>
        <v>4298.1556880946036</v>
      </c>
      <c r="AX23" s="1">
        <f t="shared" si="40"/>
        <v>4255.1741312136573</v>
      </c>
      <c r="AY23" s="1">
        <f t="shared" si="40"/>
        <v>4212.6223899015204</v>
      </c>
      <c r="AZ23" s="1">
        <f t="shared" si="40"/>
        <v>4170.4961660025056</v>
      </c>
      <c r="BA23" s="1">
        <f t="shared" si="40"/>
        <v>4128.7912043424803</v>
      </c>
      <c r="BB23" s="1">
        <f t="shared" si="40"/>
        <v>4087.5032922990554</v>
      </c>
      <c r="BC23" s="1">
        <f t="shared" si="40"/>
        <v>4046.6282593760648</v>
      </c>
      <c r="BD23" s="1">
        <f t="shared" si="40"/>
        <v>4006.161976782304</v>
      </c>
      <c r="BE23" s="1">
        <f t="shared" si="40"/>
        <v>3966.1003570144808</v>
      </c>
      <c r="BF23" s="1">
        <f t="shared" si="40"/>
        <v>3926.4393534443361</v>
      </c>
      <c r="BG23" s="1">
        <f t="shared" si="40"/>
        <v>3887.1749599098926</v>
      </c>
      <c r="BH23" s="1">
        <f t="shared" si="40"/>
        <v>3848.3032103107935</v>
      </c>
      <c r="BI23" s="1">
        <f t="shared" si="40"/>
        <v>3809.8201782076853</v>
      </c>
      <c r="BJ23" s="1">
        <f t="shared" si="40"/>
        <v>3771.7219764256083</v>
      </c>
      <c r="BK23" s="1">
        <f t="shared" si="40"/>
        <v>3734.0047566613521</v>
      </c>
      <c r="BL23" s="1">
        <f t="shared" si="40"/>
        <v>3696.6647090947386</v>
      </c>
      <c r="BM23" s="1">
        <f t="shared" si="40"/>
        <v>3659.6980620037912</v>
      </c>
      <c r="BN23" s="1">
        <f t="shared" si="40"/>
        <v>3623.1010813837534</v>
      </c>
      <c r="BO23" s="1">
        <f t="shared" si="40"/>
        <v>3586.8700705699157</v>
      </c>
      <c r="BP23" s="1">
        <f t="shared" si="40"/>
        <v>3551.0013698642165</v>
      </c>
      <c r="BQ23" s="1">
        <f t="shared" si="40"/>
        <v>3515.4913561655744</v>
      </c>
      <c r="BR23" s="1">
        <f t="shared" si="40"/>
        <v>3480.3364426039188</v>
      </c>
      <c r="BS23" s="1">
        <f t="shared" si="40"/>
        <v>3445.5330781778798</v>
      </c>
      <c r="BT23" s="1">
        <f t="shared" si="40"/>
        <v>3411.0777473961011</v>
      </c>
      <c r="BU23" s="1">
        <f t="shared" si="40"/>
        <v>3376.9669699221399</v>
      </c>
      <c r="BV23" s="1">
        <f t="shared" si="40"/>
        <v>3343.1973002229183</v>
      </c>
      <c r="BW23" s="1">
        <f t="shared" si="40"/>
        <v>3309.765327220689</v>
      </c>
      <c r="BX23" s="1">
        <f t="shared" si="40"/>
        <v>3276.6676739484819</v>
      </c>
      <c r="BY23" s="1">
        <f t="shared" si="40"/>
        <v>3243.9009972089971</v>
      </c>
      <c r="BZ23" s="1">
        <f t="shared" ref="BZ23:DE23" si="41">BY23*(1+$AV$29)</f>
        <v>3211.4619872369071</v>
      </c>
      <c r="CA23" s="1">
        <f t="shared" si="41"/>
        <v>3179.3473673645381</v>
      </c>
      <c r="CB23" s="1">
        <f t="shared" si="41"/>
        <v>3147.5538936908924</v>
      </c>
      <c r="CC23" s="1">
        <f t="shared" si="41"/>
        <v>3116.0783547539836</v>
      </c>
      <c r="CD23" s="1">
        <f t="shared" si="41"/>
        <v>3084.9175712064439</v>
      </c>
      <c r="CE23" s="1">
        <f t="shared" si="41"/>
        <v>3054.0683954943793</v>
      </c>
      <c r="CF23" s="1">
        <f t="shared" si="41"/>
        <v>3023.5277115394356</v>
      </c>
      <c r="CG23" s="1">
        <f t="shared" si="41"/>
        <v>2993.2924344240414</v>
      </c>
      <c r="CH23" s="1">
        <f t="shared" si="41"/>
        <v>2963.3595100798011</v>
      </c>
      <c r="CI23" s="1">
        <f t="shared" si="41"/>
        <v>2933.7259149790029</v>
      </c>
      <c r="CJ23" s="1">
        <f t="shared" si="41"/>
        <v>2904.3886558292129</v>
      </c>
      <c r="CK23" s="1">
        <f t="shared" si="41"/>
        <v>2875.3447692709206</v>
      </c>
      <c r="CL23" s="1">
        <f t="shared" si="41"/>
        <v>2846.5913215782111</v>
      </c>
      <c r="CM23" s="1">
        <f t="shared" si="41"/>
        <v>2818.125408362429</v>
      </c>
      <c r="CN23" s="1">
        <f t="shared" si="41"/>
        <v>2789.9441542788045</v>
      </c>
      <c r="CO23" s="1">
        <f t="shared" si="41"/>
        <v>2762.0447127360162</v>
      </c>
      <c r="CP23" s="1">
        <f t="shared" si="41"/>
        <v>2734.4242656086562</v>
      </c>
      <c r="CQ23" s="1">
        <f t="shared" si="41"/>
        <v>2707.0800229525698</v>
      </c>
      <c r="CR23" s="1">
        <f t="shared" si="41"/>
        <v>2680.0092227230443</v>
      </c>
      <c r="CS23" s="1">
        <f t="shared" si="41"/>
        <v>2653.209130495814</v>
      </c>
      <c r="CT23" s="1">
        <f t="shared" si="41"/>
        <v>2626.6770391908558</v>
      </c>
      <c r="CU23" s="1">
        <f t="shared" si="41"/>
        <v>2600.4102687989471</v>
      </c>
      <c r="CV23" s="1">
        <f t="shared" si="41"/>
        <v>2574.4061661109577</v>
      </c>
      <c r="CW23" s="1">
        <f t="shared" si="41"/>
        <v>2548.6621044498479</v>
      </c>
      <c r="CX23" s="1">
        <f t="shared" si="41"/>
        <v>2523.1754834053495</v>
      </c>
      <c r="CY23" s="1">
        <f t="shared" si="41"/>
        <v>2497.9437285712961</v>
      </c>
      <c r="CZ23" s="1">
        <f t="shared" si="41"/>
        <v>2472.9642912855829</v>
      </c>
      <c r="DA23" s="1">
        <f t="shared" si="41"/>
        <v>2448.234648372727</v>
      </c>
      <c r="DB23" s="1">
        <f t="shared" si="41"/>
        <v>2423.7523018889997</v>
      </c>
      <c r="DC23" s="1">
        <f t="shared" si="41"/>
        <v>2399.5147788701097</v>
      </c>
      <c r="DD23" s="1">
        <f t="shared" si="41"/>
        <v>2375.5196310814085</v>
      </c>
      <c r="DE23" s="1">
        <f t="shared" si="41"/>
        <v>2351.7644347705946</v>
      </c>
      <c r="DF23" s="1">
        <f t="shared" ref="DF23:EK23" si="42">DE23*(1+$AV$29)</f>
        <v>2328.2467904228888</v>
      </c>
      <c r="DG23" s="1">
        <f t="shared" si="42"/>
        <v>2304.9643225186601</v>
      </c>
      <c r="DH23" s="1">
        <f t="shared" si="42"/>
        <v>2281.9146792934735</v>
      </c>
      <c r="DI23" s="1">
        <f t="shared" si="42"/>
        <v>2259.0955325005389</v>
      </c>
      <c r="DJ23" s="1">
        <f t="shared" si="42"/>
        <v>2236.5045771755335</v>
      </c>
      <c r="DK23" s="1">
        <f t="shared" si="42"/>
        <v>2214.1395314037782</v>
      </c>
      <c r="DL23" s="1">
        <f t="shared" si="42"/>
        <v>2191.9981360897405</v>
      </c>
      <c r="DM23" s="1">
        <f t="shared" si="42"/>
        <v>2170.0781547288429</v>
      </c>
      <c r="DN23" s="1">
        <f t="shared" si="42"/>
        <v>2148.3773731815545</v>
      </c>
      <c r="DO23" s="1">
        <f t="shared" si="42"/>
        <v>2126.8935994497388</v>
      </c>
      <c r="DP23" s="1">
        <f t="shared" si="42"/>
        <v>2105.6246634552413</v>
      </c>
      <c r="DQ23" s="1">
        <f t="shared" si="42"/>
        <v>2084.568416820689</v>
      </c>
      <c r="DR23" s="1">
        <f t="shared" si="42"/>
        <v>2063.7227326524821</v>
      </c>
      <c r="DS23" s="1">
        <f t="shared" si="42"/>
        <v>2043.0855053259572</v>
      </c>
      <c r="DT23" s="1">
        <f t="shared" si="42"/>
        <v>2022.6546502726976</v>
      </c>
      <c r="DU23" s="1">
        <f t="shared" si="42"/>
        <v>2002.4281037699707</v>
      </c>
      <c r="DV23" s="1">
        <f t="shared" si="42"/>
        <v>1982.403822732271</v>
      </c>
      <c r="DW23" s="1">
        <f t="shared" si="42"/>
        <v>1962.5797845049483</v>
      </c>
      <c r="DX23" s="1">
        <f t="shared" si="42"/>
        <v>1942.9539866598989</v>
      </c>
      <c r="DY23" s="1">
        <f t="shared" si="42"/>
        <v>1923.5244467932998</v>
      </c>
      <c r="DZ23" s="1">
        <f t="shared" si="42"/>
        <v>1904.2892023253669</v>
      </c>
      <c r="EA23" s="1">
        <f t="shared" si="42"/>
        <v>1885.2463103021132</v>
      </c>
      <c r="EB23" s="1">
        <f t="shared" si="42"/>
        <v>1866.3938471990921</v>
      </c>
      <c r="EC23" s="1">
        <f t="shared" si="42"/>
        <v>1847.7299087271012</v>
      </c>
      <c r="ED23" s="1">
        <f t="shared" si="42"/>
        <v>1829.2526096398303</v>
      </c>
      <c r="EE23" s="1">
        <f t="shared" si="42"/>
        <v>1810.9600835434319</v>
      </c>
      <c r="EF23" s="1">
        <f t="shared" si="42"/>
        <v>1792.8504827079976</v>
      </c>
      <c r="EG23" s="1">
        <f t="shared" si="42"/>
        <v>1774.9219778809177</v>
      </c>
      <c r="EH23" s="1">
        <f t="shared" si="42"/>
        <v>1757.1727581021084</v>
      </c>
      <c r="EI23" s="1">
        <f t="shared" si="42"/>
        <v>1739.6010305210873</v>
      </c>
      <c r="EJ23" s="1">
        <f t="shared" si="42"/>
        <v>1722.2050202158764</v>
      </c>
      <c r="EK23" s="1">
        <f t="shared" si="42"/>
        <v>1704.9829700137177</v>
      </c>
      <c r="EL23" s="1">
        <f t="shared" ref="EL23:FF23" si="43">EK23*(1+$AV$29)</f>
        <v>1687.9331403135805</v>
      </c>
      <c r="EM23" s="1">
        <f t="shared" si="43"/>
        <v>1671.0538089104446</v>
      </c>
      <c r="EN23" s="1">
        <f t="shared" si="43"/>
        <v>1654.3432708213402</v>
      </c>
      <c r="EO23" s="1">
        <f t="shared" si="43"/>
        <v>1637.7998381131267</v>
      </c>
      <c r="EP23" s="1">
        <f t="shared" si="43"/>
        <v>1621.4218397319955</v>
      </c>
      <c r="EQ23" s="1">
        <f t="shared" si="43"/>
        <v>1605.2076213346757</v>
      </c>
      <c r="ER23" s="1">
        <f t="shared" si="43"/>
        <v>1589.1555451213289</v>
      </c>
      <c r="ES23" s="1">
        <f t="shared" si="43"/>
        <v>1573.2639896701157</v>
      </c>
      <c r="ET23" s="1">
        <f t="shared" si="43"/>
        <v>1557.5313497734146</v>
      </c>
      <c r="EU23" s="1">
        <f t="shared" si="43"/>
        <v>1541.9560362756804</v>
      </c>
      <c r="EV23" s="1">
        <f t="shared" si="43"/>
        <v>1526.5364759129236</v>
      </c>
      <c r="EW23" s="1">
        <f t="shared" si="43"/>
        <v>1511.2711111537944</v>
      </c>
      <c r="EX23" s="1">
        <f t="shared" si="43"/>
        <v>1496.1584000422565</v>
      </c>
      <c r="EY23" s="1">
        <f t="shared" si="43"/>
        <v>1481.1968160418339</v>
      </c>
      <c r="EZ23" s="1">
        <f t="shared" si="43"/>
        <v>1466.3848478814157</v>
      </c>
      <c r="FA23" s="1">
        <f t="shared" si="43"/>
        <v>1451.7209994026016</v>
      </c>
      <c r="FB23" s="1">
        <f t="shared" si="43"/>
        <v>1437.2037894085756</v>
      </c>
      <c r="FC23" s="1">
        <f t="shared" si="43"/>
        <v>1422.83175151449</v>
      </c>
      <c r="FD23" s="1">
        <f t="shared" si="43"/>
        <v>1408.603433999345</v>
      </c>
      <c r="FE23" s="1">
        <f t="shared" si="43"/>
        <v>1394.5173996593517</v>
      </c>
      <c r="FF23" s="1">
        <f t="shared" si="43"/>
        <v>1380.5722256627582</v>
      </c>
    </row>
    <row r="24" spans="2:162" x14ac:dyDescent="0.3">
      <c r="B24" t="s">
        <v>2</v>
      </c>
      <c r="C24" s="4">
        <v>185.9</v>
      </c>
      <c r="D24" s="4">
        <v>185.9</v>
      </c>
      <c r="E24" s="4">
        <v>185.9</v>
      </c>
      <c r="F24" s="4">
        <v>185.9</v>
      </c>
      <c r="G24" s="4">
        <v>185.9</v>
      </c>
      <c r="H24" s="4">
        <f t="shared" ref="H24:T24" si="44">203+45.5</f>
        <v>248.5</v>
      </c>
      <c r="I24" s="4">
        <f t="shared" si="44"/>
        <v>248.5</v>
      </c>
      <c r="J24" s="4">
        <f t="shared" si="44"/>
        <v>248.5</v>
      </c>
      <c r="K24" s="4">
        <f t="shared" si="44"/>
        <v>248.5</v>
      </c>
      <c r="L24" s="4">
        <f t="shared" si="44"/>
        <v>248.5</v>
      </c>
      <c r="M24" s="4">
        <f t="shared" si="44"/>
        <v>248.5</v>
      </c>
      <c r="N24" s="4">
        <f t="shared" si="44"/>
        <v>248.5</v>
      </c>
      <c r="O24" s="4">
        <f t="shared" si="44"/>
        <v>248.5</v>
      </c>
      <c r="P24" s="4">
        <f t="shared" si="44"/>
        <v>248.5</v>
      </c>
      <c r="Q24" s="4">
        <f t="shared" si="44"/>
        <v>248.5</v>
      </c>
      <c r="R24" s="4">
        <f t="shared" si="44"/>
        <v>248.5</v>
      </c>
      <c r="S24" s="4">
        <f t="shared" si="44"/>
        <v>248.5</v>
      </c>
      <c r="T24" s="4">
        <f t="shared" si="44"/>
        <v>248.5</v>
      </c>
      <c r="U24" s="4">
        <f>204.9+45.4</f>
        <v>250.3</v>
      </c>
      <c r="V24" s="4">
        <f>210.2+43.7</f>
        <v>253.89999999999998</v>
      </c>
      <c r="W24" s="4">
        <f>221.4+43.3</f>
        <v>264.7</v>
      </c>
      <c r="X24" s="4">
        <f>255.2</f>
        <v>255.2</v>
      </c>
      <c r="Y24" s="4">
        <f>255.2</f>
        <v>255.2</v>
      </c>
      <c r="Z24" s="4">
        <f>255.2</f>
        <v>255.2</v>
      </c>
      <c r="AA24" s="4"/>
      <c r="AC24" s="4">
        <v>185.9</v>
      </c>
      <c r="AD24" s="4">
        <v>185.9</v>
      </c>
      <c r="AE24" s="4">
        <v>185.9</v>
      </c>
      <c r="AF24" s="4">
        <v>185.9</v>
      </c>
      <c r="AG24" s="4">
        <v>185.9</v>
      </c>
      <c r="AH24" s="4">
        <f t="shared" ref="AH24" si="45">210.2+43.7</f>
        <v>253.89999999999998</v>
      </c>
      <c r="AI24" s="4">
        <f t="shared" ref="AI24:AS24" si="46">255.2</f>
        <v>255.2</v>
      </c>
      <c r="AJ24" s="4">
        <f t="shared" si="46"/>
        <v>255.2</v>
      </c>
      <c r="AK24" s="4">
        <f t="shared" si="46"/>
        <v>255.2</v>
      </c>
      <c r="AL24" s="4">
        <f t="shared" si="46"/>
        <v>255.2</v>
      </c>
      <c r="AM24" s="4">
        <f t="shared" si="46"/>
        <v>255.2</v>
      </c>
      <c r="AN24" s="4">
        <f t="shared" si="46"/>
        <v>255.2</v>
      </c>
      <c r="AO24" s="4">
        <f t="shared" si="46"/>
        <v>255.2</v>
      </c>
      <c r="AP24" s="4">
        <f t="shared" si="46"/>
        <v>255.2</v>
      </c>
      <c r="AQ24" s="4">
        <f t="shared" si="46"/>
        <v>255.2</v>
      </c>
      <c r="AR24" s="4">
        <f t="shared" si="46"/>
        <v>255.2</v>
      </c>
      <c r="AS24" s="4">
        <f t="shared" si="46"/>
        <v>255.2</v>
      </c>
    </row>
    <row r="25" spans="2:162" s="1" customFormat="1" x14ac:dyDescent="0.3">
      <c r="B25" s="1" t="s">
        <v>29</v>
      </c>
      <c r="C25" s="8">
        <f>C23/C24</f>
        <v>0.17213555675094128</v>
      </c>
      <c r="D25" s="8">
        <f t="shared" ref="D25:F25" si="47">D23/D24</f>
        <v>0.17052178590640127</v>
      </c>
      <c r="E25" s="8">
        <f t="shared" si="47"/>
        <v>0.45701990317374935</v>
      </c>
      <c r="F25" s="8">
        <f t="shared" si="47"/>
        <v>0.95325443786982234</v>
      </c>
      <c r="G25" s="8">
        <f t="shared" ref="G25:T25" si="48">G23/G24</f>
        <v>4.1500806885422268</v>
      </c>
      <c r="H25" s="8">
        <f t="shared" si="48"/>
        <v>6.464788732394366</v>
      </c>
      <c r="I25" s="8">
        <f t="shared" si="48"/>
        <v>1.6342052313883304</v>
      </c>
      <c r="J25" s="8">
        <f t="shared" si="48"/>
        <v>3.3810865191146884</v>
      </c>
      <c r="K25" s="8">
        <f t="shared" si="48"/>
        <v>-1.7211267605633798</v>
      </c>
      <c r="L25" s="8">
        <f t="shared" si="48"/>
        <v>-4.4016096579476862</v>
      </c>
      <c r="M25" s="8">
        <f t="shared" si="48"/>
        <v>-2.1919517102615687</v>
      </c>
      <c r="N25" s="8">
        <f t="shared" si="48"/>
        <v>-2.2414486921529182</v>
      </c>
      <c r="O25" s="8">
        <f t="shared" si="48"/>
        <v>-0.31790744466800763</v>
      </c>
      <c r="P25" s="8">
        <f t="shared" si="48"/>
        <v>-0.39235412474849113</v>
      </c>
      <c r="Q25" s="8">
        <f t="shared" si="48"/>
        <v>-9.2555331991950162E-3</v>
      </c>
      <c r="R25" s="8">
        <f t="shared" si="48"/>
        <v>1.1006036217303818</v>
      </c>
      <c r="S25" s="8">
        <f t="shared" si="48"/>
        <v>4.9327967806841038</v>
      </c>
      <c r="T25" s="8">
        <f t="shared" si="48"/>
        <v>0.14527162977867161</v>
      </c>
      <c r="U25" s="8">
        <f t="shared" ref="U25:V25" si="49">U23/U24</f>
        <v>0.3016380343587699</v>
      </c>
      <c r="V25" s="8">
        <f t="shared" si="49"/>
        <v>5.0858605750295398</v>
      </c>
      <c r="W25" s="8">
        <f t="shared" ref="W25:Z25" si="50">W23/W24</f>
        <v>0.24782772950509979</v>
      </c>
      <c r="X25" s="8">
        <f t="shared" si="50"/>
        <v>5.5995297805642634</v>
      </c>
      <c r="Y25" s="8">
        <f t="shared" si="50"/>
        <v>3.4816959247648906</v>
      </c>
      <c r="Z25" s="8">
        <f t="shared" si="50"/>
        <v>0.4403159874608143</v>
      </c>
      <c r="AA25" s="8"/>
      <c r="AC25" s="8">
        <f>AC23/AC24</f>
        <v>-0.16352877891339418</v>
      </c>
      <c r="AD25" s="8">
        <f>AD23/AD24</f>
        <v>1.7337278106508873</v>
      </c>
      <c r="AE25" s="8">
        <f>AE23/AE24</f>
        <v>19.499731038192571</v>
      </c>
      <c r="AF25" s="8">
        <f>AF23/AF24</f>
        <v>-14.110812264658422</v>
      </c>
      <c r="AG25" s="8">
        <f t="shared" ref="AG25:AO25" si="51">AG23/AG24</f>
        <v>0.50941366325981718</v>
      </c>
      <c r="AH25" s="8">
        <f t="shared" si="51"/>
        <v>9.840882237101221</v>
      </c>
      <c r="AI25" s="8">
        <f t="shared" si="51"/>
        <v>9.2480307210031327</v>
      </c>
      <c r="AJ25" s="8">
        <f t="shared" si="51"/>
        <v>7.5659049981191204</v>
      </c>
      <c r="AK25" s="8">
        <f t="shared" si="51"/>
        <v>9.0209465666307196</v>
      </c>
      <c r="AL25" s="8">
        <f t="shared" si="51"/>
        <v>10.253755543341823</v>
      </c>
      <c r="AM25" s="8">
        <f t="shared" si="51"/>
        <v>11.222445130487932</v>
      </c>
      <c r="AN25" s="8">
        <f t="shared" si="51"/>
        <v>12.086057519208509</v>
      </c>
      <c r="AO25" s="8">
        <f t="shared" si="51"/>
        <v>13.057123382335334</v>
      </c>
      <c r="AP25" s="8">
        <f t="shared" ref="AP25:AS25" si="52">AP23/AP24</f>
        <v>14.084603181823745</v>
      </c>
      <c r="AQ25" s="8">
        <f t="shared" si="52"/>
        <v>15.171015033976323</v>
      </c>
      <c r="AR25" s="8">
        <f t="shared" si="52"/>
        <v>16.319454865943474</v>
      </c>
      <c r="AS25" s="8">
        <f t="shared" si="52"/>
        <v>17.533180106624926</v>
      </c>
    </row>
    <row r="27" spans="2:162" x14ac:dyDescent="0.3">
      <c r="B27" s="1" t="s">
        <v>32</v>
      </c>
      <c r="C27" s="7"/>
      <c r="D27" s="1"/>
      <c r="E27" s="1"/>
      <c r="F27" s="1"/>
      <c r="G27" s="7">
        <f>G5/C5-1</f>
        <v>8.4496327387198313</v>
      </c>
      <c r="H27" s="7">
        <f t="shared" ref="H27:J27" si="53">H5/D5-1</f>
        <v>10.952789699570815</v>
      </c>
      <c r="I27" s="7">
        <f t="shared" si="53"/>
        <v>3.1600076103500765</v>
      </c>
      <c r="J27" s="7">
        <f t="shared" si="53"/>
        <v>3.2701372391516124</v>
      </c>
      <c r="K27" s="7">
        <f t="shared" ref="K27" si="54">K5/G5-1</f>
        <v>-0.35239575814779844</v>
      </c>
      <c r="L27" s="7">
        <f t="shared" ref="L27" si="55">L5/H5-1</f>
        <v>-0.63720825852782759</v>
      </c>
      <c r="M27" s="7">
        <f t="shared" ref="M27" si="56">M5/I5-1</f>
        <v>-0.55004192392712858</v>
      </c>
      <c r="N27" s="7">
        <f t="shared" ref="N27" si="57">N5/J5-1</f>
        <v>-0.74820892535521311</v>
      </c>
      <c r="O27" s="7">
        <f t="shared" ref="O27" si="58">O5/K5-1</f>
        <v>-0.33770576131687247</v>
      </c>
      <c r="P27" s="7">
        <f t="shared" ref="P27" si="59">P5/L5-1</f>
        <v>-0.12421130768279098</v>
      </c>
      <c r="Q27" s="7">
        <f t="shared" ref="Q27" si="60">Q5/M5-1</f>
        <v>0.14196171438251759</v>
      </c>
      <c r="R27" s="7">
        <f t="shared" ref="R27" si="61">R5/N5-1</f>
        <v>0.51613415991098388</v>
      </c>
      <c r="S27" s="7">
        <f t="shared" ref="S27" si="62">S5/O5-1</f>
        <v>1.1198705501618123</v>
      </c>
      <c r="T27" s="7">
        <f t="shared" ref="T27" si="63">T5/P5-1</f>
        <v>1.0477468569006922</v>
      </c>
      <c r="U27" s="7">
        <f t="shared" ref="U27" si="64">U5/Q5-1</f>
        <v>0.7878653018839934</v>
      </c>
      <c r="V27" s="7">
        <f t="shared" ref="V27" si="65">V5/R5-1</f>
        <v>1.3816313692598028</v>
      </c>
      <c r="W27" s="7">
        <f t="shared" ref="W27" si="66">W5/S5-1</f>
        <v>0.19705666829506607</v>
      </c>
      <c r="X27" s="7">
        <f>X5/T5-1</f>
        <v>-2.0350441501103766E-2</v>
      </c>
      <c r="Y27" s="7">
        <f>Y5/U5-1</f>
        <v>0.5</v>
      </c>
      <c r="Z27" s="7">
        <f>Z5/V5-1</f>
        <v>-0.30000000000000004</v>
      </c>
      <c r="AA27" s="7"/>
      <c r="AC27" s="7"/>
      <c r="AD27" s="7">
        <f>AD5/AC5-1</f>
        <v>1.393666854037849</v>
      </c>
      <c r="AE27" s="7">
        <f t="shared" ref="AE27:AO27" si="67">AE5/AD5-1</f>
        <v>5.1365949119373777</v>
      </c>
      <c r="AF27" s="7">
        <f t="shared" si="67"/>
        <v>-0.59256330123094592</v>
      </c>
      <c r="AG27" s="7">
        <f t="shared" si="67"/>
        <v>-2.6862026862026767E-2</v>
      </c>
      <c r="AH27" s="7">
        <f t="shared" si="67"/>
        <v>1.111765273622237</v>
      </c>
      <c r="AI27" s="7">
        <f t="shared" si="67"/>
        <v>3.265082266910424E-2</v>
      </c>
      <c r="AJ27" s="7">
        <f t="shared" si="67"/>
        <v>0.1399999999999999</v>
      </c>
      <c r="AK27" s="7">
        <f t="shared" si="67"/>
        <v>0.1100000000000001</v>
      </c>
      <c r="AL27" s="7">
        <f t="shared" si="67"/>
        <v>8.0000000000000071E-2</v>
      </c>
      <c r="AM27" s="7">
        <f t="shared" si="67"/>
        <v>6.0000000000000053E-2</v>
      </c>
      <c r="AN27" s="7">
        <f t="shared" si="67"/>
        <v>5.0000000000000044E-2</v>
      </c>
      <c r="AO27" s="7">
        <f t="shared" si="67"/>
        <v>5.0000000000000044E-2</v>
      </c>
      <c r="AP27" s="7">
        <f t="shared" ref="AP27" si="68">AP5/AO5-1</f>
        <v>5.0000000000000044E-2</v>
      </c>
      <c r="AQ27" s="7">
        <f t="shared" ref="AQ27" si="69">AQ5/AP5-1</f>
        <v>5.0000000000000044E-2</v>
      </c>
      <c r="AR27" s="7">
        <f t="shared" ref="AR27" si="70">AR5/AQ5-1</f>
        <v>5.0000000000000044E-2</v>
      </c>
      <c r="AS27" s="7">
        <f t="shared" ref="AS27" si="71">AS5/AR5-1</f>
        <v>5.0000000000000044E-2</v>
      </c>
    </row>
    <row r="28" spans="2:162" x14ac:dyDescent="0.3">
      <c r="B28" s="1" t="s">
        <v>30</v>
      </c>
      <c r="C28" s="7">
        <f t="shared" ref="C28:F28" si="72">C9/C5</f>
        <v>0.86673662119622241</v>
      </c>
      <c r="D28" s="7">
        <f t="shared" si="72"/>
        <v>0.87446351931330468</v>
      </c>
      <c r="E28" s="7">
        <f t="shared" si="72"/>
        <v>0.88330796549974633</v>
      </c>
      <c r="F28" s="7">
        <f t="shared" si="72"/>
        <v>0.91454598280665178</v>
      </c>
      <c r="G28" s="7">
        <f t="shared" ref="G28" si="73">G9/G5</f>
        <v>0.87002387429903949</v>
      </c>
      <c r="H28" s="7">
        <f t="shared" ref="H28:J28" si="74">H9/H5</f>
        <v>0.84946140035906637</v>
      </c>
      <c r="I28" s="7">
        <f t="shared" si="74"/>
        <v>0.84960743959143237</v>
      </c>
      <c r="J28" s="7">
        <f t="shared" si="74"/>
        <v>0.7993996397838703</v>
      </c>
      <c r="K28" s="7">
        <f t="shared" ref="K28:V28" si="75">K9/K5</f>
        <v>0.76183127572016462</v>
      </c>
      <c r="L28" s="7">
        <f t="shared" si="75"/>
        <v>0.79314610911790173</v>
      </c>
      <c r="M28" s="7">
        <f t="shared" si="75"/>
        <v>0.82737591055395565</v>
      </c>
      <c r="N28" s="7">
        <f t="shared" si="75"/>
        <v>0.868065490383087</v>
      </c>
      <c r="O28" s="7">
        <f t="shared" si="75"/>
        <v>0.8752103559870551</v>
      </c>
      <c r="P28" s="7">
        <f t="shared" si="75"/>
        <v>0.84715355276168947</v>
      </c>
      <c r="Q28" s="7">
        <f t="shared" si="75"/>
        <v>0.86559857587894973</v>
      </c>
      <c r="R28" s="7">
        <f t="shared" si="75"/>
        <v>0.86831620884881522</v>
      </c>
      <c r="S28" s="7">
        <f t="shared" si="75"/>
        <v>0.89771617000488524</v>
      </c>
      <c r="T28" s="7">
        <f t="shared" si="75"/>
        <v>0.86789459161147897</v>
      </c>
      <c r="U28" s="7">
        <f t="shared" si="75"/>
        <v>0.85745104546963169</v>
      </c>
      <c r="V28" s="7">
        <f t="shared" si="75"/>
        <v>0.86045078358866001</v>
      </c>
      <c r="W28" s="7">
        <f t="shared" ref="W28" si="76">W9/W5</f>
        <v>0.88318114574299855</v>
      </c>
      <c r="X28" s="7">
        <f>X9/X5</f>
        <v>0.88155763678614174</v>
      </c>
      <c r="Y28" s="7">
        <f>Y9/Y5</f>
        <v>0.86</v>
      </c>
      <c r="Z28" s="7">
        <f>Z9/Z5</f>
        <v>0.88</v>
      </c>
      <c r="AA28" s="7"/>
      <c r="AC28" s="7">
        <f>AC9/AC5</f>
        <v>0.84616825932171624</v>
      </c>
      <c r="AD28" s="7">
        <f>AD9/AD5</f>
        <v>0.89393346379647753</v>
      </c>
      <c r="AE28" s="7">
        <f t="shared" ref="AE28:AO28" si="77">AE9/AE5</f>
        <v>0.83825499075196119</v>
      </c>
      <c r="AF28" s="7">
        <f t="shared" si="77"/>
        <v>0.80279264894649505</v>
      </c>
      <c r="AG28" s="7">
        <f t="shared" si="77"/>
        <v>0.86462053212366885</v>
      </c>
      <c r="AH28" s="7">
        <f t="shared" si="77"/>
        <v>0.86323887873248017</v>
      </c>
      <c r="AI28" s="7">
        <f t="shared" si="77"/>
        <v>0.85362060215510627</v>
      </c>
      <c r="AJ28" s="7">
        <f t="shared" si="77"/>
        <v>0.87000000000000011</v>
      </c>
      <c r="AK28" s="7">
        <f t="shared" si="77"/>
        <v>0.87</v>
      </c>
      <c r="AL28" s="7">
        <f t="shared" si="77"/>
        <v>0.87</v>
      </c>
      <c r="AM28" s="7">
        <f t="shared" si="77"/>
        <v>0.87000000000000011</v>
      </c>
      <c r="AN28" s="7">
        <f t="shared" si="77"/>
        <v>0.86999999999999988</v>
      </c>
      <c r="AO28" s="7">
        <f t="shared" si="77"/>
        <v>0.87000000000000011</v>
      </c>
      <c r="AP28" s="7">
        <f t="shared" ref="AP28:AS28" si="78">AP9/AP5</f>
        <v>0.87</v>
      </c>
      <c r="AQ28" s="7">
        <f t="shared" si="78"/>
        <v>0.87</v>
      </c>
      <c r="AR28" s="7">
        <f t="shared" si="78"/>
        <v>0.86999999999999988</v>
      </c>
      <c r="AS28" s="7">
        <f t="shared" si="78"/>
        <v>0.87</v>
      </c>
    </row>
    <row r="29" spans="2:162" x14ac:dyDescent="0.3">
      <c r="B29" t="s">
        <v>31</v>
      </c>
      <c r="C29" s="7">
        <f t="shared" ref="C29:F29" si="79">C17/C5</f>
        <v>0.20356768100734515</v>
      </c>
      <c r="D29" s="7">
        <f t="shared" si="79"/>
        <v>0.22693133047210298</v>
      </c>
      <c r="E29" s="7">
        <f t="shared" si="79"/>
        <v>0.33346017250126836</v>
      </c>
      <c r="F29" s="7">
        <f t="shared" si="79"/>
        <v>0.38797832886123973</v>
      </c>
      <c r="G29" s="7">
        <f t="shared" ref="G29" si="80">G17/G5</f>
        <v>0.54838709677419362</v>
      </c>
      <c r="H29" s="7">
        <f t="shared" ref="H29:J29" si="81">H17/H5</f>
        <v>0.3926391382405745</v>
      </c>
      <c r="I29" s="7">
        <f t="shared" si="81"/>
        <v>0.22242548974769422</v>
      </c>
      <c r="J29" s="7">
        <f t="shared" si="81"/>
        <v>0.36914148489093457</v>
      </c>
      <c r="K29" s="7">
        <f t="shared" ref="K29:V29" si="82">K17/K5</f>
        <v>-0.47376543209876532</v>
      </c>
      <c r="L29" s="7">
        <f t="shared" si="82"/>
        <v>-1.2922182358035383</v>
      </c>
      <c r="M29" s="7">
        <f t="shared" si="82"/>
        <v>-0.94291038455022846</v>
      </c>
      <c r="N29" s="7">
        <f t="shared" si="82"/>
        <v>-0.88205372754729006</v>
      </c>
      <c r="O29" s="7">
        <f t="shared" si="82"/>
        <v>-0.16051779935275065</v>
      </c>
      <c r="P29" s="7">
        <f t="shared" si="82"/>
        <v>-0.10411075010594724</v>
      </c>
      <c r="Q29" s="7">
        <f t="shared" si="82"/>
        <v>-0.11852840824803437</v>
      </c>
      <c r="R29" s="7">
        <f t="shared" si="82"/>
        <v>0.12119941287481643</v>
      </c>
      <c r="S29" s="7">
        <f t="shared" si="82"/>
        <v>0.49468734733756714</v>
      </c>
      <c r="T29" s="7">
        <f t="shared" si="82"/>
        <v>0.23661699779249443</v>
      </c>
      <c r="U29" s="7">
        <f t="shared" si="82"/>
        <v>0.14064055758380362</v>
      </c>
      <c r="V29" s="7">
        <f t="shared" si="82"/>
        <v>0.45522979397781299</v>
      </c>
      <c r="W29" s="7">
        <f t="shared" ref="W29" si="83">W17/W5</f>
        <v>0.36004693159210321</v>
      </c>
      <c r="X29" s="7">
        <f>X17/X5</f>
        <v>-1.7322723751848557E-2</v>
      </c>
      <c r="Y29" s="7">
        <f>Y17/Y5</f>
        <v>0.31299258767562788</v>
      </c>
      <c r="Z29" s="7">
        <f>Z17/Z5</f>
        <v>0.25325032073051079</v>
      </c>
      <c r="AA29" s="7"/>
      <c r="AC29" s="7">
        <f>AC17/AC5</f>
        <v>-8.581600149896941E-2</v>
      </c>
      <c r="AD29" s="7">
        <f>AD17/AD5</f>
        <v>0.32015655577299412</v>
      </c>
      <c r="AE29" s="7">
        <f t="shared" ref="AE29:AO29" si="84">AE17/AE5</f>
        <v>0.39244849799094322</v>
      </c>
      <c r="AF29" s="7">
        <f t="shared" si="84"/>
        <v>-0.84800100184715588</v>
      </c>
      <c r="AG29" s="7">
        <f t="shared" si="84"/>
        <v>-5.2118521378245332E-2</v>
      </c>
      <c r="AH29" s="7">
        <f t="shared" si="84"/>
        <v>0.33921389396709323</v>
      </c>
      <c r="AI29" s="7">
        <f t="shared" si="84"/>
        <v>0.22340733397065926</v>
      </c>
      <c r="AJ29" s="7">
        <f t="shared" si="84"/>
        <v>0.3202137340660719</v>
      </c>
      <c r="AK29" s="7">
        <f t="shared" si="84"/>
        <v>0.34339154847417719</v>
      </c>
      <c r="AL29" s="7">
        <f t="shared" si="84"/>
        <v>0.36028945205260798</v>
      </c>
      <c r="AM29" s="7">
        <f t="shared" si="84"/>
        <v>0.37131899586243988</v>
      </c>
      <c r="AN29" s="7">
        <f t="shared" si="84"/>
        <v>0.38038617488824961</v>
      </c>
      <c r="AO29" s="7">
        <f t="shared" si="84"/>
        <v>0.39094656989144261</v>
      </c>
      <c r="AP29" s="7">
        <f t="shared" ref="AP29:AS29" si="85">AP17/AP5</f>
        <v>0.40120523932311564</v>
      </c>
      <c r="AQ29" s="7">
        <f t="shared" si="85"/>
        <v>0.41117080391388378</v>
      </c>
      <c r="AR29" s="7">
        <f t="shared" si="85"/>
        <v>0.42085163808777271</v>
      </c>
      <c r="AS29" s="7">
        <f t="shared" si="85"/>
        <v>0.4302558769995507</v>
      </c>
      <c r="AU29" t="s">
        <v>36</v>
      </c>
      <c r="AV29" s="7">
        <v>-0.01</v>
      </c>
    </row>
    <row r="30" spans="2:162" x14ac:dyDescent="0.3">
      <c r="B30" t="s">
        <v>33</v>
      </c>
      <c r="C30" s="7"/>
      <c r="D30" s="7"/>
      <c r="E30" s="7"/>
      <c r="F30" s="7"/>
      <c r="G30" s="7">
        <f>G10/C10-1</f>
        <v>2.9108280254777066</v>
      </c>
      <c r="H30" s="7">
        <f t="shared" ref="H30:J30" si="86">H10/D10-1</f>
        <v>4.83</v>
      </c>
      <c r="I30" s="7">
        <f t="shared" si="86"/>
        <v>4.6555555555555559</v>
      </c>
      <c r="J30" s="7">
        <f t="shared" si="86"/>
        <v>5.0473684210526315</v>
      </c>
      <c r="K30" s="7">
        <f t="shared" ref="K30" si="87">K10/G10-1</f>
        <v>2.0982627578718787</v>
      </c>
      <c r="L30" s="7">
        <f t="shared" ref="L30" si="88">L10/H10-1</f>
        <v>1.0898799313893655</v>
      </c>
      <c r="M30" s="7">
        <f t="shared" ref="M30" si="89">M10/I10-1</f>
        <v>0.56132472635419584</v>
      </c>
      <c r="N30" s="7">
        <f t="shared" ref="N30" si="90">N10/J10-1</f>
        <v>0.28394255874673635</v>
      </c>
      <c r="O30" s="7">
        <f t="shared" ref="O30" si="91">O10/K10-1</f>
        <v>-0.37270019274575084</v>
      </c>
      <c r="P30" s="7">
        <f t="shared" ref="P30" si="92">P10/L10-1</f>
        <v>-0.47357189757058438</v>
      </c>
      <c r="Q30" s="7">
        <f t="shared" ref="Q30" si="93">Q10/M10-1</f>
        <v>-0.41973755168074778</v>
      </c>
      <c r="R30" s="7">
        <f t="shared" ref="R30" si="94">R10/N10-1</f>
        <v>-0.4524656837824097</v>
      </c>
      <c r="S30" s="7">
        <f t="shared" ref="S30" si="95">S10/O10-1</f>
        <v>-2.7932960893861658E-4</v>
      </c>
      <c r="T30" s="7">
        <f t="shared" ref="T30" si="96">T10/P10-1</f>
        <v>0.13595260367945117</v>
      </c>
      <c r="U30" s="7">
        <f t="shared" ref="U30" si="97">U10/Q10-1</f>
        <v>0.16914498141263934</v>
      </c>
      <c r="V30" s="7">
        <f t="shared" ref="V30" si="98">V10/R10-1</f>
        <v>0.14113277623026921</v>
      </c>
      <c r="W30" s="7">
        <f t="shared" ref="W30" si="99">W10/S10-1</f>
        <v>-6.9851913942442501E-3</v>
      </c>
      <c r="X30" s="7">
        <f t="shared" ref="X30" si="100">X10/T10-1</f>
        <v>6.3134779028273469E-2</v>
      </c>
      <c r="Y30" s="7">
        <f t="shared" ref="Y30" si="101">Y10/U10-1</f>
        <v>7.0000000000000062E-2</v>
      </c>
      <c r="Z30" s="7">
        <f t="shared" ref="Z30" si="102">Z10/V10-1</f>
        <v>0.12000000000000011</v>
      </c>
      <c r="AA30" s="7"/>
      <c r="AC30" s="7"/>
      <c r="AD30" s="7">
        <f>AD10/AC10-1</f>
        <v>0.46864864864864852</v>
      </c>
      <c r="AE30" s="7">
        <f t="shared" ref="AE30:AO30" si="103">AE10/AD10-1</f>
        <v>3.7537725432462272</v>
      </c>
      <c r="AF30" s="7">
        <f t="shared" si="103"/>
        <v>0.80109941158253362</v>
      </c>
      <c r="AG30" s="7">
        <f t="shared" si="103"/>
        <v>-0.43059794523492245</v>
      </c>
      <c r="AH30" s="7">
        <f t="shared" si="103"/>
        <v>0.1084855805526197</v>
      </c>
      <c r="AI30" s="7">
        <f t="shared" si="103"/>
        <v>6.2086767009466692E-2</v>
      </c>
      <c r="AJ30" s="7">
        <f t="shared" si="103"/>
        <v>5.0000000000000044E-2</v>
      </c>
      <c r="AK30" s="7">
        <f t="shared" si="103"/>
        <v>4.0000000000000036E-2</v>
      </c>
      <c r="AL30" s="7">
        <f t="shared" si="103"/>
        <v>3.0000000000000027E-2</v>
      </c>
      <c r="AM30" s="7">
        <f t="shared" si="103"/>
        <v>3.0000000000000027E-2</v>
      </c>
      <c r="AN30" s="7">
        <f t="shared" si="103"/>
        <v>3.0000000000000027E-2</v>
      </c>
      <c r="AO30" s="7">
        <f t="shared" si="103"/>
        <v>2.0000000000000018E-2</v>
      </c>
      <c r="AP30" s="7">
        <f t="shared" ref="AP30" si="104">AP10/AO10-1</f>
        <v>2.0000000000000018E-2</v>
      </c>
      <c r="AQ30" s="7">
        <f t="shared" ref="AQ30" si="105">AQ10/AP10-1</f>
        <v>2.0000000000000018E-2</v>
      </c>
      <c r="AR30" s="7">
        <f t="shared" ref="AR30" si="106">AR10/AQ10-1</f>
        <v>2.0000000000000018E-2</v>
      </c>
      <c r="AS30" s="7">
        <f t="shared" ref="AS30" si="107">AS10/AR10-1</f>
        <v>2.0000000000000018E-2</v>
      </c>
      <c r="AU30" t="s">
        <v>37</v>
      </c>
      <c r="AV30" s="7">
        <v>7.0000000000000007E-2</v>
      </c>
    </row>
    <row r="31" spans="2:162" x14ac:dyDescent="0.3">
      <c r="B31" t="s">
        <v>35</v>
      </c>
      <c r="C31" s="7">
        <f t="shared" ref="C31:F31" si="108">C11/C5</f>
        <v>5.1941238195173142E-2</v>
      </c>
      <c r="D31" s="7">
        <f t="shared" si="108"/>
        <v>5.9012875536480686E-2</v>
      </c>
      <c r="E31" s="7">
        <f t="shared" si="108"/>
        <v>6.3419583967529169E-2</v>
      </c>
      <c r="F31" s="7">
        <f t="shared" si="108"/>
        <v>6.8363213754678603E-2</v>
      </c>
      <c r="G31" s="7">
        <f t="shared" ref="G31" si="109">G11/G5</f>
        <v>6.5515518294375658E-2</v>
      </c>
      <c r="H31" s="7">
        <f t="shared" ref="H31:J31" si="110">H11/H5</f>
        <v>8.7836624775583474E-2</v>
      </c>
      <c r="I31" s="7">
        <f t="shared" si="110"/>
        <v>8.0341489442792888E-2</v>
      </c>
      <c r="J31" s="7">
        <f t="shared" si="110"/>
        <v>9.7898739243546126E-2</v>
      </c>
      <c r="K31" s="7">
        <f t="shared" ref="K31:V31" si="111">K11/K5</f>
        <v>0.17163923182441698</v>
      </c>
      <c r="L31" s="7">
        <f t="shared" si="111"/>
        <v>0.17431646665841893</v>
      </c>
      <c r="M31" s="7">
        <f t="shared" si="111"/>
        <v>0.12857868880230394</v>
      </c>
      <c r="N31" s="7">
        <f t="shared" si="111"/>
        <v>0.14798919090764584</v>
      </c>
      <c r="O31" s="7">
        <f t="shared" si="111"/>
        <v>8.2847896440129451E-2</v>
      </c>
      <c r="P31" s="7">
        <f t="shared" si="111"/>
        <v>0.11851956491029808</v>
      </c>
      <c r="Q31" s="7">
        <f t="shared" si="111"/>
        <v>0.1160065272214805</v>
      </c>
      <c r="R31" s="7">
        <f t="shared" si="111"/>
        <v>0.11144894107779409</v>
      </c>
      <c r="S31" s="7">
        <f t="shared" si="111"/>
        <v>6.0393258426966301E-2</v>
      </c>
      <c r="T31" s="7">
        <f t="shared" si="111"/>
        <v>0.1140314569536424</v>
      </c>
      <c r="U31" s="7">
        <f t="shared" si="111"/>
        <v>0.13674078991038832</v>
      </c>
      <c r="V31" s="7">
        <f t="shared" si="111"/>
        <v>9.9401303046310979E-2</v>
      </c>
      <c r="W31" s="7">
        <f t="shared" ref="W31" si="112">W11/W5</f>
        <v>0.12615416007753916</v>
      </c>
      <c r="X31" s="7">
        <f>X11/X5</f>
        <v>0.16632631504823603</v>
      </c>
      <c r="Y31" s="7">
        <f>Y11/Y5</f>
        <v>0.13</v>
      </c>
      <c r="Z31" s="7">
        <f>Z11/Z5</f>
        <v>0.11</v>
      </c>
      <c r="AA31" s="7"/>
      <c r="AC31" s="7">
        <f>AC11/AC5</f>
        <v>4.534382611954281E-2</v>
      </c>
      <c r="AD31" s="7">
        <f>AD11/AD5</f>
        <v>4.4461839530332677E-2</v>
      </c>
      <c r="AE31" s="7">
        <f t="shared" ref="AE31:AO31" si="113">AE11/AE5</f>
        <v>8.466101154410359E-2</v>
      </c>
      <c r="AF31" s="7">
        <f t="shared" si="113"/>
        <v>0.15970069816223664</v>
      </c>
      <c r="AG31" s="7">
        <f t="shared" si="113"/>
        <v>0.10693948460573305</v>
      </c>
      <c r="AH31" s="7">
        <f t="shared" si="113"/>
        <v>9.9756246191346751E-2</v>
      </c>
      <c r="AI31" s="7">
        <f t="shared" si="113"/>
        <v>0.13180658334218509</v>
      </c>
      <c r="AJ31" s="7">
        <f t="shared" si="113"/>
        <v>0.12</v>
      </c>
      <c r="AK31" s="7">
        <f t="shared" si="113"/>
        <v>0.12</v>
      </c>
      <c r="AL31" s="7">
        <f t="shared" si="113"/>
        <v>0.12000000000000001</v>
      </c>
      <c r="AM31" s="7">
        <f t="shared" si="113"/>
        <v>0.11999999999999998</v>
      </c>
      <c r="AN31" s="7">
        <f t="shared" si="113"/>
        <v>0.12</v>
      </c>
      <c r="AO31" s="7">
        <f t="shared" si="113"/>
        <v>0.11999999999999998</v>
      </c>
      <c r="AP31" s="7">
        <f t="shared" ref="AP31:AS31" si="114">AP11/AP5</f>
        <v>0.12</v>
      </c>
      <c r="AQ31" s="7">
        <f t="shared" si="114"/>
        <v>0.11999999999999998</v>
      </c>
      <c r="AR31" s="7">
        <f t="shared" si="114"/>
        <v>0.12</v>
      </c>
      <c r="AS31" s="7">
        <f t="shared" si="114"/>
        <v>0.11999999999999998</v>
      </c>
      <c r="AU31" t="s">
        <v>38</v>
      </c>
      <c r="AV31" s="4">
        <f>NPV(AV30,AH23:FF23)</f>
        <v>47834.660724508743</v>
      </c>
    </row>
    <row r="32" spans="2:162" x14ac:dyDescent="0.3">
      <c r="B32" t="s">
        <v>34</v>
      </c>
      <c r="C32" s="7"/>
      <c r="D32" s="7"/>
      <c r="E32" s="7"/>
      <c r="F32" s="7"/>
      <c r="G32" s="7">
        <f>G12/C12-1</f>
        <v>1.0542372881355933</v>
      </c>
      <c r="H32" s="7">
        <f t="shared" ref="H32:J32" si="115">H12/D12-1</f>
        <v>2.9396825396825395</v>
      </c>
      <c r="I32" s="7">
        <f t="shared" si="115"/>
        <v>2.4657142857142857</v>
      </c>
      <c r="J32" s="7">
        <f t="shared" si="115"/>
        <v>2.1294736842105264</v>
      </c>
      <c r="K32" s="7">
        <f t="shared" ref="K32" si="116">K12/G12-1</f>
        <v>2.4125412541254128</v>
      </c>
      <c r="L32" s="7">
        <f t="shared" ref="L32" si="117">L12/H12-1</f>
        <v>0.89443996776792911</v>
      </c>
      <c r="M32" s="7">
        <f t="shared" ref="M32" si="118">M12/I12-1</f>
        <v>0.39818631492168177</v>
      </c>
      <c r="N32" s="7">
        <f t="shared" ref="N32" si="119">N12/J12-1</f>
        <v>0.27043390514631671</v>
      </c>
      <c r="O32" s="7">
        <f t="shared" ref="O32" si="120">O12/K12-1</f>
        <v>-0.39845261121856868</v>
      </c>
      <c r="P32" s="7">
        <f t="shared" ref="P32" si="121">P12/L12-1</f>
        <v>-0.44917056571671632</v>
      </c>
      <c r="Q32" s="7">
        <f t="shared" ref="Q32" si="122">Q12/M12-1</f>
        <v>-0.25530660377358494</v>
      </c>
      <c r="R32" s="7">
        <f t="shared" ref="R32" si="123">R12/N12-1</f>
        <v>-0.25628805930632781</v>
      </c>
      <c r="S32" s="7">
        <f t="shared" ref="S32" si="124">S12/O12-1</f>
        <v>0.15434083601286175</v>
      </c>
      <c r="T32" s="7">
        <f t="shared" ref="T32" si="125">T12/P12-1</f>
        <v>0.23590733590733604</v>
      </c>
      <c r="U32" s="7">
        <f t="shared" ref="U32" si="126">U12/Q12-1</f>
        <v>0.3079968329374505</v>
      </c>
      <c r="V32" s="7">
        <f t="shared" ref="V32" si="127">V12/R12-1</f>
        <v>0.29049483802064802</v>
      </c>
      <c r="W32" s="7">
        <f t="shared" ref="W32" si="128">W12/S12-1</f>
        <v>0.37291086350974934</v>
      </c>
      <c r="X32" s="7">
        <f t="shared" ref="X32" si="129">X12/T12-1</f>
        <v>0.10496719775070273</v>
      </c>
      <c r="Y32" s="7">
        <f t="shared" ref="Y32" si="130">Y12/U12-1</f>
        <v>0.12000000000000011</v>
      </c>
      <c r="Z32" s="7">
        <f t="shared" ref="Z32" si="131">Z12/V12-1</f>
        <v>0.10000000000000009</v>
      </c>
      <c r="AA32" s="7"/>
      <c r="AC32" s="7"/>
      <c r="AD32" s="7">
        <f>AD12/AC12-1</f>
        <v>0.20698576972833105</v>
      </c>
      <c r="AE32" s="7">
        <f t="shared" ref="AE32:AO32" si="132">AE12/AD12-1</f>
        <v>2.2486602357984995</v>
      </c>
      <c r="AF32" s="7">
        <f t="shared" si="132"/>
        <v>0.76036511602331469</v>
      </c>
      <c r="AG32" s="7">
        <f t="shared" si="132"/>
        <v>-0.34947210595364531</v>
      </c>
      <c r="AH32" s="7">
        <f t="shared" si="132"/>
        <v>0.24863151829443941</v>
      </c>
      <c r="AI32" s="7">
        <f t="shared" si="132"/>
        <v>0.1665882171973545</v>
      </c>
      <c r="AJ32" s="7">
        <f t="shared" si="132"/>
        <v>0.1100000000000001</v>
      </c>
      <c r="AK32" s="7">
        <f t="shared" si="132"/>
        <v>6.0000000000000053E-2</v>
      </c>
      <c r="AL32" s="7">
        <f t="shared" si="132"/>
        <v>4.0000000000000036E-2</v>
      </c>
      <c r="AM32" s="7">
        <f t="shared" si="132"/>
        <v>3.0000000000000027E-2</v>
      </c>
      <c r="AN32" s="7">
        <f t="shared" si="132"/>
        <v>2.0000000000000018E-2</v>
      </c>
      <c r="AO32" s="7">
        <f t="shared" si="132"/>
        <v>2.0000000000000018E-2</v>
      </c>
      <c r="AP32" s="7">
        <f t="shared" ref="AP32" si="133">AP12/AO12-1</f>
        <v>2.0000000000000018E-2</v>
      </c>
      <c r="AQ32" s="7">
        <f t="shared" ref="AQ32" si="134">AQ12/AP12-1</f>
        <v>2.0000000000000018E-2</v>
      </c>
      <c r="AR32" s="7">
        <f t="shared" ref="AR32" si="135">AR12/AQ12-1</f>
        <v>2.0000000000000018E-2</v>
      </c>
      <c r="AS32" s="7">
        <f t="shared" ref="AS32" si="136">AS12/AR12-1</f>
        <v>2.0000000000000018E-2</v>
      </c>
      <c r="AU32" t="s">
        <v>39</v>
      </c>
      <c r="AV32" s="4">
        <f>Main!D8</f>
        <v>5233.0999999999985</v>
      </c>
    </row>
    <row r="33" spans="2:48" x14ac:dyDescent="0.3">
      <c r="B33" t="s">
        <v>27</v>
      </c>
      <c r="C33" s="7">
        <f t="shared" ref="C33:F33" si="137">C22/C21</f>
        <v>8.309455587392553E-2</v>
      </c>
      <c r="D33" s="7">
        <f t="shared" si="137"/>
        <v>0.17232375979112272</v>
      </c>
      <c r="E33" s="7">
        <f t="shared" si="137"/>
        <v>0.20120345994734862</v>
      </c>
      <c r="F33" s="7">
        <f t="shared" si="137"/>
        <v>0.24012692423137946</v>
      </c>
      <c r="G33" s="7">
        <f t="shared" ref="G33" si="138">G22/G21</f>
        <v>0.22594562054780776</v>
      </c>
      <c r="H33" s="7">
        <f t="shared" ref="H33:J33" si="139">H22/H21</f>
        <v>-0.84867663981588048</v>
      </c>
      <c r="I33" s="7">
        <f t="shared" si="139"/>
        <v>-0.4990771502399407</v>
      </c>
      <c r="J33" s="7">
        <f t="shared" si="139"/>
        <v>5.6485120718697358E-2</v>
      </c>
      <c r="K33" s="7">
        <f t="shared" ref="K33:V33" si="140">K22/K21</f>
        <v>0.29596707818930046</v>
      </c>
      <c r="L33" s="7">
        <f t="shared" si="140"/>
        <v>0.11840090271620859</v>
      </c>
      <c r="M33" s="7">
        <f t="shared" si="140"/>
        <v>0.15392979186082636</v>
      </c>
      <c r="N33" s="7">
        <f t="shared" si="140"/>
        <v>2.4347521457348038E-2</v>
      </c>
      <c r="O33" s="7">
        <f t="shared" si="140"/>
        <v>0.52352231604342614</v>
      </c>
      <c r="P33" s="7">
        <f t="shared" si="140"/>
        <v>-0.23730964467005064</v>
      </c>
      <c r="Q33" s="7">
        <f t="shared" si="140"/>
        <v>1.0664739884393051</v>
      </c>
      <c r="R33" s="7">
        <f t="shared" si="140"/>
        <v>-1.0579382994732889</v>
      </c>
      <c r="S33" s="7">
        <f t="shared" si="140"/>
        <v>0.17565568258238065</v>
      </c>
      <c r="T33" s="7">
        <f t="shared" si="140"/>
        <v>1.5986733001658346</v>
      </c>
      <c r="U33" s="7">
        <f t="shared" si="140"/>
        <v>-0.10058309037900859</v>
      </c>
      <c r="V33" s="7">
        <f t="shared" si="140"/>
        <v>0.13740814963259854</v>
      </c>
      <c r="W33" s="7">
        <f t="shared" ref="W33:Z33" si="141">W22/W21</f>
        <v>0.20388349514563131</v>
      </c>
      <c r="X33" s="7">
        <f t="shared" si="141"/>
        <v>0.21651406327101264</v>
      </c>
      <c r="Y33" s="7">
        <f t="shared" si="141"/>
        <v>0.15</v>
      </c>
      <c r="Z33" s="7">
        <f t="shared" si="141"/>
        <v>0.15</v>
      </c>
      <c r="AA33" s="7"/>
      <c r="AC33" s="7">
        <f>AC22/AC21</f>
        <v>0.33039647577092529</v>
      </c>
      <c r="AD33" s="7">
        <f>AD22/AD21</f>
        <v>0.2123655913978495</v>
      </c>
      <c r="AE33" s="7">
        <f t="shared" ref="AE33:AO33" si="142">AE22/AE21</f>
        <v>-0.197238919347381</v>
      </c>
      <c r="AF33" s="7">
        <f t="shared" si="142"/>
        <v>0.14355675993339645</v>
      </c>
      <c r="AG33" s="7">
        <f t="shared" si="142"/>
        <v>2.2282749675745794</v>
      </c>
      <c r="AH33" s="7">
        <f t="shared" si="142"/>
        <v>0.12703514778841452</v>
      </c>
      <c r="AI33" s="7">
        <f t="shared" si="142"/>
        <v>0.19953998512562499</v>
      </c>
      <c r="AJ33" s="7">
        <f t="shared" si="142"/>
        <v>0.2</v>
      </c>
      <c r="AK33" s="7">
        <f t="shared" si="142"/>
        <v>0.2</v>
      </c>
      <c r="AL33" s="7">
        <f t="shared" si="142"/>
        <v>0.2</v>
      </c>
      <c r="AM33" s="7">
        <f t="shared" si="142"/>
        <v>0.20000000000000004</v>
      </c>
      <c r="AN33" s="7">
        <f t="shared" si="142"/>
        <v>0.2</v>
      </c>
      <c r="AO33" s="7">
        <f t="shared" si="142"/>
        <v>0.2</v>
      </c>
      <c r="AP33" s="7">
        <f t="shared" ref="AP33:AS33" si="143">AP22/AP21</f>
        <v>0.2</v>
      </c>
      <c r="AQ33" s="7">
        <f t="shared" si="143"/>
        <v>0.2</v>
      </c>
      <c r="AR33" s="7">
        <f t="shared" si="143"/>
        <v>0.2</v>
      </c>
      <c r="AS33" s="7">
        <f t="shared" si="143"/>
        <v>0.2</v>
      </c>
      <c r="AU33" t="s">
        <v>40</v>
      </c>
      <c r="AV33" s="4">
        <f>AV31+AV32</f>
        <v>53067.760724508742</v>
      </c>
    </row>
    <row r="34" spans="2:48" x14ac:dyDescent="0.3">
      <c r="B34" t="s">
        <v>48</v>
      </c>
      <c r="C34" s="7">
        <f>C23/C5</f>
        <v>0.16789087093389291</v>
      </c>
      <c r="D34" s="7">
        <f t="shared" ref="D34:F34" si="144">D23/D5</f>
        <v>0.1700643776824034</v>
      </c>
      <c r="E34" s="7">
        <f t="shared" si="144"/>
        <v>0.26940639269406397</v>
      </c>
      <c r="F34" s="7">
        <f t="shared" si="144"/>
        <v>0.30286612773666488</v>
      </c>
      <c r="G34" s="7">
        <f t="shared" ref="G34:J34" si="145">G23/G5</f>
        <v>0.42834934206873582</v>
      </c>
      <c r="H34" s="7">
        <f t="shared" si="145"/>
        <v>0.72105026929982041</v>
      </c>
      <c r="I34" s="7">
        <f t="shared" si="145"/>
        <v>0.30955103285311386</v>
      </c>
      <c r="J34" s="7">
        <f t="shared" si="145"/>
        <v>0.33628176906143686</v>
      </c>
      <c r="K34" s="7">
        <f t="shared" ref="K34:V34" si="146">K23/K5</f>
        <v>-0.36668381344307255</v>
      </c>
      <c r="L34" s="7">
        <f t="shared" si="146"/>
        <v>-1.3532104416676976</v>
      </c>
      <c r="M34" s="7">
        <f t="shared" si="146"/>
        <v>-0.92275114348636267</v>
      </c>
      <c r="N34" s="7">
        <f t="shared" si="146"/>
        <v>-0.88539182959783846</v>
      </c>
      <c r="O34" s="7">
        <f t="shared" si="146"/>
        <v>-0.10226537216828466</v>
      </c>
      <c r="P34" s="7">
        <f t="shared" si="146"/>
        <v>-0.137731317982766</v>
      </c>
      <c r="Q34" s="7">
        <f t="shared" si="146"/>
        <v>-3.4119566829846635E-3</v>
      </c>
      <c r="R34" s="7">
        <f t="shared" si="146"/>
        <v>0.28674774585867047</v>
      </c>
      <c r="S34" s="7">
        <f t="shared" si="146"/>
        <v>0.74853444064484598</v>
      </c>
      <c r="T34" s="7">
        <f t="shared" si="146"/>
        <v>2.4903421633554013E-2</v>
      </c>
      <c r="U34" s="7">
        <f t="shared" si="146"/>
        <v>6.2645204115499592E-2</v>
      </c>
      <c r="V34" s="7">
        <f t="shared" si="146"/>
        <v>0.56845395316076774</v>
      </c>
      <c r="W34" s="7">
        <f t="shared" ref="W34" si="147">W23/W5</f>
        <v>3.3464265673621339E-2</v>
      </c>
      <c r="X34" s="7">
        <f>X23/X5</f>
        <v>1.0062671642842054</v>
      </c>
      <c r="Y34" s="7">
        <f>Y23/Y5</f>
        <v>0.49149728952317734</v>
      </c>
      <c r="Z34" s="7">
        <f>Z23/Z5</f>
        <v>7.0666767288003307E-2</v>
      </c>
      <c r="AA34" s="7"/>
      <c r="AC34" s="7">
        <f t="shared" ref="AC34:AO34" si="148">AC23/AC5</f>
        <v>-5.696083942289671E-2</v>
      </c>
      <c r="AD34" s="7">
        <f t="shared" si="148"/>
        <v>0.25228962818003908</v>
      </c>
      <c r="AE34" s="7">
        <f t="shared" si="148"/>
        <v>0.46240193889916437</v>
      </c>
      <c r="AF34" s="7">
        <f t="shared" si="148"/>
        <v>-0.8212642058795907</v>
      </c>
      <c r="AG34" s="7">
        <f t="shared" si="148"/>
        <v>3.0466814657529845E-2</v>
      </c>
      <c r="AH34" s="7">
        <f t="shared" si="148"/>
        <v>0.38065204143814746</v>
      </c>
      <c r="AI34" s="7">
        <f t="shared" si="148"/>
        <v>0.34818324304547432</v>
      </c>
      <c r="AJ34" s="7">
        <f t="shared" si="148"/>
        <v>0.24987029797581675</v>
      </c>
      <c r="AK34" s="7">
        <f t="shared" si="148"/>
        <v>0.26840022933232377</v>
      </c>
      <c r="AL34" s="7">
        <f t="shared" si="148"/>
        <v>0.28248147745821472</v>
      </c>
      <c r="AM34" s="7">
        <f t="shared" si="148"/>
        <v>0.29166790496161671</v>
      </c>
      <c r="AN34" s="7">
        <f t="shared" si="148"/>
        <v>0.29915516753937094</v>
      </c>
      <c r="AO34" s="7">
        <f t="shared" si="148"/>
        <v>0.30780102466686221</v>
      </c>
      <c r="AP34" s="7">
        <f t="shared" ref="AP34:AS34" si="149">AP23/AP5</f>
        <v>0.31621165262294826</v>
      </c>
      <c r="AQ34" s="7">
        <f t="shared" si="149"/>
        <v>0.32438337935617428</v>
      </c>
      <c r="AR34" s="7">
        <f t="shared" si="149"/>
        <v>0.33232292643066175</v>
      </c>
      <c r="AS34" s="7">
        <f t="shared" si="149"/>
        <v>0.34003690223215072</v>
      </c>
      <c r="AU34" t="s">
        <v>41</v>
      </c>
      <c r="AV34" s="5">
        <f>AV33/AO24</f>
        <v>207.94577086406247</v>
      </c>
    </row>
    <row r="35" spans="2:48" x14ac:dyDescent="0.3">
      <c r="AU35" t="s">
        <v>42</v>
      </c>
      <c r="AV35" s="5">
        <f>Main!D3</f>
        <v>305.08</v>
      </c>
    </row>
    <row r="36" spans="2:48" x14ac:dyDescent="0.3">
      <c r="AU36" s="1" t="s">
        <v>43</v>
      </c>
      <c r="AV36" s="10">
        <f>AV34/AV35-1</f>
        <v>-0.31838937044689108</v>
      </c>
    </row>
    <row r="37" spans="2:48" x14ac:dyDescent="0.3">
      <c r="AU37" t="s">
        <v>44</v>
      </c>
      <c r="AV37" s="6" t="s">
        <v>72</v>
      </c>
    </row>
  </sheetData>
  <phoneticPr fontId="3" type="noConversion"/>
  <pageMargins left="0.7" right="0.7" top="0.75" bottom="0.75" header="0.3" footer="0.3"/>
  <pageSetup paperSize="9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2021-04-15T14:27:37Z</dcterms:created>
  <dcterms:modified xsi:type="dcterms:W3CDTF">2025-09-09T08:18:28Z</dcterms:modified>
</cp:coreProperties>
</file>