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BE4B320-15F7-4DEC-A72B-7FAD12ADEC9F}" xr6:coauthVersionLast="47" xr6:coauthVersionMax="47" xr10:uidLastSave="{00000000-0000-0000-0000-000000000000}"/>
  <bookViews>
    <workbookView xWindow="-108" yWindow="-108" windowWidth="23256" windowHeight="12576" xr2:uid="{ADF734E1-848A-473E-A2CC-545E0B655DF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2" l="1"/>
  <c r="G5" i="2"/>
  <c r="G8" i="2" s="1"/>
  <c r="G11" i="2" s="1"/>
  <c r="G13" i="2" s="1"/>
  <c r="G15" i="2" s="1"/>
  <c r="K15" i="2"/>
  <c r="K14" i="2"/>
  <c r="K13" i="2"/>
  <c r="K11" i="2"/>
  <c r="K8" i="2"/>
  <c r="K5" i="2"/>
  <c r="D5" i="1"/>
  <c r="D9" i="1" s="1"/>
  <c r="D8" i="1"/>
  <c r="D7" i="1"/>
  <c r="D6" i="1"/>
  <c r="D4" i="1"/>
  <c r="F3" i="1"/>
</calcChain>
</file>

<file path=xl/sharedStrings.xml><?xml version="1.0" encoding="utf-8"?>
<sst xmlns="http://schemas.openxmlformats.org/spreadsheetml/2006/main" count="41" uniqueCount="36">
  <si>
    <t>TDG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</si>
  <si>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</si>
  <si>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</si>
  <si>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</si>
  <si>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</si>
  <si>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</si>
  <si>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</si>
  <si>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</si>
  <si>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</si>
  <si>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</si>
  <si>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</si>
  <si>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Q126</t>
  </si>
  <si>
    <t>L+S/E</t>
  </si>
  <si>
    <t>Revenue</t>
  </si>
  <si>
    <t>Cost of sales</t>
  </si>
  <si>
    <t>Gross profit</t>
  </si>
  <si>
    <t>SG&amp;A</t>
  </si>
  <si>
    <t>Amortisation</t>
  </si>
  <si>
    <t>Operating profit</t>
  </si>
  <si>
    <t>Interest expense</t>
  </si>
  <si>
    <t>Other income</t>
  </si>
  <si>
    <t>Pretax profit</t>
  </si>
  <si>
    <t>Taxes</t>
  </si>
  <si>
    <t>Net profit</t>
  </si>
  <si>
    <t>EPS</t>
  </si>
  <si>
    <t>Q124</t>
  </si>
  <si>
    <t>Q224</t>
  </si>
  <si>
    <t>Q324</t>
  </si>
  <si>
    <t>Q424</t>
  </si>
  <si>
    <t>Q125</t>
  </si>
  <si>
    <t>Q225</t>
  </si>
  <si>
    <t>Q325</t>
  </si>
  <si>
    <t>Q425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</si>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</sst>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7D69-162C-4B56-9801-7FB80A2AFEF9}">
  <dimension ref="B2:G10"/>
  <sheetViews>
    <sheetView tabSelected="1"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1319.37</v>
      </c>
      <c r="E3" s="4">
        <v>46071</v>
      </c>
      <c r="F3" s="4">
        <f ca="1">TODAY()</f>
        <v>46071</v>
      </c>
      <c r="G3" s="4">
        <v>46154</v>
      </c>
    </row>
    <row r="4" spans="2:7" x14ac:dyDescent="0.3">
      <c r="C4" s="1" t="s">
        <v>2</v>
      </c>
      <c r="D4" s="6">
        <f>56.5</f>
        <v>56.5</v>
      </c>
      <c r="E4" s="3" t="s">
        <v>11</v>
      </c>
    </row>
    <row r="5" spans="2:7" x14ac:dyDescent="0.3">
      <c r="C5" s="1" t="s">
        <v>3</v>
      </c>
      <c r="D5" s="6">
        <f>D3*D4</f>
        <v>74544.404999999999</v>
      </c>
    </row>
    <row r="6" spans="2:7" x14ac:dyDescent="0.3">
      <c r="C6" s="1" t="s">
        <v>4</v>
      </c>
      <c r="D6" s="6">
        <f>2528</f>
        <v>2528</v>
      </c>
      <c r="E6" s="3" t="s">
        <v>11</v>
      </c>
    </row>
    <row r="7" spans="2:7" x14ac:dyDescent="0.3">
      <c r="C7" s="1" t="s">
        <v>5</v>
      </c>
      <c r="D7" s="6">
        <f>125+724+29197</f>
        <v>30046</v>
      </c>
      <c r="E7" s="3" t="s">
        <v>11</v>
      </c>
    </row>
    <row r="8" spans="2:7" x14ac:dyDescent="0.3">
      <c r="C8" s="1" t="s">
        <v>6</v>
      </c>
      <c r="D8" s="6">
        <f>D6-D7</f>
        <v>-27518</v>
      </c>
    </row>
    <row r="9" spans="2:7" x14ac:dyDescent="0.3">
      <c r="C9" s="1" t="s">
        <v>7</v>
      </c>
      <c r="D9" s="6">
        <f>D5-D8</f>
        <v>102062.405</v>
      </c>
    </row>
    <row r="10" spans="2:7" x14ac:dyDescent="0.3">
      <c r="C10" s="1" t="s">
        <v>12</v>
      </c>
      <c r="D10" s="6">
        <v>23757</v>
      </c>
      <c r="E10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67BD-9209-4C96-AE5A-F22D1F2FAAA2}">
  <dimension ref="B2:AG1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3" sqref="G3:G15"/>
    </sheetView>
  </sheetViews>
  <sheetFormatPr defaultRowHeight="14.4" x14ac:dyDescent="0.3"/>
  <cols>
    <col min="1" max="1" width="8.88671875" style="1"/>
    <col min="2" max="2" width="14.5546875" style="1" bestFit="1" customWidth="1"/>
    <col min="3" max="16384" width="8.88671875" style="1"/>
  </cols>
  <sheetData>
    <row r="2" spans="2:33" x14ac:dyDescent="0.3"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11</v>
      </c>
      <c r="L2" s="7" t="s">
        <v>33</v>
      </c>
      <c r="M2" s="7" t="s">
        <v>34</v>
      </c>
      <c r="N2" s="7" t="s">
        <v>35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  <c r="AG2" s="1">
        <v>2036</v>
      </c>
    </row>
    <row r="3" spans="2:33" s="2" customFormat="1" x14ac:dyDescent="0.3">
      <c r="B3" s="2" t="s">
        <v>13</v>
      </c>
      <c r="G3" s="9">
        <v>2006</v>
      </c>
      <c r="K3" s="9">
        <v>2285</v>
      </c>
    </row>
    <row r="4" spans="2:33" x14ac:dyDescent="0.3">
      <c r="B4" s="1" t="s">
        <v>14</v>
      </c>
      <c r="G4" s="6">
        <v>771</v>
      </c>
      <c r="K4" s="6">
        <v>933</v>
      </c>
    </row>
    <row r="5" spans="2:33" s="2" customFormat="1" x14ac:dyDescent="0.3">
      <c r="B5" s="2" t="s">
        <v>15</v>
      </c>
      <c r="G5" s="9">
        <f>G3-G4</f>
        <v>1235</v>
      </c>
      <c r="K5" s="9">
        <f>K3-K4</f>
        <v>1352</v>
      </c>
    </row>
    <row r="6" spans="2:33" x14ac:dyDescent="0.3">
      <c r="B6" s="1" t="s">
        <v>16</v>
      </c>
      <c r="G6" s="6">
        <v>211</v>
      </c>
      <c r="K6" s="6">
        <v>254</v>
      </c>
    </row>
    <row r="7" spans="2:33" x14ac:dyDescent="0.3">
      <c r="B7" s="1" t="s">
        <v>17</v>
      </c>
      <c r="G7" s="6">
        <v>50</v>
      </c>
      <c r="K7" s="6">
        <v>56</v>
      </c>
    </row>
    <row r="8" spans="2:33" s="2" customFormat="1" x14ac:dyDescent="0.3">
      <c r="B8" s="2" t="s">
        <v>18</v>
      </c>
      <c r="G8" s="9">
        <f>G5-G6-G7</f>
        <v>974</v>
      </c>
      <c r="K8" s="9">
        <f>K5-K6-K7</f>
        <v>1042</v>
      </c>
    </row>
    <row r="9" spans="2:33" x14ac:dyDescent="0.3">
      <c r="B9" s="1" t="s">
        <v>19</v>
      </c>
      <c r="G9" s="6">
        <v>378</v>
      </c>
      <c r="K9" s="6">
        <v>475</v>
      </c>
    </row>
    <row r="10" spans="2:33" x14ac:dyDescent="0.3">
      <c r="B10" s="1" t="s">
        <v>20</v>
      </c>
      <c r="G10" s="6">
        <v>-23</v>
      </c>
      <c r="K10" s="6">
        <v>-5</v>
      </c>
    </row>
    <row r="11" spans="2:33" s="2" customFormat="1" x14ac:dyDescent="0.3">
      <c r="B11" s="2" t="s">
        <v>21</v>
      </c>
      <c r="G11" s="9">
        <f>G8-G9-G10</f>
        <v>619</v>
      </c>
      <c r="K11" s="9">
        <f>K8-K9-K10</f>
        <v>572</v>
      </c>
    </row>
    <row r="12" spans="2:33" x14ac:dyDescent="0.3">
      <c r="B12" s="1" t="s">
        <v>22</v>
      </c>
      <c r="G12" s="6">
        <v>126</v>
      </c>
      <c r="K12" s="6">
        <v>127</v>
      </c>
    </row>
    <row r="13" spans="2:33" s="2" customFormat="1" x14ac:dyDescent="0.3">
      <c r="B13" s="2" t="s">
        <v>23</v>
      </c>
      <c r="G13" s="9">
        <f>G11-G12</f>
        <v>493</v>
      </c>
      <c r="K13" s="9">
        <f>K11-K12</f>
        <v>445</v>
      </c>
    </row>
    <row r="14" spans="2:33" x14ac:dyDescent="0.3">
      <c r="B14" s="1" t="s">
        <v>2</v>
      </c>
      <c r="G14" s="6">
        <f>56.5</f>
        <v>56.5</v>
      </c>
      <c r="K14" s="6">
        <f>56.5</f>
        <v>56.5</v>
      </c>
    </row>
    <row r="15" spans="2:33" x14ac:dyDescent="0.3">
      <c r="B15" s="1" t="s">
        <v>24</v>
      </c>
      <c r="G15" s="8">
        <f>G13/G14</f>
        <v>8.7256637168141591</v>
      </c>
      <c r="K15" s="8">
        <f>K13/K14</f>
        <v>7.8761061946902657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2026-02-18T17:12:47Z</dcterms:created>
  <dcterms:modified xsi:type="dcterms:W3CDTF">2026-02-18T17:36:27Z</dcterms:modified>
</cp:coreProperties>
</file>