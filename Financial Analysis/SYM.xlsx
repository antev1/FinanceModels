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61BDEFA-A5C2-427A-A707-EF5DBA748E2B}" xr6:coauthVersionLast="47" xr6:coauthVersionMax="47" xr10:uidLastSave="{00000000-0000-0000-0000-000000000000}"/>
  <bookViews>
    <workbookView xWindow="-108" yWindow="-108" windowWidth="23256" windowHeight="12576" activeTab="1" xr2:uid="{1D79A3FB-6F62-42D1-AFB0-115F58C1A2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28" i="2" l="1"/>
  <c r="V38" i="2"/>
  <c r="U38" i="2"/>
  <c r="T38" i="2"/>
  <c r="S38" i="2"/>
  <c r="V37" i="2"/>
  <c r="U37" i="2"/>
  <c r="T37" i="2"/>
  <c r="S37" i="2"/>
  <c r="V36" i="2"/>
  <c r="U36" i="2"/>
  <c r="T36" i="2"/>
  <c r="S36" i="2"/>
  <c r="V35" i="2"/>
  <c r="U35" i="2"/>
  <c r="T35" i="2"/>
  <c r="S35" i="2"/>
  <c r="V34" i="2"/>
  <c r="U34" i="2"/>
  <c r="T34" i="2"/>
  <c r="S34" i="2"/>
  <c r="V33" i="2"/>
  <c r="U33" i="2"/>
  <c r="T33" i="2"/>
  <c r="S33" i="2"/>
  <c r="V32" i="2"/>
  <c r="U32" i="2"/>
  <c r="T32" i="2"/>
  <c r="S32" i="2"/>
  <c r="V31" i="2"/>
  <c r="U31" i="2"/>
  <c r="T31" i="2"/>
  <c r="S31" i="2"/>
  <c r="V30" i="2"/>
  <c r="U30" i="2"/>
  <c r="T30" i="2"/>
  <c r="S30" i="2"/>
  <c r="V29" i="2"/>
  <c r="U29" i="2"/>
  <c r="T29" i="2"/>
  <c r="S29" i="2"/>
  <c r="V28" i="2"/>
  <c r="U28" i="2"/>
  <c r="T28" i="2"/>
  <c r="S28" i="2"/>
  <c r="V27" i="2"/>
  <c r="U27" i="2"/>
  <c r="T27" i="2"/>
  <c r="S27" i="2"/>
  <c r="V26" i="2"/>
  <c r="U26" i="2"/>
  <c r="T26" i="2"/>
  <c r="S26" i="2"/>
  <c r="V25" i="2"/>
  <c r="U25" i="2"/>
  <c r="T25" i="2"/>
  <c r="S25" i="2"/>
  <c r="S23" i="2"/>
  <c r="S20" i="2"/>
  <c r="S15" i="2"/>
  <c r="S10" i="2"/>
  <c r="S6" i="2"/>
  <c r="D6" i="1"/>
  <c r="D8" i="1" s="1"/>
  <c r="AQ29" i="2" s="1"/>
  <c r="AM22" i="2"/>
  <c r="AL22" i="2"/>
  <c r="AK22" i="2"/>
  <c r="AJ22" i="2"/>
  <c r="AI22" i="2"/>
  <c r="AH22" i="2"/>
  <c r="AG22" i="2"/>
  <c r="AF22" i="2"/>
  <c r="AE22" i="2"/>
  <c r="AD22" i="2"/>
  <c r="AC22" i="2"/>
  <c r="V22" i="2"/>
  <c r="U22" i="2"/>
  <c r="T22" i="2"/>
  <c r="S22" i="2"/>
  <c r="D4" i="1"/>
  <c r="D5" i="1"/>
  <c r="AM7" i="2"/>
  <c r="AL7" i="2"/>
  <c r="AK7" i="2"/>
  <c r="AJ7" i="2"/>
  <c r="AI7" i="2"/>
  <c r="AH7" i="2"/>
  <c r="AG7" i="2"/>
  <c r="AF7" i="2"/>
  <c r="AE7" i="2"/>
  <c r="AD7" i="2"/>
  <c r="R20" i="2"/>
  <c r="AC13" i="2"/>
  <c r="AD13" i="2" s="1"/>
  <c r="AE13" i="2" s="1"/>
  <c r="AF13" i="2" s="1"/>
  <c r="AG13" i="2" s="1"/>
  <c r="AH13" i="2" s="1"/>
  <c r="R33" i="2"/>
  <c r="AC3" i="2"/>
  <c r="AD3" i="2" s="1"/>
  <c r="AE3" i="2" s="1"/>
  <c r="AF3" i="2" s="1"/>
  <c r="Q20" i="2"/>
  <c r="Z15" i="2"/>
  <c r="Y15" i="2"/>
  <c r="X15" i="2"/>
  <c r="Q15" i="2"/>
  <c r="P15" i="2"/>
  <c r="O15" i="2"/>
  <c r="N15" i="2"/>
  <c r="M15" i="2"/>
  <c r="L15" i="2"/>
  <c r="K15" i="2"/>
  <c r="J15" i="2"/>
  <c r="I15" i="2"/>
  <c r="H15" i="2"/>
  <c r="G15" i="2"/>
  <c r="F15" i="2"/>
  <c r="R22" i="2"/>
  <c r="Q22" i="2"/>
  <c r="P22" i="2"/>
  <c r="O22" i="2"/>
  <c r="AC17" i="2"/>
  <c r="Q34" i="2"/>
  <c r="O34" i="2"/>
  <c r="Q33" i="2"/>
  <c r="P33" i="2"/>
  <c r="O33" i="2"/>
  <c r="Q30" i="2"/>
  <c r="O30" i="2"/>
  <c r="Q29" i="2"/>
  <c r="P29" i="2"/>
  <c r="O29" i="2"/>
  <c r="P34" i="2"/>
  <c r="O27" i="2"/>
  <c r="P26" i="2"/>
  <c r="O26" i="2"/>
  <c r="Q25" i="2"/>
  <c r="P25" i="2"/>
  <c r="O25" i="2"/>
  <c r="O6" i="2"/>
  <c r="AC4" i="2"/>
  <c r="AD4" i="2" s="1"/>
  <c r="AQ32" i="2"/>
  <c r="N19" i="2"/>
  <c r="AB19" i="2" s="1"/>
  <c r="AB22" i="2"/>
  <c r="N22" i="2"/>
  <c r="Z34" i="2"/>
  <c r="Y34" i="2"/>
  <c r="Z33" i="2"/>
  <c r="Y33" i="2"/>
  <c r="Z31" i="2"/>
  <c r="Y31" i="2"/>
  <c r="X31" i="2"/>
  <c r="Z30" i="2"/>
  <c r="Y30" i="2"/>
  <c r="X30" i="2"/>
  <c r="Z29" i="2"/>
  <c r="Y29" i="2"/>
  <c r="X29" i="2"/>
  <c r="Z27" i="2"/>
  <c r="Y27" i="2"/>
  <c r="Z26" i="2"/>
  <c r="Y26" i="2"/>
  <c r="Z25" i="2"/>
  <c r="Y25" i="2"/>
  <c r="X22" i="2"/>
  <c r="X10" i="2"/>
  <c r="X6" i="2"/>
  <c r="Y22" i="2"/>
  <c r="Y10" i="2"/>
  <c r="Y6" i="2"/>
  <c r="Z22" i="2"/>
  <c r="Z10" i="2"/>
  <c r="Z6" i="2"/>
  <c r="AA20" i="2"/>
  <c r="AA19" i="2"/>
  <c r="AA17" i="2"/>
  <c r="AA13" i="2"/>
  <c r="AA34" i="2" s="1"/>
  <c r="AA12" i="2"/>
  <c r="AA33" i="2" s="1"/>
  <c r="AA9" i="2"/>
  <c r="AA8" i="2"/>
  <c r="AA7" i="2"/>
  <c r="AA5" i="2"/>
  <c r="AA4" i="2"/>
  <c r="AA3" i="2"/>
  <c r="AA22" i="2"/>
  <c r="AB17" i="2"/>
  <c r="N34" i="2"/>
  <c r="AB12" i="2"/>
  <c r="AB5" i="2"/>
  <c r="N26" i="2"/>
  <c r="L34" i="2"/>
  <c r="K34" i="2"/>
  <c r="J34" i="2"/>
  <c r="L33" i="2"/>
  <c r="K33" i="2"/>
  <c r="J33" i="2"/>
  <c r="L31" i="2"/>
  <c r="K31" i="2"/>
  <c r="J31" i="2"/>
  <c r="I31" i="2"/>
  <c r="H31" i="2"/>
  <c r="G31" i="2"/>
  <c r="F31" i="2"/>
  <c r="L30" i="2"/>
  <c r="K30" i="2"/>
  <c r="J30" i="2"/>
  <c r="I30" i="2"/>
  <c r="H30" i="2"/>
  <c r="G30" i="2"/>
  <c r="F30" i="2"/>
  <c r="L29" i="2"/>
  <c r="K29" i="2"/>
  <c r="J29" i="2"/>
  <c r="I29" i="2"/>
  <c r="H29" i="2"/>
  <c r="G29" i="2"/>
  <c r="F29" i="2"/>
  <c r="L27" i="2"/>
  <c r="K27" i="2"/>
  <c r="J27" i="2"/>
  <c r="L26" i="2"/>
  <c r="K26" i="2"/>
  <c r="J26" i="2"/>
  <c r="L25" i="2"/>
  <c r="K25" i="2"/>
  <c r="J25" i="2"/>
  <c r="M34" i="2"/>
  <c r="M33" i="2"/>
  <c r="M31" i="2"/>
  <c r="M30" i="2"/>
  <c r="M29" i="2"/>
  <c r="M27" i="2"/>
  <c r="M26" i="2"/>
  <c r="M25" i="2"/>
  <c r="F22" i="2"/>
  <c r="F10" i="2"/>
  <c r="F6" i="2"/>
  <c r="J22" i="2"/>
  <c r="J10" i="2"/>
  <c r="J6" i="2"/>
  <c r="G22" i="2"/>
  <c r="G10" i="2"/>
  <c r="G6" i="2"/>
  <c r="K22" i="2"/>
  <c r="K10" i="2"/>
  <c r="K6" i="2"/>
  <c r="H22" i="2"/>
  <c r="H10" i="2"/>
  <c r="H6" i="2"/>
  <c r="L22" i="2"/>
  <c r="L10" i="2"/>
  <c r="L6" i="2"/>
  <c r="I22" i="2"/>
  <c r="I10" i="2"/>
  <c r="I6" i="2"/>
  <c r="M22" i="2"/>
  <c r="M10" i="2"/>
  <c r="M6" i="2"/>
  <c r="F3" i="1"/>
  <c r="S11" i="2" l="1"/>
  <c r="S16" i="2" s="1"/>
  <c r="S18" i="2" s="1"/>
  <c r="S21" i="2" s="1"/>
  <c r="Z28" i="2"/>
  <c r="AB33" i="2"/>
  <c r="AA15" i="2"/>
  <c r="R15" i="2"/>
  <c r="R34" i="2"/>
  <c r="AC12" i="2"/>
  <c r="AD12" i="2" s="1"/>
  <c r="AE12" i="2" s="1"/>
  <c r="AF12" i="2" s="1"/>
  <c r="R29" i="2"/>
  <c r="O28" i="2"/>
  <c r="R6" i="2"/>
  <c r="R30" i="2"/>
  <c r="R26" i="2"/>
  <c r="R25" i="2"/>
  <c r="Q27" i="2"/>
  <c r="Q10" i="2"/>
  <c r="Q26" i="2"/>
  <c r="Q6" i="2"/>
  <c r="Q28" i="2" s="1"/>
  <c r="P30" i="2"/>
  <c r="AD8" i="2"/>
  <c r="AE4" i="2"/>
  <c r="O10" i="2"/>
  <c r="O11" i="2" s="1"/>
  <c r="O16" i="2" s="1"/>
  <c r="D9" i="1"/>
  <c r="R27" i="2"/>
  <c r="AC5" i="2"/>
  <c r="P6" i="2"/>
  <c r="P28" i="2" s="1"/>
  <c r="P31" i="2"/>
  <c r="P27" i="2"/>
  <c r="AD17" i="2"/>
  <c r="AE17" i="2" s="1"/>
  <c r="AF17" i="2" s="1"/>
  <c r="AG17" i="2" s="1"/>
  <c r="AH17" i="2" s="1"/>
  <c r="AI17" i="2" s="1"/>
  <c r="AJ17" i="2" s="1"/>
  <c r="AK17" i="2" s="1"/>
  <c r="AL17" i="2" s="1"/>
  <c r="AM17" i="2" s="1"/>
  <c r="Q31" i="2"/>
  <c r="O31" i="2"/>
  <c r="J28" i="2"/>
  <c r="N6" i="2"/>
  <c r="N28" i="2" s="1"/>
  <c r="AB7" i="2"/>
  <c r="K28" i="2"/>
  <c r="Y28" i="2"/>
  <c r="AA29" i="2"/>
  <c r="AA30" i="2"/>
  <c r="AA31" i="2"/>
  <c r="N33" i="2"/>
  <c r="L28" i="2"/>
  <c r="AA25" i="2"/>
  <c r="AB27" i="2"/>
  <c r="M11" i="2"/>
  <c r="M16" i="2" s="1"/>
  <c r="N30" i="2"/>
  <c r="AB13" i="2"/>
  <c r="AB15" i="2" s="1"/>
  <c r="AA27" i="2"/>
  <c r="AB3" i="2"/>
  <c r="AB4" i="2"/>
  <c r="M28" i="2"/>
  <c r="X11" i="2"/>
  <c r="X16" i="2" s="1"/>
  <c r="Y11" i="2"/>
  <c r="Y16" i="2" s="1"/>
  <c r="Z11" i="2"/>
  <c r="Z16" i="2" s="1"/>
  <c r="AA26" i="2"/>
  <c r="AA10" i="2"/>
  <c r="AA6" i="2"/>
  <c r="AA28" i="2" s="1"/>
  <c r="N27" i="2"/>
  <c r="N25" i="2"/>
  <c r="F11" i="2"/>
  <c r="F16" i="2" s="1"/>
  <c r="J11" i="2"/>
  <c r="J16" i="2" s="1"/>
  <c r="G11" i="2"/>
  <c r="G16" i="2" s="1"/>
  <c r="K11" i="2"/>
  <c r="K16" i="2" s="1"/>
  <c r="H11" i="2"/>
  <c r="H16" i="2" s="1"/>
  <c r="L11" i="2"/>
  <c r="L16" i="2" s="1"/>
  <c r="I11" i="2"/>
  <c r="I16" i="2" s="1"/>
  <c r="AD15" i="2" l="1"/>
  <c r="AC15" i="2"/>
  <c r="AC7" i="2"/>
  <c r="R10" i="2"/>
  <c r="R11" i="2" s="1"/>
  <c r="R28" i="2"/>
  <c r="AD5" i="2"/>
  <c r="AE5" i="2" s="1"/>
  <c r="AF5" i="2" s="1"/>
  <c r="Q11" i="2"/>
  <c r="AC8" i="2"/>
  <c r="AC30" i="2" s="1"/>
  <c r="AE8" i="2"/>
  <c r="AF4" i="2"/>
  <c r="R31" i="2"/>
  <c r="AC27" i="2"/>
  <c r="P10" i="2"/>
  <c r="P11" i="2" s="1"/>
  <c r="AC9" i="2"/>
  <c r="AC31" i="2" s="1"/>
  <c r="O32" i="2"/>
  <c r="N29" i="2"/>
  <c r="AC25" i="2"/>
  <c r="AC6" i="2"/>
  <c r="AB34" i="2"/>
  <c r="AB6" i="2"/>
  <c r="AB28" i="2" s="1"/>
  <c r="AC33" i="2"/>
  <c r="AC26" i="2"/>
  <c r="Z32" i="2"/>
  <c r="G32" i="2"/>
  <c r="N10" i="2"/>
  <c r="N11" i="2" s="1"/>
  <c r="N16" i="2" s="1"/>
  <c r="AB8" i="2"/>
  <c r="Y32" i="2"/>
  <c r="X32" i="2"/>
  <c r="N31" i="2"/>
  <c r="AB9" i="2"/>
  <c r="AB31" i="2" s="1"/>
  <c r="L32" i="2"/>
  <c r="AB25" i="2"/>
  <c r="AB29" i="2"/>
  <c r="J32" i="2"/>
  <c r="F32" i="2"/>
  <c r="M32" i="2"/>
  <c r="I32" i="2"/>
  <c r="AB26" i="2"/>
  <c r="H32" i="2"/>
  <c r="K32" i="2"/>
  <c r="AA11" i="2"/>
  <c r="AA16" i="2" s="1"/>
  <c r="Q32" i="2" l="1"/>
  <c r="Q16" i="2"/>
  <c r="Q35" i="2" s="1"/>
  <c r="P32" i="2"/>
  <c r="P16" i="2"/>
  <c r="R32" i="2"/>
  <c r="R16" i="2"/>
  <c r="R18" i="2" s="1"/>
  <c r="AD27" i="2"/>
  <c r="AD9" i="2"/>
  <c r="AD31" i="2" s="1"/>
  <c r="AG5" i="2"/>
  <c r="AH5" i="2" s="1"/>
  <c r="AI5" i="2" s="1"/>
  <c r="AJ5" i="2" s="1"/>
  <c r="AK5" i="2" s="1"/>
  <c r="AL5" i="2" s="1"/>
  <c r="AM5" i="2" s="1"/>
  <c r="AG3" i="2"/>
  <c r="AF8" i="2"/>
  <c r="AG4" i="2"/>
  <c r="P18" i="2"/>
  <c r="O35" i="2"/>
  <c r="O18" i="2"/>
  <c r="AD33" i="2"/>
  <c r="AD29" i="2"/>
  <c r="AD6" i="2"/>
  <c r="AD28" i="2" s="1"/>
  <c r="AD25" i="2"/>
  <c r="AC28" i="2"/>
  <c r="AD30" i="2"/>
  <c r="AD26" i="2"/>
  <c r="AC34" i="2"/>
  <c r="AE9" i="2"/>
  <c r="AE31" i="2" s="1"/>
  <c r="AE27" i="2"/>
  <c r="AB10" i="2"/>
  <c r="AB11" i="2" s="1"/>
  <c r="AB16" i="2" s="1"/>
  <c r="AC29" i="2"/>
  <c r="AC10" i="2"/>
  <c r="AC11" i="2" s="1"/>
  <c r="AC16" i="2" s="1"/>
  <c r="Y18" i="2"/>
  <c r="Y35" i="2"/>
  <c r="K18" i="2"/>
  <c r="K35" i="2"/>
  <c r="M18" i="2"/>
  <c r="M35" i="2"/>
  <c r="L18" i="2"/>
  <c r="L35" i="2"/>
  <c r="N32" i="2"/>
  <c r="AA32" i="2"/>
  <c r="I18" i="2"/>
  <c r="I35" i="2"/>
  <c r="G18" i="2"/>
  <c r="G35" i="2"/>
  <c r="F18" i="2"/>
  <c r="F35" i="2"/>
  <c r="AB30" i="2"/>
  <c r="H18" i="2"/>
  <c r="H35" i="2"/>
  <c r="J18" i="2"/>
  <c r="J35" i="2"/>
  <c r="X18" i="2"/>
  <c r="X35" i="2"/>
  <c r="Z18" i="2"/>
  <c r="Z35" i="2"/>
  <c r="AE33" i="2" l="1"/>
  <c r="R35" i="2"/>
  <c r="AH3" i="2"/>
  <c r="Q18" i="2"/>
  <c r="Q36" i="2" s="1"/>
  <c r="P35" i="2"/>
  <c r="AH4" i="2"/>
  <c r="AG8" i="2"/>
  <c r="R36" i="2"/>
  <c r="R37" i="2"/>
  <c r="P37" i="2"/>
  <c r="P36" i="2"/>
  <c r="AB32" i="2"/>
  <c r="AE15" i="2"/>
  <c r="AD34" i="2"/>
  <c r="AE29" i="2"/>
  <c r="AE25" i="2"/>
  <c r="AE6" i="2"/>
  <c r="AE28" i="2" s="1"/>
  <c r="AF9" i="2"/>
  <c r="AF27" i="2"/>
  <c r="AC32" i="2"/>
  <c r="AE30" i="2"/>
  <c r="AE26" i="2"/>
  <c r="AD10" i="2"/>
  <c r="AD11" i="2" s="1"/>
  <c r="AD16" i="2" s="1"/>
  <c r="N18" i="2"/>
  <c r="N35" i="2"/>
  <c r="I21" i="2"/>
  <c r="I36" i="2"/>
  <c r="I37" i="2"/>
  <c r="AB18" i="2"/>
  <c r="AB35" i="2"/>
  <c r="M21" i="2"/>
  <c r="M37" i="2"/>
  <c r="M36" i="2"/>
  <c r="G21" i="2"/>
  <c r="G36" i="2"/>
  <c r="G37" i="2"/>
  <c r="J21" i="2"/>
  <c r="J37" i="2"/>
  <c r="J36" i="2"/>
  <c r="L21" i="2"/>
  <c r="L36" i="2"/>
  <c r="L37" i="2"/>
  <c r="Z21" i="2"/>
  <c r="Z37" i="2"/>
  <c r="Z36" i="2"/>
  <c r="Y21" i="2"/>
  <c r="Y37" i="2"/>
  <c r="Y36" i="2"/>
  <c r="H21" i="2"/>
  <c r="H37" i="2"/>
  <c r="H36" i="2"/>
  <c r="F21" i="2"/>
  <c r="F36" i="2"/>
  <c r="F37" i="2"/>
  <c r="AA18" i="2"/>
  <c r="AA35" i="2"/>
  <c r="K21" i="2"/>
  <c r="K36" i="2"/>
  <c r="K37" i="2"/>
  <c r="X21" i="2"/>
  <c r="X36" i="2"/>
  <c r="X37" i="2"/>
  <c r="AG12" i="2" l="1"/>
  <c r="AF33" i="2"/>
  <c r="AI3" i="2"/>
  <c r="Q37" i="2"/>
  <c r="AI4" i="2"/>
  <c r="AH8" i="2"/>
  <c r="R21" i="2"/>
  <c r="R23" i="2" s="1"/>
  <c r="P21" i="2"/>
  <c r="O37" i="2"/>
  <c r="O36" i="2"/>
  <c r="AC19" i="2"/>
  <c r="O21" i="2"/>
  <c r="AG9" i="2"/>
  <c r="AG31" i="2" s="1"/>
  <c r="AG27" i="2"/>
  <c r="AF26" i="2"/>
  <c r="AF30" i="2"/>
  <c r="AF25" i="2"/>
  <c r="AF6" i="2"/>
  <c r="AF28" i="2" s="1"/>
  <c r="AF29" i="2"/>
  <c r="AC18" i="2"/>
  <c r="AC35" i="2"/>
  <c r="AD32" i="2"/>
  <c r="AF31" i="2"/>
  <c r="AE10" i="2"/>
  <c r="AE11" i="2" s="1"/>
  <c r="AE16" i="2" s="1"/>
  <c r="AE34" i="2"/>
  <c r="AF15" i="2"/>
  <c r="AB36" i="2"/>
  <c r="AB20" i="2"/>
  <c r="AB37" i="2" s="1"/>
  <c r="N36" i="2"/>
  <c r="M23" i="2"/>
  <c r="M38" i="2"/>
  <c r="X23" i="2"/>
  <c r="X38" i="2"/>
  <c r="F23" i="2"/>
  <c r="F38" i="2"/>
  <c r="Y23" i="2"/>
  <c r="Y38" i="2"/>
  <c r="J23" i="2"/>
  <c r="J38" i="2"/>
  <c r="Z23" i="2"/>
  <c r="Z38" i="2"/>
  <c r="L23" i="2"/>
  <c r="L38" i="2"/>
  <c r="AA21" i="2"/>
  <c r="AA37" i="2"/>
  <c r="AA36" i="2"/>
  <c r="G23" i="2"/>
  <c r="G38" i="2"/>
  <c r="I23" i="2"/>
  <c r="I38" i="2"/>
  <c r="K23" i="2"/>
  <c r="K38" i="2"/>
  <c r="H23" i="2"/>
  <c r="H38" i="2"/>
  <c r="AG33" i="2" l="1"/>
  <c r="AH12" i="2"/>
  <c r="Q21" i="2"/>
  <c r="Q38" i="2" s="1"/>
  <c r="AC20" i="2"/>
  <c r="AC37" i="2" s="1"/>
  <c r="AJ3" i="2"/>
  <c r="AI8" i="2"/>
  <c r="AJ4" i="2"/>
  <c r="AK4" i="2" s="1"/>
  <c r="AL4" i="2" s="1"/>
  <c r="AM4" i="2" s="1"/>
  <c r="R38" i="2"/>
  <c r="P23" i="2"/>
  <c r="P38" i="2"/>
  <c r="O23" i="2"/>
  <c r="O38" i="2"/>
  <c r="AF10" i="2"/>
  <c r="AF11" i="2" s="1"/>
  <c r="AF16" i="2" s="1"/>
  <c r="AC36" i="2"/>
  <c r="AF34" i="2"/>
  <c r="AG15" i="2"/>
  <c r="AE32" i="2"/>
  <c r="AG26" i="2"/>
  <c r="AG30" i="2"/>
  <c r="AH9" i="2"/>
  <c r="AH27" i="2"/>
  <c r="AB21" i="2"/>
  <c r="AB23" i="2" s="1"/>
  <c r="AG6" i="2"/>
  <c r="AG28" i="2" s="1"/>
  <c r="AG25" i="2"/>
  <c r="AG10" i="2"/>
  <c r="AD35" i="2"/>
  <c r="AD18" i="2"/>
  <c r="N37" i="2"/>
  <c r="AA23" i="2"/>
  <c r="AA38" i="2"/>
  <c r="N21" i="2"/>
  <c r="AI12" i="2" l="1"/>
  <c r="AH33" i="2"/>
  <c r="Q23" i="2"/>
  <c r="AK3" i="2"/>
  <c r="AJ8" i="2"/>
  <c r="AG11" i="2"/>
  <c r="AG16" i="2" s="1"/>
  <c r="AB38" i="2"/>
  <c r="AF32" i="2"/>
  <c r="AI9" i="2"/>
  <c r="AI31" i="2" s="1"/>
  <c r="AI27" i="2"/>
  <c r="AG34" i="2"/>
  <c r="AH15" i="2"/>
  <c r="AH30" i="2"/>
  <c r="AH26" i="2"/>
  <c r="AD19" i="2"/>
  <c r="AD36" i="2" s="1"/>
  <c r="AE35" i="2"/>
  <c r="AE18" i="2"/>
  <c r="AF18" i="2"/>
  <c r="AF35" i="2"/>
  <c r="AG29" i="2"/>
  <c r="AH6" i="2"/>
  <c r="AH28" i="2" s="1"/>
  <c r="AH29" i="2"/>
  <c r="AH25" i="2"/>
  <c r="AH31" i="2"/>
  <c r="AC21" i="2"/>
  <c r="N38" i="2"/>
  <c r="N23" i="2"/>
  <c r="AJ12" i="2" l="1"/>
  <c r="AI33" i="2"/>
  <c r="AL3" i="2"/>
  <c r="AK8" i="2"/>
  <c r="AG32" i="2"/>
  <c r="AH10" i="2"/>
  <c r="AH11" i="2" s="1"/>
  <c r="AH16" i="2" s="1"/>
  <c r="AD21" i="2"/>
  <c r="AD37" i="2"/>
  <c r="AC23" i="2"/>
  <c r="AC38" i="2"/>
  <c r="AF37" i="2"/>
  <c r="AF19" i="2"/>
  <c r="AF36" i="2" s="1"/>
  <c r="AI30" i="2"/>
  <c r="AI26" i="2"/>
  <c r="AE19" i="2"/>
  <c r="AE36" i="2" s="1"/>
  <c r="AJ9" i="2"/>
  <c r="AJ31" i="2" s="1"/>
  <c r="AJ27" i="2"/>
  <c r="AI29" i="2"/>
  <c r="AI25" i="2"/>
  <c r="AI6" i="2"/>
  <c r="AI28" i="2" s="1"/>
  <c r="AH34" i="2"/>
  <c r="AI13" i="2"/>
  <c r="AI15" i="2" s="1"/>
  <c r="AG18" i="2"/>
  <c r="AG35" i="2"/>
  <c r="AJ33" i="2" l="1"/>
  <c r="AK12" i="2"/>
  <c r="AM3" i="2"/>
  <c r="AM8" i="2"/>
  <c r="AL8" i="2"/>
  <c r="AJ25" i="2"/>
  <c r="AJ6" i="2"/>
  <c r="AJ28" i="2" s="1"/>
  <c r="AF21" i="2"/>
  <c r="AG19" i="2"/>
  <c r="AG36" i="2" s="1"/>
  <c r="AE21" i="2"/>
  <c r="AE37" i="2"/>
  <c r="AI10" i="2"/>
  <c r="AI11" i="2" s="1"/>
  <c r="AI16" i="2" s="1"/>
  <c r="AJ13" i="2"/>
  <c r="AJ15" i="2" s="1"/>
  <c r="AI34" i="2"/>
  <c r="AH32" i="2"/>
  <c r="AJ30" i="2"/>
  <c r="AJ26" i="2"/>
  <c r="AK9" i="2"/>
  <c r="AK31" i="2" s="1"/>
  <c r="AK27" i="2"/>
  <c r="AD23" i="2"/>
  <c r="AD38" i="2"/>
  <c r="AL12" i="2" l="1"/>
  <c r="AK33" i="2"/>
  <c r="AL9" i="2"/>
  <c r="AL31" i="2" s="1"/>
  <c r="AL27" i="2"/>
  <c r="AK25" i="2"/>
  <c r="AK6" i="2"/>
  <c r="AK28" i="2" s="1"/>
  <c r="AJ34" i="2"/>
  <c r="AK13" i="2"/>
  <c r="AK15" i="2" s="1"/>
  <c r="AJ29" i="2"/>
  <c r="AJ10" i="2"/>
  <c r="AJ11" i="2" s="1"/>
  <c r="AJ16" i="2" s="1"/>
  <c r="AH35" i="2"/>
  <c r="AH18" i="2"/>
  <c r="AE23" i="2"/>
  <c r="AE38" i="2"/>
  <c r="AF23" i="2"/>
  <c r="AF38" i="2"/>
  <c r="AI32" i="2"/>
  <c r="AK30" i="2"/>
  <c r="AK26" i="2"/>
  <c r="AG21" i="2"/>
  <c r="AG37" i="2"/>
  <c r="AL33" i="2" l="1"/>
  <c r="AM12" i="2"/>
  <c r="AM33" i="2" s="1"/>
  <c r="AK10" i="2"/>
  <c r="AK11" i="2" s="1"/>
  <c r="AK16" i="2" s="1"/>
  <c r="AK29" i="2"/>
  <c r="AM9" i="2"/>
  <c r="AM31" i="2" s="1"/>
  <c r="AM27" i="2"/>
  <c r="AG23" i="2"/>
  <c r="AG38" i="2"/>
  <c r="AL30" i="2"/>
  <c r="AL26" i="2"/>
  <c r="AL25" i="2"/>
  <c r="AL6" i="2"/>
  <c r="AL28" i="2" s="1"/>
  <c r="AJ32" i="2"/>
  <c r="AI35" i="2"/>
  <c r="AI18" i="2"/>
  <c r="AH19" i="2"/>
  <c r="AH36" i="2" s="1"/>
  <c r="AL13" i="2"/>
  <c r="AL15" i="2" s="1"/>
  <c r="AK34" i="2"/>
  <c r="AJ18" i="2" l="1"/>
  <c r="AJ35" i="2"/>
  <c r="AK32" i="2"/>
  <c r="AM25" i="2"/>
  <c r="AM6" i="2"/>
  <c r="AM28" i="2" s="1"/>
  <c r="AI19" i="2"/>
  <c r="AI36" i="2" s="1"/>
  <c r="AM30" i="2"/>
  <c r="AM26" i="2"/>
  <c r="AM13" i="2"/>
  <c r="AM34" i="2" s="1"/>
  <c r="AL34" i="2"/>
  <c r="AH21" i="2"/>
  <c r="AH37" i="2"/>
  <c r="AL29" i="2"/>
  <c r="AL10" i="2"/>
  <c r="AL11" i="2" s="1"/>
  <c r="AL16" i="2" s="1"/>
  <c r="AM15" i="2" l="1"/>
  <c r="AJ19" i="2"/>
  <c r="AJ36" i="2" s="1"/>
  <c r="AJ37" i="2"/>
  <c r="AK35" i="2"/>
  <c r="AK18" i="2"/>
  <c r="AM29" i="2"/>
  <c r="AM10" i="2"/>
  <c r="AM11" i="2" s="1"/>
  <c r="AI21" i="2"/>
  <c r="AI37" i="2"/>
  <c r="AH38" i="2"/>
  <c r="AH23" i="2"/>
  <c r="AL32" i="2"/>
  <c r="AM16" i="2" l="1"/>
  <c r="AK19" i="2"/>
  <c r="AK36" i="2" s="1"/>
  <c r="AK37" i="2"/>
  <c r="AJ21" i="2"/>
  <c r="AI23" i="2"/>
  <c r="AI38" i="2"/>
  <c r="AM32" i="2"/>
  <c r="AL35" i="2"/>
  <c r="AL18" i="2"/>
  <c r="AK21" i="2" l="1"/>
  <c r="AK38" i="2" s="1"/>
  <c r="AJ23" i="2"/>
  <c r="AJ38" i="2"/>
  <c r="AM35" i="2"/>
  <c r="AM18" i="2"/>
  <c r="AL19" i="2"/>
  <c r="AL36" i="2" s="1"/>
  <c r="AK23" i="2" l="1"/>
  <c r="AL21" i="2"/>
  <c r="AL37" i="2"/>
  <c r="AM19" i="2"/>
  <c r="AM36" i="2" s="1"/>
  <c r="AL23" i="2" l="1"/>
  <c r="AL38" i="2"/>
  <c r="AM21" i="2"/>
  <c r="AM37" i="2"/>
  <c r="AN21" i="2" l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AM23" i="2"/>
  <c r="AM38" i="2"/>
  <c r="AQ30" i="2" l="1"/>
  <c r="AQ31" i="2" s="1"/>
  <c r="AQ33" i="2" s="1"/>
</calcChain>
</file>

<file path=xl/sharedStrings.xml><?xml version="1.0" encoding="utf-8"?>
<sst xmlns="http://schemas.openxmlformats.org/spreadsheetml/2006/main" count="80" uniqueCount="74">
  <si>
    <t>SYM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</si>
  <si>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</si>
  <si>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</si>
  <si>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</si>
  <si>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</si>
  <si>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</si>
  <si>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</si>
  <si>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</si>
  <si>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</si>
  <si>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</si>
  <si>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</si>
  <si>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</si>
  <si>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Q122</t>
  </si>
  <si>
    <t>Systems revenue</t>
  </si>
  <si>
    <t>Maintenance revenue</t>
  </si>
  <si>
    <t>Services revenue</t>
  </si>
  <si>
    <t>Total revenue</t>
  </si>
  <si>
    <t>Systems cost</t>
  </si>
  <si>
    <t>Maintenance cost</t>
  </si>
  <si>
    <t>Services cost</t>
  </si>
  <si>
    <t>Total cost of sales</t>
  </si>
  <si>
    <t>Gross profit</t>
  </si>
  <si>
    <t>R&amp;D</t>
  </si>
  <si>
    <t>SG&amp;A</t>
  </si>
  <si>
    <t>Operating profit</t>
  </si>
  <si>
    <t>Other income</t>
  </si>
  <si>
    <t>Pretax profit</t>
  </si>
  <si>
    <t>Taxes</t>
  </si>
  <si>
    <t>MI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</si>
  <si>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</si>
  <si>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</si>
  <si>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</si>
  <si>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</si>
  <si>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</si>
  <si>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</si>
  <si>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</si>
  <si>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</si>
  <si>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</si>
  <si>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</si>
  <si>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</si>
  <si>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</si>
  <si>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Revenue y/y</t>
  </si>
  <si>
    <t>Gross Margin</t>
  </si>
  <si>
    <t>Systems revenue y/y</t>
  </si>
  <si>
    <t>Maintenance revenue y/y</t>
  </si>
  <si>
    <t>Services revenue y/y</t>
  </si>
  <si>
    <t>Systems Margin</t>
  </si>
  <si>
    <t>Maintenance Margin</t>
  </si>
  <si>
    <t>Services Margin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</si>
  <si>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</si>
  <si>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</si>
  <si>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</si>
  <si>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</si>
  <si>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</si>
  <si>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</si>
  <si>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</si>
  <si>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Q125</t>
  </si>
  <si>
    <t>Q225</t>
  </si>
  <si>
    <t>Q325</t>
  </si>
  <si>
    <t>Q425</t>
  </si>
  <si>
    <t>Net cash</t>
  </si>
  <si>
    <t>Value</t>
  </si>
  <si>
    <t>Per share</t>
  </si>
  <si>
    <t>Current price</t>
  </si>
  <si>
    <t>Variance</t>
  </si>
  <si>
    <t>Consensus</t>
  </si>
  <si>
    <t>weird income statement</t>
  </si>
  <si>
    <t>Heavily overvalued</t>
  </si>
  <si>
    <t>Total operating expenses</t>
  </si>
  <si>
    <t>Restructuring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</si>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</sst>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30480</xdr:colOff>
      <xdr:row>0</xdr:row>
      <xdr:rowOff>0</xdr:rowOff>
    </xdr:from>
    <xdr:to>
      <xdr:col>18</xdr:col>
      <xdr:colOff>30480</xdr:colOff>
      <xdr:row>41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1AB486D-911E-2EB7-CD63-78364B803AB3}"/>
            </a:ext>
          </a:extLst>
        </xdr:cNvPr>
        <xdr:cNvCxnSpPr/>
      </xdr:nvCxnSpPr>
      <xdr:spPr>
        <a:xfrm>
          <a:off x="13731240" y="0"/>
          <a:ext cx="0" cy="7589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7620</xdr:colOff>
      <xdr:row>0</xdr:row>
      <xdr:rowOff>0</xdr:rowOff>
    </xdr:from>
    <xdr:to>
      <xdr:col>29</xdr:col>
      <xdr:colOff>7620</xdr:colOff>
      <xdr:row>41</xdr:row>
      <xdr:rowOff>129540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B994D7D-9F03-F2D0-8EBC-4B66D4C16B1E}"/>
            </a:ext>
          </a:extLst>
        </xdr:cNvPr>
        <xdr:cNvCxnSpPr/>
      </xdr:nvCxnSpPr>
      <xdr:spPr>
        <a:xfrm>
          <a:off x="21556980" y="0"/>
          <a:ext cx="0" cy="7627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4548-11C4-4569-A3D7-DF6B4C158C12}">
  <dimension ref="B2:G12"/>
  <sheetViews>
    <sheetView workbookViewId="0">
      <selection activeCell="E7" sqref="E7"/>
    </sheetView>
  </sheetViews>
  <sheetFormatPr defaultRowHeight="14.4" x14ac:dyDescent="0.3"/>
  <cols>
    <col min="4" max="4" width="10" bestFit="1" customWidth="1"/>
    <col min="5" max="7" width="13.109375" style="4" customWidth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t="s">
        <v>1</v>
      </c>
      <c r="D3" s="3">
        <v>53.78</v>
      </c>
      <c r="E3" s="5">
        <v>46059</v>
      </c>
      <c r="F3" s="5">
        <f ca="1">TODAY()</f>
        <v>46059</v>
      </c>
      <c r="G3" s="5">
        <v>46154</v>
      </c>
    </row>
    <row r="4" spans="2:7" x14ac:dyDescent="0.3">
      <c r="C4" t="s">
        <v>2</v>
      </c>
      <c r="D4" s="6">
        <f>125.8+72.9+403.6</f>
        <v>602.29999999999995</v>
      </c>
      <c r="E4" s="4" t="s">
        <v>70</v>
      </c>
    </row>
    <row r="5" spans="2:7" x14ac:dyDescent="0.3">
      <c r="C5" t="s">
        <v>3</v>
      </c>
      <c r="D5" s="6">
        <f>D3*D4</f>
        <v>32391.694</v>
      </c>
    </row>
    <row r="6" spans="2:7" x14ac:dyDescent="0.3">
      <c r="C6" t="s">
        <v>4</v>
      </c>
      <c r="D6" s="6">
        <f>1819.1+143.5</f>
        <v>1962.6</v>
      </c>
      <c r="E6" s="4" t="s">
        <v>70</v>
      </c>
    </row>
    <row r="7" spans="2:7" x14ac:dyDescent="0.3">
      <c r="C7" t="s">
        <v>5</v>
      </c>
      <c r="D7" s="6">
        <v>0</v>
      </c>
      <c r="E7" s="4" t="s">
        <v>70</v>
      </c>
    </row>
    <row r="8" spans="2:7" x14ac:dyDescent="0.3">
      <c r="C8" t="s">
        <v>6</v>
      </c>
      <c r="D8" s="6">
        <f>D6-D7</f>
        <v>1962.6</v>
      </c>
    </row>
    <row r="9" spans="2:7" x14ac:dyDescent="0.3">
      <c r="C9" t="s">
        <v>7</v>
      </c>
      <c r="D9" s="6">
        <f>D5-D8</f>
        <v>30429.094000000001</v>
      </c>
    </row>
    <row r="12" spans="2:7" x14ac:dyDescent="0.3">
      <c r="D12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B211-3F53-4D10-A380-2FD723636F96}">
  <dimension ref="B1:EU38"/>
  <sheetViews>
    <sheetView tabSelected="1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Q29" sqref="AQ29"/>
    </sheetView>
  </sheetViews>
  <sheetFormatPr defaultRowHeight="14.4" x14ac:dyDescent="0.3"/>
  <cols>
    <col min="2" max="2" width="22" bestFit="1" customWidth="1"/>
    <col min="3" max="14" width="10.5546875" bestFit="1" customWidth="1"/>
    <col min="15" max="22" width="10.5546875" customWidth="1"/>
    <col min="24" max="39" width="10.5546875" bestFit="1" customWidth="1"/>
    <col min="42" max="42" width="12" bestFit="1" customWidth="1"/>
    <col min="43" max="43" width="16.44140625" bestFit="1" customWidth="1"/>
  </cols>
  <sheetData>
    <row r="1" spans="2:39" x14ac:dyDescent="0.3">
      <c r="C1" s="2">
        <v>44561</v>
      </c>
      <c r="D1" s="2">
        <v>44651</v>
      </c>
      <c r="E1" s="2">
        <v>44742</v>
      </c>
      <c r="F1" s="2">
        <v>44834</v>
      </c>
      <c r="G1" s="2">
        <v>44926</v>
      </c>
      <c r="H1" s="2">
        <v>45016</v>
      </c>
      <c r="I1" s="2">
        <v>45107</v>
      </c>
      <c r="J1" s="2">
        <v>45199</v>
      </c>
      <c r="K1" s="2">
        <v>45291</v>
      </c>
      <c r="L1" s="2">
        <v>45382</v>
      </c>
      <c r="M1" s="2">
        <v>45473</v>
      </c>
      <c r="N1" s="2">
        <v>45565</v>
      </c>
      <c r="O1" s="2">
        <v>45657</v>
      </c>
      <c r="P1" s="2">
        <v>45747</v>
      </c>
      <c r="Q1" s="2">
        <v>45838</v>
      </c>
      <c r="R1" s="2">
        <v>45930</v>
      </c>
      <c r="S1" s="2">
        <v>46022</v>
      </c>
      <c r="T1" s="2">
        <v>46112</v>
      </c>
      <c r="U1" s="2">
        <v>46203</v>
      </c>
      <c r="V1" s="2">
        <v>46295</v>
      </c>
      <c r="X1" s="2">
        <v>44104</v>
      </c>
      <c r="Y1" s="2">
        <v>44469</v>
      </c>
      <c r="Z1" s="2">
        <v>44834</v>
      </c>
      <c r="AA1" s="2">
        <v>45199</v>
      </c>
      <c r="AB1" s="2">
        <v>45565</v>
      </c>
      <c r="AC1" s="2">
        <v>45930</v>
      </c>
      <c r="AD1" s="2">
        <v>46295</v>
      </c>
      <c r="AE1" s="2">
        <v>46660</v>
      </c>
      <c r="AF1" s="2">
        <v>47026</v>
      </c>
      <c r="AG1" s="2">
        <v>47391</v>
      </c>
      <c r="AH1" s="2">
        <v>47756</v>
      </c>
      <c r="AI1" s="2">
        <v>48121</v>
      </c>
      <c r="AJ1" s="2">
        <v>48487</v>
      </c>
      <c r="AK1" s="2">
        <v>48852</v>
      </c>
      <c r="AL1" s="2">
        <v>49217</v>
      </c>
      <c r="AM1" s="2">
        <v>49582</v>
      </c>
    </row>
    <row r="2" spans="2:39" x14ac:dyDescent="0.3">
      <c r="C2" s="7" t="s">
        <v>12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11</v>
      </c>
      <c r="N2" s="7" t="s">
        <v>40</v>
      </c>
      <c r="O2" s="7" t="s">
        <v>56</v>
      </c>
      <c r="P2" s="7" t="s">
        <v>57</v>
      </c>
      <c r="Q2" s="7" t="s">
        <v>58</v>
      </c>
      <c r="R2" s="7" t="s">
        <v>59</v>
      </c>
      <c r="S2" s="7" t="s">
        <v>70</v>
      </c>
      <c r="T2" s="7" t="s">
        <v>71</v>
      </c>
      <c r="U2" s="7" t="s">
        <v>72</v>
      </c>
      <c r="V2" s="7" t="s">
        <v>73</v>
      </c>
      <c r="X2">
        <v>2020</v>
      </c>
      <c r="Y2">
        <v>2021</v>
      </c>
      <c r="Z2">
        <v>2022</v>
      </c>
      <c r="AA2">
        <v>2023</v>
      </c>
      <c r="AB2">
        <v>2024</v>
      </c>
      <c r="AC2">
        <v>2025</v>
      </c>
      <c r="AD2">
        <v>2026</v>
      </c>
      <c r="AE2">
        <v>2027</v>
      </c>
      <c r="AF2">
        <v>2028</v>
      </c>
      <c r="AG2">
        <v>2029</v>
      </c>
      <c r="AH2">
        <v>2030</v>
      </c>
      <c r="AI2">
        <v>2031</v>
      </c>
      <c r="AJ2">
        <v>2032</v>
      </c>
      <c r="AK2">
        <v>2033</v>
      </c>
      <c r="AL2">
        <v>2034</v>
      </c>
      <c r="AM2">
        <v>2035</v>
      </c>
    </row>
    <row r="3" spans="2:39" x14ac:dyDescent="0.3">
      <c r="B3" t="s">
        <v>13</v>
      </c>
      <c r="F3" s="6">
        <v>237.7</v>
      </c>
      <c r="G3" s="6">
        <v>197.9</v>
      </c>
      <c r="H3" s="6">
        <v>257.60000000000002</v>
      </c>
      <c r="I3" s="6">
        <v>302.39999999999998</v>
      </c>
      <c r="J3" s="6">
        <v>380.2</v>
      </c>
      <c r="K3" s="6">
        <v>347.7</v>
      </c>
      <c r="L3" s="6">
        <v>370.7</v>
      </c>
      <c r="M3" s="6">
        <v>450.6</v>
      </c>
      <c r="N3" s="6">
        <v>548.6</v>
      </c>
      <c r="O3" s="6">
        <v>464.1</v>
      </c>
      <c r="P3" s="6">
        <v>513.4</v>
      </c>
      <c r="Q3" s="6">
        <v>559.1</v>
      </c>
      <c r="R3" s="6">
        <v>582.29999999999995</v>
      </c>
      <c r="S3" s="6">
        <v>590.29999999999995</v>
      </c>
      <c r="T3" s="6"/>
      <c r="U3" s="6"/>
      <c r="V3" s="6"/>
      <c r="X3" s="6">
        <v>70.8</v>
      </c>
      <c r="Y3" s="6">
        <v>227.6</v>
      </c>
      <c r="Z3" s="6">
        <v>568</v>
      </c>
      <c r="AA3" s="6">
        <f>SUM(G3:J3)</f>
        <v>1138.0999999999999</v>
      </c>
      <c r="AB3" s="6">
        <f>SUM(K3:N3)</f>
        <v>1717.6</v>
      </c>
      <c r="AC3" s="6">
        <f>SUM(O3:R3)</f>
        <v>2118.8999999999996</v>
      </c>
      <c r="AD3" s="6">
        <f>AC3*1.23</f>
        <v>2606.2469999999994</v>
      </c>
      <c r="AE3" s="6">
        <f>AD3*1.18</f>
        <v>3075.3714599999989</v>
      </c>
      <c r="AF3" s="6">
        <f>AE3*1.14</f>
        <v>3505.9234643999985</v>
      </c>
      <c r="AG3" s="6">
        <f>AF3*1.1</f>
        <v>3856.5158108399987</v>
      </c>
      <c r="AH3" s="6">
        <f>AG3*1.08</f>
        <v>4165.0370757071987</v>
      </c>
      <c r="AI3" s="6">
        <f>AH3*1.06</f>
        <v>4414.9393002496308</v>
      </c>
      <c r="AJ3" s="6">
        <f>AI3*1.05</f>
        <v>4635.686265262113</v>
      </c>
      <c r="AK3" s="6">
        <f t="shared" ref="AK3:AM3" si="0">AJ3*1.05</f>
        <v>4867.470578525219</v>
      </c>
      <c r="AL3" s="6">
        <f t="shared" si="0"/>
        <v>5110.8441074514803</v>
      </c>
      <c r="AM3" s="6">
        <f t="shared" si="0"/>
        <v>5366.3863128240546</v>
      </c>
    </row>
    <row r="4" spans="2:39" x14ac:dyDescent="0.3">
      <c r="B4" t="s">
        <v>14</v>
      </c>
      <c r="F4" s="6">
        <v>0.9</v>
      </c>
      <c r="G4" s="6">
        <v>1.2</v>
      </c>
      <c r="H4" s="6">
        <v>1.5</v>
      </c>
      <c r="I4" s="6">
        <v>1.8</v>
      </c>
      <c r="J4" s="6">
        <v>2.1</v>
      </c>
      <c r="K4" s="6">
        <v>2.2000000000000002</v>
      </c>
      <c r="L4" s="6">
        <v>2.6</v>
      </c>
      <c r="M4" s="6">
        <v>3.5</v>
      </c>
      <c r="N4" s="6">
        <v>5.9</v>
      </c>
      <c r="O4" s="6">
        <v>5.5</v>
      </c>
      <c r="P4" s="6">
        <v>6.7</v>
      </c>
      <c r="Q4" s="6">
        <v>8.1</v>
      </c>
      <c r="R4" s="6">
        <v>9.3000000000000007</v>
      </c>
      <c r="S4" s="6">
        <v>10.9</v>
      </c>
      <c r="T4" s="6"/>
      <c r="U4" s="6"/>
      <c r="V4" s="6"/>
      <c r="X4" s="6">
        <v>2.6</v>
      </c>
      <c r="Y4" s="6">
        <v>4</v>
      </c>
      <c r="Z4" s="6">
        <v>3.7</v>
      </c>
      <c r="AA4" s="6">
        <f>SUM(G4:J4)</f>
        <v>6.6</v>
      </c>
      <c r="AB4" s="6">
        <f>SUM(K4:N4)</f>
        <v>14.200000000000001</v>
      </c>
      <c r="AC4" s="6">
        <f>SUM(O4:R4)</f>
        <v>29.599999999999998</v>
      </c>
      <c r="AD4" s="6">
        <f>AC4*1.8</f>
        <v>53.279999999999994</v>
      </c>
      <c r="AE4" s="6">
        <f>AD4*1.6</f>
        <v>85.24799999999999</v>
      </c>
      <c r="AF4" s="6">
        <f>AE4*1.4</f>
        <v>119.34719999999997</v>
      </c>
      <c r="AG4" s="6">
        <f>AF4*1.3</f>
        <v>155.15135999999998</v>
      </c>
      <c r="AH4" s="6">
        <f>AG4*1.2</f>
        <v>186.18163199999998</v>
      </c>
      <c r="AI4" s="6">
        <f>AH4*1.1</f>
        <v>204.79979520000001</v>
      </c>
      <c r="AJ4" s="6">
        <f t="shared" ref="AJ4" si="1">AI4*1.1</f>
        <v>225.27977472000003</v>
      </c>
      <c r="AK4" s="6">
        <f t="shared" ref="AK4" si="2">AJ4*1.1</f>
        <v>247.80775219200007</v>
      </c>
      <c r="AL4" s="6">
        <f t="shared" ref="AL4" si="3">AK4*1.1</f>
        <v>272.58852741120012</v>
      </c>
      <c r="AM4" s="6">
        <f t="shared" ref="AM4" si="4">AL4*1.1</f>
        <v>299.84738015232017</v>
      </c>
    </row>
    <row r="5" spans="2:39" x14ac:dyDescent="0.3">
      <c r="B5" t="s">
        <v>15</v>
      </c>
      <c r="F5" s="6">
        <v>5.8</v>
      </c>
      <c r="G5" s="6">
        <v>7.2</v>
      </c>
      <c r="H5" s="6">
        <v>7.8</v>
      </c>
      <c r="I5" s="6">
        <v>7.7</v>
      </c>
      <c r="J5" s="6">
        <v>9.5</v>
      </c>
      <c r="K5" s="6">
        <v>10.1</v>
      </c>
      <c r="L5" s="6">
        <v>20.100000000000001</v>
      </c>
      <c r="M5" s="6">
        <v>16.2</v>
      </c>
      <c r="N5" s="6">
        <v>22.2</v>
      </c>
      <c r="O5" s="6">
        <v>17.100000000000001</v>
      </c>
      <c r="P5" s="6">
        <v>29.6</v>
      </c>
      <c r="Q5" s="6">
        <v>24.9</v>
      </c>
      <c r="R5" s="6">
        <v>26.9</v>
      </c>
      <c r="S5" s="6">
        <v>28.8</v>
      </c>
      <c r="T5" s="6"/>
      <c r="U5" s="6"/>
      <c r="V5" s="6"/>
      <c r="X5" s="6">
        <v>18.7</v>
      </c>
      <c r="Y5" s="6">
        <v>20.3</v>
      </c>
      <c r="Z5" s="6">
        <v>21.6</v>
      </c>
      <c r="AA5" s="6">
        <f>SUM(G5:J5)</f>
        <v>32.200000000000003</v>
      </c>
      <c r="AB5" s="6">
        <f>SUM(K5:N5)</f>
        <v>68.600000000000009</v>
      </c>
      <c r="AC5" s="6">
        <f>SUM(O5:R5)</f>
        <v>98.5</v>
      </c>
      <c r="AD5" s="6">
        <f>AC5*1.4</f>
        <v>137.89999999999998</v>
      </c>
      <c r="AE5" s="6">
        <f>AD5*1.35</f>
        <v>186.16499999999999</v>
      </c>
      <c r="AF5" s="6">
        <f>AE5*1.3</f>
        <v>242.0145</v>
      </c>
      <c r="AG5" s="6">
        <f>AF5*1.25</f>
        <v>302.518125</v>
      </c>
      <c r="AH5" s="6">
        <f>AG5*1.2</f>
        <v>363.02175</v>
      </c>
      <c r="AI5" s="6">
        <f>AH5*1.15</f>
        <v>417.47501249999999</v>
      </c>
      <c r="AJ5" s="6">
        <f t="shared" ref="AJ5:AM5" si="5">AI5*1.15</f>
        <v>480.09626437499998</v>
      </c>
      <c r="AK5" s="6">
        <f t="shared" si="5"/>
        <v>552.11070403124995</v>
      </c>
      <c r="AL5" s="6">
        <f t="shared" si="5"/>
        <v>634.92730963593738</v>
      </c>
      <c r="AM5" s="6">
        <f t="shared" si="5"/>
        <v>730.16640608132798</v>
      </c>
    </row>
    <row r="6" spans="2:39" s="1" customFormat="1" x14ac:dyDescent="0.3">
      <c r="B6" s="1" t="s">
        <v>16</v>
      </c>
      <c r="F6" s="9">
        <f t="shared" ref="F6:N6" si="6">SUM(F3:F5)</f>
        <v>244.4</v>
      </c>
      <c r="G6" s="9">
        <f t="shared" si="6"/>
        <v>206.29999999999998</v>
      </c>
      <c r="H6" s="9">
        <f t="shared" si="6"/>
        <v>266.90000000000003</v>
      </c>
      <c r="I6" s="9">
        <f t="shared" si="6"/>
        <v>311.89999999999998</v>
      </c>
      <c r="J6" s="9">
        <f t="shared" si="6"/>
        <v>391.8</v>
      </c>
      <c r="K6" s="9">
        <f t="shared" si="6"/>
        <v>360</v>
      </c>
      <c r="L6" s="9">
        <f t="shared" si="6"/>
        <v>393.40000000000003</v>
      </c>
      <c r="M6" s="9">
        <f t="shared" si="6"/>
        <v>470.3</v>
      </c>
      <c r="N6" s="9">
        <f t="shared" si="6"/>
        <v>576.70000000000005</v>
      </c>
      <c r="O6" s="9">
        <f t="shared" ref="O6:R6" si="7">SUM(O3:O5)</f>
        <v>486.70000000000005</v>
      </c>
      <c r="P6" s="9">
        <f t="shared" si="7"/>
        <v>549.70000000000005</v>
      </c>
      <c r="Q6" s="9">
        <f t="shared" si="7"/>
        <v>592.1</v>
      </c>
      <c r="R6" s="9">
        <f t="shared" si="7"/>
        <v>618.49999999999989</v>
      </c>
      <c r="S6" s="9">
        <f t="shared" ref="S6" si="8">SUM(S3:S5)</f>
        <v>629.99999999999989</v>
      </c>
      <c r="T6" s="9"/>
      <c r="U6" s="9"/>
      <c r="V6" s="9"/>
      <c r="X6" s="9">
        <f>SUM(X3:X5)</f>
        <v>92.1</v>
      </c>
      <c r="Y6" s="9">
        <f>SUM(Y3:Y5)</f>
        <v>251.9</v>
      </c>
      <c r="Z6" s="9">
        <f>SUM(Z3:Z5)</f>
        <v>593.30000000000007</v>
      </c>
      <c r="AA6" s="9">
        <f>SUM(AA3:AA5)</f>
        <v>1176.8999999999999</v>
      </c>
      <c r="AB6" s="9">
        <f>SUM(AB3:AB5)</f>
        <v>1800.3999999999999</v>
      </c>
      <c r="AC6" s="9">
        <f t="shared" ref="AC6:AM6" si="9">SUM(AC3:AC5)</f>
        <v>2246.9999999999995</v>
      </c>
      <c r="AD6" s="9">
        <f t="shared" si="9"/>
        <v>2797.4269999999997</v>
      </c>
      <c r="AE6" s="9">
        <f t="shared" si="9"/>
        <v>3346.7844599999989</v>
      </c>
      <c r="AF6" s="9">
        <f t="shared" si="9"/>
        <v>3867.2851643999984</v>
      </c>
      <c r="AG6" s="9">
        <f t="shared" si="9"/>
        <v>4314.1852958399986</v>
      </c>
      <c r="AH6" s="9">
        <f t="shared" si="9"/>
        <v>4714.2404577071984</v>
      </c>
      <c r="AI6" s="9">
        <f t="shared" si="9"/>
        <v>5037.2141079496305</v>
      </c>
      <c r="AJ6" s="9">
        <f t="shared" si="9"/>
        <v>5341.0623043571131</v>
      </c>
      <c r="AK6" s="9">
        <f t="shared" si="9"/>
        <v>5667.3890347484694</v>
      </c>
      <c r="AL6" s="9">
        <f t="shared" si="9"/>
        <v>6018.3599444986176</v>
      </c>
      <c r="AM6" s="9">
        <f t="shared" si="9"/>
        <v>6396.4000990577033</v>
      </c>
    </row>
    <row r="7" spans="2:39" x14ac:dyDescent="0.3">
      <c r="B7" t="s">
        <v>17</v>
      </c>
      <c r="F7" s="6">
        <v>199.7</v>
      </c>
      <c r="G7" s="6">
        <v>160.9</v>
      </c>
      <c r="H7" s="6">
        <v>213.1</v>
      </c>
      <c r="I7" s="6">
        <v>244.7</v>
      </c>
      <c r="J7" s="6">
        <v>321.39999999999998</v>
      </c>
      <c r="K7" s="6">
        <v>283.89999999999998</v>
      </c>
      <c r="L7" s="6">
        <v>342.1</v>
      </c>
      <c r="M7" s="6">
        <v>398.8</v>
      </c>
      <c r="N7" s="6">
        <v>442</v>
      </c>
      <c r="O7" s="6">
        <v>381.8</v>
      </c>
      <c r="P7" s="6">
        <v>414.6</v>
      </c>
      <c r="Q7" s="6">
        <v>457.9</v>
      </c>
      <c r="R7" s="6">
        <v>456.2</v>
      </c>
      <c r="S7" s="6">
        <v>469.9</v>
      </c>
      <c r="T7" s="6"/>
      <c r="U7" s="6"/>
      <c r="V7" s="6"/>
      <c r="X7" s="6">
        <v>79.3</v>
      </c>
      <c r="Y7" s="6">
        <v>216.6</v>
      </c>
      <c r="Z7" s="6">
        <v>464.2</v>
      </c>
      <c r="AA7" s="6">
        <f>SUM(G7:J7)</f>
        <v>940.1</v>
      </c>
      <c r="AB7" s="6">
        <f>SUM(K7:N7)</f>
        <v>1466.8</v>
      </c>
      <c r="AC7" s="6">
        <f>SUM(O7:R7)</f>
        <v>1710.5000000000002</v>
      </c>
      <c r="AD7" s="6">
        <f>AD3*0.78</f>
        <v>2032.8726599999995</v>
      </c>
      <c r="AE7" s="6">
        <f>AE3*0.76</f>
        <v>2337.2823095999993</v>
      </c>
      <c r="AF7" s="6">
        <f>AF3*0.75</f>
        <v>2629.4425982999987</v>
      </c>
      <c r="AG7" s="6">
        <f t="shared" ref="AG7:AM7" si="10">AG3*0.75</f>
        <v>2892.3868581299989</v>
      </c>
      <c r="AH7" s="6">
        <f t="shared" si="10"/>
        <v>3123.7778067803993</v>
      </c>
      <c r="AI7" s="6">
        <f t="shared" si="10"/>
        <v>3311.2044751872231</v>
      </c>
      <c r="AJ7" s="6">
        <f t="shared" si="10"/>
        <v>3476.7646989465848</v>
      </c>
      <c r="AK7" s="6">
        <f t="shared" si="10"/>
        <v>3650.6029338939143</v>
      </c>
      <c r="AL7" s="6">
        <f t="shared" si="10"/>
        <v>3833.13308058861</v>
      </c>
      <c r="AM7" s="6">
        <f t="shared" si="10"/>
        <v>4024.7897346180407</v>
      </c>
    </row>
    <row r="8" spans="2:39" x14ac:dyDescent="0.3">
      <c r="B8" t="s">
        <v>18</v>
      </c>
      <c r="F8" s="6">
        <v>1.2</v>
      </c>
      <c r="G8" s="6">
        <v>1.7</v>
      </c>
      <c r="H8" s="6">
        <v>2.1</v>
      </c>
      <c r="I8" s="6">
        <v>3.6</v>
      </c>
      <c r="J8" s="6">
        <v>1.8</v>
      </c>
      <c r="K8" s="6">
        <v>1.7</v>
      </c>
      <c r="L8" s="6">
        <v>1.9</v>
      </c>
      <c r="M8" s="6">
        <v>2.5</v>
      </c>
      <c r="N8" s="6">
        <v>2.7</v>
      </c>
      <c r="O8" s="6">
        <v>1.9</v>
      </c>
      <c r="P8" s="6">
        <v>2.1</v>
      </c>
      <c r="Q8" s="6">
        <v>1.8</v>
      </c>
      <c r="R8" s="6">
        <v>2.8</v>
      </c>
      <c r="S8" s="6">
        <v>3</v>
      </c>
      <c r="T8" s="6"/>
      <c r="U8" s="6"/>
      <c r="V8" s="6"/>
      <c r="X8" s="6">
        <v>3.7</v>
      </c>
      <c r="Y8" s="6">
        <v>3</v>
      </c>
      <c r="Z8" s="6">
        <v>4.4000000000000004</v>
      </c>
      <c r="AA8" s="6">
        <f>SUM(G8:J8)</f>
        <v>9.2000000000000011</v>
      </c>
      <c r="AB8" s="6">
        <f>SUM(K8:N8)</f>
        <v>8.8000000000000007</v>
      </c>
      <c r="AC8" s="6">
        <f>SUM(O8:R8)</f>
        <v>8.6</v>
      </c>
      <c r="AD8" s="6">
        <f>AD4*0.65</f>
        <v>34.631999999999998</v>
      </c>
      <c r="AE8" s="6">
        <f t="shared" ref="AE8:AM8" si="11">AE4*0.65</f>
        <v>55.411199999999994</v>
      </c>
      <c r="AF8" s="6">
        <f t="shared" si="11"/>
        <v>77.575679999999991</v>
      </c>
      <c r="AG8" s="6">
        <f t="shared" si="11"/>
        <v>100.848384</v>
      </c>
      <c r="AH8" s="6">
        <f t="shared" si="11"/>
        <v>121.01806079999999</v>
      </c>
      <c r="AI8" s="6">
        <f t="shared" si="11"/>
        <v>133.11986688000002</v>
      </c>
      <c r="AJ8" s="6">
        <f t="shared" si="11"/>
        <v>146.43185356800004</v>
      </c>
      <c r="AK8" s="6">
        <f t="shared" si="11"/>
        <v>161.07503892480005</v>
      </c>
      <c r="AL8" s="6">
        <f t="shared" si="11"/>
        <v>177.18254281728008</v>
      </c>
      <c r="AM8" s="6">
        <f t="shared" si="11"/>
        <v>194.90079709900812</v>
      </c>
    </row>
    <row r="9" spans="2:39" x14ac:dyDescent="0.3">
      <c r="B9" t="s">
        <v>19</v>
      </c>
      <c r="F9" s="6">
        <v>6.8</v>
      </c>
      <c r="G9" s="6">
        <v>8.5</v>
      </c>
      <c r="H9" s="6">
        <v>8.8000000000000007</v>
      </c>
      <c r="I9" s="6">
        <v>10.7</v>
      </c>
      <c r="J9" s="6">
        <v>9.8000000000000007</v>
      </c>
      <c r="K9" s="6">
        <v>10.199999999999999</v>
      </c>
      <c r="L9" s="6">
        <v>19.100000000000001</v>
      </c>
      <c r="M9" s="6">
        <v>14.1</v>
      </c>
      <c r="N9" s="6">
        <v>23.4</v>
      </c>
      <c r="O9" s="6">
        <v>23</v>
      </c>
      <c r="P9" s="6">
        <v>25.2</v>
      </c>
      <c r="Q9" s="6">
        <v>24.8</v>
      </c>
      <c r="R9" s="6">
        <v>32.4</v>
      </c>
      <c r="S9" s="6">
        <v>23.7</v>
      </c>
      <c r="T9" s="6"/>
      <c r="U9" s="6"/>
      <c r="V9" s="6"/>
      <c r="X9" s="6">
        <v>28.1</v>
      </c>
      <c r="Y9" s="6">
        <v>21.9</v>
      </c>
      <c r="Z9" s="6">
        <v>25.1</v>
      </c>
      <c r="AA9" s="6">
        <f>SUM(G9:J9)</f>
        <v>37.799999999999997</v>
      </c>
      <c r="AB9" s="6">
        <f>SUM(K9:N9)</f>
        <v>66.8</v>
      </c>
      <c r="AC9" s="6">
        <f>SUM(O9:R9)</f>
        <v>105.4</v>
      </c>
      <c r="AD9" s="6">
        <f>AD5*0.75</f>
        <v>103.42499999999998</v>
      </c>
      <c r="AE9" s="6">
        <f>AE5*0.65</f>
        <v>121.00725</v>
      </c>
      <c r="AF9" s="6">
        <f>AF5*0.6</f>
        <v>145.20869999999999</v>
      </c>
      <c r="AG9" s="6">
        <f>AG5*0.6</f>
        <v>181.510875</v>
      </c>
      <c r="AH9" s="6">
        <f t="shared" ref="AH9:AM9" si="12">AH5*0.6</f>
        <v>217.81305</v>
      </c>
      <c r="AI9" s="6">
        <f t="shared" si="12"/>
        <v>250.48500749999999</v>
      </c>
      <c r="AJ9" s="6">
        <f t="shared" si="12"/>
        <v>288.05775862499996</v>
      </c>
      <c r="AK9" s="6">
        <f t="shared" si="12"/>
        <v>331.26642241874998</v>
      </c>
      <c r="AL9" s="6">
        <f t="shared" si="12"/>
        <v>380.9563857815624</v>
      </c>
      <c r="AM9" s="6">
        <f t="shared" si="12"/>
        <v>438.09984364879676</v>
      </c>
    </row>
    <row r="10" spans="2:39" x14ac:dyDescent="0.3">
      <c r="B10" t="s">
        <v>20</v>
      </c>
      <c r="F10" s="6">
        <f t="shared" ref="F10:N10" si="13">SUM(F7:F9)</f>
        <v>207.7</v>
      </c>
      <c r="G10" s="6">
        <f t="shared" si="13"/>
        <v>171.1</v>
      </c>
      <c r="H10" s="6">
        <f t="shared" si="13"/>
        <v>224</v>
      </c>
      <c r="I10" s="6">
        <f t="shared" si="13"/>
        <v>259</v>
      </c>
      <c r="J10" s="6">
        <f t="shared" si="13"/>
        <v>333</v>
      </c>
      <c r="K10" s="6">
        <f t="shared" si="13"/>
        <v>295.79999999999995</v>
      </c>
      <c r="L10" s="6">
        <f t="shared" si="13"/>
        <v>363.1</v>
      </c>
      <c r="M10" s="6">
        <f t="shared" si="13"/>
        <v>415.40000000000003</v>
      </c>
      <c r="N10" s="6">
        <f t="shared" si="13"/>
        <v>468.09999999999997</v>
      </c>
      <c r="O10" s="6">
        <f t="shared" ref="O10:R10" si="14">SUM(O7:O9)</f>
        <v>406.7</v>
      </c>
      <c r="P10" s="6">
        <f t="shared" si="14"/>
        <v>441.90000000000003</v>
      </c>
      <c r="Q10" s="6">
        <f t="shared" si="14"/>
        <v>484.5</v>
      </c>
      <c r="R10" s="6">
        <f t="shared" si="14"/>
        <v>491.4</v>
      </c>
      <c r="S10" s="6">
        <f t="shared" ref="S10" si="15">SUM(S7:S9)</f>
        <v>496.59999999999997</v>
      </c>
      <c r="T10" s="6"/>
      <c r="U10" s="6"/>
      <c r="V10" s="6"/>
      <c r="X10" s="6">
        <f>SUM(X7:X9)</f>
        <v>111.1</v>
      </c>
      <c r="Y10" s="6">
        <f>SUM(Y7:Y9)</f>
        <v>241.5</v>
      </c>
      <c r="Z10" s="6">
        <f>SUM(Z7:Z9)</f>
        <v>493.7</v>
      </c>
      <c r="AA10" s="6">
        <f>SUM(AA7:AA9)</f>
        <v>987.1</v>
      </c>
      <c r="AB10" s="6">
        <f>SUM(AB7:AB9)</f>
        <v>1542.3999999999999</v>
      </c>
      <c r="AC10" s="6">
        <f t="shared" ref="AC10:AM10" si="16">SUM(AC7:AC9)</f>
        <v>1824.5000000000002</v>
      </c>
      <c r="AD10" s="6">
        <f t="shared" si="16"/>
        <v>2170.9296599999998</v>
      </c>
      <c r="AE10" s="6">
        <f t="shared" si="16"/>
        <v>2513.7007595999994</v>
      </c>
      <c r="AF10" s="6">
        <f t="shared" si="16"/>
        <v>2852.2269782999988</v>
      </c>
      <c r="AG10" s="6">
        <f t="shared" si="16"/>
        <v>3174.7461171299988</v>
      </c>
      <c r="AH10" s="6">
        <f t="shared" si="16"/>
        <v>3462.6089175803995</v>
      </c>
      <c r="AI10" s="6">
        <f t="shared" si="16"/>
        <v>3694.8093495672233</v>
      </c>
      <c r="AJ10" s="6">
        <f t="shared" si="16"/>
        <v>3911.2543111395848</v>
      </c>
      <c r="AK10" s="6">
        <f t="shared" si="16"/>
        <v>4142.9443952374641</v>
      </c>
      <c r="AL10" s="6">
        <f t="shared" si="16"/>
        <v>4391.2720091874526</v>
      </c>
      <c r="AM10" s="6">
        <f t="shared" si="16"/>
        <v>4657.7903753658456</v>
      </c>
    </row>
    <row r="11" spans="2:39" s="1" customFormat="1" x14ac:dyDescent="0.3">
      <c r="B11" s="1" t="s">
        <v>21</v>
      </c>
      <c r="F11" s="9">
        <f t="shared" ref="F11:N11" si="17">F6-F10</f>
        <v>36.700000000000017</v>
      </c>
      <c r="G11" s="9">
        <f t="shared" si="17"/>
        <v>35.199999999999989</v>
      </c>
      <c r="H11" s="9">
        <f t="shared" si="17"/>
        <v>42.900000000000034</v>
      </c>
      <c r="I11" s="9">
        <f t="shared" si="17"/>
        <v>52.899999999999977</v>
      </c>
      <c r="J11" s="9">
        <f t="shared" si="17"/>
        <v>58.800000000000011</v>
      </c>
      <c r="K11" s="9">
        <f t="shared" si="17"/>
        <v>64.200000000000045</v>
      </c>
      <c r="L11" s="9">
        <f t="shared" si="17"/>
        <v>30.300000000000011</v>
      </c>
      <c r="M11" s="9">
        <f t="shared" si="17"/>
        <v>54.899999999999977</v>
      </c>
      <c r="N11" s="9">
        <f t="shared" si="17"/>
        <v>108.60000000000008</v>
      </c>
      <c r="O11" s="9">
        <f t="shared" ref="O11:R11" si="18">O6-O10</f>
        <v>80.000000000000057</v>
      </c>
      <c r="P11" s="9">
        <f t="shared" si="18"/>
        <v>107.80000000000001</v>
      </c>
      <c r="Q11" s="9">
        <f t="shared" si="18"/>
        <v>107.60000000000002</v>
      </c>
      <c r="R11" s="9">
        <f t="shared" si="18"/>
        <v>127.09999999999991</v>
      </c>
      <c r="S11" s="9">
        <f t="shared" ref="S11" si="19">S6-S10</f>
        <v>133.39999999999992</v>
      </c>
      <c r="T11" s="9"/>
      <c r="U11" s="9"/>
      <c r="V11" s="9"/>
      <c r="X11" s="9">
        <f>X6-X10</f>
        <v>-19</v>
      </c>
      <c r="Y11" s="9">
        <f>Y6-Y10</f>
        <v>10.400000000000006</v>
      </c>
      <c r="Z11" s="9">
        <f>Z6-Z10</f>
        <v>99.60000000000008</v>
      </c>
      <c r="AA11" s="9">
        <f>AA6-AA10</f>
        <v>189.79999999999984</v>
      </c>
      <c r="AB11" s="9">
        <f>AB6-AB10</f>
        <v>258</v>
      </c>
      <c r="AC11" s="9">
        <f t="shared" ref="AC11:AM11" si="20">AC6-AC10</f>
        <v>422.49999999999932</v>
      </c>
      <c r="AD11" s="9">
        <f t="shared" si="20"/>
        <v>626.49733999999989</v>
      </c>
      <c r="AE11" s="9">
        <f t="shared" si="20"/>
        <v>833.08370039999954</v>
      </c>
      <c r="AF11" s="9">
        <f t="shared" si="20"/>
        <v>1015.0581860999996</v>
      </c>
      <c r="AG11" s="9">
        <f t="shared" si="20"/>
        <v>1139.4391787099999</v>
      </c>
      <c r="AH11" s="9">
        <f t="shared" si="20"/>
        <v>1251.6315401267989</v>
      </c>
      <c r="AI11" s="9">
        <f t="shared" si="20"/>
        <v>1342.4047583824072</v>
      </c>
      <c r="AJ11" s="9">
        <f t="shared" si="20"/>
        <v>1429.8079932175283</v>
      </c>
      <c r="AK11" s="9">
        <f t="shared" si="20"/>
        <v>1524.4446395110053</v>
      </c>
      <c r="AL11" s="9">
        <f t="shared" si="20"/>
        <v>1627.087935311165</v>
      </c>
      <c r="AM11" s="9">
        <f t="shared" si="20"/>
        <v>1738.6097236918577</v>
      </c>
    </row>
    <row r="12" spans="2:39" x14ac:dyDescent="0.3">
      <c r="B12" t="s">
        <v>22</v>
      </c>
      <c r="F12" s="6">
        <v>43.5</v>
      </c>
      <c r="G12" s="6">
        <v>50.7</v>
      </c>
      <c r="H12" s="6">
        <v>49.7</v>
      </c>
      <c r="I12" s="6">
        <v>48.8</v>
      </c>
      <c r="J12" s="6">
        <v>45.8</v>
      </c>
      <c r="K12" s="6">
        <v>42.1</v>
      </c>
      <c r="L12" s="6">
        <v>46.5</v>
      </c>
      <c r="M12" s="6">
        <v>44.7</v>
      </c>
      <c r="N12" s="6">
        <v>40.1</v>
      </c>
      <c r="O12" s="6">
        <v>43.6</v>
      </c>
      <c r="P12" s="6">
        <v>61.5</v>
      </c>
      <c r="Q12" s="6">
        <v>52.1</v>
      </c>
      <c r="R12" s="6">
        <v>58.7</v>
      </c>
      <c r="S12" s="6">
        <v>43</v>
      </c>
      <c r="T12" s="6"/>
      <c r="U12" s="6"/>
      <c r="V12" s="6"/>
      <c r="X12" s="6">
        <v>55.9</v>
      </c>
      <c r="Y12" s="6">
        <v>73.400000000000006</v>
      </c>
      <c r="Z12" s="6">
        <v>124.1</v>
      </c>
      <c r="AA12" s="6">
        <f>SUM(G12:J12)</f>
        <v>195</v>
      </c>
      <c r="AB12" s="6">
        <f>SUM(K12:N12)</f>
        <v>173.4</v>
      </c>
      <c r="AC12" s="6">
        <f>SUM(O12:R12)</f>
        <v>215.89999999999998</v>
      </c>
      <c r="AD12" s="6">
        <f>AC12*1.11</f>
        <v>239.649</v>
      </c>
      <c r="AE12" s="6">
        <f>AD12*1.05</f>
        <v>251.63145</v>
      </c>
      <c r="AF12" s="6">
        <f>AE12*1.03</f>
        <v>259.18039349999998</v>
      </c>
      <c r="AG12" s="6">
        <f t="shared" ref="AG12:AM12" si="21">AF12*1.02</f>
        <v>264.36400136999998</v>
      </c>
      <c r="AH12" s="6">
        <f t="shared" si="21"/>
        <v>269.6512813974</v>
      </c>
      <c r="AI12" s="6">
        <f t="shared" si="21"/>
        <v>275.04430702534802</v>
      </c>
      <c r="AJ12" s="6">
        <f t="shared" si="21"/>
        <v>280.54519316585498</v>
      </c>
      <c r="AK12" s="6">
        <f t="shared" si="21"/>
        <v>286.15609702917209</v>
      </c>
      <c r="AL12" s="6">
        <f t="shared" si="21"/>
        <v>291.87921896975553</v>
      </c>
      <c r="AM12" s="6">
        <f t="shared" si="21"/>
        <v>297.71680334915067</v>
      </c>
    </row>
    <row r="13" spans="2:39" x14ac:dyDescent="0.3">
      <c r="B13" t="s">
        <v>23</v>
      </c>
      <c r="F13" s="6">
        <v>47.6</v>
      </c>
      <c r="G13" s="6">
        <v>54</v>
      </c>
      <c r="H13" s="6">
        <v>50.9</v>
      </c>
      <c r="I13" s="6">
        <v>46.1</v>
      </c>
      <c r="J13" s="6">
        <v>66.900000000000006</v>
      </c>
      <c r="K13" s="6">
        <v>47</v>
      </c>
      <c r="L13" s="6">
        <v>48.7</v>
      </c>
      <c r="M13" s="6">
        <v>47.9</v>
      </c>
      <c r="N13" s="6">
        <v>45.4</v>
      </c>
      <c r="O13" s="6">
        <v>61.1</v>
      </c>
      <c r="P13" s="6">
        <v>78.3</v>
      </c>
      <c r="Q13" s="6">
        <v>75.7</v>
      </c>
      <c r="R13" s="6">
        <v>83.6</v>
      </c>
      <c r="S13" s="6">
        <v>81.2</v>
      </c>
      <c r="T13" s="6"/>
      <c r="U13" s="6"/>
      <c r="V13" s="6"/>
      <c r="X13" s="6">
        <v>35.6</v>
      </c>
      <c r="Y13" s="6">
        <v>59.4</v>
      </c>
      <c r="Z13" s="6">
        <v>115.9</v>
      </c>
      <c r="AA13" s="6">
        <f>SUM(G13:J13)</f>
        <v>217.9</v>
      </c>
      <c r="AB13" s="6">
        <f>SUM(K13:N13)</f>
        <v>189</v>
      </c>
      <c r="AC13" s="6">
        <f>SUM(O13:R13)</f>
        <v>298.70000000000005</v>
      </c>
      <c r="AD13" s="6">
        <f>AC13*1.2</f>
        <v>358.44000000000005</v>
      </c>
      <c r="AE13" s="6">
        <f>AD13*1.08</f>
        <v>387.11520000000007</v>
      </c>
      <c r="AF13" s="6">
        <f>AE13*1.05</f>
        <v>406.4709600000001</v>
      </c>
      <c r="AG13" s="6">
        <f>AF13*1.04</f>
        <v>422.72979840000011</v>
      </c>
      <c r="AH13" s="6">
        <f>AG13*1.03</f>
        <v>435.4116923520001</v>
      </c>
      <c r="AI13" s="6">
        <f t="shared" ref="AI13:AM13" si="22">AH13*1.02</f>
        <v>444.11992619904009</v>
      </c>
      <c r="AJ13" s="6">
        <f t="shared" si="22"/>
        <v>453.00232472302088</v>
      </c>
      <c r="AK13" s="6">
        <f t="shared" si="22"/>
        <v>462.06237121748131</v>
      </c>
      <c r="AL13" s="6">
        <f t="shared" si="22"/>
        <v>471.30361864183095</v>
      </c>
      <c r="AM13" s="6">
        <f t="shared" si="22"/>
        <v>480.72969101466759</v>
      </c>
    </row>
    <row r="14" spans="2:39" x14ac:dyDescent="0.3">
      <c r="B14" t="s">
        <v>69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16.399999999999999</v>
      </c>
      <c r="R14" s="6">
        <v>6.5</v>
      </c>
      <c r="S14" s="6">
        <v>2.7</v>
      </c>
      <c r="T14" s="6"/>
      <c r="U14" s="6"/>
      <c r="V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</row>
    <row r="15" spans="2:39" x14ac:dyDescent="0.3">
      <c r="B15" t="s">
        <v>68</v>
      </c>
      <c r="F15" s="6">
        <f>SUM(F12:F14)</f>
        <v>91.1</v>
      </c>
      <c r="G15" s="6">
        <f t="shared" ref="G15:R15" si="23">SUM(G12:G14)</f>
        <v>104.7</v>
      </c>
      <c r="H15" s="6">
        <f t="shared" si="23"/>
        <v>100.6</v>
      </c>
      <c r="I15" s="6">
        <f t="shared" si="23"/>
        <v>94.9</v>
      </c>
      <c r="J15" s="6">
        <f t="shared" si="23"/>
        <v>112.7</v>
      </c>
      <c r="K15" s="6">
        <f t="shared" si="23"/>
        <v>89.1</v>
      </c>
      <c r="L15" s="6">
        <f t="shared" si="23"/>
        <v>95.2</v>
      </c>
      <c r="M15" s="6">
        <f t="shared" si="23"/>
        <v>92.6</v>
      </c>
      <c r="N15" s="6">
        <f t="shared" si="23"/>
        <v>85.5</v>
      </c>
      <c r="O15" s="6">
        <f t="shared" si="23"/>
        <v>104.7</v>
      </c>
      <c r="P15" s="6">
        <f t="shared" si="23"/>
        <v>139.80000000000001</v>
      </c>
      <c r="Q15" s="6">
        <f t="shared" si="23"/>
        <v>144.20000000000002</v>
      </c>
      <c r="R15" s="6">
        <f t="shared" si="23"/>
        <v>148.80000000000001</v>
      </c>
      <c r="S15" s="6">
        <f t="shared" ref="S15" si="24">SUM(S12:S14)</f>
        <v>126.9</v>
      </c>
      <c r="T15" s="6"/>
      <c r="U15" s="6"/>
      <c r="V15" s="6"/>
      <c r="X15" s="6">
        <f t="shared" ref="X15:AM15" si="25">SUM(X12:X14)</f>
        <v>91.5</v>
      </c>
      <c r="Y15" s="6">
        <f t="shared" si="25"/>
        <v>132.80000000000001</v>
      </c>
      <c r="Z15" s="6">
        <f t="shared" si="25"/>
        <v>240</v>
      </c>
      <c r="AA15" s="6">
        <f t="shared" si="25"/>
        <v>412.9</v>
      </c>
      <c r="AB15" s="6">
        <f t="shared" si="25"/>
        <v>362.4</v>
      </c>
      <c r="AC15" s="6">
        <f t="shared" si="25"/>
        <v>514.6</v>
      </c>
      <c r="AD15" s="6">
        <f t="shared" si="25"/>
        <v>598.08900000000006</v>
      </c>
      <c r="AE15" s="6">
        <f t="shared" si="25"/>
        <v>638.74665000000005</v>
      </c>
      <c r="AF15" s="6">
        <f t="shared" si="25"/>
        <v>665.65135350000014</v>
      </c>
      <c r="AG15" s="6">
        <f t="shared" si="25"/>
        <v>687.09379977000003</v>
      </c>
      <c r="AH15" s="6">
        <f t="shared" si="25"/>
        <v>705.06297374940004</v>
      </c>
      <c r="AI15" s="6">
        <f t="shared" si="25"/>
        <v>719.16423322438811</v>
      </c>
      <c r="AJ15" s="6">
        <f t="shared" si="25"/>
        <v>733.54751788887586</v>
      </c>
      <c r="AK15" s="6">
        <f t="shared" si="25"/>
        <v>748.2184682466534</v>
      </c>
      <c r="AL15" s="6">
        <f t="shared" si="25"/>
        <v>763.18283761158648</v>
      </c>
      <c r="AM15" s="6">
        <f t="shared" si="25"/>
        <v>778.44649436381826</v>
      </c>
    </row>
    <row r="16" spans="2:39" s="1" customFormat="1" x14ac:dyDescent="0.3">
      <c r="B16" s="1" t="s">
        <v>24</v>
      </c>
      <c r="F16" s="9">
        <f>F11-F15</f>
        <v>-54.399999999999977</v>
      </c>
      <c r="G16" s="9">
        <f t="shared" ref="G16:R16" si="26">G11-G15</f>
        <v>-69.500000000000014</v>
      </c>
      <c r="H16" s="9">
        <f t="shared" si="26"/>
        <v>-57.69999999999996</v>
      </c>
      <c r="I16" s="9">
        <f t="shared" si="26"/>
        <v>-42.000000000000028</v>
      </c>
      <c r="J16" s="9">
        <f t="shared" si="26"/>
        <v>-53.899999999999991</v>
      </c>
      <c r="K16" s="9">
        <f t="shared" si="26"/>
        <v>-24.899999999999949</v>
      </c>
      <c r="L16" s="9">
        <f t="shared" si="26"/>
        <v>-64.899999999999991</v>
      </c>
      <c r="M16" s="9">
        <f t="shared" si="26"/>
        <v>-37.700000000000017</v>
      </c>
      <c r="N16" s="9">
        <f t="shared" si="26"/>
        <v>23.10000000000008</v>
      </c>
      <c r="O16" s="9">
        <f t="shared" si="26"/>
        <v>-24.699999999999946</v>
      </c>
      <c r="P16" s="9">
        <f t="shared" si="26"/>
        <v>-32</v>
      </c>
      <c r="Q16" s="9">
        <f t="shared" si="26"/>
        <v>-36.599999999999994</v>
      </c>
      <c r="R16" s="9">
        <f t="shared" si="26"/>
        <v>-21.700000000000102</v>
      </c>
      <c r="S16" s="9">
        <f t="shared" ref="S16" si="27">S11-S15</f>
        <v>6.4999999999999147</v>
      </c>
      <c r="T16" s="9"/>
      <c r="U16" s="9"/>
      <c r="V16" s="9"/>
      <c r="X16" s="9">
        <f t="shared" ref="X16" si="28">X11-X15</f>
        <v>-110.5</v>
      </c>
      <c r="Y16" s="9">
        <f t="shared" ref="Y16" si="29">Y11-Y15</f>
        <v>-122.4</v>
      </c>
      <c r="Z16" s="9">
        <f t="shared" ref="Z16" si="30">Z11-Z15</f>
        <v>-140.39999999999992</v>
      </c>
      <c r="AA16" s="9">
        <f t="shared" ref="AA16" si="31">AA11-AA15</f>
        <v>-223.10000000000014</v>
      </c>
      <c r="AB16" s="9">
        <f t="shared" ref="AB16" si="32">AB11-AB15</f>
        <v>-104.39999999999998</v>
      </c>
      <c r="AC16" s="9">
        <f t="shared" ref="AC16" si="33">AC11-AC15</f>
        <v>-92.100000000000705</v>
      </c>
      <c r="AD16" s="9">
        <f t="shared" ref="AD16" si="34">AD11-AD15</f>
        <v>28.408339999999839</v>
      </c>
      <c r="AE16" s="9">
        <f t="shared" ref="AE16" si="35">AE11-AE15</f>
        <v>194.3370503999995</v>
      </c>
      <c r="AF16" s="9">
        <f t="shared" ref="AF16" si="36">AF11-AF15</f>
        <v>349.40683259999946</v>
      </c>
      <c r="AG16" s="9">
        <f t="shared" ref="AG16" si="37">AG11-AG15</f>
        <v>452.34537893999982</v>
      </c>
      <c r="AH16" s="9">
        <f t="shared" ref="AH16" si="38">AH11-AH15</f>
        <v>546.56856637739884</v>
      </c>
      <c r="AI16" s="9">
        <f t="shared" ref="AI16" si="39">AI11-AI15</f>
        <v>623.24052515801907</v>
      </c>
      <c r="AJ16" s="9">
        <f t="shared" ref="AJ16" si="40">AJ11-AJ15</f>
        <v>696.26047532865243</v>
      </c>
      <c r="AK16" s="9">
        <f t="shared" ref="AK16" si="41">AK11-AK15</f>
        <v>776.22617126435193</v>
      </c>
      <c r="AL16" s="9">
        <f t="shared" ref="AL16" si="42">AL11-AL15</f>
        <v>863.9050976995785</v>
      </c>
      <c r="AM16" s="9">
        <f t="shared" ref="AM16" si="43">AM11-AM15</f>
        <v>960.16322932803939</v>
      </c>
    </row>
    <row r="17" spans="2:151" x14ac:dyDescent="0.3">
      <c r="B17" t="s">
        <v>25</v>
      </c>
      <c r="F17" s="6">
        <v>-1.1000000000000001</v>
      </c>
      <c r="G17" s="6">
        <v>-1.8</v>
      </c>
      <c r="H17" s="6">
        <v>-2.2999999999999998</v>
      </c>
      <c r="I17" s="6">
        <v>-2.9</v>
      </c>
      <c r="J17" s="6">
        <v>-3.7</v>
      </c>
      <c r="K17" s="6">
        <v>-6.2</v>
      </c>
      <c r="L17" s="6">
        <v>-9.8000000000000007</v>
      </c>
      <c r="M17" s="6">
        <v>-11.6</v>
      </c>
      <c r="N17" s="6">
        <v>-9.4</v>
      </c>
      <c r="O17" s="6">
        <v>-7.8</v>
      </c>
      <c r="P17" s="6">
        <v>-11.7</v>
      </c>
      <c r="Q17" s="6">
        <v>-8.5</v>
      </c>
      <c r="R17" s="6">
        <v>-8.1</v>
      </c>
      <c r="S17" s="6">
        <v>-13.2</v>
      </c>
      <c r="T17" s="6"/>
      <c r="U17" s="6"/>
      <c r="V17" s="6"/>
      <c r="X17" s="6">
        <v>-0.8</v>
      </c>
      <c r="Y17" s="6">
        <v>-0.1</v>
      </c>
      <c r="Z17" s="6">
        <v>-1.3</v>
      </c>
      <c r="AA17" s="6">
        <f>SUM(G17:J17)</f>
        <v>-10.7</v>
      </c>
      <c r="AB17" s="6">
        <f>SUM(K17:N17)</f>
        <v>-37</v>
      </c>
      <c r="AC17" s="6">
        <f>SUM(O17:R17)</f>
        <v>-36.1</v>
      </c>
      <c r="AD17" s="6">
        <f t="shared" ref="AD17:AM17" si="44">AC17*1.05</f>
        <v>-37.905000000000001</v>
      </c>
      <c r="AE17" s="6">
        <f t="shared" si="44"/>
        <v>-39.800250000000005</v>
      </c>
      <c r="AF17" s="6">
        <f t="shared" si="44"/>
        <v>-41.790262500000004</v>
      </c>
      <c r="AG17" s="6">
        <f t="shared" si="44"/>
        <v>-43.879775625000008</v>
      </c>
      <c r="AH17" s="6">
        <f t="shared" si="44"/>
        <v>-46.073764406250007</v>
      </c>
      <c r="AI17" s="6">
        <f t="shared" si="44"/>
        <v>-48.377452626562508</v>
      </c>
      <c r="AJ17" s="6">
        <f t="shared" si="44"/>
        <v>-50.796325257890636</v>
      </c>
      <c r="AK17" s="6">
        <f t="shared" si="44"/>
        <v>-53.336141520785169</v>
      </c>
      <c r="AL17" s="6">
        <f t="shared" si="44"/>
        <v>-56.002948596824432</v>
      </c>
      <c r="AM17" s="6">
        <f t="shared" si="44"/>
        <v>-58.803096026665656</v>
      </c>
    </row>
    <row r="18" spans="2:151" s="1" customFormat="1" x14ac:dyDescent="0.3">
      <c r="B18" s="1" t="s">
        <v>26</v>
      </c>
      <c r="F18" s="9">
        <f t="shared" ref="F18:N18" si="45">F16-F17</f>
        <v>-53.299999999999976</v>
      </c>
      <c r="G18" s="9">
        <f t="shared" si="45"/>
        <v>-67.700000000000017</v>
      </c>
      <c r="H18" s="9">
        <f t="shared" si="45"/>
        <v>-55.399999999999963</v>
      </c>
      <c r="I18" s="9">
        <f t="shared" si="45"/>
        <v>-39.10000000000003</v>
      </c>
      <c r="J18" s="9">
        <f t="shared" si="45"/>
        <v>-50.199999999999989</v>
      </c>
      <c r="K18" s="9">
        <f t="shared" si="45"/>
        <v>-18.69999999999995</v>
      </c>
      <c r="L18" s="9">
        <f t="shared" si="45"/>
        <v>-55.099999999999994</v>
      </c>
      <c r="M18" s="9">
        <f t="shared" si="45"/>
        <v>-26.100000000000016</v>
      </c>
      <c r="N18" s="9">
        <f t="shared" si="45"/>
        <v>32.500000000000078</v>
      </c>
      <c r="O18" s="9">
        <f t="shared" ref="O18:R18" si="46">O16-O17</f>
        <v>-16.899999999999945</v>
      </c>
      <c r="P18" s="9">
        <f t="shared" si="46"/>
        <v>-20.3</v>
      </c>
      <c r="Q18" s="9">
        <f t="shared" si="46"/>
        <v>-28.099999999999994</v>
      </c>
      <c r="R18" s="9">
        <f t="shared" si="46"/>
        <v>-13.600000000000103</v>
      </c>
      <c r="S18" s="9">
        <f t="shared" ref="S18" si="47">S16-S17</f>
        <v>19.699999999999914</v>
      </c>
      <c r="T18" s="9"/>
      <c r="U18" s="9"/>
      <c r="V18" s="9"/>
      <c r="X18" s="9">
        <f>X16-X17</f>
        <v>-109.7</v>
      </c>
      <c r="Y18" s="9">
        <f>Y16-Y17</f>
        <v>-122.30000000000001</v>
      </c>
      <c r="Z18" s="9">
        <f>Z16-Z17</f>
        <v>-139.09999999999991</v>
      </c>
      <c r="AA18" s="9">
        <f>AA16-AA17</f>
        <v>-212.40000000000015</v>
      </c>
      <c r="AB18" s="9">
        <f>AB16-AB17</f>
        <v>-67.399999999999977</v>
      </c>
      <c r="AC18" s="9">
        <f t="shared" ref="AC18:AM18" si="48">AC16-AC17</f>
        <v>-56.000000000000703</v>
      </c>
      <c r="AD18" s="9">
        <f t="shared" si="48"/>
        <v>66.31333999999984</v>
      </c>
      <c r="AE18" s="9">
        <f t="shared" si="48"/>
        <v>234.1373003999995</v>
      </c>
      <c r="AF18" s="9">
        <f t="shared" si="48"/>
        <v>391.19709509999944</v>
      </c>
      <c r="AG18" s="9">
        <f t="shared" si="48"/>
        <v>496.2251545649998</v>
      </c>
      <c r="AH18" s="9">
        <f t="shared" si="48"/>
        <v>592.64233078364884</v>
      </c>
      <c r="AI18" s="9">
        <f t="shared" si="48"/>
        <v>671.61797778458163</v>
      </c>
      <c r="AJ18" s="9">
        <f t="shared" si="48"/>
        <v>747.05680058654309</v>
      </c>
      <c r="AK18" s="9">
        <f t="shared" si="48"/>
        <v>829.56231278513712</v>
      </c>
      <c r="AL18" s="9">
        <f t="shared" si="48"/>
        <v>919.90804629640297</v>
      </c>
      <c r="AM18" s="9">
        <f t="shared" si="48"/>
        <v>1018.9663253547051</v>
      </c>
    </row>
    <row r="19" spans="2:151" x14ac:dyDescent="0.3">
      <c r="B19" t="s">
        <v>27</v>
      </c>
      <c r="F19" s="6">
        <v>0</v>
      </c>
      <c r="G19" s="6">
        <v>0.3</v>
      </c>
      <c r="H19" s="6">
        <v>0</v>
      </c>
      <c r="I19" s="6">
        <v>0</v>
      </c>
      <c r="J19" s="6">
        <v>-4.9000000000000004</v>
      </c>
      <c r="K19" s="6">
        <v>0.2</v>
      </c>
      <c r="L19" s="6">
        <v>-0.3</v>
      </c>
      <c r="M19" s="6">
        <v>0.2</v>
      </c>
      <c r="N19" s="6">
        <f>4.2+0.2</f>
        <v>4.4000000000000004</v>
      </c>
      <c r="O19" s="6">
        <v>-0.1</v>
      </c>
      <c r="P19" s="6">
        <v>-1.4</v>
      </c>
      <c r="Q19" s="6">
        <v>0</v>
      </c>
      <c r="R19" s="6">
        <v>-0.4</v>
      </c>
      <c r="S19" s="6">
        <v>0.6</v>
      </c>
      <c r="T19" s="6"/>
      <c r="U19" s="6"/>
      <c r="V19" s="6"/>
      <c r="X19" s="6">
        <v>0</v>
      </c>
      <c r="Y19" s="6">
        <v>0</v>
      </c>
      <c r="Z19" s="6">
        <v>0</v>
      </c>
      <c r="AA19" s="6">
        <f>SUM(G19:J19)</f>
        <v>-4.6000000000000005</v>
      </c>
      <c r="AB19" s="6">
        <f>SUM(K19:N19)</f>
        <v>4.5</v>
      </c>
      <c r="AC19" s="6">
        <f>SUM(O19:R19)</f>
        <v>-1.9</v>
      </c>
      <c r="AD19" s="6">
        <f t="shared" ref="AD19:AM19" si="49">AD18*0.1</f>
        <v>6.6313339999999847</v>
      </c>
      <c r="AE19" s="6">
        <f t="shared" si="49"/>
        <v>23.413730039999951</v>
      </c>
      <c r="AF19" s="6">
        <f t="shared" si="49"/>
        <v>39.11970950999995</v>
      </c>
      <c r="AG19" s="6">
        <f t="shared" si="49"/>
        <v>49.622515456499983</v>
      </c>
      <c r="AH19" s="6">
        <f t="shared" si="49"/>
        <v>59.264233078364889</v>
      </c>
      <c r="AI19" s="6">
        <f t="shared" si="49"/>
        <v>67.161797778458165</v>
      </c>
      <c r="AJ19" s="6">
        <f t="shared" si="49"/>
        <v>74.705680058654309</v>
      </c>
      <c r="AK19" s="6">
        <f t="shared" si="49"/>
        <v>82.956231278513712</v>
      </c>
      <c r="AL19" s="6">
        <f t="shared" si="49"/>
        <v>91.990804629640309</v>
      </c>
      <c r="AM19" s="6">
        <f t="shared" si="49"/>
        <v>101.89663253547052</v>
      </c>
    </row>
    <row r="20" spans="2:151" x14ac:dyDescent="0.3">
      <c r="B20" t="s">
        <v>28</v>
      </c>
      <c r="F20" s="6">
        <v>-47.7</v>
      </c>
      <c r="G20" s="6">
        <v>-60.8</v>
      </c>
      <c r="H20" s="6">
        <v>-49.3</v>
      </c>
      <c r="I20" s="6">
        <v>-34.700000000000003</v>
      </c>
      <c r="J20" s="6">
        <v>-39.200000000000003</v>
      </c>
      <c r="K20" s="6">
        <v>-16.2</v>
      </c>
      <c r="L20" s="6">
        <v>-46</v>
      </c>
      <c r="M20" s="6">
        <v>-22</v>
      </c>
      <c r="N20" s="6">
        <v>23.1</v>
      </c>
      <c r="O20" s="6">
        <v>-16.2</v>
      </c>
      <c r="P20" s="6">
        <v>-17.5</v>
      </c>
      <c r="Q20" s="6">
        <f>3.8-5.9</f>
        <v>-2.1000000000000005</v>
      </c>
      <c r="R20" s="6">
        <f>5.9-15.5</f>
        <v>-9.6</v>
      </c>
      <c r="S20" s="6">
        <f>5.8+10.8</f>
        <v>16.600000000000001</v>
      </c>
      <c r="T20" s="6"/>
      <c r="U20" s="6"/>
      <c r="V20" s="6"/>
      <c r="X20" s="6">
        <v>0</v>
      </c>
      <c r="Y20" s="6">
        <v>0</v>
      </c>
      <c r="Z20" s="6">
        <v>-60.1</v>
      </c>
      <c r="AA20" s="6">
        <f>SUM(G20:J20)</f>
        <v>-184</v>
      </c>
      <c r="AB20" s="6">
        <f>SUM(K20:N20)</f>
        <v>-61.1</v>
      </c>
      <c r="AC20" s="6">
        <f>SUM(O20:R20)</f>
        <v>-45.400000000000006</v>
      </c>
      <c r="AD20" s="6"/>
      <c r="AE20" s="6"/>
      <c r="AF20" s="6"/>
      <c r="AG20" s="6"/>
      <c r="AH20" s="6"/>
      <c r="AI20" s="6"/>
      <c r="AJ20" s="6"/>
      <c r="AK20" s="6"/>
      <c r="AL20" s="6"/>
      <c r="AM20" s="6"/>
    </row>
    <row r="21" spans="2:151" s="1" customFormat="1" x14ac:dyDescent="0.3">
      <c r="B21" s="1" t="s">
        <v>29</v>
      </c>
      <c r="F21" s="9">
        <f t="shared" ref="F21:N21" si="50">F18-F19-F20</f>
        <v>-5.599999999999973</v>
      </c>
      <c r="G21" s="9">
        <f t="shared" si="50"/>
        <v>-7.2000000000000171</v>
      </c>
      <c r="H21" s="9">
        <f t="shared" si="50"/>
        <v>-6.0999999999999659</v>
      </c>
      <c r="I21" s="9">
        <f t="shared" si="50"/>
        <v>-4.400000000000027</v>
      </c>
      <c r="J21" s="9">
        <f t="shared" si="50"/>
        <v>-6.0999999999999872</v>
      </c>
      <c r="K21" s="9">
        <f t="shared" si="50"/>
        <v>-2.6999999999999496</v>
      </c>
      <c r="L21" s="9">
        <f t="shared" si="50"/>
        <v>-8.7999999999999972</v>
      </c>
      <c r="M21" s="9">
        <f t="shared" si="50"/>
        <v>-4.3000000000000149</v>
      </c>
      <c r="N21" s="9">
        <f t="shared" si="50"/>
        <v>5.0000000000000782</v>
      </c>
      <c r="O21" s="9">
        <f t="shared" ref="O21:R21" si="51">O18-O19-O20</f>
        <v>-0.59999999999994458</v>
      </c>
      <c r="P21" s="9">
        <f t="shared" si="51"/>
        <v>-1.4000000000000021</v>
      </c>
      <c r="Q21" s="9">
        <f t="shared" si="51"/>
        <v>-25.999999999999993</v>
      </c>
      <c r="R21" s="9">
        <f t="shared" si="51"/>
        <v>-3.6000000000001027</v>
      </c>
      <c r="S21" s="9">
        <f t="shared" ref="S21" si="52">S18-S19-S20</f>
        <v>2.4999999999999112</v>
      </c>
      <c r="T21" s="9"/>
      <c r="U21" s="9"/>
      <c r="V21" s="9"/>
      <c r="X21" s="9">
        <f t="shared" ref="X21:AC21" si="53">X18-X19-X20</f>
        <v>-109.7</v>
      </c>
      <c r="Y21" s="9">
        <f t="shared" si="53"/>
        <v>-122.30000000000001</v>
      </c>
      <c r="Z21" s="9">
        <f t="shared" si="53"/>
        <v>-78.999999999999915</v>
      </c>
      <c r="AA21" s="9">
        <f t="shared" si="53"/>
        <v>-23.800000000000153</v>
      </c>
      <c r="AB21" s="9">
        <f t="shared" si="53"/>
        <v>-10.799999999999976</v>
      </c>
      <c r="AC21" s="9">
        <f t="shared" si="53"/>
        <v>-8.7000000000006992</v>
      </c>
      <c r="AD21" s="9">
        <f t="shared" ref="AD21:AM21" si="54">AD18-AD19-AD20</f>
        <v>59.682005999999859</v>
      </c>
      <c r="AE21" s="9">
        <f t="shared" si="54"/>
        <v>210.72357035999954</v>
      </c>
      <c r="AF21" s="9">
        <f t="shared" si="54"/>
        <v>352.07738558999949</v>
      </c>
      <c r="AG21" s="9">
        <f t="shared" si="54"/>
        <v>446.60263910849983</v>
      </c>
      <c r="AH21" s="9">
        <f t="shared" si="54"/>
        <v>533.37809770528395</v>
      </c>
      <c r="AI21" s="9">
        <f t="shared" si="54"/>
        <v>604.45618000612342</v>
      </c>
      <c r="AJ21" s="9">
        <f t="shared" si="54"/>
        <v>672.35112052788872</v>
      </c>
      <c r="AK21" s="9">
        <f t="shared" si="54"/>
        <v>746.60608150662347</v>
      </c>
      <c r="AL21" s="9">
        <f t="shared" si="54"/>
        <v>827.91724166676272</v>
      </c>
      <c r="AM21" s="9">
        <f t="shared" si="54"/>
        <v>917.06969281923455</v>
      </c>
      <c r="AN21" s="1">
        <f>AM21*(1+$AQ$26)</f>
        <v>907.8989958910422</v>
      </c>
      <c r="AO21" s="1">
        <f t="shared" ref="AO21:CZ21" si="55">AN21*(1+$AQ$26)</f>
        <v>898.82000593213172</v>
      </c>
      <c r="AP21" s="1">
        <f t="shared" si="55"/>
        <v>889.83180587281038</v>
      </c>
      <c r="AQ21" s="1">
        <f t="shared" si="55"/>
        <v>880.93348781408224</v>
      </c>
      <c r="AR21" s="1">
        <f t="shared" si="55"/>
        <v>872.12415293594142</v>
      </c>
      <c r="AS21" s="1">
        <f t="shared" si="55"/>
        <v>863.40291140658201</v>
      </c>
      <c r="AT21" s="1">
        <f t="shared" si="55"/>
        <v>854.7688822925162</v>
      </c>
      <c r="AU21" s="1">
        <f t="shared" si="55"/>
        <v>846.22119346959107</v>
      </c>
      <c r="AV21" s="1">
        <f t="shared" si="55"/>
        <v>837.75898153489516</v>
      </c>
      <c r="AW21" s="1">
        <f t="shared" si="55"/>
        <v>829.38139171954617</v>
      </c>
      <c r="AX21" s="1">
        <f t="shared" si="55"/>
        <v>821.08757780235067</v>
      </c>
      <c r="AY21" s="1">
        <f t="shared" si="55"/>
        <v>812.87670202432719</v>
      </c>
      <c r="AZ21" s="1">
        <f t="shared" si="55"/>
        <v>804.74793500408396</v>
      </c>
      <c r="BA21" s="1">
        <f t="shared" si="55"/>
        <v>796.70045565404314</v>
      </c>
      <c r="BB21" s="1">
        <f t="shared" si="55"/>
        <v>788.73345109750267</v>
      </c>
      <c r="BC21" s="1">
        <f t="shared" si="55"/>
        <v>780.84611658652761</v>
      </c>
      <c r="BD21" s="1">
        <f t="shared" si="55"/>
        <v>773.0376554206623</v>
      </c>
      <c r="BE21" s="1">
        <f t="shared" si="55"/>
        <v>765.3072788664557</v>
      </c>
      <c r="BF21" s="1">
        <f t="shared" si="55"/>
        <v>757.65420607779117</v>
      </c>
      <c r="BG21" s="1">
        <f t="shared" si="55"/>
        <v>750.07766401701326</v>
      </c>
      <c r="BH21" s="1">
        <f t="shared" si="55"/>
        <v>742.57688737684316</v>
      </c>
      <c r="BI21" s="1">
        <f t="shared" si="55"/>
        <v>735.15111850307471</v>
      </c>
      <c r="BJ21" s="1">
        <f t="shared" si="55"/>
        <v>727.79960731804397</v>
      </c>
      <c r="BK21" s="1">
        <f t="shared" si="55"/>
        <v>720.52161124486349</v>
      </c>
      <c r="BL21" s="1">
        <f t="shared" si="55"/>
        <v>713.31639513241487</v>
      </c>
      <c r="BM21" s="1">
        <f t="shared" si="55"/>
        <v>706.18323118109072</v>
      </c>
      <c r="BN21" s="1">
        <f t="shared" si="55"/>
        <v>699.1213988692798</v>
      </c>
      <c r="BO21" s="1">
        <f t="shared" si="55"/>
        <v>692.13018488058697</v>
      </c>
      <c r="BP21" s="1">
        <f t="shared" si="55"/>
        <v>685.20888303178106</v>
      </c>
      <c r="BQ21" s="1">
        <f t="shared" si="55"/>
        <v>678.35679420146323</v>
      </c>
      <c r="BR21" s="1">
        <f t="shared" si="55"/>
        <v>671.57322625944857</v>
      </c>
      <c r="BS21" s="1">
        <f t="shared" si="55"/>
        <v>664.85749399685403</v>
      </c>
      <c r="BT21" s="1">
        <f t="shared" si="55"/>
        <v>658.20891905688552</v>
      </c>
      <c r="BU21" s="1">
        <f t="shared" si="55"/>
        <v>651.62682986631671</v>
      </c>
      <c r="BV21" s="1">
        <f t="shared" si="55"/>
        <v>645.11056156765358</v>
      </c>
      <c r="BW21" s="1">
        <f t="shared" si="55"/>
        <v>638.65945595197707</v>
      </c>
      <c r="BX21" s="1">
        <f t="shared" si="55"/>
        <v>632.27286139245734</v>
      </c>
      <c r="BY21" s="1">
        <f t="shared" si="55"/>
        <v>625.95013277853275</v>
      </c>
      <c r="BZ21" s="1">
        <f t="shared" si="55"/>
        <v>619.69063145074745</v>
      </c>
      <c r="CA21" s="1">
        <f t="shared" si="55"/>
        <v>613.49372513623996</v>
      </c>
      <c r="CB21" s="1">
        <f t="shared" si="55"/>
        <v>607.35878788487753</v>
      </c>
      <c r="CC21" s="1">
        <f t="shared" si="55"/>
        <v>601.28520000602873</v>
      </c>
      <c r="CD21" s="1">
        <f t="shared" si="55"/>
        <v>595.27234800596841</v>
      </c>
      <c r="CE21" s="1">
        <f t="shared" si="55"/>
        <v>589.31962452590869</v>
      </c>
      <c r="CF21" s="1">
        <f t="shared" si="55"/>
        <v>583.42642828064959</v>
      </c>
      <c r="CG21" s="1">
        <f t="shared" si="55"/>
        <v>577.59216399784304</v>
      </c>
      <c r="CH21" s="1">
        <f t="shared" si="55"/>
        <v>571.81624235786455</v>
      </c>
      <c r="CI21" s="1">
        <f t="shared" si="55"/>
        <v>566.09807993428592</v>
      </c>
      <c r="CJ21" s="1">
        <f t="shared" si="55"/>
        <v>560.43709913494308</v>
      </c>
      <c r="CK21" s="1">
        <f t="shared" si="55"/>
        <v>554.83272814359361</v>
      </c>
      <c r="CL21" s="1">
        <f t="shared" si="55"/>
        <v>549.28440086215767</v>
      </c>
      <c r="CM21" s="1">
        <f t="shared" si="55"/>
        <v>543.79155685353612</v>
      </c>
      <c r="CN21" s="1">
        <f t="shared" si="55"/>
        <v>538.35364128500078</v>
      </c>
      <c r="CO21" s="1">
        <f t="shared" si="55"/>
        <v>532.97010487215073</v>
      </c>
      <c r="CP21" s="1">
        <f t="shared" si="55"/>
        <v>527.64040382342921</v>
      </c>
      <c r="CQ21" s="1">
        <f t="shared" si="55"/>
        <v>522.36399978519489</v>
      </c>
      <c r="CR21" s="1">
        <f t="shared" si="55"/>
        <v>517.14035978734296</v>
      </c>
      <c r="CS21" s="1">
        <f t="shared" si="55"/>
        <v>511.96895618946951</v>
      </c>
      <c r="CT21" s="1">
        <f t="shared" si="55"/>
        <v>506.84926662757482</v>
      </c>
      <c r="CU21" s="1">
        <f t="shared" si="55"/>
        <v>501.78077396129908</v>
      </c>
      <c r="CV21" s="1">
        <f t="shared" si="55"/>
        <v>496.7629662216861</v>
      </c>
      <c r="CW21" s="1">
        <f t="shared" si="55"/>
        <v>491.79533655946921</v>
      </c>
      <c r="CX21" s="1">
        <f t="shared" si="55"/>
        <v>486.87738319387449</v>
      </c>
      <c r="CY21" s="1">
        <f t="shared" si="55"/>
        <v>482.00860936193573</v>
      </c>
      <c r="CZ21" s="1">
        <f t="shared" si="55"/>
        <v>477.18852326831637</v>
      </c>
      <c r="DA21" s="1">
        <f t="shared" ref="DA21:EU21" si="56">CZ21*(1+$AQ$26)</f>
        <v>472.41663803563318</v>
      </c>
      <c r="DB21" s="1">
        <f t="shared" si="56"/>
        <v>467.69247165527685</v>
      </c>
      <c r="DC21" s="1">
        <f t="shared" si="56"/>
        <v>463.01554693872407</v>
      </c>
      <c r="DD21" s="1">
        <f t="shared" si="56"/>
        <v>458.38539146933681</v>
      </c>
      <c r="DE21" s="1">
        <f t="shared" si="56"/>
        <v>453.80153755464346</v>
      </c>
      <c r="DF21" s="1">
        <f t="shared" si="56"/>
        <v>449.26352217909704</v>
      </c>
      <c r="DG21" s="1">
        <f t="shared" si="56"/>
        <v>444.77088695730606</v>
      </c>
      <c r="DH21" s="1">
        <f t="shared" si="56"/>
        <v>440.32317808773297</v>
      </c>
      <c r="DI21" s="1">
        <f t="shared" si="56"/>
        <v>435.91994630685565</v>
      </c>
      <c r="DJ21" s="1">
        <f t="shared" si="56"/>
        <v>431.56074684378711</v>
      </c>
      <c r="DK21" s="1">
        <f t="shared" si="56"/>
        <v>427.24513937534925</v>
      </c>
      <c r="DL21" s="1">
        <f t="shared" si="56"/>
        <v>422.97268798159575</v>
      </c>
      <c r="DM21" s="1">
        <f t="shared" si="56"/>
        <v>418.74296110177977</v>
      </c>
      <c r="DN21" s="1">
        <f t="shared" si="56"/>
        <v>414.55553149076195</v>
      </c>
      <c r="DO21" s="1">
        <f t="shared" si="56"/>
        <v>410.40997617585435</v>
      </c>
      <c r="DP21" s="1">
        <f t="shared" si="56"/>
        <v>406.30587641409579</v>
      </c>
      <c r="DQ21" s="1">
        <f t="shared" si="56"/>
        <v>402.24281764995482</v>
      </c>
      <c r="DR21" s="1">
        <f t="shared" si="56"/>
        <v>398.22038947345527</v>
      </c>
      <c r="DS21" s="1">
        <f t="shared" si="56"/>
        <v>394.23818557872073</v>
      </c>
      <c r="DT21" s="1">
        <f t="shared" si="56"/>
        <v>390.2958037229335</v>
      </c>
      <c r="DU21" s="1">
        <f t="shared" si="56"/>
        <v>386.39284568570417</v>
      </c>
      <c r="DV21" s="1">
        <f t="shared" si="56"/>
        <v>382.52891722884715</v>
      </c>
      <c r="DW21" s="1">
        <f t="shared" si="56"/>
        <v>378.70362805655867</v>
      </c>
      <c r="DX21" s="1">
        <f t="shared" si="56"/>
        <v>374.91659177599308</v>
      </c>
      <c r="DY21" s="1">
        <f t="shared" si="56"/>
        <v>371.16742585823317</v>
      </c>
      <c r="DZ21" s="1">
        <f t="shared" si="56"/>
        <v>367.45575159965085</v>
      </c>
      <c r="EA21" s="1">
        <f t="shared" si="56"/>
        <v>363.78119408365433</v>
      </c>
      <c r="EB21" s="1">
        <f t="shared" si="56"/>
        <v>360.14338214281776</v>
      </c>
      <c r="EC21" s="1">
        <f t="shared" si="56"/>
        <v>356.54194832138955</v>
      </c>
      <c r="ED21" s="1">
        <f t="shared" si="56"/>
        <v>352.97652883817568</v>
      </c>
      <c r="EE21" s="1">
        <f t="shared" si="56"/>
        <v>349.4467635497939</v>
      </c>
      <c r="EF21" s="1">
        <f t="shared" si="56"/>
        <v>345.95229591429597</v>
      </c>
      <c r="EG21" s="1">
        <f t="shared" si="56"/>
        <v>342.49277295515299</v>
      </c>
      <c r="EH21" s="1">
        <f t="shared" si="56"/>
        <v>339.06784522560145</v>
      </c>
      <c r="EI21" s="1">
        <f t="shared" si="56"/>
        <v>335.67716677334545</v>
      </c>
      <c r="EJ21" s="1">
        <f t="shared" si="56"/>
        <v>332.32039510561196</v>
      </c>
      <c r="EK21" s="1">
        <f t="shared" si="56"/>
        <v>328.99719115455582</v>
      </c>
      <c r="EL21" s="1">
        <f t="shared" si="56"/>
        <v>325.70721924301029</v>
      </c>
      <c r="EM21" s="1">
        <f t="shared" si="56"/>
        <v>322.4501470505802</v>
      </c>
      <c r="EN21" s="1">
        <f t="shared" si="56"/>
        <v>319.2256455800744</v>
      </c>
      <c r="EO21" s="1">
        <f t="shared" si="56"/>
        <v>316.03338912427364</v>
      </c>
      <c r="EP21" s="1">
        <f t="shared" si="56"/>
        <v>312.87305523303093</v>
      </c>
      <c r="EQ21" s="1">
        <f t="shared" si="56"/>
        <v>309.74432468070063</v>
      </c>
      <c r="ER21" s="1">
        <f t="shared" si="56"/>
        <v>306.64688143389361</v>
      </c>
      <c r="ES21" s="1">
        <f t="shared" si="56"/>
        <v>303.58041261955469</v>
      </c>
      <c r="ET21" s="1">
        <f t="shared" si="56"/>
        <v>300.54460849335914</v>
      </c>
      <c r="EU21" s="1">
        <f t="shared" si="56"/>
        <v>297.53916240842557</v>
      </c>
    </row>
    <row r="22" spans="2:151" x14ac:dyDescent="0.3">
      <c r="B22" t="s">
        <v>2</v>
      </c>
      <c r="F22" s="6">
        <f t="shared" ref="F22:M22" si="57">103.8+77.5+404.3</f>
        <v>585.6</v>
      </c>
      <c r="G22" s="6">
        <f t="shared" si="57"/>
        <v>585.6</v>
      </c>
      <c r="H22" s="6">
        <f t="shared" si="57"/>
        <v>585.6</v>
      </c>
      <c r="I22" s="6">
        <f t="shared" si="57"/>
        <v>585.6</v>
      </c>
      <c r="J22" s="6">
        <f t="shared" si="57"/>
        <v>585.6</v>
      </c>
      <c r="K22" s="6">
        <f t="shared" si="57"/>
        <v>585.6</v>
      </c>
      <c r="L22" s="6">
        <f t="shared" si="57"/>
        <v>585.6</v>
      </c>
      <c r="M22" s="6">
        <f t="shared" si="57"/>
        <v>585.6</v>
      </c>
      <c r="N22" s="6">
        <f>106.4+76.8+404.3</f>
        <v>587.5</v>
      </c>
      <c r="O22" s="6">
        <f>107.7+76.4+404.3</f>
        <v>588.40000000000009</v>
      </c>
      <c r="P22" s="6">
        <f>109.1+76.2+404.3</f>
        <v>589.6</v>
      </c>
      <c r="Q22" s="6">
        <f>111.3+75.6+403.6</f>
        <v>590.5</v>
      </c>
      <c r="R22" s="6">
        <f>111.3+75.6+403.6</f>
        <v>590.5</v>
      </c>
      <c r="S22" s="6">
        <f>125.8+72.9+403.6</f>
        <v>602.29999999999995</v>
      </c>
      <c r="T22" s="6">
        <f>125.8+72.9+403.6</f>
        <v>602.29999999999995</v>
      </c>
      <c r="U22" s="6">
        <f>125.8+72.9+403.6</f>
        <v>602.29999999999995</v>
      </c>
      <c r="V22" s="6">
        <f>125.8+72.9+403.6</f>
        <v>602.29999999999995</v>
      </c>
      <c r="X22" s="6">
        <f>103.8+77.5+404.3</f>
        <v>585.6</v>
      </c>
      <c r="Y22" s="6">
        <f>103.8+77.5+404.3</f>
        <v>585.6</v>
      </c>
      <c r="Z22" s="6">
        <f>103.8+77.5+404.3</f>
        <v>585.6</v>
      </c>
      <c r="AA22" s="6">
        <f>103.8+77.5+404.3</f>
        <v>585.6</v>
      </c>
      <c r="AB22" s="6">
        <f t="shared" ref="AB22" si="58">106.4+76.8+404.3</f>
        <v>587.5</v>
      </c>
      <c r="AC22" s="6">
        <f t="shared" ref="AC22" si="59">111.3+75.6+403.6</f>
        <v>590.5</v>
      </c>
      <c r="AD22" s="6">
        <f t="shared" ref="AD22:AM22" si="60">125.8+72.9+403.6</f>
        <v>602.29999999999995</v>
      </c>
      <c r="AE22" s="6">
        <f t="shared" si="60"/>
        <v>602.29999999999995</v>
      </c>
      <c r="AF22" s="6">
        <f t="shared" si="60"/>
        <v>602.29999999999995</v>
      </c>
      <c r="AG22" s="6">
        <f t="shared" si="60"/>
        <v>602.29999999999995</v>
      </c>
      <c r="AH22" s="6">
        <f t="shared" si="60"/>
        <v>602.29999999999995</v>
      </c>
      <c r="AI22" s="6">
        <f t="shared" si="60"/>
        <v>602.29999999999995</v>
      </c>
      <c r="AJ22" s="6">
        <f t="shared" si="60"/>
        <v>602.29999999999995</v>
      </c>
      <c r="AK22" s="6">
        <f t="shared" si="60"/>
        <v>602.29999999999995</v>
      </c>
      <c r="AL22" s="6">
        <f t="shared" si="60"/>
        <v>602.29999999999995</v>
      </c>
      <c r="AM22" s="6">
        <f t="shared" si="60"/>
        <v>602.29999999999995</v>
      </c>
    </row>
    <row r="23" spans="2:151" x14ac:dyDescent="0.3">
      <c r="B23" t="s">
        <v>30</v>
      </c>
      <c r="F23" s="8">
        <f t="shared" ref="F23:N23" si="61">F21/F22</f>
        <v>-9.5628415300545982E-3</v>
      </c>
      <c r="G23" s="8">
        <f t="shared" si="61"/>
        <v>-1.2295081967213144E-2</v>
      </c>
      <c r="H23" s="8">
        <f t="shared" si="61"/>
        <v>-1.0416666666666609E-2</v>
      </c>
      <c r="I23" s="8">
        <f t="shared" si="61"/>
        <v>-7.513661202185838E-3</v>
      </c>
      <c r="J23" s="8">
        <f t="shared" si="61"/>
        <v>-1.0416666666666645E-2</v>
      </c>
      <c r="K23" s="8">
        <f t="shared" si="61"/>
        <v>-4.6106557377048321E-3</v>
      </c>
      <c r="L23" s="8">
        <f t="shared" si="61"/>
        <v>-1.5027322404371579E-2</v>
      </c>
      <c r="M23" s="8">
        <f t="shared" si="61"/>
        <v>-7.3428961748634135E-3</v>
      </c>
      <c r="N23" s="8">
        <f t="shared" si="61"/>
        <v>8.5106382978724741E-3</v>
      </c>
      <c r="O23" s="8">
        <f t="shared" ref="O23:S23" si="62">O21/O22</f>
        <v>-1.0197144799455209E-3</v>
      </c>
      <c r="P23" s="8">
        <f t="shared" si="62"/>
        <v>-2.3744911804613332E-3</v>
      </c>
      <c r="Q23" s="8">
        <f t="shared" si="62"/>
        <v>-4.4030482641828947E-2</v>
      </c>
      <c r="R23" s="8">
        <f t="shared" si="62"/>
        <v>-6.0965283657918755E-3</v>
      </c>
      <c r="S23" s="8">
        <f t="shared" si="62"/>
        <v>4.150755437489476E-3</v>
      </c>
      <c r="T23" s="8"/>
      <c r="U23" s="8"/>
      <c r="V23" s="8"/>
      <c r="X23" s="8">
        <f t="shared" ref="X23:AC23" si="63">X21/X22</f>
        <v>-0.18732923497267759</v>
      </c>
      <c r="Y23" s="8">
        <f t="shared" si="63"/>
        <v>-0.20884562841530055</v>
      </c>
      <c r="Z23" s="8">
        <f t="shared" si="63"/>
        <v>-0.13490437158469931</v>
      </c>
      <c r="AA23" s="8">
        <f t="shared" si="63"/>
        <v>-4.0642076502732501E-2</v>
      </c>
      <c r="AB23" s="8">
        <f t="shared" si="63"/>
        <v>-1.8382978723404213E-2</v>
      </c>
      <c r="AC23" s="8">
        <f t="shared" si="63"/>
        <v>-1.4733276883997797E-2</v>
      </c>
      <c r="AD23" s="8">
        <f t="shared" ref="AD23:AM23" si="64">AD21/AD22</f>
        <v>9.9090164369915093E-2</v>
      </c>
      <c r="AE23" s="8">
        <f t="shared" si="64"/>
        <v>0.34986480219159816</v>
      </c>
      <c r="AF23" s="8">
        <f t="shared" si="64"/>
        <v>0.58455484906192845</v>
      </c>
      <c r="AG23" s="8">
        <f t="shared" si="64"/>
        <v>0.74149533307072868</v>
      </c>
      <c r="AH23" s="8">
        <f t="shared" si="64"/>
        <v>0.88556881571523161</v>
      </c>
      <c r="AI23" s="8">
        <f t="shared" si="64"/>
        <v>1.0035799103538494</v>
      </c>
      <c r="AJ23" s="8">
        <f t="shared" si="64"/>
        <v>1.1163060277733501</v>
      </c>
      <c r="AK23" s="8">
        <f t="shared" si="64"/>
        <v>1.2395917009905753</v>
      </c>
      <c r="AL23" s="8">
        <f t="shared" si="64"/>
        <v>1.3745927970558904</v>
      </c>
      <c r="AM23" s="8">
        <f t="shared" si="64"/>
        <v>1.5226128056105506</v>
      </c>
    </row>
    <row r="25" spans="2:151" x14ac:dyDescent="0.3">
      <c r="B25" t="s">
        <v>43</v>
      </c>
      <c r="F25" s="10"/>
      <c r="G25" s="10"/>
      <c r="H25" s="10"/>
      <c r="I25" s="10"/>
      <c r="J25" s="10">
        <f t="shared" ref="J25:R28" si="65">J3/F3-1</f>
        <v>0.59949516196886843</v>
      </c>
      <c r="K25" s="10">
        <f t="shared" si="65"/>
        <v>0.7569479535118746</v>
      </c>
      <c r="L25" s="10">
        <f t="shared" si="65"/>
        <v>0.43905279503105565</v>
      </c>
      <c r="M25" s="10">
        <f t="shared" si="65"/>
        <v>0.49007936507936534</v>
      </c>
      <c r="N25" s="10">
        <f t="shared" si="65"/>
        <v>0.44292477643345607</v>
      </c>
      <c r="O25" s="10">
        <f t="shared" si="65"/>
        <v>0.33477135461604846</v>
      </c>
      <c r="P25" s="10">
        <f t="shared" si="65"/>
        <v>0.3849473968168331</v>
      </c>
      <c r="Q25" s="10">
        <f t="shared" si="65"/>
        <v>0.24079005770084327</v>
      </c>
      <c r="R25" s="10">
        <f t="shared" si="65"/>
        <v>6.1429092234779326E-2</v>
      </c>
      <c r="S25" s="10">
        <f t="shared" ref="S25:S28" si="66">S3/O3-1</f>
        <v>0.27192415427709538</v>
      </c>
      <c r="T25" s="10">
        <f t="shared" ref="T25:T28" si="67">T3/P3-1</f>
        <v>-1</v>
      </c>
      <c r="U25" s="10">
        <f t="shared" ref="U25:U28" si="68">U3/Q3-1</f>
        <v>-1</v>
      </c>
      <c r="V25" s="10">
        <f t="shared" ref="V25:V28" si="69">V3/R3-1</f>
        <v>-1</v>
      </c>
      <c r="X25" s="10"/>
      <c r="Y25" s="10">
        <f t="shared" ref="Y25:Z25" si="70">Y3/X3-1</f>
        <v>2.2146892655367232</v>
      </c>
      <c r="Z25" s="10">
        <f t="shared" si="70"/>
        <v>1.4956063268892796</v>
      </c>
      <c r="AA25" s="10">
        <f t="shared" ref="AA25:AB28" si="71">AA3/Z3-1</f>
        <v>1.0036971830985912</v>
      </c>
      <c r="AB25" s="10">
        <f t="shared" si="71"/>
        <v>0.50918196994991649</v>
      </c>
      <c r="AC25" s="10">
        <f t="shared" ref="AC25:AM25" si="72">AC3/AB3-1</f>
        <v>0.23363996273870513</v>
      </c>
      <c r="AD25" s="10">
        <f t="shared" si="72"/>
        <v>0.22999999999999998</v>
      </c>
      <c r="AE25" s="10">
        <f t="shared" si="72"/>
        <v>0.17999999999999994</v>
      </c>
      <c r="AF25" s="10">
        <f t="shared" si="72"/>
        <v>0.1399999999999999</v>
      </c>
      <c r="AG25" s="10">
        <f t="shared" si="72"/>
        <v>0.10000000000000009</v>
      </c>
      <c r="AH25" s="10">
        <f t="shared" si="72"/>
        <v>8.0000000000000071E-2</v>
      </c>
      <c r="AI25" s="10">
        <f t="shared" si="72"/>
        <v>6.0000000000000053E-2</v>
      </c>
      <c r="AJ25" s="10">
        <f t="shared" si="72"/>
        <v>5.0000000000000044E-2</v>
      </c>
      <c r="AK25" s="10">
        <f t="shared" si="72"/>
        <v>5.0000000000000044E-2</v>
      </c>
      <c r="AL25" s="10">
        <f t="shared" si="72"/>
        <v>5.0000000000000044E-2</v>
      </c>
      <c r="AM25" s="10">
        <f t="shared" si="72"/>
        <v>5.0000000000000044E-2</v>
      </c>
    </row>
    <row r="26" spans="2:151" x14ac:dyDescent="0.3">
      <c r="B26" t="s">
        <v>44</v>
      </c>
      <c r="F26" s="10"/>
      <c r="G26" s="10"/>
      <c r="H26" s="10"/>
      <c r="I26" s="10"/>
      <c r="J26" s="10">
        <f t="shared" si="65"/>
        <v>1.3333333333333335</v>
      </c>
      <c r="K26" s="10">
        <f t="shared" si="65"/>
        <v>0.83333333333333348</v>
      </c>
      <c r="L26" s="10">
        <f t="shared" si="65"/>
        <v>0.73333333333333339</v>
      </c>
      <c r="M26" s="10">
        <f t="shared" si="65"/>
        <v>0.94444444444444442</v>
      </c>
      <c r="N26" s="10">
        <f t="shared" si="65"/>
        <v>1.8095238095238098</v>
      </c>
      <c r="O26" s="10">
        <f t="shared" si="65"/>
        <v>1.5</v>
      </c>
      <c r="P26" s="10">
        <f t="shared" si="65"/>
        <v>1.5769230769230771</v>
      </c>
      <c r="Q26" s="10">
        <f t="shared" si="65"/>
        <v>1.3142857142857141</v>
      </c>
      <c r="R26" s="10">
        <f t="shared" si="65"/>
        <v>0.57627118644067798</v>
      </c>
      <c r="S26" s="10">
        <f t="shared" si="66"/>
        <v>0.98181818181818192</v>
      </c>
      <c r="T26" s="10">
        <f t="shared" si="67"/>
        <v>-1</v>
      </c>
      <c r="U26" s="10">
        <f t="shared" si="68"/>
        <v>-1</v>
      </c>
      <c r="V26" s="10">
        <f t="shared" si="69"/>
        <v>-1</v>
      </c>
      <c r="X26" s="10"/>
      <c r="Y26" s="10">
        <f t="shared" ref="Y26:Z26" si="73">Y4/X4-1</f>
        <v>0.53846153846153832</v>
      </c>
      <c r="Z26" s="10">
        <f t="shared" si="73"/>
        <v>-7.4999999999999956E-2</v>
      </c>
      <c r="AA26" s="10">
        <f t="shared" si="71"/>
        <v>0.78378378378378355</v>
      </c>
      <c r="AB26" s="10">
        <f t="shared" si="71"/>
        <v>1.1515151515151518</v>
      </c>
      <c r="AC26" s="10">
        <f t="shared" ref="AC26:AM26" si="74">AC4/AB4-1</f>
        <v>1.084507042253521</v>
      </c>
      <c r="AD26" s="10">
        <f t="shared" si="74"/>
        <v>0.79999999999999982</v>
      </c>
      <c r="AE26" s="10">
        <f t="shared" si="74"/>
        <v>0.60000000000000009</v>
      </c>
      <c r="AF26" s="10">
        <f t="shared" si="74"/>
        <v>0.39999999999999991</v>
      </c>
      <c r="AG26" s="10">
        <f t="shared" si="74"/>
        <v>0.30000000000000004</v>
      </c>
      <c r="AH26" s="10">
        <f t="shared" si="74"/>
        <v>0.19999999999999996</v>
      </c>
      <c r="AI26" s="10">
        <f t="shared" si="74"/>
        <v>0.10000000000000009</v>
      </c>
      <c r="AJ26" s="10">
        <f t="shared" si="74"/>
        <v>0.10000000000000009</v>
      </c>
      <c r="AK26" s="10">
        <f t="shared" si="74"/>
        <v>0.10000000000000009</v>
      </c>
      <c r="AL26" s="10">
        <f t="shared" si="74"/>
        <v>0.10000000000000009</v>
      </c>
      <c r="AM26" s="10">
        <f t="shared" si="74"/>
        <v>0.10000000000000009</v>
      </c>
      <c r="AP26" t="s">
        <v>53</v>
      </c>
      <c r="AQ26" s="10">
        <v>-0.01</v>
      </c>
    </row>
    <row r="27" spans="2:151" x14ac:dyDescent="0.3">
      <c r="B27" t="s">
        <v>45</v>
      </c>
      <c r="F27" s="10"/>
      <c r="G27" s="10"/>
      <c r="H27" s="10"/>
      <c r="I27" s="10"/>
      <c r="J27" s="10">
        <f t="shared" si="65"/>
        <v>0.63793103448275867</v>
      </c>
      <c r="K27" s="10">
        <f t="shared" si="65"/>
        <v>0.40277777777777768</v>
      </c>
      <c r="L27" s="10">
        <f t="shared" si="65"/>
        <v>1.5769230769230771</v>
      </c>
      <c r="M27" s="10">
        <f t="shared" si="65"/>
        <v>1.1038961038961039</v>
      </c>
      <c r="N27" s="10">
        <f t="shared" si="65"/>
        <v>1.3368421052631576</v>
      </c>
      <c r="O27" s="10">
        <f t="shared" si="65"/>
        <v>0.69306930693069324</v>
      </c>
      <c r="P27" s="10">
        <f t="shared" si="65"/>
        <v>0.47263681592039797</v>
      </c>
      <c r="Q27" s="10">
        <f t="shared" si="65"/>
        <v>0.53703703703703698</v>
      </c>
      <c r="R27" s="10">
        <f t="shared" si="65"/>
        <v>0.21171171171171177</v>
      </c>
      <c r="S27" s="10">
        <f t="shared" si="66"/>
        <v>0.68421052631578938</v>
      </c>
      <c r="T27" s="10">
        <f t="shared" si="67"/>
        <v>-1</v>
      </c>
      <c r="U27" s="10">
        <f t="shared" si="68"/>
        <v>-1</v>
      </c>
      <c r="V27" s="10">
        <f t="shared" si="69"/>
        <v>-1</v>
      </c>
      <c r="X27" s="10"/>
      <c r="Y27" s="10">
        <f t="shared" ref="Y27:Z27" si="75">Y5/X5-1</f>
        <v>8.5561497326203328E-2</v>
      </c>
      <c r="Z27" s="10">
        <f t="shared" si="75"/>
        <v>6.4039408866995107E-2</v>
      </c>
      <c r="AA27" s="10">
        <f t="shared" si="71"/>
        <v>0.4907407407407407</v>
      </c>
      <c r="AB27" s="10">
        <f t="shared" si="71"/>
        <v>1.1304347826086958</v>
      </c>
      <c r="AC27" s="10">
        <f t="shared" ref="AC27:AM27" si="76">AC5/AB5-1</f>
        <v>0.43586005830903773</v>
      </c>
      <c r="AD27" s="10">
        <f t="shared" si="76"/>
        <v>0.39999999999999969</v>
      </c>
      <c r="AE27" s="10">
        <f t="shared" si="76"/>
        <v>0.35000000000000009</v>
      </c>
      <c r="AF27" s="10">
        <f t="shared" si="76"/>
        <v>0.30000000000000004</v>
      </c>
      <c r="AG27" s="10">
        <f t="shared" si="76"/>
        <v>0.25</v>
      </c>
      <c r="AH27" s="10">
        <f t="shared" si="76"/>
        <v>0.19999999999999996</v>
      </c>
      <c r="AI27" s="10">
        <f t="shared" si="76"/>
        <v>0.14999999999999991</v>
      </c>
      <c r="AJ27" s="10">
        <f t="shared" si="76"/>
        <v>0.14999999999999991</v>
      </c>
      <c r="AK27" s="10">
        <f t="shared" si="76"/>
        <v>0.14999999999999991</v>
      </c>
      <c r="AL27" s="10">
        <f t="shared" si="76"/>
        <v>0.14999999999999991</v>
      </c>
      <c r="AM27" s="10">
        <f t="shared" si="76"/>
        <v>0.14999999999999991</v>
      </c>
      <c r="AP27" t="s">
        <v>54</v>
      </c>
      <c r="AQ27" s="10">
        <v>0.08</v>
      </c>
    </row>
    <row r="28" spans="2:151" x14ac:dyDescent="0.3">
      <c r="B28" t="s">
        <v>41</v>
      </c>
      <c r="F28" s="10"/>
      <c r="G28" s="10"/>
      <c r="H28" s="10"/>
      <c r="I28" s="10"/>
      <c r="J28" s="10">
        <f t="shared" si="65"/>
        <v>0.60310965630114577</v>
      </c>
      <c r="K28" s="10">
        <f t="shared" si="65"/>
        <v>0.74503150751333025</v>
      </c>
      <c r="L28" s="10">
        <f t="shared" si="65"/>
        <v>0.47396028475084284</v>
      </c>
      <c r="M28" s="10">
        <f t="shared" si="65"/>
        <v>0.50785508175697358</v>
      </c>
      <c r="N28" s="10">
        <f t="shared" si="65"/>
        <v>0.4719244512506382</v>
      </c>
      <c r="O28" s="10">
        <f t="shared" si="65"/>
        <v>0.35194444444444462</v>
      </c>
      <c r="P28" s="10">
        <f t="shared" si="65"/>
        <v>0.39730554143365526</v>
      </c>
      <c r="Q28" s="10">
        <f t="shared" si="65"/>
        <v>0.25898362747182646</v>
      </c>
      <c r="R28" s="10">
        <f t="shared" si="65"/>
        <v>7.2481359458990591E-2</v>
      </c>
      <c r="S28" s="10">
        <f t="shared" si="66"/>
        <v>0.29443188822683353</v>
      </c>
      <c r="T28" s="10">
        <f t="shared" si="67"/>
        <v>-1</v>
      </c>
      <c r="U28" s="10">
        <f t="shared" si="68"/>
        <v>-1</v>
      </c>
      <c r="V28" s="10">
        <f t="shared" si="69"/>
        <v>-1</v>
      </c>
      <c r="X28" s="10"/>
      <c r="Y28" s="10">
        <f t="shared" ref="Y28:Z28" si="77">Y6/X6-1</f>
        <v>1.7350705754614553</v>
      </c>
      <c r="Z28" s="10">
        <f t="shared" si="77"/>
        <v>1.3552997221119494</v>
      </c>
      <c r="AA28" s="10">
        <f t="shared" si="71"/>
        <v>0.98365076689701625</v>
      </c>
      <c r="AB28" s="10">
        <f t="shared" si="71"/>
        <v>0.52978162970515763</v>
      </c>
      <c r="AC28" s="10">
        <f t="shared" ref="AC28:AM28" si="78">AC6/AB6-1</f>
        <v>0.24805598755832015</v>
      </c>
      <c r="AD28" s="10">
        <f t="shared" si="78"/>
        <v>0.24496083667111712</v>
      </c>
      <c r="AE28" s="10">
        <f t="shared" si="78"/>
        <v>0.19637955163798715</v>
      </c>
      <c r="AF28" s="10">
        <f t="shared" si="78"/>
        <v>0.15552262496163238</v>
      </c>
      <c r="AG28" s="10">
        <f t="shared" si="78"/>
        <v>0.11555913578701293</v>
      </c>
      <c r="AH28" s="10">
        <f t="shared" si="78"/>
        <v>9.2730176020245914E-2</v>
      </c>
      <c r="AI28" s="10">
        <f t="shared" si="78"/>
        <v>6.8510219862546462E-2</v>
      </c>
      <c r="AJ28" s="10">
        <f t="shared" si="78"/>
        <v>6.0320683198269442E-2</v>
      </c>
      <c r="AK28" s="10">
        <f t="shared" si="78"/>
        <v>6.109772022789306E-2</v>
      </c>
      <c r="AL28" s="10">
        <f t="shared" si="78"/>
        <v>6.1928148499818869E-2</v>
      </c>
      <c r="AM28" s="10">
        <f t="shared" si="78"/>
        <v>6.2814480696631092E-2</v>
      </c>
      <c r="AP28" t="s">
        <v>55</v>
      </c>
      <c r="AQ28" s="6">
        <f>NPV(AQ27,AD21:EU21)</f>
        <v>7894.5354040591974</v>
      </c>
    </row>
    <row r="29" spans="2:151" x14ac:dyDescent="0.3">
      <c r="B29" t="s">
        <v>46</v>
      </c>
      <c r="F29" s="10">
        <f t="shared" ref="F29:N29" si="79">(F3-F7)/F3</f>
        <v>0.15986537652503155</v>
      </c>
      <c r="G29" s="10">
        <f t="shared" si="79"/>
        <v>0.18696311268317331</v>
      </c>
      <c r="H29" s="10">
        <f t="shared" si="79"/>
        <v>0.17274844720496904</v>
      </c>
      <c r="I29" s="10">
        <f t="shared" si="79"/>
        <v>0.19080687830687829</v>
      </c>
      <c r="J29" s="10">
        <f t="shared" si="79"/>
        <v>0.15465544450289326</v>
      </c>
      <c r="K29" s="10">
        <f t="shared" si="79"/>
        <v>0.18349151567443203</v>
      </c>
      <c r="L29" s="10">
        <f t="shared" si="79"/>
        <v>7.7151335311572616E-2</v>
      </c>
      <c r="M29" s="10">
        <f t="shared" si="79"/>
        <v>0.11495783399911232</v>
      </c>
      <c r="N29" s="10">
        <f t="shared" si="79"/>
        <v>0.19431279620853084</v>
      </c>
      <c r="O29" s="10">
        <f t="shared" ref="O29:R29" si="80">(O3-O7)/O3</f>
        <v>0.17733247145011852</v>
      </c>
      <c r="P29" s="10">
        <f t="shared" si="80"/>
        <v>0.19244253992987917</v>
      </c>
      <c r="Q29" s="10">
        <f t="shared" si="80"/>
        <v>0.18100518690753004</v>
      </c>
      <c r="R29" s="10">
        <f t="shared" si="80"/>
        <v>0.21655504035720416</v>
      </c>
      <c r="S29" s="10">
        <f t="shared" ref="S29:V29" si="81">(S3-S7)/S3</f>
        <v>0.20396408605793662</v>
      </c>
      <c r="T29" s="10" t="e">
        <f t="shared" si="81"/>
        <v>#DIV/0!</v>
      </c>
      <c r="U29" s="10" t="e">
        <f t="shared" si="81"/>
        <v>#DIV/0!</v>
      </c>
      <c r="V29" s="10" t="e">
        <f t="shared" si="81"/>
        <v>#DIV/0!</v>
      </c>
      <c r="X29" s="10">
        <f t="shared" ref="X29:Z29" si="82">(X3-X7)/X3</f>
        <v>-0.12005649717514125</v>
      </c>
      <c r="Y29" s="10">
        <f t="shared" si="82"/>
        <v>4.8330404217926184E-2</v>
      </c>
      <c r="Z29" s="10">
        <f t="shared" si="82"/>
        <v>0.18274647887323944</v>
      </c>
      <c r="AA29" s="10">
        <f>(AA3-AA7)/AA3</f>
        <v>0.17397416747210254</v>
      </c>
      <c r="AB29" s="10">
        <f>(AB3-AB7)/AB3</f>
        <v>0.14601769911504422</v>
      </c>
      <c r="AC29" s="10">
        <f t="shared" ref="AC29:AM29" si="83">(AC3-AC7)/AC3</f>
        <v>0.19274151682476731</v>
      </c>
      <c r="AD29" s="10">
        <f t="shared" si="83"/>
        <v>0.22</v>
      </c>
      <c r="AE29" s="10">
        <f t="shared" si="83"/>
        <v>0.23999999999999996</v>
      </c>
      <c r="AF29" s="10">
        <f t="shared" si="83"/>
        <v>0.25000000000000006</v>
      </c>
      <c r="AG29" s="10">
        <f t="shared" si="83"/>
        <v>0.25000000000000006</v>
      </c>
      <c r="AH29" s="10">
        <f t="shared" si="83"/>
        <v>0.24999999999999994</v>
      </c>
      <c r="AI29" s="10">
        <f t="shared" si="83"/>
        <v>0.25</v>
      </c>
      <c r="AJ29" s="10">
        <f t="shared" si="83"/>
        <v>0.25</v>
      </c>
      <c r="AK29" s="10">
        <f t="shared" si="83"/>
        <v>0.25</v>
      </c>
      <c r="AL29" s="10">
        <f t="shared" si="83"/>
        <v>0.25000000000000006</v>
      </c>
      <c r="AM29" s="10">
        <f t="shared" si="83"/>
        <v>0.25000000000000006</v>
      </c>
      <c r="AP29" t="s">
        <v>60</v>
      </c>
      <c r="AQ29" s="6">
        <f>Main!D8</f>
        <v>1962.6</v>
      </c>
    </row>
    <row r="30" spans="2:151" x14ac:dyDescent="0.3">
      <c r="B30" t="s">
        <v>47</v>
      </c>
      <c r="F30" s="10">
        <f t="shared" ref="F30:N30" si="84">(F4-F8)/F4</f>
        <v>-0.33333333333333326</v>
      </c>
      <c r="G30" s="10">
        <f t="shared" si="84"/>
        <v>-0.41666666666666669</v>
      </c>
      <c r="H30" s="10">
        <f t="shared" si="84"/>
        <v>-0.40000000000000008</v>
      </c>
      <c r="I30" s="10">
        <f t="shared" si="84"/>
        <v>-1</v>
      </c>
      <c r="J30" s="10">
        <f t="shared" si="84"/>
        <v>0.14285714285714288</v>
      </c>
      <c r="K30" s="10">
        <f t="shared" si="84"/>
        <v>0.22727272727272735</v>
      </c>
      <c r="L30" s="10">
        <f t="shared" si="84"/>
        <v>0.26923076923076927</v>
      </c>
      <c r="M30" s="10">
        <f t="shared" si="84"/>
        <v>0.2857142857142857</v>
      </c>
      <c r="N30" s="10">
        <f t="shared" si="84"/>
        <v>0.5423728813559322</v>
      </c>
      <c r="O30" s="10">
        <f t="shared" ref="O30:R30" si="85">(O4-O8)/O4</f>
        <v>0.65454545454545454</v>
      </c>
      <c r="P30" s="10">
        <f t="shared" si="85"/>
        <v>0.68656716417910446</v>
      </c>
      <c r="Q30" s="10">
        <f t="shared" si="85"/>
        <v>0.77777777777777779</v>
      </c>
      <c r="R30" s="10">
        <f t="shared" si="85"/>
        <v>0.69892473118279574</v>
      </c>
      <c r="S30" s="10">
        <f t="shared" ref="S30:V30" si="86">(S4-S8)/S4</f>
        <v>0.72477064220183485</v>
      </c>
      <c r="T30" s="10" t="e">
        <f t="shared" si="86"/>
        <v>#DIV/0!</v>
      </c>
      <c r="U30" s="10" t="e">
        <f t="shared" si="86"/>
        <v>#DIV/0!</v>
      </c>
      <c r="V30" s="10" t="e">
        <f t="shared" si="86"/>
        <v>#DIV/0!</v>
      </c>
      <c r="X30" s="10">
        <f t="shared" ref="X30:Z30" si="87">(X4-X8)/X4</f>
        <v>-0.42307692307692307</v>
      </c>
      <c r="Y30" s="10">
        <f t="shared" si="87"/>
        <v>0.25</v>
      </c>
      <c r="Z30" s="10">
        <f t="shared" si="87"/>
        <v>-0.18918918918918923</v>
      </c>
      <c r="AA30" s="10">
        <f t="shared" ref="AA30:AB30" si="88">(AA4-AA8)/AA4</f>
        <v>-0.3939393939393942</v>
      </c>
      <c r="AB30" s="10">
        <f t="shared" si="88"/>
        <v>0.38028169014084506</v>
      </c>
      <c r="AC30" s="10">
        <f t="shared" ref="AC30:AM30" si="89">(AC4-AC8)/AC4</f>
        <v>0.70945945945945954</v>
      </c>
      <c r="AD30" s="10">
        <f t="shared" si="89"/>
        <v>0.35</v>
      </c>
      <c r="AE30" s="10">
        <f t="shared" si="89"/>
        <v>0.35</v>
      </c>
      <c r="AF30" s="10">
        <f t="shared" si="89"/>
        <v>0.34999999999999992</v>
      </c>
      <c r="AG30" s="10">
        <f t="shared" si="89"/>
        <v>0.35</v>
      </c>
      <c r="AH30" s="10">
        <f t="shared" si="89"/>
        <v>0.35</v>
      </c>
      <c r="AI30" s="10">
        <f t="shared" si="89"/>
        <v>0.34999999999999992</v>
      </c>
      <c r="AJ30" s="10">
        <f t="shared" si="89"/>
        <v>0.34999999999999992</v>
      </c>
      <c r="AK30" s="10">
        <f t="shared" si="89"/>
        <v>0.35</v>
      </c>
      <c r="AL30" s="10">
        <f t="shared" si="89"/>
        <v>0.35</v>
      </c>
      <c r="AM30" s="10">
        <f t="shared" si="89"/>
        <v>0.35</v>
      </c>
      <c r="AP30" t="s">
        <v>61</v>
      </c>
      <c r="AQ30" s="6">
        <f>AQ28+AQ29</f>
        <v>9857.1354040591978</v>
      </c>
    </row>
    <row r="31" spans="2:151" x14ac:dyDescent="0.3">
      <c r="B31" t="s">
        <v>48</v>
      </c>
      <c r="F31" s="10">
        <f t="shared" ref="F31:N31" si="90">(F5-F9)/F5</f>
        <v>-0.17241379310344829</v>
      </c>
      <c r="G31" s="10">
        <f t="shared" si="90"/>
        <v>-0.18055555555555552</v>
      </c>
      <c r="H31" s="10">
        <f t="shared" si="90"/>
        <v>-0.12820512820512833</v>
      </c>
      <c r="I31" s="10">
        <f t="shared" si="90"/>
        <v>-0.38961038961038946</v>
      </c>
      <c r="J31" s="10">
        <f t="shared" si="90"/>
        <v>-3.157894736842113E-2</v>
      </c>
      <c r="K31" s="10">
        <f t="shared" si="90"/>
        <v>-9.9009900990098664E-3</v>
      </c>
      <c r="L31" s="10">
        <f t="shared" si="90"/>
        <v>4.9751243781094523E-2</v>
      </c>
      <c r="M31" s="10">
        <f t="shared" si="90"/>
        <v>0.12962962962962962</v>
      </c>
      <c r="N31" s="10">
        <f t="shared" si="90"/>
        <v>-5.4054054054054022E-2</v>
      </c>
      <c r="O31" s="10">
        <f t="shared" ref="O31:R31" si="91">(O5-O9)/O5</f>
        <v>-0.34502923976608174</v>
      </c>
      <c r="P31" s="10">
        <f t="shared" si="91"/>
        <v>0.14864864864864871</v>
      </c>
      <c r="Q31" s="10">
        <f t="shared" si="91"/>
        <v>4.0160642570280271E-3</v>
      </c>
      <c r="R31" s="10">
        <f t="shared" si="91"/>
        <v>-0.20446096654275095</v>
      </c>
      <c r="S31" s="10">
        <f t="shared" ref="S31:V31" si="92">(S5-S9)/S5</f>
        <v>0.17708333333333337</v>
      </c>
      <c r="T31" s="10" t="e">
        <f t="shared" si="92"/>
        <v>#DIV/0!</v>
      </c>
      <c r="U31" s="10" t="e">
        <f t="shared" si="92"/>
        <v>#DIV/0!</v>
      </c>
      <c r="V31" s="10" t="e">
        <f t="shared" si="92"/>
        <v>#DIV/0!</v>
      </c>
      <c r="X31" s="10">
        <f t="shared" ref="X31:Z31" si="93">(X5-X9)/X5</f>
        <v>-0.50267379679144397</v>
      </c>
      <c r="Y31" s="10">
        <f t="shared" si="93"/>
        <v>-7.8817733990147673E-2</v>
      </c>
      <c r="Z31" s="10">
        <f t="shared" si="93"/>
        <v>-0.16203703703703703</v>
      </c>
      <c r="AA31" s="10">
        <f t="shared" ref="AA31:AB31" si="94">(AA5-AA9)/AA5</f>
        <v>-0.17391304347826067</v>
      </c>
      <c r="AB31" s="10">
        <f t="shared" si="94"/>
        <v>2.623906705539375E-2</v>
      </c>
      <c r="AC31" s="10">
        <f t="shared" ref="AC31:AM31" si="95">(AC5-AC9)/AC5</f>
        <v>-7.0050761421319857E-2</v>
      </c>
      <c r="AD31" s="10">
        <f t="shared" si="95"/>
        <v>0.25</v>
      </c>
      <c r="AE31" s="10">
        <f t="shared" si="95"/>
        <v>0.35</v>
      </c>
      <c r="AF31" s="10">
        <f t="shared" si="95"/>
        <v>0.4</v>
      </c>
      <c r="AG31" s="10">
        <f t="shared" si="95"/>
        <v>0.4</v>
      </c>
      <c r="AH31" s="10">
        <f t="shared" si="95"/>
        <v>0.39999999999999997</v>
      </c>
      <c r="AI31" s="10">
        <f t="shared" si="95"/>
        <v>0.4</v>
      </c>
      <c r="AJ31" s="10">
        <f t="shared" si="95"/>
        <v>0.4</v>
      </c>
      <c r="AK31" s="10">
        <f t="shared" si="95"/>
        <v>0.39999999999999997</v>
      </c>
      <c r="AL31" s="10">
        <f t="shared" si="95"/>
        <v>0.4</v>
      </c>
      <c r="AM31" s="10">
        <f t="shared" si="95"/>
        <v>0.4</v>
      </c>
      <c r="AP31" t="s">
        <v>62</v>
      </c>
      <c r="AQ31" s="3">
        <f>AQ30/AM22</f>
        <v>16.365823350588077</v>
      </c>
    </row>
    <row r="32" spans="2:151" x14ac:dyDescent="0.3">
      <c r="B32" t="s">
        <v>42</v>
      </c>
      <c r="F32" s="10">
        <f t="shared" ref="F32:L32" si="96">F11/F6</f>
        <v>0.15016366612111301</v>
      </c>
      <c r="G32" s="10">
        <f t="shared" si="96"/>
        <v>0.1706253029568589</v>
      </c>
      <c r="H32" s="10">
        <f t="shared" si="96"/>
        <v>0.16073435743724251</v>
      </c>
      <c r="I32" s="10">
        <f t="shared" si="96"/>
        <v>0.16960564283424168</v>
      </c>
      <c r="J32" s="10">
        <f t="shared" si="96"/>
        <v>0.15007656967840738</v>
      </c>
      <c r="K32" s="10">
        <f t="shared" si="96"/>
        <v>0.17833333333333345</v>
      </c>
      <c r="L32" s="10">
        <f t="shared" si="96"/>
        <v>7.7020843924758539E-2</v>
      </c>
      <c r="M32" s="10">
        <f>M11/M6</f>
        <v>0.11673399957473948</v>
      </c>
      <c r="N32" s="10">
        <f>N11/N6</f>
        <v>0.18831281428819155</v>
      </c>
      <c r="O32" s="10">
        <f t="shared" ref="O32:R32" si="97">O11/O6</f>
        <v>0.16437230326689964</v>
      </c>
      <c r="P32" s="10">
        <f t="shared" si="97"/>
        <v>0.19610696743678371</v>
      </c>
      <c r="Q32" s="10">
        <f t="shared" si="97"/>
        <v>0.18172605978719814</v>
      </c>
      <c r="R32" s="10">
        <f t="shared" si="97"/>
        <v>0.20549717057396918</v>
      </c>
      <c r="S32" s="10">
        <f t="shared" ref="S32:V32" si="98">S11/S6</f>
        <v>0.21174603174603165</v>
      </c>
      <c r="T32" s="10" t="e">
        <f t="shared" si="98"/>
        <v>#DIV/0!</v>
      </c>
      <c r="U32" s="10" t="e">
        <f t="shared" si="98"/>
        <v>#DIV/0!</v>
      </c>
      <c r="V32" s="10" t="e">
        <f t="shared" si="98"/>
        <v>#DIV/0!</v>
      </c>
      <c r="X32" s="10">
        <f t="shared" ref="X32:Z32" si="99">X11/X6</f>
        <v>-0.20629750271444083</v>
      </c>
      <c r="Y32" s="10">
        <f t="shared" si="99"/>
        <v>4.1286224692338253E-2</v>
      </c>
      <c r="Z32" s="10">
        <f t="shared" si="99"/>
        <v>0.16787459969661228</v>
      </c>
      <c r="AA32" s="10">
        <f>AA11/AA6</f>
        <v>0.16127113603534698</v>
      </c>
      <c r="AB32" s="10">
        <f>AB11/AB6</f>
        <v>0.14330148855809821</v>
      </c>
      <c r="AC32" s="10">
        <f t="shared" ref="AC32:AM32" si="100">AC11/AC6</f>
        <v>0.18802848242100553</v>
      </c>
      <c r="AD32" s="10">
        <f t="shared" si="100"/>
        <v>0.22395484850900488</v>
      </c>
      <c r="AE32" s="10">
        <f t="shared" si="100"/>
        <v>0.24892063123778213</v>
      </c>
      <c r="AF32" s="10">
        <f t="shared" si="100"/>
        <v>0.26247306390644298</v>
      </c>
      <c r="AG32" s="10">
        <f t="shared" si="100"/>
        <v>0.26411456638376585</v>
      </c>
      <c r="AH32" s="10">
        <f t="shared" si="100"/>
        <v>0.26550014819047607</v>
      </c>
      <c r="AI32" s="10">
        <f t="shared" si="100"/>
        <v>0.26649745863767255</v>
      </c>
      <c r="AJ32" s="10">
        <f t="shared" si="100"/>
        <v>0.26770105116563131</v>
      </c>
      <c r="AK32" s="10">
        <f t="shared" si="100"/>
        <v>0.26898535289604719</v>
      </c>
      <c r="AL32" s="10">
        <f t="shared" si="100"/>
        <v>0.27035404168514149</v>
      </c>
      <c r="AM32" s="10">
        <f t="shared" si="100"/>
        <v>0.27181065861530207</v>
      </c>
      <c r="AP32" t="s">
        <v>63</v>
      </c>
      <c r="AQ32" s="3">
        <f>Main!D3</f>
        <v>53.78</v>
      </c>
    </row>
    <row r="33" spans="2:43" x14ac:dyDescent="0.3">
      <c r="B33" t="s">
        <v>49</v>
      </c>
      <c r="F33" s="10"/>
      <c r="G33" s="10"/>
      <c r="H33" s="10"/>
      <c r="I33" s="10"/>
      <c r="J33" s="10">
        <f t="shared" ref="J33:L33" si="101">J12/F12-1</f>
        <v>5.2873563218390762E-2</v>
      </c>
      <c r="K33" s="10">
        <f t="shared" si="101"/>
        <v>-0.16962524654832345</v>
      </c>
      <c r="L33" s="10">
        <f t="shared" si="101"/>
        <v>-6.4386317907444757E-2</v>
      </c>
      <c r="M33" s="10">
        <f>M12/I12-1</f>
        <v>-8.4016393442622794E-2</v>
      </c>
      <c r="N33" s="10">
        <f>N12/J12-1</f>
        <v>-0.12445414847161562</v>
      </c>
      <c r="O33" s="10">
        <f t="shared" ref="O33:R33" si="102">O12/K12-1</f>
        <v>3.562945368171011E-2</v>
      </c>
      <c r="P33" s="10">
        <f t="shared" si="102"/>
        <v>0.32258064516129026</v>
      </c>
      <c r="Q33" s="10">
        <f t="shared" si="102"/>
        <v>0.16554809843400453</v>
      </c>
      <c r="R33" s="10">
        <f t="shared" si="102"/>
        <v>0.46384039900249374</v>
      </c>
      <c r="S33" s="10">
        <f t="shared" ref="S33:S34" si="103">S12/O12-1</f>
        <v>-1.3761467889908285E-2</v>
      </c>
      <c r="T33" s="10">
        <f t="shared" ref="T33:T34" si="104">T12/P12-1</f>
        <v>-1</v>
      </c>
      <c r="U33" s="10">
        <f t="shared" ref="U33:U34" si="105">U12/Q12-1</f>
        <v>-1</v>
      </c>
      <c r="V33" s="10">
        <f t="shared" ref="V33:V34" si="106">V12/R12-1</f>
        <v>-1</v>
      </c>
      <c r="X33" s="10"/>
      <c r="Y33" s="10">
        <f t="shared" ref="Y33:Z33" si="107">Y12/X12-1</f>
        <v>0.31305903398926671</v>
      </c>
      <c r="Z33" s="10">
        <f t="shared" si="107"/>
        <v>0.69073569482288799</v>
      </c>
      <c r="AA33" s="10">
        <f>AA12/Z12-1</f>
        <v>0.57131345688960522</v>
      </c>
      <c r="AB33" s="10">
        <f>AB12/AA12-1</f>
        <v>-0.11076923076923073</v>
      </c>
      <c r="AC33" s="10">
        <f t="shared" ref="AC33:AM33" si="108">AC12/AB12-1</f>
        <v>0.24509803921568607</v>
      </c>
      <c r="AD33" s="10">
        <f t="shared" si="108"/>
        <v>0.1100000000000001</v>
      </c>
      <c r="AE33" s="10">
        <f t="shared" si="108"/>
        <v>5.0000000000000044E-2</v>
      </c>
      <c r="AF33" s="10">
        <f t="shared" si="108"/>
        <v>2.9999999999999805E-2</v>
      </c>
      <c r="AG33" s="10">
        <f t="shared" si="108"/>
        <v>2.0000000000000018E-2</v>
      </c>
      <c r="AH33" s="10">
        <f t="shared" si="108"/>
        <v>2.0000000000000018E-2</v>
      </c>
      <c r="AI33" s="10">
        <f t="shared" si="108"/>
        <v>2.0000000000000018E-2</v>
      </c>
      <c r="AJ33" s="10">
        <f t="shared" si="108"/>
        <v>2.0000000000000018E-2</v>
      </c>
      <c r="AK33" s="10">
        <f t="shared" si="108"/>
        <v>2.0000000000000018E-2</v>
      </c>
      <c r="AL33" s="10">
        <f t="shared" si="108"/>
        <v>2.0000000000000018E-2</v>
      </c>
      <c r="AM33" s="10">
        <f t="shared" si="108"/>
        <v>2.0000000000000018E-2</v>
      </c>
      <c r="AP33" s="1" t="s">
        <v>64</v>
      </c>
      <c r="AQ33" s="11">
        <f>AQ31/AQ32-1</f>
        <v>-0.69568941333975309</v>
      </c>
    </row>
    <row r="34" spans="2:43" x14ac:dyDescent="0.3">
      <c r="B34" t="s">
        <v>50</v>
      </c>
      <c r="F34" s="10"/>
      <c r="G34" s="10"/>
      <c r="H34" s="10"/>
      <c r="I34" s="10"/>
      <c r="J34" s="10">
        <f t="shared" ref="J34:L34" si="109">J13/F13-1</f>
        <v>0.40546218487394969</v>
      </c>
      <c r="K34" s="10">
        <f t="shared" si="109"/>
        <v>-0.12962962962962965</v>
      </c>
      <c r="L34" s="10">
        <f t="shared" si="109"/>
        <v>-4.3222003929273001E-2</v>
      </c>
      <c r="M34" s="10">
        <f>M13/I13-1</f>
        <v>3.9045553145336198E-2</v>
      </c>
      <c r="N34" s="10">
        <f>N13/J13-1</f>
        <v>-0.32137518684603894</v>
      </c>
      <c r="O34" s="10">
        <f t="shared" ref="O34:R34" si="110">O13/K13-1</f>
        <v>0.30000000000000004</v>
      </c>
      <c r="P34" s="10">
        <f t="shared" si="110"/>
        <v>0.60780287474332639</v>
      </c>
      <c r="Q34" s="10">
        <f t="shared" si="110"/>
        <v>0.58037578288100211</v>
      </c>
      <c r="R34" s="10">
        <f t="shared" si="110"/>
        <v>0.84140969162995582</v>
      </c>
      <c r="S34" s="10">
        <f t="shared" si="103"/>
        <v>0.32896890343698848</v>
      </c>
      <c r="T34" s="10">
        <f t="shared" si="104"/>
        <v>-1</v>
      </c>
      <c r="U34" s="10">
        <f t="shared" si="105"/>
        <v>-1</v>
      </c>
      <c r="V34" s="10">
        <f t="shared" si="106"/>
        <v>-1</v>
      </c>
      <c r="X34" s="10"/>
      <c r="Y34" s="10">
        <f t="shared" ref="Y34:Z34" si="111">Y13/X13-1</f>
        <v>0.6685393258426966</v>
      </c>
      <c r="Z34" s="10">
        <f t="shared" si="111"/>
        <v>0.95117845117845135</v>
      </c>
      <c r="AA34" s="10">
        <f>AA13/Z13-1</f>
        <v>0.88006902502157036</v>
      </c>
      <c r="AB34" s="10">
        <f>AB13/AA13-1</f>
        <v>-0.13262964662689314</v>
      </c>
      <c r="AC34" s="10">
        <f t="shared" ref="AC34:AM34" si="112">AC13/AB13-1</f>
        <v>0.58042328042328073</v>
      </c>
      <c r="AD34" s="10">
        <f t="shared" si="112"/>
        <v>0.19999999999999996</v>
      </c>
      <c r="AE34" s="10">
        <f t="shared" si="112"/>
        <v>8.0000000000000071E-2</v>
      </c>
      <c r="AF34" s="10">
        <f t="shared" si="112"/>
        <v>5.0000000000000044E-2</v>
      </c>
      <c r="AG34" s="10">
        <f t="shared" si="112"/>
        <v>4.0000000000000036E-2</v>
      </c>
      <c r="AH34" s="10">
        <f t="shared" si="112"/>
        <v>3.0000000000000027E-2</v>
      </c>
      <c r="AI34" s="10">
        <f t="shared" si="112"/>
        <v>2.0000000000000018E-2</v>
      </c>
      <c r="AJ34" s="10">
        <f t="shared" si="112"/>
        <v>2.0000000000000018E-2</v>
      </c>
      <c r="AK34" s="10">
        <f t="shared" si="112"/>
        <v>2.0000000000000018E-2</v>
      </c>
      <c r="AL34" s="10">
        <f t="shared" si="112"/>
        <v>2.0000000000000018E-2</v>
      </c>
      <c r="AM34" s="10">
        <f t="shared" si="112"/>
        <v>2.0000000000000018E-2</v>
      </c>
      <c r="AP34" t="s">
        <v>65</v>
      </c>
      <c r="AQ34" s="7" t="s">
        <v>67</v>
      </c>
    </row>
    <row r="35" spans="2:43" x14ac:dyDescent="0.3">
      <c r="B35" t="s">
        <v>51</v>
      </c>
      <c r="F35" s="10">
        <f t="shared" ref="F35:L35" si="113">F16/F6</f>
        <v>-0.22258592471358418</v>
      </c>
      <c r="G35" s="10">
        <f t="shared" si="113"/>
        <v>-0.33688802714493465</v>
      </c>
      <c r="H35" s="10">
        <f t="shared" si="113"/>
        <v>-0.21618583739228159</v>
      </c>
      <c r="I35" s="10">
        <f t="shared" si="113"/>
        <v>-0.13465854440525821</v>
      </c>
      <c r="J35" s="10">
        <f t="shared" si="113"/>
        <v>-0.13757018887187339</v>
      </c>
      <c r="K35" s="10">
        <f t="shared" si="113"/>
        <v>-6.9166666666666529E-2</v>
      </c>
      <c r="L35" s="10">
        <f t="shared" si="113"/>
        <v>-0.16497203863751903</v>
      </c>
      <c r="M35" s="10">
        <f>M16/M6</f>
        <v>-8.0161598979374901E-2</v>
      </c>
      <c r="N35" s="10">
        <f>N16/N6</f>
        <v>4.0055488122074004E-2</v>
      </c>
      <c r="O35" s="10">
        <f t="shared" ref="O35:R35" si="114">O16/O6</f>
        <v>-5.0749948633655111E-2</v>
      </c>
      <c r="P35" s="10">
        <f t="shared" si="114"/>
        <v>-5.8213571038748406E-2</v>
      </c>
      <c r="Q35" s="10">
        <f t="shared" si="114"/>
        <v>-6.1813882790069233E-2</v>
      </c>
      <c r="R35" s="10">
        <f t="shared" si="114"/>
        <v>-3.5084882780921756E-2</v>
      </c>
      <c r="S35" s="10">
        <f t="shared" ref="S35:V35" si="115">S16/S6</f>
        <v>1.0317460317460184E-2</v>
      </c>
      <c r="T35" s="10" t="e">
        <f t="shared" si="115"/>
        <v>#DIV/0!</v>
      </c>
      <c r="U35" s="10" t="e">
        <f t="shared" si="115"/>
        <v>#DIV/0!</v>
      </c>
      <c r="V35" s="10" t="e">
        <f t="shared" si="115"/>
        <v>#DIV/0!</v>
      </c>
      <c r="X35" s="10">
        <f t="shared" ref="X35:Z35" si="116">X16/X6</f>
        <v>-1.1997828447339849</v>
      </c>
      <c r="Y35" s="10">
        <f t="shared" si="116"/>
        <v>-0.48590710599444226</v>
      </c>
      <c r="Z35" s="10">
        <f t="shared" si="116"/>
        <v>-0.23664250800606759</v>
      </c>
      <c r="AA35" s="10">
        <f>AA16/AA6</f>
        <v>-0.18956580847990498</v>
      </c>
      <c r="AB35" s="10">
        <f>AB16/AB6</f>
        <v>-5.7987113974672287E-2</v>
      </c>
      <c r="AC35" s="10">
        <f t="shared" ref="AC35:AM35" si="117">AC16/AC6</f>
        <v>-4.0987983978638509E-2</v>
      </c>
      <c r="AD35" s="10">
        <f t="shared" si="117"/>
        <v>1.0155167587929852E-2</v>
      </c>
      <c r="AE35" s="10">
        <f t="shared" si="117"/>
        <v>5.8066795971677111E-2</v>
      </c>
      <c r="AF35" s="10">
        <f t="shared" si="117"/>
        <v>9.0349384063124608E-2</v>
      </c>
      <c r="AG35" s="10">
        <f t="shared" si="117"/>
        <v>0.10485070712567189</v>
      </c>
      <c r="AH35" s="10">
        <f t="shared" si="117"/>
        <v>0.11593989981648624</v>
      </c>
      <c r="AI35" s="10">
        <f t="shared" si="117"/>
        <v>0.12372722536737785</v>
      </c>
      <c r="AJ35" s="10">
        <f t="shared" si="117"/>
        <v>0.130359923860214</v>
      </c>
      <c r="AK35" s="10">
        <f t="shared" si="117"/>
        <v>0.13696362937237508</v>
      </c>
      <c r="AL35" s="10">
        <f t="shared" si="117"/>
        <v>0.14354493677123351</v>
      </c>
      <c r="AM35" s="10">
        <f t="shared" si="117"/>
        <v>0.15010993909988329</v>
      </c>
    </row>
    <row r="36" spans="2:43" x14ac:dyDescent="0.3">
      <c r="B36" t="s">
        <v>27</v>
      </c>
      <c r="F36" s="10">
        <f t="shared" ref="F36:L36" si="118">F19/F18</f>
        <v>0</v>
      </c>
      <c r="G36" s="10">
        <f t="shared" si="118"/>
        <v>-4.4313146233382556E-3</v>
      </c>
      <c r="H36" s="10">
        <f t="shared" si="118"/>
        <v>0</v>
      </c>
      <c r="I36" s="10">
        <f t="shared" si="118"/>
        <v>0</v>
      </c>
      <c r="J36" s="10">
        <f t="shared" si="118"/>
        <v>9.7609561752988072E-2</v>
      </c>
      <c r="K36" s="10">
        <f t="shared" si="118"/>
        <v>-1.069518716577543E-2</v>
      </c>
      <c r="L36" s="10">
        <f t="shared" si="118"/>
        <v>5.4446460980036304E-3</v>
      </c>
      <c r="M36" s="10">
        <f>M19/M18</f>
        <v>-7.6628352490421417E-3</v>
      </c>
      <c r="N36" s="10">
        <f>N19/N18</f>
        <v>0.13538461538461508</v>
      </c>
      <c r="O36" s="10">
        <f t="shared" ref="O36:R36" si="119">O19/O18</f>
        <v>5.9171597633136293E-3</v>
      </c>
      <c r="P36" s="10">
        <f t="shared" si="119"/>
        <v>6.8965517241379309E-2</v>
      </c>
      <c r="Q36" s="10">
        <f t="shared" si="119"/>
        <v>0</v>
      </c>
      <c r="R36" s="10">
        <f t="shared" si="119"/>
        <v>2.9411764705882134E-2</v>
      </c>
      <c r="S36" s="10">
        <f t="shared" ref="S36:V36" si="120">S19/S18</f>
        <v>3.0456852791878306E-2</v>
      </c>
      <c r="T36" s="10" t="e">
        <f t="shared" si="120"/>
        <v>#DIV/0!</v>
      </c>
      <c r="U36" s="10" t="e">
        <f t="shared" si="120"/>
        <v>#DIV/0!</v>
      </c>
      <c r="V36" s="10" t="e">
        <f t="shared" si="120"/>
        <v>#DIV/0!</v>
      </c>
      <c r="X36" s="10">
        <f t="shared" ref="X36:Z36" si="121">X19/X18</f>
        <v>0</v>
      </c>
      <c r="Y36" s="10">
        <f t="shared" si="121"/>
        <v>0</v>
      </c>
      <c r="Z36" s="10">
        <f t="shared" si="121"/>
        <v>0</v>
      </c>
      <c r="AA36" s="10">
        <f>AA19/AA18</f>
        <v>2.1657250470809779E-2</v>
      </c>
      <c r="AB36" s="10">
        <f>AB19/AB18</f>
        <v>-6.6765578635014866E-2</v>
      </c>
      <c r="AC36" s="10">
        <f t="shared" ref="AC36:AM36" si="122">AC19/AC18</f>
        <v>3.3928571428571003E-2</v>
      </c>
      <c r="AD36" s="10">
        <f t="shared" si="122"/>
        <v>0.1</v>
      </c>
      <c r="AE36" s="10">
        <f t="shared" si="122"/>
        <v>0.1</v>
      </c>
      <c r="AF36" s="10">
        <f t="shared" si="122"/>
        <v>0.10000000000000002</v>
      </c>
      <c r="AG36" s="10">
        <f t="shared" si="122"/>
        <v>0.1</v>
      </c>
      <c r="AH36" s="10">
        <f t="shared" si="122"/>
        <v>0.1</v>
      </c>
      <c r="AI36" s="10">
        <f t="shared" si="122"/>
        <v>0.1</v>
      </c>
      <c r="AJ36" s="10">
        <f t="shared" si="122"/>
        <v>0.1</v>
      </c>
      <c r="AK36" s="10">
        <f t="shared" si="122"/>
        <v>0.1</v>
      </c>
      <c r="AL36" s="10">
        <f t="shared" si="122"/>
        <v>0.1</v>
      </c>
      <c r="AM36" s="10">
        <f t="shared" si="122"/>
        <v>0.1</v>
      </c>
    </row>
    <row r="37" spans="2:43" x14ac:dyDescent="0.3">
      <c r="B37" t="s">
        <v>28</v>
      </c>
      <c r="F37" s="10">
        <f t="shared" ref="F37:L37" si="123">F20/F18</f>
        <v>0.89493433395872468</v>
      </c>
      <c r="G37" s="10">
        <f t="shared" si="123"/>
        <v>0.89807976366321984</v>
      </c>
      <c r="H37" s="10">
        <f t="shared" si="123"/>
        <v>0.88989169675090307</v>
      </c>
      <c r="I37" s="10">
        <f t="shared" si="123"/>
        <v>0.88746803069053648</v>
      </c>
      <c r="J37" s="10">
        <f t="shared" si="123"/>
        <v>0.78087649402390458</v>
      </c>
      <c r="K37" s="10">
        <f t="shared" si="123"/>
        <v>0.86631016042780984</v>
      </c>
      <c r="L37" s="10">
        <f t="shared" si="123"/>
        <v>0.83484573502722337</v>
      </c>
      <c r="M37" s="10">
        <f>M20/M18</f>
        <v>0.84291187739463547</v>
      </c>
      <c r="N37" s="10">
        <f>N20/N18</f>
        <v>0.71076923076922915</v>
      </c>
      <c r="O37" s="10">
        <f t="shared" ref="O37:R37" si="124">O20/O18</f>
        <v>0.95857988165680774</v>
      </c>
      <c r="P37" s="10">
        <f t="shared" si="124"/>
        <v>0.86206896551724133</v>
      </c>
      <c r="Q37" s="10">
        <f t="shared" si="124"/>
        <v>7.473309608540929E-2</v>
      </c>
      <c r="R37" s="10">
        <f t="shared" si="124"/>
        <v>0.70588235294117108</v>
      </c>
      <c r="S37" s="10">
        <f t="shared" ref="S37:V37" si="125">S20/S18</f>
        <v>0.84263959390863319</v>
      </c>
      <c r="T37" s="10" t="e">
        <f t="shared" si="125"/>
        <v>#DIV/0!</v>
      </c>
      <c r="U37" s="10" t="e">
        <f t="shared" si="125"/>
        <v>#DIV/0!</v>
      </c>
      <c r="V37" s="10" t="e">
        <f t="shared" si="125"/>
        <v>#DIV/0!</v>
      </c>
      <c r="X37" s="10">
        <f t="shared" ref="X37:Z37" si="126">X20/X18</f>
        <v>0</v>
      </c>
      <c r="Y37" s="10">
        <f t="shared" si="126"/>
        <v>0</v>
      </c>
      <c r="Z37" s="10">
        <f t="shared" si="126"/>
        <v>0.43206326383896504</v>
      </c>
      <c r="AA37" s="10">
        <f>AA20/AA18</f>
        <v>0.8662900188323911</v>
      </c>
      <c r="AB37" s="10">
        <f>AB20/AB18</f>
        <v>0.90652818991097961</v>
      </c>
      <c r="AC37" s="10">
        <f t="shared" ref="AC37:AM37" si="127">AC20/AC18</f>
        <v>0.81071428571427562</v>
      </c>
      <c r="AD37" s="10">
        <f t="shared" si="127"/>
        <v>0</v>
      </c>
      <c r="AE37" s="10">
        <f t="shared" si="127"/>
        <v>0</v>
      </c>
      <c r="AF37" s="10">
        <f t="shared" si="127"/>
        <v>0</v>
      </c>
      <c r="AG37" s="10">
        <f t="shared" si="127"/>
        <v>0</v>
      </c>
      <c r="AH37" s="10">
        <f t="shared" si="127"/>
        <v>0</v>
      </c>
      <c r="AI37" s="10">
        <f t="shared" si="127"/>
        <v>0</v>
      </c>
      <c r="AJ37" s="10">
        <f t="shared" si="127"/>
        <v>0</v>
      </c>
      <c r="AK37" s="10">
        <f t="shared" si="127"/>
        <v>0</v>
      </c>
      <c r="AL37" s="10">
        <f t="shared" si="127"/>
        <v>0</v>
      </c>
      <c r="AM37" s="10">
        <f t="shared" si="127"/>
        <v>0</v>
      </c>
    </row>
    <row r="38" spans="2:43" x14ac:dyDescent="0.3">
      <c r="B38" t="s">
        <v>52</v>
      </c>
      <c r="F38" s="10">
        <f t="shared" ref="F38:L38" si="128">F21/F6</f>
        <v>-2.2913256955810035E-2</v>
      </c>
      <c r="G38" s="10">
        <f t="shared" si="128"/>
        <v>-3.490063015026669E-2</v>
      </c>
      <c r="H38" s="10">
        <f t="shared" si="128"/>
        <v>-2.2855001873360679E-2</v>
      </c>
      <c r="I38" s="10">
        <f t="shared" si="128"/>
        <v>-1.4107085604360459E-2</v>
      </c>
      <c r="J38" s="10">
        <f t="shared" si="128"/>
        <v>-1.5569167942827941E-2</v>
      </c>
      <c r="K38" s="10">
        <f t="shared" si="128"/>
        <v>-7.4999999999998601E-3</v>
      </c>
      <c r="L38" s="10">
        <f t="shared" si="128"/>
        <v>-2.236908998474834E-2</v>
      </c>
      <c r="M38" s="10">
        <f>M21/M6</f>
        <v>-9.1431001488411975E-3</v>
      </c>
      <c r="N38" s="10">
        <f>N21/N6</f>
        <v>8.6700190740420981E-3</v>
      </c>
      <c r="O38" s="10">
        <f t="shared" ref="O38:R38" si="129">O21/O6</f>
        <v>-1.2327922745016325E-3</v>
      </c>
      <c r="P38" s="10">
        <f t="shared" si="129"/>
        <v>-2.5468437329452466E-3</v>
      </c>
      <c r="Q38" s="10">
        <f t="shared" si="129"/>
        <v>-4.3911501435568302E-2</v>
      </c>
      <c r="R38" s="10">
        <f t="shared" si="129"/>
        <v>-5.820533548908817E-3</v>
      </c>
      <c r="S38" s="10">
        <f t="shared" ref="S38:V38" si="130">S21/S6</f>
        <v>3.9682539682538284E-3</v>
      </c>
      <c r="T38" s="10" t="e">
        <f t="shared" si="130"/>
        <v>#DIV/0!</v>
      </c>
      <c r="U38" s="10" t="e">
        <f t="shared" si="130"/>
        <v>#DIV/0!</v>
      </c>
      <c r="V38" s="10" t="e">
        <f t="shared" si="130"/>
        <v>#DIV/0!</v>
      </c>
      <c r="X38" s="10">
        <f t="shared" ref="X38:Z38" si="131">X21/X6</f>
        <v>-1.1910966340933768</v>
      </c>
      <c r="Y38" s="10">
        <f t="shared" si="131"/>
        <v>-0.48551012306470825</v>
      </c>
      <c r="Z38" s="10">
        <f t="shared" si="131"/>
        <v>-0.133153547952132</v>
      </c>
      <c r="AA38" s="10">
        <f>AA21/AA6</f>
        <v>-2.0222618744158514E-2</v>
      </c>
      <c r="AB38" s="10">
        <f>AB21/AB6</f>
        <v>-5.9986669628971211E-3</v>
      </c>
      <c r="AC38" s="10">
        <f t="shared" ref="AC38:AM38" si="132">AC21/AC6</f>
        <v>-3.8718291054742771E-3</v>
      </c>
      <c r="AD38" s="10">
        <f t="shared" si="132"/>
        <v>2.1334607122902534E-2</v>
      </c>
      <c r="AE38" s="10">
        <f t="shared" si="132"/>
        <v>6.2962994145132248E-2</v>
      </c>
      <c r="AF38" s="10">
        <f t="shared" si="132"/>
        <v>9.1039933861361264E-2</v>
      </c>
      <c r="AG38" s="10">
        <f t="shared" si="132"/>
        <v>0.10351957750612646</v>
      </c>
      <c r="AH38" s="10">
        <f t="shared" si="132"/>
        <v>0.11314189475279669</v>
      </c>
      <c r="AI38" s="10">
        <f t="shared" si="132"/>
        <v>0.11999811146645181</v>
      </c>
      <c r="AJ38" s="10">
        <f t="shared" si="132"/>
        <v>0.12588340712284904</v>
      </c>
      <c r="AK38" s="10">
        <f t="shared" si="132"/>
        <v>0.13173722095465065</v>
      </c>
      <c r="AL38" s="10">
        <f t="shared" si="132"/>
        <v>0.13756525852588158</v>
      </c>
      <c r="AM38" s="10">
        <f t="shared" si="132"/>
        <v>0.14337278447518226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2024-12-09T11:05:09Z</dcterms:created>
  <dcterms:modified xsi:type="dcterms:W3CDTF">2026-02-06T10:05:44Z</dcterms:modified>
</cp:coreProperties>
</file>