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70110BC6-B474-463B-A8DC-A853A502482F}" xr6:coauthVersionLast="47" xr6:coauthVersionMax="47" xr10:uidLastSave="{00000000-0000-0000-0000-000000000000}"/>
  <bookViews>
    <workbookView xWindow="-108" yWindow="-108" windowWidth="23256" windowHeight="12576" activeTab="1" xr2:uid="{1D79A3FB-6F62-42D1-AFB0-115F58C1A28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3" i="2" l="1"/>
  <c r="AC13" i="2"/>
  <c r="AB13" i="2"/>
  <c r="AA13" i="2"/>
  <c r="Z13" i="2"/>
  <c r="R13" i="2"/>
  <c r="Y13" i="2" s="1"/>
  <c r="AB12" i="2"/>
  <c r="AA12" i="2"/>
  <c r="Z12" i="2"/>
  <c r="R12" i="2"/>
  <c r="R33" i="2" s="1"/>
  <c r="AF5" i="2"/>
  <c r="AG5" i="2" s="1"/>
  <c r="AH5" i="2" s="1"/>
  <c r="AI5" i="2" s="1"/>
  <c r="AG4" i="2"/>
  <c r="AH4" i="2" s="1"/>
  <c r="AI4" i="2" s="1"/>
  <c r="AB3" i="2"/>
  <c r="AA3" i="2"/>
  <c r="Z3" i="2"/>
  <c r="R3" i="2"/>
  <c r="Q20" i="2"/>
  <c r="X16" i="2"/>
  <c r="W16" i="2"/>
  <c r="V16" i="2"/>
  <c r="U16" i="2"/>
  <c r="T16" i="2"/>
  <c r="P16" i="2"/>
  <c r="O16" i="2"/>
  <c r="N16" i="2"/>
  <c r="M16" i="2"/>
  <c r="L16" i="2"/>
  <c r="K16" i="2"/>
  <c r="J16" i="2"/>
  <c r="I16" i="2"/>
  <c r="H16" i="2"/>
  <c r="G16" i="2"/>
  <c r="F16" i="2"/>
  <c r="X15" i="2"/>
  <c r="W15" i="2"/>
  <c r="V15" i="2"/>
  <c r="U15" i="2"/>
  <c r="T15" i="2"/>
  <c r="Q15" i="2"/>
  <c r="Q16" i="2" s="1"/>
  <c r="P15" i="2"/>
  <c r="O15" i="2"/>
  <c r="N15" i="2"/>
  <c r="M15" i="2"/>
  <c r="L15" i="2"/>
  <c r="K15" i="2"/>
  <c r="J15" i="2"/>
  <c r="I15" i="2"/>
  <c r="H15" i="2"/>
  <c r="G15" i="2"/>
  <c r="F15" i="2"/>
  <c r="D6" i="1"/>
  <c r="D8" i="1"/>
  <c r="AM29" i="2" s="1"/>
  <c r="AI22" i="2"/>
  <c r="AH22" i="2"/>
  <c r="AG22" i="2"/>
  <c r="AF22" i="2"/>
  <c r="AE22" i="2"/>
  <c r="AD22" i="2"/>
  <c r="AC22" i="2"/>
  <c r="AB22" i="2"/>
  <c r="AA22" i="2"/>
  <c r="Z22" i="2"/>
  <c r="Y22" i="2"/>
  <c r="R22" i="2"/>
  <c r="Q22" i="2"/>
  <c r="D4" i="1"/>
  <c r="D5" i="1" s="1"/>
  <c r="P22" i="2"/>
  <c r="R5" i="2"/>
  <c r="O22" i="2"/>
  <c r="R17" i="2"/>
  <c r="Y17" i="2"/>
  <c r="Q34" i="2"/>
  <c r="O34" i="2"/>
  <c r="Q33" i="2"/>
  <c r="P33" i="2"/>
  <c r="O33" i="2"/>
  <c r="Q30" i="2"/>
  <c r="O30" i="2"/>
  <c r="Q29" i="2"/>
  <c r="P29" i="2"/>
  <c r="O29" i="2"/>
  <c r="P34" i="2"/>
  <c r="O27" i="2"/>
  <c r="P26" i="2"/>
  <c r="O26" i="2"/>
  <c r="Q25" i="2"/>
  <c r="P25" i="2"/>
  <c r="O25" i="2"/>
  <c r="O6" i="2"/>
  <c r="R4" i="2"/>
  <c r="Y4" i="2" s="1"/>
  <c r="Z4" i="2" s="1"/>
  <c r="Y3" i="2"/>
  <c r="AM32" i="2"/>
  <c r="N19" i="2"/>
  <c r="X19" i="2" s="1"/>
  <c r="X22" i="2"/>
  <c r="N22" i="2"/>
  <c r="V34" i="2"/>
  <c r="U34" i="2"/>
  <c r="V33" i="2"/>
  <c r="U33" i="2"/>
  <c r="V31" i="2"/>
  <c r="U31" i="2"/>
  <c r="T31" i="2"/>
  <c r="V30" i="2"/>
  <c r="U30" i="2"/>
  <c r="T30" i="2"/>
  <c r="V29" i="2"/>
  <c r="U29" i="2"/>
  <c r="T29" i="2"/>
  <c r="V27" i="2"/>
  <c r="U27" i="2"/>
  <c r="V26" i="2"/>
  <c r="U26" i="2"/>
  <c r="V25" i="2"/>
  <c r="U25" i="2"/>
  <c r="T22" i="2"/>
  <c r="T10" i="2"/>
  <c r="T6" i="2"/>
  <c r="U22" i="2"/>
  <c r="U10" i="2"/>
  <c r="U6" i="2"/>
  <c r="V22" i="2"/>
  <c r="V10" i="2"/>
  <c r="V6" i="2"/>
  <c r="V28" i="2" s="1"/>
  <c r="W20" i="2"/>
  <c r="W19" i="2"/>
  <c r="W17" i="2"/>
  <c r="W13" i="2"/>
  <c r="W34" i="2" s="1"/>
  <c r="W12" i="2"/>
  <c r="W33" i="2" s="1"/>
  <c r="W9" i="2"/>
  <c r="W8" i="2"/>
  <c r="W7" i="2"/>
  <c r="W5" i="2"/>
  <c r="W4" i="2"/>
  <c r="W3" i="2"/>
  <c r="W22" i="2"/>
  <c r="X17" i="2"/>
  <c r="N34" i="2"/>
  <c r="X12" i="2"/>
  <c r="X33" i="2" s="1"/>
  <c r="X5" i="2"/>
  <c r="N26" i="2"/>
  <c r="L34" i="2"/>
  <c r="K34" i="2"/>
  <c r="J34" i="2"/>
  <c r="L33" i="2"/>
  <c r="K33" i="2"/>
  <c r="J33" i="2"/>
  <c r="L31" i="2"/>
  <c r="K31" i="2"/>
  <c r="J31" i="2"/>
  <c r="I31" i="2"/>
  <c r="H31" i="2"/>
  <c r="G31" i="2"/>
  <c r="F31" i="2"/>
  <c r="L30" i="2"/>
  <c r="K30" i="2"/>
  <c r="J30" i="2"/>
  <c r="I30" i="2"/>
  <c r="H30" i="2"/>
  <c r="G30" i="2"/>
  <c r="F30" i="2"/>
  <c r="L29" i="2"/>
  <c r="K29" i="2"/>
  <c r="J29" i="2"/>
  <c r="I29" i="2"/>
  <c r="H29" i="2"/>
  <c r="G29" i="2"/>
  <c r="F29" i="2"/>
  <c r="L27" i="2"/>
  <c r="K27" i="2"/>
  <c r="J27" i="2"/>
  <c r="L26" i="2"/>
  <c r="K26" i="2"/>
  <c r="J26" i="2"/>
  <c r="L25" i="2"/>
  <c r="K25" i="2"/>
  <c r="J25" i="2"/>
  <c r="M34" i="2"/>
  <c r="M33" i="2"/>
  <c r="M31" i="2"/>
  <c r="M30" i="2"/>
  <c r="M29" i="2"/>
  <c r="M27" i="2"/>
  <c r="M26" i="2"/>
  <c r="M25" i="2"/>
  <c r="F22" i="2"/>
  <c r="F10" i="2"/>
  <c r="F6" i="2"/>
  <c r="J22" i="2"/>
  <c r="J10" i="2"/>
  <c r="J6" i="2"/>
  <c r="G22" i="2"/>
  <c r="G10" i="2"/>
  <c r="G6" i="2"/>
  <c r="K22" i="2"/>
  <c r="K10" i="2"/>
  <c r="K6" i="2"/>
  <c r="H22" i="2"/>
  <c r="H10" i="2"/>
  <c r="H6" i="2"/>
  <c r="L22" i="2"/>
  <c r="L10" i="2"/>
  <c r="L6" i="2"/>
  <c r="I22" i="2"/>
  <c r="I10" i="2"/>
  <c r="I6" i="2"/>
  <c r="M22" i="2"/>
  <c r="M10" i="2"/>
  <c r="M6" i="2"/>
  <c r="F3" i="1"/>
  <c r="R15" i="2" l="1"/>
  <c r="Z7" i="2"/>
  <c r="R34" i="2"/>
  <c r="Y12" i="2"/>
  <c r="R7" i="2"/>
  <c r="R29" i="2" s="1"/>
  <c r="O28" i="2"/>
  <c r="R6" i="2"/>
  <c r="R8" i="2"/>
  <c r="R30" i="2" s="1"/>
  <c r="R26" i="2"/>
  <c r="R25" i="2"/>
  <c r="Q27" i="2"/>
  <c r="Q10" i="2"/>
  <c r="Q26" i="2"/>
  <c r="Q6" i="2"/>
  <c r="Q28" i="2" s="1"/>
  <c r="P30" i="2"/>
  <c r="Z8" i="2"/>
  <c r="AA4" i="2"/>
  <c r="O10" i="2"/>
  <c r="O11" i="2" s="1"/>
  <c r="D9" i="1"/>
  <c r="R27" i="2"/>
  <c r="R9" i="2"/>
  <c r="Y5" i="2"/>
  <c r="P6" i="2"/>
  <c r="P28" i="2" s="1"/>
  <c r="P31" i="2"/>
  <c r="P27" i="2"/>
  <c r="Z17" i="2"/>
  <c r="AA17" i="2" s="1"/>
  <c r="AB17" i="2" s="1"/>
  <c r="AC17" i="2" s="1"/>
  <c r="AD17" i="2" s="1"/>
  <c r="AE17" i="2" s="1"/>
  <c r="AF17" i="2" s="1"/>
  <c r="AG17" i="2" s="1"/>
  <c r="AH17" i="2" s="1"/>
  <c r="AI17" i="2" s="1"/>
  <c r="Q31" i="2"/>
  <c r="O31" i="2"/>
  <c r="J28" i="2"/>
  <c r="N6" i="2"/>
  <c r="N28" i="2" s="1"/>
  <c r="X7" i="2"/>
  <c r="K28" i="2"/>
  <c r="U28" i="2"/>
  <c r="W29" i="2"/>
  <c r="W30" i="2"/>
  <c r="W31" i="2"/>
  <c r="N33" i="2"/>
  <c r="L28" i="2"/>
  <c r="W25" i="2"/>
  <c r="X27" i="2"/>
  <c r="M11" i="2"/>
  <c r="N30" i="2"/>
  <c r="X13" i="2"/>
  <c r="W27" i="2"/>
  <c r="X3" i="2"/>
  <c r="X4" i="2"/>
  <c r="M28" i="2"/>
  <c r="T11" i="2"/>
  <c r="U11" i="2"/>
  <c r="V11" i="2"/>
  <c r="W26" i="2"/>
  <c r="W10" i="2"/>
  <c r="W6" i="2"/>
  <c r="W28" i="2" s="1"/>
  <c r="N27" i="2"/>
  <c r="N25" i="2"/>
  <c r="F11" i="2"/>
  <c r="J11" i="2"/>
  <c r="G11" i="2"/>
  <c r="K11" i="2"/>
  <c r="H11" i="2"/>
  <c r="L11" i="2"/>
  <c r="I11" i="2"/>
  <c r="Z15" i="2" l="1"/>
  <c r="Y15" i="2"/>
  <c r="Y7" i="2"/>
  <c r="R10" i="2"/>
  <c r="R11" i="2" s="1"/>
  <c r="R28" i="2"/>
  <c r="Z5" i="2"/>
  <c r="AA5" i="2" s="1"/>
  <c r="AB5" i="2" s="1"/>
  <c r="AA7" i="2"/>
  <c r="Q11" i="2"/>
  <c r="Q32" i="2" s="1"/>
  <c r="Y8" i="2"/>
  <c r="Y30" i="2" s="1"/>
  <c r="AA8" i="2"/>
  <c r="AB4" i="2"/>
  <c r="R31" i="2"/>
  <c r="Y27" i="2"/>
  <c r="P10" i="2"/>
  <c r="P11" i="2" s="1"/>
  <c r="P32" i="2" s="1"/>
  <c r="Y9" i="2"/>
  <c r="Y31" i="2" s="1"/>
  <c r="O32" i="2"/>
  <c r="N29" i="2"/>
  <c r="Y25" i="2"/>
  <c r="Y6" i="2"/>
  <c r="X34" i="2"/>
  <c r="X6" i="2"/>
  <c r="X28" i="2" s="1"/>
  <c r="Y33" i="2"/>
  <c r="Y26" i="2"/>
  <c r="V32" i="2"/>
  <c r="G32" i="2"/>
  <c r="N10" i="2"/>
  <c r="N11" i="2" s="1"/>
  <c r="X8" i="2"/>
  <c r="U32" i="2"/>
  <c r="T32" i="2"/>
  <c r="N31" i="2"/>
  <c r="X9" i="2"/>
  <c r="X31" i="2" s="1"/>
  <c r="L32" i="2"/>
  <c r="X25" i="2"/>
  <c r="X29" i="2"/>
  <c r="J32" i="2"/>
  <c r="F32" i="2"/>
  <c r="M32" i="2"/>
  <c r="I32" i="2"/>
  <c r="X26" i="2"/>
  <c r="H32" i="2"/>
  <c r="K32" i="2"/>
  <c r="W11" i="2"/>
  <c r="R32" i="2" l="1"/>
  <c r="R16" i="2"/>
  <c r="R18" i="2" s="1"/>
  <c r="Z27" i="2"/>
  <c r="Z9" i="2"/>
  <c r="Z31" i="2" s="1"/>
  <c r="AC5" i="2"/>
  <c r="AD5" i="2" s="1"/>
  <c r="AE5" i="2" s="1"/>
  <c r="AC3" i="2"/>
  <c r="AB7" i="2"/>
  <c r="Q35" i="2"/>
  <c r="AB8" i="2"/>
  <c r="AC4" i="2"/>
  <c r="P18" i="2"/>
  <c r="O35" i="2"/>
  <c r="O18" i="2"/>
  <c r="Z33" i="2"/>
  <c r="Z29" i="2"/>
  <c r="Z6" i="2"/>
  <c r="Z28" i="2" s="1"/>
  <c r="Z25" i="2"/>
  <c r="Y28" i="2"/>
  <c r="Z30" i="2"/>
  <c r="Z26" i="2"/>
  <c r="Y34" i="2"/>
  <c r="AA9" i="2"/>
  <c r="AA31" i="2" s="1"/>
  <c r="AA27" i="2"/>
  <c r="X10" i="2"/>
  <c r="X11" i="2" s="1"/>
  <c r="Y29" i="2"/>
  <c r="Y10" i="2"/>
  <c r="Y11" i="2" s="1"/>
  <c r="Y16" i="2" s="1"/>
  <c r="U18" i="2"/>
  <c r="U35" i="2"/>
  <c r="K18" i="2"/>
  <c r="K35" i="2"/>
  <c r="M18" i="2"/>
  <c r="M35" i="2"/>
  <c r="L18" i="2"/>
  <c r="L35" i="2"/>
  <c r="N32" i="2"/>
  <c r="W32" i="2"/>
  <c r="I18" i="2"/>
  <c r="I35" i="2"/>
  <c r="G18" i="2"/>
  <c r="G35" i="2"/>
  <c r="F18" i="2"/>
  <c r="F35" i="2"/>
  <c r="X30" i="2"/>
  <c r="H18" i="2"/>
  <c r="H35" i="2"/>
  <c r="J18" i="2"/>
  <c r="J35" i="2"/>
  <c r="T18" i="2"/>
  <c r="T35" i="2"/>
  <c r="V18" i="2"/>
  <c r="V35" i="2"/>
  <c r="AA33" i="2" l="1"/>
  <c r="R35" i="2"/>
  <c r="AD3" i="2"/>
  <c r="AC7" i="2"/>
  <c r="Q18" i="2"/>
  <c r="Q36" i="2" s="1"/>
  <c r="P35" i="2"/>
  <c r="AD4" i="2"/>
  <c r="AC8" i="2"/>
  <c r="R19" i="2"/>
  <c r="R36" i="2" s="1"/>
  <c r="R20" i="2"/>
  <c r="R37" i="2" s="1"/>
  <c r="P37" i="2"/>
  <c r="P36" i="2"/>
  <c r="X32" i="2"/>
  <c r="AA15" i="2"/>
  <c r="Z34" i="2"/>
  <c r="AA29" i="2"/>
  <c r="AA25" i="2"/>
  <c r="AA6" i="2"/>
  <c r="AA28" i="2" s="1"/>
  <c r="AB9" i="2"/>
  <c r="AB27" i="2"/>
  <c r="Y32" i="2"/>
  <c r="AA30" i="2"/>
  <c r="AA26" i="2"/>
  <c r="Z10" i="2"/>
  <c r="Z11" i="2" s="1"/>
  <c r="Z16" i="2" s="1"/>
  <c r="N18" i="2"/>
  <c r="N35" i="2"/>
  <c r="I21" i="2"/>
  <c r="I36" i="2"/>
  <c r="I37" i="2"/>
  <c r="X18" i="2"/>
  <c r="X35" i="2"/>
  <c r="M21" i="2"/>
  <c r="M37" i="2"/>
  <c r="M36" i="2"/>
  <c r="G21" i="2"/>
  <c r="G36" i="2"/>
  <c r="G37" i="2"/>
  <c r="J21" i="2"/>
  <c r="J37" i="2"/>
  <c r="J36" i="2"/>
  <c r="L21" i="2"/>
  <c r="L36" i="2"/>
  <c r="L37" i="2"/>
  <c r="V21" i="2"/>
  <c r="V37" i="2"/>
  <c r="V36" i="2"/>
  <c r="U21" i="2"/>
  <c r="U37" i="2"/>
  <c r="U36" i="2"/>
  <c r="H21" i="2"/>
  <c r="H37" i="2"/>
  <c r="H36" i="2"/>
  <c r="F21" i="2"/>
  <c r="F36" i="2"/>
  <c r="F37" i="2"/>
  <c r="W18" i="2"/>
  <c r="W35" i="2"/>
  <c r="K21" i="2"/>
  <c r="K36" i="2"/>
  <c r="K37" i="2"/>
  <c r="T21" i="2"/>
  <c r="T36" i="2"/>
  <c r="T37" i="2"/>
  <c r="AC12" i="2" l="1"/>
  <c r="AB33" i="2"/>
  <c r="AE3" i="2"/>
  <c r="AD7" i="2"/>
  <c r="Q37" i="2"/>
  <c r="AE4" i="2"/>
  <c r="AD8" i="2"/>
  <c r="R21" i="2"/>
  <c r="R23" i="2" s="1"/>
  <c r="P21" i="2"/>
  <c r="O37" i="2"/>
  <c r="O36" i="2"/>
  <c r="Y19" i="2"/>
  <c r="O21" i="2"/>
  <c r="AC9" i="2"/>
  <c r="AC31" i="2" s="1"/>
  <c r="AC27" i="2"/>
  <c r="AB26" i="2"/>
  <c r="AB30" i="2"/>
  <c r="AB25" i="2"/>
  <c r="AB6" i="2"/>
  <c r="AB28" i="2" s="1"/>
  <c r="AB29" i="2"/>
  <c r="Y18" i="2"/>
  <c r="Y35" i="2"/>
  <c r="Z32" i="2"/>
  <c r="AB31" i="2"/>
  <c r="AA10" i="2"/>
  <c r="AA11" i="2" s="1"/>
  <c r="AA16" i="2" s="1"/>
  <c r="AA34" i="2"/>
  <c r="AB15" i="2"/>
  <c r="X36" i="2"/>
  <c r="X20" i="2"/>
  <c r="X37" i="2" s="1"/>
  <c r="N36" i="2"/>
  <c r="M23" i="2"/>
  <c r="M38" i="2"/>
  <c r="T23" i="2"/>
  <c r="T38" i="2"/>
  <c r="F23" i="2"/>
  <c r="F38" i="2"/>
  <c r="U23" i="2"/>
  <c r="U38" i="2"/>
  <c r="J23" i="2"/>
  <c r="J38" i="2"/>
  <c r="V23" i="2"/>
  <c r="V38" i="2"/>
  <c r="L23" i="2"/>
  <c r="L38" i="2"/>
  <c r="W21" i="2"/>
  <c r="W37" i="2"/>
  <c r="W36" i="2"/>
  <c r="G23" i="2"/>
  <c r="G38" i="2"/>
  <c r="I23" i="2"/>
  <c r="I38" i="2"/>
  <c r="K23" i="2"/>
  <c r="K38" i="2"/>
  <c r="H23" i="2"/>
  <c r="H38" i="2"/>
  <c r="AC33" i="2" l="1"/>
  <c r="AD12" i="2"/>
  <c r="Q21" i="2"/>
  <c r="Q38" i="2" s="1"/>
  <c r="Y20" i="2"/>
  <c r="Y37" i="2" s="1"/>
  <c r="AF3" i="2"/>
  <c r="AE7" i="2"/>
  <c r="AE8" i="2"/>
  <c r="AF4" i="2"/>
  <c r="R38" i="2"/>
  <c r="P23" i="2"/>
  <c r="P38" i="2"/>
  <c r="O23" i="2"/>
  <c r="O38" i="2"/>
  <c r="AB10" i="2"/>
  <c r="AB11" i="2" s="1"/>
  <c r="AB16" i="2" s="1"/>
  <c r="Y36" i="2"/>
  <c r="AB34" i="2"/>
  <c r="AC15" i="2"/>
  <c r="AA32" i="2"/>
  <c r="AC26" i="2"/>
  <c r="AC30" i="2"/>
  <c r="AD9" i="2"/>
  <c r="AD27" i="2"/>
  <c r="X21" i="2"/>
  <c r="X23" i="2" s="1"/>
  <c r="AC6" i="2"/>
  <c r="AC28" i="2" s="1"/>
  <c r="AC25" i="2"/>
  <c r="AC10" i="2"/>
  <c r="Z35" i="2"/>
  <c r="Z18" i="2"/>
  <c r="N37" i="2"/>
  <c r="W23" i="2"/>
  <c r="W38" i="2"/>
  <c r="N21" i="2"/>
  <c r="AE12" i="2" l="1"/>
  <c r="AD33" i="2"/>
  <c r="Q23" i="2"/>
  <c r="AG3" i="2"/>
  <c r="AF7" i="2"/>
  <c r="AF8" i="2"/>
  <c r="AC11" i="2"/>
  <c r="AC16" i="2" s="1"/>
  <c r="X38" i="2"/>
  <c r="AB32" i="2"/>
  <c r="AE9" i="2"/>
  <c r="AE31" i="2" s="1"/>
  <c r="AE27" i="2"/>
  <c r="AC34" i="2"/>
  <c r="AD15" i="2"/>
  <c r="AD30" i="2"/>
  <c r="AD26" i="2"/>
  <c r="Z19" i="2"/>
  <c r="Z36" i="2" s="1"/>
  <c r="AA35" i="2"/>
  <c r="AA18" i="2"/>
  <c r="AB18" i="2"/>
  <c r="AB35" i="2"/>
  <c r="AC29" i="2"/>
  <c r="AD6" i="2"/>
  <c r="AD28" i="2" s="1"/>
  <c r="AD29" i="2"/>
  <c r="AD25" i="2"/>
  <c r="AD31" i="2"/>
  <c r="Y21" i="2"/>
  <c r="N38" i="2"/>
  <c r="N23" i="2"/>
  <c r="AF12" i="2" l="1"/>
  <c r="AE33" i="2"/>
  <c r="AH3" i="2"/>
  <c r="AG7" i="2"/>
  <c r="AG8" i="2"/>
  <c r="AC32" i="2"/>
  <c r="AD10" i="2"/>
  <c r="AD11" i="2" s="1"/>
  <c r="AD16" i="2" s="1"/>
  <c r="Z21" i="2"/>
  <c r="Z37" i="2"/>
  <c r="Y23" i="2"/>
  <c r="Y38" i="2"/>
  <c r="AB37" i="2"/>
  <c r="AB19" i="2"/>
  <c r="AB36" i="2" s="1"/>
  <c r="AE30" i="2"/>
  <c r="AE26" i="2"/>
  <c r="AA19" i="2"/>
  <c r="AA36" i="2" s="1"/>
  <c r="AF9" i="2"/>
  <c r="AF31" i="2" s="1"/>
  <c r="AF27" i="2"/>
  <c r="AE29" i="2"/>
  <c r="AE25" i="2"/>
  <c r="AE6" i="2"/>
  <c r="AE28" i="2" s="1"/>
  <c r="AD34" i="2"/>
  <c r="AE13" i="2"/>
  <c r="AE15" i="2" s="1"/>
  <c r="AC18" i="2"/>
  <c r="AC35" i="2"/>
  <c r="AF33" i="2" l="1"/>
  <c r="AG12" i="2"/>
  <c r="AI3" i="2"/>
  <c r="AI7" i="2" s="1"/>
  <c r="AH7" i="2"/>
  <c r="AI8" i="2"/>
  <c r="AH8" i="2"/>
  <c r="AF25" i="2"/>
  <c r="AF6" i="2"/>
  <c r="AF28" i="2" s="1"/>
  <c r="AB21" i="2"/>
  <c r="AC19" i="2"/>
  <c r="AC36" i="2" s="1"/>
  <c r="AA21" i="2"/>
  <c r="AA37" i="2"/>
  <c r="AE10" i="2"/>
  <c r="AE11" i="2" s="1"/>
  <c r="AE16" i="2" s="1"/>
  <c r="AF13" i="2"/>
  <c r="AF15" i="2" s="1"/>
  <c r="AE34" i="2"/>
  <c r="AD32" i="2"/>
  <c r="AF30" i="2"/>
  <c r="AF26" i="2"/>
  <c r="AG9" i="2"/>
  <c r="AG31" i="2" s="1"/>
  <c r="AG27" i="2"/>
  <c r="Z23" i="2"/>
  <c r="Z38" i="2"/>
  <c r="AH12" i="2" l="1"/>
  <c r="AG33" i="2"/>
  <c r="AH9" i="2"/>
  <c r="AH31" i="2" s="1"/>
  <c r="AH27" i="2"/>
  <c r="AG25" i="2"/>
  <c r="AG6" i="2"/>
  <c r="AG28" i="2" s="1"/>
  <c r="AF34" i="2"/>
  <c r="AG13" i="2"/>
  <c r="AG15" i="2" s="1"/>
  <c r="AF29" i="2"/>
  <c r="AF10" i="2"/>
  <c r="AF11" i="2" s="1"/>
  <c r="AF16" i="2" s="1"/>
  <c r="AD35" i="2"/>
  <c r="AD18" i="2"/>
  <c r="AA23" i="2"/>
  <c r="AA38" i="2"/>
  <c r="AB23" i="2"/>
  <c r="AB38" i="2"/>
  <c r="AE32" i="2"/>
  <c r="AG30" i="2"/>
  <c r="AG26" i="2"/>
  <c r="AC21" i="2"/>
  <c r="AC37" i="2"/>
  <c r="AH33" i="2" l="1"/>
  <c r="AI12" i="2"/>
  <c r="AI33" i="2" s="1"/>
  <c r="AG10" i="2"/>
  <c r="AG11" i="2" s="1"/>
  <c r="AG16" i="2" s="1"/>
  <c r="AG29" i="2"/>
  <c r="AI9" i="2"/>
  <c r="AI31" i="2" s="1"/>
  <c r="AI27" i="2"/>
  <c r="AC23" i="2"/>
  <c r="AC38" i="2"/>
  <c r="AH30" i="2"/>
  <c r="AH26" i="2"/>
  <c r="AH25" i="2"/>
  <c r="AH6" i="2"/>
  <c r="AH28" i="2" s="1"/>
  <c r="AF32" i="2"/>
  <c r="AE35" i="2"/>
  <c r="AE18" i="2"/>
  <c r="AD19" i="2"/>
  <c r="AD36" i="2" s="1"/>
  <c r="AH13" i="2"/>
  <c r="AH15" i="2" s="1"/>
  <c r="AG34" i="2"/>
  <c r="AF18" i="2" l="1"/>
  <c r="AF35" i="2"/>
  <c r="AG32" i="2"/>
  <c r="AI25" i="2"/>
  <c r="AI6" i="2"/>
  <c r="AI28" i="2" s="1"/>
  <c r="AE19" i="2"/>
  <c r="AE36" i="2" s="1"/>
  <c r="AI30" i="2"/>
  <c r="AI26" i="2"/>
  <c r="AI13" i="2"/>
  <c r="AI34" i="2" s="1"/>
  <c r="AH34" i="2"/>
  <c r="AD21" i="2"/>
  <c r="AD37" i="2"/>
  <c r="AH29" i="2"/>
  <c r="AH10" i="2"/>
  <c r="AH11" i="2" s="1"/>
  <c r="AH16" i="2" s="1"/>
  <c r="AI15" i="2" l="1"/>
  <c r="AF19" i="2"/>
  <c r="AF36" i="2" s="1"/>
  <c r="AF37" i="2"/>
  <c r="AG35" i="2"/>
  <c r="AG18" i="2"/>
  <c r="AI29" i="2"/>
  <c r="AI10" i="2"/>
  <c r="AI11" i="2" s="1"/>
  <c r="AE21" i="2"/>
  <c r="AE37" i="2"/>
  <c r="AD38" i="2"/>
  <c r="AD23" i="2"/>
  <c r="AH32" i="2"/>
  <c r="AI16" i="2" l="1"/>
  <c r="AG19" i="2"/>
  <c r="AG36" i="2" s="1"/>
  <c r="AG37" i="2"/>
  <c r="AF21" i="2"/>
  <c r="AE23" i="2"/>
  <c r="AE38" i="2"/>
  <c r="AI32" i="2"/>
  <c r="AH35" i="2"/>
  <c r="AH18" i="2"/>
  <c r="AG21" i="2" l="1"/>
  <c r="AG38" i="2" s="1"/>
  <c r="AF23" i="2"/>
  <c r="AF38" i="2"/>
  <c r="AI35" i="2"/>
  <c r="AI18" i="2"/>
  <c r="AH19" i="2"/>
  <c r="AH36" i="2" s="1"/>
  <c r="AG23" i="2" l="1"/>
  <c r="AH21" i="2"/>
  <c r="AH37" i="2"/>
  <c r="AI19" i="2"/>
  <c r="AI36" i="2" s="1"/>
  <c r="AH23" i="2" l="1"/>
  <c r="AH38" i="2"/>
  <c r="AI21" i="2"/>
  <c r="AI37" i="2"/>
  <c r="AJ21" i="2" l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EG21" i="2" s="1"/>
  <c r="EH21" i="2" s="1"/>
  <c r="EI21" i="2" s="1"/>
  <c r="EJ21" i="2" s="1"/>
  <c r="EK21" i="2" s="1"/>
  <c r="EL21" i="2" s="1"/>
  <c r="EM21" i="2" s="1"/>
  <c r="EN21" i="2" s="1"/>
  <c r="EO21" i="2" s="1"/>
  <c r="EP21" i="2" s="1"/>
  <c r="EQ21" i="2" s="1"/>
  <c r="AI23" i="2"/>
  <c r="AI38" i="2"/>
  <c r="AM28" i="2" l="1"/>
  <c r="AM30" i="2" s="1"/>
  <c r="AM31" i="2" s="1"/>
  <c r="AM33" i="2" s="1"/>
</calcChain>
</file>

<file path=xl/sharedStrings.xml><?xml version="1.0" encoding="utf-8"?>
<sst xmlns="http://schemas.openxmlformats.org/spreadsheetml/2006/main" count="76" uniqueCount="70">
  <si>
    <t>SYM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</si>
  <si>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</si>
  <si>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</si>
  <si>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</si>
  <si>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</si>
  <si>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</si>
  <si>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</si>
  <si>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</si>
  <si>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</si>
  <si>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</si>
  <si>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</si>
  <si>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Q324</t>
  </si>
  <si>
    <t>Q122</t>
  </si>
  <si>
    <t>Systems revenue</t>
  </si>
  <si>
    <t>Maintenance revenue</t>
  </si>
  <si>
    <t>Services revenue</t>
  </si>
  <si>
    <t>Total revenue</t>
  </si>
  <si>
    <t>Systems cost</t>
  </si>
  <si>
    <t>Maintenance cost</t>
  </si>
  <si>
    <t>Services cost</t>
  </si>
  <si>
    <t>Total cost of sales</t>
  </si>
  <si>
    <t>Gross profit</t>
  </si>
  <si>
    <t>R&amp;D</t>
  </si>
  <si>
    <t>SG&amp;A</t>
  </si>
  <si>
    <t>Operating profit</t>
  </si>
  <si>
    <t>Other income</t>
  </si>
  <si>
    <t>Pretax profit</t>
  </si>
  <si>
    <t>Taxes</t>
  </si>
  <si>
    <t>MI</t>
  </si>
  <si>
    <t>Net profit</t>
  </si>
  <si>
    <t>EPS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</si>
  <si>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</si>
  <si>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</si>
  <si>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</si>
  <si>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</si>
  <si>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</si>
  <si>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</si>
  <si>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</si>
  <si>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</si>
  <si>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</si>
  <si>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</si>
  <si>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Revenue y/y</t>
  </si>
  <si>
    <t>Gross Margin</t>
  </si>
  <si>
    <t>Systems revenue y/y</t>
  </si>
  <si>
    <t>Maintenance revenue y/y</t>
  </si>
  <si>
    <t>Services revenue y/y</t>
  </si>
  <si>
    <t>Systems Margin</t>
  </si>
  <si>
    <t>Maintenance Margin</t>
  </si>
  <si>
    <t>Services Margin</t>
  </si>
  <si>
    <t>R&amp;D y/y</t>
  </si>
  <si>
    <t>SG&amp;A y/y</t>
  </si>
  <si>
    <t>Operating Margin</t>
  </si>
  <si>
    <t>Net Margin</t>
  </si>
  <si>
    <t>Maturity</t>
  </si>
  <si>
    <t>Discount rate</t>
  </si>
  <si>
    <t>NPV</t>
  </si>
  <si>
    <t>Q125</t>
  </si>
  <si>
    <t>Q225</t>
  </si>
  <si>
    <t>Q325</t>
  </si>
  <si>
    <t>Q425</t>
  </si>
  <si>
    <t>Net cash</t>
  </si>
  <si>
    <t>Value</t>
  </si>
  <si>
    <t>Per share</t>
  </si>
  <si>
    <t>Current price</t>
  </si>
  <si>
    <t>Variance</t>
  </si>
  <si>
    <t>Consensus</t>
  </si>
  <si>
    <t>weird income statement</t>
  </si>
  <si>
    <t>Heavily overvalued</t>
  </si>
  <si>
    <t>Total operating expenses</t>
  </si>
  <si>
    <t>Restructuring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</si>
</sst>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</xdr:colOff>
      <xdr:row>0</xdr:row>
      <xdr:rowOff>0</xdr:rowOff>
    </xdr:from>
    <xdr:to>
      <xdr:col>17</xdr:col>
      <xdr:colOff>22860</xdr:colOff>
      <xdr:row>41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AB486D-911E-2EB7-CD63-78364B803AB3}"/>
            </a:ext>
          </a:extLst>
        </xdr:cNvPr>
        <xdr:cNvCxnSpPr/>
      </xdr:nvCxnSpPr>
      <xdr:spPr>
        <a:xfrm>
          <a:off x="12999720" y="0"/>
          <a:ext cx="0" cy="7589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</xdr:colOff>
      <xdr:row>0</xdr:row>
      <xdr:rowOff>0</xdr:rowOff>
    </xdr:from>
    <xdr:to>
      <xdr:col>24</xdr:col>
      <xdr:colOff>15240</xdr:colOff>
      <xdr:row>41</xdr:row>
      <xdr:rowOff>129540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B994D7D-9F03-F2D0-8EBC-4B66D4C16B1E}"/>
            </a:ext>
          </a:extLst>
        </xdr:cNvPr>
        <xdr:cNvCxnSpPr/>
      </xdr:nvCxnSpPr>
      <xdr:spPr>
        <a:xfrm>
          <a:off x="17945100" y="0"/>
          <a:ext cx="0" cy="7261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4548-11C4-4569-A3D7-DF6B4C158C12}">
  <dimension ref="B2:G12"/>
  <sheetViews>
    <sheetView workbookViewId="0">
      <selection activeCell="D4" sqref="D4"/>
    </sheetView>
  </sheetViews>
  <sheetFormatPr defaultRowHeight="14.4" x14ac:dyDescent="0.3"/>
  <cols>
    <col min="4" max="4" width="10" bestFit="1" customWidth="1"/>
    <col min="5" max="7" width="13.109375" style="4" customWidth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1" t="s">
        <v>0</v>
      </c>
      <c r="C3" t="s">
        <v>1</v>
      </c>
      <c r="D3" s="3">
        <v>46.39</v>
      </c>
      <c r="E3" s="5">
        <v>45891</v>
      </c>
      <c r="F3" s="5">
        <f ca="1">TODAY()</f>
        <v>45891</v>
      </c>
      <c r="G3" s="5">
        <v>45985</v>
      </c>
    </row>
    <row r="4" spans="2:7" x14ac:dyDescent="0.3">
      <c r="C4" t="s">
        <v>2</v>
      </c>
      <c r="D4" s="6">
        <f>111.3+75.6+403.6</f>
        <v>590.5</v>
      </c>
      <c r="E4" s="4" t="s">
        <v>58</v>
      </c>
    </row>
    <row r="5" spans="2:7" x14ac:dyDescent="0.3">
      <c r="C5" t="s">
        <v>3</v>
      </c>
      <c r="D5" s="6">
        <f>D3*D4</f>
        <v>27393.295000000002</v>
      </c>
    </row>
    <row r="6" spans="2:7" x14ac:dyDescent="0.3">
      <c r="C6" t="s">
        <v>4</v>
      </c>
      <c r="D6" s="6">
        <f>777.6+105.6</f>
        <v>883.2</v>
      </c>
      <c r="E6" s="4" t="s">
        <v>58</v>
      </c>
    </row>
    <row r="7" spans="2:7" x14ac:dyDescent="0.3">
      <c r="C7" t="s">
        <v>5</v>
      </c>
      <c r="D7" s="6">
        <v>0</v>
      </c>
      <c r="E7" s="4" t="s">
        <v>58</v>
      </c>
    </row>
    <row r="8" spans="2:7" x14ac:dyDescent="0.3">
      <c r="C8" t="s">
        <v>6</v>
      </c>
      <c r="D8" s="6">
        <f>D6-D7</f>
        <v>883.2</v>
      </c>
    </row>
    <row r="9" spans="2:7" x14ac:dyDescent="0.3">
      <c r="C9" t="s">
        <v>7</v>
      </c>
      <c r="D9" s="6">
        <f>D5-D8</f>
        <v>26510.095000000001</v>
      </c>
    </row>
    <row r="12" spans="2:7" x14ac:dyDescent="0.3">
      <c r="D1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B211-3F53-4D10-A380-2FD723636F96}">
  <dimension ref="B1:EQ38"/>
  <sheetViews>
    <sheetView tabSelected="1" workbookViewId="0">
      <pane xSplit="2" ySplit="2" topLeftCell="Y9" activePane="bottomRight" state="frozen"/>
      <selection pane="topRight" activeCell="C1" sqref="C1"/>
      <selection pane="bottomLeft" activeCell="A3" sqref="A3"/>
      <selection pane="bottomRight" activeCell="AL35" sqref="AL35"/>
    </sheetView>
  </sheetViews>
  <sheetFormatPr defaultRowHeight="14.4" x14ac:dyDescent="0.3"/>
  <cols>
    <col min="2" max="2" width="22" bestFit="1" customWidth="1"/>
    <col min="3" max="14" width="10.5546875" bestFit="1" customWidth="1"/>
    <col min="15" max="18" width="10.5546875" customWidth="1"/>
    <col min="20" max="35" width="10.5546875" bestFit="1" customWidth="1"/>
    <col min="38" max="38" width="12" bestFit="1" customWidth="1"/>
    <col min="39" max="39" width="16.44140625" bestFit="1" customWidth="1"/>
  </cols>
  <sheetData>
    <row r="1" spans="2:35" x14ac:dyDescent="0.3">
      <c r="C1" s="2">
        <v>44561</v>
      </c>
      <c r="D1" s="2">
        <v>44651</v>
      </c>
      <c r="E1" s="2">
        <v>44742</v>
      </c>
      <c r="F1" s="2">
        <v>44834</v>
      </c>
      <c r="G1" s="2">
        <v>44926</v>
      </c>
      <c r="H1" s="2">
        <v>45016</v>
      </c>
      <c r="I1" s="2">
        <v>45107</v>
      </c>
      <c r="J1" s="2">
        <v>45199</v>
      </c>
      <c r="K1" s="2">
        <v>45291</v>
      </c>
      <c r="L1" s="2">
        <v>45382</v>
      </c>
      <c r="M1" s="2">
        <v>45473</v>
      </c>
      <c r="N1" s="2">
        <v>45565</v>
      </c>
      <c r="O1" s="2">
        <v>45657</v>
      </c>
      <c r="P1" s="2">
        <v>45747</v>
      </c>
      <c r="Q1" s="2">
        <v>45838</v>
      </c>
      <c r="R1" s="2">
        <v>45930</v>
      </c>
      <c r="T1" s="2">
        <v>44104</v>
      </c>
      <c r="U1" s="2">
        <v>44469</v>
      </c>
      <c r="V1" s="2">
        <v>44834</v>
      </c>
      <c r="W1" s="2">
        <v>45199</v>
      </c>
      <c r="X1" s="2">
        <v>45565</v>
      </c>
      <c r="Y1" s="2">
        <v>45930</v>
      </c>
      <c r="Z1" s="2">
        <v>46295</v>
      </c>
      <c r="AA1" s="2">
        <v>46660</v>
      </c>
      <c r="AB1" s="2">
        <v>47026</v>
      </c>
      <c r="AC1" s="2">
        <v>47391</v>
      </c>
      <c r="AD1" s="2">
        <v>47756</v>
      </c>
      <c r="AE1" s="2">
        <v>48121</v>
      </c>
      <c r="AF1" s="2">
        <v>48487</v>
      </c>
      <c r="AG1" s="2">
        <v>48852</v>
      </c>
      <c r="AH1" s="2">
        <v>49217</v>
      </c>
      <c r="AI1" s="2">
        <v>49582</v>
      </c>
    </row>
    <row r="2" spans="2:35" x14ac:dyDescent="0.3">
      <c r="C2" s="7" t="s">
        <v>12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  <c r="J2" s="7" t="s">
        <v>37</v>
      </c>
      <c r="K2" s="7" t="s">
        <v>38</v>
      </c>
      <c r="L2" s="7" t="s">
        <v>39</v>
      </c>
      <c r="M2" s="7" t="s">
        <v>11</v>
      </c>
      <c r="N2" s="7" t="s">
        <v>40</v>
      </c>
      <c r="O2" s="7" t="s">
        <v>56</v>
      </c>
      <c r="P2" s="7" t="s">
        <v>57</v>
      </c>
      <c r="Q2" s="7" t="s">
        <v>58</v>
      </c>
      <c r="R2" s="7" t="s">
        <v>59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</row>
    <row r="3" spans="2:35" x14ac:dyDescent="0.3">
      <c r="B3" t="s">
        <v>13</v>
      </c>
      <c r="F3" s="6">
        <v>237.7</v>
      </c>
      <c r="G3" s="6">
        <v>197.9</v>
      </c>
      <c r="H3" s="6">
        <v>257.60000000000002</v>
      </c>
      <c r="I3" s="6">
        <v>302.39999999999998</v>
      </c>
      <c r="J3" s="6">
        <v>380.2</v>
      </c>
      <c r="K3" s="6">
        <v>347.7</v>
      </c>
      <c r="L3" s="6">
        <v>370.7</v>
      </c>
      <c r="M3" s="6">
        <v>450.6</v>
      </c>
      <c r="N3" s="6">
        <v>548.6</v>
      </c>
      <c r="O3" s="6">
        <v>464.1</v>
      </c>
      <c r="P3" s="6">
        <v>513.4</v>
      </c>
      <c r="Q3" s="6">
        <v>559.1</v>
      </c>
      <c r="R3" s="6">
        <f>N3*1.22</f>
        <v>669.29200000000003</v>
      </c>
      <c r="T3" s="6">
        <v>70.8</v>
      </c>
      <c r="U3" s="6">
        <v>227.6</v>
      </c>
      <c r="V3" s="6">
        <v>568</v>
      </c>
      <c r="W3" s="6">
        <f>SUM(G3:J3)</f>
        <v>1138.0999999999999</v>
      </c>
      <c r="X3" s="6">
        <f>SUM(K3:N3)</f>
        <v>1717.6</v>
      </c>
      <c r="Y3" s="6">
        <f>SUM(O3:R3)</f>
        <v>2205.8919999999998</v>
      </c>
      <c r="Z3" s="6">
        <f>Y3*1.23</f>
        <v>2713.2471599999999</v>
      </c>
      <c r="AA3" s="6">
        <f>Z3*1.18</f>
        <v>3201.6316487999998</v>
      </c>
      <c r="AB3" s="6">
        <f>AA3*1.14</f>
        <v>3649.8600796319993</v>
      </c>
      <c r="AC3" s="6">
        <f>AB3*1.1</f>
        <v>4014.8460875951996</v>
      </c>
      <c r="AD3" s="6">
        <f>AC3*1.08</f>
        <v>4336.0337746028163</v>
      </c>
      <c r="AE3" s="6">
        <f>AD3*1.06</f>
        <v>4596.1958010789858</v>
      </c>
      <c r="AF3" s="6">
        <f>AE3*1.05</f>
        <v>4826.0055911329355</v>
      </c>
      <c r="AG3" s="6">
        <f t="shared" ref="AG3:AI3" si="0">AF3*1.05</f>
        <v>5067.3058706895827</v>
      </c>
      <c r="AH3" s="6">
        <f t="shared" si="0"/>
        <v>5320.6711642240616</v>
      </c>
      <c r="AI3" s="6">
        <f t="shared" si="0"/>
        <v>5586.7047224352646</v>
      </c>
    </row>
    <row r="4" spans="2:35" x14ac:dyDescent="0.3">
      <c r="B4" t="s">
        <v>14</v>
      </c>
      <c r="F4" s="6">
        <v>0.9</v>
      </c>
      <c r="G4" s="6">
        <v>1.2</v>
      </c>
      <c r="H4" s="6">
        <v>1.5</v>
      </c>
      <c r="I4" s="6">
        <v>1.8</v>
      </c>
      <c r="J4" s="6">
        <v>2.1</v>
      </c>
      <c r="K4" s="6">
        <v>2.2000000000000002</v>
      </c>
      <c r="L4" s="6">
        <v>2.6</v>
      </c>
      <c r="M4" s="6">
        <v>3.5</v>
      </c>
      <c r="N4" s="6">
        <v>5.9</v>
      </c>
      <c r="O4" s="6">
        <v>5.5</v>
      </c>
      <c r="P4" s="6">
        <v>6.7</v>
      </c>
      <c r="Q4" s="6">
        <v>8.1</v>
      </c>
      <c r="R4" s="6">
        <f>N4*1.8</f>
        <v>10.620000000000001</v>
      </c>
      <c r="T4" s="6">
        <v>2.6</v>
      </c>
      <c r="U4" s="6">
        <v>4</v>
      </c>
      <c r="V4" s="6">
        <v>3.7</v>
      </c>
      <c r="W4" s="6">
        <f>SUM(G4:J4)</f>
        <v>6.6</v>
      </c>
      <c r="X4" s="6">
        <f>SUM(K4:N4)</f>
        <v>14.200000000000001</v>
      </c>
      <c r="Y4" s="6">
        <f>SUM(O4:R4)</f>
        <v>30.919999999999998</v>
      </c>
      <c r="Z4" s="6">
        <f>Y4*1.8</f>
        <v>55.655999999999999</v>
      </c>
      <c r="AA4" s="6">
        <f>Z4*1.6</f>
        <v>89.049599999999998</v>
      </c>
      <c r="AB4" s="6">
        <f>AA4*1.4</f>
        <v>124.66943999999999</v>
      </c>
      <c r="AC4" s="6">
        <f>AB4*1.3</f>
        <v>162.07027199999999</v>
      </c>
      <c r="AD4" s="6">
        <f>AC4*1.2</f>
        <v>194.48432639999999</v>
      </c>
      <c r="AE4" s="6">
        <f>AD4*1.1</f>
        <v>213.93275904000001</v>
      </c>
      <c r="AF4" s="6">
        <f t="shared" ref="AF4" si="1">AE4*1.1</f>
        <v>235.32603494400001</v>
      </c>
      <c r="AG4" s="6">
        <f t="shared" ref="AG4" si="2">AF4*1.1</f>
        <v>258.85863843840002</v>
      </c>
      <c r="AH4" s="6">
        <f t="shared" ref="AH4" si="3">AG4*1.1</f>
        <v>284.74450228224003</v>
      </c>
      <c r="AI4" s="6">
        <f t="shared" ref="AI4" si="4">AH4*1.1</f>
        <v>313.21895251046408</v>
      </c>
    </row>
    <row r="5" spans="2:35" x14ac:dyDescent="0.3">
      <c r="B5" t="s">
        <v>15</v>
      </c>
      <c r="F5" s="6">
        <v>5.8</v>
      </c>
      <c r="G5" s="6">
        <v>7.2</v>
      </c>
      <c r="H5" s="6">
        <v>7.8</v>
      </c>
      <c r="I5" s="6">
        <v>7.7</v>
      </c>
      <c r="J5" s="6">
        <v>9.5</v>
      </c>
      <c r="K5" s="6">
        <v>10.1</v>
      </c>
      <c r="L5" s="6">
        <v>20.100000000000001</v>
      </c>
      <c r="M5" s="6">
        <v>16.2</v>
      </c>
      <c r="N5" s="6">
        <v>22.2</v>
      </c>
      <c r="O5" s="6">
        <v>17.100000000000001</v>
      </c>
      <c r="P5" s="6">
        <v>29.6</v>
      </c>
      <c r="Q5" s="6">
        <v>24.9</v>
      </c>
      <c r="R5" s="6">
        <f>N5*1.5</f>
        <v>33.299999999999997</v>
      </c>
      <c r="T5" s="6">
        <v>18.7</v>
      </c>
      <c r="U5" s="6">
        <v>20.3</v>
      </c>
      <c r="V5" s="6">
        <v>21.6</v>
      </c>
      <c r="W5" s="6">
        <f>SUM(G5:J5)</f>
        <v>32.200000000000003</v>
      </c>
      <c r="X5" s="6">
        <f>SUM(K5:N5)</f>
        <v>68.600000000000009</v>
      </c>
      <c r="Y5" s="6">
        <f>SUM(O5:R5)</f>
        <v>104.89999999999999</v>
      </c>
      <c r="Z5" s="6">
        <f>Y5*1.4</f>
        <v>146.85999999999999</v>
      </c>
      <c r="AA5" s="6">
        <f>Z5*1.35</f>
        <v>198.261</v>
      </c>
      <c r="AB5" s="6">
        <f>AA5*1.3</f>
        <v>257.73930000000001</v>
      </c>
      <c r="AC5" s="6">
        <f>AB5*1.25</f>
        <v>322.174125</v>
      </c>
      <c r="AD5" s="6">
        <f>AC5*1.2</f>
        <v>386.60894999999999</v>
      </c>
      <c r="AE5" s="6">
        <f>AD5*1.15</f>
        <v>444.60029249999997</v>
      </c>
      <c r="AF5" s="6">
        <f t="shared" ref="AF5:AI5" si="5">AE5*1.15</f>
        <v>511.29033637499992</v>
      </c>
      <c r="AG5" s="6">
        <f t="shared" si="5"/>
        <v>587.98388683124983</v>
      </c>
      <c r="AH5" s="6">
        <f t="shared" si="5"/>
        <v>676.18146985593728</v>
      </c>
      <c r="AI5" s="6">
        <f t="shared" si="5"/>
        <v>777.60869033432778</v>
      </c>
    </row>
    <row r="6" spans="2:35" s="1" customFormat="1" x14ac:dyDescent="0.3">
      <c r="B6" s="1" t="s">
        <v>16</v>
      </c>
      <c r="F6" s="9">
        <f t="shared" ref="F6:N6" si="6">SUM(F3:F5)</f>
        <v>244.4</v>
      </c>
      <c r="G6" s="9">
        <f t="shared" si="6"/>
        <v>206.29999999999998</v>
      </c>
      <c r="H6" s="9">
        <f t="shared" si="6"/>
        <v>266.90000000000003</v>
      </c>
      <c r="I6" s="9">
        <f t="shared" si="6"/>
        <v>311.89999999999998</v>
      </c>
      <c r="J6" s="9">
        <f t="shared" si="6"/>
        <v>391.8</v>
      </c>
      <c r="K6" s="9">
        <f t="shared" si="6"/>
        <v>360</v>
      </c>
      <c r="L6" s="9">
        <f t="shared" si="6"/>
        <v>393.40000000000003</v>
      </c>
      <c r="M6" s="9">
        <f t="shared" si="6"/>
        <v>470.3</v>
      </c>
      <c r="N6" s="9">
        <f t="shared" si="6"/>
        <v>576.70000000000005</v>
      </c>
      <c r="O6" s="9">
        <f t="shared" ref="O6:R6" si="7">SUM(O3:O5)</f>
        <v>486.70000000000005</v>
      </c>
      <c r="P6" s="9">
        <f t="shared" si="7"/>
        <v>549.70000000000005</v>
      </c>
      <c r="Q6" s="9">
        <f t="shared" si="7"/>
        <v>592.1</v>
      </c>
      <c r="R6" s="9">
        <f t="shared" si="7"/>
        <v>713.21199999999999</v>
      </c>
      <c r="T6" s="9">
        <f>SUM(T3:T5)</f>
        <v>92.1</v>
      </c>
      <c r="U6" s="9">
        <f>SUM(U3:U5)</f>
        <v>251.9</v>
      </c>
      <c r="V6" s="9">
        <f>SUM(V3:V5)</f>
        <v>593.30000000000007</v>
      </c>
      <c r="W6" s="9">
        <f>SUM(W3:W5)</f>
        <v>1176.8999999999999</v>
      </c>
      <c r="X6" s="9">
        <f>SUM(X3:X5)</f>
        <v>1800.3999999999999</v>
      </c>
      <c r="Y6" s="9">
        <f t="shared" ref="Y6:AI6" si="8">SUM(Y3:Y5)</f>
        <v>2341.712</v>
      </c>
      <c r="Z6" s="9">
        <f t="shared" si="8"/>
        <v>2915.76316</v>
      </c>
      <c r="AA6" s="9">
        <f t="shared" si="8"/>
        <v>3488.9422487999996</v>
      </c>
      <c r="AB6" s="9">
        <f t="shared" si="8"/>
        <v>4032.2688196319996</v>
      </c>
      <c r="AC6" s="9">
        <f t="shared" si="8"/>
        <v>4499.0904845951991</v>
      </c>
      <c r="AD6" s="9">
        <f t="shared" si="8"/>
        <v>4917.1270510028162</v>
      </c>
      <c r="AE6" s="9">
        <f t="shared" si="8"/>
        <v>5254.7288526189859</v>
      </c>
      <c r="AF6" s="9">
        <f t="shared" si="8"/>
        <v>5572.6219624519354</v>
      </c>
      <c r="AG6" s="9">
        <f t="shared" si="8"/>
        <v>5914.1483959592324</v>
      </c>
      <c r="AH6" s="9">
        <f t="shared" si="8"/>
        <v>6281.5971363622393</v>
      </c>
      <c r="AI6" s="9">
        <f t="shared" si="8"/>
        <v>6677.5323652800562</v>
      </c>
    </row>
    <row r="7" spans="2:35" x14ac:dyDescent="0.3">
      <c r="B7" t="s">
        <v>17</v>
      </c>
      <c r="F7" s="6">
        <v>199.7</v>
      </c>
      <c r="G7" s="6">
        <v>160.9</v>
      </c>
      <c r="H7" s="6">
        <v>213.1</v>
      </c>
      <c r="I7" s="6">
        <v>244.7</v>
      </c>
      <c r="J7" s="6">
        <v>321.39999999999998</v>
      </c>
      <c r="K7" s="6">
        <v>283.89999999999998</v>
      </c>
      <c r="L7" s="6">
        <v>342.1</v>
      </c>
      <c r="M7" s="6">
        <v>398.8</v>
      </c>
      <c r="N7" s="6">
        <v>442</v>
      </c>
      <c r="O7" s="6">
        <v>381.8</v>
      </c>
      <c r="P7" s="6">
        <v>414.6</v>
      </c>
      <c r="Q7" s="6">
        <v>457.9</v>
      </c>
      <c r="R7" s="6">
        <f>R3*0.82</f>
        <v>548.81943999999999</v>
      </c>
      <c r="T7" s="6">
        <v>79.3</v>
      </c>
      <c r="U7" s="6">
        <v>216.6</v>
      </c>
      <c r="V7" s="6">
        <v>464.2</v>
      </c>
      <c r="W7" s="6">
        <f>SUM(G7:J7)</f>
        <v>940.1</v>
      </c>
      <c r="X7" s="6">
        <f>SUM(K7:N7)</f>
        <v>1466.8</v>
      </c>
      <c r="Y7" s="6">
        <f>SUM(O7:R7)</f>
        <v>1803.1194400000002</v>
      </c>
      <c r="Z7" s="6">
        <f>Z3*0.8</f>
        <v>2170.5977280000002</v>
      </c>
      <c r="AA7" s="6">
        <f>AA3*0.79</f>
        <v>2529.2890025520001</v>
      </c>
      <c r="AB7" s="6">
        <f t="shared" ref="AB7:AI7" si="9">AB3*0.79</f>
        <v>2883.3894629092797</v>
      </c>
      <c r="AC7" s="6">
        <f t="shared" si="9"/>
        <v>3171.7284092002078</v>
      </c>
      <c r="AD7" s="6">
        <f t="shared" si="9"/>
        <v>3425.4666819362251</v>
      </c>
      <c r="AE7" s="6">
        <f t="shared" si="9"/>
        <v>3630.9946828523989</v>
      </c>
      <c r="AF7" s="6">
        <f t="shared" si="9"/>
        <v>3812.5444169950192</v>
      </c>
      <c r="AG7" s="6">
        <f t="shared" si="9"/>
        <v>4003.1716378447704</v>
      </c>
      <c r="AH7" s="6">
        <f t="shared" si="9"/>
        <v>4203.3302197370085</v>
      </c>
      <c r="AI7" s="6">
        <f t="shared" si="9"/>
        <v>4413.4967307238594</v>
      </c>
    </row>
    <row r="8" spans="2:35" x14ac:dyDescent="0.3">
      <c r="B8" t="s">
        <v>18</v>
      </c>
      <c r="F8" s="6">
        <v>1.2</v>
      </c>
      <c r="G8" s="6">
        <v>1.7</v>
      </c>
      <c r="H8" s="6">
        <v>2.1</v>
      </c>
      <c r="I8" s="6">
        <v>3.6</v>
      </c>
      <c r="J8" s="6">
        <v>1.8</v>
      </c>
      <c r="K8" s="6">
        <v>1.7</v>
      </c>
      <c r="L8" s="6">
        <v>1.9</v>
      </c>
      <c r="M8" s="6">
        <v>2.5</v>
      </c>
      <c r="N8" s="6">
        <v>2.7</v>
      </c>
      <c r="O8" s="6">
        <v>1.9</v>
      </c>
      <c r="P8" s="6">
        <v>2.1</v>
      </c>
      <c r="Q8" s="6">
        <v>1.8</v>
      </c>
      <c r="R8" s="6">
        <f>R4*0.6</f>
        <v>6.3720000000000008</v>
      </c>
      <c r="T8" s="6">
        <v>3.7</v>
      </c>
      <c r="U8" s="6">
        <v>3</v>
      </c>
      <c r="V8" s="6">
        <v>4.4000000000000004</v>
      </c>
      <c r="W8" s="6">
        <f>SUM(G8:J8)</f>
        <v>9.2000000000000011</v>
      </c>
      <c r="X8" s="6">
        <f>SUM(K8:N8)</f>
        <v>8.8000000000000007</v>
      </c>
      <c r="Y8" s="6">
        <f>SUM(O8:R8)</f>
        <v>12.172000000000001</v>
      </c>
      <c r="Z8" s="6">
        <f>Z4*0.65</f>
        <v>36.176400000000001</v>
      </c>
      <c r="AA8" s="6">
        <f t="shared" ref="AA8:AI8" si="10">AA4*0.65</f>
        <v>57.882240000000003</v>
      </c>
      <c r="AB8" s="6">
        <f t="shared" si="10"/>
        <v>81.035135999999994</v>
      </c>
      <c r="AC8" s="6">
        <f t="shared" si="10"/>
        <v>105.34567679999999</v>
      </c>
      <c r="AD8" s="6">
        <f t="shared" si="10"/>
        <v>126.41481216</v>
      </c>
      <c r="AE8" s="6">
        <f t="shared" si="10"/>
        <v>139.05629337600001</v>
      </c>
      <c r="AF8" s="6">
        <f t="shared" si="10"/>
        <v>152.96192271360002</v>
      </c>
      <c r="AG8" s="6">
        <f t="shared" si="10"/>
        <v>168.25811498496003</v>
      </c>
      <c r="AH8" s="6">
        <f t="shared" si="10"/>
        <v>185.08392648345603</v>
      </c>
      <c r="AI8" s="6">
        <f t="shared" si="10"/>
        <v>203.59231913180164</v>
      </c>
    </row>
    <row r="9" spans="2:35" x14ac:dyDescent="0.3">
      <c r="B9" t="s">
        <v>19</v>
      </c>
      <c r="F9" s="6">
        <v>6.8</v>
      </c>
      <c r="G9" s="6">
        <v>8.5</v>
      </c>
      <c r="H9" s="6">
        <v>8.8000000000000007</v>
      </c>
      <c r="I9" s="6">
        <v>10.7</v>
      </c>
      <c r="J9" s="6">
        <v>9.8000000000000007</v>
      </c>
      <c r="K9" s="6">
        <v>10.199999999999999</v>
      </c>
      <c r="L9" s="6">
        <v>19.100000000000001</v>
      </c>
      <c r="M9" s="6">
        <v>14.1</v>
      </c>
      <c r="N9" s="6">
        <v>23.4</v>
      </c>
      <c r="O9" s="6">
        <v>23</v>
      </c>
      <c r="P9" s="6">
        <v>25.2</v>
      </c>
      <c r="Q9" s="6">
        <v>24.8</v>
      </c>
      <c r="R9" s="6">
        <f>R5*0.9</f>
        <v>29.97</v>
      </c>
      <c r="T9" s="6">
        <v>28.1</v>
      </c>
      <c r="U9" s="6">
        <v>21.9</v>
      </c>
      <c r="V9" s="6">
        <v>25.1</v>
      </c>
      <c r="W9" s="6">
        <f>SUM(G9:J9)</f>
        <v>37.799999999999997</v>
      </c>
      <c r="X9" s="6">
        <f>SUM(K9:N9)</f>
        <v>66.8</v>
      </c>
      <c r="Y9" s="6">
        <f>SUM(O9:R9)</f>
        <v>102.97</v>
      </c>
      <c r="Z9" s="6">
        <f>Z5*0.75</f>
        <v>110.14499999999998</v>
      </c>
      <c r="AA9" s="6">
        <f>AA5*0.65</f>
        <v>128.86965000000001</v>
      </c>
      <c r="AB9" s="6">
        <f>AB5*0.6</f>
        <v>154.64358000000001</v>
      </c>
      <c r="AC9" s="6">
        <f>AC5*0.6</f>
        <v>193.304475</v>
      </c>
      <c r="AD9" s="6">
        <f t="shared" ref="AD9:AI9" si="11">AD5*0.6</f>
        <v>231.96536999999998</v>
      </c>
      <c r="AE9" s="6">
        <f t="shared" si="11"/>
        <v>266.76017549999995</v>
      </c>
      <c r="AF9" s="6">
        <f t="shared" si="11"/>
        <v>306.77420182499992</v>
      </c>
      <c r="AG9" s="6">
        <f t="shared" si="11"/>
        <v>352.7903320987499</v>
      </c>
      <c r="AH9" s="6">
        <f t="shared" si="11"/>
        <v>405.70888191356238</v>
      </c>
      <c r="AI9" s="6">
        <f t="shared" si="11"/>
        <v>466.56521420059664</v>
      </c>
    </row>
    <row r="10" spans="2:35" x14ac:dyDescent="0.3">
      <c r="B10" t="s">
        <v>20</v>
      </c>
      <c r="F10" s="6">
        <f t="shared" ref="F10:N10" si="12">SUM(F7:F9)</f>
        <v>207.7</v>
      </c>
      <c r="G10" s="6">
        <f t="shared" si="12"/>
        <v>171.1</v>
      </c>
      <c r="H10" s="6">
        <f t="shared" si="12"/>
        <v>224</v>
      </c>
      <c r="I10" s="6">
        <f t="shared" si="12"/>
        <v>259</v>
      </c>
      <c r="J10" s="6">
        <f t="shared" si="12"/>
        <v>333</v>
      </c>
      <c r="K10" s="6">
        <f t="shared" si="12"/>
        <v>295.79999999999995</v>
      </c>
      <c r="L10" s="6">
        <f t="shared" si="12"/>
        <v>363.1</v>
      </c>
      <c r="M10" s="6">
        <f t="shared" si="12"/>
        <v>415.40000000000003</v>
      </c>
      <c r="N10" s="6">
        <f t="shared" si="12"/>
        <v>468.09999999999997</v>
      </c>
      <c r="O10" s="6">
        <f t="shared" ref="O10:R10" si="13">SUM(O7:O9)</f>
        <v>406.7</v>
      </c>
      <c r="P10" s="6">
        <f t="shared" si="13"/>
        <v>441.90000000000003</v>
      </c>
      <c r="Q10" s="6">
        <f t="shared" si="13"/>
        <v>484.5</v>
      </c>
      <c r="R10" s="6">
        <f t="shared" si="13"/>
        <v>585.16143999999997</v>
      </c>
      <c r="T10" s="6">
        <f>SUM(T7:T9)</f>
        <v>111.1</v>
      </c>
      <c r="U10" s="6">
        <f>SUM(U7:U9)</f>
        <v>241.5</v>
      </c>
      <c r="V10" s="6">
        <f>SUM(V7:V9)</f>
        <v>493.7</v>
      </c>
      <c r="W10" s="6">
        <f>SUM(W7:W9)</f>
        <v>987.1</v>
      </c>
      <c r="X10" s="6">
        <f>SUM(X7:X9)</f>
        <v>1542.3999999999999</v>
      </c>
      <c r="Y10" s="6">
        <f t="shared" ref="Y10:AI10" si="14">SUM(Y7:Y9)</f>
        <v>1918.2614400000002</v>
      </c>
      <c r="Z10" s="6">
        <f t="shared" si="14"/>
        <v>2316.919128</v>
      </c>
      <c r="AA10" s="6">
        <f t="shared" si="14"/>
        <v>2716.0408925520001</v>
      </c>
      <c r="AB10" s="6">
        <f t="shared" si="14"/>
        <v>3119.0681789092796</v>
      </c>
      <c r="AC10" s="6">
        <f t="shared" si="14"/>
        <v>3470.3785610002078</v>
      </c>
      <c r="AD10" s="6">
        <f t="shared" si="14"/>
        <v>3783.8468640962251</v>
      </c>
      <c r="AE10" s="6">
        <f t="shared" si="14"/>
        <v>4036.8111517283992</v>
      </c>
      <c r="AF10" s="6">
        <f t="shared" si="14"/>
        <v>4272.2805415336188</v>
      </c>
      <c r="AG10" s="6">
        <f t="shared" si="14"/>
        <v>4524.22008492848</v>
      </c>
      <c r="AH10" s="6">
        <f t="shared" si="14"/>
        <v>4794.1230281340268</v>
      </c>
      <c r="AI10" s="6">
        <f t="shared" si="14"/>
        <v>5083.6542640562575</v>
      </c>
    </row>
    <row r="11" spans="2:35" s="1" customFormat="1" x14ac:dyDescent="0.3">
      <c r="B11" s="1" t="s">
        <v>21</v>
      </c>
      <c r="F11" s="9">
        <f t="shared" ref="F11:N11" si="15">F6-F10</f>
        <v>36.700000000000017</v>
      </c>
      <c r="G11" s="9">
        <f t="shared" si="15"/>
        <v>35.199999999999989</v>
      </c>
      <c r="H11" s="9">
        <f t="shared" si="15"/>
        <v>42.900000000000034</v>
      </c>
      <c r="I11" s="9">
        <f t="shared" si="15"/>
        <v>52.899999999999977</v>
      </c>
      <c r="J11" s="9">
        <f t="shared" si="15"/>
        <v>58.800000000000011</v>
      </c>
      <c r="K11" s="9">
        <f t="shared" si="15"/>
        <v>64.200000000000045</v>
      </c>
      <c r="L11" s="9">
        <f t="shared" si="15"/>
        <v>30.300000000000011</v>
      </c>
      <c r="M11" s="9">
        <f t="shared" si="15"/>
        <v>54.899999999999977</v>
      </c>
      <c r="N11" s="9">
        <f t="shared" si="15"/>
        <v>108.60000000000008</v>
      </c>
      <c r="O11" s="9">
        <f t="shared" ref="O11:R11" si="16">O6-O10</f>
        <v>80.000000000000057</v>
      </c>
      <c r="P11" s="9">
        <f t="shared" si="16"/>
        <v>107.80000000000001</v>
      </c>
      <c r="Q11" s="9">
        <f t="shared" si="16"/>
        <v>107.60000000000002</v>
      </c>
      <c r="R11" s="9">
        <f t="shared" si="16"/>
        <v>128.05056000000002</v>
      </c>
      <c r="T11" s="9">
        <f>T6-T10</f>
        <v>-19</v>
      </c>
      <c r="U11" s="9">
        <f>U6-U10</f>
        <v>10.400000000000006</v>
      </c>
      <c r="V11" s="9">
        <f>V6-V10</f>
        <v>99.60000000000008</v>
      </c>
      <c r="W11" s="9">
        <f>W6-W10</f>
        <v>189.79999999999984</v>
      </c>
      <c r="X11" s="9">
        <f>X6-X10</f>
        <v>258</v>
      </c>
      <c r="Y11" s="9">
        <f t="shared" ref="Y11:AI11" si="17">Y6-Y10</f>
        <v>423.45055999999977</v>
      </c>
      <c r="Z11" s="9">
        <f t="shared" si="17"/>
        <v>598.84403199999997</v>
      </c>
      <c r="AA11" s="9">
        <f t="shared" si="17"/>
        <v>772.9013562479995</v>
      </c>
      <c r="AB11" s="9">
        <f t="shared" si="17"/>
        <v>913.20064072271998</v>
      </c>
      <c r="AC11" s="9">
        <f t="shared" si="17"/>
        <v>1028.7119235949913</v>
      </c>
      <c r="AD11" s="9">
        <f t="shared" si="17"/>
        <v>1133.2801869065911</v>
      </c>
      <c r="AE11" s="9">
        <f t="shared" si="17"/>
        <v>1217.9177008905867</v>
      </c>
      <c r="AF11" s="9">
        <f t="shared" si="17"/>
        <v>1300.3414209183165</v>
      </c>
      <c r="AG11" s="9">
        <f t="shared" si="17"/>
        <v>1389.9283110307524</v>
      </c>
      <c r="AH11" s="9">
        <f t="shared" si="17"/>
        <v>1487.4741082282126</v>
      </c>
      <c r="AI11" s="9">
        <f t="shared" si="17"/>
        <v>1593.8781012237987</v>
      </c>
    </row>
    <row r="12" spans="2:35" x14ac:dyDescent="0.3">
      <c r="B12" t="s">
        <v>22</v>
      </c>
      <c r="F12" s="6">
        <v>43.5</v>
      </c>
      <c r="G12" s="6">
        <v>50.7</v>
      </c>
      <c r="H12" s="6">
        <v>49.7</v>
      </c>
      <c r="I12" s="6">
        <v>48.8</v>
      </c>
      <c r="J12" s="6">
        <v>45.8</v>
      </c>
      <c r="K12" s="6">
        <v>42.1</v>
      </c>
      <c r="L12" s="6">
        <v>46.5</v>
      </c>
      <c r="M12" s="6">
        <v>44.7</v>
      </c>
      <c r="N12" s="6">
        <v>40.1</v>
      </c>
      <c r="O12" s="6">
        <v>43.6</v>
      </c>
      <c r="P12" s="6">
        <v>61.5</v>
      </c>
      <c r="Q12" s="6">
        <v>52.1</v>
      </c>
      <c r="R12" s="6">
        <f>N12*1.35</f>
        <v>54.135000000000005</v>
      </c>
      <c r="T12" s="6">
        <v>55.9</v>
      </c>
      <c r="U12" s="6">
        <v>73.400000000000006</v>
      </c>
      <c r="V12" s="6">
        <v>124.1</v>
      </c>
      <c r="W12" s="6">
        <f>SUM(G12:J12)</f>
        <v>195</v>
      </c>
      <c r="X12" s="6">
        <f>SUM(K12:N12)</f>
        <v>173.4</v>
      </c>
      <c r="Y12" s="6">
        <f>SUM(O12:R12)</f>
        <v>211.33499999999998</v>
      </c>
      <c r="Z12" s="6">
        <f>Y12*1.11</f>
        <v>234.58185</v>
      </c>
      <c r="AA12" s="6">
        <f>Z12*1.05</f>
        <v>246.31094250000001</v>
      </c>
      <c r="AB12" s="6">
        <f>AA12*1.03</f>
        <v>253.70027077500001</v>
      </c>
      <c r="AC12" s="6">
        <f t="shared" ref="AC12:AI12" si="18">AB12*1.02</f>
        <v>258.77427619050002</v>
      </c>
      <c r="AD12" s="6">
        <f t="shared" si="18"/>
        <v>263.94976171431</v>
      </c>
      <c r="AE12" s="6">
        <f t="shared" si="18"/>
        <v>269.22875694859619</v>
      </c>
      <c r="AF12" s="6">
        <f t="shared" si="18"/>
        <v>274.6133320875681</v>
      </c>
      <c r="AG12" s="6">
        <f t="shared" si="18"/>
        <v>280.10559872931947</v>
      </c>
      <c r="AH12" s="6">
        <f t="shared" si="18"/>
        <v>285.70771070390589</v>
      </c>
      <c r="AI12" s="6">
        <f t="shared" si="18"/>
        <v>291.42186491798401</v>
      </c>
    </row>
    <row r="13" spans="2:35" x14ac:dyDescent="0.3">
      <c r="B13" t="s">
        <v>23</v>
      </c>
      <c r="F13" s="6">
        <v>47.6</v>
      </c>
      <c r="G13" s="6">
        <v>54</v>
      </c>
      <c r="H13" s="6">
        <v>50.9</v>
      </c>
      <c r="I13" s="6">
        <v>46.1</v>
      </c>
      <c r="J13" s="6">
        <v>66.900000000000006</v>
      </c>
      <c r="K13" s="6">
        <v>47</v>
      </c>
      <c r="L13" s="6">
        <v>48.7</v>
      </c>
      <c r="M13" s="6">
        <v>47.9</v>
      </c>
      <c r="N13" s="6">
        <v>45.4</v>
      </c>
      <c r="O13" s="6">
        <v>61.1</v>
      </c>
      <c r="P13" s="6">
        <v>78.3</v>
      </c>
      <c r="Q13" s="6">
        <v>75.7</v>
      </c>
      <c r="R13" s="6">
        <f>N13*1.5</f>
        <v>68.099999999999994</v>
      </c>
      <c r="T13" s="6">
        <v>35.6</v>
      </c>
      <c r="U13" s="6">
        <v>59.4</v>
      </c>
      <c r="V13" s="6">
        <v>115.9</v>
      </c>
      <c r="W13" s="6">
        <f>SUM(G13:J13)</f>
        <v>217.9</v>
      </c>
      <c r="X13" s="6">
        <f>SUM(K13:N13)</f>
        <v>189</v>
      </c>
      <c r="Y13" s="6">
        <f>SUM(O13:R13)</f>
        <v>283.20000000000005</v>
      </c>
      <c r="Z13" s="6">
        <f>Y13*1.2</f>
        <v>339.84000000000003</v>
      </c>
      <c r="AA13" s="6">
        <f>Z13*1.08</f>
        <v>367.02720000000005</v>
      </c>
      <c r="AB13" s="6">
        <f>AA13*1.05</f>
        <v>385.37856000000005</v>
      </c>
      <c r="AC13" s="6">
        <f>AB13*1.04</f>
        <v>400.79370240000009</v>
      </c>
      <c r="AD13" s="6">
        <f>AC13*1.03</f>
        <v>412.81751347200009</v>
      </c>
      <c r="AE13" s="6">
        <f t="shared" ref="AE13:AI13" si="19">AD13*1.02</f>
        <v>421.07386374144011</v>
      </c>
      <c r="AF13" s="6">
        <f t="shared" si="19"/>
        <v>429.49534101626892</v>
      </c>
      <c r="AG13" s="6">
        <f t="shared" si="19"/>
        <v>438.08524783659431</v>
      </c>
      <c r="AH13" s="6">
        <f t="shared" si="19"/>
        <v>446.84695279332618</v>
      </c>
      <c r="AI13" s="6">
        <f t="shared" si="19"/>
        <v>455.78389184919268</v>
      </c>
    </row>
    <row r="14" spans="2:35" x14ac:dyDescent="0.3">
      <c r="B14" t="s">
        <v>69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16.399999999999999</v>
      </c>
      <c r="R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2:35" x14ac:dyDescent="0.3">
      <c r="B15" t="s">
        <v>68</v>
      </c>
      <c r="F15" s="6">
        <f>SUM(F12:F14)</f>
        <v>91.1</v>
      </c>
      <c r="G15" s="6">
        <f t="shared" ref="G15:R15" si="20">SUM(G12:G14)</f>
        <v>104.7</v>
      </c>
      <c r="H15" s="6">
        <f t="shared" si="20"/>
        <v>100.6</v>
      </c>
      <c r="I15" s="6">
        <f t="shared" si="20"/>
        <v>94.9</v>
      </c>
      <c r="J15" s="6">
        <f t="shared" si="20"/>
        <v>112.7</v>
      </c>
      <c r="K15" s="6">
        <f t="shared" si="20"/>
        <v>89.1</v>
      </c>
      <c r="L15" s="6">
        <f t="shared" si="20"/>
        <v>95.2</v>
      </c>
      <c r="M15" s="6">
        <f t="shared" si="20"/>
        <v>92.6</v>
      </c>
      <c r="N15" s="6">
        <f t="shared" si="20"/>
        <v>85.5</v>
      </c>
      <c r="O15" s="6">
        <f t="shared" si="20"/>
        <v>104.7</v>
      </c>
      <c r="P15" s="6">
        <f t="shared" si="20"/>
        <v>139.80000000000001</v>
      </c>
      <c r="Q15" s="6">
        <f t="shared" si="20"/>
        <v>144.20000000000002</v>
      </c>
      <c r="R15" s="6">
        <f t="shared" si="20"/>
        <v>122.235</v>
      </c>
      <c r="T15" s="6">
        <f t="shared" ref="T15:AI15" si="21">SUM(T12:T14)</f>
        <v>91.5</v>
      </c>
      <c r="U15" s="6">
        <f t="shared" si="21"/>
        <v>132.80000000000001</v>
      </c>
      <c r="V15" s="6">
        <f t="shared" si="21"/>
        <v>240</v>
      </c>
      <c r="W15" s="6">
        <f t="shared" si="21"/>
        <v>412.9</v>
      </c>
      <c r="X15" s="6">
        <f t="shared" si="21"/>
        <v>362.4</v>
      </c>
      <c r="Y15" s="6">
        <f t="shared" si="21"/>
        <v>494.53500000000003</v>
      </c>
      <c r="Z15" s="6">
        <f t="shared" si="21"/>
        <v>574.42185000000006</v>
      </c>
      <c r="AA15" s="6">
        <f t="shared" si="21"/>
        <v>613.3381425</v>
      </c>
      <c r="AB15" s="6">
        <f t="shared" si="21"/>
        <v>639.07883077500003</v>
      </c>
      <c r="AC15" s="6">
        <f t="shared" si="21"/>
        <v>659.56797859050016</v>
      </c>
      <c r="AD15" s="6">
        <f t="shared" si="21"/>
        <v>676.76727518631014</v>
      </c>
      <c r="AE15" s="6">
        <f t="shared" si="21"/>
        <v>690.30262069003629</v>
      </c>
      <c r="AF15" s="6">
        <f t="shared" si="21"/>
        <v>704.10867310383696</v>
      </c>
      <c r="AG15" s="6">
        <f t="shared" si="21"/>
        <v>718.19084656591372</v>
      </c>
      <c r="AH15" s="6">
        <f t="shared" si="21"/>
        <v>732.55466349723201</v>
      </c>
      <c r="AI15" s="6">
        <f t="shared" si="21"/>
        <v>747.20575676717669</v>
      </c>
    </row>
    <row r="16" spans="2:35" s="1" customFormat="1" x14ac:dyDescent="0.3">
      <c r="B16" s="1" t="s">
        <v>24</v>
      </c>
      <c r="F16" s="9">
        <f>F11-F15</f>
        <v>-54.399999999999977</v>
      </c>
      <c r="G16" s="9">
        <f t="shared" ref="G16:R16" si="22">G11-G15</f>
        <v>-69.500000000000014</v>
      </c>
      <c r="H16" s="9">
        <f t="shared" si="22"/>
        <v>-57.69999999999996</v>
      </c>
      <c r="I16" s="9">
        <f t="shared" si="22"/>
        <v>-42.000000000000028</v>
      </c>
      <c r="J16" s="9">
        <f t="shared" si="22"/>
        <v>-53.899999999999991</v>
      </c>
      <c r="K16" s="9">
        <f t="shared" si="22"/>
        <v>-24.899999999999949</v>
      </c>
      <c r="L16" s="9">
        <f t="shared" si="22"/>
        <v>-64.899999999999991</v>
      </c>
      <c r="M16" s="9">
        <f t="shared" si="22"/>
        <v>-37.700000000000017</v>
      </c>
      <c r="N16" s="9">
        <f t="shared" si="22"/>
        <v>23.10000000000008</v>
      </c>
      <c r="O16" s="9">
        <f t="shared" si="22"/>
        <v>-24.699999999999946</v>
      </c>
      <c r="P16" s="9">
        <f t="shared" si="22"/>
        <v>-32</v>
      </c>
      <c r="Q16" s="9">
        <f t="shared" si="22"/>
        <v>-36.599999999999994</v>
      </c>
      <c r="R16" s="9">
        <f t="shared" si="22"/>
        <v>5.8155600000000192</v>
      </c>
      <c r="T16" s="9">
        <f t="shared" ref="T16" si="23">T11-T15</f>
        <v>-110.5</v>
      </c>
      <c r="U16" s="9">
        <f t="shared" ref="U16" si="24">U11-U15</f>
        <v>-122.4</v>
      </c>
      <c r="V16" s="9">
        <f t="shared" ref="V16" si="25">V11-V15</f>
        <v>-140.39999999999992</v>
      </c>
      <c r="W16" s="9">
        <f t="shared" ref="W16" si="26">W11-W15</f>
        <v>-223.10000000000014</v>
      </c>
      <c r="X16" s="9">
        <f t="shared" ref="X16" si="27">X11-X15</f>
        <v>-104.39999999999998</v>
      </c>
      <c r="Y16" s="9">
        <f t="shared" ref="Y16" si="28">Y11-Y15</f>
        <v>-71.084440000000257</v>
      </c>
      <c r="Z16" s="9">
        <f t="shared" ref="Z16" si="29">Z11-Z15</f>
        <v>24.422181999999907</v>
      </c>
      <c r="AA16" s="9">
        <f t="shared" ref="AA16" si="30">AA11-AA15</f>
        <v>159.5632137479995</v>
      </c>
      <c r="AB16" s="9">
        <f t="shared" ref="AB16" si="31">AB11-AB15</f>
        <v>274.12180994771995</v>
      </c>
      <c r="AC16" s="9">
        <f t="shared" ref="AC16" si="32">AC11-AC15</f>
        <v>369.14394500449112</v>
      </c>
      <c r="AD16" s="9">
        <f t="shared" ref="AD16" si="33">AD11-AD15</f>
        <v>456.51291172028095</v>
      </c>
      <c r="AE16" s="9">
        <f t="shared" ref="AE16" si="34">AE11-AE15</f>
        <v>527.61508020055044</v>
      </c>
      <c r="AF16" s="9">
        <f t="shared" ref="AF16" si="35">AF11-AF15</f>
        <v>596.23274781447958</v>
      </c>
      <c r="AG16" s="9">
        <f t="shared" ref="AG16" si="36">AG11-AG15</f>
        <v>671.73746446483869</v>
      </c>
      <c r="AH16" s="9">
        <f t="shared" ref="AH16" si="37">AH11-AH15</f>
        <v>754.91944473098056</v>
      </c>
      <c r="AI16" s="9">
        <f t="shared" ref="AI16" si="38">AI11-AI15</f>
        <v>846.672344456622</v>
      </c>
    </row>
    <row r="17" spans="2:147" x14ac:dyDescent="0.3">
      <c r="B17" t="s">
        <v>25</v>
      </c>
      <c r="F17" s="6">
        <v>-1.1000000000000001</v>
      </c>
      <c r="G17" s="6">
        <v>-1.8</v>
      </c>
      <c r="H17" s="6">
        <v>-2.2999999999999998</v>
      </c>
      <c r="I17" s="6">
        <v>-2.9</v>
      </c>
      <c r="J17" s="6">
        <v>-3.7</v>
      </c>
      <c r="K17" s="6">
        <v>-6.2</v>
      </c>
      <c r="L17" s="6">
        <v>-9.8000000000000007</v>
      </c>
      <c r="M17" s="6">
        <v>-11.6</v>
      </c>
      <c r="N17" s="6">
        <v>-9.4</v>
      </c>
      <c r="O17" s="6">
        <v>-7.8</v>
      </c>
      <c r="P17" s="6">
        <v>-11.7</v>
      </c>
      <c r="Q17" s="6">
        <v>-8.5</v>
      </c>
      <c r="R17" s="6">
        <f t="shared" ref="R17" si="39">N17*1.1</f>
        <v>-10.340000000000002</v>
      </c>
      <c r="T17" s="6">
        <v>-0.8</v>
      </c>
      <c r="U17" s="6">
        <v>-0.1</v>
      </c>
      <c r="V17" s="6">
        <v>-1.3</v>
      </c>
      <c r="W17" s="6">
        <f>SUM(G17:J17)</f>
        <v>-10.7</v>
      </c>
      <c r="X17" s="6">
        <f>SUM(K17:N17)</f>
        <v>-37</v>
      </c>
      <c r="Y17" s="6">
        <f>SUM(O17:R17)</f>
        <v>-38.340000000000003</v>
      </c>
      <c r="Z17" s="6">
        <f t="shared" ref="Z17:AI17" si="40">Y17*1.05</f>
        <v>-40.257000000000005</v>
      </c>
      <c r="AA17" s="6">
        <f t="shared" si="40"/>
        <v>-42.269850000000005</v>
      </c>
      <c r="AB17" s="6">
        <f t="shared" si="40"/>
        <v>-44.383342500000005</v>
      </c>
      <c r="AC17" s="6">
        <f t="shared" si="40"/>
        <v>-46.60250962500001</v>
      </c>
      <c r="AD17" s="6">
        <f t="shared" si="40"/>
        <v>-48.932635106250011</v>
      </c>
      <c r="AE17" s="6">
        <f t="shared" si="40"/>
        <v>-51.379266861562513</v>
      </c>
      <c r="AF17" s="6">
        <f t="shared" si="40"/>
        <v>-53.948230204640645</v>
      </c>
      <c r="AG17" s="6">
        <f t="shared" si="40"/>
        <v>-56.645641714872681</v>
      </c>
      <c r="AH17" s="6">
        <f t="shared" si="40"/>
        <v>-59.477923800616317</v>
      </c>
      <c r="AI17" s="6">
        <f t="shared" si="40"/>
        <v>-62.451819990647138</v>
      </c>
    </row>
    <row r="18" spans="2:147" s="1" customFormat="1" x14ac:dyDescent="0.3">
      <c r="B18" s="1" t="s">
        <v>26</v>
      </c>
      <c r="F18" s="9">
        <f t="shared" ref="F18:N18" si="41">F16-F17</f>
        <v>-53.299999999999976</v>
      </c>
      <c r="G18" s="9">
        <f t="shared" si="41"/>
        <v>-67.700000000000017</v>
      </c>
      <c r="H18" s="9">
        <f t="shared" si="41"/>
        <v>-55.399999999999963</v>
      </c>
      <c r="I18" s="9">
        <f t="shared" si="41"/>
        <v>-39.10000000000003</v>
      </c>
      <c r="J18" s="9">
        <f t="shared" si="41"/>
        <v>-50.199999999999989</v>
      </c>
      <c r="K18" s="9">
        <f t="shared" si="41"/>
        <v>-18.69999999999995</v>
      </c>
      <c r="L18" s="9">
        <f t="shared" si="41"/>
        <v>-55.099999999999994</v>
      </c>
      <c r="M18" s="9">
        <f t="shared" si="41"/>
        <v>-26.100000000000016</v>
      </c>
      <c r="N18" s="9">
        <f t="shared" si="41"/>
        <v>32.500000000000078</v>
      </c>
      <c r="O18" s="9">
        <f t="shared" ref="O18:R18" si="42">O16-O17</f>
        <v>-16.899999999999945</v>
      </c>
      <c r="P18" s="9">
        <f t="shared" si="42"/>
        <v>-20.3</v>
      </c>
      <c r="Q18" s="9">
        <f t="shared" si="42"/>
        <v>-28.099999999999994</v>
      </c>
      <c r="R18" s="9">
        <f t="shared" si="42"/>
        <v>16.155560000000023</v>
      </c>
      <c r="T18" s="9">
        <f>T16-T17</f>
        <v>-109.7</v>
      </c>
      <c r="U18" s="9">
        <f>U16-U17</f>
        <v>-122.30000000000001</v>
      </c>
      <c r="V18" s="9">
        <f>V16-V17</f>
        <v>-139.09999999999991</v>
      </c>
      <c r="W18" s="9">
        <f>W16-W17</f>
        <v>-212.40000000000015</v>
      </c>
      <c r="X18" s="9">
        <f>X16-X17</f>
        <v>-67.399999999999977</v>
      </c>
      <c r="Y18" s="9">
        <f t="shared" ref="Y18:AI18" si="43">Y16-Y17</f>
        <v>-32.744440000000253</v>
      </c>
      <c r="Z18" s="9">
        <f t="shared" si="43"/>
        <v>64.679181999999912</v>
      </c>
      <c r="AA18" s="9">
        <f t="shared" si="43"/>
        <v>201.83306374799952</v>
      </c>
      <c r="AB18" s="9">
        <f t="shared" si="43"/>
        <v>318.50515244771998</v>
      </c>
      <c r="AC18" s="9">
        <f t="shared" si="43"/>
        <v>415.74645462949115</v>
      </c>
      <c r="AD18" s="9">
        <f t="shared" si="43"/>
        <v>505.44554682653097</v>
      </c>
      <c r="AE18" s="9">
        <f t="shared" si="43"/>
        <v>578.99434706211298</v>
      </c>
      <c r="AF18" s="9">
        <f t="shared" si="43"/>
        <v>650.18097801912018</v>
      </c>
      <c r="AG18" s="9">
        <f t="shared" si="43"/>
        <v>728.38310617971138</v>
      </c>
      <c r="AH18" s="9">
        <f t="shared" si="43"/>
        <v>814.39736853159684</v>
      </c>
      <c r="AI18" s="9">
        <f t="shared" si="43"/>
        <v>909.1241644472691</v>
      </c>
    </row>
    <row r="19" spans="2:147" x14ac:dyDescent="0.3">
      <c r="B19" t="s">
        <v>27</v>
      </c>
      <c r="F19" s="6">
        <v>0</v>
      </c>
      <c r="G19" s="6">
        <v>0.3</v>
      </c>
      <c r="H19" s="6">
        <v>0</v>
      </c>
      <c r="I19" s="6">
        <v>0</v>
      </c>
      <c r="J19" s="6">
        <v>-4.9000000000000004</v>
      </c>
      <c r="K19" s="6">
        <v>0.2</v>
      </c>
      <c r="L19" s="6">
        <v>-0.3</v>
      </c>
      <c r="M19" s="6">
        <v>0.2</v>
      </c>
      <c r="N19" s="6">
        <f>4.2+0.2</f>
        <v>4.4000000000000004</v>
      </c>
      <c r="O19" s="6">
        <v>-0.1</v>
      </c>
      <c r="P19" s="6">
        <v>-1.4</v>
      </c>
      <c r="Q19" s="6">
        <v>0</v>
      </c>
      <c r="R19" s="6">
        <f t="shared" ref="R19" si="44">R18*0.15</f>
        <v>2.4233340000000032</v>
      </c>
      <c r="T19" s="6">
        <v>0</v>
      </c>
      <c r="U19" s="6">
        <v>0</v>
      </c>
      <c r="V19" s="6">
        <v>0</v>
      </c>
      <c r="W19" s="6">
        <f>SUM(G19:J19)</f>
        <v>-4.6000000000000005</v>
      </c>
      <c r="X19" s="6">
        <f>SUM(K19:N19)</f>
        <v>4.5</v>
      </c>
      <c r="Y19" s="6">
        <f>SUM(O19:R19)</f>
        <v>0.92333400000000321</v>
      </c>
      <c r="Z19" s="6">
        <f t="shared" ref="Z19:AI19" si="45">Z18*0.1</f>
        <v>6.4679181999999917</v>
      </c>
      <c r="AA19" s="6">
        <f t="shared" si="45"/>
        <v>20.183306374799955</v>
      </c>
      <c r="AB19" s="6">
        <f t="shared" si="45"/>
        <v>31.850515244771998</v>
      </c>
      <c r="AC19" s="6">
        <f t="shared" si="45"/>
        <v>41.574645462949121</v>
      </c>
      <c r="AD19" s="6">
        <f t="shared" si="45"/>
        <v>50.5445546826531</v>
      </c>
      <c r="AE19" s="6">
        <f t="shared" si="45"/>
        <v>57.899434706211302</v>
      </c>
      <c r="AF19" s="6">
        <f t="shared" si="45"/>
        <v>65.01809780191202</v>
      </c>
      <c r="AG19" s="6">
        <f t="shared" si="45"/>
        <v>72.838310617971146</v>
      </c>
      <c r="AH19" s="6">
        <f t="shared" si="45"/>
        <v>81.439736853159687</v>
      </c>
      <c r="AI19" s="6">
        <f t="shared" si="45"/>
        <v>90.912416444726915</v>
      </c>
    </row>
    <row r="20" spans="2:147" x14ac:dyDescent="0.3">
      <c r="B20" t="s">
        <v>28</v>
      </c>
      <c r="F20" s="6">
        <v>-47.7</v>
      </c>
      <c r="G20" s="6">
        <v>-60.8</v>
      </c>
      <c r="H20" s="6">
        <v>-49.3</v>
      </c>
      <c r="I20" s="6">
        <v>-34.700000000000003</v>
      </c>
      <c r="J20" s="6">
        <v>-39.200000000000003</v>
      </c>
      <c r="K20" s="6">
        <v>-16.2</v>
      </c>
      <c r="L20" s="6">
        <v>-46</v>
      </c>
      <c r="M20" s="6">
        <v>-22</v>
      </c>
      <c r="N20" s="6">
        <v>23.1</v>
      </c>
      <c r="O20" s="6">
        <v>-16.2</v>
      </c>
      <c r="P20" s="6">
        <v>-17.5</v>
      </c>
      <c r="Q20" s="6">
        <f>3.8-5.9</f>
        <v>-2.1000000000000005</v>
      </c>
      <c r="R20" s="6">
        <f t="shared" ref="R20" si="46">R18*0.8</f>
        <v>12.924448000000019</v>
      </c>
      <c r="T20" s="6">
        <v>0</v>
      </c>
      <c r="U20" s="6">
        <v>0</v>
      </c>
      <c r="V20" s="6">
        <v>-60.1</v>
      </c>
      <c r="W20" s="6">
        <f>SUM(G20:J20)</f>
        <v>-184</v>
      </c>
      <c r="X20" s="6">
        <f>SUM(K20:N20)</f>
        <v>-61.1</v>
      </c>
      <c r="Y20" s="6">
        <f>SUM(O20:R20)</f>
        <v>-22.875551999999985</v>
      </c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2:147" s="1" customFormat="1" x14ac:dyDescent="0.3">
      <c r="B21" s="1" t="s">
        <v>29</v>
      </c>
      <c r="F21" s="9">
        <f t="shared" ref="F21:N21" si="47">F18-F19-F20</f>
        <v>-5.599999999999973</v>
      </c>
      <c r="G21" s="9">
        <f t="shared" si="47"/>
        <v>-7.2000000000000171</v>
      </c>
      <c r="H21" s="9">
        <f t="shared" si="47"/>
        <v>-6.0999999999999659</v>
      </c>
      <c r="I21" s="9">
        <f t="shared" si="47"/>
        <v>-4.400000000000027</v>
      </c>
      <c r="J21" s="9">
        <f t="shared" si="47"/>
        <v>-6.0999999999999872</v>
      </c>
      <c r="K21" s="9">
        <f t="shared" si="47"/>
        <v>-2.6999999999999496</v>
      </c>
      <c r="L21" s="9">
        <f t="shared" si="47"/>
        <v>-8.7999999999999972</v>
      </c>
      <c r="M21" s="9">
        <f t="shared" si="47"/>
        <v>-4.3000000000000149</v>
      </c>
      <c r="N21" s="9">
        <f t="shared" si="47"/>
        <v>5.0000000000000782</v>
      </c>
      <c r="O21" s="9">
        <f t="shared" ref="O21:R21" si="48">O18-O19-O20</f>
        <v>-0.59999999999994458</v>
      </c>
      <c r="P21" s="9">
        <f t="shared" si="48"/>
        <v>-1.4000000000000021</v>
      </c>
      <c r="Q21" s="9">
        <f t="shared" si="48"/>
        <v>-25.999999999999993</v>
      </c>
      <c r="R21" s="9">
        <f t="shared" si="48"/>
        <v>0.807777999999999</v>
      </c>
      <c r="T21" s="9">
        <f t="shared" ref="T21:Y21" si="49">T18-T19-T20</f>
        <v>-109.7</v>
      </c>
      <c r="U21" s="9">
        <f t="shared" si="49"/>
        <v>-122.30000000000001</v>
      </c>
      <c r="V21" s="9">
        <f t="shared" si="49"/>
        <v>-78.999999999999915</v>
      </c>
      <c r="W21" s="9">
        <f t="shared" si="49"/>
        <v>-23.800000000000153</v>
      </c>
      <c r="X21" s="9">
        <f t="shared" si="49"/>
        <v>-10.799999999999976</v>
      </c>
      <c r="Y21" s="9">
        <f t="shared" si="49"/>
        <v>-10.792222000000272</v>
      </c>
      <c r="Z21" s="9">
        <f t="shared" ref="Z21:AI21" si="50">Z18-Z19-Z20</f>
        <v>58.211263799999919</v>
      </c>
      <c r="AA21" s="9">
        <f t="shared" si="50"/>
        <v>181.64975737319958</v>
      </c>
      <c r="AB21" s="9">
        <f t="shared" si="50"/>
        <v>286.65463720294798</v>
      </c>
      <c r="AC21" s="9">
        <f t="shared" si="50"/>
        <v>374.17180916654206</v>
      </c>
      <c r="AD21" s="9">
        <f t="shared" si="50"/>
        <v>454.90099214387789</v>
      </c>
      <c r="AE21" s="9">
        <f t="shared" si="50"/>
        <v>521.09491235590167</v>
      </c>
      <c r="AF21" s="9">
        <f t="shared" si="50"/>
        <v>585.16288021720811</v>
      </c>
      <c r="AG21" s="9">
        <f t="shared" si="50"/>
        <v>655.54479556174022</v>
      </c>
      <c r="AH21" s="9">
        <f t="shared" si="50"/>
        <v>732.95763167843711</v>
      </c>
      <c r="AI21" s="9">
        <f t="shared" si="50"/>
        <v>818.21174800254221</v>
      </c>
      <c r="AJ21" s="1">
        <f>AI21*(1+$AM$26)</f>
        <v>810.02963052251675</v>
      </c>
      <c r="AK21" s="1">
        <f t="shared" ref="AK21:CV21" si="51">AJ21*(1+$AM$26)</f>
        <v>801.92933421729163</v>
      </c>
      <c r="AL21" s="1">
        <f t="shared" si="51"/>
        <v>793.91004087511874</v>
      </c>
      <c r="AM21" s="1">
        <f t="shared" si="51"/>
        <v>785.97094046636755</v>
      </c>
      <c r="AN21" s="1">
        <f t="shared" si="51"/>
        <v>778.11123106170385</v>
      </c>
      <c r="AO21" s="1">
        <f t="shared" si="51"/>
        <v>770.33011875108684</v>
      </c>
      <c r="AP21" s="1">
        <f t="shared" si="51"/>
        <v>762.62681756357597</v>
      </c>
      <c r="AQ21" s="1">
        <f t="shared" si="51"/>
        <v>755.00054938794017</v>
      </c>
      <c r="AR21" s="1">
        <f t="shared" si="51"/>
        <v>747.45054389406073</v>
      </c>
      <c r="AS21" s="1">
        <f t="shared" si="51"/>
        <v>739.97603845512015</v>
      </c>
      <c r="AT21" s="1">
        <f t="shared" si="51"/>
        <v>732.57627807056895</v>
      </c>
      <c r="AU21" s="1">
        <f t="shared" si="51"/>
        <v>725.2505152898633</v>
      </c>
      <c r="AV21" s="1">
        <f t="shared" si="51"/>
        <v>717.99801013696469</v>
      </c>
      <c r="AW21" s="1">
        <f t="shared" si="51"/>
        <v>710.81803003559503</v>
      </c>
      <c r="AX21" s="1">
        <f t="shared" si="51"/>
        <v>703.70984973523912</v>
      </c>
      <c r="AY21" s="1">
        <f t="shared" si="51"/>
        <v>696.6727512378867</v>
      </c>
      <c r="AZ21" s="1">
        <f t="shared" si="51"/>
        <v>689.70602372550786</v>
      </c>
      <c r="BA21" s="1">
        <f t="shared" si="51"/>
        <v>682.80896348825274</v>
      </c>
      <c r="BB21" s="1">
        <f t="shared" si="51"/>
        <v>675.98087385337021</v>
      </c>
      <c r="BC21" s="1">
        <f t="shared" si="51"/>
        <v>669.22106511483651</v>
      </c>
      <c r="BD21" s="1">
        <f t="shared" si="51"/>
        <v>662.52885446368816</v>
      </c>
      <c r="BE21" s="1">
        <f t="shared" si="51"/>
        <v>655.90356591905129</v>
      </c>
      <c r="BF21" s="1">
        <f t="shared" si="51"/>
        <v>649.34453025986079</v>
      </c>
      <c r="BG21" s="1">
        <f t="shared" si="51"/>
        <v>642.85108495726217</v>
      </c>
      <c r="BH21" s="1">
        <f t="shared" si="51"/>
        <v>636.42257410768957</v>
      </c>
      <c r="BI21" s="1">
        <f t="shared" si="51"/>
        <v>630.05834836661268</v>
      </c>
      <c r="BJ21" s="1">
        <f t="shared" si="51"/>
        <v>623.7577648829465</v>
      </c>
      <c r="BK21" s="1">
        <f t="shared" si="51"/>
        <v>617.52018723411709</v>
      </c>
      <c r="BL21" s="1">
        <f t="shared" si="51"/>
        <v>611.34498536177591</v>
      </c>
      <c r="BM21" s="1">
        <f t="shared" si="51"/>
        <v>605.23153550815812</v>
      </c>
      <c r="BN21" s="1">
        <f t="shared" si="51"/>
        <v>599.17922015307659</v>
      </c>
      <c r="BO21" s="1">
        <f t="shared" si="51"/>
        <v>593.18742795154583</v>
      </c>
      <c r="BP21" s="1">
        <f t="shared" si="51"/>
        <v>587.25555367203037</v>
      </c>
      <c r="BQ21" s="1">
        <f t="shared" si="51"/>
        <v>581.38299813531012</v>
      </c>
      <c r="BR21" s="1">
        <f t="shared" si="51"/>
        <v>575.56916815395698</v>
      </c>
      <c r="BS21" s="1">
        <f t="shared" si="51"/>
        <v>569.81347647241739</v>
      </c>
      <c r="BT21" s="1">
        <f t="shared" si="51"/>
        <v>564.11534170769323</v>
      </c>
      <c r="BU21" s="1">
        <f t="shared" si="51"/>
        <v>558.47418829061633</v>
      </c>
      <c r="BV21" s="1">
        <f t="shared" si="51"/>
        <v>552.88944640771012</v>
      </c>
      <c r="BW21" s="1">
        <f t="shared" si="51"/>
        <v>547.36055194363303</v>
      </c>
      <c r="BX21" s="1">
        <f t="shared" si="51"/>
        <v>541.88694642419671</v>
      </c>
      <c r="BY21" s="1">
        <f t="shared" si="51"/>
        <v>536.46807695995471</v>
      </c>
      <c r="BZ21" s="1">
        <f t="shared" si="51"/>
        <v>531.10339619035517</v>
      </c>
      <c r="CA21" s="1">
        <f t="shared" si="51"/>
        <v>525.79236222845157</v>
      </c>
      <c r="CB21" s="1">
        <f t="shared" si="51"/>
        <v>520.5344386061671</v>
      </c>
      <c r="CC21" s="1">
        <f t="shared" si="51"/>
        <v>515.32909422010539</v>
      </c>
      <c r="CD21" s="1">
        <f t="shared" si="51"/>
        <v>510.17580327790432</v>
      </c>
      <c r="CE21" s="1">
        <f t="shared" si="51"/>
        <v>505.07404524512526</v>
      </c>
      <c r="CF21" s="1">
        <f t="shared" si="51"/>
        <v>500.02330479267403</v>
      </c>
      <c r="CG21" s="1">
        <f t="shared" si="51"/>
        <v>495.02307174474726</v>
      </c>
      <c r="CH21" s="1">
        <f t="shared" si="51"/>
        <v>490.07284102729977</v>
      </c>
      <c r="CI21" s="1">
        <f t="shared" si="51"/>
        <v>485.17211261702676</v>
      </c>
      <c r="CJ21" s="1">
        <f t="shared" si="51"/>
        <v>480.32039149085648</v>
      </c>
      <c r="CK21" s="1">
        <f t="shared" si="51"/>
        <v>475.5171875759479</v>
      </c>
      <c r="CL21" s="1">
        <f t="shared" si="51"/>
        <v>470.76201570018844</v>
      </c>
      <c r="CM21" s="1">
        <f t="shared" si="51"/>
        <v>466.05439554318656</v>
      </c>
      <c r="CN21" s="1">
        <f t="shared" si="51"/>
        <v>461.39385158775468</v>
      </c>
      <c r="CO21" s="1">
        <f t="shared" si="51"/>
        <v>456.7799130718771</v>
      </c>
      <c r="CP21" s="1">
        <f t="shared" si="51"/>
        <v>452.21211394115835</v>
      </c>
      <c r="CQ21" s="1">
        <f t="shared" si="51"/>
        <v>447.68999280174677</v>
      </c>
      <c r="CR21" s="1">
        <f t="shared" si="51"/>
        <v>443.21309287372929</v>
      </c>
      <c r="CS21" s="1">
        <f t="shared" si="51"/>
        <v>438.78096194499199</v>
      </c>
      <c r="CT21" s="1">
        <f t="shared" si="51"/>
        <v>434.39315232554208</v>
      </c>
      <c r="CU21" s="1">
        <f t="shared" si="51"/>
        <v>430.04922080228664</v>
      </c>
      <c r="CV21" s="1">
        <f t="shared" si="51"/>
        <v>425.74872859426375</v>
      </c>
      <c r="CW21" s="1">
        <f t="shared" ref="CW21:EQ21" si="52">CV21*(1+$AM$26)</f>
        <v>421.49124130832109</v>
      </c>
      <c r="CX21" s="1">
        <f t="shared" si="52"/>
        <v>417.2763288952379</v>
      </c>
      <c r="CY21" s="1">
        <f t="shared" si="52"/>
        <v>413.10356560628549</v>
      </c>
      <c r="CZ21" s="1">
        <f t="shared" si="52"/>
        <v>408.97252995022262</v>
      </c>
      <c r="DA21" s="1">
        <f t="shared" si="52"/>
        <v>404.8828046507204</v>
      </c>
      <c r="DB21" s="1">
        <f t="shared" si="52"/>
        <v>400.83397660421321</v>
      </c>
      <c r="DC21" s="1">
        <f t="shared" si="52"/>
        <v>396.82563683817108</v>
      </c>
      <c r="DD21" s="1">
        <f t="shared" si="52"/>
        <v>392.85738046978935</v>
      </c>
      <c r="DE21" s="1">
        <f t="shared" si="52"/>
        <v>388.92880666509143</v>
      </c>
      <c r="DF21" s="1">
        <f t="shared" si="52"/>
        <v>385.03951859844051</v>
      </c>
      <c r="DG21" s="1">
        <f t="shared" si="52"/>
        <v>381.18912341245613</v>
      </c>
      <c r="DH21" s="1">
        <f t="shared" si="52"/>
        <v>377.37723217833155</v>
      </c>
      <c r="DI21" s="1">
        <f t="shared" si="52"/>
        <v>373.60345985654823</v>
      </c>
      <c r="DJ21" s="1">
        <f t="shared" si="52"/>
        <v>369.86742525798275</v>
      </c>
      <c r="DK21" s="1">
        <f t="shared" si="52"/>
        <v>366.1687510054029</v>
      </c>
      <c r="DL21" s="1">
        <f t="shared" si="52"/>
        <v>362.50706349534886</v>
      </c>
      <c r="DM21" s="1">
        <f t="shared" si="52"/>
        <v>358.88199286039537</v>
      </c>
      <c r="DN21" s="1">
        <f t="shared" si="52"/>
        <v>355.29317293179139</v>
      </c>
      <c r="DO21" s="1">
        <f t="shared" si="52"/>
        <v>351.7402412024735</v>
      </c>
      <c r="DP21" s="1">
        <f t="shared" si="52"/>
        <v>348.22283879044875</v>
      </c>
      <c r="DQ21" s="1">
        <f t="shared" si="52"/>
        <v>344.74061040254423</v>
      </c>
      <c r="DR21" s="1">
        <f t="shared" si="52"/>
        <v>341.29320429851879</v>
      </c>
      <c r="DS21" s="1">
        <f t="shared" si="52"/>
        <v>337.88027225553361</v>
      </c>
      <c r="DT21" s="1">
        <f t="shared" si="52"/>
        <v>334.50146953297826</v>
      </c>
      <c r="DU21" s="1">
        <f t="shared" si="52"/>
        <v>331.15645483764848</v>
      </c>
      <c r="DV21" s="1">
        <f t="shared" si="52"/>
        <v>327.84489028927197</v>
      </c>
      <c r="DW21" s="1">
        <f t="shared" si="52"/>
        <v>324.56644138637927</v>
      </c>
      <c r="DX21" s="1">
        <f t="shared" si="52"/>
        <v>321.32077697251549</v>
      </c>
      <c r="DY21" s="1">
        <f t="shared" si="52"/>
        <v>318.10756920279033</v>
      </c>
      <c r="DZ21" s="1">
        <f t="shared" si="52"/>
        <v>314.92649351076244</v>
      </c>
      <c r="EA21" s="1">
        <f t="shared" si="52"/>
        <v>311.77722857565482</v>
      </c>
      <c r="EB21" s="1">
        <f t="shared" si="52"/>
        <v>308.65945628989829</v>
      </c>
      <c r="EC21" s="1">
        <f t="shared" si="52"/>
        <v>305.57286172699929</v>
      </c>
      <c r="ED21" s="1">
        <f t="shared" si="52"/>
        <v>302.51713310972929</v>
      </c>
      <c r="EE21" s="1">
        <f t="shared" si="52"/>
        <v>299.491961778632</v>
      </c>
      <c r="EF21" s="1">
        <f t="shared" si="52"/>
        <v>296.49704216084569</v>
      </c>
      <c r="EG21" s="1">
        <f t="shared" si="52"/>
        <v>293.53207173923721</v>
      </c>
      <c r="EH21" s="1">
        <f t="shared" si="52"/>
        <v>290.59675102184485</v>
      </c>
      <c r="EI21" s="1">
        <f t="shared" si="52"/>
        <v>287.69078351162642</v>
      </c>
      <c r="EJ21" s="1">
        <f t="shared" si="52"/>
        <v>284.81387567651018</v>
      </c>
      <c r="EK21" s="1">
        <f t="shared" si="52"/>
        <v>281.9657369197451</v>
      </c>
      <c r="EL21" s="1">
        <f t="shared" si="52"/>
        <v>279.14607955054765</v>
      </c>
      <c r="EM21" s="1">
        <f t="shared" si="52"/>
        <v>276.35461875504217</v>
      </c>
      <c r="EN21" s="1">
        <f t="shared" si="52"/>
        <v>273.59107256749172</v>
      </c>
      <c r="EO21" s="1">
        <f t="shared" si="52"/>
        <v>270.85516184181682</v>
      </c>
      <c r="EP21" s="1">
        <f t="shared" si="52"/>
        <v>268.14661022339862</v>
      </c>
      <c r="EQ21" s="1">
        <f t="shared" si="52"/>
        <v>265.46514412116466</v>
      </c>
    </row>
    <row r="22" spans="2:147" x14ac:dyDescent="0.3">
      <c r="B22" t="s">
        <v>2</v>
      </c>
      <c r="F22" s="6">
        <f t="shared" ref="F22:M22" si="53">103.8+77.5+404.3</f>
        <v>585.6</v>
      </c>
      <c r="G22" s="6">
        <f t="shared" si="53"/>
        <v>585.6</v>
      </c>
      <c r="H22" s="6">
        <f t="shared" si="53"/>
        <v>585.6</v>
      </c>
      <c r="I22" s="6">
        <f t="shared" si="53"/>
        <v>585.6</v>
      </c>
      <c r="J22" s="6">
        <f t="shared" si="53"/>
        <v>585.6</v>
      </c>
      <c r="K22" s="6">
        <f t="shared" si="53"/>
        <v>585.6</v>
      </c>
      <c r="L22" s="6">
        <f t="shared" si="53"/>
        <v>585.6</v>
      </c>
      <c r="M22" s="6">
        <f t="shared" si="53"/>
        <v>585.6</v>
      </c>
      <c r="N22" s="6">
        <f>106.4+76.8+404.3</f>
        <v>587.5</v>
      </c>
      <c r="O22" s="6">
        <f>107.7+76.4+404.3</f>
        <v>588.40000000000009</v>
      </c>
      <c r="P22" s="6">
        <f>109.1+76.2+404.3</f>
        <v>589.6</v>
      </c>
      <c r="Q22" s="6">
        <f>111.3+75.6+403.6</f>
        <v>590.5</v>
      </c>
      <c r="R22" s="6">
        <f>111.3+75.6+403.6</f>
        <v>590.5</v>
      </c>
      <c r="T22" s="6">
        <f>103.8+77.5+404.3</f>
        <v>585.6</v>
      </c>
      <c r="U22" s="6">
        <f>103.8+77.5+404.3</f>
        <v>585.6</v>
      </c>
      <c r="V22" s="6">
        <f>103.8+77.5+404.3</f>
        <v>585.6</v>
      </c>
      <c r="W22" s="6">
        <f>103.8+77.5+404.3</f>
        <v>585.6</v>
      </c>
      <c r="X22" s="6">
        <f t="shared" ref="X22" si="54">106.4+76.8+404.3</f>
        <v>587.5</v>
      </c>
      <c r="Y22" s="6">
        <f t="shared" ref="Y22:AI22" si="55">111.3+75.6+403.6</f>
        <v>590.5</v>
      </c>
      <c r="Z22" s="6">
        <f t="shared" si="55"/>
        <v>590.5</v>
      </c>
      <c r="AA22" s="6">
        <f t="shared" si="55"/>
        <v>590.5</v>
      </c>
      <c r="AB22" s="6">
        <f t="shared" si="55"/>
        <v>590.5</v>
      </c>
      <c r="AC22" s="6">
        <f t="shared" si="55"/>
        <v>590.5</v>
      </c>
      <c r="AD22" s="6">
        <f t="shared" si="55"/>
        <v>590.5</v>
      </c>
      <c r="AE22" s="6">
        <f t="shared" si="55"/>
        <v>590.5</v>
      </c>
      <c r="AF22" s="6">
        <f t="shared" si="55"/>
        <v>590.5</v>
      </c>
      <c r="AG22" s="6">
        <f t="shared" si="55"/>
        <v>590.5</v>
      </c>
      <c r="AH22" s="6">
        <f t="shared" si="55"/>
        <v>590.5</v>
      </c>
      <c r="AI22" s="6">
        <f t="shared" si="55"/>
        <v>590.5</v>
      </c>
    </row>
    <row r="23" spans="2:147" x14ac:dyDescent="0.3">
      <c r="B23" t="s">
        <v>30</v>
      </c>
      <c r="F23" s="8">
        <f t="shared" ref="F23:N23" si="56">F21/F22</f>
        <v>-9.5628415300545982E-3</v>
      </c>
      <c r="G23" s="8">
        <f t="shared" si="56"/>
        <v>-1.2295081967213144E-2</v>
      </c>
      <c r="H23" s="8">
        <f t="shared" si="56"/>
        <v>-1.0416666666666609E-2</v>
      </c>
      <c r="I23" s="8">
        <f t="shared" si="56"/>
        <v>-7.513661202185838E-3</v>
      </c>
      <c r="J23" s="8">
        <f t="shared" si="56"/>
        <v>-1.0416666666666645E-2</v>
      </c>
      <c r="K23" s="8">
        <f t="shared" si="56"/>
        <v>-4.6106557377048321E-3</v>
      </c>
      <c r="L23" s="8">
        <f t="shared" si="56"/>
        <v>-1.5027322404371579E-2</v>
      </c>
      <c r="M23" s="8">
        <f t="shared" si="56"/>
        <v>-7.3428961748634135E-3</v>
      </c>
      <c r="N23" s="8">
        <f t="shared" si="56"/>
        <v>8.5106382978724741E-3</v>
      </c>
      <c r="O23" s="8">
        <f t="shared" ref="O23:R23" si="57">O21/O22</f>
        <v>-1.0197144799455209E-3</v>
      </c>
      <c r="P23" s="8">
        <f t="shared" si="57"/>
        <v>-2.3744911804613332E-3</v>
      </c>
      <c r="Q23" s="8">
        <f t="shared" si="57"/>
        <v>-4.4030482641828947E-2</v>
      </c>
      <c r="R23" s="8">
        <f t="shared" si="57"/>
        <v>1.3679559695173565E-3</v>
      </c>
      <c r="T23" s="8">
        <f t="shared" ref="T23:Y23" si="58">T21/T22</f>
        <v>-0.18732923497267759</v>
      </c>
      <c r="U23" s="8">
        <f t="shared" si="58"/>
        <v>-0.20884562841530055</v>
      </c>
      <c r="V23" s="8">
        <f t="shared" si="58"/>
        <v>-0.13490437158469931</v>
      </c>
      <c r="W23" s="8">
        <f t="shared" si="58"/>
        <v>-4.0642076502732501E-2</v>
      </c>
      <c r="X23" s="8">
        <f t="shared" si="58"/>
        <v>-1.8382978723404213E-2</v>
      </c>
      <c r="Y23" s="8">
        <f t="shared" si="58"/>
        <v>-1.8276413209145255E-2</v>
      </c>
      <c r="Z23" s="8">
        <f t="shared" ref="Z23:AI23" si="59">Z21/Z22</f>
        <v>9.8579616934800884E-2</v>
      </c>
      <c r="AA23" s="8">
        <f t="shared" si="59"/>
        <v>0.30762024957358097</v>
      </c>
      <c r="AB23" s="8">
        <f t="shared" si="59"/>
        <v>0.48544392413708382</v>
      </c>
      <c r="AC23" s="8">
        <f t="shared" si="59"/>
        <v>0.63365251340650641</v>
      </c>
      <c r="AD23" s="8">
        <f t="shared" si="59"/>
        <v>0.77036577839776099</v>
      </c>
      <c r="AE23" s="8">
        <f t="shared" si="59"/>
        <v>0.8824638651243043</v>
      </c>
      <c r="AF23" s="8">
        <f t="shared" si="59"/>
        <v>0.9909616938479392</v>
      </c>
      <c r="AG23" s="8">
        <f t="shared" si="59"/>
        <v>1.1101520669970197</v>
      </c>
      <c r="AH23" s="8">
        <f t="shared" si="59"/>
        <v>1.2412491645697497</v>
      </c>
      <c r="AI23" s="8">
        <f t="shared" si="59"/>
        <v>1.385625314144864</v>
      </c>
    </row>
    <row r="25" spans="2:147" x14ac:dyDescent="0.3">
      <c r="B25" t="s">
        <v>43</v>
      </c>
      <c r="F25" s="10"/>
      <c r="G25" s="10"/>
      <c r="H25" s="10"/>
      <c r="I25" s="10"/>
      <c r="J25" s="10">
        <f t="shared" ref="J25:R28" si="60">J3/F3-1</f>
        <v>0.59949516196886843</v>
      </c>
      <c r="K25" s="10">
        <f t="shared" si="60"/>
        <v>0.7569479535118746</v>
      </c>
      <c r="L25" s="10">
        <f t="shared" si="60"/>
        <v>0.43905279503105565</v>
      </c>
      <c r="M25" s="10">
        <f t="shared" si="60"/>
        <v>0.49007936507936534</v>
      </c>
      <c r="N25" s="10">
        <f t="shared" si="60"/>
        <v>0.44292477643345607</v>
      </c>
      <c r="O25" s="10">
        <f t="shared" si="60"/>
        <v>0.33477135461604846</v>
      </c>
      <c r="P25" s="10">
        <f t="shared" si="60"/>
        <v>0.3849473968168331</v>
      </c>
      <c r="Q25" s="10">
        <f t="shared" si="60"/>
        <v>0.24079005770084327</v>
      </c>
      <c r="R25" s="10">
        <f t="shared" si="60"/>
        <v>0.21999999999999997</v>
      </c>
      <c r="T25" s="10"/>
      <c r="U25" s="10">
        <f t="shared" ref="U25:V25" si="61">U3/T3-1</f>
        <v>2.2146892655367232</v>
      </c>
      <c r="V25" s="10">
        <f t="shared" si="61"/>
        <v>1.4956063268892796</v>
      </c>
      <c r="W25" s="10">
        <f t="shared" ref="W25:X28" si="62">W3/V3-1</f>
        <v>1.0036971830985912</v>
      </c>
      <c r="X25" s="10">
        <f t="shared" si="62"/>
        <v>0.50918196994991649</v>
      </c>
      <c r="Y25" s="10">
        <f t="shared" ref="Y25:AI25" si="63">Y3/X3-1</f>
        <v>0.28428737773637636</v>
      </c>
      <c r="Z25" s="10">
        <f t="shared" si="63"/>
        <v>0.22999999999999998</v>
      </c>
      <c r="AA25" s="10">
        <f t="shared" si="63"/>
        <v>0.17999999999999994</v>
      </c>
      <c r="AB25" s="10">
        <f t="shared" si="63"/>
        <v>0.1399999999999999</v>
      </c>
      <c r="AC25" s="10">
        <f t="shared" si="63"/>
        <v>0.10000000000000009</v>
      </c>
      <c r="AD25" s="10">
        <f t="shared" si="63"/>
        <v>8.0000000000000071E-2</v>
      </c>
      <c r="AE25" s="10">
        <f t="shared" si="63"/>
        <v>6.0000000000000053E-2</v>
      </c>
      <c r="AF25" s="10">
        <f t="shared" si="63"/>
        <v>5.0000000000000044E-2</v>
      </c>
      <c r="AG25" s="10">
        <f t="shared" si="63"/>
        <v>5.0000000000000044E-2</v>
      </c>
      <c r="AH25" s="10">
        <f t="shared" si="63"/>
        <v>5.0000000000000044E-2</v>
      </c>
      <c r="AI25" s="10">
        <f t="shared" si="63"/>
        <v>5.0000000000000044E-2</v>
      </c>
    </row>
    <row r="26" spans="2:147" x14ac:dyDescent="0.3">
      <c r="B26" t="s">
        <v>44</v>
      </c>
      <c r="F26" s="10"/>
      <c r="G26" s="10"/>
      <c r="H26" s="10"/>
      <c r="I26" s="10"/>
      <c r="J26" s="10">
        <f t="shared" si="60"/>
        <v>1.3333333333333335</v>
      </c>
      <c r="K26" s="10">
        <f t="shared" si="60"/>
        <v>0.83333333333333348</v>
      </c>
      <c r="L26" s="10">
        <f t="shared" si="60"/>
        <v>0.73333333333333339</v>
      </c>
      <c r="M26" s="10">
        <f t="shared" si="60"/>
        <v>0.94444444444444442</v>
      </c>
      <c r="N26" s="10">
        <f t="shared" si="60"/>
        <v>1.8095238095238098</v>
      </c>
      <c r="O26" s="10">
        <f t="shared" si="60"/>
        <v>1.5</v>
      </c>
      <c r="P26" s="10">
        <f t="shared" si="60"/>
        <v>1.5769230769230771</v>
      </c>
      <c r="Q26" s="10">
        <f t="shared" si="60"/>
        <v>1.3142857142857141</v>
      </c>
      <c r="R26" s="10">
        <f t="shared" si="60"/>
        <v>0.8</v>
      </c>
      <c r="T26" s="10"/>
      <c r="U26" s="10">
        <f t="shared" ref="U26:V26" si="64">U4/T4-1</f>
        <v>0.53846153846153832</v>
      </c>
      <c r="V26" s="10">
        <f t="shared" si="64"/>
        <v>-7.4999999999999956E-2</v>
      </c>
      <c r="W26" s="10">
        <f t="shared" si="62"/>
        <v>0.78378378378378355</v>
      </c>
      <c r="X26" s="10">
        <f t="shared" si="62"/>
        <v>1.1515151515151518</v>
      </c>
      <c r="Y26" s="10">
        <f t="shared" ref="Y26:AI26" si="65">Y4/X4-1</f>
        <v>1.1774647887323941</v>
      </c>
      <c r="Z26" s="10">
        <f t="shared" si="65"/>
        <v>0.8</v>
      </c>
      <c r="AA26" s="10">
        <f t="shared" si="65"/>
        <v>0.60000000000000009</v>
      </c>
      <c r="AB26" s="10">
        <f t="shared" si="65"/>
        <v>0.39999999999999991</v>
      </c>
      <c r="AC26" s="10">
        <f t="shared" si="65"/>
        <v>0.30000000000000004</v>
      </c>
      <c r="AD26" s="10">
        <f t="shared" si="65"/>
        <v>0.19999999999999996</v>
      </c>
      <c r="AE26" s="10">
        <f t="shared" si="65"/>
        <v>0.10000000000000009</v>
      </c>
      <c r="AF26" s="10">
        <f t="shared" si="65"/>
        <v>0.10000000000000009</v>
      </c>
      <c r="AG26" s="10">
        <f t="shared" si="65"/>
        <v>0.10000000000000009</v>
      </c>
      <c r="AH26" s="10">
        <f t="shared" si="65"/>
        <v>0.10000000000000009</v>
      </c>
      <c r="AI26" s="10">
        <f t="shared" si="65"/>
        <v>0.10000000000000009</v>
      </c>
      <c r="AL26" t="s">
        <v>53</v>
      </c>
      <c r="AM26" s="10">
        <v>-0.01</v>
      </c>
    </row>
    <row r="27" spans="2:147" x14ac:dyDescent="0.3">
      <c r="B27" t="s">
        <v>45</v>
      </c>
      <c r="F27" s="10"/>
      <c r="G27" s="10"/>
      <c r="H27" s="10"/>
      <c r="I27" s="10"/>
      <c r="J27" s="10">
        <f t="shared" si="60"/>
        <v>0.63793103448275867</v>
      </c>
      <c r="K27" s="10">
        <f t="shared" si="60"/>
        <v>0.40277777777777768</v>
      </c>
      <c r="L27" s="10">
        <f t="shared" si="60"/>
        <v>1.5769230769230771</v>
      </c>
      <c r="M27" s="10">
        <f t="shared" si="60"/>
        <v>1.1038961038961039</v>
      </c>
      <c r="N27" s="10">
        <f t="shared" si="60"/>
        <v>1.3368421052631576</v>
      </c>
      <c r="O27" s="10">
        <f t="shared" si="60"/>
        <v>0.69306930693069324</v>
      </c>
      <c r="P27" s="10">
        <f t="shared" si="60"/>
        <v>0.47263681592039797</v>
      </c>
      <c r="Q27" s="10">
        <f t="shared" si="60"/>
        <v>0.53703703703703698</v>
      </c>
      <c r="R27" s="10">
        <f t="shared" si="60"/>
        <v>0.5</v>
      </c>
      <c r="T27" s="10"/>
      <c r="U27" s="10">
        <f t="shared" ref="U27:V27" si="66">U5/T5-1</f>
        <v>8.5561497326203328E-2</v>
      </c>
      <c r="V27" s="10">
        <f t="shared" si="66"/>
        <v>6.4039408866995107E-2</v>
      </c>
      <c r="W27" s="10">
        <f t="shared" si="62"/>
        <v>0.4907407407407407</v>
      </c>
      <c r="X27" s="10">
        <f t="shared" si="62"/>
        <v>1.1304347826086958</v>
      </c>
      <c r="Y27" s="10">
        <f t="shared" ref="Y27:AI27" si="67">Y5/X5-1</f>
        <v>0.52915451895043697</v>
      </c>
      <c r="Z27" s="10">
        <f t="shared" si="67"/>
        <v>0.39999999999999991</v>
      </c>
      <c r="AA27" s="10">
        <f t="shared" si="67"/>
        <v>0.35000000000000009</v>
      </c>
      <c r="AB27" s="10">
        <f t="shared" si="67"/>
        <v>0.30000000000000004</v>
      </c>
      <c r="AC27" s="10">
        <f t="shared" si="67"/>
        <v>0.25</v>
      </c>
      <c r="AD27" s="10">
        <f t="shared" si="67"/>
        <v>0.19999999999999996</v>
      </c>
      <c r="AE27" s="10">
        <f t="shared" si="67"/>
        <v>0.14999999999999991</v>
      </c>
      <c r="AF27" s="10">
        <f t="shared" si="67"/>
        <v>0.14999999999999991</v>
      </c>
      <c r="AG27" s="10">
        <f t="shared" si="67"/>
        <v>0.14999999999999991</v>
      </c>
      <c r="AH27" s="10">
        <f t="shared" si="67"/>
        <v>0.14999999999999991</v>
      </c>
      <c r="AI27" s="10">
        <f t="shared" si="67"/>
        <v>0.14999999999999991</v>
      </c>
      <c r="AL27" t="s">
        <v>54</v>
      </c>
      <c r="AM27" s="10">
        <v>0.08</v>
      </c>
    </row>
    <row r="28" spans="2:147" x14ac:dyDescent="0.3">
      <c r="B28" t="s">
        <v>41</v>
      </c>
      <c r="F28" s="10"/>
      <c r="G28" s="10"/>
      <c r="H28" s="10"/>
      <c r="I28" s="10"/>
      <c r="J28" s="10">
        <f t="shared" si="60"/>
        <v>0.60310965630114577</v>
      </c>
      <c r="K28" s="10">
        <f t="shared" si="60"/>
        <v>0.74503150751333025</v>
      </c>
      <c r="L28" s="10">
        <f t="shared" si="60"/>
        <v>0.47396028475084284</v>
      </c>
      <c r="M28" s="10">
        <f t="shared" si="60"/>
        <v>0.50785508175697358</v>
      </c>
      <c r="N28" s="10">
        <f t="shared" si="60"/>
        <v>0.4719244512506382</v>
      </c>
      <c r="O28" s="10">
        <f t="shared" si="60"/>
        <v>0.35194444444444462</v>
      </c>
      <c r="P28" s="10">
        <f t="shared" si="60"/>
        <v>0.39730554143365526</v>
      </c>
      <c r="Q28" s="10">
        <f t="shared" si="60"/>
        <v>0.25898362747182646</v>
      </c>
      <c r="R28" s="10">
        <f t="shared" si="60"/>
        <v>0.23671232876712311</v>
      </c>
      <c r="T28" s="10"/>
      <c r="U28" s="10">
        <f t="shared" ref="U28:V28" si="68">U6/T6-1</f>
        <v>1.7350705754614553</v>
      </c>
      <c r="V28" s="10">
        <f t="shared" si="68"/>
        <v>1.3552997221119494</v>
      </c>
      <c r="W28" s="10">
        <f t="shared" si="62"/>
        <v>0.98365076689701625</v>
      </c>
      <c r="X28" s="10">
        <f t="shared" si="62"/>
        <v>0.52978162970515763</v>
      </c>
      <c r="Y28" s="10">
        <f t="shared" ref="Y28:AI28" si="69">Y6/X6-1</f>
        <v>0.30066207509442355</v>
      </c>
      <c r="Z28" s="10">
        <f t="shared" si="69"/>
        <v>0.2451416570440772</v>
      </c>
      <c r="AA28" s="10">
        <f t="shared" si="69"/>
        <v>0.19657943987467053</v>
      </c>
      <c r="AB28" s="10">
        <f t="shared" si="69"/>
        <v>0.1557281640356396</v>
      </c>
      <c r="AC28" s="10">
        <f t="shared" si="69"/>
        <v>0.11577146411726669</v>
      </c>
      <c r="AD28" s="10">
        <f t="shared" si="69"/>
        <v>9.2915794389769824E-2</v>
      </c>
      <c r="AE28" s="10">
        <f t="shared" si="69"/>
        <v>6.8658344214904465E-2</v>
      </c>
      <c r="AF28" s="10">
        <f t="shared" si="69"/>
        <v>6.049657722577062E-2</v>
      </c>
      <c r="AG28" s="10">
        <f t="shared" si="69"/>
        <v>6.1286488803383055E-2</v>
      </c>
      <c r="AH28" s="10">
        <f t="shared" si="69"/>
        <v>6.2130456627375485E-2</v>
      </c>
      <c r="AI28" s="10">
        <f t="shared" si="69"/>
        <v>6.3030980867249342E-2</v>
      </c>
      <c r="AL28" t="s">
        <v>55</v>
      </c>
      <c r="AM28" s="6">
        <f>NPV(AM27,Y21:EQ21)</f>
        <v>6434.5467842416383</v>
      </c>
    </row>
    <row r="29" spans="2:147" x14ac:dyDescent="0.3">
      <c r="B29" t="s">
        <v>46</v>
      </c>
      <c r="F29" s="10">
        <f t="shared" ref="F29:N29" si="70">(F3-F7)/F3</f>
        <v>0.15986537652503155</v>
      </c>
      <c r="G29" s="10">
        <f t="shared" si="70"/>
        <v>0.18696311268317331</v>
      </c>
      <c r="H29" s="10">
        <f t="shared" si="70"/>
        <v>0.17274844720496904</v>
      </c>
      <c r="I29" s="10">
        <f t="shared" si="70"/>
        <v>0.19080687830687829</v>
      </c>
      <c r="J29" s="10">
        <f t="shared" si="70"/>
        <v>0.15465544450289326</v>
      </c>
      <c r="K29" s="10">
        <f t="shared" si="70"/>
        <v>0.18349151567443203</v>
      </c>
      <c r="L29" s="10">
        <f t="shared" si="70"/>
        <v>7.7151335311572616E-2</v>
      </c>
      <c r="M29" s="10">
        <f t="shared" si="70"/>
        <v>0.11495783399911232</v>
      </c>
      <c r="N29" s="10">
        <f t="shared" si="70"/>
        <v>0.19431279620853084</v>
      </c>
      <c r="O29" s="10">
        <f t="shared" ref="O29:R29" si="71">(O3-O7)/O3</f>
        <v>0.17733247145011852</v>
      </c>
      <c r="P29" s="10">
        <f t="shared" si="71"/>
        <v>0.19244253992987917</v>
      </c>
      <c r="Q29" s="10">
        <f t="shared" si="71"/>
        <v>0.18100518690753004</v>
      </c>
      <c r="R29" s="10">
        <f t="shared" si="71"/>
        <v>0.18000000000000005</v>
      </c>
      <c r="T29" s="10">
        <f t="shared" ref="T29:V29" si="72">(T3-T7)/T3</f>
        <v>-0.12005649717514125</v>
      </c>
      <c r="U29" s="10">
        <f t="shared" si="72"/>
        <v>4.8330404217926184E-2</v>
      </c>
      <c r="V29" s="10">
        <f t="shared" si="72"/>
        <v>0.18274647887323944</v>
      </c>
      <c r="W29" s="10">
        <f>(W3-W7)/W3</f>
        <v>0.17397416747210254</v>
      </c>
      <c r="X29" s="10">
        <f>(X3-X7)/X3</f>
        <v>0.14601769911504422</v>
      </c>
      <c r="Y29" s="10">
        <f t="shared" ref="Y29:AI29" si="73">(Y3-Y7)/Y3</f>
        <v>0.18258942867556513</v>
      </c>
      <c r="Z29" s="10">
        <f t="shared" si="73"/>
        <v>0.1999999999999999</v>
      </c>
      <c r="AA29" s="10">
        <f t="shared" si="73"/>
        <v>0.20999999999999994</v>
      </c>
      <c r="AB29" s="10">
        <f t="shared" si="73"/>
        <v>0.20999999999999994</v>
      </c>
      <c r="AC29" s="10">
        <f t="shared" si="73"/>
        <v>0.20999999999999996</v>
      </c>
      <c r="AD29" s="10">
        <f t="shared" si="73"/>
        <v>0.20999999999999994</v>
      </c>
      <c r="AE29" s="10">
        <f t="shared" si="73"/>
        <v>0.20999999999999996</v>
      </c>
      <c r="AF29" s="10">
        <f t="shared" si="73"/>
        <v>0.20999999999999996</v>
      </c>
      <c r="AG29" s="10">
        <f t="shared" si="73"/>
        <v>0.20999999999999996</v>
      </c>
      <c r="AH29" s="10">
        <f t="shared" si="73"/>
        <v>0.21000000000000002</v>
      </c>
      <c r="AI29" s="10">
        <f t="shared" si="73"/>
        <v>0.20999999999999994</v>
      </c>
      <c r="AL29" t="s">
        <v>60</v>
      </c>
      <c r="AM29" s="6">
        <f>Main!D8</f>
        <v>883.2</v>
      </c>
    </row>
    <row r="30" spans="2:147" x14ac:dyDescent="0.3">
      <c r="B30" t="s">
        <v>47</v>
      </c>
      <c r="F30" s="10">
        <f t="shared" ref="F30:N30" si="74">(F4-F8)/F4</f>
        <v>-0.33333333333333326</v>
      </c>
      <c r="G30" s="10">
        <f t="shared" si="74"/>
        <v>-0.41666666666666669</v>
      </c>
      <c r="H30" s="10">
        <f t="shared" si="74"/>
        <v>-0.40000000000000008</v>
      </c>
      <c r="I30" s="10">
        <f t="shared" si="74"/>
        <v>-1</v>
      </c>
      <c r="J30" s="10">
        <f t="shared" si="74"/>
        <v>0.14285714285714288</v>
      </c>
      <c r="K30" s="10">
        <f t="shared" si="74"/>
        <v>0.22727272727272735</v>
      </c>
      <c r="L30" s="10">
        <f t="shared" si="74"/>
        <v>0.26923076923076927</v>
      </c>
      <c r="M30" s="10">
        <f t="shared" si="74"/>
        <v>0.2857142857142857</v>
      </c>
      <c r="N30" s="10">
        <f t="shared" si="74"/>
        <v>0.5423728813559322</v>
      </c>
      <c r="O30" s="10">
        <f t="shared" ref="O30:R30" si="75">(O4-O8)/O4</f>
        <v>0.65454545454545454</v>
      </c>
      <c r="P30" s="10">
        <f t="shared" si="75"/>
        <v>0.68656716417910446</v>
      </c>
      <c r="Q30" s="10">
        <f t="shared" si="75"/>
        <v>0.77777777777777779</v>
      </c>
      <c r="R30" s="10">
        <f t="shared" si="75"/>
        <v>0.39999999999999997</v>
      </c>
      <c r="T30" s="10">
        <f t="shared" ref="T30:V30" si="76">(T4-T8)/T4</f>
        <v>-0.42307692307692307</v>
      </c>
      <c r="U30" s="10">
        <f t="shared" si="76"/>
        <v>0.25</v>
      </c>
      <c r="V30" s="10">
        <f t="shared" si="76"/>
        <v>-0.18918918918918923</v>
      </c>
      <c r="W30" s="10">
        <f t="shared" ref="W30:X30" si="77">(W4-W8)/W4</f>
        <v>-0.3939393939393942</v>
      </c>
      <c r="X30" s="10">
        <f t="shared" si="77"/>
        <v>0.38028169014084506</v>
      </c>
      <c r="Y30" s="10">
        <f t="shared" ref="Y30:AI30" si="78">(Y4-Y8)/Y4</f>
        <v>0.60633893919793014</v>
      </c>
      <c r="Z30" s="10">
        <f t="shared" si="78"/>
        <v>0.35</v>
      </c>
      <c r="AA30" s="10">
        <f t="shared" si="78"/>
        <v>0.35</v>
      </c>
      <c r="AB30" s="10">
        <f t="shared" si="78"/>
        <v>0.35000000000000003</v>
      </c>
      <c r="AC30" s="10">
        <f t="shared" si="78"/>
        <v>0.35</v>
      </c>
      <c r="AD30" s="10">
        <f t="shared" si="78"/>
        <v>0.35</v>
      </c>
      <c r="AE30" s="10">
        <f t="shared" si="78"/>
        <v>0.35</v>
      </c>
      <c r="AF30" s="10">
        <f t="shared" si="78"/>
        <v>0.35</v>
      </c>
      <c r="AG30" s="10">
        <f t="shared" si="78"/>
        <v>0.34999999999999992</v>
      </c>
      <c r="AH30" s="10">
        <f t="shared" si="78"/>
        <v>0.35</v>
      </c>
      <c r="AI30" s="10">
        <f t="shared" si="78"/>
        <v>0.35000000000000003</v>
      </c>
      <c r="AL30" t="s">
        <v>61</v>
      </c>
      <c r="AM30" s="6">
        <f>AM28+AM29</f>
        <v>7317.7467842416381</v>
      </c>
    </row>
    <row r="31" spans="2:147" x14ac:dyDescent="0.3">
      <c r="B31" t="s">
        <v>48</v>
      </c>
      <c r="F31" s="10">
        <f t="shared" ref="F31:N31" si="79">(F5-F9)/F5</f>
        <v>-0.17241379310344829</v>
      </c>
      <c r="G31" s="10">
        <f t="shared" si="79"/>
        <v>-0.18055555555555552</v>
      </c>
      <c r="H31" s="10">
        <f t="shared" si="79"/>
        <v>-0.12820512820512833</v>
      </c>
      <c r="I31" s="10">
        <f t="shared" si="79"/>
        <v>-0.38961038961038946</v>
      </c>
      <c r="J31" s="10">
        <f t="shared" si="79"/>
        <v>-3.157894736842113E-2</v>
      </c>
      <c r="K31" s="10">
        <f t="shared" si="79"/>
        <v>-9.9009900990098664E-3</v>
      </c>
      <c r="L31" s="10">
        <f t="shared" si="79"/>
        <v>4.9751243781094523E-2</v>
      </c>
      <c r="M31" s="10">
        <f t="shared" si="79"/>
        <v>0.12962962962962962</v>
      </c>
      <c r="N31" s="10">
        <f t="shared" si="79"/>
        <v>-5.4054054054054022E-2</v>
      </c>
      <c r="O31" s="10">
        <f t="shared" ref="O31:R31" si="80">(O5-O9)/O5</f>
        <v>-0.34502923976608174</v>
      </c>
      <c r="P31" s="10">
        <f t="shared" si="80"/>
        <v>0.14864864864864871</v>
      </c>
      <c r="Q31" s="10">
        <f t="shared" si="80"/>
        <v>4.0160642570280271E-3</v>
      </c>
      <c r="R31" s="10">
        <f t="shared" si="80"/>
        <v>9.9999999999999964E-2</v>
      </c>
      <c r="T31" s="10">
        <f t="shared" ref="T31:V31" si="81">(T5-T9)/T5</f>
        <v>-0.50267379679144397</v>
      </c>
      <c r="U31" s="10">
        <f t="shared" si="81"/>
        <v>-7.8817733990147673E-2</v>
      </c>
      <c r="V31" s="10">
        <f t="shared" si="81"/>
        <v>-0.16203703703703703</v>
      </c>
      <c r="W31" s="10">
        <f t="shared" ref="W31:X31" si="82">(W5-W9)/W5</f>
        <v>-0.17391304347826067</v>
      </c>
      <c r="X31" s="10">
        <f t="shared" si="82"/>
        <v>2.623906705539375E-2</v>
      </c>
      <c r="Y31" s="10">
        <f t="shared" ref="Y31:AI31" si="83">(Y5-Y9)/Y5</f>
        <v>1.8398474737845498E-2</v>
      </c>
      <c r="Z31" s="10">
        <f t="shared" si="83"/>
        <v>0.25000000000000006</v>
      </c>
      <c r="AA31" s="10">
        <f t="shared" si="83"/>
        <v>0.34999999999999992</v>
      </c>
      <c r="AB31" s="10">
        <f t="shared" si="83"/>
        <v>0.39999999999999997</v>
      </c>
      <c r="AC31" s="10">
        <f t="shared" si="83"/>
        <v>0.4</v>
      </c>
      <c r="AD31" s="10">
        <f t="shared" si="83"/>
        <v>0.4</v>
      </c>
      <c r="AE31" s="10">
        <f t="shared" si="83"/>
        <v>0.40000000000000008</v>
      </c>
      <c r="AF31" s="10">
        <f t="shared" si="83"/>
        <v>0.40000000000000008</v>
      </c>
      <c r="AG31" s="10">
        <f t="shared" si="83"/>
        <v>0.4</v>
      </c>
      <c r="AH31" s="10">
        <f t="shared" si="83"/>
        <v>0.39999999999999997</v>
      </c>
      <c r="AI31" s="10">
        <f t="shared" si="83"/>
        <v>0.4</v>
      </c>
      <c r="AL31" t="s">
        <v>62</v>
      </c>
      <c r="AM31" s="3">
        <f>AM30/AI22</f>
        <v>12.392458567725043</v>
      </c>
    </row>
    <row r="32" spans="2:147" x14ac:dyDescent="0.3">
      <c r="B32" t="s">
        <v>42</v>
      </c>
      <c r="F32" s="10">
        <f t="shared" ref="F32:L32" si="84">F11/F6</f>
        <v>0.15016366612111301</v>
      </c>
      <c r="G32" s="10">
        <f t="shared" si="84"/>
        <v>0.1706253029568589</v>
      </c>
      <c r="H32" s="10">
        <f t="shared" si="84"/>
        <v>0.16073435743724251</v>
      </c>
      <c r="I32" s="10">
        <f t="shared" si="84"/>
        <v>0.16960564283424168</v>
      </c>
      <c r="J32" s="10">
        <f t="shared" si="84"/>
        <v>0.15007656967840738</v>
      </c>
      <c r="K32" s="10">
        <f t="shared" si="84"/>
        <v>0.17833333333333345</v>
      </c>
      <c r="L32" s="10">
        <f t="shared" si="84"/>
        <v>7.7020843924758539E-2</v>
      </c>
      <c r="M32" s="10">
        <f>M11/M6</f>
        <v>0.11673399957473948</v>
      </c>
      <c r="N32" s="10">
        <f>N11/N6</f>
        <v>0.18831281428819155</v>
      </c>
      <c r="O32" s="10">
        <f t="shared" ref="O32:R32" si="85">O11/O6</f>
        <v>0.16437230326689964</v>
      </c>
      <c r="P32" s="10">
        <f t="shared" si="85"/>
        <v>0.19610696743678371</v>
      </c>
      <c r="Q32" s="10">
        <f t="shared" si="85"/>
        <v>0.18172605978719814</v>
      </c>
      <c r="R32" s="10">
        <f t="shared" si="85"/>
        <v>0.1795406695344442</v>
      </c>
      <c r="T32" s="10">
        <f t="shared" ref="T32:V32" si="86">T11/T6</f>
        <v>-0.20629750271444083</v>
      </c>
      <c r="U32" s="10">
        <f t="shared" si="86"/>
        <v>4.1286224692338253E-2</v>
      </c>
      <c r="V32" s="10">
        <f t="shared" si="86"/>
        <v>0.16787459969661228</v>
      </c>
      <c r="W32" s="10">
        <f>W11/W6</f>
        <v>0.16127113603534698</v>
      </c>
      <c r="X32" s="10">
        <f>X11/X6</f>
        <v>0.14330148855809821</v>
      </c>
      <c r="Y32" s="10">
        <f t="shared" ref="Y32:AI32" si="87">Y11/Y6</f>
        <v>0.18082947860368814</v>
      </c>
      <c r="Z32" s="10">
        <f t="shared" si="87"/>
        <v>0.20538157564210394</v>
      </c>
      <c r="AA32" s="10">
        <f t="shared" si="87"/>
        <v>0.22152884775144507</v>
      </c>
      <c r="AB32" s="10">
        <f t="shared" si="87"/>
        <v>0.22647315483446914</v>
      </c>
      <c r="AC32" s="10">
        <f t="shared" si="87"/>
        <v>0.22864886294625136</v>
      </c>
      <c r="AD32" s="10">
        <f t="shared" si="87"/>
        <v>0.23047608393105604</v>
      </c>
      <c r="AE32" s="10">
        <f t="shared" si="87"/>
        <v>0.23177555589449109</v>
      </c>
      <c r="AF32" s="10">
        <f t="shared" si="87"/>
        <v>0.23334463196677541</v>
      </c>
      <c r="AG32" s="10">
        <f t="shared" si="87"/>
        <v>0.23501748991966509</v>
      </c>
      <c r="AH32" s="10">
        <f t="shared" si="87"/>
        <v>0.23679871152794585</v>
      </c>
      <c r="AI32" s="10">
        <f t="shared" si="87"/>
        <v>0.23869268077399297</v>
      </c>
      <c r="AL32" t="s">
        <v>63</v>
      </c>
      <c r="AM32" s="3">
        <f>Main!D3</f>
        <v>46.39</v>
      </c>
    </row>
    <row r="33" spans="2:39" x14ac:dyDescent="0.3">
      <c r="B33" t="s">
        <v>49</v>
      </c>
      <c r="F33" s="10"/>
      <c r="G33" s="10"/>
      <c r="H33" s="10"/>
      <c r="I33" s="10"/>
      <c r="J33" s="10">
        <f t="shared" ref="J33:L33" si="88">J12/F12-1</f>
        <v>5.2873563218390762E-2</v>
      </c>
      <c r="K33" s="10">
        <f t="shared" si="88"/>
        <v>-0.16962524654832345</v>
      </c>
      <c r="L33" s="10">
        <f t="shared" si="88"/>
        <v>-6.4386317907444757E-2</v>
      </c>
      <c r="M33" s="10">
        <f>M12/I12-1</f>
        <v>-8.4016393442622794E-2</v>
      </c>
      <c r="N33" s="10">
        <f>N12/J12-1</f>
        <v>-0.12445414847161562</v>
      </c>
      <c r="O33" s="10">
        <f t="shared" ref="O33:R33" si="89">O12/K12-1</f>
        <v>3.562945368171011E-2</v>
      </c>
      <c r="P33" s="10">
        <f t="shared" si="89"/>
        <v>0.32258064516129026</v>
      </c>
      <c r="Q33" s="10">
        <f t="shared" si="89"/>
        <v>0.16554809843400453</v>
      </c>
      <c r="R33" s="10">
        <f t="shared" si="89"/>
        <v>0.35000000000000009</v>
      </c>
      <c r="T33" s="10"/>
      <c r="U33" s="10">
        <f t="shared" ref="U33:V33" si="90">U12/T12-1</f>
        <v>0.31305903398926671</v>
      </c>
      <c r="V33" s="10">
        <f t="shared" si="90"/>
        <v>0.69073569482288799</v>
      </c>
      <c r="W33" s="10">
        <f>W12/V12-1</f>
        <v>0.57131345688960522</v>
      </c>
      <c r="X33" s="10">
        <f>X12/W12-1</f>
        <v>-0.11076923076923073</v>
      </c>
      <c r="Y33" s="10">
        <f t="shared" ref="Y33:AI33" si="91">Y12/X12-1</f>
        <v>0.21877162629757763</v>
      </c>
      <c r="Z33" s="10">
        <f t="shared" si="91"/>
        <v>0.1100000000000001</v>
      </c>
      <c r="AA33" s="10">
        <f t="shared" si="91"/>
        <v>5.0000000000000044E-2</v>
      </c>
      <c r="AB33" s="10">
        <f t="shared" si="91"/>
        <v>3.0000000000000027E-2</v>
      </c>
      <c r="AC33" s="10">
        <f t="shared" si="91"/>
        <v>2.0000000000000018E-2</v>
      </c>
      <c r="AD33" s="10">
        <f t="shared" si="91"/>
        <v>2.0000000000000018E-2</v>
      </c>
      <c r="AE33" s="10">
        <f t="shared" si="91"/>
        <v>2.0000000000000018E-2</v>
      </c>
      <c r="AF33" s="10">
        <f t="shared" si="91"/>
        <v>2.0000000000000018E-2</v>
      </c>
      <c r="AG33" s="10">
        <f t="shared" si="91"/>
        <v>2.0000000000000018E-2</v>
      </c>
      <c r="AH33" s="10">
        <f t="shared" si="91"/>
        <v>2.0000000000000018E-2</v>
      </c>
      <c r="AI33" s="10">
        <f t="shared" si="91"/>
        <v>2.0000000000000018E-2</v>
      </c>
      <c r="AL33" s="1" t="s">
        <v>64</v>
      </c>
      <c r="AM33" s="11">
        <f>AM31/AM32-1</f>
        <v>-0.73286357905313548</v>
      </c>
    </row>
    <row r="34" spans="2:39" x14ac:dyDescent="0.3">
      <c r="B34" t="s">
        <v>50</v>
      </c>
      <c r="F34" s="10"/>
      <c r="G34" s="10"/>
      <c r="H34" s="10"/>
      <c r="I34" s="10"/>
      <c r="J34" s="10">
        <f t="shared" ref="J34:L34" si="92">J13/F13-1</f>
        <v>0.40546218487394969</v>
      </c>
      <c r="K34" s="10">
        <f t="shared" si="92"/>
        <v>-0.12962962962962965</v>
      </c>
      <c r="L34" s="10">
        <f t="shared" si="92"/>
        <v>-4.3222003929273001E-2</v>
      </c>
      <c r="M34" s="10">
        <f>M13/I13-1</f>
        <v>3.9045553145336198E-2</v>
      </c>
      <c r="N34" s="10">
        <f>N13/J13-1</f>
        <v>-0.32137518684603894</v>
      </c>
      <c r="O34" s="10">
        <f t="shared" ref="O34:R34" si="93">O13/K13-1</f>
        <v>0.30000000000000004</v>
      </c>
      <c r="P34" s="10">
        <f t="shared" si="93"/>
        <v>0.60780287474332639</v>
      </c>
      <c r="Q34" s="10">
        <f t="shared" si="93"/>
        <v>0.58037578288100211</v>
      </c>
      <c r="R34" s="10">
        <f t="shared" si="93"/>
        <v>0.5</v>
      </c>
      <c r="T34" s="10"/>
      <c r="U34" s="10">
        <f t="shared" ref="U34:V34" si="94">U13/T13-1</f>
        <v>0.6685393258426966</v>
      </c>
      <c r="V34" s="10">
        <f t="shared" si="94"/>
        <v>0.95117845117845135</v>
      </c>
      <c r="W34" s="10">
        <f>W13/V13-1</f>
        <v>0.88006902502157036</v>
      </c>
      <c r="X34" s="10">
        <f>X13/W13-1</f>
        <v>-0.13262964662689314</v>
      </c>
      <c r="Y34" s="10">
        <f t="shared" ref="Y34:AI34" si="95">Y13/X13-1</f>
        <v>0.49841269841269864</v>
      </c>
      <c r="Z34" s="10">
        <f t="shared" si="95"/>
        <v>0.19999999999999996</v>
      </c>
      <c r="AA34" s="10">
        <f t="shared" si="95"/>
        <v>8.0000000000000071E-2</v>
      </c>
      <c r="AB34" s="10">
        <f t="shared" si="95"/>
        <v>5.0000000000000044E-2</v>
      </c>
      <c r="AC34" s="10">
        <f t="shared" si="95"/>
        <v>4.0000000000000036E-2</v>
      </c>
      <c r="AD34" s="10">
        <f t="shared" si="95"/>
        <v>3.0000000000000027E-2</v>
      </c>
      <c r="AE34" s="10">
        <f t="shared" si="95"/>
        <v>2.0000000000000018E-2</v>
      </c>
      <c r="AF34" s="10">
        <f t="shared" si="95"/>
        <v>2.0000000000000018E-2</v>
      </c>
      <c r="AG34" s="10">
        <f t="shared" si="95"/>
        <v>2.0000000000000018E-2</v>
      </c>
      <c r="AH34" s="10">
        <f t="shared" si="95"/>
        <v>2.0000000000000018E-2</v>
      </c>
      <c r="AI34" s="10">
        <f t="shared" si="95"/>
        <v>2.0000000000000018E-2</v>
      </c>
      <c r="AL34" t="s">
        <v>65</v>
      </c>
      <c r="AM34" s="7" t="s">
        <v>67</v>
      </c>
    </row>
    <row r="35" spans="2:39" x14ac:dyDescent="0.3">
      <c r="B35" t="s">
        <v>51</v>
      </c>
      <c r="F35" s="10">
        <f t="shared" ref="F35:L35" si="96">F16/F6</f>
        <v>-0.22258592471358418</v>
      </c>
      <c r="G35" s="10">
        <f t="shared" si="96"/>
        <v>-0.33688802714493465</v>
      </c>
      <c r="H35" s="10">
        <f t="shared" si="96"/>
        <v>-0.21618583739228159</v>
      </c>
      <c r="I35" s="10">
        <f t="shared" si="96"/>
        <v>-0.13465854440525821</v>
      </c>
      <c r="J35" s="10">
        <f t="shared" si="96"/>
        <v>-0.13757018887187339</v>
      </c>
      <c r="K35" s="10">
        <f t="shared" si="96"/>
        <v>-6.9166666666666529E-2</v>
      </c>
      <c r="L35" s="10">
        <f t="shared" si="96"/>
        <v>-0.16497203863751903</v>
      </c>
      <c r="M35" s="10">
        <f>M16/M6</f>
        <v>-8.0161598979374901E-2</v>
      </c>
      <c r="N35" s="10">
        <f>N16/N6</f>
        <v>4.0055488122074004E-2</v>
      </c>
      <c r="O35" s="10">
        <f t="shared" ref="O35:R35" si="97">O16/O6</f>
        <v>-5.0749948633655111E-2</v>
      </c>
      <c r="P35" s="10">
        <f t="shared" si="97"/>
        <v>-5.8213571038748406E-2</v>
      </c>
      <c r="Q35" s="10">
        <f t="shared" si="97"/>
        <v>-6.1813882790069233E-2</v>
      </c>
      <c r="R35" s="10">
        <f t="shared" si="97"/>
        <v>8.1540411546637166E-3</v>
      </c>
      <c r="T35" s="10">
        <f t="shared" ref="T35:V35" si="98">T16/T6</f>
        <v>-1.1997828447339849</v>
      </c>
      <c r="U35" s="10">
        <f t="shared" si="98"/>
        <v>-0.48590710599444226</v>
      </c>
      <c r="V35" s="10">
        <f t="shared" si="98"/>
        <v>-0.23664250800606759</v>
      </c>
      <c r="W35" s="10">
        <f>W16/W6</f>
        <v>-0.18956580847990498</v>
      </c>
      <c r="X35" s="10">
        <f>X16/X6</f>
        <v>-5.7987113974672287E-2</v>
      </c>
      <c r="Y35" s="10">
        <f t="shared" ref="Y35:AI35" si="99">Y16/Y6</f>
        <v>-3.0355756813818375E-2</v>
      </c>
      <c r="Z35" s="10">
        <f t="shared" si="99"/>
        <v>8.3759141809034675E-3</v>
      </c>
      <c r="AA35" s="10">
        <f t="shared" si="99"/>
        <v>4.5733979633191202E-2</v>
      </c>
      <c r="AB35" s="10">
        <f t="shared" si="99"/>
        <v>6.798202754069789E-2</v>
      </c>
      <c r="AC35" s="10">
        <f t="shared" si="99"/>
        <v>8.2048570987499139E-2</v>
      </c>
      <c r="AD35" s="10">
        <f t="shared" si="99"/>
        <v>9.284139030476711E-2</v>
      </c>
      <c r="AE35" s="10">
        <f t="shared" si="99"/>
        <v>0.10040766992907429</v>
      </c>
      <c r="AF35" s="10">
        <f t="shared" si="99"/>
        <v>0.10699321644853496</v>
      </c>
      <c r="AG35" s="10">
        <f t="shared" si="99"/>
        <v>0.11358143548169926</v>
      </c>
      <c r="AH35" s="10">
        <f t="shared" si="99"/>
        <v>0.12017953847453594</v>
      </c>
      <c r="AI35" s="10">
        <f t="shared" si="99"/>
        <v>0.12679419554129148</v>
      </c>
    </row>
    <row r="36" spans="2:39" x14ac:dyDescent="0.3">
      <c r="B36" t="s">
        <v>27</v>
      </c>
      <c r="F36" s="10">
        <f t="shared" ref="F36:L36" si="100">F19/F18</f>
        <v>0</v>
      </c>
      <c r="G36" s="10">
        <f t="shared" si="100"/>
        <v>-4.4313146233382556E-3</v>
      </c>
      <c r="H36" s="10">
        <f t="shared" si="100"/>
        <v>0</v>
      </c>
      <c r="I36" s="10">
        <f t="shared" si="100"/>
        <v>0</v>
      </c>
      <c r="J36" s="10">
        <f t="shared" si="100"/>
        <v>9.7609561752988072E-2</v>
      </c>
      <c r="K36" s="10">
        <f t="shared" si="100"/>
        <v>-1.069518716577543E-2</v>
      </c>
      <c r="L36" s="10">
        <f t="shared" si="100"/>
        <v>5.4446460980036304E-3</v>
      </c>
      <c r="M36" s="10">
        <f>M19/M18</f>
        <v>-7.6628352490421417E-3</v>
      </c>
      <c r="N36" s="10">
        <f>N19/N18</f>
        <v>0.13538461538461508</v>
      </c>
      <c r="O36" s="10">
        <f t="shared" ref="O36:R36" si="101">O19/O18</f>
        <v>5.9171597633136293E-3</v>
      </c>
      <c r="P36" s="10">
        <f t="shared" si="101"/>
        <v>6.8965517241379309E-2</v>
      </c>
      <c r="Q36" s="10">
        <f t="shared" si="101"/>
        <v>0</v>
      </c>
      <c r="R36" s="10">
        <f t="shared" si="101"/>
        <v>0.15</v>
      </c>
      <c r="T36" s="10">
        <f t="shared" ref="T36:V36" si="102">T19/T18</f>
        <v>0</v>
      </c>
      <c r="U36" s="10">
        <f t="shared" si="102"/>
        <v>0</v>
      </c>
      <c r="V36" s="10">
        <f t="shared" si="102"/>
        <v>0</v>
      </c>
      <c r="W36" s="10">
        <f>W19/W18</f>
        <v>2.1657250470809779E-2</v>
      </c>
      <c r="X36" s="10">
        <f>X19/X18</f>
        <v>-6.6765578635014866E-2</v>
      </c>
      <c r="Y36" s="10">
        <f t="shared" ref="Y36:AI36" si="103">Y19/Y18</f>
        <v>-2.8198191815159951E-2</v>
      </c>
      <c r="Z36" s="10">
        <f t="shared" si="103"/>
        <v>0.1</v>
      </c>
      <c r="AA36" s="10">
        <f t="shared" si="103"/>
        <v>0.10000000000000002</v>
      </c>
      <c r="AB36" s="10">
        <f t="shared" si="103"/>
        <v>0.1</v>
      </c>
      <c r="AC36" s="10">
        <f t="shared" si="103"/>
        <v>0.10000000000000002</v>
      </c>
      <c r="AD36" s="10">
        <f t="shared" si="103"/>
        <v>0.1</v>
      </c>
      <c r="AE36" s="10">
        <f t="shared" si="103"/>
        <v>0.1</v>
      </c>
      <c r="AF36" s="10">
        <f t="shared" si="103"/>
        <v>0.1</v>
      </c>
      <c r="AG36" s="10">
        <f t="shared" si="103"/>
        <v>0.1</v>
      </c>
      <c r="AH36" s="10">
        <f t="shared" si="103"/>
        <v>0.1</v>
      </c>
      <c r="AI36" s="10">
        <f t="shared" si="103"/>
        <v>0.1</v>
      </c>
    </row>
    <row r="37" spans="2:39" x14ac:dyDescent="0.3">
      <c r="B37" t="s">
        <v>28</v>
      </c>
      <c r="F37" s="10">
        <f t="shared" ref="F37:L37" si="104">F20/F18</f>
        <v>0.89493433395872468</v>
      </c>
      <c r="G37" s="10">
        <f t="shared" si="104"/>
        <v>0.89807976366321984</v>
      </c>
      <c r="H37" s="10">
        <f t="shared" si="104"/>
        <v>0.88989169675090307</v>
      </c>
      <c r="I37" s="10">
        <f t="shared" si="104"/>
        <v>0.88746803069053648</v>
      </c>
      <c r="J37" s="10">
        <f t="shared" si="104"/>
        <v>0.78087649402390458</v>
      </c>
      <c r="K37" s="10">
        <f t="shared" si="104"/>
        <v>0.86631016042780984</v>
      </c>
      <c r="L37" s="10">
        <f t="shared" si="104"/>
        <v>0.83484573502722337</v>
      </c>
      <c r="M37" s="10">
        <f>M20/M18</f>
        <v>0.84291187739463547</v>
      </c>
      <c r="N37" s="10">
        <f>N20/N18</f>
        <v>0.71076923076922915</v>
      </c>
      <c r="O37" s="10">
        <f t="shared" ref="O37:R37" si="105">O20/O18</f>
        <v>0.95857988165680774</v>
      </c>
      <c r="P37" s="10">
        <f t="shared" si="105"/>
        <v>0.86206896551724133</v>
      </c>
      <c r="Q37" s="10">
        <f t="shared" si="105"/>
        <v>7.473309608540929E-2</v>
      </c>
      <c r="R37" s="10">
        <f t="shared" si="105"/>
        <v>0.8</v>
      </c>
      <c r="T37" s="10">
        <f t="shared" ref="T37:V37" si="106">T20/T18</f>
        <v>0</v>
      </c>
      <c r="U37" s="10">
        <f t="shared" si="106"/>
        <v>0</v>
      </c>
      <c r="V37" s="10">
        <f t="shared" si="106"/>
        <v>0.43206326383896504</v>
      </c>
      <c r="W37" s="10">
        <f>W20/W18</f>
        <v>0.8662900188323911</v>
      </c>
      <c r="X37" s="10">
        <f>X20/X18</f>
        <v>0.90652818991097961</v>
      </c>
      <c r="Y37" s="10">
        <f t="shared" ref="Y37:AI37" si="107">Y20/Y18</f>
        <v>0.69860874090379332</v>
      </c>
      <c r="Z37" s="10">
        <f t="shared" si="107"/>
        <v>0</v>
      </c>
      <c r="AA37" s="10">
        <f t="shared" si="107"/>
        <v>0</v>
      </c>
      <c r="AB37" s="10">
        <f t="shared" si="107"/>
        <v>0</v>
      </c>
      <c r="AC37" s="10">
        <f t="shared" si="107"/>
        <v>0</v>
      </c>
      <c r="AD37" s="10">
        <f t="shared" si="107"/>
        <v>0</v>
      </c>
      <c r="AE37" s="10">
        <f t="shared" si="107"/>
        <v>0</v>
      </c>
      <c r="AF37" s="10">
        <f t="shared" si="107"/>
        <v>0</v>
      </c>
      <c r="AG37" s="10">
        <f t="shared" si="107"/>
        <v>0</v>
      </c>
      <c r="AH37" s="10">
        <f t="shared" si="107"/>
        <v>0</v>
      </c>
      <c r="AI37" s="10">
        <f t="shared" si="107"/>
        <v>0</v>
      </c>
    </row>
    <row r="38" spans="2:39" x14ac:dyDescent="0.3">
      <c r="B38" t="s">
        <v>52</v>
      </c>
      <c r="F38" s="10">
        <f t="shared" ref="F38:L38" si="108">F21/F6</f>
        <v>-2.2913256955810035E-2</v>
      </c>
      <c r="G38" s="10">
        <f t="shared" si="108"/>
        <v>-3.490063015026669E-2</v>
      </c>
      <c r="H38" s="10">
        <f t="shared" si="108"/>
        <v>-2.2855001873360679E-2</v>
      </c>
      <c r="I38" s="10">
        <f t="shared" si="108"/>
        <v>-1.4107085604360459E-2</v>
      </c>
      <c r="J38" s="10">
        <f t="shared" si="108"/>
        <v>-1.5569167942827941E-2</v>
      </c>
      <c r="K38" s="10">
        <f t="shared" si="108"/>
        <v>-7.4999999999998601E-3</v>
      </c>
      <c r="L38" s="10">
        <f t="shared" si="108"/>
        <v>-2.236908998474834E-2</v>
      </c>
      <c r="M38" s="10">
        <f>M21/M6</f>
        <v>-9.1431001488411975E-3</v>
      </c>
      <c r="N38" s="10">
        <f>N21/N6</f>
        <v>8.6700190740420981E-3</v>
      </c>
      <c r="O38" s="10">
        <f t="shared" ref="O38:R38" si="109">O21/O6</f>
        <v>-1.2327922745016325E-3</v>
      </c>
      <c r="P38" s="10">
        <f t="shared" si="109"/>
        <v>-2.5468437329452466E-3</v>
      </c>
      <c r="Q38" s="10">
        <f t="shared" si="109"/>
        <v>-4.3911501435568302E-2</v>
      </c>
      <c r="R38" s="10">
        <f t="shared" si="109"/>
        <v>1.1325917118612686E-3</v>
      </c>
      <c r="T38" s="10">
        <f t="shared" ref="T38:V38" si="110">T21/T6</f>
        <v>-1.1910966340933768</v>
      </c>
      <c r="U38" s="10">
        <f t="shared" si="110"/>
        <v>-0.48551012306470825</v>
      </c>
      <c r="V38" s="10">
        <f t="shared" si="110"/>
        <v>-0.133153547952132</v>
      </c>
      <c r="W38" s="10">
        <f>W21/W6</f>
        <v>-2.0222618744158514E-2</v>
      </c>
      <c r="X38" s="10">
        <f>X21/X6</f>
        <v>-5.9986669628971211E-3</v>
      </c>
      <c r="Y38" s="10">
        <f t="shared" ref="Y38:AI38" si="111">Y21/Y6</f>
        <v>-4.6086888566998297E-3</v>
      </c>
      <c r="Z38" s="10">
        <f t="shared" si="111"/>
        <v>1.9964332013852566E-2</v>
      </c>
      <c r="AA38" s="10">
        <f t="shared" si="111"/>
        <v>5.2064420795637105E-2</v>
      </c>
      <c r="AB38" s="10">
        <f t="shared" si="111"/>
        <v>7.1090160409768802E-2</v>
      </c>
      <c r="AC38" s="10">
        <f t="shared" si="111"/>
        <v>8.3166100003478322E-2</v>
      </c>
      <c r="AD38" s="10">
        <f t="shared" si="111"/>
        <v>9.2513572951324036E-2</v>
      </c>
      <c r="AE38" s="10">
        <f t="shared" si="111"/>
        <v>9.9166850844489354E-2</v>
      </c>
      <c r="AF38" s="10">
        <f t="shared" si="111"/>
        <v>0.1050067426356943</v>
      </c>
      <c r="AG38" s="10">
        <f t="shared" si="111"/>
        <v>0.11084348103433335</v>
      </c>
      <c r="AH38" s="10">
        <f t="shared" si="111"/>
        <v>0.11668332364639722</v>
      </c>
      <c r="AI38" s="10">
        <f t="shared" si="111"/>
        <v>0.12253205274703695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2024-12-09T11:05:09Z</dcterms:created>
  <dcterms:modified xsi:type="dcterms:W3CDTF">2025-08-22T20:44:23Z</dcterms:modified>
</cp:coreProperties>
</file>