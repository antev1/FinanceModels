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105EAF2-9E15-409D-BA3D-C57421424025}" xr6:coauthVersionLast="47" xr6:coauthVersionMax="47" xr10:uidLastSave="{00000000-0000-0000-0000-000000000000}"/>
  <bookViews>
    <workbookView xWindow="-108" yWindow="-108" windowWidth="23256" windowHeight="12576" activeTab="1" xr2:uid="{601313A0-7104-4071-9CA4-673E0162DF6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15" i="2"/>
  <c r="E11" i="2"/>
  <c r="E14" i="2" s="1"/>
  <c r="E16" i="2" s="1"/>
  <c r="G16" i="2"/>
  <c r="G15" i="2"/>
  <c r="G14" i="2"/>
  <c r="G11" i="2"/>
  <c r="G6" i="2"/>
  <c r="D9" i="1"/>
  <c r="D8" i="1"/>
  <c r="D7" i="1"/>
  <c r="D6" i="1"/>
  <c r="D5" i="1"/>
  <c r="D4" i="1"/>
  <c r="D3" i="1"/>
  <c r="F3" i="1"/>
</calcChain>
</file>

<file path=xl/sharedStrings.xml><?xml version="1.0" encoding="utf-8"?>
<sst xmlns="http://schemas.openxmlformats.org/spreadsheetml/2006/main" count="34" uniqueCount="30">
  <si>
    <t>BAB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</si>
  <si>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</si>
  <si>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</si>
  <si>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</si>
  <si>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</si>
  <si>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</si>
  <si>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</si>
  <si>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</si>
  <si>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</si>
  <si>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</si>
  <si>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</si>
  <si>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H225</t>
  </si>
  <si>
    <t>H125</t>
  </si>
  <si>
    <t>H126</t>
  </si>
  <si>
    <t>Revenue</t>
  </si>
  <si>
    <t>Cost of sales</t>
  </si>
  <si>
    <t>Gross profit</t>
  </si>
  <si>
    <t>Total opex</t>
  </si>
  <si>
    <t>Operating profit</t>
  </si>
  <si>
    <t>Equity income</t>
  </si>
  <si>
    <t>Finance income</t>
  </si>
  <si>
    <t>Finance costs</t>
  </si>
  <si>
    <t>Pretax profit</t>
  </si>
  <si>
    <t>Taxes</t>
  </si>
  <si>
    <t>MI</t>
  </si>
  <si>
    <t>Net profit</t>
  </si>
  <si>
    <t>EPS</t>
  </si>
  <si>
    <t>H124</t>
  </si>
  <si>
    <t>H224</t>
  </si>
  <si>
    <t>H226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</si>
</sst>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14" fontId="2" fillId="2" borderId="1" xfId="0" applyNumberFormat="1" applyFont="1" applyFill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</xdr:colOff>
      <xdr:row>0</xdr:row>
      <xdr:rowOff>0</xdr:rowOff>
    </xdr:from>
    <xdr:to>
      <xdr:col>7</xdr:col>
      <xdr:colOff>30480</xdr:colOff>
      <xdr:row>33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DC0840-0F1B-8344-CFC9-98A6CBC517D1}"/>
            </a:ext>
          </a:extLst>
        </xdr:cNvPr>
        <xdr:cNvCxnSpPr/>
      </xdr:nvCxnSpPr>
      <xdr:spPr>
        <a:xfrm>
          <a:off x="525780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D444-450A-4A5F-A6CA-68D81BFA6892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7" bestFit="1" customWidth="1"/>
    <col min="6" max="7" width="11.21875" style="7" bestFit="1" customWidth="1"/>
    <col min="8" max="16384" width="8.88671875" style="1"/>
  </cols>
  <sheetData>
    <row r="2" spans="2:7" x14ac:dyDescent="0.3">
      <c r="E2" s="7" t="s">
        <v>8</v>
      </c>
      <c r="F2" s="7" t="s">
        <v>9</v>
      </c>
      <c r="G2" s="7" t="s">
        <v>10</v>
      </c>
    </row>
    <row r="3" spans="2:7" x14ac:dyDescent="0.3">
      <c r="B3" s="2" t="s">
        <v>0</v>
      </c>
      <c r="C3" s="1" t="s">
        <v>1</v>
      </c>
      <c r="D3" s="4">
        <f>13.74</f>
        <v>13.74</v>
      </c>
      <c r="E3" s="8">
        <v>46078</v>
      </c>
      <c r="F3" s="8">
        <f ca="1">TODAY()</f>
        <v>46078</v>
      </c>
      <c r="G3" s="8">
        <v>46227</v>
      </c>
    </row>
    <row r="4" spans="2:7" x14ac:dyDescent="0.3">
      <c r="C4" s="1" t="s">
        <v>2</v>
      </c>
      <c r="D4" s="5">
        <f>503</f>
        <v>503</v>
      </c>
      <c r="E4" s="7" t="s">
        <v>13</v>
      </c>
    </row>
    <row r="5" spans="2:7" x14ac:dyDescent="0.3">
      <c r="C5" s="1" t="s">
        <v>3</v>
      </c>
      <c r="D5" s="5">
        <f>D3*D4</f>
        <v>6911.22</v>
      </c>
    </row>
    <row r="6" spans="2:7" x14ac:dyDescent="0.3">
      <c r="C6" s="1" t="s">
        <v>4</v>
      </c>
      <c r="D6" s="5">
        <f>704.8+2.1+41.1</f>
        <v>748</v>
      </c>
      <c r="E6" s="7" t="s">
        <v>13</v>
      </c>
    </row>
    <row r="7" spans="2:7" x14ac:dyDescent="0.3">
      <c r="C7" s="1" t="s">
        <v>5</v>
      </c>
      <c r="D7" s="5">
        <f>299.5+473.7</f>
        <v>773.2</v>
      </c>
      <c r="E7" s="7" t="s">
        <v>13</v>
      </c>
    </row>
    <row r="8" spans="2:7" x14ac:dyDescent="0.3">
      <c r="C8" s="1" t="s">
        <v>6</v>
      </c>
      <c r="D8" s="5">
        <f>D6-D7</f>
        <v>-25.200000000000045</v>
      </c>
    </row>
    <row r="9" spans="2:7" x14ac:dyDescent="0.3">
      <c r="C9" s="1" t="s">
        <v>7</v>
      </c>
      <c r="D9" s="5">
        <f>D5-D8</f>
        <v>6936.42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EDBF-1C47-436B-A6F7-B2C02C0C468F}">
  <dimension ref="B1:Z1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H2"/>
    </sheetView>
  </sheetViews>
  <sheetFormatPr defaultRowHeight="14.4" x14ac:dyDescent="0.3"/>
  <cols>
    <col min="1" max="1" width="8.88671875" style="1"/>
    <col min="2" max="2" width="14.5546875" style="1" bestFit="1" customWidth="1"/>
    <col min="3" max="8" width="10.5546875" style="1" bestFit="1" customWidth="1"/>
    <col min="9" max="9" width="8.88671875" style="1"/>
    <col min="10" max="24" width="10.5546875" style="1" bestFit="1" customWidth="1"/>
    <col min="25" max="16384" width="8.88671875" style="1"/>
  </cols>
  <sheetData>
    <row r="1" spans="2:26" x14ac:dyDescent="0.3">
      <c r="C1" s="3">
        <v>45199</v>
      </c>
      <c r="D1" s="3">
        <v>45382</v>
      </c>
      <c r="E1" s="3">
        <v>45565</v>
      </c>
      <c r="F1" s="3">
        <v>45747</v>
      </c>
      <c r="G1" s="3">
        <v>45930</v>
      </c>
      <c r="H1" s="3">
        <v>46112</v>
      </c>
      <c r="J1" s="3">
        <v>43555</v>
      </c>
      <c r="K1" s="3">
        <v>43921</v>
      </c>
      <c r="L1" s="3">
        <v>44286</v>
      </c>
      <c r="M1" s="3">
        <v>44651</v>
      </c>
      <c r="N1" s="3">
        <v>45016</v>
      </c>
      <c r="O1" s="3">
        <v>45382</v>
      </c>
      <c r="P1" s="3">
        <v>45747</v>
      </c>
      <c r="Q1" s="3">
        <v>46112</v>
      </c>
      <c r="R1" s="3">
        <v>46477</v>
      </c>
      <c r="S1" s="3">
        <v>46843</v>
      </c>
      <c r="T1" s="3">
        <v>47208</v>
      </c>
      <c r="U1" s="3">
        <v>47573</v>
      </c>
      <c r="V1" s="3">
        <v>47938</v>
      </c>
      <c r="W1" s="3">
        <v>48304</v>
      </c>
      <c r="X1" s="3">
        <v>48669</v>
      </c>
      <c r="Y1" s="3">
        <v>49034</v>
      </c>
      <c r="Z1" s="3">
        <v>49399</v>
      </c>
    </row>
    <row r="2" spans="2:26" x14ac:dyDescent="0.3">
      <c r="C2" s="6" t="s">
        <v>27</v>
      </c>
      <c r="D2" s="6" t="s">
        <v>28</v>
      </c>
      <c r="E2" s="6" t="s">
        <v>12</v>
      </c>
      <c r="F2" s="6" t="s">
        <v>11</v>
      </c>
      <c r="G2" s="6" t="s">
        <v>13</v>
      </c>
      <c r="H2" s="6" t="s">
        <v>29</v>
      </c>
      <c r="J2" s="1">
        <v>2019</v>
      </c>
      <c r="K2" s="1">
        <v>2020</v>
      </c>
      <c r="L2" s="1">
        <v>2021</v>
      </c>
      <c r="M2" s="1">
        <v>2022</v>
      </c>
      <c r="N2" s="1">
        <v>2023</v>
      </c>
      <c r="O2" s="1">
        <v>2024</v>
      </c>
      <c r="P2" s="1">
        <v>2025</v>
      </c>
      <c r="Q2" s="1">
        <v>2026</v>
      </c>
      <c r="R2" s="1">
        <v>2027</v>
      </c>
      <c r="S2" s="1">
        <v>2028</v>
      </c>
      <c r="T2" s="1">
        <v>2029</v>
      </c>
      <c r="U2" s="1">
        <v>2030</v>
      </c>
      <c r="V2" s="1">
        <v>2031</v>
      </c>
      <c r="W2" s="1">
        <v>2032</v>
      </c>
      <c r="X2" s="1">
        <v>2033</v>
      </c>
      <c r="Y2" s="1">
        <v>2034</v>
      </c>
      <c r="Z2" s="1">
        <v>2035</v>
      </c>
    </row>
    <row r="3" spans="2:26" s="2" customFormat="1" x14ac:dyDescent="0.3">
      <c r="B3" s="2" t="s">
        <v>14</v>
      </c>
      <c r="E3" s="10">
        <v>2408.9</v>
      </c>
      <c r="G3" s="10">
        <v>2538.6</v>
      </c>
    </row>
    <row r="4" spans="2:26" x14ac:dyDescent="0.3">
      <c r="B4" s="1" t="s">
        <v>15</v>
      </c>
      <c r="E4" s="5"/>
      <c r="G4" s="5"/>
    </row>
    <row r="5" spans="2:26" s="2" customFormat="1" x14ac:dyDescent="0.3">
      <c r="B5" s="2" t="s">
        <v>16</v>
      </c>
      <c r="E5" s="10"/>
      <c r="G5" s="10"/>
    </row>
    <row r="6" spans="2:26" x14ac:dyDescent="0.3">
      <c r="B6" s="1" t="s">
        <v>17</v>
      </c>
      <c r="E6" s="5">
        <f>E3-E7</f>
        <v>2225.1</v>
      </c>
      <c r="G6" s="5">
        <f>G3-G7</f>
        <v>2304.2999999999997</v>
      </c>
    </row>
    <row r="7" spans="2:26" s="2" customFormat="1" x14ac:dyDescent="0.3">
      <c r="B7" s="2" t="s">
        <v>18</v>
      </c>
      <c r="E7" s="10">
        <v>183.8</v>
      </c>
      <c r="G7" s="10">
        <v>234.3</v>
      </c>
    </row>
    <row r="8" spans="2:26" x14ac:dyDescent="0.3">
      <c r="B8" s="1" t="s">
        <v>19</v>
      </c>
      <c r="E8" s="5">
        <v>-5.0999999999999996</v>
      </c>
      <c r="G8" s="5">
        <v>-4.2</v>
      </c>
    </row>
    <row r="9" spans="2:26" x14ac:dyDescent="0.3">
      <c r="B9" s="1" t="s">
        <v>20</v>
      </c>
      <c r="E9" s="5">
        <v>-14.9</v>
      </c>
      <c r="G9" s="5">
        <v>-15.2</v>
      </c>
    </row>
    <row r="10" spans="2:26" x14ac:dyDescent="0.3">
      <c r="B10" s="1" t="s">
        <v>21</v>
      </c>
      <c r="E10" s="5">
        <v>31.8</v>
      </c>
      <c r="G10" s="5">
        <v>27.4</v>
      </c>
    </row>
    <row r="11" spans="2:26" s="2" customFormat="1" x14ac:dyDescent="0.3">
      <c r="B11" s="2" t="s">
        <v>22</v>
      </c>
      <c r="E11" s="10">
        <f>E7-E8-E9-E10</f>
        <v>172</v>
      </c>
      <c r="G11" s="10">
        <f>G7-G8-G9-G10</f>
        <v>226.29999999999998</v>
      </c>
    </row>
    <row r="12" spans="2:26" x14ac:dyDescent="0.3">
      <c r="B12" s="1" t="s">
        <v>23</v>
      </c>
      <c r="E12" s="5">
        <v>42</v>
      </c>
      <c r="G12" s="5">
        <v>57.8</v>
      </c>
    </row>
    <row r="13" spans="2:26" x14ac:dyDescent="0.3">
      <c r="B13" s="1" t="s">
        <v>24</v>
      </c>
      <c r="E13" s="5">
        <v>0.7</v>
      </c>
      <c r="G13" s="5">
        <v>-0.8</v>
      </c>
    </row>
    <row r="14" spans="2:26" s="2" customFormat="1" x14ac:dyDescent="0.3">
      <c r="B14" s="2" t="s">
        <v>25</v>
      </c>
      <c r="E14" s="10">
        <f>E11-E12-E13</f>
        <v>129.30000000000001</v>
      </c>
      <c r="G14" s="10">
        <f>G11-G12-G13</f>
        <v>169.3</v>
      </c>
    </row>
    <row r="15" spans="2:26" x14ac:dyDescent="0.3">
      <c r="B15" s="1" t="s">
        <v>2</v>
      </c>
      <c r="E15" s="5">
        <f>503</f>
        <v>503</v>
      </c>
      <c r="G15" s="5">
        <f>503</f>
        <v>503</v>
      </c>
    </row>
    <row r="16" spans="2:26" x14ac:dyDescent="0.3">
      <c r="B16" s="1" t="s">
        <v>26</v>
      </c>
      <c r="E16" s="9">
        <f>E14/E15</f>
        <v>0.25705765407554676</v>
      </c>
      <c r="G16" s="9">
        <f>G14/G15</f>
        <v>0.33658051689860835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2026-02-25T17:14:04Z</dcterms:created>
  <dcterms:modified xsi:type="dcterms:W3CDTF">2026-02-25T17:34:15Z</dcterms:modified>
</cp:coreProperties>
</file>