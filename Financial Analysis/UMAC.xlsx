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67C6ABCB-B9BE-4A5E-BCF1-550E046D9D83}" xr6:coauthVersionLast="47" xr6:coauthVersionMax="47" xr10:uidLastSave="{00000000-0000-0000-0000-000000000000}"/>
  <bookViews>
    <workbookView xWindow="-108" yWindow="-108" windowWidth="23256" windowHeight="12576" activeTab="1" xr2:uid="{1911E082-F3EB-4149-9E06-B163ACF315B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2" l="1"/>
  <c r="S9" i="2"/>
  <c r="S5" i="2"/>
  <c r="N3" i="2"/>
  <c r="M5" i="2"/>
  <c r="D6" i="1"/>
  <c r="AB21" i="2"/>
  <c r="AA21" i="2"/>
  <c r="Z21" i="2"/>
  <c r="Y21" i="2"/>
  <c r="X21" i="2"/>
  <c r="W21" i="2"/>
  <c r="V21" i="2"/>
  <c r="U21" i="2"/>
  <c r="T21" i="2"/>
  <c r="S21" i="2"/>
  <c r="R21" i="2"/>
  <c r="N21" i="2"/>
  <c r="M21" i="2"/>
  <c r="D4" i="1"/>
  <c r="L32" i="2"/>
  <c r="AA26" i="2" l="1"/>
  <c r="Z26" i="2"/>
  <c r="Y26" i="2"/>
  <c r="X26" i="2"/>
  <c r="W26" i="2"/>
  <c r="V26" i="2"/>
  <c r="U26" i="2"/>
  <c r="T26" i="2"/>
  <c r="AB26" i="2"/>
  <c r="M24" i="2"/>
  <c r="L24" i="2"/>
  <c r="K24" i="2"/>
  <c r="L5" i="2"/>
  <c r="J19" i="2"/>
  <c r="J16" i="2"/>
  <c r="J15" i="2"/>
  <c r="J14" i="2"/>
  <c r="J13" i="2"/>
  <c r="J10" i="2"/>
  <c r="J9" i="2"/>
  <c r="N28" i="2" s="1"/>
  <c r="J8" i="2"/>
  <c r="J11" i="2" s="1"/>
  <c r="J7" i="2"/>
  <c r="J6" i="2"/>
  <c r="J4" i="2"/>
  <c r="J3" i="2"/>
  <c r="Q10" i="2"/>
  <c r="K5" i="2"/>
  <c r="K21" i="2"/>
  <c r="D5" i="1"/>
  <c r="AF31" i="2"/>
  <c r="AB17" i="2"/>
  <c r="AA17" i="2"/>
  <c r="Z17" i="2"/>
  <c r="Y17" i="2"/>
  <c r="X17" i="2"/>
  <c r="W17" i="2"/>
  <c r="V17" i="2"/>
  <c r="U17" i="2"/>
  <c r="T17" i="2"/>
  <c r="S17" i="2"/>
  <c r="Q28" i="2"/>
  <c r="Q27" i="2"/>
  <c r="R19" i="2"/>
  <c r="R16" i="2"/>
  <c r="R15" i="2"/>
  <c r="R14" i="2"/>
  <c r="R13" i="2"/>
  <c r="R10" i="2"/>
  <c r="R9" i="2"/>
  <c r="T9" i="2" s="1"/>
  <c r="R7" i="2"/>
  <c r="S26" i="2" s="1"/>
  <c r="R6" i="2"/>
  <c r="N17" i="2"/>
  <c r="M17" i="2"/>
  <c r="L17" i="2"/>
  <c r="K17" i="2"/>
  <c r="M11" i="2"/>
  <c r="K11" i="2"/>
  <c r="M27" i="2"/>
  <c r="L11" i="2"/>
  <c r="K27" i="2"/>
  <c r="K28" i="2"/>
  <c r="M28" i="2"/>
  <c r="L28" i="2"/>
  <c r="L27" i="2"/>
  <c r="P19" i="2"/>
  <c r="P16" i="2"/>
  <c r="P15" i="2"/>
  <c r="P14" i="2"/>
  <c r="P13" i="2"/>
  <c r="P10" i="2"/>
  <c r="P9" i="2"/>
  <c r="P8" i="2"/>
  <c r="P7" i="2"/>
  <c r="P6" i="2"/>
  <c r="P4" i="2"/>
  <c r="P3" i="2"/>
  <c r="J27" i="2"/>
  <c r="I27" i="2"/>
  <c r="H27" i="2"/>
  <c r="G27" i="2"/>
  <c r="J5" i="2"/>
  <c r="J25" i="2" s="1"/>
  <c r="J17" i="2"/>
  <c r="H28" i="2"/>
  <c r="G28" i="2"/>
  <c r="I28" i="2"/>
  <c r="C17" i="2"/>
  <c r="C11" i="2"/>
  <c r="C5" i="2"/>
  <c r="G17" i="2"/>
  <c r="G11" i="2"/>
  <c r="G5" i="2"/>
  <c r="G25" i="2" s="1"/>
  <c r="D17" i="2"/>
  <c r="D11" i="2"/>
  <c r="D5" i="2"/>
  <c r="H17" i="2"/>
  <c r="H11" i="2"/>
  <c r="H5" i="2"/>
  <c r="H25" i="2" s="1"/>
  <c r="E17" i="2"/>
  <c r="E11" i="2"/>
  <c r="E5" i="2"/>
  <c r="I17" i="2"/>
  <c r="I11" i="2"/>
  <c r="I5" i="2"/>
  <c r="D8" i="1"/>
  <c r="AF28" i="2" s="1"/>
  <c r="F3" i="1"/>
  <c r="J28" i="2" l="1"/>
  <c r="R26" i="2"/>
  <c r="M12" i="2"/>
  <c r="M29" i="2" s="1"/>
  <c r="S28" i="2"/>
  <c r="R28" i="2"/>
  <c r="K25" i="2"/>
  <c r="K12" i="2"/>
  <c r="K29" i="2" s="1"/>
  <c r="D9" i="1"/>
  <c r="R17" i="2"/>
  <c r="R3" i="2"/>
  <c r="R24" i="2" s="1"/>
  <c r="P5" i="2"/>
  <c r="I12" i="2"/>
  <c r="P17" i="2"/>
  <c r="P11" i="2"/>
  <c r="I25" i="2"/>
  <c r="Q17" i="2"/>
  <c r="Q11" i="2"/>
  <c r="C12" i="2"/>
  <c r="C18" i="2" s="1"/>
  <c r="C20" i="2" s="1"/>
  <c r="C22" i="2" s="1"/>
  <c r="G12" i="2"/>
  <c r="D12" i="2"/>
  <c r="D18" i="2" s="1"/>
  <c r="D20" i="2" s="1"/>
  <c r="D22" i="2" s="1"/>
  <c r="H12" i="2"/>
  <c r="E12" i="2"/>
  <c r="E18" i="2" s="1"/>
  <c r="E20" i="2" s="1"/>
  <c r="E22" i="2" s="1"/>
  <c r="R35" i="2" l="1"/>
  <c r="R34" i="2"/>
  <c r="H18" i="2"/>
  <c r="H20" i="2" s="1"/>
  <c r="H22" i="2" s="1"/>
  <c r="H29" i="2"/>
  <c r="I18" i="2"/>
  <c r="I20" i="2" s="1"/>
  <c r="I22" i="2" s="1"/>
  <c r="I29" i="2"/>
  <c r="G18" i="2"/>
  <c r="G20" i="2" s="1"/>
  <c r="G22" i="2" s="1"/>
  <c r="G29" i="2"/>
  <c r="N5" i="2"/>
  <c r="N24" i="2"/>
  <c r="S3" i="2"/>
  <c r="M25" i="2"/>
  <c r="M18" i="2"/>
  <c r="M20" i="2" s="1"/>
  <c r="M22" i="2" s="1"/>
  <c r="U9" i="2"/>
  <c r="V9" i="2" s="1"/>
  <c r="V28" i="2" s="1"/>
  <c r="T28" i="2"/>
  <c r="N8" i="2"/>
  <c r="K18" i="2"/>
  <c r="K20" i="2" s="1"/>
  <c r="K22" i="2" s="1"/>
  <c r="P12" i="2"/>
  <c r="P18" i="2" s="1"/>
  <c r="P20" i="2" s="1"/>
  <c r="P22" i="2" s="1"/>
  <c r="U28" i="2" l="1"/>
  <c r="T3" i="2"/>
  <c r="S24" i="2"/>
  <c r="S8" i="2"/>
  <c r="S27" i="2" s="1"/>
  <c r="W9" i="2"/>
  <c r="X9" i="2" s="1"/>
  <c r="Y9" i="2" s="1"/>
  <c r="Z9" i="2" s="1"/>
  <c r="AA9" i="2" s="1"/>
  <c r="AB9" i="2" s="1"/>
  <c r="T8" i="2"/>
  <c r="T11" i="2" s="1"/>
  <c r="N4" i="2"/>
  <c r="N25" i="2"/>
  <c r="T5" i="2"/>
  <c r="T25" i="2" s="1"/>
  <c r="N11" i="2"/>
  <c r="N12" i="2" s="1"/>
  <c r="N27" i="2"/>
  <c r="R8" i="2"/>
  <c r="S4" i="2"/>
  <c r="S25" i="2"/>
  <c r="U3" i="2" l="1"/>
  <c r="U5" i="2" s="1"/>
  <c r="U25" i="2" s="1"/>
  <c r="T24" i="2"/>
  <c r="S11" i="2"/>
  <c r="S12" i="2" s="1"/>
  <c r="S29" i="2" s="1"/>
  <c r="T12" i="2"/>
  <c r="T29" i="2" s="1"/>
  <c r="W28" i="2"/>
  <c r="T27" i="2"/>
  <c r="T4" i="2"/>
  <c r="N29" i="2"/>
  <c r="N18" i="2"/>
  <c r="N20" i="2" s="1"/>
  <c r="N22" i="2" s="1"/>
  <c r="R11" i="2"/>
  <c r="R27" i="2"/>
  <c r="X28" i="2"/>
  <c r="V3" i="2" l="1"/>
  <c r="V5" i="2" s="1"/>
  <c r="V25" i="2" s="1"/>
  <c r="U24" i="2"/>
  <c r="U8" i="2"/>
  <c r="U27" i="2" s="1"/>
  <c r="U4" i="2"/>
  <c r="S18" i="2"/>
  <c r="S20" i="2" s="1"/>
  <c r="S22" i="2" s="1"/>
  <c r="T18" i="2"/>
  <c r="T20" i="2" s="1"/>
  <c r="T22" i="2" s="1"/>
  <c r="U11" i="2"/>
  <c r="U12" i="2" s="1"/>
  <c r="U18" i="2" s="1"/>
  <c r="U20" i="2" s="1"/>
  <c r="U22" i="2" s="1"/>
  <c r="V8" i="2"/>
  <c r="V27" i="2" s="1"/>
  <c r="Y28" i="2"/>
  <c r="W3" i="2" l="1"/>
  <c r="V24" i="2"/>
  <c r="V11" i="2"/>
  <c r="V4" i="2"/>
  <c r="V12" i="2"/>
  <c r="V29" i="2" s="1"/>
  <c r="U29" i="2"/>
  <c r="W5" i="2"/>
  <c r="W25" i="2" s="1"/>
  <c r="Z28" i="2"/>
  <c r="X3" i="2" l="1"/>
  <c r="W24" i="2"/>
  <c r="W8" i="2"/>
  <c r="W27" i="2" s="1"/>
  <c r="V18" i="2"/>
  <c r="V20" i="2" s="1"/>
  <c r="V22" i="2" s="1"/>
  <c r="W4" i="2"/>
  <c r="W11" i="2"/>
  <c r="W12" i="2" s="1"/>
  <c r="W29" i="2" s="1"/>
  <c r="X5" i="2"/>
  <c r="X25" i="2" s="1"/>
  <c r="AB28" i="2"/>
  <c r="AA28" i="2"/>
  <c r="Y3" i="2" l="1"/>
  <c r="X24" i="2"/>
  <c r="X8" i="2"/>
  <c r="X4" i="2"/>
  <c r="Y5" i="2"/>
  <c r="Y25" i="2" s="1"/>
  <c r="W18" i="2"/>
  <c r="W20" i="2" s="1"/>
  <c r="W22" i="2" s="1"/>
  <c r="X27" i="2" l="1"/>
  <c r="X11" i="2"/>
  <c r="X12" i="2" s="1"/>
  <c r="X18" i="2" s="1"/>
  <c r="X20" i="2" s="1"/>
  <c r="X22" i="2" s="1"/>
  <c r="Z3" i="2"/>
  <c r="Y24" i="2"/>
  <c r="Y8" i="2"/>
  <c r="Y4" i="2"/>
  <c r="Z5" i="2"/>
  <c r="Z4" i="2" s="1"/>
  <c r="X29" i="2" l="1"/>
  <c r="Y27" i="2"/>
  <c r="Y11" i="2"/>
  <c r="Y12" i="2" s="1"/>
  <c r="Y18" i="2" s="1"/>
  <c r="Y20" i="2" s="1"/>
  <c r="Y22" i="2" s="1"/>
  <c r="AA3" i="2"/>
  <c r="Z24" i="2"/>
  <c r="Z8" i="2"/>
  <c r="Z25" i="2"/>
  <c r="AA5" i="2"/>
  <c r="AA25" i="2" s="1"/>
  <c r="Y29" i="2" l="1"/>
  <c r="AB8" i="2"/>
  <c r="AB24" i="2"/>
  <c r="Z27" i="2"/>
  <c r="Z11" i="2"/>
  <c r="Z12" i="2" s="1"/>
  <c r="AA24" i="2"/>
  <c r="AA8" i="2"/>
  <c r="AA4" i="2"/>
  <c r="AB5" i="2"/>
  <c r="AB25" i="2" s="1"/>
  <c r="AB27" i="2"/>
  <c r="AB11" i="2"/>
  <c r="Z29" i="2" l="1"/>
  <c r="Z18" i="2"/>
  <c r="Z20" i="2" s="1"/>
  <c r="Z22" i="2" s="1"/>
  <c r="AA11" i="2"/>
  <c r="AA12" i="2" s="1"/>
  <c r="AA18" i="2" s="1"/>
  <c r="AA20" i="2" s="1"/>
  <c r="AA22" i="2" s="1"/>
  <c r="AA27" i="2"/>
  <c r="AB12" i="2"/>
  <c r="AB18" i="2" s="1"/>
  <c r="AB20" i="2" s="1"/>
  <c r="AB22" i="2" s="1"/>
  <c r="AB4" i="2"/>
  <c r="AA29" i="2" l="1"/>
  <c r="AB29" i="2"/>
  <c r="AC20" i="2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Q5" i="2" l="1"/>
  <c r="J12" i="2"/>
  <c r="J18" i="2" l="1"/>
  <c r="J20" i="2" s="1"/>
  <c r="J22" i="2" s="1"/>
  <c r="J29" i="2"/>
  <c r="Q12" i="2"/>
  <c r="Q25" i="2"/>
  <c r="Q18" i="2" l="1"/>
  <c r="Q20" i="2" s="1"/>
  <c r="Q22" i="2" s="1"/>
  <c r="Q29" i="2"/>
  <c r="L25" i="2" l="1"/>
  <c r="R4" i="2"/>
  <c r="R5" i="2" s="1"/>
  <c r="L12" i="2"/>
  <c r="L18" i="2" s="1"/>
  <c r="L20" i="2" s="1"/>
  <c r="L22" i="2" s="1"/>
  <c r="L29" i="2" l="1"/>
  <c r="R25" i="2"/>
  <c r="R12" i="2"/>
  <c r="R18" i="2" l="1"/>
  <c r="R20" i="2" s="1"/>
  <c r="R29" i="2"/>
  <c r="AF27" i="2" l="1"/>
  <c r="AF29" i="2" s="1"/>
  <c r="AF30" i="2" s="1"/>
  <c r="AF32" i="2" s="1"/>
  <c r="R22" i="2"/>
</calcChain>
</file>

<file path=xl/sharedStrings.xml><?xml version="1.0" encoding="utf-8"?>
<sst xmlns="http://schemas.openxmlformats.org/spreadsheetml/2006/main" count="65" uniqueCount="61">
  <si>
    <t>UMAC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</si>
  <si>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</si>
  <si>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</si>
  <si>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</si>
  <si>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</si>
  <si>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</si>
  <si>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</si>
  <si>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</si>
  <si>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</si>
  <si>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</si>
  <si>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</si>
  <si>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Q324</t>
  </si>
  <si>
    <t>Revenue</t>
  </si>
  <si>
    <t>Cost of sales</t>
  </si>
  <si>
    <t>Gross profit</t>
  </si>
  <si>
    <t>Operational expense</t>
  </si>
  <si>
    <t>R&amp;D</t>
  </si>
  <si>
    <t>S&amp;M</t>
  </si>
  <si>
    <t>G&amp;A</t>
  </si>
  <si>
    <t>D&amp;A</t>
  </si>
  <si>
    <t>Total operating expenses</t>
  </si>
  <si>
    <t>Operating profit</t>
  </si>
  <si>
    <t>Interest income</t>
  </si>
  <si>
    <t>Interest expense</t>
  </si>
  <si>
    <t>Finance expense</t>
  </si>
  <si>
    <t>Finance income</t>
  </si>
  <si>
    <t>Net finance expense</t>
  </si>
  <si>
    <t>Pretax profit</t>
  </si>
  <si>
    <t>Taxes</t>
  </si>
  <si>
    <t>Net profit</t>
  </si>
  <si>
    <t>EPS</t>
  </si>
  <si>
    <t>Q123</t>
  </si>
  <si>
    <t>Q223</t>
  </si>
  <si>
    <t>Q323</t>
  </si>
  <si>
    <t>Q423</t>
  </si>
  <si>
    <t>Q124</t>
  </si>
  <si>
    <t>Q224</t>
  </si>
  <si>
    <t>Q424</t>
  </si>
  <si>
    <t>Revenue y/y</t>
  </si>
  <si>
    <t>Gross Margin</t>
  </si>
  <si>
    <t>G&amp;A y/y</t>
  </si>
  <si>
    <t>R&amp;D y/y</t>
  </si>
  <si>
    <t>S&amp;M Margin</t>
  </si>
  <si>
    <t>Q125</t>
  </si>
  <si>
    <t>Q225</t>
  </si>
  <si>
    <t>Q325</t>
  </si>
  <si>
    <t>Q425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</si>
  <si>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</si>
  <si>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</si>
  <si>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</si>
  <si>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</si>
  <si>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</si>
  <si>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</si>
  <si>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</si>
  <si>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</si>
  <si>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</si>
  <si>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Operating Margin</t>
  </si>
  <si>
    <t>Heavily overvalued</t>
  </si>
  <si>
    <t>L+S/E</t>
  </si>
  <si>
    <t>EV/B</t>
  </si>
  <si>
    <t>B/EV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</si>
</sst>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3" fillId="2" borderId="1" xfId="0" applyNumberFormat="1" applyFont="1" applyFill="1" applyBorder="1"/>
    <xf numFmtId="14" fontId="4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3" fontId="2" fillId="2" borderId="1" xfId="0" applyNumberFormat="1" applyFont="1" applyFill="1" applyBorder="1"/>
    <xf numFmtId="2" fontId="3" fillId="2" borderId="1" xfId="0" applyNumberFormat="1" applyFont="1" applyFill="1" applyBorder="1"/>
    <xf numFmtId="4" fontId="3" fillId="2" borderId="1" xfId="0" applyNumberFormat="1" applyFont="1" applyFill="1" applyBorder="1"/>
    <xf numFmtId="9" fontId="3" fillId="2" borderId="1" xfId="0" applyNumberFormat="1" applyFont="1" applyFill="1" applyBorder="1"/>
    <xf numFmtId="0" fontId="5" fillId="2" borderId="1" xfId="0" applyFont="1" applyFill="1" applyBorder="1"/>
    <xf numFmtId="165" fontId="3" fillId="2" borderId="1" xfId="0" applyNumberFormat="1" applyFont="1" applyFill="1" applyBorder="1"/>
    <xf numFmtId="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</xdr:colOff>
      <xdr:row>0</xdr:row>
      <xdr:rowOff>0</xdr:rowOff>
    </xdr:from>
    <xdr:to>
      <xdr:col>17</xdr:col>
      <xdr:colOff>22860</xdr:colOff>
      <xdr:row>40</xdr:row>
      <xdr:rowOff>175260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792BB4B-B132-7D2E-ACE9-D8574EC65345}"/>
            </a:ext>
          </a:extLst>
        </xdr:cNvPr>
        <xdr:cNvCxnSpPr/>
      </xdr:nvCxnSpPr>
      <xdr:spPr>
        <a:xfrm>
          <a:off x="11262360" y="0"/>
          <a:ext cx="0" cy="7490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</xdr:colOff>
      <xdr:row>0</xdr:row>
      <xdr:rowOff>7620</xdr:rowOff>
    </xdr:from>
    <xdr:to>
      <xdr:col>13</xdr:col>
      <xdr:colOff>22860</xdr:colOff>
      <xdr:row>39</xdr:row>
      <xdr:rowOff>30480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939C60A-971D-DA90-1F9A-B916AC064999}"/>
            </a:ext>
          </a:extLst>
        </xdr:cNvPr>
        <xdr:cNvCxnSpPr/>
      </xdr:nvCxnSpPr>
      <xdr:spPr>
        <a:xfrm>
          <a:off x="8823960" y="7620"/>
          <a:ext cx="0" cy="7155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BE418-8661-4C51-AA5B-B10B048996D2}">
  <dimension ref="B2:G9"/>
  <sheetViews>
    <sheetView workbookViewId="0">
      <selection activeCell="F3" sqref="F3"/>
    </sheetView>
  </sheetViews>
  <sheetFormatPr defaultRowHeight="14.4" x14ac:dyDescent="0.3"/>
  <cols>
    <col min="1" max="4" width="8.88671875" style="1"/>
    <col min="5" max="7" width="13.5546875" style="2" customWidth="1"/>
    <col min="8" max="16384" width="8.88671875" style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3" t="s">
        <v>0</v>
      </c>
      <c r="C3" s="1" t="s">
        <v>1</v>
      </c>
      <c r="D3" s="4">
        <v>7.88</v>
      </c>
      <c r="E3" s="5">
        <v>45983</v>
      </c>
      <c r="F3" s="5">
        <f ca="1">TODAY()</f>
        <v>45983</v>
      </c>
      <c r="G3" s="5">
        <v>46107</v>
      </c>
    </row>
    <row r="4" spans="2:7" x14ac:dyDescent="0.3">
      <c r="C4" s="1" t="s">
        <v>2</v>
      </c>
      <c r="D4" s="6">
        <f>36.9</f>
        <v>36.9</v>
      </c>
      <c r="E4" s="2" t="s">
        <v>45</v>
      </c>
    </row>
    <row r="5" spans="2:7" x14ac:dyDescent="0.3">
      <c r="C5" s="1" t="s">
        <v>3</v>
      </c>
      <c r="D5" s="6">
        <f>D3*D4</f>
        <v>290.77199999999999</v>
      </c>
    </row>
    <row r="6" spans="2:7" x14ac:dyDescent="0.3">
      <c r="C6" s="1" t="s">
        <v>4</v>
      </c>
      <c r="D6" s="6">
        <f>64.3+16.8</f>
        <v>81.099999999999994</v>
      </c>
      <c r="E6" s="2" t="s">
        <v>45</v>
      </c>
    </row>
    <row r="7" spans="2:7" x14ac:dyDescent="0.3">
      <c r="C7" s="1" t="s">
        <v>5</v>
      </c>
      <c r="D7" s="6">
        <v>0</v>
      </c>
      <c r="E7" s="2" t="s">
        <v>45</v>
      </c>
    </row>
    <row r="8" spans="2:7" x14ac:dyDescent="0.3">
      <c r="C8" s="1" t="s">
        <v>6</v>
      </c>
      <c r="D8" s="6">
        <f>D6-D7</f>
        <v>81.099999999999994</v>
      </c>
    </row>
    <row r="9" spans="2:7" x14ac:dyDescent="0.3">
      <c r="C9" s="1" t="s">
        <v>7</v>
      </c>
      <c r="D9" s="6">
        <f>D5-D8</f>
        <v>209.672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B56C-692C-4EF6-A389-CF69118537CB}">
  <dimension ref="B2:EK35"/>
  <sheetViews>
    <sheetView tabSelected="1" workbookViewId="0">
      <pane xSplit="2" ySplit="2" topLeftCell="P7" activePane="bottomRight" state="frozen"/>
      <selection pane="topRight" activeCell="C1" sqref="C1"/>
      <selection pane="bottomLeft" activeCell="A3" sqref="A3"/>
      <selection pane="bottomRight" activeCell="AF33" sqref="AF33"/>
    </sheetView>
  </sheetViews>
  <sheetFormatPr defaultRowHeight="14.4" x14ac:dyDescent="0.3"/>
  <cols>
    <col min="1" max="1" width="8.88671875" style="1"/>
    <col min="2" max="2" width="21.6640625" style="1" bestFit="1" customWidth="1"/>
    <col min="3" max="30" width="8.88671875" style="1"/>
    <col min="31" max="31" width="11.88671875" style="1" bestFit="1" customWidth="1"/>
    <col min="32" max="32" width="17.44140625" style="1" customWidth="1"/>
    <col min="33" max="16384" width="8.88671875" style="1"/>
  </cols>
  <sheetData>
    <row r="2" spans="2:28" x14ac:dyDescent="0.3"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11</v>
      </c>
      <c r="J2" s="7" t="s">
        <v>37</v>
      </c>
      <c r="K2" s="7" t="s">
        <v>43</v>
      </c>
      <c r="L2" s="7" t="s">
        <v>44</v>
      </c>
      <c r="M2" s="7" t="s">
        <v>45</v>
      </c>
      <c r="N2" s="7" t="s">
        <v>46</v>
      </c>
      <c r="P2" s="1">
        <v>2023</v>
      </c>
      <c r="Q2" s="1">
        <v>2024</v>
      </c>
      <c r="R2" s="1">
        <v>2025</v>
      </c>
      <c r="S2" s="1">
        <v>2026</v>
      </c>
      <c r="T2" s="1">
        <v>2027</v>
      </c>
      <c r="U2" s="1">
        <v>2028</v>
      </c>
      <c r="V2" s="1">
        <v>2029</v>
      </c>
      <c r="W2" s="1">
        <v>2030</v>
      </c>
      <c r="X2" s="1">
        <v>2031</v>
      </c>
      <c r="Y2" s="1">
        <v>2032</v>
      </c>
      <c r="Z2" s="1">
        <v>2033</v>
      </c>
      <c r="AA2" s="1">
        <v>2034</v>
      </c>
      <c r="AB2" s="1">
        <v>2035</v>
      </c>
    </row>
    <row r="3" spans="2:28" s="3" customFormat="1" x14ac:dyDescent="0.3">
      <c r="B3" s="3" t="s">
        <v>12</v>
      </c>
      <c r="C3" s="8">
        <v>0</v>
      </c>
      <c r="D3" s="8">
        <v>0</v>
      </c>
      <c r="E3" s="8">
        <v>0</v>
      </c>
      <c r="G3" s="8">
        <v>0.6</v>
      </c>
      <c r="H3" s="8">
        <v>1.4</v>
      </c>
      <c r="I3" s="8">
        <v>1.5</v>
      </c>
      <c r="J3" s="8">
        <f>Q3-I3-H3-G3</f>
        <v>2.0999999999999996</v>
      </c>
      <c r="K3" s="8">
        <v>2</v>
      </c>
      <c r="L3" s="8">
        <v>2.1</v>
      </c>
      <c r="M3" s="8">
        <v>2.1</v>
      </c>
      <c r="N3" s="8">
        <f>J3*1.3</f>
        <v>2.7299999999999995</v>
      </c>
      <c r="P3" s="8">
        <f>SUM(C3:F3)</f>
        <v>0</v>
      </c>
      <c r="Q3" s="8">
        <v>5.6</v>
      </c>
      <c r="R3" s="8">
        <f>SUM(K3:N3)</f>
        <v>8.93</v>
      </c>
      <c r="S3" s="8">
        <f>R3*2</f>
        <v>17.86</v>
      </c>
      <c r="T3" s="8">
        <f>S3*1.9</f>
        <v>33.933999999999997</v>
      </c>
      <c r="U3" s="8">
        <f>T3*1.8</f>
        <v>61.081199999999995</v>
      </c>
      <c r="V3" s="8">
        <f>U3*1.7</f>
        <v>103.83803999999999</v>
      </c>
      <c r="W3" s="8">
        <f>V3*1.6</f>
        <v>166.14086399999999</v>
      </c>
      <c r="X3" s="8">
        <f>W3*1.5</f>
        <v>249.211296</v>
      </c>
      <c r="Y3" s="8">
        <f>X3*1.4</f>
        <v>348.89581440000001</v>
      </c>
      <c r="Z3" s="8">
        <f>Y3*1.3</f>
        <v>453.56455872000004</v>
      </c>
      <c r="AA3" s="8">
        <f>Z3*1.2</f>
        <v>544.27747046399998</v>
      </c>
      <c r="AB3" s="8">
        <f>AA3*1.15</f>
        <v>625.9190910335999</v>
      </c>
    </row>
    <row r="4" spans="2:28" x14ac:dyDescent="0.3">
      <c r="B4" s="1" t="s">
        <v>13</v>
      </c>
      <c r="C4" s="6">
        <v>0</v>
      </c>
      <c r="D4" s="6">
        <v>0</v>
      </c>
      <c r="E4" s="6">
        <v>0</v>
      </c>
      <c r="G4" s="6">
        <v>0.4</v>
      </c>
      <c r="H4" s="6">
        <v>1</v>
      </c>
      <c r="I4" s="6">
        <v>1.1000000000000001</v>
      </c>
      <c r="J4" s="6">
        <f>Q4-I4-H4-G4</f>
        <v>1.5</v>
      </c>
      <c r="K4" s="6">
        <v>1.5</v>
      </c>
      <c r="L4" s="6">
        <v>1.3</v>
      </c>
      <c r="M4" s="6">
        <v>1.3</v>
      </c>
      <c r="N4" s="6">
        <f t="shared" ref="N4" si="0">N3-N5</f>
        <v>1.9109999999999996</v>
      </c>
      <c r="P4" s="6">
        <f>SUM(C4:F4)</f>
        <v>0</v>
      </c>
      <c r="Q4" s="6">
        <v>4</v>
      </c>
      <c r="R4" s="6">
        <f>SUM(K4:N4)</f>
        <v>6.0109999999999992</v>
      </c>
      <c r="S4" s="6">
        <f>S3-S5</f>
        <v>12.501999999999999</v>
      </c>
      <c r="T4" s="6">
        <f t="shared" ref="T4:AB4" si="1">T3-T5</f>
        <v>23.753799999999998</v>
      </c>
      <c r="U4" s="6">
        <f t="shared" si="1"/>
        <v>42.756839999999997</v>
      </c>
      <c r="V4" s="6">
        <f t="shared" si="1"/>
        <v>72.686627999999999</v>
      </c>
      <c r="W4" s="6">
        <f t="shared" si="1"/>
        <v>116.29860479999999</v>
      </c>
      <c r="X4" s="6">
        <f t="shared" si="1"/>
        <v>174.4479072</v>
      </c>
      <c r="Y4" s="6">
        <f t="shared" si="1"/>
        <v>244.22707008</v>
      </c>
      <c r="Z4" s="6">
        <f t="shared" si="1"/>
        <v>317.49519110400001</v>
      </c>
      <c r="AA4" s="6">
        <f t="shared" si="1"/>
        <v>380.99422932480002</v>
      </c>
      <c r="AB4" s="6">
        <f t="shared" si="1"/>
        <v>438.14336372351994</v>
      </c>
    </row>
    <row r="5" spans="2:28" s="3" customFormat="1" x14ac:dyDescent="0.3">
      <c r="B5" s="3" t="s">
        <v>14</v>
      </c>
      <c r="C5" s="8">
        <f>C3-C4</f>
        <v>0</v>
      </c>
      <c r="D5" s="8">
        <f>D3-D4</f>
        <v>0</v>
      </c>
      <c r="E5" s="8">
        <f>E3-E4</f>
        <v>0</v>
      </c>
      <c r="G5" s="8">
        <f>G3-G4</f>
        <v>0.19999999999999996</v>
      </c>
      <c r="H5" s="8">
        <f>H3-H4</f>
        <v>0.39999999999999991</v>
      </c>
      <c r="I5" s="8">
        <f>I3-I4</f>
        <v>0.39999999999999991</v>
      </c>
      <c r="J5" s="8">
        <f>J3*0.25</f>
        <v>0.52499999999999991</v>
      </c>
      <c r="K5" s="8">
        <f>K3-K4</f>
        <v>0.5</v>
      </c>
      <c r="L5" s="8">
        <f>L3-L4</f>
        <v>0.8</v>
      </c>
      <c r="M5" s="8">
        <f>M3-M4</f>
        <v>0.8</v>
      </c>
      <c r="N5" s="8">
        <f>N3*0.3</f>
        <v>0.81899999999999984</v>
      </c>
      <c r="P5" s="8">
        <f>P3-P4</f>
        <v>0</v>
      </c>
      <c r="Q5" s="8">
        <f>Q3-Q4</f>
        <v>1.5999999999999996</v>
      </c>
      <c r="R5" s="8">
        <f>R3-R4</f>
        <v>2.9190000000000005</v>
      </c>
      <c r="S5" s="8">
        <f>S3*0.3</f>
        <v>5.3579999999999997</v>
      </c>
      <c r="T5" s="8">
        <f t="shared" ref="T5:AB5" si="2">T3*0.3</f>
        <v>10.180199999999999</v>
      </c>
      <c r="U5" s="8">
        <f t="shared" si="2"/>
        <v>18.324359999999999</v>
      </c>
      <c r="V5" s="8">
        <f t="shared" si="2"/>
        <v>31.151411999999997</v>
      </c>
      <c r="W5" s="8">
        <f t="shared" si="2"/>
        <v>49.842259199999994</v>
      </c>
      <c r="X5" s="8">
        <f t="shared" si="2"/>
        <v>74.763388800000001</v>
      </c>
      <c r="Y5" s="8">
        <f t="shared" si="2"/>
        <v>104.66874432</v>
      </c>
      <c r="Z5" s="8">
        <f t="shared" si="2"/>
        <v>136.06936761599999</v>
      </c>
      <c r="AA5" s="8">
        <f t="shared" si="2"/>
        <v>163.28324113919999</v>
      </c>
      <c r="AB5" s="8">
        <f t="shared" si="2"/>
        <v>187.77572731007996</v>
      </c>
    </row>
    <row r="6" spans="2:28" x14ac:dyDescent="0.3">
      <c r="B6" s="1" t="s">
        <v>15</v>
      </c>
      <c r="C6" s="6">
        <v>0</v>
      </c>
      <c r="D6" s="6">
        <v>0</v>
      </c>
      <c r="E6" s="6">
        <v>0</v>
      </c>
      <c r="G6" s="6">
        <v>0.1</v>
      </c>
      <c r="H6" s="6">
        <v>0.2</v>
      </c>
      <c r="I6" s="6">
        <v>0.2</v>
      </c>
      <c r="J6" s="6">
        <f t="shared" ref="J6:J10" si="3">Q6-I6-H6-G6</f>
        <v>0.50000000000000011</v>
      </c>
      <c r="K6" s="6">
        <v>0.3</v>
      </c>
      <c r="L6" s="6">
        <v>0.4</v>
      </c>
      <c r="M6" s="6">
        <v>0.6</v>
      </c>
      <c r="N6" s="6">
        <v>0</v>
      </c>
      <c r="P6" s="6">
        <f>SUM(C6:F6)</f>
        <v>0</v>
      </c>
      <c r="Q6" s="6">
        <v>1</v>
      </c>
      <c r="R6" s="6">
        <f>SUM(K6:N6)</f>
        <v>1.2999999999999998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</row>
    <row r="7" spans="2:28" x14ac:dyDescent="0.3">
      <c r="B7" s="1" t="s">
        <v>16</v>
      </c>
      <c r="C7" s="6">
        <v>0</v>
      </c>
      <c r="D7" s="6">
        <v>0</v>
      </c>
      <c r="E7" s="6">
        <v>0</v>
      </c>
      <c r="G7" s="6">
        <v>0</v>
      </c>
      <c r="H7" s="6">
        <v>0</v>
      </c>
      <c r="I7" s="6">
        <v>0</v>
      </c>
      <c r="J7" s="6">
        <f t="shared" si="3"/>
        <v>0.1</v>
      </c>
      <c r="K7" s="6">
        <v>0</v>
      </c>
      <c r="L7" s="6">
        <v>0.1</v>
      </c>
      <c r="M7" s="6">
        <v>0</v>
      </c>
      <c r="N7" s="6">
        <v>0</v>
      </c>
      <c r="P7" s="6">
        <f>SUM(C7:F7)</f>
        <v>0</v>
      </c>
      <c r="Q7" s="6">
        <v>0.1</v>
      </c>
      <c r="R7" s="6">
        <f>SUM(K7:N7)</f>
        <v>0.1</v>
      </c>
      <c r="S7" s="6">
        <v>2</v>
      </c>
      <c r="T7" s="6">
        <v>5</v>
      </c>
      <c r="U7" s="6">
        <v>9</v>
      </c>
      <c r="V7" s="6">
        <v>13</v>
      </c>
      <c r="W7" s="6">
        <v>15</v>
      </c>
      <c r="X7" s="6">
        <v>17</v>
      </c>
      <c r="Y7" s="6">
        <v>19</v>
      </c>
      <c r="Z7" s="6">
        <v>20</v>
      </c>
      <c r="AA7" s="6">
        <v>21</v>
      </c>
      <c r="AB7" s="6">
        <v>22</v>
      </c>
    </row>
    <row r="8" spans="2:28" x14ac:dyDescent="0.3">
      <c r="B8" s="1" t="s">
        <v>17</v>
      </c>
      <c r="C8" s="6">
        <v>0</v>
      </c>
      <c r="D8" s="6">
        <v>0</v>
      </c>
      <c r="E8" s="6">
        <v>0</v>
      </c>
      <c r="G8" s="6">
        <v>0.2</v>
      </c>
      <c r="H8" s="6">
        <v>0.4</v>
      </c>
      <c r="I8" s="6">
        <v>0.3</v>
      </c>
      <c r="J8" s="6">
        <f t="shared" si="3"/>
        <v>0.2</v>
      </c>
      <c r="K8" s="6">
        <v>0.2</v>
      </c>
      <c r="L8" s="6">
        <v>0.3</v>
      </c>
      <c r="M8" s="6">
        <v>0.4</v>
      </c>
      <c r="N8" s="6">
        <f t="shared" ref="N8" si="4">N3*0.3</f>
        <v>0.81899999999999984</v>
      </c>
      <c r="P8" s="6">
        <f>SUM(C8:F8)</f>
        <v>0</v>
      </c>
      <c r="Q8" s="6">
        <v>1.1000000000000001</v>
      </c>
      <c r="R8" s="6">
        <f>SUM(K8:N8)</f>
        <v>1.7189999999999999</v>
      </c>
      <c r="S8" s="6">
        <f>S3*0.25</f>
        <v>4.4649999999999999</v>
      </c>
      <c r="T8" s="6">
        <f>T3*0.23</f>
        <v>7.8048199999999994</v>
      </c>
      <c r="U8" s="6">
        <f>U3*0.21</f>
        <v>12.827051999999998</v>
      </c>
      <c r="V8" s="6">
        <f>V3*0.19</f>
        <v>19.729227599999998</v>
      </c>
      <c r="W8" s="6">
        <f>W3*0.18</f>
        <v>29.905355519999997</v>
      </c>
      <c r="X8" s="6">
        <f>X3*0.17</f>
        <v>42.365920320000001</v>
      </c>
      <c r="Y8" s="6">
        <f>Y3*0.16</f>
        <v>55.823330304000002</v>
      </c>
      <c r="Z8" s="6">
        <f>Z3*0.16</f>
        <v>72.570329395200005</v>
      </c>
      <c r="AA8" s="6">
        <f>AA3*0.15</f>
        <v>81.641620569599993</v>
      </c>
      <c r="AB8" s="6">
        <f>AB3*0.14</f>
        <v>87.628672744703991</v>
      </c>
    </row>
    <row r="9" spans="2:28" x14ac:dyDescent="0.3">
      <c r="B9" s="1" t="s">
        <v>18</v>
      </c>
      <c r="C9" s="6">
        <v>0.6</v>
      </c>
      <c r="D9" s="6">
        <v>0.4</v>
      </c>
      <c r="E9" s="6">
        <v>0.4</v>
      </c>
      <c r="G9" s="6">
        <v>1</v>
      </c>
      <c r="H9" s="6">
        <v>1.3</v>
      </c>
      <c r="I9" s="6">
        <v>1.4</v>
      </c>
      <c r="J9" s="6">
        <f t="shared" si="3"/>
        <v>2.6000000000000005</v>
      </c>
      <c r="K9" s="6">
        <v>3.2</v>
      </c>
      <c r="L9" s="6">
        <v>7.2</v>
      </c>
      <c r="M9" s="6">
        <v>4.7</v>
      </c>
      <c r="N9" s="6">
        <v>7</v>
      </c>
      <c r="P9" s="6">
        <f>SUM(C9:F9)</f>
        <v>1.4</v>
      </c>
      <c r="Q9" s="6">
        <v>6.3</v>
      </c>
      <c r="R9" s="6">
        <f>SUM(K9:N9)</f>
        <v>22.1</v>
      </c>
      <c r="S9" s="6">
        <f>R9*1.05</f>
        <v>23.205000000000002</v>
      </c>
      <c r="T9" s="6">
        <f>S9*1.2</f>
        <v>27.846</v>
      </c>
      <c r="U9" s="6">
        <f>T9*0.8</f>
        <v>22.276800000000001</v>
      </c>
      <c r="V9" s="6">
        <f>U9*0.8</f>
        <v>17.821440000000003</v>
      </c>
      <c r="W9" s="6">
        <f>V9*1.1</f>
        <v>19.603584000000005</v>
      </c>
      <c r="X9" s="6">
        <f t="shared" ref="X9:Y9" si="5">W9*1.1</f>
        <v>21.563942400000006</v>
      </c>
      <c r="Y9" s="6">
        <f t="shared" si="5"/>
        <v>23.720336640000006</v>
      </c>
      <c r="Z9" s="6">
        <f>Y9*1.05</f>
        <v>24.906353472000006</v>
      </c>
      <c r="AA9" s="6">
        <f t="shared" ref="AA9:AB9" si="6">Z9*1.05</f>
        <v>26.151671145600009</v>
      </c>
      <c r="AB9" s="6">
        <f t="shared" si="6"/>
        <v>27.45925470288001</v>
      </c>
    </row>
    <row r="10" spans="2:28" x14ac:dyDescent="0.3">
      <c r="B10" s="1" t="s">
        <v>19</v>
      </c>
      <c r="C10" s="6">
        <v>0</v>
      </c>
      <c r="D10" s="6">
        <v>0</v>
      </c>
      <c r="E10" s="6">
        <v>0</v>
      </c>
      <c r="G10" s="6">
        <v>0</v>
      </c>
      <c r="H10" s="6">
        <v>0</v>
      </c>
      <c r="I10" s="6">
        <v>0</v>
      </c>
      <c r="J10" s="6">
        <f t="shared" si="3"/>
        <v>10.199999999999999</v>
      </c>
      <c r="K10" s="6">
        <v>0</v>
      </c>
      <c r="L10" s="6">
        <v>0</v>
      </c>
      <c r="M10" s="6">
        <v>0</v>
      </c>
      <c r="N10" s="6">
        <v>0</v>
      </c>
      <c r="P10" s="6">
        <f>SUM(C10:F10)</f>
        <v>0</v>
      </c>
      <c r="Q10" s="6">
        <f>10.1+0.1</f>
        <v>10.199999999999999</v>
      </c>
      <c r="R10" s="6">
        <f>SUM(K10:N10)</f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2:28" x14ac:dyDescent="0.3">
      <c r="B11" s="1" t="s">
        <v>20</v>
      </c>
      <c r="C11" s="6">
        <f>SUM(C6:C10)</f>
        <v>0.6</v>
      </c>
      <c r="D11" s="6">
        <f>SUM(D6:D10)</f>
        <v>0.4</v>
      </c>
      <c r="E11" s="6">
        <f>SUM(E6:E10)</f>
        <v>0.4</v>
      </c>
      <c r="G11" s="6">
        <f>SUM(G6:G10)</f>
        <v>1.3</v>
      </c>
      <c r="H11" s="6">
        <f>SUM(H6:H10)</f>
        <v>1.9000000000000001</v>
      </c>
      <c r="I11" s="6">
        <f>SUM(I6:I10)</f>
        <v>1.9</v>
      </c>
      <c r="J11" s="6">
        <f>SUM(J6:J10)</f>
        <v>13.6</v>
      </c>
      <c r="K11" s="6">
        <f t="shared" ref="K11:N11" si="7">SUM(K6:K10)</f>
        <v>3.7</v>
      </c>
      <c r="L11" s="6">
        <f t="shared" si="7"/>
        <v>8</v>
      </c>
      <c r="M11" s="6">
        <f t="shared" si="7"/>
        <v>5.7</v>
      </c>
      <c r="N11" s="6">
        <f t="shared" si="7"/>
        <v>7.819</v>
      </c>
      <c r="P11" s="6">
        <f>SUM(P6:P10)</f>
        <v>1.4</v>
      </c>
      <c r="Q11" s="6">
        <f>SUM(Q6:Q10)</f>
        <v>18.7</v>
      </c>
      <c r="R11" s="6">
        <f>SUM(R6:R10)</f>
        <v>25.219000000000001</v>
      </c>
      <c r="S11" s="6">
        <f>SUM(S6:S10)</f>
        <v>29.67</v>
      </c>
      <c r="T11" s="6">
        <f t="shared" ref="T11:AB11" si="8">SUM(T6:T10)</f>
        <v>40.650819999999996</v>
      </c>
      <c r="U11" s="6">
        <f t="shared" si="8"/>
        <v>44.103852000000003</v>
      </c>
      <c r="V11" s="6">
        <f t="shared" si="8"/>
        <v>50.550667600000004</v>
      </c>
      <c r="W11" s="6">
        <f t="shared" si="8"/>
        <v>64.508939520000013</v>
      </c>
      <c r="X11" s="6">
        <f t="shared" si="8"/>
        <v>80.929862720000003</v>
      </c>
      <c r="Y11" s="6">
        <f t="shared" si="8"/>
        <v>98.543666943999995</v>
      </c>
      <c r="Z11" s="6">
        <f t="shared" si="8"/>
        <v>117.47668286720001</v>
      </c>
      <c r="AA11" s="6">
        <f t="shared" si="8"/>
        <v>128.79329171520001</v>
      </c>
      <c r="AB11" s="6">
        <f t="shared" si="8"/>
        <v>137.08792744758401</v>
      </c>
    </row>
    <row r="12" spans="2:28" s="3" customFormat="1" x14ac:dyDescent="0.3">
      <c r="B12" s="3" t="s">
        <v>21</v>
      </c>
      <c r="C12" s="8">
        <f>C5-C11</f>
        <v>-0.6</v>
      </c>
      <c r="D12" s="8">
        <f>D5-D11</f>
        <v>-0.4</v>
      </c>
      <c r="E12" s="8">
        <f>E5-E11</f>
        <v>-0.4</v>
      </c>
      <c r="G12" s="8">
        <f>G5-G11</f>
        <v>-1.1000000000000001</v>
      </c>
      <c r="H12" s="8">
        <f>H5-H11</f>
        <v>-1.5000000000000002</v>
      </c>
      <c r="I12" s="8">
        <f>I5-I11</f>
        <v>-1.5</v>
      </c>
      <c r="J12" s="8">
        <f>J5-J11</f>
        <v>-13.074999999999999</v>
      </c>
      <c r="K12" s="8">
        <f t="shared" ref="K12:N12" si="9">K5-K11</f>
        <v>-3.2</v>
      </c>
      <c r="L12" s="8">
        <f t="shared" si="9"/>
        <v>-7.2</v>
      </c>
      <c r="M12" s="8">
        <f t="shared" si="9"/>
        <v>-4.9000000000000004</v>
      </c>
      <c r="N12" s="8">
        <f t="shared" si="9"/>
        <v>-7</v>
      </c>
      <c r="P12" s="8">
        <f>P5-P11</f>
        <v>-1.4</v>
      </c>
      <c r="Q12" s="8">
        <f>Q5-Q11</f>
        <v>-17.100000000000001</v>
      </c>
      <c r="R12" s="8">
        <f>R5-R11</f>
        <v>-22.3</v>
      </c>
      <c r="S12" s="8">
        <f>S5-S11</f>
        <v>-24.312000000000001</v>
      </c>
      <c r="T12" s="8">
        <f t="shared" ref="T12:AB12" si="10">T5-T11</f>
        <v>-30.470619999999997</v>
      </c>
      <c r="U12" s="8">
        <f t="shared" si="10"/>
        <v>-25.779492000000005</v>
      </c>
      <c r="V12" s="8">
        <f t="shared" si="10"/>
        <v>-19.399255600000007</v>
      </c>
      <c r="W12" s="8">
        <f t="shared" si="10"/>
        <v>-14.666680320000019</v>
      </c>
      <c r="X12" s="8">
        <f t="shared" si="10"/>
        <v>-6.1664739200000014</v>
      </c>
      <c r="Y12" s="8">
        <f t="shared" si="10"/>
        <v>6.1250773760000072</v>
      </c>
      <c r="Z12" s="8">
        <f t="shared" si="10"/>
        <v>18.592684748799982</v>
      </c>
      <c r="AA12" s="8">
        <f t="shared" si="10"/>
        <v>34.489949423999974</v>
      </c>
      <c r="AB12" s="8">
        <f t="shared" si="10"/>
        <v>50.68779986249595</v>
      </c>
    </row>
    <row r="13" spans="2:28" x14ac:dyDescent="0.3">
      <c r="B13" s="1" t="s">
        <v>22</v>
      </c>
      <c r="C13" s="6">
        <v>0</v>
      </c>
      <c r="D13" s="6">
        <v>0</v>
      </c>
      <c r="E13" s="6">
        <v>0</v>
      </c>
      <c r="G13" s="6">
        <v>0</v>
      </c>
      <c r="H13" s="6">
        <v>0</v>
      </c>
      <c r="I13" s="6">
        <v>0</v>
      </c>
      <c r="J13" s="6">
        <f t="shared" ref="J13:J16" si="11">Q13-I13-H13-G13</f>
        <v>0</v>
      </c>
      <c r="K13" s="6">
        <v>0</v>
      </c>
      <c r="L13" s="6">
        <v>-0.2</v>
      </c>
      <c r="M13" s="6">
        <v>-0.7</v>
      </c>
      <c r="N13" s="6">
        <v>0</v>
      </c>
      <c r="P13" s="6">
        <f>SUM(C13:F13)</f>
        <v>0</v>
      </c>
      <c r="Q13" s="6">
        <v>0</v>
      </c>
      <c r="R13" s="6">
        <f>SUM(K13:N13)</f>
        <v>-0.89999999999999991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2:28" x14ac:dyDescent="0.3">
      <c r="B14" s="1" t="s">
        <v>23</v>
      </c>
      <c r="C14" s="6">
        <v>0</v>
      </c>
      <c r="D14" s="6">
        <v>0</v>
      </c>
      <c r="E14" s="6">
        <v>0</v>
      </c>
      <c r="G14" s="6">
        <v>0</v>
      </c>
      <c r="H14" s="6">
        <v>0</v>
      </c>
      <c r="I14" s="6">
        <v>0</v>
      </c>
      <c r="J14" s="6">
        <f t="shared" si="11"/>
        <v>0.1</v>
      </c>
      <c r="K14" s="6">
        <v>0</v>
      </c>
      <c r="L14" s="6">
        <v>0</v>
      </c>
      <c r="M14" s="6">
        <v>-5.8</v>
      </c>
      <c r="N14" s="6">
        <v>0</v>
      </c>
      <c r="P14" s="6">
        <f>SUM(C14:F14)</f>
        <v>0</v>
      </c>
      <c r="Q14" s="6">
        <v>0.1</v>
      </c>
      <c r="R14" s="6">
        <f>SUM(K14:N14)</f>
        <v>-5.8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2:28" x14ac:dyDescent="0.3">
      <c r="B15" s="1" t="s">
        <v>24</v>
      </c>
      <c r="C15" s="6">
        <v>0</v>
      </c>
      <c r="D15" s="6">
        <v>0</v>
      </c>
      <c r="E15" s="6">
        <v>0</v>
      </c>
      <c r="G15" s="6">
        <v>0</v>
      </c>
      <c r="H15" s="6">
        <v>0</v>
      </c>
      <c r="I15" s="6">
        <v>0.7</v>
      </c>
      <c r="J15" s="6">
        <f t="shared" si="11"/>
        <v>15.400000000000002</v>
      </c>
      <c r="K15" s="6">
        <v>0</v>
      </c>
      <c r="L15" s="6">
        <v>0</v>
      </c>
      <c r="M15" s="6">
        <v>0</v>
      </c>
      <c r="N15" s="6">
        <v>0</v>
      </c>
      <c r="P15" s="6">
        <f>SUM(C15:F15)</f>
        <v>0</v>
      </c>
      <c r="Q15" s="6">
        <v>16.100000000000001</v>
      </c>
      <c r="R15" s="6">
        <f>SUM(K15:N15)</f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2:28" x14ac:dyDescent="0.3">
      <c r="B16" s="1" t="s">
        <v>25</v>
      </c>
      <c r="C16" s="6">
        <v>0</v>
      </c>
      <c r="D16" s="6">
        <v>0</v>
      </c>
      <c r="E16" s="6">
        <v>0</v>
      </c>
      <c r="G16" s="6">
        <v>0</v>
      </c>
      <c r="H16" s="6">
        <v>0</v>
      </c>
      <c r="I16" s="6">
        <v>0</v>
      </c>
      <c r="J16" s="6">
        <f t="shared" si="11"/>
        <v>-1.3</v>
      </c>
      <c r="K16" s="6">
        <v>0</v>
      </c>
      <c r="L16" s="6">
        <v>0</v>
      </c>
      <c r="M16" s="6">
        <v>0</v>
      </c>
      <c r="N16" s="6">
        <v>0</v>
      </c>
      <c r="P16" s="6">
        <f>SUM(C16:F16)</f>
        <v>0</v>
      </c>
      <c r="Q16" s="6">
        <v>-1.3</v>
      </c>
      <c r="R16" s="6">
        <f>SUM(K16:N16)</f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2:141" x14ac:dyDescent="0.3">
      <c r="B17" s="1" t="s">
        <v>26</v>
      </c>
      <c r="C17" s="6">
        <f>SUM(C13:C16)</f>
        <v>0</v>
      </c>
      <c r="D17" s="6">
        <f>SUM(D13:D16)</f>
        <v>0</v>
      </c>
      <c r="E17" s="6">
        <f>SUM(E13:E16)</f>
        <v>0</v>
      </c>
      <c r="G17" s="6">
        <f>SUM(G13:G16)</f>
        <v>0</v>
      </c>
      <c r="H17" s="6">
        <f>SUM(H13:H16)</f>
        <v>0</v>
      </c>
      <c r="I17" s="6">
        <f>SUM(I13:I16)</f>
        <v>0.7</v>
      </c>
      <c r="J17" s="6">
        <f>SUM(J13:J16)</f>
        <v>14.200000000000001</v>
      </c>
      <c r="K17" s="6">
        <f t="shared" ref="K17:N17" si="12">SUM(K13:K16)</f>
        <v>0</v>
      </c>
      <c r="L17" s="6">
        <f t="shared" si="12"/>
        <v>-0.2</v>
      </c>
      <c r="M17" s="6">
        <f t="shared" si="12"/>
        <v>-6.5</v>
      </c>
      <c r="N17" s="6">
        <f t="shared" si="12"/>
        <v>0</v>
      </c>
      <c r="P17" s="6">
        <f>SUM(P13:P16)</f>
        <v>0</v>
      </c>
      <c r="Q17" s="6">
        <f>SUM(Q13:Q16)</f>
        <v>14.900000000000002</v>
      </c>
      <c r="R17" s="6">
        <f>SUM(R13:R16)</f>
        <v>-6.6999999999999993</v>
      </c>
      <c r="S17" s="6">
        <f>SUM(S13:S16)</f>
        <v>0</v>
      </c>
      <c r="T17" s="6">
        <f t="shared" ref="T17:AB17" si="13">SUM(T13:T16)</f>
        <v>0</v>
      </c>
      <c r="U17" s="6">
        <f t="shared" si="13"/>
        <v>0</v>
      </c>
      <c r="V17" s="6">
        <f t="shared" si="13"/>
        <v>0</v>
      </c>
      <c r="W17" s="6">
        <f t="shared" si="13"/>
        <v>0</v>
      </c>
      <c r="X17" s="6">
        <f t="shared" si="13"/>
        <v>0</v>
      </c>
      <c r="Y17" s="6">
        <f t="shared" si="13"/>
        <v>0</v>
      </c>
      <c r="Z17" s="6">
        <f t="shared" si="13"/>
        <v>0</v>
      </c>
      <c r="AA17" s="6">
        <f t="shared" si="13"/>
        <v>0</v>
      </c>
      <c r="AB17" s="6">
        <f t="shared" si="13"/>
        <v>0</v>
      </c>
    </row>
    <row r="18" spans="2:141" s="3" customFormat="1" x14ac:dyDescent="0.3">
      <c r="B18" s="3" t="s">
        <v>27</v>
      </c>
      <c r="C18" s="8">
        <f>C12-C17</f>
        <v>-0.6</v>
      </c>
      <c r="D18" s="8">
        <f>D12-D17</f>
        <v>-0.4</v>
      </c>
      <c r="E18" s="8">
        <f>E12-E17</f>
        <v>-0.4</v>
      </c>
      <c r="G18" s="8">
        <f>G12-G17</f>
        <v>-1.1000000000000001</v>
      </c>
      <c r="H18" s="8">
        <f>H12-H17</f>
        <v>-1.5000000000000002</v>
      </c>
      <c r="I18" s="8">
        <f>I12-I17</f>
        <v>-2.2000000000000002</v>
      </c>
      <c r="J18" s="8">
        <f>J12-J17</f>
        <v>-27.274999999999999</v>
      </c>
      <c r="K18" s="8">
        <f t="shared" ref="K18:N18" si="14">K12-K17</f>
        <v>-3.2</v>
      </c>
      <c r="L18" s="8">
        <f t="shared" si="14"/>
        <v>-7</v>
      </c>
      <c r="M18" s="8">
        <f t="shared" si="14"/>
        <v>1.5999999999999996</v>
      </c>
      <c r="N18" s="8">
        <f t="shared" si="14"/>
        <v>-7</v>
      </c>
      <c r="P18" s="8">
        <f>P12-P17</f>
        <v>-1.4</v>
      </c>
      <c r="Q18" s="8">
        <f>Q12-Q17</f>
        <v>-32</v>
      </c>
      <c r="R18" s="8">
        <f>R12-R17</f>
        <v>-15.600000000000001</v>
      </c>
      <c r="S18" s="8">
        <f>S12-S17</f>
        <v>-24.312000000000001</v>
      </c>
      <c r="T18" s="8">
        <f t="shared" ref="T18:AB18" si="15">T12-T17</f>
        <v>-30.470619999999997</v>
      </c>
      <c r="U18" s="8">
        <f t="shared" si="15"/>
        <v>-25.779492000000005</v>
      </c>
      <c r="V18" s="8">
        <f t="shared" si="15"/>
        <v>-19.399255600000007</v>
      </c>
      <c r="W18" s="8">
        <f t="shared" si="15"/>
        <v>-14.666680320000019</v>
      </c>
      <c r="X18" s="8">
        <f t="shared" si="15"/>
        <v>-6.1664739200000014</v>
      </c>
      <c r="Y18" s="8">
        <f t="shared" si="15"/>
        <v>6.1250773760000072</v>
      </c>
      <c r="Z18" s="8">
        <f t="shared" si="15"/>
        <v>18.592684748799982</v>
      </c>
      <c r="AA18" s="8">
        <f t="shared" si="15"/>
        <v>34.489949423999974</v>
      </c>
      <c r="AB18" s="8">
        <f t="shared" si="15"/>
        <v>50.68779986249595</v>
      </c>
    </row>
    <row r="19" spans="2:141" x14ac:dyDescent="0.3">
      <c r="B19" s="1" t="s">
        <v>28</v>
      </c>
      <c r="C19" s="6">
        <v>0</v>
      </c>
      <c r="D19" s="6">
        <v>0</v>
      </c>
      <c r="E19" s="6">
        <v>0</v>
      </c>
      <c r="G19" s="6">
        <v>0</v>
      </c>
      <c r="H19" s="6">
        <v>0</v>
      </c>
      <c r="I19" s="6">
        <v>0</v>
      </c>
      <c r="J19" s="6">
        <f>Q19-I19-H19-G19</f>
        <v>0</v>
      </c>
      <c r="K19" s="6">
        <v>0</v>
      </c>
      <c r="L19" s="6">
        <v>0</v>
      </c>
      <c r="M19" s="6">
        <v>0</v>
      </c>
      <c r="N19" s="6">
        <v>0</v>
      </c>
      <c r="P19" s="6">
        <f>SUM(C19:F19)</f>
        <v>0</v>
      </c>
      <c r="Q19" s="6">
        <v>0</v>
      </c>
      <c r="R19" s="6">
        <f>SUM(K19:N19)</f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2:141" s="3" customFormat="1" x14ac:dyDescent="0.3">
      <c r="B20" s="3" t="s">
        <v>29</v>
      </c>
      <c r="C20" s="8">
        <f>C18-C19</f>
        <v>-0.6</v>
      </c>
      <c r="D20" s="8">
        <f>D18-D19</f>
        <v>-0.4</v>
      </c>
      <c r="E20" s="8">
        <f>E18-E19</f>
        <v>-0.4</v>
      </c>
      <c r="G20" s="8">
        <f>G18-G19</f>
        <v>-1.1000000000000001</v>
      </c>
      <c r="H20" s="8">
        <f>H18-H19</f>
        <v>-1.5000000000000002</v>
      </c>
      <c r="I20" s="8">
        <f>I18-I19</f>
        <v>-2.2000000000000002</v>
      </c>
      <c r="J20" s="8">
        <f>J18-J19</f>
        <v>-27.274999999999999</v>
      </c>
      <c r="K20" s="8">
        <f t="shared" ref="K20:N20" si="16">K18-K19</f>
        <v>-3.2</v>
      </c>
      <c r="L20" s="8">
        <f t="shared" si="16"/>
        <v>-7</v>
      </c>
      <c r="M20" s="8">
        <f t="shared" si="16"/>
        <v>1.5999999999999996</v>
      </c>
      <c r="N20" s="8">
        <f t="shared" si="16"/>
        <v>-7</v>
      </c>
      <c r="P20" s="8">
        <f>P18-P19</f>
        <v>-1.4</v>
      </c>
      <c r="Q20" s="8">
        <f>Q18-Q19</f>
        <v>-32</v>
      </c>
      <c r="R20" s="8">
        <f>R18-R19</f>
        <v>-15.600000000000001</v>
      </c>
      <c r="S20" s="8">
        <f>S18-S19</f>
        <v>-24.312000000000001</v>
      </c>
      <c r="T20" s="8">
        <f t="shared" ref="T20:AB20" si="17">T18-T19</f>
        <v>-30.470619999999997</v>
      </c>
      <c r="U20" s="8">
        <f t="shared" si="17"/>
        <v>-25.779492000000005</v>
      </c>
      <c r="V20" s="8">
        <f t="shared" si="17"/>
        <v>-19.399255600000007</v>
      </c>
      <c r="W20" s="8">
        <f t="shared" si="17"/>
        <v>-14.666680320000019</v>
      </c>
      <c r="X20" s="8">
        <f t="shared" si="17"/>
        <v>-6.1664739200000014</v>
      </c>
      <c r="Y20" s="8">
        <f t="shared" si="17"/>
        <v>6.1250773760000072</v>
      </c>
      <c r="Z20" s="8">
        <f t="shared" si="17"/>
        <v>18.592684748799982</v>
      </c>
      <c r="AA20" s="8">
        <f t="shared" si="17"/>
        <v>34.489949423999974</v>
      </c>
      <c r="AB20" s="8">
        <f t="shared" si="17"/>
        <v>50.68779986249595</v>
      </c>
      <c r="AC20" s="3">
        <f>AB20*(1+$AF$25)</f>
        <v>50.180921863870992</v>
      </c>
      <c r="AD20" s="3">
        <f t="shared" ref="AD20:CO20" si="18">AC20*(1+$AF$25)</f>
        <v>49.67911264523228</v>
      </c>
      <c r="AE20" s="3">
        <f t="shared" si="18"/>
        <v>49.182321518779958</v>
      </c>
      <c r="AF20" s="3">
        <f t="shared" si="18"/>
        <v>48.690498303592157</v>
      </c>
      <c r="AG20" s="3">
        <f t="shared" si="18"/>
        <v>48.203593320556237</v>
      </c>
      <c r="AH20" s="3">
        <f t="shared" si="18"/>
        <v>47.721557387350671</v>
      </c>
      <c r="AI20" s="3">
        <f t="shared" si="18"/>
        <v>47.244341813477163</v>
      </c>
      <c r="AJ20" s="3">
        <f t="shared" si="18"/>
        <v>46.77189839534239</v>
      </c>
      <c r="AK20" s="3">
        <f t="shared" si="18"/>
        <v>46.304179411388965</v>
      </c>
      <c r="AL20" s="3">
        <f t="shared" si="18"/>
        <v>45.841137617275074</v>
      </c>
      <c r="AM20" s="3">
        <f t="shared" si="18"/>
        <v>45.382726241102326</v>
      </c>
      <c r="AN20" s="3">
        <f t="shared" si="18"/>
        <v>44.928898978691301</v>
      </c>
      <c r="AO20" s="3">
        <f t="shared" si="18"/>
        <v>44.479609988904386</v>
      </c>
      <c r="AP20" s="3">
        <f t="shared" si="18"/>
        <v>44.034813889015339</v>
      </c>
      <c r="AQ20" s="3">
        <f t="shared" si="18"/>
        <v>43.594465750125188</v>
      </c>
      <c r="AR20" s="3">
        <f t="shared" si="18"/>
        <v>43.158521092623936</v>
      </c>
      <c r="AS20" s="3">
        <f t="shared" si="18"/>
        <v>42.726935881697699</v>
      </c>
      <c r="AT20" s="3">
        <f t="shared" si="18"/>
        <v>42.29966652288072</v>
      </c>
      <c r="AU20" s="3">
        <f t="shared" si="18"/>
        <v>41.876669857651912</v>
      </c>
      <c r="AV20" s="3">
        <f t="shared" si="18"/>
        <v>41.457903159075393</v>
      </c>
      <c r="AW20" s="3">
        <f t="shared" si="18"/>
        <v>41.043324127484638</v>
      </c>
      <c r="AX20" s="3">
        <f t="shared" si="18"/>
        <v>40.632890886209793</v>
      </c>
      <c r="AY20" s="3">
        <f t="shared" si="18"/>
        <v>40.226561977347693</v>
      </c>
      <c r="AZ20" s="3">
        <f t="shared" si="18"/>
        <v>39.824296357574212</v>
      </c>
      <c r="BA20" s="3">
        <f t="shared" si="18"/>
        <v>39.426053393998473</v>
      </c>
      <c r="BB20" s="3">
        <f t="shared" si="18"/>
        <v>39.031792860058488</v>
      </c>
      <c r="BC20" s="3">
        <f t="shared" si="18"/>
        <v>38.6414749314579</v>
      </c>
      <c r="BD20" s="3">
        <f t="shared" si="18"/>
        <v>38.255060182143318</v>
      </c>
      <c r="BE20" s="3">
        <f t="shared" si="18"/>
        <v>37.872509580321882</v>
      </c>
      <c r="BF20" s="3">
        <f t="shared" si="18"/>
        <v>37.493784484518663</v>
      </c>
      <c r="BG20" s="3">
        <f t="shared" si="18"/>
        <v>37.118846639673478</v>
      </c>
      <c r="BH20" s="3">
        <f t="shared" si="18"/>
        <v>36.74765817327674</v>
      </c>
      <c r="BI20" s="3">
        <f t="shared" si="18"/>
        <v>36.380181591543973</v>
      </c>
      <c r="BJ20" s="3">
        <f t="shared" si="18"/>
        <v>36.016379775628536</v>
      </c>
      <c r="BK20" s="3">
        <f t="shared" si="18"/>
        <v>35.65621597787225</v>
      </c>
      <c r="BL20" s="3">
        <f t="shared" si="18"/>
        <v>35.299653818093525</v>
      </c>
      <c r="BM20" s="3">
        <f t="shared" si="18"/>
        <v>34.946657279912586</v>
      </c>
      <c r="BN20" s="3">
        <f t="shared" si="18"/>
        <v>34.597190707113462</v>
      </c>
      <c r="BO20" s="3">
        <f t="shared" si="18"/>
        <v>34.251218800042331</v>
      </c>
      <c r="BP20" s="3">
        <f t="shared" si="18"/>
        <v>33.908706612041904</v>
      </c>
      <c r="BQ20" s="3">
        <f t="shared" si="18"/>
        <v>33.569619545921483</v>
      </c>
      <c r="BR20" s="3">
        <f t="shared" si="18"/>
        <v>33.23392335046227</v>
      </c>
      <c r="BS20" s="3">
        <f t="shared" si="18"/>
        <v>32.901584116957643</v>
      </c>
      <c r="BT20" s="3">
        <f t="shared" si="18"/>
        <v>32.572568275788065</v>
      </c>
      <c r="BU20" s="3">
        <f t="shared" si="18"/>
        <v>32.246842593030181</v>
      </c>
      <c r="BV20" s="3">
        <f t="shared" si="18"/>
        <v>31.924374167099877</v>
      </c>
      <c r="BW20" s="3">
        <f t="shared" si="18"/>
        <v>31.605130425428879</v>
      </c>
      <c r="BX20" s="3">
        <f t="shared" si="18"/>
        <v>31.289079121174591</v>
      </c>
      <c r="BY20" s="3">
        <f t="shared" si="18"/>
        <v>30.976188329962845</v>
      </c>
      <c r="BZ20" s="3">
        <f t="shared" si="18"/>
        <v>30.666426446663216</v>
      </c>
      <c r="CA20" s="3">
        <f t="shared" si="18"/>
        <v>30.359762182196583</v>
      </c>
      <c r="CB20" s="3">
        <f t="shared" si="18"/>
        <v>30.056164560374619</v>
      </c>
      <c r="CC20" s="3">
        <f t="shared" si="18"/>
        <v>29.755602914770872</v>
      </c>
      <c r="CD20" s="3">
        <f t="shared" si="18"/>
        <v>29.458046885623162</v>
      </c>
      <c r="CE20" s="3">
        <f t="shared" si="18"/>
        <v>29.16346641676693</v>
      </c>
      <c r="CF20" s="3">
        <f t="shared" si="18"/>
        <v>28.87183175259926</v>
      </c>
      <c r="CG20" s="3">
        <f t="shared" si="18"/>
        <v>28.583113435073265</v>
      </c>
      <c r="CH20" s="3">
        <f t="shared" si="18"/>
        <v>28.297282300722532</v>
      </c>
      <c r="CI20" s="3">
        <f t="shared" si="18"/>
        <v>28.014309477715308</v>
      </c>
      <c r="CJ20" s="3">
        <f t="shared" si="18"/>
        <v>27.734166382938156</v>
      </c>
      <c r="CK20" s="3">
        <f t="shared" si="18"/>
        <v>27.456824719108774</v>
      </c>
      <c r="CL20" s="3">
        <f t="shared" si="18"/>
        <v>27.182256471917686</v>
      </c>
      <c r="CM20" s="3">
        <f t="shared" si="18"/>
        <v>26.910433907198509</v>
      </c>
      <c r="CN20" s="3">
        <f t="shared" si="18"/>
        <v>26.641329568126523</v>
      </c>
      <c r="CO20" s="3">
        <f t="shared" si="18"/>
        <v>26.374916272445258</v>
      </c>
      <c r="CP20" s="3">
        <f t="shared" ref="CP20:EK20" si="19">CO20*(1+$AF$25)</f>
        <v>26.111167109720807</v>
      </c>
      <c r="CQ20" s="3">
        <f t="shared" si="19"/>
        <v>25.850055438623599</v>
      </c>
      <c r="CR20" s="3">
        <f t="shared" si="19"/>
        <v>25.591554884237361</v>
      </c>
      <c r="CS20" s="3">
        <f t="shared" si="19"/>
        <v>25.335639335394987</v>
      </c>
      <c r="CT20" s="3">
        <f t="shared" si="19"/>
        <v>25.082282942041036</v>
      </c>
      <c r="CU20" s="3">
        <f t="shared" si="19"/>
        <v>24.831460112620626</v>
      </c>
      <c r="CV20" s="3">
        <f t="shared" si="19"/>
        <v>24.583145511494418</v>
      </c>
      <c r="CW20" s="3">
        <f t="shared" si="19"/>
        <v>24.337314056379473</v>
      </c>
      <c r="CX20" s="3">
        <f t="shared" si="19"/>
        <v>24.093940915815679</v>
      </c>
      <c r="CY20" s="3">
        <f t="shared" si="19"/>
        <v>23.853001506657524</v>
      </c>
      <c r="CZ20" s="3">
        <f t="shared" si="19"/>
        <v>23.614471491590947</v>
      </c>
      <c r="DA20" s="3">
        <f t="shared" si="19"/>
        <v>23.378326776675038</v>
      </c>
      <c r="DB20" s="3">
        <f t="shared" si="19"/>
        <v>23.144543508908288</v>
      </c>
      <c r="DC20" s="3">
        <f t="shared" si="19"/>
        <v>22.913098073819206</v>
      </c>
      <c r="DD20" s="3">
        <f t="shared" si="19"/>
        <v>22.683967093081016</v>
      </c>
      <c r="DE20" s="3">
        <f t="shared" si="19"/>
        <v>22.457127422150204</v>
      </c>
      <c r="DF20" s="3">
        <f t="shared" si="19"/>
        <v>22.232556147928701</v>
      </c>
      <c r="DG20" s="3">
        <f t="shared" si="19"/>
        <v>22.010230586449413</v>
      </c>
      <c r="DH20" s="3">
        <f t="shared" si="19"/>
        <v>21.79012828058492</v>
      </c>
      <c r="DI20" s="3">
        <f t="shared" si="19"/>
        <v>21.572226997779069</v>
      </c>
      <c r="DJ20" s="3">
        <f t="shared" si="19"/>
        <v>21.356504727801276</v>
      </c>
      <c r="DK20" s="3">
        <f t="shared" si="19"/>
        <v>21.142939680523263</v>
      </c>
      <c r="DL20" s="3">
        <f t="shared" si="19"/>
        <v>20.93151028371803</v>
      </c>
      <c r="DM20" s="3">
        <f t="shared" si="19"/>
        <v>20.722195180880849</v>
      </c>
      <c r="DN20" s="3">
        <f t="shared" si="19"/>
        <v>20.514973229072041</v>
      </c>
      <c r="DO20" s="3">
        <f t="shared" si="19"/>
        <v>20.30982349678132</v>
      </c>
      <c r="DP20" s="3">
        <f t="shared" si="19"/>
        <v>20.106725261813505</v>
      </c>
      <c r="DQ20" s="3">
        <f t="shared" si="19"/>
        <v>19.905658009195371</v>
      </c>
      <c r="DR20" s="3">
        <f t="shared" si="19"/>
        <v>19.706601429103415</v>
      </c>
      <c r="DS20" s="3">
        <f t="shared" si="19"/>
        <v>19.50953541481238</v>
      </c>
      <c r="DT20" s="3">
        <f t="shared" si="19"/>
        <v>19.314440060664257</v>
      </c>
      <c r="DU20" s="3">
        <f t="shared" si="19"/>
        <v>19.121295660057616</v>
      </c>
      <c r="DV20" s="3">
        <f t="shared" si="19"/>
        <v>18.930082703457039</v>
      </c>
      <c r="DW20" s="3">
        <f t="shared" si="19"/>
        <v>18.740781876422467</v>
      </c>
      <c r="DX20" s="3">
        <f t="shared" si="19"/>
        <v>18.553374057658242</v>
      </c>
      <c r="DY20" s="3">
        <f t="shared" si="19"/>
        <v>18.367840317081662</v>
      </c>
      <c r="DZ20" s="3">
        <f t="shared" si="19"/>
        <v>18.184161913910845</v>
      </c>
      <c r="EA20" s="3">
        <f t="shared" si="19"/>
        <v>18.002320294771735</v>
      </c>
      <c r="EB20" s="3">
        <f t="shared" si="19"/>
        <v>17.822297091824019</v>
      </c>
      <c r="EC20" s="3">
        <f t="shared" si="19"/>
        <v>17.644074120905778</v>
      </c>
      <c r="ED20" s="3">
        <f t="shared" si="19"/>
        <v>17.467633379696721</v>
      </c>
      <c r="EE20" s="3">
        <f t="shared" si="19"/>
        <v>17.292957045899755</v>
      </c>
      <c r="EF20" s="3">
        <f t="shared" si="19"/>
        <v>17.120027475440757</v>
      </c>
      <c r="EG20" s="3">
        <f t="shared" si="19"/>
        <v>16.948827200686349</v>
      </c>
      <c r="EH20" s="3">
        <f t="shared" si="19"/>
        <v>16.779338928679486</v>
      </c>
      <c r="EI20" s="3">
        <f t="shared" si="19"/>
        <v>16.61154553939269</v>
      </c>
      <c r="EJ20" s="3">
        <f t="shared" si="19"/>
        <v>16.445430083998762</v>
      </c>
      <c r="EK20" s="3">
        <f t="shared" si="19"/>
        <v>16.280975783158773</v>
      </c>
    </row>
    <row r="21" spans="2:141" x14ac:dyDescent="0.3">
      <c r="B21" s="1" t="s">
        <v>2</v>
      </c>
      <c r="C21" s="6">
        <v>3.4</v>
      </c>
      <c r="D21" s="6">
        <v>3.4</v>
      </c>
      <c r="E21" s="6">
        <v>3.2</v>
      </c>
      <c r="G21" s="6">
        <v>6.1</v>
      </c>
      <c r="H21" s="6">
        <v>6.2</v>
      </c>
      <c r="I21" s="6">
        <v>8.3000000000000007</v>
      </c>
      <c r="J21" s="6">
        <v>8.3000000000000007</v>
      </c>
      <c r="K21" s="6">
        <f>24.8</f>
        <v>24.8</v>
      </c>
      <c r="L21" s="6">
        <v>30.4</v>
      </c>
      <c r="M21" s="6">
        <f>36.9</f>
        <v>36.9</v>
      </c>
      <c r="N21" s="6">
        <f>36.9</f>
        <v>36.9</v>
      </c>
      <c r="P21" s="6">
        <v>3.2</v>
      </c>
      <c r="Q21" s="6">
        <v>8.3000000000000007</v>
      </c>
      <c r="R21" s="6">
        <f t="shared" ref="R21:AB21" si="20">36.9</f>
        <v>36.9</v>
      </c>
      <c r="S21" s="6">
        <f t="shared" si="20"/>
        <v>36.9</v>
      </c>
      <c r="T21" s="6">
        <f t="shared" si="20"/>
        <v>36.9</v>
      </c>
      <c r="U21" s="6">
        <f t="shared" si="20"/>
        <v>36.9</v>
      </c>
      <c r="V21" s="6">
        <f t="shared" si="20"/>
        <v>36.9</v>
      </c>
      <c r="W21" s="6">
        <f t="shared" si="20"/>
        <v>36.9</v>
      </c>
      <c r="X21" s="6">
        <f t="shared" si="20"/>
        <v>36.9</v>
      </c>
      <c r="Y21" s="6">
        <f t="shared" si="20"/>
        <v>36.9</v>
      </c>
      <c r="Z21" s="6">
        <f t="shared" si="20"/>
        <v>36.9</v>
      </c>
      <c r="AA21" s="6">
        <f t="shared" si="20"/>
        <v>36.9</v>
      </c>
      <c r="AB21" s="6">
        <f t="shared" si="20"/>
        <v>36.9</v>
      </c>
    </row>
    <row r="22" spans="2:141" x14ac:dyDescent="0.3">
      <c r="B22" s="1" t="s">
        <v>30</v>
      </c>
      <c r="C22" s="9">
        <f>C20/C21</f>
        <v>-0.17647058823529413</v>
      </c>
      <c r="D22" s="9">
        <f>D20/D21</f>
        <v>-0.11764705882352942</v>
      </c>
      <c r="E22" s="9">
        <f>E20/E21</f>
        <v>-0.125</v>
      </c>
      <c r="G22" s="9">
        <f>G20/G21</f>
        <v>-0.18032786885245905</v>
      </c>
      <c r="H22" s="9">
        <f>H20/H21</f>
        <v>-0.24193548387096778</v>
      </c>
      <c r="I22" s="9">
        <f>I20/I21</f>
        <v>-0.26506024096385544</v>
      </c>
      <c r="J22" s="10">
        <f>J20/J21</f>
        <v>-3.2861445783132526</v>
      </c>
      <c r="K22" s="10">
        <f t="shared" ref="K22:N22" si="21">K20/K21</f>
        <v>-0.12903225806451613</v>
      </c>
      <c r="L22" s="10">
        <f t="shared" si="21"/>
        <v>-0.23026315789473686</v>
      </c>
      <c r="M22" s="10">
        <f t="shared" si="21"/>
        <v>4.3360433604336036E-2</v>
      </c>
      <c r="N22" s="10">
        <f t="shared" si="21"/>
        <v>-0.18970189701897019</v>
      </c>
      <c r="P22" s="9">
        <f>P20/P21</f>
        <v>-0.43749999999999994</v>
      </c>
      <c r="Q22" s="9">
        <f>Q20/Q21</f>
        <v>-3.8554216867469875</v>
      </c>
      <c r="R22" s="9">
        <f>R20/R21</f>
        <v>-0.4227642276422765</v>
      </c>
      <c r="S22" s="9">
        <f>S20/S21</f>
        <v>-0.65886178861788625</v>
      </c>
      <c r="T22" s="9">
        <f t="shared" ref="T22:AB22" si="22">T20/T21</f>
        <v>-0.82576205962059612</v>
      </c>
      <c r="U22" s="9">
        <f t="shared" si="22"/>
        <v>-0.69863121951219531</v>
      </c>
      <c r="V22" s="9">
        <f t="shared" si="22"/>
        <v>-0.52572508401084028</v>
      </c>
      <c r="W22" s="9">
        <f t="shared" si="22"/>
        <v>-0.39747101138211433</v>
      </c>
      <c r="X22" s="9">
        <f t="shared" si="22"/>
        <v>-0.16711311436314369</v>
      </c>
      <c r="Y22" s="9">
        <f t="shared" si="22"/>
        <v>0.16599125680216822</v>
      </c>
      <c r="Z22" s="9">
        <f t="shared" si="22"/>
        <v>0.50386679536043311</v>
      </c>
      <c r="AA22" s="9">
        <f t="shared" si="22"/>
        <v>0.93468697626016195</v>
      </c>
      <c r="AB22" s="9">
        <f t="shared" si="22"/>
        <v>1.3736531128047684</v>
      </c>
    </row>
    <row r="24" spans="2:141" x14ac:dyDescent="0.3">
      <c r="B24" s="1" t="s">
        <v>38</v>
      </c>
      <c r="K24" s="11">
        <f>K3/G3-1</f>
        <v>2.3333333333333335</v>
      </c>
      <c r="L24" s="11">
        <f t="shared" ref="L24:N24" si="23">L3/H3-1</f>
        <v>0.50000000000000022</v>
      </c>
      <c r="M24" s="11">
        <f t="shared" si="23"/>
        <v>0.40000000000000013</v>
      </c>
      <c r="N24" s="11">
        <f t="shared" si="23"/>
        <v>0.30000000000000004</v>
      </c>
      <c r="Q24" s="11"/>
      <c r="R24" s="11">
        <f t="shared" ref="R24:AB24" si="24">R3/Q3-1</f>
        <v>0.59464285714285725</v>
      </c>
      <c r="S24" s="11">
        <f t="shared" si="24"/>
        <v>1</v>
      </c>
      <c r="T24" s="11">
        <f t="shared" si="24"/>
        <v>0.89999999999999991</v>
      </c>
      <c r="U24" s="11">
        <f t="shared" si="24"/>
        <v>0.8</v>
      </c>
      <c r="V24" s="11">
        <f t="shared" si="24"/>
        <v>0.7</v>
      </c>
      <c r="W24" s="11">
        <f t="shared" si="24"/>
        <v>0.60000000000000009</v>
      </c>
      <c r="X24" s="11">
        <f t="shared" si="24"/>
        <v>0.5</v>
      </c>
      <c r="Y24" s="11">
        <f t="shared" si="24"/>
        <v>0.39999999999999991</v>
      </c>
      <c r="Z24" s="11">
        <f t="shared" si="24"/>
        <v>0.30000000000000004</v>
      </c>
      <c r="AA24" s="11">
        <f t="shared" si="24"/>
        <v>0.19999999999999996</v>
      </c>
      <c r="AB24" s="11">
        <f t="shared" si="24"/>
        <v>0.14999999999999991</v>
      </c>
    </row>
    <row r="25" spans="2:141" x14ac:dyDescent="0.3">
      <c r="B25" s="1" t="s">
        <v>39</v>
      </c>
      <c r="G25" s="11">
        <f t="shared" ref="G25:H25" si="25">G5/G3</f>
        <v>0.33333333333333326</v>
      </c>
      <c r="H25" s="11">
        <f t="shared" si="25"/>
        <v>0.28571428571428564</v>
      </c>
      <c r="I25" s="11">
        <f>I5/I3</f>
        <v>0.26666666666666661</v>
      </c>
      <c r="J25" s="11">
        <f>J5/J3</f>
        <v>0.25</v>
      </c>
      <c r="K25" s="11">
        <f t="shared" ref="K25:N25" si="26">K5/K3</f>
        <v>0.25</v>
      </c>
      <c r="L25" s="11">
        <f t="shared" si="26"/>
        <v>0.38095238095238093</v>
      </c>
      <c r="M25" s="11">
        <f t="shared" si="26"/>
        <v>0.38095238095238093</v>
      </c>
      <c r="N25" s="11">
        <f t="shared" si="26"/>
        <v>0.3</v>
      </c>
      <c r="Q25" s="11">
        <f t="shared" ref="Q25:R25" si="27">Q5/Q3</f>
        <v>0.28571428571428564</v>
      </c>
      <c r="R25" s="11">
        <f t="shared" si="27"/>
        <v>0.32687569988801796</v>
      </c>
      <c r="S25" s="11">
        <f t="shared" ref="S25:AB25" si="28">S5/S3</f>
        <v>0.3</v>
      </c>
      <c r="T25" s="11">
        <f t="shared" si="28"/>
        <v>0.3</v>
      </c>
      <c r="U25" s="11">
        <f t="shared" si="28"/>
        <v>0.3</v>
      </c>
      <c r="V25" s="11">
        <f t="shared" si="28"/>
        <v>0.3</v>
      </c>
      <c r="W25" s="11">
        <f t="shared" si="28"/>
        <v>0.3</v>
      </c>
      <c r="X25" s="11">
        <f t="shared" si="28"/>
        <v>0.3</v>
      </c>
      <c r="Y25" s="11">
        <f t="shared" si="28"/>
        <v>0.3</v>
      </c>
      <c r="Z25" s="11">
        <f t="shared" si="28"/>
        <v>0.3</v>
      </c>
      <c r="AA25" s="11">
        <f t="shared" si="28"/>
        <v>0.3</v>
      </c>
      <c r="AB25" s="11">
        <f t="shared" si="28"/>
        <v>0.3</v>
      </c>
      <c r="AE25" s="1" t="s">
        <v>47</v>
      </c>
      <c r="AF25" s="11">
        <v>-0.01</v>
      </c>
    </row>
    <row r="26" spans="2:141" x14ac:dyDescent="0.3">
      <c r="B26" s="1" t="s">
        <v>41</v>
      </c>
      <c r="G26" s="11"/>
      <c r="H26" s="11"/>
      <c r="I26" s="11"/>
      <c r="J26" s="11"/>
      <c r="K26" s="11"/>
      <c r="L26" s="11"/>
      <c r="M26" s="11"/>
      <c r="N26" s="11"/>
      <c r="Q26" s="11"/>
      <c r="R26" s="11">
        <f t="shared" ref="R26" si="29">R7/Q7-1</f>
        <v>0</v>
      </c>
      <c r="S26" s="11">
        <f t="shared" ref="S26" si="30">S7/R7-1</f>
        <v>19</v>
      </c>
      <c r="T26" s="11">
        <f t="shared" ref="T26" si="31">T7/S7-1</f>
        <v>1.5</v>
      </c>
      <c r="U26" s="11">
        <f t="shared" ref="U26" si="32">U7/T7-1</f>
        <v>0.8</v>
      </c>
      <c r="V26" s="11">
        <f t="shared" ref="V26" si="33">V7/U7-1</f>
        <v>0.44444444444444442</v>
      </c>
      <c r="W26" s="11">
        <f t="shared" ref="W26" si="34">W7/V7-1</f>
        <v>0.15384615384615374</v>
      </c>
      <c r="X26" s="11">
        <f t="shared" ref="X26" si="35">X7/W7-1</f>
        <v>0.1333333333333333</v>
      </c>
      <c r="Y26" s="11">
        <f t="shared" ref="Y26" si="36">Y7/X7-1</f>
        <v>0.11764705882352944</v>
      </c>
      <c r="Z26" s="11">
        <f t="shared" ref="Z26" si="37">Z7/Y7-1</f>
        <v>5.2631578947368363E-2</v>
      </c>
      <c r="AA26" s="11">
        <f t="shared" ref="AA26" si="38">AA7/Z7-1</f>
        <v>5.0000000000000044E-2</v>
      </c>
      <c r="AB26" s="11">
        <f t="shared" ref="R26:AB28" si="39">AB7/AA7-1</f>
        <v>4.7619047619047672E-2</v>
      </c>
      <c r="AE26" s="1" t="s">
        <v>48</v>
      </c>
      <c r="AF26" s="11">
        <v>0.12</v>
      </c>
    </row>
    <row r="27" spans="2:141" x14ac:dyDescent="0.3">
      <c r="B27" s="1" t="s">
        <v>42</v>
      </c>
      <c r="G27" s="11">
        <f>G8/G3</f>
        <v>0.33333333333333337</v>
      </c>
      <c r="H27" s="11">
        <f t="shared" ref="H27:J27" si="40">H8/H3</f>
        <v>0.28571428571428575</v>
      </c>
      <c r="I27" s="11">
        <f t="shared" si="40"/>
        <v>0.19999999999999998</v>
      </c>
      <c r="J27" s="11">
        <f t="shared" si="40"/>
        <v>9.5238095238095261E-2</v>
      </c>
      <c r="K27" s="11">
        <f t="shared" ref="K27:N27" si="41">K8/K3</f>
        <v>0.1</v>
      </c>
      <c r="L27" s="11">
        <f t="shared" si="41"/>
        <v>0.14285714285714285</v>
      </c>
      <c r="M27" s="11">
        <f t="shared" si="41"/>
        <v>0.19047619047619047</v>
      </c>
      <c r="N27" s="11">
        <f t="shared" si="41"/>
        <v>0.3</v>
      </c>
      <c r="Q27" s="11">
        <f t="shared" ref="Q27:R27" si="42">Q8/Q3</f>
        <v>0.19642857142857145</v>
      </c>
      <c r="R27" s="11">
        <f t="shared" si="42"/>
        <v>0.19249720044792831</v>
      </c>
      <c r="S27" s="11">
        <f t="shared" ref="S27:AB27" si="43">S8/S3</f>
        <v>0.25</v>
      </c>
      <c r="T27" s="11">
        <f t="shared" si="43"/>
        <v>0.23</v>
      </c>
      <c r="U27" s="11">
        <f t="shared" si="43"/>
        <v>0.21</v>
      </c>
      <c r="V27" s="11">
        <f t="shared" si="43"/>
        <v>0.19</v>
      </c>
      <c r="W27" s="11">
        <f t="shared" si="43"/>
        <v>0.18</v>
      </c>
      <c r="X27" s="11">
        <f t="shared" si="43"/>
        <v>0.17</v>
      </c>
      <c r="Y27" s="11">
        <f t="shared" si="43"/>
        <v>0.16</v>
      </c>
      <c r="Z27" s="11">
        <f t="shared" si="43"/>
        <v>0.16</v>
      </c>
      <c r="AA27" s="11">
        <f t="shared" si="43"/>
        <v>0.15</v>
      </c>
      <c r="AB27" s="11">
        <f t="shared" si="43"/>
        <v>0.14000000000000001</v>
      </c>
      <c r="AE27" s="1" t="s">
        <v>49</v>
      </c>
      <c r="AF27" s="6">
        <f>NPV(AF26,R20:EK20)</f>
        <v>53.213290765826692</v>
      </c>
    </row>
    <row r="28" spans="2:141" x14ac:dyDescent="0.3">
      <c r="B28" s="1" t="s">
        <v>40</v>
      </c>
      <c r="G28" s="11">
        <f t="shared" ref="G28:H28" si="44">G9/C9-1</f>
        <v>0.66666666666666674</v>
      </c>
      <c r="H28" s="11">
        <f t="shared" si="44"/>
        <v>2.25</v>
      </c>
      <c r="I28" s="11">
        <f>I9/E9-1</f>
        <v>2.4999999999999996</v>
      </c>
      <c r="J28" s="11" t="e">
        <f>J9/F9-1</f>
        <v>#DIV/0!</v>
      </c>
      <c r="K28" s="11">
        <f t="shared" ref="K28:N28" si="45">K9/G9-1</f>
        <v>2.2000000000000002</v>
      </c>
      <c r="L28" s="11">
        <f t="shared" si="45"/>
        <v>4.5384615384615383</v>
      </c>
      <c r="M28" s="11">
        <f t="shared" si="45"/>
        <v>2.3571428571428577</v>
      </c>
      <c r="N28" s="11">
        <f t="shared" si="45"/>
        <v>1.6923076923076916</v>
      </c>
      <c r="Q28" s="11">
        <f>Q9/P9-1</f>
        <v>3.5</v>
      </c>
      <c r="R28" s="11">
        <f t="shared" si="39"/>
        <v>2.5079365079365084</v>
      </c>
      <c r="S28" s="11">
        <f t="shared" si="39"/>
        <v>5.0000000000000044E-2</v>
      </c>
      <c r="T28" s="11">
        <f t="shared" si="39"/>
        <v>0.19999999999999996</v>
      </c>
      <c r="U28" s="11">
        <f t="shared" si="39"/>
        <v>-0.19999999999999996</v>
      </c>
      <c r="V28" s="11">
        <f t="shared" si="39"/>
        <v>-0.19999999999999996</v>
      </c>
      <c r="W28" s="11">
        <f t="shared" si="39"/>
        <v>0.10000000000000009</v>
      </c>
      <c r="X28" s="11">
        <f t="shared" si="39"/>
        <v>0.10000000000000009</v>
      </c>
      <c r="Y28" s="11">
        <f t="shared" si="39"/>
        <v>0.10000000000000009</v>
      </c>
      <c r="Z28" s="11">
        <f t="shared" si="39"/>
        <v>5.0000000000000044E-2</v>
      </c>
      <c r="AA28" s="11">
        <f t="shared" si="39"/>
        <v>5.0000000000000044E-2</v>
      </c>
      <c r="AB28" s="11">
        <f t="shared" si="39"/>
        <v>5.0000000000000044E-2</v>
      </c>
      <c r="AE28" s="1" t="s">
        <v>50</v>
      </c>
      <c r="AF28" s="6">
        <f>Main!D8</f>
        <v>81.099999999999994</v>
      </c>
    </row>
    <row r="29" spans="2:141" x14ac:dyDescent="0.3">
      <c r="B29" s="1" t="s">
        <v>56</v>
      </c>
      <c r="G29" s="11">
        <f>G12/G3</f>
        <v>-1.8333333333333335</v>
      </c>
      <c r="H29" s="11">
        <f t="shared" ref="H29:N29" si="46">H12/H3</f>
        <v>-1.0714285714285716</v>
      </c>
      <c r="I29" s="11">
        <f t="shared" si="46"/>
        <v>-1</v>
      </c>
      <c r="J29" s="11">
        <f t="shared" si="46"/>
        <v>-6.2261904761904772</v>
      </c>
      <c r="K29" s="11">
        <f t="shared" si="46"/>
        <v>-1.6</v>
      </c>
      <c r="L29" s="11">
        <f t="shared" si="46"/>
        <v>-3.4285714285714284</v>
      </c>
      <c r="M29" s="11">
        <f t="shared" si="46"/>
        <v>-2.3333333333333335</v>
      </c>
      <c r="N29" s="11">
        <f t="shared" si="46"/>
        <v>-2.5641025641025643</v>
      </c>
      <c r="Q29" s="11">
        <f t="shared" ref="Q29:AB29" si="47">Q12/Q3</f>
        <v>-3.0535714285714288</v>
      </c>
      <c r="R29" s="11">
        <f t="shared" si="47"/>
        <v>-2.4972004479283316</v>
      </c>
      <c r="S29" s="11">
        <f t="shared" si="47"/>
        <v>-1.3612541993281075</v>
      </c>
      <c r="T29" s="11">
        <f t="shared" si="47"/>
        <v>-0.89793776153710136</v>
      </c>
      <c r="U29" s="11">
        <f t="shared" si="47"/>
        <v>-0.42205280839276255</v>
      </c>
      <c r="V29" s="11">
        <f t="shared" si="47"/>
        <v>-0.186822243563149</v>
      </c>
      <c r="W29" s="11">
        <f t="shared" si="47"/>
        <v>-8.8278584611188843E-2</v>
      </c>
      <c r="X29" s="11">
        <f t="shared" si="47"/>
        <v>-2.4743958315597385E-2</v>
      </c>
      <c r="Y29" s="11">
        <f t="shared" si="47"/>
        <v>1.7555605780291091E-2</v>
      </c>
      <c r="Z29" s="11">
        <f t="shared" si="47"/>
        <v>4.0992366778546827E-2</v>
      </c>
      <c r="AA29" s="11">
        <f t="shared" si="47"/>
        <v>6.3368320931228461E-2</v>
      </c>
      <c r="AB29" s="11">
        <f t="shared" si="47"/>
        <v>8.0981392944563468E-2</v>
      </c>
      <c r="AE29" s="1" t="s">
        <v>51</v>
      </c>
      <c r="AF29" s="6">
        <f>AF27+AF28</f>
        <v>134.31329076582668</v>
      </c>
    </row>
    <row r="30" spans="2:141" x14ac:dyDescent="0.3">
      <c r="AE30" s="1" t="s">
        <v>52</v>
      </c>
      <c r="AF30" s="4">
        <f>AF29/AB21</f>
        <v>3.6399265790196935</v>
      </c>
    </row>
    <row r="31" spans="2:141" x14ac:dyDescent="0.3">
      <c r="AE31" s="1" t="s">
        <v>53</v>
      </c>
      <c r="AF31" s="4">
        <f>Main!D3</f>
        <v>7.88</v>
      </c>
    </row>
    <row r="32" spans="2:141" s="12" customFormat="1" x14ac:dyDescent="0.3">
      <c r="B32" s="12" t="s">
        <v>58</v>
      </c>
      <c r="L32" s="12">
        <f>52.4</f>
        <v>52.4</v>
      </c>
      <c r="M32" s="12">
        <v>113.1</v>
      </c>
      <c r="R32" s="12">
        <v>113.1</v>
      </c>
      <c r="AE32" s="3" t="s">
        <v>54</v>
      </c>
      <c r="AF32" s="14">
        <f>AF30/AF31-1</f>
        <v>-0.53808038337313535</v>
      </c>
    </row>
    <row r="33" spans="2:32" x14ac:dyDescent="0.3">
      <c r="AE33" s="1" t="s">
        <v>55</v>
      </c>
      <c r="AF33" s="7" t="s">
        <v>57</v>
      </c>
    </row>
    <row r="34" spans="2:32" x14ac:dyDescent="0.3">
      <c r="B34" s="1" t="s">
        <v>59</v>
      </c>
      <c r="L34" s="13"/>
      <c r="R34" s="13">
        <f>Main!$D$9/Model!R32</f>
        <v>1.8538638373121132</v>
      </c>
    </row>
    <row r="35" spans="2:32" x14ac:dyDescent="0.3">
      <c r="B35" s="1" t="s">
        <v>60</v>
      </c>
      <c r="L35" s="11"/>
      <c r="R35" s="11">
        <f>R32/Main!$D$9-1</f>
        <v>-0.46058605822427412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2025-03-20T09:05:51Z</dcterms:created>
  <dcterms:modified xsi:type="dcterms:W3CDTF">2025-11-22T12:47:06Z</dcterms:modified>
</cp:coreProperties>
</file>