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516DAB0-F8D1-4654-B3B2-6DB4D2B0BA2B}" xr6:coauthVersionLast="47" xr6:coauthVersionMax="47" xr10:uidLastSave="{00000000-0000-0000-0000-000000000000}"/>
  <bookViews>
    <workbookView xWindow="-108" yWindow="-108" windowWidth="23256" windowHeight="12576" activeTab="1" xr2:uid="{1911E082-F3EB-4149-9E06-B163ACF315B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6" i="2" l="1"/>
  <c r="L35" i="2"/>
  <c r="L33" i="2"/>
  <c r="AA27" i="2" l="1"/>
  <c r="Z27" i="2"/>
  <c r="Y27" i="2"/>
  <c r="X27" i="2"/>
  <c r="W27" i="2"/>
  <c r="V27" i="2"/>
  <c r="U27" i="2"/>
  <c r="T27" i="2"/>
  <c r="S27" i="2"/>
  <c r="R27" i="2"/>
  <c r="AB27" i="2"/>
  <c r="AA3" i="2"/>
  <c r="Z3" i="2"/>
  <c r="Y3" i="2"/>
  <c r="X3" i="2"/>
  <c r="W3" i="2"/>
  <c r="V3" i="2"/>
  <c r="U3" i="2"/>
  <c r="T3" i="2"/>
  <c r="S3" i="2"/>
  <c r="N25" i="2"/>
  <c r="M25" i="2"/>
  <c r="L25" i="2"/>
  <c r="K25" i="2"/>
  <c r="AA9" i="2"/>
  <c r="AB9" i="2" s="1"/>
  <c r="Z9" i="2"/>
  <c r="T9" i="2"/>
  <c r="S9" i="2"/>
  <c r="L5" i="2"/>
  <c r="J19" i="2"/>
  <c r="J16" i="2"/>
  <c r="J15" i="2"/>
  <c r="J14" i="2"/>
  <c r="J13" i="2"/>
  <c r="J10" i="2"/>
  <c r="J9" i="2"/>
  <c r="J8" i="2"/>
  <c r="J7" i="2"/>
  <c r="J6" i="2"/>
  <c r="J4" i="2"/>
  <c r="J3" i="2"/>
  <c r="K24" i="2" s="1"/>
  <c r="Q10" i="2"/>
  <c r="K5" i="2"/>
  <c r="D6" i="1"/>
  <c r="K21" i="2"/>
  <c r="D5" i="1"/>
  <c r="I30" i="2"/>
  <c r="H30" i="2"/>
  <c r="G30" i="2"/>
  <c r="AF32" i="2"/>
  <c r="AB17" i="2"/>
  <c r="AA17" i="2"/>
  <c r="Z17" i="2"/>
  <c r="Y17" i="2"/>
  <c r="X17" i="2"/>
  <c r="W17" i="2"/>
  <c r="V17" i="2"/>
  <c r="U17" i="2"/>
  <c r="T17" i="2"/>
  <c r="S17" i="2"/>
  <c r="Q29" i="2"/>
  <c r="Q28" i="2"/>
  <c r="R19" i="2"/>
  <c r="R16" i="2"/>
  <c r="R15" i="2"/>
  <c r="R14" i="2"/>
  <c r="R13" i="2"/>
  <c r="R10" i="2"/>
  <c r="R9" i="2"/>
  <c r="R7" i="2"/>
  <c r="R6" i="2"/>
  <c r="N17" i="2"/>
  <c r="M17" i="2"/>
  <c r="L17" i="2"/>
  <c r="K17" i="2"/>
  <c r="M11" i="2"/>
  <c r="M12" i="2" s="1"/>
  <c r="M30" i="2" s="1"/>
  <c r="K11" i="2"/>
  <c r="M8" i="2"/>
  <c r="L11" i="2"/>
  <c r="K28" i="2"/>
  <c r="K29" i="2"/>
  <c r="N29" i="2"/>
  <c r="M29" i="2"/>
  <c r="L29" i="2"/>
  <c r="M28" i="2"/>
  <c r="L28" i="2"/>
  <c r="M26" i="2"/>
  <c r="M3" i="2"/>
  <c r="L24" i="2"/>
  <c r="I24" i="2"/>
  <c r="H24" i="2"/>
  <c r="P19" i="2"/>
  <c r="P16" i="2"/>
  <c r="P15" i="2"/>
  <c r="P14" i="2"/>
  <c r="P13" i="2"/>
  <c r="P10" i="2"/>
  <c r="P9" i="2"/>
  <c r="P8" i="2"/>
  <c r="P7" i="2"/>
  <c r="P6" i="2"/>
  <c r="P4" i="2"/>
  <c r="P3" i="2"/>
  <c r="J28" i="2"/>
  <c r="I28" i="2"/>
  <c r="H28" i="2"/>
  <c r="G28" i="2"/>
  <c r="J29" i="2"/>
  <c r="J5" i="2"/>
  <c r="J26" i="2" s="1"/>
  <c r="J17" i="2"/>
  <c r="J11" i="2"/>
  <c r="H29" i="2"/>
  <c r="G29" i="2"/>
  <c r="I29" i="2"/>
  <c r="C17" i="2"/>
  <c r="C11" i="2"/>
  <c r="C5" i="2"/>
  <c r="G17" i="2"/>
  <c r="G11" i="2"/>
  <c r="G5" i="2"/>
  <c r="G26" i="2" s="1"/>
  <c r="D17" i="2"/>
  <c r="D11" i="2"/>
  <c r="D5" i="2"/>
  <c r="H17" i="2"/>
  <c r="H11" i="2"/>
  <c r="H5" i="2"/>
  <c r="H26" i="2" s="1"/>
  <c r="E17" i="2"/>
  <c r="E11" i="2"/>
  <c r="E5" i="2"/>
  <c r="I17" i="2"/>
  <c r="I11" i="2"/>
  <c r="I5" i="2"/>
  <c r="D8" i="1"/>
  <c r="AF29" i="2" s="1"/>
  <c r="F3" i="1"/>
  <c r="M18" i="2" l="1"/>
  <c r="M20" i="2" s="1"/>
  <c r="M22" i="2" s="1"/>
  <c r="N3" i="2"/>
  <c r="J24" i="2"/>
  <c r="S29" i="2"/>
  <c r="R29" i="2"/>
  <c r="K26" i="2"/>
  <c r="K12" i="2"/>
  <c r="K30" i="2" s="1"/>
  <c r="D9" i="1"/>
  <c r="R17" i="2"/>
  <c r="N24" i="2"/>
  <c r="M5" i="2"/>
  <c r="M4" i="2" s="1"/>
  <c r="M24" i="2"/>
  <c r="R3" i="2"/>
  <c r="S8" i="2" s="1"/>
  <c r="P5" i="2"/>
  <c r="I12" i="2"/>
  <c r="I18" i="2" s="1"/>
  <c r="I20" i="2" s="1"/>
  <c r="I22" i="2" s="1"/>
  <c r="P17" i="2"/>
  <c r="P11" i="2"/>
  <c r="I26" i="2"/>
  <c r="Q17" i="2"/>
  <c r="Q11" i="2"/>
  <c r="C12" i="2"/>
  <c r="C18" i="2" s="1"/>
  <c r="C20" i="2" s="1"/>
  <c r="C22" i="2" s="1"/>
  <c r="G12" i="2"/>
  <c r="G18" i="2" s="1"/>
  <c r="G20" i="2" s="1"/>
  <c r="G22" i="2" s="1"/>
  <c r="D12" i="2"/>
  <c r="D18" i="2" s="1"/>
  <c r="D20" i="2" s="1"/>
  <c r="D22" i="2" s="1"/>
  <c r="H12" i="2"/>
  <c r="H18" i="2" s="1"/>
  <c r="H20" i="2" s="1"/>
  <c r="H22" i="2" s="1"/>
  <c r="E12" i="2"/>
  <c r="E18" i="2" s="1"/>
  <c r="E20" i="2" s="1"/>
  <c r="E22" i="2" s="1"/>
  <c r="U9" i="2" l="1"/>
  <c r="V9" i="2" s="1"/>
  <c r="V29" i="2" s="1"/>
  <c r="T29" i="2"/>
  <c r="U29" i="2"/>
  <c r="N5" i="2"/>
  <c r="N8" i="2"/>
  <c r="S5" i="2"/>
  <c r="S24" i="2"/>
  <c r="K18" i="2"/>
  <c r="K20" i="2" s="1"/>
  <c r="K22" i="2" s="1"/>
  <c r="T24" i="2"/>
  <c r="R24" i="2"/>
  <c r="P12" i="2"/>
  <c r="P18" i="2" s="1"/>
  <c r="P20" i="2" s="1"/>
  <c r="P22" i="2" s="1"/>
  <c r="W9" i="2" l="1"/>
  <c r="X9" i="2" s="1"/>
  <c r="Y9" i="2" s="1"/>
  <c r="T8" i="2"/>
  <c r="T11" i="2" s="1"/>
  <c r="N4" i="2"/>
  <c r="N26" i="2"/>
  <c r="T5" i="2"/>
  <c r="T26" i="2" s="1"/>
  <c r="N11" i="2"/>
  <c r="N12" i="2" s="1"/>
  <c r="N28" i="2"/>
  <c r="R8" i="2"/>
  <c r="S28" i="2"/>
  <c r="S11" i="2"/>
  <c r="S12" i="2" s="1"/>
  <c r="S4" i="2"/>
  <c r="S26" i="2"/>
  <c r="T12" i="2" l="1"/>
  <c r="T30" i="2" s="1"/>
  <c r="W29" i="2"/>
  <c r="V24" i="2"/>
  <c r="U8" i="2"/>
  <c r="U28" i="2" s="1"/>
  <c r="U5" i="2"/>
  <c r="U26" i="2" s="1"/>
  <c r="T28" i="2"/>
  <c r="U24" i="2"/>
  <c r="T4" i="2"/>
  <c r="N30" i="2"/>
  <c r="N18" i="2"/>
  <c r="N20" i="2" s="1"/>
  <c r="N22" i="2" s="1"/>
  <c r="R11" i="2"/>
  <c r="R28" i="2"/>
  <c r="S30" i="2"/>
  <c r="S18" i="2"/>
  <c r="S20" i="2" s="1"/>
  <c r="U4" i="2"/>
  <c r="X29" i="2"/>
  <c r="V5" i="2" l="1"/>
  <c r="V26" i="2" s="1"/>
  <c r="T18" i="2"/>
  <c r="T20" i="2" s="1"/>
  <c r="T22" i="2" s="1"/>
  <c r="U11" i="2"/>
  <c r="U12" i="2" s="1"/>
  <c r="U18" i="2" s="1"/>
  <c r="U20" i="2" s="1"/>
  <c r="U22" i="2" s="1"/>
  <c r="V8" i="2"/>
  <c r="S22" i="2"/>
  <c r="V28" i="2"/>
  <c r="V11" i="2"/>
  <c r="V12" i="2" s="1"/>
  <c r="V4" i="2"/>
  <c r="Y29" i="2"/>
  <c r="U30" i="2" l="1"/>
  <c r="X8" i="2"/>
  <c r="W8" i="2"/>
  <c r="W28" i="2" s="1"/>
  <c r="W5" i="2"/>
  <c r="W26" i="2" s="1"/>
  <c r="W24" i="2"/>
  <c r="V18" i="2"/>
  <c r="V20" i="2" s="1"/>
  <c r="V30" i="2"/>
  <c r="W4" i="2"/>
  <c r="Z29" i="2"/>
  <c r="W11" i="2" l="1"/>
  <c r="X5" i="2"/>
  <c r="X26" i="2" s="1"/>
  <c r="X24" i="2"/>
  <c r="Y8" i="2"/>
  <c r="W12" i="2"/>
  <c r="W30" i="2" s="1"/>
  <c r="V22" i="2"/>
  <c r="X28" i="2"/>
  <c r="X11" i="2"/>
  <c r="AB29" i="2"/>
  <c r="AA29" i="2"/>
  <c r="X12" i="2" l="1"/>
  <c r="X18" i="2" s="1"/>
  <c r="X20" i="2" s="1"/>
  <c r="X22" i="2" s="1"/>
  <c r="X4" i="2"/>
  <c r="Y5" i="2"/>
  <c r="Y26" i="2" s="1"/>
  <c r="Y24" i="2"/>
  <c r="Z8" i="2"/>
  <c r="W18" i="2"/>
  <c r="W20" i="2" s="1"/>
  <c r="W22" i="2" s="1"/>
  <c r="Y4" i="2"/>
  <c r="Y28" i="2"/>
  <c r="Y11" i="2"/>
  <c r="Y12" i="2" s="1"/>
  <c r="X30" i="2" l="1"/>
  <c r="Z5" i="2"/>
  <c r="Z4" i="2" s="1"/>
  <c r="Z24" i="2"/>
  <c r="AA8" i="2"/>
  <c r="Y18" i="2"/>
  <c r="Y20" i="2" s="1"/>
  <c r="Y30" i="2"/>
  <c r="Z28" i="2"/>
  <c r="Z11" i="2"/>
  <c r="Z26" i="2" l="1"/>
  <c r="AA24" i="2"/>
  <c r="AB3" i="2"/>
  <c r="AB8" i="2" s="1"/>
  <c r="Z12" i="2"/>
  <c r="AA5" i="2"/>
  <c r="AA26" i="2" s="1"/>
  <c r="Y22" i="2"/>
  <c r="Z18" i="2"/>
  <c r="Z20" i="2" s="1"/>
  <c r="Z22" i="2" s="1"/>
  <c r="Z30" i="2"/>
  <c r="AA4" i="2"/>
  <c r="AA28" i="2"/>
  <c r="AA11" i="2"/>
  <c r="AB5" i="2" l="1"/>
  <c r="AB26" i="2" s="1"/>
  <c r="AA12" i="2"/>
  <c r="AA18" i="2" s="1"/>
  <c r="AA20" i="2" s="1"/>
  <c r="AA22" i="2" s="1"/>
  <c r="AB24" i="2"/>
  <c r="AB28" i="2"/>
  <c r="AB11" i="2"/>
  <c r="AA30" i="2" l="1"/>
  <c r="AB12" i="2"/>
  <c r="AB18" i="2" s="1"/>
  <c r="AB20" i="2" s="1"/>
  <c r="AB22" i="2" s="1"/>
  <c r="AB4" i="2"/>
  <c r="AB30" i="2" l="1"/>
  <c r="AC20" i="2"/>
  <c r="AD20" i="2" s="1"/>
  <c r="AE20" i="2" s="1"/>
  <c r="AF20" i="2" s="1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Q5" i="2" l="1"/>
  <c r="J12" i="2"/>
  <c r="J18" i="2" l="1"/>
  <c r="J20" i="2" s="1"/>
  <c r="J22" i="2" s="1"/>
  <c r="J30" i="2"/>
  <c r="Q12" i="2"/>
  <c r="Q26" i="2"/>
  <c r="Q18" i="2" l="1"/>
  <c r="Q20" i="2" s="1"/>
  <c r="Q22" i="2" s="1"/>
  <c r="Q30" i="2"/>
  <c r="L26" i="2" l="1"/>
  <c r="R4" i="2"/>
  <c r="R5" i="2" s="1"/>
  <c r="L12" i="2"/>
  <c r="L18" i="2" s="1"/>
  <c r="L20" i="2" s="1"/>
  <c r="L22" i="2" s="1"/>
  <c r="L30" i="2"/>
  <c r="R26" i="2" l="1"/>
  <c r="R12" i="2"/>
  <c r="R18" i="2" l="1"/>
  <c r="R20" i="2" s="1"/>
  <c r="R30" i="2"/>
  <c r="AF28" i="2" l="1"/>
  <c r="AF30" i="2" s="1"/>
  <c r="AF31" i="2" s="1"/>
  <c r="AF33" i="2" s="1"/>
  <c r="R22" i="2"/>
</calcChain>
</file>

<file path=xl/sharedStrings.xml><?xml version="1.0" encoding="utf-8"?>
<sst xmlns="http://schemas.openxmlformats.org/spreadsheetml/2006/main" count="66" uniqueCount="62">
  <si>
    <t>UMAC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</si>
  <si>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</si>
  <si>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</si>
  <si>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</si>
  <si>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</si>
  <si>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</si>
  <si>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</si>
  <si>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</si>
  <si>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</si>
  <si>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</si>
  <si>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</si>
  <si>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</si>
  <si>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Revenue</t>
  </si>
  <si>
    <t>Cost of sales</t>
  </si>
  <si>
    <t>Gross profit</t>
  </si>
  <si>
    <t>Operational expense</t>
  </si>
  <si>
    <t>R&amp;D</t>
  </si>
  <si>
    <t>S&amp;M</t>
  </si>
  <si>
    <t>G&amp;A</t>
  </si>
  <si>
    <t>D&amp;A</t>
  </si>
  <si>
    <t>Total operating expenses</t>
  </si>
  <si>
    <t>Operating profit</t>
  </si>
  <si>
    <t>Interest income</t>
  </si>
  <si>
    <t>Interest expense</t>
  </si>
  <si>
    <t>Finance expense</t>
  </si>
  <si>
    <t>Finance income</t>
  </si>
  <si>
    <t>Net finance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</si>
  <si>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</si>
  <si>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</si>
  <si>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</si>
  <si>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</si>
  <si>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</si>
  <si>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</si>
  <si>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</si>
  <si>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</si>
  <si>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</si>
  <si>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</si>
  <si>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Q424</t>
  </si>
  <si>
    <t>Revenue y/y</t>
  </si>
  <si>
    <t>Gross Margin</t>
  </si>
  <si>
    <t>G&amp;A y/y</t>
  </si>
  <si>
    <t>R&amp;D y/y</t>
  </si>
  <si>
    <t>S&amp;M Margin</t>
  </si>
  <si>
    <t>Revenue q/q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</si>
  <si>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</si>
  <si>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</si>
  <si>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</si>
  <si>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</si>
  <si>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</si>
  <si>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</si>
  <si>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</si>
  <si>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</si>
  <si>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</si>
  <si>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</si>
  <si>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</si>
  <si>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</si>
  <si>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</si>
  <si>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Operating Margin</t>
  </si>
  <si>
    <t>Heavily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</si>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</sst>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2" fontId="3" fillId="2" borderId="1" xfId="0" applyNumberFormat="1" applyFont="1" applyFill="1" applyBorder="1"/>
    <xf numFmtId="4" fontId="3" fillId="2" borderId="1" xfId="0" applyNumberFormat="1" applyFont="1" applyFill="1" applyBorder="1"/>
    <xf numFmtId="9" fontId="3" fillId="2" borderId="1" xfId="0" applyNumberFormat="1" applyFont="1" applyFill="1" applyBorder="1"/>
    <xf numFmtId="0" fontId="5" fillId="2" borderId="1" xfId="0" applyFont="1" applyFill="1" applyBorder="1"/>
    <xf numFmtId="9" fontId="5" fillId="2" borderId="1" xfId="0" applyNumberFormat="1" applyFont="1" applyFill="1" applyBorder="1"/>
    <xf numFmtId="165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0</xdr:rowOff>
    </xdr:from>
    <xdr:to>
      <xdr:col>17</xdr:col>
      <xdr:colOff>22860</xdr:colOff>
      <xdr:row>34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92BB4B-B132-7D2E-ACE9-D8574EC65345}"/>
            </a:ext>
          </a:extLst>
        </xdr:cNvPr>
        <xdr:cNvCxnSpPr/>
      </xdr:nvCxnSpPr>
      <xdr:spPr>
        <a:xfrm>
          <a:off x="11262360" y="0"/>
          <a:ext cx="0" cy="6301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</xdr:colOff>
      <xdr:row>0</xdr:row>
      <xdr:rowOff>7620</xdr:rowOff>
    </xdr:from>
    <xdr:to>
      <xdr:col>12</xdr:col>
      <xdr:colOff>38100</xdr:colOff>
      <xdr:row>34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39C60A-971D-DA90-1F9A-B916AC064999}"/>
            </a:ext>
          </a:extLst>
        </xdr:cNvPr>
        <xdr:cNvCxnSpPr/>
      </xdr:nvCxnSpPr>
      <xdr:spPr>
        <a:xfrm>
          <a:off x="822960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BE418-8661-4C51-AA5B-B10B048996D2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5546875" style="2" customWidth="1"/>
    <col min="8" max="16384" width="8.88671875" style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3" t="s">
        <v>0</v>
      </c>
      <c r="C3" s="1" t="s">
        <v>1</v>
      </c>
      <c r="D3" s="4">
        <v>14.97</v>
      </c>
      <c r="E3" s="5">
        <v>45933</v>
      </c>
      <c r="F3" s="5">
        <f ca="1">TODAY()</f>
        <v>45933</v>
      </c>
      <c r="G3" s="5">
        <v>45974</v>
      </c>
    </row>
    <row r="4" spans="2:7" x14ac:dyDescent="0.3">
      <c r="C4" s="1" t="s">
        <v>2</v>
      </c>
      <c r="D4" s="6">
        <v>30.4</v>
      </c>
      <c r="E4" s="2" t="s">
        <v>44</v>
      </c>
    </row>
    <row r="5" spans="2:7" x14ac:dyDescent="0.3">
      <c r="C5" s="1" t="s">
        <v>3</v>
      </c>
      <c r="D5" s="6">
        <f>D3*D4</f>
        <v>455.08800000000002</v>
      </c>
    </row>
    <row r="6" spans="2:7" x14ac:dyDescent="0.3">
      <c r="C6" s="1" t="s">
        <v>4</v>
      </c>
      <c r="D6" s="6">
        <f>5</f>
        <v>5</v>
      </c>
      <c r="E6" s="2" t="s">
        <v>44</v>
      </c>
    </row>
    <row r="7" spans="2:7" x14ac:dyDescent="0.3">
      <c r="C7" s="1" t="s">
        <v>5</v>
      </c>
      <c r="D7" s="6">
        <v>0</v>
      </c>
      <c r="E7" s="2" t="s">
        <v>44</v>
      </c>
    </row>
    <row r="8" spans="2:7" x14ac:dyDescent="0.3">
      <c r="C8" s="1" t="s">
        <v>6</v>
      </c>
      <c r="D8" s="6">
        <f>D6-D7</f>
        <v>5</v>
      </c>
    </row>
    <row r="9" spans="2:7" x14ac:dyDescent="0.3">
      <c r="C9" s="1" t="s">
        <v>7</v>
      </c>
      <c r="D9" s="6">
        <f>D5-D8</f>
        <v>450.08800000000002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7B56C-692C-4EF6-A389-CF69118537CB}">
  <dimension ref="B2:EK36"/>
  <sheetViews>
    <sheetView tabSelected="1" workbookViewId="0">
      <pane xSplit="2" ySplit="2" topLeftCell="C18" activePane="bottomRight" state="frozen"/>
      <selection pane="topRight" activeCell="C1" sqref="C1"/>
      <selection pane="bottomLeft" activeCell="A3" sqref="A3"/>
      <selection pane="bottomRight" activeCell="L36" sqref="L36"/>
    </sheetView>
  </sheetViews>
  <sheetFormatPr defaultRowHeight="14.4" x14ac:dyDescent="0.3"/>
  <cols>
    <col min="1" max="1" width="8.88671875" style="1"/>
    <col min="2" max="2" width="21.6640625" style="1" bestFit="1" customWidth="1"/>
    <col min="3" max="30" width="8.88671875" style="1"/>
    <col min="31" max="31" width="11.88671875" style="1" bestFit="1" customWidth="1"/>
    <col min="32" max="32" width="17.44140625" style="1" customWidth="1"/>
    <col min="33" max="16384" width="8.88671875" style="1"/>
  </cols>
  <sheetData>
    <row r="2" spans="2:28" x14ac:dyDescent="0.3">
      <c r="C2" s="7" t="s">
        <v>31</v>
      </c>
      <c r="D2" s="7" t="s">
        <v>32</v>
      </c>
      <c r="E2" s="7" t="s">
        <v>33</v>
      </c>
      <c r="F2" s="7" t="s">
        <v>34</v>
      </c>
      <c r="G2" s="7" t="s">
        <v>35</v>
      </c>
      <c r="H2" s="7" t="s">
        <v>36</v>
      </c>
      <c r="I2" s="7" t="s">
        <v>11</v>
      </c>
      <c r="J2" s="7" t="s">
        <v>37</v>
      </c>
      <c r="K2" s="7" t="s">
        <v>44</v>
      </c>
      <c r="L2" s="7" t="s">
        <v>45</v>
      </c>
      <c r="M2" s="7" t="s">
        <v>46</v>
      </c>
      <c r="N2" s="7" t="s">
        <v>47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28" s="3" customFormat="1" x14ac:dyDescent="0.3">
      <c r="B3" s="3" t="s">
        <v>12</v>
      </c>
      <c r="C3" s="8">
        <v>0</v>
      </c>
      <c r="D3" s="8">
        <v>0</v>
      </c>
      <c r="E3" s="8">
        <v>0</v>
      </c>
      <c r="G3" s="8">
        <v>0.6</v>
      </c>
      <c r="H3" s="8">
        <v>1.4</v>
      </c>
      <c r="I3" s="8">
        <v>1.5</v>
      </c>
      <c r="J3" s="8">
        <f>Q3-I3-H3-G3</f>
        <v>2.0999999999999996</v>
      </c>
      <c r="K3" s="8">
        <v>2</v>
      </c>
      <c r="L3" s="8">
        <v>2.1</v>
      </c>
      <c r="M3" s="8">
        <f>I3*2</f>
        <v>3</v>
      </c>
      <c r="N3" s="8">
        <f>J3*2</f>
        <v>4.1999999999999993</v>
      </c>
      <c r="P3" s="8">
        <f>SUM(C3:F3)</f>
        <v>0</v>
      </c>
      <c r="Q3" s="8">
        <v>5.6</v>
      </c>
      <c r="R3" s="8">
        <f>SUM(K3:N3)</f>
        <v>11.299999999999999</v>
      </c>
      <c r="S3" s="8">
        <f>R3*2</f>
        <v>22.599999999999998</v>
      </c>
      <c r="T3" s="8">
        <f>S3*1.9</f>
        <v>42.939999999999991</v>
      </c>
      <c r="U3" s="8">
        <f>T3*1.8</f>
        <v>77.291999999999987</v>
      </c>
      <c r="V3" s="8">
        <f>U3*1.7</f>
        <v>131.39639999999997</v>
      </c>
      <c r="W3" s="8">
        <f>V3*1.6</f>
        <v>210.23423999999997</v>
      </c>
      <c r="X3" s="8">
        <f>W3*1.5</f>
        <v>315.35135999999994</v>
      </c>
      <c r="Y3" s="8">
        <f>X3*1.4</f>
        <v>441.49190399999992</v>
      </c>
      <c r="Z3" s="8">
        <f>Y3*1.3</f>
        <v>573.93947519999995</v>
      </c>
      <c r="AA3" s="8">
        <f>Z3*1.2</f>
        <v>688.72737023999991</v>
      </c>
      <c r="AB3" s="8">
        <f t="shared" ref="AB3" si="0">AA3*1.2</f>
        <v>826.47284428799992</v>
      </c>
    </row>
    <row r="4" spans="2:28" x14ac:dyDescent="0.3">
      <c r="B4" s="1" t="s">
        <v>13</v>
      </c>
      <c r="C4" s="6">
        <v>0</v>
      </c>
      <c r="D4" s="6">
        <v>0</v>
      </c>
      <c r="E4" s="6">
        <v>0</v>
      </c>
      <c r="G4" s="6">
        <v>0.4</v>
      </c>
      <c r="H4" s="6">
        <v>1</v>
      </c>
      <c r="I4" s="6">
        <v>1.1000000000000001</v>
      </c>
      <c r="J4" s="6">
        <f>Q4-I4-H4-G4</f>
        <v>1.5</v>
      </c>
      <c r="K4" s="6">
        <v>1.5</v>
      </c>
      <c r="L4" s="6">
        <v>1.3</v>
      </c>
      <c r="M4" s="6">
        <f t="shared" ref="M4:N4" si="1">M3-M5</f>
        <v>2.16</v>
      </c>
      <c r="N4" s="6">
        <f t="shared" si="1"/>
        <v>3.1079999999999997</v>
      </c>
      <c r="P4" s="6">
        <f>SUM(C4:F4)</f>
        <v>0</v>
      </c>
      <c r="Q4" s="6">
        <v>4</v>
      </c>
      <c r="R4" s="6">
        <f>SUM(K4:N4)</f>
        <v>8.0679999999999996</v>
      </c>
      <c r="S4" s="6">
        <f>S3-S5</f>
        <v>15.819999999999999</v>
      </c>
      <c r="T4" s="6">
        <f t="shared" ref="T4:AB4" si="2">T3-T5</f>
        <v>30.057999999999993</v>
      </c>
      <c r="U4" s="6">
        <f t="shared" si="2"/>
        <v>54.104399999999991</v>
      </c>
      <c r="V4" s="6">
        <f t="shared" si="2"/>
        <v>91.977479999999986</v>
      </c>
      <c r="W4" s="6">
        <f t="shared" si="2"/>
        <v>147.16396799999998</v>
      </c>
      <c r="X4" s="6">
        <f t="shared" si="2"/>
        <v>220.74595199999996</v>
      </c>
      <c r="Y4" s="6">
        <f t="shared" si="2"/>
        <v>309.04433279999995</v>
      </c>
      <c r="Z4" s="6">
        <f t="shared" si="2"/>
        <v>401.75763264</v>
      </c>
      <c r="AA4" s="6">
        <f t="shared" si="2"/>
        <v>482.10915916799991</v>
      </c>
      <c r="AB4" s="6">
        <f t="shared" si="2"/>
        <v>578.53099100159989</v>
      </c>
    </row>
    <row r="5" spans="2:28" s="3" customFormat="1" x14ac:dyDescent="0.3">
      <c r="B5" s="3" t="s">
        <v>14</v>
      </c>
      <c r="C5" s="8">
        <f>C3-C4</f>
        <v>0</v>
      </c>
      <c r="D5" s="8">
        <f>D3-D4</f>
        <v>0</v>
      </c>
      <c r="E5" s="8">
        <f>E3-E4</f>
        <v>0</v>
      </c>
      <c r="G5" s="8">
        <f>G3-G4</f>
        <v>0.19999999999999996</v>
      </c>
      <c r="H5" s="8">
        <f>H3-H4</f>
        <v>0.39999999999999991</v>
      </c>
      <c r="I5" s="8">
        <f>I3-I4</f>
        <v>0.39999999999999991</v>
      </c>
      <c r="J5" s="8">
        <f>J3*0.25</f>
        <v>0.52499999999999991</v>
      </c>
      <c r="K5" s="8">
        <f>K3-K4</f>
        <v>0.5</v>
      </c>
      <c r="L5" s="8">
        <f>L3-L4</f>
        <v>0.8</v>
      </c>
      <c r="M5" s="8">
        <f>M3*0.28</f>
        <v>0.84000000000000008</v>
      </c>
      <c r="N5" s="8">
        <f>N3*0.26</f>
        <v>1.0919999999999999</v>
      </c>
      <c r="P5" s="8">
        <f>P3-P4</f>
        <v>0</v>
      </c>
      <c r="Q5" s="8">
        <f>Q3-Q4</f>
        <v>1.5999999999999996</v>
      </c>
      <c r="R5" s="8">
        <f>R3-R4</f>
        <v>3.2319999999999993</v>
      </c>
      <c r="S5" s="8">
        <f>S3*0.3</f>
        <v>6.7799999999999994</v>
      </c>
      <c r="T5" s="8">
        <f t="shared" ref="T5:AB5" si="3">T3*0.3</f>
        <v>12.881999999999996</v>
      </c>
      <c r="U5" s="8">
        <f t="shared" si="3"/>
        <v>23.187599999999996</v>
      </c>
      <c r="V5" s="8">
        <f t="shared" si="3"/>
        <v>39.418919999999993</v>
      </c>
      <c r="W5" s="8">
        <f t="shared" si="3"/>
        <v>63.070271999999989</v>
      </c>
      <c r="X5" s="8">
        <f t="shared" si="3"/>
        <v>94.605407999999983</v>
      </c>
      <c r="Y5" s="8">
        <f t="shared" si="3"/>
        <v>132.44757119999997</v>
      </c>
      <c r="Z5" s="8">
        <f t="shared" si="3"/>
        <v>172.18184255999998</v>
      </c>
      <c r="AA5" s="8">
        <f t="shared" si="3"/>
        <v>206.61821107199998</v>
      </c>
      <c r="AB5" s="8">
        <f t="shared" si="3"/>
        <v>247.94185328639998</v>
      </c>
    </row>
    <row r="6" spans="2:28" x14ac:dyDescent="0.3">
      <c r="B6" s="1" t="s">
        <v>15</v>
      </c>
      <c r="C6" s="6">
        <v>0</v>
      </c>
      <c r="D6" s="6">
        <v>0</v>
      </c>
      <c r="E6" s="6">
        <v>0</v>
      </c>
      <c r="G6" s="6">
        <v>0.1</v>
      </c>
      <c r="H6" s="6">
        <v>0.2</v>
      </c>
      <c r="I6" s="6">
        <v>0.2</v>
      </c>
      <c r="J6" s="6">
        <f t="shared" ref="J6:J10" si="4">Q6-I6-H6-G6</f>
        <v>0.50000000000000011</v>
      </c>
      <c r="K6" s="6">
        <v>0.3</v>
      </c>
      <c r="L6" s="6">
        <v>0.4</v>
      </c>
      <c r="M6" s="6">
        <v>0</v>
      </c>
      <c r="N6" s="6">
        <v>0</v>
      </c>
      <c r="P6" s="6">
        <f>SUM(C6:F6)</f>
        <v>0</v>
      </c>
      <c r="Q6" s="6">
        <v>1</v>
      </c>
      <c r="R6" s="6">
        <f>SUM(K6:N6)</f>
        <v>0.7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</row>
    <row r="7" spans="2:28" x14ac:dyDescent="0.3">
      <c r="B7" s="1" t="s">
        <v>16</v>
      </c>
      <c r="C7" s="6">
        <v>0</v>
      </c>
      <c r="D7" s="6">
        <v>0</v>
      </c>
      <c r="E7" s="6">
        <v>0</v>
      </c>
      <c r="G7" s="6">
        <v>0</v>
      </c>
      <c r="H7" s="6">
        <v>0</v>
      </c>
      <c r="I7" s="6">
        <v>0</v>
      </c>
      <c r="J7" s="6">
        <f t="shared" si="4"/>
        <v>0.1</v>
      </c>
      <c r="K7" s="6">
        <v>0</v>
      </c>
      <c r="L7" s="6">
        <v>0.1</v>
      </c>
      <c r="M7" s="6">
        <v>0</v>
      </c>
      <c r="N7" s="6">
        <v>0</v>
      </c>
      <c r="P7" s="6">
        <f>SUM(C7:F7)</f>
        <v>0</v>
      </c>
      <c r="Q7" s="6">
        <v>0.1</v>
      </c>
      <c r="R7" s="6">
        <f>SUM(K7:N7)</f>
        <v>0.1</v>
      </c>
      <c r="S7" s="6">
        <v>2</v>
      </c>
      <c r="T7" s="6">
        <v>5</v>
      </c>
      <c r="U7" s="6">
        <v>9</v>
      </c>
      <c r="V7" s="6">
        <v>13</v>
      </c>
      <c r="W7" s="6">
        <v>15</v>
      </c>
      <c r="X7" s="6">
        <v>17</v>
      </c>
      <c r="Y7" s="6">
        <v>19</v>
      </c>
      <c r="Z7" s="6">
        <v>20</v>
      </c>
      <c r="AA7" s="6">
        <v>21</v>
      </c>
      <c r="AB7" s="6">
        <v>22</v>
      </c>
    </row>
    <row r="8" spans="2:28" x14ac:dyDescent="0.3">
      <c r="B8" s="1" t="s">
        <v>17</v>
      </c>
      <c r="C8" s="6">
        <v>0</v>
      </c>
      <c r="D8" s="6">
        <v>0</v>
      </c>
      <c r="E8" s="6">
        <v>0</v>
      </c>
      <c r="G8" s="6">
        <v>0.2</v>
      </c>
      <c r="H8" s="6">
        <v>0.4</v>
      </c>
      <c r="I8" s="6">
        <v>0.3</v>
      </c>
      <c r="J8" s="6">
        <f t="shared" si="4"/>
        <v>0.2</v>
      </c>
      <c r="K8" s="6">
        <v>0.2</v>
      </c>
      <c r="L8" s="6">
        <v>0.3</v>
      </c>
      <c r="M8" s="6">
        <f t="shared" ref="M8:N8" si="5">M3*0.3</f>
        <v>0.89999999999999991</v>
      </c>
      <c r="N8" s="6">
        <f t="shared" si="5"/>
        <v>1.2599999999999998</v>
      </c>
      <c r="P8" s="6">
        <f>SUM(C8:F8)</f>
        <v>0</v>
      </c>
      <c r="Q8" s="6">
        <v>1.1000000000000001</v>
      </c>
      <c r="R8" s="6">
        <f>SUM(K8:N8)</f>
        <v>2.6599999999999997</v>
      </c>
      <c r="S8" s="6">
        <f>S3*0.25</f>
        <v>5.6499999999999995</v>
      </c>
      <c r="T8" s="6">
        <f>T3*0.23</f>
        <v>9.876199999999999</v>
      </c>
      <c r="U8" s="6">
        <f>U3*0.21</f>
        <v>16.231319999999997</v>
      </c>
      <c r="V8" s="6">
        <f>V3*0.19</f>
        <v>24.965315999999994</v>
      </c>
      <c r="W8" s="6">
        <f>W3*0.18</f>
        <v>37.842163199999995</v>
      </c>
      <c r="X8" s="6">
        <f>X3*0.17</f>
        <v>53.609731199999992</v>
      </c>
      <c r="Y8" s="6">
        <f>Y3*0.16</f>
        <v>70.638704639999986</v>
      </c>
      <c r="Z8" s="6">
        <f>Z3*0.16</f>
        <v>91.830316031999999</v>
      </c>
      <c r="AA8" s="6">
        <f>AA3*0.15</f>
        <v>103.30910553599999</v>
      </c>
      <c r="AB8" s="6">
        <f>AB3*0.14</f>
        <v>115.70619820032</v>
      </c>
    </row>
    <row r="9" spans="2:28" x14ac:dyDescent="0.3">
      <c r="B9" s="1" t="s">
        <v>18</v>
      </c>
      <c r="C9" s="6">
        <v>0.6</v>
      </c>
      <c r="D9" s="6">
        <v>0.4</v>
      </c>
      <c r="E9" s="6">
        <v>0.4</v>
      </c>
      <c r="G9" s="6">
        <v>1</v>
      </c>
      <c r="H9" s="6">
        <v>1.3</v>
      </c>
      <c r="I9" s="6">
        <v>1.4</v>
      </c>
      <c r="J9" s="6">
        <f t="shared" si="4"/>
        <v>2.6000000000000005</v>
      </c>
      <c r="K9" s="6">
        <v>3.2</v>
      </c>
      <c r="L9" s="6">
        <v>7.2</v>
      </c>
      <c r="M9" s="6">
        <v>8</v>
      </c>
      <c r="N9" s="6">
        <v>9</v>
      </c>
      <c r="P9" s="6">
        <f>SUM(C9:F9)</f>
        <v>1.4</v>
      </c>
      <c r="Q9" s="6">
        <v>6.3</v>
      </c>
      <c r="R9" s="6">
        <f>SUM(K9:N9)</f>
        <v>27.4</v>
      </c>
      <c r="S9" s="6">
        <f>R9*1.3</f>
        <v>35.619999999999997</v>
      </c>
      <c r="T9" s="6">
        <f>S9*1.2</f>
        <v>42.743999999999993</v>
      </c>
      <c r="U9" s="6">
        <f>T9*0.8</f>
        <v>34.195199999999993</v>
      </c>
      <c r="V9" s="6">
        <f>U9*0.8</f>
        <v>27.356159999999996</v>
      </c>
      <c r="W9" s="6">
        <f>V9*1.1</f>
        <v>30.091775999999996</v>
      </c>
      <c r="X9" s="6">
        <f t="shared" ref="X9:Y9" si="6">W9*1.1</f>
        <v>33.100953599999997</v>
      </c>
      <c r="Y9" s="6">
        <f t="shared" si="6"/>
        <v>36.411048960000002</v>
      </c>
      <c r="Z9" s="6">
        <f>Y9*1.05</f>
        <v>38.231601408000003</v>
      </c>
      <c r="AA9" s="6">
        <f t="shared" ref="AA9:AB9" si="7">Z9*1.05</f>
        <v>40.143181478400003</v>
      </c>
      <c r="AB9" s="6">
        <f t="shared" si="7"/>
        <v>42.150340552320003</v>
      </c>
    </row>
    <row r="10" spans="2:28" x14ac:dyDescent="0.3">
      <c r="B10" s="1" t="s">
        <v>19</v>
      </c>
      <c r="C10" s="6">
        <v>0</v>
      </c>
      <c r="D10" s="6">
        <v>0</v>
      </c>
      <c r="E10" s="6">
        <v>0</v>
      </c>
      <c r="G10" s="6">
        <v>0</v>
      </c>
      <c r="H10" s="6">
        <v>0</v>
      </c>
      <c r="I10" s="6">
        <v>0</v>
      </c>
      <c r="J10" s="6">
        <f t="shared" si="4"/>
        <v>10.199999999999999</v>
      </c>
      <c r="K10" s="6">
        <v>0</v>
      </c>
      <c r="L10" s="6">
        <v>0</v>
      </c>
      <c r="M10" s="6">
        <v>0</v>
      </c>
      <c r="N10" s="6">
        <v>0</v>
      </c>
      <c r="P10" s="6">
        <f>SUM(C10:F10)</f>
        <v>0</v>
      </c>
      <c r="Q10" s="6">
        <f>10.1+0.1</f>
        <v>10.199999999999999</v>
      </c>
      <c r="R10" s="6">
        <f>SUM(K10:N10)</f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</row>
    <row r="11" spans="2:28" x14ac:dyDescent="0.3">
      <c r="B11" s="1" t="s">
        <v>20</v>
      </c>
      <c r="C11" s="6">
        <f>SUM(C6:C10)</f>
        <v>0.6</v>
      </c>
      <c r="D11" s="6">
        <f>SUM(D6:D10)</f>
        <v>0.4</v>
      </c>
      <c r="E11" s="6">
        <f>SUM(E6:E10)</f>
        <v>0.4</v>
      </c>
      <c r="G11" s="6">
        <f>SUM(G6:G10)</f>
        <v>1.3</v>
      </c>
      <c r="H11" s="6">
        <f>SUM(H6:H10)</f>
        <v>1.9000000000000001</v>
      </c>
      <c r="I11" s="6">
        <f>SUM(I6:I10)</f>
        <v>1.9</v>
      </c>
      <c r="J11" s="6">
        <f>SUM(J6:J10)</f>
        <v>13.6</v>
      </c>
      <c r="K11" s="6">
        <f t="shared" ref="K11:N11" si="8">SUM(K6:K10)</f>
        <v>3.7</v>
      </c>
      <c r="L11" s="6">
        <f t="shared" si="8"/>
        <v>8</v>
      </c>
      <c r="M11" s="6">
        <f t="shared" si="8"/>
        <v>8.9</v>
      </c>
      <c r="N11" s="6">
        <f t="shared" si="8"/>
        <v>10.26</v>
      </c>
      <c r="P11" s="6">
        <f>SUM(P6:P10)</f>
        <v>1.4</v>
      </c>
      <c r="Q11" s="6">
        <f>SUM(Q6:Q10)</f>
        <v>18.7</v>
      </c>
      <c r="R11" s="6">
        <f>SUM(R6:R10)</f>
        <v>30.86</v>
      </c>
      <c r="S11" s="6">
        <f>SUM(S6:S10)</f>
        <v>43.269999999999996</v>
      </c>
      <c r="T11" s="6">
        <f t="shared" ref="T11:AB11" si="9">SUM(T6:T10)</f>
        <v>57.62019999999999</v>
      </c>
      <c r="U11" s="6">
        <f t="shared" si="9"/>
        <v>59.426519999999989</v>
      </c>
      <c r="V11" s="6">
        <f t="shared" si="9"/>
        <v>65.32147599999999</v>
      </c>
      <c r="W11" s="6">
        <f t="shared" si="9"/>
        <v>82.933939199999998</v>
      </c>
      <c r="X11" s="6">
        <f t="shared" si="9"/>
        <v>103.7106848</v>
      </c>
      <c r="Y11" s="6">
        <f t="shared" si="9"/>
        <v>126.04975359999999</v>
      </c>
      <c r="Z11" s="6">
        <f t="shared" si="9"/>
        <v>150.06191744</v>
      </c>
      <c r="AA11" s="6">
        <f t="shared" si="9"/>
        <v>164.45228701439999</v>
      </c>
      <c r="AB11" s="6">
        <f t="shared" si="9"/>
        <v>179.85653875264001</v>
      </c>
    </row>
    <row r="12" spans="2:28" s="3" customFormat="1" x14ac:dyDescent="0.3">
      <c r="B12" s="3" t="s">
        <v>21</v>
      </c>
      <c r="C12" s="8">
        <f>C5-C11</f>
        <v>-0.6</v>
      </c>
      <c r="D12" s="8">
        <f>D5-D11</f>
        <v>-0.4</v>
      </c>
      <c r="E12" s="8">
        <f>E5-E11</f>
        <v>-0.4</v>
      </c>
      <c r="G12" s="8">
        <f>G5-G11</f>
        <v>-1.1000000000000001</v>
      </c>
      <c r="H12" s="8">
        <f>H5-H11</f>
        <v>-1.5000000000000002</v>
      </c>
      <c r="I12" s="8">
        <f>I5-I11</f>
        <v>-1.5</v>
      </c>
      <c r="J12" s="8">
        <f>J5-J11</f>
        <v>-13.074999999999999</v>
      </c>
      <c r="K12" s="8">
        <f t="shared" ref="K12:N12" si="10">K5-K11</f>
        <v>-3.2</v>
      </c>
      <c r="L12" s="8">
        <f t="shared" si="10"/>
        <v>-7.2</v>
      </c>
      <c r="M12" s="8">
        <f t="shared" si="10"/>
        <v>-8.06</v>
      </c>
      <c r="N12" s="8">
        <f t="shared" si="10"/>
        <v>-9.1679999999999993</v>
      </c>
      <c r="P12" s="8">
        <f>P5-P11</f>
        <v>-1.4</v>
      </c>
      <c r="Q12" s="8">
        <f>Q5-Q11</f>
        <v>-17.100000000000001</v>
      </c>
      <c r="R12" s="8">
        <f>R5-R11</f>
        <v>-27.628</v>
      </c>
      <c r="S12" s="8">
        <f>S5-S11</f>
        <v>-36.489999999999995</v>
      </c>
      <c r="T12" s="8">
        <f t="shared" ref="T12:AB12" si="11">T5-T11</f>
        <v>-44.738199999999992</v>
      </c>
      <c r="U12" s="8">
        <f t="shared" si="11"/>
        <v>-36.238919999999993</v>
      </c>
      <c r="V12" s="8">
        <f t="shared" si="11"/>
        <v>-25.902555999999997</v>
      </c>
      <c r="W12" s="8">
        <f t="shared" si="11"/>
        <v>-19.863667200000009</v>
      </c>
      <c r="X12" s="8">
        <f t="shared" si="11"/>
        <v>-9.1052768000000128</v>
      </c>
      <c r="Y12" s="8">
        <f t="shared" si="11"/>
        <v>6.397817599999982</v>
      </c>
      <c r="Z12" s="8">
        <f t="shared" si="11"/>
        <v>22.119925119999976</v>
      </c>
      <c r="AA12" s="8">
        <f t="shared" si="11"/>
        <v>42.165924057599995</v>
      </c>
      <c r="AB12" s="8">
        <f t="shared" si="11"/>
        <v>68.08531453375997</v>
      </c>
    </row>
    <row r="13" spans="2:28" x14ac:dyDescent="0.3">
      <c r="B13" s="1" t="s">
        <v>22</v>
      </c>
      <c r="C13" s="6">
        <v>0</v>
      </c>
      <c r="D13" s="6">
        <v>0</v>
      </c>
      <c r="E13" s="6">
        <v>0</v>
      </c>
      <c r="G13" s="6">
        <v>0</v>
      </c>
      <c r="H13" s="6">
        <v>0</v>
      </c>
      <c r="I13" s="6">
        <v>0</v>
      </c>
      <c r="J13" s="6">
        <f t="shared" ref="J13:J16" si="12">Q13-I13-H13-G13</f>
        <v>0</v>
      </c>
      <c r="K13" s="6">
        <v>0</v>
      </c>
      <c r="L13" s="6">
        <v>-0.2</v>
      </c>
      <c r="M13" s="6">
        <v>0</v>
      </c>
      <c r="N13" s="6">
        <v>0</v>
      </c>
      <c r="P13" s="6">
        <f>SUM(C13:F13)</f>
        <v>0</v>
      </c>
      <c r="Q13" s="6">
        <v>0</v>
      </c>
      <c r="R13" s="6">
        <f>SUM(K13:N13)</f>
        <v>-0.2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</row>
    <row r="14" spans="2:28" x14ac:dyDescent="0.3">
      <c r="B14" s="1" t="s">
        <v>23</v>
      </c>
      <c r="C14" s="6">
        <v>0</v>
      </c>
      <c r="D14" s="6">
        <v>0</v>
      </c>
      <c r="E14" s="6">
        <v>0</v>
      </c>
      <c r="G14" s="6">
        <v>0</v>
      </c>
      <c r="H14" s="6">
        <v>0</v>
      </c>
      <c r="I14" s="6">
        <v>0</v>
      </c>
      <c r="J14" s="6">
        <f t="shared" si="12"/>
        <v>0.1</v>
      </c>
      <c r="K14" s="6">
        <v>0</v>
      </c>
      <c r="L14" s="6">
        <v>0</v>
      </c>
      <c r="M14" s="6">
        <v>0</v>
      </c>
      <c r="N14" s="6">
        <v>0</v>
      </c>
      <c r="P14" s="6">
        <f>SUM(C14:F14)</f>
        <v>0</v>
      </c>
      <c r="Q14" s="6">
        <v>0.1</v>
      </c>
      <c r="R14" s="6">
        <f>SUM(K14:N14)</f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</row>
    <row r="15" spans="2:28" x14ac:dyDescent="0.3">
      <c r="B15" s="1" t="s">
        <v>24</v>
      </c>
      <c r="C15" s="6">
        <v>0</v>
      </c>
      <c r="D15" s="6">
        <v>0</v>
      </c>
      <c r="E15" s="6">
        <v>0</v>
      </c>
      <c r="G15" s="6">
        <v>0</v>
      </c>
      <c r="H15" s="6">
        <v>0</v>
      </c>
      <c r="I15" s="6">
        <v>0.7</v>
      </c>
      <c r="J15" s="6">
        <f t="shared" si="12"/>
        <v>15.400000000000002</v>
      </c>
      <c r="K15" s="6">
        <v>0</v>
      </c>
      <c r="L15" s="6">
        <v>0</v>
      </c>
      <c r="M15" s="6">
        <v>0</v>
      </c>
      <c r="N15" s="6">
        <v>0</v>
      </c>
      <c r="P15" s="6">
        <f>SUM(C15:F15)</f>
        <v>0</v>
      </c>
      <c r="Q15" s="6">
        <v>16.100000000000001</v>
      </c>
      <c r="R15" s="6">
        <f>SUM(K15:N15)</f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</row>
    <row r="16" spans="2:28" x14ac:dyDescent="0.3">
      <c r="B16" s="1" t="s">
        <v>25</v>
      </c>
      <c r="C16" s="6">
        <v>0</v>
      </c>
      <c r="D16" s="6">
        <v>0</v>
      </c>
      <c r="E16" s="6">
        <v>0</v>
      </c>
      <c r="G16" s="6">
        <v>0</v>
      </c>
      <c r="H16" s="6">
        <v>0</v>
      </c>
      <c r="I16" s="6">
        <v>0</v>
      </c>
      <c r="J16" s="6">
        <f t="shared" si="12"/>
        <v>-1.3</v>
      </c>
      <c r="K16" s="6">
        <v>0</v>
      </c>
      <c r="L16" s="6">
        <v>0</v>
      </c>
      <c r="M16" s="6">
        <v>0</v>
      </c>
      <c r="N16" s="6">
        <v>0</v>
      </c>
      <c r="P16" s="6">
        <f>SUM(C16:F16)</f>
        <v>0</v>
      </c>
      <c r="Q16" s="6">
        <v>-1.3</v>
      </c>
      <c r="R16" s="6">
        <f>SUM(K16:N16)</f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</row>
    <row r="17" spans="2:141" x14ac:dyDescent="0.3">
      <c r="B17" s="1" t="s">
        <v>26</v>
      </c>
      <c r="C17" s="6">
        <f>SUM(C13:C16)</f>
        <v>0</v>
      </c>
      <c r="D17" s="6">
        <f>SUM(D13:D16)</f>
        <v>0</v>
      </c>
      <c r="E17" s="6">
        <f>SUM(E13:E16)</f>
        <v>0</v>
      </c>
      <c r="G17" s="6">
        <f>SUM(G13:G16)</f>
        <v>0</v>
      </c>
      <c r="H17" s="6">
        <f>SUM(H13:H16)</f>
        <v>0</v>
      </c>
      <c r="I17" s="6">
        <f>SUM(I13:I16)</f>
        <v>0.7</v>
      </c>
      <c r="J17" s="6">
        <f>SUM(J13:J16)</f>
        <v>14.200000000000001</v>
      </c>
      <c r="K17" s="6">
        <f t="shared" ref="K17:N17" si="13">SUM(K13:K16)</f>
        <v>0</v>
      </c>
      <c r="L17" s="6">
        <f t="shared" si="13"/>
        <v>-0.2</v>
      </c>
      <c r="M17" s="6">
        <f t="shared" si="13"/>
        <v>0</v>
      </c>
      <c r="N17" s="6">
        <f t="shared" si="13"/>
        <v>0</v>
      </c>
      <c r="P17" s="6">
        <f>SUM(P13:P16)</f>
        <v>0</v>
      </c>
      <c r="Q17" s="6">
        <f>SUM(Q13:Q16)</f>
        <v>14.900000000000002</v>
      </c>
      <c r="R17" s="6">
        <f>SUM(R13:R16)</f>
        <v>-0.2</v>
      </c>
      <c r="S17" s="6">
        <f>SUM(S13:S16)</f>
        <v>0</v>
      </c>
      <c r="T17" s="6">
        <f t="shared" ref="T17:AB17" si="14">SUM(T13:T16)</f>
        <v>0</v>
      </c>
      <c r="U17" s="6">
        <f t="shared" si="14"/>
        <v>0</v>
      </c>
      <c r="V17" s="6">
        <f t="shared" si="14"/>
        <v>0</v>
      </c>
      <c r="W17" s="6">
        <f t="shared" si="14"/>
        <v>0</v>
      </c>
      <c r="X17" s="6">
        <f t="shared" si="14"/>
        <v>0</v>
      </c>
      <c r="Y17" s="6">
        <f t="shared" si="14"/>
        <v>0</v>
      </c>
      <c r="Z17" s="6">
        <f t="shared" si="14"/>
        <v>0</v>
      </c>
      <c r="AA17" s="6">
        <f t="shared" si="14"/>
        <v>0</v>
      </c>
      <c r="AB17" s="6">
        <f t="shared" si="14"/>
        <v>0</v>
      </c>
    </row>
    <row r="18" spans="2:141" s="3" customFormat="1" x14ac:dyDescent="0.3">
      <c r="B18" s="3" t="s">
        <v>27</v>
      </c>
      <c r="C18" s="8">
        <f>C12-C17</f>
        <v>-0.6</v>
      </c>
      <c r="D18" s="8">
        <f>D12-D17</f>
        <v>-0.4</v>
      </c>
      <c r="E18" s="8">
        <f>E12-E17</f>
        <v>-0.4</v>
      </c>
      <c r="G18" s="8">
        <f>G12-G17</f>
        <v>-1.1000000000000001</v>
      </c>
      <c r="H18" s="8">
        <f>H12-H17</f>
        <v>-1.5000000000000002</v>
      </c>
      <c r="I18" s="8">
        <f>I12-I17</f>
        <v>-2.2000000000000002</v>
      </c>
      <c r="J18" s="8">
        <f>J12-J17</f>
        <v>-27.274999999999999</v>
      </c>
      <c r="K18" s="8">
        <f t="shared" ref="K18:N18" si="15">K12-K17</f>
        <v>-3.2</v>
      </c>
      <c r="L18" s="8">
        <f t="shared" si="15"/>
        <v>-7</v>
      </c>
      <c r="M18" s="8">
        <f t="shared" si="15"/>
        <v>-8.06</v>
      </c>
      <c r="N18" s="8">
        <f t="shared" si="15"/>
        <v>-9.1679999999999993</v>
      </c>
      <c r="P18" s="8">
        <f>P12-P17</f>
        <v>-1.4</v>
      </c>
      <c r="Q18" s="8">
        <f>Q12-Q17</f>
        <v>-32</v>
      </c>
      <c r="R18" s="8">
        <f>R12-R17</f>
        <v>-27.428000000000001</v>
      </c>
      <c r="S18" s="8">
        <f>S12-S17</f>
        <v>-36.489999999999995</v>
      </c>
      <c r="T18" s="8">
        <f t="shared" ref="T18:AB18" si="16">T12-T17</f>
        <v>-44.738199999999992</v>
      </c>
      <c r="U18" s="8">
        <f t="shared" si="16"/>
        <v>-36.238919999999993</v>
      </c>
      <c r="V18" s="8">
        <f t="shared" si="16"/>
        <v>-25.902555999999997</v>
      </c>
      <c r="W18" s="8">
        <f t="shared" si="16"/>
        <v>-19.863667200000009</v>
      </c>
      <c r="X18" s="8">
        <f t="shared" si="16"/>
        <v>-9.1052768000000128</v>
      </c>
      <c r="Y18" s="8">
        <f t="shared" si="16"/>
        <v>6.397817599999982</v>
      </c>
      <c r="Z18" s="8">
        <f t="shared" si="16"/>
        <v>22.119925119999976</v>
      </c>
      <c r="AA18" s="8">
        <f t="shared" si="16"/>
        <v>42.165924057599995</v>
      </c>
      <c r="AB18" s="8">
        <f t="shared" si="16"/>
        <v>68.08531453375997</v>
      </c>
    </row>
    <row r="19" spans="2:141" x14ac:dyDescent="0.3">
      <c r="B19" s="1" t="s">
        <v>28</v>
      </c>
      <c r="C19" s="6">
        <v>0</v>
      </c>
      <c r="D19" s="6">
        <v>0</v>
      </c>
      <c r="E19" s="6">
        <v>0</v>
      </c>
      <c r="G19" s="6">
        <v>0</v>
      </c>
      <c r="H19" s="6">
        <v>0</v>
      </c>
      <c r="I19" s="6">
        <v>0</v>
      </c>
      <c r="J19" s="6">
        <f>Q19-I19-H19-G19</f>
        <v>0</v>
      </c>
      <c r="K19" s="6">
        <v>0</v>
      </c>
      <c r="L19" s="6">
        <v>0</v>
      </c>
      <c r="M19" s="6">
        <v>0</v>
      </c>
      <c r="N19" s="6">
        <v>0</v>
      </c>
      <c r="P19" s="6">
        <f>SUM(C19:F19)</f>
        <v>0</v>
      </c>
      <c r="Q19" s="6">
        <v>0</v>
      </c>
      <c r="R19" s="6">
        <f>SUM(K19:N19)</f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</row>
    <row r="20" spans="2:141" s="3" customFormat="1" x14ac:dyDescent="0.3">
      <c r="B20" s="3" t="s">
        <v>29</v>
      </c>
      <c r="C20" s="8">
        <f>C18-C19</f>
        <v>-0.6</v>
      </c>
      <c r="D20" s="8">
        <f>D18-D19</f>
        <v>-0.4</v>
      </c>
      <c r="E20" s="8">
        <f>E18-E19</f>
        <v>-0.4</v>
      </c>
      <c r="G20" s="8">
        <f>G18-G19</f>
        <v>-1.1000000000000001</v>
      </c>
      <c r="H20" s="8">
        <f>H18-H19</f>
        <v>-1.5000000000000002</v>
      </c>
      <c r="I20" s="8">
        <f>I18-I19</f>
        <v>-2.2000000000000002</v>
      </c>
      <c r="J20" s="8">
        <f>J18-J19</f>
        <v>-27.274999999999999</v>
      </c>
      <c r="K20" s="8">
        <f t="shared" ref="K20:N20" si="17">K18-K19</f>
        <v>-3.2</v>
      </c>
      <c r="L20" s="8">
        <f t="shared" si="17"/>
        <v>-7</v>
      </c>
      <c r="M20" s="8">
        <f t="shared" si="17"/>
        <v>-8.06</v>
      </c>
      <c r="N20" s="8">
        <f t="shared" si="17"/>
        <v>-9.1679999999999993</v>
      </c>
      <c r="P20" s="8">
        <f>P18-P19</f>
        <v>-1.4</v>
      </c>
      <c r="Q20" s="8">
        <f>Q18-Q19</f>
        <v>-32</v>
      </c>
      <c r="R20" s="8">
        <f>R18-R19</f>
        <v>-27.428000000000001</v>
      </c>
      <c r="S20" s="8">
        <f>S18-S19</f>
        <v>-36.489999999999995</v>
      </c>
      <c r="T20" s="8">
        <f t="shared" ref="T20:AB20" si="18">T18-T19</f>
        <v>-44.738199999999992</v>
      </c>
      <c r="U20" s="8">
        <f t="shared" si="18"/>
        <v>-36.238919999999993</v>
      </c>
      <c r="V20" s="8">
        <f t="shared" si="18"/>
        <v>-25.902555999999997</v>
      </c>
      <c r="W20" s="8">
        <f t="shared" si="18"/>
        <v>-19.863667200000009</v>
      </c>
      <c r="X20" s="8">
        <f t="shared" si="18"/>
        <v>-9.1052768000000128</v>
      </c>
      <c r="Y20" s="8">
        <f t="shared" si="18"/>
        <v>6.397817599999982</v>
      </c>
      <c r="Z20" s="8">
        <f t="shared" si="18"/>
        <v>22.119925119999976</v>
      </c>
      <c r="AA20" s="8">
        <f t="shared" si="18"/>
        <v>42.165924057599995</v>
      </c>
      <c r="AB20" s="8">
        <f t="shared" si="18"/>
        <v>68.08531453375997</v>
      </c>
      <c r="AC20" s="3">
        <f>AB20*(1+$AF$26)</f>
        <v>67.404461388422376</v>
      </c>
      <c r="AD20" s="3">
        <f t="shared" ref="AD20:CO20" si="19">AC20*(1+$AF$26)</f>
        <v>66.730416774538156</v>
      </c>
      <c r="AE20" s="3">
        <f t="shared" si="19"/>
        <v>66.063112606792771</v>
      </c>
      <c r="AF20" s="3">
        <f t="shared" si="19"/>
        <v>65.402481480724845</v>
      </c>
      <c r="AG20" s="3">
        <f t="shared" si="19"/>
        <v>64.748456665917601</v>
      </c>
      <c r="AH20" s="3">
        <f t="shared" si="19"/>
        <v>64.100972099258428</v>
      </c>
      <c r="AI20" s="3">
        <f t="shared" si="19"/>
        <v>63.459962378265843</v>
      </c>
      <c r="AJ20" s="3">
        <f t="shared" si="19"/>
        <v>62.825362754483187</v>
      </c>
      <c r="AK20" s="3">
        <f t="shared" si="19"/>
        <v>62.197109126938358</v>
      </c>
      <c r="AL20" s="3">
        <f t="shared" si="19"/>
        <v>61.575138035668971</v>
      </c>
      <c r="AM20" s="3">
        <f t="shared" si="19"/>
        <v>60.959386655312279</v>
      </c>
      <c r="AN20" s="3">
        <f t="shared" si="19"/>
        <v>60.349792788759153</v>
      </c>
      <c r="AO20" s="3">
        <f t="shared" si="19"/>
        <v>59.746294860871558</v>
      </c>
      <c r="AP20" s="3">
        <f t="shared" si="19"/>
        <v>59.148831912262843</v>
      </c>
      <c r="AQ20" s="3">
        <f t="shared" si="19"/>
        <v>58.55734359314021</v>
      </c>
      <c r="AR20" s="3">
        <f t="shared" si="19"/>
        <v>57.971770157208809</v>
      </c>
      <c r="AS20" s="3">
        <f t="shared" si="19"/>
        <v>57.392052455636723</v>
      </c>
      <c r="AT20" s="3">
        <f t="shared" si="19"/>
        <v>56.818131931080352</v>
      </c>
      <c r="AU20" s="3">
        <f t="shared" si="19"/>
        <v>56.249950611769549</v>
      </c>
      <c r="AV20" s="3">
        <f t="shared" si="19"/>
        <v>55.687451105651853</v>
      </c>
      <c r="AW20" s="3">
        <f t="shared" si="19"/>
        <v>55.130576594595333</v>
      </c>
      <c r="AX20" s="3">
        <f t="shared" si="19"/>
        <v>54.579270828649378</v>
      </c>
      <c r="AY20" s="3">
        <f t="shared" si="19"/>
        <v>54.033478120362886</v>
      </c>
      <c r="AZ20" s="3">
        <f t="shared" si="19"/>
        <v>53.493143339159261</v>
      </c>
      <c r="BA20" s="3">
        <f t="shared" si="19"/>
        <v>52.958211905767669</v>
      </c>
      <c r="BB20" s="3">
        <f t="shared" si="19"/>
        <v>52.42862978670999</v>
      </c>
      <c r="BC20" s="3">
        <f t="shared" si="19"/>
        <v>51.904343488842891</v>
      </c>
      <c r="BD20" s="3">
        <f t="shared" si="19"/>
        <v>51.38530005395446</v>
      </c>
      <c r="BE20" s="3">
        <f t="shared" si="19"/>
        <v>50.871447053414911</v>
      </c>
      <c r="BF20" s="3">
        <f t="shared" si="19"/>
        <v>50.36273258288076</v>
      </c>
      <c r="BG20" s="3">
        <f t="shared" si="19"/>
        <v>49.859105257051951</v>
      </c>
      <c r="BH20" s="3">
        <f t="shared" si="19"/>
        <v>49.360514204481433</v>
      </c>
      <c r="BI20" s="3">
        <f t="shared" si="19"/>
        <v>48.866909062436619</v>
      </c>
      <c r="BJ20" s="3">
        <f t="shared" si="19"/>
        <v>48.378239971812249</v>
      </c>
      <c r="BK20" s="3">
        <f t="shared" si="19"/>
        <v>47.894457572094126</v>
      </c>
      <c r="BL20" s="3">
        <f t="shared" si="19"/>
        <v>47.415512996373181</v>
      </c>
      <c r="BM20" s="3">
        <f t="shared" si="19"/>
        <v>46.941357866409447</v>
      </c>
      <c r="BN20" s="3">
        <f t="shared" si="19"/>
        <v>46.471944287745352</v>
      </c>
      <c r="BO20" s="3">
        <f t="shared" si="19"/>
        <v>46.007224844867899</v>
      </c>
      <c r="BP20" s="3">
        <f t="shared" si="19"/>
        <v>45.547152596419217</v>
      </c>
      <c r="BQ20" s="3">
        <f t="shared" si="19"/>
        <v>45.091681070455024</v>
      </c>
      <c r="BR20" s="3">
        <f t="shared" si="19"/>
        <v>44.640764259750476</v>
      </c>
      <c r="BS20" s="3">
        <f t="shared" si="19"/>
        <v>44.19435661715297</v>
      </c>
      <c r="BT20" s="3">
        <f t="shared" si="19"/>
        <v>43.752413050981438</v>
      </c>
      <c r="BU20" s="3">
        <f t="shared" si="19"/>
        <v>43.314888920471624</v>
      </c>
      <c r="BV20" s="3">
        <f t="shared" si="19"/>
        <v>42.881740031266908</v>
      </c>
      <c r="BW20" s="3">
        <f t="shared" si="19"/>
        <v>42.452922630954241</v>
      </c>
      <c r="BX20" s="3">
        <f t="shared" si="19"/>
        <v>42.028393404644696</v>
      </c>
      <c r="BY20" s="3">
        <f t="shared" si="19"/>
        <v>41.608109470598251</v>
      </c>
      <c r="BZ20" s="3">
        <f t="shared" si="19"/>
        <v>41.192028375892271</v>
      </c>
      <c r="CA20" s="3">
        <f t="shared" si="19"/>
        <v>40.780108092133347</v>
      </c>
      <c r="CB20" s="3">
        <f t="shared" si="19"/>
        <v>40.372307011212015</v>
      </c>
      <c r="CC20" s="3">
        <f t="shared" si="19"/>
        <v>39.968583941099894</v>
      </c>
      <c r="CD20" s="3">
        <f t="shared" si="19"/>
        <v>39.568898101688895</v>
      </c>
      <c r="CE20" s="3">
        <f t="shared" si="19"/>
        <v>39.173209120672006</v>
      </c>
      <c r="CF20" s="3">
        <f t="shared" si="19"/>
        <v>38.781477029465286</v>
      </c>
      <c r="CG20" s="3">
        <f t="shared" si="19"/>
        <v>38.393662259170632</v>
      </c>
      <c r="CH20" s="3">
        <f t="shared" si="19"/>
        <v>38.009725636578928</v>
      </c>
      <c r="CI20" s="3">
        <f t="shared" si="19"/>
        <v>37.629628380213141</v>
      </c>
      <c r="CJ20" s="3">
        <f t="shared" si="19"/>
        <v>37.253332096411008</v>
      </c>
      <c r="CK20" s="3">
        <f t="shared" si="19"/>
        <v>36.880798775446898</v>
      </c>
      <c r="CL20" s="3">
        <f t="shared" si="19"/>
        <v>36.511990787692426</v>
      </c>
      <c r="CM20" s="3">
        <f t="shared" si="19"/>
        <v>36.146870879815502</v>
      </c>
      <c r="CN20" s="3">
        <f t="shared" si="19"/>
        <v>35.785402171017346</v>
      </c>
      <c r="CO20" s="3">
        <f t="shared" si="19"/>
        <v>35.427548149307171</v>
      </c>
      <c r="CP20" s="3">
        <f t="shared" ref="CP20:EK20" si="20">CO20*(1+$AF$26)</f>
        <v>35.073272667814102</v>
      </c>
      <c r="CQ20" s="3">
        <f t="shared" si="20"/>
        <v>34.722539941135963</v>
      </c>
      <c r="CR20" s="3">
        <f t="shared" si="20"/>
        <v>34.375314541724606</v>
      </c>
      <c r="CS20" s="3">
        <f t="shared" si="20"/>
        <v>34.03156139630736</v>
      </c>
      <c r="CT20" s="3">
        <f t="shared" si="20"/>
        <v>33.691245782344289</v>
      </c>
      <c r="CU20" s="3">
        <f t="shared" si="20"/>
        <v>33.354333324520844</v>
      </c>
      <c r="CV20" s="3">
        <f t="shared" si="20"/>
        <v>33.020789991275635</v>
      </c>
      <c r="CW20" s="3">
        <f t="shared" si="20"/>
        <v>32.690582091362877</v>
      </c>
      <c r="CX20" s="3">
        <f t="shared" si="20"/>
        <v>32.363676270449247</v>
      </c>
      <c r="CY20" s="3">
        <f t="shared" si="20"/>
        <v>32.040039507744751</v>
      </c>
      <c r="CZ20" s="3">
        <f t="shared" si="20"/>
        <v>31.719639112667302</v>
      </c>
      <c r="DA20" s="3">
        <f t="shared" si="20"/>
        <v>31.402442721540631</v>
      </c>
      <c r="DB20" s="3">
        <f t="shared" si="20"/>
        <v>31.088418294325223</v>
      </c>
      <c r="DC20" s="3">
        <f t="shared" si="20"/>
        <v>30.777534111381971</v>
      </c>
      <c r="DD20" s="3">
        <f t="shared" si="20"/>
        <v>30.46975877026815</v>
      </c>
      <c r="DE20" s="3">
        <f t="shared" si="20"/>
        <v>30.16506118256547</v>
      </c>
      <c r="DF20" s="3">
        <f t="shared" si="20"/>
        <v>29.863410570739816</v>
      </c>
      <c r="DG20" s="3">
        <f t="shared" si="20"/>
        <v>29.564776465032416</v>
      </c>
      <c r="DH20" s="3">
        <f t="shared" si="20"/>
        <v>29.26912870038209</v>
      </c>
      <c r="DI20" s="3">
        <f t="shared" si="20"/>
        <v>28.976437413378271</v>
      </c>
      <c r="DJ20" s="3">
        <f t="shared" si="20"/>
        <v>28.686673039244489</v>
      </c>
      <c r="DK20" s="3">
        <f t="shared" si="20"/>
        <v>28.399806308852042</v>
      </c>
      <c r="DL20" s="3">
        <f t="shared" si="20"/>
        <v>28.115808245763521</v>
      </c>
      <c r="DM20" s="3">
        <f t="shared" si="20"/>
        <v>27.834650163305884</v>
      </c>
      <c r="DN20" s="3">
        <f t="shared" si="20"/>
        <v>27.556303661672825</v>
      </c>
      <c r="DO20" s="3">
        <f t="shared" si="20"/>
        <v>27.280740625056097</v>
      </c>
      <c r="DP20" s="3">
        <f t="shared" si="20"/>
        <v>27.007933218805537</v>
      </c>
      <c r="DQ20" s="3">
        <f t="shared" si="20"/>
        <v>26.737853886617483</v>
      </c>
      <c r="DR20" s="3">
        <f t="shared" si="20"/>
        <v>26.470475347751307</v>
      </c>
      <c r="DS20" s="3">
        <f t="shared" si="20"/>
        <v>26.205770594273794</v>
      </c>
      <c r="DT20" s="3">
        <f t="shared" si="20"/>
        <v>25.943712888331056</v>
      </c>
      <c r="DU20" s="3">
        <f t="shared" si="20"/>
        <v>25.684275759447747</v>
      </c>
      <c r="DV20" s="3">
        <f t="shared" si="20"/>
        <v>25.42743300185327</v>
      </c>
      <c r="DW20" s="3">
        <f t="shared" si="20"/>
        <v>25.173158671834738</v>
      </c>
      <c r="DX20" s="3">
        <f t="shared" si="20"/>
        <v>24.921427085116392</v>
      </c>
      <c r="DY20" s="3">
        <f t="shared" si="20"/>
        <v>24.672212814265226</v>
      </c>
      <c r="DZ20" s="3">
        <f t="shared" si="20"/>
        <v>24.425490686122572</v>
      </c>
      <c r="EA20" s="3">
        <f t="shared" si="20"/>
        <v>24.181235779261346</v>
      </c>
      <c r="EB20" s="3">
        <f t="shared" si="20"/>
        <v>23.939423421468732</v>
      </c>
      <c r="EC20" s="3">
        <f t="shared" si="20"/>
        <v>23.700029187254046</v>
      </c>
      <c r="ED20" s="3">
        <f t="shared" si="20"/>
        <v>23.463028895381505</v>
      </c>
      <c r="EE20" s="3">
        <f t="shared" si="20"/>
        <v>23.228398606427689</v>
      </c>
      <c r="EF20" s="3">
        <f t="shared" si="20"/>
        <v>22.996114620363411</v>
      </c>
      <c r="EG20" s="3">
        <f t="shared" si="20"/>
        <v>22.766153474159776</v>
      </c>
      <c r="EH20" s="3">
        <f t="shared" si="20"/>
        <v>22.538491939418179</v>
      </c>
      <c r="EI20" s="3">
        <f t="shared" si="20"/>
        <v>22.313107020023999</v>
      </c>
      <c r="EJ20" s="3">
        <f t="shared" si="20"/>
        <v>22.08997594982376</v>
      </c>
      <c r="EK20" s="3">
        <f t="shared" si="20"/>
        <v>21.869076190325522</v>
      </c>
    </row>
    <row r="21" spans="2:141" x14ac:dyDescent="0.3">
      <c r="B21" s="1" t="s">
        <v>2</v>
      </c>
      <c r="C21" s="6">
        <v>3.4</v>
      </c>
      <c r="D21" s="6">
        <v>3.4</v>
      </c>
      <c r="E21" s="6">
        <v>3.2</v>
      </c>
      <c r="G21" s="6">
        <v>6.1</v>
      </c>
      <c r="H21" s="6">
        <v>6.2</v>
      </c>
      <c r="I21" s="6">
        <v>8.3000000000000007</v>
      </c>
      <c r="J21" s="6">
        <v>8.3000000000000007</v>
      </c>
      <c r="K21" s="6">
        <f>24.8</f>
        <v>24.8</v>
      </c>
      <c r="L21" s="6">
        <v>30.4</v>
      </c>
      <c r="M21" s="6">
        <v>30.4</v>
      </c>
      <c r="N21" s="6">
        <v>30.4</v>
      </c>
      <c r="P21" s="6">
        <v>3.2</v>
      </c>
      <c r="Q21" s="6">
        <v>8.3000000000000007</v>
      </c>
      <c r="R21" s="6">
        <v>30.4</v>
      </c>
      <c r="S21" s="6">
        <v>30.4</v>
      </c>
      <c r="T21" s="6">
        <v>30.4</v>
      </c>
      <c r="U21" s="6">
        <v>30.4</v>
      </c>
      <c r="V21" s="6">
        <v>30.4</v>
      </c>
      <c r="W21" s="6">
        <v>30.4</v>
      </c>
      <c r="X21" s="6">
        <v>30.4</v>
      </c>
      <c r="Y21" s="6">
        <v>30.4</v>
      </c>
      <c r="Z21" s="6">
        <v>30.4</v>
      </c>
      <c r="AA21" s="6">
        <v>30.4</v>
      </c>
      <c r="AB21" s="6">
        <v>30.4</v>
      </c>
    </row>
    <row r="22" spans="2:141" x14ac:dyDescent="0.3">
      <c r="B22" s="1" t="s">
        <v>30</v>
      </c>
      <c r="C22" s="9">
        <f>C20/C21</f>
        <v>-0.17647058823529413</v>
      </c>
      <c r="D22" s="9">
        <f>D20/D21</f>
        <v>-0.11764705882352942</v>
      </c>
      <c r="E22" s="9">
        <f>E20/E21</f>
        <v>-0.125</v>
      </c>
      <c r="G22" s="9">
        <f>G20/G21</f>
        <v>-0.18032786885245905</v>
      </c>
      <c r="H22" s="9">
        <f>H20/H21</f>
        <v>-0.24193548387096778</v>
      </c>
      <c r="I22" s="9">
        <f>I20/I21</f>
        <v>-0.26506024096385544</v>
      </c>
      <c r="J22" s="10">
        <f>J20/J21</f>
        <v>-3.2861445783132526</v>
      </c>
      <c r="K22" s="10">
        <f t="shared" ref="K22:N22" si="21">K20/K21</f>
        <v>-0.12903225806451613</v>
      </c>
      <c r="L22" s="10">
        <f t="shared" si="21"/>
        <v>-0.23026315789473686</v>
      </c>
      <c r="M22" s="10">
        <f t="shared" si="21"/>
        <v>-0.26513157894736844</v>
      </c>
      <c r="N22" s="10">
        <f t="shared" si="21"/>
        <v>-0.30157894736842106</v>
      </c>
      <c r="P22" s="9">
        <f>P20/P21</f>
        <v>-0.43749999999999994</v>
      </c>
      <c r="Q22" s="9">
        <f>Q20/Q21</f>
        <v>-3.8554216867469875</v>
      </c>
      <c r="R22" s="9">
        <f>R20/R21</f>
        <v>-0.90223684210526323</v>
      </c>
      <c r="S22" s="9">
        <f>S20/S21</f>
        <v>-1.2003289473684209</v>
      </c>
      <c r="T22" s="9">
        <f t="shared" ref="T22:AB22" si="22">T20/T21</f>
        <v>-1.4716513157894735</v>
      </c>
      <c r="U22" s="9">
        <f t="shared" si="22"/>
        <v>-1.1920697368421052</v>
      </c>
      <c r="V22" s="9">
        <f t="shared" si="22"/>
        <v>-0.85205776315789472</v>
      </c>
      <c r="W22" s="9">
        <f t="shared" si="22"/>
        <v>-0.65341010526315824</v>
      </c>
      <c r="X22" s="9">
        <f t="shared" si="22"/>
        <v>-0.29951568421052677</v>
      </c>
      <c r="Y22" s="9">
        <f t="shared" si="22"/>
        <v>0.2104545263157889</v>
      </c>
      <c r="Z22" s="9">
        <f t="shared" si="22"/>
        <v>0.72762911578947298</v>
      </c>
      <c r="AA22" s="9">
        <f t="shared" si="22"/>
        <v>1.3870369755789473</v>
      </c>
      <c r="AB22" s="9">
        <f t="shared" si="22"/>
        <v>2.239648504399999</v>
      </c>
    </row>
    <row r="24" spans="2:141" x14ac:dyDescent="0.3">
      <c r="B24" s="1" t="s">
        <v>43</v>
      </c>
      <c r="G24" s="11"/>
      <c r="H24" s="11">
        <f t="shared" ref="H24:I24" si="23">H3/G3-1</f>
        <v>1.3333333333333335</v>
      </c>
      <c r="I24" s="11">
        <f t="shared" si="23"/>
        <v>7.1428571428571397E-2</v>
      </c>
      <c r="J24" s="11">
        <f>J3/I3-1</f>
        <v>0.39999999999999969</v>
      </c>
      <c r="K24" s="11">
        <f t="shared" ref="K24:N24" si="24">K3/J3-1</f>
        <v>-4.761904761904745E-2</v>
      </c>
      <c r="L24" s="11">
        <f t="shared" si="24"/>
        <v>5.0000000000000044E-2</v>
      </c>
      <c r="M24" s="11">
        <f t="shared" si="24"/>
        <v>0.4285714285714286</v>
      </c>
      <c r="N24" s="11">
        <f t="shared" si="24"/>
        <v>0.39999999999999969</v>
      </c>
      <c r="R24" s="11">
        <f>R3/Q3-1</f>
        <v>1.0178571428571428</v>
      </c>
      <c r="S24" s="11">
        <f t="shared" ref="S24:AB24" si="25">S3/R3-1</f>
        <v>1</v>
      </c>
      <c r="T24" s="11">
        <f t="shared" si="25"/>
        <v>0.89999999999999969</v>
      </c>
      <c r="U24" s="11">
        <f t="shared" si="25"/>
        <v>0.8</v>
      </c>
      <c r="V24" s="11">
        <f t="shared" si="25"/>
        <v>0.7</v>
      </c>
      <c r="W24" s="11">
        <f t="shared" si="25"/>
        <v>0.60000000000000009</v>
      </c>
      <c r="X24" s="11">
        <f t="shared" si="25"/>
        <v>0.5</v>
      </c>
      <c r="Y24" s="11">
        <f t="shared" si="25"/>
        <v>0.39999999999999991</v>
      </c>
      <c r="Z24" s="11">
        <f t="shared" si="25"/>
        <v>0.30000000000000004</v>
      </c>
      <c r="AA24" s="11">
        <f t="shared" si="25"/>
        <v>0.19999999999999996</v>
      </c>
      <c r="AB24" s="11">
        <f t="shared" si="25"/>
        <v>0.19999999999999996</v>
      </c>
    </row>
    <row r="25" spans="2:141" x14ac:dyDescent="0.3">
      <c r="B25" s="1" t="s">
        <v>38</v>
      </c>
      <c r="K25" s="11">
        <f>K3/G3-1</f>
        <v>2.3333333333333335</v>
      </c>
      <c r="L25" s="11">
        <f t="shared" ref="L25:N25" si="26">L3/H3-1</f>
        <v>0.50000000000000022</v>
      </c>
      <c r="M25" s="11">
        <f t="shared" si="26"/>
        <v>1</v>
      </c>
      <c r="N25" s="11">
        <f t="shared" si="26"/>
        <v>1</v>
      </c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2:141" x14ac:dyDescent="0.3">
      <c r="B26" s="1" t="s">
        <v>39</v>
      </c>
      <c r="G26" s="11">
        <f t="shared" ref="G26:H26" si="27">G5/G3</f>
        <v>0.33333333333333326</v>
      </c>
      <c r="H26" s="11">
        <f t="shared" si="27"/>
        <v>0.28571428571428564</v>
      </c>
      <c r="I26" s="11">
        <f>I5/I3</f>
        <v>0.26666666666666661</v>
      </c>
      <c r="J26" s="11">
        <f>J5/J3</f>
        <v>0.25</v>
      </c>
      <c r="K26" s="11">
        <f t="shared" ref="K26:N26" si="28">K5/K3</f>
        <v>0.25</v>
      </c>
      <c r="L26" s="11">
        <f t="shared" si="28"/>
        <v>0.38095238095238093</v>
      </c>
      <c r="M26" s="11">
        <f t="shared" si="28"/>
        <v>0.28000000000000003</v>
      </c>
      <c r="N26" s="11">
        <f t="shared" si="28"/>
        <v>0.26</v>
      </c>
      <c r="Q26" s="11">
        <f t="shared" ref="Q26:R26" si="29">Q5/Q3</f>
        <v>0.28571428571428564</v>
      </c>
      <c r="R26" s="11">
        <f t="shared" si="29"/>
        <v>0.28601769911504421</v>
      </c>
      <c r="S26" s="11">
        <f t="shared" ref="S26:AB26" si="30">S5/S3</f>
        <v>0.3</v>
      </c>
      <c r="T26" s="11">
        <f t="shared" si="30"/>
        <v>0.3</v>
      </c>
      <c r="U26" s="11">
        <f t="shared" si="30"/>
        <v>0.3</v>
      </c>
      <c r="V26" s="11">
        <f t="shared" si="30"/>
        <v>0.3</v>
      </c>
      <c r="W26" s="11">
        <f t="shared" si="30"/>
        <v>0.3</v>
      </c>
      <c r="X26" s="11">
        <f t="shared" si="30"/>
        <v>0.3</v>
      </c>
      <c r="Y26" s="11">
        <f t="shared" si="30"/>
        <v>0.3</v>
      </c>
      <c r="Z26" s="11">
        <f t="shared" si="30"/>
        <v>0.3</v>
      </c>
      <c r="AA26" s="11">
        <f t="shared" si="30"/>
        <v>0.3</v>
      </c>
      <c r="AB26" s="11">
        <f t="shared" si="30"/>
        <v>0.3</v>
      </c>
      <c r="AE26" s="1" t="s">
        <v>48</v>
      </c>
      <c r="AF26" s="11">
        <v>-0.01</v>
      </c>
    </row>
    <row r="27" spans="2:141" x14ac:dyDescent="0.3">
      <c r="B27" s="1" t="s">
        <v>41</v>
      </c>
      <c r="G27" s="11"/>
      <c r="H27" s="11"/>
      <c r="I27" s="11"/>
      <c r="J27" s="11"/>
      <c r="K27" s="11"/>
      <c r="L27" s="11"/>
      <c r="M27" s="11"/>
      <c r="N27" s="11"/>
      <c r="Q27" s="11"/>
      <c r="R27" s="11">
        <f t="shared" ref="R27" si="31">R7/Q7-1</f>
        <v>0</v>
      </c>
      <c r="S27" s="11">
        <f t="shared" ref="S27" si="32">S7/R7-1</f>
        <v>19</v>
      </c>
      <c r="T27" s="11">
        <f t="shared" ref="T27" si="33">T7/S7-1</f>
        <v>1.5</v>
      </c>
      <c r="U27" s="11">
        <f t="shared" ref="U27" si="34">U7/T7-1</f>
        <v>0.8</v>
      </c>
      <c r="V27" s="11">
        <f t="shared" ref="V27" si="35">V7/U7-1</f>
        <v>0.44444444444444442</v>
      </c>
      <c r="W27" s="11">
        <f t="shared" ref="W27" si="36">W7/V7-1</f>
        <v>0.15384615384615374</v>
      </c>
      <c r="X27" s="11">
        <f t="shared" ref="X27" si="37">X7/W7-1</f>
        <v>0.1333333333333333</v>
      </c>
      <c r="Y27" s="11">
        <f t="shared" ref="Y27" si="38">Y7/X7-1</f>
        <v>0.11764705882352944</v>
      </c>
      <c r="Z27" s="11">
        <f t="shared" ref="Z27" si="39">Z7/Y7-1</f>
        <v>5.2631578947368363E-2</v>
      </c>
      <c r="AA27" s="11">
        <f t="shared" ref="AA27" si="40">AA7/Z7-1</f>
        <v>5.0000000000000044E-2</v>
      </c>
      <c r="AB27" s="11">
        <f t="shared" ref="R27:AB29" si="41">AB7/AA7-1</f>
        <v>4.7619047619047672E-2</v>
      </c>
      <c r="AE27" s="1" t="s">
        <v>49</v>
      </c>
      <c r="AF27" s="11">
        <v>0.12</v>
      </c>
    </row>
    <row r="28" spans="2:141" x14ac:dyDescent="0.3">
      <c r="B28" s="1" t="s">
        <v>42</v>
      </c>
      <c r="G28" s="11">
        <f>G8/G3</f>
        <v>0.33333333333333337</v>
      </c>
      <c r="H28" s="11">
        <f t="shared" ref="H28:J28" si="42">H8/H3</f>
        <v>0.28571428571428575</v>
      </c>
      <c r="I28" s="11">
        <f t="shared" si="42"/>
        <v>0.19999999999999998</v>
      </c>
      <c r="J28" s="11">
        <f t="shared" si="42"/>
        <v>9.5238095238095261E-2</v>
      </c>
      <c r="K28" s="11">
        <f t="shared" ref="K28:N28" si="43">K8/K3</f>
        <v>0.1</v>
      </c>
      <c r="L28" s="11">
        <f t="shared" si="43"/>
        <v>0.14285714285714285</v>
      </c>
      <c r="M28" s="11">
        <f t="shared" si="43"/>
        <v>0.3</v>
      </c>
      <c r="N28" s="11">
        <f t="shared" si="43"/>
        <v>0.3</v>
      </c>
      <c r="Q28" s="11">
        <f t="shared" ref="Q28:R28" si="44">Q8/Q3</f>
        <v>0.19642857142857145</v>
      </c>
      <c r="R28" s="11">
        <f t="shared" si="44"/>
        <v>0.23539823008849556</v>
      </c>
      <c r="S28" s="11">
        <f t="shared" ref="S28:AB28" si="45">S8/S3</f>
        <v>0.25</v>
      </c>
      <c r="T28" s="11">
        <f t="shared" si="45"/>
        <v>0.23000000000000004</v>
      </c>
      <c r="U28" s="11">
        <f t="shared" si="45"/>
        <v>0.21</v>
      </c>
      <c r="V28" s="11">
        <f t="shared" si="45"/>
        <v>0.19</v>
      </c>
      <c r="W28" s="11">
        <f t="shared" si="45"/>
        <v>0.18</v>
      </c>
      <c r="X28" s="11">
        <f t="shared" si="45"/>
        <v>0.17</v>
      </c>
      <c r="Y28" s="11">
        <f t="shared" si="45"/>
        <v>0.16</v>
      </c>
      <c r="Z28" s="11">
        <f t="shared" si="45"/>
        <v>0.16</v>
      </c>
      <c r="AA28" s="11">
        <f t="shared" si="45"/>
        <v>0.15</v>
      </c>
      <c r="AB28" s="11">
        <f t="shared" si="45"/>
        <v>0.14000000000000001</v>
      </c>
      <c r="AE28" s="1" t="s">
        <v>50</v>
      </c>
      <c r="AF28" s="6">
        <f>NPV(AF27,R20:EK20)</f>
        <v>55.431606635265183</v>
      </c>
    </row>
    <row r="29" spans="2:141" x14ac:dyDescent="0.3">
      <c r="B29" s="1" t="s">
        <v>40</v>
      </c>
      <c r="G29" s="11">
        <f t="shared" ref="G29:H29" si="46">G9/C9-1</f>
        <v>0.66666666666666674</v>
      </c>
      <c r="H29" s="11">
        <f t="shared" si="46"/>
        <v>2.25</v>
      </c>
      <c r="I29" s="11">
        <f>I9/E9-1</f>
        <v>2.4999999999999996</v>
      </c>
      <c r="J29" s="11" t="e">
        <f>J9/F9-1</f>
        <v>#DIV/0!</v>
      </c>
      <c r="K29" s="11">
        <f t="shared" ref="K29:N29" si="47">K9/G9-1</f>
        <v>2.2000000000000002</v>
      </c>
      <c r="L29" s="11">
        <f t="shared" si="47"/>
        <v>4.5384615384615383</v>
      </c>
      <c r="M29" s="11">
        <f t="shared" si="47"/>
        <v>4.7142857142857144</v>
      </c>
      <c r="N29" s="11">
        <f t="shared" si="47"/>
        <v>2.4615384615384608</v>
      </c>
      <c r="Q29" s="11">
        <f>Q9/P9-1</f>
        <v>3.5</v>
      </c>
      <c r="R29" s="11">
        <f t="shared" si="41"/>
        <v>3.3492063492063489</v>
      </c>
      <c r="S29" s="11">
        <f t="shared" si="41"/>
        <v>0.30000000000000004</v>
      </c>
      <c r="T29" s="11">
        <f t="shared" si="41"/>
        <v>0.19999999999999996</v>
      </c>
      <c r="U29" s="11">
        <f t="shared" si="41"/>
        <v>-0.20000000000000007</v>
      </c>
      <c r="V29" s="11">
        <f t="shared" si="41"/>
        <v>-0.19999999999999996</v>
      </c>
      <c r="W29" s="11">
        <f t="shared" si="41"/>
        <v>0.10000000000000009</v>
      </c>
      <c r="X29" s="11">
        <f t="shared" si="41"/>
        <v>0.10000000000000009</v>
      </c>
      <c r="Y29" s="11">
        <f t="shared" si="41"/>
        <v>0.10000000000000009</v>
      </c>
      <c r="Z29" s="11">
        <f t="shared" si="41"/>
        <v>5.0000000000000044E-2</v>
      </c>
      <c r="AA29" s="11">
        <f t="shared" si="41"/>
        <v>5.0000000000000044E-2</v>
      </c>
      <c r="AB29" s="11">
        <f t="shared" si="41"/>
        <v>5.0000000000000044E-2</v>
      </c>
      <c r="AE29" s="1" t="s">
        <v>51</v>
      </c>
      <c r="AF29" s="6">
        <f>Main!D8</f>
        <v>5</v>
      </c>
    </row>
    <row r="30" spans="2:141" x14ac:dyDescent="0.3">
      <c r="B30" s="1" t="s">
        <v>57</v>
      </c>
      <c r="G30" s="11">
        <f>G12/G3</f>
        <v>-1.8333333333333335</v>
      </c>
      <c r="H30" s="11">
        <f t="shared" ref="H30:N30" si="48">H12/H3</f>
        <v>-1.0714285714285716</v>
      </c>
      <c r="I30" s="11">
        <f t="shared" si="48"/>
        <v>-1</v>
      </c>
      <c r="J30" s="11">
        <f t="shared" si="48"/>
        <v>-6.2261904761904772</v>
      </c>
      <c r="K30" s="11">
        <f t="shared" si="48"/>
        <v>-1.6</v>
      </c>
      <c r="L30" s="11">
        <f t="shared" si="48"/>
        <v>-3.4285714285714284</v>
      </c>
      <c r="M30" s="11">
        <f t="shared" si="48"/>
        <v>-2.686666666666667</v>
      </c>
      <c r="N30" s="11">
        <f t="shared" si="48"/>
        <v>-2.1828571428571428</v>
      </c>
      <c r="Q30" s="11">
        <f t="shared" ref="Q30:AB30" si="49">Q12/Q3</f>
        <v>-3.0535714285714288</v>
      </c>
      <c r="R30" s="11">
        <f t="shared" si="49"/>
        <v>-2.4449557522123895</v>
      </c>
      <c r="S30" s="11">
        <f t="shared" si="49"/>
        <v>-1.6146017699115043</v>
      </c>
      <c r="T30" s="11">
        <f t="shared" si="49"/>
        <v>-1.041877037727061</v>
      </c>
      <c r="U30" s="11">
        <f t="shared" si="49"/>
        <v>-0.46885732029188015</v>
      </c>
      <c r="V30" s="11">
        <f t="shared" si="49"/>
        <v>-0.19713291992779103</v>
      </c>
      <c r="W30" s="11">
        <f t="shared" si="49"/>
        <v>-9.448350183110045E-2</v>
      </c>
      <c r="X30" s="11">
        <f t="shared" si="49"/>
        <v>-2.8873434381256561E-2</v>
      </c>
      <c r="Y30" s="11">
        <f t="shared" si="49"/>
        <v>1.4491358826820034E-2</v>
      </c>
      <c r="Z30" s="11">
        <f t="shared" si="49"/>
        <v>3.8540518775593668E-2</v>
      </c>
      <c r="AA30" s="11">
        <f t="shared" si="49"/>
        <v>6.1222953928644498E-2</v>
      </c>
      <c r="AB30" s="11">
        <f t="shared" si="49"/>
        <v>8.2380582743060302E-2</v>
      </c>
      <c r="AE30" s="1" t="s">
        <v>52</v>
      </c>
      <c r="AF30" s="6">
        <f>AF28+AF29</f>
        <v>60.431606635265183</v>
      </c>
    </row>
    <row r="31" spans="2:141" x14ac:dyDescent="0.3">
      <c r="AE31" s="1" t="s">
        <v>53</v>
      </c>
      <c r="AF31" s="4">
        <f>AF30/AB21</f>
        <v>1.9878817972126706</v>
      </c>
    </row>
    <row r="32" spans="2:141" x14ac:dyDescent="0.3">
      <c r="AE32" s="1" t="s">
        <v>54</v>
      </c>
      <c r="AF32" s="4">
        <f>Main!D3</f>
        <v>14.97</v>
      </c>
    </row>
    <row r="33" spans="2:32" s="12" customFormat="1" x14ac:dyDescent="0.3">
      <c r="B33" s="12" t="s">
        <v>59</v>
      </c>
      <c r="L33" s="12">
        <f>52.4</f>
        <v>52.4</v>
      </c>
      <c r="AE33" s="12" t="s">
        <v>55</v>
      </c>
      <c r="AF33" s="13">
        <f>AF31/AF32-1</f>
        <v>-0.86720896478205278</v>
      </c>
    </row>
    <row r="34" spans="2:32" x14ac:dyDescent="0.3">
      <c r="AE34" s="1" t="s">
        <v>56</v>
      </c>
      <c r="AF34" s="7" t="s">
        <v>58</v>
      </c>
    </row>
    <row r="35" spans="2:32" x14ac:dyDescent="0.3">
      <c r="B35" s="1" t="s">
        <v>60</v>
      </c>
      <c r="L35" s="14">
        <f>Main!D9/Model!L33</f>
        <v>8.5894656488549632</v>
      </c>
    </row>
    <row r="36" spans="2:32" x14ac:dyDescent="0.3">
      <c r="B36" s="1" t="s">
        <v>61</v>
      </c>
      <c r="L36" s="11">
        <f>L33/Main!D9-1</f>
        <v>-0.88357832246138535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2025-03-20T09:05:51Z</dcterms:created>
  <dcterms:modified xsi:type="dcterms:W3CDTF">2025-10-03T10:36:27Z</dcterms:modified>
</cp:coreProperties>
</file>