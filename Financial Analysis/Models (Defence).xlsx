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B7772C00-9AF1-4144-A203-CA594C9D1528}" xr6:coauthVersionLast="47" xr6:coauthVersionMax="47" xr10:uidLastSave="{00000000-0000-0000-0000-000000000000}"/>
  <bookViews>
    <workbookView xWindow="-108" yWindow="-108" windowWidth="23256" windowHeight="12576" activeTab="5" xr2:uid="{C6AEFCEA-ADAE-4BFE-85FB-A83490FE9071}"/>
  </bookViews>
  <sheets>
    <sheet name="Main" sheetId="1" r:id="rId1"/>
    <sheet name="FY2026 DoD Budget Materials" sheetId="2" r:id="rId2"/>
    <sheet name="DoD Products" sheetId="3" r:id="rId3"/>
    <sheet name="Future Products" sheetId="4" r:id="rId4"/>
    <sheet name="RawData" sheetId="6" r:id="rId5"/>
    <sheet name="PivotTable" sheetId="10" r:id="rId6"/>
    <sheet name="Subsidiaries" sheetId="11" r:id="rId7"/>
    <sheet name="ProgramBreakdown" sheetId="7" r:id="rId8"/>
    <sheet name="Wargaming" sheetId="1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</externalReferences>
  <calcPr calcId="191029"/>
  <pivotCaches>
    <pivotCache cacheId="8" r:id="rId3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5" i="1" l="1"/>
  <c r="Y25" i="1"/>
  <c r="X25" i="1"/>
  <c r="M789" i="6" l="1"/>
  <c r="P789" i="6" s="1"/>
  <c r="M788" i="6"/>
  <c r="P788" i="6" s="1"/>
  <c r="M787" i="6"/>
  <c r="P787" i="6" s="1"/>
  <c r="M786" i="6"/>
  <c r="P786" i="6" s="1"/>
  <c r="M785" i="6"/>
  <c r="P785" i="6" s="1"/>
  <c r="M784" i="6"/>
  <c r="P784" i="6" s="1"/>
  <c r="M783" i="6"/>
  <c r="P783" i="6" s="1"/>
  <c r="M782" i="6"/>
  <c r="P782" i="6" s="1"/>
  <c r="M781" i="6"/>
  <c r="P781" i="6" s="1"/>
  <c r="M780" i="6"/>
  <c r="P780" i="6" s="1"/>
  <c r="M779" i="6"/>
  <c r="P779" i="6" s="1"/>
  <c r="M778" i="6"/>
  <c r="P778" i="6" s="1"/>
  <c r="M777" i="6"/>
  <c r="P777" i="6" s="1"/>
  <c r="M776" i="6"/>
  <c r="P776" i="6" s="1"/>
  <c r="M775" i="6"/>
  <c r="P775" i="6" s="1"/>
  <c r="M774" i="6"/>
  <c r="P774" i="6" s="1"/>
  <c r="M773" i="6"/>
  <c r="P773" i="6" s="1"/>
  <c r="M772" i="6"/>
  <c r="P772" i="6" s="1"/>
  <c r="M771" i="6"/>
  <c r="P771" i="6" s="1"/>
  <c r="M770" i="6"/>
  <c r="P770" i="6" s="1"/>
  <c r="M769" i="6"/>
  <c r="P769" i="6" s="1"/>
  <c r="M768" i="6"/>
  <c r="P768" i="6" s="1"/>
  <c r="M767" i="6"/>
  <c r="P767" i="6" s="1"/>
  <c r="M766" i="6"/>
  <c r="P766" i="6" s="1"/>
  <c r="M765" i="6"/>
  <c r="P765" i="6" s="1"/>
  <c r="M764" i="6"/>
  <c r="P764" i="6" s="1"/>
  <c r="M763" i="6"/>
  <c r="P763" i="6" s="1"/>
  <c r="M762" i="6"/>
  <c r="P762" i="6" s="1"/>
  <c r="Y5" i="1"/>
  <c r="X5" i="1"/>
  <c r="AJ15" i="1" l="1"/>
  <c r="AI15" i="1"/>
  <c r="AH15" i="1"/>
  <c r="AG15" i="1"/>
  <c r="AF15" i="1"/>
  <c r="AD15" i="1"/>
  <c r="Y15" i="1"/>
  <c r="X15" i="1"/>
  <c r="AM21" i="1" l="1"/>
  <c r="AK21" i="1"/>
  <c r="AJ21" i="1"/>
  <c r="Q21" i="1"/>
  <c r="P21" i="1"/>
  <c r="O21" i="1"/>
  <c r="N21" i="1"/>
  <c r="AJ8" i="1" l="1"/>
  <c r="AI8" i="1"/>
  <c r="AH8" i="1"/>
  <c r="AG8" i="1"/>
  <c r="AF8" i="1"/>
  <c r="AA8" i="1"/>
  <c r="AJ7" i="1" l="1"/>
  <c r="AA7" i="1"/>
  <c r="AJ5" i="1" l="1"/>
  <c r="AJ6" i="1" l="1"/>
  <c r="AG6" i="1"/>
  <c r="AF6" i="1"/>
  <c r="AD6" i="1"/>
  <c r="Y6" i="1" l="1"/>
  <c r="X6" i="1"/>
  <c r="AA6" i="1"/>
  <c r="AJ22" i="1" l="1"/>
  <c r="AI22" i="1"/>
  <c r="AH22" i="1"/>
  <c r="AG22" i="1"/>
  <c r="AF22" i="1"/>
  <c r="AD22" i="1"/>
  <c r="Y22" i="1"/>
  <c r="X22" i="1"/>
  <c r="AA22" i="1"/>
  <c r="AB22" i="1" l="1"/>
  <c r="AA11" i="1"/>
  <c r="Y11" i="1"/>
  <c r="X11" i="1"/>
  <c r="AA10" i="1" l="1"/>
  <c r="AJ10" i="1"/>
  <c r="AI10" i="1"/>
  <c r="AH10" i="1"/>
  <c r="AG10" i="1"/>
  <c r="AF10" i="1"/>
  <c r="AR28" i="1"/>
  <c r="AQ28" i="1"/>
  <c r="AM19" i="1" l="1"/>
  <c r="AK19" i="1"/>
  <c r="AJ19" i="1"/>
  <c r="AI19" i="1"/>
  <c r="AH19" i="1"/>
  <c r="AG19" i="1"/>
  <c r="AF19" i="1"/>
  <c r="AD19" i="1"/>
  <c r="W19" i="1"/>
  <c r="Q19" i="1"/>
  <c r="V19" i="1" s="1"/>
  <c r="P19" i="1"/>
  <c r="U19" i="1" s="1"/>
  <c r="O19" i="1"/>
  <c r="T19" i="1" s="1"/>
  <c r="N19" i="1"/>
  <c r="S19" i="1" s="1"/>
  <c r="E19" i="1"/>
  <c r="D19" i="1"/>
  <c r="AR21" i="1"/>
  <c r="AQ21" i="1"/>
  <c r="AL21" i="1" l="1"/>
  <c r="AE19" i="1"/>
  <c r="AL19" i="1" l="1"/>
  <c r="Y4" i="1" l="1"/>
  <c r="X4" i="1"/>
  <c r="AA4" i="1"/>
  <c r="M761" i="6" l="1"/>
  <c r="P761" i="6" s="1"/>
  <c r="M760" i="6"/>
  <c r="P760" i="6" s="1"/>
  <c r="M759" i="6"/>
  <c r="P759" i="6" s="1"/>
  <c r="M758" i="6"/>
  <c r="P758" i="6" s="1"/>
  <c r="M757" i="6"/>
  <c r="P757" i="6" s="1"/>
  <c r="M756" i="6"/>
  <c r="P756" i="6" s="1"/>
  <c r="M755" i="6"/>
  <c r="P755" i="6" s="1"/>
  <c r="M754" i="6"/>
  <c r="P754" i="6" s="1"/>
  <c r="M753" i="6"/>
  <c r="P753" i="6" s="1"/>
  <c r="M752" i="6"/>
  <c r="P752" i="6" s="1"/>
  <c r="M751" i="6"/>
  <c r="P751" i="6" s="1"/>
  <c r="P748" i="6" l="1"/>
  <c r="P749" i="6"/>
  <c r="P750" i="6"/>
  <c r="P747" i="6"/>
  <c r="P746" i="6"/>
  <c r="P745" i="6"/>
  <c r="P742" i="6"/>
  <c r="P743" i="6"/>
  <c r="P744" i="6"/>
  <c r="P738" i="6"/>
  <c r="P739" i="6"/>
  <c r="P740" i="6"/>
  <c r="P734" i="6"/>
  <c r="P735" i="6"/>
  <c r="P736" i="6"/>
  <c r="P730" i="6"/>
  <c r="P731" i="6"/>
  <c r="P732" i="6"/>
  <c r="P726" i="6"/>
  <c r="P727" i="6"/>
  <c r="P728" i="6"/>
  <c r="P722" i="6"/>
  <c r="P723" i="6"/>
  <c r="P724" i="6"/>
  <c r="P741" i="6"/>
  <c r="P737" i="6"/>
  <c r="P733" i="6"/>
  <c r="P729" i="6"/>
  <c r="P725" i="6"/>
  <c r="P721" i="6"/>
  <c r="P718" i="6"/>
  <c r="P719" i="6"/>
  <c r="P720" i="6"/>
  <c r="P714" i="6"/>
  <c r="P715" i="6"/>
  <c r="P716" i="6"/>
  <c r="P710" i="6"/>
  <c r="P711" i="6"/>
  <c r="P712" i="6"/>
  <c r="P706" i="6"/>
  <c r="P707" i="6"/>
  <c r="P708" i="6"/>
  <c r="P702" i="6"/>
  <c r="P703" i="6"/>
  <c r="P704" i="6"/>
  <c r="P698" i="6"/>
  <c r="P699" i="6"/>
  <c r="P700" i="6"/>
  <c r="P694" i="6"/>
  <c r="P695" i="6"/>
  <c r="P696" i="6"/>
  <c r="P690" i="6"/>
  <c r="P691" i="6"/>
  <c r="P692" i="6"/>
  <c r="P686" i="6"/>
  <c r="P687" i="6"/>
  <c r="P688" i="6"/>
  <c r="P682" i="6"/>
  <c r="P683" i="6"/>
  <c r="P684" i="6"/>
  <c r="P678" i="6"/>
  <c r="P679" i="6"/>
  <c r="P680" i="6"/>
  <c r="P674" i="6"/>
  <c r="P675" i="6"/>
  <c r="P676" i="6"/>
  <c r="P717" i="6"/>
  <c r="P713" i="6"/>
  <c r="P709" i="6"/>
  <c r="P705" i="6"/>
  <c r="P701" i="6"/>
  <c r="P697" i="6"/>
  <c r="P693" i="6"/>
  <c r="P689" i="6"/>
  <c r="P685" i="6"/>
  <c r="P681" i="6"/>
  <c r="P677" i="6"/>
  <c r="P673" i="6"/>
  <c r="P670" i="6"/>
  <c r="P671" i="6"/>
  <c r="P672" i="6"/>
  <c r="P666" i="6"/>
  <c r="P667" i="6"/>
  <c r="P668" i="6"/>
  <c r="P662" i="6"/>
  <c r="P663" i="6"/>
  <c r="P664" i="6"/>
  <c r="P658" i="6"/>
  <c r="P659" i="6"/>
  <c r="P660" i="6"/>
  <c r="P654" i="6"/>
  <c r="P655" i="6"/>
  <c r="P656" i="6"/>
  <c r="P650" i="6"/>
  <c r="P651" i="6"/>
  <c r="P652" i="6"/>
  <c r="P669" i="6"/>
  <c r="P665" i="6"/>
  <c r="P661" i="6"/>
  <c r="P657" i="6"/>
  <c r="P653" i="6"/>
  <c r="P649" i="6"/>
  <c r="P648" i="6"/>
  <c r="P647" i="6"/>
  <c r="P646" i="6"/>
  <c r="P642" i="6"/>
  <c r="P643" i="6"/>
  <c r="P644" i="6"/>
  <c r="P638" i="6"/>
  <c r="P639" i="6"/>
  <c r="P640" i="6"/>
  <c r="P634" i="6"/>
  <c r="P635" i="6"/>
  <c r="P636" i="6"/>
  <c r="P630" i="6"/>
  <c r="P631" i="6"/>
  <c r="P632" i="6"/>
  <c r="P645" i="6"/>
  <c r="P641" i="6"/>
  <c r="P637" i="6"/>
  <c r="P633" i="6"/>
  <c r="P629" i="6"/>
  <c r="P628" i="6"/>
  <c r="P627" i="6"/>
  <c r="P626" i="6"/>
  <c r="P625" i="6"/>
  <c r="P624" i="6"/>
  <c r="P618" i="6"/>
  <c r="P619" i="6"/>
  <c r="P620" i="6"/>
  <c r="P621" i="6"/>
  <c r="P622" i="6"/>
  <c r="P612" i="6"/>
  <c r="P613" i="6"/>
  <c r="P614" i="6"/>
  <c r="P615" i="6"/>
  <c r="P616" i="6"/>
  <c r="P606" i="6"/>
  <c r="P607" i="6"/>
  <c r="P608" i="6"/>
  <c r="P609" i="6"/>
  <c r="P610" i="6"/>
  <c r="P600" i="6"/>
  <c r="P601" i="6"/>
  <c r="P602" i="6"/>
  <c r="P603" i="6"/>
  <c r="P604" i="6"/>
  <c r="P594" i="6"/>
  <c r="P595" i="6"/>
  <c r="P596" i="6"/>
  <c r="P597" i="6"/>
  <c r="P598" i="6"/>
  <c r="P623" i="6"/>
  <c r="P617" i="6"/>
  <c r="P611" i="6"/>
  <c r="P605" i="6"/>
  <c r="P599" i="6"/>
  <c r="P593" i="6"/>
  <c r="P592" i="6"/>
  <c r="P591" i="6"/>
  <c r="P590" i="6"/>
  <c r="P589" i="6"/>
  <c r="P588" i="6"/>
  <c r="P587" i="6"/>
  <c r="P586" i="6"/>
  <c r="P585" i="6"/>
  <c r="P584" i="6"/>
  <c r="P583" i="6"/>
  <c r="P582" i="6"/>
  <c r="P581" i="6"/>
  <c r="P580" i="6"/>
  <c r="P579" i="6"/>
  <c r="P578" i="6"/>
  <c r="P577" i="6"/>
  <c r="P576" i="6"/>
  <c r="P575" i="6"/>
  <c r="P574" i="6"/>
  <c r="P573" i="6"/>
  <c r="P572" i="6"/>
  <c r="P571" i="6"/>
  <c r="P570" i="6"/>
  <c r="P569" i="6"/>
  <c r="P568" i="6"/>
  <c r="P567" i="6"/>
  <c r="P566" i="6"/>
  <c r="P565" i="6"/>
  <c r="P564" i="6"/>
  <c r="P563" i="6"/>
  <c r="P562" i="6"/>
  <c r="P561" i="6"/>
  <c r="P560" i="6"/>
  <c r="P559" i="6"/>
  <c r="P558" i="6"/>
  <c r="P557" i="6"/>
  <c r="P554" i="6"/>
  <c r="P555" i="6"/>
  <c r="P556" i="6"/>
  <c r="P552" i="6"/>
  <c r="P553" i="6"/>
  <c r="P551" i="6"/>
  <c r="P550" i="6"/>
  <c r="P549" i="6"/>
  <c r="P548" i="6"/>
  <c r="P544" i="6"/>
  <c r="P545" i="6"/>
  <c r="P546" i="6"/>
  <c r="P547" i="6"/>
  <c r="P539" i="6"/>
  <c r="P540" i="6"/>
  <c r="P541" i="6"/>
  <c r="P542" i="6"/>
  <c r="P534" i="6"/>
  <c r="P535" i="6"/>
  <c r="P536" i="6"/>
  <c r="P537" i="6"/>
  <c r="P529" i="6"/>
  <c r="P530" i="6"/>
  <c r="P531" i="6"/>
  <c r="P532" i="6"/>
  <c r="P524" i="6"/>
  <c r="P525" i="6"/>
  <c r="P526" i="6"/>
  <c r="P527" i="6"/>
  <c r="P519" i="6"/>
  <c r="P516" i="6"/>
  <c r="P510" i="6"/>
  <c r="P504" i="6"/>
  <c r="P499" i="6"/>
  <c r="P494" i="6"/>
  <c r="P491" i="6"/>
  <c r="P520" i="6"/>
  <c r="P521" i="6"/>
  <c r="P522" i="6"/>
  <c r="P514" i="6"/>
  <c r="P515" i="6"/>
  <c r="P517" i="6"/>
  <c r="P509" i="6"/>
  <c r="P511" i="6"/>
  <c r="P512" i="6"/>
  <c r="P505" i="6"/>
  <c r="P506" i="6"/>
  <c r="P507" i="6"/>
  <c r="P500" i="6"/>
  <c r="P501" i="6"/>
  <c r="P502" i="6"/>
  <c r="P495" i="6"/>
  <c r="P496" i="6"/>
  <c r="P497" i="6"/>
  <c r="P489" i="6"/>
  <c r="P490" i="6"/>
  <c r="P492" i="6"/>
  <c r="P543" i="6"/>
  <c r="P538" i="6"/>
  <c r="P533" i="6"/>
  <c r="P528" i="6"/>
  <c r="P523" i="6"/>
  <c r="P518" i="6"/>
  <c r="P513" i="6"/>
  <c r="P508" i="6"/>
  <c r="P503" i="6"/>
  <c r="P498" i="6"/>
  <c r="P493" i="6"/>
  <c r="P488" i="6"/>
  <c r="P487" i="6"/>
  <c r="P486" i="6"/>
  <c r="P485" i="6"/>
  <c r="P484" i="6"/>
  <c r="P483" i="6"/>
  <c r="P482" i="6"/>
  <c r="P481" i="6"/>
  <c r="P480" i="6"/>
  <c r="P479" i="6"/>
  <c r="P478" i="6"/>
  <c r="P477" i="6"/>
  <c r="P476" i="6"/>
  <c r="P475" i="6"/>
  <c r="P474" i="6"/>
  <c r="P473" i="6"/>
  <c r="P461" i="6"/>
  <c r="P470" i="6"/>
  <c r="P471" i="6"/>
  <c r="P472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266" i="6"/>
  <c r="P266" i="6" s="1"/>
  <c r="M267" i="6"/>
  <c r="P267" i="6" s="1"/>
  <c r="M268" i="6"/>
  <c r="P268" i="6" s="1"/>
  <c r="M269" i="6"/>
  <c r="P269" i="6" s="1"/>
  <c r="M270" i="6"/>
  <c r="P270" i="6" s="1"/>
  <c r="M271" i="6"/>
  <c r="P271" i="6" s="1"/>
  <c r="M272" i="6"/>
  <c r="P272" i="6" s="1"/>
  <c r="M273" i="6"/>
  <c r="P273" i="6" s="1"/>
  <c r="M274" i="6"/>
  <c r="P274" i="6" s="1"/>
  <c r="M275" i="6"/>
  <c r="P275" i="6" s="1"/>
  <c r="M276" i="6"/>
  <c r="P276" i="6" s="1"/>
  <c r="M277" i="6"/>
  <c r="P277" i="6" s="1"/>
  <c r="M338" i="6"/>
  <c r="P338" i="6" s="1"/>
  <c r="M339" i="6"/>
  <c r="P339" i="6" s="1"/>
  <c r="M340" i="6"/>
  <c r="P340" i="6" s="1"/>
  <c r="M341" i="6"/>
  <c r="P341" i="6" s="1"/>
  <c r="M342" i="6"/>
  <c r="P342" i="6" s="1"/>
  <c r="M343" i="6"/>
  <c r="P343" i="6" s="1"/>
  <c r="M434" i="6"/>
  <c r="P434" i="6" s="1"/>
  <c r="M435" i="6"/>
  <c r="P435" i="6" s="1"/>
  <c r="P465" i="6"/>
  <c r="P466" i="6"/>
  <c r="P467" i="6"/>
  <c r="P468" i="6"/>
  <c r="P459" i="6"/>
  <c r="P460" i="6"/>
  <c r="P462" i="6"/>
  <c r="P463" i="6"/>
  <c r="P454" i="6"/>
  <c r="P455" i="6"/>
  <c r="P456" i="6"/>
  <c r="P457" i="6"/>
  <c r="P449" i="6"/>
  <c r="P450" i="6"/>
  <c r="P451" i="6"/>
  <c r="P452" i="6"/>
  <c r="P444" i="6"/>
  <c r="P445" i="6"/>
  <c r="P446" i="6"/>
  <c r="P447" i="6"/>
  <c r="P469" i="6"/>
  <c r="P464" i="6"/>
  <c r="P458" i="6"/>
  <c r="P453" i="6"/>
  <c r="P448" i="6"/>
  <c r="P443" i="6"/>
  <c r="P442" i="6"/>
  <c r="P441" i="6"/>
  <c r="P440" i="6"/>
  <c r="P439" i="6"/>
  <c r="P438" i="6"/>
  <c r="P436" i="6"/>
  <c r="P431" i="6"/>
  <c r="P429" i="6"/>
  <c r="P437" i="6"/>
  <c r="P433" i="6"/>
  <c r="P432" i="6"/>
  <c r="P430" i="6"/>
  <c r="P428" i="6"/>
  <c r="P427" i="6"/>
  <c r="P426" i="6"/>
  <c r="P425" i="6"/>
  <c r="P424" i="6"/>
  <c r="P423" i="6"/>
  <c r="P422" i="6"/>
  <c r="P421" i="6"/>
  <c r="P419" i="6"/>
  <c r="P420" i="6"/>
  <c r="P418" i="6"/>
  <c r="P417" i="6"/>
  <c r="P416" i="6"/>
  <c r="P415" i="6"/>
  <c r="P414" i="6"/>
  <c r="P413" i="6"/>
  <c r="P412" i="6"/>
  <c r="P411" i="6"/>
  <c r="P410" i="6"/>
  <c r="P409" i="6"/>
  <c r="P408" i="6"/>
  <c r="P407" i="6"/>
  <c r="P406" i="6"/>
  <c r="P405" i="6"/>
  <c r="P404" i="6"/>
  <c r="P403" i="6"/>
  <c r="P402" i="6"/>
  <c r="P401" i="6"/>
  <c r="P400" i="6"/>
  <c r="P399" i="6"/>
  <c r="P398" i="6"/>
  <c r="P397" i="6"/>
  <c r="P396" i="6"/>
  <c r="P395" i="6"/>
  <c r="P394" i="6"/>
  <c r="P393" i="6"/>
  <c r="P392" i="6"/>
  <c r="P391" i="6"/>
  <c r="P390" i="6"/>
  <c r="P389" i="6"/>
  <c r="P388" i="6"/>
  <c r="P387" i="6"/>
  <c r="P386" i="6"/>
  <c r="P385" i="6"/>
  <c r="P384" i="6"/>
  <c r="P383" i="6"/>
  <c r="P379" i="6"/>
  <c r="P380" i="6"/>
  <c r="P381" i="6"/>
  <c r="P375" i="6"/>
  <c r="P376" i="6"/>
  <c r="P377" i="6"/>
  <c r="P382" i="6"/>
  <c r="P378" i="6"/>
  <c r="P374" i="6"/>
  <c r="P372" i="6"/>
  <c r="P373" i="6"/>
  <c r="P369" i="6"/>
  <c r="P370" i="6"/>
  <c r="P366" i="6"/>
  <c r="P367" i="6"/>
  <c r="P363" i="6"/>
  <c r="P364" i="6"/>
  <c r="P360" i="6"/>
  <c r="P361" i="6"/>
  <c r="P357" i="6"/>
  <c r="P358" i="6"/>
  <c r="P371" i="6"/>
  <c r="P368" i="6"/>
  <c r="P365" i="6"/>
  <c r="P362" i="6"/>
  <c r="P359" i="6"/>
  <c r="P356" i="6"/>
  <c r="P355" i="6"/>
  <c r="P353" i="6"/>
  <c r="P351" i="6"/>
  <c r="P349" i="6"/>
  <c r="P347" i="6"/>
  <c r="P345" i="6"/>
  <c r="P354" i="6"/>
  <c r="P352" i="6"/>
  <c r="P350" i="6"/>
  <c r="P348" i="6"/>
  <c r="P346" i="6"/>
  <c r="P344" i="6"/>
  <c r="P337" i="6"/>
  <c r="P335" i="6"/>
  <c r="P333" i="6"/>
  <c r="P336" i="6"/>
  <c r="P334" i="6"/>
  <c r="P332" i="6"/>
  <c r="P331" i="6"/>
  <c r="P329" i="6"/>
  <c r="P327" i="6"/>
  <c r="P330" i="6"/>
  <c r="P328" i="6"/>
  <c r="P326" i="6"/>
  <c r="P325" i="6"/>
  <c r="P323" i="6"/>
  <c r="P321" i="6"/>
  <c r="P319" i="6"/>
  <c r="P317" i="6"/>
  <c r="P315" i="6"/>
  <c r="P324" i="6"/>
  <c r="P322" i="6"/>
  <c r="P320" i="6"/>
  <c r="P318" i="6"/>
  <c r="P316" i="6"/>
  <c r="P314" i="6"/>
  <c r="P313" i="6"/>
  <c r="P311" i="6"/>
  <c r="P309" i="6"/>
  <c r="P307" i="6"/>
  <c r="P305" i="6"/>
  <c r="P303" i="6"/>
  <c r="P312" i="6"/>
  <c r="P310" i="6"/>
  <c r="P308" i="6"/>
  <c r="P306" i="6"/>
  <c r="P304" i="6"/>
  <c r="P302" i="6"/>
  <c r="P301" i="6"/>
  <c r="P300" i="6"/>
  <c r="P299" i="6"/>
  <c r="P298" i="6"/>
  <c r="P297" i="6"/>
  <c r="P296" i="6"/>
  <c r="P294" i="6"/>
  <c r="P295" i="6"/>
  <c r="P293" i="6"/>
  <c r="P292" i="6"/>
  <c r="P291" i="6"/>
  <c r="P290" i="6"/>
  <c r="P289" i="6"/>
  <c r="P287" i="6"/>
  <c r="P285" i="6"/>
  <c r="P283" i="6"/>
  <c r="P281" i="6"/>
  <c r="P279" i="6"/>
  <c r="P288" i="6"/>
  <c r="P286" i="6"/>
  <c r="P284" i="6"/>
  <c r="P282" i="6"/>
  <c r="P280" i="6"/>
  <c r="P278" i="6"/>
  <c r="P265" i="6"/>
  <c r="P263" i="6"/>
  <c r="P261" i="6"/>
  <c r="P259" i="6"/>
  <c r="P264" i="6"/>
  <c r="P262" i="6"/>
  <c r="P260" i="6"/>
  <c r="P258" i="6"/>
  <c r="P257" i="6"/>
  <c r="P255" i="6"/>
  <c r="P253" i="6"/>
  <c r="P251" i="6"/>
  <c r="P249" i="6"/>
  <c r="P247" i="6"/>
  <c r="P256" i="6"/>
  <c r="P254" i="6"/>
  <c r="P252" i="6"/>
  <c r="P250" i="6"/>
  <c r="P248" i="6"/>
  <c r="P246" i="6"/>
  <c r="P245" i="6"/>
  <c r="P244" i="6"/>
  <c r="P241" i="6"/>
  <c r="P242" i="6"/>
  <c r="P238" i="6"/>
  <c r="P239" i="6"/>
  <c r="P243" i="6"/>
  <c r="P240" i="6"/>
  <c r="P237" i="6"/>
  <c r="P235" i="6" l="1"/>
  <c r="P236" i="6"/>
  <c r="P229" i="6"/>
  <c r="P230" i="6"/>
  <c r="P223" i="6"/>
  <c r="P224" i="6"/>
  <c r="P232" i="6"/>
  <c r="P233" i="6"/>
  <c r="P226" i="6"/>
  <c r="P227" i="6"/>
  <c r="P220" i="6"/>
  <c r="P221" i="6"/>
  <c r="P234" i="6"/>
  <c r="P231" i="6"/>
  <c r="P228" i="6"/>
  <c r="P225" i="6"/>
  <c r="P222" i="6"/>
  <c r="P219" i="6"/>
  <c r="P218" i="6"/>
  <c r="P217" i="6"/>
  <c r="P216" i="6"/>
  <c r="P215" i="6"/>
  <c r="P214" i="6"/>
  <c r="P213" i="6"/>
  <c r="P212" i="6"/>
  <c r="P211" i="6"/>
  <c r="P210" i="6"/>
  <c r="P209" i="6"/>
  <c r="P208" i="6"/>
  <c r="P207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73" i="6"/>
  <c r="P172" i="6"/>
  <c r="P171" i="6"/>
  <c r="P170" i="6"/>
  <c r="P169" i="6"/>
  <c r="P168" i="6"/>
  <c r="P167" i="6"/>
  <c r="P166" i="6"/>
  <c r="P165" i="6"/>
  <c r="P161" i="6"/>
  <c r="P160" i="6"/>
  <c r="P159" i="6"/>
  <c r="P158" i="6"/>
  <c r="P157" i="6"/>
  <c r="P156" i="6"/>
  <c r="P155" i="6"/>
  <c r="P154" i="6"/>
  <c r="P153" i="6"/>
  <c r="P146" i="6"/>
  <c r="P145" i="6"/>
  <c r="P144" i="6"/>
  <c r="P143" i="6"/>
  <c r="P142" i="6"/>
  <c r="P141" i="6"/>
  <c r="P149" i="6"/>
  <c r="P148" i="6"/>
  <c r="P147" i="6"/>
  <c r="P206" i="6"/>
  <c r="P205" i="6"/>
  <c r="P204" i="6"/>
  <c r="P191" i="6"/>
  <c r="P190" i="6"/>
  <c r="P189" i="6"/>
  <c r="P176" i="6"/>
  <c r="P175" i="6"/>
  <c r="P174" i="6"/>
  <c r="P164" i="6"/>
  <c r="P163" i="6"/>
  <c r="P162" i="6"/>
  <c r="P152" i="6"/>
  <c r="P151" i="6"/>
  <c r="P150" i="6"/>
  <c r="P140" i="6"/>
  <c r="P139" i="6"/>
  <c r="P138" i="6"/>
  <c r="P137" i="6"/>
  <c r="P136" i="6"/>
  <c r="P135" i="6"/>
  <c r="P134" i="6"/>
  <c r="P133" i="6"/>
  <c r="P132" i="6"/>
  <c r="P128" i="6"/>
  <c r="P127" i="6"/>
  <c r="P126" i="6"/>
  <c r="P125" i="6"/>
  <c r="P124" i="6"/>
  <c r="P123" i="6"/>
  <c r="P122" i="6"/>
  <c r="P121" i="6"/>
  <c r="P120" i="6"/>
  <c r="P131" i="6"/>
  <c r="P130" i="6"/>
  <c r="P129" i="6"/>
  <c r="P119" i="6"/>
  <c r="P118" i="6"/>
  <c r="P117" i="6"/>
  <c r="L188" i="3"/>
  <c r="P116" i="6"/>
  <c r="P115" i="6"/>
  <c r="P114" i="6"/>
  <c r="P113" i="6"/>
  <c r="P112" i="6"/>
  <c r="P111" i="6"/>
  <c r="P110" i="6"/>
  <c r="P109" i="6"/>
  <c r="P108" i="6"/>
  <c r="P107" i="6"/>
  <c r="P106" i="6"/>
  <c r="P105" i="6"/>
  <c r="P101" i="6"/>
  <c r="P100" i="6"/>
  <c r="P99" i="6"/>
  <c r="P98" i="6"/>
  <c r="P97" i="6"/>
  <c r="P96" i="6"/>
  <c r="P104" i="6"/>
  <c r="P103" i="6"/>
  <c r="P102" i="6"/>
  <c r="P95" i="6"/>
  <c r="P94" i="6"/>
  <c r="P93" i="6"/>
  <c r="P92" i="6"/>
  <c r="P91" i="6"/>
  <c r="P90" i="6"/>
  <c r="P89" i="6"/>
  <c r="P88" i="6"/>
  <c r="P87" i="6"/>
  <c r="P86" i="6"/>
  <c r="P85" i="6"/>
  <c r="P84" i="6"/>
  <c r="P83" i="6"/>
  <c r="P82" i="6"/>
  <c r="P81" i="6"/>
  <c r="P80" i="6"/>
  <c r="P79" i="6"/>
  <c r="P78" i="6"/>
  <c r="P77" i="6"/>
  <c r="P76" i="6"/>
  <c r="P75" i="6"/>
  <c r="P65" i="6"/>
  <c r="P64" i="6"/>
  <c r="P63" i="6"/>
  <c r="P62" i="6"/>
  <c r="P61" i="6"/>
  <c r="P60" i="6"/>
  <c r="P59" i="6"/>
  <c r="P58" i="6"/>
  <c r="P57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66" i="6"/>
  <c r="P67" i="6"/>
  <c r="P68" i="6"/>
  <c r="P69" i="6"/>
  <c r="P70" i="6"/>
  <c r="P71" i="6"/>
  <c r="P72" i="6"/>
  <c r="P73" i="6"/>
  <c r="P74" i="6"/>
  <c r="L186" i="3"/>
  <c r="K186" i="3"/>
  <c r="J186" i="3"/>
  <c r="L165" i="3"/>
  <c r="K165" i="3"/>
  <c r="J165" i="3"/>
  <c r="L137" i="3"/>
  <c r="K137" i="3"/>
  <c r="J137" i="3"/>
  <c r="L102" i="3"/>
  <c r="K102" i="3"/>
  <c r="J102" i="3"/>
  <c r="L179" i="3"/>
  <c r="K179" i="3"/>
  <c r="J179" i="3"/>
  <c r="L160" i="3"/>
  <c r="K160" i="3"/>
  <c r="L110" i="3"/>
  <c r="K110" i="3"/>
  <c r="L153" i="3"/>
  <c r="L152" i="3" s="1"/>
  <c r="K153" i="3"/>
  <c r="L50" i="3"/>
  <c r="L88" i="3"/>
  <c r="K88" i="3"/>
  <c r="K69" i="3"/>
  <c r="J69" i="3"/>
  <c r="L69" i="3"/>
  <c r="M9" i="3"/>
  <c r="M10" i="3" s="1"/>
  <c r="D70" i="2"/>
  <c r="C66" i="2" s="1"/>
  <c r="D65" i="2"/>
  <c r="D60" i="2"/>
  <c r="C55" i="2" s="1"/>
  <c r="D54" i="2"/>
  <c r="C50" i="2" s="1"/>
  <c r="D49" i="2"/>
  <c r="D41" i="2"/>
  <c r="D34" i="2"/>
  <c r="D27" i="2"/>
  <c r="D28" i="2" s="1"/>
  <c r="E14" i="2"/>
  <c r="C71" i="2" s="1"/>
  <c r="D14" i="2"/>
  <c r="C14" i="2"/>
  <c r="D72" i="2" l="1"/>
  <c r="D73" i="2" s="1"/>
  <c r="Y27" i="1"/>
  <c r="X27" i="1"/>
  <c r="Y23" i="1" l="1"/>
  <c r="X23" i="1"/>
  <c r="Y21" i="1" l="1"/>
  <c r="X21" i="1"/>
  <c r="AA21" i="1"/>
  <c r="Z21" i="1" l="1"/>
  <c r="Y20" i="1"/>
  <c r="X20" i="1"/>
  <c r="AJ14" i="1" l="1"/>
  <c r="AI14" i="1"/>
  <c r="AH14" i="1"/>
  <c r="AG14" i="1"/>
  <c r="AF14" i="1"/>
  <c r="AD14" i="1"/>
  <c r="AG17" i="1" l="1"/>
  <c r="AF17" i="1"/>
  <c r="AD17" i="1"/>
  <c r="AI17" i="1"/>
  <c r="AH17" i="1"/>
  <c r="AJ17" i="1"/>
  <c r="Y18" i="1"/>
  <c r="X18" i="1"/>
  <c r="Y17" i="1" l="1"/>
  <c r="X17" i="1"/>
  <c r="Y16" i="1" l="1"/>
  <c r="X16" i="1"/>
  <c r="AA14" i="1" l="1"/>
  <c r="AB14" i="1" s="1"/>
  <c r="Y14" i="1"/>
  <c r="X14" i="1"/>
  <c r="AI12" i="1" l="1"/>
  <c r="AH12" i="1"/>
  <c r="AG12" i="1"/>
  <c r="AF12" i="1"/>
  <c r="AD12" i="1"/>
  <c r="AJ12" i="1" l="1"/>
  <c r="Y12" i="1" l="1"/>
  <c r="X12" i="1"/>
  <c r="Y13" i="1" l="1"/>
  <c r="X13" i="1"/>
  <c r="AJ11" i="1"/>
  <c r="AI11" i="1"/>
  <c r="AH11" i="1"/>
  <c r="AG11" i="1"/>
  <c r="AF11" i="1"/>
  <c r="AJ4" i="1"/>
  <c r="AJ13" i="1" l="1"/>
  <c r="AJ3" i="1" s="1"/>
  <c r="AD11" i="1"/>
  <c r="AB11" i="1" s="1"/>
  <c r="AD10" i="1" l="1"/>
  <c r="AB10" i="1" s="1"/>
  <c r="AD9" i="1" l="1"/>
  <c r="AD8" i="1" l="1"/>
  <c r="AB8" i="1" s="1"/>
  <c r="AA13" i="1" l="1"/>
  <c r="Y10" i="1" l="1"/>
  <c r="X10" i="1"/>
  <c r="Y9" i="1" l="1"/>
  <c r="X9" i="1"/>
  <c r="Y8" i="1" l="1"/>
  <c r="X8" i="1"/>
  <c r="AA5" i="1" l="1"/>
  <c r="Y7" i="1" l="1"/>
  <c r="X7" i="1"/>
  <c r="Y29" i="1" l="1"/>
  <c r="X29" i="1"/>
  <c r="Y28" i="1" l="1"/>
  <c r="X28" i="1"/>
  <c r="Y24" i="1" l="1"/>
  <c r="X24" i="1"/>
  <c r="Y3" i="1" l="1"/>
  <c r="X3" i="1"/>
  <c r="AR13" i="1" l="1"/>
  <c r="AQ13" i="1"/>
  <c r="AM13" i="1"/>
  <c r="AL13" i="1"/>
  <c r="Z13" i="1" s="1"/>
  <c r="AK13" i="1"/>
  <c r="AI13" i="1"/>
  <c r="AH13" i="1"/>
  <c r="AG13" i="1"/>
  <c r="AF13" i="1"/>
  <c r="AD13" i="1"/>
  <c r="AB13" i="1" s="1"/>
  <c r="Q13" i="1"/>
  <c r="P13" i="1"/>
  <c r="O13" i="1"/>
  <c r="N13" i="1"/>
  <c r="M13" i="1"/>
  <c r="L13" i="1"/>
  <c r="K13" i="1"/>
  <c r="J13" i="1"/>
  <c r="I13" i="1"/>
  <c r="G13" i="1"/>
  <c r="W13" i="1" s="1"/>
  <c r="F13" i="1"/>
  <c r="E13" i="1"/>
  <c r="D13" i="1"/>
  <c r="AC13" i="1" l="1"/>
  <c r="AI21" i="1"/>
  <c r="AH21" i="1"/>
  <c r="AG21" i="1"/>
  <c r="AD21" i="1"/>
  <c r="AB21" i="1" s="1"/>
  <c r="AC21" i="1" s="1"/>
  <c r="M21" i="1"/>
  <c r="G21" i="1"/>
  <c r="F21" i="1"/>
  <c r="E21" i="1"/>
  <c r="D21" i="1"/>
  <c r="V21" i="1" l="1"/>
  <c r="W21" i="1"/>
  <c r="U21" i="1"/>
  <c r="T21" i="1"/>
  <c r="R21" i="1"/>
  <c r="AE21" i="1"/>
  <c r="S21" i="1"/>
  <c r="AQ25" i="1"/>
  <c r="AR25" i="1"/>
  <c r="AM25" i="1"/>
  <c r="AL25" i="1"/>
  <c r="Z25" i="1" s="1"/>
  <c r="AK25" i="1"/>
  <c r="AI25" i="1"/>
  <c r="AH25" i="1"/>
  <c r="AG25" i="1"/>
  <c r="AF25" i="1"/>
  <c r="AD25" i="1"/>
  <c r="AB25" i="1" s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AC25" i="1" l="1"/>
  <c r="V25" i="1"/>
  <c r="AE25" i="1"/>
  <c r="R25" i="1"/>
  <c r="S25" i="1"/>
  <c r="T25" i="1"/>
  <c r="W25" i="1"/>
  <c r="U25" i="1"/>
  <c r="AM28" i="1"/>
  <c r="AK28" i="1"/>
  <c r="AI28" i="1"/>
  <c r="AH28" i="1"/>
  <c r="AD28" i="1"/>
  <c r="O28" i="1"/>
  <c r="N28" i="1"/>
  <c r="G28" i="1"/>
  <c r="F28" i="1"/>
  <c r="E28" i="1"/>
  <c r="D28" i="1"/>
  <c r="AE28" i="1" l="1"/>
  <c r="T28" i="1"/>
  <c r="S28" i="1"/>
  <c r="P28" i="1" l="1"/>
  <c r="U28" i="1" s="1"/>
  <c r="Q28" i="1" l="1"/>
  <c r="V28" i="1" s="1"/>
  <c r="AL28" i="1" l="1"/>
  <c r="Z28" i="1" s="1"/>
  <c r="W28" i="1"/>
  <c r="AI5" i="1" l="1"/>
  <c r="AH5" i="1"/>
  <c r="AG5" i="1"/>
  <c r="AF5" i="1"/>
  <c r="AD5" i="1"/>
  <c r="AB5" i="1" s="1"/>
  <c r="AI6" i="1" l="1"/>
  <c r="AH6" i="1"/>
  <c r="AB6" i="1"/>
  <c r="AI4" i="1" l="1"/>
  <c r="AH4" i="1"/>
  <c r="AG4" i="1"/>
  <c r="AF4" i="1"/>
  <c r="AD4" i="1"/>
  <c r="AB4" i="1" s="1"/>
  <c r="AI7" i="1" l="1"/>
  <c r="AH7" i="1"/>
  <c r="AG7" i="1"/>
  <c r="AF7" i="1"/>
  <c r="AD7" i="1"/>
  <c r="AB7" i="1" s="1"/>
  <c r="AB3" i="1" s="1"/>
  <c r="AI27" i="1" l="1"/>
  <c r="AH27" i="1"/>
  <c r="AG27" i="1"/>
  <c r="AF27" i="1"/>
  <c r="AD27" i="1"/>
  <c r="AI24" i="1" l="1"/>
  <c r="AH24" i="1"/>
  <c r="AG24" i="1"/>
  <c r="AF24" i="1"/>
  <c r="AD24" i="1"/>
  <c r="AR23" i="1" l="1"/>
  <c r="AQ23" i="1"/>
  <c r="AM23" i="1"/>
  <c r="AL23" i="1"/>
  <c r="Z23" i="1" s="1"/>
  <c r="AK23" i="1"/>
  <c r="AI23" i="1"/>
  <c r="AH23" i="1"/>
  <c r="AG23" i="1"/>
  <c r="AF23" i="1"/>
  <c r="AD23" i="1"/>
  <c r="Q23" i="1"/>
  <c r="P23" i="1"/>
  <c r="O23" i="1"/>
  <c r="N23" i="1"/>
  <c r="M23" i="1"/>
  <c r="L23" i="1"/>
  <c r="K23" i="1"/>
  <c r="J23" i="1"/>
  <c r="I23" i="1"/>
  <c r="H23" i="1"/>
  <c r="G23" i="1"/>
  <c r="W23" i="1" s="1"/>
  <c r="F23" i="1"/>
  <c r="E23" i="1"/>
  <c r="D23" i="1"/>
  <c r="R23" i="1" l="1"/>
  <c r="AE23" i="1"/>
  <c r="S23" i="1"/>
  <c r="T23" i="1"/>
  <c r="U23" i="1"/>
  <c r="V23" i="1"/>
  <c r="AR24" i="1"/>
  <c r="AQ24" i="1"/>
  <c r="AM24" i="1"/>
  <c r="AL24" i="1"/>
  <c r="Z24" i="1" s="1"/>
  <c r="AK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S24" i="1" l="1"/>
  <c r="R24" i="1"/>
  <c r="AE24" i="1"/>
  <c r="T24" i="1"/>
  <c r="U24" i="1"/>
  <c r="V24" i="1"/>
  <c r="W24" i="1"/>
  <c r="AR27" i="1"/>
  <c r="AQ27" i="1"/>
  <c r="AM27" i="1"/>
  <c r="AK27" i="1"/>
  <c r="Q27" i="1"/>
  <c r="P27" i="1"/>
  <c r="O27" i="1"/>
  <c r="N27" i="1"/>
  <c r="M27" i="1"/>
  <c r="L27" i="1"/>
  <c r="K27" i="1"/>
  <c r="G27" i="1"/>
  <c r="W27" i="1" s="1"/>
  <c r="F27" i="1"/>
  <c r="E27" i="1"/>
  <c r="D27" i="1"/>
  <c r="AR20" i="1"/>
  <c r="AQ20" i="1"/>
  <c r="AM20" i="1"/>
  <c r="AK20" i="1"/>
  <c r="AI20" i="1"/>
  <c r="AH20" i="1"/>
  <c r="AG20" i="1"/>
  <c r="AF20" i="1"/>
  <c r="AD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AR17" i="1"/>
  <c r="AQ17" i="1"/>
  <c r="AM17" i="1"/>
  <c r="AL17" i="1"/>
  <c r="Z17" i="1" s="1"/>
  <c r="AK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R27" i="1" l="1"/>
  <c r="S27" i="1"/>
  <c r="T27" i="1"/>
  <c r="U27" i="1"/>
  <c r="V27" i="1"/>
  <c r="AE27" i="1"/>
  <c r="S20" i="1"/>
  <c r="AE17" i="1"/>
  <c r="U17" i="1"/>
  <c r="U20" i="1"/>
  <c r="T20" i="1"/>
  <c r="V20" i="1"/>
  <c r="R17" i="1"/>
  <c r="S17" i="1"/>
  <c r="R20" i="1"/>
  <c r="AE20" i="1"/>
  <c r="T17" i="1"/>
  <c r="V17" i="1"/>
  <c r="W17" i="1"/>
  <c r="AR16" i="1"/>
  <c r="AQ16" i="1"/>
  <c r="AM16" i="1"/>
  <c r="AL16" i="1"/>
  <c r="Z16" i="1" s="1"/>
  <c r="AK16" i="1"/>
  <c r="AI16" i="1"/>
  <c r="AH16" i="1"/>
  <c r="AG16" i="1"/>
  <c r="AF16" i="1"/>
  <c r="AD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U16" i="1" l="1"/>
  <c r="V16" i="1"/>
  <c r="W16" i="1"/>
  <c r="AE16" i="1"/>
  <c r="R16" i="1"/>
  <c r="S16" i="1"/>
  <c r="T16" i="1"/>
  <c r="AR22" i="1"/>
  <c r="AQ22" i="1"/>
  <c r="AM22" i="1"/>
  <c r="AL22" i="1"/>
  <c r="AK22" i="1"/>
  <c r="G22" i="1"/>
  <c r="F22" i="1"/>
  <c r="E22" i="1"/>
  <c r="D22" i="1"/>
  <c r="Z22" i="1" l="1"/>
  <c r="AC22" i="1"/>
  <c r="AE22" i="1"/>
  <c r="AL20" i="1" l="1"/>
  <c r="Z20" i="1" s="1"/>
  <c r="W20" i="1"/>
  <c r="K22" i="1"/>
  <c r="J22" i="1" l="1"/>
  <c r="H22" i="1" l="1"/>
  <c r="I22" i="1"/>
  <c r="M22" i="1"/>
  <c r="R22" i="1" s="1"/>
  <c r="L22" i="1"/>
  <c r="N22" i="1" l="1"/>
  <c r="S22" i="1" s="1"/>
  <c r="O22" i="1" l="1"/>
  <c r="T22" i="1" s="1"/>
  <c r="P22" i="1"/>
  <c r="U22" i="1" s="1"/>
  <c r="Q22" i="1" l="1"/>
  <c r="V22" i="1" s="1"/>
  <c r="AR12" i="1" l="1"/>
  <c r="AQ12" i="1"/>
  <c r="AM12" i="1"/>
  <c r="AL12" i="1"/>
  <c r="Z12" i="1" s="1"/>
  <c r="AK12" i="1"/>
  <c r="Q12" i="1"/>
  <c r="P12" i="1"/>
  <c r="O12" i="1"/>
  <c r="N12" i="1"/>
  <c r="M12" i="1"/>
  <c r="L12" i="1"/>
  <c r="K12" i="1"/>
  <c r="J12" i="1"/>
  <c r="I12" i="1"/>
  <c r="H12" i="1"/>
  <c r="G12" i="1"/>
  <c r="W12" i="1" s="1"/>
  <c r="F12" i="1"/>
  <c r="E12" i="1"/>
  <c r="D12" i="1"/>
  <c r="AR14" i="1"/>
  <c r="AQ14" i="1"/>
  <c r="AM14" i="1"/>
  <c r="AL14" i="1"/>
  <c r="AK14" i="1"/>
  <c r="G14" i="1"/>
  <c r="W14" i="1" s="1"/>
  <c r="F14" i="1"/>
  <c r="E14" i="1"/>
  <c r="D14" i="1"/>
  <c r="Z14" i="1" l="1"/>
  <c r="AC14" i="1"/>
  <c r="T12" i="1"/>
  <c r="U12" i="1"/>
  <c r="V12" i="1"/>
  <c r="S12" i="1"/>
  <c r="R12" i="1"/>
  <c r="AE12" i="1"/>
  <c r="W22" i="1" l="1"/>
  <c r="AL27" i="1" l="1"/>
  <c r="Z27" i="1" s="1"/>
  <c r="AR9" i="1"/>
  <c r="AQ9" i="1"/>
  <c r="AM9" i="1"/>
  <c r="AL9" i="1"/>
  <c r="Z9" i="1" s="1"/>
  <c r="AK9" i="1"/>
  <c r="AI9" i="1"/>
  <c r="AH9" i="1"/>
  <c r="AG9" i="1"/>
  <c r="AF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AE9" i="1" l="1"/>
  <c r="U9" i="1"/>
  <c r="W9" i="1"/>
  <c r="O14" i="1"/>
  <c r="T14" i="1" s="1"/>
  <c r="AE14" i="1"/>
  <c r="R9" i="1"/>
  <c r="S9" i="1"/>
  <c r="T9" i="1"/>
  <c r="V9" i="1"/>
  <c r="AM5" i="1"/>
  <c r="AK5" i="1"/>
  <c r="M5" i="1"/>
  <c r="L5" i="1"/>
  <c r="K5" i="1"/>
  <c r="J5" i="1"/>
  <c r="I5" i="1"/>
  <c r="H5" i="1"/>
  <c r="P14" i="1" l="1"/>
  <c r="U14" i="1" s="1"/>
  <c r="N14" i="1"/>
  <c r="S14" i="1" s="1"/>
  <c r="O5" i="1"/>
  <c r="Q14" i="1" l="1"/>
  <c r="V14" i="1" s="1"/>
  <c r="N5" i="1"/>
  <c r="P5" i="1"/>
  <c r="K14" i="1" l="1"/>
  <c r="L14" i="1"/>
  <c r="Q5" i="1"/>
  <c r="M14" i="1" l="1"/>
  <c r="R14" i="1" s="1"/>
  <c r="J14" i="1"/>
  <c r="AL5" i="1"/>
  <c r="Z5" i="1" l="1"/>
  <c r="AC5" i="1"/>
  <c r="AM6" i="1"/>
  <c r="AL6" i="1"/>
  <c r="AK6" i="1"/>
  <c r="Z6" i="1" l="1"/>
  <c r="AC6" i="1"/>
  <c r="AM15" i="1"/>
  <c r="AL15" i="1"/>
  <c r="Z15" i="1" s="1"/>
  <c r="AK15" i="1"/>
  <c r="AM11" i="1" l="1"/>
  <c r="AL11" i="1"/>
  <c r="AK11" i="1"/>
  <c r="Z11" i="1" l="1"/>
  <c r="AC11" i="1"/>
  <c r="AM10" i="1"/>
  <c r="AL10" i="1"/>
  <c r="AK10" i="1"/>
  <c r="Z10" i="1" l="1"/>
  <c r="AC10" i="1"/>
  <c r="AM8" i="1"/>
  <c r="AL8" i="1"/>
  <c r="AK8" i="1"/>
  <c r="Z8" i="1" l="1"/>
  <c r="AC8" i="1"/>
  <c r="AM7" i="1"/>
  <c r="AL7" i="1"/>
  <c r="AK7" i="1"/>
  <c r="Z7" i="1" l="1"/>
  <c r="AC7" i="1"/>
  <c r="AM4" i="1"/>
  <c r="AL4" i="1"/>
  <c r="AK4" i="1"/>
  <c r="Z4" i="1" l="1"/>
  <c r="AC4" i="1"/>
  <c r="AC3" i="1" s="1"/>
  <c r="AR7" i="1"/>
  <c r="AQ7" i="1"/>
  <c r="N7" i="1"/>
  <c r="M7" i="1"/>
  <c r="L7" i="1"/>
  <c r="K7" i="1"/>
  <c r="J7" i="1"/>
  <c r="I7" i="1"/>
  <c r="H7" i="1"/>
  <c r="G7" i="1"/>
  <c r="F7" i="1"/>
  <c r="E7" i="1"/>
  <c r="D7" i="1"/>
  <c r="W7" i="1" l="1"/>
  <c r="S7" i="1"/>
  <c r="O7" i="1"/>
  <c r="T7" i="1" s="1"/>
  <c r="R7" i="1"/>
  <c r="AE7" i="1"/>
  <c r="AQ15" i="1"/>
  <c r="AR15" i="1"/>
  <c r="Q7" i="1" l="1"/>
  <c r="V7" i="1" s="1"/>
  <c r="P7" i="1"/>
  <c r="U7" i="1" s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Q11" i="1"/>
  <c r="P11" i="1"/>
  <c r="O11" i="1"/>
  <c r="N11" i="1"/>
  <c r="Q10" i="1"/>
  <c r="P10" i="1"/>
  <c r="O10" i="1"/>
  <c r="N10" i="1"/>
  <c r="Q6" i="1"/>
  <c r="P6" i="1"/>
  <c r="O6" i="1"/>
  <c r="N6" i="1"/>
  <c r="AR10" i="1"/>
  <c r="AQ10" i="1"/>
  <c r="M10" i="1"/>
  <c r="L10" i="1"/>
  <c r="K10" i="1"/>
  <c r="J10" i="1"/>
  <c r="I10" i="1"/>
  <c r="H10" i="1"/>
  <c r="G10" i="1"/>
  <c r="W10" i="1" s="1"/>
  <c r="F10" i="1"/>
  <c r="E10" i="1"/>
  <c r="D10" i="1"/>
  <c r="V15" i="1" l="1"/>
  <c r="W15" i="1"/>
  <c r="U15" i="1"/>
  <c r="T15" i="1"/>
  <c r="S15" i="1"/>
  <c r="S10" i="1"/>
  <c r="V10" i="1"/>
  <c r="U10" i="1"/>
  <c r="T10" i="1"/>
  <c r="R10" i="1"/>
  <c r="AE10" i="1"/>
  <c r="AE15" i="1"/>
  <c r="R15" i="1"/>
  <c r="AR11" i="1"/>
  <c r="AQ11" i="1"/>
  <c r="M11" i="1"/>
  <c r="L11" i="1"/>
  <c r="K11" i="1"/>
  <c r="J11" i="1"/>
  <c r="I11" i="1"/>
  <c r="H11" i="1"/>
  <c r="G11" i="1"/>
  <c r="F11" i="1"/>
  <c r="E11" i="1"/>
  <c r="D11" i="1"/>
  <c r="U11" i="1" l="1"/>
  <c r="S11" i="1"/>
  <c r="W11" i="1"/>
  <c r="T11" i="1"/>
  <c r="V11" i="1"/>
  <c r="AE11" i="1"/>
  <c r="R11" i="1"/>
  <c r="AR6" i="1"/>
  <c r="AQ6" i="1"/>
  <c r="G6" i="1" l="1"/>
  <c r="F6" i="1"/>
  <c r="E6" i="1"/>
  <c r="D6" i="1"/>
  <c r="AE6" i="1" l="1"/>
  <c r="S6" i="1"/>
  <c r="U6" i="1"/>
  <c r="W6" i="1"/>
  <c r="V6" i="1"/>
  <c r="T6" i="1"/>
  <c r="AR8" i="1"/>
  <c r="AQ8" i="1"/>
  <c r="AR4" i="1" l="1"/>
  <c r="AQ4" i="1"/>
  <c r="AR5" i="1" l="1"/>
  <c r="AQ5" i="1"/>
  <c r="G5" i="1"/>
  <c r="W5" i="1" s="1"/>
  <c r="F5" i="1"/>
  <c r="E5" i="1"/>
  <c r="D5" i="1"/>
  <c r="AL18" i="1"/>
  <c r="Z18" i="1" s="1"/>
  <c r="AR18" i="1"/>
  <c r="AQ18" i="1"/>
  <c r="AM18" i="1"/>
  <c r="AK18" i="1"/>
  <c r="AE5" i="1" l="1"/>
  <c r="V5" i="1"/>
  <c r="U5" i="1"/>
  <c r="H6" i="1"/>
  <c r="J6" i="1"/>
  <c r="I6" i="1"/>
  <c r="L6" i="1"/>
  <c r="M6" i="1"/>
  <c r="R6" i="1" s="1"/>
  <c r="K6" i="1"/>
  <c r="R5" i="1"/>
  <c r="AI18" i="1"/>
  <c r="AH18" i="1"/>
  <c r="AG18" i="1"/>
  <c r="AF18" i="1"/>
  <c r="AD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N4" i="1"/>
  <c r="O4" i="1"/>
  <c r="P4" i="1"/>
  <c r="Q4" i="1"/>
  <c r="N8" i="1"/>
  <c r="O8" i="1"/>
  <c r="P8" i="1"/>
  <c r="Q8" i="1"/>
  <c r="AR29" i="1"/>
  <c r="AQ29" i="1"/>
  <c r="AM29" i="1"/>
  <c r="AM3" i="1" s="1"/>
  <c r="AK29" i="1"/>
  <c r="AI29" i="1"/>
  <c r="AH29" i="1"/>
  <c r="AD29" i="1"/>
  <c r="Q29" i="1"/>
  <c r="P29" i="1"/>
  <c r="O29" i="1"/>
  <c r="M29" i="1"/>
  <c r="L29" i="1"/>
  <c r="G29" i="1"/>
  <c r="F29" i="1"/>
  <c r="E29" i="1"/>
  <c r="D29" i="1"/>
  <c r="AE18" i="1" l="1"/>
  <c r="W29" i="1"/>
  <c r="AE29" i="1"/>
  <c r="V18" i="1"/>
  <c r="U18" i="1"/>
  <c r="W18" i="1"/>
  <c r="R18" i="1"/>
  <c r="S18" i="1"/>
  <c r="T18" i="1"/>
  <c r="M8" i="1"/>
  <c r="L8" i="1"/>
  <c r="K8" i="1"/>
  <c r="J8" i="1"/>
  <c r="I8" i="1"/>
  <c r="H8" i="1"/>
  <c r="G8" i="1"/>
  <c r="F8" i="1"/>
  <c r="E8" i="1"/>
  <c r="D8" i="1"/>
  <c r="AE8" i="1" l="1"/>
  <c r="W8" i="1"/>
  <c r="V8" i="1"/>
  <c r="U8" i="1"/>
  <c r="T8" i="1"/>
  <c r="S8" i="1"/>
  <c r="R8" i="1"/>
  <c r="I4" i="1" l="1"/>
  <c r="K4" i="1"/>
  <c r="J4" i="1"/>
  <c r="H4" i="1"/>
  <c r="L4" i="1"/>
  <c r="M4" i="1"/>
  <c r="AE13" i="1" l="1"/>
  <c r="R13" i="1" l="1"/>
  <c r="G4" i="1"/>
  <c r="F4" i="1"/>
  <c r="E4" i="1"/>
  <c r="D4" i="1"/>
  <c r="AE4" i="1" l="1"/>
  <c r="AE3" i="1" s="1"/>
  <c r="W4" i="1"/>
  <c r="V4" i="1"/>
  <c r="U4" i="1"/>
  <c r="T4" i="1"/>
  <c r="S4" i="1"/>
  <c r="R4" i="1"/>
  <c r="R3" i="1" s="1"/>
  <c r="AK3" i="1"/>
  <c r="AI3" i="1"/>
  <c r="AH3" i="1"/>
  <c r="AG3" i="1"/>
  <c r="AF3" i="1"/>
  <c r="S13" i="1" l="1"/>
  <c r="S3" i="1" s="1"/>
  <c r="T13" i="1" l="1"/>
  <c r="T3" i="1" s="1"/>
  <c r="U13" i="1" l="1"/>
  <c r="U3" i="1" s="1"/>
  <c r="V13" i="1" l="1"/>
  <c r="V3" i="1" s="1"/>
  <c r="W3" i="1" l="1"/>
  <c r="N29" i="1" l="1"/>
  <c r="AL29" i="1"/>
  <c r="AL3" i="1" l="1"/>
  <c r="Z29" i="1"/>
  <c r="Z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AC2" authorId="0" shapeId="0" xr:uid="{FA31A116-56BA-42D9-A8CD-62CA8EBD51AA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need to think about this, because of bl/r, maybe it highlights potential of firm?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B4" authorId="0" shapeId="0" xr:uid="{A86F8EF5-FB5D-4BC2-B1EC-FDA77AF60FD8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in future, compare this and budgets etc. to other largest defence spending countries</t>
        </r>
      </text>
    </comment>
    <comment ref="B12" authorId="0" shapeId="0" xr:uid="{F47928AD-C7E0-418C-B2EA-DCCA6CA2D98F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In addition to discretionary resources, the Administration assumes at least $150 billion for defense will be enacted in a mandatory
reconciliation bill later this fiscal year with approximately $113.3 billion spent in FY 2026 for DoD activities</t>
        </r>
      </text>
    </comment>
    <comment ref="B13" authorId="0" shapeId="0" xr:uid="{9ACA2389-0B8A-46E2-8B15-E57F05938349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2 FY 2024 includes supplemental funding for Ukraine ($48.4 billion), Israel ($13 billion), and Indo-Pacific/U.S. Submarine Industrial
Base (SIB) ($5.9 billion). FY 2025 includes supplemental funding for Virginia-class cost increases and SIB ($5.7 billion), National
Security System risk reduction ($913 million), and Natural Disasters ($5.2 billion).</t>
        </r>
      </text>
    </comment>
    <comment ref="D56" authorId="0" shapeId="0" xr:uid="{4CD0B0BD-5AFB-431E-A320-0433DC08277D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find this</t>
        </r>
      </text>
    </comment>
    <comment ref="B86" authorId="0" shapeId="0" xr:uid="{AC4923BF-4E60-49D5-AAA7-D79F636CF441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what does this entail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B2" authorId="0" shapeId="0" xr:uid="{0F089520-C5A9-49EF-99E7-4D161BE84A9A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check for double-counting</t>
        </r>
      </text>
    </comment>
    <comment ref="R57" authorId="0" shapeId="0" xr:uid="{23B9F9C8-7634-49C1-9E56-041E0381DBBE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compare current budget and unit cost to amount still needed?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N2" authorId="0" shapeId="0" xr:uid="{7FCEE849-9290-4FB3-85C4-FFC849EB7C5A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maybe change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C4" authorId="0" shapeId="0" xr:uid="{1CC8B3B1-EFD7-4C44-A0D6-1130061A1089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break this down further, e.g. air, navy, land</t>
        </r>
      </text>
    </comment>
  </commentList>
</comments>
</file>

<file path=xl/sharedStrings.xml><?xml version="1.0" encoding="utf-8"?>
<sst xmlns="http://schemas.openxmlformats.org/spreadsheetml/2006/main" count="6251" uniqueCount="745">
  <si>
    <t>Company</t>
  </si>
  <si>
    <t>Ticker</t>
  </si>
  <si>
    <t>Price</t>
  </si>
  <si>
    <t>MC</t>
  </si>
  <si>
    <t>Net Cash</t>
  </si>
  <si>
    <t>EV</t>
  </si>
  <si>
    <t>2023 E</t>
  </si>
  <si>
    <t>2024 E</t>
  </si>
  <si>
    <t>2025 E</t>
  </si>
  <si>
    <t>2026 E</t>
  </si>
  <si>
    <t>2027 E</t>
  </si>
  <si>
    <t>2028 E</t>
  </si>
  <si>
    <t>2024 EV/E</t>
  </si>
  <si>
    <t>2025 EV/E</t>
  </si>
  <si>
    <t>2026 EV/E</t>
  </si>
  <si>
    <t>2027 EV/E</t>
  </si>
  <si>
    <t>2028 EV/E</t>
  </si>
  <si>
    <t>Discount</t>
  </si>
  <si>
    <t>Variance</t>
  </si>
  <si>
    <t>Consensus</t>
  </si>
  <si>
    <t>Segment</t>
  </si>
  <si>
    <t>Founded</t>
  </si>
  <si>
    <t>Industry Average</t>
  </si>
  <si>
    <t>Raytheon</t>
  </si>
  <si>
    <t>Lockheed Martin</t>
  </si>
  <si>
    <t>Northrop Grumman</t>
  </si>
  <si>
    <t>BAE</t>
  </si>
  <si>
    <t>L3Harris</t>
  </si>
  <si>
    <t>Rheinmetall</t>
  </si>
  <si>
    <t>Boeing</t>
  </si>
  <si>
    <t>General Dynamics</t>
  </si>
  <si>
    <t>Honeywell</t>
  </si>
  <si>
    <t>Airbus</t>
  </si>
  <si>
    <t>Safran</t>
  </si>
  <si>
    <t>Rolls Royce</t>
  </si>
  <si>
    <t>Thales</t>
  </si>
  <si>
    <t>Dassault</t>
  </si>
  <si>
    <t>Norinco</t>
  </si>
  <si>
    <t>Leonardo</t>
  </si>
  <si>
    <t>RTX US</t>
  </si>
  <si>
    <t>RHM DE</t>
  </si>
  <si>
    <t>Updated</t>
  </si>
  <si>
    <t>Earnings Call</t>
  </si>
  <si>
    <t>Red Cat</t>
  </si>
  <si>
    <t>LMT US</t>
  </si>
  <si>
    <t>2019 E</t>
  </si>
  <si>
    <t>2020 E</t>
  </si>
  <si>
    <t>2021 E</t>
  </si>
  <si>
    <t>2022 E</t>
  </si>
  <si>
    <t>2035 EV/E</t>
  </si>
  <si>
    <t>2024 RevG</t>
  </si>
  <si>
    <t>Unusual Machines</t>
  </si>
  <si>
    <t>UMAC US</t>
  </si>
  <si>
    <t>LDO IT</t>
  </si>
  <si>
    <t>BA UK</t>
  </si>
  <si>
    <t>NOC US</t>
  </si>
  <si>
    <t>HON US</t>
  </si>
  <si>
    <t>AIR FR</t>
  </si>
  <si>
    <t>SAF FR</t>
  </si>
  <si>
    <t>BA US</t>
  </si>
  <si>
    <t>GD US</t>
  </si>
  <si>
    <t>LHX US</t>
  </si>
  <si>
    <t>RR UK</t>
  </si>
  <si>
    <t>HO FR</t>
  </si>
  <si>
    <t>AM FR</t>
  </si>
  <si>
    <t>000065 CH</t>
  </si>
  <si>
    <t>RCAT US</t>
  </si>
  <si>
    <t>Embraer</t>
  </si>
  <si>
    <t>Kratos</t>
  </si>
  <si>
    <t>Bombardier</t>
  </si>
  <si>
    <t>Textron</t>
  </si>
  <si>
    <t>TXT US</t>
  </si>
  <si>
    <t>Renk</t>
  </si>
  <si>
    <t>Hensoldt</t>
  </si>
  <si>
    <t>Leidos</t>
  </si>
  <si>
    <t>LDOS US</t>
  </si>
  <si>
    <t>R3NK DE</t>
  </si>
  <si>
    <t>HAG DE</t>
  </si>
  <si>
    <t>ERJ US</t>
  </si>
  <si>
    <t>2025 Rev</t>
  </si>
  <si>
    <t>2025 RevG</t>
  </si>
  <si>
    <t>2025 GM%</t>
  </si>
  <si>
    <t>2025 OM%</t>
  </si>
  <si>
    <t>2025 EV/R</t>
  </si>
  <si>
    <t>KTOS US</t>
  </si>
  <si>
    <t>BBD.A CA</t>
  </si>
  <si>
    <t>Anduril</t>
  </si>
  <si>
    <t>ADUI US</t>
  </si>
  <si>
    <t>2025 EV/B</t>
  </si>
  <si>
    <t>2025 B/EV</t>
  </si>
  <si>
    <t>IS/BS Var</t>
  </si>
  <si>
    <t>Backlog</t>
  </si>
  <si>
    <t>2025 NM%</t>
  </si>
  <si>
    <t>SAAB</t>
  </si>
  <si>
    <t>2025 BL/R</t>
  </si>
  <si>
    <t>3 Way Var</t>
  </si>
  <si>
    <t>The estimated cost of this report or study for the Department of Defense is approximately $42,000 for the 2025 Fiscal Year. This includes $11,000 in expenses and $31,000 in DoD labor.</t>
  </si>
  <si>
    <t>U.S. Threats:</t>
  </si>
  <si>
    <t>Unsecured borders</t>
  </si>
  <si>
    <t>Minor threats e.g. Russia, NK, Iran, terrorist orgs</t>
  </si>
  <si>
    <t>Increasingly capable air and missile threats (ergo Golden Dome)</t>
  </si>
  <si>
    <t xml:space="preserve">China military buildup (shipbuilding, space, F-47) </t>
  </si>
  <si>
    <t>Discretionary</t>
  </si>
  <si>
    <t>Mandatory</t>
  </si>
  <si>
    <t>Supplemental</t>
  </si>
  <si>
    <t>Total</t>
  </si>
  <si>
    <t>2024</t>
  </si>
  <si>
    <t>2025</t>
  </si>
  <si>
    <t>2026</t>
  </si>
  <si>
    <t>DoD Budget ($B)</t>
  </si>
  <si>
    <t>Budgeted</t>
  </si>
  <si>
    <t>including</t>
  </si>
  <si>
    <t>Border control</t>
  </si>
  <si>
    <t>Golden Dome</t>
  </si>
  <si>
    <t>Nuclear triad</t>
  </si>
  <si>
    <t>Nuclear triad - the entire military infrastructure that supports, delivers, and controls nuclear warheads, across land, sea and air.</t>
  </si>
  <si>
    <t>Contractors</t>
  </si>
  <si>
    <t>Columbia-class ballistic missile submarine</t>
  </si>
  <si>
    <t>B-21</t>
  </si>
  <si>
    <t>Sentinel/Ground Based Launched Cruise Missile (GBSD)</t>
  </si>
  <si>
    <t>Nuclear Sea Launched Cruise Missile (SLCM-N)</t>
  </si>
  <si>
    <t>Long Range Stand-Off Weapon (LRSO)</t>
  </si>
  <si>
    <t>unaccounted</t>
  </si>
  <si>
    <t>China</t>
  </si>
  <si>
    <t>Desc</t>
  </si>
  <si>
    <t>100% operational control of the Southern Border</t>
  </si>
  <si>
    <t>Next-gen missile defence system to protect U.S. from nuclear, hypersonic and conventional weapons</t>
  </si>
  <si>
    <t>Combat credible forces and capabilities in Western Pacific</t>
  </si>
  <si>
    <t>Taiwan</t>
  </si>
  <si>
    <t>Taiwan Security Cooperation Initiative (TSCI)</t>
  </si>
  <si>
    <t>Replace U.S. stocks of equipment and services for Taiwan</t>
  </si>
  <si>
    <t>Indo-Pacific Command-led training, and Modular Mission Environment (MME)</t>
  </si>
  <si>
    <t>21 F-15 EXs, 47 F-35s, [number] F-47s, B-21, mobility aircraft, KC-46A tankers, unmanned aircraft systems, others?</t>
  </si>
  <si>
    <t>Air power</t>
  </si>
  <si>
    <t>Sea power</t>
  </si>
  <si>
    <t>19 battle force fleet (?) ships, including Columbia-class ballistic missile submarine (are they double-counting?), two Virginia-class attack submarines; two DDG-51 Arleigh Burke-class destroyers; one America-class amphibious assault ship; one LPD-17 San Antonio-class amphibious transport dock; nine McClung-class medium landing ships; two T-AO replenishment oilers; and one T-AGOS 25-class ocean surveillance ship</t>
  </si>
  <si>
    <t>Land power</t>
  </si>
  <si>
    <t>Amphibious Combat Vehicle (ACV), M1E3 Abrams development, XM30 MICV development, others</t>
  </si>
  <si>
    <t>Long-Range</t>
  </si>
  <si>
    <t>ARRW, HACM, LRHW, CPS, SM-6 IB, others?</t>
  </si>
  <si>
    <t>JASSM-ER, LRASM, Joint Strike Missile, Tomahawk, SM-6 IA, others?</t>
  </si>
  <si>
    <t>Space</t>
  </si>
  <si>
    <t>Vital space capabilities, resilient architectures, enhanced space command and control</t>
  </si>
  <si>
    <t>Cyberspace</t>
  </si>
  <si>
    <t>Defend and disrupt the efforts of advanced and persistent cyber adversaries, Zero Trust cybersecurity architecture (?), increase defence of U.S. critical infrastructure and partners against cyber attacks</t>
  </si>
  <si>
    <t>R&amp;D</t>
  </si>
  <si>
    <t>"Science &amp; Technology (S&amp;T)"</t>
  </si>
  <si>
    <t>Autonomous and remotely operated systems across air, land and above and below the sea</t>
  </si>
  <si>
    <t>Strategic Capabilities Office (SCO)</t>
  </si>
  <si>
    <t>Supply of defence</t>
  </si>
  <si>
    <t>Submarine Industrial Base (SIB)</t>
  </si>
  <si>
    <t>Industrial Base Analysis and Sustainment (IBAS) and Defence Protection Act Title III to mitigate cross-cutting supply chain risks in DIB including strategic materials, critical minerals etc.</t>
  </si>
  <si>
    <t>Office of Strategic Capital</t>
  </si>
  <si>
    <t>Soldiers</t>
  </si>
  <si>
    <t>QoL improvements for soldiers</t>
  </si>
  <si>
    <t>3.8% increase on FY 2025</t>
  </si>
  <si>
    <t>Military pay raise</t>
  </si>
  <si>
    <t>Defense Health Program</t>
  </si>
  <si>
    <t>Defense Innovation Unit (DIU) for rapidly prototyping and fielding dual-use technologies</t>
  </si>
  <si>
    <t>Defense Industrial Base (DIB) investments</t>
  </si>
  <si>
    <t>Medical facility improvements, clinical care, staffing increases at casualty locations</t>
  </si>
  <si>
    <t>Support programs for soldiers' families</t>
  </si>
  <si>
    <t>Ops and maintenance</t>
  </si>
  <si>
    <t>Readiness operations, training, and maintenance is a historic high and a 7.8% increase over FY 2025, with increases across each of the military departments</t>
  </si>
  <si>
    <t>Facilities</t>
  </si>
  <si>
    <t>Military construction and family housing programs</t>
  </si>
  <si>
    <t>Facilities sustainment, restoration and modernization (FSRM)</t>
  </si>
  <si>
    <t>Moral support</t>
  </si>
  <si>
    <t>Anti-vaxxers</t>
  </si>
  <si>
    <t>Suicide prevention programs</t>
  </si>
  <si>
    <t>Assault prevention programs</t>
  </si>
  <si>
    <t>Definitions and others:</t>
  </si>
  <si>
    <t>Golden Dome - shield and defence citizens and critical infrastructure against ballistic and hypersonic weapons, advanced cruise missiles, and other next-gen aerial attacks (?); project accountable to Deputy Secretary of Defense (track him?)</t>
  </si>
  <si>
    <t>Products</t>
  </si>
  <si>
    <t>Aircraft</t>
  </si>
  <si>
    <t>F-47</t>
  </si>
  <si>
    <t>Type</t>
  </si>
  <si>
    <t>Units produced</t>
  </si>
  <si>
    <t>Subcontractors</t>
  </si>
  <si>
    <t>J-19</t>
  </si>
  <si>
    <t>Design year</t>
  </si>
  <si>
    <t>Anti-ballistic</t>
  </si>
  <si>
    <t>Decommissioned year</t>
  </si>
  <si>
    <t>Commissioned (planned) year</t>
  </si>
  <si>
    <t>Anti-hypersonic (???)</t>
  </si>
  <si>
    <t>Anti-advanced cruise missiles</t>
  </si>
  <si>
    <t>Anti next-gen aerial attacks</t>
  </si>
  <si>
    <t>Space-based sensing, warning</t>
  </si>
  <si>
    <t>Interceptors</t>
  </si>
  <si>
    <t>C&amp;C</t>
  </si>
  <si>
    <t>Budget used</t>
  </si>
  <si>
    <t>Missile Defeat and Defense (MDD)</t>
  </si>
  <si>
    <t>includes</t>
  </si>
  <si>
    <t>regional and strategic missile defence capabilities outside of MDA</t>
  </si>
  <si>
    <t>advanced technology missile defeat efforts and other left-of-launch activities</t>
  </si>
  <si>
    <t>Next Generation Interceptor (NGI) testing?</t>
  </si>
  <si>
    <t xml:space="preserve"> Missile Defense Agency (MDA)</t>
  </si>
  <si>
    <t xml:space="preserve"> Other missile defence</t>
  </si>
  <si>
    <t xml:space="preserve"> Other</t>
  </si>
  <si>
    <t xml:space="preserve">  accounted for</t>
  </si>
  <si>
    <t xml:space="preserve">  unaccounted</t>
  </si>
  <si>
    <t xml:space="preserve"> accounted for</t>
  </si>
  <si>
    <t xml:space="preserve"> unaccounted</t>
  </si>
  <si>
    <t>Desc/comments</t>
  </si>
  <si>
    <t>Long-Range Discrimination Radar (LRDR)</t>
  </si>
  <si>
    <t>designed to defeat midcourse and ICBM threats</t>
  </si>
  <si>
    <t>Units ordered</t>
  </si>
  <si>
    <t>Users</t>
  </si>
  <si>
    <t>Anti-air/missile defence?</t>
  </si>
  <si>
    <t>identify, test and develop new hypersonic tech, analyse and upgrade capabilties of defence against hypersonic threats</t>
  </si>
  <si>
    <t>Glide Phase Intercept (GLI)</t>
  </si>
  <si>
    <t>hypersonic defense prototype development acceleration, supporting Golden Dome</t>
  </si>
  <si>
    <t xml:space="preserve">  integration of missiles into Aegis BMD Weapon Systems</t>
  </si>
  <si>
    <t>Product</t>
  </si>
  <si>
    <t>Other non-MDA missile defences</t>
  </si>
  <si>
    <t xml:space="preserve"> Integrated air and missile defence capabilities</t>
  </si>
  <si>
    <t xml:space="preserve">  PAC-3/MSE missiles</t>
  </si>
  <si>
    <t xml:space="preserve">  M-SHORAD</t>
  </si>
  <si>
    <t xml:space="preserve">  LTAMDS</t>
  </si>
  <si>
    <t xml:space="preserve">  IFPC Increment 2</t>
  </si>
  <si>
    <t xml:space="preserve"> Navy missile defence</t>
  </si>
  <si>
    <t xml:space="preserve">  Aegis BMD</t>
  </si>
  <si>
    <t xml:space="preserve">  Others (p. 2-4)</t>
  </si>
  <si>
    <t xml:space="preserve"> Air Force and Space Force</t>
  </si>
  <si>
    <t xml:space="preserve">  Wide Area Surveillance in National Capital region</t>
  </si>
  <si>
    <t xml:space="preserve">  Long-range radar improvements</t>
  </si>
  <si>
    <t xml:space="preserve">  Next Generation Overhead Persistent Infrared</t>
  </si>
  <si>
    <t xml:space="preserve">  Resilient Missile Warning</t>
  </si>
  <si>
    <t xml:space="preserve">  Missile Tracking Low Earth Orbit and Medium Earth Orbit</t>
  </si>
  <si>
    <t xml:space="preserve">  Upgraded Early Warning Radars</t>
  </si>
  <si>
    <t xml:space="preserve">  Upgrade of legacy early warning systems</t>
  </si>
  <si>
    <t xml:space="preserve">  Space Development Agency (SDA) missile defence</t>
  </si>
  <si>
    <t xml:space="preserve">   Hypersonic missile tracking layer</t>
  </si>
  <si>
    <t xml:space="preserve">   Data transport layer</t>
  </si>
  <si>
    <t>to enhance several mission areas, including missile defence</t>
  </si>
  <si>
    <t xml:space="preserve">  Hypersonic and Ballistic Tracking Space Sensor (HBTSS)</t>
  </si>
  <si>
    <t>Left-of-launch - defeat missile threats before they are launched</t>
  </si>
  <si>
    <t xml:space="preserve"> Left-of-launch capabilities</t>
  </si>
  <si>
    <t>Counter-unmanned systems (C-UXS)</t>
  </si>
  <si>
    <t>2024 Budget</t>
  </si>
  <si>
    <t>2025 Budget</t>
  </si>
  <si>
    <t>2026 Budget</t>
  </si>
  <si>
    <t>Biodefence</t>
  </si>
  <si>
    <t>Sentinel ICBM</t>
  </si>
  <si>
    <t>Long Range Stand-Off Weapon</t>
  </si>
  <si>
    <t>Columbia-Class Submarines</t>
  </si>
  <si>
    <t>Trident II Missile Mods</t>
  </si>
  <si>
    <t>Nuclear-Armed, Sea-Launched Cruise Missile</t>
  </si>
  <si>
    <t>F-35A</t>
  </si>
  <si>
    <t>E-4C (SAOC)</t>
  </si>
  <si>
    <t>Evolved Strategic Satellite Communication</t>
  </si>
  <si>
    <t>E-130J (TACAMO)</t>
  </si>
  <si>
    <t>Next Gen OPIR (GEO/Polar/Ground)</t>
  </si>
  <si>
    <t>Resilient Missile Warning and Tracking (LEO/MEO/Ground)</t>
  </si>
  <si>
    <t>modernise and replace Minuteman III ICBM of 400 operationally deployed and 450 launch facilities</t>
  </si>
  <si>
    <t>replace bomber-delivered AGM-86B ALCM</t>
  </si>
  <si>
    <t>replace Ohio-class SSBNs</t>
  </si>
  <si>
    <t>low-rate initial production began in FY2024</t>
  </si>
  <si>
    <t>replacing F-15E and other fourth-gen</t>
  </si>
  <si>
    <t>replacing E-4B, militarised version of Boeing 747-8i</t>
  </si>
  <si>
    <t>replacing E-6B</t>
  </si>
  <si>
    <t>SSBN</t>
  </si>
  <si>
    <t>SLCM-N</t>
  </si>
  <si>
    <t>F-35A/B/C</t>
  </si>
  <si>
    <t>KC-46A</t>
  </si>
  <si>
    <t>F/A-18E/F</t>
  </si>
  <si>
    <t>V-22</t>
  </si>
  <si>
    <t>MV-75</t>
  </si>
  <si>
    <t>MQ-4C</t>
  </si>
  <si>
    <t>MQ-9</t>
  </si>
  <si>
    <t>E-7A</t>
  </si>
  <si>
    <t>OA-1K</t>
  </si>
  <si>
    <t xml:space="preserve">Joint Strike Fighter </t>
  </si>
  <si>
    <t xml:space="preserve">Eagle Il </t>
  </si>
  <si>
    <t xml:space="preserve">Next Generation Air Dominance </t>
  </si>
  <si>
    <t xml:space="preserve">Tanker </t>
  </si>
  <si>
    <t xml:space="preserve">Super Hornet </t>
  </si>
  <si>
    <t xml:space="preserve">King Stallion Helicopter </t>
  </si>
  <si>
    <t xml:space="preserve">Advanced Hawkeye (AHE) </t>
  </si>
  <si>
    <t xml:space="preserve">Apache Helicopter </t>
  </si>
  <si>
    <t xml:space="preserve">Black Hawk Helicopter </t>
  </si>
  <si>
    <t xml:space="preserve">Osprey </t>
  </si>
  <si>
    <t xml:space="preserve">Future Long-Range Assault Aircraft (FLRAA) </t>
  </si>
  <si>
    <t xml:space="preserve">Triton Unmanned Aerial Vehicle </t>
  </si>
  <si>
    <t xml:space="preserve">Stingray Unmanned Aerial Vehicle </t>
  </si>
  <si>
    <t xml:space="preserve">Reaper </t>
  </si>
  <si>
    <t xml:space="preserve">Wedgetail </t>
  </si>
  <si>
    <t xml:space="preserve">Skyraider Il </t>
  </si>
  <si>
    <t>2026 units</t>
  </si>
  <si>
    <t>2025 units</t>
  </si>
  <si>
    <t>Trident II</t>
  </si>
  <si>
    <t>LRSO</t>
  </si>
  <si>
    <t>LGM-35</t>
  </si>
  <si>
    <t xml:space="preserve">Raider </t>
  </si>
  <si>
    <t xml:space="preserve">Columbia-Class Submarine3 </t>
  </si>
  <si>
    <t xml:space="preserve">Nuclear-Armed Sea Launched Cruise Missile </t>
  </si>
  <si>
    <t xml:space="preserve">Trident Il Missile Mods </t>
  </si>
  <si>
    <t xml:space="preserve">Long Range Standoff Weapon </t>
  </si>
  <si>
    <t xml:space="preserve">Sentinel Intercontinental Ballistic Missile </t>
  </si>
  <si>
    <t xml:space="preserve">DDG 51 </t>
  </si>
  <si>
    <t xml:space="preserve">LHA </t>
  </si>
  <si>
    <t xml:space="preserve">T-AGOS </t>
  </si>
  <si>
    <t xml:space="preserve">USV </t>
  </si>
  <si>
    <t xml:space="preserve">LSM </t>
  </si>
  <si>
    <t xml:space="preserve">Unmanned Surface Vessels (Medium &amp; Large) </t>
  </si>
  <si>
    <t xml:space="preserve">Medium Landing Ship </t>
  </si>
  <si>
    <t xml:space="preserve">SSN 774 </t>
  </si>
  <si>
    <t xml:space="preserve">LPD Flight Il </t>
  </si>
  <si>
    <t>Launch Enterprise</t>
  </si>
  <si>
    <t>PNT</t>
  </si>
  <si>
    <t>MW/MT</t>
  </si>
  <si>
    <t>SATCOM</t>
  </si>
  <si>
    <t>Position, Navigation and Timing</t>
  </si>
  <si>
    <t>Space-Based Missile Warning Systems</t>
  </si>
  <si>
    <t>Satellite Communication</t>
  </si>
  <si>
    <t>Ships (major programs)</t>
  </si>
  <si>
    <t>Space (major programs)</t>
  </si>
  <si>
    <t>Missile defence/nuclear (major programs)</t>
  </si>
  <si>
    <t>Army</t>
  </si>
  <si>
    <t>Navy</t>
  </si>
  <si>
    <t>Airforce</t>
  </si>
  <si>
    <t>National Guard</t>
  </si>
  <si>
    <t>Defense-Wide</t>
  </si>
  <si>
    <t>add confidence level later?</t>
  </si>
  <si>
    <t>NOC</t>
  </si>
  <si>
    <t>RTX</t>
  </si>
  <si>
    <t>LMT</t>
  </si>
  <si>
    <t>future product</t>
  </si>
  <si>
    <t>RTX (probable)</t>
  </si>
  <si>
    <t>NOC Aeronautics</t>
  </si>
  <si>
    <t>GD Electric Boat</t>
  </si>
  <si>
    <t>LMT Space</t>
  </si>
  <si>
    <t>LMT Aeronautics</t>
  </si>
  <si>
    <t>LMT/NOC</t>
  </si>
  <si>
    <t>BA Defense</t>
  </si>
  <si>
    <t>LMT/LHX</t>
  </si>
  <si>
    <t>LMT SBIRS + NOC Polar</t>
  </si>
  <si>
    <t>BA</t>
  </si>
  <si>
    <t>LMT Sikorsky</t>
  </si>
  <si>
    <t>GA Aeronautical</t>
  </si>
  <si>
    <t>General Atomics</t>
  </si>
  <si>
    <t>AeroVironment</t>
  </si>
  <si>
    <t>Archer Aviation</t>
  </si>
  <si>
    <t>Sierra Nevada</t>
  </si>
  <si>
    <t>Sierra Nevada + ERJ (A-29)</t>
  </si>
  <si>
    <t>GD EB</t>
  </si>
  <si>
    <t>GD EB + HII NNS</t>
  </si>
  <si>
    <t>HII + GD Bath Iron Works</t>
  </si>
  <si>
    <t>HII Newport News</t>
  </si>
  <si>
    <t>Fincantieri</t>
  </si>
  <si>
    <t>HII</t>
  </si>
  <si>
    <t>GD NASSCO</t>
  </si>
  <si>
    <t>ASB + LDOS</t>
  </si>
  <si>
    <t>ASB + HII + LDOS</t>
  </si>
  <si>
    <t>ASB + HII</t>
  </si>
  <si>
    <t>SpaceX + LMT + BA (ULA)</t>
  </si>
  <si>
    <t>LHX/NOC</t>
  </si>
  <si>
    <t>BA/LMT/NOC</t>
  </si>
  <si>
    <t>LHX + NOC (SDA)</t>
  </si>
  <si>
    <t>LHX, RTX, HON, LMT</t>
  </si>
  <si>
    <t>NOC, LHX, HON</t>
  </si>
  <si>
    <t>HII, BAE, RTX, LHX</t>
  </si>
  <si>
    <t>LHX, BAE, HON</t>
  </si>
  <si>
    <t>tbd</t>
  </si>
  <si>
    <t>LHX, RTX, Spirit</t>
  </si>
  <si>
    <t>RTX, BAE</t>
  </si>
  <si>
    <t>RTX, BAE, NOC</t>
  </si>
  <si>
    <t>RTX, NOC, LHX</t>
  </si>
  <si>
    <t>RTX, BA, BAE</t>
  </si>
  <si>
    <t>RTX, NOC</t>
  </si>
  <si>
    <t>RTX, Ball, Aerojet</t>
  </si>
  <si>
    <t>York Space, Ball, RTX</t>
  </si>
  <si>
    <t>RTX, BAE, LHX</t>
  </si>
  <si>
    <t>RTX, Spirit, GE</t>
  </si>
  <si>
    <t>RTX, GE, BAE</t>
  </si>
  <si>
    <t>GE, RTX, HON</t>
  </si>
  <si>
    <t>RTX, GE, LMT</t>
  </si>
  <si>
    <t>GE, RTX</t>
  </si>
  <si>
    <t>RR., BA.</t>
  </si>
  <si>
    <t>LHX, RTX</t>
  </si>
  <si>
    <t>RTX, LHX</t>
  </si>
  <si>
    <t>LHX</t>
  </si>
  <si>
    <t>HII NNS, BA., RTX, LHX</t>
  </si>
  <si>
    <t>LHX, BA., HON</t>
  </si>
  <si>
    <t>NOC, LHX</t>
  </si>
  <si>
    <t>LHX, RTX, HON</t>
  </si>
  <si>
    <t>NOC, Aerojet</t>
  </si>
  <si>
    <t>RTX, LHX, Aerojet</t>
  </si>
  <si>
    <t>Ball, RTX</t>
  </si>
  <si>
    <t>RTX, BA.</t>
  </si>
  <si>
    <t>IDIQ - indefinite delivery, indefinite quantity type contracts</t>
  </si>
  <si>
    <t>Aircraft (major programs) joint service?</t>
  </si>
  <si>
    <t>Hercules</t>
  </si>
  <si>
    <t>Gray Eagle</t>
  </si>
  <si>
    <t>AH-64E (US Army)</t>
  </si>
  <si>
    <t>Chinook</t>
  </si>
  <si>
    <t>UH-60 (US Army)</t>
  </si>
  <si>
    <t>CH-47 (US Army)</t>
  </si>
  <si>
    <t>C-130J (Joint Service)</t>
  </si>
  <si>
    <t>MQ-1C (Joint Service)</t>
  </si>
  <si>
    <t>Future Long-Range Assault Aircraft</t>
  </si>
  <si>
    <t>TXT Bell</t>
  </si>
  <si>
    <t>TXT Bell + BA JV</t>
  </si>
  <si>
    <t>TXT Bell?</t>
  </si>
  <si>
    <t>FLRAA (US Army)</t>
  </si>
  <si>
    <t>MQ-25A (US Navy/Marines)</t>
  </si>
  <si>
    <t>E-2D (US Navy/Marines)</t>
  </si>
  <si>
    <t>CH-53K (US Navy/Marines)</t>
  </si>
  <si>
    <t>B-21 (US Air Force)</t>
  </si>
  <si>
    <t>Bombers</t>
  </si>
  <si>
    <t>Presidential Aircraft Recapitalization</t>
  </si>
  <si>
    <t>B-1, B-2, B-52 (US Air Force)</t>
  </si>
  <si>
    <t>VC-25B (US Air Force)</t>
  </si>
  <si>
    <t>F-47 (US Air Force)</t>
  </si>
  <si>
    <t>F-22 (US Air Force)</t>
  </si>
  <si>
    <t>Raptor</t>
  </si>
  <si>
    <t>F-15 (US Air Force)</t>
  </si>
  <si>
    <t>Eagle/Eagle II</t>
  </si>
  <si>
    <t>F-15EX (part of F-15)</t>
  </si>
  <si>
    <t>Combat Rescue Helicopter</t>
  </si>
  <si>
    <t>Advanced Pilot Training</t>
  </si>
  <si>
    <t>Grey Wolf</t>
  </si>
  <si>
    <t>Collaborative Combat Aircraft</t>
  </si>
  <si>
    <t>HH-60W (US Air Force)</t>
  </si>
  <si>
    <t>T-7A (US Air Force)</t>
  </si>
  <si>
    <t>MH-139A (US Air Force)</t>
  </si>
  <si>
    <t>CCA (US Air Force)</t>
  </si>
  <si>
    <t>C4I (major programs)</t>
  </si>
  <si>
    <t>TNT</t>
  </si>
  <si>
    <t>HMS</t>
  </si>
  <si>
    <t>Tactical Network Technology</t>
  </si>
  <si>
    <t>Handheld, Manpack, and Small Form Fit Radios</t>
  </si>
  <si>
    <t>Ground (major programs)</t>
  </si>
  <si>
    <t>M-1</t>
  </si>
  <si>
    <t>AMPV</t>
  </si>
  <si>
    <t>NGSW</t>
  </si>
  <si>
    <t>PIM</t>
  </si>
  <si>
    <t>Stryker</t>
  </si>
  <si>
    <t>M10</t>
  </si>
  <si>
    <t>FMTV</t>
  </si>
  <si>
    <t>FHTV</t>
  </si>
  <si>
    <t>XM30</t>
  </si>
  <si>
    <t>ACV (US Marines)</t>
  </si>
  <si>
    <t>JLTV (Joint Service)</t>
  </si>
  <si>
    <t>Joint Light Tactical Vehicle</t>
  </si>
  <si>
    <t>Abrams Tank Modification Vehicle</t>
  </si>
  <si>
    <t>Armored Multi-Purpose Vehicle</t>
  </si>
  <si>
    <t>Next Generation Squad Weapon</t>
  </si>
  <si>
    <t>Paladin Integrated Management</t>
  </si>
  <si>
    <t>Stryker Family of Armored Vehicles</t>
  </si>
  <si>
    <t>M10 Booker (Mobile Protected Firepower)</t>
  </si>
  <si>
    <t>Family of Medium Tactical Vehicles</t>
  </si>
  <si>
    <t>Family of Heavy Tactical Vehicles</t>
  </si>
  <si>
    <t>Combat Vehicle</t>
  </si>
  <si>
    <t>Amphibious Combat Vehicle</t>
  </si>
  <si>
    <t xml:space="preserve"> Ground-Based Midcourse Defense (GMD)</t>
  </si>
  <si>
    <t xml:space="preserve">  Ground-Based Interceptors (GBI)</t>
  </si>
  <si>
    <t xml:space="preserve">  Next Generation Interceptors (NGI)</t>
  </si>
  <si>
    <t xml:space="preserve"> Hypersonic defence budget</t>
  </si>
  <si>
    <t xml:space="preserve"> Systems against SRBM, MRBM, IRBM</t>
  </si>
  <si>
    <t xml:space="preserve">  Glide Phase Intercept (GPI)</t>
  </si>
  <si>
    <t xml:space="preserve"> Terminal High Altitude Area Defense (THAAD)</t>
  </si>
  <si>
    <t xml:space="preserve"> Israeli Cooperative BMD</t>
  </si>
  <si>
    <t xml:space="preserve">  Iron Dome</t>
  </si>
  <si>
    <t xml:space="preserve">  David's Sling</t>
  </si>
  <si>
    <t xml:space="preserve">  Arrow-3</t>
  </si>
  <si>
    <t xml:space="preserve"> Aegis Ballistic Missile Defense (BMD)</t>
  </si>
  <si>
    <t xml:space="preserve">  Standard Missile-3 (SM-3) Block IIA</t>
  </si>
  <si>
    <t xml:space="preserve">   on Aegis BMD ships</t>
  </si>
  <si>
    <t xml:space="preserve">   on Aegis ashore</t>
  </si>
  <si>
    <t xml:space="preserve"> Sea-Based Weapons System</t>
  </si>
  <si>
    <t>PATRIOT/PAC-3</t>
  </si>
  <si>
    <t>PATRIOT Advanced Capability</t>
  </si>
  <si>
    <t>PAC-3/MSE</t>
  </si>
  <si>
    <t>IFPC</t>
  </si>
  <si>
    <t>MRIC</t>
  </si>
  <si>
    <t>PAC-3/Missile Segment Enhancement</t>
  </si>
  <si>
    <t>Indirect Fire Protection Capability</t>
  </si>
  <si>
    <t>Medium-Range Intercept Capability</t>
  </si>
  <si>
    <t>Missiles/munitions (major programs)</t>
  </si>
  <si>
    <t>JDAM</t>
  </si>
  <si>
    <t>SDB I</t>
  </si>
  <si>
    <t>SDB II</t>
  </si>
  <si>
    <t>JASSM</t>
  </si>
  <si>
    <t>AIM-9X</t>
  </si>
  <si>
    <t>AMRAAM</t>
  </si>
  <si>
    <t>Chem-Demil</t>
  </si>
  <si>
    <t>JAGM</t>
  </si>
  <si>
    <t>LRASM</t>
  </si>
  <si>
    <t>AMMO</t>
  </si>
  <si>
    <t>AARGM-ER</t>
  </si>
  <si>
    <t>GMLRS</t>
  </si>
  <si>
    <t>Javelin</t>
  </si>
  <si>
    <t>Joint Direct Attack Munition</t>
  </si>
  <si>
    <t>Small Diameter Bomb I</t>
  </si>
  <si>
    <t>Small Diameter Bomb II</t>
  </si>
  <si>
    <t>Joint Air-to-Surface Standoff Missile</t>
  </si>
  <si>
    <t>Air Intercept Missile - 9X</t>
  </si>
  <si>
    <t>Advanced Medium Range Air-to-Air Missile</t>
  </si>
  <si>
    <t>Chemical Demilitarization</t>
  </si>
  <si>
    <t>Long-Range Anti-Ship Missile</t>
  </si>
  <si>
    <t>Ammunition</t>
  </si>
  <si>
    <t>Advanced Anti-Radiation Guided Missile</t>
  </si>
  <si>
    <t>Joint Air-to-Ground Missile</t>
  </si>
  <si>
    <t>Guided Multiple Launch Rocket System</t>
  </si>
  <si>
    <t>Javelin Advanced Anti-Tank Weapon System</t>
  </si>
  <si>
    <t>PrSM</t>
  </si>
  <si>
    <t>Precision Strike Missile</t>
  </si>
  <si>
    <t>Strategic Mid-Range Fires System</t>
  </si>
  <si>
    <t>SMRF/Typhon</t>
  </si>
  <si>
    <t>SM-6 (US Navy)</t>
  </si>
  <si>
    <t>RAM (US Navy)</t>
  </si>
  <si>
    <t>NSM (US Navy)</t>
  </si>
  <si>
    <t>Tomahawk (US Navy)</t>
  </si>
  <si>
    <t xml:space="preserve">Gerald R. Ford Nuclear Class Aircraft Carrier </t>
  </si>
  <si>
    <t xml:space="preserve">Virginia Class Submarine </t>
  </si>
  <si>
    <t xml:space="preserve">Arleigh Burke Class Destroyer </t>
  </si>
  <si>
    <t>Constellation Class Guided Missile Frigate (FFG 62)</t>
  </si>
  <si>
    <t>FFG(X)</t>
  </si>
  <si>
    <t xml:space="preserve">America Class Amphibious Assault Ship </t>
  </si>
  <si>
    <t>San Antonio Class Amphibious Transport Ship</t>
  </si>
  <si>
    <t>John Lewis Class Fleet Replenishment Oiler</t>
  </si>
  <si>
    <t>Medium and Large Unmanned Surface Vessels</t>
  </si>
  <si>
    <t xml:space="preserve">CVN 78/79/80/81 </t>
  </si>
  <si>
    <t>SSBN 826</t>
  </si>
  <si>
    <t>Columbia Class Ballistic Missile Submarine</t>
  </si>
  <si>
    <t>Standard-Missile 6</t>
  </si>
  <si>
    <t>Rolling Airframe Missile</t>
  </si>
  <si>
    <t>Naval Strike Missile</t>
  </si>
  <si>
    <t>Tactical Tomahawk Cruise Missile</t>
  </si>
  <si>
    <t>CVN</t>
  </si>
  <si>
    <t>Refueling Complex Overhaul</t>
  </si>
  <si>
    <t>T-AO 205</t>
  </si>
  <si>
    <t>Hypersonics (major programs)</t>
  </si>
  <si>
    <t>LRHW</t>
  </si>
  <si>
    <t>CPS</t>
  </si>
  <si>
    <t>HACM</t>
  </si>
  <si>
    <t>Long Range Hypersonic Weapon</t>
  </si>
  <si>
    <t>Intermediate Range Conventional Prompt Strike</t>
  </si>
  <si>
    <t>US Air Force Hypersonic Attack Cruise Missile</t>
  </si>
  <si>
    <t>Hypersonics defense</t>
  </si>
  <si>
    <t>Program</t>
  </si>
  <si>
    <t>FY</t>
  </si>
  <si>
    <t>Customer</t>
  </si>
  <si>
    <t>Qty</t>
  </si>
  <si>
    <t>Source</t>
  </si>
  <si>
    <t>USAF</t>
  </si>
  <si>
    <t>USN</t>
  </si>
  <si>
    <t>Procurement</t>
  </si>
  <si>
    <t>RDT&amp;E</t>
  </si>
  <si>
    <t>H</t>
  </si>
  <si>
    <t>Prime</t>
  </si>
  <si>
    <t>F-35</t>
  </si>
  <si>
    <t>Aeronautics</t>
  </si>
  <si>
    <t>Component</t>
  </si>
  <si>
    <t>Role</t>
  </si>
  <si>
    <t>Share</t>
  </si>
  <si>
    <t>Notes</t>
  </si>
  <si>
    <t>Confidence/Status</t>
  </si>
  <si>
    <t>Country</t>
  </si>
  <si>
    <t>US</t>
  </si>
  <si>
    <t>USN/USMC</t>
  </si>
  <si>
    <t>Airframe</t>
  </si>
  <si>
    <t>Pratt &amp; Whitney</t>
  </si>
  <si>
    <t>Engine</t>
  </si>
  <si>
    <t>Value_USD_M</t>
  </si>
  <si>
    <t>Data_Source_Detail</t>
  </si>
  <si>
    <t>Row Labels</t>
  </si>
  <si>
    <t>Grand Total</t>
  </si>
  <si>
    <t>Column Labels</t>
  </si>
  <si>
    <t>Share_Est</t>
  </si>
  <si>
    <t>Adj_Value_USD_M</t>
  </si>
  <si>
    <t>add SRM suppliers later</t>
  </si>
  <si>
    <t>SOCOM</t>
  </si>
  <si>
    <t>TXT</t>
  </si>
  <si>
    <t>Sum of Adj_Value_USD_M</t>
  </si>
  <si>
    <t>(blank)</t>
  </si>
  <si>
    <t>Bell</t>
  </si>
  <si>
    <t>RR</t>
  </si>
  <si>
    <t>Defence</t>
  </si>
  <si>
    <t>Defense</t>
  </si>
  <si>
    <t>C-130J</t>
  </si>
  <si>
    <t>Joint Service</t>
  </si>
  <si>
    <t>GE</t>
  </si>
  <si>
    <t>Dowty</t>
  </si>
  <si>
    <t>Mission Systems</t>
  </si>
  <si>
    <t>HON</t>
  </si>
  <si>
    <t>Avionics</t>
  </si>
  <si>
    <t>MQ-1C</t>
  </si>
  <si>
    <t>GAI</t>
  </si>
  <si>
    <t>Aeronautical Systems</t>
  </si>
  <si>
    <t>Communications, and ISR?</t>
  </si>
  <si>
    <t>Collins Aerospace</t>
  </si>
  <si>
    <t>PATRIOT</t>
  </si>
  <si>
    <t>Missiles &amp; Fire Control</t>
  </si>
  <si>
    <t>CCA</t>
  </si>
  <si>
    <t>ADUI</t>
  </si>
  <si>
    <t>F-15</t>
  </si>
  <si>
    <t>DoD FY2026 Budget</t>
  </si>
  <si>
    <t>M</t>
  </si>
  <si>
    <t>F-22</t>
  </si>
  <si>
    <t>KC-46</t>
  </si>
  <si>
    <t>B-1, B-2, B-52</t>
  </si>
  <si>
    <t>CH-53K</t>
  </si>
  <si>
    <t>USMC</t>
  </si>
  <si>
    <t>Sikorsky</t>
  </si>
  <si>
    <t>FLRAA</t>
  </si>
  <si>
    <t>MQ-25</t>
  </si>
  <si>
    <t>F/A-18</t>
  </si>
  <si>
    <t>GE Aerospace</t>
  </si>
  <si>
    <t>General Electric</t>
  </si>
  <si>
    <t>Military Engines</t>
  </si>
  <si>
    <t>E-2</t>
  </si>
  <si>
    <t>HO</t>
  </si>
  <si>
    <t>M1</t>
  </si>
  <si>
    <t>US Army</t>
  </si>
  <si>
    <t>GD</t>
  </si>
  <si>
    <t>Ground Systems</t>
  </si>
  <si>
    <t>Official Segment (per filings)</t>
  </si>
  <si>
    <t>Your Segment Label</t>
  </si>
  <si>
    <t>Pratt &amp; Whitney (Engines)</t>
  </si>
  <si>
    <t>Engine production, sustainment, propulsion R&amp;D</t>
  </si>
  <si>
    <t>Raytheon (Missiles &amp; Sensors)</t>
  </si>
  <si>
    <t>Missiles, radars, C2, effectors</t>
  </si>
  <si>
    <t>Collins Aerospace (Avionics)</t>
  </si>
  <si>
    <t>Avionics, interiors, networking, mission systems</t>
  </si>
  <si>
    <t>Aeronautics / Missiles &amp; Fire Control / Rotary &amp; Mission Systems / Space</t>
  </si>
  <si>
    <t>Aeronautics, Missiles &amp; Fire Control, Sikorsky</t>
  </si>
  <si>
    <t>Each tied to an identifiable revenue line</t>
  </si>
  <si>
    <t>Defence, Space &amp; Security</t>
  </si>
  <si>
    <t>Combine airframes and derivatives here</t>
  </si>
  <si>
    <t>Aeronautics Systems / Mission Systems / Space Systems</t>
  </si>
  <si>
    <t>Aeronautical Systems, Mission Systems</t>
  </si>
  <si>
    <t>Direct mapping</t>
  </si>
  <si>
    <t>Bell / Systems</t>
  </si>
  <si>
    <t>Bell is standalone segment</t>
  </si>
  <si>
    <t>GE Aerospace (single segment)</t>
  </si>
  <si>
    <t>Maps to GE Aerospace disclosures</t>
  </si>
  <si>
    <t>Rolls-Royce</t>
  </si>
  <si>
    <t>Defence (Engines)</t>
  </si>
  <si>
    <t>Use exact name</t>
  </si>
  <si>
    <t>Communication Systems / Space &amp; Airborne Systems / Integrated Mission Systems</t>
  </si>
  <si>
    <t>Mission Systems / Avionics</t>
  </si>
  <si>
    <t>Match revenue disclosures</t>
  </si>
  <si>
    <t>Aerospace</t>
  </si>
  <si>
    <t>Use Aerospace sub-segment where possible</t>
  </si>
  <si>
    <t>N/A (private)</t>
  </si>
  <si>
    <t>Emerging Defence Tech</t>
  </si>
  <si>
    <t>Placeholder until IPO data available</t>
  </si>
  <si>
    <t>Military Engines, Dowty</t>
  </si>
  <si>
    <t>Platforms &amp; Services</t>
  </si>
  <si>
    <t>RHM</t>
  </si>
  <si>
    <t>ACV</t>
  </si>
  <si>
    <t>MDA</t>
  </si>
  <si>
    <t>GMD</t>
  </si>
  <si>
    <t>THAAD</t>
  </si>
  <si>
    <t>Aegis BMD</t>
  </si>
  <si>
    <t>Rotary &amp; Mission Systems</t>
  </si>
  <si>
    <t>PAC-3</t>
  </si>
  <si>
    <t>MSE</t>
  </si>
  <si>
    <t>LDOS</t>
  </si>
  <si>
    <t>Defense Solutions</t>
  </si>
  <si>
    <t>FY 2026 includes XM1128/XM1113/C-DAEM rounds; produced primarily at GD-OTS and BAE-operated GOCO facilities under the Joint DoD Ammunition Program</t>
  </si>
  <si>
    <t>National Presto</t>
  </si>
  <si>
    <t>NPK</t>
  </si>
  <si>
    <t>AMTEC</t>
  </si>
  <si>
    <t>NAMMO</t>
  </si>
  <si>
    <t>Patria</t>
  </si>
  <si>
    <t>Kongsberg</t>
  </si>
  <si>
    <t>Ordnance &amp; Tactical Systems</t>
  </si>
  <si>
    <t>While the U.S. Navy is exploring a future surface-launch variant, FY2026 funding is entirely Army-managed — Navy participation remains exploratory at this stage.</t>
  </si>
  <si>
    <t>UGM-133</t>
  </si>
  <si>
    <t>SM-6</t>
  </si>
  <si>
    <t>TLAM</t>
  </si>
  <si>
    <t>Tomahawk</t>
  </si>
  <si>
    <t>NSSL/RSLP</t>
  </si>
  <si>
    <t>Space Force Launch Enterprise</t>
  </si>
  <si>
    <t>USSF</t>
  </si>
  <si>
    <t>ULA</t>
  </si>
  <si>
    <t>SPAC</t>
  </si>
  <si>
    <t>RKLB</t>
  </si>
  <si>
    <t>Stoke Space</t>
  </si>
  <si>
    <t>Blue Origin</t>
  </si>
  <si>
    <t>MWMT</t>
  </si>
  <si>
    <t>Hypersonics</t>
  </si>
  <si>
    <t>Oshkosh</t>
  </si>
  <si>
    <t>OSK</t>
  </si>
  <si>
    <t>Dynetics</t>
  </si>
  <si>
    <t>Babcock?</t>
  </si>
  <si>
    <t>Value_Other</t>
  </si>
  <si>
    <t>AJAX</t>
  </si>
  <si>
    <t>UK</t>
  </si>
  <si>
    <t>GD UK</t>
  </si>
  <si>
    <t>GBP/USD</t>
  </si>
  <si>
    <t>Thales UK</t>
  </si>
  <si>
    <t>GKN</t>
  </si>
  <si>
    <t>AH-64</t>
  </si>
  <si>
    <t>LDO</t>
  </si>
  <si>
    <t>Challenger 3</t>
  </si>
  <si>
    <t>Trident</t>
  </si>
  <si>
    <t>Vehicle Systems</t>
  </si>
  <si>
    <t>Weapon &amp; Ammunition</t>
  </si>
  <si>
    <t>Fairly valued</t>
  </si>
  <si>
    <t>TBC, needs much more updating</t>
  </si>
  <si>
    <t>E-7</t>
  </si>
  <si>
    <t>STS Aviation</t>
  </si>
  <si>
    <t>Brimstone</t>
  </si>
  <si>
    <t>AIR</t>
  </si>
  <si>
    <t>segments need to be corrected</t>
  </si>
  <si>
    <t>Air</t>
  </si>
  <si>
    <t>Defense &amp; Space</t>
  </si>
  <si>
    <t>Defence Electronics &amp; Security</t>
  </si>
  <si>
    <t>Defence &amp; Security</t>
  </si>
  <si>
    <t>Avio</t>
  </si>
  <si>
    <t>SPEAR 3</t>
  </si>
  <si>
    <t>ASRAAM</t>
  </si>
  <si>
    <t>Defence &amp; Space</t>
  </si>
  <si>
    <t>QinetiQ</t>
  </si>
  <si>
    <t>KNDS</t>
  </si>
  <si>
    <t>CH-47</t>
  </si>
  <si>
    <t>QQ</t>
  </si>
  <si>
    <t>MIV</t>
  </si>
  <si>
    <t>Unofficial behaviour</t>
  </si>
  <si>
    <t>Situations</t>
  </si>
  <si>
    <t>Israel-Iran war</t>
  </si>
  <si>
    <t>Israel</t>
  </si>
  <si>
    <t>Iran</t>
  </si>
  <si>
    <t>USA</t>
  </si>
  <si>
    <t>Nairobi incident</t>
  </si>
  <si>
    <t>Official doctrine</t>
  </si>
  <si>
    <t>China-Taiwan</t>
  </si>
  <si>
    <t>Russia-Ukraine</t>
  </si>
  <si>
    <t>Sudan?</t>
  </si>
  <si>
    <t>Incapability to perform when leaders are not available/killed</t>
  </si>
  <si>
    <t>Tendency to overexaggerate, tendency to be blindly arrogant, eventually to self-detriment</t>
  </si>
  <si>
    <t>Influenced by Israel lobby</t>
  </si>
  <si>
    <t>Israel-Palestine</t>
  </si>
  <si>
    <t>China-India</t>
  </si>
  <si>
    <t>Pakistan-India</t>
  </si>
  <si>
    <t>Use recent example</t>
  </si>
  <si>
    <t>Percentage probabilities</t>
  </si>
  <si>
    <t>use these factors as a base to build up the wargaming structure</t>
  </si>
  <si>
    <t>Units employable</t>
  </si>
  <si>
    <t>Total units</t>
  </si>
  <si>
    <t>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</si>
</sst>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[$$-409]#,##0"/>
    <numFmt numFmtId="165" formatCode="0\x"/>
    <numFmt numFmtId="166" formatCode="[$$-409]#,##0.00"/>
    <numFmt numFmtId="167" formatCode="[$€-2]\ #,##0.00"/>
    <numFmt numFmtId="168" formatCode="0.0\x"/>
    <numFmt numFmtId="169" formatCode="&quot;£&quot;#,##0.00"/>
    <numFmt numFmtId="170" formatCode="#,##0.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/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/>
      <top style="thin">
        <color theme="2" tint="-0.749992370372631"/>
      </top>
      <bottom style="thin">
        <color theme="2" tint="-0.749992370372631"/>
      </bottom>
      <diagonal/>
    </border>
    <border>
      <left/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theme="2" tint="-0.749992370372631"/>
      </left>
      <right/>
      <top/>
      <bottom style="thin">
        <color theme="2" tint="-0.749992370372631"/>
      </bottom>
      <diagonal/>
    </border>
    <border>
      <left/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/>
      <top style="thin">
        <color theme="2" tint="-0.749992370372631"/>
      </top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3" fontId="11" fillId="0" borderId="0" applyFont="0" applyFill="0" applyBorder="0" applyAlignment="0" applyProtection="0"/>
  </cellStyleXfs>
  <cellXfs count="71">
    <xf numFmtId="0" fontId="0" fillId="0" borderId="0" xfId="0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 applyAlignment="1">
      <alignment horizontal="center"/>
    </xf>
    <xf numFmtId="9" fontId="4" fillId="2" borderId="1" xfId="0" applyNumberFormat="1" applyFont="1" applyFill="1" applyBorder="1" applyAlignment="1">
      <alignment horizontal="center"/>
    </xf>
    <xf numFmtId="9" fontId="2" fillId="2" borderId="1" xfId="0" applyNumberFormat="1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2" borderId="1" xfId="1" applyFont="1" applyFill="1" applyBorder="1"/>
    <xf numFmtId="166" fontId="3" fillId="2" borderId="1" xfId="0" applyNumberFormat="1" applyFont="1" applyFill="1" applyBorder="1" applyAlignment="1">
      <alignment horizontal="center"/>
    </xf>
    <xf numFmtId="3" fontId="3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167" fontId="3" fillId="2" borderId="1" xfId="0" applyNumberFormat="1" applyFont="1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center"/>
    </xf>
    <xf numFmtId="0" fontId="1" fillId="2" borderId="1" xfId="1" applyFill="1" applyBorder="1"/>
    <xf numFmtId="168" fontId="3" fillId="2" borderId="1" xfId="0" applyNumberFormat="1" applyFon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169" fontId="3" fillId="2" borderId="1" xfId="0" applyNumberFormat="1" applyFont="1" applyFill="1" applyBorder="1" applyAlignment="1">
      <alignment horizontal="center"/>
    </xf>
    <xf numFmtId="3" fontId="7" fillId="2" borderId="1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9" fontId="7" fillId="2" borderId="1" xfId="0" applyNumberFormat="1" applyFont="1" applyFill="1" applyBorder="1" applyAlignment="1">
      <alignment horizontal="center"/>
    </xf>
    <xf numFmtId="168" fontId="7" fillId="2" borderId="1" xfId="0" applyNumberFormat="1" applyFont="1" applyFill="1" applyBorder="1" applyAlignment="1">
      <alignment horizontal="center"/>
    </xf>
    <xf numFmtId="0" fontId="3" fillId="3" borderId="2" xfId="0" applyFont="1" applyFill="1" applyBorder="1"/>
    <xf numFmtId="0" fontId="6" fillId="3" borderId="2" xfId="0" applyFont="1" applyFill="1" applyBorder="1"/>
    <xf numFmtId="0" fontId="4" fillId="3" borderId="2" xfId="0" applyFont="1" applyFill="1" applyBorder="1"/>
    <xf numFmtId="0" fontId="2" fillId="3" borderId="2" xfId="0" applyFont="1" applyFill="1" applyBorder="1"/>
    <xf numFmtId="0" fontId="3" fillId="3" borderId="3" xfId="0" applyFont="1" applyFill="1" applyBorder="1"/>
    <xf numFmtId="0" fontId="4" fillId="3" borderId="5" xfId="0" applyFont="1" applyFill="1" applyBorder="1"/>
    <xf numFmtId="0" fontId="2" fillId="3" borderId="8" xfId="0" applyFont="1" applyFill="1" applyBorder="1"/>
    <xf numFmtId="3" fontId="3" fillId="3" borderId="2" xfId="0" applyNumberFormat="1" applyFont="1" applyFill="1" applyBorder="1"/>
    <xf numFmtId="3" fontId="3" fillId="3" borderId="4" xfId="0" applyNumberFormat="1" applyFont="1" applyFill="1" applyBorder="1"/>
    <xf numFmtId="3" fontId="2" fillId="3" borderId="9" xfId="0" applyNumberFormat="1" applyFont="1" applyFill="1" applyBorder="1"/>
    <xf numFmtId="3" fontId="2" fillId="3" borderId="10" xfId="0" applyNumberFormat="1" applyFont="1" applyFill="1" applyBorder="1"/>
    <xf numFmtId="0" fontId="6" fillId="3" borderId="6" xfId="0" applyFont="1" applyFill="1" applyBorder="1" applyAlignment="1">
      <alignment horizontal="right"/>
    </xf>
    <xf numFmtId="0" fontId="6" fillId="3" borderId="7" xfId="0" applyFont="1" applyFill="1" applyBorder="1" applyAlignment="1">
      <alignment horizontal="right"/>
    </xf>
    <xf numFmtId="0" fontId="7" fillId="3" borderId="2" xfId="0" applyFont="1" applyFill="1" applyBorder="1"/>
    <xf numFmtId="3" fontId="2" fillId="3" borderId="2" xfId="0" applyNumberFormat="1" applyFont="1" applyFill="1" applyBorder="1"/>
    <xf numFmtId="170" fontId="3" fillId="3" borderId="2" xfId="0" applyNumberFormat="1" applyFont="1" applyFill="1" applyBorder="1"/>
    <xf numFmtId="3" fontId="7" fillId="3" borderId="2" xfId="0" applyNumberFormat="1" applyFont="1" applyFill="1" applyBorder="1"/>
    <xf numFmtId="170" fontId="2" fillId="3" borderId="2" xfId="0" applyNumberFormat="1" applyFont="1" applyFill="1" applyBorder="1"/>
    <xf numFmtId="0" fontId="3" fillId="3" borderId="2" xfId="0" applyFont="1" applyFill="1" applyBorder="1" applyAlignment="1">
      <alignment vertical="center"/>
    </xf>
    <xf numFmtId="0" fontId="3" fillId="2" borderId="2" xfId="0" applyFont="1" applyFill="1" applyBorder="1"/>
    <xf numFmtId="0" fontId="7" fillId="3" borderId="2" xfId="0" applyFont="1" applyFill="1" applyBorder="1" applyAlignment="1">
      <alignment vertical="center"/>
    </xf>
    <xf numFmtId="9" fontId="3" fillId="3" borderId="2" xfId="0" applyNumberFormat="1" applyFont="1" applyFill="1" applyBorder="1"/>
    <xf numFmtId="170" fontId="7" fillId="3" borderId="2" xfId="0" applyNumberFormat="1" applyFont="1" applyFill="1" applyBorder="1"/>
    <xf numFmtId="0" fontId="4" fillId="2" borderId="2" xfId="0" applyFont="1" applyFill="1" applyBorder="1"/>
    <xf numFmtId="0" fontId="3" fillId="2" borderId="3" xfId="0" applyFont="1" applyFill="1" applyBorder="1"/>
    <xf numFmtId="0" fontId="3" fillId="2" borderId="4" xfId="0" applyFont="1" applyFill="1" applyBorder="1"/>
    <xf numFmtId="0" fontId="4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9" xfId="0" applyFont="1" applyFill="1" applyBorder="1"/>
    <xf numFmtId="0" fontId="3" fillId="2" borderId="10" xfId="0" applyFont="1" applyFill="1" applyBorder="1"/>
    <xf numFmtId="0" fontId="3" fillId="2" borderId="2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 indent="1"/>
    </xf>
    <xf numFmtId="170" fontId="3" fillId="2" borderId="2" xfId="0" applyNumberFormat="1" applyFont="1" applyFill="1" applyBorder="1"/>
    <xf numFmtId="170" fontId="3" fillId="2" borderId="9" xfId="0" applyNumberFormat="1" applyFont="1" applyFill="1" applyBorder="1"/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43" fontId="3" fillId="2" borderId="2" xfId="2" applyFont="1" applyFill="1" applyBorder="1" applyAlignment="1"/>
    <xf numFmtId="43" fontId="3" fillId="2" borderId="2" xfId="2" applyFont="1" applyFill="1" applyBorder="1"/>
    <xf numFmtId="0" fontId="1" fillId="2" borderId="2" xfId="1" applyFill="1" applyBorder="1"/>
    <xf numFmtId="0" fontId="3" fillId="2" borderId="2" xfId="0" applyFont="1" applyFill="1" applyBorder="1" applyAlignment="1">
      <alignment horizontal="left" indent="2"/>
    </xf>
    <xf numFmtId="0" fontId="3" fillId="2" borderId="2" xfId="0" applyFont="1" applyFill="1" applyBorder="1" applyAlignment="1">
      <alignment horizontal="left" indent="3"/>
    </xf>
  </cellXfs>
  <cellStyles count="3">
    <cellStyle name="Comma" xfId="2" builtinId="3"/>
    <cellStyle name="Hyperlink" xfId="1" builtinId="8"/>
    <cellStyle name="Normal" xfId="0" builtinId="0"/>
  </cellStyles>
  <dxfs count="61">
    <dxf>
      <border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 style="thin">
          <color theme="2" tint="-0.749992370372631"/>
        </vertical>
        <horizontal style="thin">
          <color theme="2" tint="-0.749992370372631"/>
        </horizontal>
      </border>
    </dxf>
    <dxf>
      <fill>
        <patternFill patternType="solid">
          <bgColor theme="1"/>
        </patternFill>
      </fill>
    </dxf>
    <dxf>
      <font>
        <color theme="0"/>
      </font>
    </dxf>
    <dxf>
      <border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 style="thin">
          <color theme="2" tint="-0.749992370372631"/>
        </vertical>
        <horizontal style="thin">
          <color theme="2" tint="-0.749992370372631"/>
        </horizontal>
      </border>
    </dxf>
    <dxf>
      <fill>
        <patternFill patternType="solid">
          <bgColor theme="1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1"/>
        </patternFill>
      </fill>
    </dxf>
    <dxf>
      <border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 style="thin">
          <color theme="2" tint="-0.749992370372631"/>
        </vertical>
        <horizontal style="thin">
          <color theme="2" tint="-0.74999237037263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/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/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70" formatCode="#,##0.0"/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70" formatCode="#,##0.0"/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/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/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border outline="0">
        <top style="thin">
          <color theme="2" tint="-0.749992370372631"/>
        </top>
      </border>
    </dxf>
    <dxf>
      <border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</dxf>
    <dxf>
      <border outline="0">
        <bottom style="thin">
          <color theme="2" tint="-0.74999237037263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theme="1" tint="4.9989318521683403E-2"/>
        </patternFill>
      </fill>
      <border diagonalUp="0" diagonalDown="0" outline="0">
        <left style="thin">
          <color theme="2" tint="-0.749992370372631"/>
        </left>
        <right/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theme="1" tint="4.9989318521683403E-2"/>
        </patternFill>
      </fill>
      <border diagonalUp="0" diagonalDown="0">
        <left style="thin">
          <color theme="2" tint="-0.749992370372631"/>
        </left>
        <right/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theme="1" tint="4.9989318521683403E-2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theme="1" tint="4.9989318521683403E-2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 outline="0">
        <left/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>
        <left/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border outline="0">
        <top style="thin">
          <color theme="2" tint="-0.749992370372631"/>
        </top>
      </border>
    </dxf>
    <dxf>
      <border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</border>
    </dxf>
    <dxf>
      <border outline="0">
        <bottom style="thin">
          <color theme="2" tint="-0.749992370372631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34" Type="http://schemas.openxmlformats.org/officeDocument/2006/relationships/externalLink" Target="externalLinks/externalLink25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externalLink" Target="externalLinks/externalLink23.xml"/><Relationship Id="rId37" Type="http://schemas.openxmlformats.org/officeDocument/2006/relationships/styles" Target="style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theme" Target="theme/theme1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externalLink" Target="externalLinks/externalLink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35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TX.xlsx" TargetMode="External"/><Relationship Id="rId1" Type="http://schemas.openxmlformats.org/officeDocument/2006/relationships/externalLinkPath" Target="RT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.xlsx" TargetMode="External"/><Relationship Id="rId1" Type="http://schemas.openxmlformats.org/officeDocument/2006/relationships/externalLinkPath" Target="B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HON.xlsx" TargetMode="External"/><Relationship Id="rId1" Type="http://schemas.openxmlformats.org/officeDocument/2006/relationships/externalLinkPath" Target="HON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IR.xlsx" TargetMode="External"/><Relationship Id="rId1" Type="http://schemas.openxmlformats.org/officeDocument/2006/relationships/externalLinkPath" Target="AIR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MT.xlsx" TargetMode="External"/><Relationship Id="rId1" Type="http://schemas.openxmlformats.org/officeDocument/2006/relationships/externalLinkPath" Target="LM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AF.xlsx" TargetMode="External"/><Relationship Id="rId1" Type="http://schemas.openxmlformats.org/officeDocument/2006/relationships/externalLinkPath" Target="SAF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OC.xlsx" TargetMode="External"/><Relationship Id="rId1" Type="http://schemas.openxmlformats.org/officeDocument/2006/relationships/externalLinkPath" Target="NOC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D.xlsx" TargetMode="External"/><Relationship Id="rId1" Type="http://schemas.openxmlformats.org/officeDocument/2006/relationships/externalLinkPath" Target="GD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R.xlsx" TargetMode="External"/><Relationship Id="rId1" Type="http://schemas.openxmlformats.org/officeDocument/2006/relationships/externalLinkPath" Target="RR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HM.xlsx" TargetMode="External"/><Relationship Id="rId1" Type="http://schemas.openxmlformats.org/officeDocument/2006/relationships/externalLinkPath" Target="RHM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.L.xlsx" TargetMode="External"/><Relationship Id="rId1" Type="http://schemas.openxmlformats.org/officeDocument/2006/relationships/externalLinkPath" Target="BA.L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HX.xlsx" TargetMode="External"/><Relationship Id="rId1" Type="http://schemas.openxmlformats.org/officeDocument/2006/relationships/externalLinkPath" Target="LHX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HO.xlsx" TargetMode="External"/><Relationship Id="rId1" Type="http://schemas.openxmlformats.org/officeDocument/2006/relationships/externalLinkPath" Target="HO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.xlsx" TargetMode="External"/><Relationship Id="rId1" Type="http://schemas.openxmlformats.org/officeDocument/2006/relationships/externalLinkPath" Target="AM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DO.xlsx" TargetMode="External"/><Relationship Id="rId1" Type="http://schemas.openxmlformats.org/officeDocument/2006/relationships/externalLinkPath" Target="LDO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DUI.xlsx" TargetMode="External"/><Relationship Id="rId1" Type="http://schemas.openxmlformats.org/officeDocument/2006/relationships/externalLinkPath" Target="ADUI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DOS.xlsx" TargetMode="External"/><Relationship Id="rId1" Type="http://schemas.openxmlformats.org/officeDocument/2006/relationships/externalLinkPath" Target="LDO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BD.A.xlsx" TargetMode="External"/><Relationship Id="rId1" Type="http://schemas.openxmlformats.org/officeDocument/2006/relationships/externalLinkPath" Target="BBD.A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XT.xlsx" TargetMode="External"/><Relationship Id="rId1" Type="http://schemas.openxmlformats.org/officeDocument/2006/relationships/externalLinkPath" Target="TXT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ERJ.xlsx" TargetMode="External"/><Relationship Id="rId1" Type="http://schemas.openxmlformats.org/officeDocument/2006/relationships/externalLinkPath" Target="ERJ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HAG.xlsx" TargetMode="External"/><Relationship Id="rId1" Type="http://schemas.openxmlformats.org/officeDocument/2006/relationships/externalLinkPath" Target="HAG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KTOS.xlsx" TargetMode="External"/><Relationship Id="rId1" Type="http://schemas.openxmlformats.org/officeDocument/2006/relationships/externalLinkPath" Target="KTOS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3NK.xlsx" TargetMode="External"/><Relationship Id="rId1" Type="http://schemas.openxmlformats.org/officeDocument/2006/relationships/externalLinkPath" Target="R3NK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CAT.xlsx" TargetMode="External"/><Relationship Id="rId1" Type="http://schemas.openxmlformats.org/officeDocument/2006/relationships/externalLinkPath" Target="RCAT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UMAC.xlsx" TargetMode="External"/><Relationship Id="rId1" Type="http://schemas.openxmlformats.org/officeDocument/2006/relationships/externalLinkPath" Target="UMA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harts"/>
      <sheetName val="Products"/>
      <sheetName val="PivotTable"/>
    </sheetNames>
    <sheetDataSet>
      <sheetData sheetId="0">
        <row r="3">
          <cell r="D3">
            <v>178.65</v>
          </cell>
          <cell r="E3">
            <v>45955</v>
          </cell>
          <cell r="G3">
            <v>46074</v>
          </cell>
        </row>
        <row r="5">
          <cell r="D5">
            <v>239944.815</v>
          </cell>
        </row>
        <row r="8">
          <cell r="D8">
            <v>-33093</v>
          </cell>
        </row>
        <row r="9">
          <cell r="D9">
            <v>273037.815</v>
          </cell>
        </row>
      </sheetData>
      <sheetData sheetId="1">
        <row r="16">
          <cell r="AA16">
            <v>251000</v>
          </cell>
        </row>
        <row r="28">
          <cell r="AA28">
            <v>88485.34</v>
          </cell>
        </row>
        <row r="42">
          <cell r="U42">
            <v>3510</v>
          </cell>
          <cell r="V42">
            <v>-3109</v>
          </cell>
          <cell r="W42">
            <v>3897</v>
          </cell>
          <cell r="X42">
            <v>5216</v>
          </cell>
          <cell r="Y42">
            <v>3195</v>
          </cell>
          <cell r="Z42">
            <v>4774</v>
          </cell>
          <cell r="AA42">
            <v>6908.0692799999988</v>
          </cell>
          <cell r="AB42">
            <v>7904.8385465600068</v>
          </cell>
          <cell r="AC42">
            <v>8599.5558400063983</v>
          </cell>
          <cell r="AD42">
            <v>9059.5552323863285</v>
          </cell>
          <cell r="AK42">
            <v>11232.209101076565</v>
          </cell>
        </row>
        <row r="52">
          <cell r="Z52">
            <v>0.17147417295414979</v>
          </cell>
          <cell r="AA52">
            <v>9.5956550818697472E-2</v>
          </cell>
        </row>
        <row r="53">
          <cell r="AO53">
            <v>0.06</v>
          </cell>
        </row>
        <row r="55">
          <cell r="AA55">
            <v>0.20232583612155416</v>
          </cell>
        </row>
        <row r="58">
          <cell r="AA58">
            <v>0.10111964987646541</v>
          </cell>
        </row>
        <row r="59">
          <cell r="AO59">
            <v>-0.48445238572027882</v>
          </cell>
        </row>
        <row r="60">
          <cell r="AO60" t="str">
            <v>Overvalued</v>
          </cell>
        </row>
        <row r="61">
          <cell r="AA61">
            <v>7.8070212308615175E-2</v>
          </cell>
        </row>
        <row r="66">
          <cell r="AA66">
            <v>1.6187500889299944</v>
          </cell>
        </row>
        <row r="67">
          <cell r="AA67">
            <v>-0.38223941617757229</v>
          </cell>
        </row>
      </sheetData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218.09</v>
          </cell>
          <cell r="E3">
            <v>45959</v>
          </cell>
          <cell r="G3">
            <v>46057</v>
          </cell>
        </row>
        <row r="5">
          <cell r="D5">
            <v>164309.00599999999</v>
          </cell>
        </row>
        <row r="8">
          <cell r="D8">
            <v>-29319</v>
          </cell>
        </row>
        <row r="9">
          <cell r="D9">
            <v>193628.00599999999</v>
          </cell>
        </row>
      </sheetData>
      <sheetData sheetId="1">
        <row r="25">
          <cell r="AV25">
            <v>635688</v>
          </cell>
        </row>
        <row r="29">
          <cell r="AV29">
            <v>89455.209999999992</v>
          </cell>
        </row>
        <row r="46">
          <cell r="AP46">
            <v>-636</v>
          </cell>
          <cell r="AQ46">
            <v>-11873</v>
          </cell>
          <cell r="AR46">
            <v>-4202</v>
          </cell>
          <cell r="AS46">
            <v>-4935</v>
          </cell>
          <cell r="AT46">
            <v>-2222</v>
          </cell>
          <cell r="AU46">
            <v>-11875</v>
          </cell>
          <cell r="AV46">
            <v>-6570.7075250000144</v>
          </cell>
          <cell r="AW46">
            <v>-31.325577000003555</v>
          </cell>
          <cell r="AX46">
            <v>3030.9999908699997</v>
          </cell>
          <cell r="AY46">
            <v>5253.703163729102</v>
          </cell>
          <cell r="BF46">
            <v>11591.64579129011</v>
          </cell>
        </row>
        <row r="53">
          <cell r="AU53">
            <v>-0.14495976553461709</v>
          </cell>
          <cell r="AV53">
            <v>0.34484733226092557</v>
          </cell>
          <cell r="BI53">
            <v>0.06</v>
          </cell>
        </row>
        <row r="56">
          <cell r="AV56">
            <v>5.8786553628346373E-2</v>
          </cell>
        </row>
        <row r="59">
          <cell r="AV59">
            <v>-4.9699693287847783E-2</v>
          </cell>
          <cell r="BI59">
            <v>-0.39501367962750367</v>
          </cell>
        </row>
        <row r="60">
          <cell r="BI60" t="str">
            <v>Overvalued</v>
          </cell>
        </row>
        <row r="61">
          <cell r="AV61">
            <v>-7.3452485607043067E-2</v>
          </cell>
        </row>
        <row r="66">
          <cell r="AV66">
            <v>1.2906554728274997</v>
          </cell>
        </row>
        <row r="67">
          <cell r="AV67">
            <v>-0.22519989179664435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216.14</v>
          </cell>
          <cell r="E3">
            <v>45955</v>
          </cell>
          <cell r="G3">
            <v>46051</v>
          </cell>
        </row>
        <row r="5">
          <cell r="D5">
            <v>137227.28599999999</v>
          </cell>
        </row>
        <row r="8">
          <cell r="D8">
            <v>-23678</v>
          </cell>
        </row>
        <row r="9">
          <cell r="D9">
            <v>160905.28599999999</v>
          </cell>
        </row>
      </sheetData>
      <sheetData sheetId="1">
        <row r="8">
          <cell r="Z8">
            <v>39087</v>
          </cell>
        </row>
        <row r="18">
          <cell r="Z18">
            <v>41136.300000000003</v>
          </cell>
        </row>
        <row r="34">
          <cell r="T34">
            <v>6143</v>
          </cell>
          <cell r="U34">
            <v>4779</v>
          </cell>
          <cell r="V34">
            <v>5542</v>
          </cell>
          <cell r="W34">
            <v>4966</v>
          </cell>
          <cell r="X34">
            <v>5658</v>
          </cell>
          <cell r="Y34">
            <v>5705</v>
          </cell>
          <cell r="Z34">
            <v>6147.8931520000006</v>
          </cell>
          <cell r="AA34">
            <v>6791.0503548800025</v>
          </cell>
          <cell r="AB34">
            <v>7226.0086517339978</v>
          </cell>
          <cell r="AC34">
            <v>7664.5631503301584</v>
          </cell>
          <cell r="AJ34">
            <v>8824.8395537537581</v>
          </cell>
        </row>
        <row r="45">
          <cell r="Y45">
            <v>5.0079100976487823E-2</v>
          </cell>
          <cell r="Z45">
            <v>6.8530832770533623E-2</v>
          </cell>
          <cell r="AM45">
            <v>0.06</v>
          </cell>
        </row>
        <row r="48">
          <cell r="Z48">
            <v>0.36945966457848661</v>
          </cell>
        </row>
        <row r="51">
          <cell r="Z51">
            <v>0.18705507301337262</v>
          </cell>
          <cell r="AM51">
            <v>-0.24758321992099541</v>
          </cell>
        </row>
        <row r="52">
          <cell r="AM52" t="str">
            <v>Slightly overvalued</v>
          </cell>
        </row>
        <row r="53">
          <cell r="Z53">
            <v>0.14945177743258387</v>
          </cell>
        </row>
        <row r="59">
          <cell r="Z59">
            <v>1.988522634304287</v>
          </cell>
        </row>
        <row r="60">
          <cell r="Z60">
            <v>-0.49711409729572209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203.55</v>
          </cell>
          <cell r="E3">
            <v>45934</v>
          </cell>
          <cell r="G3">
            <v>45959</v>
          </cell>
        </row>
        <row r="5">
          <cell r="D5">
            <v>160662.01500000001</v>
          </cell>
        </row>
        <row r="8">
          <cell r="D8">
            <v>14263</v>
          </cell>
        </row>
        <row r="9">
          <cell r="D9">
            <v>146399.01500000001</v>
          </cell>
        </row>
      </sheetData>
      <sheetData sheetId="1">
        <row r="7">
          <cell r="Z7">
            <v>628917</v>
          </cell>
        </row>
        <row r="9">
          <cell r="AA9">
            <v>73427.94</v>
          </cell>
        </row>
        <row r="28">
          <cell r="U28">
            <v>-1362</v>
          </cell>
          <cell r="V28">
            <v>-1133</v>
          </cell>
          <cell r="W28">
            <v>4213</v>
          </cell>
          <cell r="X28">
            <v>4247</v>
          </cell>
          <cell r="Y28">
            <v>3789</v>
          </cell>
          <cell r="Z28">
            <v>4232</v>
          </cell>
          <cell r="AA28">
            <v>5270.3283367999993</v>
          </cell>
          <cell r="AB28">
            <v>5759.7684619200008</v>
          </cell>
          <cell r="AC28">
            <v>6515.0674260704018</v>
          </cell>
          <cell r="AD28">
            <v>6668.5547838398097</v>
          </cell>
          <cell r="AK28">
            <v>7839.3378328649687</v>
          </cell>
        </row>
        <row r="32">
          <cell r="Z32">
            <v>5.7818659658344318E-2</v>
          </cell>
          <cell r="AA32">
            <v>6.063758486205395E-2</v>
          </cell>
        </row>
        <row r="33">
          <cell r="AA33">
            <v>0.16</v>
          </cell>
        </row>
        <row r="34">
          <cell r="AO34">
            <v>7.0000000000000007E-2</v>
          </cell>
        </row>
        <row r="37">
          <cell r="AA37">
            <v>8.4329038510408974E-2</v>
          </cell>
        </row>
        <row r="40">
          <cell r="AA40">
            <v>7.1775516741992201E-2</v>
          </cell>
          <cell r="AO40">
            <v>-0.31140694133583646</v>
          </cell>
        </row>
        <row r="41">
          <cell r="AO41" t="str">
            <v>Overvalued</v>
          </cell>
        </row>
        <row r="46">
          <cell r="P46">
            <v>1.1345242947923126</v>
          </cell>
        </row>
        <row r="47">
          <cell r="P47">
            <v>-0.11857330460864102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485.41</v>
          </cell>
          <cell r="E3">
            <v>45955</v>
          </cell>
          <cell r="G3">
            <v>46049</v>
          </cell>
        </row>
        <row r="5">
          <cell r="D5">
            <v>112323.87400000001</v>
          </cell>
        </row>
        <row r="8">
          <cell r="D8">
            <v>-18719</v>
          </cell>
        </row>
        <row r="9">
          <cell r="D9">
            <v>131042.87400000001</v>
          </cell>
        </row>
      </sheetData>
      <sheetData sheetId="1">
        <row r="14">
          <cell r="AD14">
            <v>179071</v>
          </cell>
        </row>
        <row r="24">
          <cell r="AD24">
            <v>74281.2</v>
          </cell>
        </row>
        <row r="40">
          <cell r="X40">
            <v>6230</v>
          </cell>
          <cell r="Y40">
            <v>6888</v>
          </cell>
          <cell r="Z40">
            <v>6315</v>
          </cell>
          <cell r="AA40">
            <v>5732</v>
          </cell>
          <cell r="AB40">
            <v>6920</v>
          </cell>
          <cell r="AC40">
            <v>5336</v>
          </cell>
          <cell r="AD40">
            <v>5481.6459999999934</v>
          </cell>
          <cell r="AE40">
            <v>7213.9228000000003</v>
          </cell>
          <cell r="AF40">
            <v>7371.4924102000041</v>
          </cell>
          <cell r="AG40">
            <v>7472.1803546540086</v>
          </cell>
          <cell r="AN40">
            <v>8230.3049482399201</v>
          </cell>
        </row>
        <row r="51">
          <cell r="AC51">
            <v>5.1382989744120922E-2</v>
          </cell>
          <cell r="AD51">
            <v>4.5580845403488057E-2</v>
          </cell>
          <cell r="AQ51">
            <v>7.0000000000000007E-2</v>
          </cell>
        </row>
        <row r="54">
          <cell r="AD54">
            <v>0.1068324959747553</v>
          </cell>
        </row>
        <row r="55">
          <cell r="AD55">
            <v>0.10594398044188831</v>
          </cell>
        </row>
        <row r="57">
          <cell r="AD57">
            <v>7.3795872979973309E-2</v>
          </cell>
          <cell r="AQ57">
            <v>-0.2420447324524615</v>
          </cell>
        </row>
        <row r="58">
          <cell r="AQ58" t="str">
            <v>Slightly overvalued</v>
          </cell>
        </row>
        <row r="63">
          <cell r="T63">
            <v>2.2259703414302701</v>
          </cell>
        </row>
        <row r="64">
          <cell r="T64">
            <v>-0.55075771613494995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303.10000000000002</v>
          </cell>
          <cell r="E3">
            <v>45934</v>
          </cell>
          <cell r="G3">
            <v>46066</v>
          </cell>
        </row>
        <row r="5">
          <cell r="D5">
            <v>126665.49</v>
          </cell>
        </row>
        <row r="8">
          <cell r="D8">
            <v>3454</v>
          </cell>
        </row>
        <row r="9">
          <cell r="D9">
            <v>123211.49</v>
          </cell>
        </row>
      </sheetData>
      <sheetData sheetId="1">
        <row r="5">
          <cell r="R5">
            <v>31734.280000000002</v>
          </cell>
        </row>
        <row r="27">
          <cell r="L27">
            <v>2665</v>
          </cell>
          <cell r="M27">
            <v>844</v>
          </cell>
          <cell r="N27">
            <v>760</v>
          </cell>
          <cell r="O27">
            <v>1178</v>
          </cell>
          <cell r="P27">
            <v>3444</v>
          </cell>
          <cell r="Q27">
            <v>-667</v>
          </cell>
          <cell r="R27">
            <v>6723.0672399999985</v>
          </cell>
          <cell r="S27">
            <v>4958.320731400001</v>
          </cell>
          <cell r="T27">
            <v>5263.9838682340005</v>
          </cell>
          <cell r="U27">
            <v>5481.8804852950607</v>
          </cell>
          <cell r="AB27">
            <v>6414.0186126697317</v>
          </cell>
        </row>
        <row r="31">
          <cell r="P31">
            <v>0.23876765083440299</v>
          </cell>
          <cell r="Q31">
            <v>0.16700518134715026</v>
          </cell>
        </row>
        <row r="32">
          <cell r="Q32">
            <v>0.19116288982027421</v>
          </cell>
        </row>
        <row r="33">
          <cell r="Q33">
            <v>0.14889536122753427</v>
          </cell>
          <cell r="AF33">
            <v>7.0000000000000007E-2</v>
          </cell>
        </row>
        <row r="39">
          <cell r="AF39">
            <v>-0.32982198133996943</v>
          </cell>
        </row>
        <row r="40">
          <cell r="AF40" t="str">
            <v>Overvalued</v>
          </cell>
        </row>
        <row r="41">
          <cell r="I41">
            <v>2.2397202428561043</v>
          </cell>
        </row>
        <row r="42">
          <cell r="I42">
            <v>-0.55351566643662864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607.99</v>
          </cell>
          <cell r="E3">
            <v>45954</v>
          </cell>
          <cell r="G3">
            <v>46044</v>
          </cell>
        </row>
        <row r="5">
          <cell r="D5">
            <v>86760.172999999995</v>
          </cell>
        </row>
        <row r="8">
          <cell r="D8">
            <v>-13205</v>
          </cell>
        </row>
        <row r="9">
          <cell r="D9">
            <v>99965.172999999995</v>
          </cell>
        </row>
      </sheetData>
      <sheetData sheetId="1">
        <row r="3">
          <cell r="Z3">
            <v>91400</v>
          </cell>
        </row>
        <row r="14">
          <cell r="Z14">
            <v>41227.810000000005</v>
          </cell>
        </row>
        <row r="27">
          <cell r="T27">
            <v>2248</v>
          </cell>
          <cell r="U27">
            <v>3189</v>
          </cell>
          <cell r="V27">
            <v>7005</v>
          </cell>
          <cell r="W27">
            <v>4896</v>
          </cell>
          <cell r="X27">
            <v>2056</v>
          </cell>
          <cell r="Y27">
            <v>4174</v>
          </cell>
          <cell r="Z27">
            <v>3808.3410400000084</v>
          </cell>
          <cell r="AA27">
            <v>4134.512000640002</v>
          </cell>
          <cell r="AB27">
            <v>4248.4670532527998</v>
          </cell>
          <cell r="AC27">
            <v>4365.0138550438533</v>
          </cell>
          <cell r="AJ27">
            <v>4803.1754145226896</v>
          </cell>
        </row>
        <row r="38">
          <cell r="Y38">
            <v>4.4362433189106598E-2</v>
          </cell>
          <cell r="Z38">
            <v>4.7476421416909886E-3</v>
          </cell>
          <cell r="AM38">
            <v>7.0000000000000007E-2</v>
          </cell>
        </row>
        <row r="41">
          <cell r="Z41">
            <v>0.20344462390798848</v>
          </cell>
        </row>
        <row r="43">
          <cell r="Z43">
            <v>0.1090144322485237</v>
          </cell>
        </row>
        <row r="44">
          <cell r="AM44">
            <v>-0.44805149913755749</v>
          </cell>
        </row>
        <row r="45">
          <cell r="Z45">
            <v>9.2373110286479154E-2</v>
          </cell>
          <cell r="AM45" t="str">
            <v>Overvalued</v>
          </cell>
        </row>
        <row r="51">
          <cell r="P51">
            <v>2.0214995247821075</v>
          </cell>
        </row>
        <row r="52">
          <cell r="P52">
            <v>-0.50531771700130002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350.77</v>
          </cell>
          <cell r="E3">
            <v>45955</v>
          </cell>
          <cell r="G3">
            <v>46050</v>
          </cell>
        </row>
        <row r="5">
          <cell r="D5">
            <v>94742.976999999999</v>
          </cell>
        </row>
        <row r="8">
          <cell r="D8">
            <v>-5494</v>
          </cell>
        </row>
        <row r="9">
          <cell r="D9">
            <v>100236.977</v>
          </cell>
        </row>
      </sheetData>
      <sheetData sheetId="1">
        <row r="3">
          <cell r="AC3">
            <v>109900</v>
          </cell>
        </row>
        <row r="14">
          <cell r="AC14">
            <v>52766.539999999994</v>
          </cell>
        </row>
        <row r="25">
          <cell r="W25">
            <v>3484</v>
          </cell>
          <cell r="X25">
            <v>3167</v>
          </cell>
          <cell r="Y25">
            <v>3257</v>
          </cell>
          <cell r="Z25">
            <v>3390</v>
          </cell>
          <cell r="AA25">
            <v>3315</v>
          </cell>
          <cell r="AB25">
            <v>3782</v>
          </cell>
          <cell r="AC25">
            <v>4282.1374299999989</v>
          </cell>
          <cell r="AD25">
            <v>4849.6184672800027</v>
          </cell>
          <cell r="AE25">
            <v>5178.3857795284002</v>
          </cell>
          <cell r="AF25">
            <v>5429.6676456942459</v>
          </cell>
          <cell r="AM25">
            <v>6232.4854689492286</v>
          </cell>
        </row>
        <row r="36">
          <cell r="AB36">
            <v>0.12878501135503417</v>
          </cell>
          <cell r="AC36">
            <v>0.1058458378740883</v>
          </cell>
          <cell r="AP36">
            <v>7.0000000000000007E-2</v>
          </cell>
        </row>
        <row r="39">
          <cell r="AC39">
            <v>0.15159855089986948</v>
          </cell>
        </row>
        <row r="41">
          <cell r="AC41">
            <v>0.10286861711986421</v>
          </cell>
        </row>
        <row r="42">
          <cell r="AP42">
            <v>-0.23898607031533214</v>
          </cell>
        </row>
        <row r="43">
          <cell r="AC43">
            <v>8.1152515021830116E-2</v>
          </cell>
          <cell r="AP43" t="str">
            <v>Slightly overvalued</v>
          </cell>
        </row>
        <row r="48">
          <cell r="AC48">
            <v>1.7402555079081234</v>
          </cell>
        </row>
        <row r="49">
          <cell r="AC49">
            <v>-0.4253717368192379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11.685</v>
          </cell>
          <cell r="E3">
            <v>45934</v>
          </cell>
          <cell r="G3">
            <v>46079</v>
          </cell>
        </row>
        <row r="5">
          <cell r="D5">
            <v>98504.55</v>
          </cell>
        </row>
        <row r="8">
          <cell r="D8">
            <v>2379</v>
          </cell>
        </row>
        <row r="9">
          <cell r="D9">
            <v>96125.55</v>
          </cell>
        </row>
      </sheetData>
      <sheetData sheetId="1">
        <row r="3">
          <cell r="R3">
            <v>21178.080000000002</v>
          </cell>
        </row>
        <row r="16">
          <cell r="L16">
            <v>-1315</v>
          </cell>
          <cell r="M16">
            <v>-3170</v>
          </cell>
          <cell r="N16">
            <v>120</v>
          </cell>
          <cell r="O16">
            <v>-1269</v>
          </cell>
          <cell r="P16">
            <v>2412</v>
          </cell>
          <cell r="Q16">
            <v>1971</v>
          </cell>
          <cell r="R16">
            <v>1904.7799599999998</v>
          </cell>
          <cell r="S16">
            <v>2166.5070368000002</v>
          </cell>
          <cell r="T16">
            <v>2390.7082868080001</v>
          </cell>
          <cell r="U16">
            <v>2597.5219971524007</v>
          </cell>
          <cell r="AB16">
            <v>3711.3030408541613</v>
          </cell>
        </row>
        <row r="20">
          <cell r="Q20">
            <v>0.14697318937280124</v>
          </cell>
          <cell r="R20">
            <v>0.12000000000000011</v>
          </cell>
        </row>
        <row r="21">
          <cell r="R21">
            <v>0.21999999999999997</v>
          </cell>
        </row>
        <row r="22">
          <cell r="AE22">
            <v>7.0000000000000007E-2</v>
          </cell>
        </row>
        <row r="24">
          <cell r="R24">
            <v>0.12645705370836258</v>
          </cell>
        </row>
        <row r="26">
          <cell r="R26">
            <v>8.994110703142115E-2</v>
          </cell>
        </row>
        <row r="28">
          <cell r="AE28">
            <v>-0.54430385996253983</v>
          </cell>
        </row>
        <row r="29">
          <cell r="AE29" t="str">
            <v>Heavily overvalued</v>
          </cell>
        </row>
        <row r="32">
          <cell r="I32">
            <v>2.5336201897733264</v>
          </cell>
        </row>
        <row r="33">
          <cell r="I33">
            <v>-0.60530784999409626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1764</v>
          </cell>
          <cell r="E3">
            <v>45955</v>
          </cell>
          <cell r="G3">
            <v>45967</v>
          </cell>
        </row>
        <row r="5">
          <cell r="D5">
            <v>77333.760000000009</v>
          </cell>
        </row>
        <row r="8">
          <cell r="D8">
            <v>-293</v>
          </cell>
        </row>
        <row r="9">
          <cell r="D9">
            <v>77626.760000000009</v>
          </cell>
        </row>
      </sheetData>
      <sheetData sheetId="1">
        <row r="11">
          <cell r="T11">
            <v>63165</v>
          </cell>
        </row>
        <row r="18">
          <cell r="AE18">
            <v>12231.94</v>
          </cell>
        </row>
        <row r="37">
          <cell r="AA37">
            <v>291</v>
          </cell>
          <cell r="AB37">
            <v>476</v>
          </cell>
          <cell r="AC37">
            <v>534</v>
          </cell>
          <cell r="AD37">
            <v>717</v>
          </cell>
          <cell r="AE37">
            <v>1152.8015680000001</v>
          </cell>
          <cell r="AF37">
            <v>1264.6224175000007</v>
          </cell>
          <cell r="AG37">
            <v>1430.3841434999997</v>
          </cell>
          <cell r="AH37">
            <v>1527.5501896362498</v>
          </cell>
          <cell r="AI37">
            <v>1588.4162624936125</v>
          </cell>
          <cell r="AO37">
            <v>1804.5664601807241</v>
          </cell>
        </row>
        <row r="46">
          <cell r="AS46">
            <v>7.0000000000000007E-2</v>
          </cell>
        </row>
        <row r="49">
          <cell r="AD49">
            <v>0.35902439024390254</v>
          </cell>
          <cell r="AE49">
            <v>0.25442928930366127</v>
          </cell>
        </row>
        <row r="51">
          <cell r="AE51">
            <v>0.28072109575423032</v>
          </cell>
        </row>
        <row r="52">
          <cell r="AS52">
            <v>-0.71857968050475507</v>
          </cell>
        </row>
        <row r="53">
          <cell r="AS53" t="str">
            <v>Heavily overvalued</v>
          </cell>
        </row>
        <row r="56">
          <cell r="AE56">
            <v>0.16228117534912698</v>
          </cell>
        </row>
        <row r="59">
          <cell r="AE59">
            <v>9.4245194793303441E-2</v>
          </cell>
        </row>
        <row r="63">
          <cell r="T63">
            <v>5.3194517919550472</v>
          </cell>
        </row>
        <row r="64">
          <cell r="T64">
            <v>-0.81201070352543381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20.55</v>
          </cell>
          <cell r="E3">
            <v>45934</v>
          </cell>
          <cell r="G3">
            <v>46072</v>
          </cell>
        </row>
        <row r="5">
          <cell r="D5">
            <v>61650</v>
          </cell>
        </row>
        <row r="8">
          <cell r="D8">
            <v>-4907</v>
          </cell>
        </row>
        <row r="9">
          <cell r="D9">
            <v>66557</v>
          </cell>
        </row>
      </sheetData>
      <sheetData sheetId="1">
        <row r="10">
          <cell r="I10">
            <v>75400</v>
          </cell>
        </row>
        <row r="22">
          <cell r="R22">
            <v>28248.11</v>
          </cell>
        </row>
        <row r="41">
          <cell r="N41">
            <v>1758</v>
          </cell>
          <cell r="O41">
            <v>1591</v>
          </cell>
          <cell r="P41">
            <v>1857</v>
          </cell>
          <cell r="Q41">
            <v>1956</v>
          </cell>
          <cell r="R41">
            <v>2983.0295450000012</v>
          </cell>
          <cell r="S41">
            <v>3274.0576822999979</v>
          </cell>
          <cell r="T41">
            <v>3558.6704355280026</v>
          </cell>
          <cell r="U41">
            <v>3774.8694653950824</v>
          </cell>
          <cell r="AB41">
            <v>4907.2226055251313</v>
          </cell>
        </row>
        <row r="48">
          <cell r="AE48">
            <v>7.0000000000000007E-2</v>
          </cell>
        </row>
        <row r="50">
          <cell r="Q50">
            <v>0.14013346043851294</v>
          </cell>
          <cell r="R50">
            <v>7.3582775919732502E-2</v>
          </cell>
        </row>
        <row r="51">
          <cell r="R51">
            <v>0.65</v>
          </cell>
        </row>
        <row r="54">
          <cell r="R54">
            <v>0.12268047313607891</v>
          </cell>
          <cell r="AE54">
            <v>-0.12909995502690153</v>
          </cell>
        </row>
        <row r="55">
          <cell r="AE55" t="str">
            <v>Slightly overvalued</v>
          </cell>
        </row>
        <row r="56">
          <cell r="R56">
            <v>0.10560103118403324</v>
          </cell>
        </row>
        <row r="61">
          <cell r="I61">
            <v>1.8487542012721869</v>
          </cell>
        </row>
        <row r="62">
          <cell r="I62">
            <v>-0.45909521162312006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294.39999999999998</v>
          </cell>
          <cell r="E3">
            <v>45961</v>
          </cell>
          <cell r="G3">
            <v>46044</v>
          </cell>
        </row>
        <row r="5">
          <cell r="D5">
            <v>55082.239999999991</v>
          </cell>
        </row>
        <row r="8">
          <cell r="D8">
            <v>-11620</v>
          </cell>
        </row>
        <row r="9">
          <cell r="D9">
            <v>66702.239999999991</v>
          </cell>
        </row>
      </sheetData>
      <sheetData sheetId="1">
        <row r="12">
          <cell r="Y12">
            <v>22279.82</v>
          </cell>
        </row>
        <row r="25">
          <cell r="T25">
            <v>1119</v>
          </cell>
          <cell r="U25">
            <v>1846</v>
          </cell>
          <cell r="V25">
            <v>1062</v>
          </cell>
          <cell r="W25">
            <v>1227</v>
          </cell>
          <cell r="X25">
            <v>1502</v>
          </cell>
          <cell r="Y25">
            <v>1911.9592200000009</v>
          </cell>
          <cell r="Z25">
            <v>2105.6899550000007</v>
          </cell>
          <cell r="AA25">
            <v>2224.4951078000004</v>
          </cell>
          <cell r="AB25">
            <v>2324.8331192219994</v>
          </cell>
          <cell r="AI25">
            <v>3032.8539824802738</v>
          </cell>
        </row>
        <row r="36">
          <cell r="X36">
            <v>9.815129512333276E-2</v>
          </cell>
          <cell r="Y36">
            <v>4.4774677608440783E-2</v>
          </cell>
          <cell r="AL36">
            <v>0.08</v>
          </cell>
        </row>
        <row r="39">
          <cell r="Y39">
            <v>0.25832045321730612</v>
          </cell>
        </row>
        <row r="41">
          <cell r="Y41">
            <v>0.11139646550106783</v>
          </cell>
        </row>
        <row r="42">
          <cell r="AL42">
            <v>-0.63654469381559053</v>
          </cell>
        </row>
        <row r="43">
          <cell r="Y43">
            <v>8.5815739085863388E-2</v>
          </cell>
          <cell r="AL43" t="str">
            <v>Heavily overvalued</v>
          </cell>
        </row>
        <row r="48">
          <cell r="Y48">
            <v>1.626328570731945</v>
          </cell>
        </row>
        <row r="49">
          <cell r="Y49">
            <v>-0.38511810098131627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271</v>
          </cell>
          <cell r="E3">
            <v>45934</v>
          </cell>
          <cell r="G3">
            <v>45953</v>
          </cell>
        </row>
        <row r="5">
          <cell r="D5">
            <v>55663.4</v>
          </cell>
        </row>
        <row r="8">
          <cell r="D8">
            <v>-1408.0999999999995</v>
          </cell>
        </row>
        <row r="9">
          <cell r="D9">
            <v>57071.5</v>
          </cell>
        </row>
      </sheetData>
      <sheetData sheetId="1">
        <row r="5">
          <cell r="P5">
            <v>20576.599999999999</v>
          </cell>
        </row>
        <row r="24">
          <cell r="K24">
            <v>1146.4000000000005</v>
          </cell>
          <cell r="L24">
            <v>491.90000000000072</v>
          </cell>
          <cell r="M24">
            <v>1016.7999999999997</v>
          </cell>
          <cell r="N24">
            <v>1121.8999999999996</v>
          </cell>
          <cell r="O24">
            <v>928.6000000000015</v>
          </cell>
          <cell r="P24">
            <v>932.29999999999723</v>
          </cell>
          <cell r="Q24">
            <v>1473.4199211999967</v>
          </cell>
          <cell r="R24">
            <v>1674.1472117759988</v>
          </cell>
          <cell r="S24">
            <v>1801.8286222247989</v>
          </cell>
          <cell r="T24">
            <v>1905.822140949791</v>
          </cell>
          <cell r="AA24">
            <v>2209.5151424104974</v>
          </cell>
        </row>
        <row r="29">
          <cell r="O29">
            <v>4.89276444606348E-2</v>
          </cell>
          <cell r="P29">
            <v>0.11657007662086771</v>
          </cell>
        </row>
        <row r="30">
          <cell r="P30">
            <v>0.26116559587103788</v>
          </cell>
        </row>
        <row r="32">
          <cell r="AD32">
            <v>0.08</v>
          </cell>
        </row>
        <row r="34">
          <cell r="P34">
            <v>6.1341523866916652E-2</v>
          </cell>
        </row>
        <row r="38">
          <cell r="AD38">
            <v>-0.59343933080112277</v>
          </cell>
        </row>
        <row r="39">
          <cell r="AD39" t="str">
            <v>Heavily overvalued</v>
          </cell>
        </row>
        <row r="42">
          <cell r="G42">
            <v>1.4676241417440277</v>
          </cell>
        </row>
        <row r="43">
          <cell r="G43">
            <v>-0.31862663501046928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28.96</v>
          </cell>
          <cell r="E3">
            <v>45934</v>
          </cell>
          <cell r="G3">
            <v>46079</v>
          </cell>
        </row>
        <row r="5">
          <cell r="D5">
            <v>38033.167999999998</v>
          </cell>
        </row>
        <row r="8">
          <cell r="D8">
            <v>1459</v>
          </cell>
        </row>
        <row r="9">
          <cell r="D9">
            <v>36574.167999999998</v>
          </cell>
        </row>
      </sheetData>
      <sheetData sheetId="1">
        <row r="7">
          <cell r="W7">
            <v>6448.74</v>
          </cell>
        </row>
        <row r="23">
          <cell r="Q23">
            <v>615.30000000000064</v>
          </cell>
          <cell r="R23">
            <v>491.20000000000067</v>
          </cell>
          <cell r="S23">
            <v>773.79999999999905</v>
          </cell>
          <cell r="T23">
            <v>931.79999999999984</v>
          </cell>
          <cell r="U23">
            <v>1050.8999999999996</v>
          </cell>
          <cell r="V23">
            <v>1200.3000000000002</v>
          </cell>
          <cell r="W23">
            <v>1113.4564026999999</v>
          </cell>
          <cell r="X23">
            <v>1422.1613657599992</v>
          </cell>
          <cell r="Y23">
            <v>1443.7923014975993</v>
          </cell>
          <cell r="Z23">
            <v>1456.7690142637746</v>
          </cell>
          <cell r="AG23">
            <v>1728.8659382205271</v>
          </cell>
        </row>
        <row r="29">
          <cell r="AJ29">
            <v>0.08</v>
          </cell>
        </row>
        <row r="30">
          <cell r="V30">
            <v>4.4056860570622192E-2</v>
          </cell>
          <cell r="W30">
            <v>3.7842796446504456E-2</v>
          </cell>
        </row>
        <row r="33">
          <cell r="W33">
            <v>0.8307891805220865</v>
          </cell>
        </row>
        <row r="35">
          <cell r="AJ35">
            <v>-0.46970507897832114</v>
          </cell>
        </row>
        <row r="36">
          <cell r="AJ36" t="str">
            <v>Overvalued</v>
          </cell>
        </row>
        <row r="37">
          <cell r="W37">
            <v>0.19589976801669784</v>
          </cell>
        </row>
        <row r="39">
          <cell r="W39">
            <v>0.17266262908723254</v>
          </cell>
        </row>
        <row r="44">
          <cell r="L44">
            <v>2.537177027186392</v>
          </cell>
        </row>
        <row r="45">
          <cell r="L45">
            <v>-0.60586116408717761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55.8</v>
          </cell>
          <cell r="E3">
            <v>45934</v>
          </cell>
          <cell r="G3">
            <v>45868</v>
          </cell>
        </row>
        <row r="5">
          <cell r="D5">
            <v>32163.119999999995</v>
          </cell>
        </row>
        <row r="8">
          <cell r="D8">
            <v>-267</v>
          </cell>
        </row>
        <row r="9">
          <cell r="D9">
            <v>32430.119999999995</v>
          </cell>
        </row>
      </sheetData>
      <sheetData sheetId="1">
        <row r="3">
          <cell r="Y3">
            <v>17763</v>
          </cell>
        </row>
        <row r="19">
          <cell r="T19">
            <v>823</v>
          </cell>
          <cell r="U19">
            <v>239</v>
          </cell>
          <cell r="V19">
            <v>586</v>
          </cell>
          <cell r="W19">
            <v>927</v>
          </cell>
          <cell r="X19">
            <v>658</v>
          </cell>
          <cell r="Y19">
            <v>1072</v>
          </cell>
          <cell r="Z19">
            <v>1017.2926499999999</v>
          </cell>
          <cell r="AA19">
            <v>1811.8731149999999</v>
          </cell>
          <cell r="AB19">
            <v>1919.0845944000002</v>
          </cell>
          <cell r="AC19">
            <v>1993.765444011</v>
          </cell>
          <cell r="AJ19">
            <v>2288.9705079177807</v>
          </cell>
        </row>
        <row r="23">
          <cell r="X23">
            <v>3.9284986066743688E-2</v>
          </cell>
          <cell r="Y23">
            <v>0.1616637237590739</v>
          </cell>
        </row>
        <row r="24">
          <cell r="Y24">
            <v>0.11349434217193041</v>
          </cell>
        </row>
        <row r="25">
          <cell r="AM25">
            <v>0.08</v>
          </cell>
        </row>
        <row r="26">
          <cell r="Y26">
            <v>6.6430220120475142E-2</v>
          </cell>
        </row>
        <row r="31">
          <cell r="AM31">
            <v>-0.24550696337640532</v>
          </cell>
        </row>
        <row r="32">
          <cell r="AM32" t="str">
            <v>Fairly valued</v>
          </cell>
        </row>
        <row r="33">
          <cell r="O33">
            <v>0.99186811842427192</v>
          </cell>
        </row>
        <row r="34">
          <cell r="O34">
            <v>8.1985512233690994E-3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80.55</v>
          </cell>
        </row>
        <row r="5">
          <cell r="D5">
            <v>52357.5</v>
          </cell>
        </row>
      </sheetData>
      <sheetData sheetId="1">
        <row r="5">
          <cell r="E5">
            <v>1500</v>
          </cell>
        </row>
        <row r="11">
          <cell r="E11">
            <v>97.5</v>
          </cell>
          <cell r="F11">
            <v>152.25000000000003</v>
          </cell>
          <cell r="G11">
            <v>228.375</v>
          </cell>
          <cell r="H11">
            <v>328.86</v>
          </cell>
          <cell r="O11">
            <v>2450.4629294486253</v>
          </cell>
        </row>
        <row r="15">
          <cell r="D15">
            <v>1.3809523809523809</v>
          </cell>
          <cell r="E15">
            <v>0.5</v>
          </cell>
        </row>
        <row r="16">
          <cell r="E16">
            <v>0.42499999999999999</v>
          </cell>
        </row>
        <row r="17">
          <cell r="E17">
            <v>8.5000000000000006E-2</v>
          </cell>
          <cell r="R17">
            <v>0.08</v>
          </cell>
        </row>
        <row r="18">
          <cell r="E18">
            <v>6.5000000000000002E-2</v>
          </cell>
        </row>
        <row r="23">
          <cell r="R23">
            <v>-0.68180253656081657</v>
          </cell>
        </row>
        <row r="24">
          <cell r="R24" t="str">
            <v>Heavily overvalued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195.58</v>
          </cell>
          <cell r="E3">
            <v>45934</v>
          </cell>
          <cell r="G3">
            <v>45965</v>
          </cell>
        </row>
        <row r="5">
          <cell r="D5">
            <v>25092.914000000004</v>
          </cell>
        </row>
        <row r="8">
          <cell r="D8">
            <v>-4174</v>
          </cell>
        </row>
        <row r="9">
          <cell r="D9">
            <v>29266.914000000004</v>
          </cell>
        </row>
      </sheetData>
      <sheetData sheetId="1">
        <row r="3">
          <cell r="U3">
            <v>16662</v>
          </cell>
        </row>
        <row r="18">
          <cell r="P18">
            <v>667</v>
          </cell>
          <cell r="Q18">
            <v>628</v>
          </cell>
          <cell r="R18">
            <v>753</v>
          </cell>
          <cell r="S18">
            <v>685</v>
          </cell>
          <cell r="T18">
            <v>199</v>
          </cell>
          <cell r="U18">
            <v>1254</v>
          </cell>
          <cell r="V18">
            <v>1488.4593099999986</v>
          </cell>
          <cell r="W18">
            <v>1825.4889705000001</v>
          </cell>
          <cell r="X18">
            <v>1915.7253039600007</v>
          </cell>
          <cell r="Y18">
            <v>1981.3585502100002</v>
          </cell>
          <cell r="AF18">
            <v>2147.6986846902682</v>
          </cell>
        </row>
        <row r="22">
          <cell r="T22">
            <v>7.2381217004723553E-2</v>
          </cell>
          <cell r="U22">
            <v>7.9284881461329171E-2</v>
          </cell>
        </row>
        <row r="23">
          <cell r="U23">
            <v>0.16792701956547834</v>
          </cell>
        </row>
        <row r="24">
          <cell r="AI24">
            <v>0.08</v>
          </cell>
        </row>
        <row r="26">
          <cell r="U26">
            <v>0.10731004681310767</v>
          </cell>
        </row>
        <row r="30">
          <cell r="AI30">
            <v>-0.21623833275215787</v>
          </cell>
        </row>
        <row r="31">
          <cell r="AI31" t="str">
            <v>Slightly overvalued</v>
          </cell>
        </row>
        <row r="34">
          <cell r="L34">
            <v>2.1600792678426455</v>
          </cell>
        </row>
        <row r="35">
          <cell r="L35">
            <v>-0.53705402626324061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195.91</v>
          </cell>
          <cell r="E3">
            <v>45956</v>
          </cell>
          <cell r="G3">
            <v>45967</v>
          </cell>
        </row>
        <row r="5">
          <cell r="D5">
            <v>19414.680999999997</v>
          </cell>
        </row>
        <row r="8">
          <cell r="D8">
            <v>-4448</v>
          </cell>
        </row>
        <row r="9">
          <cell r="D9">
            <v>23862.680999999997</v>
          </cell>
        </row>
      </sheetData>
      <sheetData sheetId="1">
        <row r="3">
          <cell r="L3">
            <v>16100</v>
          </cell>
        </row>
        <row r="8">
          <cell r="V8">
            <v>9401.5300000000007</v>
          </cell>
        </row>
        <row r="23">
          <cell r="U23">
            <v>370</v>
          </cell>
          <cell r="V23">
            <v>501.53600000000051</v>
          </cell>
          <cell r="W23">
            <v>575.05375500000025</v>
          </cell>
          <cell r="X23">
            <v>671.88499925000042</v>
          </cell>
          <cell r="Y23">
            <v>726.95692358600081</v>
          </cell>
          <cell r="AF23">
            <v>1002.1363015163498</v>
          </cell>
        </row>
        <row r="32">
          <cell r="V32">
            <v>8.5000577034045177E-2</v>
          </cell>
          <cell r="AI32">
            <v>0.08</v>
          </cell>
        </row>
        <row r="33">
          <cell r="V33">
            <v>0.1980854180117492</v>
          </cell>
        </row>
        <row r="36">
          <cell r="V36">
            <v>0.11177712563806108</v>
          </cell>
        </row>
        <row r="38">
          <cell r="V38">
            <v>5.334621066996547E-2</v>
          </cell>
          <cell r="AI38">
            <v>-0.710386261673702</v>
          </cell>
        </row>
        <row r="39">
          <cell r="AI39" t="str">
            <v>Heavily overvalued</v>
          </cell>
        </row>
        <row r="43">
          <cell r="L43">
            <v>1.8549969682835818</v>
          </cell>
        </row>
        <row r="44">
          <cell r="L44">
            <v>-0.46091556099668762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81.22</v>
          </cell>
          <cell r="E3">
            <v>45955</v>
          </cell>
          <cell r="G3">
            <v>46050</v>
          </cell>
        </row>
        <row r="5">
          <cell r="D5">
            <v>14310.963999999998</v>
          </cell>
        </row>
        <row r="8">
          <cell r="D8">
            <v>-1948</v>
          </cell>
        </row>
        <row r="9">
          <cell r="D9">
            <v>16258.963999999998</v>
          </cell>
        </row>
      </sheetData>
      <sheetData sheetId="1">
        <row r="6">
          <cell r="V6">
            <v>19100</v>
          </cell>
        </row>
        <row r="18">
          <cell r="V18">
            <v>14577.940000000002</v>
          </cell>
        </row>
        <row r="34">
          <cell r="P34">
            <v>815</v>
          </cell>
          <cell r="Q34">
            <v>309</v>
          </cell>
          <cell r="R34">
            <v>746</v>
          </cell>
          <cell r="S34">
            <v>861</v>
          </cell>
          <cell r="T34">
            <v>921</v>
          </cell>
          <cell r="U34">
            <v>824</v>
          </cell>
          <cell r="V34">
            <v>963.75901600000236</v>
          </cell>
          <cell r="W34">
            <v>1269.1609912999986</v>
          </cell>
          <cell r="X34">
            <v>1452.0955789319983</v>
          </cell>
          <cell r="Y34">
            <v>1509.2448472934414</v>
          </cell>
          <cell r="AF34">
            <v>1785.501024721995</v>
          </cell>
        </row>
        <row r="47">
          <cell r="U47">
            <v>1.3885843747716287E-3</v>
          </cell>
          <cell r="V47">
            <v>6.3927893738140673E-2</v>
          </cell>
          <cell r="AJ47">
            <v>0.09</v>
          </cell>
        </row>
        <row r="50">
          <cell r="V50">
            <v>0.18879833501852814</v>
          </cell>
        </row>
        <row r="53">
          <cell r="V53">
            <v>7.1407592567948722E-2</v>
          </cell>
          <cell r="AJ53">
            <v>4.4790123136889237E-2</v>
          </cell>
        </row>
        <row r="54">
          <cell r="AJ54" t="str">
            <v>Fairly valued</v>
          </cell>
        </row>
        <row r="55">
          <cell r="V55">
            <v>6.6110782181844768E-2</v>
          </cell>
        </row>
        <row r="60">
          <cell r="V60">
            <v>0.93544468097347666</v>
          </cell>
        </row>
        <row r="61">
          <cell r="V61">
            <v>6.9010301025330012E-2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57.35</v>
          </cell>
          <cell r="E3">
            <v>45934</v>
          </cell>
          <cell r="G3">
            <v>45965</v>
          </cell>
        </row>
        <row r="5">
          <cell r="D5">
            <v>10523.725</v>
          </cell>
        </row>
        <row r="8">
          <cell r="D8">
            <v>-600.00000000000023</v>
          </cell>
        </row>
        <row r="9">
          <cell r="D9">
            <v>11123.725</v>
          </cell>
        </row>
      </sheetData>
      <sheetData sheetId="1">
        <row r="3">
          <cell r="V3">
            <v>7743.8040000000001</v>
          </cell>
        </row>
        <row r="22">
          <cell r="P22">
            <v>-322.3</v>
          </cell>
          <cell r="Q22">
            <v>-731.9000000000002</v>
          </cell>
          <cell r="R22">
            <v>-44.700000000000145</v>
          </cell>
          <cell r="S22">
            <v>-185.59999999999982</v>
          </cell>
          <cell r="T22">
            <v>163.90000000000035</v>
          </cell>
          <cell r="U22">
            <v>228.2000000000003</v>
          </cell>
          <cell r="V22">
            <v>743.65658000000008</v>
          </cell>
          <cell r="W22">
            <v>719.25833086000011</v>
          </cell>
          <cell r="X22">
            <v>830.80143681460015</v>
          </cell>
          <cell r="Y22">
            <v>906.37830312002222</v>
          </cell>
          <cell r="AF22">
            <v>1080.8425329828647</v>
          </cell>
        </row>
        <row r="26">
          <cell r="T26">
            <v>0.16041143561957627</v>
          </cell>
          <cell r="U26">
            <v>0.21376103255195988</v>
          </cell>
        </row>
        <row r="27">
          <cell r="U27">
            <v>0.18032120349664568</v>
          </cell>
        </row>
        <row r="28">
          <cell r="AI28">
            <v>0.14000000000000001</v>
          </cell>
        </row>
        <row r="31">
          <cell r="U31">
            <v>8.4945345364129704E-2</v>
          </cell>
        </row>
        <row r="34">
          <cell r="AI34">
            <v>-0.43279466962284185</v>
          </cell>
        </row>
        <row r="35">
          <cell r="AI35" t="str">
            <v>Overvalued</v>
          </cell>
        </row>
        <row r="38">
          <cell r="L38">
            <v>0.92160107705053851</v>
          </cell>
        </row>
        <row r="39">
          <cell r="L39">
            <v>8.5068176352795399E-2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101.2</v>
          </cell>
          <cell r="E3">
            <v>45924</v>
          </cell>
          <cell r="G3">
            <v>45968</v>
          </cell>
        </row>
        <row r="5">
          <cell r="D5">
            <v>11739.2</v>
          </cell>
        </row>
        <row r="8">
          <cell r="D8">
            <v>-498</v>
          </cell>
        </row>
        <row r="9">
          <cell r="D9">
            <v>12237.2</v>
          </cell>
        </row>
      </sheetData>
      <sheetData sheetId="1">
        <row r="26">
          <cell r="V26">
            <v>2587.8199999999997</v>
          </cell>
        </row>
        <row r="43">
          <cell r="P43">
            <v>5.9000000000001167</v>
          </cell>
          <cell r="Q43">
            <v>-65.199999999999903</v>
          </cell>
          <cell r="R43">
            <v>63</v>
          </cell>
          <cell r="S43">
            <v>79</v>
          </cell>
          <cell r="T43">
            <v>58</v>
          </cell>
          <cell r="U43">
            <v>106</v>
          </cell>
          <cell r="V43">
            <v>105.74143999999995</v>
          </cell>
          <cell r="W43">
            <v>144.35987200000005</v>
          </cell>
          <cell r="X43">
            <v>169.88582975999995</v>
          </cell>
          <cell r="Y43">
            <v>189.70135618560002</v>
          </cell>
          <cell r="AF43">
            <v>347.10423159639549</v>
          </cell>
        </row>
        <row r="47">
          <cell r="U47">
            <v>0.21277747698971305</v>
          </cell>
          <cell r="V47">
            <v>0.1552767857142856</v>
          </cell>
        </row>
        <row r="48">
          <cell r="V48">
            <v>0.22716788648360398</v>
          </cell>
        </row>
        <row r="49">
          <cell r="AI49">
            <v>0.09</v>
          </cell>
        </row>
        <row r="52">
          <cell r="V52">
            <v>9.599848521149075E-2</v>
          </cell>
        </row>
        <row r="55">
          <cell r="AI55">
            <v>-0.80686738144951742</v>
          </cell>
        </row>
        <row r="56">
          <cell r="AI56" t="str">
            <v>Heavily overvalued</v>
          </cell>
        </row>
        <row r="59">
          <cell r="L59">
            <v>2.6322219832221987</v>
          </cell>
        </row>
        <row r="60">
          <cell r="L60">
            <v>-0.62009283169352469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Forecasts"/>
    </sheetNames>
    <sheetDataSet>
      <sheetData sheetId="0">
        <row r="3">
          <cell r="D3">
            <v>82.65</v>
          </cell>
          <cell r="E3">
            <v>45966</v>
          </cell>
          <cell r="G3">
            <v>46072</v>
          </cell>
        </row>
        <row r="5">
          <cell r="D5">
            <v>13951.320000000002</v>
          </cell>
        </row>
        <row r="8">
          <cell r="D8">
            <v>565.9</v>
          </cell>
        </row>
        <row r="9">
          <cell r="D9">
            <v>13385.420000000002</v>
          </cell>
        </row>
      </sheetData>
      <sheetData sheetId="1">
        <row r="8">
          <cell r="V8">
            <v>1480</v>
          </cell>
        </row>
        <row r="24">
          <cell r="V24">
            <v>1327.6020000000001</v>
          </cell>
        </row>
        <row r="39">
          <cell r="P39">
            <v>10.89999999999997</v>
          </cell>
          <cell r="Q39">
            <v>80.300000000000068</v>
          </cell>
          <cell r="R39">
            <v>0.50000000000003597</v>
          </cell>
          <cell r="S39">
            <v>-33.20000000000001</v>
          </cell>
          <cell r="T39">
            <v>2.3999999999998813</v>
          </cell>
          <cell r="U39">
            <v>16.299999999999944</v>
          </cell>
          <cell r="V39">
            <v>23.214447999999916</v>
          </cell>
          <cell r="W39">
            <v>78.947280000000021</v>
          </cell>
          <cell r="X39">
            <v>141.7941941599999</v>
          </cell>
          <cell r="Y39">
            <v>185.39550429919987</v>
          </cell>
          <cell r="AF39">
            <v>372.89701432183807</v>
          </cell>
        </row>
        <row r="45">
          <cell r="U45">
            <v>9.5651335454633113E-2</v>
          </cell>
          <cell r="V45">
            <v>0.16835518789052206</v>
          </cell>
        </row>
        <row r="46">
          <cell r="AI46">
            <v>0.09</v>
          </cell>
        </row>
        <row r="48">
          <cell r="V48">
            <v>0.22735960024163862</v>
          </cell>
        </row>
        <row r="51">
          <cell r="V51">
            <v>2.0369854820947775E-2</v>
          </cell>
        </row>
        <row r="52">
          <cell r="AI52">
            <v>-0.7601749066060659</v>
          </cell>
        </row>
        <row r="53">
          <cell r="AI53" t="str">
            <v>Heavily overvalued</v>
          </cell>
        </row>
        <row r="62">
          <cell r="V62">
            <v>5.5236330623529897</v>
          </cell>
        </row>
        <row r="63">
          <cell r="V63">
            <v>-0.81895973379991061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66.63</v>
          </cell>
          <cell r="E3">
            <v>45903</v>
          </cell>
          <cell r="G3">
            <v>45974</v>
          </cell>
        </row>
        <row r="5">
          <cell r="D5">
            <v>6663</v>
          </cell>
        </row>
        <row r="8">
          <cell r="D8">
            <v>-438.4</v>
          </cell>
        </row>
        <row r="9">
          <cell r="D9">
            <v>7101.4</v>
          </cell>
        </row>
      </sheetData>
      <sheetData sheetId="1">
        <row r="24">
          <cell r="V24">
            <v>1358.33</v>
          </cell>
        </row>
        <row r="39">
          <cell r="S39">
            <v>16.199999999999942</v>
          </cell>
          <cell r="T39">
            <v>32.30000000000004</v>
          </cell>
          <cell r="U39">
            <v>53.500000000000057</v>
          </cell>
          <cell r="V39">
            <v>96.823239999999927</v>
          </cell>
          <cell r="W39">
            <v>143.50169249999999</v>
          </cell>
          <cell r="X39">
            <v>179.7296860125</v>
          </cell>
          <cell r="Y39">
            <v>200.07653520599999</v>
          </cell>
          <cell r="AF39">
            <v>315.1137772693595</v>
          </cell>
        </row>
        <row r="43">
          <cell r="U43">
            <v>0.23230686115613186</v>
          </cell>
          <cell r="V43">
            <v>0.19099517755370443</v>
          </cell>
        </row>
        <row r="44">
          <cell r="V44">
            <v>0.25505171791832615</v>
          </cell>
        </row>
        <row r="45">
          <cell r="AI45">
            <v>0.09</v>
          </cell>
        </row>
        <row r="47">
          <cell r="V47">
            <v>0.1261351806998299</v>
          </cell>
        </row>
        <row r="51">
          <cell r="AI51">
            <v>-0.67267594474014047</v>
          </cell>
        </row>
        <row r="52">
          <cell r="AI52" t="str">
            <v>Heavily overvalued</v>
          </cell>
        </row>
        <row r="54">
          <cell r="L54">
            <v>4.3835802469135796</v>
          </cell>
        </row>
        <row r="55">
          <cell r="L55">
            <v>-0.77187596811896242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11.52</v>
          </cell>
          <cell r="E3">
            <v>45933</v>
          </cell>
          <cell r="G3">
            <v>45975</v>
          </cell>
        </row>
        <row r="5">
          <cell r="D5">
            <v>1357.0559999999998</v>
          </cell>
        </row>
        <row r="8">
          <cell r="D8">
            <v>46.100000000000009</v>
          </cell>
        </row>
        <row r="9">
          <cell r="D9">
            <v>1310.9559999999999</v>
          </cell>
        </row>
      </sheetData>
      <sheetData sheetId="1">
        <row r="3">
          <cell r="O3">
            <v>12.3</v>
          </cell>
        </row>
        <row r="15">
          <cell r="O15">
            <v>-69.325000000000003</v>
          </cell>
          <cell r="P15">
            <v>-91.1815</v>
          </cell>
          <cell r="Q15">
            <v>-110.42588000000001</v>
          </cell>
          <cell r="R15">
            <v>-123.67537759999999</v>
          </cell>
          <cell r="Y15">
            <v>146.02827505986298</v>
          </cell>
        </row>
        <row r="20">
          <cell r="O20">
            <v>5.08130081300813E-2</v>
          </cell>
        </row>
        <row r="21">
          <cell r="AB21">
            <v>0.11</v>
          </cell>
        </row>
        <row r="24">
          <cell r="O24">
            <v>-4.23780487804878</v>
          </cell>
        </row>
        <row r="27">
          <cell r="AB27">
            <v>-0.87354587724162402</v>
          </cell>
        </row>
        <row r="28">
          <cell r="AB28" t="str">
            <v>Heavily overvalued</v>
          </cell>
        </row>
        <row r="31">
          <cell r="H31">
            <v>10.798649093904446</v>
          </cell>
        </row>
        <row r="32">
          <cell r="H32">
            <v>-0.90739582411614117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14.97</v>
          </cell>
          <cell r="E3">
            <v>45933</v>
          </cell>
          <cell r="G3">
            <v>45974</v>
          </cell>
        </row>
        <row r="5">
          <cell r="D5">
            <v>455.08800000000002</v>
          </cell>
        </row>
        <row r="8">
          <cell r="D8">
            <v>5</v>
          </cell>
        </row>
        <row r="9">
          <cell r="D9">
            <v>450.08800000000002</v>
          </cell>
        </row>
      </sheetData>
      <sheetData sheetId="1">
        <row r="3">
          <cell r="Q3">
            <v>5.6</v>
          </cell>
        </row>
        <row r="20">
          <cell r="P20">
            <v>-1.4</v>
          </cell>
          <cell r="Q20">
            <v>-32</v>
          </cell>
          <cell r="R20">
            <v>-27.428000000000001</v>
          </cell>
          <cell r="S20">
            <v>-36.489999999999995</v>
          </cell>
          <cell r="T20">
            <v>-44.738199999999992</v>
          </cell>
          <cell r="U20">
            <v>-36.238919999999993</v>
          </cell>
          <cell r="AB20">
            <v>68.08531453375997</v>
          </cell>
        </row>
        <row r="26">
          <cell r="Q26">
            <v>0.28571428571428564</v>
          </cell>
        </row>
        <row r="27">
          <cell r="AF27">
            <v>0.12</v>
          </cell>
        </row>
        <row r="30">
          <cell r="Q30">
            <v>-3.0535714285714288</v>
          </cell>
        </row>
        <row r="33">
          <cell r="AF33">
            <v>-0.86720896478205278</v>
          </cell>
        </row>
        <row r="34">
          <cell r="AF34" t="str">
            <v>Heavily overvalued</v>
          </cell>
        </row>
        <row r="35">
          <cell r="L35">
            <v>8.5894656488549632</v>
          </cell>
        </row>
        <row r="36">
          <cell r="L36">
            <v>-0.88357832246138535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on Mniszek" refreshedDate="45967.736082291667" createdVersion="8" refreshedVersion="8" minRefreshableVersion="3" recordCount="787" xr:uid="{CB2089C8-C05A-4D76-9771-FE811043790B}">
  <cacheSource type="worksheet">
    <worksheetSource name="RawData"/>
  </cacheSource>
  <cacheFields count="18">
    <cacheField name="Program" numFmtId="0">
      <sharedItems count="55">
        <s v="AMRAAM"/>
        <s v="F-35"/>
        <s v="V-22"/>
        <s v="C-130J"/>
        <s v="MQ-1C"/>
        <s v="MQ-9"/>
        <s v="B-21"/>
        <s v="F-47"/>
        <s v="PATRIOT"/>
        <s v="CCA"/>
        <s v="F-15"/>
        <s v="F-22"/>
        <s v="KC-46"/>
        <s v="B-1, B-2, B-52"/>
        <s v="CH-53K"/>
        <s v="FLRAA"/>
        <s v="MQ-25"/>
        <s v="F/A-18"/>
        <s v="E-2"/>
        <s v="HMS"/>
        <s v="M1"/>
        <s v="AMPV"/>
        <s v="PIM"/>
        <s v="XM30"/>
        <s v="ACV"/>
        <s v="GMD"/>
        <s v="THAAD"/>
        <s v="Aegis BMD"/>
        <s v="MSE"/>
        <s v="IFPC"/>
        <s v="JASSM"/>
        <s v="LRASM"/>
        <s v="AMMO"/>
        <s v="GMLRS"/>
        <s v="PrSM"/>
        <s v="UGM-133"/>
        <s v="SM-6"/>
        <s v="TLAM"/>
        <s v="LGM-35"/>
        <s v="LRSO"/>
        <s v="NSSL/RSLP"/>
        <s v="MWMT"/>
        <s v="SATCOM"/>
        <s v="Hypersonics"/>
        <s v="LRHW"/>
        <s v="HACM"/>
        <s v="AJAX"/>
        <s v="AH-64"/>
        <s v="Challenger 3"/>
        <s v="E-7"/>
        <s v="Brimstone"/>
        <s v="SPEAR 3"/>
        <s v="ASRAAM"/>
        <s v="CH-47"/>
        <s v="MIV"/>
      </sharedItems>
    </cacheField>
    <cacheField name="FY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Customer" numFmtId="0">
      <sharedItems containsBlank="1"/>
    </cacheField>
    <cacheField name="Country" numFmtId="0">
      <sharedItems count="2">
        <s v="US"/>
        <s v="UK"/>
      </sharedItems>
    </cacheField>
    <cacheField name="Type" numFmtId="0">
      <sharedItems/>
    </cacheField>
    <cacheField name="Company" numFmtId="0">
      <sharedItems containsBlank="1" count="32">
        <s v="RTX"/>
        <s v="LMT"/>
        <s v="TXT"/>
        <s v="BA"/>
        <s v="RR"/>
        <s v="GE"/>
        <s v="NOC"/>
        <s v="HON"/>
        <s v="GAI"/>
        <s v="LHX"/>
        <s v="ADUI"/>
        <s v="HO"/>
        <s v="GD"/>
        <s v="BAE"/>
        <s v="RHM"/>
        <s v="LDOS"/>
        <s v="NPK"/>
        <s v="NAMMO"/>
        <s v="ULA"/>
        <s v="SPAC"/>
        <s v="Blue Origin"/>
        <s v="RKLB"/>
        <s v="Stoke Space"/>
        <s v="OSK"/>
        <s v="GKN"/>
        <s v="LDO"/>
        <s v="STS Aviation"/>
        <s v="AIR"/>
        <s v="QQ"/>
        <s v="KNDS"/>
        <m u="1"/>
        <s v="RHX" u="1"/>
      </sharedItems>
    </cacheField>
    <cacheField name="Segment" numFmtId="0">
      <sharedItems containsBlank="1" count="32">
        <s v="Raytheon"/>
        <s v="Aeronautics"/>
        <s v="Pratt &amp; Whitney"/>
        <s v="Bell"/>
        <s v="Defense"/>
        <s v="Defence"/>
        <s v="Dowty"/>
        <s v="Mission Systems"/>
        <s v="Avionics"/>
        <s v="Aeronautical Systems"/>
        <m/>
        <s v="Collins Aerospace"/>
        <s v="Missiles &amp; Fire Control"/>
        <s v="Sikorsky"/>
        <s v="Military Engines"/>
        <s v="Ground Systems"/>
        <s v="Platforms &amp; Services"/>
        <s v="Rotary &amp; Mission Systems"/>
        <s v="Defense Solutions"/>
        <s v="Ordnance &amp; Tactical Systems"/>
        <s v="AMTEC"/>
        <s v="Space"/>
        <s v="Dynetics"/>
        <s v="GD UK"/>
        <s v="Thales UK"/>
        <s v="Vehicle Systems"/>
        <s v="Weapon &amp; Ammunition"/>
        <s v="Air"/>
        <s v="Defense &amp; Space"/>
        <s v="Defence Electronics &amp; Security"/>
        <s v="Defence &amp; Security"/>
        <s v="Defence &amp; Space"/>
      </sharedItems>
    </cacheField>
    <cacheField name="Component" numFmtId="0">
      <sharedItems containsBlank="1"/>
    </cacheField>
    <cacheField name="Role" numFmtId="0">
      <sharedItems containsBlank="1"/>
    </cacheField>
    <cacheField name="Qty" numFmtId="0">
      <sharedItems containsString="0" containsBlank="1" containsNumber="1" containsInteger="1" minValue="0" maxValue="13189"/>
    </cacheField>
    <cacheField name="Value_Other" numFmtId="0">
      <sharedItems containsString="0" containsBlank="1" containsNumber="1" containsInteger="1" minValue="138" maxValue="1644"/>
    </cacheField>
    <cacheField name="Value_USD_M" numFmtId="0">
      <sharedItems containsSemiMixedTypes="0" containsString="0" containsNumber="1" minValue="0" maxValue="12958.8"/>
    </cacheField>
    <cacheField name="Confidence/Status" numFmtId="0">
      <sharedItems containsBlank="1"/>
    </cacheField>
    <cacheField name="Share_Est" numFmtId="0">
      <sharedItems containsSemiMixedTypes="0" containsString="0" containsNumber="1" minValue="0.03" maxValue="1"/>
    </cacheField>
    <cacheField name="Adj_Value_USD_M" numFmtId="170">
      <sharedItems containsSemiMixedTypes="0" containsString="0" containsNumber="1" minValue="0" maxValue="7127.34"/>
    </cacheField>
    <cacheField name="Source" numFmtId="0">
      <sharedItems containsBlank="1"/>
    </cacheField>
    <cacheField name="Data_Source_Detail" numFmtId="0">
      <sharedItems containsNonDate="0" containsString="0" containsBlank="1"/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7">
  <r>
    <x v="0"/>
    <x v="0"/>
    <s v="USAF"/>
    <x v="0"/>
    <s v="Procurement"/>
    <x v="0"/>
    <x v="0"/>
    <m/>
    <s v="Prime"/>
    <n v="457"/>
    <m/>
    <n v="544"/>
    <s v="H"/>
    <n v="1"/>
    <n v="544"/>
    <s v="DoD FY2026 Budget"/>
    <m/>
    <s v="add SRM suppliers later"/>
  </r>
  <r>
    <x v="0"/>
    <x v="0"/>
    <s v="USN"/>
    <x v="0"/>
    <s v="Procurement"/>
    <x v="0"/>
    <x v="0"/>
    <m/>
    <s v="Prime"/>
    <n v="300"/>
    <m/>
    <n v="385.7"/>
    <s v="H"/>
    <n v="1"/>
    <n v="385.7"/>
    <s v="DoD FY2026 Budget"/>
    <m/>
    <m/>
  </r>
  <r>
    <x v="0"/>
    <x v="1"/>
    <s v="USAF"/>
    <x v="0"/>
    <s v="Procurement"/>
    <x v="0"/>
    <x v="0"/>
    <m/>
    <s v="Prime"/>
    <n v="290"/>
    <m/>
    <n v="392.8"/>
    <s v="H"/>
    <n v="1"/>
    <n v="392.8"/>
    <s v="DoD FY2026 Budget"/>
    <m/>
    <m/>
  </r>
  <r>
    <x v="0"/>
    <x v="1"/>
    <s v="USN"/>
    <x v="0"/>
    <s v="Procurement"/>
    <x v="0"/>
    <x v="0"/>
    <m/>
    <s v="Prime"/>
    <n v="181"/>
    <m/>
    <n v="191.5"/>
    <s v="H"/>
    <n v="1"/>
    <n v="191.5"/>
    <s v="DoD FY2026 Budget"/>
    <m/>
    <m/>
  </r>
  <r>
    <x v="0"/>
    <x v="2"/>
    <s v="USAF"/>
    <x v="0"/>
    <s v="Procurement"/>
    <x v="0"/>
    <x v="0"/>
    <m/>
    <s v="Prime"/>
    <n v="483"/>
    <m/>
    <n v="668.5"/>
    <s v="H"/>
    <n v="1"/>
    <n v="668.5"/>
    <s v="DoD FY2026 Budget"/>
    <m/>
    <m/>
  </r>
  <r>
    <x v="0"/>
    <x v="2"/>
    <s v="USN"/>
    <x v="0"/>
    <s v="Procurement"/>
    <x v="0"/>
    <x v="0"/>
    <m/>
    <s v="Prime"/>
    <n v="51"/>
    <m/>
    <n v="69.900000000000006"/>
    <s v="H"/>
    <n v="1"/>
    <n v="69.900000000000006"/>
    <s v="DoD FY2026 Budget"/>
    <m/>
    <m/>
  </r>
  <r>
    <x v="0"/>
    <x v="0"/>
    <s v="USAF"/>
    <x v="0"/>
    <s v="RDT&amp;E"/>
    <x v="0"/>
    <x v="0"/>
    <m/>
    <s v="Prime"/>
    <m/>
    <m/>
    <n v="52"/>
    <s v="H"/>
    <n v="1"/>
    <n v="52"/>
    <s v="DoD FY2026 Budget"/>
    <m/>
    <m/>
  </r>
  <r>
    <x v="0"/>
    <x v="0"/>
    <s v="USN"/>
    <x v="0"/>
    <s v="RDT&amp;E"/>
    <x v="0"/>
    <x v="0"/>
    <m/>
    <s v="Prime"/>
    <m/>
    <m/>
    <n v="28.8"/>
    <s v="H"/>
    <n v="1"/>
    <n v="28.8"/>
    <s v="DoD FY2026 Budget"/>
    <m/>
    <m/>
  </r>
  <r>
    <x v="0"/>
    <x v="1"/>
    <s v="USAF"/>
    <x v="0"/>
    <s v="RDT&amp;E"/>
    <x v="0"/>
    <x v="0"/>
    <m/>
    <s v="Prime"/>
    <m/>
    <m/>
    <n v="53.6"/>
    <s v="H"/>
    <n v="1"/>
    <n v="53.6"/>
    <s v="DoD FY2026 Budget"/>
    <m/>
    <m/>
  </r>
  <r>
    <x v="0"/>
    <x v="1"/>
    <s v="USN"/>
    <x v="0"/>
    <s v="RDT&amp;E"/>
    <x v="0"/>
    <x v="0"/>
    <m/>
    <s v="Prime"/>
    <m/>
    <m/>
    <n v="29.6"/>
    <s v="H"/>
    <n v="1"/>
    <n v="29.6"/>
    <s v="DoD FY2026 Budget"/>
    <m/>
    <m/>
  </r>
  <r>
    <x v="0"/>
    <x v="2"/>
    <s v="USAF"/>
    <x v="0"/>
    <s v="RDT&amp;E"/>
    <x v="0"/>
    <x v="0"/>
    <m/>
    <s v="Prime"/>
    <m/>
    <m/>
    <n v="51.2"/>
    <s v="H"/>
    <n v="1"/>
    <n v="51.2"/>
    <s v="DoD FY2026 Budget"/>
    <m/>
    <m/>
  </r>
  <r>
    <x v="0"/>
    <x v="2"/>
    <s v="USN"/>
    <x v="0"/>
    <s v="RDT&amp;E"/>
    <x v="0"/>
    <x v="0"/>
    <m/>
    <s v="Prime"/>
    <m/>
    <m/>
    <n v="26.3"/>
    <s v="H"/>
    <n v="1"/>
    <n v="26.3"/>
    <s v="DoD FY2026 Budget"/>
    <m/>
    <m/>
  </r>
  <r>
    <x v="1"/>
    <x v="0"/>
    <s v="USN/USMC"/>
    <x v="0"/>
    <s v="RDT&amp;E"/>
    <x v="1"/>
    <x v="1"/>
    <s v="Airframe"/>
    <s v="Prime"/>
    <m/>
    <m/>
    <n v="945"/>
    <s v="H"/>
    <n v="0.9"/>
    <n v="850.5"/>
    <s v="DoD FY2026 Budget"/>
    <m/>
    <m/>
  </r>
  <r>
    <x v="1"/>
    <x v="0"/>
    <s v="USAF"/>
    <x v="0"/>
    <s v="RDT&amp;E"/>
    <x v="1"/>
    <x v="1"/>
    <s v="Airframe"/>
    <s v="Prime"/>
    <m/>
    <m/>
    <n v="1325.7"/>
    <s v="H"/>
    <n v="0.9"/>
    <n v="1193.1300000000001"/>
    <s v="DoD FY2026 Budget"/>
    <m/>
    <m/>
  </r>
  <r>
    <x v="1"/>
    <x v="1"/>
    <s v="USN/USMC"/>
    <x v="0"/>
    <s v="RDT&amp;E"/>
    <x v="1"/>
    <x v="1"/>
    <s v="Airframe"/>
    <s v="Prime"/>
    <m/>
    <m/>
    <n v="946.9"/>
    <s v="H"/>
    <n v="0.9"/>
    <n v="852.21"/>
    <s v="DoD FY2026 Budget"/>
    <m/>
    <m/>
  </r>
  <r>
    <x v="1"/>
    <x v="1"/>
    <s v="USAF"/>
    <x v="0"/>
    <s v="RDT&amp;E"/>
    <x v="1"/>
    <x v="1"/>
    <s v="Airframe"/>
    <s v="Prime"/>
    <m/>
    <m/>
    <n v="1230.5"/>
    <s v="H"/>
    <n v="0.9"/>
    <n v="1107.45"/>
    <s v="DoD FY2026 Budget"/>
    <m/>
    <m/>
  </r>
  <r>
    <x v="1"/>
    <x v="2"/>
    <s v="USN/USMC"/>
    <x v="0"/>
    <s v="RDT&amp;E"/>
    <x v="1"/>
    <x v="1"/>
    <s v="Airframe"/>
    <s v="Prime"/>
    <m/>
    <m/>
    <n v="969.7"/>
    <s v="H"/>
    <n v="0.9"/>
    <n v="872.73"/>
    <s v="DoD FY2026 Budget"/>
    <m/>
    <m/>
  </r>
  <r>
    <x v="1"/>
    <x v="2"/>
    <s v="USAF"/>
    <x v="0"/>
    <s v="RDT&amp;E"/>
    <x v="1"/>
    <x v="1"/>
    <s v="Airframe"/>
    <s v="Prime"/>
    <m/>
    <m/>
    <n v="1230.5"/>
    <s v="H"/>
    <n v="0.9"/>
    <n v="1107.45"/>
    <s v="DoD FY2026 Budget"/>
    <m/>
    <m/>
  </r>
  <r>
    <x v="1"/>
    <x v="0"/>
    <s v="USN/USMC"/>
    <x v="0"/>
    <s v="RDT&amp;E"/>
    <x v="0"/>
    <x v="2"/>
    <s v="Engine"/>
    <s v="Prime"/>
    <m/>
    <m/>
    <n v="945"/>
    <s v="H"/>
    <n v="0.1"/>
    <n v="94.5"/>
    <s v="DoD FY2026 Budget"/>
    <m/>
    <m/>
  </r>
  <r>
    <x v="1"/>
    <x v="0"/>
    <s v="USAF"/>
    <x v="0"/>
    <s v="RDT&amp;E"/>
    <x v="0"/>
    <x v="2"/>
    <s v="Engine"/>
    <s v="Prime"/>
    <m/>
    <m/>
    <n v="1325.7"/>
    <s v="H"/>
    <n v="0.1"/>
    <n v="132.57000000000002"/>
    <s v="DoD FY2026 Budget"/>
    <m/>
    <m/>
  </r>
  <r>
    <x v="1"/>
    <x v="1"/>
    <s v="USN/USMC"/>
    <x v="0"/>
    <s v="RDT&amp;E"/>
    <x v="0"/>
    <x v="2"/>
    <s v="Engine"/>
    <s v="Prime"/>
    <m/>
    <m/>
    <n v="946.9"/>
    <s v="H"/>
    <n v="0.1"/>
    <n v="94.69"/>
    <s v="DoD FY2026 Budget"/>
    <m/>
    <m/>
  </r>
  <r>
    <x v="1"/>
    <x v="1"/>
    <s v="USAF"/>
    <x v="0"/>
    <s v="RDT&amp;E"/>
    <x v="0"/>
    <x v="2"/>
    <s v="Engine"/>
    <s v="Prime"/>
    <m/>
    <m/>
    <n v="1230.5"/>
    <s v="H"/>
    <n v="0.1"/>
    <n v="123.05000000000001"/>
    <s v="DoD FY2026 Budget"/>
    <m/>
    <m/>
  </r>
  <r>
    <x v="1"/>
    <x v="2"/>
    <s v="USN/USMC"/>
    <x v="0"/>
    <s v="RDT&amp;E"/>
    <x v="0"/>
    <x v="2"/>
    <s v="Engine"/>
    <s v="Prime"/>
    <m/>
    <m/>
    <n v="969.7"/>
    <s v="H"/>
    <n v="0.1"/>
    <n v="96.970000000000013"/>
    <s v="DoD FY2026 Budget"/>
    <m/>
    <m/>
  </r>
  <r>
    <x v="1"/>
    <x v="2"/>
    <s v="USAF"/>
    <x v="0"/>
    <s v="RDT&amp;E"/>
    <x v="0"/>
    <x v="2"/>
    <s v="Engine"/>
    <s v="Prime"/>
    <m/>
    <m/>
    <n v="1230.5"/>
    <s v="H"/>
    <n v="0.1"/>
    <n v="123.05000000000001"/>
    <s v="DoD FY2026 Budget"/>
    <m/>
    <m/>
  </r>
  <r>
    <x v="1"/>
    <x v="0"/>
    <s v="USN/USMC"/>
    <x v="0"/>
    <s v="Procurement"/>
    <x v="1"/>
    <x v="1"/>
    <s v="Airframe"/>
    <s v="Prime"/>
    <n v="35"/>
    <m/>
    <n v="5623.6"/>
    <s v="H"/>
    <n v="0.8"/>
    <n v="4498.88"/>
    <s v="DoD FY2026 Budget"/>
    <m/>
    <m/>
  </r>
  <r>
    <x v="1"/>
    <x v="0"/>
    <s v="USAF"/>
    <x v="0"/>
    <s v="Procurement"/>
    <x v="1"/>
    <x v="1"/>
    <s v="Airframe"/>
    <s v="Prime"/>
    <n v="51"/>
    <m/>
    <n v="6377"/>
    <s v="H"/>
    <n v="0.8"/>
    <n v="5101.6000000000004"/>
    <s v="DoD FY2026 Budget"/>
    <m/>
    <m/>
  </r>
  <r>
    <x v="1"/>
    <x v="1"/>
    <s v="USN/USMC"/>
    <x v="0"/>
    <s v="Procurement"/>
    <x v="1"/>
    <x v="1"/>
    <s v="Airframe"/>
    <s v="Prime"/>
    <n v="30"/>
    <m/>
    <n v="5353"/>
    <s v="H"/>
    <n v="0.8"/>
    <n v="4282.4000000000005"/>
    <s v="DoD FY2026 Budget"/>
    <m/>
    <m/>
  </r>
  <r>
    <x v="1"/>
    <x v="1"/>
    <s v="USAF"/>
    <x v="0"/>
    <s v="Procurement"/>
    <x v="1"/>
    <x v="1"/>
    <s v="Airframe"/>
    <s v="Prime"/>
    <n v="44"/>
    <m/>
    <n v="5852.1"/>
    <s v="H"/>
    <n v="0.8"/>
    <n v="4681.68"/>
    <s v="DoD FY2026 Budget"/>
    <m/>
    <m/>
  </r>
  <r>
    <x v="1"/>
    <x v="2"/>
    <s v="USN/USMC"/>
    <x v="0"/>
    <s v="Procurement"/>
    <x v="1"/>
    <x v="1"/>
    <s v="Airframe"/>
    <s v="Prime"/>
    <n v="23"/>
    <m/>
    <n v="5116.8"/>
    <s v="H"/>
    <n v="0.8"/>
    <n v="4093.4400000000005"/>
    <s v="DoD FY2026 Budget"/>
    <m/>
    <m/>
  </r>
  <r>
    <x v="1"/>
    <x v="2"/>
    <s v="USAF"/>
    <x v="0"/>
    <s v="Procurement"/>
    <x v="1"/>
    <x v="1"/>
    <s v="Airframe"/>
    <s v="Prime"/>
    <n v="24"/>
    <m/>
    <n v="5803.7"/>
    <s v="H"/>
    <n v="0.8"/>
    <n v="4642.96"/>
    <s v="DoD FY2026 Budget"/>
    <m/>
    <m/>
  </r>
  <r>
    <x v="1"/>
    <x v="0"/>
    <s v="USN/USMC"/>
    <x v="0"/>
    <s v="Procurement"/>
    <x v="0"/>
    <x v="2"/>
    <s v="Engine"/>
    <s v="Prime"/>
    <n v="35"/>
    <m/>
    <n v="5623.6"/>
    <s v="H"/>
    <n v="0.2"/>
    <n v="1124.72"/>
    <s v="DoD FY2026 Budget"/>
    <m/>
    <m/>
  </r>
  <r>
    <x v="1"/>
    <x v="0"/>
    <s v="USAF"/>
    <x v="0"/>
    <s v="Procurement"/>
    <x v="0"/>
    <x v="2"/>
    <s v="Engine"/>
    <s v="Prime"/>
    <n v="51"/>
    <m/>
    <n v="6377"/>
    <s v="H"/>
    <n v="0.2"/>
    <n v="1275.4000000000001"/>
    <s v="DoD FY2026 Budget"/>
    <m/>
    <m/>
  </r>
  <r>
    <x v="1"/>
    <x v="1"/>
    <s v="USN/USMC"/>
    <x v="0"/>
    <s v="Procurement"/>
    <x v="0"/>
    <x v="2"/>
    <s v="Engine"/>
    <s v="Prime"/>
    <n v="30"/>
    <m/>
    <n v="5353"/>
    <s v="H"/>
    <n v="0.2"/>
    <n v="1070.6000000000001"/>
    <s v="DoD FY2026 Budget"/>
    <m/>
    <m/>
  </r>
  <r>
    <x v="1"/>
    <x v="1"/>
    <s v="USAF"/>
    <x v="0"/>
    <s v="Procurement"/>
    <x v="0"/>
    <x v="2"/>
    <s v="Engine"/>
    <s v="Prime"/>
    <n v="44"/>
    <m/>
    <n v="5852.1"/>
    <s v="H"/>
    <n v="0.2"/>
    <n v="1170.42"/>
    <s v="DoD FY2026 Budget"/>
    <m/>
    <m/>
  </r>
  <r>
    <x v="1"/>
    <x v="2"/>
    <s v="USN/USMC"/>
    <x v="0"/>
    <s v="Procurement"/>
    <x v="0"/>
    <x v="2"/>
    <s v="Engine"/>
    <s v="Prime"/>
    <n v="23"/>
    <m/>
    <n v="5116.8"/>
    <s v="H"/>
    <n v="0.2"/>
    <n v="1023.3600000000001"/>
    <s v="DoD FY2026 Budget"/>
    <m/>
    <m/>
  </r>
  <r>
    <x v="1"/>
    <x v="2"/>
    <s v="USAF"/>
    <x v="0"/>
    <s v="Procurement"/>
    <x v="0"/>
    <x v="2"/>
    <s v="Engine"/>
    <s v="Prime"/>
    <n v="24"/>
    <m/>
    <n v="5803.7"/>
    <s v="H"/>
    <n v="0.2"/>
    <n v="1160.74"/>
    <s v="DoD FY2026 Budget"/>
    <m/>
    <m/>
  </r>
  <r>
    <x v="2"/>
    <x v="0"/>
    <s v="USN"/>
    <x v="0"/>
    <s v="RDT&amp;E"/>
    <x v="2"/>
    <x v="3"/>
    <m/>
    <m/>
    <m/>
    <m/>
    <n v="144.69999999999999"/>
    <s v="H"/>
    <n v="0.5"/>
    <n v="72.349999999999994"/>
    <s v="DoD FY2026 Budget"/>
    <m/>
    <m/>
  </r>
  <r>
    <x v="2"/>
    <x v="0"/>
    <s v="USAF"/>
    <x v="0"/>
    <s v="RDT&amp;E"/>
    <x v="2"/>
    <x v="3"/>
    <m/>
    <m/>
    <m/>
    <m/>
    <n v="16.600000000000001"/>
    <s v="H"/>
    <n v="0.5"/>
    <n v="8.3000000000000007"/>
    <s v="DoD FY2026 Budget"/>
    <m/>
    <m/>
  </r>
  <r>
    <x v="2"/>
    <x v="0"/>
    <s v="SOCOM"/>
    <x v="0"/>
    <s v="RDT&amp;E"/>
    <x v="2"/>
    <x v="3"/>
    <m/>
    <m/>
    <m/>
    <m/>
    <n v="19.8"/>
    <s v="H"/>
    <n v="0.5"/>
    <n v="9.9"/>
    <s v="DoD FY2026 Budget"/>
    <m/>
    <m/>
  </r>
  <r>
    <x v="2"/>
    <x v="1"/>
    <s v="USN"/>
    <x v="0"/>
    <s v="RDT&amp;E"/>
    <x v="2"/>
    <x v="3"/>
    <m/>
    <m/>
    <m/>
    <m/>
    <n v="108.2"/>
    <s v="H"/>
    <n v="0.5"/>
    <n v="54.1"/>
    <s v="DoD FY2026 Budget"/>
    <m/>
    <m/>
  </r>
  <r>
    <x v="2"/>
    <x v="1"/>
    <s v="USAF"/>
    <x v="0"/>
    <s v="RDT&amp;E"/>
    <x v="2"/>
    <x v="3"/>
    <m/>
    <m/>
    <m/>
    <m/>
    <n v="26.2"/>
    <s v="H"/>
    <n v="0.5"/>
    <n v="13.1"/>
    <s v="DoD FY2026 Budget"/>
    <m/>
    <m/>
  </r>
  <r>
    <x v="2"/>
    <x v="1"/>
    <s v="SOCOM"/>
    <x v="0"/>
    <s v="RDT&amp;E"/>
    <x v="2"/>
    <x v="3"/>
    <m/>
    <m/>
    <m/>
    <m/>
    <n v="15.7"/>
    <s v="H"/>
    <n v="0.5"/>
    <n v="7.85"/>
    <s v="DoD FY2026 Budget"/>
    <m/>
    <m/>
  </r>
  <r>
    <x v="2"/>
    <x v="2"/>
    <s v="USN"/>
    <x v="0"/>
    <s v="RDT&amp;E"/>
    <x v="2"/>
    <x v="3"/>
    <m/>
    <m/>
    <m/>
    <m/>
    <n v="125"/>
    <s v="H"/>
    <n v="0.5"/>
    <n v="62.5"/>
    <s v="DoD FY2026 Budget"/>
    <m/>
    <m/>
  </r>
  <r>
    <x v="2"/>
    <x v="2"/>
    <s v="USAF"/>
    <x v="0"/>
    <s v="RDT&amp;E"/>
    <x v="2"/>
    <x v="3"/>
    <m/>
    <m/>
    <m/>
    <m/>
    <n v="31.5"/>
    <s v="H"/>
    <n v="0.5"/>
    <n v="15.75"/>
    <s v="DoD FY2026 Budget"/>
    <m/>
    <m/>
  </r>
  <r>
    <x v="2"/>
    <x v="2"/>
    <s v="SOCOM"/>
    <x v="0"/>
    <s v="RDT&amp;E"/>
    <x v="2"/>
    <x v="3"/>
    <m/>
    <m/>
    <m/>
    <m/>
    <n v="4.5"/>
    <s v="H"/>
    <n v="0.5"/>
    <n v="2.25"/>
    <s v="DoD FY2026 Budget"/>
    <m/>
    <m/>
  </r>
  <r>
    <x v="2"/>
    <x v="0"/>
    <s v="USN"/>
    <x v="0"/>
    <s v="RDT&amp;E"/>
    <x v="3"/>
    <x v="4"/>
    <m/>
    <m/>
    <m/>
    <m/>
    <n v="144.69999999999999"/>
    <s v="H"/>
    <n v="0.4"/>
    <n v="57.879999999999995"/>
    <s v="DoD FY2026 Budget"/>
    <m/>
    <m/>
  </r>
  <r>
    <x v="2"/>
    <x v="0"/>
    <s v="USAF"/>
    <x v="0"/>
    <s v="RDT&amp;E"/>
    <x v="3"/>
    <x v="4"/>
    <m/>
    <m/>
    <m/>
    <m/>
    <n v="16.600000000000001"/>
    <s v="H"/>
    <n v="0.4"/>
    <n v="6.6400000000000006"/>
    <s v="DoD FY2026 Budget"/>
    <m/>
    <m/>
  </r>
  <r>
    <x v="2"/>
    <x v="0"/>
    <s v="SOCOM"/>
    <x v="0"/>
    <s v="RDT&amp;E"/>
    <x v="3"/>
    <x v="4"/>
    <m/>
    <m/>
    <m/>
    <m/>
    <n v="19.8"/>
    <s v="H"/>
    <n v="0.4"/>
    <n v="7.9200000000000008"/>
    <s v="DoD FY2026 Budget"/>
    <m/>
    <m/>
  </r>
  <r>
    <x v="2"/>
    <x v="1"/>
    <s v="USN"/>
    <x v="0"/>
    <s v="RDT&amp;E"/>
    <x v="3"/>
    <x v="4"/>
    <m/>
    <m/>
    <m/>
    <m/>
    <n v="108.2"/>
    <s v="H"/>
    <n v="0.4"/>
    <n v="43.28"/>
    <s v="DoD FY2026 Budget"/>
    <m/>
    <m/>
  </r>
  <r>
    <x v="2"/>
    <x v="1"/>
    <s v="USAF"/>
    <x v="0"/>
    <s v="RDT&amp;E"/>
    <x v="3"/>
    <x v="4"/>
    <m/>
    <m/>
    <m/>
    <m/>
    <n v="26.2"/>
    <s v="H"/>
    <n v="0.4"/>
    <n v="10.48"/>
    <s v="DoD FY2026 Budget"/>
    <m/>
    <m/>
  </r>
  <r>
    <x v="2"/>
    <x v="1"/>
    <s v="SOCOM"/>
    <x v="0"/>
    <s v="RDT&amp;E"/>
    <x v="3"/>
    <x v="4"/>
    <m/>
    <m/>
    <m/>
    <m/>
    <n v="15.7"/>
    <s v="H"/>
    <n v="0.4"/>
    <n v="6.28"/>
    <s v="DoD FY2026 Budget"/>
    <m/>
    <m/>
  </r>
  <r>
    <x v="2"/>
    <x v="2"/>
    <s v="USN"/>
    <x v="0"/>
    <s v="RDT&amp;E"/>
    <x v="3"/>
    <x v="4"/>
    <m/>
    <m/>
    <m/>
    <m/>
    <n v="125"/>
    <s v="H"/>
    <n v="0.4"/>
    <n v="50"/>
    <s v="DoD FY2026 Budget"/>
    <m/>
    <m/>
  </r>
  <r>
    <x v="2"/>
    <x v="2"/>
    <s v="USAF"/>
    <x v="0"/>
    <s v="RDT&amp;E"/>
    <x v="3"/>
    <x v="4"/>
    <m/>
    <m/>
    <m/>
    <m/>
    <n v="31.5"/>
    <s v="H"/>
    <n v="0.4"/>
    <n v="12.600000000000001"/>
    <s v="DoD FY2026 Budget"/>
    <m/>
    <m/>
  </r>
  <r>
    <x v="2"/>
    <x v="2"/>
    <s v="SOCOM"/>
    <x v="0"/>
    <s v="RDT&amp;E"/>
    <x v="3"/>
    <x v="4"/>
    <m/>
    <m/>
    <m/>
    <m/>
    <n v="4.5"/>
    <s v="H"/>
    <n v="0.4"/>
    <n v="1.8"/>
    <s v="DoD FY2026 Budget"/>
    <m/>
    <m/>
  </r>
  <r>
    <x v="2"/>
    <x v="0"/>
    <s v="USN"/>
    <x v="0"/>
    <s v="RDT&amp;E"/>
    <x v="4"/>
    <x v="5"/>
    <m/>
    <m/>
    <m/>
    <m/>
    <n v="144.69999999999999"/>
    <s v="H"/>
    <n v="0.1"/>
    <n v="14.469999999999999"/>
    <s v="DoD FY2026 Budget"/>
    <m/>
    <m/>
  </r>
  <r>
    <x v="2"/>
    <x v="0"/>
    <s v="USAF"/>
    <x v="0"/>
    <s v="RDT&amp;E"/>
    <x v="4"/>
    <x v="5"/>
    <m/>
    <m/>
    <m/>
    <m/>
    <n v="16.600000000000001"/>
    <s v="H"/>
    <n v="0.1"/>
    <n v="1.6600000000000001"/>
    <s v="DoD FY2026 Budget"/>
    <m/>
    <m/>
  </r>
  <r>
    <x v="2"/>
    <x v="0"/>
    <s v="SOCOM"/>
    <x v="0"/>
    <s v="RDT&amp;E"/>
    <x v="4"/>
    <x v="5"/>
    <m/>
    <m/>
    <m/>
    <m/>
    <n v="19.8"/>
    <s v="H"/>
    <n v="0.1"/>
    <n v="1.9800000000000002"/>
    <s v="DoD FY2026 Budget"/>
    <m/>
    <m/>
  </r>
  <r>
    <x v="2"/>
    <x v="1"/>
    <s v="USN"/>
    <x v="0"/>
    <s v="RDT&amp;E"/>
    <x v="4"/>
    <x v="5"/>
    <m/>
    <m/>
    <m/>
    <m/>
    <n v="108.2"/>
    <s v="H"/>
    <n v="0.1"/>
    <n v="10.82"/>
    <s v="DoD FY2026 Budget"/>
    <m/>
    <m/>
  </r>
  <r>
    <x v="2"/>
    <x v="1"/>
    <s v="USAF"/>
    <x v="0"/>
    <s v="RDT&amp;E"/>
    <x v="4"/>
    <x v="5"/>
    <m/>
    <m/>
    <m/>
    <m/>
    <n v="26.2"/>
    <s v="H"/>
    <n v="0.1"/>
    <n v="2.62"/>
    <s v="DoD FY2026 Budget"/>
    <m/>
    <m/>
  </r>
  <r>
    <x v="2"/>
    <x v="1"/>
    <s v="SOCOM"/>
    <x v="0"/>
    <s v="RDT&amp;E"/>
    <x v="4"/>
    <x v="5"/>
    <m/>
    <m/>
    <m/>
    <m/>
    <n v="15.7"/>
    <s v="H"/>
    <n v="0.1"/>
    <n v="1.57"/>
    <s v="DoD FY2026 Budget"/>
    <m/>
    <m/>
  </r>
  <r>
    <x v="2"/>
    <x v="2"/>
    <s v="USN"/>
    <x v="0"/>
    <s v="RDT&amp;E"/>
    <x v="4"/>
    <x v="5"/>
    <m/>
    <m/>
    <m/>
    <m/>
    <n v="125"/>
    <s v="H"/>
    <n v="0.1"/>
    <n v="12.5"/>
    <s v="DoD FY2026 Budget"/>
    <m/>
    <m/>
  </r>
  <r>
    <x v="2"/>
    <x v="2"/>
    <s v="USAF"/>
    <x v="0"/>
    <s v="RDT&amp;E"/>
    <x v="4"/>
    <x v="5"/>
    <m/>
    <m/>
    <m/>
    <m/>
    <n v="31.5"/>
    <s v="H"/>
    <n v="0.1"/>
    <n v="3.1500000000000004"/>
    <s v="DoD FY2026 Budget"/>
    <m/>
    <m/>
  </r>
  <r>
    <x v="2"/>
    <x v="2"/>
    <s v="SOCOM"/>
    <x v="0"/>
    <s v="RDT&amp;E"/>
    <x v="4"/>
    <x v="5"/>
    <m/>
    <m/>
    <m/>
    <m/>
    <n v="4.5"/>
    <s v="H"/>
    <n v="0.1"/>
    <n v="0.45"/>
    <s v="DoD FY2026 Budget"/>
    <m/>
    <m/>
  </r>
  <r>
    <x v="2"/>
    <x v="0"/>
    <s v="USN"/>
    <x v="0"/>
    <s v="Procurement"/>
    <x v="2"/>
    <x v="3"/>
    <m/>
    <m/>
    <n v="5"/>
    <m/>
    <n v="1028.8"/>
    <s v="H"/>
    <n v="0.46"/>
    <n v="473.24799999999999"/>
    <s v="DoD FY2026 Budget"/>
    <m/>
    <m/>
  </r>
  <r>
    <x v="2"/>
    <x v="0"/>
    <s v="USAF"/>
    <x v="0"/>
    <s v="Procurement"/>
    <x v="2"/>
    <x v="3"/>
    <m/>
    <m/>
    <n v="5"/>
    <m/>
    <n v="157"/>
    <s v="H"/>
    <n v="0.46"/>
    <n v="72.22"/>
    <s v="DoD FY2026 Budget"/>
    <m/>
    <m/>
  </r>
  <r>
    <x v="2"/>
    <x v="0"/>
    <s v="SOCOM"/>
    <x v="0"/>
    <s v="Procurement"/>
    <x v="2"/>
    <x v="3"/>
    <m/>
    <m/>
    <n v="5"/>
    <m/>
    <n v="76"/>
    <s v="H"/>
    <n v="0.46"/>
    <n v="34.96"/>
    <s v="DoD FY2026 Budget"/>
    <m/>
    <m/>
  </r>
  <r>
    <x v="2"/>
    <x v="1"/>
    <s v="USN"/>
    <x v="0"/>
    <s v="Procurement"/>
    <x v="2"/>
    <x v="3"/>
    <m/>
    <m/>
    <n v="0"/>
    <m/>
    <n v="395.4"/>
    <s v="H"/>
    <n v="0.46"/>
    <n v="181.88399999999999"/>
    <s v="DoD FY2026 Budget"/>
    <m/>
    <m/>
  </r>
  <r>
    <x v="2"/>
    <x v="1"/>
    <s v="USAF"/>
    <x v="0"/>
    <s v="Procurement"/>
    <x v="2"/>
    <x v="3"/>
    <m/>
    <m/>
    <n v="0"/>
    <m/>
    <n v="58.6"/>
    <s v="H"/>
    <n v="0.46"/>
    <n v="26.956000000000003"/>
    <s v="DoD FY2026 Budget"/>
    <m/>
    <m/>
  </r>
  <r>
    <x v="2"/>
    <x v="1"/>
    <s v="SOCOM"/>
    <x v="0"/>
    <s v="Procurement"/>
    <x v="2"/>
    <x v="3"/>
    <m/>
    <m/>
    <n v="0"/>
    <m/>
    <n v="40.799999999999997"/>
    <s v="H"/>
    <n v="0.46"/>
    <n v="18.768000000000001"/>
    <s v="DoD FY2026 Budget"/>
    <m/>
    <m/>
  </r>
  <r>
    <x v="2"/>
    <x v="2"/>
    <s v="USN"/>
    <x v="0"/>
    <s v="Procurement"/>
    <x v="2"/>
    <x v="3"/>
    <m/>
    <m/>
    <n v="0"/>
    <m/>
    <n v="453.3"/>
    <s v="H"/>
    <n v="0.46"/>
    <n v="208.518"/>
    <s v="DoD FY2026 Budget"/>
    <m/>
    <m/>
  </r>
  <r>
    <x v="2"/>
    <x v="2"/>
    <s v="USAF"/>
    <x v="0"/>
    <s v="Procurement"/>
    <x v="2"/>
    <x v="3"/>
    <m/>
    <m/>
    <n v="0"/>
    <m/>
    <n v="193.5"/>
    <s v="H"/>
    <n v="0.46"/>
    <n v="89.01"/>
    <s v="DoD FY2026 Budget"/>
    <m/>
    <m/>
  </r>
  <r>
    <x v="2"/>
    <x v="2"/>
    <s v="SOCOM"/>
    <x v="0"/>
    <s v="Procurement"/>
    <x v="2"/>
    <x v="3"/>
    <m/>
    <m/>
    <n v="0"/>
    <m/>
    <n v="19.7"/>
    <s v="H"/>
    <n v="0.46"/>
    <n v="9.0619999999999994"/>
    <s v="DoD FY2026 Budget"/>
    <m/>
    <m/>
  </r>
  <r>
    <x v="2"/>
    <x v="0"/>
    <s v="USN"/>
    <x v="0"/>
    <s v="Procurement"/>
    <x v="3"/>
    <x v="4"/>
    <m/>
    <m/>
    <n v="5"/>
    <m/>
    <n v="1028.8"/>
    <s v="H"/>
    <n v="0.39"/>
    <n v="401.23199999999997"/>
    <s v="DoD FY2026 Budget"/>
    <m/>
    <m/>
  </r>
  <r>
    <x v="2"/>
    <x v="0"/>
    <s v="USAF"/>
    <x v="0"/>
    <s v="Procurement"/>
    <x v="3"/>
    <x v="4"/>
    <m/>
    <m/>
    <n v="5"/>
    <m/>
    <n v="157"/>
    <s v="H"/>
    <n v="0.39"/>
    <n v="61.230000000000004"/>
    <s v="DoD FY2026 Budget"/>
    <m/>
    <m/>
  </r>
  <r>
    <x v="2"/>
    <x v="0"/>
    <s v="SOCOM"/>
    <x v="0"/>
    <s v="Procurement"/>
    <x v="3"/>
    <x v="4"/>
    <m/>
    <m/>
    <n v="5"/>
    <m/>
    <n v="76"/>
    <s v="H"/>
    <n v="0.39"/>
    <n v="29.64"/>
    <s v="DoD FY2026 Budget"/>
    <m/>
    <m/>
  </r>
  <r>
    <x v="2"/>
    <x v="1"/>
    <s v="USN"/>
    <x v="0"/>
    <s v="Procurement"/>
    <x v="3"/>
    <x v="4"/>
    <m/>
    <m/>
    <n v="0"/>
    <m/>
    <n v="395.4"/>
    <s v="H"/>
    <n v="0.39"/>
    <n v="154.20599999999999"/>
    <s v="DoD FY2026 Budget"/>
    <m/>
    <m/>
  </r>
  <r>
    <x v="2"/>
    <x v="1"/>
    <s v="USAF"/>
    <x v="0"/>
    <s v="Procurement"/>
    <x v="3"/>
    <x v="4"/>
    <m/>
    <m/>
    <n v="0"/>
    <m/>
    <n v="58.6"/>
    <s v="H"/>
    <n v="0.39"/>
    <n v="22.854000000000003"/>
    <s v="DoD FY2026 Budget"/>
    <m/>
    <m/>
  </r>
  <r>
    <x v="2"/>
    <x v="1"/>
    <s v="SOCOM"/>
    <x v="0"/>
    <s v="Procurement"/>
    <x v="3"/>
    <x v="4"/>
    <m/>
    <m/>
    <n v="0"/>
    <m/>
    <n v="40.799999999999997"/>
    <s v="H"/>
    <n v="0.39"/>
    <n v="15.911999999999999"/>
    <s v="DoD FY2026 Budget"/>
    <m/>
    <m/>
  </r>
  <r>
    <x v="2"/>
    <x v="2"/>
    <s v="USN"/>
    <x v="0"/>
    <s v="Procurement"/>
    <x v="3"/>
    <x v="4"/>
    <m/>
    <m/>
    <n v="0"/>
    <m/>
    <n v="453.3"/>
    <s v="H"/>
    <n v="0.39"/>
    <n v="176.78700000000001"/>
    <s v="DoD FY2026 Budget"/>
    <m/>
    <m/>
  </r>
  <r>
    <x v="2"/>
    <x v="2"/>
    <s v="USAF"/>
    <x v="0"/>
    <s v="Procurement"/>
    <x v="3"/>
    <x v="4"/>
    <m/>
    <m/>
    <n v="0"/>
    <m/>
    <n v="193.5"/>
    <s v="H"/>
    <n v="0.39"/>
    <n v="75.465000000000003"/>
    <s v="DoD FY2026 Budget"/>
    <m/>
    <m/>
  </r>
  <r>
    <x v="2"/>
    <x v="2"/>
    <s v="SOCOM"/>
    <x v="0"/>
    <s v="Procurement"/>
    <x v="3"/>
    <x v="4"/>
    <m/>
    <m/>
    <n v="0"/>
    <m/>
    <n v="19.7"/>
    <s v="H"/>
    <n v="0.39"/>
    <n v="7.6829999999999998"/>
    <s v="DoD FY2026 Budget"/>
    <m/>
    <m/>
  </r>
  <r>
    <x v="2"/>
    <x v="0"/>
    <s v="USN"/>
    <x v="0"/>
    <s v="Procurement"/>
    <x v="4"/>
    <x v="5"/>
    <m/>
    <m/>
    <n v="5"/>
    <m/>
    <n v="1028.8"/>
    <s v="H"/>
    <n v="0.15"/>
    <n v="154.32"/>
    <s v="DoD FY2026 Budget"/>
    <m/>
    <m/>
  </r>
  <r>
    <x v="2"/>
    <x v="0"/>
    <s v="USAF"/>
    <x v="0"/>
    <s v="Procurement"/>
    <x v="4"/>
    <x v="5"/>
    <m/>
    <m/>
    <n v="5"/>
    <m/>
    <n v="157"/>
    <s v="H"/>
    <n v="0.15"/>
    <n v="23.55"/>
    <s v="DoD FY2026 Budget"/>
    <m/>
    <m/>
  </r>
  <r>
    <x v="2"/>
    <x v="0"/>
    <s v="SOCOM"/>
    <x v="0"/>
    <s v="Procurement"/>
    <x v="4"/>
    <x v="5"/>
    <m/>
    <m/>
    <n v="5"/>
    <m/>
    <n v="76"/>
    <s v="H"/>
    <n v="0.15"/>
    <n v="11.4"/>
    <s v="DoD FY2026 Budget"/>
    <m/>
    <m/>
  </r>
  <r>
    <x v="2"/>
    <x v="1"/>
    <s v="USN"/>
    <x v="0"/>
    <s v="Procurement"/>
    <x v="4"/>
    <x v="5"/>
    <m/>
    <m/>
    <n v="0"/>
    <m/>
    <n v="395.4"/>
    <s v="H"/>
    <n v="0.15"/>
    <n v="59.309999999999995"/>
    <s v="DoD FY2026 Budget"/>
    <m/>
    <m/>
  </r>
  <r>
    <x v="2"/>
    <x v="1"/>
    <s v="USAF"/>
    <x v="0"/>
    <s v="Procurement"/>
    <x v="4"/>
    <x v="5"/>
    <m/>
    <m/>
    <n v="0"/>
    <m/>
    <n v="58.6"/>
    <s v="H"/>
    <n v="0.15"/>
    <n v="8.7899999999999991"/>
    <s v="DoD FY2026 Budget"/>
    <m/>
    <m/>
  </r>
  <r>
    <x v="2"/>
    <x v="1"/>
    <s v="SOCOM"/>
    <x v="0"/>
    <s v="Procurement"/>
    <x v="4"/>
    <x v="5"/>
    <m/>
    <m/>
    <n v="0"/>
    <m/>
    <n v="40.799999999999997"/>
    <s v="H"/>
    <n v="0.15"/>
    <n v="6.1199999999999992"/>
    <s v="DoD FY2026 Budget"/>
    <m/>
    <m/>
  </r>
  <r>
    <x v="2"/>
    <x v="2"/>
    <s v="USN"/>
    <x v="0"/>
    <s v="Procurement"/>
    <x v="4"/>
    <x v="5"/>
    <m/>
    <m/>
    <n v="0"/>
    <m/>
    <n v="453.3"/>
    <s v="H"/>
    <n v="0.15"/>
    <n v="67.995000000000005"/>
    <s v="DoD FY2026 Budget"/>
    <m/>
    <m/>
  </r>
  <r>
    <x v="2"/>
    <x v="2"/>
    <s v="USAF"/>
    <x v="0"/>
    <s v="Procurement"/>
    <x v="4"/>
    <x v="5"/>
    <m/>
    <m/>
    <n v="0"/>
    <m/>
    <n v="193.5"/>
    <s v="H"/>
    <n v="0.15"/>
    <n v="29.024999999999999"/>
    <s v="DoD FY2026 Budget"/>
    <m/>
    <m/>
  </r>
  <r>
    <x v="2"/>
    <x v="2"/>
    <s v="SOCOM"/>
    <x v="0"/>
    <s v="Procurement"/>
    <x v="4"/>
    <x v="5"/>
    <m/>
    <m/>
    <n v="0"/>
    <m/>
    <n v="19.7"/>
    <s v="H"/>
    <n v="0.15"/>
    <n v="2.9549999999999996"/>
    <s v="DoD FY2026 Budget"/>
    <m/>
    <m/>
  </r>
  <r>
    <x v="3"/>
    <x v="0"/>
    <s v="Joint Service"/>
    <x v="0"/>
    <s v="RDT&amp;E"/>
    <x v="1"/>
    <x v="1"/>
    <m/>
    <m/>
    <m/>
    <m/>
    <n v="34.700000000000003"/>
    <s v="H"/>
    <n v="0.85"/>
    <n v="29.495000000000001"/>
    <s v="DoD FY2026 Budget"/>
    <m/>
    <m/>
  </r>
  <r>
    <x v="3"/>
    <x v="1"/>
    <s v="Joint Service"/>
    <x v="0"/>
    <s v="RDT&amp;E"/>
    <x v="1"/>
    <x v="1"/>
    <m/>
    <m/>
    <m/>
    <m/>
    <n v="79.599999999999994"/>
    <s v="H"/>
    <n v="0.85"/>
    <n v="67.66"/>
    <s v="DoD FY2026 Budget"/>
    <m/>
    <m/>
  </r>
  <r>
    <x v="3"/>
    <x v="2"/>
    <s v="Joint Service"/>
    <x v="0"/>
    <s v="RDT&amp;E"/>
    <x v="1"/>
    <x v="1"/>
    <m/>
    <m/>
    <m/>
    <m/>
    <n v="82.2"/>
    <s v="H"/>
    <n v="0.85"/>
    <n v="69.87"/>
    <s v="DoD FY2026 Budget"/>
    <m/>
    <m/>
  </r>
  <r>
    <x v="3"/>
    <x v="0"/>
    <s v="Joint Service"/>
    <x v="0"/>
    <s v="RDT&amp;E"/>
    <x v="4"/>
    <x v="5"/>
    <m/>
    <m/>
    <m/>
    <m/>
    <n v="34.700000000000003"/>
    <s v="H"/>
    <n v="0.1"/>
    <n v="3.4700000000000006"/>
    <s v="DoD FY2026 Budget"/>
    <m/>
    <m/>
  </r>
  <r>
    <x v="3"/>
    <x v="1"/>
    <s v="Joint Service"/>
    <x v="0"/>
    <s v="RDT&amp;E"/>
    <x v="4"/>
    <x v="5"/>
    <m/>
    <m/>
    <m/>
    <m/>
    <n v="79.599999999999994"/>
    <s v="H"/>
    <n v="0.1"/>
    <n v="7.96"/>
    <s v="DoD FY2026 Budget"/>
    <m/>
    <m/>
  </r>
  <r>
    <x v="3"/>
    <x v="2"/>
    <s v="Joint Service"/>
    <x v="0"/>
    <s v="RDT&amp;E"/>
    <x v="4"/>
    <x v="5"/>
    <m/>
    <m/>
    <m/>
    <m/>
    <n v="82.2"/>
    <s v="H"/>
    <n v="0.1"/>
    <n v="8.2200000000000006"/>
    <s v="DoD FY2026 Budget"/>
    <m/>
    <m/>
  </r>
  <r>
    <x v="3"/>
    <x v="0"/>
    <s v="Joint Service"/>
    <x v="0"/>
    <s v="RDT&amp;E"/>
    <x v="5"/>
    <x v="6"/>
    <m/>
    <m/>
    <m/>
    <m/>
    <n v="34.700000000000003"/>
    <s v="H"/>
    <n v="0.05"/>
    <n v="1.7350000000000003"/>
    <s v="DoD FY2026 Budget"/>
    <m/>
    <m/>
  </r>
  <r>
    <x v="3"/>
    <x v="1"/>
    <s v="Joint Service"/>
    <x v="0"/>
    <s v="RDT&amp;E"/>
    <x v="5"/>
    <x v="6"/>
    <m/>
    <m/>
    <m/>
    <m/>
    <n v="79.599999999999994"/>
    <s v="H"/>
    <n v="0.05"/>
    <n v="3.98"/>
    <s v="DoD FY2026 Budget"/>
    <m/>
    <m/>
  </r>
  <r>
    <x v="3"/>
    <x v="2"/>
    <s v="Joint Service"/>
    <x v="0"/>
    <s v="RDT&amp;E"/>
    <x v="5"/>
    <x v="6"/>
    <m/>
    <m/>
    <m/>
    <m/>
    <n v="82.2"/>
    <s v="H"/>
    <n v="0.05"/>
    <n v="4.1100000000000003"/>
    <s v="DoD FY2026 Budget"/>
    <m/>
    <m/>
  </r>
  <r>
    <x v="3"/>
    <x v="0"/>
    <s v="Joint Service"/>
    <x v="0"/>
    <s v="Procurement"/>
    <x v="1"/>
    <x v="1"/>
    <m/>
    <m/>
    <n v="11"/>
    <m/>
    <n v="1992.1"/>
    <s v="H"/>
    <n v="0.749"/>
    <n v="1492.0828999999999"/>
    <s v="DoD FY2026 Budget"/>
    <m/>
    <m/>
  </r>
  <r>
    <x v="3"/>
    <x v="1"/>
    <s v="Joint Service"/>
    <x v="0"/>
    <s v="Procurement"/>
    <x v="1"/>
    <x v="1"/>
    <m/>
    <m/>
    <n v="3"/>
    <m/>
    <n v="1311.9"/>
    <s v="H"/>
    <n v="0.749"/>
    <n v="982.61310000000003"/>
    <s v="DoD FY2026 Budget"/>
    <m/>
    <m/>
  </r>
  <r>
    <x v="3"/>
    <x v="2"/>
    <s v="Joint Service"/>
    <x v="0"/>
    <s v="Procurement"/>
    <x v="1"/>
    <x v="1"/>
    <m/>
    <m/>
    <n v="0"/>
    <m/>
    <n v="917"/>
    <s v="H"/>
    <n v="0.749"/>
    <n v="686.83299999999997"/>
    <s v="DoD FY2026 Budget"/>
    <m/>
    <m/>
  </r>
  <r>
    <x v="3"/>
    <x v="0"/>
    <s v="Joint Service"/>
    <x v="0"/>
    <s v="Procurement"/>
    <x v="4"/>
    <x v="5"/>
    <m/>
    <m/>
    <n v="11"/>
    <m/>
    <n v="1992.1"/>
    <s v="H"/>
    <n v="0.121"/>
    <n v="241.04409999999999"/>
    <s v="DoD FY2026 Budget"/>
    <m/>
    <m/>
  </r>
  <r>
    <x v="3"/>
    <x v="1"/>
    <s v="Joint Service"/>
    <x v="0"/>
    <s v="Procurement"/>
    <x v="4"/>
    <x v="5"/>
    <m/>
    <m/>
    <n v="3"/>
    <m/>
    <n v="1311.9"/>
    <s v="H"/>
    <n v="0.121"/>
    <n v="158.73990000000001"/>
    <s v="DoD FY2026 Budget"/>
    <m/>
    <m/>
  </r>
  <r>
    <x v="3"/>
    <x v="2"/>
    <s v="Joint Service"/>
    <x v="0"/>
    <s v="Procurement"/>
    <x v="4"/>
    <x v="5"/>
    <m/>
    <m/>
    <n v="0"/>
    <m/>
    <n v="917"/>
    <s v="H"/>
    <n v="0.121"/>
    <n v="110.95699999999999"/>
    <s v="DoD FY2026 Budget"/>
    <m/>
    <m/>
  </r>
  <r>
    <x v="3"/>
    <x v="0"/>
    <s v="Joint Service"/>
    <x v="0"/>
    <s v="Procurement"/>
    <x v="5"/>
    <x v="6"/>
    <m/>
    <m/>
    <n v="11"/>
    <m/>
    <n v="1992.1"/>
    <s v="H"/>
    <n v="4.7E-2"/>
    <n v="93.628699999999995"/>
    <s v="DoD FY2026 Budget"/>
    <m/>
    <m/>
  </r>
  <r>
    <x v="3"/>
    <x v="1"/>
    <s v="Joint Service"/>
    <x v="0"/>
    <s v="Procurement"/>
    <x v="5"/>
    <x v="6"/>
    <m/>
    <m/>
    <n v="3"/>
    <m/>
    <n v="1311.9"/>
    <s v="H"/>
    <n v="4.7E-2"/>
    <n v="61.659300000000002"/>
    <s v="DoD FY2026 Budget"/>
    <m/>
    <m/>
  </r>
  <r>
    <x v="3"/>
    <x v="2"/>
    <s v="Joint Service"/>
    <x v="0"/>
    <s v="Procurement"/>
    <x v="5"/>
    <x v="6"/>
    <m/>
    <m/>
    <n v="0"/>
    <m/>
    <n v="917"/>
    <s v="H"/>
    <n v="4.7E-2"/>
    <n v="43.098999999999997"/>
    <s v="DoD FY2026 Budget"/>
    <m/>
    <m/>
  </r>
  <r>
    <x v="3"/>
    <x v="0"/>
    <s v="Joint Service"/>
    <x v="0"/>
    <s v="Procurement"/>
    <x v="6"/>
    <x v="7"/>
    <m/>
    <m/>
    <n v="11"/>
    <m/>
    <n v="1992.1"/>
    <s v="H"/>
    <n v="3.6999999999999998E-2"/>
    <n v="73.707699999999988"/>
    <s v="DoD FY2026 Budget"/>
    <m/>
    <m/>
  </r>
  <r>
    <x v="3"/>
    <x v="1"/>
    <s v="Joint Service"/>
    <x v="0"/>
    <s v="Procurement"/>
    <x v="6"/>
    <x v="7"/>
    <m/>
    <m/>
    <n v="3"/>
    <m/>
    <n v="1311.9"/>
    <s v="H"/>
    <n v="3.6999999999999998E-2"/>
    <n v="48.540300000000002"/>
    <s v="DoD FY2026 Budget"/>
    <m/>
    <m/>
  </r>
  <r>
    <x v="3"/>
    <x v="2"/>
    <s v="Joint Service"/>
    <x v="0"/>
    <s v="Procurement"/>
    <x v="6"/>
    <x v="7"/>
    <m/>
    <m/>
    <n v="0"/>
    <m/>
    <n v="917"/>
    <s v="H"/>
    <n v="3.6999999999999998E-2"/>
    <n v="33.928999999999995"/>
    <s v="DoD FY2026 Budget"/>
    <m/>
    <m/>
  </r>
  <r>
    <x v="3"/>
    <x v="0"/>
    <s v="Joint Service"/>
    <x v="0"/>
    <s v="Procurement"/>
    <x v="7"/>
    <x v="8"/>
    <m/>
    <m/>
    <n v="11"/>
    <m/>
    <n v="1992.1"/>
    <s v="H"/>
    <n v="4.5999999999999999E-2"/>
    <n v="91.636599999999987"/>
    <s v="DoD FY2026 Budget"/>
    <m/>
    <m/>
  </r>
  <r>
    <x v="3"/>
    <x v="1"/>
    <s v="Joint Service"/>
    <x v="0"/>
    <s v="Procurement"/>
    <x v="7"/>
    <x v="8"/>
    <m/>
    <m/>
    <n v="3"/>
    <m/>
    <n v="1311.9"/>
    <s v="H"/>
    <n v="4.5999999999999999E-2"/>
    <n v="60.3474"/>
    <s v="DoD FY2026 Budget"/>
    <m/>
    <m/>
  </r>
  <r>
    <x v="3"/>
    <x v="2"/>
    <s v="Joint Service"/>
    <x v="0"/>
    <s v="Procurement"/>
    <x v="7"/>
    <x v="8"/>
    <m/>
    <m/>
    <n v="0"/>
    <m/>
    <n v="917"/>
    <s v="H"/>
    <n v="4.5999999999999999E-2"/>
    <n v="42.182000000000002"/>
    <s v="DoD FY2026 Budget"/>
    <m/>
    <m/>
  </r>
  <r>
    <x v="4"/>
    <x v="0"/>
    <s v="Joint Service"/>
    <x v="0"/>
    <s v="Procurement"/>
    <x v="8"/>
    <x v="9"/>
    <m/>
    <m/>
    <n v="0"/>
    <m/>
    <n v="6.6"/>
    <s v="H"/>
    <n v="0.82"/>
    <n v="5.411999999999999"/>
    <s v="DoD FY2026 Budget"/>
    <m/>
    <m/>
  </r>
  <r>
    <x v="4"/>
    <x v="1"/>
    <s v="Joint Service"/>
    <x v="0"/>
    <s v="Procurement"/>
    <x v="8"/>
    <x v="9"/>
    <m/>
    <m/>
    <n v="8"/>
    <m/>
    <n v="6.7"/>
    <s v="H"/>
    <n v="0.82"/>
    <n v="5.4939999999999998"/>
    <s v="DoD FY2026 Budget"/>
    <m/>
    <m/>
  </r>
  <r>
    <x v="4"/>
    <x v="2"/>
    <s v="Joint Service"/>
    <x v="0"/>
    <s v="Procurement"/>
    <x v="8"/>
    <x v="9"/>
    <m/>
    <m/>
    <n v="0"/>
    <m/>
    <n v="3.4"/>
    <s v="H"/>
    <n v="0.82"/>
    <n v="2.7879999999999998"/>
    <s v="DoD FY2026 Budget"/>
    <m/>
    <m/>
  </r>
  <r>
    <x v="4"/>
    <x v="0"/>
    <s v="Joint Service"/>
    <x v="0"/>
    <s v="Procurement"/>
    <x v="0"/>
    <x v="2"/>
    <m/>
    <m/>
    <n v="0"/>
    <m/>
    <n v="6.6"/>
    <s v="H"/>
    <n v="0.1"/>
    <n v="0.66"/>
    <s v="DoD FY2026 Budget"/>
    <m/>
    <m/>
  </r>
  <r>
    <x v="4"/>
    <x v="1"/>
    <s v="Joint Service"/>
    <x v="0"/>
    <s v="Procurement"/>
    <x v="0"/>
    <x v="2"/>
    <m/>
    <m/>
    <n v="8"/>
    <m/>
    <n v="6.7"/>
    <s v="H"/>
    <n v="0.1"/>
    <n v="0.67"/>
    <s v="DoD FY2026 Budget"/>
    <m/>
    <m/>
  </r>
  <r>
    <x v="4"/>
    <x v="2"/>
    <s v="Joint Service"/>
    <x v="0"/>
    <s v="Procurement"/>
    <x v="0"/>
    <x v="2"/>
    <m/>
    <m/>
    <n v="0"/>
    <m/>
    <n v="3.4"/>
    <s v="H"/>
    <n v="0.1"/>
    <n v="0.34"/>
    <s v="DoD FY2026 Budget"/>
    <m/>
    <m/>
  </r>
  <r>
    <x v="4"/>
    <x v="0"/>
    <s v="Joint Service"/>
    <x v="0"/>
    <s v="Procurement"/>
    <x v="9"/>
    <x v="10"/>
    <m/>
    <m/>
    <n v="0"/>
    <m/>
    <n v="6.6"/>
    <s v="H"/>
    <n v="0.05"/>
    <n v="0.33"/>
    <s v="DoD FY2026 Budget"/>
    <m/>
    <s v="Communications, and ISR?"/>
  </r>
  <r>
    <x v="4"/>
    <x v="1"/>
    <s v="Joint Service"/>
    <x v="0"/>
    <s v="Procurement"/>
    <x v="9"/>
    <x v="10"/>
    <m/>
    <m/>
    <n v="8"/>
    <m/>
    <n v="6.7"/>
    <s v="H"/>
    <n v="0.05"/>
    <n v="0.33500000000000002"/>
    <s v="DoD FY2026 Budget"/>
    <m/>
    <m/>
  </r>
  <r>
    <x v="4"/>
    <x v="2"/>
    <s v="Joint Service"/>
    <x v="0"/>
    <s v="Procurement"/>
    <x v="9"/>
    <x v="10"/>
    <m/>
    <m/>
    <n v="0"/>
    <m/>
    <n v="3.4"/>
    <s v="H"/>
    <n v="0.05"/>
    <n v="0.17"/>
    <s v="DoD FY2026 Budget"/>
    <m/>
    <m/>
  </r>
  <r>
    <x v="4"/>
    <x v="0"/>
    <s v="Joint Service"/>
    <x v="0"/>
    <s v="Procurement"/>
    <x v="6"/>
    <x v="7"/>
    <m/>
    <m/>
    <n v="0"/>
    <m/>
    <n v="6.6"/>
    <s v="H"/>
    <n v="0.03"/>
    <n v="0.19799999999999998"/>
    <s v="DoD FY2026 Budget"/>
    <m/>
    <m/>
  </r>
  <r>
    <x v="4"/>
    <x v="1"/>
    <s v="Joint Service"/>
    <x v="0"/>
    <s v="Procurement"/>
    <x v="6"/>
    <x v="7"/>
    <m/>
    <m/>
    <n v="8"/>
    <m/>
    <n v="6.7"/>
    <s v="H"/>
    <n v="0.03"/>
    <n v="0.20099999999999998"/>
    <s v="DoD FY2026 Budget"/>
    <m/>
    <m/>
  </r>
  <r>
    <x v="4"/>
    <x v="2"/>
    <s v="Joint Service"/>
    <x v="0"/>
    <s v="Procurement"/>
    <x v="6"/>
    <x v="7"/>
    <m/>
    <m/>
    <n v="0"/>
    <m/>
    <n v="3.4"/>
    <s v="H"/>
    <n v="0.03"/>
    <n v="0.10199999999999999"/>
    <s v="DoD FY2026 Budget"/>
    <m/>
    <m/>
  </r>
  <r>
    <x v="4"/>
    <x v="0"/>
    <s v="Joint Service"/>
    <x v="0"/>
    <s v="RDT&amp;E"/>
    <x v="8"/>
    <x v="9"/>
    <m/>
    <m/>
    <m/>
    <m/>
    <n v="96.6"/>
    <s v="H"/>
    <n v="0.9"/>
    <n v="86.94"/>
    <s v="DoD FY2026 Budget"/>
    <m/>
    <m/>
  </r>
  <r>
    <x v="4"/>
    <x v="1"/>
    <s v="Joint Service"/>
    <x v="0"/>
    <s v="RDT&amp;E"/>
    <x v="8"/>
    <x v="9"/>
    <m/>
    <m/>
    <m/>
    <m/>
    <n v="278"/>
    <s v="H"/>
    <n v="0.9"/>
    <n v="250.20000000000002"/>
    <s v="DoD FY2026 Budget"/>
    <m/>
    <m/>
  </r>
  <r>
    <x v="4"/>
    <x v="2"/>
    <s v="Joint Service"/>
    <x v="0"/>
    <s v="RDT&amp;E"/>
    <x v="8"/>
    <x v="9"/>
    <m/>
    <m/>
    <m/>
    <m/>
    <n v="12.4"/>
    <s v="H"/>
    <n v="0.9"/>
    <n v="11.16"/>
    <s v="DoD FY2026 Budget"/>
    <m/>
    <m/>
  </r>
  <r>
    <x v="4"/>
    <x v="0"/>
    <s v="Joint Service"/>
    <x v="0"/>
    <s v="RDT&amp;E"/>
    <x v="0"/>
    <x v="2"/>
    <m/>
    <m/>
    <m/>
    <m/>
    <n v="96.6"/>
    <s v="H"/>
    <n v="0.05"/>
    <n v="4.83"/>
    <s v="DoD FY2026 Budget"/>
    <m/>
    <m/>
  </r>
  <r>
    <x v="4"/>
    <x v="1"/>
    <s v="Joint Service"/>
    <x v="0"/>
    <s v="RDT&amp;E"/>
    <x v="0"/>
    <x v="2"/>
    <m/>
    <m/>
    <m/>
    <m/>
    <n v="278"/>
    <s v="H"/>
    <n v="0.05"/>
    <n v="13.9"/>
    <s v="DoD FY2026 Budget"/>
    <m/>
    <m/>
  </r>
  <r>
    <x v="4"/>
    <x v="2"/>
    <s v="Joint Service"/>
    <x v="0"/>
    <s v="RDT&amp;E"/>
    <x v="0"/>
    <x v="2"/>
    <m/>
    <m/>
    <m/>
    <m/>
    <n v="12.4"/>
    <s v="H"/>
    <n v="0.05"/>
    <n v="0.62000000000000011"/>
    <s v="DoD FY2026 Budget"/>
    <m/>
    <m/>
  </r>
  <r>
    <x v="4"/>
    <x v="0"/>
    <s v="Joint Service"/>
    <x v="0"/>
    <s v="RDT&amp;E"/>
    <x v="9"/>
    <x v="10"/>
    <m/>
    <m/>
    <m/>
    <m/>
    <n v="96.6"/>
    <s v="H"/>
    <n v="0.05"/>
    <n v="4.83"/>
    <s v="DoD FY2026 Budget"/>
    <m/>
    <m/>
  </r>
  <r>
    <x v="4"/>
    <x v="1"/>
    <s v="Joint Service"/>
    <x v="0"/>
    <s v="RDT&amp;E"/>
    <x v="9"/>
    <x v="10"/>
    <m/>
    <m/>
    <m/>
    <m/>
    <n v="278"/>
    <s v="H"/>
    <n v="0.05"/>
    <n v="13.9"/>
    <s v="DoD FY2026 Budget"/>
    <m/>
    <m/>
  </r>
  <r>
    <x v="4"/>
    <x v="2"/>
    <s v="Joint Service"/>
    <x v="0"/>
    <s v="RDT&amp;E"/>
    <x v="9"/>
    <x v="10"/>
    <m/>
    <m/>
    <m/>
    <m/>
    <n v="12.4"/>
    <s v="H"/>
    <n v="0.05"/>
    <n v="0.62000000000000011"/>
    <s v="DoD FY2026 Budget"/>
    <m/>
    <m/>
  </r>
  <r>
    <x v="5"/>
    <x v="0"/>
    <s v="USAF"/>
    <x v="0"/>
    <s v="RDT&amp;E"/>
    <x v="8"/>
    <x v="9"/>
    <m/>
    <m/>
    <m/>
    <m/>
    <n v="82.4"/>
    <m/>
    <n v="0.85"/>
    <n v="70.040000000000006"/>
    <s v="DoD FY2026 Budget"/>
    <m/>
    <m/>
  </r>
  <r>
    <x v="5"/>
    <x v="0"/>
    <s v="USN/USMC"/>
    <x v="0"/>
    <s v="RDT&amp;E"/>
    <x v="8"/>
    <x v="9"/>
    <m/>
    <m/>
    <m/>
    <m/>
    <n v="98.8"/>
    <m/>
    <n v="0.85"/>
    <n v="83.97999999999999"/>
    <s v="DoD FY2026 Budget"/>
    <m/>
    <m/>
  </r>
  <r>
    <x v="5"/>
    <x v="0"/>
    <s v="SOCOM"/>
    <x v="0"/>
    <s v="RDT&amp;E"/>
    <x v="8"/>
    <x v="9"/>
    <m/>
    <m/>
    <m/>
    <m/>
    <n v="90.8"/>
    <m/>
    <n v="0.85"/>
    <n v="77.179999999999993"/>
    <s v="DoD FY2026 Budget"/>
    <m/>
    <m/>
  </r>
  <r>
    <x v="5"/>
    <x v="0"/>
    <s v="USAF"/>
    <x v="0"/>
    <s v="RDT&amp;E"/>
    <x v="0"/>
    <x v="2"/>
    <m/>
    <m/>
    <m/>
    <m/>
    <n v="82.4"/>
    <m/>
    <n v="0.05"/>
    <n v="4.12"/>
    <s v="DoD FY2026 Budget"/>
    <m/>
    <m/>
  </r>
  <r>
    <x v="5"/>
    <x v="0"/>
    <s v="USN/USMC"/>
    <x v="0"/>
    <s v="RDT&amp;E"/>
    <x v="0"/>
    <x v="2"/>
    <m/>
    <m/>
    <m/>
    <m/>
    <n v="98.8"/>
    <m/>
    <n v="0.05"/>
    <n v="4.9400000000000004"/>
    <s v="DoD FY2026 Budget"/>
    <m/>
    <m/>
  </r>
  <r>
    <x v="5"/>
    <x v="0"/>
    <s v="SOCOM"/>
    <x v="0"/>
    <s v="RDT&amp;E"/>
    <x v="0"/>
    <x v="2"/>
    <m/>
    <m/>
    <m/>
    <m/>
    <n v="90.8"/>
    <m/>
    <n v="0.05"/>
    <n v="4.54"/>
    <s v="DoD FY2026 Budget"/>
    <m/>
    <m/>
  </r>
  <r>
    <x v="5"/>
    <x v="0"/>
    <s v="USAF"/>
    <x v="0"/>
    <s v="RDT&amp;E"/>
    <x v="9"/>
    <x v="10"/>
    <m/>
    <m/>
    <m/>
    <m/>
    <n v="82.4"/>
    <m/>
    <n v="0.05"/>
    <n v="4.12"/>
    <s v="DoD FY2026 Budget"/>
    <m/>
    <m/>
  </r>
  <r>
    <x v="5"/>
    <x v="0"/>
    <s v="USN/USMC"/>
    <x v="0"/>
    <s v="RDT&amp;E"/>
    <x v="9"/>
    <x v="10"/>
    <m/>
    <m/>
    <m/>
    <m/>
    <n v="98.8"/>
    <m/>
    <n v="0.05"/>
    <n v="4.9400000000000004"/>
    <s v="DoD FY2026 Budget"/>
    <m/>
    <m/>
  </r>
  <r>
    <x v="5"/>
    <x v="0"/>
    <s v="SOCOM"/>
    <x v="0"/>
    <s v="RDT&amp;E"/>
    <x v="9"/>
    <x v="10"/>
    <m/>
    <m/>
    <m/>
    <m/>
    <n v="90.8"/>
    <m/>
    <n v="0.05"/>
    <n v="4.54"/>
    <s v="DoD FY2026 Budget"/>
    <m/>
    <m/>
  </r>
  <r>
    <x v="5"/>
    <x v="0"/>
    <s v="USAF"/>
    <x v="0"/>
    <s v="RDT&amp;E"/>
    <x v="6"/>
    <x v="7"/>
    <m/>
    <m/>
    <m/>
    <m/>
    <n v="82.4"/>
    <m/>
    <n v="0.03"/>
    <n v="2.472"/>
    <s v="DoD FY2026 Budget"/>
    <m/>
    <m/>
  </r>
  <r>
    <x v="5"/>
    <x v="0"/>
    <s v="USN/USMC"/>
    <x v="0"/>
    <s v="RDT&amp;E"/>
    <x v="6"/>
    <x v="7"/>
    <m/>
    <m/>
    <m/>
    <m/>
    <n v="98.8"/>
    <m/>
    <n v="0.03"/>
    <n v="2.964"/>
    <s v="DoD FY2026 Budget"/>
    <m/>
    <m/>
  </r>
  <r>
    <x v="5"/>
    <x v="0"/>
    <s v="SOCOM"/>
    <x v="0"/>
    <s v="RDT&amp;E"/>
    <x v="6"/>
    <x v="7"/>
    <m/>
    <m/>
    <m/>
    <m/>
    <n v="90.8"/>
    <m/>
    <n v="0.03"/>
    <n v="2.7239999999999998"/>
    <s v="DoD FY2026 Budget"/>
    <m/>
    <m/>
  </r>
  <r>
    <x v="5"/>
    <x v="1"/>
    <s v="USAF"/>
    <x v="0"/>
    <s v="RDT&amp;E"/>
    <x v="8"/>
    <x v="9"/>
    <m/>
    <m/>
    <m/>
    <m/>
    <n v="7.1"/>
    <m/>
    <n v="0.85"/>
    <n v="6.0349999999999993"/>
    <s v="DoD FY2026 Budget"/>
    <m/>
    <m/>
  </r>
  <r>
    <x v="5"/>
    <x v="1"/>
    <s v="USN/USMC"/>
    <x v="0"/>
    <s v="RDT&amp;E"/>
    <x v="8"/>
    <x v="9"/>
    <m/>
    <m/>
    <m/>
    <m/>
    <n v="78.2"/>
    <m/>
    <n v="0.85"/>
    <n v="66.47"/>
    <s v="DoD FY2026 Budget"/>
    <m/>
    <m/>
  </r>
  <r>
    <x v="5"/>
    <x v="1"/>
    <s v="SOCOM"/>
    <x v="0"/>
    <s v="RDT&amp;E"/>
    <x v="8"/>
    <x v="9"/>
    <m/>
    <m/>
    <m/>
    <m/>
    <n v="34.9"/>
    <m/>
    <n v="0.85"/>
    <n v="29.664999999999999"/>
    <s v="DoD FY2026 Budget"/>
    <m/>
    <m/>
  </r>
  <r>
    <x v="5"/>
    <x v="1"/>
    <s v="USAF"/>
    <x v="0"/>
    <s v="RDT&amp;E"/>
    <x v="0"/>
    <x v="2"/>
    <m/>
    <m/>
    <m/>
    <m/>
    <n v="7.1"/>
    <m/>
    <n v="0.05"/>
    <n v="0.35499999999999998"/>
    <s v="DoD FY2026 Budget"/>
    <m/>
    <m/>
  </r>
  <r>
    <x v="5"/>
    <x v="1"/>
    <s v="USN/USMC"/>
    <x v="0"/>
    <s v="RDT&amp;E"/>
    <x v="0"/>
    <x v="2"/>
    <m/>
    <m/>
    <m/>
    <m/>
    <n v="78.2"/>
    <m/>
    <n v="0.05"/>
    <n v="3.91"/>
    <s v="DoD FY2026 Budget"/>
    <m/>
    <m/>
  </r>
  <r>
    <x v="5"/>
    <x v="1"/>
    <s v="SOCOM"/>
    <x v="0"/>
    <s v="RDT&amp;E"/>
    <x v="0"/>
    <x v="2"/>
    <m/>
    <m/>
    <m/>
    <m/>
    <n v="34.9"/>
    <m/>
    <n v="0.05"/>
    <n v="1.7450000000000001"/>
    <s v="DoD FY2026 Budget"/>
    <m/>
    <m/>
  </r>
  <r>
    <x v="5"/>
    <x v="1"/>
    <s v="USAF"/>
    <x v="0"/>
    <s v="RDT&amp;E"/>
    <x v="9"/>
    <x v="10"/>
    <m/>
    <m/>
    <m/>
    <m/>
    <n v="7.1"/>
    <m/>
    <n v="0.05"/>
    <n v="0.35499999999999998"/>
    <s v="DoD FY2026 Budget"/>
    <m/>
    <m/>
  </r>
  <r>
    <x v="5"/>
    <x v="1"/>
    <s v="USN/USMC"/>
    <x v="0"/>
    <s v="RDT&amp;E"/>
    <x v="9"/>
    <x v="10"/>
    <m/>
    <m/>
    <m/>
    <m/>
    <n v="78.2"/>
    <m/>
    <n v="0.05"/>
    <n v="3.91"/>
    <s v="DoD FY2026 Budget"/>
    <m/>
    <m/>
  </r>
  <r>
    <x v="5"/>
    <x v="1"/>
    <s v="SOCOM"/>
    <x v="0"/>
    <s v="RDT&amp;E"/>
    <x v="9"/>
    <x v="10"/>
    <m/>
    <m/>
    <m/>
    <m/>
    <n v="34.9"/>
    <m/>
    <n v="0.05"/>
    <n v="1.7450000000000001"/>
    <s v="DoD FY2026 Budget"/>
    <m/>
    <m/>
  </r>
  <r>
    <x v="5"/>
    <x v="1"/>
    <s v="USAF"/>
    <x v="0"/>
    <s v="RDT&amp;E"/>
    <x v="6"/>
    <x v="7"/>
    <m/>
    <m/>
    <m/>
    <m/>
    <n v="7.1"/>
    <m/>
    <n v="0.03"/>
    <n v="0.21299999999999999"/>
    <s v="DoD FY2026 Budget"/>
    <m/>
    <m/>
  </r>
  <r>
    <x v="5"/>
    <x v="1"/>
    <s v="USN/USMC"/>
    <x v="0"/>
    <s v="RDT&amp;E"/>
    <x v="6"/>
    <x v="7"/>
    <m/>
    <m/>
    <m/>
    <m/>
    <n v="78.2"/>
    <m/>
    <n v="0.03"/>
    <n v="2.3460000000000001"/>
    <s v="DoD FY2026 Budget"/>
    <m/>
    <m/>
  </r>
  <r>
    <x v="5"/>
    <x v="1"/>
    <s v="SOCOM"/>
    <x v="0"/>
    <s v="RDT&amp;E"/>
    <x v="6"/>
    <x v="7"/>
    <m/>
    <m/>
    <m/>
    <m/>
    <n v="34.9"/>
    <m/>
    <n v="0.03"/>
    <n v="1.0469999999999999"/>
    <s v="DoD FY2026 Budget"/>
    <m/>
    <m/>
  </r>
  <r>
    <x v="5"/>
    <x v="2"/>
    <s v="USAF"/>
    <x v="0"/>
    <s v="RDT&amp;E"/>
    <x v="0"/>
    <x v="2"/>
    <m/>
    <m/>
    <m/>
    <m/>
    <n v="26.7"/>
    <m/>
    <n v="0.85"/>
    <n v="22.695"/>
    <s v="DoD FY2026 Budget"/>
    <m/>
    <m/>
  </r>
  <r>
    <x v="5"/>
    <x v="2"/>
    <s v="USN/USMC"/>
    <x v="0"/>
    <s v="RDT&amp;E"/>
    <x v="0"/>
    <x v="2"/>
    <m/>
    <m/>
    <m/>
    <m/>
    <n v="28.4"/>
    <m/>
    <n v="0.85"/>
    <n v="24.139999999999997"/>
    <s v="DoD FY2026 Budget"/>
    <m/>
    <m/>
  </r>
  <r>
    <x v="5"/>
    <x v="2"/>
    <s v="SOCOM"/>
    <x v="0"/>
    <s v="RDT&amp;E"/>
    <x v="0"/>
    <x v="2"/>
    <m/>
    <m/>
    <m/>
    <m/>
    <n v="0"/>
    <m/>
    <n v="0.85"/>
    <n v="0"/>
    <s v="DoD FY2026 Budget"/>
    <m/>
    <m/>
  </r>
  <r>
    <x v="5"/>
    <x v="2"/>
    <s v="USAF"/>
    <x v="0"/>
    <s v="RDT&amp;E"/>
    <x v="9"/>
    <x v="10"/>
    <m/>
    <m/>
    <m/>
    <m/>
    <n v="26.7"/>
    <m/>
    <n v="0.05"/>
    <n v="1.335"/>
    <s v="DoD FY2026 Budget"/>
    <m/>
    <m/>
  </r>
  <r>
    <x v="5"/>
    <x v="2"/>
    <s v="USN/USMC"/>
    <x v="0"/>
    <s v="RDT&amp;E"/>
    <x v="9"/>
    <x v="10"/>
    <m/>
    <m/>
    <m/>
    <m/>
    <n v="28.4"/>
    <m/>
    <n v="0.05"/>
    <n v="1.42"/>
    <s v="DoD FY2026 Budget"/>
    <m/>
    <m/>
  </r>
  <r>
    <x v="5"/>
    <x v="2"/>
    <s v="SOCOM"/>
    <x v="0"/>
    <s v="RDT&amp;E"/>
    <x v="9"/>
    <x v="10"/>
    <m/>
    <m/>
    <m/>
    <m/>
    <n v="0"/>
    <m/>
    <n v="0.05"/>
    <n v="0"/>
    <s v="DoD FY2026 Budget"/>
    <m/>
    <m/>
  </r>
  <r>
    <x v="5"/>
    <x v="2"/>
    <s v="USAF"/>
    <x v="0"/>
    <s v="RDT&amp;E"/>
    <x v="6"/>
    <x v="7"/>
    <m/>
    <m/>
    <m/>
    <m/>
    <n v="26.7"/>
    <m/>
    <n v="0.05"/>
    <n v="1.335"/>
    <s v="DoD FY2026 Budget"/>
    <m/>
    <m/>
  </r>
  <r>
    <x v="5"/>
    <x v="2"/>
    <s v="USN/USMC"/>
    <x v="0"/>
    <s v="RDT&amp;E"/>
    <x v="6"/>
    <x v="7"/>
    <m/>
    <m/>
    <m/>
    <m/>
    <n v="28.4"/>
    <m/>
    <n v="0.05"/>
    <n v="1.42"/>
    <s v="DoD FY2026 Budget"/>
    <m/>
    <m/>
  </r>
  <r>
    <x v="5"/>
    <x v="2"/>
    <s v="SOCOM"/>
    <x v="0"/>
    <s v="RDT&amp;E"/>
    <x v="6"/>
    <x v="7"/>
    <m/>
    <m/>
    <m/>
    <m/>
    <n v="0"/>
    <m/>
    <n v="0.05"/>
    <n v="0"/>
    <s v="DoD FY2026 Budget"/>
    <m/>
    <m/>
  </r>
  <r>
    <x v="5"/>
    <x v="2"/>
    <s v="USAF"/>
    <x v="0"/>
    <s v="RDT&amp;E"/>
    <x v="0"/>
    <x v="2"/>
    <m/>
    <m/>
    <m/>
    <m/>
    <n v="26.7"/>
    <m/>
    <n v="0.03"/>
    <n v="0.80099999999999993"/>
    <s v="DoD FY2026 Budget"/>
    <m/>
    <m/>
  </r>
  <r>
    <x v="5"/>
    <x v="2"/>
    <s v="USN/USMC"/>
    <x v="0"/>
    <s v="RDT&amp;E"/>
    <x v="0"/>
    <x v="2"/>
    <m/>
    <m/>
    <m/>
    <m/>
    <n v="28.4"/>
    <m/>
    <n v="0.03"/>
    <n v="0.85199999999999998"/>
    <s v="DoD FY2026 Budget"/>
    <m/>
    <m/>
  </r>
  <r>
    <x v="5"/>
    <x v="2"/>
    <s v="SOCOM"/>
    <x v="0"/>
    <s v="RDT&amp;E"/>
    <x v="0"/>
    <x v="2"/>
    <m/>
    <m/>
    <m/>
    <m/>
    <n v="0"/>
    <m/>
    <n v="0.03"/>
    <n v="0"/>
    <s v="DoD FY2026 Budget"/>
    <m/>
    <m/>
  </r>
  <r>
    <x v="5"/>
    <x v="0"/>
    <s v="USAF"/>
    <x v="0"/>
    <s v="Procurement"/>
    <x v="8"/>
    <x v="9"/>
    <m/>
    <m/>
    <n v="0"/>
    <m/>
    <n v="107.6"/>
    <m/>
    <n v="0.78"/>
    <n v="83.927999999999997"/>
    <s v="DoD FY2026 Budget"/>
    <m/>
    <m/>
  </r>
  <r>
    <x v="5"/>
    <x v="0"/>
    <s v="USN/USMC"/>
    <x v="0"/>
    <s v="Procurement"/>
    <x v="8"/>
    <x v="9"/>
    <m/>
    <m/>
    <n v="5"/>
    <m/>
    <n v="179.1"/>
    <m/>
    <n v="0.78"/>
    <n v="139.69800000000001"/>
    <s v="DoD FY2026 Budget"/>
    <m/>
    <m/>
  </r>
  <r>
    <x v="5"/>
    <x v="0"/>
    <s v="SOCOM"/>
    <x v="0"/>
    <s v="Procurement"/>
    <x v="8"/>
    <x v="9"/>
    <m/>
    <m/>
    <n v="0"/>
    <m/>
    <n v="17.7"/>
    <m/>
    <n v="0.78"/>
    <n v="13.805999999999999"/>
    <s v="DoD FY2026 Budget"/>
    <m/>
    <m/>
  </r>
  <r>
    <x v="5"/>
    <x v="0"/>
    <s v="USAF"/>
    <x v="0"/>
    <s v="Procurement"/>
    <x v="0"/>
    <x v="2"/>
    <m/>
    <m/>
    <n v="0"/>
    <m/>
    <n v="107.6"/>
    <m/>
    <n v="0.09"/>
    <n v="9.6839999999999993"/>
    <s v="DoD FY2026 Budget"/>
    <m/>
    <m/>
  </r>
  <r>
    <x v="5"/>
    <x v="0"/>
    <s v="USN/USMC"/>
    <x v="0"/>
    <s v="Procurement"/>
    <x v="0"/>
    <x v="2"/>
    <m/>
    <m/>
    <n v="5"/>
    <m/>
    <n v="179.1"/>
    <m/>
    <n v="0.09"/>
    <n v="16.119"/>
    <s v="DoD FY2026 Budget"/>
    <m/>
    <m/>
  </r>
  <r>
    <x v="5"/>
    <x v="0"/>
    <s v="SOCOM"/>
    <x v="0"/>
    <s v="Procurement"/>
    <x v="0"/>
    <x v="2"/>
    <m/>
    <m/>
    <n v="0"/>
    <m/>
    <n v="17.7"/>
    <m/>
    <n v="0.09"/>
    <n v="1.593"/>
    <s v="DoD FY2026 Budget"/>
    <m/>
    <m/>
  </r>
  <r>
    <x v="5"/>
    <x v="0"/>
    <s v="USAF"/>
    <x v="0"/>
    <s v="Procurement"/>
    <x v="9"/>
    <x v="10"/>
    <m/>
    <m/>
    <n v="0"/>
    <m/>
    <n v="107.6"/>
    <m/>
    <n v="0.05"/>
    <n v="5.38"/>
    <s v="DoD FY2026 Budget"/>
    <m/>
    <m/>
  </r>
  <r>
    <x v="5"/>
    <x v="0"/>
    <s v="USN/USMC"/>
    <x v="0"/>
    <s v="Procurement"/>
    <x v="9"/>
    <x v="10"/>
    <m/>
    <m/>
    <n v="5"/>
    <m/>
    <n v="179.1"/>
    <m/>
    <n v="0.05"/>
    <n v="8.9550000000000001"/>
    <s v="DoD FY2026 Budget"/>
    <m/>
    <m/>
  </r>
  <r>
    <x v="5"/>
    <x v="0"/>
    <s v="SOCOM"/>
    <x v="0"/>
    <s v="Procurement"/>
    <x v="9"/>
    <x v="10"/>
    <m/>
    <m/>
    <n v="0"/>
    <m/>
    <n v="17.7"/>
    <m/>
    <n v="0.05"/>
    <n v="0.88500000000000001"/>
    <s v="DoD FY2026 Budget"/>
    <m/>
    <m/>
  </r>
  <r>
    <x v="5"/>
    <x v="0"/>
    <s v="USAF"/>
    <x v="0"/>
    <s v="Procurement"/>
    <x v="6"/>
    <x v="7"/>
    <m/>
    <m/>
    <n v="0"/>
    <m/>
    <n v="107.6"/>
    <m/>
    <n v="0.05"/>
    <n v="5.38"/>
    <s v="DoD FY2026 Budget"/>
    <m/>
    <m/>
  </r>
  <r>
    <x v="5"/>
    <x v="0"/>
    <s v="USN/USMC"/>
    <x v="0"/>
    <s v="Procurement"/>
    <x v="6"/>
    <x v="7"/>
    <m/>
    <m/>
    <n v="5"/>
    <m/>
    <n v="179.1"/>
    <m/>
    <n v="0.05"/>
    <n v="8.9550000000000001"/>
    <s v="DoD FY2026 Budget"/>
    <m/>
    <m/>
  </r>
  <r>
    <x v="5"/>
    <x v="0"/>
    <s v="SOCOM"/>
    <x v="0"/>
    <s v="Procurement"/>
    <x v="6"/>
    <x v="7"/>
    <m/>
    <m/>
    <n v="0"/>
    <m/>
    <n v="17.7"/>
    <m/>
    <n v="0.05"/>
    <n v="0.88500000000000001"/>
    <s v="DoD FY2026 Budget"/>
    <m/>
    <m/>
  </r>
  <r>
    <x v="5"/>
    <x v="0"/>
    <s v="USAF"/>
    <x v="0"/>
    <s v="Procurement"/>
    <x v="0"/>
    <x v="0"/>
    <m/>
    <m/>
    <n v="0"/>
    <m/>
    <n v="107.6"/>
    <m/>
    <n v="0.03"/>
    <n v="3.2279999999999998"/>
    <s v="DoD FY2026 Budget"/>
    <m/>
    <m/>
  </r>
  <r>
    <x v="5"/>
    <x v="0"/>
    <s v="USN/USMC"/>
    <x v="0"/>
    <s v="Procurement"/>
    <x v="0"/>
    <x v="0"/>
    <m/>
    <m/>
    <n v="5"/>
    <m/>
    <n v="179.1"/>
    <m/>
    <n v="0.03"/>
    <n v="5.3729999999999993"/>
    <s v="DoD FY2026 Budget"/>
    <m/>
    <m/>
  </r>
  <r>
    <x v="5"/>
    <x v="0"/>
    <s v="SOCOM"/>
    <x v="0"/>
    <s v="Procurement"/>
    <x v="0"/>
    <x v="0"/>
    <m/>
    <m/>
    <n v="0"/>
    <m/>
    <n v="17.7"/>
    <m/>
    <n v="0.03"/>
    <n v="0.53099999999999992"/>
    <s v="DoD FY2026 Budget"/>
    <m/>
    <m/>
  </r>
  <r>
    <x v="5"/>
    <x v="1"/>
    <s v="USAF"/>
    <x v="0"/>
    <s v="Procurement"/>
    <x v="8"/>
    <x v="9"/>
    <m/>
    <m/>
    <n v="0"/>
    <m/>
    <n v="12.4"/>
    <m/>
    <n v="0.78"/>
    <n v="9.6720000000000006"/>
    <s v="DoD FY2026 Budget"/>
    <m/>
    <m/>
  </r>
  <r>
    <x v="5"/>
    <x v="1"/>
    <s v="USN/USMC"/>
    <x v="0"/>
    <s v="Procurement"/>
    <x v="8"/>
    <x v="9"/>
    <m/>
    <m/>
    <n v="0"/>
    <m/>
    <n v="131.80000000000001"/>
    <m/>
    <n v="0.78"/>
    <n v="102.80400000000002"/>
    <s v="DoD FY2026 Budget"/>
    <m/>
    <m/>
  </r>
  <r>
    <x v="5"/>
    <x v="1"/>
    <s v="SOCOM"/>
    <x v="0"/>
    <s v="Procurement"/>
    <x v="8"/>
    <x v="9"/>
    <m/>
    <m/>
    <n v="0"/>
    <m/>
    <n v="13.5"/>
    <m/>
    <n v="0.78"/>
    <n v="10.530000000000001"/>
    <s v="DoD FY2026 Budget"/>
    <m/>
    <m/>
  </r>
  <r>
    <x v="5"/>
    <x v="1"/>
    <s v="USAF"/>
    <x v="0"/>
    <s v="Procurement"/>
    <x v="0"/>
    <x v="2"/>
    <m/>
    <m/>
    <n v="0"/>
    <m/>
    <n v="12.4"/>
    <m/>
    <n v="0.09"/>
    <n v="1.1159999999999999"/>
    <s v="DoD FY2026 Budget"/>
    <m/>
    <m/>
  </r>
  <r>
    <x v="5"/>
    <x v="1"/>
    <s v="USN/USMC"/>
    <x v="0"/>
    <s v="Procurement"/>
    <x v="0"/>
    <x v="2"/>
    <m/>
    <m/>
    <n v="0"/>
    <m/>
    <n v="131.80000000000001"/>
    <m/>
    <n v="0.09"/>
    <n v="11.862"/>
    <s v="DoD FY2026 Budget"/>
    <m/>
    <m/>
  </r>
  <r>
    <x v="5"/>
    <x v="1"/>
    <s v="SOCOM"/>
    <x v="0"/>
    <s v="Procurement"/>
    <x v="0"/>
    <x v="2"/>
    <m/>
    <m/>
    <n v="0"/>
    <m/>
    <n v="13.5"/>
    <m/>
    <n v="0.09"/>
    <n v="1.2149999999999999"/>
    <s v="DoD FY2026 Budget"/>
    <m/>
    <m/>
  </r>
  <r>
    <x v="5"/>
    <x v="1"/>
    <s v="USAF"/>
    <x v="0"/>
    <s v="Procurement"/>
    <x v="9"/>
    <x v="10"/>
    <m/>
    <m/>
    <n v="0"/>
    <m/>
    <n v="12.4"/>
    <m/>
    <n v="0.05"/>
    <n v="0.62000000000000011"/>
    <s v="DoD FY2026 Budget"/>
    <m/>
    <m/>
  </r>
  <r>
    <x v="5"/>
    <x v="1"/>
    <s v="USN/USMC"/>
    <x v="0"/>
    <s v="Procurement"/>
    <x v="9"/>
    <x v="10"/>
    <m/>
    <m/>
    <n v="0"/>
    <m/>
    <n v="131.80000000000001"/>
    <m/>
    <n v="0.05"/>
    <n v="6.5900000000000007"/>
    <s v="DoD FY2026 Budget"/>
    <m/>
    <m/>
  </r>
  <r>
    <x v="5"/>
    <x v="1"/>
    <s v="SOCOM"/>
    <x v="0"/>
    <s v="Procurement"/>
    <x v="9"/>
    <x v="10"/>
    <m/>
    <m/>
    <n v="0"/>
    <m/>
    <n v="13.5"/>
    <m/>
    <n v="0.05"/>
    <n v="0.67500000000000004"/>
    <s v="DoD FY2026 Budget"/>
    <m/>
    <m/>
  </r>
  <r>
    <x v="5"/>
    <x v="1"/>
    <s v="USAF"/>
    <x v="0"/>
    <s v="Procurement"/>
    <x v="6"/>
    <x v="7"/>
    <m/>
    <m/>
    <n v="0"/>
    <m/>
    <n v="12.4"/>
    <m/>
    <n v="0.05"/>
    <n v="0.62000000000000011"/>
    <s v="DoD FY2026 Budget"/>
    <m/>
    <m/>
  </r>
  <r>
    <x v="5"/>
    <x v="1"/>
    <s v="USN/USMC"/>
    <x v="0"/>
    <s v="Procurement"/>
    <x v="6"/>
    <x v="7"/>
    <m/>
    <m/>
    <n v="0"/>
    <m/>
    <n v="131.80000000000001"/>
    <m/>
    <n v="0.05"/>
    <n v="6.5900000000000007"/>
    <s v="DoD FY2026 Budget"/>
    <m/>
    <m/>
  </r>
  <r>
    <x v="5"/>
    <x v="1"/>
    <s v="SOCOM"/>
    <x v="0"/>
    <s v="Procurement"/>
    <x v="6"/>
    <x v="7"/>
    <m/>
    <m/>
    <n v="0"/>
    <m/>
    <n v="13.5"/>
    <m/>
    <n v="0.05"/>
    <n v="0.67500000000000004"/>
    <s v="DoD FY2026 Budget"/>
    <m/>
    <m/>
  </r>
  <r>
    <x v="5"/>
    <x v="1"/>
    <s v="USAF"/>
    <x v="0"/>
    <s v="Procurement"/>
    <x v="0"/>
    <x v="0"/>
    <m/>
    <m/>
    <n v="0"/>
    <m/>
    <n v="12.4"/>
    <m/>
    <n v="0.03"/>
    <n v="0.372"/>
    <s v="DoD FY2026 Budget"/>
    <m/>
    <m/>
  </r>
  <r>
    <x v="5"/>
    <x v="1"/>
    <s v="USN/USMC"/>
    <x v="0"/>
    <s v="Procurement"/>
    <x v="0"/>
    <x v="0"/>
    <m/>
    <m/>
    <n v="0"/>
    <m/>
    <n v="131.80000000000001"/>
    <m/>
    <n v="0.03"/>
    <n v="3.9540000000000002"/>
    <s v="DoD FY2026 Budget"/>
    <m/>
    <m/>
  </r>
  <r>
    <x v="5"/>
    <x v="1"/>
    <s v="SOCOM"/>
    <x v="0"/>
    <s v="Procurement"/>
    <x v="0"/>
    <x v="0"/>
    <m/>
    <m/>
    <n v="0"/>
    <m/>
    <n v="13.5"/>
    <m/>
    <n v="0.03"/>
    <n v="0.40499999999999997"/>
    <s v="DoD FY2026 Budget"/>
    <m/>
    <m/>
  </r>
  <r>
    <x v="5"/>
    <x v="2"/>
    <s v="USAF"/>
    <x v="0"/>
    <s v="Procurement"/>
    <x v="8"/>
    <x v="9"/>
    <m/>
    <m/>
    <n v="0"/>
    <m/>
    <n v="100.9"/>
    <m/>
    <n v="0.78"/>
    <n v="78.702000000000012"/>
    <s v="DoD FY2026 Budget"/>
    <m/>
    <m/>
  </r>
  <r>
    <x v="5"/>
    <x v="2"/>
    <s v="USN/USMC"/>
    <x v="0"/>
    <s v="Procurement"/>
    <x v="8"/>
    <x v="9"/>
    <m/>
    <m/>
    <n v="0"/>
    <m/>
    <n v="158.9"/>
    <m/>
    <n v="0.78"/>
    <n v="123.94200000000001"/>
    <s v="DoD FY2026 Budget"/>
    <m/>
    <m/>
  </r>
  <r>
    <x v="5"/>
    <x v="2"/>
    <s v="SOCOM"/>
    <x v="0"/>
    <s v="Procurement"/>
    <x v="8"/>
    <x v="9"/>
    <m/>
    <m/>
    <n v="0"/>
    <m/>
    <n v="24.9"/>
    <m/>
    <n v="0.78"/>
    <n v="19.422000000000001"/>
    <s v="DoD FY2026 Budget"/>
    <m/>
    <m/>
  </r>
  <r>
    <x v="5"/>
    <x v="2"/>
    <s v="USAF"/>
    <x v="0"/>
    <s v="Procurement"/>
    <x v="0"/>
    <x v="2"/>
    <m/>
    <m/>
    <n v="0"/>
    <m/>
    <n v="100.9"/>
    <m/>
    <n v="0.09"/>
    <n v="9.0809999999999995"/>
    <s v="DoD FY2026 Budget"/>
    <m/>
    <m/>
  </r>
  <r>
    <x v="5"/>
    <x v="2"/>
    <s v="USN/USMC"/>
    <x v="0"/>
    <s v="Procurement"/>
    <x v="0"/>
    <x v="2"/>
    <m/>
    <m/>
    <n v="0"/>
    <m/>
    <n v="158.9"/>
    <m/>
    <n v="0.09"/>
    <n v="14.301"/>
    <s v="DoD FY2026 Budget"/>
    <m/>
    <m/>
  </r>
  <r>
    <x v="5"/>
    <x v="2"/>
    <s v="SOCOM"/>
    <x v="0"/>
    <s v="Procurement"/>
    <x v="0"/>
    <x v="2"/>
    <m/>
    <m/>
    <n v="0"/>
    <m/>
    <n v="24.9"/>
    <m/>
    <n v="0.09"/>
    <n v="2.2409999999999997"/>
    <s v="DoD FY2026 Budget"/>
    <m/>
    <m/>
  </r>
  <r>
    <x v="5"/>
    <x v="2"/>
    <s v="USAF"/>
    <x v="0"/>
    <s v="Procurement"/>
    <x v="9"/>
    <x v="10"/>
    <m/>
    <m/>
    <n v="0"/>
    <m/>
    <n v="100.9"/>
    <m/>
    <n v="0.05"/>
    <n v="5.0450000000000008"/>
    <s v="DoD FY2026 Budget"/>
    <m/>
    <m/>
  </r>
  <r>
    <x v="5"/>
    <x v="2"/>
    <s v="USN/USMC"/>
    <x v="0"/>
    <s v="Procurement"/>
    <x v="9"/>
    <x v="10"/>
    <m/>
    <m/>
    <n v="0"/>
    <m/>
    <n v="158.9"/>
    <m/>
    <n v="0.05"/>
    <n v="7.9450000000000003"/>
    <s v="DoD FY2026 Budget"/>
    <m/>
    <m/>
  </r>
  <r>
    <x v="5"/>
    <x v="2"/>
    <s v="SOCOM"/>
    <x v="0"/>
    <s v="Procurement"/>
    <x v="9"/>
    <x v="10"/>
    <m/>
    <m/>
    <n v="0"/>
    <m/>
    <n v="24.9"/>
    <m/>
    <n v="0.05"/>
    <n v="1.2450000000000001"/>
    <s v="DoD FY2026 Budget"/>
    <m/>
    <m/>
  </r>
  <r>
    <x v="5"/>
    <x v="2"/>
    <s v="USAF"/>
    <x v="0"/>
    <s v="Procurement"/>
    <x v="6"/>
    <x v="7"/>
    <m/>
    <m/>
    <n v="0"/>
    <m/>
    <n v="100.9"/>
    <m/>
    <n v="0.05"/>
    <n v="5.0450000000000008"/>
    <s v="DoD FY2026 Budget"/>
    <m/>
    <m/>
  </r>
  <r>
    <x v="5"/>
    <x v="2"/>
    <s v="USN/USMC"/>
    <x v="0"/>
    <s v="Procurement"/>
    <x v="6"/>
    <x v="7"/>
    <m/>
    <m/>
    <n v="0"/>
    <m/>
    <n v="158.9"/>
    <m/>
    <n v="0.05"/>
    <n v="7.9450000000000003"/>
    <s v="DoD FY2026 Budget"/>
    <m/>
    <m/>
  </r>
  <r>
    <x v="5"/>
    <x v="2"/>
    <s v="SOCOM"/>
    <x v="0"/>
    <s v="Procurement"/>
    <x v="6"/>
    <x v="7"/>
    <m/>
    <m/>
    <n v="0"/>
    <m/>
    <n v="24.9"/>
    <m/>
    <n v="0.05"/>
    <n v="1.2450000000000001"/>
    <s v="DoD FY2026 Budget"/>
    <m/>
    <m/>
  </r>
  <r>
    <x v="5"/>
    <x v="2"/>
    <s v="USAF"/>
    <x v="0"/>
    <s v="Procurement"/>
    <x v="0"/>
    <x v="0"/>
    <m/>
    <m/>
    <n v="0"/>
    <m/>
    <n v="100.9"/>
    <m/>
    <n v="0.03"/>
    <n v="3.0270000000000001"/>
    <s v="DoD FY2026 Budget"/>
    <m/>
    <m/>
  </r>
  <r>
    <x v="5"/>
    <x v="2"/>
    <s v="USN/USMC"/>
    <x v="0"/>
    <s v="Procurement"/>
    <x v="0"/>
    <x v="0"/>
    <m/>
    <m/>
    <n v="0"/>
    <m/>
    <n v="158.9"/>
    <m/>
    <n v="0.03"/>
    <n v="4.7670000000000003"/>
    <s v="DoD FY2026 Budget"/>
    <m/>
    <m/>
  </r>
  <r>
    <x v="5"/>
    <x v="2"/>
    <s v="SOCOM"/>
    <x v="0"/>
    <s v="Procurement"/>
    <x v="0"/>
    <x v="0"/>
    <m/>
    <m/>
    <n v="0"/>
    <m/>
    <n v="24.9"/>
    <m/>
    <n v="0.03"/>
    <n v="0.74699999999999989"/>
    <s v="DoD FY2026 Budget"/>
    <m/>
    <m/>
  </r>
  <r>
    <x v="6"/>
    <x v="0"/>
    <s v="USAF"/>
    <x v="0"/>
    <s v="RDT&amp;E"/>
    <x v="6"/>
    <x v="9"/>
    <m/>
    <m/>
    <m/>
    <m/>
    <n v="2877.8"/>
    <s v="M"/>
    <n v="0.9"/>
    <n v="2590.0200000000004"/>
    <s v="DoD FY2026 Budget"/>
    <m/>
    <m/>
  </r>
  <r>
    <x v="6"/>
    <x v="0"/>
    <s v="USAF"/>
    <x v="0"/>
    <s v="RDT&amp;E"/>
    <x v="0"/>
    <x v="2"/>
    <m/>
    <m/>
    <m/>
    <m/>
    <n v="2877.8"/>
    <s v="M"/>
    <n v="7.0000000000000007E-2"/>
    <n v="201.44600000000003"/>
    <s v="DoD FY2026 Budget"/>
    <m/>
    <m/>
  </r>
  <r>
    <x v="6"/>
    <x v="0"/>
    <s v="USAF"/>
    <x v="0"/>
    <s v="RDT&amp;E"/>
    <x v="0"/>
    <x v="11"/>
    <m/>
    <m/>
    <m/>
    <m/>
    <n v="2877.8"/>
    <s v="M"/>
    <n v="0.03"/>
    <n v="86.334000000000003"/>
    <s v="DoD FY2026 Budget"/>
    <m/>
    <m/>
  </r>
  <r>
    <x v="6"/>
    <x v="0"/>
    <s v="USAF"/>
    <x v="0"/>
    <s v="Procurement"/>
    <x v="6"/>
    <x v="9"/>
    <m/>
    <m/>
    <n v="0"/>
    <m/>
    <n v="2270.6999999999998"/>
    <s v="M"/>
    <n v="0.85"/>
    <n v="1930.0949999999998"/>
    <s v="DoD FY2026 Budget"/>
    <m/>
    <m/>
  </r>
  <r>
    <x v="6"/>
    <x v="0"/>
    <s v="USAF"/>
    <x v="0"/>
    <s v="Procurement"/>
    <x v="0"/>
    <x v="2"/>
    <m/>
    <m/>
    <n v="0"/>
    <m/>
    <n v="2270.6999999999998"/>
    <s v="M"/>
    <n v="0.1"/>
    <n v="227.07"/>
    <s v="DoD FY2026 Budget"/>
    <m/>
    <m/>
  </r>
  <r>
    <x v="6"/>
    <x v="0"/>
    <s v="USAF"/>
    <x v="0"/>
    <s v="Procurement"/>
    <x v="0"/>
    <x v="11"/>
    <m/>
    <m/>
    <n v="0"/>
    <m/>
    <n v="2270.6999999999998"/>
    <s v="M"/>
    <n v="0.05"/>
    <n v="113.535"/>
    <s v="DoD FY2026 Budget"/>
    <m/>
    <m/>
  </r>
  <r>
    <x v="6"/>
    <x v="1"/>
    <s v="USAF"/>
    <x v="0"/>
    <s v="RDT&amp;E"/>
    <x v="6"/>
    <x v="9"/>
    <m/>
    <m/>
    <m/>
    <m/>
    <n v="2654.1"/>
    <s v="M"/>
    <n v="0.9"/>
    <n v="2388.69"/>
    <s v="DoD FY2026 Budget"/>
    <m/>
    <m/>
  </r>
  <r>
    <x v="6"/>
    <x v="1"/>
    <s v="USAF"/>
    <x v="0"/>
    <s v="RDT&amp;E"/>
    <x v="0"/>
    <x v="2"/>
    <m/>
    <m/>
    <m/>
    <m/>
    <n v="2654.1"/>
    <s v="M"/>
    <n v="7.0000000000000007E-2"/>
    <n v="185.78700000000001"/>
    <s v="DoD FY2026 Budget"/>
    <m/>
    <m/>
  </r>
  <r>
    <x v="6"/>
    <x v="1"/>
    <s v="USAF"/>
    <x v="0"/>
    <s v="RDT&amp;E"/>
    <x v="0"/>
    <x v="11"/>
    <m/>
    <m/>
    <m/>
    <m/>
    <n v="2654.1"/>
    <s v="M"/>
    <n v="0.03"/>
    <n v="79.62299999999999"/>
    <s v="DoD FY2026 Budget"/>
    <m/>
    <m/>
  </r>
  <r>
    <x v="6"/>
    <x v="1"/>
    <s v="USAF"/>
    <x v="0"/>
    <s v="Procurement"/>
    <x v="6"/>
    <x v="9"/>
    <m/>
    <m/>
    <n v="0"/>
    <m/>
    <n v="2600.5"/>
    <s v="M"/>
    <n v="0.85"/>
    <n v="2210.4249999999997"/>
    <s v="DoD FY2026 Budget"/>
    <m/>
    <m/>
  </r>
  <r>
    <x v="6"/>
    <x v="1"/>
    <s v="USAF"/>
    <x v="0"/>
    <s v="Procurement"/>
    <x v="0"/>
    <x v="2"/>
    <m/>
    <m/>
    <n v="0"/>
    <m/>
    <n v="2600.5"/>
    <s v="M"/>
    <n v="0.1"/>
    <n v="260.05"/>
    <s v="DoD FY2026 Budget"/>
    <m/>
    <m/>
  </r>
  <r>
    <x v="6"/>
    <x v="1"/>
    <s v="USAF"/>
    <x v="0"/>
    <s v="Procurement"/>
    <x v="0"/>
    <x v="11"/>
    <m/>
    <m/>
    <n v="0"/>
    <m/>
    <n v="2600.5"/>
    <s v="M"/>
    <n v="0.05"/>
    <n v="130.02500000000001"/>
    <s v="DoD FY2026 Budget"/>
    <m/>
    <m/>
  </r>
  <r>
    <x v="6"/>
    <x v="2"/>
    <s v="USAF"/>
    <x v="0"/>
    <s v="RDT&amp;E"/>
    <x v="6"/>
    <x v="9"/>
    <m/>
    <m/>
    <m/>
    <m/>
    <n v="4739.1000000000004"/>
    <s v="M"/>
    <n v="0.9"/>
    <n v="4265.1900000000005"/>
    <s v="DoD FY2026 Budget"/>
    <m/>
    <m/>
  </r>
  <r>
    <x v="6"/>
    <x v="2"/>
    <s v="USAF"/>
    <x v="0"/>
    <s v="RDT&amp;E"/>
    <x v="0"/>
    <x v="2"/>
    <m/>
    <m/>
    <m/>
    <m/>
    <n v="4739.1000000000004"/>
    <s v="M"/>
    <n v="7.0000000000000007E-2"/>
    <n v="331.73700000000008"/>
    <s v="DoD FY2026 Budget"/>
    <m/>
    <m/>
  </r>
  <r>
    <x v="6"/>
    <x v="2"/>
    <s v="USAF"/>
    <x v="0"/>
    <s v="RDT&amp;E"/>
    <x v="0"/>
    <x v="11"/>
    <m/>
    <m/>
    <m/>
    <m/>
    <n v="4739.1000000000004"/>
    <s v="M"/>
    <n v="0.03"/>
    <n v="142.173"/>
    <s v="DoD FY2026 Budget"/>
    <m/>
    <m/>
  </r>
  <r>
    <x v="6"/>
    <x v="2"/>
    <s v="USAF"/>
    <x v="0"/>
    <s v="Procurement"/>
    <x v="6"/>
    <x v="9"/>
    <m/>
    <m/>
    <n v="0"/>
    <m/>
    <n v="5551.2"/>
    <s v="M"/>
    <n v="0.85"/>
    <n v="4718.5199999999995"/>
    <s v="DoD FY2026 Budget"/>
    <m/>
    <m/>
  </r>
  <r>
    <x v="6"/>
    <x v="2"/>
    <s v="USAF"/>
    <x v="0"/>
    <s v="Procurement"/>
    <x v="0"/>
    <x v="2"/>
    <m/>
    <m/>
    <n v="0"/>
    <m/>
    <n v="5551.2"/>
    <s v="M"/>
    <n v="0.1"/>
    <n v="555.12"/>
    <s v="DoD FY2026 Budget"/>
    <m/>
    <m/>
  </r>
  <r>
    <x v="6"/>
    <x v="2"/>
    <s v="USAF"/>
    <x v="0"/>
    <s v="Procurement"/>
    <x v="0"/>
    <x v="11"/>
    <m/>
    <m/>
    <n v="0"/>
    <m/>
    <n v="5551.2"/>
    <s v="M"/>
    <n v="0.05"/>
    <n v="277.56"/>
    <s v="DoD FY2026 Budget"/>
    <m/>
    <m/>
  </r>
  <r>
    <x v="7"/>
    <x v="0"/>
    <s v="USAF"/>
    <x v="0"/>
    <s v="RDT&amp;E"/>
    <x v="3"/>
    <x v="4"/>
    <m/>
    <m/>
    <m/>
    <m/>
    <n v="1954.7"/>
    <s v="M"/>
    <n v="0.85"/>
    <n v="1661.4949999999999"/>
    <s v="DoD FY2026 Budget"/>
    <m/>
    <m/>
  </r>
  <r>
    <x v="7"/>
    <x v="0"/>
    <s v="USAF"/>
    <x v="0"/>
    <s v="RDT&amp;E"/>
    <x v="0"/>
    <x v="2"/>
    <m/>
    <m/>
    <m/>
    <m/>
    <n v="1954.7"/>
    <s v="M"/>
    <n v="0.1"/>
    <n v="195.47000000000003"/>
    <s v="DoD FY2026 Budget"/>
    <m/>
    <m/>
  </r>
  <r>
    <x v="7"/>
    <x v="0"/>
    <s v="USAF"/>
    <x v="0"/>
    <s v="RDT&amp;E"/>
    <x v="0"/>
    <x v="0"/>
    <m/>
    <m/>
    <m/>
    <m/>
    <n v="1954.7"/>
    <s v="M"/>
    <n v="0.05"/>
    <n v="97.735000000000014"/>
    <s v="DoD FY2026 Budget"/>
    <m/>
    <m/>
  </r>
  <r>
    <x v="7"/>
    <x v="1"/>
    <s v="USAF"/>
    <x v="0"/>
    <s v="RDT&amp;E"/>
    <x v="3"/>
    <x v="4"/>
    <m/>
    <m/>
    <m/>
    <m/>
    <n v="2424.1999999999998"/>
    <s v="M"/>
    <n v="0.85"/>
    <n v="2060.5699999999997"/>
    <s v="DoD FY2026 Budget"/>
    <m/>
    <m/>
  </r>
  <r>
    <x v="7"/>
    <x v="1"/>
    <s v="USAF"/>
    <x v="0"/>
    <s v="RDT&amp;E"/>
    <x v="0"/>
    <x v="2"/>
    <m/>
    <m/>
    <m/>
    <m/>
    <n v="2424.1999999999998"/>
    <s v="M"/>
    <n v="0.1"/>
    <n v="242.42"/>
    <s v="DoD FY2026 Budget"/>
    <m/>
    <m/>
  </r>
  <r>
    <x v="7"/>
    <x v="1"/>
    <s v="USAF"/>
    <x v="0"/>
    <s v="RDT&amp;E"/>
    <x v="0"/>
    <x v="0"/>
    <m/>
    <m/>
    <m/>
    <m/>
    <n v="2424.1999999999998"/>
    <s v="M"/>
    <n v="0.05"/>
    <n v="121.21"/>
    <s v="DoD FY2026 Budget"/>
    <m/>
    <m/>
  </r>
  <r>
    <x v="7"/>
    <x v="2"/>
    <s v="USAF"/>
    <x v="0"/>
    <s v="RDT&amp;E"/>
    <x v="3"/>
    <x v="4"/>
    <m/>
    <m/>
    <m/>
    <m/>
    <n v="3479.4"/>
    <s v="M"/>
    <n v="0.85"/>
    <n v="2957.49"/>
    <s v="DoD FY2026 Budget"/>
    <m/>
    <m/>
  </r>
  <r>
    <x v="7"/>
    <x v="2"/>
    <s v="USAF"/>
    <x v="0"/>
    <s v="RDT&amp;E"/>
    <x v="0"/>
    <x v="2"/>
    <m/>
    <m/>
    <m/>
    <m/>
    <n v="3479.4"/>
    <s v="M"/>
    <n v="0.1"/>
    <n v="347.94000000000005"/>
    <s v="DoD FY2026 Budget"/>
    <m/>
    <m/>
  </r>
  <r>
    <x v="7"/>
    <x v="2"/>
    <s v="USAF"/>
    <x v="0"/>
    <s v="RDT&amp;E"/>
    <x v="0"/>
    <x v="0"/>
    <m/>
    <m/>
    <m/>
    <m/>
    <n v="3479.4"/>
    <m/>
    <n v="0.05"/>
    <n v="173.97000000000003"/>
    <s v="DoD FY2026 Budget"/>
    <m/>
    <m/>
  </r>
  <r>
    <x v="8"/>
    <x v="0"/>
    <s v="US Army"/>
    <x v="0"/>
    <s v="RDT&amp;E"/>
    <x v="0"/>
    <x v="0"/>
    <m/>
    <m/>
    <m/>
    <m/>
    <n v="760.1"/>
    <m/>
    <n v="0.55000000000000004"/>
    <n v="418.05500000000006"/>
    <s v="DoD FY2026 Budget"/>
    <m/>
    <m/>
  </r>
  <r>
    <x v="8"/>
    <x v="0"/>
    <s v="US Army"/>
    <x v="0"/>
    <s v="RDT&amp;E"/>
    <x v="1"/>
    <x v="12"/>
    <m/>
    <m/>
    <m/>
    <m/>
    <n v="760.1"/>
    <m/>
    <n v="0.45"/>
    <n v="342.04500000000002"/>
    <s v="DoD FY2026 Budget"/>
    <m/>
    <m/>
  </r>
  <r>
    <x v="8"/>
    <x v="0"/>
    <s v="US Army"/>
    <x v="0"/>
    <s v="Procurement"/>
    <x v="0"/>
    <x v="0"/>
    <m/>
    <m/>
    <n v="0"/>
    <m/>
    <n v="418.6"/>
    <m/>
    <n v="0.6"/>
    <n v="251.16"/>
    <s v="DoD FY2026 Budget"/>
    <m/>
    <m/>
  </r>
  <r>
    <x v="8"/>
    <x v="0"/>
    <s v="US Army"/>
    <x v="0"/>
    <s v="Procurement"/>
    <x v="1"/>
    <x v="12"/>
    <m/>
    <m/>
    <n v="0"/>
    <m/>
    <n v="418.6"/>
    <m/>
    <n v="0.4"/>
    <n v="167.44000000000003"/>
    <s v="DoD FY2026 Budget"/>
    <m/>
    <m/>
  </r>
  <r>
    <x v="8"/>
    <x v="1"/>
    <s v="US Army"/>
    <x v="0"/>
    <s v="RDT&amp;E"/>
    <x v="0"/>
    <x v="0"/>
    <m/>
    <m/>
    <m/>
    <m/>
    <n v="337.5"/>
    <m/>
    <n v="0.55000000000000004"/>
    <n v="185.62500000000003"/>
    <s v="DoD FY2026 Budget"/>
    <m/>
    <m/>
  </r>
  <r>
    <x v="8"/>
    <x v="1"/>
    <s v="US Army"/>
    <x v="0"/>
    <s v="RDT&amp;E"/>
    <x v="1"/>
    <x v="12"/>
    <m/>
    <m/>
    <m/>
    <m/>
    <n v="337.5"/>
    <m/>
    <n v="0.45"/>
    <n v="151.875"/>
    <s v="DoD FY2026 Budget"/>
    <m/>
    <m/>
  </r>
  <r>
    <x v="8"/>
    <x v="1"/>
    <s v="US Army"/>
    <x v="0"/>
    <s v="Procurement"/>
    <x v="0"/>
    <x v="0"/>
    <m/>
    <m/>
    <n v="0"/>
    <m/>
    <n v="566.29999999999995"/>
    <m/>
    <n v="0.6"/>
    <n v="339.78"/>
    <s v="DoD FY2026 Budget"/>
    <m/>
    <m/>
  </r>
  <r>
    <x v="8"/>
    <x v="1"/>
    <s v="US Army"/>
    <x v="0"/>
    <s v="Procurement"/>
    <x v="1"/>
    <x v="12"/>
    <m/>
    <m/>
    <n v="0"/>
    <m/>
    <n v="566.29999999999995"/>
    <m/>
    <n v="0.4"/>
    <n v="226.51999999999998"/>
    <s v="DoD FY2026 Budget"/>
    <m/>
    <m/>
  </r>
  <r>
    <x v="8"/>
    <x v="2"/>
    <s v="US Army"/>
    <x v="0"/>
    <s v="RDT&amp;E"/>
    <x v="0"/>
    <x v="0"/>
    <m/>
    <m/>
    <m/>
    <m/>
    <n v="480.4"/>
    <m/>
    <n v="0.55000000000000004"/>
    <n v="264.22000000000003"/>
    <s v="DoD FY2026 Budget"/>
    <m/>
    <m/>
  </r>
  <r>
    <x v="8"/>
    <x v="2"/>
    <s v="US Army"/>
    <x v="0"/>
    <s v="RDT&amp;E"/>
    <x v="1"/>
    <x v="12"/>
    <m/>
    <m/>
    <m/>
    <m/>
    <n v="480.4"/>
    <m/>
    <n v="0.45"/>
    <n v="216.18"/>
    <s v="DoD FY2026 Budget"/>
    <m/>
    <m/>
  </r>
  <r>
    <x v="8"/>
    <x v="2"/>
    <s v="US Army"/>
    <x v="0"/>
    <s v="Procurement"/>
    <x v="0"/>
    <x v="0"/>
    <m/>
    <m/>
    <n v="0"/>
    <m/>
    <n v="2019.9"/>
    <m/>
    <n v="0.6"/>
    <n v="1211.94"/>
    <s v="DoD FY2026 Budget"/>
    <m/>
    <m/>
  </r>
  <r>
    <x v="8"/>
    <x v="2"/>
    <s v="US Army"/>
    <x v="0"/>
    <s v="Procurement"/>
    <x v="1"/>
    <x v="12"/>
    <m/>
    <m/>
    <n v="0"/>
    <m/>
    <n v="2019.9"/>
    <m/>
    <n v="0.4"/>
    <n v="807.96"/>
    <s v="DoD FY2026 Budget"/>
    <m/>
    <m/>
  </r>
  <r>
    <x v="9"/>
    <x v="0"/>
    <s v="USAF"/>
    <x v="0"/>
    <s v="RDT&amp;E"/>
    <x v="8"/>
    <x v="9"/>
    <m/>
    <m/>
    <m/>
    <m/>
    <n v="392"/>
    <s v="M"/>
    <n v="0.6"/>
    <n v="235.2"/>
    <s v="DoD FY2026 Budget"/>
    <m/>
    <m/>
  </r>
  <r>
    <x v="9"/>
    <x v="0"/>
    <s v="USAF"/>
    <x v="0"/>
    <s v="RDT&amp;E"/>
    <x v="10"/>
    <x v="10"/>
    <m/>
    <m/>
    <m/>
    <m/>
    <n v="392"/>
    <s v="M"/>
    <n v="0.4"/>
    <n v="156.80000000000001"/>
    <s v="DoD FY2026 Budget"/>
    <m/>
    <m/>
  </r>
  <r>
    <x v="9"/>
    <x v="1"/>
    <s v="USAF"/>
    <x v="0"/>
    <s v="RDT&amp;E"/>
    <x v="8"/>
    <x v="9"/>
    <m/>
    <m/>
    <m/>
    <m/>
    <n v="711.7"/>
    <s v="M"/>
    <n v="0.6"/>
    <n v="427.02000000000004"/>
    <s v="DoD FY2026 Budget"/>
    <m/>
    <m/>
  </r>
  <r>
    <x v="9"/>
    <x v="1"/>
    <s v="USAF"/>
    <x v="0"/>
    <s v="RDT&amp;E"/>
    <x v="10"/>
    <x v="10"/>
    <m/>
    <m/>
    <m/>
    <m/>
    <n v="711.7"/>
    <s v="M"/>
    <n v="0.4"/>
    <n v="284.68"/>
    <s v="DoD FY2026 Budget"/>
    <m/>
    <m/>
  </r>
  <r>
    <x v="9"/>
    <x v="2"/>
    <s v="USAF"/>
    <x v="0"/>
    <s v="RDT&amp;E"/>
    <x v="8"/>
    <x v="9"/>
    <m/>
    <m/>
    <m/>
    <m/>
    <n v="678"/>
    <s v="M"/>
    <n v="0.6"/>
    <n v="406.8"/>
    <s v="DoD FY2026 Budget"/>
    <m/>
    <m/>
  </r>
  <r>
    <x v="9"/>
    <x v="2"/>
    <s v="USAF"/>
    <x v="0"/>
    <s v="RDT&amp;E"/>
    <x v="10"/>
    <x v="10"/>
    <m/>
    <m/>
    <m/>
    <m/>
    <n v="678"/>
    <s v="M"/>
    <n v="0.4"/>
    <n v="271.2"/>
    <s v="DoD FY2026 Budget"/>
    <m/>
    <m/>
  </r>
  <r>
    <x v="9"/>
    <x v="2"/>
    <s v="USAF"/>
    <x v="0"/>
    <s v="Procurement"/>
    <x v="8"/>
    <x v="9"/>
    <m/>
    <m/>
    <n v="0"/>
    <m/>
    <n v="15"/>
    <s v="M"/>
    <n v="0.65"/>
    <n v="9.75"/>
    <s v="DoD FY2026 Budget"/>
    <m/>
    <m/>
  </r>
  <r>
    <x v="9"/>
    <x v="2"/>
    <s v="USAF"/>
    <x v="0"/>
    <s v="Procurement"/>
    <x v="10"/>
    <x v="10"/>
    <m/>
    <m/>
    <n v="0"/>
    <m/>
    <n v="15"/>
    <s v="M"/>
    <n v="0.35"/>
    <n v="5.25"/>
    <s v="DoD FY2026 Budget"/>
    <m/>
    <m/>
  </r>
  <r>
    <x v="10"/>
    <x v="0"/>
    <s v="USAF"/>
    <x v="0"/>
    <s v="RDT&amp;E"/>
    <x v="3"/>
    <x v="4"/>
    <m/>
    <m/>
    <m/>
    <m/>
    <n v="155.30000000000001"/>
    <m/>
    <n v="0.73"/>
    <n v="113.369"/>
    <s v="DoD FY2026 Budget"/>
    <m/>
    <m/>
  </r>
  <r>
    <x v="10"/>
    <x v="0"/>
    <s v="USAF"/>
    <x v="0"/>
    <s v="RDT&amp;E"/>
    <x v="0"/>
    <x v="11"/>
    <m/>
    <m/>
    <m/>
    <m/>
    <n v="155.30000000000001"/>
    <m/>
    <n v="0.27"/>
    <n v="41.931000000000004"/>
    <s v="DoD FY2026 Budget"/>
    <m/>
    <m/>
  </r>
  <r>
    <x v="10"/>
    <x v="1"/>
    <s v="USAF"/>
    <x v="0"/>
    <s v="RDT&amp;E"/>
    <x v="3"/>
    <x v="4"/>
    <m/>
    <m/>
    <m/>
    <m/>
    <n v="214.8"/>
    <m/>
    <n v="0.73"/>
    <n v="156.804"/>
    <s v="DoD FY2026 Budget"/>
    <m/>
    <m/>
  </r>
  <r>
    <x v="10"/>
    <x v="1"/>
    <s v="USAF"/>
    <x v="0"/>
    <s v="RDT&amp;E"/>
    <x v="0"/>
    <x v="11"/>
    <m/>
    <m/>
    <m/>
    <m/>
    <n v="214.8"/>
    <m/>
    <n v="0.27"/>
    <n v="57.996000000000009"/>
    <s v="DoD FY2026 Budget"/>
    <m/>
    <m/>
  </r>
  <r>
    <x v="10"/>
    <x v="2"/>
    <s v="USAF"/>
    <x v="0"/>
    <s v="RDT&amp;E"/>
    <x v="3"/>
    <x v="4"/>
    <m/>
    <m/>
    <m/>
    <m/>
    <n v="313.39999999999998"/>
    <m/>
    <n v="0.73"/>
    <n v="228.78199999999998"/>
    <s v="DoD FY2026 Budget"/>
    <m/>
    <m/>
  </r>
  <r>
    <x v="10"/>
    <x v="2"/>
    <s v="USAF"/>
    <x v="0"/>
    <s v="RDT&amp;E"/>
    <x v="0"/>
    <x v="11"/>
    <m/>
    <m/>
    <m/>
    <m/>
    <n v="313.39999999999998"/>
    <m/>
    <n v="0.27"/>
    <n v="84.617999999999995"/>
    <s v="DoD FY2026 Budget"/>
    <m/>
    <m/>
  </r>
  <r>
    <x v="10"/>
    <x v="0"/>
    <s v="USAF"/>
    <x v="0"/>
    <s v="Procurement"/>
    <x v="3"/>
    <x v="4"/>
    <m/>
    <m/>
    <m/>
    <m/>
    <n v="3051.5"/>
    <m/>
    <n v="0.69"/>
    <n v="2105.5349999999999"/>
    <s v="DoD FY2026 Budget"/>
    <m/>
    <m/>
  </r>
  <r>
    <x v="10"/>
    <x v="0"/>
    <s v="USAF"/>
    <x v="0"/>
    <s v="Procurement"/>
    <x v="0"/>
    <x v="11"/>
    <m/>
    <m/>
    <m/>
    <m/>
    <n v="3051.5"/>
    <m/>
    <n v="0.31"/>
    <n v="945.96500000000003"/>
    <s v="DoD FY2026 Budget"/>
    <m/>
    <m/>
  </r>
  <r>
    <x v="10"/>
    <x v="1"/>
    <s v="USAF"/>
    <x v="0"/>
    <s v="Procurement"/>
    <x v="3"/>
    <x v="4"/>
    <m/>
    <m/>
    <m/>
    <m/>
    <n v="2155.4"/>
    <m/>
    <n v="0.69"/>
    <n v="1487.2259999999999"/>
    <s v="DoD FY2026 Budget"/>
    <m/>
    <m/>
  </r>
  <r>
    <x v="10"/>
    <x v="1"/>
    <s v="USAF"/>
    <x v="0"/>
    <s v="Procurement"/>
    <x v="0"/>
    <x v="11"/>
    <m/>
    <m/>
    <m/>
    <m/>
    <n v="2155.4"/>
    <m/>
    <n v="0.31"/>
    <n v="668.17399999999998"/>
    <s v="DoD FY2026 Budget"/>
    <m/>
    <m/>
  </r>
  <r>
    <x v="10"/>
    <x v="2"/>
    <s v="USAF"/>
    <x v="0"/>
    <s v="Procurement"/>
    <x v="3"/>
    <x v="4"/>
    <m/>
    <m/>
    <m/>
    <m/>
    <n v="3486.7"/>
    <m/>
    <n v="0.69"/>
    <n v="2405.8229999999999"/>
    <s v="DoD FY2026 Budget"/>
    <m/>
    <m/>
  </r>
  <r>
    <x v="10"/>
    <x v="2"/>
    <s v="USAF"/>
    <x v="0"/>
    <s v="Procurement"/>
    <x v="0"/>
    <x v="11"/>
    <m/>
    <m/>
    <m/>
    <m/>
    <n v="3486.7"/>
    <m/>
    <n v="0.31"/>
    <n v="1080.877"/>
    <s v="DoD FY2026 Budget"/>
    <m/>
    <m/>
  </r>
  <r>
    <x v="11"/>
    <x v="0"/>
    <s v="USAF"/>
    <x v="0"/>
    <s v="RDT&amp;E"/>
    <x v="1"/>
    <x v="1"/>
    <m/>
    <m/>
    <m/>
    <m/>
    <n v="640.1"/>
    <m/>
    <n v="0.7"/>
    <n v="448.07"/>
    <s v="DoD FY2026 Budget"/>
    <m/>
    <m/>
  </r>
  <r>
    <x v="11"/>
    <x v="0"/>
    <s v="USAF"/>
    <x v="0"/>
    <s v="RDT&amp;E"/>
    <x v="0"/>
    <x v="2"/>
    <m/>
    <m/>
    <m/>
    <m/>
    <n v="640.1"/>
    <m/>
    <n v="0.3"/>
    <n v="192.03"/>
    <s v="DoD FY2026 Budget"/>
    <m/>
    <m/>
  </r>
  <r>
    <x v="11"/>
    <x v="1"/>
    <s v="USAF"/>
    <x v="0"/>
    <s v="RDT&amp;E"/>
    <x v="1"/>
    <x v="1"/>
    <m/>
    <m/>
    <m/>
    <m/>
    <n v="758.8"/>
    <m/>
    <n v="0.7"/>
    <n v="531.16"/>
    <s v="DoD FY2026 Budget"/>
    <m/>
    <m/>
  </r>
  <r>
    <x v="11"/>
    <x v="1"/>
    <s v="USAF"/>
    <x v="0"/>
    <s v="RDT&amp;E"/>
    <x v="0"/>
    <x v="2"/>
    <m/>
    <m/>
    <m/>
    <m/>
    <n v="758.8"/>
    <m/>
    <n v="0.3"/>
    <n v="227.64"/>
    <s v="DoD FY2026 Budget"/>
    <m/>
    <m/>
  </r>
  <r>
    <x v="11"/>
    <x v="2"/>
    <s v="USAF"/>
    <x v="0"/>
    <s v="RDT&amp;E"/>
    <x v="1"/>
    <x v="1"/>
    <m/>
    <m/>
    <m/>
    <m/>
    <n v="852.3"/>
    <m/>
    <n v="0.7"/>
    <n v="596.6099999999999"/>
    <s v="DoD FY2026 Budget"/>
    <m/>
    <m/>
  </r>
  <r>
    <x v="11"/>
    <x v="2"/>
    <s v="USAF"/>
    <x v="0"/>
    <s v="RDT&amp;E"/>
    <x v="0"/>
    <x v="2"/>
    <m/>
    <m/>
    <m/>
    <m/>
    <n v="852.3"/>
    <m/>
    <n v="0.3"/>
    <n v="255.68999999999997"/>
    <s v="DoD FY2026 Budget"/>
    <m/>
    <m/>
  </r>
  <r>
    <x v="11"/>
    <x v="0"/>
    <s v="USAF"/>
    <x v="0"/>
    <s v="Procurement"/>
    <x v="1"/>
    <x v="1"/>
    <m/>
    <m/>
    <n v="0"/>
    <m/>
    <n v="414.1"/>
    <m/>
    <n v="0.65"/>
    <n v="269.16500000000002"/>
    <s v="DoD FY2026 Budget"/>
    <m/>
    <m/>
  </r>
  <r>
    <x v="11"/>
    <x v="0"/>
    <s v="USAF"/>
    <x v="0"/>
    <s v="Procurement"/>
    <x v="0"/>
    <x v="2"/>
    <m/>
    <m/>
    <n v="0"/>
    <m/>
    <n v="414.1"/>
    <m/>
    <n v="0.35"/>
    <n v="144.935"/>
    <s v="DoD FY2026 Budget"/>
    <m/>
    <m/>
  </r>
  <r>
    <x v="11"/>
    <x v="1"/>
    <s v="USAF"/>
    <x v="0"/>
    <s v="Procurement"/>
    <x v="1"/>
    <x v="1"/>
    <m/>
    <m/>
    <n v="0"/>
    <m/>
    <n v="891.6"/>
    <m/>
    <n v="0.65"/>
    <n v="579.54000000000008"/>
    <s v="DoD FY2026 Budget"/>
    <m/>
    <m/>
  </r>
  <r>
    <x v="11"/>
    <x v="1"/>
    <s v="USAF"/>
    <x v="0"/>
    <s v="Procurement"/>
    <x v="0"/>
    <x v="2"/>
    <m/>
    <m/>
    <n v="0"/>
    <m/>
    <n v="891.6"/>
    <m/>
    <n v="0.35"/>
    <n v="312.06"/>
    <s v="DoD FY2026 Budget"/>
    <m/>
    <m/>
  </r>
  <r>
    <x v="11"/>
    <x v="2"/>
    <s v="USAF"/>
    <x v="0"/>
    <s v="Procurement"/>
    <x v="1"/>
    <x v="1"/>
    <m/>
    <m/>
    <n v="0"/>
    <m/>
    <n v="1161.8"/>
    <m/>
    <n v="0.65"/>
    <n v="755.17"/>
    <s v="DoD FY2026 Budget"/>
    <m/>
    <m/>
  </r>
  <r>
    <x v="11"/>
    <x v="2"/>
    <s v="USAF"/>
    <x v="0"/>
    <s v="Procurement"/>
    <x v="0"/>
    <x v="2"/>
    <m/>
    <m/>
    <n v="0"/>
    <m/>
    <n v="1161.8"/>
    <m/>
    <n v="0.35"/>
    <n v="406.62999999999994"/>
    <s v="DoD FY2026 Budget"/>
    <m/>
    <m/>
  </r>
  <r>
    <x v="12"/>
    <x v="0"/>
    <s v="USAF"/>
    <x v="0"/>
    <s v="RDT&amp;E"/>
    <x v="3"/>
    <x v="4"/>
    <m/>
    <m/>
    <m/>
    <m/>
    <n v="78.7"/>
    <m/>
    <n v="0.9"/>
    <n v="70.83"/>
    <m/>
    <m/>
    <m/>
  </r>
  <r>
    <x v="12"/>
    <x v="0"/>
    <s v="USAF"/>
    <x v="0"/>
    <s v="RDT&amp;E"/>
    <x v="0"/>
    <x v="11"/>
    <m/>
    <m/>
    <m/>
    <m/>
    <n v="78.7"/>
    <m/>
    <n v="0.1"/>
    <n v="7.870000000000001"/>
    <m/>
    <m/>
    <m/>
  </r>
  <r>
    <x v="12"/>
    <x v="1"/>
    <s v="USAF"/>
    <x v="0"/>
    <s v="RDT&amp;E"/>
    <x v="3"/>
    <x v="4"/>
    <m/>
    <m/>
    <m/>
    <m/>
    <n v="77.8"/>
    <m/>
    <n v="0.9"/>
    <n v="70.02"/>
    <m/>
    <m/>
    <m/>
  </r>
  <r>
    <x v="12"/>
    <x v="1"/>
    <s v="USAF"/>
    <x v="0"/>
    <s v="RDT&amp;E"/>
    <x v="0"/>
    <x v="11"/>
    <m/>
    <m/>
    <m/>
    <m/>
    <n v="77.8"/>
    <m/>
    <n v="0.1"/>
    <n v="7.78"/>
    <m/>
    <m/>
    <m/>
  </r>
  <r>
    <x v="12"/>
    <x v="2"/>
    <s v="USAF"/>
    <x v="0"/>
    <s v="RDT&amp;E"/>
    <x v="3"/>
    <x v="4"/>
    <m/>
    <m/>
    <m/>
    <m/>
    <n v="121.6"/>
    <m/>
    <n v="0.9"/>
    <n v="109.44"/>
    <m/>
    <m/>
    <m/>
  </r>
  <r>
    <x v="12"/>
    <x v="2"/>
    <s v="USAF"/>
    <x v="0"/>
    <s v="RDT&amp;E"/>
    <x v="0"/>
    <x v="11"/>
    <m/>
    <m/>
    <m/>
    <m/>
    <n v="121.6"/>
    <m/>
    <n v="0.1"/>
    <n v="12.16"/>
    <m/>
    <m/>
    <m/>
  </r>
  <r>
    <x v="12"/>
    <x v="0"/>
    <s v="USAF"/>
    <x v="0"/>
    <s v="Procurement"/>
    <x v="3"/>
    <x v="4"/>
    <m/>
    <m/>
    <n v="15"/>
    <m/>
    <n v="2943"/>
    <m/>
    <n v="0.85"/>
    <n v="2501.5499999999997"/>
    <m/>
    <m/>
    <m/>
  </r>
  <r>
    <x v="12"/>
    <x v="0"/>
    <s v="USAF"/>
    <x v="0"/>
    <s v="Procurement"/>
    <x v="0"/>
    <x v="11"/>
    <m/>
    <m/>
    <n v="15"/>
    <m/>
    <n v="2943"/>
    <m/>
    <n v="0.15"/>
    <n v="441.45"/>
    <m/>
    <m/>
    <m/>
  </r>
  <r>
    <x v="12"/>
    <x v="1"/>
    <s v="USAF"/>
    <x v="0"/>
    <s v="Procurement"/>
    <x v="3"/>
    <x v="4"/>
    <m/>
    <m/>
    <n v="15"/>
    <m/>
    <n v="2986.4"/>
    <m/>
    <n v="0.85"/>
    <n v="2538.44"/>
    <m/>
    <m/>
    <m/>
  </r>
  <r>
    <x v="12"/>
    <x v="1"/>
    <s v="USAF"/>
    <x v="0"/>
    <s v="Procurement"/>
    <x v="0"/>
    <x v="11"/>
    <m/>
    <m/>
    <n v="15"/>
    <m/>
    <n v="2986.4"/>
    <m/>
    <n v="0.15"/>
    <n v="447.96"/>
    <m/>
    <m/>
    <m/>
  </r>
  <r>
    <x v="12"/>
    <x v="2"/>
    <s v="USAF"/>
    <x v="0"/>
    <s v="Procurement"/>
    <x v="3"/>
    <x v="4"/>
    <m/>
    <m/>
    <n v="15"/>
    <m/>
    <n v="3143.1"/>
    <m/>
    <n v="0.85"/>
    <n v="2671.6349999999998"/>
    <m/>
    <m/>
    <m/>
  </r>
  <r>
    <x v="12"/>
    <x v="2"/>
    <s v="USAF"/>
    <x v="0"/>
    <s v="Procurement"/>
    <x v="0"/>
    <x v="11"/>
    <m/>
    <m/>
    <n v="15"/>
    <m/>
    <n v="3143.1"/>
    <m/>
    <n v="0.15"/>
    <n v="471.46499999999997"/>
    <m/>
    <m/>
    <m/>
  </r>
  <r>
    <x v="13"/>
    <x v="0"/>
    <s v="USAF"/>
    <x v="0"/>
    <s v="RDT&amp;E"/>
    <x v="6"/>
    <x v="9"/>
    <m/>
    <m/>
    <m/>
    <m/>
    <n v="975.6"/>
    <m/>
    <n v="0.6"/>
    <n v="585.36"/>
    <m/>
    <m/>
    <m/>
  </r>
  <r>
    <x v="13"/>
    <x v="0"/>
    <s v="USAF"/>
    <x v="0"/>
    <s v="RDT&amp;E"/>
    <x v="3"/>
    <x v="4"/>
    <m/>
    <m/>
    <m/>
    <m/>
    <n v="975.6"/>
    <m/>
    <n v="0.4"/>
    <n v="390.24"/>
    <m/>
    <m/>
    <m/>
  </r>
  <r>
    <x v="13"/>
    <x v="1"/>
    <s v="USAF"/>
    <x v="0"/>
    <s v="RDT&amp;E"/>
    <x v="6"/>
    <x v="9"/>
    <m/>
    <m/>
    <m/>
    <m/>
    <n v="1106.9000000000001"/>
    <m/>
    <n v="0.6"/>
    <n v="664.14"/>
    <m/>
    <m/>
    <m/>
  </r>
  <r>
    <x v="13"/>
    <x v="1"/>
    <s v="USAF"/>
    <x v="0"/>
    <s v="RDT&amp;E"/>
    <x v="3"/>
    <x v="4"/>
    <m/>
    <m/>
    <m/>
    <m/>
    <n v="1106.9000000000001"/>
    <m/>
    <n v="0.4"/>
    <n v="442.76000000000005"/>
    <m/>
    <m/>
    <m/>
  </r>
  <r>
    <x v="13"/>
    <x v="2"/>
    <s v="USAF"/>
    <x v="0"/>
    <s v="RDT&amp;E"/>
    <x v="6"/>
    <x v="9"/>
    <m/>
    <m/>
    <m/>
    <m/>
    <n v="1037.5"/>
    <m/>
    <n v="0.6"/>
    <n v="622.5"/>
    <m/>
    <m/>
    <m/>
  </r>
  <r>
    <x v="13"/>
    <x v="2"/>
    <s v="USAF"/>
    <x v="0"/>
    <s v="RDT&amp;E"/>
    <x v="3"/>
    <x v="4"/>
    <m/>
    <m/>
    <m/>
    <m/>
    <n v="1037.5"/>
    <m/>
    <n v="0.4"/>
    <n v="415"/>
    <m/>
    <m/>
    <m/>
  </r>
  <r>
    <x v="13"/>
    <x v="0"/>
    <s v="USAF"/>
    <x v="0"/>
    <s v="Procurement"/>
    <x v="6"/>
    <x v="9"/>
    <m/>
    <m/>
    <m/>
    <m/>
    <n v="174.2"/>
    <m/>
    <n v="0.5"/>
    <n v="87.1"/>
    <m/>
    <m/>
    <m/>
  </r>
  <r>
    <x v="13"/>
    <x v="0"/>
    <s v="USAF"/>
    <x v="0"/>
    <s v="Procurement"/>
    <x v="3"/>
    <x v="4"/>
    <m/>
    <m/>
    <m/>
    <m/>
    <n v="174.2"/>
    <m/>
    <n v="0.5"/>
    <n v="87.1"/>
    <m/>
    <m/>
    <m/>
  </r>
  <r>
    <x v="13"/>
    <x v="1"/>
    <s v="USAF"/>
    <x v="0"/>
    <s v="Procurement"/>
    <x v="6"/>
    <x v="9"/>
    <m/>
    <m/>
    <m/>
    <m/>
    <n v="208.1"/>
    <m/>
    <n v="0.5"/>
    <n v="104.05"/>
    <m/>
    <m/>
    <m/>
  </r>
  <r>
    <x v="13"/>
    <x v="1"/>
    <s v="USAF"/>
    <x v="0"/>
    <s v="Procurement"/>
    <x v="3"/>
    <x v="4"/>
    <m/>
    <m/>
    <m/>
    <m/>
    <n v="208.1"/>
    <m/>
    <n v="0.5"/>
    <n v="104.05"/>
    <m/>
    <m/>
    <m/>
  </r>
  <r>
    <x v="13"/>
    <x v="2"/>
    <s v="USAF"/>
    <x v="0"/>
    <s v="Procurement"/>
    <x v="6"/>
    <x v="9"/>
    <m/>
    <m/>
    <m/>
    <m/>
    <n v="437.5"/>
    <m/>
    <n v="0.5"/>
    <n v="218.75"/>
    <m/>
    <m/>
    <m/>
  </r>
  <r>
    <x v="13"/>
    <x v="2"/>
    <s v="USAF"/>
    <x v="0"/>
    <s v="Procurement"/>
    <x v="3"/>
    <x v="4"/>
    <m/>
    <m/>
    <m/>
    <m/>
    <n v="437.5"/>
    <m/>
    <n v="0.5"/>
    <n v="218.75"/>
    <m/>
    <m/>
    <m/>
  </r>
  <r>
    <x v="14"/>
    <x v="0"/>
    <s v="USMC"/>
    <x v="0"/>
    <s v="RDT&amp;E"/>
    <x v="1"/>
    <x v="13"/>
    <m/>
    <m/>
    <m/>
    <m/>
    <n v="154.1"/>
    <m/>
    <n v="0.9"/>
    <n v="138.69"/>
    <m/>
    <m/>
    <m/>
  </r>
  <r>
    <x v="14"/>
    <x v="0"/>
    <s v="USMC"/>
    <x v="0"/>
    <s v="RDT&amp;E"/>
    <x v="5"/>
    <x v="6"/>
    <m/>
    <m/>
    <m/>
    <m/>
    <n v="154.1"/>
    <m/>
    <n v="0.1"/>
    <n v="15.41"/>
    <m/>
    <m/>
    <m/>
  </r>
  <r>
    <x v="14"/>
    <x v="1"/>
    <s v="USMC"/>
    <x v="0"/>
    <s v="RDT&amp;E"/>
    <x v="1"/>
    <x v="13"/>
    <m/>
    <m/>
    <m/>
    <m/>
    <n v="71.400000000000006"/>
    <m/>
    <n v="0.9"/>
    <n v="64.260000000000005"/>
    <m/>
    <m/>
    <m/>
  </r>
  <r>
    <x v="14"/>
    <x v="1"/>
    <s v="USMC"/>
    <x v="0"/>
    <s v="RDT&amp;E"/>
    <x v="5"/>
    <x v="6"/>
    <m/>
    <m/>
    <m/>
    <m/>
    <n v="71.400000000000006"/>
    <m/>
    <n v="0.1"/>
    <n v="7.1400000000000006"/>
    <m/>
    <m/>
    <m/>
  </r>
  <r>
    <x v="14"/>
    <x v="2"/>
    <s v="USMC"/>
    <x v="0"/>
    <s v="RDT&amp;E"/>
    <x v="1"/>
    <x v="13"/>
    <m/>
    <m/>
    <m/>
    <m/>
    <n v="135.4"/>
    <m/>
    <n v="0.9"/>
    <n v="121.86000000000001"/>
    <m/>
    <m/>
    <m/>
  </r>
  <r>
    <x v="14"/>
    <x v="2"/>
    <s v="USMC"/>
    <x v="0"/>
    <s v="RDT&amp;E"/>
    <x v="5"/>
    <x v="6"/>
    <m/>
    <m/>
    <m/>
    <m/>
    <n v="135.4"/>
    <m/>
    <n v="0.1"/>
    <n v="13.540000000000001"/>
    <m/>
    <m/>
    <m/>
  </r>
  <r>
    <x v="14"/>
    <x v="0"/>
    <s v="USMC"/>
    <x v="0"/>
    <s v="Procurement"/>
    <x v="1"/>
    <x v="13"/>
    <m/>
    <m/>
    <n v="15"/>
    <m/>
    <n v="2352.1"/>
    <m/>
    <n v="0.85"/>
    <n v="1999.2849999999999"/>
    <m/>
    <m/>
    <m/>
  </r>
  <r>
    <x v="14"/>
    <x v="0"/>
    <s v="USMC"/>
    <x v="0"/>
    <s v="Procurement"/>
    <x v="5"/>
    <x v="6"/>
    <m/>
    <m/>
    <n v="15"/>
    <m/>
    <n v="2352.1"/>
    <m/>
    <n v="0.15"/>
    <n v="352.815"/>
    <m/>
    <m/>
    <m/>
  </r>
  <r>
    <x v="14"/>
    <x v="1"/>
    <s v="USMC"/>
    <x v="0"/>
    <s v="Procurement"/>
    <x v="1"/>
    <x v="13"/>
    <m/>
    <m/>
    <n v="20"/>
    <m/>
    <n v="2911.6"/>
    <m/>
    <n v="0.85"/>
    <n v="2474.8599999999997"/>
    <m/>
    <m/>
    <m/>
  </r>
  <r>
    <x v="14"/>
    <x v="1"/>
    <s v="USMC"/>
    <x v="0"/>
    <s v="Procurement"/>
    <x v="5"/>
    <x v="6"/>
    <m/>
    <m/>
    <n v="20"/>
    <m/>
    <n v="2911.6"/>
    <m/>
    <n v="0.15"/>
    <n v="436.73999999999995"/>
    <m/>
    <m/>
    <m/>
  </r>
  <r>
    <x v="14"/>
    <x v="2"/>
    <s v="USMC"/>
    <x v="0"/>
    <s v="Procurement"/>
    <x v="1"/>
    <x v="13"/>
    <m/>
    <m/>
    <n v="12"/>
    <m/>
    <n v="2342.1999999999998"/>
    <m/>
    <n v="0.85"/>
    <n v="1990.87"/>
    <m/>
    <m/>
    <m/>
  </r>
  <r>
    <x v="14"/>
    <x v="2"/>
    <s v="USMC"/>
    <x v="0"/>
    <s v="Procurement"/>
    <x v="5"/>
    <x v="6"/>
    <m/>
    <m/>
    <n v="12"/>
    <m/>
    <n v="2342.1999999999998"/>
    <m/>
    <n v="0.15"/>
    <n v="351.33"/>
    <m/>
    <m/>
    <m/>
  </r>
  <r>
    <x v="15"/>
    <x v="0"/>
    <s v="Joint Service"/>
    <x v="0"/>
    <s v="RDT&amp;E"/>
    <x v="2"/>
    <x v="3"/>
    <m/>
    <m/>
    <m/>
    <m/>
    <n v="1006"/>
    <m/>
    <n v="0.9"/>
    <n v="905.4"/>
    <m/>
    <m/>
    <m/>
  </r>
  <r>
    <x v="15"/>
    <x v="0"/>
    <s v="Joint Service"/>
    <x v="0"/>
    <s v="RDT&amp;E"/>
    <x v="0"/>
    <x v="2"/>
    <m/>
    <m/>
    <m/>
    <m/>
    <n v="1006"/>
    <m/>
    <n v="0.1"/>
    <n v="100.60000000000001"/>
    <m/>
    <m/>
    <m/>
  </r>
  <r>
    <x v="15"/>
    <x v="1"/>
    <s v="Joint Service"/>
    <x v="0"/>
    <s v="RDT&amp;E"/>
    <x v="2"/>
    <x v="3"/>
    <m/>
    <m/>
    <m/>
    <m/>
    <n v="1258.5999999999999"/>
    <m/>
    <n v="0.9"/>
    <n v="1132.74"/>
    <m/>
    <m/>
    <m/>
  </r>
  <r>
    <x v="15"/>
    <x v="1"/>
    <s v="Joint Service"/>
    <x v="0"/>
    <s v="RDT&amp;E"/>
    <x v="0"/>
    <x v="2"/>
    <m/>
    <m/>
    <m/>
    <m/>
    <n v="1258.5999999999999"/>
    <m/>
    <n v="0.1"/>
    <n v="125.86"/>
    <m/>
    <m/>
    <m/>
  </r>
  <r>
    <x v="15"/>
    <x v="2"/>
    <s v="Joint Service"/>
    <x v="0"/>
    <s v="RDT&amp;E"/>
    <x v="2"/>
    <x v="3"/>
    <m/>
    <m/>
    <m/>
    <m/>
    <n v="1248.5"/>
    <m/>
    <n v="0.9"/>
    <n v="1123.6500000000001"/>
    <m/>
    <m/>
    <m/>
  </r>
  <r>
    <x v="15"/>
    <x v="2"/>
    <s v="Joint Service"/>
    <x v="0"/>
    <s v="RDT&amp;E"/>
    <x v="0"/>
    <x v="2"/>
    <m/>
    <m/>
    <m/>
    <m/>
    <n v="1248.5"/>
    <m/>
    <n v="0.1"/>
    <n v="124.85000000000001"/>
    <m/>
    <m/>
    <m/>
  </r>
  <r>
    <x v="16"/>
    <x v="0"/>
    <s v="USN"/>
    <x v="0"/>
    <s v="RDT&amp;E"/>
    <x v="3"/>
    <x v="1"/>
    <m/>
    <m/>
    <m/>
    <m/>
    <n v="275.3"/>
    <m/>
    <n v="0.8"/>
    <n v="220.24"/>
    <m/>
    <m/>
    <m/>
  </r>
  <r>
    <x v="16"/>
    <x v="0"/>
    <s v="USN"/>
    <x v="0"/>
    <s v="RDT&amp;E"/>
    <x v="1"/>
    <x v="7"/>
    <m/>
    <m/>
    <m/>
    <m/>
    <n v="275.3"/>
    <m/>
    <n v="0.2"/>
    <n v="55.06"/>
    <m/>
    <m/>
    <m/>
  </r>
  <r>
    <x v="16"/>
    <x v="1"/>
    <s v="USN"/>
    <x v="0"/>
    <s v="RDT&amp;E"/>
    <x v="3"/>
    <x v="1"/>
    <m/>
    <m/>
    <m/>
    <m/>
    <n v="255"/>
    <m/>
    <n v="0.8"/>
    <n v="204"/>
    <m/>
    <m/>
    <m/>
  </r>
  <r>
    <x v="16"/>
    <x v="1"/>
    <s v="USN"/>
    <x v="0"/>
    <s v="RDT&amp;E"/>
    <x v="1"/>
    <x v="7"/>
    <m/>
    <m/>
    <m/>
    <m/>
    <n v="255"/>
    <m/>
    <n v="0.2"/>
    <n v="51"/>
    <m/>
    <m/>
    <m/>
  </r>
  <r>
    <x v="16"/>
    <x v="2"/>
    <s v="USN"/>
    <x v="0"/>
    <s v="RDT&amp;E"/>
    <x v="3"/>
    <x v="1"/>
    <m/>
    <m/>
    <m/>
    <m/>
    <n v="305.5"/>
    <m/>
    <n v="0.8"/>
    <n v="244.4"/>
    <m/>
    <m/>
    <m/>
  </r>
  <r>
    <x v="16"/>
    <x v="2"/>
    <s v="USN"/>
    <x v="0"/>
    <s v="RDT&amp;E"/>
    <x v="1"/>
    <x v="7"/>
    <m/>
    <m/>
    <m/>
    <m/>
    <n v="305.5"/>
    <m/>
    <n v="0.2"/>
    <n v="61.1"/>
    <m/>
    <m/>
    <m/>
  </r>
  <r>
    <x v="16"/>
    <x v="0"/>
    <s v="USN"/>
    <x v="0"/>
    <s v="Procurement"/>
    <x v="3"/>
    <x v="1"/>
    <m/>
    <m/>
    <n v="0"/>
    <m/>
    <n v="286.29999999999995"/>
    <m/>
    <n v="0.75"/>
    <n v="214.72499999999997"/>
    <m/>
    <m/>
    <m/>
  </r>
  <r>
    <x v="16"/>
    <x v="0"/>
    <s v="USN"/>
    <x v="0"/>
    <s v="Procurement"/>
    <x v="1"/>
    <x v="7"/>
    <m/>
    <m/>
    <n v="0"/>
    <m/>
    <n v="286.29999999999995"/>
    <m/>
    <n v="0.25"/>
    <n v="71.574999999999989"/>
    <m/>
    <m/>
    <m/>
  </r>
  <r>
    <x v="16"/>
    <x v="1"/>
    <s v="USN"/>
    <x v="0"/>
    <s v="Procurement"/>
    <x v="3"/>
    <x v="1"/>
    <m/>
    <m/>
    <n v="0"/>
    <m/>
    <n v="170"/>
    <m/>
    <n v="0.75"/>
    <n v="127.5"/>
    <m/>
    <m/>
    <m/>
  </r>
  <r>
    <x v="16"/>
    <x v="1"/>
    <s v="USN"/>
    <x v="0"/>
    <s v="Procurement"/>
    <x v="1"/>
    <x v="7"/>
    <m/>
    <m/>
    <n v="0"/>
    <m/>
    <n v="170"/>
    <m/>
    <n v="0.25"/>
    <n v="42.5"/>
    <m/>
    <m/>
    <m/>
  </r>
  <r>
    <x v="16"/>
    <x v="2"/>
    <s v="USN"/>
    <x v="0"/>
    <s v="Procurement"/>
    <x v="3"/>
    <x v="1"/>
    <m/>
    <m/>
    <n v="3"/>
    <m/>
    <n v="836.5"/>
    <m/>
    <n v="0.75"/>
    <n v="627.375"/>
    <m/>
    <m/>
    <m/>
  </r>
  <r>
    <x v="16"/>
    <x v="2"/>
    <s v="USN"/>
    <x v="0"/>
    <s v="Procurement"/>
    <x v="1"/>
    <x v="7"/>
    <m/>
    <m/>
    <n v="3"/>
    <m/>
    <n v="836.5"/>
    <m/>
    <n v="0.25"/>
    <n v="209.125"/>
    <m/>
    <m/>
    <m/>
  </r>
  <r>
    <x v="17"/>
    <x v="0"/>
    <s v="USN"/>
    <x v="0"/>
    <s v="RDT&amp;E"/>
    <x v="3"/>
    <x v="1"/>
    <s v="Airframe"/>
    <m/>
    <m/>
    <m/>
    <n v="310.8"/>
    <m/>
    <n v="0.85"/>
    <n v="264.18"/>
    <m/>
    <m/>
    <m/>
  </r>
  <r>
    <x v="17"/>
    <x v="0"/>
    <s v="USN"/>
    <x v="0"/>
    <s v="RDT&amp;E"/>
    <x v="5"/>
    <x v="14"/>
    <s v="Engine"/>
    <m/>
    <m/>
    <m/>
    <n v="310.8"/>
    <m/>
    <n v="0.15"/>
    <n v="46.62"/>
    <m/>
    <m/>
    <m/>
  </r>
  <r>
    <x v="17"/>
    <x v="1"/>
    <s v="USN"/>
    <x v="0"/>
    <s v="RDT&amp;E"/>
    <x v="3"/>
    <x v="1"/>
    <s v="Airframe"/>
    <m/>
    <m/>
    <m/>
    <n v="356.9"/>
    <m/>
    <n v="0.85"/>
    <n v="303.36499999999995"/>
    <m/>
    <m/>
    <m/>
  </r>
  <r>
    <x v="17"/>
    <x v="1"/>
    <s v="USN"/>
    <x v="0"/>
    <s v="RDT&amp;E"/>
    <x v="5"/>
    <x v="14"/>
    <s v="Engine"/>
    <m/>
    <m/>
    <m/>
    <n v="356.9"/>
    <m/>
    <n v="0.15"/>
    <n v="53.534999999999997"/>
    <m/>
    <m/>
    <m/>
  </r>
  <r>
    <x v="17"/>
    <x v="2"/>
    <s v="USN"/>
    <x v="0"/>
    <s v="RDT&amp;E"/>
    <x v="3"/>
    <x v="1"/>
    <s v="Airframe"/>
    <m/>
    <m/>
    <m/>
    <n v="369.9"/>
    <m/>
    <n v="0.85"/>
    <n v="314.41499999999996"/>
    <m/>
    <m/>
    <m/>
  </r>
  <r>
    <x v="17"/>
    <x v="2"/>
    <s v="USN"/>
    <x v="0"/>
    <s v="RDT&amp;E"/>
    <x v="5"/>
    <x v="14"/>
    <s v="Engine"/>
    <m/>
    <m/>
    <m/>
    <n v="369.9"/>
    <m/>
    <n v="0.15"/>
    <n v="55.484999999999992"/>
    <m/>
    <m/>
    <m/>
  </r>
  <r>
    <x v="17"/>
    <x v="0"/>
    <s v="USN"/>
    <x v="0"/>
    <s v="Procurement"/>
    <x v="3"/>
    <x v="1"/>
    <s v="Airframe"/>
    <m/>
    <m/>
    <m/>
    <n v="1488.2"/>
    <m/>
    <n v="0.85"/>
    <n v="1264.97"/>
    <m/>
    <m/>
    <m/>
  </r>
  <r>
    <x v="17"/>
    <x v="0"/>
    <s v="USN"/>
    <x v="0"/>
    <s v="Procurement"/>
    <x v="5"/>
    <x v="14"/>
    <s v="Engine"/>
    <m/>
    <m/>
    <m/>
    <n v="1488.2"/>
    <m/>
    <n v="0.15"/>
    <n v="223.23"/>
    <m/>
    <m/>
    <m/>
  </r>
  <r>
    <x v="17"/>
    <x v="1"/>
    <s v="USN"/>
    <x v="0"/>
    <s v="Procurement"/>
    <x v="3"/>
    <x v="1"/>
    <s v="Airframe"/>
    <m/>
    <m/>
    <m/>
    <n v="1303.2"/>
    <m/>
    <n v="0.85"/>
    <n v="1107.72"/>
    <m/>
    <m/>
    <m/>
  </r>
  <r>
    <x v="17"/>
    <x v="1"/>
    <s v="USN"/>
    <x v="0"/>
    <s v="Procurement"/>
    <x v="5"/>
    <x v="14"/>
    <s v="Engine"/>
    <m/>
    <m/>
    <m/>
    <n v="1303.2"/>
    <m/>
    <n v="0.15"/>
    <n v="195.48"/>
    <m/>
    <m/>
    <m/>
  </r>
  <r>
    <x v="17"/>
    <x v="2"/>
    <s v="USN"/>
    <x v="0"/>
    <s v="Procurement"/>
    <x v="3"/>
    <x v="1"/>
    <s v="Airframe"/>
    <m/>
    <m/>
    <m/>
    <n v="1612.4"/>
    <m/>
    <n v="0.85"/>
    <n v="1370.54"/>
    <m/>
    <m/>
    <m/>
  </r>
  <r>
    <x v="17"/>
    <x v="2"/>
    <s v="USN"/>
    <x v="0"/>
    <s v="Procurement"/>
    <x v="5"/>
    <x v="14"/>
    <s v="Engine"/>
    <m/>
    <m/>
    <m/>
    <n v="1612.4"/>
    <m/>
    <n v="0.15"/>
    <n v="241.86"/>
    <m/>
    <m/>
    <m/>
  </r>
  <r>
    <x v="18"/>
    <x v="0"/>
    <s v="USN"/>
    <x v="0"/>
    <s v="RDT&amp;E"/>
    <x v="6"/>
    <x v="9"/>
    <m/>
    <m/>
    <m/>
    <m/>
    <n v="365.2"/>
    <m/>
    <n v="0.7"/>
    <n v="255.64"/>
    <m/>
    <m/>
    <m/>
  </r>
  <r>
    <x v="18"/>
    <x v="0"/>
    <s v="USN"/>
    <x v="0"/>
    <s v="RDT&amp;E"/>
    <x v="4"/>
    <x v="5"/>
    <m/>
    <m/>
    <m/>
    <m/>
    <n v="365.2"/>
    <m/>
    <n v="0.15"/>
    <n v="54.779999999999994"/>
    <m/>
    <m/>
    <m/>
  </r>
  <r>
    <x v="18"/>
    <x v="0"/>
    <s v="USN"/>
    <x v="0"/>
    <s v="RDT&amp;E"/>
    <x v="1"/>
    <x v="7"/>
    <m/>
    <m/>
    <m/>
    <m/>
    <n v="365.2"/>
    <m/>
    <n v="0.15"/>
    <n v="54.779999999999994"/>
    <m/>
    <m/>
    <m/>
  </r>
  <r>
    <x v="18"/>
    <x v="1"/>
    <s v="USN"/>
    <x v="0"/>
    <s v="RDT&amp;E"/>
    <x v="6"/>
    <x v="9"/>
    <m/>
    <m/>
    <m/>
    <m/>
    <n v="288.3"/>
    <m/>
    <n v="0.7"/>
    <n v="201.81"/>
    <m/>
    <m/>
    <m/>
  </r>
  <r>
    <x v="18"/>
    <x v="1"/>
    <s v="USN"/>
    <x v="0"/>
    <s v="RDT&amp;E"/>
    <x v="4"/>
    <x v="5"/>
    <m/>
    <m/>
    <m/>
    <m/>
    <n v="288.3"/>
    <m/>
    <n v="0.15"/>
    <n v="43.244999999999997"/>
    <m/>
    <m/>
    <m/>
  </r>
  <r>
    <x v="18"/>
    <x v="1"/>
    <s v="USN"/>
    <x v="0"/>
    <s v="RDT&amp;E"/>
    <x v="1"/>
    <x v="7"/>
    <m/>
    <m/>
    <m/>
    <m/>
    <n v="288.3"/>
    <m/>
    <n v="0.15"/>
    <n v="43.244999999999997"/>
    <m/>
    <m/>
    <m/>
  </r>
  <r>
    <x v="18"/>
    <x v="2"/>
    <s v="USN"/>
    <x v="0"/>
    <s v="RDT&amp;E"/>
    <x v="6"/>
    <x v="9"/>
    <m/>
    <m/>
    <m/>
    <m/>
    <n v="350.3"/>
    <m/>
    <n v="0.7"/>
    <n v="245.20999999999998"/>
    <m/>
    <m/>
    <m/>
  </r>
  <r>
    <x v="18"/>
    <x v="2"/>
    <s v="USN"/>
    <x v="0"/>
    <s v="RDT&amp;E"/>
    <x v="4"/>
    <x v="5"/>
    <m/>
    <m/>
    <m/>
    <m/>
    <n v="350.3"/>
    <m/>
    <n v="0.15"/>
    <n v="52.545000000000002"/>
    <m/>
    <m/>
    <m/>
  </r>
  <r>
    <x v="18"/>
    <x v="2"/>
    <s v="USN"/>
    <x v="0"/>
    <s v="RDT&amp;E"/>
    <x v="1"/>
    <x v="7"/>
    <m/>
    <m/>
    <m/>
    <m/>
    <n v="350.3"/>
    <m/>
    <n v="0.15"/>
    <n v="52.545000000000002"/>
    <m/>
    <m/>
    <m/>
  </r>
  <r>
    <x v="18"/>
    <x v="0"/>
    <s v="USN"/>
    <x v="0"/>
    <s v="Procurement"/>
    <x v="6"/>
    <x v="9"/>
    <m/>
    <m/>
    <n v="2"/>
    <m/>
    <n v="840.4"/>
    <m/>
    <n v="0.7"/>
    <n v="588.28"/>
    <m/>
    <m/>
    <m/>
  </r>
  <r>
    <x v="18"/>
    <x v="0"/>
    <s v="USN"/>
    <x v="0"/>
    <s v="Procurement"/>
    <x v="4"/>
    <x v="5"/>
    <m/>
    <m/>
    <n v="2"/>
    <m/>
    <n v="840.4"/>
    <m/>
    <n v="0.15"/>
    <n v="126.05999999999999"/>
    <m/>
    <m/>
    <m/>
  </r>
  <r>
    <x v="18"/>
    <x v="0"/>
    <s v="USN"/>
    <x v="0"/>
    <s v="Procurement"/>
    <x v="1"/>
    <x v="7"/>
    <m/>
    <m/>
    <n v="2"/>
    <m/>
    <n v="840.4"/>
    <m/>
    <n v="0.15"/>
    <n v="126.05999999999999"/>
    <m/>
    <m/>
    <m/>
  </r>
  <r>
    <x v="18"/>
    <x v="1"/>
    <s v="USN"/>
    <x v="0"/>
    <s v="Procurement"/>
    <x v="6"/>
    <x v="9"/>
    <m/>
    <m/>
    <n v="4"/>
    <m/>
    <n v="295.7"/>
    <m/>
    <n v="0.7"/>
    <n v="206.98999999999998"/>
    <m/>
    <m/>
    <m/>
  </r>
  <r>
    <x v="18"/>
    <x v="1"/>
    <s v="USN"/>
    <x v="0"/>
    <s v="Procurement"/>
    <x v="4"/>
    <x v="5"/>
    <m/>
    <m/>
    <n v="4"/>
    <m/>
    <n v="295.7"/>
    <m/>
    <n v="0.15"/>
    <n v="44.354999999999997"/>
    <m/>
    <m/>
    <m/>
  </r>
  <r>
    <x v="18"/>
    <x v="1"/>
    <s v="USN"/>
    <x v="0"/>
    <s v="Procurement"/>
    <x v="1"/>
    <x v="7"/>
    <m/>
    <m/>
    <n v="4"/>
    <m/>
    <n v="295.7"/>
    <m/>
    <n v="0.15"/>
    <n v="44.354999999999997"/>
    <m/>
    <m/>
    <m/>
  </r>
  <r>
    <x v="18"/>
    <x v="2"/>
    <s v="USN"/>
    <x v="0"/>
    <s v="Procurement"/>
    <x v="6"/>
    <x v="9"/>
    <m/>
    <m/>
    <n v="4"/>
    <m/>
    <n v="1773.8"/>
    <m/>
    <n v="0.7"/>
    <n v="1241.6599999999999"/>
    <m/>
    <m/>
    <m/>
  </r>
  <r>
    <x v="18"/>
    <x v="2"/>
    <s v="USN"/>
    <x v="0"/>
    <s v="Procurement"/>
    <x v="4"/>
    <x v="5"/>
    <m/>
    <m/>
    <n v="4"/>
    <m/>
    <n v="1773.8"/>
    <m/>
    <n v="0.15"/>
    <n v="266.07"/>
    <m/>
    <m/>
    <m/>
  </r>
  <r>
    <x v="18"/>
    <x v="2"/>
    <s v="USN"/>
    <x v="0"/>
    <s v="Procurement"/>
    <x v="1"/>
    <x v="7"/>
    <m/>
    <m/>
    <n v="4"/>
    <m/>
    <n v="1773.8"/>
    <m/>
    <n v="0.15"/>
    <n v="266.07"/>
    <m/>
    <m/>
    <m/>
  </r>
  <r>
    <x v="19"/>
    <x v="0"/>
    <s v="Joint Service"/>
    <x v="0"/>
    <s v="Procurement"/>
    <x v="9"/>
    <x v="10"/>
    <m/>
    <m/>
    <n v="13189"/>
    <m/>
    <n v="721.4"/>
    <m/>
    <n v="0.35"/>
    <n v="252.48999999999998"/>
    <m/>
    <m/>
    <m/>
  </r>
  <r>
    <x v="19"/>
    <x v="0"/>
    <s v="Joint Service"/>
    <x v="0"/>
    <s v="Procurement"/>
    <x v="0"/>
    <x v="11"/>
    <m/>
    <m/>
    <n v="13189"/>
    <m/>
    <n v="721.4"/>
    <m/>
    <n v="0.25"/>
    <n v="180.35"/>
    <m/>
    <m/>
    <m/>
  </r>
  <r>
    <x v="19"/>
    <x v="0"/>
    <s v="Joint Service"/>
    <x v="0"/>
    <s v="Procurement"/>
    <x v="11"/>
    <x v="10"/>
    <m/>
    <m/>
    <n v="13189"/>
    <m/>
    <n v="721.4"/>
    <m/>
    <n v="0.25"/>
    <n v="180.35"/>
    <m/>
    <m/>
    <m/>
  </r>
  <r>
    <x v="19"/>
    <x v="0"/>
    <s v="Joint Service"/>
    <x v="0"/>
    <s v="Procurement"/>
    <x v="10"/>
    <x v="10"/>
    <m/>
    <m/>
    <n v="13189"/>
    <m/>
    <n v="721.4"/>
    <m/>
    <n v="0.15"/>
    <n v="108.21"/>
    <m/>
    <m/>
    <m/>
  </r>
  <r>
    <x v="19"/>
    <x v="1"/>
    <s v="Joint Service"/>
    <x v="0"/>
    <s v="Procurement"/>
    <x v="9"/>
    <x v="10"/>
    <m/>
    <m/>
    <n v="10206"/>
    <m/>
    <n v="649.20000000000005"/>
    <m/>
    <n v="0.35"/>
    <n v="227.22"/>
    <m/>
    <m/>
    <m/>
  </r>
  <r>
    <x v="19"/>
    <x v="1"/>
    <s v="Joint Service"/>
    <x v="0"/>
    <s v="Procurement"/>
    <x v="0"/>
    <x v="11"/>
    <m/>
    <m/>
    <n v="10206"/>
    <m/>
    <n v="649.20000000000005"/>
    <m/>
    <n v="0.25"/>
    <n v="162.30000000000001"/>
    <m/>
    <m/>
    <m/>
  </r>
  <r>
    <x v="19"/>
    <x v="1"/>
    <s v="Joint Service"/>
    <x v="0"/>
    <s v="Procurement"/>
    <x v="11"/>
    <x v="10"/>
    <m/>
    <m/>
    <n v="10206"/>
    <m/>
    <n v="649.20000000000005"/>
    <m/>
    <n v="0.25"/>
    <n v="162.30000000000001"/>
    <m/>
    <m/>
    <m/>
  </r>
  <r>
    <x v="19"/>
    <x v="1"/>
    <s v="Joint Service"/>
    <x v="0"/>
    <s v="Procurement"/>
    <x v="10"/>
    <x v="10"/>
    <m/>
    <m/>
    <n v="10206"/>
    <m/>
    <n v="649.20000000000005"/>
    <m/>
    <n v="0.15"/>
    <n v="97.38000000000001"/>
    <m/>
    <m/>
    <m/>
  </r>
  <r>
    <x v="19"/>
    <x v="2"/>
    <s v="Joint Service"/>
    <x v="0"/>
    <s v="Procurement"/>
    <x v="9"/>
    <x v="10"/>
    <m/>
    <m/>
    <n v="7966"/>
    <m/>
    <n v="478.4"/>
    <m/>
    <n v="0.35"/>
    <n v="167.43999999999997"/>
    <m/>
    <m/>
    <m/>
  </r>
  <r>
    <x v="19"/>
    <x v="2"/>
    <s v="Joint Service"/>
    <x v="0"/>
    <s v="Procurement"/>
    <x v="0"/>
    <x v="11"/>
    <m/>
    <m/>
    <n v="7966"/>
    <m/>
    <n v="478.4"/>
    <m/>
    <n v="0.25"/>
    <n v="119.6"/>
    <m/>
    <m/>
    <m/>
  </r>
  <r>
    <x v="19"/>
    <x v="2"/>
    <s v="Joint Service"/>
    <x v="0"/>
    <s v="Procurement"/>
    <x v="11"/>
    <x v="10"/>
    <m/>
    <m/>
    <n v="7966"/>
    <m/>
    <n v="478.4"/>
    <m/>
    <n v="0.25"/>
    <n v="119.6"/>
    <m/>
    <m/>
    <m/>
  </r>
  <r>
    <x v="19"/>
    <x v="2"/>
    <s v="Joint Service"/>
    <x v="0"/>
    <s v="Procurement"/>
    <x v="10"/>
    <x v="10"/>
    <m/>
    <m/>
    <n v="7966"/>
    <m/>
    <n v="478.4"/>
    <m/>
    <n v="0.15"/>
    <n v="71.759999999999991"/>
    <m/>
    <m/>
    <m/>
  </r>
  <r>
    <x v="20"/>
    <x v="0"/>
    <s v="US Army"/>
    <x v="0"/>
    <s v="RDT&amp;E"/>
    <x v="12"/>
    <x v="15"/>
    <m/>
    <m/>
    <m/>
    <m/>
    <n v="181"/>
    <m/>
    <n v="1"/>
    <n v="181"/>
    <m/>
    <m/>
    <m/>
  </r>
  <r>
    <x v="20"/>
    <x v="1"/>
    <s v="US Army"/>
    <x v="0"/>
    <s v="RDT&amp;E"/>
    <x v="12"/>
    <x v="15"/>
    <m/>
    <m/>
    <m/>
    <m/>
    <n v="251.7"/>
    <m/>
    <n v="1"/>
    <n v="251.7"/>
    <m/>
    <m/>
    <m/>
  </r>
  <r>
    <x v="20"/>
    <x v="2"/>
    <s v="US Army"/>
    <x v="0"/>
    <s v="RDT&amp;E"/>
    <x v="12"/>
    <x v="15"/>
    <m/>
    <m/>
    <m/>
    <m/>
    <n v="723.5"/>
    <m/>
    <n v="1"/>
    <n v="723.5"/>
    <m/>
    <m/>
    <m/>
  </r>
  <r>
    <x v="20"/>
    <x v="0"/>
    <s v="US Army"/>
    <x v="0"/>
    <s v="Procurement"/>
    <x v="12"/>
    <x v="15"/>
    <m/>
    <m/>
    <n v="100"/>
    <m/>
    <n v="1240.3"/>
    <m/>
    <n v="1"/>
    <n v="1240.3"/>
    <m/>
    <m/>
    <m/>
  </r>
  <r>
    <x v="20"/>
    <x v="1"/>
    <s v="US Army"/>
    <x v="0"/>
    <s v="Procurement"/>
    <x v="12"/>
    <x v="15"/>
    <m/>
    <m/>
    <n v="30"/>
    <m/>
    <n v="799.7"/>
    <m/>
    <n v="1"/>
    <n v="799.7"/>
    <m/>
    <m/>
    <m/>
  </r>
  <r>
    <x v="20"/>
    <x v="2"/>
    <s v="US Army"/>
    <x v="0"/>
    <s v="Procurement"/>
    <x v="12"/>
    <x v="15"/>
    <m/>
    <m/>
    <n v="30"/>
    <m/>
    <n v="740.5"/>
    <m/>
    <n v="1"/>
    <n v="740.5"/>
    <m/>
    <m/>
    <m/>
  </r>
  <r>
    <x v="21"/>
    <x v="0"/>
    <s v="US Army"/>
    <x v="0"/>
    <s v="RDT&amp;E"/>
    <x v="13"/>
    <x v="16"/>
    <m/>
    <m/>
    <m/>
    <m/>
    <n v="11.9"/>
    <m/>
    <n v="1"/>
    <n v="11.9"/>
    <m/>
    <m/>
    <m/>
  </r>
  <r>
    <x v="21"/>
    <x v="1"/>
    <s v="US Army"/>
    <x v="0"/>
    <s v="RDT&amp;E"/>
    <x v="13"/>
    <x v="16"/>
    <m/>
    <m/>
    <m/>
    <m/>
    <n v="12.3"/>
    <m/>
    <n v="1"/>
    <n v="12.3"/>
    <m/>
    <m/>
    <m/>
  </r>
  <r>
    <x v="21"/>
    <x v="2"/>
    <s v="US Army"/>
    <x v="0"/>
    <s v="RDT&amp;E"/>
    <x v="13"/>
    <x v="16"/>
    <m/>
    <m/>
    <m/>
    <m/>
    <n v="10.8"/>
    <m/>
    <n v="1"/>
    <n v="10.8"/>
    <m/>
    <m/>
    <m/>
  </r>
  <r>
    <x v="21"/>
    <x v="0"/>
    <s v="US Army"/>
    <x v="0"/>
    <s v="Procurement"/>
    <x v="13"/>
    <x v="16"/>
    <m/>
    <m/>
    <n v="57"/>
    <m/>
    <n v="592"/>
    <m/>
    <n v="1"/>
    <n v="592"/>
    <m/>
    <m/>
    <m/>
  </r>
  <r>
    <x v="21"/>
    <x v="1"/>
    <s v="US Army"/>
    <x v="0"/>
    <s v="Procurement"/>
    <x v="13"/>
    <x v="16"/>
    <m/>
    <m/>
    <n v="56"/>
    <m/>
    <n v="381.5"/>
    <m/>
    <n v="1"/>
    <n v="381.5"/>
    <m/>
    <m/>
    <m/>
  </r>
  <r>
    <x v="21"/>
    <x v="2"/>
    <s v="US Army"/>
    <x v="0"/>
    <s v="Procurement"/>
    <x v="13"/>
    <x v="16"/>
    <m/>
    <m/>
    <n v="86"/>
    <m/>
    <n v="554.6"/>
    <m/>
    <n v="1"/>
    <n v="554.6"/>
    <m/>
    <m/>
    <m/>
  </r>
  <r>
    <x v="22"/>
    <x v="0"/>
    <s v="US Army"/>
    <x v="0"/>
    <s v="RDT&amp;E"/>
    <x v="13"/>
    <x v="16"/>
    <m/>
    <m/>
    <m/>
    <m/>
    <n v="40.9"/>
    <m/>
    <n v="1"/>
    <n v="40.9"/>
    <m/>
    <m/>
    <m/>
  </r>
  <r>
    <x v="22"/>
    <x v="1"/>
    <s v="US Army"/>
    <x v="0"/>
    <s v="RDT&amp;E"/>
    <x v="13"/>
    <x v="16"/>
    <m/>
    <m/>
    <m/>
    <m/>
    <n v="42.5"/>
    <m/>
    <n v="1"/>
    <n v="42.5"/>
    <m/>
    <m/>
    <m/>
  </r>
  <r>
    <x v="22"/>
    <x v="2"/>
    <s v="US Army"/>
    <x v="0"/>
    <s v="RDT&amp;E"/>
    <x v="13"/>
    <x v="16"/>
    <m/>
    <m/>
    <m/>
    <m/>
    <n v="12.5"/>
    <m/>
    <n v="1"/>
    <n v="12.5"/>
    <m/>
    <m/>
    <m/>
  </r>
  <r>
    <x v="22"/>
    <x v="0"/>
    <s v="US Army"/>
    <x v="0"/>
    <s v="Procurement"/>
    <x v="13"/>
    <x v="16"/>
    <m/>
    <m/>
    <n v="57"/>
    <m/>
    <n v="742.3"/>
    <m/>
    <n v="1"/>
    <n v="742.3"/>
    <m/>
    <m/>
    <m/>
  </r>
  <r>
    <x v="22"/>
    <x v="1"/>
    <s v="US Army"/>
    <x v="0"/>
    <s v="Procurement"/>
    <x v="13"/>
    <x v="16"/>
    <m/>
    <m/>
    <n v="20"/>
    <m/>
    <n v="568.6"/>
    <m/>
    <n v="1"/>
    <n v="568.6"/>
    <m/>
    <m/>
    <m/>
  </r>
  <r>
    <x v="22"/>
    <x v="2"/>
    <s v="US Army"/>
    <x v="0"/>
    <s v="Procurement"/>
    <x v="13"/>
    <x v="16"/>
    <m/>
    <m/>
    <n v="10"/>
    <m/>
    <n v="250.2"/>
    <m/>
    <n v="1"/>
    <n v="250.2"/>
    <m/>
    <m/>
    <m/>
  </r>
  <r>
    <x v="23"/>
    <x v="0"/>
    <s v="US Army"/>
    <x v="0"/>
    <s v="RDT&amp;E"/>
    <x v="12"/>
    <x v="15"/>
    <m/>
    <m/>
    <m/>
    <m/>
    <n v="565"/>
    <m/>
    <n v="0.5"/>
    <n v="282.5"/>
    <m/>
    <m/>
    <m/>
  </r>
  <r>
    <x v="23"/>
    <x v="0"/>
    <s v="US Army"/>
    <x v="0"/>
    <s v="RDT&amp;E"/>
    <x v="14"/>
    <x v="15"/>
    <m/>
    <m/>
    <m/>
    <m/>
    <n v="565"/>
    <m/>
    <n v="0.5"/>
    <n v="282.5"/>
    <m/>
    <m/>
    <m/>
  </r>
  <r>
    <x v="23"/>
    <x v="1"/>
    <s v="US Army"/>
    <x v="0"/>
    <s v="RDT&amp;E"/>
    <x v="12"/>
    <x v="15"/>
    <m/>
    <m/>
    <m/>
    <m/>
    <n v="499.5"/>
    <m/>
    <n v="0.5"/>
    <n v="249.75"/>
    <m/>
    <m/>
    <m/>
  </r>
  <r>
    <x v="23"/>
    <x v="1"/>
    <s v="US Army"/>
    <x v="0"/>
    <s v="RDT&amp;E"/>
    <x v="14"/>
    <x v="15"/>
    <m/>
    <m/>
    <m/>
    <m/>
    <n v="499.5"/>
    <m/>
    <n v="0.5"/>
    <n v="249.75"/>
    <m/>
    <m/>
    <m/>
  </r>
  <r>
    <x v="23"/>
    <x v="2"/>
    <s v="US Army"/>
    <x v="0"/>
    <s v="RDT&amp;E"/>
    <x v="12"/>
    <x v="15"/>
    <m/>
    <m/>
    <m/>
    <m/>
    <n v="386.4"/>
    <m/>
    <n v="0.5"/>
    <n v="193.2"/>
    <m/>
    <m/>
    <m/>
  </r>
  <r>
    <x v="23"/>
    <x v="2"/>
    <s v="US Army"/>
    <x v="0"/>
    <s v="RDT&amp;E"/>
    <x v="14"/>
    <x v="15"/>
    <m/>
    <m/>
    <m/>
    <m/>
    <n v="386.4"/>
    <m/>
    <n v="0.5"/>
    <n v="193.2"/>
    <m/>
    <m/>
    <m/>
  </r>
  <r>
    <x v="24"/>
    <x v="0"/>
    <s v="USMC"/>
    <x v="0"/>
    <s v="RDT&amp;E"/>
    <x v="13"/>
    <x v="15"/>
    <m/>
    <m/>
    <m/>
    <m/>
    <n v="87.7"/>
    <m/>
    <n v="1"/>
    <n v="87.7"/>
    <m/>
    <m/>
    <m/>
  </r>
  <r>
    <x v="24"/>
    <x v="1"/>
    <s v="USMC"/>
    <x v="0"/>
    <s v="RDT&amp;E"/>
    <x v="13"/>
    <x v="15"/>
    <m/>
    <m/>
    <m/>
    <m/>
    <n v="46.7"/>
    <m/>
    <n v="1"/>
    <n v="46.7"/>
    <m/>
    <m/>
    <m/>
  </r>
  <r>
    <x v="24"/>
    <x v="2"/>
    <s v="USMC"/>
    <x v="0"/>
    <s v="RDT&amp;E"/>
    <x v="13"/>
    <x v="15"/>
    <m/>
    <m/>
    <m/>
    <m/>
    <n v="44.6"/>
    <m/>
    <n v="1"/>
    <n v="44.6"/>
    <m/>
    <m/>
    <m/>
  </r>
  <r>
    <x v="24"/>
    <x v="0"/>
    <s v="USMC"/>
    <x v="0"/>
    <s v="Procurement"/>
    <x v="13"/>
    <x v="15"/>
    <m/>
    <m/>
    <m/>
    <m/>
    <n v="545.1"/>
    <m/>
    <n v="1"/>
    <n v="545.1"/>
    <m/>
    <m/>
    <m/>
  </r>
  <r>
    <x v="24"/>
    <x v="1"/>
    <s v="USMC"/>
    <x v="0"/>
    <s v="Procurement"/>
    <x v="13"/>
    <x v="15"/>
    <m/>
    <m/>
    <m/>
    <m/>
    <n v="810.3"/>
    <m/>
    <n v="1"/>
    <n v="810.3"/>
    <m/>
    <m/>
    <m/>
  </r>
  <r>
    <x v="24"/>
    <x v="2"/>
    <s v="USMC"/>
    <x v="0"/>
    <s v="Procurement"/>
    <x v="13"/>
    <x v="15"/>
    <m/>
    <m/>
    <m/>
    <m/>
    <n v="790.8"/>
    <m/>
    <n v="1"/>
    <n v="790.8"/>
    <m/>
    <m/>
    <m/>
  </r>
  <r>
    <x v="25"/>
    <x v="0"/>
    <s v="MDA"/>
    <x v="0"/>
    <s v="RDT&amp;E"/>
    <x v="6"/>
    <x v="7"/>
    <m/>
    <m/>
    <m/>
    <m/>
    <n v="2973.7"/>
    <m/>
    <n v="0.5"/>
    <n v="1486.85"/>
    <m/>
    <m/>
    <m/>
  </r>
  <r>
    <x v="25"/>
    <x v="0"/>
    <s v="MDA"/>
    <x v="0"/>
    <s v="RDT&amp;E"/>
    <x v="1"/>
    <x v="12"/>
    <m/>
    <m/>
    <m/>
    <m/>
    <n v="2973.7"/>
    <m/>
    <n v="0.5"/>
    <n v="1486.85"/>
    <m/>
    <m/>
    <m/>
  </r>
  <r>
    <x v="25"/>
    <x v="1"/>
    <s v="MDA"/>
    <x v="0"/>
    <s v="RDT&amp;E"/>
    <x v="6"/>
    <x v="7"/>
    <m/>
    <m/>
    <m/>
    <m/>
    <n v="2462.1999999999998"/>
    <m/>
    <n v="0.5"/>
    <n v="1231.0999999999999"/>
    <m/>
    <m/>
    <m/>
  </r>
  <r>
    <x v="25"/>
    <x v="1"/>
    <s v="MDA"/>
    <x v="0"/>
    <s v="RDT&amp;E"/>
    <x v="1"/>
    <x v="12"/>
    <m/>
    <m/>
    <m/>
    <m/>
    <n v="2462.1999999999998"/>
    <m/>
    <n v="0.5"/>
    <n v="1231.0999999999999"/>
    <m/>
    <m/>
    <m/>
  </r>
  <r>
    <x v="25"/>
    <x v="2"/>
    <s v="MDA"/>
    <x v="0"/>
    <s v="RDT&amp;E"/>
    <x v="6"/>
    <x v="7"/>
    <m/>
    <m/>
    <m/>
    <m/>
    <n v="2501.6999999999998"/>
    <m/>
    <n v="0.5"/>
    <n v="1250.8499999999999"/>
    <m/>
    <m/>
    <m/>
  </r>
  <r>
    <x v="25"/>
    <x v="2"/>
    <s v="MDA"/>
    <x v="0"/>
    <s v="RDT&amp;E"/>
    <x v="1"/>
    <x v="12"/>
    <m/>
    <m/>
    <m/>
    <m/>
    <n v="2501.6999999999998"/>
    <m/>
    <n v="0.5"/>
    <n v="1250.8499999999999"/>
    <m/>
    <m/>
    <m/>
  </r>
  <r>
    <x v="26"/>
    <x v="0"/>
    <s v="MDA"/>
    <x v="0"/>
    <s v="RDT&amp;E"/>
    <x v="1"/>
    <x v="12"/>
    <m/>
    <m/>
    <m/>
    <m/>
    <n v="241.2"/>
    <m/>
    <n v="1"/>
    <n v="241.2"/>
    <m/>
    <m/>
    <m/>
  </r>
  <r>
    <x v="26"/>
    <x v="1"/>
    <s v="MDA"/>
    <x v="0"/>
    <s v="RDT&amp;E"/>
    <x v="1"/>
    <x v="12"/>
    <m/>
    <m/>
    <m/>
    <m/>
    <n v="311"/>
    <m/>
    <n v="1"/>
    <n v="311"/>
    <m/>
    <m/>
    <m/>
  </r>
  <r>
    <x v="26"/>
    <x v="2"/>
    <s v="MDA"/>
    <x v="0"/>
    <s v="RDT&amp;E"/>
    <x v="1"/>
    <x v="12"/>
    <m/>
    <m/>
    <m/>
    <m/>
    <n v="684.7"/>
    <m/>
    <n v="1"/>
    <n v="684.7"/>
    <m/>
    <m/>
    <m/>
  </r>
  <r>
    <x v="26"/>
    <x v="0"/>
    <s v="MDA"/>
    <x v="0"/>
    <s v="Procurement"/>
    <x v="1"/>
    <x v="12"/>
    <m/>
    <m/>
    <n v="11"/>
    <m/>
    <n v="216.8"/>
    <m/>
    <n v="1"/>
    <n v="216.8"/>
    <m/>
    <m/>
    <m/>
  </r>
  <r>
    <x v="26"/>
    <x v="1"/>
    <s v="MDA"/>
    <x v="0"/>
    <s v="Procurement"/>
    <x v="1"/>
    <x v="12"/>
    <m/>
    <m/>
    <n v="12"/>
    <m/>
    <n v="247"/>
    <m/>
    <n v="1"/>
    <n v="247"/>
    <m/>
    <m/>
    <m/>
  </r>
  <r>
    <x v="26"/>
    <x v="2"/>
    <s v="MDA"/>
    <x v="0"/>
    <s v="Procurement"/>
    <x v="1"/>
    <x v="12"/>
    <m/>
    <m/>
    <n v="12"/>
    <m/>
    <n v="840.1"/>
    <m/>
    <n v="1"/>
    <n v="840.1"/>
    <m/>
    <m/>
    <m/>
  </r>
  <r>
    <x v="27"/>
    <x v="0"/>
    <s v="MDA"/>
    <x v="0"/>
    <s v="RDT&amp;E"/>
    <x v="1"/>
    <x v="17"/>
    <m/>
    <m/>
    <m/>
    <m/>
    <n v="983.5"/>
    <m/>
    <n v="0.55000000000000004"/>
    <n v="540.92500000000007"/>
    <m/>
    <m/>
    <m/>
  </r>
  <r>
    <x v="27"/>
    <x v="0"/>
    <s v="MDA"/>
    <x v="0"/>
    <s v="RDT&amp;E"/>
    <x v="0"/>
    <x v="0"/>
    <m/>
    <m/>
    <m/>
    <m/>
    <n v="983.5"/>
    <m/>
    <n v="0.45"/>
    <n v="442.57499999999999"/>
    <m/>
    <m/>
    <m/>
  </r>
  <r>
    <x v="27"/>
    <x v="1"/>
    <s v="MDA"/>
    <x v="0"/>
    <s v="RDT&amp;E"/>
    <x v="1"/>
    <x v="17"/>
    <m/>
    <m/>
    <m/>
    <m/>
    <n v="984.4"/>
    <m/>
    <n v="0.55000000000000004"/>
    <n v="541.42000000000007"/>
    <m/>
    <m/>
    <m/>
  </r>
  <r>
    <x v="27"/>
    <x v="1"/>
    <s v="MDA"/>
    <x v="0"/>
    <s v="RDT&amp;E"/>
    <x v="0"/>
    <x v="0"/>
    <m/>
    <m/>
    <m/>
    <m/>
    <n v="984.4"/>
    <m/>
    <n v="0.45"/>
    <n v="442.98"/>
    <m/>
    <m/>
    <m/>
  </r>
  <r>
    <x v="27"/>
    <x v="2"/>
    <s v="MDA"/>
    <x v="0"/>
    <s v="RDT&amp;E"/>
    <x v="1"/>
    <x v="17"/>
    <m/>
    <m/>
    <m/>
    <m/>
    <n v="1339.4"/>
    <m/>
    <n v="0.55000000000000004"/>
    <n v="736.67000000000007"/>
    <m/>
    <m/>
    <m/>
  </r>
  <r>
    <x v="27"/>
    <x v="2"/>
    <s v="MDA"/>
    <x v="0"/>
    <s v="RDT&amp;E"/>
    <x v="0"/>
    <x v="0"/>
    <m/>
    <m/>
    <m/>
    <m/>
    <n v="1339.4"/>
    <m/>
    <n v="0.45"/>
    <n v="602.73"/>
    <m/>
    <m/>
    <m/>
  </r>
  <r>
    <x v="27"/>
    <x v="0"/>
    <s v="MDA"/>
    <x v="0"/>
    <s v="Procurement"/>
    <x v="1"/>
    <x v="17"/>
    <m/>
    <m/>
    <n v="48"/>
    <m/>
    <n v="1072.6000000000001"/>
    <m/>
    <n v="0.55000000000000004"/>
    <n v="589.93000000000018"/>
    <m/>
    <m/>
    <m/>
  </r>
  <r>
    <x v="27"/>
    <x v="0"/>
    <s v="MDA"/>
    <x v="0"/>
    <s v="Procurement"/>
    <x v="0"/>
    <x v="0"/>
    <m/>
    <m/>
    <n v="48"/>
    <m/>
    <n v="1072.6000000000001"/>
    <m/>
    <n v="0.45"/>
    <n v="482.67000000000007"/>
    <m/>
    <m/>
    <m/>
  </r>
  <r>
    <x v="27"/>
    <x v="1"/>
    <s v="MDA"/>
    <x v="0"/>
    <s v="Procurement"/>
    <x v="1"/>
    <x v="17"/>
    <m/>
    <m/>
    <n v="18"/>
    <m/>
    <n v="633.4"/>
    <m/>
    <n v="0.55000000000000004"/>
    <n v="348.37"/>
    <m/>
    <m/>
    <m/>
  </r>
  <r>
    <x v="27"/>
    <x v="1"/>
    <s v="MDA"/>
    <x v="0"/>
    <s v="Procurement"/>
    <x v="0"/>
    <x v="0"/>
    <m/>
    <m/>
    <n v="18"/>
    <m/>
    <n v="633.4"/>
    <m/>
    <n v="0.45"/>
    <n v="285.02999999999997"/>
    <m/>
    <m/>
    <m/>
  </r>
  <r>
    <x v="27"/>
    <x v="2"/>
    <s v="MDA"/>
    <x v="0"/>
    <s v="Procurement"/>
    <x v="1"/>
    <x v="17"/>
    <m/>
    <m/>
    <n v="12"/>
    <m/>
    <n v="462"/>
    <m/>
    <n v="0.55000000000000004"/>
    <n v="254.10000000000002"/>
    <m/>
    <m/>
    <m/>
  </r>
  <r>
    <x v="27"/>
    <x v="2"/>
    <s v="MDA"/>
    <x v="0"/>
    <s v="Procurement"/>
    <x v="0"/>
    <x v="0"/>
    <m/>
    <m/>
    <n v="12"/>
    <m/>
    <n v="462"/>
    <m/>
    <n v="0.45"/>
    <n v="207.9"/>
    <m/>
    <m/>
    <m/>
  </r>
  <r>
    <x v="28"/>
    <x v="0"/>
    <s v="US Army"/>
    <x v="0"/>
    <s v="Procurement"/>
    <x v="1"/>
    <x v="12"/>
    <m/>
    <m/>
    <n v="230"/>
    <m/>
    <n v="2814.9"/>
    <m/>
    <n v="1"/>
    <n v="2814.9"/>
    <m/>
    <m/>
    <s v="PAC-3"/>
  </r>
  <r>
    <x v="28"/>
    <x v="1"/>
    <s v="US Army"/>
    <x v="0"/>
    <s v="Procurement"/>
    <x v="1"/>
    <x v="12"/>
    <m/>
    <m/>
    <n v="214"/>
    <m/>
    <n v="905.1"/>
    <m/>
    <n v="1"/>
    <n v="905.1"/>
    <m/>
    <m/>
    <m/>
  </r>
  <r>
    <x v="28"/>
    <x v="2"/>
    <s v="US Army"/>
    <x v="0"/>
    <s v="Procurement"/>
    <x v="1"/>
    <x v="12"/>
    <m/>
    <m/>
    <n v="245"/>
    <m/>
    <n v="1358.9"/>
    <m/>
    <n v="1"/>
    <n v="1358.9"/>
    <m/>
    <m/>
    <m/>
  </r>
  <r>
    <x v="29"/>
    <x v="0"/>
    <s v="US Army"/>
    <x v="0"/>
    <s v="RDT&amp;E"/>
    <x v="15"/>
    <x v="18"/>
    <m/>
    <m/>
    <m/>
    <m/>
    <n v="172.7"/>
    <m/>
    <n v="0.25"/>
    <n v="43.174999999999997"/>
    <m/>
    <m/>
    <m/>
  </r>
  <r>
    <x v="29"/>
    <x v="0"/>
    <s v="US Army"/>
    <x v="0"/>
    <s v="RDT&amp;E"/>
    <x v="0"/>
    <x v="0"/>
    <m/>
    <m/>
    <m/>
    <m/>
    <n v="172.7"/>
    <m/>
    <n v="0.25"/>
    <n v="43.174999999999997"/>
    <m/>
    <m/>
    <m/>
  </r>
  <r>
    <x v="29"/>
    <x v="0"/>
    <s v="US Army"/>
    <x v="0"/>
    <s v="RDT&amp;E"/>
    <x v="1"/>
    <x v="12"/>
    <m/>
    <m/>
    <m/>
    <m/>
    <n v="172.7"/>
    <m/>
    <n v="0.2"/>
    <n v="34.54"/>
    <m/>
    <m/>
    <m/>
  </r>
  <r>
    <x v="29"/>
    <x v="0"/>
    <s v="US Army"/>
    <x v="0"/>
    <s v="RDT&amp;E"/>
    <x v="10"/>
    <x v="10"/>
    <m/>
    <m/>
    <m/>
    <m/>
    <n v="172.7"/>
    <m/>
    <n v="0.15"/>
    <n v="25.904999999999998"/>
    <m/>
    <m/>
    <m/>
  </r>
  <r>
    <x v="29"/>
    <x v="0"/>
    <s v="US Army"/>
    <x v="0"/>
    <s v="RDT&amp;E"/>
    <x v="9"/>
    <x v="10"/>
    <m/>
    <m/>
    <m/>
    <m/>
    <n v="172.7"/>
    <m/>
    <n v="0.15"/>
    <n v="25.904999999999998"/>
    <m/>
    <m/>
    <m/>
  </r>
  <r>
    <x v="29"/>
    <x v="1"/>
    <s v="US Army"/>
    <x v="0"/>
    <s v="RDT&amp;E"/>
    <x v="15"/>
    <x v="18"/>
    <m/>
    <m/>
    <m/>
    <m/>
    <n v="140.9"/>
    <m/>
    <n v="0.25"/>
    <n v="35.225000000000001"/>
    <m/>
    <m/>
    <m/>
  </r>
  <r>
    <x v="29"/>
    <x v="1"/>
    <s v="US Army"/>
    <x v="0"/>
    <s v="RDT&amp;E"/>
    <x v="0"/>
    <x v="0"/>
    <m/>
    <m/>
    <m/>
    <m/>
    <n v="140.9"/>
    <m/>
    <n v="0.25"/>
    <n v="35.225000000000001"/>
    <m/>
    <m/>
    <m/>
  </r>
  <r>
    <x v="29"/>
    <x v="1"/>
    <s v="US Army"/>
    <x v="0"/>
    <s v="RDT&amp;E"/>
    <x v="1"/>
    <x v="12"/>
    <m/>
    <m/>
    <m/>
    <m/>
    <n v="140.9"/>
    <m/>
    <n v="0.2"/>
    <n v="28.180000000000003"/>
    <m/>
    <m/>
    <m/>
  </r>
  <r>
    <x v="29"/>
    <x v="1"/>
    <s v="US Army"/>
    <x v="0"/>
    <s v="RDT&amp;E"/>
    <x v="10"/>
    <x v="10"/>
    <m/>
    <m/>
    <m/>
    <m/>
    <n v="140.9"/>
    <m/>
    <n v="0.15"/>
    <n v="21.135000000000002"/>
    <m/>
    <m/>
    <m/>
  </r>
  <r>
    <x v="29"/>
    <x v="1"/>
    <s v="US Army"/>
    <x v="0"/>
    <s v="RDT&amp;E"/>
    <x v="9"/>
    <x v="10"/>
    <m/>
    <m/>
    <m/>
    <m/>
    <n v="140.9"/>
    <m/>
    <n v="0.15"/>
    <n v="21.135000000000002"/>
    <m/>
    <m/>
    <m/>
  </r>
  <r>
    <x v="29"/>
    <x v="2"/>
    <s v="US Army"/>
    <x v="0"/>
    <s v="RDT&amp;E"/>
    <x v="15"/>
    <x v="18"/>
    <m/>
    <m/>
    <m/>
    <m/>
    <n v="248.7"/>
    <m/>
    <n v="0.25"/>
    <n v="62.174999999999997"/>
    <m/>
    <m/>
    <m/>
  </r>
  <r>
    <x v="29"/>
    <x v="2"/>
    <s v="US Army"/>
    <x v="0"/>
    <s v="RDT&amp;E"/>
    <x v="0"/>
    <x v="0"/>
    <m/>
    <m/>
    <m/>
    <m/>
    <n v="248.7"/>
    <m/>
    <n v="0.25"/>
    <n v="62.174999999999997"/>
    <m/>
    <m/>
    <m/>
  </r>
  <r>
    <x v="29"/>
    <x v="2"/>
    <s v="US Army"/>
    <x v="0"/>
    <s v="RDT&amp;E"/>
    <x v="1"/>
    <x v="12"/>
    <m/>
    <m/>
    <m/>
    <m/>
    <n v="248.7"/>
    <m/>
    <n v="0.2"/>
    <n v="49.74"/>
    <m/>
    <m/>
    <m/>
  </r>
  <r>
    <x v="29"/>
    <x v="2"/>
    <s v="US Army"/>
    <x v="0"/>
    <s v="RDT&amp;E"/>
    <x v="10"/>
    <x v="10"/>
    <m/>
    <m/>
    <m/>
    <m/>
    <n v="248.7"/>
    <m/>
    <n v="0.15"/>
    <n v="37.305"/>
    <m/>
    <m/>
    <m/>
  </r>
  <r>
    <x v="29"/>
    <x v="2"/>
    <s v="US Army"/>
    <x v="0"/>
    <s v="RDT&amp;E"/>
    <x v="9"/>
    <x v="10"/>
    <m/>
    <m/>
    <m/>
    <m/>
    <n v="248.7"/>
    <m/>
    <n v="0.15"/>
    <n v="37.305"/>
    <m/>
    <m/>
    <m/>
  </r>
  <r>
    <x v="29"/>
    <x v="0"/>
    <s v="US Army"/>
    <x v="0"/>
    <s v="Procurement"/>
    <x v="15"/>
    <x v="18"/>
    <m/>
    <m/>
    <m/>
    <m/>
    <n v="256.8"/>
    <m/>
    <n v="0.25"/>
    <n v="64.2"/>
    <m/>
    <m/>
    <m/>
  </r>
  <r>
    <x v="29"/>
    <x v="0"/>
    <s v="US Army"/>
    <x v="0"/>
    <s v="Procurement"/>
    <x v="0"/>
    <x v="0"/>
    <m/>
    <m/>
    <m/>
    <m/>
    <n v="256.8"/>
    <m/>
    <n v="0.25"/>
    <n v="64.2"/>
    <m/>
    <m/>
    <m/>
  </r>
  <r>
    <x v="29"/>
    <x v="0"/>
    <s v="US Army"/>
    <x v="0"/>
    <s v="Procurement"/>
    <x v="1"/>
    <x v="12"/>
    <m/>
    <m/>
    <m/>
    <m/>
    <n v="256.8"/>
    <m/>
    <n v="0.2"/>
    <n v="51.360000000000007"/>
    <m/>
    <m/>
    <m/>
  </r>
  <r>
    <x v="29"/>
    <x v="0"/>
    <s v="US Army"/>
    <x v="0"/>
    <s v="Procurement"/>
    <x v="10"/>
    <x v="10"/>
    <m/>
    <m/>
    <m/>
    <m/>
    <n v="256.8"/>
    <m/>
    <n v="0.15"/>
    <n v="38.520000000000003"/>
    <m/>
    <m/>
    <m/>
  </r>
  <r>
    <x v="29"/>
    <x v="0"/>
    <s v="US Army"/>
    <x v="0"/>
    <s v="Procurement"/>
    <x v="9"/>
    <x v="10"/>
    <m/>
    <m/>
    <m/>
    <m/>
    <n v="256.8"/>
    <m/>
    <n v="0.15"/>
    <n v="38.520000000000003"/>
    <m/>
    <m/>
    <m/>
  </r>
  <r>
    <x v="29"/>
    <x v="1"/>
    <s v="US Army"/>
    <x v="0"/>
    <s v="Procurement"/>
    <x v="15"/>
    <x v="18"/>
    <m/>
    <m/>
    <m/>
    <m/>
    <n v="552.4"/>
    <m/>
    <n v="0.25"/>
    <n v="138.1"/>
    <m/>
    <m/>
    <m/>
  </r>
  <r>
    <x v="29"/>
    <x v="1"/>
    <s v="US Army"/>
    <x v="0"/>
    <s v="Procurement"/>
    <x v="0"/>
    <x v="0"/>
    <m/>
    <m/>
    <m/>
    <m/>
    <n v="552.4"/>
    <m/>
    <n v="0.25"/>
    <n v="138.1"/>
    <m/>
    <m/>
    <m/>
  </r>
  <r>
    <x v="29"/>
    <x v="1"/>
    <s v="US Army"/>
    <x v="0"/>
    <s v="Procurement"/>
    <x v="1"/>
    <x v="12"/>
    <m/>
    <m/>
    <m/>
    <m/>
    <n v="552.4"/>
    <m/>
    <n v="0.2"/>
    <n v="110.48"/>
    <m/>
    <m/>
    <m/>
  </r>
  <r>
    <x v="29"/>
    <x v="1"/>
    <s v="US Army"/>
    <x v="0"/>
    <s v="Procurement"/>
    <x v="10"/>
    <x v="10"/>
    <m/>
    <m/>
    <m/>
    <m/>
    <n v="552.4"/>
    <m/>
    <n v="0.15"/>
    <n v="82.86"/>
    <m/>
    <m/>
    <m/>
  </r>
  <r>
    <x v="29"/>
    <x v="1"/>
    <s v="US Army"/>
    <x v="0"/>
    <s v="Procurement"/>
    <x v="9"/>
    <x v="10"/>
    <m/>
    <m/>
    <m/>
    <m/>
    <n v="552.4"/>
    <m/>
    <n v="0.15"/>
    <n v="82.86"/>
    <m/>
    <m/>
    <m/>
  </r>
  <r>
    <x v="29"/>
    <x v="2"/>
    <s v="US Army"/>
    <x v="0"/>
    <s v="Procurement"/>
    <x v="15"/>
    <x v="18"/>
    <m/>
    <m/>
    <m/>
    <m/>
    <n v="1018.6"/>
    <m/>
    <n v="0.25"/>
    <n v="254.65"/>
    <m/>
    <m/>
    <m/>
  </r>
  <r>
    <x v="29"/>
    <x v="2"/>
    <s v="US Army"/>
    <x v="0"/>
    <s v="Procurement"/>
    <x v="0"/>
    <x v="0"/>
    <m/>
    <m/>
    <m/>
    <m/>
    <n v="1018.6"/>
    <m/>
    <n v="0.25"/>
    <n v="254.65"/>
    <m/>
    <m/>
    <m/>
  </r>
  <r>
    <x v="29"/>
    <x v="2"/>
    <s v="US Army"/>
    <x v="0"/>
    <s v="Procurement"/>
    <x v="1"/>
    <x v="12"/>
    <m/>
    <m/>
    <m/>
    <m/>
    <n v="1018.6"/>
    <m/>
    <n v="0.2"/>
    <n v="203.72000000000003"/>
    <m/>
    <m/>
    <m/>
  </r>
  <r>
    <x v="29"/>
    <x v="2"/>
    <s v="US Army"/>
    <x v="0"/>
    <s v="Procurement"/>
    <x v="10"/>
    <x v="10"/>
    <m/>
    <m/>
    <m/>
    <m/>
    <n v="1018.6"/>
    <m/>
    <n v="0.15"/>
    <n v="152.79"/>
    <m/>
    <m/>
    <m/>
  </r>
  <r>
    <x v="29"/>
    <x v="2"/>
    <s v="US Army"/>
    <x v="0"/>
    <s v="Procurement"/>
    <x v="9"/>
    <x v="10"/>
    <m/>
    <m/>
    <m/>
    <m/>
    <n v="1018.6"/>
    <m/>
    <n v="0.15"/>
    <n v="152.79"/>
    <m/>
    <m/>
    <m/>
  </r>
  <r>
    <x v="30"/>
    <x v="0"/>
    <s v="USAF"/>
    <x v="0"/>
    <s v="RDT&amp;E"/>
    <x v="1"/>
    <x v="12"/>
    <m/>
    <m/>
    <m/>
    <m/>
    <n v="129.30000000000001"/>
    <m/>
    <n v="1"/>
    <n v="129.30000000000001"/>
    <m/>
    <m/>
    <m/>
  </r>
  <r>
    <x v="30"/>
    <x v="1"/>
    <s v="USAF"/>
    <x v="0"/>
    <s v="RDT&amp;E"/>
    <x v="1"/>
    <x v="12"/>
    <m/>
    <m/>
    <m/>
    <m/>
    <n v="181.7"/>
    <m/>
    <n v="1"/>
    <n v="181.7"/>
    <m/>
    <m/>
    <m/>
  </r>
  <r>
    <x v="30"/>
    <x v="2"/>
    <s v="USAF"/>
    <x v="0"/>
    <s v="RDT&amp;E"/>
    <x v="1"/>
    <x v="12"/>
    <m/>
    <m/>
    <m/>
    <m/>
    <n v="232.3"/>
    <m/>
    <n v="1"/>
    <n v="232.3"/>
    <m/>
    <m/>
    <m/>
  </r>
  <r>
    <x v="30"/>
    <x v="0"/>
    <s v="USAF"/>
    <x v="0"/>
    <s v="Procurement"/>
    <x v="1"/>
    <x v="12"/>
    <m/>
    <m/>
    <n v="1140"/>
    <m/>
    <n v="2730.3"/>
    <m/>
    <n v="1"/>
    <n v="2730.3"/>
    <m/>
    <m/>
    <m/>
  </r>
  <r>
    <x v="30"/>
    <x v="1"/>
    <s v="USAF"/>
    <x v="0"/>
    <s v="Procurement"/>
    <x v="1"/>
    <x v="12"/>
    <m/>
    <m/>
    <n v="450"/>
    <m/>
    <n v="821.1"/>
    <m/>
    <n v="1"/>
    <n v="821.1"/>
    <m/>
    <m/>
    <m/>
  </r>
  <r>
    <x v="30"/>
    <x v="2"/>
    <s v="USAF"/>
    <x v="0"/>
    <s v="Procurement"/>
    <x v="1"/>
    <x v="12"/>
    <m/>
    <m/>
    <n v="389"/>
    <m/>
    <n v="819.1"/>
    <m/>
    <n v="1"/>
    <n v="819.1"/>
    <m/>
    <m/>
    <m/>
  </r>
  <r>
    <x v="31"/>
    <x v="0"/>
    <s v="Joint Service"/>
    <x v="0"/>
    <s v="RDT&amp;E"/>
    <x v="1"/>
    <x v="12"/>
    <m/>
    <m/>
    <m/>
    <m/>
    <n v="253.1"/>
    <m/>
    <n v="1"/>
    <n v="253.1"/>
    <m/>
    <m/>
    <m/>
  </r>
  <r>
    <x v="31"/>
    <x v="1"/>
    <s v="Joint Service"/>
    <x v="0"/>
    <s v="RDT&amp;E"/>
    <x v="1"/>
    <x v="12"/>
    <m/>
    <m/>
    <m/>
    <m/>
    <n v="286.39999999999998"/>
    <m/>
    <n v="1"/>
    <n v="286.39999999999998"/>
    <m/>
    <m/>
    <m/>
  </r>
  <r>
    <x v="31"/>
    <x v="2"/>
    <s v="Joint Service"/>
    <x v="0"/>
    <s v="RDT&amp;E"/>
    <x v="1"/>
    <x v="12"/>
    <m/>
    <m/>
    <m/>
    <m/>
    <n v="225.8"/>
    <m/>
    <n v="1"/>
    <n v="225.8"/>
    <m/>
    <m/>
    <m/>
  </r>
  <r>
    <x v="31"/>
    <x v="0"/>
    <s v="USN"/>
    <x v="0"/>
    <s v="Procurement"/>
    <x v="1"/>
    <x v="12"/>
    <m/>
    <m/>
    <n v="91"/>
    <m/>
    <n v="599.6"/>
    <m/>
    <n v="1"/>
    <n v="599.6"/>
    <m/>
    <m/>
    <m/>
  </r>
  <r>
    <x v="31"/>
    <x v="1"/>
    <s v="USN"/>
    <x v="0"/>
    <s v="Procurement"/>
    <x v="1"/>
    <x v="12"/>
    <m/>
    <m/>
    <n v="90"/>
    <m/>
    <n v="326.39999999999998"/>
    <m/>
    <n v="1"/>
    <n v="326.39999999999998"/>
    <m/>
    <m/>
    <m/>
  </r>
  <r>
    <x v="31"/>
    <x v="2"/>
    <s v="USN"/>
    <x v="0"/>
    <s v="Procurement"/>
    <x v="1"/>
    <x v="12"/>
    <m/>
    <m/>
    <n v="120"/>
    <m/>
    <n v="535.5"/>
    <m/>
    <n v="1"/>
    <n v="535.5"/>
    <m/>
    <m/>
    <m/>
  </r>
  <r>
    <x v="31"/>
    <x v="0"/>
    <s v="USAF"/>
    <x v="0"/>
    <s v="Procurement"/>
    <x v="1"/>
    <x v="12"/>
    <m/>
    <m/>
    <n v="118"/>
    <m/>
    <n v="514.9"/>
    <m/>
    <n v="1"/>
    <n v="514.9"/>
    <m/>
    <m/>
    <m/>
  </r>
  <r>
    <x v="31"/>
    <x v="1"/>
    <s v="USAF"/>
    <x v="0"/>
    <s v="Procurement"/>
    <x v="1"/>
    <x v="12"/>
    <m/>
    <m/>
    <n v="115"/>
    <m/>
    <n v="354.1"/>
    <m/>
    <n v="1"/>
    <n v="354.1"/>
    <m/>
    <m/>
    <m/>
  </r>
  <r>
    <x v="31"/>
    <x v="2"/>
    <s v="USAF"/>
    <x v="0"/>
    <s v="Procurement"/>
    <x v="1"/>
    <x v="12"/>
    <m/>
    <m/>
    <n v="118"/>
    <m/>
    <n v="406.6"/>
    <m/>
    <n v="1"/>
    <n v="406.6"/>
    <m/>
    <m/>
    <m/>
  </r>
  <r>
    <x v="32"/>
    <x v="0"/>
    <s v="US Army"/>
    <x v="0"/>
    <s v="Procurement"/>
    <x v="12"/>
    <x v="19"/>
    <m/>
    <m/>
    <m/>
    <m/>
    <n v="10653.5"/>
    <m/>
    <n v="0.35"/>
    <n v="3728.7249999999999"/>
    <m/>
    <m/>
    <s v="FY 2026 includes XM1128/XM1113/C-DAEM rounds; produced primarily at GD-OTS and BAE-operated GOCO facilities under the Joint DoD Ammunition Program"/>
  </r>
  <r>
    <x v="32"/>
    <x v="0"/>
    <s v="US Army"/>
    <x v="0"/>
    <s v="Procurement"/>
    <x v="13"/>
    <x v="16"/>
    <m/>
    <m/>
    <m/>
    <m/>
    <n v="10653.5"/>
    <m/>
    <n v="0.3"/>
    <n v="3196.0499999999997"/>
    <m/>
    <m/>
    <m/>
  </r>
  <r>
    <x v="32"/>
    <x v="0"/>
    <s v="US Army"/>
    <x v="0"/>
    <s v="Procurement"/>
    <x v="0"/>
    <x v="0"/>
    <m/>
    <m/>
    <m/>
    <m/>
    <n v="10653.5"/>
    <m/>
    <n v="0.15"/>
    <n v="1598.0249999999999"/>
    <m/>
    <m/>
    <m/>
  </r>
  <r>
    <x v="32"/>
    <x v="0"/>
    <s v="US Army"/>
    <x v="0"/>
    <s v="Procurement"/>
    <x v="16"/>
    <x v="20"/>
    <m/>
    <m/>
    <m/>
    <m/>
    <n v="10653.5"/>
    <m/>
    <n v="0.1"/>
    <n v="1065.3500000000001"/>
    <m/>
    <m/>
    <m/>
  </r>
  <r>
    <x v="32"/>
    <x v="0"/>
    <s v="US Army"/>
    <x v="0"/>
    <s v="Procurement"/>
    <x v="17"/>
    <x v="10"/>
    <m/>
    <m/>
    <m/>
    <m/>
    <n v="10653.5"/>
    <m/>
    <n v="0.1"/>
    <n v="1065.3500000000001"/>
    <m/>
    <m/>
    <m/>
  </r>
  <r>
    <x v="32"/>
    <x v="1"/>
    <s v="US Army"/>
    <x v="0"/>
    <s v="Procurement"/>
    <x v="12"/>
    <x v="19"/>
    <m/>
    <m/>
    <m/>
    <m/>
    <n v="3535.5"/>
    <m/>
    <n v="0.35"/>
    <n v="1237.425"/>
    <m/>
    <m/>
    <m/>
  </r>
  <r>
    <x v="32"/>
    <x v="1"/>
    <s v="US Army"/>
    <x v="0"/>
    <s v="Procurement"/>
    <x v="13"/>
    <x v="16"/>
    <m/>
    <m/>
    <m/>
    <m/>
    <n v="3535.5"/>
    <m/>
    <n v="0.3"/>
    <n v="1060.6499999999999"/>
    <m/>
    <m/>
    <m/>
  </r>
  <r>
    <x v="32"/>
    <x v="1"/>
    <s v="US Army"/>
    <x v="0"/>
    <s v="Procurement"/>
    <x v="0"/>
    <x v="0"/>
    <m/>
    <m/>
    <m/>
    <m/>
    <n v="3535.5"/>
    <m/>
    <n v="0.15"/>
    <n v="530.32499999999993"/>
    <m/>
    <m/>
    <m/>
  </r>
  <r>
    <x v="32"/>
    <x v="1"/>
    <s v="US Army"/>
    <x v="0"/>
    <s v="Procurement"/>
    <x v="16"/>
    <x v="20"/>
    <m/>
    <m/>
    <m/>
    <m/>
    <n v="3535.5"/>
    <m/>
    <n v="0.1"/>
    <n v="353.55"/>
    <m/>
    <m/>
    <m/>
  </r>
  <r>
    <x v="32"/>
    <x v="1"/>
    <s v="US Army"/>
    <x v="0"/>
    <s v="Procurement"/>
    <x v="17"/>
    <x v="10"/>
    <m/>
    <m/>
    <m/>
    <m/>
    <n v="3535.5"/>
    <m/>
    <n v="0.1"/>
    <n v="353.55"/>
    <m/>
    <m/>
    <m/>
  </r>
  <r>
    <x v="32"/>
    <x v="2"/>
    <s v="US Army"/>
    <x v="0"/>
    <s v="Procurement"/>
    <x v="12"/>
    <x v="19"/>
    <m/>
    <m/>
    <m/>
    <m/>
    <n v="4201.1000000000004"/>
    <m/>
    <n v="0.35"/>
    <n v="1470.385"/>
    <m/>
    <m/>
    <m/>
  </r>
  <r>
    <x v="32"/>
    <x v="2"/>
    <s v="US Army"/>
    <x v="0"/>
    <s v="Procurement"/>
    <x v="13"/>
    <x v="16"/>
    <m/>
    <m/>
    <m/>
    <m/>
    <n v="4201.1000000000004"/>
    <m/>
    <n v="0.3"/>
    <n v="1260.3300000000002"/>
    <m/>
    <m/>
    <m/>
  </r>
  <r>
    <x v="32"/>
    <x v="2"/>
    <s v="US Army"/>
    <x v="0"/>
    <s v="Procurement"/>
    <x v="0"/>
    <x v="0"/>
    <m/>
    <m/>
    <m/>
    <m/>
    <n v="4201.1000000000004"/>
    <m/>
    <n v="0.15"/>
    <n v="630.16500000000008"/>
    <m/>
    <m/>
    <m/>
  </r>
  <r>
    <x v="32"/>
    <x v="2"/>
    <s v="US Army"/>
    <x v="0"/>
    <s v="Procurement"/>
    <x v="16"/>
    <x v="20"/>
    <m/>
    <m/>
    <m/>
    <m/>
    <n v="4201.1000000000004"/>
    <m/>
    <n v="0.1"/>
    <n v="420.11000000000007"/>
    <m/>
    <m/>
    <m/>
  </r>
  <r>
    <x v="32"/>
    <x v="2"/>
    <s v="US Army"/>
    <x v="0"/>
    <s v="Procurement"/>
    <x v="17"/>
    <x v="10"/>
    <m/>
    <m/>
    <m/>
    <m/>
    <n v="4201.1000000000004"/>
    <m/>
    <n v="0.1"/>
    <n v="420.11000000000007"/>
    <m/>
    <m/>
    <m/>
  </r>
  <r>
    <x v="32"/>
    <x v="0"/>
    <s v="USN"/>
    <x v="0"/>
    <s v="Procurement"/>
    <x v="12"/>
    <x v="19"/>
    <m/>
    <m/>
    <m/>
    <m/>
    <n v="2170.9"/>
    <m/>
    <n v="0.35"/>
    <n v="759.81499999999994"/>
    <m/>
    <m/>
    <m/>
  </r>
  <r>
    <x v="32"/>
    <x v="0"/>
    <s v="USN"/>
    <x v="0"/>
    <s v="Procurement"/>
    <x v="13"/>
    <x v="16"/>
    <m/>
    <m/>
    <m/>
    <m/>
    <n v="2170.9"/>
    <m/>
    <n v="0.3"/>
    <n v="651.27"/>
    <m/>
    <m/>
    <m/>
  </r>
  <r>
    <x v="32"/>
    <x v="0"/>
    <s v="USN"/>
    <x v="0"/>
    <s v="Procurement"/>
    <x v="0"/>
    <x v="0"/>
    <m/>
    <m/>
    <m/>
    <m/>
    <n v="2170.9"/>
    <m/>
    <n v="0.15"/>
    <n v="325.63499999999999"/>
    <m/>
    <m/>
    <m/>
  </r>
  <r>
    <x v="32"/>
    <x v="0"/>
    <s v="USN"/>
    <x v="0"/>
    <s v="Procurement"/>
    <x v="16"/>
    <x v="20"/>
    <m/>
    <m/>
    <m/>
    <m/>
    <n v="2170.9"/>
    <m/>
    <n v="0.1"/>
    <n v="217.09000000000003"/>
    <m/>
    <m/>
    <m/>
  </r>
  <r>
    <x v="32"/>
    <x v="0"/>
    <s v="USN"/>
    <x v="0"/>
    <s v="Procurement"/>
    <x v="17"/>
    <x v="10"/>
    <m/>
    <m/>
    <m/>
    <m/>
    <n v="2170.9"/>
    <m/>
    <n v="0.1"/>
    <n v="217.09000000000003"/>
    <m/>
    <m/>
    <m/>
  </r>
  <r>
    <x v="32"/>
    <x v="1"/>
    <s v="USN"/>
    <x v="0"/>
    <s v="Procurement"/>
    <x v="12"/>
    <x v="19"/>
    <m/>
    <m/>
    <m/>
    <m/>
    <n v="1753.9"/>
    <m/>
    <n v="0.35"/>
    <n v="613.86500000000001"/>
    <m/>
    <m/>
    <m/>
  </r>
  <r>
    <x v="32"/>
    <x v="1"/>
    <s v="USN"/>
    <x v="0"/>
    <s v="Procurement"/>
    <x v="13"/>
    <x v="16"/>
    <m/>
    <m/>
    <m/>
    <m/>
    <n v="1753.9"/>
    <m/>
    <n v="0.3"/>
    <n v="526.16999999999996"/>
    <m/>
    <m/>
    <m/>
  </r>
  <r>
    <x v="32"/>
    <x v="1"/>
    <s v="USN"/>
    <x v="0"/>
    <s v="Procurement"/>
    <x v="0"/>
    <x v="0"/>
    <m/>
    <m/>
    <m/>
    <m/>
    <n v="1753.9"/>
    <m/>
    <n v="0.15"/>
    <n v="263.08499999999998"/>
    <m/>
    <m/>
    <m/>
  </r>
  <r>
    <x v="32"/>
    <x v="1"/>
    <s v="USN"/>
    <x v="0"/>
    <s v="Procurement"/>
    <x v="16"/>
    <x v="20"/>
    <m/>
    <m/>
    <m/>
    <m/>
    <n v="1753.9"/>
    <m/>
    <n v="0.1"/>
    <n v="175.39000000000001"/>
    <m/>
    <m/>
    <m/>
  </r>
  <r>
    <x v="32"/>
    <x v="1"/>
    <s v="USN"/>
    <x v="0"/>
    <s v="Procurement"/>
    <x v="17"/>
    <x v="10"/>
    <m/>
    <m/>
    <m/>
    <m/>
    <n v="1753.9"/>
    <m/>
    <n v="0.1"/>
    <n v="175.39000000000001"/>
    <m/>
    <m/>
    <m/>
  </r>
  <r>
    <x v="32"/>
    <x v="2"/>
    <s v="USN"/>
    <x v="0"/>
    <s v="Procurement"/>
    <x v="12"/>
    <x v="19"/>
    <m/>
    <m/>
    <m/>
    <m/>
    <n v="1359.3"/>
    <m/>
    <n v="0.35"/>
    <n v="475.75499999999994"/>
    <m/>
    <m/>
    <m/>
  </r>
  <r>
    <x v="32"/>
    <x v="2"/>
    <s v="USN"/>
    <x v="0"/>
    <s v="Procurement"/>
    <x v="13"/>
    <x v="16"/>
    <m/>
    <m/>
    <m/>
    <m/>
    <n v="1359.3"/>
    <m/>
    <n v="0.3"/>
    <n v="407.78999999999996"/>
    <m/>
    <m/>
    <m/>
  </r>
  <r>
    <x v="32"/>
    <x v="2"/>
    <s v="USN"/>
    <x v="0"/>
    <s v="Procurement"/>
    <x v="0"/>
    <x v="0"/>
    <m/>
    <m/>
    <m/>
    <m/>
    <n v="1359.3"/>
    <m/>
    <n v="0.15"/>
    <n v="203.89499999999998"/>
    <m/>
    <m/>
    <m/>
  </r>
  <r>
    <x v="32"/>
    <x v="2"/>
    <s v="USN"/>
    <x v="0"/>
    <s v="Procurement"/>
    <x v="16"/>
    <x v="20"/>
    <m/>
    <m/>
    <m/>
    <m/>
    <n v="1359.3"/>
    <m/>
    <n v="0.1"/>
    <n v="135.93"/>
    <m/>
    <m/>
    <m/>
  </r>
  <r>
    <x v="32"/>
    <x v="2"/>
    <s v="USN"/>
    <x v="0"/>
    <s v="Procurement"/>
    <x v="17"/>
    <x v="10"/>
    <m/>
    <m/>
    <m/>
    <m/>
    <n v="1359.3"/>
    <m/>
    <n v="0.1"/>
    <n v="135.93"/>
    <m/>
    <m/>
    <m/>
  </r>
  <r>
    <x v="32"/>
    <x v="0"/>
    <s v="USAF"/>
    <x v="0"/>
    <s v="Procurement"/>
    <x v="12"/>
    <x v="19"/>
    <m/>
    <m/>
    <m/>
    <m/>
    <n v="490.7"/>
    <m/>
    <n v="0.35"/>
    <n v="171.74499999999998"/>
    <m/>
    <m/>
    <m/>
  </r>
  <r>
    <x v="32"/>
    <x v="0"/>
    <s v="USAF"/>
    <x v="0"/>
    <s v="Procurement"/>
    <x v="13"/>
    <x v="16"/>
    <m/>
    <m/>
    <m/>
    <m/>
    <n v="490.7"/>
    <m/>
    <n v="0.3"/>
    <n v="147.20999999999998"/>
    <m/>
    <m/>
    <m/>
  </r>
  <r>
    <x v="32"/>
    <x v="0"/>
    <s v="USAF"/>
    <x v="0"/>
    <s v="Procurement"/>
    <x v="0"/>
    <x v="0"/>
    <m/>
    <m/>
    <m/>
    <m/>
    <n v="490.7"/>
    <m/>
    <n v="0.15"/>
    <n v="73.60499999999999"/>
    <m/>
    <m/>
    <m/>
  </r>
  <r>
    <x v="32"/>
    <x v="0"/>
    <s v="USAF"/>
    <x v="0"/>
    <s v="Procurement"/>
    <x v="16"/>
    <x v="20"/>
    <m/>
    <m/>
    <m/>
    <m/>
    <n v="490.7"/>
    <m/>
    <n v="0.1"/>
    <n v="49.07"/>
    <m/>
    <m/>
    <m/>
  </r>
  <r>
    <x v="32"/>
    <x v="0"/>
    <s v="USAF"/>
    <x v="0"/>
    <s v="Procurement"/>
    <x v="17"/>
    <x v="10"/>
    <m/>
    <m/>
    <m/>
    <m/>
    <n v="490.7"/>
    <m/>
    <n v="0.1"/>
    <n v="49.07"/>
    <m/>
    <m/>
    <m/>
  </r>
  <r>
    <x v="32"/>
    <x v="1"/>
    <s v="USAF"/>
    <x v="0"/>
    <s v="Procurement"/>
    <x v="12"/>
    <x v="19"/>
    <m/>
    <m/>
    <m/>
    <m/>
    <n v="426.4"/>
    <m/>
    <n v="0.35"/>
    <n v="149.23999999999998"/>
    <m/>
    <m/>
    <m/>
  </r>
  <r>
    <x v="32"/>
    <x v="1"/>
    <s v="USAF"/>
    <x v="0"/>
    <s v="Procurement"/>
    <x v="13"/>
    <x v="16"/>
    <m/>
    <m/>
    <m/>
    <m/>
    <n v="426.4"/>
    <m/>
    <n v="0.3"/>
    <n v="127.91999999999999"/>
    <m/>
    <m/>
    <m/>
  </r>
  <r>
    <x v="32"/>
    <x v="1"/>
    <s v="USAF"/>
    <x v="0"/>
    <s v="Procurement"/>
    <x v="0"/>
    <x v="0"/>
    <m/>
    <m/>
    <m/>
    <m/>
    <n v="426.4"/>
    <m/>
    <n v="0.15"/>
    <n v="63.959999999999994"/>
    <m/>
    <m/>
    <m/>
  </r>
  <r>
    <x v="32"/>
    <x v="1"/>
    <s v="USAF"/>
    <x v="0"/>
    <s v="Procurement"/>
    <x v="16"/>
    <x v="20"/>
    <m/>
    <m/>
    <m/>
    <m/>
    <n v="426.4"/>
    <m/>
    <n v="0.1"/>
    <n v="42.64"/>
    <m/>
    <m/>
    <m/>
  </r>
  <r>
    <x v="32"/>
    <x v="1"/>
    <s v="USAF"/>
    <x v="0"/>
    <s v="Procurement"/>
    <x v="17"/>
    <x v="10"/>
    <m/>
    <m/>
    <m/>
    <m/>
    <n v="426.4"/>
    <m/>
    <n v="0.1"/>
    <n v="42.64"/>
    <m/>
    <m/>
    <m/>
  </r>
  <r>
    <x v="32"/>
    <x v="2"/>
    <s v="USAF"/>
    <x v="0"/>
    <s v="Procurement"/>
    <x v="12"/>
    <x v="19"/>
    <m/>
    <m/>
    <m/>
    <m/>
    <n v="653.29999999999995"/>
    <m/>
    <n v="0.35"/>
    <n v="228.65499999999997"/>
    <m/>
    <m/>
    <m/>
  </r>
  <r>
    <x v="32"/>
    <x v="2"/>
    <s v="USAF"/>
    <x v="0"/>
    <s v="Procurement"/>
    <x v="13"/>
    <x v="16"/>
    <m/>
    <m/>
    <m/>
    <m/>
    <n v="653.29999999999995"/>
    <m/>
    <n v="0.3"/>
    <n v="195.98999999999998"/>
    <m/>
    <m/>
    <m/>
  </r>
  <r>
    <x v="32"/>
    <x v="2"/>
    <s v="USAF"/>
    <x v="0"/>
    <s v="Procurement"/>
    <x v="0"/>
    <x v="0"/>
    <m/>
    <m/>
    <m/>
    <m/>
    <n v="653.29999999999995"/>
    <m/>
    <n v="0.15"/>
    <n v="97.99499999999999"/>
    <m/>
    <m/>
    <m/>
  </r>
  <r>
    <x v="32"/>
    <x v="2"/>
    <s v="USAF"/>
    <x v="0"/>
    <s v="Procurement"/>
    <x v="16"/>
    <x v="20"/>
    <m/>
    <m/>
    <m/>
    <m/>
    <n v="653.29999999999995"/>
    <m/>
    <n v="0.1"/>
    <n v="65.33"/>
    <m/>
    <m/>
    <m/>
  </r>
  <r>
    <x v="32"/>
    <x v="2"/>
    <s v="USAF"/>
    <x v="0"/>
    <s v="Procurement"/>
    <x v="17"/>
    <x v="10"/>
    <m/>
    <m/>
    <m/>
    <m/>
    <n v="653.29999999999995"/>
    <m/>
    <n v="0.1"/>
    <n v="65.33"/>
    <m/>
    <m/>
    <m/>
  </r>
  <r>
    <x v="32"/>
    <x v="0"/>
    <s v="SOCOM"/>
    <x v="0"/>
    <s v="Procurement"/>
    <x v="12"/>
    <x v="19"/>
    <m/>
    <m/>
    <m/>
    <m/>
    <n v="147"/>
    <m/>
    <n v="0.35"/>
    <n v="51.449999999999996"/>
    <m/>
    <m/>
    <m/>
  </r>
  <r>
    <x v="32"/>
    <x v="0"/>
    <s v="SOCOM"/>
    <x v="0"/>
    <s v="Procurement"/>
    <x v="13"/>
    <x v="16"/>
    <m/>
    <m/>
    <m/>
    <m/>
    <n v="147"/>
    <m/>
    <n v="0.3"/>
    <n v="44.1"/>
    <m/>
    <m/>
    <m/>
  </r>
  <r>
    <x v="32"/>
    <x v="0"/>
    <s v="SOCOM"/>
    <x v="0"/>
    <s v="Procurement"/>
    <x v="0"/>
    <x v="0"/>
    <m/>
    <m/>
    <m/>
    <m/>
    <n v="147"/>
    <m/>
    <n v="0.15"/>
    <n v="22.05"/>
    <m/>
    <m/>
    <m/>
  </r>
  <r>
    <x v="32"/>
    <x v="0"/>
    <s v="SOCOM"/>
    <x v="0"/>
    <s v="Procurement"/>
    <x v="16"/>
    <x v="20"/>
    <m/>
    <m/>
    <m/>
    <m/>
    <n v="147"/>
    <m/>
    <n v="0.1"/>
    <n v="14.700000000000001"/>
    <m/>
    <m/>
    <m/>
  </r>
  <r>
    <x v="32"/>
    <x v="0"/>
    <s v="SOCOM"/>
    <x v="0"/>
    <s v="Procurement"/>
    <x v="17"/>
    <x v="10"/>
    <m/>
    <m/>
    <m/>
    <m/>
    <n v="147"/>
    <m/>
    <n v="0.1"/>
    <n v="14.700000000000001"/>
    <m/>
    <m/>
    <m/>
  </r>
  <r>
    <x v="32"/>
    <x v="1"/>
    <s v="SOCOM"/>
    <x v="0"/>
    <s v="Procurement"/>
    <x v="12"/>
    <x v="19"/>
    <m/>
    <m/>
    <m/>
    <m/>
    <n v="130.69999999999999"/>
    <m/>
    <n v="0.35"/>
    <n v="45.74499999999999"/>
    <m/>
    <m/>
    <m/>
  </r>
  <r>
    <x v="32"/>
    <x v="1"/>
    <s v="SOCOM"/>
    <x v="0"/>
    <s v="Procurement"/>
    <x v="13"/>
    <x v="16"/>
    <m/>
    <m/>
    <m/>
    <m/>
    <n v="130.69999999999999"/>
    <m/>
    <n v="0.3"/>
    <n v="39.209999999999994"/>
    <m/>
    <m/>
    <m/>
  </r>
  <r>
    <x v="32"/>
    <x v="1"/>
    <s v="SOCOM"/>
    <x v="0"/>
    <s v="Procurement"/>
    <x v="0"/>
    <x v="0"/>
    <m/>
    <m/>
    <m/>
    <m/>
    <n v="130.69999999999999"/>
    <m/>
    <n v="0.15"/>
    <n v="19.604999999999997"/>
    <m/>
    <m/>
    <m/>
  </r>
  <r>
    <x v="32"/>
    <x v="1"/>
    <s v="SOCOM"/>
    <x v="0"/>
    <s v="Procurement"/>
    <x v="16"/>
    <x v="20"/>
    <m/>
    <m/>
    <m/>
    <m/>
    <n v="130.69999999999999"/>
    <m/>
    <n v="0.1"/>
    <n v="13.07"/>
    <m/>
    <m/>
    <m/>
  </r>
  <r>
    <x v="32"/>
    <x v="1"/>
    <s v="SOCOM"/>
    <x v="0"/>
    <s v="Procurement"/>
    <x v="17"/>
    <x v="10"/>
    <m/>
    <m/>
    <m/>
    <m/>
    <n v="130.69999999999999"/>
    <m/>
    <n v="0.1"/>
    <n v="13.07"/>
    <m/>
    <m/>
    <m/>
  </r>
  <r>
    <x v="32"/>
    <x v="2"/>
    <s v="SOCOM"/>
    <x v="0"/>
    <s v="Procurement"/>
    <x v="12"/>
    <x v="19"/>
    <m/>
    <m/>
    <m/>
    <m/>
    <n v="117"/>
    <m/>
    <n v="0.35"/>
    <n v="40.949999999999996"/>
    <m/>
    <m/>
    <m/>
  </r>
  <r>
    <x v="32"/>
    <x v="2"/>
    <s v="SOCOM"/>
    <x v="0"/>
    <s v="Procurement"/>
    <x v="13"/>
    <x v="16"/>
    <m/>
    <m/>
    <m/>
    <m/>
    <n v="117"/>
    <m/>
    <n v="0.3"/>
    <n v="35.1"/>
    <m/>
    <m/>
    <m/>
  </r>
  <r>
    <x v="32"/>
    <x v="2"/>
    <s v="SOCOM"/>
    <x v="0"/>
    <s v="Procurement"/>
    <x v="0"/>
    <x v="0"/>
    <m/>
    <m/>
    <m/>
    <m/>
    <n v="117"/>
    <m/>
    <n v="0.15"/>
    <n v="17.55"/>
    <m/>
    <m/>
    <m/>
  </r>
  <r>
    <x v="32"/>
    <x v="2"/>
    <s v="SOCOM"/>
    <x v="0"/>
    <s v="Procurement"/>
    <x v="16"/>
    <x v="20"/>
    <m/>
    <m/>
    <m/>
    <m/>
    <n v="117"/>
    <m/>
    <n v="0.1"/>
    <n v="11.700000000000001"/>
    <m/>
    <m/>
    <m/>
  </r>
  <r>
    <x v="32"/>
    <x v="2"/>
    <s v="SOCOM"/>
    <x v="0"/>
    <s v="Procurement"/>
    <x v="17"/>
    <x v="10"/>
    <m/>
    <m/>
    <m/>
    <m/>
    <n v="117"/>
    <m/>
    <n v="0.1"/>
    <n v="11.700000000000001"/>
    <m/>
    <m/>
    <m/>
  </r>
  <r>
    <x v="33"/>
    <x v="0"/>
    <s v="Joint Service"/>
    <x v="0"/>
    <s v="RDT&amp;E"/>
    <x v="1"/>
    <x v="12"/>
    <m/>
    <m/>
    <m/>
    <m/>
    <n v="70.8"/>
    <m/>
    <n v="1"/>
    <n v="70.8"/>
    <m/>
    <m/>
    <m/>
  </r>
  <r>
    <x v="33"/>
    <x v="1"/>
    <s v="Joint Service"/>
    <x v="0"/>
    <s v="RDT&amp;E"/>
    <x v="1"/>
    <x v="12"/>
    <m/>
    <m/>
    <m/>
    <m/>
    <n v="20.6"/>
    <m/>
    <n v="1"/>
    <n v="20.6"/>
    <m/>
    <m/>
    <m/>
  </r>
  <r>
    <x v="33"/>
    <x v="2"/>
    <s v="Joint Service"/>
    <x v="0"/>
    <s v="RDT&amp;E"/>
    <x v="1"/>
    <x v="12"/>
    <m/>
    <m/>
    <m/>
    <m/>
    <n v="33.299999999999997"/>
    <m/>
    <n v="1"/>
    <n v="33.299999999999997"/>
    <m/>
    <m/>
    <m/>
  </r>
  <r>
    <x v="33"/>
    <x v="0"/>
    <s v="US Army"/>
    <x v="0"/>
    <s v="Procurement"/>
    <x v="1"/>
    <x v="12"/>
    <m/>
    <m/>
    <m/>
    <m/>
    <n v="1398.1"/>
    <m/>
    <n v="1"/>
    <n v="1398.1"/>
    <m/>
    <m/>
    <m/>
  </r>
  <r>
    <x v="33"/>
    <x v="1"/>
    <s v="US Army"/>
    <x v="0"/>
    <s v="Procurement"/>
    <x v="1"/>
    <x v="12"/>
    <m/>
    <m/>
    <m/>
    <m/>
    <n v="1198.3"/>
    <m/>
    <n v="1"/>
    <n v="1198.3"/>
    <m/>
    <m/>
    <m/>
  </r>
  <r>
    <x v="33"/>
    <x v="2"/>
    <s v="US Army"/>
    <x v="0"/>
    <s v="Procurement"/>
    <x v="1"/>
    <x v="12"/>
    <m/>
    <m/>
    <m/>
    <m/>
    <n v="1168.3"/>
    <m/>
    <n v="1"/>
    <n v="1168.3"/>
    <m/>
    <m/>
    <m/>
  </r>
  <r>
    <x v="33"/>
    <x v="0"/>
    <s v="USN"/>
    <x v="0"/>
    <s v="Procurement"/>
    <x v="1"/>
    <x v="12"/>
    <m/>
    <m/>
    <m/>
    <m/>
    <n v="200"/>
    <m/>
    <n v="1"/>
    <n v="200"/>
    <m/>
    <m/>
    <m/>
  </r>
  <r>
    <x v="33"/>
    <x v="1"/>
    <s v="USN"/>
    <x v="0"/>
    <s v="Procurement"/>
    <x v="1"/>
    <x v="12"/>
    <m/>
    <m/>
    <m/>
    <m/>
    <n v="1.6"/>
    <m/>
    <n v="1"/>
    <n v="1.6"/>
    <m/>
    <m/>
    <m/>
  </r>
  <r>
    <x v="33"/>
    <x v="2"/>
    <s v="USN"/>
    <x v="0"/>
    <s v="Procurement"/>
    <x v="1"/>
    <x v="12"/>
    <m/>
    <m/>
    <m/>
    <m/>
    <n v="61.5"/>
    <m/>
    <n v="1"/>
    <n v="61.5"/>
    <m/>
    <m/>
    <m/>
  </r>
  <r>
    <x v="34"/>
    <x v="0"/>
    <s v="US Army"/>
    <x v="0"/>
    <s v="RDT&amp;E"/>
    <x v="1"/>
    <x v="12"/>
    <m/>
    <m/>
    <m/>
    <m/>
    <n v="262.8"/>
    <m/>
    <n v="1"/>
    <n v="262.8"/>
    <m/>
    <m/>
    <s v="While the U.S. Navy is exploring a future surface-launch variant, FY2026 funding is entirely Army-managed — Navy participation remains exploratory at this stage."/>
  </r>
  <r>
    <x v="34"/>
    <x v="1"/>
    <s v="US Army"/>
    <x v="0"/>
    <s v="RDT&amp;E"/>
    <x v="1"/>
    <x v="12"/>
    <m/>
    <m/>
    <m/>
    <m/>
    <n v="184"/>
    <m/>
    <n v="1"/>
    <n v="184"/>
    <m/>
    <m/>
    <m/>
  </r>
  <r>
    <x v="34"/>
    <x v="2"/>
    <s v="US Army"/>
    <x v="0"/>
    <s v="RDT&amp;E"/>
    <x v="1"/>
    <x v="12"/>
    <m/>
    <m/>
    <m/>
    <m/>
    <n v="197.2"/>
    <m/>
    <n v="1"/>
    <n v="197.2"/>
    <m/>
    <m/>
    <m/>
  </r>
  <r>
    <x v="34"/>
    <x v="0"/>
    <s v="US Army"/>
    <x v="0"/>
    <s v="Procurement"/>
    <x v="1"/>
    <x v="12"/>
    <m/>
    <m/>
    <n v="98"/>
    <m/>
    <n v="1048.5"/>
    <m/>
    <n v="1"/>
    <n v="1048.5"/>
    <m/>
    <m/>
    <m/>
  </r>
  <r>
    <x v="34"/>
    <x v="1"/>
    <s v="US Army"/>
    <x v="0"/>
    <s v="Procurement"/>
    <x v="1"/>
    <x v="12"/>
    <m/>
    <m/>
    <n v="230"/>
    <m/>
    <n v="457.5"/>
    <m/>
    <n v="1"/>
    <n v="457.5"/>
    <m/>
    <m/>
    <m/>
  </r>
  <r>
    <x v="34"/>
    <x v="2"/>
    <s v="US Army"/>
    <x v="0"/>
    <s v="Procurement"/>
    <x v="1"/>
    <x v="12"/>
    <m/>
    <m/>
    <n v="152"/>
    <m/>
    <n v="363.7"/>
    <m/>
    <n v="1"/>
    <n v="363.7"/>
    <m/>
    <m/>
    <m/>
  </r>
  <r>
    <x v="35"/>
    <x v="0"/>
    <s v="USN"/>
    <x v="0"/>
    <s v="RDT&amp;E"/>
    <x v="1"/>
    <x v="21"/>
    <m/>
    <m/>
    <m/>
    <m/>
    <n v="326.3"/>
    <m/>
    <n v="1"/>
    <n v="326.3"/>
    <m/>
    <m/>
    <s v="Trident"/>
  </r>
  <r>
    <x v="35"/>
    <x v="1"/>
    <s v="USN"/>
    <x v="0"/>
    <s v="RDT&amp;E"/>
    <x v="1"/>
    <x v="21"/>
    <m/>
    <m/>
    <m/>
    <m/>
    <n v="335.3"/>
    <m/>
    <n v="1"/>
    <n v="335.3"/>
    <m/>
    <m/>
    <m/>
  </r>
  <r>
    <x v="35"/>
    <x v="2"/>
    <s v="USN"/>
    <x v="0"/>
    <s v="RDT&amp;E"/>
    <x v="1"/>
    <x v="21"/>
    <m/>
    <m/>
    <m/>
    <m/>
    <n v="807.1"/>
    <m/>
    <n v="1"/>
    <n v="807.1"/>
    <m/>
    <m/>
    <m/>
  </r>
  <r>
    <x v="35"/>
    <x v="0"/>
    <s v="USN"/>
    <x v="0"/>
    <s v="Procurement"/>
    <x v="1"/>
    <x v="21"/>
    <m/>
    <m/>
    <m/>
    <m/>
    <n v="1545.8"/>
    <m/>
    <n v="1"/>
    <n v="1545.8"/>
    <m/>
    <m/>
    <m/>
  </r>
  <r>
    <x v="35"/>
    <x v="1"/>
    <s v="USN"/>
    <x v="0"/>
    <s v="Procurement"/>
    <x v="1"/>
    <x v="21"/>
    <m/>
    <m/>
    <m/>
    <m/>
    <n v="2057.8000000000002"/>
    <m/>
    <n v="1"/>
    <n v="2057.8000000000002"/>
    <m/>
    <m/>
    <m/>
  </r>
  <r>
    <x v="35"/>
    <x v="2"/>
    <s v="USN"/>
    <x v="0"/>
    <s v="Procurement"/>
    <x v="1"/>
    <x v="21"/>
    <m/>
    <m/>
    <m/>
    <m/>
    <n v="2934.9"/>
    <m/>
    <n v="1"/>
    <n v="2934.9"/>
    <m/>
    <m/>
    <m/>
  </r>
  <r>
    <x v="36"/>
    <x v="0"/>
    <s v="USN"/>
    <x v="0"/>
    <s v="RDT&amp;E"/>
    <x v="0"/>
    <x v="0"/>
    <m/>
    <m/>
    <m/>
    <m/>
    <n v="366.2"/>
    <m/>
    <n v="1"/>
    <n v="366.2"/>
    <m/>
    <m/>
    <m/>
  </r>
  <r>
    <x v="36"/>
    <x v="1"/>
    <s v="USN"/>
    <x v="0"/>
    <s v="RDT&amp;E"/>
    <x v="0"/>
    <x v="0"/>
    <m/>
    <m/>
    <m/>
    <m/>
    <n v="288.3"/>
    <m/>
    <n v="1"/>
    <n v="288.3"/>
    <m/>
    <m/>
    <m/>
  </r>
  <r>
    <x v="36"/>
    <x v="2"/>
    <s v="USN"/>
    <x v="0"/>
    <s v="RDT&amp;E"/>
    <x v="0"/>
    <x v="0"/>
    <m/>
    <m/>
    <m/>
    <m/>
    <n v="413"/>
    <m/>
    <n v="1"/>
    <n v="413"/>
    <m/>
    <m/>
    <m/>
  </r>
  <r>
    <x v="36"/>
    <x v="0"/>
    <s v="USN"/>
    <x v="0"/>
    <s v="Procurement"/>
    <x v="0"/>
    <x v="0"/>
    <m/>
    <m/>
    <n v="97"/>
    <m/>
    <n v="1137.5"/>
    <m/>
    <n v="1"/>
    <n v="1137.5"/>
    <m/>
    <m/>
    <m/>
  </r>
  <r>
    <x v="36"/>
    <x v="1"/>
    <s v="USN"/>
    <x v="0"/>
    <s v="Procurement"/>
    <x v="0"/>
    <x v="0"/>
    <m/>
    <m/>
    <n v="78"/>
    <m/>
    <n v="694.4"/>
    <m/>
    <n v="1"/>
    <n v="694.4"/>
    <m/>
    <m/>
    <m/>
  </r>
  <r>
    <x v="36"/>
    <x v="2"/>
    <s v="USN"/>
    <x v="0"/>
    <s v="Procurement"/>
    <x v="0"/>
    <x v="0"/>
    <m/>
    <m/>
    <n v="139"/>
    <m/>
    <n v="849.5"/>
    <m/>
    <n v="1"/>
    <n v="849.5"/>
    <m/>
    <m/>
    <m/>
  </r>
  <r>
    <x v="37"/>
    <x v="0"/>
    <s v="Joint Service"/>
    <x v="0"/>
    <s v="RDT&amp;E"/>
    <x v="0"/>
    <x v="0"/>
    <m/>
    <m/>
    <m/>
    <m/>
    <n v="119.5"/>
    <m/>
    <n v="1"/>
    <n v="119.5"/>
    <m/>
    <m/>
    <s v="Tomahawk"/>
  </r>
  <r>
    <x v="37"/>
    <x v="1"/>
    <s v="Joint Service"/>
    <x v="0"/>
    <s v="RDT&amp;E"/>
    <x v="0"/>
    <x v="0"/>
    <m/>
    <m/>
    <m/>
    <m/>
    <n v="166.2"/>
    <m/>
    <n v="1"/>
    <n v="166.2"/>
    <m/>
    <m/>
    <m/>
  </r>
  <r>
    <x v="37"/>
    <x v="2"/>
    <s v="Joint Service"/>
    <x v="0"/>
    <s v="RDT&amp;E"/>
    <x v="0"/>
    <x v="0"/>
    <m/>
    <m/>
    <m/>
    <m/>
    <n v="151.19999999999999"/>
    <m/>
    <n v="1"/>
    <n v="151.19999999999999"/>
    <m/>
    <m/>
    <m/>
  </r>
  <r>
    <x v="37"/>
    <x v="0"/>
    <s v="US Army"/>
    <x v="0"/>
    <s v="Procurement"/>
    <x v="0"/>
    <x v="0"/>
    <m/>
    <m/>
    <m/>
    <m/>
    <n v="5"/>
    <m/>
    <n v="1"/>
    <n v="5"/>
    <m/>
    <m/>
    <m/>
  </r>
  <r>
    <x v="37"/>
    <x v="0"/>
    <s v="USN"/>
    <x v="0"/>
    <s v="Procurement"/>
    <x v="0"/>
    <x v="0"/>
    <m/>
    <m/>
    <m/>
    <m/>
    <n v="665.6"/>
    <m/>
    <n v="1"/>
    <n v="665.6"/>
    <m/>
    <m/>
    <m/>
  </r>
  <r>
    <x v="37"/>
    <x v="1"/>
    <s v="USN"/>
    <x v="0"/>
    <s v="Procurement"/>
    <x v="0"/>
    <x v="0"/>
    <m/>
    <m/>
    <m/>
    <m/>
    <n v="429"/>
    <m/>
    <n v="1"/>
    <n v="429"/>
    <m/>
    <m/>
    <m/>
  </r>
  <r>
    <x v="37"/>
    <x v="2"/>
    <s v="USN"/>
    <x v="0"/>
    <s v="Procurement"/>
    <x v="0"/>
    <x v="0"/>
    <m/>
    <m/>
    <n v="57"/>
    <m/>
    <n v="795"/>
    <m/>
    <n v="1"/>
    <n v="795"/>
    <m/>
    <m/>
    <m/>
  </r>
  <r>
    <x v="37"/>
    <x v="0"/>
    <s v="USMC"/>
    <x v="0"/>
    <s v="Procurement"/>
    <x v="0"/>
    <x v="0"/>
    <m/>
    <m/>
    <n v="30"/>
    <m/>
    <n v="93.6"/>
    <m/>
    <n v="1"/>
    <n v="93.6"/>
    <m/>
    <m/>
    <m/>
  </r>
  <r>
    <x v="37"/>
    <x v="1"/>
    <s v="USMC"/>
    <x v="0"/>
    <s v="Procurement"/>
    <x v="0"/>
    <x v="0"/>
    <m/>
    <m/>
    <n v="22"/>
    <m/>
    <n v="112.5"/>
    <m/>
    <n v="1"/>
    <n v="112.5"/>
    <m/>
    <m/>
    <m/>
  </r>
  <r>
    <x v="38"/>
    <x v="0"/>
    <s v="USAF"/>
    <x v="0"/>
    <s v="RDT&amp;E"/>
    <x v="6"/>
    <x v="9"/>
    <m/>
    <m/>
    <m/>
    <m/>
    <n v="4237.3"/>
    <m/>
    <n v="1"/>
    <n v="4237.3"/>
    <m/>
    <m/>
    <m/>
  </r>
  <r>
    <x v="38"/>
    <x v="1"/>
    <s v="USAF"/>
    <x v="0"/>
    <s v="RDT&amp;E"/>
    <x v="6"/>
    <x v="9"/>
    <m/>
    <m/>
    <m/>
    <m/>
    <n v="2011"/>
    <m/>
    <n v="1"/>
    <n v="2011"/>
    <m/>
    <m/>
    <m/>
  </r>
  <r>
    <x v="38"/>
    <x v="2"/>
    <s v="USAF"/>
    <x v="0"/>
    <s v="RDT&amp;E"/>
    <x v="6"/>
    <x v="9"/>
    <m/>
    <m/>
    <m/>
    <m/>
    <n v="4147.6000000000004"/>
    <m/>
    <n v="1"/>
    <n v="4147.6000000000004"/>
    <m/>
    <m/>
    <m/>
  </r>
  <r>
    <x v="39"/>
    <x v="0"/>
    <s v="USAF"/>
    <x v="0"/>
    <s v="RDT&amp;E"/>
    <x v="0"/>
    <x v="0"/>
    <m/>
    <m/>
    <m/>
    <m/>
    <n v="856.9"/>
    <m/>
    <n v="1"/>
    <n v="856.9"/>
    <m/>
    <m/>
    <m/>
  </r>
  <r>
    <x v="39"/>
    <x v="1"/>
    <s v="USAF"/>
    <x v="0"/>
    <s v="RDT&amp;E"/>
    <x v="0"/>
    <x v="0"/>
    <m/>
    <m/>
    <m/>
    <m/>
    <n v="593.9"/>
    <m/>
    <n v="1"/>
    <n v="593.9"/>
    <m/>
    <m/>
    <m/>
  </r>
  <r>
    <x v="39"/>
    <x v="2"/>
    <s v="USAF"/>
    <x v="0"/>
    <s v="RDT&amp;E"/>
    <x v="0"/>
    <x v="0"/>
    <m/>
    <m/>
    <m/>
    <m/>
    <n v="607"/>
    <m/>
    <n v="1"/>
    <n v="607"/>
    <m/>
    <m/>
    <m/>
  </r>
  <r>
    <x v="39"/>
    <x v="0"/>
    <s v="USAF"/>
    <x v="0"/>
    <s v="Procurement"/>
    <x v="0"/>
    <x v="0"/>
    <m/>
    <m/>
    <m/>
    <m/>
    <n v="66.8"/>
    <m/>
    <n v="1"/>
    <n v="66.8"/>
    <m/>
    <m/>
    <m/>
  </r>
  <r>
    <x v="39"/>
    <x v="1"/>
    <s v="USAF"/>
    <x v="0"/>
    <s v="Procurement"/>
    <x v="0"/>
    <x v="0"/>
    <m/>
    <m/>
    <m/>
    <m/>
    <n v="210.3"/>
    <m/>
    <n v="1"/>
    <n v="210.3"/>
    <m/>
    <m/>
    <m/>
  </r>
  <r>
    <x v="39"/>
    <x v="2"/>
    <s v="USAF"/>
    <x v="0"/>
    <s v="Procurement"/>
    <x v="0"/>
    <x v="0"/>
    <m/>
    <m/>
    <m/>
    <m/>
    <n v="443.7"/>
    <m/>
    <n v="1"/>
    <n v="443.7"/>
    <m/>
    <m/>
    <m/>
  </r>
  <r>
    <x v="40"/>
    <x v="0"/>
    <s v="USSF"/>
    <x v="0"/>
    <s v="RDT&amp;E"/>
    <x v="6"/>
    <x v="21"/>
    <m/>
    <m/>
    <m/>
    <m/>
    <n v="258.60000000000002"/>
    <m/>
    <n v="0.2"/>
    <n v="51.720000000000006"/>
    <m/>
    <m/>
    <s v="Space Force Launch Enterprise"/>
  </r>
  <r>
    <x v="40"/>
    <x v="0"/>
    <s v="USSF"/>
    <x v="0"/>
    <s v="RDT&amp;E"/>
    <x v="18"/>
    <x v="10"/>
    <m/>
    <m/>
    <m/>
    <m/>
    <n v="258.60000000000002"/>
    <m/>
    <n v="0.25"/>
    <n v="64.650000000000006"/>
    <m/>
    <m/>
    <m/>
  </r>
  <r>
    <x v="40"/>
    <x v="0"/>
    <s v="USSF"/>
    <x v="0"/>
    <s v="RDT&amp;E"/>
    <x v="19"/>
    <x v="10"/>
    <m/>
    <m/>
    <m/>
    <m/>
    <n v="258.60000000000002"/>
    <m/>
    <n v="0.25"/>
    <n v="64.650000000000006"/>
    <m/>
    <m/>
    <m/>
  </r>
  <r>
    <x v="40"/>
    <x v="0"/>
    <s v="USSF"/>
    <x v="0"/>
    <s v="RDT&amp;E"/>
    <x v="20"/>
    <x v="10"/>
    <m/>
    <m/>
    <m/>
    <m/>
    <n v="258.60000000000002"/>
    <m/>
    <n v="0.15"/>
    <n v="38.79"/>
    <m/>
    <m/>
    <m/>
  </r>
  <r>
    <x v="40"/>
    <x v="0"/>
    <s v="USSF"/>
    <x v="0"/>
    <s v="RDT&amp;E"/>
    <x v="21"/>
    <x v="10"/>
    <m/>
    <m/>
    <m/>
    <m/>
    <n v="258.60000000000002"/>
    <m/>
    <n v="0.1"/>
    <n v="25.860000000000003"/>
    <m/>
    <m/>
    <m/>
  </r>
  <r>
    <x v="40"/>
    <x v="0"/>
    <s v="USSF"/>
    <x v="0"/>
    <s v="RDT&amp;E"/>
    <x v="22"/>
    <x v="10"/>
    <m/>
    <m/>
    <m/>
    <m/>
    <n v="258.60000000000002"/>
    <m/>
    <n v="0.05"/>
    <n v="12.930000000000001"/>
    <m/>
    <m/>
    <m/>
  </r>
  <r>
    <x v="40"/>
    <x v="1"/>
    <s v="USSF"/>
    <x v="0"/>
    <s v="RDT&amp;E"/>
    <x v="6"/>
    <x v="21"/>
    <m/>
    <m/>
    <m/>
    <m/>
    <n v="248.1"/>
    <m/>
    <n v="0.2"/>
    <n v="49.620000000000005"/>
    <m/>
    <m/>
    <m/>
  </r>
  <r>
    <x v="40"/>
    <x v="1"/>
    <s v="USSF"/>
    <x v="0"/>
    <s v="RDT&amp;E"/>
    <x v="18"/>
    <x v="10"/>
    <m/>
    <m/>
    <m/>
    <m/>
    <n v="248.1"/>
    <m/>
    <n v="0.25"/>
    <n v="62.024999999999999"/>
    <m/>
    <m/>
    <m/>
  </r>
  <r>
    <x v="40"/>
    <x v="1"/>
    <s v="USSF"/>
    <x v="0"/>
    <s v="RDT&amp;E"/>
    <x v="19"/>
    <x v="10"/>
    <m/>
    <m/>
    <m/>
    <m/>
    <n v="248.1"/>
    <m/>
    <n v="0.25"/>
    <n v="62.024999999999999"/>
    <m/>
    <m/>
    <m/>
  </r>
  <r>
    <x v="40"/>
    <x v="1"/>
    <s v="USSF"/>
    <x v="0"/>
    <s v="RDT&amp;E"/>
    <x v="20"/>
    <x v="10"/>
    <m/>
    <m/>
    <m/>
    <m/>
    <n v="248.1"/>
    <m/>
    <n v="0.15"/>
    <n v="37.214999999999996"/>
    <m/>
    <m/>
    <m/>
  </r>
  <r>
    <x v="40"/>
    <x v="1"/>
    <s v="USSF"/>
    <x v="0"/>
    <s v="RDT&amp;E"/>
    <x v="21"/>
    <x v="10"/>
    <m/>
    <m/>
    <m/>
    <m/>
    <n v="248.1"/>
    <m/>
    <n v="0.1"/>
    <n v="24.810000000000002"/>
    <m/>
    <m/>
    <m/>
  </r>
  <r>
    <x v="40"/>
    <x v="1"/>
    <s v="USSF"/>
    <x v="0"/>
    <s v="RDT&amp;E"/>
    <x v="22"/>
    <x v="10"/>
    <m/>
    <m/>
    <m/>
    <m/>
    <n v="248.1"/>
    <m/>
    <n v="0.05"/>
    <n v="12.405000000000001"/>
    <m/>
    <m/>
    <m/>
  </r>
  <r>
    <x v="40"/>
    <x v="2"/>
    <s v="USSF"/>
    <x v="0"/>
    <s v="RDT&amp;E"/>
    <x v="6"/>
    <x v="21"/>
    <m/>
    <m/>
    <m/>
    <m/>
    <n v="264.2"/>
    <m/>
    <n v="0.2"/>
    <n v="52.84"/>
    <m/>
    <m/>
    <m/>
  </r>
  <r>
    <x v="40"/>
    <x v="2"/>
    <s v="USSF"/>
    <x v="0"/>
    <s v="RDT&amp;E"/>
    <x v="18"/>
    <x v="10"/>
    <m/>
    <m/>
    <m/>
    <m/>
    <n v="264.2"/>
    <m/>
    <n v="0.25"/>
    <n v="66.05"/>
    <m/>
    <m/>
    <m/>
  </r>
  <r>
    <x v="40"/>
    <x v="2"/>
    <s v="USSF"/>
    <x v="0"/>
    <s v="RDT&amp;E"/>
    <x v="19"/>
    <x v="10"/>
    <m/>
    <m/>
    <m/>
    <m/>
    <n v="264.2"/>
    <m/>
    <n v="0.25"/>
    <n v="66.05"/>
    <m/>
    <m/>
    <m/>
  </r>
  <r>
    <x v="40"/>
    <x v="2"/>
    <s v="USSF"/>
    <x v="0"/>
    <s v="RDT&amp;E"/>
    <x v="20"/>
    <x v="10"/>
    <m/>
    <m/>
    <m/>
    <m/>
    <n v="264.2"/>
    <m/>
    <n v="0.15"/>
    <n v="39.629999999999995"/>
    <m/>
    <m/>
    <m/>
  </r>
  <r>
    <x v="40"/>
    <x v="2"/>
    <s v="USSF"/>
    <x v="0"/>
    <s v="RDT&amp;E"/>
    <x v="21"/>
    <x v="10"/>
    <m/>
    <m/>
    <m/>
    <m/>
    <n v="264.2"/>
    <m/>
    <n v="0.1"/>
    <n v="26.42"/>
    <m/>
    <m/>
    <m/>
  </r>
  <r>
    <x v="40"/>
    <x v="2"/>
    <s v="USSF"/>
    <x v="0"/>
    <s v="RDT&amp;E"/>
    <x v="22"/>
    <x v="10"/>
    <m/>
    <m/>
    <m/>
    <m/>
    <n v="264.2"/>
    <m/>
    <n v="0.05"/>
    <n v="13.21"/>
    <m/>
    <m/>
    <m/>
  </r>
  <r>
    <x v="40"/>
    <x v="0"/>
    <s v="USSF"/>
    <x v="0"/>
    <s v="Procurement"/>
    <x v="6"/>
    <x v="21"/>
    <m/>
    <m/>
    <m/>
    <m/>
    <n v="2812.7"/>
    <m/>
    <n v="0.2"/>
    <n v="562.54"/>
    <m/>
    <m/>
    <m/>
  </r>
  <r>
    <x v="40"/>
    <x v="0"/>
    <s v="USSF"/>
    <x v="0"/>
    <s v="Procurement"/>
    <x v="18"/>
    <x v="10"/>
    <m/>
    <m/>
    <m/>
    <m/>
    <n v="2812.7"/>
    <m/>
    <n v="0.25"/>
    <n v="703.17499999999995"/>
    <m/>
    <m/>
    <m/>
  </r>
  <r>
    <x v="40"/>
    <x v="0"/>
    <s v="USSF"/>
    <x v="0"/>
    <s v="Procurement"/>
    <x v="19"/>
    <x v="10"/>
    <m/>
    <m/>
    <m/>
    <m/>
    <n v="2812.7"/>
    <m/>
    <n v="0.25"/>
    <n v="703.17499999999995"/>
    <m/>
    <m/>
    <m/>
  </r>
  <r>
    <x v="40"/>
    <x v="0"/>
    <s v="USSF"/>
    <x v="0"/>
    <s v="Procurement"/>
    <x v="20"/>
    <x v="10"/>
    <m/>
    <m/>
    <m/>
    <m/>
    <n v="2812.7"/>
    <m/>
    <n v="0.15"/>
    <n v="421.90499999999997"/>
    <m/>
    <m/>
    <m/>
  </r>
  <r>
    <x v="40"/>
    <x v="0"/>
    <s v="USSF"/>
    <x v="0"/>
    <s v="Procurement"/>
    <x v="21"/>
    <x v="10"/>
    <m/>
    <m/>
    <m/>
    <m/>
    <n v="2812.7"/>
    <m/>
    <n v="0.1"/>
    <n v="281.27"/>
    <m/>
    <m/>
    <m/>
  </r>
  <r>
    <x v="40"/>
    <x v="0"/>
    <s v="USSF"/>
    <x v="0"/>
    <s v="Procurement"/>
    <x v="22"/>
    <x v="10"/>
    <m/>
    <m/>
    <m/>
    <m/>
    <n v="2812.7"/>
    <m/>
    <n v="0.05"/>
    <n v="140.63499999999999"/>
    <m/>
    <m/>
    <m/>
  </r>
  <r>
    <x v="40"/>
    <x v="1"/>
    <s v="USSF"/>
    <x v="0"/>
    <s v="Procurement"/>
    <x v="6"/>
    <x v="21"/>
    <m/>
    <m/>
    <m/>
    <m/>
    <n v="2190.5"/>
    <m/>
    <n v="0.2"/>
    <n v="438.1"/>
    <m/>
    <m/>
    <m/>
  </r>
  <r>
    <x v="40"/>
    <x v="1"/>
    <s v="USSF"/>
    <x v="0"/>
    <s v="Procurement"/>
    <x v="18"/>
    <x v="10"/>
    <m/>
    <m/>
    <m/>
    <m/>
    <n v="2190.5"/>
    <m/>
    <n v="0.25"/>
    <n v="547.625"/>
    <m/>
    <m/>
    <m/>
  </r>
  <r>
    <x v="40"/>
    <x v="1"/>
    <s v="USSF"/>
    <x v="0"/>
    <s v="Procurement"/>
    <x v="19"/>
    <x v="10"/>
    <m/>
    <m/>
    <m/>
    <m/>
    <n v="2190.5"/>
    <m/>
    <n v="0.25"/>
    <n v="547.625"/>
    <m/>
    <m/>
    <m/>
  </r>
  <r>
    <x v="40"/>
    <x v="1"/>
    <s v="USSF"/>
    <x v="0"/>
    <s v="Procurement"/>
    <x v="20"/>
    <x v="10"/>
    <m/>
    <m/>
    <m/>
    <m/>
    <n v="2190.5"/>
    <m/>
    <n v="0.15"/>
    <n v="328.57499999999999"/>
    <m/>
    <m/>
    <m/>
  </r>
  <r>
    <x v="40"/>
    <x v="1"/>
    <s v="USSF"/>
    <x v="0"/>
    <s v="Procurement"/>
    <x v="21"/>
    <x v="10"/>
    <m/>
    <m/>
    <m/>
    <m/>
    <n v="2190.5"/>
    <m/>
    <n v="0.1"/>
    <n v="219.05"/>
    <m/>
    <m/>
    <m/>
  </r>
  <r>
    <x v="40"/>
    <x v="1"/>
    <s v="USSF"/>
    <x v="0"/>
    <s v="Procurement"/>
    <x v="22"/>
    <x v="10"/>
    <m/>
    <m/>
    <m/>
    <m/>
    <n v="2190.5"/>
    <m/>
    <n v="0.05"/>
    <n v="109.52500000000001"/>
    <m/>
    <m/>
    <m/>
  </r>
  <r>
    <x v="40"/>
    <x v="2"/>
    <s v="USSF"/>
    <x v="0"/>
    <s v="Procurement"/>
    <x v="6"/>
    <x v="21"/>
    <m/>
    <m/>
    <m/>
    <m/>
    <n v="2185.6999999999998"/>
    <m/>
    <n v="0.2"/>
    <n v="437.14"/>
    <m/>
    <m/>
    <m/>
  </r>
  <r>
    <x v="40"/>
    <x v="2"/>
    <s v="USSF"/>
    <x v="0"/>
    <s v="Procurement"/>
    <x v="18"/>
    <x v="10"/>
    <m/>
    <m/>
    <m/>
    <m/>
    <n v="2185.6999999999998"/>
    <m/>
    <n v="0.25"/>
    <n v="546.42499999999995"/>
    <m/>
    <m/>
    <m/>
  </r>
  <r>
    <x v="40"/>
    <x v="2"/>
    <s v="USSF"/>
    <x v="0"/>
    <s v="Procurement"/>
    <x v="19"/>
    <x v="10"/>
    <m/>
    <m/>
    <m/>
    <m/>
    <n v="2185.6999999999998"/>
    <m/>
    <n v="0.25"/>
    <n v="546.42499999999995"/>
    <m/>
    <m/>
    <m/>
  </r>
  <r>
    <x v="40"/>
    <x v="2"/>
    <s v="USSF"/>
    <x v="0"/>
    <s v="Procurement"/>
    <x v="20"/>
    <x v="10"/>
    <m/>
    <m/>
    <m/>
    <m/>
    <n v="2185.6999999999998"/>
    <m/>
    <n v="0.15"/>
    <n v="327.85499999999996"/>
    <m/>
    <m/>
    <m/>
  </r>
  <r>
    <x v="40"/>
    <x v="2"/>
    <s v="USSF"/>
    <x v="0"/>
    <s v="Procurement"/>
    <x v="21"/>
    <x v="10"/>
    <m/>
    <m/>
    <m/>
    <m/>
    <n v="2185.6999999999998"/>
    <m/>
    <n v="0.1"/>
    <n v="218.57"/>
    <m/>
    <m/>
    <m/>
  </r>
  <r>
    <x v="40"/>
    <x v="2"/>
    <s v="USSF"/>
    <x v="0"/>
    <s v="Procurement"/>
    <x v="22"/>
    <x v="10"/>
    <m/>
    <m/>
    <m/>
    <m/>
    <n v="2185.6999999999998"/>
    <m/>
    <n v="0.05"/>
    <n v="109.285"/>
    <m/>
    <m/>
    <m/>
  </r>
  <r>
    <x v="41"/>
    <x v="0"/>
    <s v="USSF"/>
    <x v="0"/>
    <s v="RDT&amp;E"/>
    <x v="1"/>
    <x v="21"/>
    <m/>
    <m/>
    <m/>
    <m/>
    <n v="4756.1000000000004"/>
    <m/>
    <n v="0.55000000000000004"/>
    <n v="2615.8550000000005"/>
    <m/>
    <m/>
    <m/>
  </r>
  <r>
    <x v="41"/>
    <x v="0"/>
    <s v="USSF"/>
    <x v="0"/>
    <s v="RDT&amp;E"/>
    <x v="6"/>
    <x v="21"/>
    <m/>
    <m/>
    <m/>
    <m/>
    <n v="4756.1000000000004"/>
    <m/>
    <n v="0.3"/>
    <n v="1426.8300000000002"/>
    <m/>
    <m/>
    <m/>
  </r>
  <r>
    <x v="41"/>
    <x v="0"/>
    <s v="USSF"/>
    <x v="0"/>
    <s v="RDT&amp;E"/>
    <x v="0"/>
    <x v="0"/>
    <m/>
    <m/>
    <m/>
    <m/>
    <n v="4756.1000000000004"/>
    <m/>
    <n v="0.1"/>
    <n v="475.61000000000007"/>
    <m/>
    <m/>
    <m/>
  </r>
  <r>
    <x v="41"/>
    <x v="0"/>
    <s v="USSF"/>
    <x v="0"/>
    <s v="RDT&amp;E"/>
    <x v="9"/>
    <x v="7"/>
    <m/>
    <m/>
    <m/>
    <m/>
    <n v="4756.1000000000004"/>
    <m/>
    <n v="0.05"/>
    <n v="237.80500000000004"/>
    <m/>
    <m/>
    <m/>
  </r>
  <r>
    <x v="41"/>
    <x v="1"/>
    <s v="USSF"/>
    <x v="0"/>
    <s v="RDT&amp;E"/>
    <x v="1"/>
    <x v="21"/>
    <m/>
    <m/>
    <m/>
    <m/>
    <n v="4701.3"/>
    <m/>
    <n v="0.55000000000000004"/>
    <n v="2585.7150000000001"/>
    <m/>
    <m/>
    <m/>
  </r>
  <r>
    <x v="41"/>
    <x v="1"/>
    <s v="USSF"/>
    <x v="0"/>
    <s v="RDT&amp;E"/>
    <x v="6"/>
    <x v="21"/>
    <m/>
    <m/>
    <m/>
    <m/>
    <n v="4701.3"/>
    <m/>
    <n v="0.3"/>
    <n v="1410.39"/>
    <m/>
    <m/>
    <m/>
  </r>
  <r>
    <x v="41"/>
    <x v="1"/>
    <s v="USSF"/>
    <x v="0"/>
    <s v="RDT&amp;E"/>
    <x v="0"/>
    <x v="0"/>
    <m/>
    <m/>
    <m/>
    <m/>
    <n v="4701.3"/>
    <m/>
    <n v="0.1"/>
    <n v="470.13000000000005"/>
    <m/>
    <m/>
    <m/>
  </r>
  <r>
    <x v="41"/>
    <x v="1"/>
    <s v="USSF"/>
    <x v="0"/>
    <s v="RDT&amp;E"/>
    <x v="9"/>
    <x v="7"/>
    <m/>
    <m/>
    <m/>
    <m/>
    <n v="4701.3"/>
    <m/>
    <n v="0.05"/>
    <n v="235.06500000000003"/>
    <m/>
    <m/>
    <m/>
  </r>
  <r>
    <x v="41"/>
    <x v="2"/>
    <s v="USSF"/>
    <x v="0"/>
    <s v="RDT&amp;E"/>
    <x v="1"/>
    <x v="21"/>
    <m/>
    <m/>
    <m/>
    <m/>
    <n v="12958.8"/>
    <m/>
    <n v="0.55000000000000004"/>
    <n v="7127.34"/>
    <m/>
    <m/>
    <m/>
  </r>
  <r>
    <x v="41"/>
    <x v="2"/>
    <s v="USSF"/>
    <x v="0"/>
    <s v="RDT&amp;E"/>
    <x v="6"/>
    <x v="21"/>
    <m/>
    <m/>
    <m/>
    <m/>
    <n v="12958.8"/>
    <m/>
    <n v="0.3"/>
    <n v="3887.6399999999994"/>
    <m/>
    <m/>
    <m/>
  </r>
  <r>
    <x v="41"/>
    <x v="2"/>
    <s v="USSF"/>
    <x v="0"/>
    <s v="RDT&amp;E"/>
    <x v="0"/>
    <x v="0"/>
    <m/>
    <m/>
    <m/>
    <m/>
    <n v="12958.8"/>
    <m/>
    <n v="0.1"/>
    <n v="1295.8800000000001"/>
    <m/>
    <m/>
    <m/>
  </r>
  <r>
    <x v="41"/>
    <x v="2"/>
    <s v="USSF"/>
    <x v="0"/>
    <s v="RDT&amp;E"/>
    <x v="9"/>
    <x v="7"/>
    <m/>
    <m/>
    <m/>
    <m/>
    <n v="12958.8"/>
    <m/>
    <n v="0.05"/>
    <n v="647.94000000000005"/>
    <m/>
    <m/>
    <m/>
  </r>
  <r>
    <x v="41"/>
    <x v="0"/>
    <s v="USSF"/>
    <x v="0"/>
    <s v="Procurement"/>
    <x v="1"/>
    <x v="21"/>
    <m/>
    <m/>
    <m/>
    <m/>
    <n v="124.6"/>
    <m/>
    <n v="0.55000000000000004"/>
    <n v="68.53"/>
    <m/>
    <m/>
    <m/>
  </r>
  <r>
    <x v="41"/>
    <x v="0"/>
    <s v="USSF"/>
    <x v="0"/>
    <s v="Procurement"/>
    <x v="6"/>
    <x v="21"/>
    <m/>
    <m/>
    <m/>
    <m/>
    <n v="124.6"/>
    <m/>
    <n v="0.3"/>
    <n v="37.379999999999995"/>
    <m/>
    <m/>
    <m/>
  </r>
  <r>
    <x v="41"/>
    <x v="0"/>
    <s v="USSF"/>
    <x v="0"/>
    <s v="Procurement"/>
    <x v="0"/>
    <x v="0"/>
    <m/>
    <m/>
    <m/>
    <m/>
    <n v="124.6"/>
    <m/>
    <n v="0.1"/>
    <n v="12.46"/>
    <m/>
    <m/>
    <m/>
  </r>
  <r>
    <x v="41"/>
    <x v="0"/>
    <s v="USSF"/>
    <x v="0"/>
    <s v="Procurement"/>
    <x v="9"/>
    <x v="7"/>
    <m/>
    <m/>
    <m/>
    <m/>
    <n v="124.6"/>
    <m/>
    <n v="0.05"/>
    <n v="6.23"/>
    <m/>
    <m/>
    <m/>
  </r>
  <r>
    <x v="41"/>
    <x v="2"/>
    <s v="USSF"/>
    <x v="0"/>
    <s v="Procurement"/>
    <x v="1"/>
    <x v="21"/>
    <m/>
    <m/>
    <m/>
    <m/>
    <n v="8"/>
    <m/>
    <n v="0.55000000000000004"/>
    <n v="4.4000000000000004"/>
    <m/>
    <m/>
    <m/>
  </r>
  <r>
    <x v="41"/>
    <x v="2"/>
    <s v="USSF"/>
    <x v="0"/>
    <s v="Procurement"/>
    <x v="6"/>
    <x v="21"/>
    <m/>
    <m/>
    <m/>
    <m/>
    <n v="8"/>
    <m/>
    <n v="0.3"/>
    <n v="2.4"/>
    <m/>
    <m/>
    <m/>
  </r>
  <r>
    <x v="41"/>
    <x v="2"/>
    <s v="USSF"/>
    <x v="0"/>
    <s v="Procurement"/>
    <x v="0"/>
    <x v="0"/>
    <m/>
    <m/>
    <m/>
    <m/>
    <n v="8"/>
    <m/>
    <n v="0.1"/>
    <n v="0.8"/>
    <m/>
    <m/>
    <m/>
  </r>
  <r>
    <x v="41"/>
    <x v="2"/>
    <s v="USSF"/>
    <x v="0"/>
    <s v="Procurement"/>
    <x v="9"/>
    <x v="7"/>
    <m/>
    <m/>
    <m/>
    <m/>
    <n v="8"/>
    <m/>
    <n v="0.05"/>
    <n v="0.4"/>
    <m/>
    <m/>
    <m/>
  </r>
  <r>
    <x v="42"/>
    <x v="0"/>
    <s v="USSF"/>
    <x v="0"/>
    <s v="RDT&amp;E"/>
    <x v="3"/>
    <x v="1"/>
    <m/>
    <m/>
    <m/>
    <m/>
    <n v="3569.7"/>
    <m/>
    <n v="0.35"/>
    <n v="1249.3949999999998"/>
    <m/>
    <m/>
    <m/>
  </r>
  <r>
    <x v="42"/>
    <x v="0"/>
    <s v="USSF"/>
    <x v="0"/>
    <s v="RDT&amp;E"/>
    <x v="6"/>
    <x v="21"/>
    <m/>
    <m/>
    <m/>
    <m/>
    <n v="3569.7"/>
    <m/>
    <n v="0.35"/>
    <n v="1249.3949999999998"/>
    <m/>
    <m/>
    <m/>
  </r>
  <r>
    <x v="42"/>
    <x v="0"/>
    <s v="USSF"/>
    <x v="0"/>
    <s v="RDT&amp;E"/>
    <x v="12"/>
    <x v="10"/>
    <m/>
    <m/>
    <m/>
    <m/>
    <n v="3569.7"/>
    <m/>
    <n v="0.15"/>
    <n v="535.45499999999993"/>
    <m/>
    <m/>
    <m/>
  </r>
  <r>
    <x v="42"/>
    <x v="0"/>
    <s v="USSF"/>
    <x v="0"/>
    <s v="RDT&amp;E"/>
    <x v="0"/>
    <x v="0"/>
    <m/>
    <m/>
    <m/>
    <m/>
    <n v="3569.7"/>
    <m/>
    <n v="0.15"/>
    <n v="535.45499999999993"/>
    <m/>
    <m/>
    <m/>
  </r>
  <r>
    <x v="42"/>
    <x v="1"/>
    <s v="USSF"/>
    <x v="0"/>
    <s v="RDT&amp;E"/>
    <x v="3"/>
    <x v="1"/>
    <m/>
    <m/>
    <m/>
    <m/>
    <n v="4116.5"/>
    <m/>
    <n v="0.35"/>
    <n v="1440.7749999999999"/>
    <m/>
    <m/>
    <m/>
  </r>
  <r>
    <x v="42"/>
    <x v="1"/>
    <s v="USSF"/>
    <x v="0"/>
    <s v="RDT&amp;E"/>
    <x v="6"/>
    <x v="21"/>
    <m/>
    <m/>
    <m/>
    <m/>
    <n v="4116.5"/>
    <m/>
    <n v="0.35"/>
    <n v="1440.7749999999999"/>
    <m/>
    <m/>
    <m/>
  </r>
  <r>
    <x v="42"/>
    <x v="1"/>
    <s v="USSF"/>
    <x v="0"/>
    <s v="RDT&amp;E"/>
    <x v="12"/>
    <x v="10"/>
    <m/>
    <m/>
    <m/>
    <m/>
    <n v="4116.5"/>
    <m/>
    <n v="0.15"/>
    <n v="617.47500000000002"/>
    <m/>
    <m/>
    <m/>
  </r>
  <r>
    <x v="42"/>
    <x v="1"/>
    <s v="USSF"/>
    <x v="0"/>
    <s v="RDT&amp;E"/>
    <x v="0"/>
    <x v="0"/>
    <m/>
    <m/>
    <m/>
    <m/>
    <n v="4116.5"/>
    <m/>
    <n v="0.15"/>
    <n v="617.47500000000002"/>
    <m/>
    <m/>
    <m/>
  </r>
  <r>
    <x v="42"/>
    <x v="2"/>
    <s v="USSF"/>
    <x v="0"/>
    <s v="RDT&amp;E"/>
    <x v="3"/>
    <x v="1"/>
    <m/>
    <m/>
    <m/>
    <m/>
    <n v="5735.6"/>
    <m/>
    <n v="0.35"/>
    <n v="2007.46"/>
    <m/>
    <m/>
    <m/>
  </r>
  <r>
    <x v="42"/>
    <x v="2"/>
    <s v="USSF"/>
    <x v="0"/>
    <s v="RDT&amp;E"/>
    <x v="6"/>
    <x v="21"/>
    <m/>
    <m/>
    <m/>
    <m/>
    <n v="5735.6"/>
    <m/>
    <n v="0.35"/>
    <n v="2007.46"/>
    <m/>
    <m/>
    <m/>
  </r>
  <r>
    <x v="42"/>
    <x v="2"/>
    <s v="USSF"/>
    <x v="0"/>
    <s v="RDT&amp;E"/>
    <x v="12"/>
    <x v="10"/>
    <m/>
    <m/>
    <m/>
    <m/>
    <n v="5735.6"/>
    <m/>
    <n v="0.15"/>
    <n v="860.34"/>
    <m/>
    <m/>
    <m/>
  </r>
  <r>
    <x v="42"/>
    <x v="2"/>
    <s v="USSF"/>
    <x v="0"/>
    <s v="RDT&amp;E"/>
    <x v="0"/>
    <x v="0"/>
    <m/>
    <m/>
    <m/>
    <m/>
    <n v="5735.6"/>
    <m/>
    <n v="0.15"/>
    <n v="860.34"/>
    <m/>
    <m/>
    <m/>
  </r>
  <r>
    <x v="42"/>
    <x v="0"/>
    <s v="USSF"/>
    <x v="0"/>
    <s v="Procurement"/>
    <x v="3"/>
    <x v="1"/>
    <m/>
    <m/>
    <m/>
    <m/>
    <n v="334.8"/>
    <m/>
    <n v="0.35"/>
    <n v="117.17999999999999"/>
    <m/>
    <m/>
    <m/>
  </r>
  <r>
    <x v="42"/>
    <x v="0"/>
    <s v="USSF"/>
    <x v="0"/>
    <s v="Procurement"/>
    <x v="6"/>
    <x v="21"/>
    <m/>
    <m/>
    <m/>
    <m/>
    <n v="334.8"/>
    <m/>
    <n v="0.35"/>
    <n v="117.17999999999999"/>
    <m/>
    <m/>
    <m/>
  </r>
  <r>
    <x v="42"/>
    <x v="0"/>
    <s v="USSF"/>
    <x v="0"/>
    <s v="Procurement"/>
    <x v="12"/>
    <x v="10"/>
    <m/>
    <m/>
    <m/>
    <m/>
    <n v="334.8"/>
    <m/>
    <n v="0.15"/>
    <n v="50.22"/>
    <m/>
    <m/>
    <m/>
  </r>
  <r>
    <x v="42"/>
    <x v="0"/>
    <s v="USSF"/>
    <x v="0"/>
    <s v="Procurement"/>
    <x v="0"/>
    <x v="0"/>
    <m/>
    <m/>
    <m/>
    <m/>
    <n v="334.8"/>
    <m/>
    <n v="0.15"/>
    <n v="50.22"/>
    <m/>
    <m/>
    <m/>
  </r>
  <r>
    <x v="42"/>
    <x v="1"/>
    <s v="USSF"/>
    <x v="0"/>
    <s v="Procurement"/>
    <x v="3"/>
    <x v="1"/>
    <m/>
    <m/>
    <m/>
    <m/>
    <n v="398.2"/>
    <m/>
    <n v="0.35"/>
    <n v="139.36999999999998"/>
    <m/>
    <m/>
    <m/>
  </r>
  <r>
    <x v="42"/>
    <x v="1"/>
    <s v="USSF"/>
    <x v="0"/>
    <s v="Procurement"/>
    <x v="6"/>
    <x v="21"/>
    <m/>
    <m/>
    <m/>
    <m/>
    <n v="398.2"/>
    <m/>
    <n v="0.35"/>
    <n v="139.36999999999998"/>
    <m/>
    <m/>
    <m/>
  </r>
  <r>
    <x v="42"/>
    <x v="1"/>
    <s v="USSF"/>
    <x v="0"/>
    <s v="Procurement"/>
    <x v="12"/>
    <x v="10"/>
    <m/>
    <m/>
    <m/>
    <m/>
    <n v="398.2"/>
    <m/>
    <n v="0.15"/>
    <n v="59.73"/>
    <m/>
    <m/>
    <m/>
  </r>
  <r>
    <x v="42"/>
    <x v="1"/>
    <s v="USSF"/>
    <x v="0"/>
    <s v="Procurement"/>
    <x v="0"/>
    <x v="0"/>
    <m/>
    <m/>
    <m/>
    <m/>
    <n v="398.2"/>
    <m/>
    <n v="0.15"/>
    <n v="59.73"/>
    <m/>
    <m/>
    <m/>
  </r>
  <r>
    <x v="42"/>
    <x v="2"/>
    <s v="USSF"/>
    <x v="0"/>
    <s v="Procurement"/>
    <x v="3"/>
    <x v="1"/>
    <m/>
    <m/>
    <m/>
    <m/>
    <n v="195.8"/>
    <m/>
    <n v="0.35"/>
    <n v="68.53"/>
    <m/>
    <m/>
    <m/>
  </r>
  <r>
    <x v="42"/>
    <x v="2"/>
    <s v="USSF"/>
    <x v="0"/>
    <s v="Procurement"/>
    <x v="6"/>
    <x v="21"/>
    <m/>
    <m/>
    <m/>
    <m/>
    <n v="195.8"/>
    <m/>
    <n v="0.35"/>
    <n v="68.53"/>
    <m/>
    <m/>
    <m/>
  </r>
  <r>
    <x v="42"/>
    <x v="2"/>
    <s v="USSF"/>
    <x v="0"/>
    <s v="Procurement"/>
    <x v="12"/>
    <x v="10"/>
    <m/>
    <m/>
    <m/>
    <m/>
    <n v="195.8"/>
    <m/>
    <n v="0.15"/>
    <n v="29.37"/>
    <m/>
    <m/>
    <m/>
  </r>
  <r>
    <x v="42"/>
    <x v="2"/>
    <s v="USSF"/>
    <x v="0"/>
    <s v="Procurement"/>
    <x v="0"/>
    <x v="0"/>
    <m/>
    <m/>
    <m/>
    <m/>
    <n v="195.8"/>
    <m/>
    <n v="0.15"/>
    <n v="29.37"/>
    <m/>
    <m/>
    <m/>
  </r>
  <r>
    <x v="43"/>
    <x v="0"/>
    <s v="US Army"/>
    <x v="0"/>
    <s v="RDT&amp;E"/>
    <x v="0"/>
    <x v="0"/>
    <m/>
    <m/>
    <m/>
    <m/>
    <n v="3.9"/>
    <m/>
    <n v="0.35"/>
    <n v="1.365"/>
    <m/>
    <m/>
    <m/>
  </r>
  <r>
    <x v="43"/>
    <x v="0"/>
    <s v="US Army"/>
    <x v="0"/>
    <s v="RDT&amp;E"/>
    <x v="9"/>
    <x v="7"/>
    <m/>
    <m/>
    <m/>
    <m/>
    <n v="3.9"/>
    <m/>
    <n v="0.15"/>
    <n v="0.58499999999999996"/>
    <m/>
    <m/>
    <m/>
  </r>
  <r>
    <x v="43"/>
    <x v="0"/>
    <s v="US Army"/>
    <x v="0"/>
    <s v="RDT&amp;E"/>
    <x v="6"/>
    <x v="21"/>
    <m/>
    <m/>
    <m/>
    <m/>
    <n v="3.9"/>
    <m/>
    <n v="0.25"/>
    <n v="0.97499999999999998"/>
    <m/>
    <m/>
    <m/>
  </r>
  <r>
    <x v="43"/>
    <x v="0"/>
    <s v="US Army"/>
    <x v="0"/>
    <s v="RDT&amp;E"/>
    <x v="1"/>
    <x v="12"/>
    <m/>
    <m/>
    <m/>
    <m/>
    <n v="3.9"/>
    <m/>
    <n v="0.25"/>
    <n v="0.97499999999999998"/>
    <m/>
    <m/>
    <m/>
  </r>
  <r>
    <x v="43"/>
    <x v="1"/>
    <s v="US Army"/>
    <x v="0"/>
    <s v="RDT&amp;E"/>
    <x v="0"/>
    <x v="0"/>
    <m/>
    <m/>
    <m/>
    <m/>
    <n v="38.1"/>
    <m/>
    <n v="0.35"/>
    <n v="13.334999999999999"/>
    <m/>
    <m/>
    <m/>
  </r>
  <r>
    <x v="43"/>
    <x v="1"/>
    <s v="US Army"/>
    <x v="0"/>
    <s v="RDT&amp;E"/>
    <x v="9"/>
    <x v="7"/>
    <m/>
    <m/>
    <m/>
    <m/>
    <n v="38.1"/>
    <m/>
    <n v="0.15"/>
    <n v="5.7149999999999999"/>
    <m/>
    <m/>
    <m/>
  </r>
  <r>
    <x v="43"/>
    <x v="1"/>
    <s v="US Army"/>
    <x v="0"/>
    <s v="RDT&amp;E"/>
    <x v="6"/>
    <x v="21"/>
    <m/>
    <m/>
    <m/>
    <m/>
    <n v="38.1"/>
    <m/>
    <n v="0.25"/>
    <n v="9.5250000000000004"/>
    <m/>
    <m/>
    <m/>
  </r>
  <r>
    <x v="43"/>
    <x v="1"/>
    <s v="US Army"/>
    <x v="0"/>
    <s v="RDT&amp;E"/>
    <x v="1"/>
    <x v="12"/>
    <m/>
    <m/>
    <m/>
    <m/>
    <n v="38.1"/>
    <m/>
    <n v="0.25"/>
    <n v="9.5250000000000004"/>
    <m/>
    <m/>
    <m/>
  </r>
  <r>
    <x v="43"/>
    <x v="2"/>
    <s v="US Army"/>
    <x v="0"/>
    <s v="RDT&amp;E"/>
    <x v="0"/>
    <x v="0"/>
    <m/>
    <m/>
    <m/>
    <m/>
    <n v="350"/>
    <m/>
    <n v="0.35"/>
    <n v="122.49999999999999"/>
    <m/>
    <m/>
    <m/>
  </r>
  <r>
    <x v="43"/>
    <x v="2"/>
    <s v="US Army"/>
    <x v="0"/>
    <s v="RDT&amp;E"/>
    <x v="9"/>
    <x v="7"/>
    <m/>
    <m/>
    <m/>
    <m/>
    <n v="350"/>
    <m/>
    <n v="0.15"/>
    <n v="52.5"/>
    <m/>
    <m/>
    <m/>
  </r>
  <r>
    <x v="43"/>
    <x v="2"/>
    <s v="US Army"/>
    <x v="0"/>
    <s v="RDT&amp;E"/>
    <x v="6"/>
    <x v="21"/>
    <m/>
    <m/>
    <m/>
    <m/>
    <n v="350"/>
    <m/>
    <n v="0.25"/>
    <n v="87.5"/>
    <m/>
    <m/>
    <m/>
  </r>
  <r>
    <x v="43"/>
    <x v="2"/>
    <s v="US Army"/>
    <x v="0"/>
    <s v="RDT&amp;E"/>
    <x v="1"/>
    <x v="12"/>
    <m/>
    <m/>
    <m/>
    <m/>
    <n v="350"/>
    <m/>
    <n v="0.25"/>
    <n v="87.5"/>
    <m/>
    <m/>
    <m/>
  </r>
  <r>
    <x v="43"/>
    <x v="0"/>
    <s v="USN"/>
    <x v="0"/>
    <s v="RDT&amp;E"/>
    <x v="0"/>
    <x v="0"/>
    <m/>
    <m/>
    <m/>
    <m/>
    <n v="366.2"/>
    <m/>
    <n v="0.35"/>
    <n v="128.16999999999999"/>
    <m/>
    <m/>
    <m/>
  </r>
  <r>
    <x v="43"/>
    <x v="0"/>
    <s v="USN"/>
    <x v="0"/>
    <s v="RDT&amp;E"/>
    <x v="9"/>
    <x v="7"/>
    <m/>
    <m/>
    <m/>
    <m/>
    <n v="366.2"/>
    <m/>
    <n v="0.15"/>
    <n v="54.93"/>
    <m/>
    <m/>
    <m/>
  </r>
  <r>
    <x v="43"/>
    <x v="0"/>
    <s v="USN"/>
    <x v="0"/>
    <s v="RDT&amp;E"/>
    <x v="6"/>
    <x v="21"/>
    <m/>
    <m/>
    <m/>
    <m/>
    <n v="366.2"/>
    <m/>
    <n v="0.25"/>
    <n v="91.55"/>
    <m/>
    <m/>
    <m/>
  </r>
  <r>
    <x v="43"/>
    <x v="0"/>
    <s v="USN"/>
    <x v="0"/>
    <s v="RDT&amp;E"/>
    <x v="1"/>
    <x v="12"/>
    <m/>
    <m/>
    <m/>
    <m/>
    <n v="366.2"/>
    <m/>
    <n v="0.25"/>
    <n v="91.55"/>
    <m/>
    <m/>
    <m/>
  </r>
  <r>
    <x v="43"/>
    <x v="1"/>
    <s v="USN"/>
    <x v="0"/>
    <s v="RDT&amp;E"/>
    <x v="0"/>
    <x v="0"/>
    <m/>
    <m/>
    <m/>
    <m/>
    <n v="288.3"/>
    <m/>
    <n v="0.35"/>
    <n v="100.905"/>
    <m/>
    <m/>
    <m/>
  </r>
  <r>
    <x v="43"/>
    <x v="1"/>
    <s v="USN"/>
    <x v="0"/>
    <s v="RDT&amp;E"/>
    <x v="9"/>
    <x v="7"/>
    <m/>
    <m/>
    <m/>
    <m/>
    <n v="288.3"/>
    <m/>
    <n v="0.15"/>
    <n v="43.244999999999997"/>
    <m/>
    <m/>
    <m/>
  </r>
  <r>
    <x v="43"/>
    <x v="1"/>
    <s v="USN"/>
    <x v="0"/>
    <s v="RDT&amp;E"/>
    <x v="6"/>
    <x v="21"/>
    <m/>
    <m/>
    <m/>
    <m/>
    <n v="288.3"/>
    <m/>
    <n v="0.25"/>
    <n v="72.075000000000003"/>
    <m/>
    <m/>
    <m/>
  </r>
  <r>
    <x v="43"/>
    <x v="1"/>
    <s v="USN"/>
    <x v="0"/>
    <s v="RDT&amp;E"/>
    <x v="1"/>
    <x v="12"/>
    <m/>
    <m/>
    <m/>
    <m/>
    <n v="288.3"/>
    <m/>
    <n v="0.25"/>
    <n v="72.075000000000003"/>
    <m/>
    <m/>
    <m/>
  </r>
  <r>
    <x v="43"/>
    <x v="2"/>
    <s v="USN"/>
    <x v="0"/>
    <s v="RDT&amp;E"/>
    <x v="0"/>
    <x v="0"/>
    <m/>
    <m/>
    <m/>
    <m/>
    <n v="413"/>
    <m/>
    <n v="0.35"/>
    <n v="144.54999999999998"/>
    <m/>
    <m/>
    <m/>
  </r>
  <r>
    <x v="43"/>
    <x v="2"/>
    <s v="USN"/>
    <x v="0"/>
    <s v="RDT&amp;E"/>
    <x v="9"/>
    <x v="7"/>
    <m/>
    <m/>
    <m/>
    <m/>
    <n v="413"/>
    <m/>
    <n v="0.15"/>
    <n v="61.949999999999996"/>
    <m/>
    <m/>
    <m/>
  </r>
  <r>
    <x v="43"/>
    <x v="2"/>
    <s v="USN"/>
    <x v="0"/>
    <s v="RDT&amp;E"/>
    <x v="6"/>
    <x v="21"/>
    <m/>
    <m/>
    <m/>
    <m/>
    <n v="413"/>
    <m/>
    <n v="0.25"/>
    <n v="103.25"/>
    <m/>
    <m/>
    <m/>
  </r>
  <r>
    <x v="43"/>
    <x v="2"/>
    <s v="USN"/>
    <x v="0"/>
    <s v="RDT&amp;E"/>
    <x v="1"/>
    <x v="12"/>
    <m/>
    <m/>
    <m/>
    <m/>
    <n v="413"/>
    <m/>
    <n v="0.25"/>
    <n v="103.25"/>
    <m/>
    <m/>
    <m/>
  </r>
  <r>
    <x v="43"/>
    <x v="0"/>
    <s v="MDA"/>
    <x v="0"/>
    <s v="RDT&amp;E"/>
    <x v="0"/>
    <x v="0"/>
    <m/>
    <m/>
    <m/>
    <m/>
    <n v="417"/>
    <m/>
    <n v="0.35"/>
    <n v="145.94999999999999"/>
    <m/>
    <m/>
    <m/>
  </r>
  <r>
    <x v="43"/>
    <x v="0"/>
    <s v="MDA"/>
    <x v="0"/>
    <s v="RDT&amp;E"/>
    <x v="9"/>
    <x v="7"/>
    <m/>
    <m/>
    <m/>
    <m/>
    <n v="417"/>
    <m/>
    <n v="0.15"/>
    <n v="62.55"/>
    <m/>
    <m/>
    <m/>
  </r>
  <r>
    <x v="43"/>
    <x v="0"/>
    <s v="MDA"/>
    <x v="0"/>
    <s v="RDT&amp;E"/>
    <x v="6"/>
    <x v="21"/>
    <m/>
    <m/>
    <m/>
    <m/>
    <n v="417"/>
    <m/>
    <n v="0.25"/>
    <n v="104.25"/>
    <m/>
    <m/>
    <m/>
  </r>
  <r>
    <x v="43"/>
    <x v="0"/>
    <s v="MDA"/>
    <x v="0"/>
    <s v="RDT&amp;E"/>
    <x v="1"/>
    <x v="12"/>
    <m/>
    <m/>
    <m/>
    <m/>
    <n v="417"/>
    <m/>
    <n v="0.25"/>
    <n v="104.25"/>
    <m/>
    <m/>
    <m/>
  </r>
  <r>
    <x v="43"/>
    <x v="1"/>
    <s v="MDA"/>
    <x v="0"/>
    <s v="RDT&amp;E"/>
    <x v="0"/>
    <x v="0"/>
    <m/>
    <m/>
    <m/>
    <m/>
    <n v="353"/>
    <m/>
    <n v="0.35"/>
    <n v="123.55"/>
    <m/>
    <m/>
    <m/>
  </r>
  <r>
    <x v="43"/>
    <x v="1"/>
    <s v="MDA"/>
    <x v="0"/>
    <s v="RDT&amp;E"/>
    <x v="9"/>
    <x v="7"/>
    <m/>
    <m/>
    <m/>
    <m/>
    <n v="353"/>
    <m/>
    <n v="0.15"/>
    <n v="52.949999999999996"/>
    <m/>
    <m/>
    <m/>
  </r>
  <r>
    <x v="43"/>
    <x v="1"/>
    <s v="MDA"/>
    <x v="0"/>
    <s v="RDT&amp;E"/>
    <x v="6"/>
    <x v="21"/>
    <m/>
    <m/>
    <m/>
    <m/>
    <n v="353"/>
    <m/>
    <n v="0.25"/>
    <n v="88.25"/>
    <m/>
    <m/>
    <m/>
  </r>
  <r>
    <x v="43"/>
    <x v="1"/>
    <s v="MDA"/>
    <x v="0"/>
    <s v="RDT&amp;E"/>
    <x v="1"/>
    <x v="12"/>
    <m/>
    <m/>
    <m/>
    <m/>
    <n v="353"/>
    <m/>
    <n v="0.25"/>
    <n v="88.25"/>
    <m/>
    <m/>
    <m/>
  </r>
  <r>
    <x v="43"/>
    <x v="2"/>
    <s v="MDA"/>
    <x v="0"/>
    <s v="RDT&amp;E"/>
    <x v="0"/>
    <x v="0"/>
    <m/>
    <m/>
    <m/>
    <m/>
    <n v="612.1"/>
    <m/>
    <n v="0.35"/>
    <n v="214.23499999999999"/>
    <m/>
    <m/>
    <m/>
  </r>
  <r>
    <x v="43"/>
    <x v="2"/>
    <s v="MDA"/>
    <x v="0"/>
    <s v="RDT&amp;E"/>
    <x v="9"/>
    <x v="7"/>
    <m/>
    <m/>
    <m/>
    <m/>
    <n v="612.1"/>
    <m/>
    <n v="0.15"/>
    <n v="91.814999999999998"/>
    <m/>
    <m/>
    <m/>
  </r>
  <r>
    <x v="43"/>
    <x v="2"/>
    <s v="MDA"/>
    <x v="0"/>
    <s v="RDT&amp;E"/>
    <x v="6"/>
    <x v="21"/>
    <m/>
    <m/>
    <m/>
    <m/>
    <n v="612.1"/>
    <m/>
    <n v="0.25"/>
    <n v="153.02500000000001"/>
    <m/>
    <m/>
    <m/>
  </r>
  <r>
    <x v="43"/>
    <x v="2"/>
    <s v="MDA"/>
    <x v="0"/>
    <s v="RDT&amp;E"/>
    <x v="1"/>
    <x v="12"/>
    <m/>
    <m/>
    <m/>
    <m/>
    <n v="612.1"/>
    <m/>
    <n v="0.25"/>
    <n v="153.02500000000001"/>
    <m/>
    <m/>
    <m/>
  </r>
  <r>
    <x v="43"/>
    <x v="0"/>
    <s v="US Army"/>
    <x v="0"/>
    <s v="Procurement"/>
    <x v="0"/>
    <x v="0"/>
    <m/>
    <m/>
    <m/>
    <m/>
    <n v="2814.9"/>
    <m/>
    <n v="0.4"/>
    <n v="1125.96"/>
    <m/>
    <m/>
    <m/>
  </r>
  <r>
    <x v="43"/>
    <x v="0"/>
    <s v="US Army"/>
    <x v="0"/>
    <s v="Procurement"/>
    <x v="9"/>
    <x v="7"/>
    <m/>
    <m/>
    <m/>
    <m/>
    <n v="2814.9"/>
    <m/>
    <n v="0.1"/>
    <n v="281.49"/>
    <m/>
    <m/>
    <m/>
  </r>
  <r>
    <x v="43"/>
    <x v="0"/>
    <s v="US Army"/>
    <x v="0"/>
    <s v="Procurement"/>
    <x v="6"/>
    <x v="21"/>
    <m/>
    <m/>
    <m/>
    <m/>
    <n v="2814.9"/>
    <m/>
    <n v="0.2"/>
    <n v="562.98"/>
    <m/>
    <m/>
    <m/>
  </r>
  <r>
    <x v="43"/>
    <x v="0"/>
    <s v="US Army"/>
    <x v="0"/>
    <s v="Procurement"/>
    <x v="1"/>
    <x v="12"/>
    <m/>
    <m/>
    <m/>
    <m/>
    <n v="2814.9"/>
    <m/>
    <n v="0.3"/>
    <n v="844.47"/>
    <m/>
    <m/>
    <m/>
  </r>
  <r>
    <x v="43"/>
    <x v="1"/>
    <s v="US Army"/>
    <x v="0"/>
    <s v="Procurement"/>
    <x v="0"/>
    <x v="0"/>
    <m/>
    <m/>
    <m/>
    <m/>
    <n v="905.1"/>
    <m/>
    <n v="0.4"/>
    <n v="362.04"/>
    <m/>
    <m/>
    <m/>
  </r>
  <r>
    <x v="43"/>
    <x v="1"/>
    <s v="US Army"/>
    <x v="0"/>
    <s v="Procurement"/>
    <x v="9"/>
    <x v="7"/>
    <m/>
    <m/>
    <m/>
    <m/>
    <n v="905.1"/>
    <m/>
    <n v="0.1"/>
    <n v="90.51"/>
    <m/>
    <m/>
    <m/>
  </r>
  <r>
    <x v="43"/>
    <x v="1"/>
    <s v="US Army"/>
    <x v="0"/>
    <s v="Procurement"/>
    <x v="6"/>
    <x v="21"/>
    <m/>
    <m/>
    <m/>
    <m/>
    <n v="905.1"/>
    <m/>
    <n v="0.2"/>
    <n v="181.02"/>
    <m/>
    <m/>
    <m/>
  </r>
  <r>
    <x v="43"/>
    <x v="1"/>
    <s v="US Army"/>
    <x v="0"/>
    <s v="Procurement"/>
    <x v="1"/>
    <x v="12"/>
    <m/>
    <m/>
    <m/>
    <m/>
    <n v="905.1"/>
    <m/>
    <n v="0.3"/>
    <n v="271.52999999999997"/>
    <m/>
    <m/>
    <m/>
  </r>
  <r>
    <x v="43"/>
    <x v="2"/>
    <s v="US Army"/>
    <x v="0"/>
    <s v="Procurement"/>
    <x v="0"/>
    <x v="0"/>
    <m/>
    <m/>
    <m/>
    <m/>
    <n v="1311.9"/>
    <m/>
    <n v="0.4"/>
    <n v="524.7600000000001"/>
    <m/>
    <m/>
    <m/>
  </r>
  <r>
    <x v="43"/>
    <x v="2"/>
    <s v="US Army"/>
    <x v="0"/>
    <s v="Procurement"/>
    <x v="9"/>
    <x v="7"/>
    <m/>
    <m/>
    <m/>
    <m/>
    <n v="1311.9"/>
    <m/>
    <n v="0.1"/>
    <n v="131.19000000000003"/>
    <m/>
    <m/>
    <m/>
  </r>
  <r>
    <x v="43"/>
    <x v="2"/>
    <s v="US Army"/>
    <x v="0"/>
    <s v="Procurement"/>
    <x v="6"/>
    <x v="21"/>
    <m/>
    <m/>
    <m/>
    <m/>
    <n v="1311.9"/>
    <m/>
    <n v="0.2"/>
    <n v="262.38000000000005"/>
    <m/>
    <m/>
    <m/>
  </r>
  <r>
    <x v="43"/>
    <x v="2"/>
    <s v="US Army"/>
    <x v="0"/>
    <s v="Procurement"/>
    <x v="1"/>
    <x v="12"/>
    <m/>
    <m/>
    <m/>
    <m/>
    <n v="1311.9"/>
    <m/>
    <n v="0.3"/>
    <n v="393.57"/>
    <m/>
    <m/>
    <m/>
  </r>
  <r>
    <x v="44"/>
    <x v="0"/>
    <s v="US Army"/>
    <x v="0"/>
    <s v="RDT&amp;E"/>
    <x v="1"/>
    <x v="12"/>
    <m/>
    <m/>
    <m/>
    <m/>
    <n v="973.4"/>
    <m/>
    <n v="0.4"/>
    <n v="389.36"/>
    <m/>
    <m/>
    <m/>
  </r>
  <r>
    <x v="44"/>
    <x v="0"/>
    <s v="US Army"/>
    <x v="0"/>
    <s v="RDT&amp;E"/>
    <x v="6"/>
    <x v="21"/>
    <m/>
    <m/>
    <m/>
    <m/>
    <n v="973.4"/>
    <m/>
    <n v="0.25"/>
    <n v="243.35"/>
    <m/>
    <m/>
    <m/>
  </r>
  <r>
    <x v="44"/>
    <x v="0"/>
    <s v="US Army"/>
    <x v="0"/>
    <s v="RDT&amp;E"/>
    <x v="15"/>
    <x v="22"/>
    <m/>
    <m/>
    <m/>
    <m/>
    <n v="973.4"/>
    <m/>
    <n v="0.25"/>
    <n v="243.35"/>
    <m/>
    <m/>
    <m/>
  </r>
  <r>
    <x v="44"/>
    <x v="0"/>
    <s v="US Army"/>
    <x v="0"/>
    <s v="RDT&amp;E"/>
    <x v="23"/>
    <x v="10"/>
    <m/>
    <m/>
    <m/>
    <m/>
    <n v="973.4"/>
    <m/>
    <n v="0.1"/>
    <n v="97.34"/>
    <m/>
    <m/>
    <m/>
  </r>
  <r>
    <x v="44"/>
    <x v="1"/>
    <s v="US Army"/>
    <x v="0"/>
    <s v="RDT&amp;E"/>
    <x v="1"/>
    <x v="12"/>
    <m/>
    <m/>
    <m/>
    <m/>
    <n v="469.8"/>
    <m/>
    <n v="0.4"/>
    <n v="187.92000000000002"/>
    <m/>
    <m/>
    <m/>
  </r>
  <r>
    <x v="44"/>
    <x v="1"/>
    <s v="US Army"/>
    <x v="0"/>
    <s v="RDT&amp;E"/>
    <x v="6"/>
    <x v="21"/>
    <m/>
    <m/>
    <m/>
    <m/>
    <n v="469.8"/>
    <m/>
    <n v="0.25"/>
    <n v="117.45"/>
    <m/>
    <m/>
    <m/>
  </r>
  <r>
    <x v="44"/>
    <x v="1"/>
    <s v="US Army"/>
    <x v="0"/>
    <s v="RDT&amp;E"/>
    <x v="15"/>
    <x v="22"/>
    <m/>
    <m/>
    <m/>
    <m/>
    <n v="469.8"/>
    <m/>
    <n v="0.25"/>
    <n v="117.45"/>
    <m/>
    <m/>
    <m/>
  </r>
  <r>
    <x v="44"/>
    <x v="1"/>
    <s v="US Army"/>
    <x v="0"/>
    <s v="RDT&amp;E"/>
    <x v="23"/>
    <x v="10"/>
    <m/>
    <m/>
    <m/>
    <m/>
    <n v="469.8"/>
    <m/>
    <n v="0.1"/>
    <n v="46.980000000000004"/>
    <m/>
    <m/>
    <m/>
  </r>
  <r>
    <x v="44"/>
    <x v="2"/>
    <s v="US Army"/>
    <x v="0"/>
    <s v="RDT&amp;E"/>
    <x v="1"/>
    <x v="12"/>
    <m/>
    <m/>
    <m/>
    <m/>
    <n v="538"/>
    <m/>
    <n v="0.4"/>
    <n v="215.20000000000002"/>
    <m/>
    <m/>
    <m/>
  </r>
  <r>
    <x v="44"/>
    <x v="2"/>
    <s v="US Army"/>
    <x v="0"/>
    <s v="RDT&amp;E"/>
    <x v="6"/>
    <x v="21"/>
    <m/>
    <m/>
    <m/>
    <m/>
    <n v="538"/>
    <m/>
    <n v="0.25"/>
    <n v="134.5"/>
    <m/>
    <m/>
    <m/>
  </r>
  <r>
    <x v="44"/>
    <x v="2"/>
    <s v="US Army"/>
    <x v="0"/>
    <s v="RDT&amp;E"/>
    <x v="15"/>
    <x v="22"/>
    <m/>
    <m/>
    <m/>
    <m/>
    <n v="538"/>
    <m/>
    <n v="0.25"/>
    <n v="134.5"/>
    <m/>
    <m/>
    <m/>
  </r>
  <r>
    <x v="44"/>
    <x v="2"/>
    <s v="US Army"/>
    <x v="0"/>
    <s v="RDT&amp;E"/>
    <x v="23"/>
    <x v="10"/>
    <m/>
    <m/>
    <m/>
    <m/>
    <n v="538"/>
    <m/>
    <n v="0.1"/>
    <n v="53.800000000000004"/>
    <m/>
    <m/>
    <m/>
  </r>
  <r>
    <x v="44"/>
    <x v="0"/>
    <s v="US Army"/>
    <x v="0"/>
    <s v="Procurement"/>
    <x v="1"/>
    <x v="12"/>
    <m/>
    <m/>
    <m/>
    <m/>
    <n v="62.8"/>
    <m/>
    <n v="0.4"/>
    <n v="25.12"/>
    <m/>
    <m/>
    <m/>
  </r>
  <r>
    <x v="44"/>
    <x v="0"/>
    <s v="US Army"/>
    <x v="0"/>
    <s v="Procurement"/>
    <x v="6"/>
    <x v="21"/>
    <m/>
    <m/>
    <m/>
    <m/>
    <n v="62.8"/>
    <m/>
    <n v="0.25"/>
    <n v="15.7"/>
    <m/>
    <m/>
    <m/>
  </r>
  <r>
    <x v="44"/>
    <x v="0"/>
    <s v="US Army"/>
    <x v="0"/>
    <s v="Procurement"/>
    <x v="15"/>
    <x v="22"/>
    <m/>
    <m/>
    <m/>
    <m/>
    <n v="62.8"/>
    <m/>
    <n v="0.25"/>
    <n v="15.7"/>
    <m/>
    <m/>
    <m/>
  </r>
  <r>
    <x v="44"/>
    <x v="0"/>
    <s v="US Army"/>
    <x v="0"/>
    <s v="Procurement"/>
    <x v="23"/>
    <x v="10"/>
    <m/>
    <m/>
    <m/>
    <m/>
    <n v="62.8"/>
    <m/>
    <n v="0.1"/>
    <n v="6.28"/>
    <m/>
    <m/>
    <m/>
  </r>
  <r>
    <x v="44"/>
    <x v="1"/>
    <s v="US Army"/>
    <x v="0"/>
    <s v="Procurement"/>
    <x v="1"/>
    <x v="12"/>
    <m/>
    <m/>
    <m/>
    <m/>
    <n v="669.2"/>
    <m/>
    <n v="0.4"/>
    <n v="267.68"/>
    <m/>
    <m/>
    <m/>
  </r>
  <r>
    <x v="44"/>
    <x v="1"/>
    <s v="US Army"/>
    <x v="0"/>
    <s v="Procurement"/>
    <x v="6"/>
    <x v="21"/>
    <m/>
    <m/>
    <m/>
    <m/>
    <n v="669.2"/>
    <m/>
    <n v="0.25"/>
    <n v="167.3"/>
    <m/>
    <m/>
    <m/>
  </r>
  <r>
    <x v="44"/>
    <x v="1"/>
    <s v="US Army"/>
    <x v="0"/>
    <s v="Procurement"/>
    <x v="15"/>
    <x v="22"/>
    <m/>
    <m/>
    <m/>
    <m/>
    <n v="669.2"/>
    <m/>
    <n v="0.25"/>
    <n v="167.3"/>
    <m/>
    <m/>
    <m/>
  </r>
  <r>
    <x v="44"/>
    <x v="1"/>
    <s v="US Army"/>
    <x v="0"/>
    <s v="Procurement"/>
    <x v="23"/>
    <x v="10"/>
    <m/>
    <m/>
    <m/>
    <m/>
    <n v="669.2"/>
    <m/>
    <n v="0.1"/>
    <n v="66.92"/>
    <m/>
    <m/>
    <m/>
  </r>
  <r>
    <x v="44"/>
    <x v="2"/>
    <s v="US Army"/>
    <x v="0"/>
    <s v="Procurement"/>
    <x v="1"/>
    <x v="12"/>
    <m/>
    <m/>
    <m/>
    <m/>
    <n v="438.4"/>
    <m/>
    <n v="0.4"/>
    <n v="175.36"/>
    <m/>
    <m/>
    <m/>
  </r>
  <r>
    <x v="44"/>
    <x v="2"/>
    <s v="US Army"/>
    <x v="0"/>
    <s v="Procurement"/>
    <x v="6"/>
    <x v="21"/>
    <m/>
    <m/>
    <m/>
    <m/>
    <n v="438.4"/>
    <m/>
    <n v="0.25"/>
    <n v="109.6"/>
    <m/>
    <m/>
    <m/>
  </r>
  <r>
    <x v="44"/>
    <x v="2"/>
    <s v="US Army"/>
    <x v="0"/>
    <s v="Procurement"/>
    <x v="15"/>
    <x v="22"/>
    <m/>
    <m/>
    <m/>
    <m/>
    <n v="438.4"/>
    <m/>
    <n v="0.25"/>
    <n v="109.6"/>
    <m/>
    <m/>
    <m/>
  </r>
  <r>
    <x v="44"/>
    <x v="2"/>
    <s v="US Army"/>
    <x v="0"/>
    <s v="Procurement"/>
    <x v="23"/>
    <x v="10"/>
    <m/>
    <m/>
    <m/>
    <m/>
    <n v="438.4"/>
    <m/>
    <n v="0.1"/>
    <n v="43.84"/>
    <m/>
    <m/>
    <m/>
  </r>
  <r>
    <x v="45"/>
    <x v="0"/>
    <s v="USAF"/>
    <x v="0"/>
    <s v="RDT&amp;E"/>
    <x v="0"/>
    <x v="0"/>
    <m/>
    <m/>
    <m/>
    <m/>
    <n v="333.3"/>
    <m/>
    <n v="0.65"/>
    <n v="216.64500000000001"/>
    <m/>
    <m/>
    <m/>
  </r>
  <r>
    <x v="45"/>
    <x v="1"/>
    <s v="USAF"/>
    <x v="0"/>
    <s v="RDT&amp;E"/>
    <x v="6"/>
    <x v="21"/>
    <m/>
    <m/>
    <m/>
    <m/>
    <n v="333.3"/>
    <m/>
    <n v="0.35"/>
    <n v="116.655"/>
    <m/>
    <m/>
    <m/>
  </r>
  <r>
    <x v="45"/>
    <x v="2"/>
    <s v="USAF"/>
    <x v="0"/>
    <s v="RDT&amp;E"/>
    <x v="0"/>
    <x v="0"/>
    <m/>
    <m/>
    <m/>
    <m/>
    <n v="466.7"/>
    <m/>
    <n v="0.65"/>
    <n v="303.35500000000002"/>
    <m/>
    <m/>
    <m/>
  </r>
  <r>
    <x v="45"/>
    <x v="0"/>
    <s v="USAF"/>
    <x v="0"/>
    <s v="RDT&amp;E"/>
    <x v="6"/>
    <x v="21"/>
    <m/>
    <m/>
    <m/>
    <m/>
    <n v="466.7"/>
    <m/>
    <n v="0.35"/>
    <n v="163.345"/>
    <m/>
    <m/>
    <m/>
  </r>
  <r>
    <x v="45"/>
    <x v="1"/>
    <s v="USAF"/>
    <x v="0"/>
    <s v="RDT&amp;E"/>
    <x v="0"/>
    <x v="0"/>
    <m/>
    <m/>
    <m/>
    <m/>
    <n v="802.8"/>
    <m/>
    <n v="0.65"/>
    <n v="521.81999999999994"/>
    <m/>
    <m/>
    <m/>
  </r>
  <r>
    <x v="45"/>
    <x v="2"/>
    <s v="USAF"/>
    <x v="0"/>
    <s v="RDT&amp;E"/>
    <x v="6"/>
    <x v="21"/>
    <m/>
    <m/>
    <m/>
    <m/>
    <n v="802.8"/>
    <m/>
    <n v="0.35"/>
    <n v="280.97999999999996"/>
    <m/>
    <m/>
    <m/>
  </r>
  <r>
    <x v="46"/>
    <x v="2"/>
    <m/>
    <x v="1"/>
    <s v="Procurement"/>
    <x v="12"/>
    <x v="23"/>
    <m/>
    <m/>
    <m/>
    <n v="1644"/>
    <n v="2202.96"/>
    <m/>
    <n v="0.7"/>
    <n v="1542.0719999999999"/>
    <m/>
    <m/>
    <m/>
  </r>
  <r>
    <x v="46"/>
    <x v="2"/>
    <m/>
    <x v="1"/>
    <s v="Procurement"/>
    <x v="1"/>
    <x v="7"/>
    <m/>
    <m/>
    <m/>
    <n v="1644"/>
    <n v="2202.96"/>
    <m/>
    <n v="0.15"/>
    <n v="330.44400000000002"/>
    <m/>
    <m/>
    <m/>
  </r>
  <r>
    <x v="46"/>
    <x v="2"/>
    <m/>
    <x v="1"/>
    <s v="Procurement"/>
    <x v="11"/>
    <x v="24"/>
    <m/>
    <m/>
    <m/>
    <n v="1644"/>
    <n v="2202.96"/>
    <m/>
    <n v="0.1"/>
    <n v="220.29600000000002"/>
    <m/>
    <m/>
    <m/>
  </r>
  <r>
    <x v="46"/>
    <x v="2"/>
    <m/>
    <x v="1"/>
    <s v="Procurement"/>
    <x v="24"/>
    <x v="10"/>
    <m/>
    <m/>
    <m/>
    <n v="1644"/>
    <n v="2202.96"/>
    <m/>
    <n v="0.05"/>
    <n v="110.14800000000001"/>
    <m/>
    <m/>
    <m/>
  </r>
  <r>
    <x v="47"/>
    <x v="2"/>
    <m/>
    <x v="1"/>
    <s v="Procurement"/>
    <x v="3"/>
    <x v="10"/>
    <m/>
    <m/>
    <m/>
    <n v="604"/>
    <n v="809.36"/>
    <m/>
    <n v="0.8"/>
    <n v="647.48800000000006"/>
    <m/>
    <m/>
    <m/>
  </r>
  <r>
    <x v="47"/>
    <x v="2"/>
    <m/>
    <x v="1"/>
    <s v="Procurement"/>
    <x v="25"/>
    <x v="10"/>
    <m/>
    <m/>
    <m/>
    <n v="604"/>
    <n v="809.36"/>
    <m/>
    <n v="0.2"/>
    <n v="161.87200000000001"/>
    <m/>
    <m/>
    <m/>
  </r>
  <r>
    <x v="48"/>
    <x v="2"/>
    <m/>
    <x v="1"/>
    <s v="RDT&amp;E"/>
    <x v="14"/>
    <x v="25"/>
    <m/>
    <m/>
    <m/>
    <n v="654"/>
    <n v="876.36"/>
    <m/>
    <n v="0.38500000000000001"/>
    <n v="337.39859999999999"/>
    <m/>
    <m/>
    <m/>
  </r>
  <r>
    <x v="48"/>
    <x v="2"/>
    <m/>
    <x v="1"/>
    <s v="RDT&amp;E"/>
    <x v="13"/>
    <x v="10"/>
    <m/>
    <m/>
    <m/>
    <n v="654"/>
    <n v="876.36"/>
    <m/>
    <n v="0.315"/>
    <n v="276.05340000000001"/>
    <m/>
    <m/>
    <m/>
  </r>
  <r>
    <x v="48"/>
    <x v="2"/>
    <m/>
    <x v="1"/>
    <s v="RDT&amp;E"/>
    <x v="14"/>
    <x v="26"/>
    <m/>
    <m/>
    <m/>
    <n v="654"/>
    <n v="876.36"/>
    <m/>
    <n v="0.15"/>
    <n v="131.45400000000001"/>
    <m/>
    <m/>
    <m/>
  </r>
  <r>
    <x v="48"/>
    <x v="2"/>
    <m/>
    <x v="1"/>
    <s v="RDT&amp;E"/>
    <x v="25"/>
    <x v="10"/>
    <m/>
    <m/>
    <m/>
    <n v="654"/>
    <n v="876.36"/>
    <m/>
    <n v="0.1"/>
    <n v="87.63600000000001"/>
    <m/>
    <m/>
    <m/>
  </r>
  <r>
    <x v="48"/>
    <x v="2"/>
    <m/>
    <x v="1"/>
    <s v="RDT&amp;E"/>
    <x v="11"/>
    <x v="10"/>
    <m/>
    <m/>
    <m/>
    <n v="654"/>
    <n v="876.36"/>
    <m/>
    <n v="0.05"/>
    <n v="43.818000000000005"/>
    <m/>
    <m/>
    <m/>
  </r>
  <r>
    <x v="49"/>
    <x v="2"/>
    <m/>
    <x v="1"/>
    <s v="Procurement"/>
    <x v="3"/>
    <x v="10"/>
    <m/>
    <m/>
    <m/>
    <n v="194"/>
    <n v="259.96000000000004"/>
    <m/>
    <n v="0.8"/>
    <n v="207.96800000000005"/>
    <m/>
    <m/>
    <m/>
  </r>
  <r>
    <x v="49"/>
    <x v="2"/>
    <m/>
    <x v="1"/>
    <s v="Procurement"/>
    <x v="26"/>
    <x v="10"/>
    <m/>
    <m/>
    <m/>
    <n v="194"/>
    <n v="259.96000000000004"/>
    <m/>
    <n v="0.1"/>
    <n v="25.996000000000006"/>
    <m/>
    <m/>
    <m/>
  </r>
  <r>
    <x v="49"/>
    <x v="2"/>
    <m/>
    <x v="1"/>
    <s v="Procurement"/>
    <x v="25"/>
    <x v="10"/>
    <m/>
    <m/>
    <m/>
    <n v="194"/>
    <n v="259.96000000000004"/>
    <m/>
    <n v="0.1"/>
    <n v="25.996000000000006"/>
    <m/>
    <m/>
    <m/>
  </r>
  <r>
    <x v="50"/>
    <x v="2"/>
    <m/>
    <x v="1"/>
    <s v="Procurement"/>
    <x v="13"/>
    <x v="27"/>
    <m/>
    <m/>
    <m/>
    <n v="315"/>
    <n v="422.1"/>
    <m/>
    <n v="0.26250000000000001"/>
    <n v="110.80125000000001"/>
    <m/>
    <m/>
    <m/>
  </r>
  <r>
    <x v="50"/>
    <x v="2"/>
    <m/>
    <x v="1"/>
    <s v="Procurement"/>
    <x v="27"/>
    <x v="28"/>
    <m/>
    <m/>
    <m/>
    <n v="315"/>
    <n v="422.1"/>
    <m/>
    <n v="0.26250000000000001"/>
    <n v="110.80125000000001"/>
    <m/>
    <m/>
    <m/>
  </r>
  <r>
    <x v="50"/>
    <x v="2"/>
    <m/>
    <x v="1"/>
    <s v="Procurement"/>
    <x v="25"/>
    <x v="29"/>
    <m/>
    <m/>
    <m/>
    <n v="315"/>
    <n v="422.1"/>
    <m/>
    <n v="0.1875"/>
    <n v="79.143750000000011"/>
    <m/>
    <m/>
    <m/>
  </r>
  <r>
    <x v="50"/>
    <x v="2"/>
    <m/>
    <x v="1"/>
    <s v="Procurement"/>
    <x v="13"/>
    <x v="27"/>
    <m/>
    <m/>
    <m/>
    <n v="315"/>
    <n v="422.1"/>
    <m/>
    <n v="0.2"/>
    <n v="84.420000000000016"/>
    <m/>
    <m/>
    <m/>
  </r>
  <r>
    <x v="50"/>
    <x v="2"/>
    <m/>
    <x v="1"/>
    <s v="Procurement"/>
    <x v="11"/>
    <x v="30"/>
    <m/>
    <m/>
    <m/>
    <n v="315"/>
    <n v="422.1"/>
    <m/>
    <n v="8.7499999999999994E-2"/>
    <n v="36.933749999999996"/>
    <m/>
    <m/>
    <m/>
  </r>
  <r>
    <x v="51"/>
    <x v="2"/>
    <m/>
    <x v="1"/>
    <s v="Procurement"/>
    <x v="13"/>
    <x v="27"/>
    <m/>
    <m/>
    <m/>
    <n v="487"/>
    <n v="652.58000000000004"/>
    <m/>
    <n v="0.26250000000000001"/>
    <n v="171.30225000000002"/>
    <m/>
    <m/>
    <m/>
  </r>
  <r>
    <x v="51"/>
    <x v="2"/>
    <m/>
    <x v="1"/>
    <s v="Procurement"/>
    <x v="27"/>
    <x v="28"/>
    <m/>
    <m/>
    <m/>
    <n v="487"/>
    <n v="652.58000000000004"/>
    <m/>
    <n v="0.26250000000000001"/>
    <n v="171.30225000000002"/>
    <m/>
    <m/>
    <m/>
  </r>
  <r>
    <x v="51"/>
    <x v="2"/>
    <m/>
    <x v="1"/>
    <s v="Procurement"/>
    <x v="25"/>
    <x v="29"/>
    <m/>
    <m/>
    <m/>
    <n v="487"/>
    <n v="652.58000000000004"/>
    <m/>
    <n v="0.1875"/>
    <n v="122.35875000000001"/>
    <m/>
    <m/>
    <m/>
  </r>
  <r>
    <x v="51"/>
    <x v="2"/>
    <m/>
    <x v="1"/>
    <s v="Procurement"/>
    <x v="13"/>
    <x v="27"/>
    <m/>
    <m/>
    <m/>
    <n v="487"/>
    <n v="652.58000000000004"/>
    <m/>
    <n v="0.2"/>
    <n v="130.51600000000002"/>
    <m/>
    <m/>
    <m/>
  </r>
  <r>
    <x v="51"/>
    <x v="2"/>
    <m/>
    <x v="1"/>
    <s v="Procurement"/>
    <x v="11"/>
    <x v="30"/>
    <m/>
    <m/>
    <m/>
    <n v="487"/>
    <n v="652.58000000000004"/>
    <m/>
    <n v="8.7499999999999994E-2"/>
    <n v="57.100749999999998"/>
    <m/>
    <m/>
    <m/>
  </r>
  <r>
    <x v="52"/>
    <x v="2"/>
    <m/>
    <x v="1"/>
    <s v="Procurement"/>
    <x v="13"/>
    <x v="27"/>
    <m/>
    <m/>
    <m/>
    <n v="138"/>
    <n v="184.92000000000002"/>
    <m/>
    <n v="0.46250000000000002"/>
    <n v="85.525500000000008"/>
    <m/>
    <m/>
    <m/>
  </r>
  <r>
    <x v="52"/>
    <x v="2"/>
    <m/>
    <x v="1"/>
    <s v="Procurement"/>
    <x v="27"/>
    <x v="31"/>
    <m/>
    <m/>
    <m/>
    <n v="138"/>
    <n v="184.92000000000002"/>
    <m/>
    <n v="0.26250000000000001"/>
    <n v="48.541500000000006"/>
    <m/>
    <m/>
    <m/>
  </r>
  <r>
    <x v="52"/>
    <x v="2"/>
    <m/>
    <x v="1"/>
    <s v="Procurement"/>
    <x v="25"/>
    <x v="29"/>
    <m/>
    <m/>
    <m/>
    <n v="138"/>
    <n v="184.92000000000002"/>
    <m/>
    <n v="0.1875"/>
    <n v="34.672499999999999"/>
    <m/>
    <m/>
    <m/>
  </r>
  <r>
    <x v="52"/>
    <x v="2"/>
    <m/>
    <x v="1"/>
    <s v="Procurement"/>
    <x v="11"/>
    <x v="30"/>
    <m/>
    <m/>
    <m/>
    <n v="138"/>
    <n v="184.92000000000002"/>
    <m/>
    <n v="8.7499999999999994E-2"/>
    <n v="16.180500000000002"/>
    <m/>
    <m/>
    <m/>
  </r>
  <r>
    <x v="53"/>
    <x v="2"/>
    <m/>
    <x v="1"/>
    <s v="Procurement"/>
    <x v="3"/>
    <x v="10"/>
    <m/>
    <m/>
    <m/>
    <n v="554"/>
    <n v="742.36"/>
    <m/>
    <n v="0.85"/>
    <n v="631.00599999999997"/>
    <m/>
    <m/>
    <m/>
  </r>
  <r>
    <x v="53"/>
    <x v="2"/>
    <m/>
    <x v="1"/>
    <s v="Procurement"/>
    <x v="25"/>
    <x v="29"/>
    <m/>
    <m/>
    <m/>
    <n v="554"/>
    <n v="742.36"/>
    <m/>
    <n v="0.1"/>
    <n v="74.236000000000004"/>
    <m/>
    <m/>
    <m/>
  </r>
  <r>
    <x v="53"/>
    <x v="2"/>
    <m/>
    <x v="1"/>
    <s v="Procurement"/>
    <x v="28"/>
    <x v="10"/>
    <m/>
    <m/>
    <m/>
    <n v="554"/>
    <n v="742.36"/>
    <m/>
    <n v="0.05"/>
    <n v="37.118000000000002"/>
    <m/>
    <m/>
    <m/>
  </r>
  <r>
    <x v="54"/>
    <x v="2"/>
    <m/>
    <x v="1"/>
    <s v="Procurement"/>
    <x v="14"/>
    <x v="25"/>
    <m/>
    <m/>
    <m/>
    <n v="1357"/>
    <n v="1818.38"/>
    <m/>
    <n v="0.6"/>
    <n v="1091.028"/>
    <m/>
    <m/>
    <m/>
  </r>
  <r>
    <x v="54"/>
    <x v="2"/>
    <m/>
    <x v="1"/>
    <s v="Procurement"/>
    <x v="29"/>
    <x v="10"/>
    <m/>
    <m/>
    <m/>
    <n v="1357"/>
    <n v="1818.38"/>
    <m/>
    <n v="0.1"/>
    <n v="181.83800000000002"/>
    <m/>
    <m/>
    <m/>
  </r>
  <r>
    <x v="54"/>
    <x v="2"/>
    <m/>
    <x v="1"/>
    <s v="Procurement"/>
    <x v="14"/>
    <x v="25"/>
    <m/>
    <m/>
    <m/>
    <n v="1357"/>
    <n v="1818.38"/>
    <m/>
    <n v="0.2"/>
    <n v="363.67600000000004"/>
    <m/>
    <m/>
    <m/>
  </r>
  <r>
    <x v="54"/>
    <x v="2"/>
    <m/>
    <x v="1"/>
    <s v="Procurement"/>
    <x v="13"/>
    <x v="16"/>
    <m/>
    <m/>
    <m/>
    <n v="1357"/>
    <n v="1818.38"/>
    <m/>
    <n v="0.1"/>
    <n v="181.83800000000002"/>
    <m/>
    <m/>
    <m/>
  </r>
  <r>
    <x v="5"/>
    <x v="2"/>
    <m/>
    <x v="1"/>
    <s v="Procurement"/>
    <x v="8"/>
    <x v="10"/>
    <m/>
    <m/>
    <m/>
    <n v="385"/>
    <n v="515.9"/>
    <m/>
    <n v="0.7"/>
    <n v="361.12999999999994"/>
    <m/>
    <m/>
    <m/>
  </r>
  <r>
    <x v="5"/>
    <x v="2"/>
    <m/>
    <x v="1"/>
    <s v="Procurement"/>
    <x v="25"/>
    <x v="29"/>
    <m/>
    <m/>
    <m/>
    <n v="385"/>
    <n v="515.9"/>
    <m/>
    <n v="0.15"/>
    <n v="77.384999999999991"/>
    <m/>
    <m/>
    <m/>
  </r>
  <r>
    <x v="5"/>
    <x v="2"/>
    <m/>
    <x v="1"/>
    <s v="Procurement"/>
    <x v="0"/>
    <x v="10"/>
    <m/>
    <m/>
    <m/>
    <n v="385"/>
    <n v="515.9"/>
    <m/>
    <n v="0.1"/>
    <n v="51.59"/>
    <m/>
    <m/>
    <m/>
  </r>
  <r>
    <x v="5"/>
    <x v="2"/>
    <m/>
    <x v="1"/>
    <s v="Procurement"/>
    <x v="28"/>
    <x v="10"/>
    <m/>
    <m/>
    <m/>
    <n v="385"/>
    <n v="515.9"/>
    <m/>
    <n v="0.05"/>
    <n v="25.795000000000002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273004-9F3A-47CC-B57A-FDA4BF675EC2}" name="PivotTable3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F381" firstHeaderRow="1" firstDataRow="2" firstDataCol="1"/>
  <pivotFields count="18">
    <pivotField axis="axisRow" showAll="0">
      <items count="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showAll="0"/>
    <pivotField axis="axisRow" showAll="0" sortType="descending">
      <items count="33">
        <item x="1"/>
        <item x="0"/>
        <item m="1" x="30"/>
        <item x="2"/>
        <item x="3"/>
        <item x="4"/>
        <item x="5"/>
        <item x="6"/>
        <item x="7"/>
        <item x="8"/>
        <item x="9"/>
        <item m="1" x="31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33">
        <item x="1"/>
        <item x="2"/>
        <item x="0"/>
        <item x="10"/>
        <item x="3"/>
        <item x="4"/>
        <item x="5"/>
        <item x="6"/>
        <item x="7"/>
        <item x="8"/>
        <item x="9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numFmtId="170" showAll="0"/>
    <pivotField showAll="0"/>
    <pivotField showAll="0"/>
    <pivotField showAll="0"/>
  </pivotFields>
  <rowFields count="4">
    <field x="5"/>
    <field x="6"/>
    <field x="0"/>
    <field x="3"/>
  </rowFields>
  <rowItems count="377">
    <i>
      <x/>
    </i>
    <i r="1">
      <x/>
    </i>
    <i r="2">
      <x v="1"/>
    </i>
    <i r="3">
      <x v="1"/>
    </i>
    <i r="2">
      <x v="3"/>
    </i>
    <i r="3">
      <x v="1"/>
    </i>
    <i r="2">
      <x v="11"/>
    </i>
    <i r="3">
      <x v="1"/>
    </i>
    <i r="1">
      <x v="8"/>
    </i>
    <i r="2">
      <x v="16"/>
    </i>
    <i r="3">
      <x v="1"/>
    </i>
    <i r="2">
      <x v="18"/>
    </i>
    <i r="3">
      <x v="1"/>
    </i>
    <i r="2">
      <x v="46"/>
    </i>
    <i r="3">
      <x/>
    </i>
    <i r="1">
      <x v="12"/>
    </i>
    <i r="2">
      <x v="8"/>
    </i>
    <i r="3">
      <x v="1"/>
    </i>
    <i r="2">
      <x v="25"/>
    </i>
    <i r="3">
      <x v="1"/>
    </i>
    <i r="2">
      <x v="26"/>
    </i>
    <i r="3">
      <x v="1"/>
    </i>
    <i r="2">
      <x v="28"/>
    </i>
    <i r="3">
      <x v="1"/>
    </i>
    <i r="2">
      <x v="29"/>
    </i>
    <i r="3">
      <x v="1"/>
    </i>
    <i r="2">
      <x v="30"/>
    </i>
    <i r="3">
      <x v="1"/>
    </i>
    <i r="2">
      <x v="31"/>
    </i>
    <i r="3">
      <x v="1"/>
    </i>
    <i r="2">
      <x v="33"/>
    </i>
    <i r="3">
      <x v="1"/>
    </i>
    <i r="2">
      <x v="34"/>
    </i>
    <i r="3">
      <x v="1"/>
    </i>
    <i r="2">
      <x v="43"/>
    </i>
    <i r="3">
      <x v="1"/>
    </i>
    <i r="2">
      <x v="44"/>
    </i>
    <i r="3">
      <x v="1"/>
    </i>
    <i r="1">
      <x v="13"/>
    </i>
    <i r="2">
      <x v="14"/>
    </i>
    <i r="3">
      <x v="1"/>
    </i>
    <i r="1">
      <x v="17"/>
    </i>
    <i r="2">
      <x v="27"/>
    </i>
    <i r="3">
      <x v="1"/>
    </i>
    <i r="1">
      <x v="21"/>
    </i>
    <i r="2">
      <x v="35"/>
    </i>
    <i r="3">
      <x v="1"/>
    </i>
    <i r="2">
      <x v="41"/>
    </i>
    <i r="3">
      <x v="1"/>
    </i>
    <i>
      <x v="7"/>
    </i>
    <i r="1">
      <x v="8"/>
    </i>
    <i r="2">
      <x v="3"/>
    </i>
    <i r="3">
      <x v="1"/>
    </i>
    <i r="2">
      <x v="4"/>
    </i>
    <i r="3">
      <x v="1"/>
    </i>
    <i r="2">
      <x v="5"/>
    </i>
    <i r="3">
      <x v="1"/>
    </i>
    <i r="2">
      <x v="25"/>
    </i>
    <i r="3">
      <x v="1"/>
    </i>
    <i r="1">
      <x v="10"/>
    </i>
    <i r="2">
      <x v="6"/>
    </i>
    <i r="3">
      <x v="1"/>
    </i>
    <i r="2">
      <x v="13"/>
    </i>
    <i r="3">
      <x v="1"/>
    </i>
    <i r="2">
      <x v="18"/>
    </i>
    <i r="3">
      <x v="1"/>
    </i>
    <i r="2">
      <x v="38"/>
    </i>
    <i r="3">
      <x v="1"/>
    </i>
    <i r="1">
      <x v="21"/>
    </i>
    <i r="2">
      <x v="40"/>
    </i>
    <i r="3">
      <x v="1"/>
    </i>
    <i r="2">
      <x v="41"/>
    </i>
    <i r="3">
      <x v="1"/>
    </i>
    <i r="2">
      <x v="42"/>
    </i>
    <i r="3">
      <x v="1"/>
    </i>
    <i r="2">
      <x v="43"/>
    </i>
    <i r="3">
      <x v="1"/>
    </i>
    <i r="2">
      <x v="44"/>
    </i>
    <i r="3">
      <x v="1"/>
    </i>
    <i r="2">
      <x v="45"/>
    </i>
    <i r="3">
      <x v="1"/>
    </i>
    <i>
      <x v="1"/>
    </i>
    <i r="1">
      <x v="1"/>
    </i>
    <i r="2">
      <x v="1"/>
    </i>
    <i r="3">
      <x v="1"/>
    </i>
    <i r="2">
      <x v="4"/>
    </i>
    <i r="3">
      <x v="1"/>
    </i>
    <i r="2">
      <x v="5"/>
    </i>
    <i r="3">
      <x v="1"/>
    </i>
    <i r="2">
      <x v="6"/>
    </i>
    <i r="3">
      <x v="1"/>
    </i>
    <i r="2">
      <x v="7"/>
    </i>
    <i r="3">
      <x v="1"/>
    </i>
    <i r="2">
      <x v="11"/>
    </i>
    <i r="3">
      <x v="1"/>
    </i>
    <i r="2">
      <x v="15"/>
    </i>
    <i r="3">
      <x v="1"/>
    </i>
    <i r="1">
      <x v="2"/>
    </i>
    <i r="2">
      <x/>
    </i>
    <i r="3">
      <x v="1"/>
    </i>
    <i r="2">
      <x v="5"/>
    </i>
    <i r="3">
      <x v="1"/>
    </i>
    <i r="2">
      <x v="7"/>
    </i>
    <i r="3">
      <x v="1"/>
    </i>
    <i r="2">
      <x v="8"/>
    </i>
    <i r="3">
      <x v="1"/>
    </i>
    <i r="2">
      <x v="27"/>
    </i>
    <i r="3">
      <x v="1"/>
    </i>
    <i r="2">
      <x v="29"/>
    </i>
    <i r="3">
      <x v="1"/>
    </i>
    <i r="2">
      <x v="32"/>
    </i>
    <i r="3">
      <x v="1"/>
    </i>
    <i r="2">
      <x v="36"/>
    </i>
    <i r="3">
      <x v="1"/>
    </i>
    <i r="2">
      <x v="37"/>
    </i>
    <i r="3">
      <x v="1"/>
    </i>
    <i r="2">
      <x v="39"/>
    </i>
    <i r="3">
      <x v="1"/>
    </i>
    <i r="2">
      <x v="41"/>
    </i>
    <i r="3">
      <x v="1"/>
    </i>
    <i r="2">
      <x v="42"/>
    </i>
    <i r="3">
      <x v="1"/>
    </i>
    <i r="2">
      <x v="43"/>
    </i>
    <i r="3">
      <x v="1"/>
    </i>
    <i r="2">
      <x v="45"/>
    </i>
    <i r="3">
      <x v="1"/>
    </i>
    <i r="1">
      <x v="3"/>
    </i>
    <i r="2">
      <x v="5"/>
    </i>
    <i r="3">
      <x/>
    </i>
    <i r="1">
      <x v="11"/>
    </i>
    <i r="2">
      <x v="6"/>
    </i>
    <i r="3">
      <x v="1"/>
    </i>
    <i r="2">
      <x v="10"/>
    </i>
    <i r="3">
      <x v="1"/>
    </i>
    <i r="2">
      <x v="12"/>
    </i>
    <i r="3">
      <x v="1"/>
    </i>
    <i r="2">
      <x v="19"/>
    </i>
    <i r="3">
      <x v="1"/>
    </i>
    <i>
      <x v="4"/>
    </i>
    <i r="1">
      <x/>
    </i>
    <i r="2">
      <x v="16"/>
    </i>
    <i r="3">
      <x v="1"/>
    </i>
    <i r="2">
      <x v="17"/>
    </i>
    <i r="3">
      <x v="1"/>
    </i>
    <i r="2">
      <x v="42"/>
    </i>
    <i r="3">
      <x v="1"/>
    </i>
    <i r="1">
      <x v="3"/>
    </i>
    <i r="2">
      <x v="47"/>
    </i>
    <i r="3">
      <x/>
    </i>
    <i r="2">
      <x v="49"/>
    </i>
    <i r="3">
      <x/>
    </i>
    <i r="2">
      <x v="53"/>
    </i>
    <i r="3">
      <x/>
    </i>
    <i r="1">
      <x v="5"/>
    </i>
    <i r="2">
      <x v="2"/>
    </i>
    <i r="3">
      <x v="1"/>
    </i>
    <i r="2">
      <x v="7"/>
    </i>
    <i r="3">
      <x v="1"/>
    </i>
    <i r="2">
      <x v="10"/>
    </i>
    <i r="3">
      <x v="1"/>
    </i>
    <i r="2">
      <x v="12"/>
    </i>
    <i r="3">
      <x v="1"/>
    </i>
    <i r="2">
      <x v="13"/>
    </i>
    <i r="3">
      <x v="1"/>
    </i>
    <i>
      <x v="14"/>
    </i>
    <i r="1">
      <x v="3"/>
    </i>
    <i r="2">
      <x v="42"/>
    </i>
    <i r="3">
      <x v="1"/>
    </i>
    <i r="1">
      <x v="15"/>
    </i>
    <i r="2">
      <x v="20"/>
    </i>
    <i r="3">
      <x v="1"/>
    </i>
    <i r="2">
      <x v="23"/>
    </i>
    <i r="3">
      <x v="1"/>
    </i>
    <i r="1">
      <x v="19"/>
    </i>
    <i r="2">
      <x v="32"/>
    </i>
    <i r="3">
      <x v="1"/>
    </i>
    <i r="1">
      <x v="23"/>
    </i>
    <i r="2">
      <x v="46"/>
    </i>
    <i r="3">
      <x/>
    </i>
    <i>
      <x v="15"/>
    </i>
    <i r="1">
      <x v="3"/>
    </i>
    <i r="2">
      <x v="48"/>
    </i>
    <i r="3">
      <x/>
    </i>
    <i r="1">
      <x v="15"/>
    </i>
    <i r="2">
      <x v="24"/>
    </i>
    <i r="3">
      <x v="1"/>
    </i>
    <i r="1">
      <x v="16"/>
    </i>
    <i r="2">
      <x v="21"/>
    </i>
    <i r="3">
      <x v="1"/>
    </i>
    <i r="2">
      <x v="22"/>
    </i>
    <i r="3">
      <x v="1"/>
    </i>
    <i r="2">
      <x v="32"/>
    </i>
    <i r="3">
      <x v="1"/>
    </i>
    <i r="2">
      <x v="54"/>
    </i>
    <i r="3">
      <x/>
    </i>
    <i r="1">
      <x v="27"/>
    </i>
    <i r="2">
      <x v="50"/>
    </i>
    <i r="3">
      <x/>
    </i>
    <i r="2">
      <x v="51"/>
    </i>
    <i r="3">
      <x/>
    </i>
    <i r="2">
      <x v="52"/>
    </i>
    <i r="3">
      <x/>
    </i>
    <i>
      <x v="3"/>
    </i>
    <i r="1">
      <x v="4"/>
    </i>
    <i r="2">
      <x v="2"/>
    </i>
    <i r="3">
      <x v="1"/>
    </i>
    <i r="2">
      <x v="15"/>
    </i>
    <i r="3">
      <x v="1"/>
    </i>
    <i>
      <x v="10"/>
    </i>
    <i r="1">
      <x v="3"/>
    </i>
    <i r="2">
      <x v="4"/>
    </i>
    <i r="3">
      <x v="1"/>
    </i>
    <i r="2">
      <x v="5"/>
    </i>
    <i r="3">
      <x v="1"/>
    </i>
    <i r="2">
      <x v="19"/>
    </i>
    <i r="3">
      <x v="1"/>
    </i>
    <i r="2">
      <x v="29"/>
    </i>
    <i r="3">
      <x v="1"/>
    </i>
    <i r="1">
      <x v="8"/>
    </i>
    <i r="2">
      <x v="41"/>
    </i>
    <i r="3">
      <x v="1"/>
    </i>
    <i r="2">
      <x v="43"/>
    </i>
    <i r="3">
      <x v="1"/>
    </i>
    <i>
      <x v="9"/>
    </i>
    <i r="1">
      <x v="3"/>
    </i>
    <i r="2">
      <x v="5"/>
    </i>
    <i r="3">
      <x/>
    </i>
    <i r="1">
      <x v="10"/>
    </i>
    <i r="2">
      <x v="4"/>
    </i>
    <i r="3">
      <x v="1"/>
    </i>
    <i r="2">
      <x v="5"/>
    </i>
    <i r="3">
      <x v="1"/>
    </i>
    <i r="2">
      <x v="9"/>
    </i>
    <i r="3">
      <x v="1"/>
    </i>
    <i>
      <x v="16"/>
    </i>
    <i r="1">
      <x v="15"/>
    </i>
    <i r="2">
      <x v="23"/>
    </i>
    <i r="3">
      <x v="1"/>
    </i>
    <i r="1">
      <x v="25"/>
    </i>
    <i r="2">
      <x v="48"/>
    </i>
    <i r="3">
      <x/>
    </i>
    <i r="2">
      <x v="54"/>
    </i>
    <i r="3">
      <x/>
    </i>
    <i r="1">
      <x v="26"/>
    </i>
    <i r="2">
      <x v="48"/>
    </i>
    <i r="3">
      <x/>
    </i>
    <i>
      <x v="18"/>
    </i>
    <i r="1">
      <x v="20"/>
    </i>
    <i r="2">
      <x v="32"/>
    </i>
    <i r="3">
      <x v="1"/>
    </i>
    <i>
      <x v="19"/>
    </i>
    <i r="1">
      <x v="3"/>
    </i>
    <i r="2">
      <x v="32"/>
    </i>
    <i r="3">
      <x v="1"/>
    </i>
    <i>
      <x v="6"/>
    </i>
    <i r="1">
      <x v="7"/>
    </i>
    <i r="2">
      <x v="3"/>
    </i>
    <i r="3">
      <x v="1"/>
    </i>
    <i r="2">
      <x v="14"/>
    </i>
    <i r="3">
      <x v="1"/>
    </i>
    <i r="1">
      <x v="14"/>
    </i>
    <i r="2">
      <x v="17"/>
    </i>
    <i r="3">
      <x v="1"/>
    </i>
    <i>
      <x v="20"/>
    </i>
    <i r="1">
      <x v="3"/>
    </i>
    <i r="2">
      <x v="40"/>
    </i>
    <i r="3">
      <x v="1"/>
    </i>
    <i>
      <x v="21"/>
    </i>
    <i r="1">
      <x v="3"/>
    </i>
    <i r="2">
      <x v="40"/>
    </i>
    <i r="3">
      <x v="1"/>
    </i>
    <i>
      <x v="5"/>
    </i>
    <i r="1">
      <x v="6"/>
    </i>
    <i r="2">
      <x v="2"/>
    </i>
    <i r="3">
      <x v="1"/>
    </i>
    <i r="2">
      <x v="3"/>
    </i>
    <i r="3">
      <x v="1"/>
    </i>
    <i r="2">
      <x v="18"/>
    </i>
    <i r="3">
      <x v="1"/>
    </i>
    <i>
      <x v="17"/>
    </i>
    <i r="1">
      <x v="18"/>
    </i>
    <i r="2">
      <x v="29"/>
    </i>
    <i r="3">
      <x v="1"/>
    </i>
    <i r="1">
      <x v="22"/>
    </i>
    <i r="2">
      <x v="44"/>
    </i>
    <i r="3">
      <x v="1"/>
    </i>
    <i>
      <x v="12"/>
    </i>
    <i r="1">
      <x v="3"/>
    </i>
    <i r="2">
      <x v="9"/>
    </i>
    <i r="3">
      <x v="1"/>
    </i>
    <i r="2">
      <x v="19"/>
    </i>
    <i r="3">
      <x v="1"/>
    </i>
    <i r="2">
      <x v="29"/>
    </i>
    <i r="3">
      <x v="1"/>
    </i>
    <i>
      <x v="22"/>
    </i>
    <i r="1">
      <x v="3"/>
    </i>
    <i r="2">
      <x v="40"/>
    </i>
    <i r="3">
      <x v="1"/>
    </i>
    <i>
      <x v="13"/>
    </i>
    <i r="1">
      <x v="3"/>
    </i>
    <i r="2">
      <x v="19"/>
    </i>
    <i r="3">
      <x v="1"/>
    </i>
    <i r="2">
      <x v="48"/>
    </i>
    <i r="3">
      <x/>
    </i>
    <i r="1">
      <x v="24"/>
    </i>
    <i r="2">
      <x v="46"/>
    </i>
    <i r="3">
      <x/>
    </i>
    <i r="1">
      <x v="30"/>
    </i>
    <i r="2">
      <x v="50"/>
    </i>
    <i r="3">
      <x/>
    </i>
    <i r="2">
      <x v="51"/>
    </i>
    <i r="3">
      <x/>
    </i>
    <i r="2">
      <x v="52"/>
    </i>
    <i r="3">
      <x/>
    </i>
    <i>
      <x v="23"/>
    </i>
    <i r="1">
      <x v="3"/>
    </i>
    <i r="2">
      <x v="40"/>
    </i>
    <i r="3">
      <x v="1"/>
    </i>
    <i>
      <x v="27"/>
    </i>
    <i r="1">
      <x v="3"/>
    </i>
    <i r="2">
      <x v="47"/>
    </i>
    <i r="3">
      <x/>
    </i>
    <i r="2">
      <x v="48"/>
    </i>
    <i r="3">
      <x/>
    </i>
    <i r="2">
      <x v="49"/>
    </i>
    <i r="3">
      <x/>
    </i>
    <i r="1">
      <x v="29"/>
    </i>
    <i r="2">
      <x v="5"/>
    </i>
    <i r="3">
      <x/>
    </i>
    <i r="2">
      <x v="50"/>
    </i>
    <i r="3">
      <x/>
    </i>
    <i r="2">
      <x v="51"/>
    </i>
    <i r="3">
      <x/>
    </i>
    <i r="2">
      <x v="52"/>
    </i>
    <i r="3">
      <x/>
    </i>
    <i r="2">
      <x v="53"/>
    </i>
    <i r="3">
      <x/>
    </i>
    <i>
      <x v="24"/>
    </i>
    <i r="1">
      <x v="3"/>
    </i>
    <i r="2">
      <x v="40"/>
    </i>
    <i r="3">
      <x v="1"/>
    </i>
    <i>
      <x v="29"/>
    </i>
    <i r="1">
      <x v="28"/>
    </i>
    <i r="2">
      <x v="50"/>
    </i>
    <i r="3">
      <x/>
    </i>
    <i r="2">
      <x v="51"/>
    </i>
    <i r="3">
      <x/>
    </i>
    <i r="1">
      <x v="31"/>
    </i>
    <i r="2">
      <x v="52"/>
    </i>
    <i r="3">
      <x/>
    </i>
    <i>
      <x v="25"/>
    </i>
    <i r="1">
      <x v="3"/>
    </i>
    <i r="2">
      <x v="44"/>
    </i>
    <i r="3">
      <x v="1"/>
    </i>
    <i>
      <x v="8"/>
    </i>
    <i r="1">
      <x v="9"/>
    </i>
    <i r="2">
      <x v="3"/>
    </i>
    <i r="3">
      <x v="1"/>
    </i>
    <i>
      <x v="31"/>
    </i>
    <i r="1">
      <x v="3"/>
    </i>
    <i r="2">
      <x v="54"/>
    </i>
    <i r="3">
      <x/>
    </i>
    <i>
      <x v="26"/>
    </i>
    <i r="1">
      <x v="3"/>
    </i>
    <i r="2">
      <x v="46"/>
    </i>
    <i r="3">
      <x/>
    </i>
    <i>
      <x v="30"/>
    </i>
    <i r="1">
      <x v="3"/>
    </i>
    <i r="2">
      <x v="5"/>
    </i>
    <i r="3">
      <x/>
    </i>
    <i r="2">
      <x v="53"/>
    </i>
    <i r="3">
      <x/>
    </i>
    <i>
      <x v="28"/>
    </i>
    <i r="1">
      <x v="3"/>
    </i>
    <i r="2">
      <x v="49"/>
    </i>
    <i r="3">
      <x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Adj_Value_USD_M" fld="14" baseField="0" baseItem="0" numFmtId="170"/>
  </dataFields>
  <formats count="3">
    <format dxfId="8">
      <pivotArea type="all" dataOnly="0" outline="0" fieldPosition="0"/>
    </format>
    <format dxfId="7">
      <pivotArea type="all" dataOnly="0" outline="0" fieldPosition="0"/>
    </format>
    <format dxfId="6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37AAE5-7064-458D-AFDD-A2725076DED6}" name="Table1" displayName="Table1" ref="B10:E14" headerRowDxfId="60" headerRowBorderDxfId="59" tableBorderDxfId="58" totalsRowBorderDxfId="57">
  <autoFilter ref="B10:E14" xr:uid="{7337AAE5-7064-458D-AFDD-A2725076DED6}">
    <filterColumn colId="0" hiddenButton="1"/>
    <filterColumn colId="1" hiddenButton="1"/>
    <filterColumn colId="2" hiddenButton="1"/>
    <filterColumn colId="3" hiddenButton="1"/>
  </autoFilter>
  <tableColumns count="4">
    <tableColumn id="1" xr3:uid="{C977E06F-DFD4-4D39-82B1-8C27888035FD}" name="DoD Budget ($B)" totalsRowLabel="Total" dataDxfId="56" totalsRowDxfId="55"/>
    <tableColumn id="2" xr3:uid="{140B34F1-1E1E-40D8-B0B8-17CC11C52BA6}" name="2024" dataDxfId="54" totalsRowDxfId="53"/>
    <tableColumn id="3" xr3:uid="{8483D97F-115F-4E5D-AA66-3FEA52C9D63E}" name="2025" dataDxfId="52" totalsRowDxfId="51"/>
    <tableColumn id="4" xr3:uid="{D85534AD-A969-4B09-B951-4030B4B7E18C}" name="2026" totalsRowFunction="sum" dataDxfId="50" totalsRowDxfId="4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36BF3F-3609-4B7B-81BD-086D7E5CDE57}" name="RawData" displayName="RawData" ref="B2:S789" totalsRowShown="0" headerRowDxfId="48" dataDxfId="46" headerRowBorderDxfId="47" tableBorderDxfId="45" totalsRowBorderDxfId="44">
  <autoFilter ref="B2:S789" xr:uid="{2F36BF3F-3609-4B7B-81BD-086D7E5CDE5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729B7357-5ACB-4DBB-8668-F9B10663E447}" name="Program" dataDxfId="43" totalsRowDxfId="42"/>
    <tableColumn id="2" xr3:uid="{F0DA59C2-EBC2-4B4A-805B-CE34328D38AD}" name="FY" dataDxfId="41" totalsRowDxfId="40"/>
    <tableColumn id="3" xr3:uid="{280E53AA-BD67-41E0-8792-6ED4BD4260AA}" name="Customer" dataDxfId="39" totalsRowDxfId="38"/>
    <tableColumn id="4" xr3:uid="{8DCE766D-F1B5-4FD2-8709-621CD2B1CF7B}" name="Country" dataDxfId="37" totalsRowDxfId="36"/>
    <tableColumn id="5" xr3:uid="{09D9B3CA-A90A-436C-B02B-2534CC01F714}" name="Type" dataDxfId="35" totalsRowDxfId="34"/>
    <tableColumn id="6" xr3:uid="{240E3AFE-558F-4AF3-8244-765AF8C48A16}" name="Company" dataDxfId="33" totalsRowDxfId="32"/>
    <tableColumn id="7" xr3:uid="{5FC2F7FD-DD96-4DD6-AAB3-434FCA7048DC}" name="Segment" dataDxfId="31" totalsRowDxfId="30"/>
    <tableColumn id="8" xr3:uid="{61096FD4-ACC7-45B6-A6FC-E8A26DCC4826}" name="Component" dataDxfId="29" totalsRowDxfId="28"/>
    <tableColumn id="9" xr3:uid="{6E527BCE-88EF-4D43-8BA7-CA3266C04289}" name="Role" dataDxfId="27" totalsRowDxfId="26"/>
    <tableColumn id="10" xr3:uid="{50FACC06-06ED-41D6-9393-A01590995249}" name="Qty" dataDxfId="25" totalsRowDxfId="24"/>
    <tableColumn id="16" xr3:uid="{BCDF70D1-BFB2-4F7B-A409-531D36D5018D}" name="Value_Other" dataDxfId="23" totalsRowDxfId="22"/>
    <tableColumn id="11" xr3:uid="{5C08D370-02C5-4EF8-8DCB-28224FBC4411}" name="Value_USD_M" totalsRowDxfId="21"/>
    <tableColumn id="12" xr3:uid="{F062C68D-F03A-4C92-ADA0-1E98B36F089C}" name="Confidence/Status" dataDxfId="20" totalsRowDxfId="19"/>
    <tableColumn id="17" xr3:uid="{B7779A86-4FEF-4AC4-941D-0AFBAE929339}" name="Share_Est" dataDxfId="18" totalsRowDxfId="17"/>
    <tableColumn id="18" xr3:uid="{B0397643-40BB-4294-95E5-84692BC75F5B}" name="Adj_Value_USD_M" dataDxfId="16" totalsRowDxfId="15">
      <calculatedColumnFormula>RawData[[#This Row],[Value_USD_M]]*RawData[[#This Row],[Share_Est]]</calculatedColumnFormula>
    </tableColumn>
    <tableColumn id="13" xr3:uid="{8077DC63-4C32-4551-B589-5036A6162949}" name="Source" dataDxfId="14" totalsRowDxfId="13"/>
    <tableColumn id="14" xr3:uid="{2A7D3767-5CED-4BBE-B9F6-2A054F9AB4D9}" name="Data_Source_Detail" dataDxfId="12" totalsRowDxfId="11"/>
    <tableColumn id="15" xr3:uid="{69A14AB0-BC8D-4199-A0FF-0C9C095FC7BE}" name="Notes" dataDxfId="10" totalsRow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GD.xlsx" TargetMode="External"/><Relationship Id="rId13" Type="http://schemas.openxmlformats.org/officeDocument/2006/relationships/hyperlink" Target="BA.L.xlsx" TargetMode="External"/><Relationship Id="rId18" Type="http://schemas.openxmlformats.org/officeDocument/2006/relationships/hyperlink" Target="LDOS.xlsx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lmt.xlsx" TargetMode="External"/><Relationship Id="rId21" Type="http://schemas.openxmlformats.org/officeDocument/2006/relationships/hyperlink" Target="erj.xlsx" TargetMode="External"/><Relationship Id="rId7" Type="http://schemas.openxmlformats.org/officeDocument/2006/relationships/hyperlink" Target="HON.xlsx" TargetMode="External"/><Relationship Id="rId12" Type="http://schemas.openxmlformats.org/officeDocument/2006/relationships/hyperlink" Target="SAF.xlsx" TargetMode="External"/><Relationship Id="rId17" Type="http://schemas.openxmlformats.org/officeDocument/2006/relationships/hyperlink" Target="AM.xlsx" TargetMode="External"/><Relationship Id="rId25" Type="http://schemas.openxmlformats.org/officeDocument/2006/relationships/hyperlink" Target="adui.xlsx" TargetMode="External"/><Relationship Id="rId2" Type="http://schemas.openxmlformats.org/officeDocument/2006/relationships/hyperlink" Target="rhm.xlsx" TargetMode="External"/><Relationship Id="rId16" Type="http://schemas.openxmlformats.org/officeDocument/2006/relationships/hyperlink" Target="HO.xlsx" TargetMode="External"/><Relationship Id="rId20" Type="http://schemas.openxmlformats.org/officeDocument/2006/relationships/hyperlink" Target="hag.xlsx" TargetMode="External"/><Relationship Id="rId1" Type="http://schemas.openxmlformats.org/officeDocument/2006/relationships/hyperlink" Target="rtx.xlsx" TargetMode="External"/><Relationship Id="rId6" Type="http://schemas.openxmlformats.org/officeDocument/2006/relationships/hyperlink" Target="ba.xlsx" TargetMode="External"/><Relationship Id="rId11" Type="http://schemas.openxmlformats.org/officeDocument/2006/relationships/hyperlink" Target="AIR.xlsx" TargetMode="External"/><Relationship Id="rId24" Type="http://schemas.openxmlformats.org/officeDocument/2006/relationships/hyperlink" Target="bbd.a.xlsx" TargetMode="External"/><Relationship Id="rId5" Type="http://schemas.openxmlformats.org/officeDocument/2006/relationships/hyperlink" Target="ldo.xlsx" TargetMode="External"/><Relationship Id="rId15" Type="http://schemas.openxmlformats.org/officeDocument/2006/relationships/hyperlink" Target="TXT.xlsx" TargetMode="External"/><Relationship Id="rId23" Type="http://schemas.openxmlformats.org/officeDocument/2006/relationships/hyperlink" Target="ktos.xlsx" TargetMode="External"/><Relationship Id="rId28" Type="http://schemas.openxmlformats.org/officeDocument/2006/relationships/comments" Target="../comments1.xml"/><Relationship Id="rId10" Type="http://schemas.openxmlformats.org/officeDocument/2006/relationships/hyperlink" Target="LHX.xlsx" TargetMode="External"/><Relationship Id="rId19" Type="http://schemas.openxmlformats.org/officeDocument/2006/relationships/hyperlink" Target="r3nk.xlsx" TargetMode="External"/><Relationship Id="rId4" Type="http://schemas.openxmlformats.org/officeDocument/2006/relationships/hyperlink" Target="umac.xlsx" TargetMode="External"/><Relationship Id="rId9" Type="http://schemas.openxmlformats.org/officeDocument/2006/relationships/hyperlink" Target="NOC.xlsx" TargetMode="External"/><Relationship Id="rId14" Type="http://schemas.openxmlformats.org/officeDocument/2006/relationships/hyperlink" Target="RR.xlsx" TargetMode="External"/><Relationship Id="rId22" Type="http://schemas.openxmlformats.org/officeDocument/2006/relationships/hyperlink" Target="rcat.xlsx" TargetMode="External"/><Relationship Id="rId27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AB355-3143-44BC-BC97-6E84672F8EDE}">
  <dimension ref="B1:AR45"/>
  <sheetViews>
    <sheetView workbookViewId="0">
      <pane xSplit="2" ySplit="2" topLeftCell="T3" activePane="bottomRight" state="frozen"/>
      <selection pane="topRight" activeCell="C1" sqref="C1"/>
      <selection pane="bottomLeft" activeCell="A3" sqref="A3"/>
      <selection pane="bottomRight" activeCell="B22" sqref="B22"/>
    </sheetView>
  </sheetViews>
  <sheetFormatPr defaultRowHeight="14.4" x14ac:dyDescent="0.3"/>
  <cols>
    <col min="1" max="1" width="8.88671875" style="5"/>
    <col min="2" max="2" width="17.21875" style="5" bestFit="1" customWidth="1"/>
    <col min="3" max="3" width="9.77734375" style="11" bestFit="1" customWidth="1"/>
    <col min="4" max="4" width="9.44140625" style="11" bestFit="1" customWidth="1"/>
    <col min="5" max="23" width="8.88671875" style="11"/>
    <col min="24" max="24" width="8.88671875" style="20"/>
    <col min="25" max="26" width="8.88671875" style="16"/>
    <col min="27" max="29" width="8.88671875" style="14"/>
    <col min="30" max="31" width="8.88671875" style="11"/>
    <col min="32" max="33" width="9.77734375" style="11" bestFit="1" customWidth="1"/>
    <col min="34" max="34" width="9.88671875" style="11" bestFit="1" customWidth="1"/>
    <col min="35" max="35" width="10" style="11" bestFit="1" customWidth="1"/>
    <col min="36" max="36" width="10" style="11" customWidth="1"/>
    <col min="37" max="38" width="8.33203125" style="11" bestFit="1" customWidth="1"/>
    <col min="39" max="39" width="17.33203125" style="11" customWidth="1"/>
    <col min="40" max="41" width="8.44140625" style="11" bestFit="1" customWidth="1"/>
    <col min="42" max="42" width="8.88671875" style="5"/>
    <col min="43" max="43" width="10.5546875" style="11" bestFit="1" customWidth="1"/>
    <col min="44" max="44" width="11.5546875" style="11" bestFit="1" customWidth="1"/>
    <col min="45" max="16384" width="8.88671875" style="5"/>
  </cols>
  <sheetData>
    <row r="1" spans="2:44" x14ac:dyDescent="0.3">
      <c r="X1" s="11"/>
      <c r="Y1" s="11"/>
      <c r="Z1" s="11"/>
      <c r="AA1" s="11"/>
      <c r="AB1" s="11"/>
      <c r="AC1" s="11"/>
    </row>
    <row r="2" spans="2:44" x14ac:dyDescent="0.3">
      <c r="B2" s="1" t="s">
        <v>0</v>
      </c>
      <c r="C2" s="2" t="s">
        <v>1</v>
      </c>
      <c r="D2" s="2" t="s">
        <v>2</v>
      </c>
      <c r="E2" s="3" t="s">
        <v>3</v>
      </c>
      <c r="F2" s="3" t="s">
        <v>4</v>
      </c>
      <c r="G2" s="3" t="s">
        <v>5</v>
      </c>
      <c r="H2" s="2" t="s">
        <v>45</v>
      </c>
      <c r="I2" s="2" t="s">
        <v>46</v>
      </c>
      <c r="J2" s="2" t="s">
        <v>47</v>
      </c>
      <c r="K2" s="2" t="s">
        <v>48</v>
      </c>
      <c r="L2" s="2" t="s">
        <v>6</v>
      </c>
      <c r="M2" s="2" t="s">
        <v>7</v>
      </c>
      <c r="N2" s="2" t="s">
        <v>8</v>
      </c>
      <c r="O2" s="2" t="s">
        <v>9</v>
      </c>
      <c r="P2" s="2" t="s">
        <v>10</v>
      </c>
      <c r="Q2" s="2" t="s">
        <v>11</v>
      </c>
      <c r="R2" s="2" t="s">
        <v>12</v>
      </c>
      <c r="S2" s="2" t="s">
        <v>13</v>
      </c>
      <c r="T2" s="2" t="s">
        <v>14</v>
      </c>
      <c r="U2" s="2" t="s">
        <v>15</v>
      </c>
      <c r="V2" s="2" t="s">
        <v>16</v>
      </c>
      <c r="W2" s="2" t="s">
        <v>49</v>
      </c>
      <c r="X2" s="2" t="s">
        <v>88</v>
      </c>
      <c r="Y2" s="2" t="s">
        <v>89</v>
      </c>
      <c r="Z2" s="2" t="s">
        <v>90</v>
      </c>
      <c r="AA2" s="2" t="s">
        <v>91</v>
      </c>
      <c r="AB2" s="2" t="s">
        <v>94</v>
      </c>
      <c r="AC2" s="2" t="s">
        <v>95</v>
      </c>
      <c r="AD2" s="4" t="s">
        <v>79</v>
      </c>
      <c r="AE2" s="4" t="s">
        <v>83</v>
      </c>
      <c r="AF2" s="2" t="s">
        <v>50</v>
      </c>
      <c r="AG2" s="2" t="s">
        <v>80</v>
      </c>
      <c r="AH2" s="2" t="s">
        <v>81</v>
      </c>
      <c r="AI2" s="2" t="s">
        <v>82</v>
      </c>
      <c r="AJ2" s="2" t="s">
        <v>92</v>
      </c>
      <c r="AK2" s="2" t="s">
        <v>17</v>
      </c>
      <c r="AL2" s="2" t="s">
        <v>18</v>
      </c>
      <c r="AM2" s="2" t="s">
        <v>19</v>
      </c>
      <c r="AN2" s="2" t="s">
        <v>20</v>
      </c>
      <c r="AO2" s="2" t="s">
        <v>21</v>
      </c>
      <c r="AQ2" s="2" t="s">
        <v>41</v>
      </c>
      <c r="AR2" s="2" t="s">
        <v>42</v>
      </c>
    </row>
    <row r="3" spans="2:44" x14ac:dyDescent="0.3">
      <c r="B3" s="6" t="s">
        <v>22</v>
      </c>
      <c r="C3" s="2"/>
      <c r="D3" s="2"/>
      <c r="E3" s="3"/>
      <c r="F3" s="3"/>
      <c r="G3" s="3"/>
      <c r="H3" s="2"/>
      <c r="I3" s="2"/>
      <c r="J3" s="2"/>
      <c r="K3" s="2"/>
      <c r="L3" s="2"/>
      <c r="M3" s="2"/>
      <c r="N3" s="2"/>
      <c r="O3" s="2"/>
      <c r="P3" s="2"/>
      <c r="Q3" s="2"/>
      <c r="R3" s="7">
        <f t="shared" ref="R3:AC3" si="0">TRIMMEAN(R4:R1048576,80%)</f>
        <v>37.082954294919055</v>
      </c>
      <c r="S3" s="7">
        <f t="shared" si="0"/>
        <v>30.728019478018133</v>
      </c>
      <c r="T3" s="7">
        <f t="shared" si="0"/>
        <v>26.36792778453534</v>
      </c>
      <c r="U3" s="7">
        <f t="shared" si="0"/>
        <v>26.066435898456181</v>
      </c>
      <c r="V3" s="7">
        <f t="shared" si="0"/>
        <v>25.179108440078604</v>
      </c>
      <c r="W3" s="7">
        <f t="shared" si="0"/>
        <v>18.726854673516062</v>
      </c>
      <c r="X3" s="21">
        <f t="shared" si="0"/>
        <v>2.0166371563191796</v>
      </c>
      <c r="Y3" s="9">
        <f t="shared" si="0"/>
        <v>-0.50170905488583661</v>
      </c>
      <c r="Z3" s="9">
        <f t="shared" si="0"/>
        <v>-0.45249415625076805</v>
      </c>
      <c r="AA3" s="9"/>
      <c r="AB3" s="21">
        <f t="shared" si="0"/>
        <v>2.3449080502997548</v>
      </c>
      <c r="AC3" s="21">
        <f t="shared" si="0"/>
        <v>0.53585434958201084</v>
      </c>
      <c r="AD3" s="8"/>
      <c r="AE3" s="21">
        <f t="shared" ref="AE3:AL3" si="1">TRIMMEAN(AE4:AE1048576,80%)</f>
        <v>3.0547812365039473</v>
      </c>
      <c r="AF3" s="9">
        <f t="shared" si="1"/>
        <v>9.8820163172430142E-2</v>
      </c>
      <c r="AG3" s="9">
        <f t="shared" si="1"/>
        <v>0.10467460846953976</v>
      </c>
      <c r="AH3" s="9">
        <f t="shared" si="1"/>
        <v>0.21020475290497914</v>
      </c>
      <c r="AI3" s="9">
        <f t="shared" si="1"/>
        <v>0.10264815589256329</v>
      </c>
      <c r="AJ3" s="9">
        <f t="shared" si="1"/>
        <v>8.1679488805436226E-2</v>
      </c>
      <c r="AK3" s="9">
        <f t="shared" si="1"/>
        <v>7.7999999999999889E-2</v>
      </c>
      <c r="AL3" s="9">
        <f t="shared" si="1"/>
        <v>-0.47586149868430783</v>
      </c>
      <c r="AM3" s="10" t="str">
        <f>INDEX(AM4:AM29,MODE(MATCH(AM4:AM29,AM4:AM29,0)))</f>
        <v>Heavily overvalued</v>
      </c>
      <c r="AN3" s="2"/>
    </row>
    <row r="4" spans="2:44" x14ac:dyDescent="0.3">
      <c r="B4" s="19" t="s">
        <v>23</v>
      </c>
      <c r="C4" s="11" t="s">
        <v>39</v>
      </c>
      <c r="D4" s="13">
        <f>[1]Main!$D$3</f>
        <v>178.65</v>
      </c>
      <c r="E4" s="14">
        <f>[1]Main!$D$5</f>
        <v>239944.815</v>
      </c>
      <c r="F4" s="14">
        <f>[1]Main!$D$8</f>
        <v>-33093</v>
      </c>
      <c r="G4" s="14">
        <f>[1]Main!$D$9</f>
        <v>273037.815</v>
      </c>
      <c r="H4" s="14">
        <f>[1]Model!U$42</f>
        <v>3510</v>
      </c>
      <c r="I4" s="14">
        <f>[1]Model!V$42</f>
        <v>-3109</v>
      </c>
      <c r="J4" s="14">
        <f>[1]Model!W$42</f>
        <v>3897</v>
      </c>
      <c r="K4" s="14">
        <f>[1]Model!X$42</f>
        <v>5216</v>
      </c>
      <c r="L4" s="14">
        <f>[1]Model!Y$42</f>
        <v>3195</v>
      </c>
      <c r="M4" s="14">
        <f>[1]Model!Z$42</f>
        <v>4774</v>
      </c>
      <c r="N4" s="14">
        <f>[1]Model!AA$42</f>
        <v>6908.0692799999988</v>
      </c>
      <c r="O4" s="14">
        <f>[1]Model!AB$42</f>
        <v>7904.8385465600068</v>
      </c>
      <c r="P4" s="14">
        <f>[1]Model!AC$42</f>
        <v>8599.5558400063983</v>
      </c>
      <c r="Q4" s="14">
        <f>[1]Model!AD$42</f>
        <v>9059.5552323863285</v>
      </c>
      <c r="R4" s="15">
        <f t="shared" ref="R4" si="2">$G4/M4</f>
        <v>57.192671763720149</v>
      </c>
      <c r="S4" s="15">
        <f t="shared" ref="S4" si="3">$G4/N4</f>
        <v>39.524475498601262</v>
      </c>
      <c r="T4" s="15">
        <f>$G4/O4</f>
        <v>34.540593510138095</v>
      </c>
      <c r="U4" s="15">
        <f>$G4/P4</f>
        <v>31.750222927768888</v>
      </c>
      <c r="V4" s="15">
        <f>$G4/Q4</f>
        <v>30.138103692324485</v>
      </c>
      <c r="W4" s="15">
        <f>G4/[1]Model!$AK$42</f>
        <v>24.308469735826975</v>
      </c>
      <c r="X4" s="20">
        <f>[1]Model!$AA$66</f>
        <v>1.6187500889299944</v>
      </c>
      <c r="Y4" s="16">
        <f>[1]Model!$AA$67</f>
        <v>-0.38223941617757229</v>
      </c>
      <c r="Z4" s="16">
        <f t="shared" ref="Z4:Z16" si="4">AVERAGE(Y4,AL4)</f>
        <v>-0.43334590094892556</v>
      </c>
      <c r="AA4" s="14">
        <f>[1]Model!$AA$16</f>
        <v>251000</v>
      </c>
      <c r="AB4" s="20">
        <f>AA4/AD4</f>
        <v>2.83662807873033</v>
      </c>
      <c r="AC4" s="20">
        <f>AVERAGE(Y4,AB4,AL4)</f>
        <v>0.65664542561082628</v>
      </c>
      <c r="AD4" s="14">
        <f>[1]Model!$AA$28</f>
        <v>88485.34</v>
      </c>
      <c r="AE4" s="20">
        <f t="shared" ref="AE4:AE25" si="5">G4/AD4</f>
        <v>3.085684193562459</v>
      </c>
      <c r="AF4" s="16">
        <f>[1]Model!Z$52</f>
        <v>0.17147417295414979</v>
      </c>
      <c r="AG4" s="16">
        <f>[1]Model!AA$52</f>
        <v>9.5956550818697472E-2</v>
      </c>
      <c r="AH4" s="16">
        <f>[1]Model!$AA$55</f>
        <v>0.20232583612155416</v>
      </c>
      <c r="AI4" s="16">
        <f>[1]Model!$AA$58</f>
        <v>0.10111964987646541</v>
      </c>
      <c r="AJ4" s="16">
        <f>[1]Model!$AA$61</f>
        <v>7.8070212308615175E-2</v>
      </c>
      <c r="AK4" s="16">
        <f>[1]Model!$AO$53</f>
        <v>0.06</v>
      </c>
      <c r="AL4" s="16">
        <f>[1]Model!$AO$59</f>
        <v>-0.48445238572027882</v>
      </c>
      <c r="AM4" s="11" t="str">
        <f>[1]Model!$AO$60</f>
        <v>Overvalued</v>
      </c>
      <c r="AO4" s="11">
        <v>1922</v>
      </c>
      <c r="AQ4" s="18">
        <f>[1]Main!$E$3</f>
        <v>45955</v>
      </c>
      <c r="AR4" s="18">
        <f>[1]Main!$G$3</f>
        <v>46074</v>
      </c>
    </row>
    <row r="5" spans="2:44" x14ac:dyDescent="0.3">
      <c r="B5" s="19" t="s">
        <v>29</v>
      </c>
      <c r="C5" s="11" t="s">
        <v>59</v>
      </c>
      <c r="D5" s="13">
        <f>[2]Main!$D$3</f>
        <v>218.09</v>
      </c>
      <c r="E5" s="14">
        <f>[2]Main!$D$5</f>
        <v>164309.00599999999</v>
      </c>
      <c r="F5" s="14">
        <f>[2]Main!$D$8</f>
        <v>-29319</v>
      </c>
      <c r="G5" s="14">
        <f>[2]Main!$D$9</f>
        <v>193628.00599999999</v>
      </c>
      <c r="H5" s="14">
        <f>[2]Model!AP$46</f>
        <v>-636</v>
      </c>
      <c r="I5" s="14">
        <f>[2]Model!AQ$46</f>
        <v>-11873</v>
      </c>
      <c r="J5" s="14">
        <f>[2]Model!AR$46</f>
        <v>-4202</v>
      </c>
      <c r="K5" s="14">
        <f>[2]Model!AS$46</f>
        <v>-4935</v>
      </c>
      <c r="L5" s="14">
        <f>[2]Model!AT$46</f>
        <v>-2222</v>
      </c>
      <c r="M5" s="14">
        <f>[2]Model!AU$46</f>
        <v>-11875</v>
      </c>
      <c r="N5" s="14">
        <f>[2]Model!AV$46</f>
        <v>-6570.7075250000144</v>
      </c>
      <c r="O5" s="14">
        <f>[2]Model!AW$46</f>
        <v>-31.325577000003555</v>
      </c>
      <c r="P5" s="14">
        <f>[2]Model!AX$46</f>
        <v>3030.9999908699997</v>
      </c>
      <c r="Q5" s="14">
        <f>[2]Model!AY$46</f>
        <v>5253.703163729102</v>
      </c>
      <c r="R5" s="15">
        <f>$G5/M5</f>
        <v>-16.30551629473684</v>
      </c>
      <c r="U5" s="15">
        <f t="shared" ref="U5:U19" si="6">$G5/P5</f>
        <v>63.882549186158919</v>
      </c>
      <c r="V5" s="15">
        <f t="shared" ref="V5:V19" si="7">$G5/Q5</f>
        <v>36.855528370308988</v>
      </c>
      <c r="W5" s="15">
        <f>G5/[2]Model!$BF$46</f>
        <v>16.704099615042661</v>
      </c>
      <c r="X5" s="20">
        <f>[2]Model!$AV$66</f>
        <v>1.2906554728274997</v>
      </c>
      <c r="Y5" s="16">
        <f>[2]Model!$AV$67</f>
        <v>-0.22519989179664435</v>
      </c>
      <c r="Z5" s="16">
        <f t="shared" si="4"/>
        <v>-0.31010678571207401</v>
      </c>
      <c r="AA5" s="14">
        <f>[2]Model!$AV$25</f>
        <v>635688</v>
      </c>
      <c r="AB5" s="20">
        <f>AA5/AD5</f>
        <v>7.1062155015901256</v>
      </c>
      <c r="AC5" s="20">
        <f>AVERAGE(Y5,AB5,AL5)</f>
        <v>2.1620006433886592</v>
      </c>
      <c r="AD5" s="14">
        <f>[2]Model!$AV$29</f>
        <v>89455.209999999992</v>
      </c>
      <c r="AE5" s="20">
        <f t="shared" si="5"/>
        <v>2.1645246375253047</v>
      </c>
      <c r="AF5" s="16">
        <f>[2]Model!AU$53</f>
        <v>-0.14495976553461709</v>
      </c>
      <c r="AG5" s="16">
        <f>[2]Model!AV$53</f>
        <v>0.34484733226092557</v>
      </c>
      <c r="AH5" s="16">
        <f>[2]Model!$AV$56</f>
        <v>5.8786553628346373E-2</v>
      </c>
      <c r="AI5" s="16">
        <f>[2]Model!$AV$59</f>
        <v>-4.9699693287847783E-2</v>
      </c>
      <c r="AJ5" s="16">
        <f>[2]Model!$AV$61</f>
        <v>-7.3452485607043067E-2</v>
      </c>
      <c r="AK5" s="16">
        <f>[2]Model!$BI$53</f>
        <v>0.06</v>
      </c>
      <c r="AL5" s="16">
        <f>[2]Model!$BI$59</f>
        <v>-0.39501367962750367</v>
      </c>
      <c r="AM5" s="11" t="str">
        <f>[2]Model!$BI$60</f>
        <v>Overvalued</v>
      </c>
      <c r="AO5" s="11">
        <v>1916</v>
      </c>
      <c r="AQ5" s="18">
        <f>[2]Main!$E$3</f>
        <v>45959</v>
      </c>
      <c r="AR5" s="18">
        <f>[2]Main!$G$3</f>
        <v>46057</v>
      </c>
    </row>
    <row r="6" spans="2:44" x14ac:dyDescent="0.3">
      <c r="B6" s="19" t="s">
        <v>31</v>
      </c>
      <c r="C6" s="11" t="s">
        <v>56</v>
      </c>
      <c r="D6" s="13">
        <f>[3]Main!$D$3</f>
        <v>216.14</v>
      </c>
      <c r="E6" s="14">
        <f>[3]Main!$D$5</f>
        <v>137227.28599999999</v>
      </c>
      <c r="F6" s="14">
        <f>[3]Main!$D$8</f>
        <v>-23678</v>
      </c>
      <c r="G6" s="14">
        <f>[3]Main!$D$9</f>
        <v>160905.28599999999</v>
      </c>
      <c r="H6" s="14">
        <f>[3]Model!T$34</f>
        <v>6143</v>
      </c>
      <c r="I6" s="14">
        <f>[3]Model!U$34</f>
        <v>4779</v>
      </c>
      <c r="J6" s="14">
        <f>[3]Model!V$34</f>
        <v>5542</v>
      </c>
      <c r="K6" s="14">
        <f>[3]Model!W$34</f>
        <v>4966</v>
      </c>
      <c r="L6" s="14">
        <f>[3]Model!X$34</f>
        <v>5658</v>
      </c>
      <c r="M6" s="14">
        <f>[3]Model!Y$34</f>
        <v>5705</v>
      </c>
      <c r="N6" s="14">
        <f>[3]Model!Z$34</f>
        <v>6147.8931520000006</v>
      </c>
      <c r="O6" s="14">
        <f>[3]Model!AA$34</f>
        <v>6791.0503548800025</v>
      </c>
      <c r="P6" s="14">
        <f>[3]Model!AB$34</f>
        <v>7226.0086517339978</v>
      </c>
      <c r="Q6" s="14">
        <f>[3]Model!AC$34</f>
        <v>7664.5631503301584</v>
      </c>
      <c r="R6" s="15">
        <f>$G6/M6</f>
        <v>28.204256967572302</v>
      </c>
      <c r="S6" s="15">
        <f t="shared" ref="S6" si="8">$G6/N6</f>
        <v>26.172427207466207</v>
      </c>
      <c r="T6" s="15">
        <f t="shared" ref="T6:T19" si="9">$G6/O6</f>
        <v>23.693725946881628</v>
      </c>
      <c r="U6" s="15">
        <f t="shared" si="6"/>
        <v>22.267519145771871</v>
      </c>
      <c r="V6" s="15">
        <f t="shared" si="7"/>
        <v>20.993405996409443</v>
      </c>
      <c r="W6" s="15">
        <f>G6/[3]Model!$AJ$34</f>
        <v>18.233225093770333</v>
      </c>
      <c r="X6" s="20">
        <f>[3]Model!$Z$59</f>
        <v>1.988522634304287</v>
      </c>
      <c r="Y6" s="16">
        <f>[3]Model!$Z$60</f>
        <v>-0.49711409729572209</v>
      </c>
      <c r="Z6" s="16">
        <f t="shared" si="4"/>
        <v>-0.37234865860835875</v>
      </c>
      <c r="AA6" s="14">
        <f>[3]Model!$Z$8</f>
        <v>39087</v>
      </c>
      <c r="AB6" s="20">
        <f>AA6/AD6</f>
        <v>0.95018268536548001</v>
      </c>
      <c r="AC6" s="20">
        <f>AVERAGE(Y6,AB6,AL6)</f>
        <v>6.8495122716254173E-2</v>
      </c>
      <c r="AD6" s="14">
        <f>[3]Model!$Z$18</f>
        <v>41136.300000000003</v>
      </c>
      <c r="AE6" s="20">
        <f t="shared" si="5"/>
        <v>3.9115157658807425</v>
      </c>
      <c r="AF6" s="16">
        <f>[3]Model!$Y$45</f>
        <v>5.0079100976487823E-2</v>
      </c>
      <c r="AG6" s="16">
        <f>[3]Model!$Z$45</f>
        <v>6.8530832770533623E-2</v>
      </c>
      <c r="AH6" s="16">
        <f>[3]Model!$Z$48</f>
        <v>0.36945966457848661</v>
      </c>
      <c r="AI6" s="16">
        <f>[3]Model!$Z$51</f>
        <v>0.18705507301337262</v>
      </c>
      <c r="AJ6" s="16">
        <f>[3]Model!$Z$53</f>
        <v>0.14945177743258387</v>
      </c>
      <c r="AK6" s="16">
        <f>[3]Model!$AM$45</f>
        <v>0.06</v>
      </c>
      <c r="AL6" s="16">
        <f>[3]Model!$AM$51</f>
        <v>-0.24758321992099541</v>
      </c>
      <c r="AM6" s="11" t="str">
        <f>[3]Model!$AM$52</f>
        <v>Slightly overvalued</v>
      </c>
      <c r="AO6" s="11">
        <v>1906</v>
      </c>
      <c r="AQ6" s="18">
        <f>[3]Main!$E$3</f>
        <v>45955</v>
      </c>
      <c r="AR6" s="18">
        <f>[3]Main!$G$3</f>
        <v>46051</v>
      </c>
    </row>
    <row r="7" spans="2:44" x14ac:dyDescent="0.3">
      <c r="B7" s="19" t="s">
        <v>32</v>
      </c>
      <c r="C7" s="11" t="s">
        <v>57</v>
      </c>
      <c r="D7" s="17">
        <f>[4]Main!$D$3</f>
        <v>203.55</v>
      </c>
      <c r="E7" s="14">
        <f>[4]Main!$D$5</f>
        <v>160662.01500000001</v>
      </c>
      <c r="F7" s="14">
        <f>[4]Main!$D$8</f>
        <v>14263</v>
      </c>
      <c r="G7" s="14">
        <f>[4]Main!$D$9</f>
        <v>146399.01500000001</v>
      </c>
      <c r="H7" s="14">
        <f>[4]Model!U$28</f>
        <v>-1362</v>
      </c>
      <c r="I7" s="14">
        <f>[4]Model!V$28</f>
        <v>-1133</v>
      </c>
      <c r="J7" s="14">
        <f>[4]Model!W$28</f>
        <v>4213</v>
      </c>
      <c r="K7" s="14">
        <f>[4]Model!X$28</f>
        <v>4247</v>
      </c>
      <c r="L7" s="14">
        <f>[4]Model!Y$28</f>
        <v>3789</v>
      </c>
      <c r="M7" s="14">
        <f>[4]Model!Z$28</f>
        <v>4232</v>
      </c>
      <c r="N7" s="14">
        <f>[4]Model!AA$28</f>
        <v>5270.3283367999993</v>
      </c>
      <c r="O7" s="14">
        <f>[4]Model!AB$28</f>
        <v>5759.7684619200008</v>
      </c>
      <c r="P7" s="14">
        <f>[4]Model!AC$28</f>
        <v>6515.0674260704018</v>
      </c>
      <c r="Q7" s="14">
        <f>[4]Model!AD$28</f>
        <v>6668.5547838398097</v>
      </c>
      <c r="R7" s="15">
        <f>$G7/M7</f>
        <v>34.593340028355392</v>
      </c>
      <c r="S7" s="15">
        <f>$G7/N7</f>
        <v>27.777968590262354</v>
      </c>
      <c r="T7" s="15">
        <f t="shared" si="9"/>
        <v>25.41751738249533</v>
      </c>
      <c r="U7" s="15">
        <f t="shared" si="6"/>
        <v>22.470836512631671</v>
      </c>
      <c r="V7" s="15">
        <f t="shared" si="7"/>
        <v>21.953634594826291</v>
      </c>
      <c r="W7" s="15">
        <f>G7/[4]Model!$AK$28</f>
        <v>18.674921035581516</v>
      </c>
      <c r="X7" s="20">
        <f>[4]Model!$P$46</f>
        <v>1.1345242947923126</v>
      </c>
      <c r="Y7" s="16">
        <f>[4]Model!$P$47</f>
        <v>-0.11857330460864102</v>
      </c>
      <c r="Z7" s="16">
        <f t="shared" si="4"/>
        <v>-0.21499012297223874</v>
      </c>
      <c r="AA7" s="14">
        <f>[4]Model!$Z$7</f>
        <v>628917</v>
      </c>
      <c r="AB7" s="20">
        <f>AA7/AD7</f>
        <v>8.5650911628461852</v>
      </c>
      <c r="AC7" s="20">
        <f>AVERAGE(Y7,AB7,AL7)</f>
        <v>2.7117036389672364</v>
      </c>
      <c r="AD7" s="14">
        <f>[4]Model!$AA$9</f>
        <v>73427.94</v>
      </c>
      <c r="AE7" s="20">
        <f t="shared" si="5"/>
        <v>1.9937780496089093</v>
      </c>
      <c r="AF7" s="16">
        <f>[4]Model!Z$32</f>
        <v>5.7818659658344318E-2</v>
      </c>
      <c r="AG7" s="16">
        <f>[4]Model!AA$32</f>
        <v>6.063758486205395E-2</v>
      </c>
      <c r="AH7" s="16">
        <f>[4]Model!$AA$33</f>
        <v>0.16</v>
      </c>
      <c r="AI7" s="16">
        <f>[4]Model!$AA$37</f>
        <v>8.4329038510408974E-2</v>
      </c>
      <c r="AJ7" s="16">
        <f>[4]Model!$AA$40</f>
        <v>7.1775516741992201E-2</v>
      </c>
      <c r="AK7" s="16">
        <f>[4]Model!$AO$34</f>
        <v>7.0000000000000007E-2</v>
      </c>
      <c r="AL7" s="16">
        <f>[4]Model!$AO$40</f>
        <v>-0.31140694133583646</v>
      </c>
      <c r="AM7" s="11" t="str">
        <f>[4]Model!$AO$41</f>
        <v>Overvalued</v>
      </c>
      <c r="AO7" s="11">
        <v>1998</v>
      </c>
      <c r="AQ7" s="18">
        <f>[4]Main!$E$3</f>
        <v>45934</v>
      </c>
      <c r="AR7" s="18">
        <f>[4]Main!$G$3</f>
        <v>45959</v>
      </c>
    </row>
    <row r="8" spans="2:44" x14ac:dyDescent="0.3">
      <c r="B8" s="19" t="s">
        <v>24</v>
      </c>
      <c r="C8" s="11" t="s">
        <v>44</v>
      </c>
      <c r="D8" s="13">
        <f>[5]Main!$D$3</f>
        <v>485.41</v>
      </c>
      <c r="E8" s="14">
        <f>[5]Main!$D$5</f>
        <v>112323.87400000001</v>
      </c>
      <c r="F8" s="14">
        <f>[5]Main!$D$8</f>
        <v>-18719</v>
      </c>
      <c r="G8" s="14">
        <f>[5]Main!$D$9</f>
        <v>131042.87400000001</v>
      </c>
      <c r="H8" s="14">
        <f>[5]Model!X$40</f>
        <v>6230</v>
      </c>
      <c r="I8" s="14">
        <f>[5]Model!Y$40</f>
        <v>6888</v>
      </c>
      <c r="J8" s="14">
        <f>[5]Model!Z$40</f>
        <v>6315</v>
      </c>
      <c r="K8" s="14">
        <f>[5]Model!AA$40</f>
        <v>5732</v>
      </c>
      <c r="L8" s="14">
        <f>[5]Model!AB$40</f>
        <v>6920</v>
      </c>
      <c r="M8" s="14">
        <f>[5]Model!AC$40</f>
        <v>5336</v>
      </c>
      <c r="N8" s="14">
        <f>[5]Model!AD$40</f>
        <v>5481.6459999999934</v>
      </c>
      <c r="O8" s="14">
        <f>[5]Model!AE$40</f>
        <v>7213.9228000000003</v>
      </c>
      <c r="P8" s="14">
        <f>[5]Model!AF$40</f>
        <v>7371.4924102000041</v>
      </c>
      <c r="Q8" s="14">
        <f>[5]Model!AG$40</f>
        <v>7472.1803546540086</v>
      </c>
      <c r="R8" s="15">
        <f t="shared" ref="R8" si="10">$G8/M8</f>
        <v>24.558259745127437</v>
      </c>
      <c r="S8" s="15">
        <f t="shared" ref="S8" si="11">$G8/N8</f>
        <v>23.905752761123242</v>
      </c>
      <c r="T8" s="15">
        <f t="shared" si="9"/>
        <v>18.165272575414864</v>
      </c>
      <c r="U8" s="15">
        <f t="shared" si="6"/>
        <v>17.776980115814098</v>
      </c>
      <c r="V8" s="15">
        <f t="shared" si="7"/>
        <v>17.537434561303201</v>
      </c>
      <c r="W8" s="15">
        <f>G8/[5]Model!$AN$40</f>
        <v>15.921994971525811</v>
      </c>
      <c r="X8" s="20">
        <f>[5]Model!$T$63</f>
        <v>2.2259703414302701</v>
      </c>
      <c r="Y8" s="16">
        <f>[5]Model!$T$64</f>
        <v>-0.55075771613494995</v>
      </c>
      <c r="Z8" s="16">
        <f t="shared" si="4"/>
        <v>-0.39640122429370572</v>
      </c>
      <c r="AA8" s="14">
        <f>[5]Model!$AD$14</f>
        <v>179071</v>
      </c>
      <c r="AB8" s="20">
        <f>AA8/AD8</f>
        <v>2.4107176513034254</v>
      </c>
      <c r="AC8" s="20">
        <f>AVERAGE(Y8,AB8,AL8)</f>
        <v>0.53930506757200469</v>
      </c>
      <c r="AD8" s="14">
        <f>[5]Model!$AD$24</f>
        <v>74281.2</v>
      </c>
      <c r="AE8" s="20">
        <f t="shared" si="5"/>
        <v>1.7641458942504971</v>
      </c>
      <c r="AF8" s="16">
        <f>[5]Model!AC$51</f>
        <v>5.1382989744120922E-2</v>
      </c>
      <c r="AG8" s="16">
        <f>[5]Model!AD$51</f>
        <v>4.5580845403488057E-2</v>
      </c>
      <c r="AH8" s="16">
        <f>[5]Model!$AD$54</f>
        <v>0.1068324959747553</v>
      </c>
      <c r="AI8" s="16">
        <f>[5]Model!$AD$55</f>
        <v>0.10594398044188831</v>
      </c>
      <c r="AJ8" s="16">
        <f>[5]Model!$AD$57</f>
        <v>7.3795872979973309E-2</v>
      </c>
      <c r="AK8" s="16">
        <f>[5]Model!$AQ$51</f>
        <v>7.0000000000000007E-2</v>
      </c>
      <c r="AL8" s="16">
        <f>[5]Model!$AQ$57</f>
        <v>-0.2420447324524615</v>
      </c>
      <c r="AM8" s="11" t="str">
        <f>[5]Model!$AQ$58</f>
        <v>Slightly overvalued</v>
      </c>
      <c r="AO8" s="11">
        <v>1912</v>
      </c>
      <c r="AQ8" s="18">
        <f>[5]Main!$E$3</f>
        <v>45955</v>
      </c>
      <c r="AR8" s="18">
        <f>[5]Main!$G$3</f>
        <v>46049</v>
      </c>
    </row>
    <row r="9" spans="2:44" x14ac:dyDescent="0.3">
      <c r="B9" s="19" t="s">
        <v>33</v>
      </c>
      <c r="C9" s="11" t="s">
        <v>58</v>
      </c>
      <c r="D9" s="17">
        <f>[6]Main!$D$3</f>
        <v>303.10000000000002</v>
      </c>
      <c r="E9" s="14">
        <f>[6]Main!$D$5</f>
        <v>126665.49</v>
      </c>
      <c r="F9" s="14">
        <f>[6]Main!$D$8</f>
        <v>3454</v>
      </c>
      <c r="G9" s="14">
        <f>[6]Main!$D$9</f>
        <v>123211.49</v>
      </c>
      <c r="H9" s="14">
        <f>[6]Model!L$27</f>
        <v>2665</v>
      </c>
      <c r="I9" s="14">
        <f>[6]Model!M$27</f>
        <v>844</v>
      </c>
      <c r="J9" s="14">
        <f>[6]Model!N$27</f>
        <v>760</v>
      </c>
      <c r="K9" s="14">
        <f>[6]Model!O$27</f>
        <v>1178</v>
      </c>
      <c r="L9" s="14">
        <f>[6]Model!P$27</f>
        <v>3444</v>
      </c>
      <c r="M9" s="14">
        <f>[6]Model!Q$27</f>
        <v>-667</v>
      </c>
      <c r="N9" s="14">
        <f>[6]Model!R$27</f>
        <v>6723.0672399999985</v>
      </c>
      <c r="O9" s="14">
        <f>[6]Model!S$27</f>
        <v>4958.320731400001</v>
      </c>
      <c r="P9" s="14">
        <f>[6]Model!T$27</f>
        <v>5263.9838682340005</v>
      </c>
      <c r="Q9" s="14">
        <f>[6]Model!U$27</f>
        <v>5481.8804852950607</v>
      </c>
      <c r="R9" s="15">
        <f t="shared" ref="R9" si="12">$G9/M9</f>
        <v>-184.72487256371815</v>
      </c>
      <c r="S9" s="15">
        <f t="shared" ref="S9" si="13">$G9/N9</f>
        <v>18.326678226112765</v>
      </c>
      <c r="T9" s="15">
        <f t="shared" si="9"/>
        <v>24.849439290953406</v>
      </c>
      <c r="U9" s="15">
        <f t="shared" si="6"/>
        <v>23.406509800216369</v>
      </c>
      <c r="V9" s="15">
        <f t="shared" si="7"/>
        <v>22.476135758616085</v>
      </c>
      <c r="W9" s="15">
        <f>G9/[6]Model!$AB$27</f>
        <v>19.209718187692506</v>
      </c>
      <c r="X9" s="20">
        <f>[6]Model!$I$41</f>
        <v>2.2397202428561043</v>
      </c>
      <c r="Y9" s="16">
        <f>[6]Model!$I$42</f>
        <v>-0.55351566643662864</v>
      </c>
      <c r="Z9" s="16">
        <f t="shared" si="4"/>
        <v>-0.44166882388829903</v>
      </c>
      <c r="AD9" s="14">
        <f>[6]Model!$R$5</f>
        <v>31734.280000000002</v>
      </c>
      <c r="AE9" s="20">
        <f t="shared" si="5"/>
        <v>3.8825991955702159</v>
      </c>
      <c r="AF9" s="25">
        <f>[6]Model!P$31</f>
        <v>0.23876765083440299</v>
      </c>
      <c r="AG9" s="25">
        <f>[6]Model!Q$31</f>
        <v>0.16700518134715026</v>
      </c>
      <c r="AH9" s="25">
        <f>[6]Model!$Q$32</f>
        <v>0.19116288982027421</v>
      </c>
      <c r="AI9" s="25">
        <f>[6]Model!$Q$33</f>
        <v>0.14889536122753427</v>
      </c>
      <c r="AJ9" s="25"/>
      <c r="AK9" s="16">
        <f>[6]Model!$AF$33</f>
        <v>7.0000000000000007E-2</v>
      </c>
      <c r="AL9" s="16">
        <f>[6]Model!$AF$39</f>
        <v>-0.32982198133996943</v>
      </c>
      <c r="AM9" s="11" t="str">
        <f>[6]Model!$AF$40</f>
        <v>Overvalued</v>
      </c>
      <c r="AO9" s="11">
        <v>1924</v>
      </c>
      <c r="AQ9" s="18">
        <f>[6]Main!$E$3</f>
        <v>45934</v>
      </c>
      <c r="AR9" s="18">
        <f>[6]Main!$G$3</f>
        <v>46066</v>
      </c>
    </row>
    <row r="10" spans="2:44" x14ac:dyDescent="0.3">
      <c r="B10" s="19" t="s">
        <v>25</v>
      </c>
      <c r="C10" s="11" t="s">
        <v>55</v>
      </c>
      <c r="D10" s="13">
        <f>[7]Main!$D$3</f>
        <v>607.99</v>
      </c>
      <c r="E10" s="14">
        <f>[7]Main!$D$5</f>
        <v>86760.172999999995</v>
      </c>
      <c r="F10" s="14">
        <f>[7]Main!$D$8</f>
        <v>-13205</v>
      </c>
      <c r="G10" s="14">
        <f>[7]Main!$D$9</f>
        <v>99965.172999999995</v>
      </c>
      <c r="H10" s="14">
        <f>[7]Model!T$27</f>
        <v>2248</v>
      </c>
      <c r="I10" s="14">
        <f>[7]Model!U$27</f>
        <v>3189</v>
      </c>
      <c r="J10" s="14">
        <f>[7]Model!V$27</f>
        <v>7005</v>
      </c>
      <c r="K10" s="14">
        <f>[7]Model!W$27</f>
        <v>4896</v>
      </c>
      <c r="L10" s="14">
        <f>[7]Model!X$27</f>
        <v>2056</v>
      </c>
      <c r="M10" s="14">
        <f>[7]Model!Y$27</f>
        <v>4174</v>
      </c>
      <c r="N10" s="14">
        <f>[7]Model!Z$27</f>
        <v>3808.3410400000084</v>
      </c>
      <c r="O10" s="14">
        <f>[7]Model!AA$27</f>
        <v>4134.512000640002</v>
      </c>
      <c r="P10" s="14">
        <f>[7]Model!AB$27</f>
        <v>4248.4670532527998</v>
      </c>
      <c r="Q10" s="14">
        <f>[7]Model!AC$27</f>
        <v>4365.0138550438533</v>
      </c>
      <c r="R10" s="15">
        <f>$G10/M10</f>
        <v>23.949490416866315</v>
      </c>
      <c r="S10" s="15">
        <f t="shared" ref="S10:S14" si="14">$G10/N10</f>
        <v>26.249007625640527</v>
      </c>
      <c r="T10" s="15">
        <f t="shared" si="9"/>
        <v>24.17822780161864</v>
      </c>
      <c r="U10" s="15">
        <f t="shared" si="6"/>
        <v>23.529704184351054</v>
      </c>
      <c r="V10" s="15">
        <f t="shared" si="7"/>
        <v>22.901456059409391</v>
      </c>
      <c r="W10" s="15">
        <f>G10/[7]Model!$AJ$27</f>
        <v>20.812309435493297</v>
      </c>
      <c r="X10" s="20">
        <f>[7]Model!$P$51</f>
        <v>2.0214995247821075</v>
      </c>
      <c r="Y10" s="16">
        <f>[7]Model!$P$52</f>
        <v>-0.50531771700130002</v>
      </c>
      <c r="Z10" s="16">
        <f t="shared" si="4"/>
        <v>-0.47668460806942875</v>
      </c>
      <c r="AA10" s="14">
        <f>[7]Model!$Z$3</f>
        <v>91400</v>
      </c>
      <c r="AB10" s="20">
        <f>AA10/AD10</f>
        <v>2.2169501605833535</v>
      </c>
      <c r="AC10" s="20">
        <f>AVERAGE(Y10,AB10,AL10)</f>
        <v>0.42119364814816534</v>
      </c>
      <c r="AD10" s="14">
        <f>[7]Model!$Z$14</f>
        <v>41227.810000000005</v>
      </c>
      <c r="AE10" s="20">
        <f t="shared" si="5"/>
        <v>2.4247024763139247</v>
      </c>
      <c r="AF10" s="16">
        <f>[7]Model!$Y$38</f>
        <v>4.4362433189106598E-2</v>
      </c>
      <c r="AG10" s="16">
        <f>[7]Model!$Z$38</f>
        <v>4.7476421416909886E-3</v>
      </c>
      <c r="AH10" s="16">
        <f>[7]Model!$Z$41</f>
        <v>0.20344462390798848</v>
      </c>
      <c r="AI10" s="16">
        <f>[7]Model!$Z$43</f>
        <v>0.1090144322485237</v>
      </c>
      <c r="AJ10" s="16">
        <f>[7]Model!$Z$45</f>
        <v>9.2373110286479154E-2</v>
      </c>
      <c r="AK10" s="16">
        <f>[7]Model!$AM$38</f>
        <v>7.0000000000000007E-2</v>
      </c>
      <c r="AL10" s="16">
        <f>[7]Model!$AM$44</f>
        <v>-0.44805149913755749</v>
      </c>
      <c r="AM10" s="11" t="str">
        <f>[7]Model!$AM$45</f>
        <v>Overvalued</v>
      </c>
      <c r="AO10" s="11">
        <v>1939</v>
      </c>
      <c r="AQ10" s="18">
        <f>[7]Main!$E$3</f>
        <v>45954</v>
      </c>
      <c r="AR10" s="18">
        <f>[7]Main!$G$3</f>
        <v>46044</v>
      </c>
    </row>
    <row r="11" spans="2:44" x14ac:dyDescent="0.3">
      <c r="B11" s="19" t="s">
        <v>30</v>
      </c>
      <c r="C11" s="11" t="s">
        <v>60</v>
      </c>
      <c r="D11" s="13">
        <f>[8]Main!$D$3</f>
        <v>350.77</v>
      </c>
      <c r="E11" s="14">
        <f>[8]Main!$D$5</f>
        <v>94742.976999999999</v>
      </c>
      <c r="F11" s="14">
        <f>[8]Main!$D$8</f>
        <v>-5494</v>
      </c>
      <c r="G11" s="14">
        <f>[8]Main!$D$9</f>
        <v>100236.977</v>
      </c>
      <c r="H11" s="14">
        <f>[8]Model!W$25</f>
        <v>3484</v>
      </c>
      <c r="I11" s="14">
        <f>[8]Model!X$25</f>
        <v>3167</v>
      </c>
      <c r="J11" s="14">
        <f>[8]Model!Y$25</f>
        <v>3257</v>
      </c>
      <c r="K11" s="14">
        <f>[8]Model!Z$25</f>
        <v>3390</v>
      </c>
      <c r="L11" s="14">
        <f>[8]Model!AA$25</f>
        <v>3315</v>
      </c>
      <c r="M11" s="14">
        <f>[8]Model!AB$25</f>
        <v>3782</v>
      </c>
      <c r="N11" s="14">
        <f>[8]Model!AC$25</f>
        <v>4282.1374299999989</v>
      </c>
      <c r="O11" s="14">
        <f>[8]Model!AD$25</f>
        <v>4849.6184672800027</v>
      </c>
      <c r="P11" s="14">
        <f>[8]Model!AE$25</f>
        <v>5178.3857795284002</v>
      </c>
      <c r="Q11" s="14">
        <f>[8]Model!AF$25</f>
        <v>5429.6676456942459</v>
      </c>
      <c r="R11" s="15">
        <f t="shared" ref="R11" si="15">$G11/M11</f>
        <v>26.503695663670015</v>
      </c>
      <c r="S11" s="15">
        <f t="shared" si="14"/>
        <v>23.408164412882943</v>
      </c>
      <c r="T11" s="15">
        <f t="shared" si="9"/>
        <v>20.669043900317327</v>
      </c>
      <c r="U11" s="15">
        <f t="shared" si="6"/>
        <v>19.356799834470554</v>
      </c>
      <c r="V11" s="15">
        <f t="shared" si="7"/>
        <v>18.460978376731479</v>
      </c>
      <c r="W11" s="15">
        <f>G11/[8]Model!$AM$25</f>
        <v>16.082986073435571</v>
      </c>
      <c r="X11" s="20">
        <f>[8]Model!$AC$48</f>
        <v>1.7402555079081234</v>
      </c>
      <c r="Y11" s="16">
        <f>[8]Model!$AC$49</f>
        <v>-0.4253717368192379</v>
      </c>
      <c r="Z11" s="16">
        <f t="shared" si="4"/>
        <v>-0.33217890356728502</v>
      </c>
      <c r="AA11" s="14">
        <f>[8]Model!$AC$3</f>
        <v>109900</v>
      </c>
      <c r="AB11" s="20">
        <f>AA11/AD11</f>
        <v>2.0827592637303871</v>
      </c>
      <c r="AC11" s="20">
        <f>AVERAGE(Y11,AB11,AL11)</f>
        <v>0.47280048553193904</v>
      </c>
      <c r="AD11" s="14">
        <f>[8]Model!$AC$14</f>
        <v>52766.539999999994</v>
      </c>
      <c r="AE11" s="20">
        <f t="shared" si="5"/>
        <v>1.899631414149952</v>
      </c>
      <c r="AF11" s="16">
        <f>[8]Model!AB$36</f>
        <v>0.12878501135503417</v>
      </c>
      <c r="AG11" s="16">
        <f>[8]Model!AC$36</f>
        <v>0.1058458378740883</v>
      </c>
      <c r="AH11" s="16">
        <f>[8]Model!$AC$39</f>
        <v>0.15159855089986948</v>
      </c>
      <c r="AI11" s="16">
        <f>[8]Model!$AC$41</f>
        <v>0.10286861711986421</v>
      </c>
      <c r="AJ11" s="16">
        <f>[8]Model!$AC$43</f>
        <v>8.1152515021830116E-2</v>
      </c>
      <c r="AK11" s="16">
        <f>[8]Model!$AP$36</f>
        <v>7.0000000000000007E-2</v>
      </c>
      <c r="AL11" s="16">
        <f>[8]Model!$AP$42</f>
        <v>-0.23898607031533214</v>
      </c>
      <c r="AM11" s="11" t="str">
        <f>[8]Model!$AP$43</f>
        <v>Slightly overvalued</v>
      </c>
      <c r="AO11" s="11">
        <v>1952</v>
      </c>
      <c r="AQ11" s="18">
        <f>[8]Main!$E$3</f>
        <v>45955</v>
      </c>
      <c r="AR11" s="18">
        <f>[8]Main!$G$3</f>
        <v>46050</v>
      </c>
    </row>
    <row r="12" spans="2:44" x14ac:dyDescent="0.3">
      <c r="B12" s="19" t="s">
        <v>34</v>
      </c>
      <c r="C12" s="11" t="s">
        <v>62</v>
      </c>
      <c r="D12" s="22">
        <f>[9]Main!$D$3</f>
        <v>11.685</v>
      </c>
      <c r="E12" s="14">
        <f>[9]Main!$D$5</f>
        <v>98504.55</v>
      </c>
      <c r="F12" s="14">
        <f>[9]Main!$D$8</f>
        <v>2379</v>
      </c>
      <c r="G12" s="14">
        <f>[9]Main!$D$9</f>
        <v>96125.55</v>
      </c>
      <c r="H12" s="14">
        <f>[9]Model!L$16</f>
        <v>-1315</v>
      </c>
      <c r="I12" s="14">
        <f>[9]Model!M$16</f>
        <v>-3170</v>
      </c>
      <c r="J12" s="14">
        <f>[9]Model!N$16</f>
        <v>120</v>
      </c>
      <c r="K12" s="14">
        <f>[9]Model!O$16</f>
        <v>-1269</v>
      </c>
      <c r="L12" s="14">
        <f>[9]Model!P$16</f>
        <v>2412</v>
      </c>
      <c r="M12" s="14">
        <f>[9]Model!Q$16</f>
        <v>1971</v>
      </c>
      <c r="N12" s="14">
        <f>[9]Model!R$16</f>
        <v>1904.7799599999998</v>
      </c>
      <c r="O12" s="14">
        <f>[9]Model!S$16</f>
        <v>2166.5070368000002</v>
      </c>
      <c r="P12" s="14">
        <f>[9]Model!T$16</f>
        <v>2390.7082868080001</v>
      </c>
      <c r="Q12" s="14">
        <f>[9]Model!U$16</f>
        <v>2597.5219971524007</v>
      </c>
      <c r="R12" s="15">
        <f>$G12/M12</f>
        <v>48.769939117199392</v>
      </c>
      <c r="S12" s="15">
        <f>$G12/N12</f>
        <v>50.465435388137962</v>
      </c>
      <c r="T12" s="15">
        <f t="shared" si="9"/>
        <v>44.368907355122417</v>
      </c>
      <c r="U12" s="15">
        <f t="shared" si="6"/>
        <v>40.207979589322406</v>
      </c>
      <c r="V12" s="15">
        <f t="shared" si="7"/>
        <v>37.006635595532998</v>
      </c>
      <c r="W12" s="15">
        <f>G12/[9]Model!$AB$16</f>
        <v>25.900754786619792</v>
      </c>
      <c r="X12" s="20">
        <f>[9]Model!$I$32</f>
        <v>2.5336201897733264</v>
      </c>
      <c r="Y12" s="16">
        <f>[9]Model!$I$33</f>
        <v>-0.60530784999409626</v>
      </c>
      <c r="Z12" s="16">
        <f>AVERAGE(Y12,AL12)</f>
        <v>-0.57480585497831804</v>
      </c>
      <c r="AD12" s="14">
        <f>[9]Model!$R$3</f>
        <v>21178.080000000002</v>
      </c>
      <c r="AE12" s="20">
        <f t="shared" si="5"/>
        <v>4.5389171256317855</v>
      </c>
      <c r="AF12" s="16">
        <f>[9]Model!Q$20</f>
        <v>0.14697318937280124</v>
      </c>
      <c r="AG12" s="16">
        <f>[9]Model!R$20</f>
        <v>0.12000000000000011</v>
      </c>
      <c r="AH12" s="16">
        <f>[9]Model!$R$21</f>
        <v>0.21999999999999997</v>
      </c>
      <c r="AI12" s="16">
        <f>[9]Model!$R$24</f>
        <v>0.12645705370836258</v>
      </c>
      <c r="AJ12" s="16">
        <f>[9]Model!$R$26</f>
        <v>8.994110703142115E-2</v>
      </c>
      <c r="AK12" s="16">
        <f>[9]Model!$AE$22</f>
        <v>7.0000000000000007E-2</v>
      </c>
      <c r="AL12" s="16">
        <f>[9]Model!$AE$28</f>
        <v>-0.54430385996253983</v>
      </c>
      <c r="AM12" s="11" t="str">
        <f>[9]Model!$AE$29</f>
        <v>Heavily overvalued</v>
      </c>
      <c r="AO12" s="11">
        <v>1906</v>
      </c>
      <c r="AQ12" s="18">
        <f>[9]Main!$E$3</f>
        <v>45934</v>
      </c>
      <c r="AR12" s="18">
        <f>[9]Main!$G$3</f>
        <v>46079</v>
      </c>
    </row>
    <row r="13" spans="2:44" x14ac:dyDescent="0.3">
      <c r="B13" s="19" t="s">
        <v>28</v>
      </c>
      <c r="C13" s="11" t="s">
        <v>40</v>
      </c>
      <c r="D13" s="17">
        <f>[10]Main!$D$3</f>
        <v>1764</v>
      </c>
      <c r="E13" s="14">
        <f>[10]Main!$D$5</f>
        <v>77333.760000000009</v>
      </c>
      <c r="F13" s="14">
        <f>[10]Main!$D$8</f>
        <v>-293</v>
      </c>
      <c r="G13" s="14">
        <f>[10]Main!$D$9</f>
        <v>77626.760000000009</v>
      </c>
      <c r="H13" s="14"/>
      <c r="I13" s="14">
        <f>[10]Model!AA$37</f>
        <v>291</v>
      </c>
      <c r="J13" s="14">
        <f>[10]Model!AB$37</f>
        <v>476</v>
      </c>
      <c r="K13" s="14">
        <f>[10]Model!AC$37</f>
        <v>534</v>
      </c>
      <c r="L13" s="14">
        <f>[10]Model!AD$37</f>
        <v>717</v>
      </c>
      <c r="M13" s="14">
        <f>[10]Model!AE$37</f>
        <v>1152.8015680000001</v>
      </c>
      <c r="N13" s="14">
        <f>[10]Model!AF$37</f>
        <v>1264.6224175000007</v>
      </c>
      <c r="O13" s="14">
        <f>[10]Model!AG$37</f>
        <v>1430.3841434999997</v>
      </c>
      <c r="P13" s="14">
        <f>[10]Model!AH$37</f>
        <v>1527.5501896362498</v>
      </c>
      <c r="Q13" s="14">
        <f>[10]Model!AI$37</f>
        <v>1588.4162624936125</v>
      </c>
      <c r="R13" s="15">
        <f t="shared" ref="R13:S13" si="16">$G13/M13</f>
        <v>67.337486480587444</v>
      </c>
      <c r="S13" s="15">
        <f t="shared" si="16"/>
        <v>61.38334962736019</v>
      </c>
      <c r="T13" s="15">
        <f t="shared" si="9"/>
        <v>54.269868938882027</v>
      </c>
      <c r="U13" s="15">
        <f t="shared" si="6"/>
        <v>50.817813075251557</v>
      </c>
      <c r="V13" s="15">
        <f t="shared" si="7"/>
        <v>48.870539689725803</v>
      </c>
      <c r="W13" s="15">
        <f>G13/[10]Model!$AO$37</f>
        <v>43.016847377417079</v>
      </c>
      <c r="X13" s="20">
        <f>[10]Model!$T$63</f>
        <v>5.3194517919550472</v>
      </c>
      <c r="Y13" s="16">
        <f>[10]Model!$T$64</f>
        <v>-0.81201070352543381</v>
      </c>
      <c r="Z13" s="16">
        <f t="shared" si="4"/>
        <v>-0.76529519201509444</v>
      </c>
      <c r="AA13" s="14">
        <f>[10]Model!$T$11</f>
        <v>63165</v>
      </c>
      <c r="AB13" s="20">
        <f>AA13/AD13</f>
        <v>5.1639396530722026</v>
      </c>
      <c r="AC13" s="20">
        <f>AVERAGE(Y13,AB13,AL13)</f>
        <v>1.2111164230140048</v>
      </c>
      <c r="AD13" s="14">
        <f>[10]Model!$AE$18</f>
        <v>12231.94</v>
      </c>
      <c r="AE13" s="20">
        <f t="shared" si="5"/>
        <v>6.3462345302544003</v>
      </c>
      <c r="AF13" s="16">
        <f>[10]Model!AD$49</f>
        <v>0.35902439024390254</v>
      </c>
      <c r="AG13" s="16">
        <f>[10]Model!AE$49</f>
        <v>0.25442928930366127</v>
      </c>
      <c r="AH13" s="16">
        <f>[10]Model!$AE$51</f>
        <v>0.28072109575423032</v>
      </c>
      <c r="AI13" s="16">
        <f>[10]Model!$AE$56</f>
        <v>0.16228117534912698</v>
      </c>
      <c r="AJ13" s="16">
        <f>[10]Model!$AE$59</f>
        <v>9.4245194793303441E-2</v>
      </c>
      <c r="AK13" s="16">
        <f>[10]Model!$AS$46</f>
        <v>7.0000000000000007E-2</v>
      </c>
      <c r="AL13" s="16">
        <f>[10]Model!$AS$52</f>
        <v>-0.71857968050475507</v>
      </c>
      <c r="AM13" s="11" t="str">
        <f>[10]Model!$AS$53</f>
        <v>Heavily overvalued</v>
      </c>
      <c r="AO13" s="11">
        <v>1927</v>
      </c>
      <c r="AQ13" s="18">
        <f>[10]Main!$E$3</f>
        <v>45955</v>
      </c>
      <c r="AR13" s="18">
        <f>[10]Main!$G$3</f>
        <v>45967</v>
      </c>
    </row>
    <row r="14" spans="2:44" x14ac:dyDescent="0.3">
      <c r="B14" s="19" t="s">
        <v>26</v>
      </c>
      <c r="C14" s="11" t="s">
        <v>54</v>
      </c>
      <c r="D14" s="22">
        <f>[11]Main!$D$3</f>
        <v>20.55</v>
      </c>
      <c r="E14" s="14">
        <f>[11]Main!$D$5</f>
        <v>61650</v>
      </c>
      <c r="F14" s="14">
        <f>[11]Main!$D$8</f>
        <v>-4907</v>
      </c>
      <c r="G14" s="14">
        <f>[11]Main!$D$9</f>
        <v>66557</v>
      </c>
      <c r="H14" s="14"/>
      <c r="I14" s="14"/>
      <c r="J14" s="14">
        <f>[11]Model!N$41</f>
        <v>1758</v>
      </c>
      <c r="K14" s="14">
        <f>[11]Model!O$41</f>
        <v>1591</v>
      </c>
      <c r="L14" s="14">
        <f>[11]Model!P$41</f>
        <v>1857</v>
      </c>
      <c r="M14" s="14">
        <f>[11]Model!Q$41</f>
        <v>1956</v>
      </c>
      <c r="N14" s="14">
        <f>[11]Model!R$41</f>
        <v>2983.0295450000012</v>
      </c>
      <c r="O14" s="14">
        <f>[11]Model!S$41</f>
        <v>3274.0576822999979</v>
      </c>
      <c r="P14" s="14">
        <f>[11]Model!T$41</f>
        <v>3558.6704355280026</v>
      </c>
      <c r="Q14" s="14">
        <f>[11]Model!U$41</f>
        <v>3774.8694653950824</v>
      </c>
      <c r="R14" s="15">
        <f t="shared" ref="R14" si="17">$G14/M14</f>
        <v>34.027096114519431</v>
      </c>
      <c r="S14" s="15">
        <f t="shared" si="14"/>
        <v>22.311880923727148</v>
      </c>
      <c r="T14" s="15">
        <f t="shared" si="9"/>
        <v>20.328597250994147</v>
      </c>
      <c r="U14" s="15">
        <f t="shared" si="6"/>
        <v>18.702771500144515</v>
      </c>
      <c r="V14" s="15">
        <f t="shared" si="7"/>
        <v>17.631603055454015</v>
      </c>
      <c r="W14" s="15">
        <f>G14/[11]Model!$AB$41</f>
        <v>13.563069245129061</v>
      </c>
      <c r="X14" s="20">
        <f>[11]Model!$I$61</f>
        <v>1.8487542012721869</v>
      </c>
      <c r="Y14" s="16">
        <f>[11]Model!$I$62</f>
        <v>-0.45909521162312006</v>
      </c>
      <c r="Z14" s="16">
        <f t="shared" si="4"/>
        <v>-0.29409758332501079</v>
      </c>
      <c r="AA14" s="14">
        <f>[11]Model!$I$10</f>
        <v>75400</v>
      </c>
      <c r="AB14" s="20">
        <f>AA14/AD14</f>
        <v>2.6692051255818532</v>
      </c>
      <c r="AC14" s="20">
        <f>AVERAGE(Y14,AB14,AL14)</f>
        <v>0.6936699863106105</v>
      </c>
      <c r="AD14" s="14">
        <f>[11]Model!$R$22</f>
        <v>28248.11</v>
      </c>
      <c r="AE14" s="20">
        <f t="shared" si="5"/>
        <v>2.3561576332009468</v>
      </c>
      <c r="AF14" s="16">
        <f>[11]Model!Q$50</f>
        <v>0.14013346043851294</v>
      </c>
      <c r="AG14" s="16">
        <f>[11]Model!R$50</f>
        <v>7.3582775919732502E-2</v>
      </c>
      <c r="AH14" s="16">
        <f>[11]Model!$R$51</f>
        <v>0.65</v>
      </c>
      <c r="AI14" s="16">
        <f>[11]Model!$R$54</f>
        <v>0.12268047313607891</v>
      </c>
      <c r="AJ14" s="16">
        <f>[11]Model!$R$56</f>
        <v>0.10560103118403324</v>
      </c>
      <c r="AK14" s="16">
        <f>[11]Model!$AE$48</f>
        <v>7.0000000000000007E-2</v>
      </c>
      <c r="AL14" s="16">
        <f>[11]Model!$AE$54</f>
        <v>-0.12909995502690153</v>
      </c>
      <c r="AM14" s="11" t="str">
        <f>[11]Model!$AE$55</f>
        <v>Slightly overvalued</v>
      </c>
      <c r="AO14" s="11">
        <v>1953</v>
      </c>
      <c r="AQ14" s="18">
        <f>[11]Main!$E$3</f>
        <v>45934</v>
      </c>
      <c r="AR14" s="18">
        <f>[11]Main!$G$3</f>
        <v>46072</v>
      </c>
    </row>
    <row r="15" spans="2:44" x14ac:dyDescent="0.3">
      <c r="B15" s="19" t="s">
        <v>27</v>
      </c>
      <c r="C15" s="11" t="s">
        <v>61</v>
      </c>
      <c r="D15" s="13">
        <f>[12]Main!$D$3</f>
        <v>294.39999999999998</v>
      </c>
      <c r="E15" s="14">
        <f>[12]Main!$D$5</f>
        <v>55082.239999999991</v>
      </c>
      <c r="F15" s="14">
        <f>[12]Main!$D$8</f>
        <v>-11620</v>
      </c>
      <c r="G15" s="14">
        <f>[12]Main!$D$9</f>
        <v>66702.239999999991</v>
      </c>
      <c r="I15" s="14">
        <f>[12]Model!T$25</f>
        <v>1119</v>
      </c>
      <c r="J15" s="14">
        <f>[12]Model!U$25</f>
        <v>1846</v>
      </c>
      <c r="K15" s="14">
        <f>[12]Model!V$25</f>
        <v>1062</v>
      </c>
      <c r="L15" s="14">
        <f>[12]Model!W$25</f>
        <v>1227</v>
      </c>
      <c r="M15" s="14">
        <f>[12]Model!X$25</f>
        <v>1502</v>
      </c>
      <c r="N15" s="14">
        <f>[12]Model!Y$25</f>
        <v>1911.9592200000009</v>
      </c>
      <c r="O15" s="14">
        <f>[12]Model!Z$25</f>
        <v>2105.6899550000007</v>
      </c>
      <c r="P15" s="14">
        <f>[12]Model!AA$25</f>
        <v>2224.4951078000004</v>
      </c>
      <c r="Q15" s="14">
        <f>[12]Model!AB$25</f>
        <v>2324.8331192219994</v>
      </c>
      <c r="R15" s="15">
        <f>$G15/M15</f>
        <v>44.408948069241006</v>
      </c>
      <c r="S15" s="15">
        <f t="shared" ref="S15:S17" si="18">$G15/N15</f>
        <v>34.886852869173623</v>
      </c>
      <c r="T15" s="15">
        <f t="shared" si="9"/>
        <v>31.677142136530716</v>
      </c>
      <c r="U15" s="15">
        <f t="shared" si="6"/>
        <v>29.985339039908126</v>
      </c>
      <c r="V15" s="15">
        <f t="shared" si="7"/>
        <v>28.691194842544981</v>
      </c>
      <c r="W15" s="15">
        <f>G15/[12]Model!$AI$25</f>
        <v>21.993224990492543</v>
      </c>
      <c r="X15" s="20">
        <f>[12]Model!$Y$48</f>
        <v>1.626328570731945</v>
      </c>
      <c r="Y15" s="16">
        <f>[12]Model!$Y$49</f>
        <v>-0.38511810098131627</v>
      </c>
      <c r="Z15" s="16">
        <f t="shared" si="4"/>
        <v>-0.5108313973984534</v>
      </c>
      <c r="AD15" s="14">
        <f>[12]Model!$Y$12</f>
        <v>22279.82</v>
      </c>
      <c r="AE15" s="20">
        <f t="shared" si="5"/>
        <v>2.993841063347908</v>
      </c>
      <c r="AF15" s="16">
        <f>[12]Model!X$36</f>
        <v>9.815129512333276E-2</v>
      </c>
      <c r="AG15" s="16">
        <f>[12]Model!Y$36</f>
        <v>4.4774677608440783E-2</v>
      </c>
      <c r="AH15" s="16">
        <f>[12]Model!$Y$39</f>
        <v>0.25832045321730612</v>
      </c>
      <c r="AI15" s="16">
        <f>[12]Model!$Y$41</f>
        <v>0.11139646550106783</v>
      </c>
      <c r="AJ15" s="16">
        <f>[12]Model!$Y$43</f>
        <v>8.5815739085863388E-2</v>
      </c>
      <c r="AK15" s="16">
        <f>[12]Model!$AL$36</f>
        <v>0.08</v>
      </c>
      <c r="AL15" s="16">
        <f>[12]Model!$AL$42</f>
        <v>-0.63654469381559053</v>
      </c>
      <c r="AM15" s="11" t="str">
        <f>[12]Model!$AL$43</f>
        <v>Heavily overvalued</v>
      </c>
      <c r="AO15" s="11">
        <v>1890</v>
      </c>
      <c r="AQ15" s="18">
        <f>[12]Main!$E$3</f>
        <v>45961</v>
      </c>
      <c r="AR15" s="18">
        <f>[12]Main!$G$3</f>
        <v>46044</v>
      </c>
    </row>
    <row r="16" spans="2:44" x14ac:dyDescent="0.3">
      <c r="B16" s="19" t="s">
        <v>35</v>
      </c>
      <c r="C16" s="11" t="s">
        <v>63</v>
      </c>
      <c r="D16" s="17">
        <f>[13]Main!$D$3</f>
        <v>271</v>
      </c>
      <c r="E16" s="14">
        <f>[13]Main!$D$5</f>
        <v>55663.4</v>
      </c>
      <c r="F16" s="14">
        <f>[13]Main!$D$8</f>
        <v>-1408.0999999999995</v>
      </c>
      <c r="G16" s="14">
        <f>[13]Main!$D$9</f>
        <v>57071.5</v>
      </c>
      <c r="H16" s="14">
        <f>[13]Model!K$24</f>
        <v>1146.4000000000005</v>
      </c>
      <c r="I16" s="14">
        <f>[13]Model!L$24</f>
        <v>491.90000000000072</v>
      </c>
      <c r="J16" s="14">
        <f>[13]Model!M$24</f>
        <v>1016.7999999999997</v>
      </c>
      <c r="K16" s="14">
        <f>[13]Model!N$24</f>
        <v>1121.8999999999996</v>
      </c>
      <c r="L16" s="14">
        <f>[13]Model!O$24</f>
        <v>928.6000000000015</v>
      </c>
      <c r="M16" s="14">
        <f>[13]Model!P$24</f>
        <v>932.29999999999723</v>
      </c>
      <c r="N16" s="14">
        <f>[13]Model!Q$24</f>
        <v>1473.4199211999967</v>
      </c>
      <c r="O16" s="14">
        <f>[13]Model!R$24</f>
        <v>1674.1472117759988</v>
      </c>
      <c r="P16" s="14">
        <f>[13]Model!S$24</f>
        <v>1801.8286222247989</v>
      </c>
      <c r="Q16" s="14">
        <f>[13]Model!T$24</f>
        <v>1905.822140949791</v>
      </c>
      <c r="R16" s="15">
        <f t="shared" ref="R16" si="19">$G16/M16</f>
        <v>61.21581036147181</v>
      </c>
      <c r="S16" s="15">
        <f t="shared" si="18"/>
        <v>38.734035816157068</v>
      </c>
      <c r="T16" s="15">
        <f t="shared" si="9"/>
        <v>34.089893408750115</v>
      </c>
      <c r="U16" s="15">
        <f t="shared" si="6"/>
        <v>31.674211018765618</v>
      </c>
      <c r="V16" s="15">
        <f t="shared" si="7"/>
        <v>29.945868910704167</v>
      </c>
      <c r="W16" s="15">
        <f>G16/[13]Model!$AA$24</f>
        <v>25.82987502757603</v>
      </c>
      <c r="X16" s="20">
        <f>[13]Model!$G$42</f>
        <v>1.4676241417440277</v>
      </c>
      <c r="Y16" s="16">
        <f>[13]Model!$G$43</f>
        <v>-0.31862663501046928</v>
      </c>
      <c r="Z16" s="16">
        <f t="shared" si="4"/>
        <v>-0.45603298290579602</v>
      </c>
      <c r="AD16" s="23">
        <f>[13]Model!$P$5</f>
        <v>20576.599999999999</v>
      </c>
      <c r="AE16" s="26">
        <f t="shared" si="5"/>
        <v>2.7736117725960558</v>
      </c>
      <c r="AF16" s="25">
        <f>[13]Model!O$29</f>
        <v>4.89276444606348E-2</v>
      </c>
      <c r="AG16" s="25">
        <f>[13]Model!P$29</f>
        <v>0.11657007662086771</v>
      </c>
      <c r="AH16" s="25">
        <f>[13]Model!$P$30</f>
        <v>0.26116559587103788</v>
      </c>
      <c r="AI16" s="25">
        <f>[13]Model!$P$34</f>
        <v>6.1341523866916652E-2</v>
      </c>
      <c r="AJ16" s="25"/>
      <c r="AK16" s="16">
        <f>[13]Model!$AD$32</f>
        <v>0.08</v>
      </c>
      <c r="AL16" s="16">
        <f>[13]Model!$AD$38</f>
        <v>-0.59343933080112277</v>
      </c>
      <c r="AM16" s="11" t="str">
        <f>[13]Model!$AD$39</f>
        <v>Heavily overvalued</v>
      </c>
      <c r="AO16" s="11">
        <v>1949</v>
      </c>
      <c r="AQ16" s="18">
        <f>[13]Main!$E$3</f>
        <v>45934</v>
      </c>
      <c r="AR16" s="18">
        <f>[13]Main!$G$3</f>
        <v>45953</v>
      </c>
    </row>
    <row r="17" spans="2:44" x14ac:dyDescent="0.3">
      <c r="B17" s="19" t="s">
        <v>36</v>
      </c>
      <c r="C17" s="11" t="s">
        <v>64</v>
      </c>
      <c r="D17" s="17">
        <f>[14]Main!$D$3</f>
        <v>28.96</v>
      </c>
      <c r="E17" s="14">
        <f>[14]Main!$D$5</f>
        <v>38033.167999999998</v>
      </c>
      <c r="F17" s="14">
        <f>[14]Main!$D$8</f>
        <v>1459</v>
      </c>
      <c r="G17" s="14">
        <f>[14]Main!$D$9</f>
        <v>36574.167999999998</v>
      </c>
      <c r="H17" s="14">
        <f>[14]Model!Q$23</f>
        <v>615.30000000000064</v>
      </c>
      <c r="I17" s="14">
        <f>[14]Model!R$23</f>
        <v>491.20000000000067</v>
      </c>
      <c r="J17" s="14">
        <f>[14]Model!S$23</f>
        <v>773.79999999999905</v>
      </c>
      <c r="K17" s="14">
        <f>[14]Model!T$23</f>
        <v>931.79999999999984</v>
      </c>
      <c r="L17" s="14">
        <f>[14]Model!U$23</f>
        <v>1050.8999999999996</v>
      </c>
      <c r="M17" s="14">
        <f>[14]Model!V$23</f>
        <v>1200.3000000000002</v>
      </c>
      <c r="N17" s="14">
        <f>[14]Model!W$23</f>
        <v>1113.4564026999999</v>
      </c>
      <c r="O17" s="14">
        <f>[14]Model!X$23</f>
        <v>1422.1613657599992</v>
      </c>
      <c r="P17" s="14">
        <f>[14]Model!Y$23</f>
        <v>1443.7923014975993</v>
      </c>
      <c r="Q17" s="14">
        <f>[14]Model!Z$23</f>
        <v>1456.7690142637746</v>
      </c>
      <c r="R17" s="15">
        <f t="shared" ref="R17" si="20">$G17/M17</f>
        <v>30.47085561942847</v>
      </c>
      <c r="S17" s="15">
        <f t="shared" si="18"/>
        <v>32.847418103943696</v>
      </c>
      <c r="T17" s="15">
        <f t="shared" si="9"/>
        <v>25.717312311078611</v>
      </c>
      <c r="U17" s="15">
        <f t="shared" si="6"/>
        <v>25.33201483486426</v>
      </c>
      <c r="V17" s="15">
        <f t="shared" si="7"/>
        <v>25.1063604743707</v>
      </c>
      <c r="W17" s="15">
        <f>G17/[14]Model!$AG$23</f>
        <v>21.155005250230538</v>
      </c>
      <c r="X17" s="20">
        <f>[14]Model!$L$44</f>
        <v>2.537177027186392</v>
      </c>
      <c r="Y17" s="16">
        <f>[14]Model!$L$45</f>
        <v>-0.60586116408717761</v>
      </c>
      <c r="Z17" s="16">
        <f>AVERAGE(Y17,AL17)</f>
        <v>-0.53778312153274932</v>
      </c>
      <c r="AD17" s="14">
        <f>[14]Model!$W$7</f>
        <v>6448.74</v>
      </c>
      <c r="AE17" s="20">
        <f t="shared" si="5"/>
        <v>5.6715215685544775</v>
      </c>
      <c r="AF17" s="16">
        <f>[14]Model!V$30</f>
        <v>4.4056860570622192E-2</v>
      </c>
      <c r="AG17" s="16">
        <f>[14]Model!W$30</f>
        <v>3.7842796446504456E-2</v>
      </c>
      <c r="AH17" s="16">
        <f>[14]Model!$W$33</f>
        <v>0.8307891805220865</v>
      </c>
      <c r="AI17" s="16">
        <f>[14]Model!$W$37</f>
        <v>0.19589976801669784</v>
      </c>
      <c r="AJ17" s="16">
        <f>[14]Model!$W$39</f>
        <v>0.17266262908723254</v>
      </c>
      <c r="AK17" s="16">
        <f>[14]Model!$AJ$29</f>
        <v>0.08</v>
      </c>
      <c r="AL17" s="16">
        <f>[14]Model!$AJ$35</f>
        <v>-0.46970507897832114</v>
      </c>
      <c r="AM17" s="11" t="str">
        <f>[14]Model!$AJ$36</f>
        <v>Overvalued</v>
      </c>
      <c r="AO17" s="11">
        <v>1971</v>
      </c>
      <c r="AQ17" s="18">
        <f>[14]Main!$E$3</f>
        <v>45934</v>
      </c>
      <c r="AR17" s="18">
        <f>[14]Main!$G$3</f>
        <v>46079</v>
      </c>
    </row>
    <row r="18" spans="2:44" x14ac:dyDescent="0.3">
      <c r="B18" s="19" t="s">
        <v>38</v>
      </c>
      <c r="C18" s="11" t="s">
        <v>53</v>
      </c>
      <c r="D18" s="17">
        <f>[15]Main!$D$3</f>
        <v>55.8</v>
      </c>
      <c r="E18" s="14">
        <f>[15]Main!$D$5</f>
        <v>32163.119999999995</v>
      </c>
      <c r="F18" s="14">
        <f>[15]Main!$D$8</f>
        <v>-267</v>
      </c>
      <c r="G18" s="14">
        <f>[15]Main!$D$9</f>
        <v>32430.119999999995</v>
      </c>
      <c r="H18" s="14">
        <f>[15]Model!T$19</f>
        <v>823</v>
      </c>
      <c r="I18" s="14">
        <f>[15]Model!U$19</f>
        <v>239</v>
      </c>
      <c r="J18" s="14">
        <f>[15]Model!V$19</f>
        <v>586</v>
      </c>
      <c r="K18" s="14">
        <f>[15]Model!W$19</f>
        <v>927</v>
      </c>
      <c r="L18" s="14">
        <f>[15]Model!X$19</f>
        <v>658</v>
      </c>
      <c r="M18" s="14">
        <f>[15]Model!Y$19</f>
        <v>1072</v>
      </c>
      <c r="N18" s="14">
        <f>[15]Model!Z$19</f>
        <v>1017.2926499999999</v>
      </c>
      <c r="O18" s="14">
        <f>[15]Model!AA$19</f>
        <v>1811.8731149999999</v>
      </c>
      <c r="P18" s="14">
        <f>[15]Model!AB$19</f>
        <v>1919.0845944000002</v>
      </c>
      <c r="Q18" s="14">
        <f>[15]Model!AC$19</f>
        <v>1993.765444011</v>
      </c>
      <c r="R18" s="15">
        <f t="shared" ref="R18:S18" si="21">$G18/M18</f>
        <v>30.251977611940294</v>
      </c>
      <c r="S18" s="15">
        <f t="shared" si="21"/>
        <v>31.87885020107046</v>
      </c>
      <c r="T18" s="15">
        <f t="shared" si="9"/>
        <v>17.898670569986351</v>
      </c>
      <c r="U18" s="15">
        <f t="shared" si="6"/>
        <v>16.898744377727255</v>
      </c>
      <c r="V18" s="15">
        <f t="shared" si="7"/>
        <v>16.265764911020835</v>
      </c>
      <c r="W18" s="15">
        <f>G18/[15]Model!$AJ$19</f>
        <v>14.167993815482081</v>
      </c>
      <c r="X18" s="20">
        <f>[15]Model!$O$33</f>
        <v>0.99186811842427192</v>
      </c>
      <c r="Y18" s="16">
        <f>[15]Model!$O$34</f>
        <v>8.1985512233690994E-3</v>
      </c>
      <c r="Z18" s="16">
        <f>AVERAGE(Y18,AL18)</f>
        <v>-0.11865420607651811</v>
      </c>
      <c r="AD18" s="23">
        <f>[15]Model!$Y$3</f>
        <v>17763</v>
      </c>
      <c r="AE18" s="26">
        <f t="shared" si="5"/>
        <v>1.8257118729944264</v>
      </c>
      <c r="AF18" s="25">
        <f>[15]Model!$X$23</f>
        <v>3.9284986066743688E-2</v>
      </c>
      <c r="AG18" s="25">
        <f>[15]Model!$Y$23</f>
        <v>0.1616637237590739</v>
      </c>
      <c r="AH18" s="25">
        <f>[15]Model!$Y$24</f>
        <v>0.11349434217193041</v>
      </c>
      <c r="AI18" s="25">
        <f>[15]Model!$Y$26</f>
        <v>6.6430220120475142E-2</v>
      </c>
      <c r="AJ18" s="25"/>
      <c r="AK18" s="16">
        <f>[15]Model!$AM$25</f>
        <v>0.08</v>
      </c>
      <c r="AL18" s="16">
        <f>[15]Model!$AM$31</f>
        <v>-0.24550696337640532</v>
      </c>
      <c r="AM18" s="11" t="str">
        <f>[15]Model!$AM$32</f>
        <v>Fairly valued</v>
      </c>
      <c r="AO18" s="11">
        <v>1996</v>
      </c>
      <c r="AQ18" s="18">
        <f>[15]Main!$E$3</f>
        <v>45934</v>
      </c>
      <c r="AR18" s="18">
        <f>[15]Main!$G$3</f>
        <v>45868</v>
      </c>
    </row>
    <row r="19" spans="2:44" x14ac:dyDescent="0.3">
      <c r="B19" s="19" t="s">
        <v>86</v>
      </c>
      <c r="C19" s="11" t="s">
        <v>87</v>
      </c>
      <c r="D19" s="13">
        <f>[16]Main!$D$3</f>
        <v>80.55</v>
      </c>
      <c r="E19" s="14">
        <f>[16]Main!$D$5</f>
        <v>52357.5</v>
      </c>
      <c r="F19" s="14"/>
      <c r="G19" s="14">
        <v>30500</v>
      </c>
      <c r="H19" s="14"/>
      <c r="I19" s="14"/>
      <c r="J19" s="14"/>
      <c r="K19" s="14"/>
      <c r="L19" s="14"/>
      <c r="M19" s="14"/>
      <c r="N19" s="14">
        <f>[16]Model!E$11</f>
        <v>97.5</v>
      </c>
      <c r="O19" s="14">
        <f>[16]Model!F$11</f>
        <v>152.25000000000003</v>
      </c>
      <c r="P19" s="14">
        <f>[16]Model!G$11</f>
        <v>228.375</v>
      </c>
      <c r="Q19" s="14">
        <f>[16]Model!H$11</f>
        <v>328.86</v>
      </c>
      <c r="R19" s="15"/>
      <c r="S19" s="15">
        <f t="shared" ref="S19" si="22">$G19/N19</f>
        <v>312.82051282051282</v>
      </c>
      <c r="T19" s="15">
        <f t="shared" si="9"/>
        <v>200.32840722495891</v>
      </c>
      <c r="U19" s="15">
        <f t="shared" si="6"/>
        <v>133.55227148330596</v>
      </c>
      <c r="V19" s="15">
        <f t="shared" si="7"/>
        <v>92.744632974518026</v>
      </c>
      <c r="W19" s="15">
        <f>G19/[16]Model!$O$11</f>
        <v>12.446627791615994</v>
      </c>
      <c r="AA19" s="14">
        <v>4750</v>
      </c>
      <c r="AD19" s="14">
        <f>[16]Model!$E$5</f>
        <v>1500</v>
      </c>
      <c r="AE19" s="20">
        <f t="shared" si="5"/>
        <v>20.333333333333332</v>
      </c>
      <c r="AF19" s="16">
        <f>[16]Model!$D$15</f>
        <v>1.3809523809523809</v>
      </c>
      <c r="AG19" s="16">
        <f>[16]Model!$E$15</f>
        <v>0.5</v>
      </c>
      <c r="AH19" s="16">
        <f>[16]Model!$E$16</f>
        <v>0.42499999999999999</v>
      </c>
      <c r="AI19" s="16">
        <f>[16]Model!$E$17</f>
        <v>8.5000000000000006E-2</v>
      </c>
      <c r="AJ19" s="16">
        <f>[16]Model!$E$18</f>
        <v>6.5000000000000002E-2</v>
      </c>
      <c r="AK19" s="16">
        <f>[16]Model!$R$17</f>
        <v>0.08</v>
      </c>
      <c r="AL19" s="16">
        <f>[16]Model!$R$23</f>
        <v>-0.68180253656081657</v>
      </c>
      <c r="AM19" s="11" t="str">
        <f>[16]Model!$R$24</f>
        <v>Heavily overvalued</v>
      </c>
      <c r="AO19" s="11">
        <v>2017</v>
      </c>
      <c r="AQ19" s="18">
        <v>45955</v>
      </c>
      <c r="AR19" s="18"/>
    </row>
    <row r="20" spans="2:44" x14ac:dyDescent="0.3">
      <c r="B20" s="19" t="s">
        <v>74</v>
      </c>
      <c r="C20" s="11" t="s">
        <v>75</v>
      </c>
      <c r="D20" s="17">
        <f>[17]Main!$D$3</f>
        <v>195.58</v>
      </c>
      <c r="E20" s="14">
        <f>[17]Main!$D$5</f>
        <v>25092.914000000004</v>
      </c>
      <c r="F20" s="14">
        <f>[17]Main!$D$8</f>
        <v>-4174</v>
      </c>
      <c r="G20" s="14">
        <f>[17]Main!$D$9</f>
        <v>29266.914000000004</v>
      </c>
      <c r="H20" s="14">
        <f>[17]Model!P$18</f>
        <v>667</v>
      </c>
      <c r="I20" s="14">
        <f>[17]Model!Q$18</f>
        <v>628</v>
      </c>
      <c r="J20" s="14">
        <f>[17]Model!R$18</f>
        <v>753</v>
      </c>
      <c r="K20" s="14">
        <f>[17]Model!S$18</f>
        <v>685</v>
      </c>
      <c r="L20" s="14">
        <f>[17]Model!T$18</f>
        <v>199</v>
      </c>
      <c r="M20" s="14">
        <f>[17]Model!U$18</f>
        <v>1254</v>
      </c>
      <c r="N20" s="14">
        <f>[17]Model!V$18</f>
        <v>1488.4593099999986</v>
      </c>
      <c r="O20" s="14">
        <f>[17]Model!W$18</f>
        <v>1825.4889705000001</v>
      </c>
      <c r="P20" s="14">
        <f>[17]Model!X$18</f>
        <v>1915.7253039600007</v>
      </c>
      <c r="Q20" s="14">
        <f>[17]Model!Y$18</f>
        <v>1981.3585502100002</v>
      </c>
      <c r="R20" s="15">
        <f t="shared" ref="R20" si="23">$G20/M20</f>
        <v>23.338846889952155</v>
      </c>
      <c r="S20" s="15">
        <f t="shared" ref="S20:S25" si="24">$G20/N20</f>
        <v>19.662555639495466</v>
      </c>
      <c r="T20" s="15">
        <f t="shared" ref="T20:T25" si="25">$G20/O20</f>
        <v>16.032369668047799</v>
      </c>
      <c r="U20" s="15">
        <f t="shared" ref="U20:U25" si="26">$G20/P20</f>
        <v>15.277197591691403</v>
      </c>
      <c r="V20" s="15">
        <f t="shared" ref="V20:V25" si="27">$G20/Q20</f>
        <v>14.771134682765046</v>
      </c>
      <c r="W20" s="15">
        <f>G20/[17]Model!$AF$18</f>
        <v>13.627104308731628</v>
      </c>
      <c r="X20" s="20">
        <f>[17]Model!$L$34</f>
        <v>2.1600792678426455</v>
      </c>
      <c r="Y20" s="16">
        <f>[17]Model!$L$35</f>
        <v>-0.53705402626324061</v>
      </c>
      <c r="Z20" s="16">
        <f t="shared" ref="Z20:Z25" si="28">AVERAGE(Y20,AL20)</f>
        <v>-0.37664617950769924</v>
      </c>
      <c r="AD20" s="23">
        <f>[17]Model!$U$3</f>
        <v>16662</v>
      </c>
      <c r="AE20" s="26">
        <f t="shared" si="5"/>
        <v>1.7565066618653224</v>
      </c>
      <c r="AF20" s="25">
        <f>[17]Model!T$22</f>
        <v>7.2381217004723553E-2</v>
      </c>
      <c r="AG20" s="25">
        <f>[17]Model!U$22</f>
        <v>7.9284881461329171E-2</v>
      </c>
      <c r="AH20" s="25">
        <f>[17]Model!$U$23</f>
        <v>0.16792701956547834</v>
      </c>
      <c r="AI20" s="25">
        <f>[17]Model!$U$26</f>
        <v>0.10731004681310767</v>
      </c>
      <c r="AJ20" s="25"/>
      <c r="AK20" s="16">
        <f>[17]Model!$AI$24</f>
        <v>0.08</v>
      </c>
      <c r="AL20" s="16">
        <f>[17]Model!$AI$30</f>
        <v>-0.21623833275215787</v>
      </c>
      <c r="AM20" s="11" t="str">
        <f>[17]Model!$AI$31</f>
        <v>Slightly overvalued</v>
      </c>
      <c r="AO20" s="11">
        <v>1969</v>
      </c>
      <c r="AQ20" s="18">
        <f>[17]Main!$E$3</f>
        <v>45934</v>
      </c>
      <c r="AR20" s="18">
        <f>[17]Main!$G$3</f>
        <v>45965</v>
      </c>
    </row>
    <row r="21" spans="2:44" x14ac:dyDescent="0.3">
      <c r="B21" s="19" t="s">
        <v>69</v>
      </c>
      <c r="C21" s="11" t="s">
        <v>85</v>
      </c>
      <c r="D21" s="17">
        <f>[18]Main!$D$3</f>
        <v>195.91</v>
      </c>
      <c r="E21" s="14">
        <f>[18]Main!$D$5</f>
        <v>19414.680999999997</v>
      </c>
      <c r="F21" s="14">
        <f>[18]Main!$D$8</f>
        <v>-4448</v>
      </c>
      <c r="G21" s="14">
        <f>[18]Main!$D$9</f>
        <v>23862.680999999997</v>
      </c>
      <c r="H21" s="14"/>
      <c r="I21" s="14"/>
      <c r="J21" s="14"/>
      <c r="K21" s="14"/>
      <c r="L21" s="14"/>
      <c r="M21" s="14">
        <f>[18]Model!U$23</f>
        <v>370</v>
      </c>
      <c r="N21" s="14">
        <f>[18]Model!V$23</f>
        <v>501.53600000000051</v>
      </c>
      <c r="O21" s="14">
        <f>[18]Model!W$23</f>
        <v>575.05375500000025</v>
      </c>
      <c r="P21" s="14">
        <f>[18]Model!X$23</f>
        <v>671.88499925000042</v>
      </c>
      <c r="Q21" s="14">
        <f>[18]Model!Y$23</f>
        <v>726.95692358600081</v>
      </c>
      <c r="R21" s="15">
        <f t="shared" ref="R21" si="29">$G21/M21</f>
        <v>64.493732432432424</v>
      </c>
      <c r="S21" s="15">
        <f t="shared" si="24"/>
        <v>47.579198701588666</v>
      </c>
      <c r="T21" s="15">
        <f t="shared" si="25"/>
        <v>41.496435407155957</v>
      </c>
      <c r="U21" s="15">
        <f t="shared" si="26"/>
        <v>35.516019894233381</v>
      </c>
      <c r="V21" s="15">
        <f t="shared" si="27"/>
        <v>32.825440168157343</v>
      </c>
      <c r="W21" s="15">
        <f>G21/[18]Model!$AF$23</f>
        <v>23.811811790365205</v>
      </c>
      <c r="X21" s="20">
        <f>[18]Model!$L$43</f>
        <v>1.8549969682835818</v>
      </c>
      <c r="Y21" s="16">
        <f>[18]Model!$L$44</f>
        <v>-0.46091556099668762</v>
      </c>
      <c r="Z21" s="16">
        <f t="shared" si="28"/>
        <v>-0.58565091133519487</v>
      </c>
      <c r="AA21" s="14">
        <f>[18]Model!$L$3</f>
        <v>16100</v>
      </c>
      <c r="AB21" s="20">
        <f>AA21/AD21</f>
        <v>1.7124872228243699</v>
      </c>
      <c r="AC21" s="20">
        <f t="shared" ref="AC21:AC22" si="30">AVERAGE(Y21,AB21,AL21)</f>
        <v>0.18039513338466007</v>
      </c>
      <c r="AD21" s="14">
        <f>[18]Model!$V$8</f>
        <v>9401.5300000000007</v>
      </c>
      <c r="AE21" s="20">
        <f t="shared" si="5"/>
        <v>2.5381699574430967</v>
      </c>
      <c r="AF21" s="25"/>
      <c r="AG21" s="16">
        <f>[18]Model!$V$32</f>
        <v>8.5000577034045177E-2</v>
      </c>
      <c r="AH21" s="16">
        <f>[18]Model!$V$33</f>
        <v>0.1980854180117492</v>
      </c>
      <c r="AI21" s="16">
        <f>[18]Model!$V$36</f>
        <v>0.11177712563806108</v>
      </c>
      <c r="AJ21" s="16">
        <f>[18]Model!$V$38</f>
        <v>5.334621066996547E-2</v>
      </c>
      <c r="AK21" s="16">
        <f>[18]Model!$AI$32</f>
        <v>0.08</v>
      </c>
      <c r="AL21" s="16">
        <f>[18]Model!$AI$38</f>
        <v>-0.710386261673702</v>
      </c>
      <c r="AM21" s="11" t="str">
        <f>[18]Model!$AI$39</f>
        <v>Heavily overvalued</v>
      </c>
      <c r="AO21" s="11">
        <v>1902</v>
      </c>
      <c r="AQ21" s="18">
        <f>[18]Main!$E$3</f>
        <v>45956</v>
      </c>
      <c r="AR21" s="18">
        <f>[18]Main!$G$3</f>
        <v>45967</v>
      </c>
    </row>
    <row r="22" spans="2:44" x14ac:dyDescent="0.3">
      <c r="B22" s="19" t="s">
        <v>70</v>
      </c>
      <c r="C22" s="11" t="s">
        <v>71</v>
      </c>
      <c r="D22" s="13">
        <f>[19]Main!$D$3</f>
        <v>81.22</v>
      </c>
      <c r="E22" s="14">
        <f>[19]Main!$D$5</f>
        <v>14310.963999999998</v>
      </c>
      <c r="F22" s="14">
        <f>[19]Main!$D$8</f>
        <v>-1948</v>
      </c>
      <c r="G22" s="14">
        <f>[19]Main!$D$9</f>
        <v>16258.963999999998</v>
      </c>
      <c r="H22" s="14">
        <f>[19]Model!P$34</f>
        <v>815</v>
      </c>
      <c r="I22" s="14">
        <f>[19]Model!Q$34</f>
        <v>309</v>
      </c>
      <c r="J22" s="14">
        <f>[19]Model!R$34</f>
        <v>746</v>
      </c>
      <c r="K22" s="14">
        <f>[19]Model!S$34</f>
        <v>861</v>
      </c>
      <c r="L22" s="14">
        <f>[19]Model!T$34</f>
        <v>921</v>
      </c>
      <c r="M22" s="14">
        <f>[19]Model!U$34</f>
        <v>824</v>
      </c>
      <c r="N22" s="14">
        <f>[19]Model!V$34</f>
        <v>963.75901600000236</v>
      </c>
      <c r="O22" s="14">
        <f>[19]Model!W$34</f>
        <v>1269.1609912999986</v>
      </c>
      <c r="P22" s="14">
        <f>[19]Model!X$34</f>
        <v>1452.0955789319983</v>
      </c>
      <c r="Q22" s="14">
        <f>[19]Model!Y$34</f>
        <v>1509.2448472934414</v>
      </c>
      <c r="R22" s="15">
        <f>$G22/M22</f>
        <v>19.731752427184464</v>
      </c>
      <c r="S22" s="15">
        <f>$G22/N22</f>
        <v>16.870362538844418</v>
      </c>
      <c r="T22" s="15">
        <f>$G22/O22</f>
        <v>12.810797141933884</v>
      </c>
      <c r="U22" s="15">
        <f>$G22/P22</f>
        <v>11.196896565140914</v>
      </c>
      <c r="V22" s="15">
        <f>$G22/Q22</f>
        <v>10.772913373968127</v>
      </c>
      <c r="W22" s="15">
        <f>G22/[19]Model!$AF$34</f>
        <v>9.1061073473937331</v>
      </c>
      <c r="X22" s="20">
        <f>[19]Model!$V$60</f>
        <v>0.93544468097347666</v>
      </c>
      <c r="Y22" s="16">
        <f>[19]Model!$V$61</f>
        <v>6.9010301025330012E-2</v>
      </c>
      <c r="Z22" s="16">
        <f t="shared" si="28"/>
        <v>5.6900212081109625E-2</v>
      </c>
      <c r="AA22" s="14">
        <f>[19]Model!$V$6</f>
        <v>19100</v>
      </c>
      <c r="AB22" s="20">
        <f>AA22/AD22</f>
        <v>1.3101988346776017</v>
      </c>
      <c r="AC22" s="20">
        <f t="shared" si="30"/>
        <v>0.47466641961327366</v>
      </c>
      <c r="AD22" s="14">
        <f>[19]Model!$V$18</f>
        <v>14577.940000000002</v>
      </c>
      <c r="AE22" s="20">
        <f t="shared" si="5"/>
        <v>1.1153128631342972</v>
      </c>
      <c r="AF22" s="16">
        <f>[19]Model!$U$47</f>
        <v>1.3885843747716287E-3</v>
      </c>
      <c r="AG22" s="16">
        <f>[19]Model!$V$47</f>
        <v>6.3927893738140673E-2</v>
      </c>
      <c r="AH22" s="16">
        <f>[19]Model!$V$50</f>
        <v>0.18879833501852814</v>
      </c>
      <c r="AI22" s="16">
        <f>[19]Model!$V$53</f>
        <v>7.1407592567948722E-2</v>
      </c>
      <c r="AJ22" s="16">
        <f>[19]Model!$V$55</f>
        <v>6.6110782181844768E-2</v>
      </c>
      <c r="AK22" s="16">
        <f>[19]Model!$AJ$47</f>
        <v>0.09</v>
      </c>
      <c r="AL22" s="16">
        <f>[19]Model!$AJ$53</f>
        <v>4.4790123136889237E-2</v>
      </c>
      <c r="AM22" s="11" t="str">
        <f>[19]Model!$AJ$54</f>
        <v>Fairly valued</v>
      </c>
      <c r="AO22" s="11">
        <v>1923</v>
      </c>
      <c r="AQ22" s="18">
        <f>[19]Main!$E$3</f>
        <v>45955</v>
      </c>
      <c r="AR22" s="18">
        <f>[19]Main!$G$3</f>
        <v>46050</v>
      </c>
    </row>
    <row r="23" spans="2:44" x14ac:dyDescent="0.3">
      <c r="B23" s="19" t="s">
        <v>67</v>
      </c>
      <c r="C23" s="11" t="s">
        <v>78</v>
      </c>
      <c r="D23" s="13">
        <f>[20]Main!$D$3</f>
        <v>57.35</v>
      </c>
      <c r="E23" s="14">
        <f>[20]Main!$D$5</f>
        <v>10523.725</v>
      </c>
      <c r="F23" s="14">
        <f>[20]Main!$D$8</f>
        <v>-600.00000000000023</v>
      </c>
      <c r="G23" s="14">
        <f>[20]Main!$D$9</f>
        <v>11123.725</v>
      </c>
      <c r="H23" s="14">
        <f>[20]Model!P$22</f>
        <v>-322.3</v>
      </c>
      <c r="I23" s="14">
        <f>[20]Model!Q$22</f>
        <v>-731.9000000000002</v>
      </c>
      <c r="J23" s="14">
        <f>[20]Model!R$22</f>
        <v>-44.700000000000145</v>
      </c>
      <c r="K23" s="14">
        <f>[20]Model!S$22</f>
        <v>-185.59999999999982</v>
      </c>
      <c r="L23" s="14">
        <f>[20]Model!T$22</f>
        <v>163.90000000000035</v>
      </c>
      <c r="M23" s="14">
        <f>[20]Model!U$22</f>
        <v>228.2000000000003</v>
      </c>
      <c r="N23" s="14">
        <f>[20]Model!V$22</f>
        <v>743.65658000000008</v>
      </c>
      <c r="O23" s="14">
        <f>[20]Model!W$22</f>
        <v>719.25833086000011</v>
      </c>
      <c r="P23" s="14">
        <f>[20]Model!X$22</f>
        <v>830.80143681460015</v>
      </c>
      <c r="Q23" s="14">
        <f>[20]Model!Y$22</f>
        <v>906.37830312002222</v>
      </c>
      <c r="R23" s="15">
        <f t="shared" ref="R23:S23" si="31">$G23/M23</f>
        <v>48.745508326029736</v>
      </c>
      <c r="S23" s="15">
        <f t="shared" si="31"/>
        <v>14.958147751479586</v>
      </c>
      <c r="T23" s="15">
        <f>$G23/O23</f>
        <v>15.465549056205754</v>
      </c>
      <c r="U23" s="15">
        <f>$G23/P23</f>
        <v>13.38914993051745</v>
      </c>
      <c r="V23" s="15">
        <f>$G23/Q23</f>
        <v>12.272717651899708</v>
      </c>
      <c r="W23" s="15">
        <f>G23/[20]Model!$AF$22</f>
        <v>10.291716564207741</v>
      </c>
      <c r="X23" s="20">
        <f>[20]Model!$L$38</f>
        <v>0.92160107705053851</v>
      </c>
      <c r="Y23" s="16">
        <f>[20]Model!$L$39</f>
        <v>8.5068176352795399E-2</v>
      </c>
      <c r="Z23" s="16">
        <f t="shared" si="28"/>
        <v>-0.17386324663502323</v>
      </c>
      <c r="AD23" s="23">
        <f>[20]Model!$V$3</f>
        <v>7743.8040000000001</v>
      </c>
      <c r="AE23" s="26">
        <f t="shared" si="5"/>
        <v>1.4364677876661134</v>
      </c>
      <c r="AF23" s="25">
        <f>[20]Model!T$26</f>
        <v>0.16041143561957627</v>
      </c>
      <c r="AG23" s="25">
        <f>[20]Model!U$26</f>
        <v>0.21376103255195988</v>
      </c>
      <c r="AH23" s="25">
        <f>[20]Model!$U$27</f>
        <v>0.18032120349664568</v>
      </c>
      <c r="AI23" s="25">
        <f>[20]Model!$U$31</f>
        <v>8.4945345364129704E-2</v>
      </c>
      <c r="AJ23" s="25"/>
      <c r="AK23" s="16">
        <f>[20]Model!$AI$28</f>
        <v>0.14000000000000001</v>
      </c>
      <c r="AL23" s="16">
        <f>[20]Model!$AI$34</f>
        <v>-0.43279466962284185</v>
      </c>
      <c r="AM23" s="11" t="str">
        <f>[20]Model!$AI$35</f>
        <v>Overvalued</v>
      </c>
      <c r="AO23" s="11">
        <v>1969</v>
      </c>
      <c r="AQ23" s="18">
        <f>[20]Main!$E$3</f>
        <v>45934</v>
      </c>
      <c r="AR23" s="18">
        <f>[20]Main!$G$3</f>
        <v>45965</v>
      </c>
    </row>
    <row r="24" spans="2:44" x14ac:dyDescent="0.3">
      <c r="B24" s="19" t="s">
        <v>73</v>
      </c>
      <c r="C24" s="11" t="s">
        <v>77</v>
      </c>
      <c r="D24" s="17">
        <f>[21]Main!$D$3</f>
        <v>101.2</v>
      </c>
      <c r="E24" s="14">
        <f>[21]Main!$D$5</f>
        <v>11739.2</v>
      </c>
      <c r="F24" s="14">
        <f>[21]Main!$D$8</f>
        <v>-498</v>
      </c>
      <c r="G24" s="14">
        <f>[21]Main!$D$9</f>
        <v>12237.2</v>
      </c>
      <c r="H24" s="14">
        <f>[21]Model!P$43</f>
        <v>5.9000000000001167</v>
      </c>
      <c r="I24" s="14">
        <f>[21]Model!Q$43</f>
        <v>-65.199999999999903</v>
      </c>
      <c r="J24" s="14">
        <f>[21]Model!R$43</f>
        <v>63</v>
      </c>
      <c r="K24" s="14">
        <f>[21]Model!S$43</f>
        <v>79</v>
      </c>
      <c r="L24" s="14">
        <f>[21]Model!T$43</f>
        <v>58</v>
      </c>
      <c r="M24" s="14">
        <f>[21]Model!U$43</f>
        <v>106</v>
      </c>
      <c r="N24" s="14">
        <f>[21]Model!V$43</f>
        <v>105.74143999999995</v>
      </c>
      <c r="O24" s="14">
        <f>[21]Model!W$43</f>
        <v>144.35987200000005</v>
      </c>
      <c r="P24" s="14">
        <f>[21]Model!X$43</f>
        <v>169.88582975999995</v>
      </c>
      <c r="Q24" s="14">
        <f>[21]Model!Y$43</f>
        <v>189.70135618560002</v>
      </c>
      <c r="R24" s="15">
        <f t="shared" ref="R24" si="32">$G24/M24</f>
        <v>115.44528301886793</v>
      </c>
      <c r="S24" s="15">
        <f t="shared" si="24"/>
        <v>115.72757095042404</v>
      </c>
      <c r="T24" s="15">
        <f t="shared" si="25"/>
        <v>84.768709132687491</v>
      </c>
      <c r="U24" s="15">
        <f t="shared" si="26"/>
        <v>72.031905293617854</v>
      </c>
      <c r="V24" s="15">
        <f t="shared" si="27"/>
        <v>64.50770962347454</v>
      </c>
      <c r="W24" s="15">
        <f>G24/[21]Model!$AF$43</f>
        <v>35.255116146867159</v>
      </c>
      <c r="X24" s="20">
        <f>[21]Model!$L$59</f>
        <v>2.6322219832221987</v>
      </c>
      <c r="Y24" s="16">
        <f>[21]Model!$L$60</f>
        <v>-0.62009283169352469</v>
      </c>
      <c r="Z24" s="16">
        <f t="shared" si="28"/>
        <v>-0.71348010657152106</v>
      </c>
      <c r="AD24" s="14">
        <f>[21]Model!$V$26</f>
        <v>2587.8199999999997</v>
      </c>
      <c r="AE24" s="20">
        <f t="shared" si="5"/>
        <v>4.7287678432039328</v>
      </c>
      <c r="AF24" s="16">
        <f>[21]Model!U$47</f>
        <v>0.21277747698971305</v>
      </c>
      <c r="AG24" s="16">
        <f>[21]Model!V$47</f>
        <v>0.1552767857142856</v>
      </c>
      <c r="AH24" s="16">
        <f>[21]Model!$V$48</f>
        <v>0.22716788648360398</v>
      </c>
      <c r="AI24" s="16">
        <f>[21]Model!$V$52</f>
        <v>9.599848521149075E-2</v>
      </c>
      <c r="AJ24" s="16"/>
      <c r="AK24" s="16">
        <f>[21]Model!$AI$49</f>
        <v>0.09</v>
      </c>
      <c r="AL24" s="16">
        <f>[21]Model!$AI$55</f>
        <v>-0.80686738144951742</v>
      </c>
      <c r="AM24" s="11" t="str">
        <f>[21]Model!$AI$56</f>
        <v>Heavily overvalued</v>
      </c>
      <c r="AO24" s="11">
        <v>1892</v>
      </c>
      <c r="AQ24" s="18">
        <f>[21]Main!$E$3</f>
        <v>45924</v>
      </c>
      <c r="AR24" s="18">
        <f>[21]Main!$G$3</f>
        <v>45968</v>
      </c>
    </row>
    <row r="25" spans="2:44" x14ac:dyDescent="0.3">
      <c r="B25" s="19" t="s">
        <v>68</v>
      </c>
      <c r="C25" s="11" t="s">
        <v>84</v>
      </c>
      <c r="D25" s="13">
        <f>[22]Main!$D$3</f>
        <v>82.65</v>
      </c>
      <c r="E25" s="14">
        <f>[22]Main!$D$5</f>
        <v>13951.320000000002</v>
      </c>
      <c r="F25" s="14">
        <f>[22]Main!$D$8</f>
        <v>565.9</v>
      </c>
      <c r="G25" s="14">
        <f>[22]Main!$D$9</f>
        <v>13385.420000000002</v>
      </c>
      <c r="H25" s="14">
        <f>[22]Model!P$39</f>
        <v>10.89999999999997</v>
      </c>
      <c r="I25" s="14">
        <f>[22]Model!Q$39</f>
        <v>80.300000000000068</v>
      </c>
      <c r="J25" s="14">
        <f>[22]Model!R$39</f>
        <v>0.50000000000003597</v>
      </c>
      <c r="K25" s="14">
        <f>[22]Model!S$39</f>
        <v>-33.20000000000001</v>
      </c>
      <c r="L25" s="14">
        <f>[22]Model!T$39</f>
        <v>2.3999999999998813</v>
      </c>
      <c r="M25" s="14">
        <f>[22]Model!U$39</f>
        <v>16.299999999999944</v>
      </c>
      <c r="N25" s="14">
        <f>[22]Model!V$39</f>
        <v>23.214447999999916</v>
      </c>
      <c r="O25" s="14">
        <f>[22]Model!W$39</f>
        <v>78.947280000000021</v>
      </c>
      <c r="P25" s="14">
        <f>[22]Model!X$39</f>
        <v>141.7941941599999</v>
      </c>
      <c r="Q25" s="14">
        <f>[22]Model!Y$39</f>
        <v>185.39550429919987</v>
      </c>
      <c r="R25" s="15">
        <f t="shared" ref="R25" si="33">$G25/M25</f>
        <v>821.19141104294772</v>
      </c>
      <c r="S25" s="15">
        <f t="shared" si="24"/>
        <v>576.59867682402148</v>
      </c>
      <c r="T25" s="15">
        <f t="shared" si="25"/>
        <v>169.54884322803773</v>
      </c>
      <c r="U25" s="15">
        <f t="shared" si="26"/>
        <v>94.400339021610122</v>
      </c>
      <c r="V25" s="15">
        <f t="shared" si="27"/>
        <v>72.199269613345038</v>
      </c>
      <c r="W25" s="15">
        <f>G25/[22]Model!$AF$39</f>
        <v>35.895755358468442</v>
      </c>
      <c r="X25" s="20">
        <f>[22]Model!$V$62</f>
        <v>5.5236330623529897</v>
      </c>
      <c r="Y25" s="16">
        <f>[22]Model!$V$63</f>
        <v>-0.81895973379991061</v>
      </c>
      <c r="Z25" s="16">
        <f t="shared" si="28"/>
        <v>-0.78956732020298825</v>
      </c>
      <c r="AA25" s="14">
        <f>[22]Model!$V$8</f>
        <v>1480</v>
      </c>
      <c r="AB25" s="20">
        <f>AA25/AD25</f>
        <v>1.1147919331245357</v>
      </c>
      <c r="AC25" s="20">
        <f t="shared" ref="AC25" si="34">AVERAGE(Y25,AB25,AL25)</f>
        <v>-0.15478090242714693</v>
      </c>
      <c r="AD25" s="14">
        <f>[22]Model!$V$24</f>
        <v>1327.6020000000001</v>
      </c>
      <c r="AE25" s="20">
        <f t="shared" si="5"/>
        <v>10.082404214516098</v>
      </c>
      <c r="AF25" s="16">
        <f>[22]Model!U$45</f>
        <v>9.5651335454633113E-2</v>
      </c>
      <c r="AG25" s="16">
        <f>[22]Model!V$45</f>
        <v>0.16835518789052206</v>
      </c>
      <c r="AH25" s="16">
        <f>[22]Model!$V$48</f>
        <v>0.22735960024163862</v>
      </c>
      <c r="AI25" s="16">
        <f>[22]Model!$V$51</f>
        <v>2.0369854820947775E-2</v>
      </c>
      <c r="AJ25" s="16"/>
      <c r="AK25" s="16">
        <f>[22]Model!$AI$46</f>
        <v>0.09</v>
      </c>
      <c r="AL25" s="16">
        <f>[22]Model!$AI$52</f>
        <v>-0.7601749066060659</v>
      </c>
      <c r="AM25" s="11" t="str">
        <f>[22]Model!$AI$53</f>
        <v>Heavily overvalued</v>
      </c>
      <c r="AO25" s="11">
        <v>1994</v>
      </c>
      <c r="AQ25" s="18">
        <f>[22]Main!$E$3</f>
        <v>45966</v>
      </c>
      <c r="AR25" s="18">
        <f>[22]Main!$G$3</f>
        <v>46072</v>
      </c>
    </row>
    <row r="26" spans="2:44" x14ac:dyDescent="0.3">
      <c r="B26" s="5" t="s">
        <v>37</v>
      </c>
      <c r="C26" s="11" t="s">
        <v>65</v>
      </c>
      <c r="AD26" s="24"/>
      <c r="AE26" s="24"/>
      <c r="AF26" s="24"/>
      <c r="AG26" s="24"/>
      <c r="AH26" s="24"/>
      <c r="AI26" s="24"/>
      <c r="AJ26" s="24"/>
      <c r="AM26" s="11" t="s">
        <v>702</v>
      </c>
    </row>
    <row r="27" spans="2:44" x14ac:dyDescent="0.3">
      <c r="B27" s="19" t="s">
        <v>72</v>
      </c>
      <c r="C27" s="11" t="s">
        <v>76</v>
      </c>
      <c r="D27" s="17">
        <f>[23]Main!$D$3</f>
        <v>66.63</v>
      </c>
      <c r="E27" s="14">
        <f>[23]Main!$D$5</f>
        <v>6663</v>
      </c>
      <c r="F27" s="14">
        <f>[23]Main!$D$8</f>
        <v>-438.4</v>
      </c>
      <c r="G27" s="14">
        <f>[23]Main!$D$9</f>
        <v>7101.4</v>
      </c>
      <c r="K27" s="14">
        <f>[23]Model!S$39</f>
        <v>16.199999999999942</v>
      </c>
      <c r="L27" s="14">
        <f>[23]Model!T$39</f>
        <v>32.30000000000004</v>
      </c>
      <c r="M27" s="14">
        <f>[23]Model!U$39</f>
        <v>53.500000000000057</v>
      </c>
      <c r="N27" s="14">
        <f>[23]Model!V$39</f>
        <v>96.823239999999927</v>
      </c>
      <c r="O27" s="14">
        <f>[23]Model!W$39</f>
        <v>143.50169249999999</v>
      </c>
      <c r="P27" s="14">
        <f>[23]Model!X$39</f>
        <v>179.7296860125</v>
      </c>
      <c r="Q27" s="14">
        <f>[23]Model!Y$39</f>
        <v>200.07653520599999</v>
      </c>
      <c r="R27" s="15">
        <f t="shared" ref="R27" si="35">$G27/M27</f>
        <v>132.73644859813069</v>
      </c>
      <c r="S27" s="15">
        <f t="shared" ref="S27" si="36">$G27/N27</f>
        <v>73.343961635656939</v>
      </c>
      <c r="T27" s="15">
        <f t="shared" ref="T27:T28" si="37">$G27/O27</f>
        <v>49.486524348833029</v>
      </c>
      <c r="U27" s="15">
        <f t="shared" ref="U27:U28" si="38">$G27/P27</f>
        <v>39.51155848292143</v>
      </c>
      <c r="V27" s="15">
        <f t="shared" ref="V27:V28" si="39">$G27/Q27</f>
        <v>35.493417519892354</v>
      </c>
      <c r="W27" s="15">
        <f>G27/[23]Model!$AF$39</f>
        <v>22.535987037880979</v>
      </c>
      <c r="X27" s="20">
        <f>[23]Model!$L$54</f>
        <v>4.3835802469135796</v>
      </c>
      <c r="Y27" s="16">
        <f>[23]Model!$L$55</f>
        <v>-0.77187596811896242</v>
      </c>
      <c r="Z27" s="16">
        <f>AVERAGE(Y27,AL27)</f>
        <v>-0.72227595642955145</v>
      </c>
      <c r="AD27" s="14">
        <f>[23]Model!$V$24</f>
        <v>1358.33</v>
      </c>
      <c r="AE27" s="20">
        <f>G27/AD27</f>
        <v>5.2280373694168576</v>
      </c>
      <c r="AF27" s="16">
        <f>[23]Model!U$43</f>
        <v>0.23230686115613186</v>
      </c>
      <c r="AG27" s="16">
        <f>[23]Model!V$43</f>
        <v>0.19099517755370443</v>
      </c>
      <c r="AH27" s="16">
        <f>[23]Model!$V$44</f>
        <v>0.25505171791832615</v>
      </c>
      <c r="AI27" s="16">
        <f>[23]Model!$V$47</f>
        <v>0.1261351806998299</v>
      </c>
      <c r="AJ27" s="16"/>
      <c r="AK27" s="16">
        <f>[23]Model!$AI$45</f>
        <v>0.09</v>
      </c>
      <c r="AL27" s="16">
        <f>[23]Model!$AI$51</f>
        <v>-0.67267594474014047</v>
      </c>
      <c r="AM27" s="11" t="str">
        <f>[23]Model!$AI$52</f>
        <v>Heavily overvalued</v>
      </c>
      <c r="AO27" s="11">
        <v>1873</v>
      </c>
      <c r="AQ27" s="18">
        <f>[23]Main!$E$3</f>
        <v>45903</v>
      </c>
      <c r="AR27" s="18">
        <f>[23]Main!$G$3</f>
        <v>45974</v>
      </c>
    </row>
    <row r="28" spans="2:44" x14ac:dyDescent="0.3">
      <c r="B28" s="19" t="s">
        <v>43</v>
      </c>
      <c r="C28" s="11" t="s">
        <v>66</v>
      </c>
      <c r="D28" s="13">
        <f>[24]Main!$D$3</f>
        <v>11.52</v>
      </c>
      <c r="E28" s="14">
        <f>[24]Main!$D$5</f>
        <v>1357.0559999999998</v>
      </c>
      <c r="F28" s="14">
        <f>[24]Main!$D$8</f>
        <v>46.100000000000009</v>
      </c>
      <c r="G28" s="14">
        <f>[24]Main!$D$9</f>
        <v>1310.9559999999999</v>
      </c>
      <c r="N28" s="14">
        <f>[24]Model!O$15</f>
        <v>-69.325000000000003</v>
      </c>
      <c r="O28" s="14">
        <f>[24]Model!P$15</f>
        <v>-91.1815</v>
      </c>
      <c r="P28" s="14">
        <f>[24]Model!Q$15</f>
        <v>-110.42588000000001</v>
      </c>
      <c r="Q28" s="14">
        <f>[24]Model!R$15</f>
        <v>-123.67537759999999</v>
      </c>
      <c r="S28" s="15">
        <f t="shared" ref="S28" si="40">$G28/N28</f>
        <v>-18.910292102416154</v>
      </c>
      <c r="T28" s="15">
        <f t="shared" si="37"/>
        <v>-14.377434018962179</v>
      </c>
      <c r="U28" s="15">
        <f t="shared" si="38"/>
        <v>-11.871818454152232</v>
      </c>
      <c r="V28" s="15">
        <f t="shared" si="39"/>
        <v>-10.59997572224918</v>
      </c>
      <c r="W28" s="15">
        <f>G28/[24]Model!$Y$15</f>
        <v>8.9774120762748542</v>
      </c>
      <c r="X28" s="20">
        <f>[24]Model!$H$31</f>
        <v>10.798649093904446</v>
      </c>
      <c r="Y28" s="16">
        <f>[24]Model!$H$32</f>
        <v>-0.90739582411614117</v>
      </c>
      <c r="Z28" s="16">
        <f>AVERAGE(Y28,AL28)</f>
        <v>-0.89047085067888254</v>
      </c>
      <c r="AD28" s="14">
        <f>[24]Model!$O$3</f>
        <v>12.3</v>
      </c>
      <c r="AE28" s="20">
        <f>G28/AD28</f>
        <v>106.58178861788616</v>
      </c>
      <c r="AH28" s="16">
        <f>[24]Model!$O$20</f>
        <v>5.08130081300813E-2</v>
      </c>
      <c r="AI28" s="16">
        <f>[24]Model!$O$24</f>
        <v>-4.23780487804878</v>
      </c>
      <c r="AJ28" s="16"/>
      <c r="AK28" s="16">
        <f>[24]Model!$AB$21</f>
        <v>0.11</v>
      </c>
      <c r="AL28" s="16">
        <f>[24]Model!$AB$27</f>
        <v>-0.87354587724162402</v>
      </c>
      <c r="AM28" s="11" t="str">
        <f>[24]Model!$AB$28</f>
        <v>Heavily overvalued</v>
      </c>
      <c r="AQ28" s="18">
        <f>[24]Main!$E$3</f>
        <v>45933</v>
      </c>
      <c r="AR28" s="18">
        <f>[24]Main!$G$3</f>
        <v>45975</v>
      </c>
    </row>
    <row r="29" spans="2:44" x14ac:dyDescent="0.3">
      <c r="B29" s="19" t="s">
        <v>51</v>
      </c>
      <c r="C29" s="11" t="s">
        <v>52</v>
      </c>
      <c r="D29" s="13">
        <f>[25]Main!$D$3</f>
        <v>14.97</v>
      </c>
      <c r="E29" s="14">
        <f>[25]Main!$D$5</f>
        <v>455.08800000000002</v>
      </c>
      <c r="F29" s="14">
        <f>[25]Main!$D$8</f>
        <v>5</v>
      </c>
      <c r="G29" s="14">
        <f>[25]Main!$D$9</f>
        <v>450.08800000000002</v>
      </c>
      <c r="L29" s="14">
        <f>[25]Model!$P$20</f>
        <v>-1.4</v>
      </c>
      <c r="M29" s="14">
        <f>[25]Model!Q$20</f>
        <v>-32</v>
      </c>
      <c r="N29" s="14">
        <f>[25]Model!R$20</f>
        <v>-27.428000000000001</v>
      </c>
      <c r="O29" s="14">
        <f>[25]Model!S$20</f>
        <v>-36.489999999999995</v>
      </c>
      <c r="P29" s="14">
        <f>[25]Model!T$20</f>
        <v>-44.738199999999992</v>
      </c>
      <c r="Q29" s="14">
        <f>[25]Model!U$20</f>
        <v>-36.238919999999993</v>
      </c>
      <c r="W29" s="15">
        <f>G29/[25]Model!$AB$20</f>
        <v>6.6106472898325936</v>
      </c>
      <c r="X29" s="20">
        <f>[25]Model!$L$35</f>
        <v>8.5894656488549632</v>
      </c>
      <c r="Y29" s="16">
        <f>[25]Model!$L$36</f>
        <v>-0.88357832246138535</v>
      </c>
      <c r="Z29" s="16">
        <f>AVERAGE(Y29,AL29)</f>
        <v>-0.87539364362171912</v>
      </c>
      <c r="AD29" s="23">
        <f>[25]Model!$Q$3</f>
        <v>5.6</v>
      </c>
      <c r="AE29" s="20">
        <f>G29/AD29</f>
        <v>80.372857142857157</v>
      </c>
      <c r="AH29" s="25">
        <f>[25]Model!$Q$26</f>
        <v>0.28571428571428564</v>
      </c>
      <c r="AI29" s="25">
        <f>[25]Model!$Q$30</f>
        <v>-3.0535714285714288</v>
      </c>
      <c r="AJ29" s="25"/>
      <c r="AK29" s="16">
        <f>[25]Model!$AF$27</f>
        <v>0.12</v>
      </c>
      <c r="AL29" s="16">
        <f>[25]Model!$AF$33</f>
        <v>-0.86720896478205278</v>
      </c>
      <c r="AM29" s="11" t="str">
        <f>[25]Model!$AF$34</f>
        <v>Heavily overvalued</v>
      </c>
      <c r="AO29" s="11">
        <v>2019</v>
      </c>
      <c r="AQ29" s="18">
        <f>[25]Main!$E$3</f>
        <v>45933</v>
      </c>
      <c r="AR29" s="18">
        <f>[25]Main!$G$3</f>
        <v>45974</v>
      </c>
    </row>
    <row r="30" spans="2:44" x14ac:dyDescent="0.3">
      <c r="B30" s="12"/>
      <c r="D30" s="13"/>
      <c r="E30" s="14"/>
      <c r="F30" s="14"/>
      <c r="G30" s="14"/>
      <c r="L30" s="14"/>
      <c r="M30" s="14"/>
      <c r="N30" s="14"/>
      <c r="O30" s="14"/>
      <c r="P30" s="14"/>
      <c r="Q30" s="14"/>
      <c r="W30" s="15"/>
      <c r="AD30" s="14"/>
      <c r="AE30" s="20"/>
      <c r="AH30" s="16"/>
      <c r="AI30" s="16"/>
      <c r="AJ30" s="16"/>
      <c r="AK30" s="16"/>
      <c r="AL30" s="16"/>
      <c r="AQ30" s="18"/>
      <c r="AR30" s="18"/>
    </row>
    <row r="31" spans="2:44" x14ac:dyDescent="0.3">
      <c r="B31" s="5" t="s">
        <v>93</v>
      </c>
      <c r="D31" s="13"/>
      <c r="E31" s="14"/>
      <c r="F31" s="14"/>
      <c r="G31" s="14"/>
      <c r="L31" s="14"/>
      <c r="M31" s="14"/>
      <c r="N31" s="14"/>
      <c r="O31" s="14"/>
      <c r="P31" s="14"/>
      <c r="Q31" s="14"/>
      <c r="W31" s="15"/>
      <c r="AD31" s="14"/>
      <c r="AE31" s="20"/>
      <c r="AH31" s="16"/>
      <c r="AI31" s="16"/>
      <c r="AJ31" s="16"/>
      <c r="AK31" s="16"/>
      <c r="AL31" s="16"/>
      <c r="AQ31" s="18"/>
      <c r="AR31" s="18"/>
    </row>
    <row r="32" spans="2:44" x14ac:dyDescent="0.3">
      <c r="B32" s="5" t="s">
        <v>340</v>
      </c>
    </row>
    <row r="33" spans="2:2" x14ac:dyDescent="0.3">
      <c r="B33" s="5" t="s">
        <v>341</v>
      </c>
    </row>
    <row r="34" spans="2:2" x14ac:dyDescent="0.3">
      <c r="B34" s="5" t="s">
        <v>342</v>
      </c>
    </row>
    <row r="35" spans="2:2" x14ac:dyDescent="0.3">
      <c r="B35" s="5" t="s">
        <v>343</v>
      </c>
    </row>
    <row r="36" spans="2:2" x14ac:dyDescent="0.3">
      <c r="B36" s="5" t="s">
        <v>610</v>
      </c>
    </row>
    <row r="37" spans="2:2" x14ac:dyDescent="0.3">
      <c r="B37" s="5" t="s">
        <v>663</v>
      </c>
    </row>
    <row r="38" spans="2:2" x14ac:dyDescent="0.3">
      <c r="B38" s="5" t="s">
        <v>667</v>
      </c>
    </row>
    <row r="39" spans="2:2" x14ac:dyDescent="0.3">
      <c r="B39" s="5" t="s">
        <v>668</v>
      </c>
    </row>
    <row r="40" spans="2:2" x14ac:dyDescent="0.3">
      <c r="B40" s="5" t="s">
        <v>685</v>
      </c>
    </row>
    <row r="41" spans="2:2" x14ac:dyDescent="0.3">
      <c r="B41" s="5" t="s">
        <v>688</v>
      </c>
    </row>
    <row r="42" spans="2:2" x14ac:dyDescent="0.3">
      <c r="B42" s="5" t="s">
        <v>695</v>
      </c>
    </row>
    <row r="43" spans="2:2" x14ac:dyDescent="0.3">
      <c r="B43" s="5" t="s">
        <v>713</v>
      </c>
    </row>
    <row r="44" spans="2:2" x14ac:dyDescent="0.3">
      <c r="B44" s="5" t="s">
        <v>717</v>
      </c>
    </row>
    <row r="45" spans="2:2" x14ac:dyDescent="0.3">
      <c r="B45" s="5" t="s">
        <v>718</v>
      </c>
    </row>
  </sheetData>
  <hyperlinks>
    <hyperlink ref="B4" r:id="rId1" xr:uid="{9EBE5D6A-1C1D-4975-961D-8BDF60D469F0}"/>
    <hyperlink ref="B13" r:id="rId2" xr:uid="{1C2D10B8-C1F0-4011-9894-9CA25208770D}"/>
    <hyperlink ref="B8" r:id="rId3" xr:uid="{959B55A2-9FD4-4C66-8ED7-2CA35BBDDBEB}"/>
    <hyperlink ref="B29" r:id="rId4" xr:uid="{585D8E65-116D-4674-B4B3-00498D6A7848}"/>
    <hyperlink ref="B18" r:id="rId5" xr:uid="{CFD2CC9C-5B8B-4286-BE47-40E920DADED7}"/>
    <hyperlink ref="B5" r:id="rId6" xr:uid="{A17201AA-5063-4DAA-B4C5-DF50CA314C77}"/>
    <hyperlink ref="B6" r:id="rId7" xr:uid="{66D11DBA-CC4F-47C4-B72D-A167C22CF998}"/>
    <hyperlink ref="B11" r:id="rId8" xr:uid="{68839818-3059-4F3D-A939-24E347A3D924}"/>
    <hyperlink ref="B10" r:id="rId9" xr:uid="{2C804FE1-0AB3-4453-B597-E9A1557EBD6D}"/>
    <hyperlink ref="B15" r:id="rId10" xr:uid="{60BDF6DB-8BEB-4FB3-8DBA-58358D39164E}"/>
    <hyperlink ref="B7" r:id="rId11" xr:uid="{2E581798-4486-4631-A533-55B5B7275DFA}"/>
    <hyperlink ref="B9" r:id="rId12" xr:uid="{A83CC09C-04CF-4224-A8E1-DC20AD3A36C8}"/>
    <hyperlink ref="B14" r:id="rId13" xr:uid="{4D3F764E-9CCB-403D-8E1B-4BE47BABAA33}"/>
    <hyperlink ref="B12" r:id="rId14" xr:uid="{93CF4EC5-904A-41E3-804E-56C12BA230AB}"/>
    <hyperlink ref="B22" r:id="rId15" display="txt" xr:uid="{AB07EC75-74EE-4F00-A39A-32F20CF1BEB8}"/>
    <hyperlink ref="B16" r:id="rId16" xr:uid="{9426D752-2EF5-4AFB-99DA-A8A7D85B06E3}"/>
    <hyperlink ref="B17" r:id="rId17" xr:uid="{EB265B06-930A-4273-8DCC-B8FC215B734E}"/>
    <hyperlink ref="B20" r:id="rId18" xr:uid="{CC2544BA-50C9-47A6-B396-2DAF4864B854}"/>
    <hyperlink ref="B27" r:id="rId19" xr:uid="{356138DD-BE1A-4731-B7CC-280B73272B33}"/>
    <hyperlink ref="B24" r:id="rId20" xr:uid="{84017ED8-7373-4D92-B4EF-D5CF532C2353}"/>
    <hyperlink ref="B23" r:id="rId21" xr:uid="{88DB7B22-BB4A-404B-95A6-1AA9663BF5FE}"/>
    <hyperlink ref="B28" r:id="rId22" xr:uid="{C624A8B5-778E-4C36-8210-19EE1248D3F5}"/>
    <hyperlink ref="B25" r:id="rId23" xr:uid="{BAFD510F-4A1A-4765-B090-822E93B04792}"/>
    <hyperlink ref="B21" r:id="rId24" xr:uid="{A503C2A2-F761-40EE-A283-D47A823C22F9}"/>
    <hyperlink ref="B19" r:id="rId25" xr:uid="{01A049C3-01C4-4C7C-89E0-C07C68EE6BD1}"/>
  </hyperlinks>
  <pageMargins left="0.7" right="0.7" top="0.75" bottom="0.75" header="0.3" footer="0.3"/>
  <pageSetup paperSize="9" orientation="portrait" r:id="rId26"/>
  <legacyDrawing r:id="rId2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B61A3-0296-4EF3-A3C7-6AA855DB950E}">
  <dimension ref="B2:K86"/>
  <sheetViews>
    <sheetView topLeftCell="B1" workbookViewId="0">
      <selection activeCell="B2" sqref="B2:K86"/>
    </sheetView>
  </sheetViews>
  <sheetFormatPr defaultRowHeight="14.4" x14ac:dyDescent="0.3"/>
  <cols>
    <col min="1" max="1" width="8.88671875" style="27"/>
    <col min="2" max="2" width="18.88671875" style="27" bestFit="1" customWidth="1"/>
    <col min="3" max="4" width="8.88671875" style="27"/>
    <col min="5" max="5" width="10.6640625" style="27" bestFit="1" customWidth="1"/>
    <col min="6" max="16384" width="8.88671875" style="27"/>
  </cols>
  <sheetData>
    <row r="2" spans="2:11" x14ac:dyDescent="0.3">
      <c r="B2" s="27" t="s">
        <v>96</v>
      </c>
    </row>
    <row r="4" spans="2:11" x14ac:dyDescent="0.3">
      <c r="B4" s="27" t="s">
        <v>97</v>
      </c>
      <c r="K4" s="27" t="s">
        <v>171</v>
      </c>
    </row>
    <row r="5" spans="2:11" x14ac:dyDescent="0.3">
      <c r="B5" s="27" t="s">
        <v>98</v>
      </c>
      <c r="K5" s="27" t="s">
        <v>115</v>
      </c>
    </row>
    <row r="6" spans="2:11" x14ac:dyDescent="0.3">
      <c r="B6" s="27" t="s">
        <v>100</v>
      </c>
      <c r="K6" s="27" t="s">
        <v>172</v>
      </c>
    </row>
    <row r="7" spans="2:11" x14ac:dyDescent="0.3">
      <c r="B7" s="27" t="s">
        <v>101</v>
      </c>
      <c r="K7" s="27" t="s">
        <v>236</v>
      </c>
    </row>
    <row r="8" spans="2:11" x14ac:dyDescent="0.3">
      <c r="B8" s="27" t="s">
        <v>99</v>
      </c>
      <c r="K8" s="27" t="s">
        <v>390</v>
      </c>
    </row>
    <row r="10" spans="2:11" x14ac:dyDescent="0.3">
      <c r="B10" s="32" t="s">
        <v>109</v>
      </c>
      <c r="C10" s="38" t="s">
        <v>106</v>
      </c>
      <c r="D10" s="38" t="s">
        <v>107</v>
      </c>
      <c r="E10" s="39" t="s">
        <v>108</v>
      </c>
    </row>
    <row r="11" spans="2:11" x14ac:dyDescent="0.3">
      <c r="B11" s="31" t="s">
        <v>102</v>
      </c>
      <c r="C11" s="34">
        <v>842.3</v>
      </c>
      <c r="D11" s="34">
        <v>848.3</v>
      </c>
      <c r="E11" s="35">
        <v>848.3</v>
      </c>
    </row>
    <row r="12" spans="2:11" x14ac:dyDescent="0.3">
      <c r="B12" s="31" t="s">
        <v>103</v>
      </c>
      <c r="C12" s="34">
        <v>0</v>
      </c>
      <c r="D12" s="34">
        <v>0</v>
      </c>
      <c r="E12" s="35">
        <v>113.3</v>
      </c>
    </row>
    <row r="13" spans="2:11" x14ac:dyDescent="0.3">
      <c r="B13" s="31" t="s">
        <v>104</v>
      </c>
      <c r="C13" s="34">
        <v>67.3</v>
      </c>
      <c r="D13" s="34">
        <v>11.8</v>
      </c>
      <c r="E13" s="35">
        <v>0</v>
      </c>
    </row>
    <row r="14" spans="2:11" x14ac:dyDescent="0.3">
      <c r="B14" s="33" t="s">
        <v>105</v>
      </c>
      <c r="C14" s="36">
        <f>SUM(C11:C13)</f>
        <v>909.59999999999991</v>
      </c>
      <c r="D14" s="36">
        <f>SUM(D11:D13)</f>
        <v>860.09999999999991</v>
      </c>
      <c r="E14" s="37">
        <f>SUM(E11:E13)</f>
        <v>961.59999999999991</v>
      </c>
    </row>
    <row r="16" spans="2:11" x14ac:dyDescent="0.3">
      <c r="B16" s="27" t="s">
        <v>323</v>
      </c>
    </row>
    <row r="18" spans="2:7" x14ac:dyDescent="0.3">
      <c r="C18" s="28" t="s">
        <v>110</v>
      </c>
      <c r="D18" s="28" t="s">
        <v>111</v>
      </c>
      <c r="E18" s="28" t="s">
        <v>116</v>
      </c>
      <c r="F18" s="28" t="s">
        <v>173</v>
      </c>
      <c r="G18" s="28" t="s">
        <v>124</v>
      </c>
    </row>
    <row r="19" spans="2:7" x14ac:dyDescent="0.3">
      <c r="B19" s="27" t="s">
        <v>112</v>
      </c>
      <c r="C19" s="34">
        <v>5</v>
      </c>
      <c r="D19" s="34"/>
      <c r="G19" s="27" t="s">
        <v>125</v>
      </c>
    </row>
    <row r="20" spans="2:7" x14ac:dyDescent="0.3">
      <c r="B20" s="27" t="s">
        <v>113</v>
      </c>
      <c r="C20" s="34">
        <v>25</v>
      </c>
      <c r="D20" s="34"/>
      <c r="G20" s="27" t="s">
        <v>126</v>
      </c>
    </row>
    <row r="21" spans="2:7" x14ac:dyDescent="0.3">
      <c r="B21" s="27" t="s">
        <v>114</v>
      </c>
      <c r="C21" s="34">
        <v>60</v>
      </c>
      <c r="D21" s="34"/>
    </row>
    <row r="22" spans="2:7" x14ac:dyDescent="0.3">
      <c r="C22" s="34"/>
      <c r="D22" s="34">
        <v>11.5</v>
      </c>
      <c r="F22" s="27" t="s">
        <v>117</v>
      </c>
    </row>
    <row r="23" spans="2:7" x14ac:dyDescent="0.3">
      <c r="C23" s="34"/>
      <c r="D23" s="34">
        <v>10.3</v>
      </c>
      <c r="F23" s="27" t="s">
        <v>118</v>
      </c>
    </row>
    <row r="24" spans="2:7" x14ac:dyDescent="0.3">
      <c r="C24" s="34"/>
      <c r="D24" s="34">
        <v>4.2</v>
      </c>
      <c r="F24" s="27" t="s">
        <v>119</v>
      </c>
    </row>
    <row r="25" spans="2:7" x14ac:dyDescent="0.3">
      <c r="C25" s="34"/>
      <c r="D25" s="34">
        <v>2</v>
      </c>
      <c r="F25" s="27" t="s">
        <v>120</v>
      </c>
    </row>
    <row r="26" spans="2:7" x14ac:dyDescent="0.3">
      <c r="C26" s="34"/>
      <c r="D26" s="34">
        <v>1.1000000000000001</v>
      </c>
      <c r="F26" s="27" t="s">
        <v>121</v>
      </c>
    </row>
    <row r="27" spans="2:7" x14ac:dyDescent="0.3">
      <c r="B27" s="27" t="s">
        <v>201</v>
      </c>
      <c r="C27" s="34"/>
      <c r="D27" s="34">
        <f>SUM(D22:D26)</f>
        <v>29.1</v>
      </c>
    </row>
    <row r="28" spans="2:7" x14ac:dyDescent="0.3">
      <c r="B28" s="27" t="s">
        <v>202</v>
      </c>
      <c r="C28" s="34"/>
      <c r="D28" s="34">
        <f>C21-D27</f>
        <v>30.9</v>
      </c>
    </row>
    <row r="29" spans="2:7" x14ac:dyDescent="0.3">
      <c r="B29" s="27" t="s">
        <v>123</v>
      </c>
      <c r="C29" s="34">
        <v>10</v>
      </c>
      <c r="D29" s="34"/>
      <c r="G29" s="27" t="s">
        <v>127</v>
      </c>
    </row>
    <row r="30" spans="2:7" x14ac:dyDescent="0.3">
      <c r="B30" s="27" t="s">
        <v>128</v>
      </c>
      <c r="C30" s="34">
        <v>2.4</v>
      </c>
      <c r="D30" s="34"/>
    </row>
    <row r="31" spans="2:7" x14ac:dyDescent="0.3">
      <c r="C31" s="34"/>
      <c r="D31" s="34">
        <v>1</v>
      </c>
      <c r="G31" s="27" t="s">
        <v>129</v>
      </c>
    </row>
    <row r="32" spans="2:7" x14ac:dyDescent="0.3">
      <c r="C32" s="34"/>
      <c r="D32" s="34">
        <v>1</v>
      </c>
      <c r="G32" s="27" t="s">
        <v>130</v>
      </c>
    </row>
    <row r="33" spans="2:7" x14ac:dyDescent="0.3">
      <c r="C33" s="34"/>
      <c r="D33" s="34">
        <v>0.4</v>
      </c>
      <c r="G33" s="27" t="s">
        <v>131</v>
      </c>
    </row>
    <row r="34" spans="2:7" x14ac:dyDescent="0.3">
      <c r="B34" s="27" t="s">
        <v>201</v>
      </c>
      <c r="C34" s="34"/>
      <c r="D34" s="34">
        <f>SUM(D31:D33)</f>
        <v>2.4</v>
      </c>
    </row>
    <row r="35" spans="2:7" x14ac:dyDescent="0.3">
      <c r="B35" s="27" t="s">
        <v>133</v>
      </c>
      <c r="C35" s="34">
        <v>68.3</v>
      </c>
      <c r="D35" s="34"/>
      <c r="F35" s="27" t="s">
        <v>132</v>
      </c>
    </row>
    <row r="36" spans="2:7" x14ac:dyDescent="0.3">
      <c r="B36" s="27" t="s">
        <v>134</v>
      </c>
      <c r="C36" s="34">
        <v>65</v>
      </c>
      <c r="D36" s="34"/>
      <c r="F36" s="27" t="s">
        <v>135</v>
      </c>
    </row>
    <row r="37" spans="2:7" x14ac:dyDescent="0.3">
      <c r="B37" s="27" t="s">
        <v>136</v>
      </c>
      <c r="C37" s="34">
        <v>11.6</v>
      </c>
      <c r="D37" s="34"/>
      <c r="F37" s="27" t="s">
        <v>137</v>
      </c>
    </row>
    <row r="38" spans="2:7" x14ac:dyDescent="0.3">
      <c r="B38" s="27" t="s">
        <v>138</v>
      </c>
      <c r="C38" s="34">
        <v>10.4</v>
      </c>
      <c r="D38" s="34"/>
    </row>
    <row r="39" spans="2:7" x14ac:dyDescent="0.3">
      <c r="C39" s="34"/>
      <c r="D39" s="34">
        <v>6.5</v>
      </c>
      <c r="F39" s="27" t="s">
        <v>140</v>
      </c>
    </row>
    <row r="40" spans="2:7" x14ac:dyDescent="0.3">
      <c r="C40" s="34"/>
      <c r="D40" s="34">
        <v>3.9</v>
      </c>
      <c r="F40" s="27" t="s">
        <v>139</v>
      </c>
    </row>
    <row r="41" spans="2:7" x14ac:dyDescent="0.3">
      <c r="B41" s="27" t="s">
        <v>201</v>
      </c>
      <c r="C41" s="34"/>
      <c r="D41" s="34">
        <f>SUM(D39:D40)</f>
        <v>10.4</v>
      </c>
    </row>
    <row r="42" spans="2:7" x14ac:dyDescent="0.3">
      <c r="B42" s="27" t="s">
        <v>141</v>
      </c>
      <c r="C42" s="34"/>
      <c r="D42" s="34">
        <v>34</v>
      </c>
      <c r="G42" s="27" t="s">
        <v>142</v>
      </c>
    </row>
    <row r="43" spans="2:7" x14ac:dyDescent="0.3">
      <c r="B43" s="27" t="s">
        <v>143</v>
      </c>
      <c r="C43" s="34"/>
      <c r="D43" s="34">
        <v>15.1</v>
      </c>
      <c r="G43" s="27" t="s">
        <v>144</v>
      </c>
    </row>
    <row r="44" spans="2:7" x14ac:dyDescent="0.3">
      <c r="B44" s="27" t="s">
        <v>145</v>
      </c>
      <c r="C44" s="43">
        <v>35.9</v>
      </c>
      <c r="D44" s="34"/>
    </row>
    <row r="45" spans="2:7" x14ac:dyDescent="0.3">
      <c r="C45" s="34"/>
      <c r="D45" s="34">
        <v>20.3</v>
      </c>
      <c r="G45" s="27" t="s">
        <v>146</v>
      </c>
    </row>
    <row r="46" spans="2:7" x14ac:dyDescent="0.3">
      <c r="C46" s="34"/>
      <c r="D46" s="34">
        <v>13.4</v>
      </c>
      <c r="G46" s="27" t="s">
        <v>147</v>
      </c>
    </row>
    <row r="47" spans="2:7" x14ac:dyDescent="0.3">
      <c r="C47" s="34"/>
      <c r="D47" s="34">
        <v>1</v>
      </c>
      <c r="G47" s="27" t="s">
        <v>158</v>
      </c>
    </row>
    <row r="48" spans="2:7" x14ac:dyDescent="0.3">
      <c r="C48" s="34"/>
      <c r="D48" s="34">
        <v>1.2</v>
      </c>
      <c r="G48" s="27" t="s">
        <v>148</v>
      </c>
    </row>
    <row r="49" spans="2:7" x14ac:dyDescent="0.3">
      <c r="B49" s="27" t="s">
        <v>201</v>
      </c>
      <c r="C49" s="34"/>
      <c r="D49" s="34">
        <f>SUM(D45:D48)</f>
        <v>35.900000000000006</v>
      </c>
    </row>
    <row r="50" spans="2:7" x14ac:dyDescent="0.3">
      <c r="B50" s="27" t="s">
        <v>149</v>
      </c>
      <c r="C50" s="43">
        <f>D54</f>
        <v>8.6000000000000014</v>
      </c>
      <c r="D50" s="34"/>
      <c r="G50" s="27" t="s">
        <v>159</v>
      </c>
    </row>
    <row r="51" spans="2:7" x14ac:dyDescent="0.3">
      <c r="C51" s="34"/>
      <c r="D51" s="34">
        <v>5.7</v>
      </c>
      <c r="G51" s="27" t="s">
        <v>150</v>
      </c>
    </row>
    <row r="52" spans="2:7" x14ac:dyDescent="0.3">
      <c r="C52" s="34"/>
      <c r="D52" s="34">
        <v>2.6</v>
      </c>
      <c r="G52" s="27" t="s">
        <v>151</v>
      </c>
    </row>
    <row r="53" spans="2:7" x14ac:dyDescent="0.3">
      <c r="C53" s="34"/>
      <c r="D53" s="34">
        <v>0.3</v>
      </c>
      <c r="G53" s="27" t="s">
        <v>152</v>
      </c>
    </row>
    <row r="54" spans="2:7" x14ac:dyDescent="0.3">
      <c r="C54" s="34"/>
      <c r="D54" s="34">
        <f>SUM(D51:D53)</f>
        <v>8.6000000000000014</v>
      </c>
    </row>
    <row r="55" spans="2:7" x14ac:dyDescent="0.3">
      <c r="B55" s="27" t="s">
        <v>153</v>
      </c>
      <c r="C55" s="43">
        <f>D60</f>
        <v>55.1</v>
      </c>
      <c r="D55" s="34"/>
      <c r="G55" s="27" t="s">
        <v>154</v>
      </c>
    </row>
    <row r="56" spans="2:7" x14ac:dyDescent="0.3">
      <c r="C56" s="34"/>
      <c r="D56" s="34" t="s">
        <v>155</v>
      </c>
      <c r="G56" s="27" t="s">
        <v>156</v>
      </c>
    </row>
    <row r="57" spans="2:7" x14ac:dyDescent="0.3">
      <c r="C57" s="34"/>
      <c r="D57" s="34">
        <v>42.5</v>
      </c>
      <c r="G57" s="27" t="s">
        <v>157</v>
      </c>
    </row>
    <row r="58" spans="2:7" x14ac:dyDescent="0.3">
      <c r="C58" s="34"/>
      <c r="D58" s="34">
        <v>2.1</v>
      </c>
      <c r="G58" s="27" t="s">
        <v>160</v>
      </c>
    </row>
    <row r="59" spans="2:7" x14ac:dyDescent="0.3">
      <c r="C59" s="34"/>
      <c r="D59" s="34">
        <v>10.5</v>
      </c>
      <c r="G59" s="27" t="s">
        <v>161</v>
      </c>
    </row>
    <row r="60" spans="2:7" x14ac:dyDescent="0.3">
      <c r="C60" s="34"/>
      <c r="D60" s="34">
        <f>SUM(D57:D59)</f>
        <v>55.1</v>
      </c>
    </row>
    <row r="61" spans="2:7" x14ac:dyDescent="0.3">
      <c r="B61" s="27" t="s">
        <v>162</v>
      </c>
      <c r="C61" s="34">
        <v>159.69999999999999</v>
      </c>
      <c r="D61" s="34"/>
      <c r="G61" s="27" t="s">
        <v>163</v>
      </c>
    </row>
    <row r="62" spans="2:7" x14ac:dyDescent="0.3">
      <c r="B62" s="27" t="s">
        <v>164</v>
      </c>
      <c r="C62" s="34">
        <v>47.1</v>
      </c>
      <c r="D62" s="34"/>
    </row>
    <row r="63" spans="2:7" x14ac:dyDescent="0.3">
      <c r="C63" s="34"/>
      <c r="D63" s="34">
        <v>19.8</v>
      </c>
      <c r="G63" s="27" t="s">
        <v>165</v>
      </c>
    </row>
    <row r="64" spans="2:7" x14ac:dyDescent="0.3">
      <c r="C64" s="34"/>
      <c r="D64" s="34">
        <v>27.3</v>
      </c>
      <c r="G64" s="27" t="s">
        <v>166</v>
      </c>
    </row>
    <row r="65" spans="2:7" x14ac:dyDescent="0.3">
      <c r="C65" s="34"/>
      <c r="D65" s="34">
        <f>SUM(D63:D64)</f>
        <v>47.1</v>
      </c>
    </row>
    <row r="66" spans="2:7" x14ac:dyDescent="0.3">
      <c r="B66" s="27" t="s">
        <v>167</v>
      </c>
      <c r="C66" s="43">
        <f>D70</f>
        <v>1.8</v>
      </c>
      <c r="D66" s="34"/>
    </row>
    <row r="67" spans="2:7" x14ac:dyDescent="0.3">
      <c r="C67" s="34"/>
      <c r="D67" s="34">
        <v>1.1000000000000001</v>
      </c>
      <c r="G67" s="27" t="s">
        <v>170</v>
      </c>
    </row>
    <row r="68" spans="2:7" x14ac:dyDescent="0.3">
      <c r="C68" s="34"/>
      <c r="D68" s="34">
        <v>0.5</v>
      </c>
      <c r="G68" s="27" t="s">
        <v>169</v>
      </c>
    </row>
    <row r="69" spans="2:7" x14ac:dyDescent="0.3">
      <c r="C69" s="34"/>
      <c r="D69" s="34">
        <v>0.2</v>
      </c>
      <c r="G69" s="27" t="s">
        <v>168</v>
      </c>
    </row>
    <row r="70" spans="2:7" x14ac:dyDescent="0.3">
      <c r="C70" s="34"/>
      <c r="D70" s="34">
        <f>SUM(D67:D69)</f>
        <v>1.8</v>
      </c>
    </row>
    <row r="71" spans="2:7" x14ac:dyDescent="0.3">
      <c r="B71" s="30" t="s">
        <v>105</v>
      </c>
      <c r="C71" s="41">
        <f>E14</f>
        <v>961.59999999999991</v>
      </c>
      <c r="D71" s="41"/>
    </row>
    <row r="72" spans="2:7" x14ac:dyDescent="0.3">
      <c r="B72" s="27" t="s">
        <v>201</v>
      </c>
      <c r="C72" s="34"/>
      <c r="D72" s="34">
        <f>SUM(C19:C70)</f>
        <v>565.9</v>
      </c>
    </row>
    <row r="73" spans="2:7" x14ac:dyDescent="0.3">
      <c r="B73" s="27" t="s">
        <v>202</v>
      </c>
      <c r="C73" s="34"/>
      <c r="D73" s="34">
        <f>C71-D72</f>
        <v>395.69999999999993</v>
      </c>
    </row>
    <row r="78" spans="2:7" x14ac:dyDescent="0.3">
      <c r="B78" s="29" t="s">
        <v>318</v>
      </c>
      <c r="C78" s="27">
        <v>197.40899999999999</v>
      </c>
    </row>
    <row r="80" spans="2:7" x14ac:dyDescent="0.3">
      <c r="B80" s="29" t="s">
        <v>319</v>
      </c>
      <c r="C80" s="27">
        <v>292.233</v>
      </c>
    </row>
    <row r="82" spans="2:3" x14ac:dyDescent="0.3">
      <c r="B82" s="29" t="s">
        <v>320</v>
      </c>
      <c r="C82" s="27">
        <v>301.07799999999997</v>
      </c>
    </row>
    <row r="84" spans="2:3" x14ac:dyDescent="0.3">
      <c r="B84" s="29" t="s">
        <v>321</v>
      </c>
      <c r="C84" s="27">
        <v>36.5</v>
      </c>
    </row>
    <row r="86" spans="2:3" x14ac:dyDescent="0.3">
      <c r="B86" s="29" t="s">
        <v>322</v>
      </c>
      <c r="C86" s="27">
        <v>170.876</v>
      </c>
    </row>
  </sheetData>
  <phoneticPr fontId="10" type="noConversion"/>
  <pageMargins left="0.7" right="0.7" top="0.75" bottom="0.75" header="0.3" footer="0.3"/>
  <pageSetup paperSize="9" orientation="portrait" horizontalDpi="300" verticalDpi="300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08D2B-9AD1-40AD-A926-C5ADF567E1FB}">
  <dimension ref="B2:R188"/>
  <sheetViews>
    <sheetView zoomScaleNormal="100" workbookViewId="0">
      <pane xSplit="2" ySplit="2" topLeftCell="C99" activePane="bottomRight" state="frozen"/>
      <selection pane="topRight" activeCell="C1" sqref="C1"/>
      <selection pane="bottomLeft" activeCell="A3" sqref="A3"/>
      <selection pane="bottomRight" activeCell="D87" sqref="D87"/>
    </sheetView>
  </sheetViews>
  <sheetFormatPr defaultRowHeight="14.4" x14ac:dyDescent="0.3"/>
  <cols>
    <col min="1" max="1" width="8.88671875" style="27"/>
    <col min="2" max="2" width="48.77734375" style="27" bestFit="1" customWidth="1"/>
    <col min="3" max="3" width="8.88671875" style="27"/>
    <col min="4" max="4" width="22.6640625" style="27" bestFit="1" customWidth="1"/>
    <col min="5" max="16384" width="8.88671875" style="27"/>
  </cols>
  <sheetData>
    <row r="2" spans="2:18" x14ac:dyDescent="0.3">
      <c r="B2" s="27" t="s">
        <v>213</v>
      </c>
      <c r="C2" s="27" t="s">
        <v>176</v>
      </c>
      <c r="D2" s="27" t="s">
        <v>116</v>
      </c>
      <c r="E2" s="27" t="s">
        <v>178</v>
      </c>
      <c r="F2" s="27" t="s">
        <v>207</v>
      </c>
      <c r="G2" s="27" t="s">
        <v>289</v>
      </c>
      <c r="H2" s="27" t="s">
        <v>288</v>
      </c>
      <c r="I2" s="27" t="s">
        <v>177</v>
      </c>
      <c r="J2" s="27" t="s">
        <v>239</v>
      </c>
      <c r="K2" s="27" t="s">
        <v>240</v>
      </c>
      <c r="L2" s="27" t="s">
        <v>241</v>
      </c>
      <c r="M2" s="27" t="s">
        <v>192</v>
      </c>
      <c r="N2" s="27" t="s">
        <v>190</v>
      </c>
      <c r="O2" s="27" t="s">
        <v>180</v>
      </c>
      <c r="P2" s="27" t="s">
        <v>183</v>
      </c>
      <c r="Q2" s="27" t="s">
        <v>182</v>
      </c>
      <c r="R2" s="27" t="s">
        <v>203</v>
      </c>
    </row>
    <row r="3" spans="2:18" x14ac:dyDescent="0.3">
      <c r="J3" s="42"/>
      <c r="K3" s="42"/>
      <c r="L3" s="42"/>
      <c r="M3" s="42"/>
    </row>
    <row r="4" spans="2:18" x14ac:dyDescent="0.3">
      <c r="B4" s="29" t="s">
        <v>208</v>
      </c>
      <c r="J4" s="42"/>
      <c r="K4" s="42"/>
      <c r="L4" s="42"/>
      <c r="M4" s="42"/>
    </row>
    <row r="5" spans="2:18" x14ac:dyDescent="0.3">
      <c r="B5" s="27" t="s">
        <v>191</v>
      </c>
      <c r="J5" s="42"/>
      <c r="K5" s="42">
        <v>27.6</v>
      </c>
      <c r="L5" s="42">
        <v>43.3</v>
      </c>
      <c r="M5" s="42"/>
    </row>
    <row r="6" spans="2:18" x14ac:dyDescent="0.3">
      <c r="B6" s="27" t="s">
        <v>196</v>
      </c>
      <c r="J6" s="42"/>
      <c r="K6" s="42"/>
      <c r="L6" s="42"/>
      <c r="M6" s="42">
        <v>13.1</v>
      </c>
      <c r="R6" s="27" t="s">
        <v>204</v>
      </c>
    </row>
    <row r="7" spans="2:18" x14ac:dyDescent="0.3">
      <c r="B7" s="27" t="s">
        <v>197</v>
      </c>
      <c r="J7" s="42"/>
      <c r="K7" s="42"/>
      <c r="L7" s="42"/>
      <c r="M7" s="42">
        <v>15.2</v>
      </c>
      <c r="R7" s="27" t="s">
        <v>193</v>
      </c>
    </row>
    <row r="8" spans="2:18" x14ac:dyDescent="0.3">
      <c r="B8" s="27" t="s">
        <v>198</v>
      </c>
      <c r="J8" s="42"/>
      <c r="K8" s="42"/>
      <c r="L8" s="42"/>
      <c r="M8" s="42">
        <v>14.9</v>
      </c>
      <c r="R8" s="27" t="s">
        <v>194</v>
      </c>
    </row>
    <row r="9" spans="2:18" x14ac:dyDescent="0.3">
      <c r="B9" s="27" t="s">
        <v>199</v>
      </c>
      <c r="J9" s="42"/>
      <c r="K9" s="42"/>
      <c r="L9" s="42"/>
      <c r="M9" s="42">
        <f>SUM(M6:M8)</f>
        <v>43.199999999999996</v>
      </c>
    </row>
    <row r="10" spans="2:18" x14ac:dyDescent="0.3">
      <c r="B10" s="27" t="s">
        <v>200</v>
      </c>
      <c r="J10" s="42"/>
      <c r="K10" s="42"/>
      <c r="L10" s="42"/>
      <c r="M10" s="42">
        <f>L5-M9</f>
        <v>0.10000000000000142</v>
      </c>
    </row>
    <row r="11" spans="2:18" x14ac:dyDescent="0.3">
      <c r="B11" s="27" t="s">
        <v>455</v>
      </c>
      <c r="H11" s="27">
        <v>64</v>
      </c>
      <c r="J11" s="42">
        <v>2.9737</v>
      </c>
      <c r="K11" s="42">
        <v>2.4830000000000001</v>
      </c>
      <c r="L11" s="42">
        <v>2.5017</v>
      </c>
      <c r="M11" s="42"/>
    </row>
    <row r="12" spans="2:18" x14ac:dyDescent="0.3">
      <c r="B12" s="27" t="s">
        <v>456</v>
      </c>
      <c r="H12" s="27">
        <v>44</v>
      </c>
      <c r="J12" s="42"/>
      <c r="K12" s="42"/>
      <c r="L12" s="42"/>
      <c r="M12" s="42"/>
    </row>
    <row r="13" spans="2:18" x14ac:dyDescent="0.3">
      <c r="B13" s="27" t="s">
        <v>457</v>
      </c>
      <c r="H13" s="27">
        <v>20</v>
      </c>
      <c r="J13" s="42"/>
      <c r="K13" s="42"/>
      <c r="L13" s="42"/>
      <c r="M13" s="42"/>
    </row>
    <row r="14" spans="2:18" x14ac:dyDescent="0.3">
      <c r="B14" s="27" t="s">
        <v>470</v>
      </c>
      <c r="J14" s="42"/>
      <c r="K14" s="42"/>
      <c r="L14" s="42"/>
      <c r="M14" s="42"/>
    </row>
    <row r="15" spans="2:18" x14ac:dyDescent="0.3">
      <c r="B15" s="27" t="s">
        <v>466</v>
      </c>
      <c r="J15" s="42">
        <v>2.0560999999999998</v>
      </c>
      <c r="K15" s="42">
        <v>1.6177999999999999</v>
      </c>
      <c r="L15" s="42">
        <v>1.8015000000000001</v>
      </c>
      <c r="M15" s="42"/>
    </row>
    <row r="16" spans="2:18" x14ac:dyDescent="0.3">
      <c r="B16" s="27" t="s">
        <v>467</v>
      </c>
      <c r="J16" s="42"/>
      <c r="K16" s="42"/>
      <c r="L16" s="42"/>
      <c r="M16" s="42"/>
      <c r="R16" s="27" t="s">
        <v>205</v>
      </c>
    </row>
    <row r="17" spans="2:18" x14ac:dyDescent="0.3">
      <c r="B17" s="27" t="s">
        <v>468</v>
      </c>
      <c r="J17" s="42"/>
      <c r="K17" s="42"/>
      <c r="L17" s="42"/>
      <c r="M17" s="42"/>
    </row>
    <row r="18" spans="2:18" x14ac:dyDescent="0.3">
      <c r="B18" s="27" t="s">
        <v>469</v>
      </c>
      <c r="J18" s="42"/>
      <c r="K18" s="42"/>
      <c r="L18" s="42"/>
      <c r="M18" s="42"/>
    </row>
    <row r="19" spans="2:18" x14ac:dyDescent="0.3">
      <c r="B19" s="27" t="s">
        <v>212</v>
      </c>
      <c r="J19" s="42"/>
      <c r="K19" s="42"/>
      <c r="L19" s="42"/>
      <c r="M19" s="42"/>
    </row>
    <row r="20" spans="2:18" x14ac:dyDescent="0.3">
      <c r="B20" s="27" t="s">
        <v>459</v>
      </c>
      <c r="J20" s="42"/>
      <c r="K20" s="42"/>
      <c r="L20" s="42"/>
      <c r="M20" s="42"/>
    </row>
    <row r="21" spans="2:18" x14ac:dyDescent="0.3">
      <c r="B21" s="27" t="s">
        <v>458</v>
      </c>
      <c r="J21" s="42"/>
      <c r="K21" s="42"/>
      <c r="L21" s="42"/>
      <c r="M21" s="42"/>
      <c r="R21" s="27" t="s">
        <v>209</v>
      </c>
    </row>
    <row r="22" spans="2:18" x14ac:dyDescent="0.3">
      <c r="B22" s="27" t="s">
        <v>460</v>
      </c>
      <c r="J22" s="42"/>
      <c r="K22" s="42"/>
      <c r="L22" s="42"/>
      <c r="M22" s="42"/>
      <c r="R22" s="27" t="s">
        <v>211</v>
      </c>
    </row>
    <row r="23" spans="2:18" x14ac:dyDescent="0.3">
      <c r="B23" s="27" t="s">
        <v>461</v>
      </c>
      <c r="J23" s="42">
        <v>0.45789999999999997</v>
      </c>
      <c r="K23" s="42">
        <v>0.55789999999999995</v>
      </c>
      <c r="L23" s="42">
        <v>1.5247999999999999</v>
      </c>
      <c r="M23" s="42"/>
    </row>
    <row r="24" spans="2:18" x14ac:dyDescent="0.3">
      <c r="B24" s="27" t="s">
        <v>462</v>
      </c>
      <c r="J24" s="42"/>
      <c r="K24" s="42"/>
      <c r="L24" s="42"/>
      <c r="M24" s="42"/>
    </row>
    <row r="25" spans="2:18" x14ac:dyDescent="0.3">
      <c r="B25" s="27" t="s">
        <v>463</v>
      </c>
      <c r="J25" s="42"/>
      <c r="K25" s="42"/>
      <c r="L25" s="42"/>
      <c r="M25" s="42"/>
    </row>
    <row r="26" spans="2:18" x14ac:dyDescent="0.3">
      <c r="B26" s="27" t="s">
        <v>464</v>
      </c>
      <c r="J26" s="42"/>
      <c r="K26" s="42"/>
      <c r="L26" s="42"/>
      <c r="M26" s="42"/>
    </row>
    <row r="27" spans="2:18" x14ac:dyDescent="0.3">
      <c r="B27" s="27" t="s">
        <v>465</v>
      </c>
      <c r="J27" s="42"/>
      <c r="K27" s="42"/>
      <c r="L27" s="42"/>
      <c r="M27" s="42"/>
    </row>
    <row r="28" spans="2:18" x14ac:dyDescent="0.3">
      <c r="B28" s="27" t="s">
        <v>214</v>
      </c>
      <c r="J28" s="42"/>
      <c r="K28" s="42"/>
      <c r="L28" s="42">
        <v>15.2</v>
      </c>
      <c r="M28" s="42"/>
    </row>
    <row r="29" spans="2:18" x14ac:dyDescent="0.3">
      <c r="B29" s="27" t="s">
        <v>215</v>
      </c>
      <c r="J29" s="42"/>
      <c r="K29" s="42"/>
      <c r="L29" s="42"/>
      <c r="M29" s="42">
        <v>7.4</v>
      </c>
    </row>
    <row r="30" spans="2:18" x14ac:dyDescent="0.3">
      <c r="B30" s="27" t="s">
        <v>216</v>
      </c>
      <c r="J30" s="42"/>
      <c r="K30" s="42"/>
      <c r="L30" s="42"/>
      <c r="M30" s="42"/>
    </row>
    <row r="31" spans="2:18" x14ac:dyDescent="0.3">
      <c r="B31" s="27" t="s">
        <v>217</v>
      </c>
      <c r="J31" s="42"/>
      <c r="K31" s="42"/>
      <c r="L31" s="42"/>
      <c r="M31" s="42"/>
    </row>
    <row r="32" spans="2:18" x14ac:dyDescent="0.3">
      <c r="B32" s="27" t="s">
        <v>218</v>
      </c>
      <c r="J32" s="42"/>
      <c r="K32" s="42"/>
      <c r="L32" s="42"/>
      <c r="M32" s="42"/>
    </row>
    <row r="33" spans="2:18" x14ac:dyDescent="0.3">
      <c r="B33" s="27" t="s">
        <v>219</v>
      </c>
      <c r="J33" s="42"/>
      <c r="K33" s="42"/>
      <c r="L33" s="42"/>
      <c r="M33" s="42"/>
    </row>
    <row r="34" spans="2:18" x14ac:dyDescent="0.3">
      <c r="B34" s="40" t="s">
        <v>220</v>
      </c>
      <c r="J34" s="42"/>
      <c r="K34" s="42"/>
      <c r="L34" s="42"/>
      <c r="M34" s="42">
        <v>2.9</v>
      </c>
    </row>
    <row r="35" spans="2:18" x14ac:dyDescent="0.3">
      <c r="B35" s="40" t="s">
        <v>221</v>
      </c>
      <c r="J35" s="42"/>
      <c r="K35" s="42"/>
      <c r="L35" s="42"/>
      <c r="M35" s="42"/>
    </row>
    <row r="36" spans="2:18" x14ac:dyDescent="0.3">
      <c r="B36" s="40" t="s">
        <v>222</v>
      </c>
      <c r="J36" s="42"/>
      <c r="K36" s="42"/>
      <c r="L36" s="42"/>
      <c r="M36" s="42"/>
    </row>
    <row r="37" spans="2:18" x14ac:dyDescent="0.3">
      <c r="B37" s="27" t="s">
        <v>223</v>
      </c>
      <c r="J37" s="42"/>
      <c r="K37" s="42"/>
      <c r="L37" s="42"/>
      <c r="M37" s="42">
        <v>4</v>
      </c>
    </row>
    <row r="38" spans="2:18" x14ac:dyDescent="0.3">
      <c r="B38" s="27" t="s">
        <v>224</v>
      </c>
      <c r="J38" s="42"/>
      <c r="K38" s="42"/>
      <c r="L38" s="42"/>
      <c r="M38" s="42"/>
    </row>
    <row r="39" spans="2:18" x14ac:dyDescent="0.3">
      <c r="B39" s="27" t="s">
        <v>225</v>
      </c>
      <c r="J39" s="42"/>
      <c r="K39" s="42"/>
      <c r="L39" s="42"/>
      <c r="M39" s="42"/>
    </row>
    <row r="40" spans="2:18" x14ac:dyDescent="0.3">
      <c r="B40" s="27" t="s">
        <v>226</v>
      </c>
      <c r="J40" s="42"/>
      <c r="K40" s="42"/>
      <c r="L40" s="42"/>
      <c r="M40" s="42"/>
    </row>
    <row r="41" spans="2:18" x14ac:dyDescent="0.3">
      <c r="B41" s="27" t="s">
        <v>227</v>
      </c>
      <c r="J41" s="42"/>
      <c r="K41" s="42"/>
      <c r="L41" s="42"/>
      <c r="M41" s="42"/>
    </row>
    <row r="42" spans="2:18" x14ac:dyDescent="0.3">
      <c r="B42" s="27" t="s">
        <v>228</v>
      </c>
      <c r="J42" s="42"/>
      <c r="K42" s="42"/>
      <c r="L42" s="42"/>
      <c r="M42" s="42"/>
    </row>
    <row r="43" spans="2:18" x14ac:dyDescent="0.3">
      <c r="B43" s="27" t="s">
        <v>229</v>
      </c>
      <c r="J43" s="42"/>
      <c r="K43" s="42"/>
      <c r="L43" s="42"/>
      <c r="M43" s="42"/>
    </row>
    <row r="44" spans="2:18" x14ac:dyDescent="0.3">
      <c r="B44" s="27" t="s">
        <v>230</v>
      </c>
      <c r="J44" s="42"/>
      <c r="K44" s="42"/>
      <c r="L44" s="42"/>
      <c r="M44" s="42"/>
    </row>
    <row r="45" spans="2:18" x14ac:dyDescent="0.3">
      <c r="B45" s="27" t="s">
        <v>231</v>
      </c>
      <c r="J45" s="42"/>
      <c r="K45" s="42"/>
      <c r="L45" s="42"/>
      <c r="M45" s="42"/>
    </row>
    <row r="46" spans="2:18" x14ac:dyDescent="0.3">
      <c r="B46" s="27" t="s">
        <v>232</v>
      </c>
      <c r="J46" s="42"/>
      <c r="K46" s="42"/>
      <c r="L46" s="42"/>
      <c r="M46" s="42"/>
    </row>
    <row r="47" spans="2:18" x14ac:dyDescent="0.3">
      <c r="B47" s="27" t="s">
        <v>233</v>
      </c>
      <c r="J47" s="42"/>
      <c r="K47" s="42"/>
      <c r="L47" s="42"/>
      <c r="M47" s="42"/>
      <c r="R47" s="27" t="s">
        <v>234</v>
      </c>
    </row>
    <row r="48" spans="2:18" x14ac:dyDescent="0.3">
      <c r="B48" s="27" t="s">
        <v>235</v>
      </c>
      <c r="J48" s="42"/>
      <c r="K48" s="42"/>
      <c r="L48" s="42"/>
      <c r="M48" s="42"/>
    </row>
    <row r="49" spans="2:18" x14ac:dyDescent="0.3">
      <c r="B49" s="27" t="s">
        <v>237</v>
      </c>
      <c r="J49" s="42"/>
      <c r="K49" s="42"/>
      <c r="L49" s="42"/>
      <c r="M49" s="42"/>
    </row>
    <row r="50" spans="2:18" x14ac:dyDescent="0.3">
      <c r="B50" s="30" t="s">
        <v>105</v>
      </c>
      <c r="J50" s="42"/>
      <c r="K50" s="42"/>
      <c r="L50" s="42">
        <f>SUM(L5:L49)</f>
        <v>64.327999999999989</v>
      </c>
      <c r="M50" s="42"/>
    </row>
    <row r="51" spans="2:18" x14ac:dyDescent="0.3">
      <c r="J51" s="42"/>
      <c r="K51" s="42"/>
      <c r="L51" s="42"/>
      <c r="M51" s="42"/>
    </row>
    <row r="52" spans="2:18" x14ac:dyDescent="0.3">
      <c r="B52" s="29" t="s">
        <v>238</v>
      </c>
      <c r="J52" s="42">
        <v>2.681</v>
      </c>
      <c r="K52" s="42">
        <v>2.2469999999999999</v>
      </c>
      <c r="L52" s="42">
        <v>3.1869999999999998</v>
      </c>
      <c r="M52" s="42"/>
    </row>
    <row r="53" spans="2:18" x14ac:dyDescent="0.3">
      <c r="J53" s="42"/>
      <c r="K53" s="42"/>
      <c r="L53" s="42"/>
      <c r="M53" s="42"/>
    </row>
    <row r="54" spans="2:18" x14ac:dyDescent="0.3">
      <c r="B54" s="29" t="s">
        <v>242</v>
      </c>
      <c r="J54" s="42"/>
      <c r="K54" s="42"/>
      <c r="L54" s="42"/>
      <c r="M54" s="42"/>
    </row>
    <row r="55" spans="2:18" x14ac:dyDescent="0.3">
      <c r="J55" s="42"/>
      <c r="K55" s="42"/>
      <c r="L55" s="42"/>
      <c r="M55" s="42"/>
    </row>
    <row r="56" spans="2:18" x14ac:dyDescent="0.3">
      <c r="B56" s="29" t="s">
        <v>114</v>
      </c>
      <c r="J56" s="42"/>
      <c r="K56" s="42"/>
      <c r="L56" s="42"/>
      <c r="M56" s="42"/>
    </row>
    <row r="57" spans="2:18" x14ac:dyDescent="0.3">
      <c r="B57" s="27" t="s">
        <v>243</v>
      </c>
      <c r="D57" s="27" t="s">
        <v>324</v>
      </c>
      <c r="E57" s="27" t="s">
        <v>359</v>
      </c>
      <c r="J57" s="42">
        <v>4.3360000000000003</v>
      </c>
      <c r="K57" s="42">
        <v>2.0219999999999998</v>
      </c>
      <c r="L57" s="42">
        <v>4.1580000000000004</v>
      </c>
      <c r="M57" s="42"/>
      <c r="R57" s="27" t="s">
        <v>254</v>
      </c>
    </row>
    <row r="58" spans="2:18" x14ac:dyDescent="0.3">
      <c r="B58" s="27" t="s">
        <v>244</v>
      </c>
      <c r="D58" s="27" t="s">
        <v>325</v>
      </c>
      <c r="E58" s="27" t="s">
        <v>360</v>
      </c>
      <c r="J58" s="42">
        <v>0.92400000000000004</v>
      </c>
      <c r="K58" s="42">
        <v>0.80400000000000005</v>
      </c>
      <c r="L58" s="42">
        <v>1.0509999999999999</v>
      </c>
      <c r="M58" s="42"/>
      <c r="R58" s="27" t="s">
        <v>255</v>
      </c>
    </row>
    <row r="59" spans="2:18" x14ac:dyDescent="0.3">
      <c r="B59" s="27" t="s">
        <v>245</v>
      </c>
      <c r="D59" s="27" t="s">
        <v>330</v>
      </c>
      <c r="E59" s="27" t="s">
        <v>361</v>
      </c>
      <c r="J59" s="42">
        <v>8.1950000000000003</v>
      </c>
      <c r="K59" s="42">
        <v>9.9049999999999994</v>
      </c>
      <c r="L59" s="42">
        <v>11.48</v>
      </c>
      <c r="M59" s="42"/>
      <c r="R59" s="27" t="s">
        <v>256</v>
      </c>
    </row>
    <row r="60" spans="2:18" x14ac:dyDescent="0.3">
      <c r="B60" s="27" t="s">
        <v>246</v>
      </c>
      <c r="D60" s="27" t="s">
        <v>331</v>
      </c>
      <c r="E60" s="27" t="s">
        <v>362</v>
      </c>
      <c r="J60" s="42">
        <v>1.8720000000000001</v>
      </c>
      <c r="K60" s="42">
        <v>2.3929999999999998</v>
      </c>
      <c r="L60" s="42">
        <v>3.742</v>
      </c>
      <c r="M60" s="42"/>
    </row>
    <row r="61" spans="2:18" x14ac:dyDescent="0.3">
      <c r="B61" s="27" t="s">
        <v>247</v>
      </c>
      <c r="D61" s="27" t="s">
        <v>328</v>
      </c>
      <c r="E61" s="27" t="s">
        <v>363</v>
      </c>
      <c r="J61" s="42">
        <v>0.13400000000000001</v>
      </c>
      <c r="K61" s="42">
        <v>0.126</v>
      </c>
      <c r="L61" s="42">
        <v>1.9319999999999999</v>
      </c>
      <c r="M61" s="42"/>
      <c r="R61" s="27" t="s">
        <v>327</v>
      </c>
    </row>
    <row r="62" spans="2:18" x14ac:dyDescent="0.3">
      <c r="B62" s="27" t="s">
        <v>118</v>
      </c>
      <c r="D62" s="27" t="s">
        <v>329</v>
      </c>
      <c r="E62" s="27" t="s">
        <v>364</v>
      </c>
      <c r="J62" s="42">
        <v>6.2169999999999996</v>
      </c>
      <c r="K62" s="42">
        <v>5.2610000000000001</v>
      </c>
      <c r="L62" s="42">
        <v>10.292999999999999</v>
      </c>
      <c r="M62" s="42"/>
      <c r="R62" s="27" t="s">
        <v>257</v>
      </c>
    </row>
    <row r="63" spans="2:18" x14ac:dyDescent="0.3">
      <c r="B63" s="27" t="s">
        <v>248</v>
      </c>
      <c r="D63" s="27" t="s">
        <v>332</v>
      </c>
      <c r="E63" s="27" t="s">
        <v>366</v>
      </c>
      <c r="J63" s="42">
        <v>2.1000000000000001E-2</v>
      </c>
      <c r="K63" s="42">
        <v>2.1999999999999999E-2</v>
      </c>
      <c r="L63" s="42">
        <v>2.1999999999999999E-2</v>
      </c>
      <c r="M63" s="42"/>
      <c r="R63" s="27" t="s">
        <v>258</v>
      </c>
    </row>
    <row r="64" spans="2:18" x14ac:dyDescent="0.3">
      <c r="B64" s="27" t="s">
        <v>249</v>
      </c>
      <c r="D64" s="27" t="s">
        <v>334</v>
      </c>
      <c r="E64" s="27" t="s">
        <v>367</v>
      </c>
      <c r="J64" s="42">
        <v>0.71799999999999997</v>
      </c>
      <c r="K64" s="42">
        <v>1.617</v>
      </c>
      <c r="L64" s="42">
        <v>1.8340000000000001</v>
      </c>
      <c r="M64" s="42"/>
      <c r="R64" s="27" t="s">
        <v>259</v>
      </c>
    </row>
    <row r="65" spans="2:18" x14ac:dyDescent="0.3">
      <c r="B65" s="27" t="s">
        <v>250</v>
      </c>
      <c r="D65" s="27" t="s">
        <v>333</v>
      </c>
      <c r="E65" s="27" t="s">
        <v>368</v>
      </c>
      <c r="J65" s="42">
        <v>0.47399999999999998</v>
      </c>
      <c r="K65" s="42">
        <v>0.91900000000000004</v>
      </c>
      <c r="L65" s="42">
        <v>1.2949999999999999</v>
      </c>
      <c r="M65" s="42"/>
    </row>
    <row r="66" spans="2:18" x14ac:dyDescent="0.3">
      <c r="B66" s="27" t="s">
        <v>251</v>
      </c>
      <c r="D66" s="27" t="s">
        <v>335</v>
      </c>
      <c r="E66" s="27" t="s">
        <v>369</v>
      </c>
      <c r="J66" s="42">
        <v>0.2</v>
      </c>
      <c r="K66" s="42">
        <v>0.755</v>
      </c>
      <c r="L66" s="42">
        <v>1.244</v>
      </c>
      <c r="M66" s="42"/>
      <c r="R66" s="27" t="s">
        <v>260</v>
      </c>
    </row>
    <row r="67" spans="2:18" x14ac:dyDescent="0.3">
      <c r="B67" s="27" t="s">
        <v>252</v>
      </c>
      <c r="D67" s="27" t="s">
        <v>336</v>
      </c>
      <c r="E67" s="27" t="s">
        <v>370</v>
      </c>
      <c r="J67" s="42">
        <v>2.331</v>
      </c>
      <c r="K67" s="42">
        <v>1.92</v>
      </c>
      <c r="L67" s="42">
        <v>1.8979999999999999</v>
      </c>
      <c r="M67" s="42"/>
    </row>
    <row r="68" spans="2:18" x14ac:dyDescent="0.3">
      <c r="B68" s="27" t="s">
        <v>253</v>
      </c>
      <c r="D68" s="27" t="s">
        <v>358</v>
      </c>
      <c r="E68" s="27" t="s">
        <v>371</v>
      </c>
      <c r="J68" s="42">
        <v>2.181</v>
      </c>
      <c r="K68" s="42">
        <v>2.4540000000000002</v>
      </c>
      <c r="L68" s="42">
        <v>3.544</v>
      </c>
      <c r="M68" s="42"/>
    </row>
    <row r="69" spans="2:18" x14ac:dyDescent="0.3">
      <c r="B69" s="30" t="s">
        <v>105</v>
      </c>
      <c r="J69" s="44">
        <f t="shared" ref="J69:K69" si="0">SUM(J57:J68)</f>
        <v>27.603000000000002</v>
      </c>
      <c r="K69" s="44">
        <f t="shared" si="0"/>
        <v>28.198</v>
      </c>
      <c r="L69" s="44">
        <f>SUM(L57:L68)</f>
        <v>42.493000000000002</v>
      </c>
      <c r="M69" s="42"/>
    </row>
    <row r="71" spans="2:18" x14ac:dyDescent="0.3">
      <c r="B71" s="29" t="s">
        <v>391</v>
      </c>
    </row>
    <row r="72" spans="2:18" x14ac:dyDescent="0.3">
      <c r="B72" s="27" t="s">
        <v>394</v>
      </c>
      <c r="D72" s="27" t="s">
        <v>337</v>
      </c>
      <c r="E72" s="27" t="s">
        <v>376</v>
      </c>
      <c r="G72" s="27">
        <v>31</v>
      </c>
      <c r="J72" s="42">
        <v>0.94579999999999997</v>
      </c>
      <c r="K72" s="42">
        <v>0.65949999999999998</v>
      </c>
      <c r="L72" s="42">
        <v>0.17130000000000001</v>
      </c>
      <c r="R72" s="45" t="s">
        <v>279</v>
      </c>
    </row>
    <row r="73" spans="2:18" x14ac:dyDescent="0.3">
      <c r="B73" s="27" t="s">
        <v>407</v>
      </c>
      <c r="D73" s="27" t="s">
        <v>338</v>
      </c>
      <c r="E73" s="27" t="s">
        <v>375</v>
      </c>
      <c r="G73" s="27">
        <v>20</v>
      </c>
      <c r="H73" s="27">
        <v>12</v>
      </c>
      <c r="J73" s="42">
        <v>2.5062000000000002</v>
      </c>
      <c r="K73" s="42">
        <v>2.9830000000000001</v>
      </c>
      <c r="L73" s="42">
        <v>2.4777</v>
      </c>
      <c r="R73" s="45" t="s">
        <v>277</v>
      </c>
    </row>
    <row r="74" spans="2:18" x14ac:dyDescent="0.3">
      <c r="B74" s="27" t="s">
        <v>406</v>
      </c>
      <c r="D74" s="27" t="s">
        <v>324</v>
      </c>
      <c r="E74" s="27" t="s">
        <v>365</v>
      </c>
      <c r="H74" s="27">
        <v>4</v>
      </c>
      <c r="J74" s="42">
        <v>1.2057</v>
      </c>
      <c r="K74" s="42">
        <v>0.58399999999999996</v>
      </c>
      <c r="L74" s="42">
        <v>2.1240999999999999</v>
      </c>
      <c r="R74" s="45" t="s">
        <v>278</v>
      </c>
    </row>
    <row r="75" spans="2:18" x14ac:dyDescent="0.3">
      <c r="B75" s="27" t="s">
        <v>270</v>
      </c>
      <c r="D75" s="27" t="s">
        <v>334</v>
      </c>
      <c r="E75" s="27" t="s">
        <v>380</v>
      </c>
      <c r="J75" s="42"/>
      <c r="K75" s="42">
        <v>0.8</v>
      </c>
      <c r="L75" s="42">
        <v>0.2</v>
      </c>
      <c r="R75" s="45" t="s">
        <v>286</v>
      </c>
    </row>
    <row r="76" spans="2:18" x14ac:dyDescent="0.3">
      <c r="B76" s="27" t="s">
        <v>265</v>
      </c>
      <c r="D76" s="27" t="s">
        <v>337</v>
      </c>
      <c r="E76" s="27" t="s">
        <v>374</v>
      </c>
      <c r="J76" s="42">
        <v>1.7989999999999999</v>
      </c>
      <c r="K76" s="42">
        <v>1.6600999999999999</v>
      </c>
      <c r="L76" s="42">
        <v>1.9822</v>
      </c>
      <c r="R76" s="45" t="s">
        <v>276</v>
      </c>
    </row>
    <row r="77" spans="2:18" s="40" customFormat="1" x14ac:dyDescent="0.3">
      <c r="B77" s="40" t="s">
        <v>418</v>
      </c>
      <c r="D77" s="40" t="s">
        <v>334</v>
      </c>
      <c r="E77" s="40" t="s">
        <v>372</v>
      </c>
      <c r="G77" s="40">
        <v>18</v>
      </c>
      <c r="H77" s="40">
        <v>21</v>
      </c>
      <c r="J77" s="49"/>
      <c r="K77" s="49">
        <v>1.9</v>
      </c>
      <c r="L77" s="49">
        <v>3.1</v>
      </c>
      <c r="R77" s="47" t="s">
        <v>273</v>
      </c>
    </row>
    <row r="78" spans="2:18" x14ac:dyDescent="0.3">
      <c r="B78" s="27" t="s">
        <v>263</v>
      </c>
      <c r="D78" s="27" t="s">
        <v>326</v>
      </c>
      <c r="E78" s="27" t="s">
        <v>366</v>
      </c>
      <c r="G78" s="27">
        <v>74</v>
      </c>
      <c r="H78" s="27">
        <v>47</v>
      </c>
      <c r="J78" s="42">
        <v>14.2714</v>
      </c>
      <c r="K78" s="42">
        <v>13.333399999999999</v>
      </c>
      <c r="L78" s="42">
        <v>13.120799999999999</v>
      </c>
      <c r="R78" s="45" t="s">
        <v>272</v>
      </c>
    </row>
    <row r="79" spans="2:18" x14ac:dyDescent="0.3">
      <c r="B79" s="27" t="s">
        <v>413</v>
      </c>
      <c r="D79" s="27" t="s">
        <v>334</v>
      </c>
      <c r="E79" s="27" t="s">
        <v>363</v>
      </c>
      <c r="J79" s="42">
        <v>1.9547000000000001</v>
      </c>
      <c r="K79" s="42">
        <v>2.4241999999999999</v>
      </c>
      <c r="L79" s="42">
        <v>3.4794</v>
      </c>
      <c r="R79" s="45" t="s">
        <v>274</v>
      </c>
    </row>
    <row r="80" spans="2:18" x14ac:dyDescent="0.3">
      <c r="B80" s="27" t="s">
        <v>264</v>
      </c>
      <c r="D80" s="27" t="s">
        <v>337</v>
      </c>
      <c r="E80" s="27" t="s">
        <v>373</v>
      </c>
      <c r="G80" s="27">
        <v>15</v>
      </c>
      <c r="H80" s="27">
        <v>15</v>
      </c>
      <c r="J80" s="42">
        <v>3.0217000000000001</v>
      </c>
      <c r="K80" s="42">
        <v>3.0891000000000002</v>
      </c>
      <c r="L80" s="42">
        <v>3.2841</v>
      </c>
      <c r="R80" s="45" t="s">
        <v>275</v>
      </c>
    </row>
    <row r="81" spans="2:18" x14ac:dyDescent="0.3">
      <c r="B81" s="27" t="s">
        <v>405</v>
      </c>
      <c r="D81" s="27" t="s">
        <v>337</v>
      </c>
      <c r="E81" s="27" t="s">
        <v>374</v>
      </c>
      <c r="H81" s="27">
        <v>3</v>
      </c>
      <c r="J81" s="42">
        <v>0.56159999999999999</v>
      </c>
      <c r="K81" s="42">
        <v>0.42499999999999999</v>
      </c>
      <c r="L81" s="42">
        <v>1.1418999999999999</v>
      </c>
      <c r="R81" s="45" t="s">
        <v>284</v>
      </c>
    </row>
    <row r="82" spans="2:18" x14ac:dyDescent="0.3">
      <c r="B82" s="27" t="s">
        <v>268</v>
      </c>
      <c r="D82" s="27" t="s">
        <v>324</v>
      </c>
      <c r="E82" s="27" t="s">
        <v>380</v>
      </c>
      <c r="J82" s="42">
        <v>0.71460000000000001</v>
      </c>
      <c r="K82" s="42">
        <v>0.70469999999999999</v>
      </c>
      <c r="L82" s="42">
        <v>0.69079999999999997</v>
      </c>
      <c r="R82" s="45" t="s">
        <v>283</v>
      </c>
    </row>
    <row r="83" spans="2:18" x14ac:dyDescent="0.3">
      <c r="B83" s="27" t="s">
        <v>269</v>
      </c>
      <c r="D83" s="27" t="s">
        <v>339</v>
      </c>
      <c r="E83" s="27" t="s">
        <v>379</v>
      </c>
      <c r="J83" s="42"/>
      <c r="K83" s="42">
        <v>0.3</v>
      </c>
      <c r="L83" s="42">
        <v>0.3</v>
      </c>
      <c r="R83" s="45" t="s">
        <v>285</v>
      </c>
    </row>
    <row r="84" spans="2:18" x14ac:dyDescent="0.3">
      <c r="B84" s="27" t="s">
        <v>267</v>
      </c>
      <c r="D84" s="27" t="s">
        <v>403</v>
      </c>
      <c r="E84" s="27" t="s">
        <v>363</v>
      </c>
      <c r="J84" s="42"/>
      <c r="K84" s="42">
        <v>1.3</v>
      </c>
      <c r="L84" s="42">
        <v>1.2</v>
      </c>
      <c r="R84" s="45" t="s">
        <v>282</v>
      </c>
    </row>
    <row r="85" spans="2:18" x14ac:dyDescent="0.3">
      <c r="B85" s="27" t="s">
        <v>271</v>
      </c>
      <c r="D85" s="27" t="s">
        <v>344</v>
      </c>
      <c r="E85" s="27" t="s">
        <v>381</v>
      </c>
      <c r="G85" s="27">
        <v>12</v>
      </c>
      <c r="H85" s="27">
        <v>6</v>
      </c>
      <c r="J85" s="42">
        <v>0.2666</v>
      </c>
      <c r="K85" s="42">
        <v>0.31509999999999999</v>
      </c>
      <c r="L85" s="42">
        <v>0.15859999999999999</v>
      </c>
      <c r="R85" s="45" t="s">
        <v>287</v>
      </c>
    </row>
    <row r="86" spans="2:18" x14ac:dyDescent="0.3">
      <c r="B86" s="27" t="s">
        <v>396</v>
      </c>
      <c r="D86" s="27" t="s">
        <v>338</v>
      </c>
      <c r="E86" s="27" t="s">
        <v>377</v>
      </c>
      <c r="G86" s="27">
        <v>26</v>
      </c>
      <c r="H86" s="27">
        <v>24</v>
      </c>
      <c r="J86" s="42">
        <v>1.0148999999999999</v>
      </c>
      <c r="K86" s="42">
        <v>0.95220000000000005</v>
      </c>
      <c r="L86" s="42">
        <v>0.75609999999999999</v>
      </c>
      <c r="R86" s="45" t="s">
        <v>280</v>
      </c>
    </row>
    <row r="87" spans="2:18" x14ac:dyDescent="0.3">
      <c r="B87" s="27" t="s">
        <v>266</v>
      </c>
      <c r="D87" s="27" t="s">
        <v>402</v>
      </c>
      <c r="E87" s="27" t="s">
        <v>378</v>
      </c>
      <c r="J87" s="42">
        <v>1.4428000000000001</v>
      </c>
      <c r="K87" s="42">
        <v>0.64490000000000003</v>
      </c>
      <c r="L87" s="42">
        <v>0.82750000000000001</v>
      </c>
      <c r="R87" s="45" t="s">
        <v>281</v>
      </c>
    </row>
    <row r="88" spans="2:18" x14ac:dyDescent="0.3">
      <c r="B88" s="30" t="s">
        <v>105</v>
      </c>
      <c r="J88" s="42"/>
      <c r="K88" s="44">
        <f>SUM(K72:K87)</f>
        <v>32.075200000000002</v>
      </c>
      <c r="L88" s="44">
        <f>SUM(L72:L87)</f>
        <v>35.014499999999998</v>
      </c>
    </row>
    <row r="89" spans="2:18" x14ac:dyDescent="0.3">
      <c r="B89" s="30"/>
      <c r="K89" s="30"/>
      <c r="L89" s="30"/>
    </row>
    <row r="90" spans="2:18" x14ac:dyDescent="0.3">
      <c r="B90" s="27" t="s">
        <v>398</v>
      </c>
      <c r="J90" s="42">
        <v>2.0266999999999999</v>
      </c>
      <c r="K90" s="42">
        <v>1.3915</v>
      </c>
      <c r="L90" s="42">
        <v>0.99919999999999998</v>
      </c>
      <c r="R90" s="27" t="s">
        <v>392</v>
      </c>
    </row>
    <row r="91" spans="2:18" x14ac:dyDescent="0.3">
      <c r="B91" s="27" t="s">
        <v>399</v>
      </c>
      <c r="J91" s="42">
        <v>0.1032</v>
      </c>
      <c r="K91" s="42">
        <v>0.28460000000000002</v>
      </c>
      <c r="L91" s="42">
        <v>1.5800000000000002E-2</v>
      </c>
      <c r="R91" s="27" t="s">
        <v>393</v>
      </c>
    </row>
    <row r="92" spans="2:18" x14ac:dyDescent="0.3">
      <c r="B92" s="27" t="s">
        <v>397</v>
      </c>
      <c r="J92" s="42">
        <v>0.51390000000000002</v>
      </c>
      <c r="K92" s="42">
        <v>0.74339999999999995</v>
      </c>
      <c r="L92" s="42">
        <v>0.70879999999999999</v>
      </c>
      <c r="R92" s="27" t="s">
        <v>395</v>
      </c>
    </row>
    <row r="93" spans="2:18" x14ac:dyDescent="0.3">
      <c r="B93" s="27" t="s">
        <v>404</v>
      </c>
      <c r="D93" s="27" t="s">
        <v>401</v>
      </c>
      <c r="J93" s="42">
        <v>1.006</v>
      </c>
      <c r="K93" s="42">
        <v>1.2585999999999999</v>
      </c>
      <c r="L93" s="42">
        <v>1.2484999999999999</v>
      </c>
      <c r="R93" s="27" t="s">
        <v>400</v>
      </c>
    </row>
    <row r="94" spans="2:18" x14ac:dyDescent="0.3">
      <c r="B94" s="27" t="s">
        <v>411</v>
      </c>
      <c r="J94" s="42">
        <v>1.1498999999999999</v>
      </c>
      <c r="K94" s="42">
        <v>1.3149999999999999</v>
      </c>
      <c r="L94" s="42">
        <v>1.4750000000000001</v>
      </c>
      <c r="R94" s="27" t="s">
        <v>409</v>
      </c>
    </row>
    <row r="95" spans="2:18" x14ac:dyDescent="0.3">
      <c r="B95" s="27" t="s">
        <v>412</v>
      </c>
      <c r="J95" s="42">
        <v>9.4799999999999995E-2</v>
      </c>
      <c r="K95" s="42">
        <v>0.43390000000000001</v>
      </c>
      <c r="L95" s="42">
        <v>0.67569999999999997</v>
      </c>
      <c r="R95" s="27" t="s">
        <v>410</v>
      </c>
    </row>
    <row r="96" spans="2:18" x14ac:dyDescent="0.3">
      <c r="B96" s="27" t="s">
        <v>414</v>
      </c>
      <c r="J96" s="42">
        <v>1.0543</v>
      </c>
      <c r="K96" s="42">
        <v>1.6504000000000001</v>
      </c>
      <c r="L96" s="42">
        <v>2.0141</v>
      </c>
      <c r="R96" s="27" t="s">
        <v>415</v>
      </c>
    </row>
    <row r="97" spans="2:18" x14ac:dyDescent="0.3">
      <c r="B97" s="27" t="s">
        <v>416</v>
      </c>
      <c r="J97" s="42">
        <v>3.2067999999999999</v>
      </c>
      <c r="K97" s="42">
        <v>2.3702000000000001</v>
      </c>
      <c r="L97" s="42">
        <v>3.8001999999999998</v>
      </c>
      <c r="R97" s="27" t="s">
        <v>417</v>
      </c>
    </row>
    <row r="98" spans="2:18" x14ac:dyDescent="0.3">
      <c r="B98" s="27" t="s">
        <v>423</v>
      </c>
      <c r="J98" s="42">
        <v>0.63719999999999999</v>
      </c>
      <c r="K98" s="42">
        <v>0.41560000000000002</v>
      </c>
      <c r="L98" s="42">
        <v>0.1668</v>
      </c>
      <c r="R98" s="27" t="s">
        <v>419</v>
      </c>
    </row>
    <row r="99" spans="2:18" x14ac:dyDescent="0.3">
      <c r="B99" s="27" t="s">
        <v>424</v>
      </c>
      <c r="J99" s="42">
        <v>7.1800000000000003E-2</v>
      </c>
      <c r="K99" s="42">
        <v>0.33510000000000001</v>
      </c>
      <c r="L99" s="42">
        <v>0.64859999999999995</v>
      </c>
      <c r="R99" s="27" t="s">
        <v>420</v>
      </c>
    </row>
    <row r="100" spans="2:18" x14ac:dyDescent="0.3">
      <c r="B100" s="27" t="s">
        <v>425</v>
      </c>
      <c r="J100" s="42">
        <v>0.26900000000000002</v>
      </c>
      <c r="K100" s="42">
        <v>0.33350000000000002</v>
      </c>
      <c r="L100" s="42">
        <v>0.1704</v>
      </c>
      <c r="R100" s="27" t="s">
        <v>421</v>
      </c>
    </row>
    <row r="101" spans="2:18" x14ac:dyDescent="0.3">
      <c r="B101" s="27" t="s">
        <v>426</v>
      </c>
      <c r="J101" s="42">
        <v>0.39219999999999999</v>
      </c>
      <c r="K101" s="42">
        <v>0.71140000000000003</v>
      </c>
      <c r="L101" s="42">
        <v>0.8044</v>
      </c>
      <c r="R101" s="27" t="s">
        <v>422</v>
      </c>
    </row>
    <row r="102" spans="2:18" x14ac:dyDescent="0.3">
      <c r="B102" s="30"/>
      <c r="J102" s="44">
        <f>SUM(J90:J101)</f>
        <v>10.5258</v>
      </c>
      <c r="K102" s="44">
        <f>SUM(K90:K101)</f>
        <v>11.243200000000002</v>
      </c>
      <c r="L102" s="44">
        <f>SUM(L90:L101)</f>
        <v>12.727500000000001</v>
      </c>
    </row>
    <row r="103" spans="2:18" x14ac:dyDescent="0.3">
      <c r="B103" s="29" t="s">
        <v>317</v>
      </c>
      <c r="K103" s="30"/>
      <c r="L103" s="30"/>
    </row>
    <row r="104" spans="2:18" x14ac:dyDescent="0.3">
      <c r="B104" s="27" t="s">
        <v>408</v>
      </c>
      <c r="D104" s="27" t="s">
        <v>324</v>
      </c>
      <c r="E104" s="27" t="s">
        <v>364</v>
      </c>
      <c r="J104" s="42">
        <v>5.1485000000000003</v>
      </c>
      <c r="K104" s="42">
        <v>5.2545000000000002</v>
      </c>
      <c r="L104" s="42">
        <v>10.2903</v>
      </c>
      <c r="M104" s="42"/>
      <c r="R104" s="45" t="s">
        <v>293</v>
      </c>
    </row>
    <row r="105" spans="2:18" x14ac:dyDescent="0.3">
      <c r="B105" s="27" t="s">
        <v>261</v>
      </c>
      <c r="D105" s="27" t="s">
        <v>345</v>
      </c>
      <c r="E105" s="27" t="s">
        <v>382</v>
      </c>
      <c r="H105" s="27">
        <v>1</v>
      </c>
      <c r="J105" s="42"/>
      <c r="K105" s="42">
        <v>9.9</v>
      </c>
      <c r="L105" s="42">
        <v>11.5</v>
      </c>
      <c r="M105" s="42"/>
      <c r="R105" s="45" t="s">
        <v>294</v>
      </c>
    </row>
    <row r="106" spans="2:18" x14ac:dyDescent="0.3">
      <c r="B106" s="27" t="s">
        <v>262</v>
      </c>
      <c r="D106" s="27" t="s">
        <v>325</v>
      </c>
      <c r="E106" s="27" t="s">
        <v>363</v>
      </c>
      <c r="J106" s="42"/>
      <c r="K106" s="42">
        <v>0.1</v>
      </c>
      <c r="L106" s="42">
        <v>2</v>
      </c>
      <c r="M106" s="42"/>
      <c r="R106" s="45" t="s">
        <v>295</v>
      </c>
    </row>
    <row r="107" spans="2:18" x14ac:dyDescent="0.3">
      <c r="B107" s="27" t="s">
        <v>290</v>
      </c>
      <c r="D107" s="27" t="s">
        <v>331</v>
      </c>
      <c r="E107" s="27" t="s">
        <v>383</v>
      </c>
      <c r="J107" s="42">
        <v>1.8721000000000001</v>
      </c>
      <c r="K107" s="42">
        <v>2.3931</v>
      </c>
      <c r="L107" s="42">
        <v>3.742</v>
      </c>
      <c r="M107" s="42"/>
      <c r="R107" s="45" t="s">
        <v>296</v>
      </c>
    </row>
    <row r="108" spans="2:18" x14ac:dyDescent="0.3">
      <c r="B108" s="27" t="s">
        <v>291</v>
      </c>
      <c r="D108" s="27" t="s">
        <v>325</v>
      </c>
      <c r="E108" s="27" t="s">
        <v>384</v>
      </c>
      <c r="J108" s="42"/>
      <c r="K108" s="42">
        <v>0.8</v>
      </c>
      <c r="L108" s="42">
        <v>1.1000000000000001</v>
      </c>
      <c r="M108" s="42"/>
      <c r="R108" s="45" t="s">
        <v>297</v>
      </c>
    </row>
    <row r="109" spans="2:18" x14ac:dyDescent="0.3">
      <c r="B109" s="27" t="s">
        <v>292</v>
      </c>
      <c r="D109" s="27" t="s">
        <v>324</v>
      </c>
      <c r="E109" s="27" t="s">
        <v>385</v>
      </c>
      <c r="J109" s="42"/>
      <c r="K109" s="42">
        <v>2</v>
      </c>
      <c r="L109" s="42">
        <v>4.2</v>
      </c>
      <c r="M109" s="42"/>
      <c r="R109" s="45" t="s">
        <v>298</v>
      </c>
    </row>
    <row r="110" spans="2:18" x14ac:dyDescent="0.3">
      <c r="B110" s="30" t="s">
        <v>105</v>
      </c>
      <c r="J110" s="42"/>
      <c r="K110" s="44">
        <f>SUM(K104:K109)</f>
        <v>20.447600000000001</v>
      </c>
      <c r="L110" s="44">
        <f>SUM(L104:L109)</f>
        <v>32.832300000000004</v>
      </c>
      <c r="M110" s="42"/>
      <c r="R110" s="45"/>
    </row>
    <row r="111" spans="2:18" x14ac:dyDescent="0.3">
      <c r="B111" s="30"/>
      <c r="J111" s="42"/>
      <c r="K111" s="44"/>
      <c r="L111" s="44"/>
      <c r="M111" s="42"/>
      <c r="R111" s="45"/>
    </row>
    <row r="112" spans="2:18" x14ac:dyDescent="0.3">
      <c r="B112" s="27" t="s">
        <v>471</v>
      </c>
      <c r="J112" s="42">
        <v>1.1787000000000001</v>
      </c>
      <c r="K112" s="42">
        <v>0.90380000000000005</v>
      </c>
      <c r="L112" s="42">
        <v>2.5004</v>
      </c>
      <c r="M112" s="42"/>
      <c r="R112" s="45" t="s">
        <v>472</v>
      </c>
    </row>
    <row r="113" spans="2:18" x14ac:dyDescent="0.3">
      <c r="B113" s="27" t="s">
        <v>473</v>
      </c>
      <c r="J113" s="42">
        <v>2.8149000000000002</v>
      </c>
      <c r="K113" s="42">
        <v>0.90510000000000002</v>
      </c>
      <c r="L113" s="42">
        <v>1.3589</v>
      </c>
      <c r="M113" s="42"/>
      <c r="R113" s="45" t="s">
        <v>476</v>
      </c>
    </row>
    <row r="114" spans="2:18" x14ac:dyDescent="0.3">
      <c r="B114" s="27" t="s">
        <v>474</v>
      </c>
      <c r="J114" s="42">
        <v>0.42949999999999999</v>
      </c>
      <c r="K114" s="42">
        <v>0.69340000000000002</v>
      </c>
      <c r="L114" s="42">
        <v>1.2672000000000001</v>
      </c>
      <c r="M114" s="42"/>
      <c r="R114" s="45" t="s">
        <v>477</v>
      </c>
    </row>
    <row r="115" spans="2:18" x14ac:dyDescent="0.3">
      <c r="B115" s="27" t="s">
        <v>475</v>
      </c>
      <c r="J115" s="42">
        <v>0.2878</v>
      </c>
      <c r="K115" s="42">
        <v>0.37019999999999997</v>
      </c>
      <c r="L115" s="42">
        <v>0.71440000000000003</v>
      </c>
      <c r="M115" s="42"/>
      <c r="R115" s="45" t="s">
        <v>478</v>
      </c>
    </row>
    <row r="116" spans="2:18" x14ac:dyDescent="0.3">
      <c r="J116" s="42"/>
      <c r="K116" s="42"/>
      <c r="L116" s="42"/>
      <c r="M116" s="42"/>
      <c r="R116" s="45"/>
    </row>
    <row r="117" spans="2:18" x14ac:dyDescent="0.3">
      <c r="B117" s="29" t="s">
        <v>479</v>
      </c>
      <c r="J117" s="42"/>
      <c r="K117" s="42"/>
      <c r="L117" s="42"/>
      <c r="M117" s="42"/>
      <c r="R117" s="45"/>
    </row>
    <row r="118" spans="2:18" x14ac:dyDescent="0.3">
      <c r="B118" s="27" t="s">
        <v>480</v>
      </c>
      <c r="J118" s="42">
        <v>0.20580000000000001</v>
      </c>
      <c r="K118" s="42">
        <v>0.16669999999999999</v>
      </c>
      <c r="L118" s="42">
        <v>0.1875</v>
      </c>
      <c r="M118" s="42"/>
      <c r="R118" s="45" t="s">
        <v>493</v>
      </c>
    </row>
    <row r="119" spans="2:18" x14ac:dyDescent="0.3">
      <c r="B119" s="27" t="s">
        <v>481</v>
      </c>
      <c r="J119" s="42">
        <v>6.5199999999999994E-2</v>
      </c>
      <c r="K119" s="42">
        <v>4.4499999999999998E-2</v>
      </c>
      <c r="L119" s="42">
        <v>5.0799999999999998E-2</v>
      </c>
      <c r="M119" s="42"/>
      <c r="R119" s="45" t="s">
        <v>494</v>
      </c>
    </row>
    <row r="120" spans="2:18" x14ac:dyDescent="0.3">
      <c r="B120" s="27" t="s">
        <v>482</v>
      </c>
      <c r="J120" s="42">
        <v>0.45040000000000002</v>
      </c>
      <c r="K120" s="42">
        <v>0.44900000000000001</v>
      </c>
      <c r="L120" s="42">
        <v>0.44259999999999999</v>
      </c>
      <c r="M120" s="42"/>
      <c r="R120" s="45" t="s">
        <v>495</v>
      </c>
    </row>
    <row r="121" spans="2:18" x14ac:dyDescent="0.3">
      <c r="B121" s="27" t="s">
        <v>483</v>
      </c>
      <c r="J121" s="42">
        <v>2.8595999999999999</v>
      </c>
      <c r="K121" s="42">
        <v>1.0027999999999999</v>
      </c>
      <c r="L121" s="42">
        <v>1.0512999999999999</v>
      </c>
      <c r="M121" s="42"/>
      <c r="R121" s="45" t="s">
        <v>496</v>
      </c>
    </row>
    <row r="122" spans="2:18" x14ac:dyDescent="0.3">
      <c r="B122" s="27" t="s">
        <v>484</v>
      </c>
      <c r="J122" s="42">
        <v>0.43140000000000001</v>
      </c>
      <c r="K122" s="42">
        <v>0.25409999999999999</v>
      </c>
      <c r="L122" s="42">
        <v>0.30630000000000002</v>
      </c>
      <c r="M122" s="42"/>
      <c r="R122" s="45" t="s">
        <v>497</v>
      </c>
    </row>
    <row r="123" spans="2:18" x14ac:dyDescent="0.3">
      <c r="B123" s="27" t="s">
        <v>485</v>
      </c>
      <c r="J123" s="42">
        <v>1.0105</v>
      </c>
      <c r="K123" s="42">
        <v>0.66749999999999998</v>
      </c>
      <c r="L123" s="42">
        <v>0.81589999999999996</v>
      </c>
      <c r="M123" s="42"/>
      <c r="R123" s="45" t="s">
        <v>498</v>
      </c>
    </row>
    <row r="124" spans="2:18" x14ac:dyDescent="0.3">
      <c r="B124" s="27" t="s">
        <v>486</v>
      </c>
      <c r="J124" s="42">
        <v>1.0900000000000001</v>
      </c>
      <c r="K124" s="42">
        <v>0.77549999999999997</v>
      </c>
      <c r="L124" s="42">
        <v>0.21329999999999999</v>
      </c>
      <c r="M124" s="42"/>
      <c r="R124" s="45" t="s">
        <v>499</v>
      </c>
    </row>
    <row r="125" spans="2:18" x14ac:dyDescent="0.3">
      <c r="B125" s="27" t="s">
        <v>487</v>
      </c>
      <c r="J125" s="42">
        <v>0.4279</v>
      </c>
      <c r="K125" s="42">
        <v>0.12659999999999999</v>
      </c>
      <c r="L125" s="42">
        <v>0.21790000000000001</v>
      </c>
      <c r="M125" s="42"/>
      <c r="R125" s="45" t="s">
        <v>503</v>
      </c>
    </row>
    <row r="126" spans="2:18" x14ac:dyDescent="0.3">
      <c r="B126" s="27" t="s">
        <v>488</v>
      </c>
      <c r="J126" s="42">
        <v>1.3676999999999999</v>
      </c>
      <c r="K126" s="42">
        <v>0.96689999999999998</v>
      </c>
      <c r="L126" s="42">
        <v>1.1678999999999999</v>
      </c>
      <c r="M126" s="42"/>
      <c r="R126" s="45" t="s">
        <v>500</v>
      </c>
    </row>
    <row r="127" spans="2:18" x14ac:dyDescent="0.3">
      <c r="B127" s="27" t="s">
        <v>489</v>
      </c>
      <c r="J127" s="42">
        <v>13.4621</v>
      </c>
      <c r="K127" s="42">
        <v>5.8464999999999998</v>
      </c>
      <c r="L127" s="42">
        <v>6.3307000000000002</v>
      </c>
      <c r="M127" s="42"/>
      <c r="R127" s="45" t="s">
        <v>501</v>
      </c>
    </row>
    <row r="128" spans="2:18" x14ac:dyDescent="0.3">
      <c r="B128" s="27" t="s">
        <v>490</v>
      </c>
      <c r="J128" s="42">
        <v>0.54720000000000002</v>
      </c>
      <c r="K128" s="42">
        <v>0.74880000000000002</v>
      </c>
      <c r="L128" s="42">
        <v>0.75960000000000005</v>
      </c>
      <c r="M128" s="42"/>
      <c r="R128" s="45" t="s">
        <v>502</v>
      </c>
    </row>
    <row r="129" spans="2:18" x14ac:dyDescent="0.3">
      <c r="B129" s="27" t="s">
        <v>491</v>
      </c>
      <c r="J129" s="42">
        <v>1.6689000000000001</v>
      </c>
      <c r="K129" s="42">
        <v>1.2204999999999999</v>
      </c>
      <c r="L129" s="42">
        <v>1.2630999999999999</v>
      </c>
      <c r="M129" s="42"/>
      <c r="R129" s="45" t="s">
        <v>504</v>
      </c>
    </row>
    <row r="130" spans="2:18" x14ac:dyDescent="0.3">
      <c r="B130" s="27" t="s">
        <v>492</v>
      </c>
      <c r="J130" s="42">
        <v>1.0408999999999999</v>
      </c>
      <c r="K130" s="42">
        <v>0.28749999999999998</v>
      </c>
      <c r="L130" s="42">
        <v>0.37159999999999999</v>
      </c>
      <c r="M130" s="42"/>
      <c r="R130" s="45" t="s">
        <v>505</v>
      </c>
    </row>
    <row r="131" spans="2:18" x14ac:dyDescent="0.3">
      <c r="B131" s="27" t="s">
        <v>506</v>
      </c>
      <c r="J131" s="42">
        <v>1.3112999999999999</v>
      </c>
      <c r="K131" s="42">
        <v>0.64159999999999995</v>
      </c>
      <c r="L131" s="42">
        <v>0.56079999999999997</v>
      </c>
      <c r="M131" s="42"/>
      <c r="R131" s="45" t="s">
        <v>507</v>
      </c>
    </row>
    <row r="132" spans="2:18" x14ac:dyDescent="0.3">
      <c r="B132" s="27" t="s">
        <v>509</v>
      </c>
      <c r="J132" s="42">
        <v>0.45</v>
      </c>
      <c r="K132" s="42">
        <v>0.41589999999999999</v>
      </c>
      <c r="L132" s="42">
        <v>0.50009999999999999</v>
      </c>
      <c r="M132" s="42"/>
      <c r="R132" s="45" t="s">
        <v>508</v>
      </c>
    </row>
    <row r="133" spans="2:18" x14ac:dyDescent="0.3">
      <c r="B133" s="27" t="s">
        <v>510</v>
      </c>
      <c r="J133" s="42">
        <v>1.5037</v>
      </c>
      <c r="K133" s="42">
        <v>0.98270000000000002</v>
      </c>
      <c r="L133" s="42">
        <v>1.2625</v>
      </c>
      <c r="M133" s="42"/>
      <c r="R133" s="45" t="s">
        <v>526</v>
      </c>
    </row>
    <row r="134" spans="2:18" x14ac:dyDescent="0.3">
      <c r="B134" s="27" t="s">
        <v>511</v>
      </c>
      <c r="J134" s="42">
        <v>0.17119999999999999</v>
      </c>
      <c r="K134" s="42">
        <v>0.1467</v>
      </c>
      <c r="L134" s="42">
        <v>0.127</v>
      </c>
      <c r="M134" s="42"/>
      <c r="R134" s="45" t="s">
        <v>527</v>
      </c>
    </row>
    <row r="135" spans="2:18" x14ac:dyDescent="0.3">
      <c r="B135" s="27" t="s">
        <v>512</v>
      </c>
      <c r="J135" s="42">
        <v>0.2737</v>
      </c>
      <c r="K135" s="42">
        <v>0.245</v>
      </c>
      <c r="L135" s="42">
        <v>0.21909999999999999</v>
      </c>
      <c r="M135" s="42"/>
      <c r="R135" s="45" t="s">
        <v>528</v>
      </c>
    </row>
    <row r="136" spans="2:18" x14ac:dyDescent="0.3">
      <c r="B136" s="27" t="s">
        <v>513</v>
      </c>
      <c r="J136" s="42">
        <v>0.88380000000000003</v>
      </c>
      <c r="K136" s="42">
        <v>0.7077</v>
      </c>
      <c r="L136" s="42">
        <v>0.94610000000000005</v>
      </c>
      <c r="M136" s="42"/>
      <c r="R136" s="45" t="s">
        <v>529</v>
      </c>
    </row>
    <row r="137" spans="2:18" x14ac:dyDescent="0.3">
      <c r="J137" s="44">
        <f>SUM(J118:J136)</f>
        <v>29.221299999999999</v>
      </c>
      <c r="K137" s="44">
        <f>SUM(K118:K136)</f>
        <v>15.696499999999997</v>
      </c>
      <c r="L137" s="44">
        <f>SUM(L118:L136)</f>
        <v>16.7941</v>
      </c>
      <c r="M137" s="42"/>
      <c r="R137" s="45"/>
    </row>
    <row r="138" spans="2:18" x14ac:dyDescent="0.3">
      <c r="L138" s="48"/>
    </row>
    <row r="139" spans="2:18" x14ac:dyDescent="0.3">
      <c r="B139" s="29" t="s">
        <v>315</v>
      </c>
      <c r="L139" s="27">
        <v>65</v>
      </c>
    </row>
    <row r="140" spans="2:18" x14ac:dyDescent="0.3">
      <c r="B140" s="45" t="s">
        <v>306</v>
      </c>
      <c r="D140" s="27" t="s">
        <v>346</v>
      </c>
      <c r="G140" s="27">
        <v>1</v>
      </c>
      <c r="H140" s="27">
        <v>2</v>
      </c>
      <c r="J140" s="42">
        <v>11.0008</v>
      </c>
      <c r="K140" s="42">
        <v>13.896100000000001</v>
      </c>
      <c r="L140" s="42">
        <v>12.215999999999999</v>
      </c>
      <c r="R140" s="45" t="s">
        <v>515</v>
      </c>
    </row>
    <row r="141" spans="2:18" x14ac:dyDescent="0.3">
      <c r="B141" s="45" t="s">
        <v>524</v>
      </c>
      <c r="J141" s="42">
        <v>8.1950000000000003</v>
      </c>
      <c r="K141" s="42">
        <v>9.9053000000000004</v>
      </c>
      <c r="L141" s="42">
        <v>11.4802</v>
      </c>
      <c r="R141" s="45" t="s">
        <v>525</v>
      </c>
    </row>
    <row r="142" spans="2:18" x14ac:dyDescent="0.3">
      <c r="B142" s="45" t="s">
        <v>299</v>
      </c>
      <c r="D142" s="27" t="s">
        <v>347</v>
      </c>
      <c r="G142" s="27">
        <v>3</v>
      </c>
      <c r="H142" s="27">
        <v>2</v>
      </c>
      <c r="J142" s="42">
        <v>6.7061999999999999</v>
      </c>
      <c r="K142" s="42">
        <v>8.6332000000000004</v>
      </c>
      <c r="L142" s="42">
        <v>5.9401000000000002</v>
      </c>
      <c r="R142" s="45" t="s">
        <v>516</v>
      </c>
    </row>
    <row r="143" spans="2:18" x14ac:dyDescent="0.3">
      <c r="B143" s="45" t="s">
        <v>523</v>
      </c>
      <c r="D143" s="27" t="s">
        <v>348</v>
      </c>
      <c r="J143" s="42">
        <v>2.6838000000000002</v>
      </c>
      <c r="K143" s="42">
        <v>2.2160000000000002</v>
      </c>
      <c r="L143" s="42">
        <v>3.6475</v>
      </c>
      <c r="R143" s="45" t="s">
        <v>514</v>
      </c>
    </row>
    <row r="144" spans="2:18" x14ac:dyDescent="0.3">
      <c r="B144" s="45" t="s">
        <v>518</v>
      </c>
      <c r="D144" s="27" t="s">
        <v>349</v>
      </c>
      <c r="J144" s="42">
        <v>2.2816000000000001</v>
      </c>
      <c r="K144" s="42">
        <v>0.73870000000000002</v>
      </c>
      <c r="L144" s="42">
        <v>8.4199999999999997E-2</v>
      </c>
      <c r="R144" s="45" t="s">
        <v>517</v>
      </c>
    </row>
    <row r="145" spans="2:18" x14ac:dyDescent="0.3">
      <c r="B145" s="45" t="s">
        <v>530</v>
      </c>
      <c r="J145" s="42">
        <v>0.55059999999999998</v>
      </c>
      <c r="K145" s="42">
        <v>1.4870000000000001</v>
      </c>
      <c r="L145" s="42">
        <v>2.2743000000000002</v>
      </c>
      <c r="R145" s="45" t="s">
        <v>531</v>
      </c>
    </row>
    <row r="146" spans="2:18" x14ac:dyDescent="0.3">
      <c r="B146" s="45" t="s">
        <v>307</v>
      </c>
      <c r="D146" s="27" t="s">
        <v>350</v>
      </c>
      <c r="G146" s="27">
        <v>1</v>
      </c>
      <c r="H146" s="27">
        <v>1</v>
      </c>
      <c r="J146" s="42">
        <v>0.57350000000000001</v>
      </c>
      <c r="K146" s="42">
        <v>1.647</v>
      </c>
      <c r="L146" s="42">
        <v>2.8022</v>
      </c>
      <c r="R146" s="45" t="s">
        <v>520</v>
      </c>
    </row>
    <row r="147" spans="2:18" x14ac:dyDescent="0.3">
      <c r="B147" s="45" t="s">
        <v>300</v>
      </c>
      <c r="D147" s="27" t="s">
        <v>350</v>
      </c>
      <c r="H147" s="27">
        <v>1</v>
      </c>
      <c r="J147" s="42">
        <v>1.8736999999999999</v>
      </c>
      <c r="K147" s="42">
        <v>0.21740000000000001</v>
      </c>
      <c r="L147" s="42">
        <v>4.0438000000000001</v>
      </c>
      <c r="R147" s="45" t="s">
        <v>519</v>
      </c>
    </row>
    <row r="148" spans="2:18" x14ac:dyDescent="0.3">
      <c r="B148" s="45" t="s">
        <v>532</v>
      </c>
      <c r="D148" s="27" t="s">
        <v>351</v>
      </c>
      <c r="H148" s="27">
        <v>2</v>
      </c>
      <c r="J148" s="42">
        <v>0.9677</v>
      </c>
      <c r="K148" s="42">
        <v>0.25559999999999999</v>
      </c>
      <c r="L148" s="42">
        <v>2.0215999999999998</v>
      </c>
      <c r="R148" s="45" t="s">
        <v>521</v>
      </c>
    </row>
    <row r="149" spans="2:18" x14ac:dyDescent="0.3">
      <c r="B149" s="45" t="s">
        <v>301</v>
      </c>
      <c r="D149" s="27" t="s">
        <v>352</v>
      </c>
      <c r="H149" s="27">
        <v>1</v>
      </c>
      <c r="J149" s="42"/>
      <c r="K149" s="42">
        <v>0</v>
      </c>
      <c r="L149" s="42">
        <v>0.6</v>
      </c>
      <c r="R149" s="45" t="s">
        <v>522</v>
      </c>
    </row>
    <row r="150" spans="2:18" x14ac:dyDescent="0.3">
      <c r="B150" s="45" t="s">
        <v>302</v>
      </c>
      <c r="D150" s="27" t="s">
        <v>353</v>
      </c>
      <c r="J150" s="42">
        <v>0.28439999999999999</v>
      </c>
      <c r="K150" s="42">
        <v>0.1782</v>
      </c>
      <c r="L150" s="42">
        <v>0.12959999999999999</v>
      </c>
      <c r="R150" s="45" t="s">
        <v>304</v>
      </c>
    </row>
    <row r="151" spans="2:18" x14ac:dyDescent="0.3">
      <c r="B151" s="45" t="s">
        <v>303</v>
      </c>
      <c r="D151" s="27" t="s">
        <v>354</v>
      </c>
      <c r="H151" s="27">
        <v>9</v>
      </c>
      <c r="J151" s="42">
        <v>1.21E-2</v>
      </c>
      <c r="K151" s="42">
        <v>3.5700000000000003E-2</v>
      </c>
      <c r="L151" s="42">
        <v>1.9761</v>
      </c>
      <c r="R151" s="45" t="s">
        <v>305</v>
      </c>
    </row>
    <row r="152" spans="2:18" x14ac:dyDescent="0.3">
      <c r="B152" s="45" t="s">
        <v>122</v>
      </c>
      <c r="J152" s="42"/>
      <c r="K152" s="42"/>
      <c r="L152" s="42">
        <f>L139-L153</f>
        <v>17.784399999999991</v>
      </c>
      <c r="R152" s="45"/>
    </row>
    <row r="153" spans="2:18" x14ac:dyDescent="0.3">
      <c r="B153" s="30" t="s">
        <v>105</v>
      </c>
      <c r="J153" s="42"/>
      <c r="K153" s="44">
        <f>SUM(K140:K151)</f>
        <v>39.2102</v>
      </c>
      <c r="L153" s="44">
        <f>SUM(L140:L151)</f>
        <v>47.215600000000009</v>
      </c>
    </row>
    <row r="155" spans="2:18" x14ac:dyDescent="0.3">
      <c r="B155" s="29" t="s">
        <v>316</v>
      </c>
    </row>
    <row r="156" spans="2:18" x14ac:dyDescent="0.3">
      <c r="B156" s="27" t="s">
        <v>308</v>
      </c>
      <c r="D156" s="27" t="s">
        <v>355</v>
      </c>
      <c r="E156" s="27" t="s">
        <v>386</v>
      </c>
      <c r="J156" s="42">
        <v>3.0712999999999999</v>
      </c>
      <c r="K156" s="42">
        <v>2.4386000000000001</v>
      </c>
      <c r="L156" s="42">
        <v>2.4499</v>
      </c>
    </row>
    <row r="157" spans="2:18" x14ac:dyDescent="0.3">
      <c r="B157" s="27" t="s">
        <v>309</v>
      </c>
      <c r="D157" s="27" t="s">
        <v>331</v>
      </c>
      <c r="E157" s="27" t="s">
        <v>387</v>
      </c>
      <c r="J157" s="42">
        <v>0.9556</v>
      </c>
      <c r="K157" s="42">
        <v>1.4976</v>
      </c>
      <c r="L157" s="42">
        <v>0.7026</v>
      </c>
      <c r="R157" s="27" t="s">
        <v>312</v>
      </c>
    </row>
    <row r="158" spans="2:18" x14ac:dyDescent="0.3">
      <c r="B158" s="27" t="s">
        <v>310</v>
      </c>
      <c r="D158" s="27" t="s">
        <v>356</v>
      </c>
      <c r="E158" s="27" t="s">
        <v>388</v>
      </c>
      <c r="J158" s="42">
        <v>4.8807</v>
      </c>
      <c r="K158" s="42">
        <v>4.7012999999999998</v>
      </c>
      <c r="L158" s="42">
        <v>12.966799999999999</v>
      </c>
      <c r="R158" s="27" t="s">
        <v>313</v>
      </c>
    </row>
    <row r="159" spans="2:18" x14ac:dyDescent="0.3">
      <c r="B159" s="27" t="s">
        <v>311</v>
      </c>
      <c r="D159" s="27" t="s">
        <v>357</v>
      </c>
      <c r="E159" s="27" t="s">
        <v>389</v>
      </c>
      <c r="J159" s="42">
        <v>3.9045000000000001</v>
      </c>
      <c r="K159" s="42">
        <v>4.5147000000000004</v>
      </c>
      <c r="L159" s="42">
        <v>5.9314</v>
      </c>
      <c r="R159" s="27" t="s">
        <v>314</v>
      </c>
    </row>
    <row r="160" spans="2:18" x14ac:dyDescent="0.3">
      <c r="B160" s="30" t="s">
        <v>105</v>
      </c>
      <c r="J160" s="42"/>
      <c r="K160" s="44">
        <f>SUM(K156:K159)</f>
        <v>13.152200000000001</v>
      </c>
      <c r="L160" s="44">
        <f>SUM(L156:L159)</f>
        <v>22.050699999999999</v>
      </c>
    </row>
    <row r="161" spans="2:18" x14ac:dyDescent="0.3">
      <c r="L161" s="48"/>
    </row>
    <row r="162" spans="2:18" x14ac:dyDescent="0.3">
      <c r="B162" s="29" t="s">
        <v>427</v>
      </c>
    </row>
    <row r="163" spans="2:18" x14ac:dyDescent="0.3">
      <c r="B163" s="27" t="s">
        <v>428</v>
      </c>
      <c r="J163" s="42">
        <v>0.33929999999999999</v>
      </c>
      <c r="K163" s="42">
        <v>0.25629999999999997</v>
      </c>
      <c r="L163" s="42">
        <v>0.72389999999999999</v>
      </c>
      <c r="R163" s="27" t="s">
        <v>430</v>
      </c>
    </row>
    <row r="164" spans="2:18" x14ac:dyDescent="0.3">
      <c r="B164" s="27" t="s">
        <v>429</v>
      </c>
      <c r="J164" s="42">
        <v>0.72560000000000002</v>
      </c>
      <c r="K164" s="42">
        <v>0.65349999999999997</v>
      </c>
      <c r="L164" s="42">
        <v>0.48170000000000002</v>
      </c>
      <c r="R164" s="27" t="s">
        <v>431</v>
      </c>
    </row>
    <row r="165" spans="2:18" x14ac:dyDescent="0.3">
      <c r="J165" s="44">
        <f>SUM(J163:J164)</f>
        <v>1.0649</v>
      </c>
      <c r="K165" s="44">
        <f>SUM(K163:K164)</f>
        <v>0.90979999999999994</v>
      </c>
      <c r="L165" s="44">
        <f>SUM(L163:L164)</f>
        <v>1.2056</v>
      </c>
    </row>
    <row r="167" spans="2:18" x14ac:dyDescent="0.3">
      <c r="B167" s="29" t="s">
        <v>432</v>
      </c>
    </row>
    <row r="168" spans="2:18" x14ac:dyDescent="0.3">
      <c r="B168" s="27" t="s">
        <v>443</v>
      </c>
      <c r="J168" s="42">
        <v>1.1028</v>
      </c>
      <c r="K168" s="42">
        <v>1.0222</v>
      </c>
      <c r="L168" s="42">
        <v>0.2034</v>
      </c>
      <c r="R168" s="27" t="s">
        <v>444</v>
      </c>
    </row>
    <row r="169" spans="2:18" x14ac:dyDescent="0.3">
      <c r="B169" s="27" t="s">
        <v>433</v>
      </c>
      <c r="J169" s="42">
        <v>1.4213</v>
      </c>
      <c r="K169" s="42">
        <v>1.0513999999999999</v>
      </c>
      <c r="L169" s="42">
        <v>1.464</v>
      </c>
      <c r="R169" s="27" t="s">
        <v>445</v>
      </c>
    </row>
    <row r="170" spans="2:18" x14ac:dyDescent="0.3">
      <c r="B170" s="27" t="s">
        <v>434</v>
      </c>
      <c r="J170" s="42">
        <v>0.60389999999999999</v>
      </c>
      <c r="K170" s="42">
        <v>0.39379999999999998</v>
      </c>
      <c r="L170" s="42">
        <v>0.56540000000000001</v>
      </c>
      <c r="R170" s="27" t="s">
        <v>446</v>
      </c>
    </row>
    <row r="171" spans="2:18" x14ac:dyDescent="0.3">
      <c r="B171" s="27" t="s">
        <v>435</v>
      </c>
      <c r="J171" s="42">
        <v>0.34339999999999998</v>
      </c>
      <c r="K171" s="42">
        <v>0.38940000000000002</v>
      </c>
      <c r="L171" s="42">
        <v>0.39550000000000002</v>
      </c>
      <c r="R171" s="27" t="s">
        <v>447</v>
      </c>
    </row>
    <row r="172" spans="2:18" x14ac:dyDescent="0.3">
      <c r="B172" s="27" t="s">
        <v>436</v>
      </c>
      <c r="J172" s="42">
        <v>0.78320000000000001</v>
      </c>
      <c r="K172" s="42">
        <v>0.61109999999999998</v>
      </c>
      <c r="L172" s="42">
        <v>0.26269999999999999</v>
      </c>
      <c r="R172" s="27" t="s">
        <v>448</v>
      </c>
    </row>
    <row r="173" spans="2:18" x14ac:dyDescent="0.3">
      <c r="B173" s="27" t="s">
        <v>437</v>
      </c>
      <c r="J173" s="42">
        <v>0.69420000000000004</v>
      </c>
      <c r="K173" s="42">
        <v>0.50329999999999997</v>
      </c>
      <c r="L173" s="42">
        <v>0.14560000000000001</v>
      </c>
      <c r="R173" s="27" t="s">
        <v>449</v>
      </c>
    </row>
    <row r="174" spans="2:18" x14ac:dyDescent="0.3">
      <c r="B174" s="27" t="s">
        <v>438</v>
      </c>
      <c r="J174" s="42">
        <v>0.48220000000000002</v>
      </c>
      <c r="K174" s="42">
        <v>0.48720000000000002</v>
      </c>
      <c r="L174" s="42">
        <v>8.1500000000000003E-2</v>
      </c>
      <c r="R174" s="27" t="s">
        <v>450</v>
      </c>
    </row>
    <row r="175" spans="2:18" x14ac:dyDescent="0.3">
      <c r="B175" s="27" t="s">
        <v>439</v>
      </c>
      <c r="J175" s="42">
        <v>0.23050000000000001</v>
      </c>
      <c r="K175" s="42">
        <v>0.26200000000000001</v>
      </c>
      <c r="L175" s="42">
        <v>0.1079</v>
      </c>
      <c r="R175" s="27" t="s">
        <v>451</v>
      </c>
    </row>
    <row r="176" spans="2:18" x14ac:dyDescent="0.3">
      <c r="B176" s="27" t="s">
        <v>440</v>
      </c>
      <c r="J176" s="42">
        <v>0.28320000000000001</v>
      </c>
      <c r="K176" s="42">
        <v>0.22020000000000001</v>
      </c>
      <c r="L176" s="42">
        <v>0.14849999999999999</v>
      </c>
      <c r="R176" s="27" t="s">
        <v>452</v>
      </c>
    </row>
    <row r="177" spans="2:18" x14ac:dyDescent="0.3">
      <c r="B177" s="27" t="s">
        <v>441</v>
      </c>
      <c r="J177" s="42">
        <v>0.56499999999999995</v>
      </c>
      <c r="K177" s="42">
        <v>0.4995</v>
      </c>
      <c r="L177" s="42">
        <v>0.38640000000000002</v>
      </c>
      <c r="R177" s="27" t="s">
        <v>453</v>
      </c>
    </row>
    <row r="178" spans="2:18" x14ac:dyDescent="0.3">
      <c r="B178" s="27" t="s">
        <v>442</v>
      </c>
      <c r="J178" s="42">
        <v>0.63280000000000003</v>
      </c>
      <c r="K178" s="42">
        <v>0.85699999999999998</v>
      </c>
      <c r="L178" s="42">
        <v>0.83540000000000003</v>
      </c>
      <c r="R178" s="27" t="s">
        <v>454</v>
      </c>
    </row>
    <row r="179" spans="2:18" x14ac:dyDescent="0.3">
      <c r="J179" s="44">
        <f>SUM(J168:J178)</f>
        <v>7.1425000000000001</v>
      </c>
      <c r="K179" s="44">
        <f>SUM(K168:K178)</f>
        <v>6.2971000000000004</v>
      </c>
      <c r="L179" s="44">
        <f>SUM(L168:L178)</f>
        <v>4.5963000000000003</v>
      </c>
    </row>
    <row r="181" spans="2:18" x14ac:dyDescent="0.3">
      <c r="B181" s="29" t="s">
        <v>533</v>
      </c>
    </row>
    <row r="182" spans="2:18" s="40" customFormat="1" x14ac:dyDescent="0.3">
      <c r="B182" s="40" t="s">
        <v>540</v>
      </c>
      <c r="J182" s="49">
        <v>3.6019999999999999</v>
      </c>
      <c r="K182" s="49">
        <v>1.5844</v>
      </c>
      <c r="L182" s="49">
        <v>2.6869000000000001</v>
      </c>
    </row>
    <row r="183" spans="2:18" x14ac:dyDescent="0.3">
      <c r="B183" s="27" t="s">
        <v>534</v>
      </c>
      <c r="J183" s="42">
        <v>1.0362</v>
      </c>
      <c r="K183" s="42">
        <v>1.139</v>
      </c>
      <c r="L183" s="42">
        <v>0.97640000000000005</v>
      </c>
      <c r="R183" s="27" t="s">
        <v>537</v>
      </c>
    </row>
    <row r="184" spans="2:18" x14ac:dyDescent="0.3">
      <c r="B184" s="27" t="s">
        <v>535</v>
      </c>
      <c r="J184" s="42">
        <v>1.2918000000000001</v>
      </c>
      <c r="K184" s="42">
        <v>1.1288</v>
      </c>
      <c r="L184" s="42">
        <v>0.85719999999999996</v>
      </c>
      <c r="R184" s="27" t="s">
        <v>538</v>
      </c>
    </row>
    <row r="185" spans="2:18" x14ac:dyDescent="0.3">
      <c r="B185" s="27" t="s">
        <v>536</v>
      </c>
      <c r="J185" s="42">
        <v>0.33329999999999999</v>
      </c>
      <c r="K185" s="42">
        <v>0.4667</v>
      </c>
      <c r="L185" s="42">
        <v>0.80279999999999996</v>
      </c>
      <c r="R185" s="27" t="s">
        <v>539</v>
      </c>
    </row>
    <row r="186" spans="2:18" x14ac:dyDescent="0.3">
      <c r="J186" s="44">
        <f>SUM(J182:J185)</f>
        <v>6.2633000000000001</v>
      </c>
      <c r="K186" s="44">
        <f>SUM(K182:K185)</f>
        <v>4.3189000000000002</v>
      </c>
      <c r="L186" s="44">
        <f>SUM(L182:L185)</f>
        <v>5.3232999999999997</v>
      </c>
    </row>
    <row r="188" spans="2:18" x14ac:dyDescent="0.3">
      <c r="L188" s="42">
        <f>L186+L179+L165+L160+L110+L137+L102+L88+L69</f>
        <v>173.03730000000002</v>
      </c>
    </row>
  </sheetData>
  <sortState xmlns:xlrd2="http://schemas.microsoft.com/office/spreadsheetml/2017/richdata2" ref="B72:R87">
    <sortCondition ref="B72:B87"/>
  </sortState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2F9B-23BA-47F6-BE77-A5D7BD460F62}">
  <dimension ref="B3:P27"/>
  <sheetViews>
    <sheetView workbookViewId="0">
      <selection activeCell="H21" sqref="H21"/>
    </sheetView>
  </sheetViews>
  <sheetFormatPr defaultRowHeight="14.4" x14ac:dyDescent="0.3"/>
  <cols>
    <col min="1" max="3" width="8.88671875" style="27"/>
    <col min="4" max="4" width="10.6640625" style="27" bestFit="1" customWidth="1"/>
    <col min="5" max="5" width="13.44140625" style="27" bestFit="1" customWidth="1"/>
    <col min="6" max="6" width="8.88671875" style="27" customWidth="1"/>
    <col min="7" max="7" width="12.109375" style="27" bestFit="1" customWidth="1"/>
    <col min="8" max="8" width="13.44140625" style="27" bestFit="1" customWidth="1"/>
    <col min="9" max="9" width="14.77734375" style="27" bestFit="1" customWidth="1"/>
    <col min="10" max="11" width="14.77734375" style="27" customWidth="1"/>
    <col min="12" max="12" width="8.88671875" style="27" customWidth="1"/>
    <col min="13" max="13" width="10.88671875" style="27" bestFit="1" customWidth="1"/>
    <col min="14" max="14" width="10.33203125" style="27" bestFit="1" customWidth="1"/>
    <col min="15" max="15" width="25.21875" style="27" bestFit="1" customWidth="1"/>
    <col min="16" max="16" width="14.33203125" style="27" bestFit="1" customWidth="1"/>
    <col min="17" max="16384" width="8.88671875" style="27"/>
  </cols>
  <sheetData>
    <row r="3" spans="2:16" x14ac:dyDescent="0.3">
      <c r="B3" s="27" t="s">
        <v>174</v>
      </c>
      <c r="C3" s="27" t="s">
        <v>176</v>
      </c>
      <c r="D3" s="27" t="s">
        <v>116</v>
      </c>
      <c r="E3" s="27" t="s">
        <v>178</v>
      </c>
      <c r="F3" s="27" t="s">
        <v>207</v>
      </c>
      <c r="G3" s="27" t="s">
        <v>206</v>
      </c>
      <c r="H3" s="27" t="s">
        <v>177</v>
      </c>
      <c r="I3" s="27" t="s">
        <v>239</v>
      </c>
      <c r="J3" s="27" t="s">
        <v>240</v>
      </c>
      <c r="K3" s="27" t="s">
        <v>241</v>
      </c>
      <c r="L3" s="27" t="s">
        <v>192</v>
      </c>
      <c r="M3" s="27" t="s">
        <v>190</v>
      </c>
      <c r="N3" s="27" t="s">
        <v>180</v>
      </c>
      <c r="O3" s="27" t="s">
        <v>183</v>
      </c>
      <c r="P3" s="27" t="s">
        <v>203</v>
      </c>
    </row>
    <row r="4" spans="2:16" x14ac:dyDescent="0.3">
      <c r="B4" s="27" t="s">
        <v>175</v>
      </c>
    </row>
    <row r="5" spans="2:16" x14ac:dyDescent="0.3">
      <c r="B5" s="27" t="s">
        <v>179</v>
      </c>
    </row>
    <row r="19" spans="2:14" x14ac:dyDescent="0.3">
      <c r="B19" s="27" t="s">
        <v>113</v>
      </c>
      <c r="K19" s="27">
        <v>25</v>
      </c>
    </row>
    <row r="20" spans="2:14" x14ac:dyDescent="0.3">
      <c r="B20" s="27" t="s">
        <v>210</v>
      </c>
    </row>
    <row r="21" spans="2:14" x14ac:dyDescent="0.3">
      <c r="B21" s="40" t="s">
        <v>181</v>
      </c>
    </row>
    <row r="22" spans="2:14" x14ac:dyDescent="0.3">
      <c r="B22" s="40" t="s">
        <v>184</v>
      </c>
    </row>
    <row r="23" spans="2:14" x14ac:dyDescent="0.3">
      <c r="B23" s="40" t="s">
        <v>185</v>
      </c>
    </row>
    <row r="24" spans="2:14" x14ac:dyDescent="0.3">
      <c r="B24" s="40" t="s">
        <v>186</v>
      </c>
    </row>
    <row r="25" spans="2:14" x14ac:dyDescent="0.3">
      <c r="B25" s="40" t="s">
        <v>187</v>
      </c>
    </row>
    <row r="26" spans="2:14" x14ac:dyDescent="0.3">
      <c r="B26" s="40" t="s">
        <v>188</v>
      </c>
      <c r="N26" s="27" t="s">
        <v>195</v>
      </c>
    </row>
    <row r="27" spans="2:14" x14ac:dyDescent="0.3">
      <c r="B27" s="40" t="s">
        <v>189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D7A81-7CDF-45D3-9A7D-102126703DD4}">
  <dimension ref="A1:S789"/>
  <sheetViews>
    <sheetView zoomScaleNormal="100" workbookViewId="0">
      <pane xSplit="2" ySplit="2" topLeftCell="C764" activePane="bottomRight" state="frozen"/>
      <selection pane="topRight" activeCell="C1" sqref="C1"/>
      <selection pane="bottomLeft" activeCell="A3" sqref="A3"/>
      <selection pane="bottomRight" activeCell="H791" sqref="H791"/>
    </sheetView>
  </sheetViews>
  <sheetFormatPr defaultRowHeight="14.4" x14ac:dyDescent="0.3"/>
  <cols>
    <col min="1" max="1" width="5.109375" style="46" bestFit="1" customWidth="1"/>
    <col min="2" max="2" width="12.109375" style="46" bestFit="1" customWidth="1"/>
    <col min="3" max="3" width="8.88671875" style="46"/>
    <col min="4" max="4" width="11" style="46" customWidth="1"/>
    <col min="5" max="5" width="9.6640625" style="46" customWidth="1"/>
    <col min="6" max="6" width="8.88671875" style="46"/>
    <col min="7" max="7" width="11" style="46" customWidth="1"/>
    <col min="8" max="8" width="14.109375" style="46" bestFit="1" customWidth="1"/>
    <col min="9" max="9" width="12.88671875" style="46" customWidth="1"/>
    <col min="10" max="12" width="8.88671875" style="46"/>
    <col min="13" max="13" width="15" style="46" customWidth="1"/>
    <col min="14" max="14" width="18.5546875" style="46" customWidth="1"/>
    <col min="15" max="15" width="9.21875" style="46" bestFit="1" customWidth="1"/>
    <col min="16" max="16" width="17.21875" style="46" bestFit="1" customWidth="1"/>
    <col min="17" max="17" width="8.88671875" style="46"/>
    <col min="18" max="18" width="19.33203125" style="46" customWidth="1"/>
    <col min="19" max="16384" width="8.88671875" style="46"/>
  </cols>
  <sheetData>
    <row r="1" spans="1:19" x14ac:dyDescent="0.3">
      <c r="A1" s="68" t="s">
        <v>744</v>
      </c>
    </row>
    <row r="2" spans="1:19" x14ac:dyDescent="0.3">
      <c r="B2" s="53" t="s">
        <v>541</v>
      </c>
      <c r="C2" s="54" t="s">
        <v>542</v>
      </c>
      <c r="D2" s="54" t="s">
        <v>543</v>
      </c>
      <c r="E2" s="54" t="s">
        <v>559</v>
      </c>
      <c r="F2" s="54" t="s">
        <v>176</v>
      </c>
      <c r="G2" s="54" t="s">
        <v>0</v>
      </c>
      <c r="H2" s="54" t="s">
        <v>20</v>
      </c>
      <c r="I2" s="54" t="s">
        <v>554</v>
      </c>
      <c r="J2" s="54" t="s">
        <v>555</v>
      </c>
      <c r="K2" s="54" t="s">
        <v>544</v>
      </c>
      <c r="L2" s="54" t="s">
        <v>689</v>
      </c>
      <c r="M2" s="54" t="s">
        <v>565</v>
      </c>
      <c r="N2" s="54" t="s">
        <v>558</v>
      </c>
      <c r="O2" s="54" t="s">
        <v>570</v>
      </c>
      <c r="P2" s="46" t="s">
        <v>571</v>
      </c>
      <c r="Q2" s="54" t="s">
        <v>545</v>
      </c>
      <c r="R2" s="54" t="s">
        <v>566</v>
      </c>
      <c r="S2" s="55" t="s">
        <v>557</v>
      </c>
    </row>
    <row r="3" spans="1:19" x14ac:dyDescent="0.3">
      <c r="B3" s="51" t="s">
        <v>485</v>
      </c>
      <c r="C3" s="46">
        <v>2024</v>
      </c>
      <c r="D3" s="46" t="s">
        <v>546</v>
      </c>
      <c r="E3" s="46" t="s">
        <v>560</v>
      </c>
      <c r="F3" s="46" t="s">
        <v>548</v>
      </c>
      <c r="G3" s="46" t="s">
        <v>325</v>
      </c>
      <c r="H3" s="46" t="s">
        <v>23</v>
      </c>
      <c r="J3" s="46" t="s">
        <v>551</v>
      </c>
      <c r="K3" s="46">
        <v>457</v>
      </c>
      <c r="M3" s="46">
        <v>544</v>
      </c>
      <c r="N3" s="46" t="s">
        <v>550</v>
      </c>
      <c r="O3" s="46">
        <v>1</v>
      </c>
      <c r="P3" s="61">
        <f>RawData[[#This Row],[Value_USD_M]]*RawData[[#This Row],[Share_Est]]</f>
        <v>544</v>
      </c>
      <c r="Q3" s="46" t="s">
        <v>598</v>
      </c>
      <c r="S3" s="52" t="s">
        <v>572</v>
      </c>
    </row>
    <row r="4" spans="1:19" x14ac:dyDescent="0.3">
      <c r="B4" s="51" t="s">
        <v>485</v>
      </c>
      <c r="C4" s="46">
        <v>2024</v>
      </c>
      <c r="D4" s="46" t="s">
        <v>547</v>
      </c>
      <c r="E4" s="46" t="s">
        <v>560</v>
      </c>
      <c r="F4" s="46" t="s">
        <v>548</v>
      </c>
      <c r="G4" s="46" t="s">
        <v>325</v>
      </c>
      <c r="H4" s="46" t="s">
        <v>23</v>
      </c>
      <c r="J4" s="46" t="s">
        <v>551</v>
      </c>
      <c r="K4" s="46">
        <v>300</v>
      </c>
      <c r="M4" s="46">
        <v>385.7</v>
      </c>
      <c r="N4" s="46" t="s">
        <v>550</v>
      </c>
      <c r="O4" s="46">
        <v>1</v>
      </c>
      <c r="P4" s="61">
        <f>RawData[[#This Row],[Value_USD_M]]*RawData[[#This Row],[Share_Est]]</f>
        <v>385.7</v>
      </c>
      <c r="Q4" s="46" t="s">
        <v>598</v>
      </c>
      <c r="S4" s="52"/>
    </row>
    <row r="5" spans="1:19" x14ac:dyDescent="0.3">
      <c r="B5" s="51" t="s">
        <v>485</v>
      </c>
      <c r="C5" s="46">
        <v>2025</v>
      </c>
      <c r="D5" s="46" t="s">
        <v>546</v>
      </c>
      <c r="E5" s="46" t="s">
        <v>560</v>
      </c>
      <c r="F5" s="46" t="s">
        <v>548</v>
      </c>
      <c r="G5" s="46" t="s">
        <v>325</v>
      </c>
      <c r="H5" s="46" t="s">
        <v>23</v>
      </c>
      <c r="J5" s="46" t="s">
        <v>551</v>
      </c>
      <c r="K5" s="46">
        <v>290</v>
      </c>
      <c r="M5" s="46">
        <v>392.8</v>
      </c>
      <c r="N5" s="46" t="s">
        <v>550</v>
      </c>
      <c r="O5" s="46">
        <v>1</v>
      </c>
      <c r="P5" s="61">
        <f>RawData[[#This Row],[Value_USD_M]]*RawData[[#This Row],[Share_Est]]</f>
        <v>392.8</v>
      </c>
      <c r="Q5" s="46" t="s">
        <v>598</v>
      </c>
      <c r="S5" s="52"/>
    </row>
    <row r="6" spans="1:19" x14ac:dyDescent="0.3">
      <c r="B6" s="51" t="s">
        <v>485</v>
      </c>
      <c r="C6" s="46">
        <v>2025</v>
      </c>
      <c r="D6" s="46" t="s">
        <v>547</v>
      </c>
      <c r="E6" s="46" t="s">
        <v>560</v>
      </c>
      <c r="F6" s="46" t="s">
        <v>548</v>
      </c>
      <c r="G6" s="46" t="s">
        <v>325</v>
      </c>
      <c r="H6" s="46" t="s">
        <v>23</v>
      </c>
      <c r="J6" s="46" t="s">
        <v>551</v>
      </c>
      <c r="K6" s="46">
        <v>181</v>
      </c>
      <c r="M6" s="46">
        <v>191.5</v>
      </c>
      <c r="N6" s="46" t="s">
        <v>550</v>
      </c>
      <c r="O6" s="46">
        <v>1</v>
      </c>
      <c r="P6" s="61">
        <f>RawData[[#This Row],[Value_USD_M]]*RawData[[#This Row],[Share_Est]]</f>
        <v>191.5</v>
      </c>
      <c r="Q6" s="46" t="s">
        <v>598</v>
      </c>
      <c r="S6" s="52"/>
    </row>
    <row r="7" spans="1:19" x14ac:dyDescent="0.3">
      <c r="B7" s="51" t="s">
        <v>485</v>
      </c>
      <c r="C7" s="46">
        <v>2026</v>
      </c>
      <c r="D7" s="46" t="s">
        <v>546</v>
      </c>
      <c r="E7" s="46" t="s">
        <v>560</v>
      </c>
      <c r="F7" s="46" t="s">
        <v>548</v>
      </c>
      <c r="G7" s="46" t="s">
        <v>325</v>
      </c>
      <c r="H7" s="46" t="s">
        <v>23</v>
      </c>
      <c r="J7" s="46" t="s">
        <v>551</v>
      </c>
      <c r="K7" s="46">
        <v>483</v>
      </c>
      <c r="M7" s="46">
        <v>668.5</v>
      </c>
      <c r="N7" s="46" t="s">
        <v>550</v>
      </c>
      <c r="O7" s="46">
        <v>1</v>
      </c>
      <c r="P7" s="61">
        <f>RawData[[#This Row],[Value_USD_M]]*RawData[[#This Row],[Share_Est]]</f>
        <v>668.5</v>
      </c>
      <c r="Q7" s="46" t="s">
        <v>598</v>
      </c>
      <c r="S7" s="52"/>
    </row>
    <row r="8" spans="1:19" x14ac:dyDescent="0.3">
      <c r="B8" s="51" t="s">
        <v>485</v>
      </c>
      <c r="C8" s="46">
        <v>2026</v>
      </c>
      <c r="D8" s="46" t="s">
        <v>547</v>
      </c>
      <c r="E8" s="46" t="s">
        <v>560</v>
      </c>
      <c r="F8" s="46" t="s">
        <v>548</v>
      </c>
      <c r="G8" s="46" t="s">
        <v>325</v>
      </c>
      <c r="H8" s="46" t="s">
        <v>23</v>
      </c>
      <c r="J8" s="46" t="s">
        <v>551</v>
      </c>
      <c r="K8" s="46">
        <v>51</v>
      </c>
      <c r="M8" s="46">
        <v>69.900000000000006</v>
      </c>
      <c r="N8" s="46" t="s">
        <v>550</v>
      </c>
      <c r="O8" s="46">
        <v>1</v>
      </c>
      <c r="P8" s="61">
        <f>RawData[[#This Row],[Value_USD_M]]*RawData[[#This Row],[Share_Est]]</f>
        <v>69.900000000000006</v>
      </c>
      <c r="Q8" s="46" t="s">
        <v>598</v>
      </c>
      <c r="S8" s="52"/>
    </row>
    <row r="9" spans="1:19" x14ac:dyDescent="0.3">
      <c r="B9" s="51" t="s">
        <v>485</v>
      </c>
      <c r="C9" s="46">
        <v>2024</v>
      </c>
      <c r="D9" s="46" t="s">
        <v>546</v>
      </c>
      <c r="E9" s="46" t="s">
        <v>560</v>
      </c>
      <c r="F9" s="46" t="s">
        <v>549</v>
      </c>
      <c r="G9" s="46" t="s">
        <v>325</v>
      </c>
      <c r="H9" s="46" t="s">
        <v>23</v>
      </c>
      <c r="J9" s="46" t="s">
        <v>551</v>
      </c>
      <c r="M9" s="46">
        <v>52</v>
      </c>
      <c r="N9" s="46" t="s">
        <v>550</v>
      </c>
      <c r="O9" s="46">
        <v>1</v>
      </c>
      <c r="P9" s="61">
        <f>RawData[[#This Row],[Value_USD_M]]*RawData[[#This Row],[Share_Est]]</f>
        <v>52</v>
      </c>
      <c r="Q9" s="46" t="s">
        <v>598</v>
      </c>
      <c r="S9" s="52"/>
    </row>
    <row r="10" spans="1:19" x14ac:dyDescent="0.3">
      <c r="B10" s="51" t="s">
        <v>485</v>
      </c>
      <c r="C10" s="46">
        <v>2024</v>
      </c>
      <c r="D10" s="46" t="s">
        <v>547</v>
      </c>
      <c r="E10" s="46" t="s">
        <v>560</v>
      </c>
      <c r="F10" s="46" t="s">
        <v>549</v>
      </c>
      <c r="G10" s="46" t="s">
        <v>325</v>
      </c>
      <c r="H10" s="46" t="s">
        <v>23</v>
      </c>
      <c r="J10" s="46" t="s">
        <v>551</v>
      </c>
      <c r="M10" s="46">
        <v>28.8</v>
      </c>
      <c r="N10" s="46" t="s">
        <v>550</v>
      </c>
      <c r="O10" s="46">
        <v>1</v>
      </c>
      <c r="P10" s="61">
        <f>RawData[[#This Row],[Value_USD_M]]*RawData[[#This Row],[Share_Est]]</f>
        <v>28.8</v>
      </c>
      <c r="Q10" s="46" t="s">
        <v>598</v>
      </c>
      <c r="S10" s="52"/>
    </row>
    <row r="11" spans="1:19" x14ac:dyDescent="0.3">
      <c r="B11" s="51" t="s">
        <v>485</v>
      </c>
      <c r="C11" s="46">
        <v>2025</v>
      </c>
      <c r="D11" s="46" t="s">
        <v>546</v>
      </c>
      <c r="E11" s="46" t="s">
        <v>560</v>
      </c>
      <c r="F11" s="46" t="s">
        <v>549</v>
      </c>
      <c r="G11" s="46" t="s">
        <v>325</v>
      </c>
      <c r="H11" s="46" t="s">
        <v>23</v>
      </c>
      <c r="J11" s="46" t="s">
        <v>551</v>
      </c>
      <c r="M11" s="46">
        <v>53.6</v>
      </c>
      <c r="N11" s="46" t="s">
        <v>550</v>
      </c>
      <c r="O11" s="46">
        <v>1</v>
      </c>
      <c r="P11" s="61">
        <f>RawData[[#This Row],[Value_USD_M]]*RawData[[#This Row],[Share_Est]]</f>
        <v>53.6</v>
      </c>
      <c r="Q11" s="46" t="s">
        <v>598</v>
      </c>
      <c r="S11" s="52"/>
    </row>
    <row r="12" spans="1:19" x14ac:dyDescent="0.3">
      <c r="B12" s="51" t="s">
        <v>485</v>
      </c>
      <c r="C12" s="46">
        <v>2025</v>
      </c>
      <c r="D12" s="46" t="s">
        <v>547</v>
      </c>
      <c r="E12" s="46" t="s">
        <v>560</v>
      </c>
      <c r="F12" s="46" t="s">
        <v>549</v>
      </c>
      <c r="G12" s="46" t="s">
        <v>325</v>
      </c>
      <c r="H12" s="46" t="s">
        <v>23</v>
      </c>
      <c r="J12" s="46" t="s">
        <v>551</v>
      </c>
      <c r="M12" s="46">
        <v>29.6</v>
      </c>
      <c r="N12" s="46" t="s">
        <v>550</v>
      </c>
      <c r="O12" s="46">
        <v>1</v>
      </c>
      <c r="P12" s="61">
        <f>RawData[[#This Row],[Value_USD_M]]*RawData[[#This Row],[Share_Est]]</f>
        <v>29.6</v>
      </c>
      <c r="Q12" s="46" t="s">
        <v>598</v>
      </c>
      <c r="S12" s="52"/>
    </row>
    <row r="13" spans="1:19" x14ac:dyDescent="0.3">
      <c r="B13" s="51" t="s">
        <v>485</v>
      </c>
      <c r="C13" s="46">
        <v>2026</v>
      </c>
      <c r="D13" s="46" t="s">
        <v>546</v>
      </c>
      <c r="E13" s="46" t="s">
        <v>560</v>
      </c>
      <c r="F13" s="46" t="s">
        <v>549</v>
      </c>
      <c r="G13" s="46" t="s">
        <v>325</v>
      </c>
      <c r="H13" s="46" t="s">
        <v>23</v>
      </c>
      <c r="J13" s="46" t="s">
        <v>551</v>
      </c>
      <c r="M13" s="46">
        <v>51.2</v>
      </c>
      <c r="N13" s="46" t="s">
        <v>550</v>
      </c>
      <c r="O13" s="46">
        <v>1</v>
      </c>
      <c r="P13" s="61">
        <f>RawData[[#This Row],[Value_USD_M]]*RawData[[#This Row],[Share_Est]]</f>
        <v>51.2</v>
      </c>
      <c r="Q13" s="46" t="s">
        <v>598</v>
      </c>
      <c r="S13" s="52"/>
    </row>
    <row r="14" spans="1:19" x14ac:dyDescent="0.3">
      <c r="B14" s="51" t="s">
        <v>485</v>
      </c>
      <c r="C14" s="46">
        <v>2026</v>
      </c>
      <c r="D14" s="46" t="s">
        <v>547</v>
      </c>
      <c r="E14" s="46" t="s">
        <v>560</v>
      </c>
      <c r="F14" s="46" t="s">
        <v>549</v>
      </c>
      <c r="G14" s="46" t="s">
        <v>325</v>
      </c>
      <c r="H14" s="46" t="s">
        <v>23</v>
      </c>
      <c r="J14" s="46" t="s">
        <v>551</v>
      </c>
      <c r="M14" s="46">
        <v>26.3</v>
      </c>
      <c r="N14" s="46" t="s">
        <v>550</v>
      </c>
      <c r="O14" s="46">
        <v>1</v>
      </c>
      <c r="P14" s="61">
        <f>RawData[[#This Row],[Value_USD_M]]*RawData[[#This Row],[Share_Est]]</f>
        <v>26.3</v>
      </c>
      <c r="Q14" s="46" t="s">
        <v>598</v>
      </c>
      <c r="S14" s="52"/>
    </row>
    <row r="15" spans="1:19" x14ac:dyDescent="0.3">
      <c r="B15" s="51" t="s">
        <v>552</v>
      </c>
      <c r="C15" s="46">
        <v>2024</v>
      </c>
      <c r="D15" s="46" t="s">
        <v>561</v>
      </c>
      <c r="E15" s="46" t="s">
        <v>560</v>
      </c>
      <c r="F15" s="46" t="s">
        <v>549</v>
      </c>
      <c r="G15" s="46" t="s">
        <v>326</v>
      </c>
      <c r="H15" s="46" t="s">
        <v>553</v>
      </c>
      <c r="I15" s="46" t="s">
        <v>562</v>
      </c>
      <c r="J15" s="46" t="s">
        <v>551</v>
      </c>
      <c r="M15" s="46">
        <v>945</v>
      </c>
      <c r="N15" s="46" t="s">
        <v>550</v>
      </c>
      <c r="O15" s="46">
        <v>0.9</v>
      </c>
      <c r="P15" s="61">
        <f>RawData[[#This Row],[Value_USD_M]]*RawData[[#This Row],[Share_Est]]</f>
        <v>850.5</v>
      </c>
      <c r="Q15" s="46" t="s">
        <v>598</v>
      </c>
      <c r="S15" s="52"/>
    </row>
    <row r="16" spans="1:19" x14ac:dyDescent="0.3">
      <c r="B16" s="51" t="s">
        <v>552</v>
      </c>
      <c r="C16" s="46">
        <v>2024</v>
      </c>
      <c r="D16" s="46" t="s">
        <v>546</v>
      </c>
      <c r="E16" s="46" t="s">
        <v>560</v>
      </c>
      <c r="F16" s="46" t="s">
        <v>549</v>
      </c>
      <c r="G16" s="46" t="s">
        <v>326</v>
      </c>
      <c r="H16" s="46" t="s">
        <v>553</v>
      </c>
      <c r="I16" s="46" t="s">
        <v>562</v>
      </c>
      <c r="J16" s="46" t="s">
        <v>551</v>
      </c>
      <c r="M16" s="46">
        <v>1325.7</v>
      </c>
      <c r="N16" s="46" t="s">
        <v>550</v>
      </c>
      <c r="O16" s="46">
        <v>0.9</v>
      </c>
      <c r="P16" s="61">
        <f>RawData[[#This Row],[Value_USD_M]]*RawData[[#This Row],[Share_Est]]</f>
        <v>1193.1300000000001</v>
      </c>
      <c r="Q16" s="46" t="s">
        <v>598</v>
      </c>
      <c r="S16" s="52"/>
    </row>
    <row r="17" spans="2:19" x14ac:dyDescent="0.3">
      <c r="B17" s="51" t="s">
        <v>552</v>
      </c>
      <c r="C17" s="46">
        <v>2025</v>
      </c>
      <c r="D17" s="46" t="s">
        <v>561</v>
      </c>
      <c r="E17" s="46" t="s">
        <v>560</v>
      </c>
      <c r="F17" s="46" t="s">
        <v>549</v>
      </c>
      <c r="G17" s="46" t="s">
        <v>326</v>
      </c>
      <c r="H17" s="46" t="s">
        <v>553</v>
      </c>
      <c r="I17" s="46" t="s">
        <v>562</v>
      </c>
      <c r="J17" s="46" t="s">
        <v>551</v>
      </c>
      <c r="M17" s="46">
        <v>946.9</v>
      </c>
      <c r="N17" s="46" t="s">
        <v>550</v>
      </c>
      <c r="O17" s="46">
        <v>0.9</v>
      </c>
      <c r="P17" s="61">
        <f>RawData[[#This Row],[Value_USD_M]]*RawData[[#This Row],[Share_Est]]</f>
        <v>852.21</v>
      </c>
      <c r="Q17" s="46" t="s">
        <v>598</v>
      </c>
      <c r="S17" s="52"/>
    </row>
    <row r="18" spans="2:19" x14ac:dyDescent="0.3">
      <c r="B18" s="51" t="s">
        <v>552</v>
      </c>
      <c r="C18" s="46">
        <v>2025</v>
      </c>
      <c r="D18" s="46" t="s">
        <v>546</v>
      </c>
      <c r="E18" s="46" t="s">
        <v>560</v>
      </c>
      <c r="F18" s="46" t="s">
        <v>549</v>
      </c>
      <c r="G18" s="46" t="s">
        <v>326</v>
      </c>
      <c r="H18" s="46" t="s">
        <v>553</v>
      </c>
      <c r="I18" s="46" t="s">
        <v>562</v>
      </c>
      <c r="J18" s="46" t="s">
        <v>551</v>
      </c>
      <c r="M18" s="46">
        <v>1230.5</v>
      </c>
      <c r="N18" s="46" t="s">
        <v>550</v>
      </c>
      <c r="O18" s="46">
        <v>0.9</v>
      </c>
      <c r="P18" s="61">
        <f>RawData[[#This Row],[Value_USD_M]]*RawData[[#This Row],[Share_Est]]</f>
        <v>1107.45</v>
      </c>
      <c r="Q18" s="46" t="s">
        <v>598</v>
      </c>
      <c r="S18" s="52"/>
    </row>
    <row r="19" spans="2:19" x14ac:dyDescent="0.3">
      <c r="B19" s="51" t="s">
        <v>552</v>
      </c>
      <c r="C19" s="46">
        <v>2026</v>
      </c>
      <c r="D19" s="46" t="s">
        <v>561</v>
      </c>
      <c r="E19" s="46" t="s">
        <v>560</v>
      </c>
      <c r="F19" s="46" t="s">
        <v>549</v>
      </c>
      <c r="G19" s="46" t="s">
        <v>326</v>
      </c>
      <c r="H19" s="46" t="s">
        <v>553</v>
      </c>
      <c r="I19" s="46" t="s">
        <v>562</v>
      </c>
      <c r="J19" s="46" t="s">
        <v>551</v>
      </c>
      <c r="M19" s="46">
        <v>969.7</v>
      </c>
      <c r="N19" s="46" t="s">
        <v>550</v>
      </c>
      <c r="O19" s="46">
        <v>0.9</v>
      </c>
      <c r="P19" s="61">
        <f>RawData[[#This Row],[Value_USD_M]]*RawData[[#This Row],[Share_Est]]</f>
        <v>872.73</v>
      </c>
      <c r="Q19" s="46" t="s">
        <v>598</v>
      </c>
      <c r="S19" s="52"/>
    </row>
    <row r="20" spans="2:19" x14ac:dyDescent="0.3">
      <c r="B20" s="51" t="s">
        <v>552</v>
      </c>
      <c r="C20" s="46">
        <v>2026</v>
      </c>
      <c r="D20" s="46" t="s">
        <v>546</v>
      </c>
      <c r="E20" s="46" t="s">
        <v>560</v>
      </c>
      <c r="F20" s="46" t="s">
        <v>549</v>
      </c>
      <c r="G20" s="46" t="s">
        <v>326</v>
      </c>
      <c r="H20" s="46" t="s">
        <v>553</v>
      </c>
      <c r="I20" s="46" t="s">
        <v>562</v>
      </c>
      <c r="J20" s="46" t="s">
        <v>551</v>
      </c>
      <c r="M20" s="46">
        <v>1230.5</v>
      </c>
      <c r="N20" s="46" t="s">
        <v>550</v>
      </c>
      <c r="O20" s="46">
        <v>0.9</v>
      </c>
      <c r="P20" s="61">
        <f>RawData[[#This Row],[Value_USD_M]]*RawData[[#This Row],[Share_Est]]</f>
        <v>1107.45</v>
      </c>
      <c r="Q20" s="46" t="s">
        <v>598</v>
      </c>
      <c r="S20" s="52"/>
    </row>
    <row r="21" spans="2:19" x14ac:dyDescent="0.3">
      <c r="B21" s="51" t="s">
        <v>552</v>
      </c>
      <c r="C21" s="46">
        <v>2024</v>
      </c>
      <c r="D21" s="46" t="s">
        <v>561</v>
      </c>
      <c r="E21" s="46" t="s">
        <v>560</v>
      </c>
      <c r="F21" s="46" t="s">
        <v>549</v>
      </c>
      <c r="G21" s="46" t="s">
        <v>325</v>
      </c>
      <c r="H21" s="46" t="s">
        <v>563</v>
      </c>
      <c r="I21" s="46" t="s">
        <v>564</v>
      </c>
      <c r="J21" s="46" t="s">
        <v>551</v>
      </c>
      <c r="M21" s="46">
        <v>945</v>
      </c>
      <c r="N21" s="46" t="s">
        <v>550</v>
      </c>
      <c r="O21" s="46">
        <v>0.1</v>
      </c>
      <c r="P21" s="61">
        <f>RawData[[#This Row],[Value_USD_M]]*RawData[[#This Row],[Share_Est]]</f>
        <v>94.5</v>
      </c>
      <c r="Q21" s="46" t="s">
        <v>598</v>
      </c>
      <c r="S21" s="52"/>
    </row>
    <row r="22" spans="2:19" x14ac:dyDescent="0.3">
      <c r="B22" s="51" t="s">
        <v>552</v>
      </c>
      <c r="C22" s="46">
        <v>2024</v>
      </c>
      <c r="D22" s="46" t="s">
        <v>546</v>
      </c>
      <c r="E22" s="46" t="s">
        <v>560</v>
      </c>
      <c r="F22" s="46" t="s">
        <v>549</v>
      </c>
      <c r="G22" s="46" t="s">
        <v>325</v>
      </c>
      <c r="H22" s="46" t="s">
        <v>563</v>
      </c>
      <c r="I22" s="46" t="s">
        <v>564</v>
      </c>
      <c r="J22" s="46" t="s">
        <v>551</v>
      </c>
      <c r="M22" s="46">
        <v>1325.7</v>
      </c>
      <c r="N22" s="46" t="s">
        <v>550</v>
      </c>
      <c r="O22" s="46">
        <v>0.1</v>
      </c>
      <c r="P22" s="61">
        <f>RawData[[#This Row],[Value_USD_M]]*RawData[[#This Row],[Share_Est]]</f>
        <v>132.57000000000002</v>
      </c>
      <c r="Q22" s="46" t="s">
        <v>598</v>
      </c>
      <c r="S22" s="52"/>
    </row>
    <row r="23" spans="2:19" x14ac:dyDescent="0.3">
      <c r="B23" s="51" t="s">
        <v>552</v>
      </c>
      <c r="C23" s="46">
        <v>2025</v>
      </c>
      <c r="D23" s="46" t="s">
        <v>561</v>
      </c>
      <c r="E23" s="46" t="s">
        <v>560</v>
      </c>
      <c r="F23" s="46" t="s">
        <v>549</v>
      </c>
      <c r="G23" s="46" t="s">
        <v>325</v>
      </c>
      <c r="H23" s="46" t="s">
        <v>563</v>
      </c>
      <c r="I23" s="46" t="s">
        <v>564</v>
      </c>
      <c r="J23" s="46" t="s">
        <v>551</v>
      </c>
      <c r="M23" s="46">
        <v>946.9</v>
      </c>
      <c r="N23" s="46" t="s">
        <v>550</v>
      </c>
      <c r="O23" s="46">
        <v>0.1</v>
      </c>
      <c r="P23" s="61">
        <f>RawData[[#This Row],[Value_USD_M]]*RawData[[#This Row],[Share_Est]]</f>
        <v>94.69</v>
      </c>
      <c r="Q23" s="46" t="s">
        <v>598</v>
      </c>
      <c r="S23" s="52"/>
    </row>
    <row r="24" spans="2:19" x14ac:dyDescent="0.3">
      <c r="B24" s="51" t="s">
        <v>552</v>
      </c>
      <c r="C24" s="46">
        <v>2025</v>
      </c>
      <c r="D24" s="46" t="s">
        <v>546</v>
      </c>
      <c r="E24" s="46" t="s">
        <v>560</v>
      </c>
      <c r="F24" s="46" t="s">
        <v>549</v>
      </c>
      <c r="G24" s="46" t="s">
        <v>325</v>
      </c>
      <c r="H24" s="46" t="s">
        <v>563</v>
      </c>
      <c r="I24" s="46" t="s">
        <v>564</v>
      </c>
      <c r="J24" s="46" t="s">
        <v>551</v>
      </c>
      <c r="M24" s="46">
        <v>1230.5</v>
      </c>
      <c r="N24" s="46" t="s">
        <v>550</v>
      </c>
      <c r="O24" s="46">
        <v>0.1</v>
      </c>
      <c r="P24" s="61">
        <f>RawData[[#This Row],[Value_USD_M]]*RawData[[#This Row],[Share_Est]]</f>
        <v>123.05000000000001</v>
      </c>
      <c r="Q24" s="46" t="s">
        <v>598</v>
      </c>
      <c r="S24" s="52"/>
    </row>
    <row r="25" spans="2:19" x14ac:dyDescent="0.3">
      <c r="B25" s="51" t="s">
        <v>552</v>
      </c>
      <c r="C25" s="46">
        <v>2026</v>
      </c>
      <c r="D25" s="46" t="s">
        <v>561</v>
      </c>
      <c r="E25" s="46" t="s">
        <v>560</v>
      </c>
      <c r="F25" s="46" t="s">
        <v>549</v>
      </c>
      <c r="G25" s="46" t="s">
        <v>325</v>
      </c>
      <c r="H25" s="46" t="s">
        <v>563</v>
      </c>
      <c r="I25" s="46" t="s">
        <v>564</v>
      </c>
      <c r="J25" s="46" t="s">
        <v>551</v>
      </c>
      <c r="M25" s="46">
        <v>969.7</v>
      </c>
      <c r="N25" s="46" t="s">
        <v>550</v>
      </c>
      <c r="O25" s="46">
        <v>0.1</v>
      </c>
      <c r="P25" s="61">
        <f>RawData[[#This Row],[Value_USD_M]]*RawData[[#This Row],[Share_Est]]</f>
        <v>96.970000000000013</v>
      </c>
      <c r="Q25" s="46" t="s">
        <v>598</v>
      </c>
      <c r="S25" s="52"/>
    </row>
    <row r="26" spans="2:19" x14ac:dyDescent="0.3">
      <c r="B26" s="51" t="s">
        <v>552</v>
      </c>
      <c r="C26" s="46">
        <v>2026</v>
      </c>
      <c r="D26" s="46" t="s">
        <v>546</v>
      </c>
      <c r="E26" s="46" t="s">
        <v>560</v>
      </c>
      <c r="F26" s="46" t="s">
        <v>549</v>
      </c>
      <c r="G26" s="46" t="s">
        <v>325</v>
      </c>
      <c r="H26" s="46" t="s">
        <v>563</v>
      </c>
      <c r="I26" s="46" t="s">
        <v>564</v>
      </c>
      <c r="J26" s="46" t="s">
        <v>551</v>
      </c>
      <c r="M26" s="46">
        <v>1230.5</v>
      </c>
      <c r="N26" s="46" t="s">
        <v>550</v>
      </c>
      <c r="O26" s="46">
        <v>0.1</v>
      </c>
      <c r="P26" s="61">
        <f>RawData[[#This Row],[Value_USD_M]]*RawData[[#This Row],[Share_Est]]</f>
        <v>123.05000000000001</v>
      </c>
      <c r="Q26" s="46" t="s">
        <v>598</v>
      </c>
      <c r="S26" s="52"/>
    </row>
    <row r="27" spans="2:19" x14ac:dyDescent="0.3">
      <c r="B27" s="51" t="s">
        <v>552</v>
      </c>
      <c r="C27" s="46">
        <v>2024</v>
      </c>
      <c r="D27" s="46" t="s">
        <v>561</v>
      </c>
      <c r="E27" s="46" t="s">
        <v>560</v>
      </c>
      <c r="F27" s="46" t="s">
        <v>548</v>
      </c>
      <c r="G27" s="46" t="s">
        <v>326</v>
      </c>
      <c r="H27" s="46" t="s">
        <v>553</v>
      </c>
      <c r="I27" s="46" t="s">
        <v>562</v>
      </c>
      <c r="J27" s="46" t="s">
        <v>551</v>
      </c>
      <c r="K27" s="46">
        <v>35</v>
      </c>
      <c r="M27" s="46">
        <v>5623.6</v>
      </c>
      <c r="N27" s="46" t="s">
        <v>550</v>
      </c>
      <c r="O27" s="46">
        <v>0.8</v>
      </c>
      <c r="P27" s="61">
        <f>RawData[[#This Row],[Value_USD_M]]*RawData[[#This Row],[Share_Est]]</f>
        <v>4498.88</v>
      </c>
      <c r="Q27" s="46" t="s">
        <v>598</v>
      </c>
      <c r="S27" s="52"/>
    </row>
    <row r="28" spans="2:19" x14ac:dyDescent="0.3">
      <c r="B28" s="51" t="s">
        <v>552</v>
      </c>
      <c r="C28" s="46">
        <v>2024</v>
      </c>
      <c r="D28" s="46" t="s">
        <v>546</v>
      </c>
      <c r="E28" s="46" t="s">
        <v>560</v>
      </c>
      <c r="F28" s="46" t="s">
        <v>548</v>
      </c>
      <c r="G28" s="46" t="s">
        <v>326</v>
      </c>
      <c r="H28" s="46" t="s">
        <v>553</v>
      </c>
      <c r="I28" s="46" t="s">
        <v>562</v>
      </c>
      <c r="J28" s="46" t="s">
        <v>551</v>
      </c>
      <c r="K28" s="46">
        <v>51</v>
      </c>
      <c r="M28" s="46">
        <v>6377</v>
      </c>
      <c r="N28" s="46" t="s">
        <v>550</v>
      </c>
      <c r="O28" s="46">
        <v>0.8</v>
      </c>
      <c r="P28" s="61">
        <f>RawData[[#This Row],[Value_USD_M]]*RawData[[#This Row],[Share_Est]]</f>
        <v>5101.6000000000004</v>
      </c>
      <c r="Q28" s="46" t="s">
        <v>598</v>
      </c>
      <c r="S28" s="52"/>
    </row>
    <row r="29" spans="2:19" x14ac:dyDescent="0.3">
      <c r="B29" s="51" t="s">
        <v>552</v>
      </c>
      <c r="C29" s="46">
        <v>2025</v>
      </c>
      <c r="D29" s="46" t="s">
        <v>561</v>
      </c>
      <c r="E29" s="46" t="s">
        <v>560</v>
      </c>
      <c r="F29" s="46" t="s">
        <v>548</v>
      </c>
      <c r="G29" s="46" t="s">
        <v>326</v>
      </c>
      <c r="H29" s="46" t="s">
        <v>553</v>
      </c>
      <c r="I29" s="46" t="s">
        <v>562</v>
      </c>
      <c r="J29" s="46" t="s">
        <v>551</v>
      </c>
      <c r="K29" s="46">
        <v>30</v>
      </c>
      <c r="M29" s="46">
        <v>5353</v>
      </c>
      <c r="N29" s="46" t="s">
        <v>550</v>
      </c>
      <c r="O29" s="46">
        <v>0.8</v>
      </c>
      <c r="P29" s="61">
        <f>RawData[[#This Row],[Value_USD_M]]*RawData[[#This Row],[Share_Est]]</f>
        <v>4282.4000000000005</v>
      </c>
      <c r="Q29" s="46" t="s">
        <v>598</v>
      </c>
      <c r="S29" s="52"/>
    </row>
    <row r="30" spans="2:19" x14ac:dyDescent="0.3">
      <c r="B30" s="51" t="s">
        <v>552</v>
      </c>
      <c r="C30" s="46">
        <v>2025</v>
      </c>
      <c r="D30" s="46" t="s">
        <v>546</v>
      </c>
      <c r="E30" s="46" t="s">
        <v>560</v>
      </c>
      <c r="F30" s="46" t="s">
        <v>548</v>
      </c>
      <c r="G30" s="46" t="s">
        <v>326</v>
      </c>
      <c r="H30" s="46" t="s">
        <v>553</v>
      </c>
      <c r="I30" s="46" t="s">
        <v>562</v>
      </c>
      <c r="J30" s="46" t="s">
        <v>551</v>
      </c>
      <c r="K30" s="46">
        <v>44</v>
      </c>
      <c r="M30" s="46">
        <v>5852.1</v>
      </c>
      <c r="N30" s="46" t="s">
        <v>550</v>
      </c>
      <c r="O30" s="46">
        <v>0.8</v>
      </c>
      <c r="P30" s="61">
        <f>RawData[[#This Row],[Value_USD_M]]*RawData[[#This Row],[Share_Est]]</f>
        <v>4681.68</v>
      </c>
      <c r="Q30" s="46" t="s">
        <v>598</v>
      </c>
      <c r="S30" s="52"/>
    </row>
    <row r="31" spans="2:19" x14ac:dyDescent="0.3">
      <c r="B31" s="51" t="s">
        <v>552</v>
      </c>
      <c r="C31" s="46">
        <v>2026</v>
      </c>
      <c r="D31" s="46" t="s">
        <v>561</v>
      </c>
      <c r="E31" s="46" t="s">
        <v>560</v>
      </c>
      <c r="F31" s="46" t="s">
        <v>548</v>
      </c>
      <c r="G31" s="46" t="s">
        <v>326</v>
      </c>
      <c r="H31" s="46" t="s">
        <v>553</v>
      </c>
      <c r="I31" s="46" t="s">
        <v>562</v>
      </c>
      <c r="J31" s="46" t="s">
        <v>551</v>
      </c>
      <c r="K31" s="46">
        <v>23</v>
      </c>
      <c r="M31" s="46">
        <v>5116.8</v>
      </c>
      <c r="N31" s="46" t="s">
        <v>550</v>
      </c>
      <c r="O31" s="46">
        <v>0.8</v>
      </c>
      <c r="P31" s="61">
        <f>RawData[[#This Row],[Value_USD_M]]*RawData[[#This Row],[Share_Est]]</f>
        <v>4093.4400000000005</v>
      </c>
      <c r="Q31" s="46" t="s">
        <v>598</v>
      </c>
      <c r="S31" s="52"/>
    </row>
    <row r="32" spans="2:19" x14ac:dyDescent="0.3">
      <c r="B32" s="51" t="s">
        <v>552</v>
      </c>
      <c r="C32" s="46">
        <v>2026</v>
      </c>
      <c r="D32" s="46" t="s">
        <v>546</v>
      </c>
      <c r="E32" s="46" t="s">
        <v>560</v>
      </c>
      <c r="F32" s="46" t="s">
        <v>548</v>
      </c>
      <c r="G32" s="46" t="s">
        <v>326</v>
      </c>
      <c r="H32" s="46" t="s">
        <v>553</v>
      </c>
      <c r="I32" s="46" t="s">
        <v>562</v>
      </c>
      <c r="J32" s="46" t="s">
        <v>551</v>
      </c>
      <c r="K32" s="46">
        <v>24</v>
      </c>
      <c r="M32" s="46">
        <v>5803.7</v>
      </c>
      <c r="N32" s="46" t="s">
        <v>550</v>
      </c>
      <c r="O32" s="46">
        <v>0.8</v>
      </c>
      <c r="P32" s="61">
        <f>RawData[[#This Row],[Value_USD_M]]*RawData[[#This Row],[Share_Est]]</f>
        <v>4642.96</v>
      </c>
      <c r="Q32" s="46" t="s">
        <v>598</v>
      </c>
      <c r="S32" s="52"/>
    </row>
    <row r="33" spans="2:19" x14ac:dyDescent="0.3">
      <c r="B33" s="51" t="s">
        <v>552</v>
      </c>
      <c r="C33" s="46">
        <v>2024</v>
      </c>
      <c r="D33" s="46" t="s">
        <v>561</v>
      </c>
      <c r="E33" s="46" t="s">
        <v>560</v>
      </c>
      <c r="F33" s="46" t="s">
        <v>548</v>
      </c>
      <c r="G33" s="46" t="s">
        <v>325</v>
      </c>
      <c r="H33" s="46" t="s">
        <v>563</v>
      </c>
      <c r="I33" s="46" t="s">
        <v>564</v>
      </c>
      <c r="J33" s="46" t="s">
        <v>551</v>
      </c>
      <c r="K33" s="46">
        <v>35</v>
      </c>
      <c r="M33" s="46">
        <v>5623.6</v>
      </c>
      <c r="N33" s="46" t="s">
        <v>550</v>
      </c>
      <c r="O33" s="46">
        <v>0.2</v>
      </c>
      <c r="P33" s="61">
        <f>RawData[[#This Row],[Value_USD_M]]*RawData[[#This Row],[Share_Est]]</f>
        <v>1124.72</v>
      </c>
      <c r="Q33" s="46" t="s">
        <v>598</v>
      </c>
      <c r="S33" s="52"/>
    </row>
    <row r="34" spans="2:19" x14ac:dyDescent="0.3">
      <c r="B34" s="51" t="s">
        <v>552</v>
      </c>
      <c r="C34" s="46">
        <v>2024</v>
      </c>
      <c r="D34" s="46" t="s">
        <v>546</v>
      </c>
      <c r="E34" s="46" t="s">
        <v>560</v>
      </c>
      <c r="F34" s="46" t="s">
        <v>548</v>
      </c>
      <c r="G34" s="46" t="s">
        <v>325</v>
      </c>
      <c r="H34" s="46" t="s">
        <v>563</v>
      </c>
      <c r="I34" s="46" t="s">
        <v>564</v>
      </c>
      <c r="J34" s="46" t="s">
        <v>551</v>
      </c>
      <c r="K34" s="46">
        <v>51</v>
      </c>
      <c r="M34" s="46">
        <v>6377</v>
      </c>
      <c r="N34" s="46" t="s">
        <v>550</v>
      </c>
      <c r="O34" s="46">
        <v>0.2</v>
      </c>
      <c r="P34" s="61">
        <f>RawData[[#This Row],[Value_USD_M]]*RawData[[#This Row],[Share_Est]]</f>
        <v>1275.4000000000001</v>
      </c>
      <c r="Q34" s="46" t="s">
        <v>598</v>
      </c>
      <c r="S34" s="52"/>
    </row>
    <row r="35" spans="2:19" x14ac:dyDescent="0.3">
      <c r="B35" s="51" t="s">
        <v>552</v>
      </c>
      <c r="C35" s="46">
        <v>2025</v>
      </c>
      <c r="D35" s="46" t="s">
        <v>561</v>
      </c>
      <c r="E35" s="46" t="s">
        <v>560</v>
      </c>
      <c r="F35" s="46" t="s">
        <v>548</v>
      </c>
      <c r="G35" s="46" t="s">
        <v>325</v>
      </c>
      <c r="H35" s="46" t="s">
        <v>563</v>
      </c>
      <c r="I35" s="46" t="s">
        <v>564</v>
      </c>
      <c r="J35" s="46" t="s">
        <v>551</v>
      </c>
      <c r="K35" s="46">
        <v>30</v>
      </c>
      <c r="M35" s="46">
        <v>5353</v>
      </c>
      <c r="N35" s="46" t="s">
        <v>550</v>
      </c>
      <c r="O35" s="46">
        <v>0.2</v>
      </c>
      <c r="P35" s="61">
        <f>RawData[[#This Row],[Value_USD_M]]*RawData[[#This Row],[Share_Est]]</f>
        <v>1070.6000000000001</v>
      </c>
      <c r="Q35" s="46" t="s">
        <v>598</v>
      </c>
      <c r="S35" s="52"/>
    </row>
    <row r="36" spans="2:19" x14ac:dyDescent="0.3">
      <c r="B36" s="51" t="s">
        <v>552</v>
      </c>
      <c r="C36" s="46">
        <v>2025</v>
      </c>
      <c r="D36" s="46" t="s">
        <v>546</v>
      </c>
      <c r="E36" s="46" t="s">
        <v>560</v>
      </c>
      <c r="F36" s="46" t="s">
        <v>548</v>
      </c>
      <c r="G36" s="46" t="s">
        <v>325</v>
      </c>
      <c r="H36" s="46" t="s">
        <v>563</v>
      </c>
      <c r="I36" s="46" t="s">
        <v>564</v>
      </c>
      <c r="J36" s="46" t="s">
        <v>551</v>
      </c>
      <c r="K36" s="46">
        <v>44</v>
      </c>
      <c r="M36" s="46">
        <v>5852.1</v>
      </c>
      <c r="N36" s="46" t="s">
        <v>550</v>
      </c>
      <c r="O36" s="46">
        <v>0.2</v>
      </c>
      <c r="P36" s="61">
        <f>RawData[[#This Row],[Value_USD_M]]*RawData[[#This Row],[Share_Est]]</f>
        <v>1170.42</v>
      </c>
      <c r="Q36" s="46" t="s">
        <v>598</v>
      </c>
      <c r="S36" s="52"/>
    </row>
    <row r="37" spans="2:19" x14ac:dyDescent="0.3">
      <c r="B37" s="51" t="s">
        <v>552</v>
      </c>
      <c r="C37" s="46">
        <v>2026</v>
      </c>
      <c r="D37" s="46" t="s">
        <v>561</v>
      </c>
      <c r="E37" s="46" t="s">
        <v>560</v>
      </c>
      <c r="F37" s="46" t="s">
        <v>548</v>
      </c>
      <c r="G37" s="46" t="s">
        <v>325</v>
      </c>
      <c r="H37" s="46" t="s">
        <v>563</v>
      </c>
      <c r="I37" s="46" t="s">
        <v>564</v>
      </c>
      <c r="J37" s="46" t="s">
        <v>551</v>
      </c>
      <c r="K37" s="46">
        <v>23</v>
      </c>
      <c r="M37" s="46">
        <v>5116.8</v>
      </c>
      <c r="N37" s="46" t="s">
        <v>550</v>
      </c>
      <c r="O37" s="46">
        <v>0.2</v>
      </c>
      <c r="P37" s="61">
        <f>RawData[[#This Row],[Value_USD_M]]*RawData[[#This Row],[Share_Est]]</f>
        <v>1023.3600000000001</v>
      </c>
      <c r="Q37" s="46" t="s">
        <v>598</v>
      </c>
      <c r="S37" s="52"/>
    </row>
    <row r="38" spans="2:19" x14ac:dyDescent="0.3">
      <c r="B38" s="56" t="s">
        <v>552</v>
      </c>
      <c r="C38" s="57">
        <v>2026</v>
      </c>
      <c r="D38" s="57" t="s">
        <v>546</v>
      </c>
      <c r="E38" s="57" t="s">
        <v>560</v>
      </c>
      <c r="F38" s="57" t="s">
        <v>548</v>
      </c>
      <c r="G38" s="57" t="s">
        <v>325</v>
      </c>
      <c r="H38" s="57" t="s">
        <v>563</v>
      </c>
      <c r="I38" s="57" t="s">
        <v>564</v>
      </c>
      <c r="J38" s="57" t="s">
        <v>551</v>
      </c>
      <c r="K38" s="57">
        <v>24</v>
      </c>
      <c r="L38" s="57"/>
      <c r="M38" s="57">
        <v>5803.7</v>
      </c>
      <c r="N38" s="57" t="s">
        <v>550</v>
      </c>
      <c r="O38" s="46">
        <v>0.2</v>
      </c>
      <c r="P38" s="62">
        <f>RawData[[#This Row],[Value_USD_M]]*RawData[[#This Row],[Share_Est]]</f>
        <v>1160.74</v>
      </c>
      <c r="Q38" s="46" t="s">
        <v>598</v>
      </c>
      <c r="R38" s="57"/>
      <c r="S38" s="58"/>
    </row>
    <row r="39" spans="2:19" x14ac:dyDescent="0.3">
      <c r="B39" s="56" t="s">
        <v>266</v>
      </c>
      <c r="C39" s="46">
        <v>2024</v>
      </c>
      <c r="D39" s="57" t="s">
        <v>547</v>
      </c>
      <c r="E39" s="57" t="s">
        <v>560</v>
      </c>
      <c r="F39" s="46" t="s">
        <v>549</v>
      </c>
      <c r="G39" s="57" t="s">
        <v>574</v>
      </c>
      <c r="H39" s="57" t="s">
        <v>577</v>
      </c>
      <c r="I39" s="57"/>
      <c r="J39" s="57"/>
      <c r="K39" s="57"/>
      <c r="L39" s="57"/>
      <c r="M39" s="57">
        <v>144.69999999999999</v>
      </c>
      <c r="N39" s="57" t="s">
        <v>550</v>
      </c>
      <c r="O39" s="57">
        <v>0.5</v>
      </c>
      <c r="P39" s="62">
        <f>RawData[[#This Row],[Value_USD_M]]*RawData[[#This Row],[Share_Est]]</f>
        <v>72.349999999999994</v>
      </c>
      <c r="Q39" s="46" t="s">
        <v>598</v>
      </c>
      <c r="R39" s="57"/>
      <c r="S39" s="58"/>
    </row>
    <row r="40" spans="2:19" x14ac:dyDescent="0.3">
      <c r="B40" s="56" t="s">
        <v>266</v>
      </c>
      <c r="C40" s="46">
        <v>2024</v>
      </c>
      <c r="D40" s="57" t="s">
        <v>546</v>
      </c>
      <c r="E40" s="57" t="s">
        <v>560</v>
      </c>
      <c r="F40" s="46" t="s">
        <v>549</v>
      </c>
      <c r="G40" s="57" t="s">
        <v>574</v>
      </c>
      <c r="H40" s="57" t="s">
        <v>577</v>
      </c>
      <c r="I40" s="57"/>
      <c r="J40" s="57"/>
      <c r="K40" s="57"/>
      <c r="L40" s="57"/>
      <c r="M40" s="57">
        <v>16.600000000000001</v>
      </c>
      <c r="N40" s="57" t="s">
        <v>550</v>
      </c>
      <c r="O40" s="57">
        <v>0.5</v>
      </c>
      <c r="P40" s="62">
        <f>RawData[[#This Row],[Value_USD_M]]*RawData[[#This Row],[Share_Est]]</f>
        <v>8.3000000000000007</v>
      </c>
      <c r="Q40" s="46" t="s">
        <v>598</v>
      </c>
      <c r="R40" s="57"/>
      <c r="S40" s="58"/>
    </row>
    <row r="41" spans="2:19" x14ac:dyDescent="0.3">
      <c r="B41" s="56" t="s">
        <v>266</v>
      </c>
      <c r="C41" s="46">
        <v>2024</v>
      </c>
      <c r="D41" s="57" t="s">
        <v>573</v>
      </c>
      <c r="E41" s="57" t="s">
        <v>560</v>
      </c>
      <c r="F41" s="46" t="s">
        <v>549</v>
      </c>
      <c r="G41" s="57" t="s">
        <v>574</v>
      </c>
      <c r="H41" s="57" t="s">
        <v>577</v>
      </c>
      <c r="I41" s="57"/>
      <c r="J41" s="57"/>
      <c r="K41" s="57"/>
      <c r="L41" s="57"/>
      <c r="M41" s="57">
        <v>19.8</v>
      </c>
      <c r="N41" s="57" t="s">
        <v>550</v>
      </c>
      <c r="O41" s="57">
        <v>0.5</v>
      </c>
      <c r="P41" s="62">
        <f>RawData[[#This Row],[Value_USD_M]]*RawData[[#This Row],[Share_Est]]</f>
        <v>9.9</v>
      </c>
      <c r="Q41" s="46" t="s">
        <v>598</v>
      </c>
      <c r="R41" s="57"/>
      <c r="S41" s="58"/>
    </row>
    <row r="42" spans="2:19" x14ac:dyDescent="0.3">
      <c r="B42" s="56" t="s">
        <v>266</v>
      </c>
      <c r="C42" s="46">
        <v>2025</v>
      </c>
      <c r="D42" s="46" t="s">
        <v>547</v>
      </c>
      <c r="E42" s="57" t="s">
        <v>560</v>
      </c>
      <c r="F42" s="46" t="s">
        <v>549</v>
      </c>
      <c r="G42" s="57" t="s">
        <v>574</v>
      </c>
      <c r="H42" s="57" t="s">
        <v>577</v>
      </c>
      <c r="M42" s="46">
        <v>108.2</v>
      </c>
      <c r="N42" s="57" t="s">
        <v>550</v>
      </c>
      <c r="O42" s="57">
        <v>0.5</v>
      </c>
      <c r="P42" s="61">
        <f>RawData[[#This Row],[Value_USD_M]]*RawData[[#This Row],[Share_Est]]</f>
        <v>54.1</v>
      </c>
      <c r="Q42" s="46" t="s">
        <v>598</v>
      </c>
      <c r="S42" s="52"/>
    </row>
    <row r="43" spans="2:19" x14ac:dyDescent="0.3">
      <c r="B43" s="56" t="s">
        <v>266</v>
      </c>
      <c r="C43" s="46">
        <v>2025</v>
      </c>
      <c r="D43" s="46" t="s">
        <v>546</v>
      </c>
      <c r="E43" s="57" t="s">
        <v>560</v>
      </c>
      <c r="F43" s="46" t="s">
        <v>549</v>
      </c>
      <c r="G43" s="57" t="s">
        <v>574</v>
      </c>
      <c r="H43" s="57" t="s">
        <v>577</v>
      </c>
      <c r="M43" s="46">
        <v>26.2</v>
      </c>
      <c r="N43" s="57" t="s">
        <v>550</v>
      </c>
      <c r="O43" s="57">
        <v>0.5</v>
      </c>
      <c r="P43" s="61">
        <f>RawData[[#This Row],[Value_USD_M]]*RawData[[#This Row],[Share_Est]]</f>
        <v>13.1</v>
      </c>
      <c r="Q43" s="46" t="s">
        <v>598</v>
      </c>
      <c r="S43" s="52"/>
    </row>
    <row r="44" spans="2:19" x14ac:dyDescent="0.3">
      <c r="B44" s="56" t="s">
        <v>266</v>
      </c>
      <c r="C44" s="46">
        <v>2025</v>
      </c>
      <c r="D44" s="57" t="s">
        <v>573</v>
      </c>
      <c r="E44" s="57" t="s">
        <v>560</v>
      </c>
      <c r="F44" s="46" t="s">
        <v>549</v>
      </c>
      <c r="G44" s="57" t="s">
        <v>574</v>
      </c>
      <c r="H44" s="57" t="s">
        <v>577</v>
      </c>
      <c r="I44" s="57"/>
      <c r="J44" s="57"/>
      <c r="K44" s="57"/>
      <c r="L44" s="57"/>
      <c r="M44" s="57">
        <v>15.7</v>
      </c>
      <c r="N44" s="57" t="s">
        <v>550</v>
      </c>
      <c r="O44" s="57">
        <v>0.5</v>
      </c>
      <c r="P44" s="62">
        <f>RawData[[#This Row],[Value_USD_M]]*RawData[[#This Row],[Share_Est]]</f>
        <v>7.85</v>
      </c>
      <c r="Q44" s="46" t="s">
        <v>598</v>
      </c>
      <c r="R44" s="57"/>
      <c r="S44" s="58"/>
    </row>
    <row r="45" spans="2:19" x14ac:dyDescent="0.3">
      <c r="B45" s="56" t="s">
        <v>266</v>
      </c>
      <c r="C45" s="46">
        <v>2026</v>
      </c>
      <c r="D45" s="46" t="s">
        <v>547</v>
      </c>
      <c r="E45" s="57" t="s">
        <v>560</v>
      </c>
      <c r="F45" s="46" t="s">
        <v>549</v>
      </c>
      <c r="G45" s="57" t="s">
        <v>574</v>
      </c>
      <c r="H45" s="57" t="s">
        <v>577</v>
      </c>
      <c r="M45" s="46">
        <v>125</v>
      </c>
      <c r="N45" s="57" t="s">
        <v>550</v>
      </c>
      <c r="O45" s="57">
        <v>0.5</v>
      </c>
      <c r="P45" s="61">
        <f>RawData[[#This Row],[Value_USD_M]]*RawData[[#This Row],[Share_Est]]</f>
        <v>62.5</v>
      </c>
      <c r="Q45" s="46" t="s">
        <v>598</v>
      </c>
      <c r="S45" s="52"/>
    </row>
    <row r="46" spans="2:19" x14ac:dyDescent="0.3">
      <c r="B46" s="56" t="s">
        <v>266</v>
      </c>
      <c r="C46" s="46">
        <v>2026</v>
      </c>
      <c r="D46" s="46" t="s">
        <v>546</v>
      </c>
      <c r="E46" s="57" t="s">
        <v>560</v>
      </c>
      <c r="F46" s="46" t="s">
        <v>549</v>
      </c>
      <c r="G46" s="57" t="s">
        <v>574</v>
      </c>
      <c r="H46" s="57" t="s">
        <v>577</v>
      </c>
      <c r="M46" s="46">
        <v>31.5</v>
      </c>
      <c r="N46" s="57" t="s">
        <v>550</v>
      </c>
      <c r="O46" s="57">
        <v>0.5</v>
      </c>
      <c r="P46" s="61">
        <f>RawData[[#This Row],[Value_USD_M]]*RawData[[#This Row],[Share_Est]]</f>
        <v>15.75</v>
      </c>
      <c r="Q46" s="46" t="s">
        <v>598</v>
      </c>
      <c r="S46" s="52"/>
    </row>
    <row r="47" spans="2:19" x14ac:dyDescent="0.3">
      <c r="B47" s="56" t="s">
        <v>266</v>
      </c>
      <c r="C47" s="46">
        <v>2026</v>
      </c>
      <c r="D47" s="57" t="s">
        <v>573</v>
      </c>
      <c r="E47" s="57" t="s">
        <v>560</v>
      </c>
      <c r="F47" s="46" t="s">
        <v>549</v>
      </c>
      <c r="G47" s="57" t="s">
        <v>574</v>
      </c>
      <c r="H47" s="57" t="s">
        <v>577</v>
      </c>
      <c r="I47" s="57"/>
      <c r="J47" s="57"/>
      <c r="K47" s="57"/>
      <c r="L47" s="57"/>
      <c r="M47" s="57">
        <v>4.5</v>
      </c>
      <c r="N47" s="57" t="s">
        <v>550</v>
      </c>
      <c r="O47" s="57">
        <v>0.5</v>
      </c>
      <c r="P47" s="62">
        <f>RawData[[#This Row],[Value_USD_M]]*RawData[[#This Row],[Share_Est]]</f>
        <v>2.25</v>
      </c>
      <c r="Q47" s="46" t="s">
        <v>598</v>
      </c>
      <c r="R47" s="57"/>
      <c r="S47" s="58"/>
    </row>
    <row r="48" spans="2:19" x14ac:dyDescent="0.3">
      <c r="B48" s="56" t="s">
        <v>266</v>
      </c>
      <c r="C48" s="46">
        <v>2024</v>
      </c>
      <c r="D48" s="57" t="s">
        <v>547</v>
      </c>
      <c r="E48" s="57" t="s">
        <v>560</v>
      </c>
      <c r="F48" s="46" t="s">
        <v>549</v>
      </c>
      <c r="G48" s="57" t="s">
        <v>337</v>
      </c>
      <c r="H48" s="57" t="s">
        <v>580</v>
      </c>
      <c r="I48" s="57"/>
      <c r="J48" s="57"/>
      <c r="K48" s="57"/>
      <c r="L48" s="57"/>
      <c r="M48" s="57">
        <v>144.69999999999999</v>
      </c>
      <c r="N48" s="57" t="s">
        <v>550</v>
      </c>
      <c r="O48" s="57">
        <v>0.4</v>
      </c>
      <c r="P48" s="62">
        <f>RawData[[#This Row],[Value_USD_M]]*RawData[[#This Row],[Share_Est]]</f>
        <v>57.879999999999995</v>
      </c>
      <c r="Q48" s="46" t="s">
        <v>598</v>
      </c>
      <c r="R48" s="57"/>
      <c r="S48" s="58"/>
    </row>
    <row r="49" spans="2:19" x14ac:dyDescent="0.3">
      <c r="B49" s="56" t="s">
        <v>266</v>
      </c>
      <c r="C49" s="46">
        <v>2024</v>
      </c>
      <c r="D49" s="57" t="s">
        <v>546</v>
      </c>
      <c r="E49" s="57" t="s">
        <v>560</v>
      </c>
      <c r="F49" s="46" t="s">
        <v>549</v>
      </c>
      <c r="G49" s="57" t="s">
        <v>337</v>
      </c>
      <c r="H49" s="57" t="s">
        <v>580</v>
      </c>
      <c r="I49" s="57"/>
      <c r="J49" s="57"/>
      <c r="K49" s="57"/>
      <c r="L49" s="57"/>
      <c r="M49" s="57">
        <v>16.600000000000001</v>
      </c>
      <c r="N49" s="57" t="s">
        <v>550</v>
      </c>
      <c r="O49" s="57">
        <v>0.4</v>
      </c>
      <c r="P49" s="62">
        <f>RawData[[#This Row],[Value_USD_M]]*RawData[[#This Row],[Share_Est]]</f>
        <v>6.6400000000000006</v>
      </c>
      <c r="Q49" s="46" t="s">
        <v>598</v>
      </c>
      <c r="R49" s="57"/>
      <c r="S49" s="58"/>
    </row>
    <row r="50" spans="2:19" x14ac:dyDescent="0.3">
      <c r="B50" s="56" t="s">
        <v>266</v>
      </c>
      <c r="C50" s="46">
        <v>2024</v>
      </c>
      <c r="D50" s="57" t="s">
        <v>573</v>
      </c>
      <c r="E50" s="57" t="s">
        <v>560</v>
      </c>
      <c r="F50" s="46" t="s">
        <v>549</v>
      </c>
      <c r="G50" s="57" t="s">
        <v>337</v>
      </c>
      <c r="H50" s="57" t="s">
        <v>580</v>
      </c>
      <c r="I50" s="57"/>
      <c r="J50" s="57"/>
      <c r="K50" s="57"/>
      <c r="L50" s="57"/>
      <c r="M50" s="57">
        <v>19.8</v>
      </c>
      <c r="N50" s="57" t="s">
        <v>550</v>
      </c>
      <c r="O50" s="57">
        <v>0.4</v>
      </c>
      <c r="P50" s="62">
        <f>RawData[[#This Row],[Value_USD_M]]*RawData[[#This Row],[Share_Est]]</f>
        <v>7.9200000000000008</v>
      </c>
      <c r="Q50" s="46" t="s">
        <v>598</v>
      </c>
      <c r="R50" s="57"/>
      <c r="S50" s="58"/>
    </row>
    <row r="51" spans="2:19" x14ac:dyDescent="0.3">
      <c r="B51" s="56" t="s">
        <v>266</v>
      </c>
      <c r="C51" s="46">
        <v>2025</v>
      </c>
      <c r="D51" s="46" t="s">
        <v>547</v>
      </c>
      <c r="E51" s="57" t="s">
        <v>560</v>
      </c>
      <c r="F51" s="46" t="s">
        <v>549</v>
      </c>
      <c r="G51" s="57" t="s">
        <v>337</v>
      </c>
      <c r="H51" s="57" t="s">
        <v>580</v>
      </c>
      <c r="M51" s="46">
        <v>108.2</v>
      </c>
      <c r="N51" s="57" t="s">
        <v>550</v>
      </c>
      <c r="O51" s="57">
        <v>0.4</v>
      </c>
      <c r="P51" s="62">
        <f>RawData[[#This Row],[Value_USD_M]]*RawData[[#This Row],[Share_Est]]</f>
        <v>43.28</v>
      </c>
      <c r="Q51" s="46" t="s">
        <v>598</v>
      </c>
      <c r="R51" s="57"/>
      <c r="S51" s="58"/>
    </row>
    <row r="52" spans="2:19" x14ac:dyDescent="0.3">
      <c r="B52" s="56" t="s">
        <v>266</v>
      </c>
      <c r="C52" s="46">
        <v>2025</v>
      </c>
      <c r="D52" s="46" t="s">
        <v>546</v>
      </c>
      <c r="E52" s="57" t="s">
        <v>560</v>
      </c>
      <c r="F52" s="46" t="s">
        <v>549</v>
      </c>
      <c r="G52" s="57" t="s">
        <v>337</v>
      </c>
      <c r="H52" s="57" t="s">
        <v>580</v>
      </c>
      <c r="M52" s="46">
        <v>26.2</v>
      </c>
      <c r="N52" s="57" t="s">
        <v>550</v>
      </c>
      <c r="O52" s="57">
        <v>0.4</v>
      </c>
      <c r="P52" s="62">
        <f>RawData[[#This Row],[Value_USD_M]]*RawData[[#This Row],[Share_Est]]</f>
        <v>10.48</v>
      </c>
      <c r="Q52" s="46" t="s">
        <v>598</v>
      </c>
      <c r="R52" s="57"/>
      <c r="S52" s="58"/>
    </row>
    <row r="53" spans="2:19" x14ac:dyDescent="0.3">
      <c r="B53" s="56" t="s">
        <v>266</v>
      </c>
      <c r="C53" s="46">
        <v>2025</v>
      </c>
      <c r="D53" s="57" t="s">
        <v>573</v>
      </c>
      <c r="E53" s="57" t="s">
        <v>560</v>
      </c>
      <c r="F53" s="46" t="s">
        <v>549</v>
      </c>
      <c r="G53" s="57" t="s">
        <v>337</v>
      </c>
      <c r="H53" s="57" t="s">
        <v>580</v>
      </c>
      <c r="I53" s="57"/>
      <c r="J53" s="57"/>
      <c r="K53" s="57"/>
      <c r="L53" s="57"/>
      <c r="M53" s="57">
        <v>15.7</v>
      </c>
      <c r="N53" s="57" t="s">
        <v>550</v>
      </c>
      <c r="O53" s="57">
        <v>0.4</v>
      </c>
      <c r="P53" s="62">
        <f>RawData[[#This Row],[Value_USD_M]]*RawData[[#This Row],[Share_Est]]</f>
        <v>6.28</v>
      </c>
      <c r="Q53" s="46" t="s">
        <v>598</v>
      </c>
      <c r="R53" s="57"/>
      <c r="S53" s="58"/>
    </row>
    <row r="54" spans="2:19" x14ac:dyDescent="0.3">
      <c r="B54" s="56" t="s">
        <v>266</v>
      </c>
      <c r="C54" s="46">
        <v>2026</v>
      </c>
      <c r="D54" s="46" t="s">
        <v>547</v>
      </c>
      <c r="E54" s="57" t="s">
        <v>560</v>
      </c>
      <c r="F54" s="46" t="s">
        <v>549</v>
      </c>
      <c r="G54" s="57" t="s">
        <v>337</v>
      </c>
      <c r="H54" s="57" t="s">
        <v>580</v>
      </c>
      <c r="M54" s="46">
        <v>125</v>
      </c>
      <c r="N54" s="57" t="s">
        <v>550</v>
      </c>
      <c r="O54" s="57">
        <v>0.4</v>
      </c>
      <c r="P54" s="62">
        <f>RawData[[#This Row],[Value_USD_M]]*RawData[[#This Row],[Share_Est]]</f>
        <v>50</v>
      </c>
      <c r="Q54" s="46" t="s">
        <v>598</v>
      </c>
      <c r="R54" s="57"/>
      <c r="S54" s="58"/>
    </row>
    <row r="55" spans="2:19" x14ac:dyDescent="0.3">
      <c r="B55" s="56" t="s">
        <v>266</v>
      </c>
      <c r="C55" s="46">
        <v>2026</v>
      </c>
      <c r="D55" s="46" t="s">
        <v>546</v>
      </c>
      <c r="E55" s="57" t="s">
        <v>560</v>
      </c>
      <c r="F55" s="46" t="s">
        <v>549</v>
      </c>
      <c r="G55" s="57" t="s">
        <v>337</v>
      </c>
      <c r="H55" s="57" t="s">
        <v>580</v>
      </c>
      <c r="M55" s="46">
        <v>31.5</v>
      </c>
      <c r="N55" s="57" t="s">
        <v>550</v>
      </c>
      <c r="O55" s="57">
        <v>0.4</v>
      </c>
      <c r="P55" s="62">
        <f>RawData[[#This Row],[Value_USD_M]]*RawData[[#This Row],[Share_Est]]</f>
        <v>12.600000000000001</v>
      </c>
      <c r="Q55" s="46" t="s">
        <v>598</v>
      </c>
      <c r="R55" s="57"/>
      <c r="S55" s="58"/>
    </row>
    <row r="56" spans="2:19" x14ac:dyDescent="0.3">
      <c r="B56" s="56" t="s">
        <v>266</v>
      </c>
      <c r="C56" s="46">
        <v>2026</v>
      </c>
      <c r="D56" s="57" t="s">
        <v>573</v>
      </c>
      <c r="E56" s="57" t="s">
        <v>560</v>
      </c>
      <c r="F56" s="46" t="s">
        <v>549</v>
      </c>
      <c r="G56" s="57" t="s">
        <v>337</v>
      </c>
      <c r="H56" s="57" t="s">
        <v>580</v>
      </c>
      <c r="I56" s="57"/>
      <c r="J56" s="57"/>
      <c r="K56" s="57"/>
      <c r="L56" s="57"/>
      <c r="M56" s="57">
        <v>4.5</v>
      </c>
      <c r="N56" s="57" t="s">
        <v>550</v>
      </c>
      <c r="O56" s="57">
        <v>0.4</v>
      </c>
      <c r="P56" s="62">
        <f>RawData[[#This Row],[Value_USD_M]]*RawData[[#This Row],[Share_Est]]</f>
        <v>1.8</v>
      </c>
      <c r="Q56" s="46" t="s">
        <v>598</v>
      </c>
      <c r="R56" s="57"/>
      <c r="S56" s="58"/>
    </row>
    <row r="57" spans="2:19" x14ac:dyDescent="0.3">
      <c r="B57" s="56" t="s">
        <v>266</v>
      </c>
      <c r="C57" s="46">
        <v>2024</v>
      </c>
      <c r="D57" s="57" t="s">
        <v>547</v>
      </c>
      <c r="E57" s="57" t="s">
        <v>560</v>
      </c>
      <c r="F57" s="46" t="s">
        <v>549</v>
      </c>
      <c r="G57" s="57" t="s">
        <v>578</v>
      </c>
      <c r="H57" s="57" t="s">
        <v>579</v>
      </c>
      <c r="I57" s="57"/>
      <c r="J57" s="57"/>
      <c r="K57" s="57"/>
      <c r="L57" s="57"/>
      <c r="M57" s="57">
        <v>144.69999999999999</v>
      </c>
      <c r="N57" s="57" t="s">
        <v>550</v>
      </c>
      <c r="O57" s="57">
        <v>0.1</v>
      </c>
      <c r="P57" s="62">
        <f>RawData[[#This Row],[Value_USD_M]]*RawData[[#This Row],[Share_Est]]</f>
        <v>14.469999999999999</v>
      </c>
      <c r="Q57" s="46" t="s">
        <v>598</v>
      </c>
      <c r="R57" s="57"/>
      <c r="S57" s="58"/>
    </row>
    <row r="58" spans="2:19" x14ac:dyDescent="0.3">
      <c r="B58" s="56" t="s">
        <v>266</v>
      </c>
      <c r="C58" s="46">
        <v>2024</v>
      </c>
      <c r="D58" s="57" t="s">
        <v>546</v>
      </c>
      <c r="E58" s="57" t="s">
        <v>560</v>
      </c>
      <c r="F58" s="46" t="s">
        <v>549</v>
      </c>
      <c r="G58" s="57" t="s">
        <v>578</v>
      </c>
      <c r="H58" s="57" t="s">
        <v>579</v>
      </c>
      <c r="I58" s="57"/>
      <c r="J58" s="57"/>
      <c r="K58" s="57"/>
      <c r="L58" s="57"/>
      <c r="M58" s="57">
        <v>16.600000000000001</v>
      </c>
      <c r="N58" s="57" t="s">
        <v>550</v>
      </c>
      <c r="O58" s="57">
        <v>0.1</v>
      </c>
      <c r="P58" s="62">
        <f>RawData[[#This Row],[Value_USD_M]]*RawData[[#This Row],[Share_Est]]</f>
        <v>1.6600000000000001</v>
      </c>
      <c r="Q58" s="46" t="s">
        <v>598</v>
      </c>
      <c r="R58" s="57"/>
      <c r="S58" s="58"/>
    </row>
    <row r="59" spans="2:19" x14ac:dyDescent="0.3">
      <c r="B59" s="56" t="s">
        <v>266</v>
      </c>
      <c r="C59" s="46">
        <v>2024</v>
      </c>
      <c r="D59" s="57" t="s">
        <v>573</v>
      </c>
      <c r="E59" s="57" t="s">
        <v>560</v>
      </c>
      <c r="F59" s="46" t="s">
        <v>549</v>
      </c>
      <c r="G59" s="57" t="s">
        <v>578</v>
      </c>
      <c r="H59" s="57" t="s">
        <v>579</v>
      </c>
      <c r="I59" s="57"/>
      <c r="J59" s="57"/>
      <c r="K59" s="57"/>
      <c r="L59" s="57"/>
      <c r="M59" s="57">
        <v>19.8</v>
      </c>
      <c r="N59" s="57" t="s">
        <v>550</v>
      </c>
      <c r="O59" s="57">
        <v>0.1</v>
      </c>
      <c r="P59" s="62">
        <f>RawData[[#This Row],[Value_USD_M]]*RawData[[#This Row],[Share_Est]]</f>
        <v>1.9800000000000002</v>
      </c>
      <c r="Q59" s="46" t="s">
        <v>598</v>
      </c>
      <c r="R59" s="57"/>
      <c r="S59" s="58"/>
    </row>
    <row r="60" spans="2:19" x14ac:dyDescent="0.3">
      <c r="B60" s="56" t="s">
        <v>266</v>
      </c>
      <c r="C60" s="46">
        <v>2025</v>
      </c>
      <c r="D60" s="46" t="s">
        <v>547</v>
      </c>
      <c r="E60" s="57" t="s">
        <v>560</v>
      </c>
      <c r="F60" s="46" t="s">
        <v>549</v>
      </c>
      <c r="G60" s="57" t="s">
        <v>578</v>
      </c>
      <c r="H60" s="57" t="s">
        <v>579</v>
      </c>
      <c r="M60" s="46">
        <v>108.2</v>
      </c>
      <c r="N60" s="57" t="s">
        <v>550</v>
      </c>
      <c r="O60" s="57">
        <v>0.1</v>
      </c>
      <c r="P60" s="62">
        <f>RawData[[#This Row],[Value_USD_M]]*RawData[[#This Row],[Share_Est]]</f>
        <v>10.82</v>
      </c>
      <c r="Q60" s="46" t="s">
        <v>598</v>
      </c>
      <c r="R60" s="57"/>
      <c r="S60" s="58"/>
    </row>
    <row r="61" spans="2:19" x14ac:dyDescent="0.3">
      <c r="B61" s="56" t="s">
        <v>266</v>
      </c>
      <c r="C61" s="46">
        <v>2025</v>
      </c>
      <c r="D61" s="46" t="s">
        <v>546</v>
      </c>
      <c r="E61" s="57" t="s">
        <v>560</v>
      </c>
      <c r="F61" s="46" t="s">
        <v>549</v>
      </c>
      <c r="G61" s="57" t="s">
        <v>578</v>
      </c>
      <c r="H61" s="57" t="s">
        <v>579</v>
      </c>
      <c r="M61" s="46">
        <v>26.2</v>
      </c>
      <c r="N61" s="57" t="s">
        <v>550</v>
      </c>
      <c r="O61" s="57">
        <v>0.1</v>
      </c>
      <c r="P61" s="62">
        <f>RawData[[#This Row],[Value_USD_M]]*RawData[[#This Row],[Share_Est]]</f>
        <v>2.62</v>
      </c>
      <c r="Q61" s="46" t="s">
        <v>598</v>
      </c>
      <c r="R61" s="57"/>
      <c r="S61" s="58"/>
    </row>
    <row r="62" spans="2:19" x14ac:dyDescent="0.3">
      <c r="B62" s="56" t="s">
        <v>266</v>
      </c>
      <c r="C62" s="46">
        <v>2025</v>
      </c>
      <c r="D62" s="57" t="s">
        <v>573</v>
      </c>
      <c r="E62" s="57" t="s">
        <v>560</v>
      </c>
      <c r="F62" s="46" t="s">
        <v>549</v>
      </c>
      <c r="G62" s="57" t="s">
        <v>578</v>
      </c>
      <c r="H62" s="57" t="s">
        <v>579</v>
      </c>
      <c r="I62" s="57"/>
      <c r="J62" s="57"/>
      <c r="K62" s="57"/>
      <c r="L62" s="57"/>
      <c r="M62" s="57">
        <v>15.7</v>
      </c>
      <c r="N62" s="57" t="s">
        <v>550</v>
      </c>
      <c r="O62" s="57">
        <v>0.1</v>
      </c>
      <c r="P62" s="62">
        <f>RawData[[#This Row],[Value_USD_M]]*RawData[[#This Row],[Share_Est]]</f>
        <v>1.57</v>
      </c>
      <c r="Q62" s="46" t="s">
        <v>598</v>
      </c>
      <c r="R62" s="57"/>
      <c r="S62" s="58"/>
    </row>
    <row r="63" spans="2:19" x14ac:dyDescent="0.3">
      <c r="B63" s="56" t="s">
        <v>266</v>
      </c>
      <c r="C63" s="46">
        <v>2026</v>
      </c>
      <c r="D63" s="46" t="s">
        <v>547</v>
      </c>
      <c r="E63" s="57" t="s">
        <v>560</v>
      </c>
      <c r="F63" s="46" t="s">
        <v>549</v>
      </c>
      <c r="G63" s="57" t="s">
        <v>578</v>
      </c>
      <c r="H63" s="57" t="s">
        <v>579</v>
      </c>
      <c r="M63" s="46">
        <v>125</v>
      </c>
      <c r="N63" s="57" t="s">
        <v>550</v>
      </c>
      <c r="O63" s="57">
        <v>0.1</v>
      </c>
      <c r="P63" s="62">
        <f>RawData[[#This Row],[Value_USD_M]]*RawData[[#This Row],[Share_Est]]</f>
        <v>12.5</v>
      </c>
      <c r="Q63" s="46" t="s">
        <v>598</v>
      </c>
      <c r="R63" s="57"/>
      <c r="S63" s="58"/>
    </row>
    <row r="64" spans="2:19" x14ac:dyDescent="0.3">
      <c r="B64" s="56" t="s">
        <v>266</v>
      </c>
      <c r="C64" s="46">
        <v>2026</v>
      </c>
      <c r="D64" s="46" t="s">
        <v>546</v>
      </c>
      <c r="E64" s="57" t="s">
        <v>560</v>
      </c>
      <c r="F64" s="46" t="s">
        <v>549</v>
      </c>
      <c r="G64" s="57" t="s">
        <v>578</v>
      </c>
      <c r="H64" s="57" t="s">
        <v>579</v>
      </c>
      <c r="M64" s="46">
        <v>31.5</v>
      </c>
      <c r="N64" s="57" t="s">
        <v>550</v>
      </c>
      <c r="O64" s="57">
        <v>0.1</v>
      </c>
      <c r="P64" s="62">
        <f>RawData[[#This Row],[Value_USD_M]]*RawData[[#This Row],[Share_Est]]</f>
        <v>3.1500000000000004</v>
      </c>
      <c r="Q64" s="46" t="s">
        <v>598</v>
      </c>
      <c r="R64" s="57"/>
      <c r="S64" s="58"/>
    </row>
    <row r="65" spans="2:19" x14ac:dyDescent="0.3">
      <c r="B65" s="56" t="s">
        <v>266</v>
      </c>
      <c r="C65" s="46">
        <v>2026</v>
      </c>
      <c r="D65" s="57" t="s">
        <v>573</v>
      </c>
      <c r="E65" s="57" t="s">
        <v>560</v>
      </c>
      <c r="F65" s="46" t="s">
        <v>549</v>
      </c>
      <c r="G65" s="57" t="s">
        <v>578</v>
      </c>
      <c r="H65" s="57" t="s">
        <v>579</v>
      </c>
      <c r="I65" s="57"/>
      <c r="J65" s="57"/>
      <c r="K65" s="57"/>
      <c r="L65" s="57"/>
      <c r="M65" s="57">
        <v>4.5</v>
      </c>
      <c r="N65" s="57" t="s">
        <v>550</v>
      </c>
      <c r="O65" s="57">
        <v>0.1</v>
      </c>
      <c r="P65" s="62">
        <f>RawData[[#This Row],[Value_USD_M]]*RawData[[#This Row],[Share_Est]]</f>
        <v>0.45</v>
      </c>
      <c r="Q65" s="46" t="s">
        <v>598</v>
      </c>
      <c r="R65" s="57"/>
      <c r="S65" s="58"/>
    </row>
    <row r="66" spans="2:19" x14ac:dyDescent="0.3">
      <c r="B66" s="56" t="s">
        <v>266</v>
      </c>
      <c r="C66" s="46">
        <v>2024</v>
      </c>
      <c r="D66" s="46" t="s">
        <v>547</v>
      </c>
      <c r="E66" s="57" t="s">
        <v>560</v>
      </c>
      <c r="F66" s="57" t="s">
        <v>548</v>
      </c>
      <c r="G66" s="57" t="s">
        <v>574</v>
      </c>
      <c r="H66" s="57" t="s">
        <v>577</v>
      </c>
      <c r="K66" s="46">
        <v>5</v>
      </c>
      <c r="M66" s="46">
        <v>1028.8</v>
      </c>
      <c r="N66" s="57" t="s">
        <v>550</v>
      </c>
      <c r="O66" s="46">
        <v>0.46</v>
      </c>
      <c r="P66" s="61">
        <f>RawData[[#This Row],[Value_USD_M]]*RawData[[#This Row],[Share_Est]]</f>
        <v>473.24799999999999</v>
      </c>
      <c r="Q66" s="46" t="s">
        <v>598</v>
      </c>
      <c r="S66" s="52"/>
    </row>
    <row r="67" spans="2:19" x14ac:dyDescent="0.3">
      <c r="B67" s="56" t="s">
        <v>266</v>
      </c>
      <c r="C67" s="46">
        <v>2024</v>
      </c>
      <c r="D67" s="46" t="s">
        <v>546</v>
      </c>
      <c r="E67" s="57" t="s">
        <v>560</v>
      </c>
      <c r="F67" s="57" t="s">
        <v>548</v>
      </c>
      <c r="G67" s="57" t="s">
        <v>574</v>
      </c>
      <c r="H67" s="57" t="s">
        <v>577</v>
      </c>
      <c r="K67" s="46">
        <v>5</v>
      </c>
      <c r="M67" s="46">
        <v>157</v>
      </c>
      <c r="N67" s="57" t="s">
        <v>550</v>
      </c>
      <c r="O67" s="46">
        <v>0.46</v>
      </c>
      <c r="P67" s="61">
        <f>RawData[[#This Row],[Value_USD_M]]*RawData[[#This Row],[Share_Est]]</f>
        <v>72.22</v>
      </c>
      <c r="Q67" s="46" t="s">
        <v>598</v>
      </c>
      <c r="S67" s="52"/>
    </row>
    <row r="68" spans="2:19" x14ac:dyDescent="0.3">
      <c r="B68" s="56" t="s">
        <v>266</v>
      </c>
      <c r="C68" s="46">
        <v>2024</v>
      </c>
      <c r="D68" s="57" t="s">
        <v>573</v>
      </c>
      <c r="E68" s="57" t="s">
        <v>560</v>
      </c>
      <c r="F68" s="57" t="s">
        <v>548</v>
      </c>
      <c r="G68" s="57" t="s">
        <v>574</v>
      </c>
      <c r="H68" s="57" t="s">
        <v>577</v>
      </c>
      <c r="I68" s="57"/>
      <c r="J68" s="57"/>
      <c r="K68" s="57">
        <v>5</v>
      </c>
      <c r="L68" s="57"/>
      <c r="M68" s="57">
        <v>76</v>
      </c>
      <c r="N68" s="57" t="s">
        <v>550</v>
      </c>
      <c r="O68" s="46">
        <v>0.46</v>
      </c>
      <c r="P68" s="62">
        <f>RawData[[#This Row],[Value_USD_M]]*RawData[[#This Row],[Share_Est]]</f>
        <v>34.96</v>
      </c>
      <c r="Q68" s="46" t="s">
        <v>598</v>
      </c>
      <c r="R68" s="57"/>
      <c r="S68" s="58"/>
    </row>
    <row r="69" spans="2:19" x14ac:dyDescent="0.3">
      <c r="B69" s="56" t="s">
        <v>266</v>
      </c>
      <c r="C69" s="46">
        <v>2025</v>
      </c>
      <c r="D69" s="46" t="s">
        <v>547</v>
      </c>
      <c r="E69" s="57" t="s">
        <v>560</v>
      </c>
      <c r="F69" s="57" t="s">
        <v>548</v>
      </c>
      <c r="G69" s="57" t="s">
        <v>574</v>
      </c>
      <c r="H69" s="57" t="s">
        <v>577</v>
      </c>
      <c r="K69" s="46">
        <v>0</v>
      </c>
      <c r="M69" s="46">
        <v>395.4</v>
      </c>
      <c r="N69" s="57" t="s">
        <v>550</v>
      </c>
      <c r="O69" s="46">
        <v>0.46</v>
      </c>
      <c r="P69" s="61">
        <f>RawData[[#This Row],[Value_USD_M]]*RawData[[#This Row],[Share_Est]]</f>
        <v>181.88399999999999</v>
      </c>
      <c r="Q69" s="46" t="s">
        <v>598</v>
      </c>
      <c r="S69" s="52"/>
    </row>
    <row r="70" spans="2:19" x14ac:dyDescent="0.3">
      <c r="B70" s="56" t="s">
        <v>266</v>
      </c>
      <c r="C70" s="46">
        <v>2025</v>
      </c>
      <c r="D70" s="46" t="s">
        <v>546</v>
      </c>
      <c r="E70" s="57" t="s">
        <v>560</v>
      </c>
      <c r="F70" s="57" t="s">
        <v>548</v>
      </c>
      <c r="G70" s="57" t="s">
        <v>574</v>
      </c>
      <c r="H70" s="57" t="s">
        <v>577</v>
      </c>
      <c r="K70" s="46">
        <v>0</v>
      </c>
      <c r="M70" s="46">
        <v>58.6</v>
      </c>
      <c r="N70" s="57" t="s">
        <v>550</v>
      </c>
      <c r="O70" s="46">
        <v>0.46</v>
      </c>
      <c r="P70" s="61">
        <f>RawData[[#This Row],[Value_USD_M]]*RawData[[#This Row],[Share_Est]]</f>
        <v>26.956000000000003</v>
      </c>
      <c r="Q70" s="46" t="s">
        <v>598</v>
      </c>
      <c r="S70" s="52"/>
    </row>
    <row r="71" spans="2:19" x14ac:dyDescent="0.3">
      <c r="B71" s="56" t="s">
        <v>266</v>
      </c>
      <c r="C71" s="46">
        <v>2025</v>
      </c>
      <c r="D71" s="57" t="s">
        <v>573</v>
      </c>
      <c r="E71" s="57" t="s">
        <v>560</v>
      </c>
      <c r="F71" s="57" t="s">
        <v>548</v>
      </c>
      <c r="G71" s="57" t="s">
        <v>574</v>
      </c>
      <c r="H71" s="57" t="s">
        <v>577</v>
      </c>
      <c r="I71" s="57"/>
      <c r="J71" s="57"/>
      <c r="K71" s="57">
        <v>0</v>
      </c>
      <c r="L71" s="57"/>
      <c r="M71" s="57">
        <v>40.799999999999997</v>
      </c>
      <c r="N71" s="57" t="s">
        <v>550</v>
      </c>
      <c r="O71" s="46">
        <v>0.46</v>
      </c>
      <c r="P71" s="62">
        <f>RawData[[#This Row],[Value_USD_M]]*RawData[[#This Row],[Share_Est]]</f>
        <v>18.768000000000001</v>
      </c>
      <c r="Q71" s="46" t="s">
        <v>598</v>
      </c>
      <c r="R71" s="57"/>
      <c r="S71" s="58"/>
    </row>
    <row r="72" spans="2:19" x14ac:dyDescent="0.3">
      <c r="B72" s="56" t="s">
        <v>266</v>
      </c>
      <c r="C72" s="46">
        <v>2026</v>
      </c>
      <c r="D72" s="46" t="s">
        <v>547</v>
      </c>
      <c r="E72" s="57" t="s">
        <v>560</v>
      </c>
      <c r="F72" s="57" t="s">
        <v>548</v>
      </c>
      <c r="G72" s="57" t="s">
        <v>574</v>
      </c>
      <c r="H72" s="57" t="s">
        <v>577</v>
      </c>
      <c r="K72" s="46">
        <v>0</v>
      </c>
      <c r="M72" s="46">
        <v>453.3</v>
      </c>
      <c r="N72" s="57" t="s">
        <v>550</v>
      </c>
      <c r="O72" s="46">
        <v>0.46</v>
      </c>
      <c r="P72" s="61">
        <f>RawData[[#This Row],[Value_USD_M]]*RawData[[#This Row],[Share_Est]]</f>
        <v>208.518</v>
      </c>
      <c r="Q72" s="46" t="s">
        <v>598</v>
      </c>
      <c r="S72" s="52"/>
    </row>
    <row r="73" spans="2:19" x14ac:dyDescent="0.3">
      <c r="B73" s="56" t="s">
        <v>266</v>
      </c>
      <c r="C73" s="46">
        <v>2026</v>
      </c>
      <c r="D73" s="46" t="s">
        <v>546</v>
      </c>
      <c r="E73" s="57" t="s">
        <v>560</v>
      </c>
      <c r="F73" s="57" t="s">
        <v>548</v>
      </c>
      <c r="G73" s="57" t="s">
        <v>574</v>
      </c>
      <c r="H73" s="57" t="s">
        <v>577</v>
      </c>
      <c r="K73" s="46">
        <v>0</v>
      </c>
      <c r="M73" s="46">
        <v>193.5</v>
      </c>
      <c r="N73" s="57" t="s">
        <v>550</v>
      </c>
      <c r="O73" s="46">
        <v>0.46</v>
      </c>
      <c r="P73" s="61">
        <f>RawData[[#This Row],[Value_USD_M]]*RawData[[#This Row],[Share_Est]]</f>
        <v>89.01</v>
      </c>
      <c r="Q73" s="46" t="s">
        <v>598</v>
      </c>
      <c r="S73" s="52"/>
    </row>
    <row r="74" spans="2:19" x14ac:dyDescent="0.3">
      <c r="B74" s="56" t="s">
        <v>266</v>
      </c>
      <c r="C74" s="46">
        <v>2026</v>
      </c>
      <c r="D74" s="57" t="s">
        <v>573</v>
      </c>
      <c r="E74" s="57" t="s">
        <v>560</v>
      </c>
      <c r="F74" s="57" t="s">
        <v>548</v>
      </c>
      <c r="G74" s="57" t="s">
        <v>574</v>
      </c>
      <c r="H74" s="57" t="s">
        <v>577</v>
      </c>
      <c r="I74" s="57"/>
      <c r="J74" s="57"/>
      <c r="K74" s="57">
        <v>0</v>
      </c>
      <c r="L74" s="57"/>
      <c r="M74" s="57">
        <v>19.7</v>
      </c>
      <c r="N74" s="57" t="s">
        <v>550</v>
      </c>
      <c r="O74" s="46">
        <v>0.46</v>
      </c>
      <c r="P74" s="62">
        <f>RawData[[#This Row],[Value_USD_M]]*RawData[[#This Row],[Share_Est]]</f>
        <v>9.0619999999999994</v>
      </c>
      <c r="Q74" s="46" t="s">
        <v>598</v>
      </c>
      <c r="R74" s="57"/>
      <c r="S74" s="58"/>
    </row>
    <row r="75" spans="2:19" x14ac:dyDescent="0.3">
      <c r="B75" s="51" t="s">
        <v>266</v>
      </c>
      <c r="C75" s="46">
        <v>2024</v>
      </c>
      <c r="D75" s="46" t="s">
        <v>547</v>
      </c>
      <c r="E75" s="46" t="s">
        <v>560</v>
      </c>
      <c r="F75" s="46" t="s">
        <v>548</v>
      </c>
      <c r="G75" s="57" t="s">
        <v>337</v>
      </c>
      <c r="H75" s="57" t="s">
        <v>580</v>
      </c>
      <c r="K75" s="46">
        <v>5</v>
      </c>
      <c r="M75" s="46">
        <v>1028.8</v>
      </c>
      <c r="N75" s="46" t="s">
        <v>550</v>
      </c>
      <c r="O75" s="46">
        <v>0.39</v>
      </c>
      <c r="P75" s="61">
        <f>RawData[[#This Row],[Value_USD_M]]*RawData[[#This Row],[Share_Est]]</f>
        <v>401.23199999999997</v>
      </c>
      <c r="Q75" s="46" t="s">
        <v>598</v>
      </c>
      <c r="S75" s="52"/>
    </row>
    <row r="76" spans="2:19" x14ac:dyDescent="0.3">
      <c r="B76" s="51" t="s">
        <v>266</v>
      </c>
      <c r="C76" s="46">
        <v>2024</v>
      </c>
      <c r="D76" s="46" t="s">
        <v>546</v>
      </c>
      <c r="E76" s="46" t="s">
        <v>560</v>
      </c>
      <c r="F76" s="46" t="s">
        <v>548</v>
      </c>
      <c r="G76" s="57" t="s">
        <v>337</v>
      </c>
      <c r="H76" s="57" t="s">
        <v>580</v>
      </c>
      <c r="K76" s="46">
        <v>5</v>
      </c>
      <c r="M76" s="46">
        <v>157</v>
      </c>
      <c r="N76" s="46" t="s">
        <v>550</v>
      </c>
      <c r="O76" s="46">
        <v>0.39</v>
      </c>
      <c r="P76" s="61">
        <f>RawData[[#This Row],[Value_USD_M]]*RawData[[#This Row],[Share_Est]]</f>
        <v>61.230000000000004</v>
      </c>
      <c r="Q76" s="46" t="s">
        <v>598</v>
      </c>
      <c r="S76" s="52"/>
    </row>
    <row r="77" spans="2:19" x14ac:dyDescent="0.3">
      <c r="B77" s="51" t="s">
        <v>266</v>
      </c>
      <c r="C77" s="46">
        <v>2024</v>
      </c>
      <c r="D77" s="46" t="s">
        <v>573</v>
      </c>
      <c r="E77" s="46" t="s">
        <v>560</v>
      </c>
      <c r="F77" s="46" t="s">
        <v>548</v>
      </c>
      <c r="G77" s="57" t="s">
        <v>337</v>
      </c>
      <c r="H77" s="57" t="s">
        <v>580</v>
      </c>
      <c r="K77" s="46">
        <v>5</v>
      </c>
      <c r="M77" s="46">
        <v>76</v>
      </c>
      <c r="N77" s="46" t="s">
        <v>550</v>
      </c>
      <c r="O77" s="46">
        <v>0.39</v>
      </c>
      <c r="P77" s="61">
        <f>RawData[[#This Row],[Value_USD_M]]*RawData[[#This Row],[Share_Est]]</f>
        <v>29.64</v>
      </c>
      <c r="Q77" s="46" t="s">
        <v>598</v>
      </c>
      <c r="S77" s="52"/>
    </row>
    <row r="78" spans="2:19" x14ac:dyDescent="0.3">
      <c r="B78" s="51" t="s">
        <v>266</v>
      </c>
      <c r="C78" s="46">
        <v>2025</v>
      </c>
      <c r="D78" s="46" t="s">
        <v>547</v>
      </c>
      <c r="E78" s="46" t="s">
        <v>560</v>
      </c>
      <c r="F78" s="46" t="s">
        <v>548</v>
      </c>
      <c r="G78" s="57" t="s">
        <v>337</v>
      </c>
      <c r="H78" s="57" t="s">
        <v>580</v>
      </c>
      <c r="K78" s="46">
        <v>0</v>
      </c>
      <c r="M78" s="46">
        <v>395.4</v>
      </c>
      <c r="N78" s="46" t="s">
        <v>550</v>
      </c>
      <c r="O78" s="46">
        <v>0.39</v>
      </c>
      <c r="P78" s="61">
        <f>RawData[[#This Row],[Value_USD_M]]*RawData[[#This Row],[Share_Est]]</f>
        <v>154.20599999999999</v>
      </c>
      <c r="Q78" s="46" t="s">
        <v>598</v>
      </c>
      <c r="S78" s="52"/>
    </row>
    <row r="79" spans="2:19" x14ac:dyDescent="0.3">
      <c r="B79" s="51" t="s">
        <v>266</v>
      </c>
      <c r="C79" s="46">
        <v>2025</v>
      </c>
      <c r="D79" s="46" t="s">
        <v>546</v>
      </c>
      <c r="E79" s="46" t="s">
        <v>560</v>
      </c>
      <c r="F79" s="46" t="s">
        <v>548</v>
      </c>
      <c r="G79" s="57" t="s">
        <v>337</v>
      </c>
      <c r="H79" s="57" t="s">
        <v>580</v>
      </c>
      <c r="K79" s="46">
        <v>0</v>
      </c>
      <c r="M79" s="46">
        <v>58.6</v>
      </c>
      <c r="N79" s="46" t="s">
        <v>550</v>
      </c>
      <c r="O79" s="46">
        <v>0.39</v>
      </c>
      <c r="P79" s="61">
        <f>RawData[[#This Row],[Value_USD_M]]*RawData[[#This Row],[Share_Est]]</f>
        <v>22.854000000000003</v>
      </c>
      <c r="Q79" s="46" t="s">
        <v>598</v>
      </c>
      <c r="S79" s="52"/>
    </row>
    <row r="80" spans="2:19" x14ac:dyDescent="0.3">
      <c r="B80" s="51" t="s">
        <v>266</v>
      </c>
      <c r="C80" s="46">
        <v>2025</v>
      </c>
      <c r="D80" s="46" t="s">
        <v>573</v>
      </c>
      <c r="E80" s="46" t="s">
        <v>560</v>
      </c>
      <c r="F80" s="46" t="s">
        <v>548</v>
      </c>
      <c r="G80" s="57" t="s">
        <v>337</v>
      </c>
      <c r="H80" s="57" t="s">
        <v>580</v>
      </c>
      <c r="K80" s="46">
        <v>0</v>
      </c>
      <c r="M80" s="46">
        <v>40.799999999999997</v>
      </c>
      <c r="N80" s="46" t="s">
        <v>550</v>
      </c>
      <c r="O80" s="46">
        <v>0.39</v>
      </c>
      <c r="P80" s="61">
        <f>RawData[[#This Row],[Value_USD_M]]*RawData[[#This Row],[Share_Est]]</f>
        <v>15.911999999999999</v>
      </c>
      <c r="Q80" s="46" t="s">
        <v>598</v>
      </c>
      <c r="S80" s="52"/>
    </row>
    <row r="81" spans="2:19" x14ac:dyDescent="0.3">
      <c r="B81" s="51" t="s">
        <v>266</v>
      </c>
      <c r="C81" s="46">
        <v>2026</v>
      </c>
      <c r="D81" s="46" t="s">
        <v>547</v>
      </c>
      <c r="E81" s="46" t="s">
        <v>560</v>
      </c>
      <c r="F81" s="46" t="s">
        <v>548</v>
      </c>
      <c r="G81" s="57" t="s">
        <v>337</v>
      </c>
      <c r="H81" s="57" t="s">
        <v>580</v>
      </c>
      <c r="K81" s="46">
        <v>0</v>
      </c>
      <c r="M81" s="46">
        <v>453.3</v>
      </c>
      <c r="N81" s="46" t="s">
        <v>550</v>
      </c>
      <c r="O81" s="46">
        <v>0.39</v>
      </c>
      <c r="P81" s="61">
        <f>RawData[[#This Row],[Value_USD_M]]*RawData[[#This Row],[Share_Est]]</f>
        <v>176.78700000000001</v>
      </c>
      <c r="Q81" s="46" t="s">
        <v>598</v>
      </c>
      <c r="S81" s="52"/>
    </row>
    <row r="82" spans="2:19" x14ac:dyDescent="0.3">
      <c r="B82" s="51" t="s">
        <v>266</v>
      </c>
      <c r="C82" s="46">
        <v>2026</v>
      </c>
      <c r="D82" s="46" t="s">
        <v>546</v>
      </c>
      <c r="E82" s="46" t="s">
        <v>560</v>
      </c>
      <c r="F82" s="46" t="s">
        <v>548</v>
      </c>
      <c r="G82" s="57" t="s">
        <v>337</v>
      </c>
      <c r="H82" s="57" t="s">
        <v>580</v>
      </c>
      <c r="K82" s="46">
        <v>0</v>
      </c>
      <c r="M82" s="46">
        <v>193.5</v>
      </c>
      <c r="N82" s="46" t="s">
        <v>550</v>
      </c>
      <c r="O82" s="46">
        <v>0.39</v>
      </c>
      <c r="P82" s="61">
        <f>RawData[[#This Row],[Value_USD_M]]*RawData[[#This Row],[Share_Est]]</f>
        <v>75.465000000000003</v>
      </c>
      <c r="Q82" s="46" t="s">
        <v>598</v>
      </c>
      <c r="S82" s="52"/>
    </row>
    <row r="83" spans="2:19" x14ac:dyDescent="0.3">
      <c r="B83" s="56" t="s">
        <v>266</v>
      </c>
      <c r="C83" s="57">
        <v>2026</v>
      </c>
      <c r="D83" s="57" t="s">
        <v>573</v>
      </c>
      <c r="E83" s="57" t="s">
        <v>560</v>
      </c>
      <c r="F83" s="57" t="s">
        <v>548</v>
      </c>
      <c r="G83" s="57" t="s">
        <v>337</v>
      </c>
      <c r="H83" s="57" t="s">
        <v>580</v>
      </c>
      <c r="I83" s="57"/>
      <c r="J83" s="57"/>
      <c r="K83" s="57">
        <v>0</v>
      </c>
      <c r="L83" s="57"/>
      <c r="M83" s="57">
        <v>19.7</v>
      </c>
      <c r="N83" s="57" t="s">
        <v>550</v>
      </c>
      <c r="O83" s="46">
        <v>0.39</v>
      </c>
      <c r="P83" s="62">
        <f>RawData[[#This Row],[Value_USD_M]]*RawData[[#This Row],[Share_Est]]</f>
        <v>7.6829999999999998</v>
      </c>
      <c r="Q83" s="46" t="s">
        <v>598</v>
      </c>
      <c r="R83" s="57"/>
      <c r="S83" s="58"/>
    </row>
    <row r="84" spans="2:19" x14ac:dyDescent="0.3">
      <c r="B84" s="51" t="s">
        <v>266</v>
      </c>
      <c r="C84" s="46">
        <v>2024</v>
      </c>
      <c r="D84" s="46" t="s">
        <v>547</v>
      </c>
      <c r="E84" s="46" t="s">
        <v>560</v>
      </c>
      <c r="F84" s="46" t="s">
        <v>548</v>
      </c>
      <c r="G84" s="57" t="s">
        <v>578</v>
      </c>
      <c r="H84" s="57" t="s">
        <v>579</v>
      </c>
      <c r="K84" s="46">
        <v>5</v>
      </c>
      <c r="M84" s="46">
        <v>1028.8</v>
      </c>
      <c r="N84" s="46" t="s">
        <v>550</v>
      </c>
      <c r="O84" s="46">
        <v>0.15</v>
      </c>
      <c r="P84" s="61">
        <f>RawData[[#This Row],[Value_USD_M]]*RawData[[#This Row],[Share_Est]]</f>
        <v>154.32</v>
      </c>
      <c r="Q84" s="46" t="s">
        <v>598</v>
      </c>
      <c r="S84" s="52"/>
    </row>
    <row r="85" spans="2:19" x14ac:dyDescent="0.3">
      <c r="B85" s="51" t="s">
        <v>266</v>
      </c>
      <c r="C85" s="46">
        <v>2024</v>
      </c>
      <c r="D85" s="46" t="s">
        <v>546</v>
      </c>
      <c r="E85" s="46" t="s">
        <v>560</v>
      </c>
      <c r="F85" s="46" t="s">
        <v>548</v>
      </c>
      <c r="G85" s="57" t="s">
        <v>578</v>
      </c>
      <c r="H85" s="57" t="s">
        <v>579</v>
      </c>
      <c r="K85" s="46">
        <v>5</v>
      </c>
      <c r="M85" s="46">
        <v>157</v>
      </c>
      <c r="N85" s="46" t="s">
        <v>550</v>
      </c>
      <c r="O85" s="46">
        <v>0.15</v>
      </c>
      <c r="P85" s="61">
        <f>RawData[[#This Row],[Value_USD_M]]*RawData[[#This Row],[Share_Est]]</f>
        <v>23.55</v>
      </c>
      <c r="Q85" s="46" t="s">
        <v>598</v>
      </c>
      <c r="S85" s="52"/>
    </row>
    <row r="86" spans="2:19" x14ac:dyDescent="0.3">
      <c r="B86" s="51" t="s">
        <v>266</v>
      </c>
      <c r="C86" s="46">
        <v>2024</v>
      </c>
      <c r="D86" s="46" t="s">
        <v>573</v>
      </c>
      <c r="E86" s="46" t="s">
        <v>560</v>
      </c>
      <c r="F86" s="46" t="s">
        <v>548</v>
      </c>
      <c r="G86" s="57" t="s">
        <v>578</v>
      </c>
      <c r="H86" s="57" t="s">
        <v>579</v>
      </c>
      <c r="K86" s="46">
        <v>5</v>
      </c>
      <c r="M86" s="46">
        <v>76</v>
      </c>
      <c r="N86" s="46" t="s">
        <v>550</v>
      </c>
      <c r="O86" s="46">
        <v>0.15</v>
      </c>
      <c r="P86" s="61">
        <f>RawData[[#This Row],[Value_USD_M]]*RawData[[#This Row],[Share_Est]]</f>
        <v>11.4</v>
      </c>
      <c r="Q86" s="46" t="s">
        <v>598</v>
      </c>
      <c r="S86" s="52"/>
    </row>
    <row r="87" spans="2:19" x14ac:dyDescent="0.3">
      <c r="B87" s="51" t="s">
        <v>266</v>
      </c>
      <c r="C87" s="46">
        <v>2025</v>
      </c>
      <c r="D87" s="46" t="s">
        <v>547</v>
      </c>
      <c r="E87" s="46" t="s">
        <v>560</v>
      </c>
      <c r="F87" s="46" t="s">
        <v>548</v>
      </c>
      <c r="G87" s="57" t="s">
        <v>578</v>
      </c>
      <c r="H87" s="57" t="s">
        <v>579</v>
      </c>
      <c r="K87" s="46">
        <v>0</v>
      </c>
      <c r="M87" s="46">
        <v>395.4</v>
      </c>
      <c r="N87" s="46" t="s">
        <v>550</v>
      </c>
      <c r="O87" s="46">
        <v>0.15</v>
      </c>
      <c r="P87" s="61">
        <f>RawData[[#This Row],[Value_USD_M]]*RawData[[#This Row],[Share_Est]]</f>
        <v>59.309999999999995</v>
      </c>
      <c r="Q87" s="46" t="s">
        <v>598</v>
      </c>
      <c r="S87" s="52"/>
    </row>
    <row r="88" spans="2:19" x14ac:dyDescent="0.3">
      <c r="B88" s="51" t="s">
        <v>266</v>
      </c>
      <c r="C88" s="46">
        <v>2025</v>
      </c>
      <c r="D88" s="46" t="s">
        <v>546</v>
      </c>
      <c r="E88" s="46" t="s">
        <v>560</v>
      </c>
      <c r="F88" s="46" t="s">
        <v>548</v>
      </c>
      <c r="G88" s="57" t="s">
        <v>578</v>
      </c>
      <c r="H88" s="57" t="s">
        <v>579</v>
      </c>
      <c r="K88" s="46">
        <v>0</v>
      </c>
      <c r="M88" s="46">
        <v>58.6</v>
      </c>
      <c r="N88" s="46" t="s">
        <v>550</v>
      </c>
      <c r="O88" s="46">
        <v>0.15</v>
      </c>
      <c r="P88" s="61">
        <f>RawData[[#This Row],[Value_USD_M]]*RawData[[#This Row],[Share_Est]]</f>
        <v>8.7899999999999991</v>
      </c>
      <c r="Q88" s="46" t="s">
        <v>598</v>
      </c>
      <c r="S88" s="52"/>
    </row>
    <row r="89" spans="2:19" x14ac:dyDescent="0.3">
      <c r="B89" s="51" t="s">
        <v>266</v>
      </c>
      <c r="C89" s="46">
        <v>2025</v>
      </c>
      <c r="D89" s="46" t="s">
        <v>573</v>
      </c>
      <c r="E89" s="46" t="s">
        <v>560</v>
      </c>
      <c r="F89" s="46" t="s">
        <v>548</v>
      </c>
      <c r="G89" s="57" t="s">
        <v>578</v>
      </c>
      <c r="H89" s="57" t="s">
        <v>579</v>
      </c>
      <c r="K89" s="46">
        <v>0</v>
      </c>
      <c r="M89" s="46">
        <v>40.799999999999997</v>
      </c>
      <c r="N89" s="46" t="s">
        <v>550</v>
      </c>
      <c r="O89" s="46">
        <v>0.15</v>
      </c>
      <c r="P89" s="61">
        <f>RawData[[#This Row],[Value_USD_M]]*RawData[[#This Row],[Share_Est]]</f>
        <v>6.1199999999999992</v>
      </c>
      <c r="Q89" s="46" t="s">
        <v>598</v>
      </c>
      <c r="S89" s="52"/>
    </row>
    <row r="90" spans="2:19" x14ac:dyDescent="0.3">
      <c r="B90" s="51" t="s">
        <v>266</v>
      </c>
      <c r="C90" s="46">
        <v>2026</v>
      </c>
      <c r="D90" s="46" t="s">
        <v>547</v>
      </c>
      <c r="E90" s="46" t="s">
        <v>560</v>
      </c>
      <c r="F90" s="46" t="s">
        <v>548</v>
      </c>
      <c r="G90" s="57" t="s">
        <v>578</v>
      </c>
      <c r="H90" s="57" t="s">
        <v>579</v>
      </c>
      <c r="K90" s="46">
        <v>0</v>
      </c>
      <c r="M90" s="46">
        <v>453.3</v>
      </c>
      <c r="N90" s="46" t="s">
        <v>550</v>
      </c>
      <c r="O90" s="46">
        <v>0.15</v>
      </c>
      <c r="P90" s="61">
        <f>RawData[[#This Row],[Value_USD_M]]*RawData[[#This Row],[Share_Est]]</f>
        <v>67.995000000000005</v>
      </c>
      <c r="Q90" s="46" t="s">
        <v>598</v>
      </c>
      <c r="S90" s="52"/>
    </row>
    <row r="91" spans="2:19" x14ac:dyDescent="0.3">
      <c r="B91" s="51" t="s">
        <v>266</v>
      </c>
      <c r="C91" s="46">
        <v>2026</v>
      </c>
      <c r="D91" s="46" t="s">
        <v>546</v>
      </c>
      <c r="E91" s="46" t="s">
        <v>560</v>
      </c>
      <c r="F91" s="46" t="s">
        <v>548</v>
      </c>
      <c r="G91" s="57" t="s">
        <v>578</v>
      </c>
      <c r="H91" s="57" t="s">
        <v>579</v>
      </c>
      <c r="K91" s="46">
        <v>0</v>
      </c>
      <c r="M91" s="46">
        <v>193.5</v>
      </c>
      <c r="N91" s="46" t="s">
        <v>550</v>
      </c>
      <c r="O91" s="46">
        <v>0.15</v>
      </c>
      <c r="P91" s="61">
        <f>RawData[[#This Row],[Value_USD_M]]*RawData[[#This Row],[Share_Est]]</f>
        <v>29.024999999999999</v>
      </c>
      <c r="Q91" s="46" t="s">
        <v>598</v>
      </c>
      <c r="S91" s="52"/>
    </row>
    <row r="92" spans="2:19" x14ac:dyDescent="0.3">
      <c r="B92" s="56" t="s">
        <v>266</v>
      </c>
      <c r="C92" s="57">
        <v>2026</v>
      </c>
      <c r="D92" s="57" t="s">
        <v>573</v>
      </c>
      <c r="E92" s="57" t="s">
        <v>560</v>
      </c>
      <c r="F92" s="57" t="s">
        <v>548</v>
      </c>
      <c r="G92" s="57" t="s">
        <v>578</v>
      </c>
      <c r="H92" s="57" t="s">
        <v>579</v>
      </c>
      <c r="I92" s="57"/>
      <c r="J92" s="57"/>
      <c r="K92" s="57">
        <v>0</v>
      </c>
      <c r="L92" s="57"/>
      <c r="M92" s="57">
        <v>19.7</v>
      </c>
      <c r="N92" s="57" t="s">
        <v>550</v>
      </c>
      <c r="O92" s="46">
        <v>0.15</v>
      </c>
      <c r="P92" s="62">
        <f>RawData[[#This Row],[Value_USD_M]]*RawData[[#This Row],[Share_Est]]</f>
        <v>2.9549999999999996</v>
      </c>
      <c r="Q92" s="46" t="s">
        <v>598</v>
      </c>
      <c r="R92" s="57"/>
      <c r="S92" s="58"/>
    </row>
    <row r="93" spans="2:19" x14ac:dyDescent="0.3">
      <c r="B93" s="56" t="s">
        <v>581</v>
      </c>
      <c r="C93" s="57">
        <v>2024</v>
      </c>
      <c r="D93" s="57" t="s">
        <v>582</v>
      </c>
      <c r="E93" s="57" t="s">
        <v>560</v>
      </c>
      <c r="F93" s="57" t="s">
        <v>549</v>
      </c>
      <c r="G93" s="57" t="s">
        <v>326</v>
      </c>
      <c r="H93" s="57" t="s">
        <v>553</v>
      </c>
      <c r="I93" s="57"/>
      <c r="J93" s="57"/>
      <c r="K93" s="57"/>
      <c r="L93" s="57"/>
      <c r="M93" s="57">
        <v>34.700000000000003</v>
      </c>
      <c r="N93" s="57" t="s">
        <v>550</v>
      </c>
      <c r="O93" s="57">
        <v>0.85</v>
      </c>
      <c r="P93" s="62">
        <f>RawData[[#This Row],[Value_USD_M]]*RawData[[#This Row],[Share_Est]]</f>
        <v>29.495000000000001</v>
      </c>
      <c r="Q93" s="46" t="s">
        <v>598</v>
      </c>
      <c r="R93" s="57"/>
      <c r="S93" s="58"/>
    </row>
    <row r="94" spans="2:19" x14ac:dyDescent="0.3">
      <c r="B94" s="56" t="s">
        <v>581</v>
      </c>
      <c r="C94" s="57">
        <v>2025</v>
      </c>
      <c r="D94" s="57" t="s">
        <v>582</v>
      </c>
      <c r="E94" s="57" t="s">
        <v>560</v>
      </c>
      <c r="F94" s="57" t="s">
        <v>549</v>
      </c>
      <c r="G94" s="57" t="s">
        <v>326</v>
      </c>
      <c r="H94" s="57" t="s">
        <v>553</v>
      </c>
      <c r="I94" s="57"/>
      <c r="J94" s="57"/>
      <c r="K94" s="57"/>
      <c r="L94" s="57"/>
      <c r="M94" s="57">
        <v>79.599999999999994</v>
      </c>
      <c r="N94" s="57" t="s">
        <v>550</v>
      </c>
      <c r="O94" s="57">
        <v>0.85</v>
      </c>
      <c r="P94" s="62">
        <f>RawData[[#This Row],[Value_USD_M]]*RawData[[#This Row],[Share_Est]]</f>
        <v>67.66</v>
      </c>
      <c r="Q94" s="46" t="s">
        <v>598</v>
      </c>
      <c r="R94" s="57"/>
      <c r="S94" s="58"/>
    </row>
    <row r="95" spans="2:19" x14ac:dyDescent="0.3">
      <c r="B95" s="56" t="s">
        <v>581</v>
      </c>
      <c r="C95" s="57">
        <v>2026</v>
      </c>
      <c r="D95" s="57" t="s">
        <v>582</v>
      </c>
      <c r="E95" s="57" t="s">
        <v>560</v>
      </c>
      <c r="F95" s="57" t="s">
        <v>549</v>
      </c>
      <c r="G95" s="57" t="s">
        <v>326</v>
      </c>
      <c r="H95" s="57" t="s">
        <v>553</v>
      </c>
      <c r="I95" s="57"/>
      <c r="J95" s="57"/>
      <c r="K95" s="57"/>
      <c r="L95" s="57"/>
      <c r="M95" s="57">
        <v>82.2</v>
      </c>
      <c r="N95" s="57" t="s">
        <v>550</v>
      </c>
      <c r="O95" s="57">
        <v>0.85</v>
      </c>
      <c r="P95" s="62">
        <f>RawData[[#This Row],[Value_USD_M]]*RawData[[#This Row],[Share_Est]]</f>
        <v>69.87</v>
      </c>
      <c r="Q95" s="46" t="s">
        <v>598</v>
      </c>
      <c r="R95" s="57"/>
      <c r="S95" s="58"/>
    </row>
    <row r="96" spans="2:19" x14ac:dyDescent="0.3">
      <c r="B96" s="56" t="s">
        <v>581</v>
      </c>
      <c r="C96" s="57">
        <v>2024</v>
      </c>
      <c r="D96" s="57" t="s">
        <v>582</v>
      </c>
      <c r="E96" s="57" t="s">
        <v>560</v>
      </c>
      <c r="F96" s="57" t="s">
        <v>549</v>
      </c>
      <c r="G96" s="57" t="s">
        <v>578</v>
      </c>
      <c r="H96" s="57" t="s">
        <v>579</v>
      </c>
      <c r="I96" s="57"/>
      <c r="J96" s="57"/>
      <c r="K96" s="57"/>
      <c r="L96" s="57"/>
      <c r="M96" s="57">
        <v>34.700000000000003</v>
      </c>
      <c r="N96" s="57" t="s">
        <v>550</v>
      </c>
      <c r="O96" s="57">
        <v>0.1</v>
      </c>
      <c r="P96" s="62">
        <f>RawData[[#This Row],[Value_USD_M]]*RawData[[#This Row],[Share_Est]]</f>
        <v>3.4700000000000006</v>
      </c>
      <c r="Q96" s="46" t="s">
        <v>598</v>
      </c>
      <c r="R96" s="57"/>
      <c r="S96" s="58"/>
    </row>
    <row r="97" spans="2:19" x14ac:dyDescent="0.3">
      <c r="B97" s="56" t="s">
        <v>581</v>
      </c>
      <c r="C97" s="57">
        <v>2025</v>
      </c>
      <c r="D97" s="57" t="s">
        <v>582</v>
      </c>
      <c r="E97" s="57" t="s">
        <v>560</v>
      </c>
      <c r="F97" s="57" t="s">
        <v>549</v>
      </c>
      <c r="G97" s="57" t="s">
        <v>578</v>
      </c>
      <c r="H97" s="57" t="s">
        <v>579</v>
      </c>
      <c r="I97" s="57"/>
      <c r="J97" s="57"/>
      <c r="K97" s="57"/>
      <c r="L97" s="57"/>
      <c r="M97" s="57">
        <v>79.599999999999994</v>
      </c>
      <c r="N97" s="57" t="s">
        <v>550</v>
      </c>
      <c r="O97" s="57">
        <v>0.1</v>
      </c>
      <c r="P97" s="62">
        <f>RawData[[#This Row],[Value_USD_M]]*RawData[[#This Row],[Share_Est]]</f>
        <v>7.96</v>
      </c>
      <c r="Q97" s="46" t="s">
        <v>598</v>
      </c>
      <c r="R97" s="57"/>
      <c r="S97" s="58"/>
    </row>
    <row r="98" spans="2:19" x14ac:dyDescent="0.3">
      <c r="B98" s="56" t="s">
        <v>581</v>
      </c>
      <c r="C98" s="57">
        <v>2026</v>
      </c>
      <c r="D98" s="57" t="s">
        <v>582</v>
      </c>
      <c r="E98" s="57" t="s">
        <v>560</v>
      </c>
      <c r="F98" s="57" t="s">
        <v>549</v>
      </c>
      <c r="G98" s="57" t="s">
        <v>578</v>
      </c>
      <c r="H98" s="57" t="s">
        <v>579</v>
      </c>
      <c r="I98" s="57"/>
      <c r="J98" s="57"/>
      <c r="K98" s="57"/>
      <c r="L98" s="57"/>
      <c r="M98" s="57">
        <v>82.2</v>
      </c>
      <c r="N98" s="57" t="s">
        <v>550</v>
      </c>
      <c r="O98" s="57">
        <v>0.1</v>
      </c>
      <c r="P98" s="62">
        <f>RawData[[#This Row],[Value_USD_M]]*RawData[[#This Row],[Share_Est]]</f>
        <v>8.2200000000000006</v>
      </c>
      <c r="Q98" s="46" t="s">
        <v>598</v>
      </c>
      <c r="R98" s="57"/>
      <c r="S98" s="58"/>
    </row>
    <row r="99" spans="2:19" x14ac:dyDescent="0.3">
      <c r="B99" s="56" t="s">
        <v>581</v>
      </c>
      <c r="C99" s="57">
        <v>2024</v>
      </c>
      <c r="D99" s="57" t="s">
        <v>582</v>
      </c>
      <c r="E99" s="57" t="s">
        <v>560</v>
      </c>
      <c r="F99" s="57" t="s">
        <v>549</v>
      </c>
      <c r="G99" s="57" t="s">
        <v>583</v>
      </c>
      <c r="H99" s="57" t="s">
        <v>584</v>
      </c>
      <c r="I99" s="57"/>
      <c r="J99" s="57"/>
      <c r="K99" s="57"/>
      <c r="L99" s="57"/>
      <c r="M99" s="57">
        <v>34.700000000000003</v>
      </c>
      <c r="N99" s="57" t="s">
        <v>550</v>
      </c>
      <c r="O99" s="57">
        <v>0.05</v>
      </c>
      <c r="P99" s="62">
        <f>RawData[[#This Row],[Value_USD_M]]*RawData[[#This Row],[Share_Est]]</f>
        <v>1.7350000000000003</v>
      </c>
      <c r="Q99" s="46" t="s">
        <v>598</v>
      </c>
      <c r="R99" s="57"/>
      <c r="S99" s="58"/>
    </row>
    <row r="100" spans="2:19" x14ac:dyDescent="0.3">
      <c r="B100" s="56" t="s">
        <v>581</v>
      </c>
      <c r="C100" s="57">
        <v>2025</v>
      </c>
      <c r="D100" s="57" t="s">
        <v>582</v>
      </c>
      <c r="E100" s="57" t="s">
        <v>560</v>
      </c>
      <c r="F100" s="57" t="s">
        <v>549</v>
      </c>
      <c r="G100" s="57" t="s">
        <v>583</v>
      </c>
      <c r="H100" s="57" t="s">
        <v>584</v>
      </c>
      <c r="I100" s="57"/>
      <c r="J100" s="57"/>
      <c r="K100" s="57"/>
      <c r="L100" s="57"/>
      <c r="M100" s="57">
        <v>79.599999999999994</v>
      </c>
      <c r="N100" s="57" t="s">
        <v>550</v>
      </c>
      <c r="O100" s="57">
        <v>0.05</v>
      </c>
      <c r="P100" s="62">
        <f>RawData[[#This Row],[Value_USD_M]]*RawData[[#This Row],[Share_Est]]</f>
        <v>3.98</v>
      </c>
      <c r="Q100" s="46" t="s">
        <v>598</v>
      </c>
      <c r="R100" s="57"/>
      <c r="S100" s="58"/>
    </row>
    <row r="101" spans="2:19" x14ac:dyDescent="0.3">
      <c r="B101" s="56" t="s">
        <v>581</v>
      </c>
      <c r="C101" s="57">
        <v>2026</v>
      </c>
      <c r="D101" s="57" t="s">
        <v>582</v>
      </c>
      <c r="E101" s="57" t="s">
        <v>560</v>
      </c>
      <c r="F101" s="57" t="s">
        <v>549</v>
      </c>
      <c r="G101" s="57" t="s">
        <v>583</v>
      </c>
      <c r="H101" s="57" t="s">
        <v>584</v>
      </c>
      <c r="I101" s="57"/>
      <c r="J101" s="57"/>
      <c r="K101" s="57"/>
      <c r="L101" s="57"/>
      <c r="M101" s="57">
        <v>82.2</v>
      </c>
      <c r="N101" s="57" t="s">
        <v>550</v>
      </c>
      <c r="O101" s="57">
        <v>0.05</v>
      </c>
      <c r="P101" s="62">
        <f>RawData[[#This Row],[Value_USD_M]]*RawData[[#This Row],[Share_Est]]</f>
        <v>4.1100000000000003</v>
      </c>
      <c r="Q101" s="46" t="s">
        <v>598</v>
      </c>
      <c r="R101" s="57"/>
      <c r="S101" s="58"/>
    </row>
    <row r="102" spans="2:19" x14ac:dyDescent="0.3">
      <c r="B102" s="56" t="s">
        <v>581</v>
      </c>
      <c r="C102" s="57">
        <v>2024</v>
      </c>
      <c r="D102" s="57" t="s">
        <v>582</v>
      </c>
      <c r="E102" s="57" t="s">
        <v>560</v>
      </c>
      <c r="F102" s="57" t="s">
        <v>548</v>
      </c>
      <c r="G102" s="57" t="s">
        <v>326</v>
      </c>
      <c r="H102" s="57" t="s">
        <v>553</v>
      </c>
      <c r="I102" s="57"/>
      <c r="J102" s="57"/>
      <c r="K102" s="57">
        <v>11</v>
      </c>
      <c r="L102" s="57"/>
      <c r="M102" s="57">
        <f>1754+238.1</f>
        <v>1992.1</v>
      </c>
      <c r="N102" s="57" t="s">
        <v>550</v>
      </c>
      <c r="O102" s="57">
        <v>0.749</v>
      </c>
      <c r="P102" s="62">
        <f>RawData[[#This Row],[Value_USD_M]]*RawData[[#This Row],[Share_Est]]</f>
        <v>1492.0828999999999</v>
      </c>
      <c r="Q102" s="46" t="s">
        <v>598</v>
      </c>
      <c r="R102" s="57"/>
      <c r="S102" s="58"/>
    </row>
    <row r="103" spans="2:19" x14ac:dyDescent="0.3">
      <c r="B103" s="56" t="s">
        <v>581</v>
      </c>
      <c r="C103" s="57">
        <v>2025</v>
      </c>
      <c r="D103" s="57" t="s">
        <v>582</v>
      </c>
      <c r="E103" s="57" t="s">
        <v>560</v>
      </c>
      <c r="F103" s="57" t="s">
        <v>548</v>
      </c>
      <c r="G103" s="57" t="s">
        <v>326</v>
      </c>
      <c r="H103" s="57" t="s">
        <v>553</v>
      </c>
      <c r="I103" s="57"/>
      <c r="J103" s="57"/>
      <c r="K103" s="57">
        <v>3</v>
      </c>
      <c r="L103" s="57"/>
      <c r="M103" s="57">
        <f>892.5+419.4</f>
        <v>1311.9</v>
      </c>
      <c r="N103" s="57" t="s">
        <v>550</v>
      </c>
      <c r="O103" s="57">
        <v>0.749</v>
      </c>
      <c r="P103" s="62">
        <f>RawData[[#This Row],[Value_USD_M]]*RawData[[#This Row],[Share_Est]]</f>
        <v>982.61310000000003</v>
      </c>
      <c r="Q103" s="46" t="s">
        <v>598</v>
      </c>
      <c r="R103" s="57"/>
      <c r="S103" s="58"/>
    </row>
    <row r="104" spans="2:19" x14ac:dyDescent="0.3">
      <c r="B104" s="56" t="s">
        <v>581</v>
      </c>
      <c r="C104" s="57">
        <v>2026</v>
      </c>
      <c r="D104" s="57" t="s">
        <v>582</v>
      </c>
      <c r="E104" s="57" t="s">
        <v>560</v>
      </c>
      <c r="F104" s="57" t="s">
        <v>548</v>
      </c>
      <c r="G104" s="57" t="s">
        <v>326</v>
      </c>
      <c r="H104" s="57" t="s">
        <v>553</v>
      </c>
      <c r="I104" s="57"/>
      <c r="J104" s="57"/>
      <c r="K104" s="57">
        <v>0</v>
      </c>
      <c r="L104" s="57"/>
      <c r="M104" s="57">
        <f>186.4+730.6</f>
        <v>917</v>
      </c>
      <c r="N104" s="57" t="s">
        <v>550</v>
      </c>
      <c r="O104" s="57">
        <v>0.749</v>
      </c>
      <c r="P104" s="62">
        <f>RawData[[#This Row],[Value_USD_M]]*RawData[[#This Row],[Share_Est]]</f>
        <v>686.83299999999997</v>
      </c>
      <c r="Q104" s="46" t="s">
        <v>598</v>
      </c>
      <c r="R104" s="57"/>
      <c r="S104" s="58"/>
    </row>
    <row r="105" spans="2:19" x14ac:dyDescent="0.3">
      <c r="B105" s="56" t="s">
        <v>581</v>
      </c>
      <c r="C105" s="57">
        <v>2024</v>
      </c>
      <c r="D105" s="57" t="s">
        <v>582</v>
      </c>
      <c r="E105" s="57" t="s">
        <v>560</v>
      </c>
      <c r="F105" s="57" t="s">
        <v>548</v>
      </c>
      <c r="G105" s="57" t="s">
        <v>578</v>
      </c>
      <c r="H105" s="57" t="s">
        <v>579</v>
      </c>
      <c r="I105" s="57"/>
      <c r="J105" s="57"/>
      <c r="K105" s="57">
        <v>11</v>
      </c>
      <c r="L105" s="57"/>
      <c r="M105" s="57">
        <f>1754+238.1</f>
        <v>1992.1</v>
      </c>
      <c r="N105" s="57" t="s">
        <v>550</v>
      </c>
      <c r="O105" s="57">
        <v>0.121</v>
      </c>
      <c r="P105" s="62">
        <f>RawData[[#This Row],[Value_USD_M]]*RawData[[#This Row],[Share_Est]]</f>
        <v>241.04409999999999</v>
      </c>
      <c r="Q105" s="46" t="s">
        <v>598</v>
      </c>
      <c r="R105" s="57"/>
      <c r="S105" s="58"/>
    </row>
    <row r="106" spans="2:19" x14ac:dyDescent="0.3">
      <c r="B106" s="56" t="s">
        <v>581</v>
      </c>
      <c r="C106" s="57">
        <v>2025</v>
      </c>
      <c r="D106" s="57" t="s">
        <v>582</v>
      </c>
      <c r="E106" s="57" t="s">
        <v>560</v>
      </c>
      <c r="F106" s="57" t="s">
        <v>548</v>
      </c>
      <c r="G106" s="57" t="s">
        <v>578</v>
      </c>
      <c r="H106" s="57" t="s">
        <v>579</v>
      </c>
      <c r="I106" s="57"/>
      <c r="J106" s="57"/>
      <c r="K106" s="57">
        <v>3</v>
      </c>
      <c r="L106" s="57"/>
      <c r="M106" s="57">
        <f>892.5+419.4</f>
        <v>1311.9</v>
      </c>
      <c r="N106" s="57" t="s">
        <v>550</v>
      </c>
      <c r="O106" s="57">
        <v>0.121</v>
      </c>
      <c r="P106" s="62">
        <f>RawData[[#This Row],[Value_USD_M]]*RawData[[#This Row],[Share_Est]]</f>
        <v>158.73990000000001</v>
      </c>
      <c r="Q106" s="46" t="s">
        <v>598</v>
      </c>
      <c r="R106" s="57"/>
      <c r="S106" s="58"/>
    </row>
    <row r="107" spans="2:19" x14ac:dyDescent="0.3">
      <c r="B107" s="56" t="s">
        <v>581</v>
      </c>
      <c r="C107" s="57">
        <v>2026</v>
      </c>
      <c r="D107" s="57" t="s">
        <v>582</v>
      </c>
      <c r="E107" s="57" t="s">
        <v>560</v>
      </c>
      <c r="F107" s="57" t="s">
        <v>548</v>
      </c>
      <c r="G107" s="57" t="s">
        <v>578</v>
      </c>
      <c r="H107" s="57" t="s">
        <v>579</v>
      </c>
      <c r="I107" s="57"/>
      <c r="J107" s="57"/>
      <c r="K107" s="57">
        <v>0</v>
      </c>
      <c r="L107" s="57"/>
      <c r="M107" s="57">
        <f>186.4+730.6</f>
        <v>917</v>
      </c>
      <c r="N107" s="57" t="s">
        <v>550</v>
      </c>
      <c r="O107" s="57">
        <v>0.121</v>
      </c>
      <c r="P107" s="62">
        <f>RawData[[#This Row],[Value_USD_M]]*RawData[[#This Row],[Share_Est]]</f>
        <v>110.95699999999999</v>
      </c>
      <c r="Q107" s="46" t="s">
        <v>598</v>
      </c>
      <c r="R107" s="57"/>
      <c r="S107" s="58"/>
    </row>
    <row r="108" spans="2:19" x14ac:dyDescent="0.3">
      <c r="B108" s="56" t="s">
        <v>581</v>
      </c>
      <c r="C108" s="57">
        <v>2024</v>
      </c>
      <c r="D108" s="57" t="s">
        <v>582</v>
      </c>
      <c r="E108" s="57" t="s">
        <v>560</v>
      </c>
      <c r="F108" s="57" t="s">
        <v>548</v>
      </c>
      <c r="G108" s="46" t="s">
        <v>583</v>
      </c>
      <c r="H108" s="46" t="s">
        <v>584</v>
      </c>
      <c r="K108" s="57">
        <v>11</v>
      </c>
      <c r="L108" s="57"/>
      <c r="M108" s="57">
        <f>1754+238.1</f>
        <v>1992.1</v>
      </c>
      <c r="N108" s="57" t="s">
        <v>550</v>
      </c>
      <c r="O108" s="46">
        <v>4.7E-2</v>
      </c>
      <c r="P108" s="61">
        <f>RawData[[#This Row],[Value_USD_M]]*RawData[[#This Row],[Share_Est]]</f>
        <v>93.628699999999995</v>
      </c>
      <c r="Q108" s="46" t="s">
        <v>598</v>
      </c>
      <c r="S108" s="52"/>
    </row>
    <row r="109" spans="2:19" x14ac:dyDescent="0.3">
      <c r="B109" s="56" t="s">
        <v>581</v>
      </c>
      <c r="C109" s="57">
        <v>2025</v>
      </c>
      <c r="D109" s="57" t="s">
        <v>582</v>
      </c>
      <c r="E109" s="57" t="s">
        <v>560</v>
      </c>
      <c r="F109" s="57" t="s">
        <v>548</v>
      </c>
      <c r="G109" s="46" t="s">
        <v>583</v>
      </c>
      <c r="H109" s="46" t="s">
        <v>584</v>
      </c>
      <c r="K109" s="57">
        <v>3</v>
      </c>
      <c r="L109" s="57"/>
      <c r="M109" s="57">
        <f>892.5+419.4</f>
        <v>1311.9</v>
      </c>
      <c r="N109" s="57" t="s">
        <v>550</v>
      </c>
      <c r="O109" s="46">
        <v>4.7E-2</v>
      </c>
      <c r="P109" s="61">
        <f>RawData[[#This Row],[Value_USD_M]]*RawData[[#This Row],[Share_Est]]</f>
        <v>61.659300000000002</v>
      </c>
      <c r="Q109" s="46" t="s">
        <v>598</v>
      </c>
      <c r="S109" s="52"/>
    </row>
    <row r="110" spans="2:19" x14ac:dyDescent="0.3">
      <c r="B110" s="56" t="s">
        <v>581</v>
      </c>
      <c r="C110" s="57">
        <v>2026</v>
      </c>
      <c r="D110" s="57" t="s">
        <v>582</v>
      </c>
      <c r="E110" s="57" t="s">
        <v>560</v>
      </c>
      <c r="F110" s="57" t="s">
        <v>548</v>
      </c>
      <c r="G110" s="46" t="s">
        <v>583</v>
      </c>
      <c r="H110" s="46" t="s">
        <v>584</v>
      </c>
      <c r="K110" s="57">
        <v>0</v>
      </c>
      <c r="L110" s="57"/>
      <c r="M110" s="57">
        <f>186.4+730.6</f>
        <v>917</v>
      </c>
      <c r="N110" s="57" t="s">
        <v>550</v>
      </c>
      <c r="O110" s="46">
        <v>4.7E-2</v>
      </c>
      <c r="P110" s="61">
        <f>RawData[[#This Row],[Value_USD_M]]*RawData[[#This Row],[Share_Est]]</f>
        <v>43.098999999999997</v>
      </c>
      <c r="Q110" s="46" t="s">
        <v>598</v>
      </c>
      <c r="S110" s="52"/>
    </row>
    <row r="111" spans="2:19" x14ac:dyDescent="0.3">
      <c r="B111" s="56" t="s">
        <v>581</v>
      </c>
      <c r="C111" s="57">
        <v>2024</v>
      </c>
      <c r="D111" s="57" t="s">
        <v>582</v>
      </c>
      <c r="E111" s="57" t="s">
        <v>560</v>
      </c>
      <c r="F111" s="57" t="s">
        <v>548</v>
      </c>
      <c r="G111" s="46" t="s">
        <v>324</v>
      </c>
      <c r="H111" s="46" t="s">
        <v>585</v>
      </c>
      <c r="K111" s="57">
        <v>11</v>
      </c>
      <c r="L111" s="57"/>
      <c r="M111" s="57">
        <f>1754+238.1</f>
        <v>1992.1</v>
      </c>
      <c r="N111" s="57" t="s">
        <v>550</v>
      </c>
      <c r="O111" s="46">
        <v>3.6999999999999998E-2</v>
      </c>
      <c r="P111" s="61">
        <f>RawData[[#This Row],[Value_USD_M]]*RawData[[#This Row],[Share_Est]]</f>
        <v>73.707699999999988</v>
      </c>
      <c r="Q111" s="46" t="s">
        <v>598</v>
      </c>
      <c r="S111" s="52"/>
    </row>
    <row r="112" spans="2:19" x14ac:dyDescent="0.3">
      <c r="B112" s="56" t="s">
        <v>581</v>
      </c>
      <c r="C112" s="57">
        <v>2025</v>
      </c>
      <c r="D112" s="57" t="s">
        <v>582</v>
      </c>
      <c r="E112" s="57" t="s">
        <v>560</v>
      </c>
      <c r="F112" s="57" t="s">
        <v>548</v>
      </c>
      <c r="G112" s="46" t="s">
        <v>324</v>
      </c>
      <c r="H112" s="46" t="s">
        <v>585</v>
      </c>
      <c r="K112" s="57">
        <v>3</v>
      </c>
      <c r="L112" s="57"/>
      <c r="M112" s="57">
        <f>892.5+419.4</f>
        <v>1311.9</v>
      </c>
      <c r="N112" s="57" t="s">
        <v>550</v>
      </c>
      <c r="O112" s="46">
        <v>3.6999999999999998E-2</v>
      </c>
      <c r="P112" s="61">
        <f>RawData[[#This Row],[Value_USD_M]]*RawData[[#This Row],[Share_Est]]</f>
        <v>48.540300000000002</v>
      </c>
      <c r="Q112" s="46" t="s">
        <v>598</v>
      </c>
      <c r="S112" s="52"/>
    </row>
    <row r="113" spans="2:19" x14ac:dyDescent="0.3">
      <c r="B113" s="56" t="s">
        <v>581</v>
      </c>
      <c r="C113" s="57">
        <v>2026</v>
      </c>
      <c r="D113" s="57" t="s">
        <v>582</v>
      </c>
      <c r="E113" s="57" t="s">
        <v>560</v>
      </c>
      <c r="F113" s="57" t="s">
        <v>548</v>
      </c>
      <c r="G113" s="46" t="s">
        <v>324</v>
      </c>
      <c r="H113" s="46" t="s">
        <v>585</v>
      </c>
      <c r="I113" s="57"/>
      <c r="J113" s="57"/>
      <c r="K113" s="57">
        <v>0</v>
      </c>
      <c r="L113" s="57"/>
      <c r="M113" s="57">
        <f>186.4+730.6</f>
        <v>917</v>
      </c>
      <c r="N113" s="57" t="s">
        <v>550</v>
      </c>
      <c r="O113" s="46">
        <v>3.6999999999999998E-2</v>
      </c>
      <c r="P113" s="62">
        <f>RawData[[#This Row],[Value_USD_M]]*RawData[[#This Row],[Share_Est]]</f>
        <v>33.928999999999995</v>
      </c>
      <c r="Q113" s="46" t="s">
        <v>598</v>
      </c>
      <c r="R113" s="57"/>
      <c r="S113" s="58"/>
    </row>
    <row r="114" spans="2:19" x14ac:dyDescent="0.3">
      <c r="B114" s="56" t="s">
        <v>581</v>
      </c>
      <c r="C114" s="57">
        <v>2024</v>
      </c>
      <c r="D114" s="57" t="s">
        <v>582</v>
      </c>
      <c r="E114" s="57" t="s">
        <v>560</v>
      </c>
      <c r="F114" s="57" t="s">
        <v>548</v>
      </c>
      <c r="G114" s="46" t="s">
        <v>586</v>
      </c>
      <c r="H114" s="46" t="s">
        <v>587</v>
      </c>
      <c r="K114" s="57">
        <v>11</v>
      </c>
      <c r="L114" s="57"/>
      <c r="M114" s="57">
        <f>1754+238.1</f>
        <v>1992.1</v>
      </c>
      <c r="N114" s="57" t="s">
        <v>550</v>
      </c>
      <c r="O114" s="46">
        <v>4.5999999999999999E-2</v>
      </c>
      <c r="P114" s="61">
        <f>RawData[[#This Row],[Value_USD_M]]*RawData[[#This Row],[Share_Est]]</f>
        <v>91.636599999999987</v>
      </c>
      <c r="Q114" s="46" t="s">
        <v>598</v>
      </c>
      <c r="S114" s="52"/>
    </row>
    <row r="115" spans="2:19" x14ac:dyDescent="0.3">
      <c r="B115" s="56" t="s">
        <v>581</v>
      </c>
      <c r="C115" s="57">
        <v>2025</v>
      </c>
      <c r="D115" s="57" t="s">
        <v>582</v>
      </c>
      <c r="E115" s="57" t="s">
        <v>560</v>
      </c>
      <c r="F115" s="57" t="s">
        <v>548</v>
      </c>
      <c r="G115" s="46" t="s">
        <v>586</v>
      </c>
      <c r="H115" s="46" t="s">
        <v>587</v>
      </c>
      <c r="K115" s="57">
        <v>3</v>
      </c>
      <c r="L115" s="57"/>
      <c r="M115" s="57">
        <f>892.5+419.4</f>
        <v>1311.9</v>
      </c>
      <c r="N115" s="57" t="s">
        <v>550</v>
      </c>
      <c r="O115" s="46">
        <v>4.5999999999999999E-2</v>
      </c>
      <c r="P115" s="61">
        <f>RawData[[#This Row],[Value_USD_M]]*RawData[[#This Row],[Share_Est]]</f>
        <v>60.3474</v>
      </c>
      <c r="Q115" s="46" t="s">
        <v>598</v>
      </c>
      <c r="S115" s="52"/>
    </row>
    <row r="116" spans="2:19" x14ac:dyDescent="0.3">
      <c r="B116" s="56" t="s">
        <v>581</v>
      </c>
      <c r="C116" s="57">
        <v>2026</v>
      </c>
      <c r="D116" s="57" t="s">
        <v>582</v>
      </c>
      <c r="E116" s="57" t="s">
        <v>560</v>
      </c>
      <c r="F116" s="57" t="s">
        <v>548</v>
      </c>
      <c r="G116" s="46" t="s">
        <v>586</v>
      </c>
      <c r="H116" s="46" t="s">
        <v>587</v>
      </c>
      <c r="I116" s="57"/>
      <c r="J116" s="57"/>
      <c r="K116" s="57">
        <v>0</v>
      </c>
      <c r="L116" s="57"/>
      <c r="M116" s="57">
        <f>186.4+730.6</f>
        <v>917</v>
      </c>
      <c r="N116" s="57" t="s">
        <v>550</v>
      </c>
      <c r="O116" s="46">
        <v>4.5999999999999999E-2</v>
      </c>
      <c r="P116" s="62">
        <f>RawData[[#This Row],[Value_USD_M]]*RawData[[#This Row],[Share_Est]]</f>
        <v>42.182000000000002</v>
      </c>
      <c r="Q116" s="46" t="s">
        <v>598</v>
      </c>
      <c r="R116" s="57"/>
      <c r="S116" s="58"/>
    </row>
    <row r="117" spans="2:19" x14ac:dyDescent="0.3">
      <c r="B117" s="56" t="s">
        <v>588</v>
      </c>
      <c r="C117" s="57">
        <v>2024</v>
      </c>
      <c r="D117" s="57" t="s">
        <v>582</v>
      </c>
      <c r="E117" s="57" t="s">
        <v>560</v>
      </c>
      <c r="F117" s="57" t="s">
        <v>548</v>
      </c>
      <c r="G117" s="57" t="s">
        <v>589</v>
      </c>
      <c r="H117" s="57" t="s">
        <v>590</v>
      </c>
      <c r="I117" s="57"/>
      <c r="J117" s="57"/>
      <c r="K117" s="57">
        <v>0</v>
      </c>
      <c r="L117" s="57"/>
      <c r="M117" s="57">
        <v>6.6</v>
      </c>
      <c r="N117" s="57" t="s">
        <v>550</v>
      </c>
      <c r="O117" s="57">
        <v>0.82</v>
      </c>
      <c r="P117" s="62">
        <f>RawData[[#This Row],[Value_USD_M]]*RawData[[#This Row],[Share_Est]]</f>
        <v>5.411999999999999</v>
      </c>
      <c r="Q117" s="46" t="s">
        <v>598</v>
      </c>
      <c r="R117" s="57"/>
      <c r="S117" s="58"/>
    </row>
    <row r="118" spans="2:19" x14ac:dyDescent="0.3">
      <c r="B118" s="56" t="s">
        <v>588</v>
      </c>
      <c r="C118" s="57">
        <v>2025</v>
      </c>
      <c r="D118" s="57" t="s">
        <v>582</v>
      </c>
      <c r="E118" s="57" t="s">
        <v>560</v>
      </c>
      <c r="F118" s="57" t="s">
        <v>548</v>
      </c>
      <c r="G118" s="57" t="s">
        <v>589</v>
      </c>
      <c r="H118" s="57" t="s">
        <v>590</v>
      </c>
      <c r="I118" s="57"/>
      <c r="J118" s="57"/>
      <c r="K118" s="57">
        <v>8</v>
      </c>
      <c r="L118" s="57"/>
      <c r="M118" s="57">
        <v>6.7</v>
      </c>
      <c r="N118" s="57" t="s">
        <v>550</v>
      </c>
      <c r="O118" s="57">
        <v>0.82</v>
      </c>
      <c r="P118" s="62">
        <f>RawData[[#This Row],[Value_USD_M]]*RawData[[#This Row],[Share_Est]]</f>
        <v>5.4939999999999998</v>
      </c>
      <c r="Q118" s="46" t="s">
        <v>598</v>
      </c>
      <c r="R118" s="57"/>
      <c r="S118" s="58"/>
    </row>
    <row r="119" spans="2:19" x14ac:dyDescent="0.3">
      <c r="B119" s="56" t="s">
        <v>588</v>
      </c>
      <c r="C119" s="57">
        <v>2026</v>
      </c>
      <c r="D119" s="57" t="s">
        <v>582</v>
      </c>
      <c r="E119" s="57" t="s">
        <v>560</v>
      </c>
      <c r="F119" s="57" t="s">
        <v>548</v>
      </c>
      <c r="G119" s="57" t="s">
        <v>589</v>
      </c>
      <c r="H119" s="57" t="s">
        <v>590</v>
      </c>
      <c r="I119" s="57"/>
      <c r="J119" s="57"/>
      <c r="K119" s="57">
        <v>0</v>
      </c>
      <c r="L119" s="57"/>
      <c r="M119" s="57">
        <v>3.4</v>
      </c>
      <c r="N119" s="57" t="s">
        <v>550</v>
      </c>
      <c r="O119" s="57">
        <v>0.82</v>
      </c>
      <c r="P119" s="62">
        <f>RawData[[#This Row],[Value_USD_M]]*RawData[[#This Row],[Share_Est]]</f>
        <v>2.7879999999999998</v>
      </c>
      <c r="Q119" s="46" t="s">
        <v>598</v>
      </c>
      <c r="R119" s="57"/>
      <c r="S119" s="58"/>
    </row>
    <row r="120" spans="2:19" x14ac:dyDescent="0.3">
      <c r="B120" s="56" t="s">
        <v>588</v>
      </c>
      <c r="C120" s="57">
        <v>2024</v>
      </c>
      <c r="D120" s="57" t="s">
        <v>582</v>
      </c>
      <c r="E120" s="57" t="s">
        <v>560</v>
      </c>
      <c r="F120" s="57" t="s">
        <v>548</v>
      </c>
      <c r="G120" s="57" t="s">
        <v>325</v>
      </c>
      <c r="H120" s="57" t="s">
        <v>563</v>
      </c>
      <c r="I120" s="57"/>
      <c r="J120" s="57"/>
      <c r="K120" s="57">
        <v>0</v>
      </c>
      <c r="L120" s="57"/>
      <c r="M120" s="57">
        <v>6.6</v>
      </c>
      <c r="N120" s="57" t="s">
        <v>550</v>
      </c>
      <c r="O120" s="57">
        <v>0.1</v>
      </c>
      <c r="P120" s="62">
        <f>RawData[[#This Row],[Value_USD_M]]*RawData[[#This Row],[Share_Est]]</f>
        <v>0.66</v>
      </c>
      <c r="Q120" s="46" t="s">
        <v>598</v>
      </c>
      <c r="R120" s="57"/>
      <c r="S120" s="58"/>
    </row>
    <row r="121" spans="2:19" x14ac:dyDescent="0.3">
      <c r="B121" s="56" t="s">
        <v>588</v>
      </c>
      <c r="C121" s="57">
        <v>2025</v>
      </c>
      <c r="D121" s="57" t="s">
        <v>582</v>
      </c>
      <c r="E121" s="57" t="s">
        <v>560</v>
      </c>
      <c r="F121" s="57" t="s">
        <v>548</v>
      </c>
      <c r="G121" s="57" t="s">
        <v>325</v>
      </c>
      <c r="H121" s="57" t="s">
        <v>563</v>
      </c>
      <c r="I121" s="57"/>
      <c r="J121" s="57"/>
      <c r="K121" s="57">
        <v>8</v>
      </c>
      <c r="L121" s="57"/>
      <c r="M121" s="57">
        <v>6.7</v>
      </c>
      <c r="N121" s="57" t="s">
        <v>550</v>
      </c>
      <c r="O121" s="57">
        <v>0.1</v>
      </c>
      <c r="P121" s="62">
        <f>RawData[[#This Row],[Value_USD_M]]*RawData[[#This Row],[Share_Est]]</f>
        <v>0.67</v>
      </c>
      <c r="Q121" s="46" t="s">
        <v>598</v>
      </c>
      <c r="R121" s="57"/>
      <c r="S121" s="58"/>
    </row>
    <row r="122" spans="2:19" x14ac:dyDescent="0.3">
      <c r="B122" s="56" t="s">
        <v>588</v>
      </c>
      <c r="C122" s="57">
        <v>2026</v>
      </c>
      <c r="D122" s="57" t="s">
        <v>582</v>
      </c>
      <c r="E122" s="57" t="s">
        <v>560</v>
      </c>
      <c r="F122" s="57" t="s">
        <v>548</v>
      </c>
      <c r="G122" s="57" t="s">
        <v>325</v>
      </c>
      <c r="H122" s="57" t="s">
        <v>563</v>
      </c>
      <c r="I122" s="57"/>
      <c r="J122" s="57"/>
      <c r="K122" s="57">
        <v>0</v>
      </c>
      <c r="L122" s="57"/>
      <c r="M122" s="57">
        <v>3.4</v>
      </c>
      <c r="N122" s="57" t="s">
        <v>550</v>
      </c>
      <c r="O122" s="57">
        <v>0.1</v>
      </c>
      <c r="P122" s="62">
        <f>RawData[[#This Row],[Value_USD_M]]*RawData[[#This Row],[Share_Est]]</f>
        <v>0.34</v>
      </c>
      <c r="Q122" s="46" t="s">
        <v>598</v>
      </c>
      <c r="R122" s="57"/>
      <c r="S122" s="58"/>
    </row>
    <row r="123" spans="2:19" x14ac:dyDescent="0.3">
      <c r="B123" s="56" t="s">
        <v>588</v>
      </c>
      <c r="C123" s="57">
        <v>2024</v>
      </c>
      <c r="D123" s="57" t="s">
        <v>582</v>
      </c>
      <c r="E123" s="57" t="s">
        <v>560</v>
      </c>
      <c r="F123" s="57" t="s">
        <v>548</v>
      </c>
      <c r="G123" s="57" t="s">
        <v>381</v>
      </c>
      <c r="H123" s="57"/>
      <c r="I123" s="57"/>
      <c r="J123" s="57"/>
      <c r="K123" s="57">
        <v>0</v>
      </c>
      <c r="L123" s="57"/>
      <c r="M123" s="57">
        <v>6.6</v>
      </c>
      <c r="N123" s="57" t="s">
        <v>550</v>
      </c>
      <c r="O123" s="57">
        <v>0.05</v>
      </c>
      <c r="P123" s="62">
        <f>RawData[[#This Row],[Value_USD_M]]*RawData[[#This Row],[Share_Est]]</f>
        <v>0.33</v>
      </c>
      <c r="Q123" s="46" t="s">
        <v>598</v>
      </c>
      <c r="R123" s="57"/>
      <c r="S123" s="58" t="s">
        <v>591</v>
      </c>
    </row>
    <row r="124" spans="2:19" x14ac:dyDescent="0.3">
      <c r="B124" s="56" t="s">
        <v>588</v>
      </c>
      <c r="C124" s="57">
        <v>2025</v>
      </c>
      <c r="D124" s="57" t="s">
        <v>582</v>
      </c>
      <c r="E124" s="57" t="s">
        <v>560</v>
      </c>
      <c r="F124" s="57" t="s">
        <v>548</v>
      </c>
      <c r="G124" s="57" t="s">
        <v>381</v>
      </c>
      <c r="H124" s="57"/>
      <c r="I124" s="57"/>
      <c r="J124" s="57"/>
      <c r="K124" s="57">
        <v>8</v>
      </c>
      <c r="L124" s="57"/>
      <c r="M124" s="57">
        <v>6.7</v>
      </c>
      <c r="N124" s="57" t="s">
        <v>550</v>
      </c>
      <c r="O124" s="57">
        <v>0.05</v>
      </c>
      <c r="P124" s="62">
        <f>RawData[[#This Row],[Value_USD_M]]*RawData[[#This Row],[Share_Est]]</f>
        <v>0.33500000000000002</v>
      </c>
      <c r="Q124" s="46" t="s">
        <v>598</v>
      </c>
      <c r="R124" s="57"/>
      <c r="S124" s="58"/>
    </row>
    <row r="125" spans="2:19" x14ac:dyDescent="0.3">
      <c r="B125" s="56" t="s">
        <v>588</v>
      </c>
      <c r="C125" s="57">
        <v>2026</v>
      </c>
      <c r="D125" s="57" t="s">
        <v>582</v>
      </c>
      <c r="E125" s="57" t="s">
        <v>560</v>
      </c>
      <c r="F125" s="57" t="s">
        <v>548</v>
      </c>
      <c r="G125" s="57" t="s">
        <v>381</v>
      </c>
      <c r="H125" s="57"/>
      <c r="I125" s="57"/>
      <c r="J125" s="57"/>
      <c r="K125" s="57">
        <v>0</v>
      </c>
      <c r="L125" s="57"/>
      <c r="M125" s="57">
        <v>3.4</v>
      </c>
      <c r="N125" s="57" t="s">
        <v>550</v>
      </c>
      <c r="O125" s="57">
        <v>0.05</v>
      </c>
      <c r="P125" s="62">
        <f>RawData[[#This Row],[Value_USD_M]]*RawData[[#This Row],[Share_Est]]</f>
        <v>0.17</v>
      </c>
      <c r="Q125" s="46" t="s">
        <v>598</v>
      </c>
      <c r="R125" s="57"/>
      <c r="S125" s="58"/>
    </row>
    <row r="126" spans="2:19" x14ac:dyDescent="0.3">
      <c r="B126" s="56" t="s">
        <v>588</v>
      </c>
      <c r="C126" s="57">
        <v>2024</v>
      </c>
      <c r="D126" s="57" t="s">
        <v>582</v>
      </c>
      <c r="E126" s="57" t="s">
        <v>560</v>
      </c>
      <c r="F126" s="57" t="s">
        <v>548</v>
      </c>
      <c r="G126" s="57" t="s">
        <v>324</v>
      </c>
      <c r="H126" s="57" t="s">
        <v>585</v>
      </c>
      <c r="I126" s="57"/>
      <c r="J126" s="57"/>
      <c r="K126" s="57">
        <v>0</v>
      </c>
      <c r="L126" s="57"/>
      <c r="M126" s="57">
        <v>6.6</v>
      </c>
      <c r="N126" s="57" t="s">
        <v>550</v>
      </c>
      <c r="O126" s="57">
        <v>0.03</v>
      </c>
      <c r="P126" s="62">
        <f>RawData[[#This Row],[Value_USD_M]]*RawData[[#This Row],[Share_Est]]</f>
        <v>0.19799999999999998</v>
      </c>
      <c r="Q126" s="46" t="s">
        <v>598</v>
      </c>
      <c r="R126" s="57"/>
      <c r="S126" s="58"/>
    </row>
    <row r="127" spans="2:19" x14ac:dyDescent="0.3">
      <c r="B127" s="56" t="s">
        <v>588</v>
      </c>
      <c r="C127" s="57">
        <v>2025</v>
      </c>
      <c r="D127" s="57" t="s">
        <v>582</v>
      </c>
      <c r="E127" s="57" t="s">
        <v>560</v>
      </c>
      <c r="F127" s="57" t="s">
        <v>548</v>
      </c>
      <c r="G127" s="57" t="s">
        <v>324</v>
      </c>
      <c r="H127" s="57" t="s">
        <v>585</v>
      </c>
      <c r="I127" s="57"/>
      <c r="J127" s="57"/>
      <c r="K127" s="57">
        <v>8</v>
      </c>
      <c r="L127" s="57"/>
      <c r="M127" s="57">
        <v>6.7</v>
      </c>
      <c r="N127" s="57" t="s">
        <v>550</v>
      </c>
      <c r="O127" s="57">
        <v>0.03</v>
      </c>
      <c r="P127" s="62">
        <f>RawData[[#This Row],[Value_USD_M]]*RawData[[#This Row],[Share_Est]]</f>
        <v>0.20099999999999998</v>
      </c>
      <c r="Q127" s="46" t="s">
        <v>598</v>
      </c>
      <c r="R127" s="57"/>
      <c r="S127" s="58"/>
    </row>
    <row r="128" spans="2:19" x14ac:dyDescent="0.3">
      <c r="B128" s="56" t="s">
        <v>588</v>
      </c>
      <c r="C128" s="57">
        <v>2026</v>
      </c>
      <c r="D128" s="57" t="s">
        <v>582</v>
      </c>
      <c r="E128" s="57" t="s">
        <v>560</v>
      </c>
      <c r="F128" s="57" t="s">
        <v>548</v>
      </c>
      <c r="G128" s="57" t="s">
        <v>324</v>
      </c>
      <c r="H128" s="57" t="s">
        <v>585</v>
      </c>
      <c r="I128" s="57"/>
      <c r="J128" s="57"/>
      <c r="K128" s="57">
        <v>0</v>
      </c>
      <c r="L128" s="57"/>
      <c r="M128" s="57">
        <v>3.4</v>
      </c>
      <c r="N128" s="57" t="s">
        <v>550</v>
      </c>
      <c r="O128" s="57">
        <v>0.03</v>
      </c>
      <c r="P128" s="62">
        <f>RawData[[#This Row],[Value_USD_M]]*RawData[[#This Row],[Share_Est]]</f>
        <v>0.10199999999999999</v>
      </c>
      <c r="Q128" s="46" t="s">
        <v>598</v>
      </c>
      <c r="R128" s="57"/>
      <c r="S128" s="58"/>
    </row>
    <row r="129" spans="2:19" x14ac:dyDescent="0.3">
      <c r="B129" s="56" t="s">
        <v>588</v>
      </c>
      <c r="C129" s="57">
        <v>2024</v>
      </c>
      <c r="D129" s="57" t="s">
        <v>582</v>
      </c>
      <c r="E129" s="57" t="s">
        <v>560</v>
      </c>
      <c r="F129" s="57" t="s">
        <v>549</v>
      </c>
      <c r="G129" s="57" t="s">
        <v>589</v>
      </c>
      <c r="H129" s="57" t="s">
        <v>590</v>
      </c>
      <c r="I129" s="57"/>
      <c r="J129" s="57"/>
      <c r="K129" s="57"/>
      <c r="L129" s="57"/>
      <c r="M129" s="57">
        <v>96.6</v>
      </c>
      <c r="N129" s="57" t="s">
        <v>550</v>
      </c>
      <c r="O129" s="57">
        <v>0.9</v>
      </c>
      <c r="P129" s="62">
        <f>RawData[[#This Row],[Value_USD_M]]*RawData[[#This Row],[Share_Est]]</f>
        <v>86.94</v>
      </c>
      <c r="Q129" s="46" t="s">
        <v>598</v>
      </c>
      <c r="R129" s="57"/>
      <c r="S129" s="58"/>
    </row>
    <row r="130" spans="2:19" x14ac:dyDescent="0.3">
      <c r="B130" s="56" t="s">
        <v>588</v>
      </c>
      <c r="C130" s="57">
        <v>2025</v>
      </c>
      <c r="D130" s="57" t="s">
        <v>582</v>
      </c>
      <c r="E130" s="57" t="s">
        <v>560</v>
      </c>
      <c r="F130" s="57" t="s">
        <v>549</v>
      </c>
      <c r="G130" s="57" t="s">
        <v>589</v>
      </c>
      <c r="H130" s="57" t="s">
        <v>590</v>
      </c>
      <c r="I130" s="57"/>
      <c r="J130" s="57"/>
      <c r="K130" s="57"/>
      <c r="L130" s="57"/>
      <c r="M130" s="57">
        <v>278</v>
      </c>
      <c r="N130" s="57" t="s">
        <v>550</v>
      </c>
      <c r="O130" s="57">
        <v>0.9</v>
      </c>
      <c r="P130" s="62">
        <f>RawData[[#This Row],[Value_USD_M]]*RawData[[#This Row],[Share_Est]]</f>
        <v>250.20000000000002</v>
      </c>
      <c r="Q130" s="46" t="s">
        <v>598</v>
      </c>
      <c r="R130" s="57"/>
      <c r="S130" s="58"/>
    </row>
    <row r="131" spans="2:19" x14ac:dyDescent="0.3">
      <c r="B131" s="56" t="s">
        <v>588</v>
      </c>
      <c r="C131" s="57">
        <v>2026</v>
      </c>
      <c r="D131" s="57" t="s">
        <v>582</v>
      </c>
      <c r="E131" s="57" t="s">
        <v>560</v>
      </c>
      <c r="F131" s="57" t="s">
        <v>549</v>
      </c>
      <c r="G131" s="57" t="s">
        <v>589</v>
      </c>
      <c r="H131" s="57" t="s">
        <v>590</v>
      </c>
      <c r="I131" s="57"/>
      <c r="J131" s="57"/>
      <c r="K131" s="57"/>
      <c r="L131" s="57"/>
      <c r="M131" s="57">
        <v>12.4</v>
      </c>
      <c r="N131" s="57" t="s">
        <v>550</v>
      </c>
      <c r="O131" s="57">
        <v>0.9</v>
      </c>
      <c r="P131" s="62">
        <f>RawData[[#This Row],[Value_USD_M]]*RawData[[#This Row],[Share_Est]]</f>
        <v>11.16</v>
      </c>
      <c r="Q131" s="46" t="s">
        <v>598</v>
      </c>
      <c r="R131" s="57"/>
      <c r="S131" s="58"/>
    </row>
    <row r="132" spans="2:19" x14ac:dyDescent="0.3">
      <c r="B132" s="51" t="s">
        <v>588</v>
      </c>
      <c r="C132" s="46">
        <v>2024</v>
      </c>
      <c r="D132" s="46" t="s">
        <v>582</v>
      </c>
      <c r="E132" s="46" t="s">
        <v>560</v>
      </c>
      <c r="F132" s="46" t="s">
        <v>549</v>
      </c>
      <c r="G132" s="46" t="s">
        <v>325</v>
      </c>
      <c r="H132" s="46" t="s">
        <v>563</v>
      </c>
      <c r="L132" s="57"/>
      <c r="M132" s="57">
        <v>96.6</v>
      </c>
      <c r="N132" s="57" t="s">
        <v>550</v>
      </c>
      <c r="O132" s="46">
        <v>0.05</v>
      </c>
      <c r="P132" s="61">
        <f>RawData[[#This Row],[Value_USD_M]]*RawData[[#This Row],[Share_Est]]</f>
        <v>4.83</v>
      </c>
      <c r="Q132" s="46" t="s">
        <v>598</v>
      </c>
      <c r="S132" s="52"/>
    </row>
    <row r="133" spans="2:19" x14ac:dyDescent="0.3">
      <c r="B133" s="51" t="s">
        <v>588</v>
      </c>
      <c r="C133" s="46">
        <v>2025</v>
      </c>
      <c r="D133" s="46" t="s">
        <v>582</v>
      </c>
      <c r="E133" s="46" t="s">
        <v>560</v>
      </c>
      <c r="F133" s="46" t="s">
        <v>549</v>
      </c>
      <c r="G133" s="46" t="s">
        <v>325</v>
      </c>
      <c r="H133" s="46" t="s">
        <v>563</v>
      </c>
      <c r="L133" s="57"/>
      <c r="M133" s="57">
        <v>278</v>
      </c>
      <c r="N133" s="57" t="s">
        <v>550</v>
      </c>
      <c r="O133" s="46">
        <v>0.05</v>
      </c>
      <c r="P133" s="61">
        <f>RawData[[#This Row],[Value_USD_M]]*RawData[[#This Row],[Share_Est]]</f>
        <v>13.9</v>
      </c>
      <c r="Q133" s="46" t="s">
        <v>598</v>
      </c>
      <c r="S133" s="52"/>
    </row>
    <row r="134" spans="2:19" x14ac:dyDescent="0.3">
      <c r="B134" s="56" t="s">
        <v>588</v>
      </c>
      <c r="C134" s="57">
        <v>2026</v>
      </c>
      <c r="D134" s="57" t="s">
        <v>582</v>
      </c>
      <c r="E134" s="57" t="s">
        <v>560</v>
      </c>
      <c r="F134" s="46" t="s">
        <v>549</v>
      </c>
      <c r="G134" s="46" t="s">
        <v>325</v>
      </c>
      <c r="H134" s="46" t="s">
        <v>563</v>
      </c>
      <c r="I134" s="57"/>
      <c r="J134" s="57"/>
      <c r="K134" s="57"/>
      <c r="L134" s="57"/>
      <c r="M134" s="57">
        <v>12.4</v>
      </c>
      <c r="N134" s="57" t="s">
        <v>550</v>
      </c>
      <c r="O134" s="46">
        <v>0.05</v>
      </c>
      <c r="P134" s="62">
        <f>RawData[[#This Row],[Value_USD_M]]*RawData[[#This Row],[Share_Est]]</f>
        <v>0.62000000000000011</v>
      </c>
      <c r="Q134" s="46" t="s">
        <v>598</v>
      </c>
      <c r="R134" s="57"/>
      <c r="S134" s="58"/>
    </row>
    <row r="135" spans="2:19" x14ac:dyDescent="0.3">
      <c r="B135" s="51" t="s">
        <v>588</v>
      </c>
      <c r="C135" s="46">
        <v>2024</v>
      </c>
      <c r="D135" s="46" t="s">
        <v>582</v>
      </c>
      <c r="E135" s="46" t="s">
        <v>560</v>
      </c>
      <c r="F135" s="46" t="s">
        <v>549</v>
      </c>
      <c r="G135" s="46" t="s">
        <v>381</v>
      </c>
      <c r="L135" s="57"/>
      <c r="M135" s="57">
        <v>96.6</v>
      </c>
      <c r="N135" s="57" t="s">
        <v>550</v>
      </c>
      <c r="O135" s="46">
        <v>0.05</v>
      </c>
      <c r="P135" s="61">
        <f>RawData[[#This Row],[Value_USD_M]]*RawData[[#This Row],[Share_Est]]</f>
        <v>4.83</v>
      </c>
      <c r="Q135" s="46" t="s">
        <v>598</v>
      </c>
      <c r="S135" s="52"/>
    </row>
    <row r="136" spans="2:19" x14ac:dyDescent="0.3">
      <c r="B136" s="51" t="s">
        <v>588</v>
      </c>
      <c r="C136" s="46">
        <v>2025</v>
      </c>
      <c r="D136" s="46" t="s">
        <v>582</v>
      </c>
      <c r="E136" s="46" t="s">
        <v>560</v>
      </c>
      <c r="F136" s="46" t="s">
        <v>549</v>
      </c>
      <c r="G136" s="46" t="s">
        <v>381</v>
      </c>
      <c r="L136" s="57"/>
      <c r="M136" s="57">
        <v>278</v>
      </c>
      <c r="N136" s="57" t="s">
        <v>550</v>
      </c>
      <c r="O136" s="46">
        <v>0.05</v>
      </c>
      <c r="P136" s="61">
        <f>RawData[[#This Row],[Value_USD_M]]*RawData[[#This Row],[Share_Est]]</f>
        <v>13.9</v>
      </c>
      <c r="Q136" s="46" t="s">
        <v>598</v>
      </c>
      <c r="S136" s="52"/>
    </row>
    <row r="137" spans="2:19" x14ac:dyDescent="0.3">
      <c r="B137" s="56" t="s">
        <v>588</v>
      </c>
      <c r="C137" s="57">
        <v>2026</v>
      </c>
      <c r="D137" s="57" t="s">
        <v>582</v>
      </c>
      <c r="E137" s="57" t="s">
        <v>560</v>
      </c>
      <c r="F137" s="46" t="s">
        <v>549</v>
      </c>
      <c r="G137" s="46" t="s">
        <v>381</v>
      </c>
      <c r="H137" s="57"/>
      <c r="I137" s="57"/>
      <c r="J137" s="57"/>
      <c r="K137" s="57"/>
      <c r="L137" s="57"/>
      <c r="M137" s="57">
        <v>12.4</v>
      </c>
      <c r="N137" s="57" t="s">
        <v>550</v>
      </c>
      <c r="O137" s="46">
        <v>0.05</v>
      </c>
      <c r="P137" s="62">
        <f>RawData[[#This Row],[Value_USD_M]]*RawData[[#This Row],[Share_Est]]</f>
        <v>0.62000000000000011</v>
      </c>
      <c r="Q137" s="46" t="s">
        <v>598</v>
      </c>
      <c r="R137" s="57"/>
      <c r="S137" s="58"/>
    </row>
    <row r="138" spans="2:19" x14ac:dyDescent="0.3">
      <c r="B138" s="56" t="s">
        <v>269</v>
      </c>
      <c r="C138" s="57">
        <v>2024</v>
      </c>
      <c r="D138" s="57" t="s">
        <v>546</v>
      </c>
      <c r="E138" s="57" t="s">
        <v>560</v>
      </c>
      <c r="F138" s="57" t="s">
        <v>549</v>
      </c>
      <c r="G138" s="57" t="s">
        <v>589</v>
      </c>
      <c r="H138" s="57" t="s">
        <v>590</v>
      </c>
      <c r="I138" s="57"/>
      <c r="J138" s="57"/>
      <c r="K138" s="57"/>
      <c r="L138" s="57"/>
      <c r="M138" s="57">
        <v>82.4</v>
      </c>
      <c r="N138" s="57"/>
      <c r="O138" s="57">
        <v>0.85</v>
      </c>
      <c r="P138" s="62">
        <f>RawData[[#This Row],[Value_USD_M]]*RawData[[#This Row],[Share_Est]]</f>
        <v>70.040000000000006</v>
      </c>
      <c r="Q138" s="46" t="s">
        <v>598</v>
      </c>
      <c r="R138" s="57"/>
      <c r="S138" s="58"/>
    </row>
    <row r="139" spans="2:19" x14ac:dyDescent="0.3">
      <c r="B139" s="56" t="s">
        <v>269</v>
      </c>
      <c r="C139" s="57">
        <v>2024</v>
      </c>
      <c r="D139" s="57" t="s">
        <v>561</v>
      </c>
      <c r="E139" s="57" t="s">
        <v>560</v>
      </c>
      <c r="F139" s="57" t="s">
        <v>549</v>
      </c>
      <c r="G139" s="57" t="s">
        <v>589</v>
      </c>
      <c r="H139" s="57" t="s">
        <v>590</v>
      </c>
      <c r="I139" s="57"/>
      <c r="J139" s="57"/>
      <c r="K139" s="57"/>
      <c r="L139" s="57"/>
      <c r="M139" s="57">
        <v>98.8</v>
      </c>
      <c r="N139" s="57"/>
      <c r="O139" s="57">
        <v>0.85</v>
      </c>
      <c r="P139" s="62">
        <f>RawData[[#This Row],[Value_USD_M]]*RawData[[#This Row],[Share_Est]]</f>
        <v>83.97999999999999</v>
      </c>
      <c r="Q139" s="46" t="s">
        <v>598</v>
      </c>
      <c r="R139" s="57"/>
      <c r="S139" s="58"/>
    </row>
    <row r="140" spans="2:19" x14ac:dyDescent="0.3">
      <c r="B140" s="56" t="s">
        <v>269</v>
      </c>
      <c r="C140" s="57">
        <v>2024</v>
      </c>
      <c r="D140" s="57" t="s">
        <v>573</v>
      </c>
      <c r="E140" s="57" t="s">
        <v>560</v>
      </c>
      <c r="F140" s="57" t="s">
        <v>549</v>
      </c>
      <c r="G140" s="57" t="s">
        <v>589</v>
      </c>
      <c r="H140" s="57" t="s">
        <v>590</v>
      </c>
      <c r="I140" s="57"/>
      <c r="J140" s="57"/>
      <c r="K140" s="57"/>
      <c r="L140" s="57"/>
      <c r="M140" s="57">
        <v>90.8</v>
      </c>
      <c r="N140" s="57"/>
      <c r="O140" s="57">
        <v>0.85</v>
      </c>
      <c r="P140" s="62">
        <f>RawData[[#This Row],[Value_USD_M]]*RawData[[#This Row],[Share_Est]]</f>
        <v>77.179999999999993</v>
      </c>
      <c r="Q140" s="46" t="s">
        <v>598</v>
      </c>
      <c r="R140" s="57"/>
      <c r="S140" s="58"/>
    </row>
    <row r="141" spans="2:19" x14ac:dyDescent="0.3">
      <c r="B141" s="56" t="s">
        <v>269</v>
      </c>
      <c r="C141" s="57">
        <v>2024</v>
      </c>
      <c r="D141" s="57" t="s">
        <v>546</v>
      </c>
      <c r="E141" s="57" t="s">
        <v>560</v>
      </c>
      <c r="F141" s="57" t="s">
        <v>549</v>
      </c>
      <c r="G141" s="57" t="s">
        <v>325</v>
      </c>
      <c r="H141" s="57" t="s">
        <v>563</v>
      </c>
      <c r="I141" s="57"/>
      <c r="J141" s="57"/>
      <c r="K141" s="57"/>
      <c r="L141" s="57"/>
      <c r="M141" s="57">
        <v>82.4</v>
      </c>
      <c r="N141" s="57"/>
      <c r="O141" s="57">
        <v>0.05</v>
      </c>
      <c r="P141" s="62">
        <f>RawData[[#This Row],[Value_USD_M]]*RawData[[#This Row],[Share_Est]]</f>
        <v>4.12</v>
      </c>
      <c r="Q141" s="46" t="s">
        <v>598</v>
      </c>
      <c r="R141" s="57"/>
      <c r="S141" s="58"/>
    </row>
    <row r="142" spans="2:19" x14ac:dyDescent="0.3">
      <c r="B142" s="56" t="s">
        <v>269</v>
      </c>
      <c r="C142" s="57">
        <v>2024</v>
      </c>
      <c r="D142" s="57" t="s">
        <v>561</v>
      </c>
      <c r="E142" s="57" t="s">
        <v>560</v>
      </c>
      <c r="F142" s="57" t="s">
        <v>549</v>
      </c>
      <c r="G142" s="57" t="s">
        <v>325</v>
      </c>
      <c r="H142" s="57" t="s">
        <v>563</v>
      </c>
      <c r="I142" s="57"/>
      <c r="J142" s="57"/>
      <c r="K142" s="57"/>
      <c r="L142" s="57"/>
      <c r="M142" s="57">
        <v>98.8</v>
      </c>
      <c r="N142" s="57"/>
      <c r="O142" s="57">
        <v>0.05</v>
      </c>
      <c r="P142" s="62">
        <f>RawData[[#This Row],[Value_USD_M]]*RawData[[#This Row],[Share_Est]]</f>
        <v>4.9400000000000004</v>
      </c>
      <c r="Q142" s="46" t="s">
        <v>598</v>
      </c>
      <c r="R142" s="57"/>
      <c r="S142" s="58"/>
    </row>
    <row r="143" spans="2:19" x14ac:dyDescent="0.3">
      <c r="B143" s="56" t="s">
        <v>269</v>
      </c>
      <c r="C143" s="57">
        <v>2024</v>
      </c>
      <c r="D143" s="57" t="s">
        <v>573</v>
      </c>
      <c r="E143" s="57" t="s">
        <v>560</v>
      </c>
      <c r="F143" s="57" t="s">
        <v>549</v>
      </c>
      <c r="G143" s="57" t="s">
        <v>325</v>
      </c>
      <c r="H143" s="57" t="s">
        <v>563</v>
      </c>
      <c r="I143" s="57"/>
      <c r="J143" s="57"/>
      <c r="K143" s="57"/>
      <c r="L143" s="57"/>
      <c r="M143" s="57">
        <v>90.8</v>
      </c>
      <c r="N143" s="57"/>
      <c r="O143" s="57">
        <v>0.05</v>
      </c>
      <c r="P143" s="62">
        <f>RawData[[#This Row],[Value_USD_M]]*RawData[[#This Row],[Share_Est]]</f>
        <v>4.54</v>
      </c>
      <c r="Q143" s="46" t="s">
        <v>598</v>
      </c>
      <c r="R143" s="57"/>
      <c r="S143" s="58"/>
    </row>
    <row r="144" spans="2:19" x14ac:dyDescent="0.3">
      <c r="B144" s="56" t="s">
        <v>269</v>
      </c>
      <c r="C144" s="57">
        <v>2024</v>
      </c>
      <c r="D144" s="57" t="s">
        <v>546</v>
      </c>
      <c r="E144" s="57" t="s">
        <v>560</v>
      </c>
      <c r="F144" s="57" t="s">
        <v>549</v>
      </c>
      <c r="G144" s="57" t="s">
        <v>381</v>
      </c>
      <c r="H144" s="57"/>
      <c r="I144" s="57"/>
      <c r="J144" s="57"/>
      <c r="K144" s="57"/>
      <c r="L144" s="57"/>
      <c r="M144" s="57">
        <v>82.4</v>
      </c>
      <c r="N144" s="57"/>
      <c r="O144" s="57">
        <v>0.05</v>
      </c>
      <c r="P144" s="62">
        <f>RawData[[#This Row],[Value_USD_M]]*RawData[[#This Row],[Share_Est]]</f>
        <v>4.12</v>
      </c>
      <c r="Q144" s="46" t="s">
        <v>598</v>
      </c>
      <c r="R144" s="57"/>
      <c r="S144" s="58"/>
    </row>
    <row r="145" spans="2:19" x14ac:dyDescent="0.3">
      <c r="B145" s="56" t="s">
        <v>269</v>
      </c>
      <c r="C145" s="57">
        <v>2024</v>
      </c>
      <c r="D145" s="57" t="s">
        <v>561</v>
      </c>
      <c r="E145" s="57" t="s">
        <v>560</v>
      </c>
      <c r="F145" s="57" t="s">
        <v>549</v>
      </c>
      <c r="G145" s="57" t="s">
        <v>381</v>
      </c>
      <c r="H145" s="57"/>
      <c r="I145" s="57"/>
      <c r="J145" s="57"/>
      <c r="K145" s="57"/>
      <c r="L145" s="57"/>
      <c r="M145" s="57">
        <v>98.8</v>
      </c>
      <c r="N145" s="57"/>
      <c r="O145" s="57">
        <v>0.05</v>
      </c>
      <c r="P145" s="62">
        <f>RawData[[#This Row],[Value_USD_M]]*RawData[[#This Row],[Share_Est]]</f>
        <v>4.9400000000000004</v>
      </c>
      <c r="Q145" s="46" t="s">
        <v>598</v>
      </c>
      <c r="R145" s="57"/>
      <c r="S145" s="58"/>
    </row>
    <row r="146" spans="2:19" x14ac:dyDescent="0.3">
      <c r="B146" s="56" t="s">
        <v>269</v>
      </c>
      <c r="C146" s="57">
        <v>2024</v>
      </c>
      <c r="D146" s="57" t="s">
        <v>573</v>
      </c>
      <c r="E146" s="57" t="s">
        <v>560</v>
      </c>
      <c r="F146" s="57" t="s">
        <v>549</v>
      </c>
      <c r="G146" s="57" t="s">
        <v>381</v>
      </c>
      <c r="H146" s="57"/>
      <c r="I146" s="57"/>
      <c r="J146" s="57"/>
      <c r="K146" s="57"/>
      <c r="L146" s="57"/>
      <c r="M146" s="57">
        <v>90.8</v>
      </c>
      <c r="N146" s="57"/>
      <c r="O146" s="57">
        <v>0.05</v>
      </c>
      <c r="P146" s="62">
        <f>RawData[[#This Row],[Value_USD_M]]*RawData[[#This Row],[Share_Est]]</f>
        <v>4.54</v>
      </c>
      <c r="Q146" s="46" t="s">
        <v>598</v>
      </c>
      <c r="R146" s="57"/>
      <c r="S146" s="58"/>
    </row>
    <row r="147" spans="2:19" x14ac:dyDescent="0.3">
      <c r="B147" s="56" t="s">
        <v>269</v>
      </c>
      <c r="C147" s="57">
        <v>2024</v>
      </c>
      <c r="D147" s="57" t="s">
        <v>546</v>
      </c>
      <c r="E147" s="57" t="s">
        <v>560</v>
      </c>
      <c r="F147" s="57" t="s">
        <v>549</v>
      </c>
      <c r="G147" s="57" t="s">
        <v>324</v>
      </c>
      <c r="H147" s="57" t="s">
        <v>585</v>
      </c>
      <c r="I147" s="57"/>
      <c r="J147" s="57"/>
      <c r="K147" s="57"/>
      <c r="L147" s="57"/>
      <c r="M147" s="57">
        <v>82.4</v>
      </c>
      <c r="N147" s="57"/>
      <c r="O147" s="57">
        <v>0.03</v>
      </c>
      <c r="P147" s="62">
        <f>RawData[[#This Row],[Value_USD_M]]*RawData[[#This Row],[Share_Est]]</f>
        <v>2.472</v>
      </c>
      <c r="Q147" s="46" t="s">
        <v>598</v>
      </c>
      <c r="R147" s="57"/>
      <c r="S147" s="58"/>
    </row>
    <row r="148" spans="2:19" x14ac:dyDescent="0.3">
      <c r="B148" s="56" t="s">
        <v>269</v>
      </c>
      <c r="C148" s="57">
        <v>2024</v>
      </c>
      <c r="D148" s="57" t="s">
        <v>561</v>
      </c>
      <c r="E148" s="57" t="s">
        <v>560</v>
      </c>
      <c r="F148" s="57" t="s">
        <v>549</v>
      </c>
      <c r="G148" s="57" t="s">
        <v>324</v>
      </c>
      <c r="H148" s="57" t="s">
        <v>585</v>
      </c>
      <c r="I148" s="57"/>
      <c r="J148" s="57"/>
      <c r="K148" s="57"/>
      <c r="L148" s="57"/>
      <c r="M148" s="57">
        <v>98.8</v>
      </c>
      <c r="N148" s="57"/>
      <c r="O148" s="57">
        <v>0.03</v>
      </c>
      <c r="P148" s="62">
        <f>RawData[[#This Row],[Value_USD_M]]*RawData[[#This Row],[Share_Est]]</f>
        <v>2.964</v>
      </c>
      <c r="Q148" s="46" t="s">
        <v>598</v>
      </c>
      <c r="R148" s="57"/>
      <c r="S148" s="58"/>
    </row>
    <row r="149" spans="2:19" x14ac:dyDescent="0.3">
      <c r="B149" s="56" t="s">
        <v>269</v>
      </c>
      <c r="C149" s="57">
        <v>2024</v>
      </c>
      <c r="D149" s="57" t="s">
        <v>573</v>
      </c>
      <c r="E149" s="57" t="s">
        <v>560</v>
      </c>
      <c r="F149" s="57" t="s">
        <v>549</v>
      </c>
      <c r="G149" s="57" t="s">
        <v>324</v>
      </c>
      <c r="H149" s="57" t="s">
        <v>585</v>
      </c>
      <c r="I149" s="57"/>
      <c r="J149" s="57"/>
      <c r="K149" s="57"/>
      <c r="L149" s="57"/>
      <c r="M149" s="57">
        <v>90.8</v>
      </c>
      <c r="N149" s="57"/>
      <c r="O149" s="57">
        <v>0.03</v>
      </c>
      <c r="P149" s="62">
        <f>RawData[[#This Row],[Value_USD_M]]*RawData[[#This Row],[Share_Est]]</f>
        <v>2.7239999999999998</v>
      </c>
      <c r="Q149" s="46" t="s">
        <v>598</v>
      </c>
      <c r="R149" s="57"/>
      <c r="S149" s="58"/>
    </row>
    <row r="150" spans="2:19" x14ac:dyDescent="0.3">
      <c r="B150" s="56" t="s">
        <v>269</v>
      </c>
      <c r="C150" s="57">
        <v>2025</v>
      </c>
      <c r="D150" s="57" t="s">
        <v>546</v>
      </c>
      <c r="E150" s="57" t="s">
        <v>560</v>
      </c>
      <c r="F150" s="57" t="s">
        <v>549</v>
      </c>
      <c r="G150" s="57" t="s">
        <v>589</v>
      </c>
      <c r="H150" s="46" t="s">
        <v>590</v>
      </c>
      <c r="I150" s="57"/>
      <c r="J150" s="57"/>
      <c r="K150" s="57"/>
      <c r="L150" s="57"/>
      <c r="M150" s="57">
        <v>7.1</v>
      </c>
      <c r="N150" s="57"/>
      <c r="O150" s="57">
        <v>0.85</v>
      </c>
      <c r="P150" s="62">
        <f>RawData[[#This Row],[Value_USD_M]]*RawData[[#This Row],[Share_Est]]</f>
        <v>6.0349999999999993</v>
      </c>
      <c r="Q150" s="46" t="s">
        <v>598</v>
      </c>
      <c r="R150" s="57"/>
      <c r="S150" s="58"/>
    </row>
    <row r="151" spans="2:19" x14ac:dyDescent="0.3">
      <c r="B151" s="56" t="s">
        <v>269</v>
      </c>
      <c r="C151" s="57">
        <v>2025</v>
      </c>
      <c r="D151" s="57" t="s">
        <v>561</v>
      </c>
      <c r="E151" s="57" t="s">
        <v>560</v>
      </c>
      <c r="F151" s="57" t="s">
        <v>549</v>
      </c>
      <c r="G151" s="57" t="s">
        <v>589</v>
      </c>
      <c r="H151" s="46" t="s">
        <v>590</v>
      </c>
      <c r="I151" s="57"/>
      <c r="J151" s="57"/>
      <c r="K151" s="57"/>
      <c r="L151" s="57"/>
      <c r="M151" s="57">
        <v>78.2</v>
      </c>
      <c r="N151" s="57"/>
      <c r="O151" s="57">
        <v>0.85</v>
      </c>
      <c r="P151" s="62">
        <f>RawData[[#This Row],[Value_USD_M]]*RawData[[#This Row],[Share_Est]]</f>
        <v>66.47</v>
      </c>
      <c r="Q151" s="46" t="s">
        <v>598</v>
      </c>
      <c r="R151" s="57"/>
      <c r="S151" s="58"/>
    </row>
    <row r="152" spans="2:19" x14ac:dyDescent="0.3">
      <c r="B152" s="56" t="s">
        <v>269</v>
      </c>
      <c r="C152" s="57">
        <v>2025</v>
      </c>
      <c r="D152" s="57" t="s">
        <v>573</v>
      </c>
      <c r="E152" s="57" t="s">
        <v>560</v>
      </c>
      <c r="F152" s="57" t="s">
        <v>549</v>
      </c>
      <c r="G152" s="57" t="s">
        <v>589</v>
      </c>
      <c r="H152" s="46" t="s">
        <v>590</v>
      </c>
      <c r="I152" s="57"/>
      <c r="J152" s="57"/>
      <c r="K152" s="57"/>
      <c r="L152" s="57"/>
      <c r="M152" s="57">
        <v>34.9</v>
      </c>
      <c r="N152" s="57"/>
      <c r="O152" s="57">
        <v>0.85</v>
      </c>
      <c r="P152" s="62">
        <f>RawData[[#This Row],[Value_USD_M]]*RawData[[#This Row],[Share_Est]]</f>
        <v>29.664999999999999</v>
      </c>
      <c r="Q152" s="46" t="s">
        <v>598</v>
      </c>
      <c r="R152" s="57"/>
      <c r="S152" s="58"/>
    </row>
    <row r="153" spans="2:19" x14ac:dyDescent="0.3">
      <c r="B153" s="56" t="s">
        <v>269</v>
      </c>
      <c r="C153" s="57">
        <v>2025</v>
      </c>
      <c r="D153" s="57" t="s">
        <v>546</v>
      </c>
      <c r="E153" s="57" t="s">
        <v>560</v>
      </c>
      <c r="F153" s="57" t="s">
        <v>549</v>
      </c>
      <c r="G153" s="57" t="s">
        <v>325</v>
      </c>
      <c r="H153" s="57" t="s">
        <v>563</v>
      </c>
      <c r="I153" s="57"/>
      <c r="J153" s="57"/>
      <c r="K153" s="57"/>
      <c r="L153" s="57"/>
      <c r="M153" s="57">
        <v>7.1</v>
      </c>
      <c r="N153" s="57"/>
      <c r="O153" s="57">
        <v>0.05</v>
      </c>
      <c r="P153" s="62">
        <f>RawData[[#This Row],[Value_USD_M]]*RawData[[#This Row],[Share_Est]]</f>
        <v>0.35499999999999998</v>
      </c>
      <c r="Q153" s="46" t="s">
        <v>598</v>
      </c>
      <c r="R153" s="57"/>
      <c r="S153" s="58"/>
    </row>
    <row r="154" spans="2:19" x14ac:dyDescent="0.3">
      <c r="B154" s="56" t="s">
        <v>269</v>
      </c>
      <c r="C154" s="57">
        <v>2025</v>
      </c>
      <c r="D154" s="57" t="s">
        <v>561</v>
      </c>
      <c r="E154" s="57" t="s">
        <v>560</v>
      </c>
      <c r="F154" s="57" t="s">
        <v>549</v>
      </c>
      <c r="G154" s="57" t="s">
        <v>325</v>
      </c>
      <c r="H154" s="57" t="s">
        <v>563</v>
      </c>
      <c r="I154" s="57"/>
      <c r="J154" s="57"/>
      <c r="K154" s="57"/>
      <c r="L154" s="57"/>
      <c r="M154" s="57">
        <v>78.2</v>
      </c>
      <c r="N154" s="57"/>
      <c r="O154" s="57">
        <v>0.05</v>
      </c>
      <c r="P154" s="62">
        <f>RawData[[#This Row],[Value_USD_M]]*RawData[[#This Row],[Share_Est]]</f>
        <v>3.91</v>
      </c>
      <c r="Q154" s="46" t="s">
        <v>598</v>
      </c>
      <c r="R154" s="57"/>
      <c r="S154" s="58"/>
    </row>
    <row r="155" spans="2:19" x14ac:dyDescent="0.3">
      <c r="B155" s="56" t="s">
        <v>269</v>
      </c>
      <c r="C155" s="57">
        <v>2025</v>
      </c>
      <c r="D155" s="57" t="s">
        <v>573</v>
      </c>
      <c r="E155" s="57" t="s">
        <v>560</v>
      </c>
      <c r="F155" s="57" t="s">
        <v>549</v>
      </c>
      <c r="G155" s="57" t="s">
        <v>325</v>
      </c>
      <c r="H155" s="57" t="s">
        <v>563</v>
      </c>
      <c r="I155" s="57"/>
      <c r="J155" s="57"/>
      <c r="K155" s="57"/>
      <c r="L155" s="57"/>
      <c r="M155" s="57">
        <v>34.9</v>
      </c>
      <c r="N155" s="57"/>
      <c r="O155" s="57">
        <v>0.05</v>
      </c>
      <c r="P155" s="62">
        <f>RawData[[#This Row],[Value_USD_M]]*RawData[[#This Row],[Share_Est]]</f>
        <v>1.7450000000000001</v>
      </c>
      <c r="Q155" s="46" t="s">
        <v>598</v>
      </c>
      <c r="R155" s="57"/>
      <c r="S155" s="58"/>
    </row>
    <row r="156" spans="2:19" x14ac:dyDescent="0.3">
      <c r="B156" s="56" t="s">
        <v>269</v>
      </c>
      <c r="C156" s="57">
        <v>2025</v>
      </c>
      <c r="D156" s="57" t="s">
        <v>546</v>
      </c>
      <c r="E156" s="57" t="s">
        <v>560</v>
      </c>
      <c r="F156" s="57" t="s">
        <v>549</v>
      </c>
      <c r="G156" s="57" t="s">
        <v>381</v>
      </c>
      <c r="H156" s="57"/>
      <c r="I156" s="57"/>
      <c r="J156" s="57"/>
      <c r="K156" s="57"/>
      <c r="L156" s="57"/>
      <c r="M156" s="57">
        <v>7.1</v>
      </c>
      <c r="N156" s="57"/>
      <c r="O156" s="57">
        <v>0.05</v>
      </c>
      <c r="P156" s="62">
        <f>RawData[[#This Row],[Value_USD_M]]*RawData[[#This Row],[Share_Est]]</f>
        <v>0.35499999999999998</v>
      </c>
      <c r="Q156" s="46" t="s">
        <v>598</v>
      </c>
      <c r="R156" s="57"/>
      <c r="S156" s="58"/>
    </row>
    <row r="157" spans="2:19" x14ac:dyDescent="0.3">
      <c r="B157" s="56" t="s">
        <v>269</v>
      </c>
      <c r="C157" s="57">
        <v>2025</v>
      </c>
      <c r="D157" s="57" t="s">
        <v>561</v>
      </c>
      <c r="E157" s="57" t="s">
        <v>560</v>
      </c>
      <c r="F157" s="57" t="s">
        <v>549</v>
      </c>
      <c r="G157" s="57" t="s">
        <v>381</v>
      </c>
      <c r="H157" s="57"/>
      <c r="I157" s="57"/>
      <c r="J157" s="57"/>
      <c r="K157" s="57"/>
      <c r="L157" s="57"/>
      <c r="M157" s="57">
        <v>78.2</v>
      </c>
      <c r="N157" s="57"/>
      <c r="O157" s="57">
        <v>0.05</v>
      </c>
      <c r="P157" s="62">
        <f>RawData[[#This Row],[Value_USD_M]]*RawData[[#This Row],[Share_Est]]</f>
        <v>3.91</v>
      </c>
      <c r="Q157" s="46" t="s">
        <v>598</v>
      </c>
      <c r="R157" s="57"/>
      <c r="S157" s="58"/>
    </row>
    <row r="158" spans="2:19" x14ac:dyDescent="0.3">
      <c r="B158" s="56" t="s">
        <v>269</v>
      </c>
      <c r="C158" s="57">
        <v>2025</v>
      </c>
      <c r="D158" s="57" t="s">
        <v>573</v>
      </c>
      <c r="E158" s="57" t="s">
        <v>560</v>
      </c>
      <c r="F158" s="57" t="s">
        <v>549</v>
      </c>
      <c r="G158" s="57" t="s">
        <v>381</v>
      </c>
      <c r="H158" s="57"/>
      <c r="I158" s="57"/>
      <c r="J158" s="57"/>
      <c r="K158" s="57"/>
      <c r="L158" s="57"/>
      <c r="M158" s="57">
        <v>34.9</v>
      </c>
      <c r="N158" s="57"/>
      <c r="O158" s="57">
        <v>0.05</v>
      </c>
      <c r="P158" s="62">
        <f>RawData[[#This Row],[Value_USD_M]]*RawData[[#This Row],[Share_Est]]</f>
        <v>1.7450000000000001</v>
      </c>
      <c r="Q158" s="46" t="s">
        <v>598</v>
      </c>
      <c r="R158" s="57"/>
      <c r="S158" s="58"/>
    </row>
    <row r="159" spans="2:19" x14ac:dyDescent="0.3">
      <c r="B159" s="56" t="s">
        <v>269</v>
      </c>
      <c r="C159" s="57">
        <v>2025</v>
      </c>
      <c r="D159" s="57" t="s">
        <v>546</v>
      </c>
      <c r="E159" s="57" t="s">
        <v>560</v>
      </c>
      <c r="F159" s="57" t="s">
        <v>549</v>
      </c>
      <c r="G159" s="57" t="s">
        <v>324</v>
      </c>
      <c r="H159" s="57" t="s">
        <v>585</v>
      </c>
      <c r="I159" s="57"/>
      <c r="J159" s="57"/>
      <c r="K159" s="57"/>
      <c r="L159" s="57"/>
      <c r="M159" s="57">
        <v>7.1</v>
      </c>
      <c r="N159" s="57"/>
      <c r="O159" s="57">
        <v>0.03</v>
      </c>
      <c r="P159" s="62">
        <f>RawData[[#This Row],[Value_USD_M]]*RawData[[#This Row],[Share_Est]]</f>
        <v>0.21299999999999999</v>
      </c>
      <c r="Q159" s="46" t="s">
        <v>598</v>
      </c>
      <c r="R159" s="57"/>
      <c r="S159" s="58"/>
    </row>
    <row r="160" spans="2:19" x14ac:dyDescent="0.3">
      <c r="B160" s="56" t="s">
        <v>269</v>
      </c>
      <c r="C160" s="57">
        <v>2025</v>
      </c>
      <c r="D160" s="57" t="s">
        <v>561</v>
      </c>
      <c r="E160" s="57" t="s">
        <v>560</v>
      </c>
      <c r="F160" s="57" t="s">
        <v>549</v>
      </c>
      <c r="G160" s="57" t="s">
        <v>324</v>
      </c>
      <c r="H160" s="57" t="s">
        <v>585</v>
      </c>
      <c r="I160" s="57"/>
      <c r="J160" s="57"/>
      <c r="K160" s="57"/>
      <c r="L160" s="57"/>
      <c r="M160" s="57">
        <v>78.2</v>
      </c>
      <c r="N160" s="57"/>
      <c r="O160" s="57">
        <v>0.03</v>
      </c>
      <c r="P160" s="62">
        <f>RawData[[#This Row],[Value_USD_M]]*RawData[[#This Row],[Share_Est]]</f>
        <v>2.3460000000000001</v>
      </c>
      <c r="Q160" s="46" t="s">
        <v>598</v>
      </c>
      <c r="R160" s="57"/>
      <c r="S160" s="58"/>
    </row>
    <row r="161" spans="2:19" x14ac:dyDescent="0.3">
      <c r="B161" s="56" t="s">
        <v>269</v>
      </c>
      <c r="C161" s="57">
        <v>2025</v>
      </c>
      <c r="D161" s="57" t="s">
        <v>573</v>
      </c>
      <c r="E161" s="57" t="s">
        <v>560</v>
      </c>
      <c r="F161" s="57" t="s">
        <v>549</v>
      </c>
      <c r="G161" s="57" t="s">
        <v>324</v>
      </c>
      <c r="H161" s="57" t="s">
        <v>585</v>
      </c>
      <c r="I161" s="57"/>
      <c r="J161" s="57"/>
      <c r="K161" s="57"/>
      <c r="L161" s="57"/>
      <c r="M161" s="57">
        <v>34.9</v>
      </c>
      <c r="N161" s="57"/>
      <c r="O161" s="57">
        <v>0.03</v>
      </c>
      <c r="P161" s="62">
        <f>RawData[[#This Row],[Value_USD_M]]*RawData[[#This Row],[Share_Est]]</f>
        <v>1.0469999999999999</v>
      </c>
      <c r="Q161" s="46" t="s">
        <v>598</v>
      </c>
      <c r="R161" s="57"/>
      <c r="S161" s="58"/>
    </row>
    <row r="162" spans="2:19" x14ac:dyDescent="0.3">
      <c r="B162" s="56" t="s">
        <v>269</v>
      </c>
      <c r="C162" s="57">
        <v>2026</v>
      </c>
      <c r="D162" s="57" t="s">
        <v>546</v>
      </c>
      <c r="E162" s="57" t="s">
        <v>560</v>
      </c>
      <c r="F162" s="57" t="s">
        <v>549</v>
      </c>
      <c r="G162" s="57" t="s">
        <v>325</v>
      </c>
      <c r="H162" s="57" t="s">
        <v>563</v>
      </c>
      <c r="I162" s="57"/>
      <c r="J162" s="57"/>
      <c r="K162" s="57"/>
      <c r="L162" s="57"/>
      <c r="M162" s="57">
        <v>26.7</v>
      </c>
      <c r="N162" s="57"/>
      <c r="O162" s="57">
        <v>0.85</v>
      </c>
      <c r="P162" s="62">
        <f>RawData[[#This Row],[Value_USD_M]]*RawData[[#This Row],[Share_Est]]</f>
        <v>22.695</v>
      </c>
      <c r="Q162" s="46" t="s">
        <v>598</v>
      </c>
      <c r="R162" s="57"/>
      <c r="S162" s="58"/>
    </row>
    <row r="163" spans="2:19" x14ac:dyDescent="0.3">
      <c r="B163" s="56" t="s">
        <v>269</v>
      </c>
      <c r="C163" s="57">
        <v>2026</v>
      </c>
      <c r="D163" s="57" t="s">
        <v>561</v>
      </c>
      <c r="E163" s="57" t="s">
        <v>560</v>
      </c>
      <c r="F163" s="57" t="s">
        <v>549</v>
      </c>
      <c r="G163" s="57" t="s">
        <v>325</v>
      </c>
      <c r="H163" s="57" t="s">
        <v>563</v>
      </c>
      <c r="I163" s="57"/>
      <c r="J163" s="57"/>
      <c r="K163" s="57"/>
      <c r="L163" s="57"/>
      <c r="M163" s="57">
        <v>28.4</v>
      </c>
      <c r="N163" s="57"/>
      <c r="O163" s="57">
        <v>0.85</v>
      </c>
      <c r="P163" s="62">
        <f>RawData[[#This Row],[Value_USD_M]]*RawData[[#This Row],[Share_Est]]</f>
        <v>24.139999999999997</v>
      </c>
      <c r="Q163" s="46" t="s">
        <v>598</v>
      </c>
      <c r="R163" s="57"/>
      <c r="S163" s="58"/>
    </row>
    <row r="164" spans="2:19" x14ac:dyDescent="0.3">
      <c r="B164" s="56" t="s">
        <v>269</v>
      </c>
      <c r="C164" s="57">
        <v>2026</v>
      </c>
      <c r="D164" s="57" t="s">
        <v>573</v>
      </c>
      <c r="E164" s="57" t="s">
        <v>560</v>
      </c>
      <c r="F164" s="57" t="s">
        <v>549</v>
      </c>
      <c r="G164" s="57" t="s">
        <v>325</v>
      </c>
      <c r="H164" s="57" t="s">
        <v>563</v>
      </c>
      <c r="I164" s="57"/>
      <c r="J164" s="57"/>
      <c r="K164" s="57"/>
      <c r="L164" s="57"/>
      <c r="M164" s="57">
        <v>0</v>
      </c>
      <c r="N164" s="57"/>
      <c r="O164" s="57">
        <v>0.85</v>
      </c>
      <c r="P164" s="62">
        <f>RawData[[#This Row],[Value_USD_M]]*RawData[[#This Row],[Share_Est]]</f>
        <v>0</v>
      </c>
      <c r="Q164" s="46" t="s">
        <v>598</v>
      </c>
      <c r="R164" s="57"/>
      <c r="S164" s="58"/>
    </row>
    <row r="165" spans="2:19" x14ac:dyDescent="0.3">
      <c r="B165" s="56" t="s">
        <v>269</v>
      </c>
      <c r="C165" s="57">
        <v>2026</v>
      </c>
      <c r="D165" s="57" t="s">
        <v>546</v>
      </c>
      <c r="E165" s="57" t="s">
        <v>560</v>
      </c>
      <c r="F165" s="57" t="s">
        <v>549</v>
      </c>
      <c r="G165" s="57" t="s">
        <v>381</v>
      </c>
      <c r="H165" s="57"/>
      <c r="I165" s="57"/>
      <c r="J165" s="57"/>
      <c r="K165" s="57"/>
      <c r="L165" s="57"/>
      <c r="M165" s="57">
        <v>26.7</v>
      </c>
      <c r="N165" s="57"/>
      <c r="O165" s="57">
        <v>0.05</v>
      </c>
      <c r="P165" s="62">
        <f>RawData[[#This Row],[Value_USD_M]]*RawData[[#This Row],[Share_Est]]</f>
        <v>1.335</v>
      </c>
      <c r="Q165" s="46" t="s">
        <v>598</v>
      </c>
      <c r="R165" s="57"/>
      <c r="S165" s="58"/>
    </row>
    <row r="166" spans="2:19" x14ac:dyDescent="0.3">
      <c r="B166" s="56" t="s">
        <v>269</v>
      </c>
      <c r="C166" s="57">
        <v>2026</v>
      </c>
      <c r="D166" s="57" t="s">
        <v>561</v>
      </c>
      <c r="E166" s="57" t="s">
        <v>560</v>
      </c>
      <c r="F166" s="57" t="s">
        <v>549</v>
      </c>
      <c r="G166" s="57" t="s">
        <v>381</v>
      </c>
      <c r="H166" s="57"/>
      <c r="I166" s="57"/>
      <c r="J166" s="57"/>
      <c r="K166" s="57"/>
      <c r="L166" s="57"/>
      <c r="M166" s="57">
        <v>28.4</v>
      </c>
      <c r="N166" s="57"/>
      <c r="O166" s="57">
        <v>0.05</v>
      </c>
      <c r="P166" s="62">
        <f>RawData[[#This Row],[Value_USD_M]]*RawData[[#This Row],[Share_Est]]</f>
        <v>1.42</v>
      </c>
      <c r="Q166" s="46" t="s">
        <v>598</v>
      </c>
      <c r="R166" s="57"/>
      <c r="S166" s="58"/>
    </row>
    <row r="167" spans="2:19" x14ac:dyDescent="0.3">
      <c r="B167" s="56" t="s">
        <v>269</v>
      </c>
      <c r="C167" s="57">
        <v>2026</v>
      </c>
      <c r="D167" s="57" t="s">
        <v>573</v>
      </c>
      <c r="E167" s="57" t="s">
        <v>560</v>
      </c>
      <c r="F167" s="57" t="s">
        <v>549</v>
      </c>
      <c r="G167" s="57" t="s">
        <v>381</v>
      </c>
      <c r="H167" s="57"/>
      <c r="I167" s="57"/>
      <c r="J167" s="57"/>
      <c r="K167" s="57"/>
      <c r="L167" s="57"/>
      <c r="M167" s="57">
        <v>0</v>
      </c>
      <c r="N167" s="57"/>
      <c r="O167" s="57">
        <v>0.05</v>
      </c>
      <c r="P167" s="62">
        <f>RawData[[#This Row],[Value_USD_M]]*RawData[[#This Row],[Share_Est]]</f>
        <v>0</v>
      </c>
      <c r="Q167" s="46" t="s">
        <v>598</v>
      </c>
      <c r="R167" s="57"/>
      <c r="S167" s="58"/>
    </row>
    <row r="168" spans="2:19" x14ac:dyDescent="0.3">
      <c r="B168" s="56" t="s">
        <v>269</v>
      </c>
      <c r="C168" s="57">
        <v>2026</v>
      </c>
      <c r="D168" s="57" t="s">
        <v>546</v>
      </c>
      <c r="E168" s="57" t="s">
        <v>560</v>
      </c>
      <c r="F168" s="57" t="s">
        <v>549</v>
      </c>
      <c r="G168" s="57" t="s">
        <v>324</v>
      </c>
      <c r="H168" s="57" t="s">
        <v>585</v>
      </c>
      <c r="I168" s="57"/>
      <c r="J168" s="57"/>
      <c r="K168" s="57"/>
      <c r="L168" s="57"/>
      <c r="M168" s="57">
        <v>26.7</v>
      </c>
      <c r="N168" s="57"/>
      <c r="O168" s="57">
        <v>0.05</v>
      </c>
      <c r="P168" s="62">
        <f>RawData[[#This Row],[Value_USD_M]]*RawData[[#This Row],[Share_Est]]</f>
        <v>1.335</v>
      </c>
      <c r="Q168" s="46" t="s">
        <v>598</v>
      </c>
      <c r="R168" s="57"/>
      <c r="S168" s="58"/>
    </row>
    <row r="169" spans="2:19" x14ac:dyDescent="0.3">
      <c r="B169" s="56" t="s">
        <v>269</v>
      </c>
      <c r="C169" s="57">
        <v>2026</v>
      </c>
      <c r="D169" s="57" t="s">
        <v>561</v>
      </c>
      <c r="E169" s="57" t="s">
        <v>560</v>
      </c>
      <c r="F169" s="57" t="s">
        <v>549</v>
      </c>
      <c r="G169" s="57" t="s">
        <v>324</v>
      </c>
      <c r="H169" s="57" t="s">
        <v>585</v>
      </c>
      <c r="I169" s="57"/>
      <c r="J169" s="57"/>
      <c r="K169" s="57"/>
      <c r="L169" s="57"/>
      <c r="M169" s="57">
        <v>28.4</v>
      </c>
      <c r="N169" s="57"/>
      <c r="O169" s="57">
        <v>0.05</v>
      </c>
      <c r="P169" s="62">
        <f>RawData[[#This Row],[Value_USD_M]]*RawData[[#This Row],[Share_Est]]</f>
        <v>1.42</v>
      </c>
      <c r="Q169" s="46" t="s">
        <v>598</v>
      </c>
      <c r="R169" s="57"/>
      <c r="S169" s="58"/>
    </row>
    <row r="170" spans="2:19" x14ac:dyDescent="0.3">
      <c r="B170" s="56" t="s">
        <v>269</v>
      </c>
      <c r="C170" s="57">
        <v>2026</v>
      </c>
      <c r="D170" s="57" t="s">
        <v>573</v>
      </c>
      <c r="E170" s="57" t="s">
        <v>560</v>
      </c>
      <c r="F170" s="57" t="s">
        <v>549</v>
      </c>
      <c r="G170" s="57" t="s">
        <v>324</v>
      </c>
      <c r="H170" s="57" t="s">
        <v>585</v>
      </c>
      <c r="I170" s="57"/>
      <c r="J170" s="57"/>
      <c r="K170" s="57"/>
      <c r="L170" s="57"/>
      <c r="M170" s="57">
        <v>0</v>
      </c>
      <c r="N170" s="57"/>
      <c r="O170" s="57">
        <v>0.05</v>
      </c>
      <c r="P170" s="62">
        <f>RawData[[#This Row],[Value_USD_M]]*RawData[[#This Row],[Share_Est]]</f>
        <v>0</v>
      </c>
      <c r="Q170" s="46" t="s">
        <v>598</v>
      </c>
      <c r="R170" s="57"/>
      <c r="S170" s="58"/>
    </row>
    <row r="171" spans="2:19" x14ac:dyDescent="0.3">
      <c r="B171" s="56" t="s">
        <v>269</v>
      </c>
      <c r="C171" s="57">
        <v>2026</v>
      </c>
      <c r="D171" s="57" t="s">
        <v>546</v>
      </c>
      <c r="E171" s="57" t="s">
        <v>560</v>
      </c>
      <c r="F171" s="57" t="s">
        <v>549</v>
      </c>
      <c r="G171" s="57" t="s">
        <v>325</v>
      </c>
      <c r="H171" s="46" t="s">
        <v>563</v>
      </c>
      <c r="I171" s="57"/>
      <c r="J171" s="57"/>
      <c r="K171" s="57"/>
      <c r="L171" s="57"/>
      <c r="M171" s="57">
        <v>26.7</v>
      </c>
      <c r="N171" s="57"/>
      <c r="O171" s="57">
        <v>0.03</v>
      </c>
      <c r="P171" s="62">
        <f>RawData[[#This Row],[Value_USD_M]]*RawData[[#This Row],[Share_Est]]</f>
        <v>0.80099999999999993</v>
      </c>
      <c r="Q171" s="46" t="s">
        <v>598</v>
      </c>
      <c r="R171" s="57"/>
      <c r="S171" s="58"/>
    </row>
    <row r="172" spans="2:19" x14ac:dyDescent="0.3">
      <c r="B172" s="56" t="s">
        <v>269</v>
      </c>
      <c r="C172" s="57">
        <v>2026</v>
      </c>
      <c r="D172" s="57" t="s">
        <v>561</v>
      </c>
      <c r="E172" s="57" t="s">
        <v>560</v>
      </c>
      <c r="F172" s="57" t="s">
        <v>549</v>
      </c>
      <c r="G172" s="57" t="s">
        <v>325</v>
      </c>
      <c r="H172" s="46" t="s">
        <v>563</v>
      </c>
      <c r="I172" s="57"/>
      <c r="J172" s="57"/>
      <c r="K172" s="57"/>
      <c r="L172" s="57"/>
      <c r="M172" s="57">
        <v>28.4</v>
      </c>
      <c r="N172" s="57"/>
      <c r="O172" s="57">
        <v>0.03</v>
      </c>
      <c r="P172" s="62">
        <f>RawData[[#This Row],[Value_USD_M]]*RawData[[#This Row],[Share_Est]]</f>
        <v>0.85199999999999998</v>
      </c>
      <c r="Q172" s="46" t="s">
        <v>598</v>
      </c>
      <c r="R172" s="57"/>
      <c r="S172" s="58"/>
    </row>
    <row r="173" spans="2:19" x14ac:dyDescent="0.3">
      <c r="B173" s="56" t="s">
        <v>269</v>
      </c>
      <c r="C173" s="57">
        <v>2026</v>
      </c>
      <c r="D173" s="57" t="s">
        <v>573</v>
      </c>
      <c r="E173" s="57" t="s">
        <v>560</v>
      </c>
      <c r="F173" s="57" t="s">
        <v>549</v>
      </c>
      <c r="G173" s="57" t="s">
        <v>325</v>
      </c>
      <c r="H173" s="46" t="s">
        <v>563</v>
      </c>
      <c r="I173" s="57"/>
      <c r="J173" s="57"/>
      <c r="K173" s="57"/>
      <c r="L173" s="57"/>
      <c r="M173" s="57">
        <v>0</v>
      </c>
      <c r="N173" s="57"/>
      <c r="O173" s="57">
        <v>0.03</v>
      </c>
      <c r="P173" s="62">
        <f>RawData[[#This Row],[Value_USD_M]]*RawData[[#This Row],[Share_Est]]</f>
        <v>0</v>
      </c>
      <c r="Q173" s="46" t="s">
        <v>598</v>
      </c>
      <c r="R173" s="57"/>
      <c r="S173" s="58"/>
    </row>
    <row r="174" spans="2:19" x14ac:dyDescent="0.3">
      <c r="B174" s="56" t="s">
        <v>269</v>
      </c>
      <c r="C174" s="57">
        <v>2024</v>
      </c>
      <c r="D174" s="57" t="s">
        <v>546</v>
      </c>
      <c r="E174" s="57" t="s">
        <v>560</v>
      </c>
      <c r="F174" s="57" t="s">
        <v>548</v>
      </c>
      <c r="G174" s="57" t="s">
        <v>589</v>
      </c>
      <c r="H174" s="57" t="s">
        <v>590</v>
      </c>
      <c r="I174" s="57"/>
      <c r="J174" s="57"/>
      <c r="K174" s="57">
        <v>0</v>
      </c>
      <c r="L174" s="57"/>
      <c r="M174" s="57">
        <v>107.6</v>
      </c>
      <c r="N174" s="57"/>
      <c r="O174" s="57">
        <v>0.78</v>
      </c>
      <c r="P174" s="62">
        <f>RawData[[#This Row],[Value_USD_M]]*RawData[[#This Row],[Share_Est]]</f>
        <v>83.927999999999997</v>
      </c>
      <c r="Q174" s="46" t="s">
        <v>598</v>
      </c>
      <c r="R174" s="57"/>
      <c r="S174" s="58"/>
    </row>
    <row r="175" spans="2:19" x14ac:dyDescent="0.3">
      <c r="B175" s="56" t="s">
        <v>269</v>
      </c>
      <c r="C175" s="57">
        <v>2024</v>
      </c>
      <c r="D175" s="57" t="s">
        <v>561</v>
      </c>
      <c r="E175" s="57" t="s">
        <v>560</v>
      </c>
      <c r="F175" s="57" t="s">
        <v>548</v>
      </c>
      <c r="G175" s="57" t="s">
        <v>589</v>
      </c>
      <c r="H175" s="57" t="s">
        <v>590</v>
      </c>
      <c r="I175" s="57"/>
      <c r="J175" s="57"/>
      <c r="K175" s="57">
        <v>5</v>
      </c>
      <c r="L175" s="57"/>
      <c r="M175" s="57">
        <v>179.1</v>
      </c>
      <c r="N175" s="57"/>
      <c r="O175" s="57">
        <v>0.78</v>
      </c>
      <c r="P175" s="62">
        <f>RawData[[#This Row],[Value_USD_M]]*RawData[[#This Row],[Share_Est]]</f>
        <v>139.69800000000001</v>
      </c>
      <c r="Q175" s="46" t="s">
        <v>598</v>
      </c>
      <c r="R175" s="57"/>
      <c r="S175" s="58"/>
    </row>
    <row r="176" spans="2:19" x14ac:dyDescent="0.3">
      <c r="B176" s="56" t="s">
        <v>269</v>
      </c>
      <c r="C176" s="57">
        <v>2024</v>
      </c>
      <c r="D176" s="57" t="s">
        <v>573</v>
      </c>
      <c r="E176" s="57" t="s">
        <v>560</v>
      </c>
      <c r="F176" s="57" t="s">
        <v>548</v>
      </c>
      <c r="G176" s="57" t="s">
        <v>589</v>
      </c>
      <c r="H176" s="57" t="s">
        <v>590</v>
      </c>
      <c r="I176" s="57"/>
      <c r="J176" s="57"/>
      <c r="K176" s="57">
        <v>0</v>
      </c>
      <c r="L176" s="57"/>
      <c r="M176" s="57">
        <v>17.7</v>
      </c>
      <c r="N176" s="57"/>
      <c r="O176" s="57">
        <v>0.78</v>
      </c>
      <c r="P176" s="62">
        <f>RawData[[#This Row],[Value_USD_M]]*RawData[[#This Row],[Share_Est]]</f>
        <v>13.805999999999999</v>
      </c>
      <c r="Q176" s="46" t="s">
        <v>598</v>
      </c>
      <c r="R176" s="57"/>
      <c r="S176" s="58"/>
    </row>
    <row r="177" spans="2:19" x14ac:dyDescent="0.3">
      <c r="B177" s="56" t="s">
        <v>269</v>
      </c>
      <c r="C177" s="57">
        <v>2024</v>
      </c>
      <c r="D177" s="57" t="s">
        <v>546</v>
      </c>
      <c r="E177" s="57" t="s">
        <v>560</v>
      </c>
      <c r="F177" s="57" t="s">
        <v>548</v>
      </c>
      <c r="G177" s="57" t="s">
        <v>325</v>
      </c>
      <c r="H177" s="57" t="s">
        <v>563</v>
      </c>
      <c r="I177" s="57"/>
      <c r="J177" s="57"/>
      <c r="K177" s="57">
        <v>0</v>
      </c>
      <c r="L177" s="57"/>
      <c r="M177" s="57">
        <v>107.6</v>
      </c>
      <c r="N177" s="57"/>
      <c r="O177" s="57">
        <v>0.09</v>
      </c>
      <c r="P177" s="62">
        <f>RawData[[#This Row],[Value_USD_M]]*RawData[[#This Row],[Share_Est]]</f>
        <v>9.6839999999999993</v>
      </c>
      <c r="Q177" s="46" t="s">
        <v>598</v>
      </c>
      <c r="R177" s="57"/>
      <c r="S177" s="58"/>
    </row>
    <row r="178" spans="2:19" x14ac:dyDescent="0.3">
      <c r="B178" s="56" t="s">
        <v>269</v>
      </c>
      <c r="C178" s="57">
        <v>2024</v>
      </c>
      <c r="D178" s="57" t="s">
        <v>561</v>
      </c>
      <c r="E178" s="57" t="s">
        <v>560</v>
      </c>
      <c r="F178" s="57" t="s">
        <v>548</v>
      </c>
      <c r="G178" s="57" t="s">
        <v>325</v>
      </c>
      <c r="H178" s="57" t="s">
        <v>563</v>
      </c>
      <c r="I178" s="57"/>
      <c r="J178" s="57"/>
      <c r="K178" s="57">
        <v>5</v>
      </c>
      <c r="L178" s="57"/>
      <c r="M178" s="57">
        <v>179.1</v>
      </c>
      <c r="N178" s="57"/>
      <c r="O178" s="57">
        <v>0.09</v>
      </c>
      <c r="P178" s="62">
        <f>RawData[[#This Row],[Value_USD_M]]*RawData[[#This Row],[Share_Est]]</f>
        <v>16.119</v>
      </c>
      <c r="Q178" s="46" t="s">
        <v>598</v>
      </c>
      <c r="R178" s="57"/>
      <c r="S178" s="58"/>
    </row>
    <row r="179" spans="2:19" x14ac:dyDescent="0.3">
      <c r="B179" s="56" t="s">
        <v>269</v>
      </c>
      <c r="C179" s="57">
        <v>2024</v>
      </c>
      <c r="D179" s="57" t="s">
        <v>573</v>
      </c>
      <c r="E179" s="57" t="s">
        <v>560</v>
      </c>
      <c r="F179" s="57" t="s">
        <v>548</v>
      </c>
      <c r="G179" s="57" t="s">
        <v>325</v>
      </c>
      <c r="H179" s="57" t="s">
        <v>563</v>
      </c>
      <c r="I179" s="57"/>
      <c r="J179" s="57"/>
      <c r="K179" s="57">
        <v>0</v>
      </c>
      <c r="L179" s="57"/>
      <c r="M179" s="57">
        <v>17.7</v>
      </c>
      <c r="N179" s="57"/>
      <c r="O179" s="57">
        <v>0.09</v>
      </c>
      <c r="P179" s="62">
        <f>RawData[[#This Row],[Value_USD_M]]*RawData[[#This Row],[Share_Est]]</f>
        <v>1.593</v>
      </c>
      <c r="Q179" s="46" t="s">
        <v>598</v>
      </c>
      <c r="R179" s="57"/>
      <c r="S179" s="58"/>
    </row>
    <row r="180" spans="2:19" x14ac:dyDescent="0.3">
      <c r="B180" s="56" t="s">
        <v>269</v>
      </c>
      <c r="C180" s="57">
        <v>2024</v>
      </c>
      <c r="D180" s="57" t="s">
        <v>546</v>
      </c>
      <c r="E180" s="57" t="s">
        <v>560</v>
      </c>
      <c r="F180" s="57" t="s">
        <v>548</v>
      </c>
      <c r="G180" s="57" t="s">
        <v>381</v>
      </c>
      <c r="H180" s="57"/>
      <c r="I180" s="57"/>
      <c r="J180" s="57"/>
      <c r="K180" s="57">
        <v>0</v>
      </c>
      <c r="L180" s="57"/>
      <c r="M180" s="57">
        <v>107.6</v>
      </c>
      <c r="N180" s="57"/>
      <c r="O180" s="57">
        <v>0.05</v>
      </c>
      <c r="P180" s="62">
        <f>RawData[[#This Row],[Value_USD_M]]*RawData[[#This Row],[Share_Est]]</f>
        <v>5.38</v>
      </c>
      <c r="Q180" s="46" t="s">
        <v>598</v>
      </c>
      <c r="R180" s="57"/>
      <c r="S180" s="58"/>
    </row>
    <row r="181" spans="2:19" x14ac:dyDescent="0.3">
      <c r="B181" s="56" t="s">
        <v>269</v>
      </c>
      <c r="C181" s="57">
        <v>2024</v>
      </c>
      <c r="D181" s="57" t="s">
        <v>561</v>
      </c>
      <c r="E181" s="57" t="s">
        <v>560</v>
      </c>
      <c r="F181" s="57" t="s">
        <v>548</v>
      </c>
      <c r="G181" s="57" t="s">
        <v>381</v>
      </c>
      <c r="H181" s="57"/>
      <c r="I181" s="57"/>
      <c r="J181" s="57"/>
      <c r="K181" s="57">
        <v>5</v>
      </c>
      <c r="L181" s="57"/>
      <c r="M181" s="57">
        <v>179.1</v>
      </c>
      <c r="N181" s="57"/>
      <c r="O181" s="57">
        <v>0.05</v>
      </c>
      <c r="P181" s="62">
        <f>RawData[[#This Row],[Value_USD_M]]*RawData[[#This Row],[Share_Est]]</f>
        <v>8.9550000000000001</v>
      </c>
      <c r="Q181" s="46" t="s">
        <v>598</v>
      </c>
      <c r="R181" s="57"/>
      <c r="S181" s="58"/>
    </row>
    <row r="182" spans="2:19" x14ac:dyDescent="0.3">
      <c r="B182" s="56" t="s">
        <v>269</v>
      </c>
      <c r="C182" s="57">
        <v>2024</v>
      </c>
      <c r="D182" s="57" t="s">
        <v>573</v>
      </c>
      <c r="E182" s="57" t="s">
        <v>560</v>
      </c>
      <c r="F182" s="57" t="s">
        <v>548</v>
      </c>
      <c r="G182" s="57" t="s">
        <v>381</v>
      </c>
      <c r="H182" s="57"/>
      <c r="I182" s="57"/>
      <c r="J182" s="57"/>
      <c r="K182" s="57">
        <v>0</v>
      </c>
      <c r="L182" s="57"/>
      <c r="M182" s="57">
        <v>17.7</v>
      </c>
      <c r="N182" s="57"/>
      <c r="O182" s="57">
        <v>0.05</v>
      </c>
      <c r="P182" s="62">
        <f>RawData[[#This Row],[Value_USD_M]]*RawData[[#This Row],[Share_Est]]</f>
        <v>0.88500000000000001</v>
      </c>
      <c r="Q182" s="46" t="s">
        <v>598</v>
      </c>
      <c r="R182" s="57"/>
      <c r="S182" s="58"/>
    </row>
    <row r="183" spans="2:19" x14ac:dyDescent="0.3">
      <c r="B183" s="56" t="s">
        <v>269</v>
      </c>
      <c r="C183" s="57">
        <v>2024</v>
      </c>
      <c r="D183" s="57" t="s">
        <v>546</v>
      </c>
      <c r="E183" s="57" t="s">
        <v>560</v>
      </c>
      <c r="F183" s="57" t="s">
        <v>548</v>
      </c>
      <c r="G183" s="57" t="s">
        <v>324</v>
      </c>
      <c r="H183" s="57" t="s">
        <v>585</v>
      </c>
      <c r="I183" s="57"/>
      <c r="J183" s="57"/>
      <c r="K183" s="57">
        <v>0</v>
      </c>
      <c r="L183" s="57"/>
      <c r="M183" s="57">
        <v>107.6</v>
      </c>
      <c r="N183" s="57"/>
      <c r="O183" s="57">
        <v>0.05</v>
      </c>
      <c r="P183" s="62">
        <f>RawData[[#This Row],[Value_USD_M]]*RawData[[#This Row],[Share_Est]]</f>
        <v>5.38</v>
      </c>
      <c r="Q183" s="46" t="s">
        <v>598</v>
      </c>
      <c r="R183" s="57"/>
      <c r="S183" s="58"/>
    </row>
    <row r="184" spans="2:19" x14ac:dyDescent="0.3">
      <c r="B184" s="56" t="s">
        <v>269</v>
      </c>
      <c r="C184" s="57">
        <v>2024</v>
      </c>
      <c r="D184" s="57" t="s">
        <v>561</v>
      </c>
      <c r="E184" s="57" t="s">
        <v>560</v>
      </c>
      <c r="F184" s="57" t="s">
        <v>548</v>
      </c>
      <c r="G184" s="57" t="s">
        <v>324</v>
      </c>
      <c r="H184" s="57" t="s">
        <v>585</v>
      </c>
      <c r="I184" s="57"/>
      <c r="J184" s="57"/>
      <c r="K184" s="57">
        <v>5</v>
      </c>
      <c r="L184" s="57"/>
      <c r="M184" s="57">
        <v>179.1</v>
      </c>
      <c r="N184" s="57"/>
      <c r="O184" s="57">
        <v>0.05</v>
      </c>
      <c r="P184" s="62">
        <f>RawData[[#This Row],[Value_USD_M]]*RawData[[#This Row],[Share_Est]]</f>
        <v>8.9550000000000001</v>
      </c>
      <c r="Q184" s="46" t="s">
        <v>598</v>
      </c>
      <c r="R184" s="57"/>
      <c r="S184" s="58"/>
    </row>
    <row r="185" spans="2:19" x14ac:dyDescent="0.3">
      <c r="B185" s="56" t="s">
        <v>269</v>
      </c>
      <c r="C185" s="57">
        <v>2024</v>
      </c>
      <c r="D185" s="57" t="s">
        <v>573</v>
      </c>
      <c r="E185" s="57" t="s">
        <v>560</v>
      </c>
      <c r="F185" s="57" t="s">
        <v>548</v>
      </c>
      <c r="G185" s="57" t="s">
        <v>324</v>
      </c>
      <c r="H185" s="57" t="s">
        <v>585</v>
      </c>
      <c r="I185" s="57"/>
      <c r="J185" s="57"/>
      <c r="K185" s="57">
        <v>0</v>
      </c>
      <c r="L185" s="57"/>
      <c r="M185" s="57">
        <v>17.7</v>
      </c>
      <c r="N185" s="57"/>
      <c r="O185" s="57">
        <v>0.05</v>
      </c>
      <c r="P185" s="62">
        <f>RawData[[#This Row],[Value_USD_M]]*RawData[[#This Row],[Share_Est]]</f>
        <v>0.88500000000000001</v>
      </c>
      <c r="Q185" s="46" t="s">
        <v>598</v>
      </c>
      <c r="R185" s="57"/>
      <c r="S185" s="58"/>
    </row>
    <row r="186" spans="2:19" x14ac:dyDescent="0.3">
      <c r="B186" s="56" t="s">
        <v>269</v>
      </c>
      <c r="C186" s="57">
        <v>2024</v>
      </c>
      <c r="D186" s="57" t="s">
        <v>546</v>
      </c>
      <c r="E186" s="57" t="s">
        <v>560</v>
      </c>
      <c r="F186" s="57" t="s">
        <v>548</v>
      </c>
      <c r="G186" s="57" t="s">
        <v>325</v>
      </c>
      <c r="H186" s="57" t="s">
        <v>23</v>
      </c>
      <c r="I186" s="57"/>
      <c r="J186" s="57"/>
      <c r="K186" s="57">
        <v>0</v>
      </c>
      <c r="L186" s="57"/>
      <c r="M186" s="57">
        <v>107.6</v>
      </c>
      <c r="N186" s="57"/>
      <c r="O186" s="57">
        <v>0.03</v>
      </c>
      <c r="P186" s="62">
        <f>RawData[[#This Row],[Value_USD_M]]*RawData[[#This Row],[Share_Est]]</f>
        <v>3.2279999999999998</v>
      </c>
      <c r="Q186" s="46" t="s">
        <v>598</v>
      </c>
      <c r="R186" s="57"/>
      <c r="S186" s="58"/>
    </row>
    <row r="187" spans="2:19" x14ac:dyDescent="0.3">
      <c r="B187" s="56" t="s">
        <v>269</v>
      </c>
      <c r="C187" s="57">
        <v>2024</v>
      </c>
      <c r="D187" s="57" t="s">
        <v>561</v>
      </c>
      <c r="E187" s="57" t="s">
        <v>560</v>
      </c>
      <c r="F187" s="57" t="s">
        <v>548</v>
      </c>
      <c r="G187" s="57" t="s">
        <v>325</v>
      </c>
      <c r="H187" s="57" t="s">
        <v>23</v>
      </c>
      <c r="I187" s="57"/>
      <c r="J187" s="57"/>
      <c r="K187" s="57">
        <v>5</v>
      </c>
      <c r="L187" s="57"/>
      <c r="M187" s="57">
        <v>179.1</v>
      </c>
      <c r="N187" s="57"/>
      <c r="O187" s="57">
        <v>0.03</v>
      </c>
      <c r="P187" s="62">
        <f>RawData[[#This Row],[Value_USD_M]]*RawData[[#This Row],[Share_Est]]</f>
        <v>5.3729999999999993</v>
      </c>
      <c r="Q187" s="46" t="s">
        <v>598</v>
      </c>
      <c r="R187" s="57"/>
      <c r="S187" s="58"/>
    </row>
    <row r="188" spans="2:19" x14ac:dyDescent="0.3">
      <c r="B188" s="56" t="s">
        <v>269</v>
      </c>
      <c r="C188" s="57">
        <v>2024</v>
      </c>
      <c r="D188" s="57" t="s">
        <v>573</v>
      </c>
      <c r="E188" s="57" t="s">
        <v>560</v>
      </c>
      <c r="F188" s="57" t="s">
        <v>548</v>
      </c>
      <c r="G188" s="57" t="s">
        <v>325</v>
      </c>
      <c r="H188" s="57" t="s">
        <v>23</v>
      </c>
      <c r="I188" s="57"/>
      <c r="J188" s="57"/>
      <c r="K188" s="57">
        <v>0</v>
      </c>
      <c r="L188" s="57"/>
      <c r="M188" s="57">
        <v>17.7</v>
      </c>
      <c r="N188" s="57"/>
      <c r="O188" s="57">
        <v>0.03</v>
      </c>
      <c r="P188" s="62">
        <f>RawData[[#This Row],[Value_USD_M]]*RawData[[#This Row],[Share_Est]]</f>
        <v>0.53099999999999992</v>
      </c>
      <c r="Q188" s="46" t="s">
        <v>598</v>
      </c>
      <c r="R188" s="57"/>
      <c r="S188" s="58"/>
    </row>
    <row r="189" spans="2:19" x14ac:dyDescent="0.3">
      <c r="B189" s="56" t="s">
        <v>269</v>
      </c>
      <c r="C189" s="57">
        <v>2025</v>
      </c>
      <c r="D189" s="57" t="s">
        <v>546</v>
      </c>
      <c r="E189" s="57" t="s">
        <v>560</v>
      </c>
      <c r="F189" s="57" t="s">
        <v>548</v>
      </c>
      <c r="G189" s="57" t="s">
        <v>589</v>
      </c>
      <c r="H189" s="57" t="s">
        <v>590</v>
      </c>
      <c r="I189" s="57"/>
      <c r="J189" s="57"/>
      <c r="K189" s="57">
        <v>0</v>
      </c>
      <c r="L189" s="57"/>
      <c r="M189" s="57">
        <v>12.4</v>
      </c>
      <c r="N189" s="57"/>
      <c r="O189" s="57">
        <v>0.78</v>
      </c>
      <c r="P189" s="62">
        <f>RawData[[#This Row],[Value_USD_M]]*RawData[[#This Row],[Share_Est]]</f>
        <v>9.6720000000000006</v>
      </c>
      <c r="Q189" s="46" t="s">
        <v>598</v>
      </c>
      <c r="R189" s="57"/>
      <c r="S189" s="58"/>
    </row>
    <row r="190" spans="2:19" x14ac:dyDescent="0.3">
      <c r="B190" s="56" t="s">
        <v>269</v>
      </c>
      <c r="C190" s="57">
        <v>2025</v>
      </c>
      <c r="D190" s="57" t="s">
        <v>561</v>
      </c>
      <c r="E190" s="57" t="s">
        <v>560</v>
      </c>
      <c r="F190" s="57" t="s">
        <v>548</v>
      </c>
      <c r="G190" s="57" t="s">
        <v>589</v>
      </c>
      <c r="H190" s="57" t="s">
        <v>590</v>
      </c>
      <c r="I190" s="57"/>
      <c r="J190" s="57"/>
      <c r="K190" s="57">
        <v>0</v>
      </c>
      <c r="L190" s="57"/>
      <c r="M190" s="57">
        <v>131.80000000000001</v>
      </c>
      <c r="N190" s="57"/>
      <c r="O190" s="57">
        <v>0.78</v>
      </c>
      <c r="P190" s="62">
        <f>RawData[[#This Row],[Value_USD_M]]*RawData[[#This Row],[Share_Est]]</f>
        <v>102.80400000000002</v>
      </c>
      <c r="Q190" s="46" t="s">
        <v>598</v>
      </c>
      <c r="R190" s="57"/>
      <c r="S190" s="58"/>
    </row>
    <row r="191" spans="2:19" x14ac:dyDescent="0.3">
      <c r="B191" s="56" t="s">
        <v>269</v>
      </c>
      <c r="C191" s="57">
        <v>2025</v>
      </c>
      <c r="D191" s="57" t="s">
        <v>573</v>
      </c>
      <c r="E191" s="57" t="s">
        <v>560</v>
      </c>
      <c r="F191" s="57" t="s">
        <v>548</v>
      </c>
      <c r="G191" s="57" t="s">
        <v>589</v>
      </c>
      <c r="H191" s="57" t="s">
        <v>590</v>
      </c>
      <c r="I191" s="57"/>
      <c r="J191" s="57"/>
      <c r="K191" s="57">
        <v>0</v>
      </c>
      <c r="L191" s="57"/>
      <c r="M191" s="57">
        <v>13.5</v>
      </c>
      <c r="N191" s="57"/>
      <c r="O191" s="57">
        <v>0.78</v>
      </c>
      <c r="P191" s="62">
        <f>RawData[[#This Row],[Value_USD_M]]*RawData[[#This Row],[Share_Est]]</f>
        <v>10.530000000000001</v>
      </c>
      <c r="Q191" s="46" t="s">
        <v>598</v>
      </c>
      <c r="R191" s="57"/>
      <c r="S191" s="58"/>
    </row>
    <row r="192" spans="2:19" x14ac:dyDescent="0.3">
      <c r="B192" s="56" t="s">
        <v>269</v>
      </c>
      <c r="C192" s="57">
        <v>2025</v>
      </c>
      <c r="D192" s="57" t="s">
        <v>546</v>
      </c>
      <c r="E192" s="57" t="s">
        <v>560</v>
      </c>
      <c r="F192" s="57" t="s">
        <v>548</v>
      </c>
      <c r="G192" s="57" t="s">
        <v>325</v>
      </c>
      <c r="H192" s="57" t="s">
        <v>563</v>
      </c>
      <c r="I192" s="57"/>
      <c r="J192" s="57"/>
      <c r="K192" s="57">
        <v>0</v>
      </c>
      <c r="L192" s="57"/>
      <c r="M192" s="57">
        <v>12.4</v>
      </c>
      <c r="N192" s="57"/>
      <c r="O192" s="57">
        <v>0.09</v>
      </c>
      <c r="P192" s="62">
        <f>RawData[[#This Row],[Value_USD_M]]*RawData[[#This Row],[Share_Est]]</f>
        <v>1.1159999999999999</v>
      </c>
      <c r="Q192" s="46" t="s">
        <v>598</v>
      </c>
      <c r="R192" s="57"/>
      <c r="S192" s="58"/>
    </row>
    <row r="193" spans="2:19" x14ac:dyDescent="0.3">
      <c r="B193" s="56" t="s">
        <v>269</v>
      </c>
      <c r="C193" s="57">
        <v>2025</v>
      </c>
      <c r="D193" s="57" t="s">
        <v>561</v>
      </c>
      <c r="E193" s="57" t="s">
        <v>560</v>
      </c>
      <c r="F193" s="57" t="s">
        <v>548</v>
      </c>
      <c r="G193" s="57" t="s">
        <v>325</v>
      </c>
      <c r="H193" s="57" t="s">
        <v>563</v>
      </c>
      <c r="I193" s="57"/>
      <c r="J193" s="57"/>
      <c r="K193" s="57">
        <v>0</v>
      </c>
      <c r="L193" s="57"/>
      <c r="M193" s="57">
        <v>131.80000000000001</v>
      </c>
      <c r="N193" s="57"/>
      <c r="O193" s="57">
        <v>0.09</v>
      </c>
      <c r="P193" s="62">
        <f>RawData[[#This Row],[Value_USD_M]]*RawData[[#This Row],[Share_Est]]</f>
        <v>11.862</v>
      </c>
      <c r="Q193" s="46" t="s">
        <v>598</v>
      </c>
      <c r="R193" s="57"/>
      <c r="S193" s="58"/>
    </row>
    <row r="194" spans="2:19" x14ac:dyDescent="0.3">
      <c r="B194" s="56" t="s">
        <v>269</v>
      </c>
      <c r="C194" s="57">
        <v>2025</v>
      </c>
      <c r="D194" s="57" t="s">
        <v>573</v>
      </c>
      <c r="E194" s="57" t="s">
        <v>560</v>
      </c>
      <c r="F194" s="57" t="s">
        <v>548</v>
      </c>
      <c r="G194" s="57" t="s">
        <v>325</v>
      </c>
      <c r="H194" s="57" t="s">
        <v>563</v>
      </c>
      <c r="I194" s="57"/>
      <c r="J194" s="57"/>
      <c r="K194" s="57">
        <v>0</v>
      </c>
      <c r="L194" s="57"/>
      <c r="M194" s="57">
        <v>13.5</v>
      </c>
      <c r="N194" s="57"/>
      <c r="O194" s="57">
        <v>0.09</v>
      </c>
      <c r="P194" s="62">
        <f>RawData[[#This Row],[Value_USD_M]]*RawData[[#This Row],[Share_Est]]</f>
        <v>1.2149999999999999</v>
      </c>
      <c r="Q194" s="46" t="s">
        <v>598</v>
      </c>
      <c r="R194" s="57"/>
      <c r="S194" s="58"/>
    </row>
    <row r="195" spans="2:19" x14ac:dyDescent="0.3">
      <c r="B195" s="56" t="s">
        <v>269</v>
      </c>
      <c r="C195" s="57">
        <v>2025</v>
      </c>
      <c r="D195" s="57" t="s">
        <v>546</v>
      </c>
      <c r="E195" s="57" t="s">
        <v>560</v>
      </c>
      <c r="F195" s="57" t="s">
        <v>548</v>
      </c>
      <c r="G195" s="57" t="s">
        <v>381</v>
      </c>
      <c r="H195" s="57"/>
      <c r="I195" s="57"/>
      <c r="J195" s="57"/>
      <c r="K195" s="57">
        <v>0</v>
      </c>
      <c r="L195" s="57"/>
      <c r="M195" s="57">
        <v>12.4</v>
      </c>
      <c r="N195" s="57"/>
      <c r="O195" s="57">
        <v>0.05</v>
      </c>
      <c r="P195" s="62">
        <f>RawData[[#This Row],[Value_USD_M]]*RawData[[#This Row],[Share_Est]]</f>
        <v>0.62000000000000011</v>
      </c>
      <c r="Q195" s="46" t="s">
        <v>598</v>
      </c>
      <c r="R195" s="57"/>
      <c r="S195" s="58"/>
    </row>
    <row r="196" spans="2:19" x14ac:dyDescent="0.3">
      <c r="B196" s="56" t="s">
        <v>269</v>
      </c>
      <c r="C196" s="57">
        <v>2025</v>
      </c>
      <c r="D196" s="57" t="s">
        <v>561</v>
      </c>
      <c r="E196" s="57" t="s">
        <v>560</v>
      </c>
      <c r="F196" s="57" t="s">
        <v>548</v>
      </c>
      <c r="G196" s="57" t="s">
        <v>381</v>
      </c>
      <c r="H196" s="57"/>
      <c r="I196" s="57"/>
      <c r="J196" s="57"/>
      <c r="K196" s="57">
        <v>0</v>
      </c>
      <c r="L196" s="57"/>
      <c r="M196" s="57">
        <v>131.80000000000001</v>
      </c>
      <c r="N196" s="57"/>
      <c r="O196" s="57">
        <v>0.05</v>
      </c>
      <c r="P196" s="62">
        <f>RawData[[#This Row],[Value_USD_M]]*RawData[[#This Row],[Share_Est]]</f>
        <v>6.5900000000000007</v>
      </c>
      <c r="Q196" s="46" t="s">
        <v>598</v>
      </c>
      <c r="R196" s="57"/>
      <c r="S196" s="58"/>
    </row>
    <row r="197" spans="2:19" x14ac:dyDescent="0.3">
      <c r="B197" s="56" t="s">
        <v>269</v>
      </c>
      <c r="C197" s="57">
        <v>2025</v>
      </c>
      <c r="D197" s="57" t="s">
        <v>573</v>
      </c>
      <c r="E197" s="57" t="s">
        <v>560</v>
      </c>
      <c r="F197" s="57" t="s">
        <v>548</v>
      </c>
      <c r="G197" s="57" t="s">
        <v>381</v>
      </c>
      <c r="H197" s="57"/>
      <c r="I197" s="57"/>
      <c r="J197" s="57"/>
      <c r="K197" s="57">
        <v>0</v>
      </c>
      <c r="L197" s="57"/>
      <c r="M197" s="57">
        <v>13.5</v>
      </c>
      <c r="N197" s="57"/>
      <c r="O197" s="57">
        <v>0.05</v>
      </c>
      <c r="P197" s="62">
        <f>RawData[[#This Row],[Value_USD_M]]*RawData[[#This Row],[Share_Est]]</f>
        <v>0.67500000000000004</v>
      </c>
      <c r="Q197" s="46" t="s">
        <v>598</v>
      </c>
      <c r="R197" s="57"/>
      <c r="S197" s="58"/>
    </row>
    <row r="198" spans="2:19" x14ac:dyDescent="0.3">
      <c r="B198" s="56" t="s">
        <v>269</v>
      </c>
      <c r="C198" s="57">
        <v>2025</v>
      </c>
      <c r="D198" s="57" t="s">
        <v>546</v>
      </c>
      <c r="E198" s="57" t="s">
        <v>560</v>
      </c>
      <c r="F198" s="57" t="s">
        <v>548</v>
      </c>
      <c r="G198" s="57" t="s">
        <v>324</v>
      </c>
      <c r="H198" s="57" t="s">
        <v>585</v>
      </c>
      <c r="I198" s="57"/>
      <c r="J198" s="57"/>
      <c r="K198" s="57">
        <v>0</v>
      </c>
      <c r="L198" s="57"/>
      <c r="M198" s="57">
        <v>12.4</v>
      </c>
      <c r="N198" s="57"/>
      <c r="O198" s="57">
        <v>0.05</v>
      </c>
      <c r="P198" s="62">
        <f>RawData[[#This Row],[Value_USD_M]]*RawData[[#This Row],[Share_Est]]</f>
        <v>0.62000000000000011</v>
      </c>
      <c r="Q198" s="46" t="s">
        <v>598</v>
      </c>
      <c r="R198" s="57"/>
      <c r="S198" s="58"/>
    </row>
    <row r="199" spans="2:19" x14ac:dyDescent="0.3">
      <c r="B199" s="56" t="s">
        <v>269</v>
      </c>
      <c r="C199" s="57">
        <v>2025</v>
      </c>
      <c r="D199" s="57" t="s">
        <v>561</v>
      </c>
      <c r="E199" s="57" t="s">
        <v>560</v>
      </c>
      <c r="F199" s="57" t="s">
        <v>548</v>
      </c>
      <c r="G199" s="57" t="s">
        <v>324</v>
      </c>
      <c r="H199" s="57" t="s">
        <v>585</v>
      </c>
      <c r="I199" s="57"/>
      <c r="J199" s="57"/>
      <c r="K199" s="57">
        <v>0</v>
      </c>
      <c r="L199" s="57"/>
      <c r="M199" s="57">
        <v>131.80000000000001</v>
      </c>
      <c r="N199" s="57"/>
      <c r="O199" s="57">
        <v>0.05</v>
      </c>
      <c r="P199" s="62">
        <f>RawData[[#This Row],[Value_USD_M]]*RawData[[#This Row],[Share_Est]]</f>
        <v>6.5900000000000007</v>
      </c>
      <c r="Q199" s="46" t="s">
        <v>598</v>
      </c>
      <c r="R199" s="57"/>
      <c r="S199" s="58"/>
    </row>
    <row r="200" spans="2:19" x14ac:dyDescent="0.3">
      <c r="B200" s="56" t="s">
        <v>269</v>
      </c>
      <c r="C200" s="57">
        <v>2025</v>
      </c>
      <c r="D200" s="57" t="s">
        <v>573</v>
      </c>
      <c r="E200" s="57" t="s">
        <v>560</v>
      </c>
      <c r="F200" s="57" t="s">
        <v>548</v>
      </c>
      <c r="G200" s="57" t="s">
        <v>324</v>
      </c>
      <c r="H200" s="57" t="s">
        <v>585</v>
      </c>
      <c r="I200" s="57"/>
      <c r="J200" s="57"/>
      <c r="K200" s="57">
        <v>0</v>
      </c>
      <c r="L200" s="57"/>
      <c r="M200" s="57">
        <v>13.5</v>
      </c>
      <c r="N200" s="57"/>
      <c r="O200" s="57">
        <v>0.05</v>
      </c>
      <c r="P200" s="62">
        <f>RawData[[#This Row],[Value_USD_M]]*RawData[[#This Row],[Share_Est]]</f>
        <v>0.67500000000000004</v>
      </c>
      <c r="Q200" s="46" t="s">
        <v>598</v>
      </c>
      <c r="R200" s="57"/>
      <c r="S200" s="58"/>
    </row>
    <row r="201" spans="2:19" x14ac:dyDescent="0.3">
      <c r="B201" s="56" t="s">
        <v>269</v>
      </c>
      <c r="C201" s="57">
        <v>2025</v>
      </c>
      <c r="D201" s="57" t="s">
        <v>546</v>
      </c>
      <c r="E201" s="57" t="s">
        <v>560</v>
      </c>
      <c r="F201" s="57" t="s">
        <v>548</v>
      </c>
      <c r="G201" s="57" t="s">
        <v>325</v>
      </c>
      <c r="H201" s="57" t="s">
        <v>23</v>
      </c>
      <c r="I201" s="57"/>
      <c r="J201" s="57"/>
      <c r="K201" s="57">
        <v>0</v>
      </c>
      <c r="L201" s="57"/>
      <c r="M201" s="57">
        <v>12.4</v>
      </c>
      <c r="N201" s="57"/>
      <c r="O201" s="57">
        <v>0.03</v>
      </c>
      <c r="P201" s="62">
        <f>RawData[[#This Row],[Value_USD_M]]*RawData[[#This Row],[Share_Est]]</f>
        <v>0.372</v>
      </c>
      <c r="Q201" s="46" t="s">
        <v>598</v>
      </c>
      <c r="R201" s="57"/>
      <c r="S201" s="58"/>
    </row>
    <row r="202" spans="2:19" x14ac:dyDescent="0.3">
      <c r="B202" s="56" t="s">
        <v>269</v>
      </c>
      <c r="C202" s="57">
        <v>2025</v>
      </c>
      <c r="D202" s="57" t="s">
        <v>561</v>
      </c>
      <c r="E202" s="57" t="s">
        <v>560</v>
      </c>
      <c r="F202" s="57" t="s">
        <v>548</v>
      </c>
      <c r="G202" s="57" t="s">
        <v>325</v>
      </c>
      <c r="H202" s="57" t="s">
        <v>23</v>
      </c>
      <c r="I202" s="57"/>
      <c r="J202" s="57"/>
      <c r="K202" s="57">
        <v>0</v>
      </c>
      <c r="L202" s="57"/>
      <c r="M202" s="57">
        <v>131.80000000000001</v>
      </c>
      <c r="N202" s="57"/>
      <c r="O202" s="57">
        <v>0.03</v>
      </c>
      <c r="P202" s="62">
        <f>RawData[[#This Row],[Value_USD_M]]*RawData[[#This Row],[Share_Est]]</f>
        <v>3.9540000000000002</v>
      </c>
      <c r="Q202" s="46" t="s">
        <v>598</v>
      </c>
      <c r="R202" s="57"/>
      <c r="S202" s="58"/>
    </row>
    <row r="203" spans="2:19" x14ac:dyDescent="0.3">
      <c r="B203" s="56" t="s">
        <v>269</v>
      </c>
      <c r="C203" s="57">
        <v>2025</v>
      </c>
      <c r="D203" s="57" t="s">
        <v>573</v>
      </c>
      <c r="E203" s="57" t="s">
        <v>560</v>
      </c>
      <c r="F203" s="57" t="s">
        <v>548</v>
      </c>
      <c r="G203" s="57" t="s">
        <v>325</v>
      </c>
      <c r="H203" s="57" t="s">
        <v>23</v>
      </c>
      <c r="I203" s="57"/>
      <c r="J203" s="57"/>
      <c r="K203" s="57">
        <v>0</v>
      </c>
      <c r="L203" s="57"/>
      <c r="M203" s="57">
        <v>13.5</v>
      </c>
      <c r="N203" s="57"/>
      <c r="O203" s="57">
        <v>0.03</v>
      </c>
      <c r="P203" s="62">
        <f>RawData[[#This Row],[Value_USD_M]]*RawData[[#This Row],[Share_Est]]</f>
        <v>0.40499999999999997</v>
      </c>
      <c r="Q203" s="46" t="s">
        <v>598</v>
      </c>
      <c r="R203" s="57"/>
      <c r="S203" s="58"/>
    </row>
    <row r="204" spans="2:19" x14ac:dyDescent="0.3">
      <c r="B204" s="56" t="s">
        <v>269</v>
      </c>
      <c r="C204" s="57">
        <v>2026</v>
      </c>
      <c r="D204" s="57" t="s">
        <v>546</v>
      </c>
      <c r="E204" s="57" t="s">
        <v>560</v>
      </c>
      <c r="F204" s="57" t="s">
        <v>548</v>
      </c>
      <c r="G204" s="57" t="s">
        <v>589</v>
      </c>
      <c r="H204" s="57" t="s">
        <v>590</v>
      </c>
      <c r="I204" s="57"/>
      <c r="J204" s="57"/>
      <c r="K204" s="57">
        <v>0</v>
      </c>
      <c r="L204" s="57"/>
      <c r="M204" s="57">
        <v>100.9</v>
      </c>
      <c r="N204" s="57"/>
      <c r="O204" s="57">
        <v>0.78</v>
      </c>
      <c r="P204" s="62">
        <f>RawData[[#This Row],[Value_USD_M]]*RawData[[#This Row],[Share_Est]]</f>
        <v>78.702000000000012</v>
      </c>
      <c r="Q204" s="46" t="s">
        <v>598</v>
      </c>
      <c r="R204" s="57"/>
      <c r="S204" s="58"/>
    </row>
    <row r="205" spans="2:19" x14ac:dyDescent="0.3">
      <c r="B205" s="56" t="s">
        <v>269</v>
      </c>
      <c r="C205" s="57">
        <v>2026</v>
      </c>
      <c r="D205" s="57" t="s">
        <v>561</v>
      </c>
      <c r="E205" s="57" t="s">
        <v>560</v>
      </c>
      <c r="F205" s="57" t="s">
        <v>548</v>
      </c>
      <c r="G205" s="57" t="s">
        <v>589</v>
      </c>
      <c r="H205" s="57" t="s">
        <v>590</v>
      </c>
      <c r="I205" s="57"/>
      <c r="J205" s="57"/>
      <c r="K205" s="57">
        <v>0</v>
      </c>
      <c r="L205" s="57"/>
      <c r="M205" s="57">
        <v>158.9</v>
      </c>
      <c r="N205" s="57"/>
      <c r="O205" s="57">
        <v>0.78</v>
      </c>
      <c r="P205" s="62">
        <f>RawData[[#This Row],[Value_USD_M]]*RawData[[#This Row],[Share_Est]]</f>
        <v>123.94200000000001</v>
      </c>
      <c r="Q205" s="46" t="s">
        <v>598</v>
      </c>
      <c r="R205" s="57"/>
      <c r="S205" s="58"/>
    </row>
    <row r="206" spans="2:19" x14ac:dyDescent="0.3">
      <c r="B206" s="56" t="s">
        <v>269</v>
      </c>
      <c r="C206" s="57">
        <v>2026</v>
      </c>
      <c r="D206" s="57" t="s">
        <v>573</v>
      </c>
      <c r="E206" s="57" t="s">
        <v>560</v>
      </c>
      <c r="F206" s="57" t="s">
        <v>548</v>
      </c>
      <c r="G206" s="57" t="s">
        <v>589</v>
      </c>
      <c r="H206" s="57" t="s">
        <v>590</v>
      </c>
      <c r="I206" s="57"/>
      <c r="J206" s="57"/>
      <c r="K206" s="57">
        <v>0</v>
      </c>
      <c r="L206" s="57"/>
      <c r="M206" s="57">
        <v>24.9</v>
      </c>
      <c r="N206" s="57"/>
      <c r="O206" s="57">
        <v>0.78</v>
      </c>
      <c r="P206" s="62">
        <f>RawData[[#This Row],[Value_USD_M]]*RawData[[#This Row],[Share_Est]]</f>
        <v>19.422000000000001</v>
      </c>
      <c r="Q206" s="46" t="s">
        <v>598</v>
      </c>
      <c r="R206" s="57"/>
      <c r="S206" s="58"/>
    </row>
    <row r="207" spans="2:19" x14ac:dyDescent="0.3">
      <c r="B207" s="51" t="s">
        <v>269</v>
      </c>
      <c r="C207" s="46">
        <v>2026</v>
      </c>
      <c r="D207" s="46" t="s">
        <v>546</v>
      </c>
      <c r="E207" s="46" t="s">
        <v>560</v>
      </c>
      <c r="F207" s="46" t="s">
        <v>548</v>
      </c>
      <c r="G207" s="57" t="s">
        <v>325</v>
      </c>
      <c r="H207" s="57" t="s">
        <v>563</v>
      </c>
      <c r="K207" s="57">
        <v>0</v>
      </c>
      <c r="L207" s="57"/>
      <c r="M207" s="57">
        <v>100.9</v>
      </c>
      <c r="O207" s="57">
        <v>0.09</v>
      </c>
      <c r="P207" s="61">
        <f>RawData[[#This Row],[Value_USD_M]]*RawData[[#This Row],[Share_Est]]</f>
        <v>9.0809999999999995</v>
      </c>
      <c r="Q207" s="46" t="s">
        <v>598</v>
      </c>
      <c r="S207" s="52"/>
    </row>
    <row r="208" spans="2:19" x14ac:dyDescent="0.3">
      <c r="B208" s="51" t="s">
        <v>269</v>
      </c>
      <c r="C208" s="46">
        <v>2026</v>
      </c>
      <c r="D208" s="46" t="s">
        <v>561</v>
      </c>
      <c r="E208" s="46" t="s">
        <v>560</v>
      </c>
      <c r="F208" s="46" t="s">
        <v>548</v>
      </c>
      <c r="G208" s="57" t="s">
        <v>325</v>
      </c>
      <c r="H208" s="57" t="s">
        <v>563</v>
      </c>
      <c r="K208" s="57">
        <v>0</v>
      </c>
      <c r="L208" s="57"/>
      <c r="M208" s="57">
        <v>158.9</v>
      </c>
      <c r="O208" s="57">
        <v>0.09</v>
      </c>
      <c r="P208" s="61">
        <f>RawData[[#This Row],[Value_USD_M]]*RawData[[#This Row],[Share_Est]]</f>
        <v>14.301</v>
      </c>
      <c r="Q208" s="46" t="s">
        <v>598</v>
      </c>
      <c r="S208" s="52"/>
    </row>
    <row r="209" spans="2:19" x14ac:dyDescent="0.3">
      <c r="B209" s="56" t="s">
        <v>269</v>
      </c>
      <c r="C209" s="57">
        <v>2026</v>
      </c>
      <c r="D209" s="57" t="s">
        <v>573</v>
      </c>
      <c r="E209" s="57" t="s">
        <v>560</v>
      </c>
      <c r="F209" s="57" t="s">
        <v>548</v>
      </c>
      <c r="G209" s="57" t="s">
        <v>325</v>
      </c>
      <c r="H209" s="57" t="s">
        <v>563</v>
      </c>
      <c r="I209" s="57"/>
      <c r="J209" s="57"/>
      <c r="K209" s="57">
        <v>0</v>
      </c>
      <c r="L209" s="57"/>
      <c r="M209" s="57">
        <v>24.9</v>
      </c>
      <c r="N209" s="57"/>
      <c r="O209" s="57">
        <v>0.09</v>
      </c>
      <c r="P209" s="62">
        <f>RawData[[#This Row],[Value_USD_M]]*RawData[[#This Row],[Share_Est]]</f>
        <v>2.2409999999999997</v>
      </c>
      <c r="Q209" s="46" t="s">
        <v>598</v>
      </c>
      <c r="R209" s="57"/>
      <c r="S209" s="58"/>
    </row>
    <row r="210" spans="2:19" x14ac:dyDescent="0.3">
      <c r="B210" s="51" t="s">
        <v>269</v>
      </c>
      <c r="C210" s="46">
        <v>2026</v>
      </c>
      <c r="D210" s="46" t="s">
        <v>546</v>
      </c>
      <c r="E210" s="46" t="s">
        <v>560</v>
      </c>
      <c r="F210" s="46" t="s">
        <v>548</v>
      </c>
      <c r="G210" s="57" t="s">
        <v>381</v>
      </c>
      <c r="H210" s="57"/>
      <c r="K210" s="57">
        <v>0</v>
      </c>
      <c r="L210" s="57"/>
      <c r="M210" s="57">
        <v>100.9</v>
      </c>
      <c r="O210" s="57">
        <v>0.05</v>
      </c>
      <c r="P210" s="61">
        <f>RawData[[#This Row],[Value_USD_M]]*RawData[[#This Row],[Share_Est]]</f>
        <v>5.0450000000000008</v>
      </c>
      <c r="Q210" s="46" t="s">
        <v>598</v>
      </c>
      <c r="S210" s="52"/>
    </row>
    <row r="211" spans="2:19" x14ac:dyDescent="0.3">
      <c r="B211" s="51" t="s">
        <v>269</v>
      </c>
      <c r="C211" s="46">
        <v>2026</v>
      </c>
      <c r="D211" s="46" t="s">
        <v>561</v>
      </c>
      <c r="E211" s="46" t="s">
        <v>560</v>
      </c>
      <c r="F211" s="46" t="s">
        <v>548</v>
      </c>
      <c r="G211" s="57" t="s">
        <v>381</v>
      </c>
      <c r="H211" s="57"/>
      <c r="K211" s="57">
        <v>0</v>
      </c>
      <c r="L211" s="57"/>
      <c r="M211" s="57">
        <v>158.9</v>
      </c>
      <c r="O211" s="57">
        <v>0.05</v>
      </c>
      <c r="P211" s="61">
        <f>RawData[[#This Row],[Value_USD_M]]*RawData[[#This Row],[Share_Est]]</f>
        <v>7.9450000000000003</v>
      </c>
      <c r="Q211" s="46" t="s">
        <v>598</v>
      </c>
      <c r="S211" s="52"/>
    </row>
    <row r="212" spans="2:19" x14ac:dyDescent="0.3">
      <c r="B212" s="56" t="s">
        <v>269</v>
      </c>
      <c r="C212" s="57">
        <v>2026</v>
      </c>
      <c r="D212" s="57" t="s">
        <v>573</v>
      </c>
      <c r="E212" s="57" t="s">
        <v>560</v>
      </c>
      <c r="F212" s="57" t="s">
        <v>548</v>
      </c>
      <c r="G212" s="57" t="s">
        <v>381</v>
      </c>
      <c r="H212" s="57"/>
      <c r="I212" s="57"/>
      <c r="J212" s="57"/>
      <c r="K212" s="57">
        <v>0</v>
      </c>
      <c r="L212" s="57"/>
      <c r="M212" s="57">
        <v>24.9</v>
      </c>
      <c r="N212" s="57"/>
      <c r="O212" s="57">
        <v>0.05</v>
      </c>
      <c r="P212" s="62">
        <f>RawData[[#This Row],[Value_USD_M]]*RawData[[#This Row],[Share_Est]]</f>
        <v>1.2450000000000001</v>
      </c>
      <c r="Q212" s="46" t="s">
        <v>598</v>
      </c>
      <c r="R212" s="57"/>
      <c r="S212" s="58"/>
    </row>
    <row r="213" spans="2:19" x14ac:dyDescent="0.3">
      <c r="B213" s="51" t="s">
        <v>269</v>
      </c>
      <c r="C213" s="46">
        <v>2026</v>
      </c>
      <c r="D213" s="46" t="s">
        <v>546</v>
      </c>
      <c r="E213" s="46" t="s">
        <v>560</v>
      </c>
      <c r="F213" s="46" t="s">
        <v>548</v>
      </c>
      <c r="G213" s="57" t="s">
        <v>324</v>
      </c>
      <c r="H213" s="57" t="s">
        <v>585</v>
      </c>
      <c r="K213" s="57">
        <v>0</v>
      </c>
      <c r="L213" s="57"/>
      <c r="M213" s="57">
        <v>100.9</v>
      </c>
      <c r="O213" s="57">
        <v>0.05</v>
      </c>
      <c r="P213" s="61">
        <f>RawData[[#This Row],[Value_USD_M]]*RawData[[#This Row],[Share_Est]]</f>
        <v>5.0450000000000008</v>
      </c>
      <c r="Q213" s="46" t="s">
        <v>598</v>
      </c>
      <c r="S213" s="52"/>
    </row>
    <row r="214" spans="2:19" x14ac:dyDescent="0.3">
      <c r="B214" s="51" t="s">
        <v>269</v>
      </c>
      <c r="C214" s="46">
        <v>2026</v>
      </c>
      <c r="D214" s="46" t="s">
        <v>561</v>
      </c>
      <c r="E214" s="46" t="s">
        <v>560</v>
      </c>
      <c r="F214" s="46" t="s">
        <v>548</v>
      </c>
      <c r="G214" s="57" t="s">
        <v>324</v>
      </c>
      <c r="H214" s="57" t="s">
        <v>585</v>
      </c>
      <c r="K214" s="57">
        <v>0</v>
      </c>
      <c r="L214" s="57"/>
      <c r="M214" s="57">
        <v>158.9</v>
      </c>
      <c r="O214" s="57">
        <v>0.05</v>
      </c>
      <c r="P214" s="61">
        <f>RawData[[#This Row],[Value_USD_M]]*RawData[[#This Row],[Share_Est]]</f>
        <v>7.9450000000000003</v>
      </c>
      <c r="Q214" s="46" t="s">
        <v>598</v>
      </c>
      <c r="S214" s="52"/>
    </row>
    <row r="215" spans="2:19" x14ac:dyDescent="0.3">
      <c r="B215" s="56" t="s">
        <v>269</v>
      </c>
      <c r="C215" s="57">
        <v>2026</v>
      </c>
      <c r="D215" s="57" t="s">
        <v>573</v>
      </c>
      <c r="E215" s="57" t="s">
        <v>560</v>
      </c>
      <c r="F215" s="57" t="s">
        <v>548</v>
      </c>
      <c r="G215" s="57" t="s">
        <v>324</v>
      </c>
      <c r="H215" s="57" t="s">
        <v>585</v>
      </c>
      <c r="I215" s="57"/>
      <c r="J215" s="57"/>
      <c r="K215" s="57">
        <v>0</v>
      </c>
      <c r="L215" s="57"/>
      <c r="M215" s="57">
        <v>24.9</v>
      </c>
      <c r="N215" s="57"/>
      <c r="O215" s="57">
        <v>0.05</v>
      </c>
      <c r="P215" s="62">
        <f>RawData[[#This Row],[Value_USD_M]]*RawData[[#This Row],[Share_Est]]</f>
        <v>1.2450000000000001</v>
      </c>
      <c r="Q215" s="46" t="s">
        <v>598</v>
      </c>
      <c r="R215" s="57"/>
      <c r="S215" s="58"/>
    </row>
    <row r="216" spans="2:19" x14ac:dyDescent="0.3">
      <c r="B216" s="51" t="s">
        <v>269</v>
      </c>
      <c r="C216" s="46">
        <v>2026</v>
      </c>
      <c r="D216" s="46" t="s">
        <v>546</v>
      </c>
      <c r="E216" s="46" t="s">
        <v>560</v>
      </c>
      <c r="F216" s="46" t="s">
        <v>548</v>
      </c>
      <c r="G216" s="57" t="s">
        <v>325</v>
      </c>
      <c r="H216" s="57" t="s">
        <v>23</v>
      </c>
      <c r="K216" s="57">
        <v>0</v>
      </c>
      <c r="L216" s="57"/>
      <c r="M216" s="57">
        <v>100.9</v>
      </c>
      <c r="O216" s="57">
        <v>0.03</v>
      </c>
      <c r="P216" s="61">
        <f>RawData[[#This Row],[Value_USD_M]]*RawData[[#This Row],[Share_Est]]</f>
        <v>3.0270000000000001</v>
      </c>
      <c r="Q216" s="46" t="s">
        <v>598</v>
      </c>
      <c r="S216" s="52"/>
    </row>
    <row r="217" spans="2:19" x14ac:dyDescent="0.3">
      <c r="B217" s="51" t="s">
        <v>269</v>
      </c>
      <c r="C217" s="46">
        <v>2026</v>
      </c>
      <c r="D217" s="46" t="s">
        <v>561</v>
      </c>
      <c r="E217" s="46" t="s">
        <v>560</v>
      </c>
      <c r="F217" s="46" t="s">
        <v>548</v>
      </c>
      <c r="G217" s="57" t="s">
        <v>325</v>
      </c>
      <c r="H217" s="57" t="s">
        <v>23</v>
      </c>
      <c r="K217" s="57">
        <v>0</v>
      </c>
      <c r="L217" s="57"/>
      <c r="M217" s="57">
        <v>158.9</v>
      </c>
      <c r="O217" s="57">
        <v>0.03</v>
      </c>
      <c r="P217" s="61">
        <f>RawData[[#This Row],[Value_USD_M]]*RawData[[#This Row],[Share_Est]]</f>
        <v>4.7670000000000003</v>
      </c>
      <c r="Q217" s="46" t="s">
        <v>598</v>
      </c>
      <c r="S217" s="52"/>
    </row>
    <row r="218" spans="2:19" x14ac:dyDescent="0.3">
      <c r="B218" s="56" t="s">
        <v>269</v>
      </c>
      <c r="C218" s="57">
        <v>2026</v>
      </c>
      <c r="D218" s="57" t="s">
        <v>573</v>
      </c>
      <c r="E218" s="57" t="s">
        <v>560</v>
      </c>
      <c r="F218" s="57" t="s">
        <v>548</v>
      </c>
      <c r="G218" s="57" t="s">
        <v>325</v>
      </c>
      <c r="H218" s="57" t="s">
        <v>23</v>
      </c>
      <c r="I218" s="57"/>
      <c r="J218" s="57"/>
      <c r="K218" s="57">
        <v>0</v>
      </c>
      <c r="L218" s="57"/>
      <c r="M218" s="57">
        <v>24.9</v>
      </c>
      <c r="N218" s="57"/>
      <c r="O218" s="57">
        <v>0.03</v>
      </c>
      <c r="P218" s="62">
        <f>RawData[[#This Row],[Value_USD_M]]*RawData[[#This Row],[Share_Est]]</f>
        <v>0.74699999999999989</v>
      </c>
      <c r="Q218" s="46" t="s">
        <v>598</v>
      </c>
      <c r="R218" s="57"/>
      <c r="S218" s="58"/>
    </row>
    <row r="219" spans="2:19" x14ac:dyDescent="0.3">
      <c r="B219" s="56" t="s">
        <v>118</v>
      </c>
      <c r="C219" s="57">
        <v>2024</v>
      </c>
      <c r="D219" s="57" t="s">
        <v>546</v>
      </c>
      <c r="E219" s="57" t="s">
        <v>560</v>
      </c>
      <c r="F219" s="57" t="s">
        <v>549</v>
      </c>
      <c r="G219" s="57" t="s">
        <v>324</v>
      </c>
      <c r="H219" s="57" t="s">
        <v>590</v>
      </c>
      <c r="I219" s="57"/>
      <c r="J219" s="57"/>
      <c r="K219" s="57"/>
      <c r="L219" s="57"/>
      <c r="M219" s="57">
        <v>2877.8</v>
      </c>
      <c r="N219" s="57" t="s">
        <v>599</v>
      </c>
      <c r="O219" s="57">
        <v>0.9</v>
      </c>
      <c r="P219" s="62">
        <f>RawData[[#This Row],[Value_USD_M]]*RawData[[#This Row],[Share_Est]]</f>
        <v>2590.0200000000004</v>
      </c>
      <c r="Q219" s="46" t="s">
        <v>598</v>
      </c>
      <c r="R219" s="57"/>
      <c r="S219" s="58"/>
    </row>
    <row r="220" spans="2:19" x14ac:dyDescent="0.3">
      <c r="B220" s="56" t="s">
        <v>118</v>
      </c>
      <c r="C220" s="57">
        <v>2024</v>
      </c>
      <c r="D220" s="57" t="s">
        <v>546</v>
      </c>
      <c r="E220" s="57" t="s">
        <v>560</v>
      </c>
      <c r="F220" s="57" t="s">
        <v>549</v>
      </c>
      <c r="G220" s="57" t="s">
        <v>325</v>
      </c>
      <c r="H220" s="57" t="s">
        <v>563</v>
      </c>
      <c r="I220" s="57"/>
      <c r="J220" s="57"/>
      <c r="K220" s="57"/>
      <c r="L220" s="57"/>
      <c r="M220" s="57">
        <v>2877.8</v>
      </c>
      <c r="N220" s="57" t="s">
        <v>599</v>
      </c>
      <c r="O220" s="57">
        <v>7.0000000000000007E-2</v>
      </c>
      <c r="P220" s="62">
        <f>RawData[[#This Row],[Value_USD_M]]*RawData[[#This Row],[Share_Est]]</f>
        <v>201.44600000000003</v>
      </c>
      <c r="Q220" s="46" t="s">
        <v>598</v>
      </c>
      <c r="R220" s="57"/>
      <c r="S220" s="58"/>
    </row>
    <row r="221" spans="2:19" x14ac:dyDescent="0.3">
      <c r="B221" s="56" t="s">
        <v>118</v>
      </c>
      <c r="C221" s="57">
        <v>2024</v>
      </c>
      <c r="D221" s="57" t="s">
        <v>546</v>
      </c>
      <c r="E221" s="57" t="s">
        <v>560</v>
      </c>
      <c r="F221" s="57" t="s">
        <v>549</v>
      </c>
      <c r="G221" s="57" t="s">
        <v>325</v>
      </c>
      <c r="H221" s="57" t="s">
        <v>592</v>
      </c>
      <c r="I221" s="57"/>
      <c r="J221" s="57"/>
      <c r="K221" s="57"/>
      <c r="L221" s="57"/>
      <c r="M221" s="57">
        <v>2877.8</v>
      </c>
      <c r="N221" s="57" t="s">
        <v>599</v>
      </c>
      <c r="O221" s="57">
        <v>0.03</v>
      </c>
      <c r="P221" s="62">
        <f>RawData[[#This Row],[Value_USD_M]]*RawData[[#This Row],[Share_Est]]</f>
        <v>86.334000000000003</v>
      </c>
      <c r="Q221" s="46" t="s">
        <v>598</v>
      </c>
      <c r="R221" s="57"/>
      <c r="S221" s="58"/>
    </row>
    <row r="222" spans="2:19" x14ac:dyDescent="0.3">
      <c r="B222" s="56" t="s">
        <v>118</v>
      </c>
      <c r="C222" s="57">
        <v>2024</v>
      </c>
      <c r="D222" s="57" t="s">
        <v>546</v>
      </c>
      <c r="E222" s="57" t="s">
        <v>560</v>
      </c>
      <c r="F222" s="57" t="s">
        <v>548</v>
      </c>
      <c r="G222" s="57" t="s">
        <v>324</v>
      </c>
      <c r="H222" s="57" t="s">
        <v>590</v>
      </c>
      <c r="I222" s="57"/>
      <c r="J222" s="57"/>
      <c r="K222" s="57">
        <v>0</v>
      </c>
      <c r="L222" s="57"/>
      <c r="M222" s="57">
        <v>2270.6999999999998</v>
      </c>
      <c r="N222" s="57" t="s">
        <v>599</v>
      </c>
      <c r="O222" s="57">
        <v>0.85</v>
      </c>
      <c r="P222" s="62">
        <f>RawData[[#This Row],[Value_USD_M]]*RawData[[#This Row],[Share_Est]]</f>
        <v>1930.0949999999998</v>
      </c>
      <c r="Q222" s="46" t="s">
        <v>598</v>
      </c>
      <c r="R222" s="57"/>
      <c r="S222" s="58"/>
    </row>
    <row r="223" spans="2:19" x14ac:dyDescent="0.3">
      <c r="B223" s="56" t="s">
        <v>118</v>
      </c>
      <c r="C223" s="57">
        <v>2024</v>
      </c>
      <c r="D223" s="57" t="s">
        <v>546</v>
      </c>
      <c r="E223" s="57" t="s">
        <v>560</v>
      </c>
      <c r="F223" s="57" t="s">
        <v>548</v>
      </c>
      <c r="G223" s="57" t="s">
        <v>325</v>
      </c>
      <c r="H223" s="57" t="s">
        <v>563</v>
      </c>
      <c r="I223" s="57"/>
      <c r="J223" s="57"/>
      <c r="K223" s="57">
        <v>0</v>
      </c>
      <c r="L223" s="57"/>
      <c r="M223" s="57">
        <v>2270.6999999999998</v>
      </c>
      <c r="N223" s="57" t="s">
        <v>599</v>
      </c>
      <c r="O223" s="57">
        <v>0.1</v>
      </c>
      <c r="P223" s="62">
        <f>RawData[[#This Row],[Value_USD_M]]*RawData[[#This Row],[Share_Est]]</f>
        <v>227.07</v>
      </c>
      <c r="Q223" s="46" t="s">
        <v>598</v>
      </c>
      <c r="R223" s="57"/>
      <c r="S223" s="58"/>
    </row>
    <row r="224" spans="2:19" x14ac:dyDescent="0.3">
      <c r="B224" s="56" t="s">
        <v>118</v>
      </c>
      <c r="C224" s="57">
        <v>2024</v>
      </c>
      <c r="D224" s="57" t="s">
        <v>546</v>
      </c>
      <c r="E224" s="57" t="s">
        <v>560</v>
      </c>
      <c r="F224" s="57" t="s">
        <v>548</v>
      </c>
      <c r="G224" s="57" t="s">
        <v>325</v>
      </c>
      <c r="H224" s="57" t="s">
        <v>592</v>
      </c>
      <c r="I224" s="57"/>
      <c r="J224" s="57"/>
      <c r="K224" s="57">
        <v>0</v>
      </c>
      <c r="L224" s="57"/>
      <c r="M224" s="57">
        <v>2270.6999999999998</v>
      </c>
      <c r="N224" s="57" t="s">
        <v>599</v>
      </c>
      <c r="O224" s="57">
        <v>0.05</v>
      </c>
      <c r="P224" s="62">
        <f>RawData[[#This Row],[Value_USD_M]]*RawData[[#This Row],[Share_Est]]</f>
        <v>113.535</v>
      </c>
      <c r="Q224" s="46" t="s">
        <v>598</v>
      </c>
      <c r="R224" s="57"/>
      <c r="S224" s="58"/>
    </row>
    <row r="225" spans="2:19" x14ac:dyDescent="0.3">
      <c r="B225" s="56" t="s">
        <v>118</v>
      </c>
      <c r="C225" s="57">
        <v>2025</v>
      </c>
      <c r="D225" s="57" t="s">
        <v>546</v>
      </c>
      <c r="E225" s="57" t="s">
        <v>560</v>
      </c>
      <c r="F225" s="57" t="s">
        <v>549</v>
      </c>
      <c r="G225" s="57" t="s">
        <v>324</v>
      </c>
      <c r="H225" s="57" t="s">
        <v>590</v>
      </c>
      <c r="I225" s="57"/>
      <c r="J225" s="57"/>
      <c r="K225" s="57"/>
      <c r="L225" s="57"/>
      <c r="M225" s="57">
        <v>2654.1</v>
      </c>
      <c r="N225" s="57" t="s">
        <v>599</v>
      </c>
      <c r="O225" s="57">
        <v>0.9</v>
      </c>
      <c r="P225" s="62">
        <f>RawData[[#This Row],[Value_USD_M]]*RawData[[#This Row],[Share_Est]]</f>
        <v>2388.69</v>
      </c>
      <c r="Q225" s="46" t="s">
        <v>598</v>
      </c>
      <c r="R225" s="57"/>
      <c r="S225" s="58"/>
    </row>
    <row r="226" spans="2:19" x14ac:dyDescent="0.3">
      <c r="B226" s="56" t="s">
        <v>118</v>
      </c>
      <c r="C226" s="57">
        <v>2025</v>
      </c>
      <c r="D226" s="57" t="s">
        <v>546</v>
      </c>
      <c r="E226" s="57" t="s">
        <v>560</v>
      </c>
      <c r="F226" s="57" t="s">
        <v>549</v>
      </c>
      <c r="G226" s="57" t="s">
        <v>325</v>
      </c>
      <c r="H226" s="57" t="s">
        <v>563</v>
      </c>
      <c r="I226" s="57"/>
      <c r="J226" s="57"/>
      <c r="K226" s="57"/>
      <c r="L226" s="57"/>
      <c r="M226" s="57">
        <v>2654.1</v>
      </c>
      <c r="N226" s="57" t="s">
        <v>599</v>
      </c>
      <c r="O226" s="57">
        <v>7.0000000000000007E-2</v>
      </c>
      <c r="P226" s="62">
        <f>RawData[[#This Row],[Value_USD_M]]*RawData[[#This Row],[Share_Est]]</f>
        <v>185.78700000000001</v>
      </c>
      <c r="Q226" s="46" t="s">
        <v>598</v>
      </c>
      <c r="R226" s="57"/>
      <c r="S226" s="58"/>
    </row>
    <row r="227" spans="2:19" x14ac:dyDescent="0.3">
      <c r="B227" s="56" t="s">
        <v>118</v>
      </c>
      <c r="C227" s="57">
        <v>2025</v>
      </c>
      <c r="D227" s="57" t="s">
        <v>546</v>
      </c>
      <c r="E227" s="57" t="s">
        <v>560</v>
      </c>
      <c r="F227" s="57" t="s">
        <v>549</v>
      </c>
      <c r="G227" s="57" t="s">
        <v>325</v>
      </c>
      <c r="H227" s="57" t="s">
        <v>592</v>
      </c>
      <c r="I227" s="57"/>
      <c r="J227" s="57"/>
      <c r="K227" s="57"/>
      <c r="L227" s="57"/>
      <c r="M227" s="57">
        <v>2654.1</v>
      </c>
      <c r="N227" s="57" t="s">
        <v>599</v>
      </c>
      <c r="O227" s="57">
        <v>0.03</v>
      </c>
      <c r="P227" s="62">
        <f>RawData[[#This Row],[Value_USD_M]]*RawData[[#This Row],[Share_Est]]</f>
        <v>79.62299999999999</v>
      </c>
      <c r="Q227" s="46" t="s">
        <v>598</v>
      </c>
      <c r="R227" s="57"/>
      <c r="S227" s="58"/>
    </row>
    <row r="228" spans="2:19" x14ac:dyDescent="0.3">
      <c r="B228" s="56" t="s">
        <v>118</v>
      </c>
      <c r="C228" s="57">
        <v>2025</v>
      </c>
      <c r="D228" s="57" t="s">
        <v>546</v>
      </c>
      <c r="E228" s="57" t="s">
        <v>560</v>
      </c>
      <c r="F228" s="57" t="s">
        <v>548</v>
      </c>
      <c r="G228" s="57" t="s">
        <v>324</v>
      </c>
      <c r="H228" s="57" t="s">
        <v>590</v>
      </c>
      <c r="I228" s="57"/>
      <c r="J228" s="57"/>
      <c r="K228" s="57">
        <v>0</v>
      </c>
      <c r="L228" s="57"/>
      <c r="M228" s="57">
        <v>2600.5</v>
      </c>
      <c r="N228" s="57" t="s">
        <v>599</v>
      </c>
      <c r="O228" s="57">
        <v>0.85</v>
      </c>
      <c r="P228" s="62">
        <f>RawData[[#This Row],[Value_USD_M]]*RawData[[#This Row],[Share_Est]]</f>
        <v>2210.4249999999997</v>
      </c>
      <c r="Q228" s="46" t="s">
        <v>598</v>
      </c>
      <c r="R228" s="57"/>
      <c r="S228" s="58"/>
    </row>
    <row r="229" spans="2:19" x14ac:dyDescent="0.3">
      <c r="B229" s="56" t="s">
        <v>118</v>
      </c>
      <c r="C229" s="57">
        <v>2025</v>
      </c>
      <c r="D229" s="57" t="s">
        <v>546</v>
      </c>
      <c r="E229" s="57" t="s">
        <v>560</v>
      </c>
      <c r="F229" s="57" t="s">
        <v>548</v>
      </c>
      <c r="G229" s="57" t="s">
        <v>325</v>
      </c>
      <c r="H229" s="57" t="s">
        <v>563</v>
      </c>
      <c r="I229" s="57"/>
      <c r="J229" s="57"/>
      <c r="K229" s="57">
        <v>0</v>
      </c>
      <c r="L229" s="57"/>
      <c r="M229" s="57">
        <v>2600.5</v>
      </c>
      <c r="N229" s="57" t="s">
        <v>599</v>
      </c>
      <c r="O229" s="57">
        <v>0.1</v>
      </c>
      <c r="P229" s="62">
        <f>RawData[[#This Row],[Value_USD_M]]*RawData[[#This Row],[Share_Est]]</f>
        <v>260.05</v>
      </c>
      <c r="Q229" s="46" t="s">
        <v>598</v>
      </c>
      <c r="R229" s="57"/>
      <c r="S229" s="58"/>
    </row>
    <row r="230" spans="2:19" x14ac:dyDescent="0.3">
      <c r="B230" s="56" t="s">
        <v>118</v>
      </c>
      <c r="C230" s="57">
        <v>2025</v>
      </c>
      <c r="D230" s="57" t="s">
        <v>546</v>
      </c>
      <c r="E230" s="57" t="s">
        <v>560</v>
      </c>
      <c r="F230" s="57" t="s">
        <v>548</v>
      </c>
      <c r="G230" s="57" t="s">
        <v>325</v>
      </c>
      <c r="H230" s="57" t="s">
        <v>592</v>
      </c>
      <c r="I230" s="57"/>
      <c r="J230" s="57"/>
      <c r="K230" s="57">
        <v>0</v>
      </c>
      <c r="L230" s="57"/>
      <c r="M230" s="57">
        <v>2600.5</v>
      </c>
      <c r="N230" s="57" t="s">
        <v>599</v>
      </c>
      <c r="O230" s="57">
        <v>0.05</v>
      </c>
      <c r="P230" s="62">
        <f>RawData[[#This Row],[Value_USD_M]]*RawData[[#This Row],[Share_Est]]</f>
        <v>130.02500000000001</v>
      </c>
      <c r="Q230" s="46" t="s">
        <v>598</v>
      </c>
      <c r="R230" s="57"/>
      <c r="S230" s="58"/>
    </row>
    <row r="231" spans="2:19" x14ac:dyDescent="0.3">
      <c r="B231" s="56" t="s">
        <v>118</v>
      </c>
      <c r="C231" s="57">
        <v>2026</v>
      </c>
      <c r="D231" s="57" t="s">
        <v>546</v>
      </c>
      <c r="E231" s="57" t="s">
        <v>560</v>
      </c>
      <c r="F231" s="57" t="s">
        <v>549</v>
      </c>
      <c r="G231" s="57" t="s">
        <v>324</v>
      </c>
      <c r="H231" s="57" t="s">
        <v>590</v>
      </c>
      <c r="I231" s="57"/>
      <c r="J231" s="57"/>
      <c r="K231" s="57"/>
      <c r="L231" s="57"/>
      <c r="M231" s="57">
        <v>4739.1000000000004</v>
      </c>
      <c r="N231" s="57" t="s">
        <v>599</v>
      </c>
      <c r="O231" s="57">
        <v>0.9</v>
      </c>
      <c r="P231" s="62">
        <f>RawData[[#This Row],[Value_USD_M]]*RawData[[#This Row],[Share_Est]]</f>
        <v>4265.1900000000005</v>
      </c>
      <c r="Q231" s="46" t="s">
        <v>598</v>
      </c>
      <c r="R231" s="57"/>
      <c r="S231" s="58"/>
    </row>
    <row r="232" spans="2:19" x14ac:dyDescent="0.3">
      <c r="B232" s="56" t="s">
        <v>118</v>
      </c>
      <c r="C232" s="57">
        <v>2026</v>
      </c>
      <c r="D232" s="57" t="s">
        <v>546</v>
      </c>
      <c r="E232" s="57" t="s">
        <v>560</v>
      </c>
      <c r="F232" s="57" t="s">
        <v>549</v>
      </c>
      <c r="G232" s="57" t="s">
        <v>325</v>
      </c>
      <c r="H232" s="57" t="s">
        <v>563</v>
      </c>
      <c r="I232" s="57"/>
      <c r="J232" s="57"/>
      <c r="K232" s="57"/>
      <c r="L232" s="57"/>
      <c r="M232" s="57">
        <v>4739.1000000000004</v>
      </c>
      <c r="N232" s="57" t="s">
        <v>599</v>
      </c>
      <c r="O232" s="57">
        <v>7.0000000000000007E-2</v>
      </c>
      <c r="P232" s="62">
        <f>RawData[[#This Row],[Value_USD_M]]*RawData[[#This Row],[Share_Est]]</f>
        <v>331.73700000000008</v>
      </c>
      <c r="Q232" s="46" t="s">
        <v>598</v>
      </c>
      <c r="R232" s="57"/>
      <c r="S232" s="58"/>
    </row>
    <row r="233" spans="2:19" x14ac:dyDescent="0.3">
      <c r="B233" s="56" t="s">
        <v>118</v>
      </c>
      <c r="C233" s="57">
        <v>2026</v>
      </c>
      <c r="D233" s="57" t="s">
        <v>546</v>
      </c>
      <c r="E233" s="57" t="s">
        <v>560</v>
      </c>
      <c r="F233" s="57" t="s">
        <v>549</v>
      </c>
      <c r="G233" s="57" t="s">
        <v>325</v>
      </c>
      <c r="H233" s="57" t="s">
        <v>592</v>
      </c>
      <c r="I233" s="57"/>
      <c r="J233" s="57"/>
      <c r="K233" s="57"/>
      <c r="L233" s="57"/>
      <c r="M233" s="57">
        <v>4739.1000000000004</v>
      </c>
      <c r="N233" s="57" t="s">
        <v>599</v>
      </c>
      <c r="O233" s="57">
        <v>0.03</v>
      </c>
      <c r="P233" s="62">
        <f>RawData[[#This Row],[Value_USD_M]]*RawData[[#This Row],[Share_Est]]</f>
        <v>142.173</v>
      </c>
      <c r="Q233" s="46" t="s">
        <v>598</v>
      </c>
      <c r="R233" s="57"/>
      <c r="S233" s="58"/>
    </row>
    <row r="234" spans="2:19" x14ac:dyDescent="0.3">
      <c r="B234" s="56" t="s">
        <v>118</v>
      </c>
      <c r="C234" s="57">
        <v>2026</v>
      </c>
      <c r="D234" s="57" t="s">
        <v>546</v>
      </c>
      <c r="E234" s="57" t="s">
        <v>560</v>
      </c>
      <c r="F234" s="57" t="s">
        <v>548</v>
      </c>
      <c r="G234" s="57" t="s">
        <v>324</v>
      </c>
      <c r="H234" s="57" t="s">
        <v>590</v>
      </c>
      <c r="I234" s="57"/>
      <c r="J234" s="57"/>
      <c r="K234" s="57">
        <v>0</v>
      </c>
      <c r="L234" s="57"/>
      <c r="M234" s="57">
        <v>5551.2</v>
      </c>
      <c r="N234" s="57" t="s">
        <v>599</v>
      </c>
      <c r="O234" s="57">
        <v>0.85</v>
      </c>
      <c r="P234" s="62">
        <f>RawData[[#This Row],[Value_USD_M]]*RawData[[#This Row],[Share_Est]]</f>
        <v>4718.5199999999995</v>
      </c>
      <c r="Q234" s="46" t="s">
        <v>598</v>
      </c>
      <c r="R234" s="57"/>
      <c r="S234" s="58"/>
    </row>
    <row r="235" spans="2:19" x14ac:dyDescent="0.3">
      <c r="B235" s="56" t="s">
        <v>118</v>
      </c>
      <c r="C235" s="57">
        <v>2026</v>
      </c>
      <c r="D235" s="57" t="s">
        <v>546</v>
      </c>
      <c r="E235" s="57" t="s">
        <v>560</v>
      </c>
      <c r="F235" s="57" t="s">
        <v>548</v>
      </c>
      <c r="G235" s="57" t="s">
        <v>325</v>
      </c>
      <c r="H235" s="57" t="s">
        <v>563</v>
      </c>
      <c r="K235" s="46">
        <v>0</v>
      </c>
      <c r="L235" s="57"/>
      <c r="M235" s="57">
        <v>5551.2</v>
      </c>
      <c r="N235" s="57" t="s">
        <v>599</v>
      </c>
      <c r="O235" s="57">
        <v>0.1</v>
      </c>
      <c r="P235" s="61">
        <f>RawData[[#This Row],[Value_USD_M]]*RawData[[#This Row],[Share_Est]]</f>
        <v>555.12</v>
      </c>
      <c r="Q235" s="46" t="s">
        <v>598</v>
      </c>
      <c r="S235" s="52"/>
    </row>
    <row r="236" spans="2:19" x14ac:dyDescent="0.3">
      <c r="B236" s="56" t="s">
        <v>118</v>
      </c>
      <c r="C236" s="57">
        <v>2026</v>
      </c>
      <c r="D236" s="57" t="s">
        <v>546</v>
      </c>
      <c r="E236" s="57" t="s">
        <v>560</v>
      </c>
      <c r="F236" s="57" t="s">
        <v>548</v>
      </c>
      <c r="G236" s="57" t="s">
        <v>325</v>
      </c>
      <c r="H236" s="57" t="s">
        <v>592</v>
      </c>
      <c r="K236" s="46">
        <v>0</v>
      </c>
      <c r="L236" s="57"/>
      <c r="M236" s="57">
        <v>5551.2</v>
      </c>
      <c r="N236" s="57" t="s">
        <v>599</v>
      </c>
      <c r="O236" s="57">
        <v>0.05</v>
      </c>
      <c r="P236" s="61">
        <f>RawData[[#This Row],[Value_USD_M]]*RawData[[#This Row],[Share_Est]]</f>
        <v>277.56</v>
      </c>
      <c r="Q236" s="46" t="s">
        <v>598</v>
      </c>
      <c r="S236" s="52"/>
    </row>
    <row r="237" spans="2:19" x14ac:dyDescent="0.3">
      <c r="B237" s="56" t="s">
        <v>175</v>
      </c>
      <c r="C237" s="57">
        <v>2024</v>
      </c>
      <c r="D237" s="57" t="s">
        <v>546</v>
      </c>
      <c r="E237" s="57" t="s">
        <v>560</v>
      </c>
      <c r="F237" s="57" t="s">
        <v>549</v>
      </c>
      <c r="G237" s="57" t="s">
        <v>337</v>
      </c>
      <c r="H237" s="57" t="s">
        <v>580</v>
      </c>
      <c r="I237" s="57"/>
      <c r="J237" s="57"/>
      <c r="K237" s="57"/>
      <c r="L237" s="57"/>
      <c r="M237" s="57">
        <v>1954.7</v>
      </c>
      <c r="N237" s="57" t="s">
        <v>599</v>
      </c>
      <c r="O237" s="57">
        <v>0.85</v>
      </c>
      <c r="P237" s="62">
        <f>RawData[[#This Row],[Value_USD_M]]*RawData[[#This Row],[Share_Est]]</f>
        <v>1661.4949999999999</v>
      </c>
      <c r="Q237" s="46" t="s">
        <v>598</v>
      </c>
      <c r="R237" s="57"/>
      <c r="S237" s="58"/>
    </row>
    <row r="238" spans="2:19" x14ac:dyDescent="0.3">
      <c r="B238" s="56" t="s">
        <v>175</v>
      </c>
      <c r="C238" s="57">
        <v>2024</v>
      </c>
      <c r="D238" s="57" t="s">
        <v>546</v>
      </c>
      <c r="E238" s="57" t="s">
        <v>560</v>
      </c>
      <c r="F238" s="57" t="s">
        <v>549</v>
      </c>
      <c r="G238" s="57" t="s">
        <v>325</v>
      </c>
      <c r="H238" s="57" t="s">
        <v>563</v>
      </c>
      <c r="I238" s="57"/>
      <c r="J238" s="57"/>
      <c r="K238" s="57"/>
      <c r="L238" s="57"/>
      <c r="M238" s="57">
        <v>1954.7</v>
      </c>
      <c r="N238" s="57" t="s">
        <v>599</v>
      </c>
      <c r="O238" s="57">
        <v>0.1</v>
      </c>
      <c r="P238" s="62">
        <f>RawData[[#This Row],[Value_USD_M]]*RawData[[#This Row],[Share_Est]]</f>
        <v>195.47000000000003</v>
      </c>
      <c r="Q238" s="46" t="s">
        <v>598</v>
      </c>
      <c r="R238" s="57"/>
      <c r="S238" s="58"/>
    </row>
    <row r="239" spans="2:19" x14ac:dyDescent="0.3">
      <c r="B239" s="56" t="s">
        <v>175</v>
      </c>
      <c r="C239" s="57">
        <v>2024</v>
      </c>
      <c r="D239" s="57" t="s">
        <v>546</v>
      </c>
      <c r="E239" s="57" t="s">
        <v>560</v>
      </c>
      <c r="F239" s="57" t="s">
        <v>549</v>
      </c>
      <c r="G239" s="57" t="s">
        <v>325</v>
      </c>
      <c r="H239" s="57" t="s">
        <v>23</v>
      </c>
      <c r="I239" s="57"/>
      <c r="J239" s="57"/>
      <c r="K239" s="57"/>
      <c r="L239" s="57"/>
      <c r="M239" s="57">
        <v>1954.7</v>
      </c>
      <c r="N239" s="57" t="s">
        <v>599</v>
      </c>
      <c r="O239" s="57">
        <v>0.05</v>
      </c>
      <c r="P239" s="62">
        <f>RawData[[#This Row],[Value_USD_M]]*RawData[[#This Row],[Share_Est]]</f>
        <v>97.735000000000014</v>
      </c>
      <c r="Q239" s="46" t="s">
        <v>598</v>
      </c>
      <c r="R239" s="57"/>
      <c r="S239" s="58"/>
    </row>
    <row r="240" spans="2:19" x14ac:dyDescent="0.3">
      <c r="B240" s="56" t="s">
        <v>175</v>
      </c>
      <c r="C240" s="57">
        <v>2025</v>
      </c>
      <c r="D240" s="57" t="s">
        <v>546</v>
      </c>
      <c r="E240" s="57" t="s">
        <v>560</v>
      </c>
      <c r="F240" s="57" t="s">
        <v>549</v>
      </c>
      <c r="G240" s="57" t="s">
        <v>337</v>
      </c>
      <c r="H240" s="57" t="s">
        <v>580</v>
      </c>
      <c r="I240" s="57"/>
      <c r="J240" s="57"/>
      <c r="K240" s="57"/>
      <c r="L240" s="57"/>
      <c r="M240" s="57">
        <v>2424.1999999999998</v>
      </c>
      <c r="N240" s="57" t="s">
        <v>599</v>
      </c>
      <c r="O240" s="57">
        <v>0.85</v>
      </c>
      <c r="P240" s="62">
        <f>RawData[[#This Row],[Value_USD_M]]*RawData[[#This Row],[Share_Est]]</f>
        <v>2060.5699999999997</v>
      </c>
      <c r="Q240" s="46" t="s">
        <v>598</v>
      </c>
      <c r="R240" s="57"/>
      <c r="S240" s="58"/>
    </row>
    <row r="241" spans="2:19" x14ac:dyDescent="0.3">
      <c r="B241" s="56" t="s">
        <v>175</v>
      </c>
      <c r="C241" s="57">
        <v>2025</v>
      </c>
      <c r="D241" s="57" t="s">
        <v>546</v>
      </c>
      <c r="E241" s="57" t="s">
        <v>560</v>
      </c>
      <c r="F241" s="57" t="s">
        <v>549</v>
      </c>
      <c r="G241" s="57" t="s">
        <v>325</v>
      </c>
      <c r="H241" s="57" t="s">
        <v>563</v>
      </c>
      <c r="I241" s="57"/>
      <c r="J241" s="57"/>
      <c r="K241" s="57"/>
      <c r="L241" s="57"/>
      <c r="M241" s="57">
        <v>2424.1999999999998</v>
      </c>
      <c r="N241" s="57" t="s">
        <v>599</v>
      </c>
      <c r="O241" s="57">
        <v>0.1</v>
      </c>
      <c r="P241" s="62">
        <f>RawData[[#This Row],[Value_USD_M]]*RawData[[#This Row],[Share_Est]]</f>
        <v>242.42</v>
      </c>
      <c r="Q241" s="46" t="s">
        <v>598</v>
      </c>
      <c r="R241" s="57"/>
      <c r="S241" s="58"/>
    </row>
    <row r="242" spans="2:19" x14ac:dyDescent="0.3">
      <c r="B242" s="56" t="s">
        <v>175</v>
      </c>
      <c r="C242" s="57">
        <v>2025</v>
      </c>
      <c r="D242" s="57" t="s">
        <v>546</v>
      </c>
      <c r="E242" s="57" t="s">
        <v>560</v>
      </c>
      <c r="F242" s="57" t="s">
        <v>549</v>
      </c>
      <c r="G242" s="57" t="s">
        <v>325</v>
      </c>
      <c r="H242" s="57" t="s">
        <v>23</v>
      </c>
      <c r="I242" s="57"/>
      <c r="J242" s="57"/>
      <c r="K242" s="57"/>
      <c r="L242" s="57"/>
      <c r="M242" s="57">
        <v>2424.1999999999998</v>
      </c>
      <c r="N242" s="57" t="s">
        <v>599</v>
      </c>
      <c r="O242" s="57">
        <v>0.05</v>
      </c>
      <c r="P242" s="62">
        <f>RawData[[#This Row],[Value_USD_M]]*RawData[[#This Row],[Share_Est]]</f>
        <v>121.21</v>
      </c>
      <c r="Q242" s="46" t="s">
        <v>598</v>
      </c>
      <c r="R242" s="57"/>
      <c r="S242" s="58"/>
    </row>
    <row r="243" spans="2:19" x14ac:dyDescent="0.3">
      <c r="B243" s="56" t="s">
        <v>175</v>
      </c>
      <c r="C243" s="57">
        <v>2026</v>
      </c>
      <c r="D243" s="57" t="s">
        <v>546</v>
      </c>
      <c r="E243" s="57" t="s">
        <v>560</v>
      </c>
      <c r="F243" s="57" t="s">
        <v>549</v>
      </c>
      <c r="G243" s="57" t="s">
        <v>337</v>
      </c>
      <c r="H243" s="57" t="s">
        <v>580</v>
      </c>
      <c r="I243" s="57"/>
      <c r="J243" s="57"/>
      <c r="K243" s="57"/>
      <c r="L243" s="57"/>
      <c r="M243" s="57">
        <v>3479.4</v>
      </c>
      <c r="N243" s="57" t="s">
        <v>599</v>
      </c>
      <c r="O243" s="57">
        <v>0.85</v>
      </c>
      <c r="P243" s="62">
        <f>RawData[[#This Row],[Value_USD_M]]*RawData[[#This Row],[Share_Est]]</f>
        <v>2957.49</v>
      </c>
      <c r="Q243" s="46" t="s">
        <v>598</v>
      </c>
      <c r="R243" s="57"/>
      <c r="S243" s="58"/>
    </row>
    <row r="244" spans="2:19" x14ac:dyDescent="0.3">
      <c r="B244" s="56" t="s">
        <v>175</v>
      </c>
      <c r="C244" s="57">
        <v>2026</v>
      </c>
      <c r="D244" s="57" t="s">
        <v>546</v>
      </c>
      <c r="E244" s="57" t="s">
        <v>560</v>
      </c>
      <c r="F244" s="57" t="s">
        <v>549</v>
      </c>
      <c r="G244" s="57" t="s">
        <v>325</v>
      </c>
      <c r="H244" s="57" t="s">
        <v>563</v>
      </c>
      <c r="I244" s="57"/>
      <c r="J244" s="57"/>
      <c r="K244" s="57"/>
      <c r="L244" s="57"/>
      <c r="M244" s="57">
        <v>3479.4</v>
      </c>
      <c r="N244" s="57" t="s">
        <v>599</v>
      </c>
      <c r="O244" s="57">
        <v>0.1</v>
      </c>
      <c r="P244" s="62">
        <f>RawData[[#This Row],[Value_USD_M]]*RawData[[#This Row],[Share_Est]]</f>
        <v>347.94000000000005</v>
      </c>
      <c r="Q244" s="46" t="s">
        <v>598</v>
      </c>
      <c r="R244" s="57"/>
      <c r="S244" s="58"/>
    </row>
    <row r="245" spans="2:19" x14ac:dyDescent="0.3">
      <c r="B245" s="56" t="s">
        <v>175</v>
      </c>
      <c r="C245" s="57">
        <v>2026</v>
      </c>
      <c r="D245" s="57" t="s">
        <v>546</v>
      </c>
      <c r="E245" s="57" t="s">
        <v>560</v>
      </c>
      <c r="F245" s="57" t="s">
        <v>549</v>
      </c>
      <c r="G245" s="57" t="s">
        <v>325</v>
      </c>
      <c r="H245" s="57" t="s">
        <v>23</v>
      </c>
      <c r="I245" s="57"/>
      <c r="J245" s="57"/>
      <c r="K245" s="57"/>
      <c r="L245" s="57"/>
      <c r="M245" s="57">
        <v>3479.4</v>
      </c>
      <c r="N245" s="57"/>
      <c r="O245" s="57">
        <v>0.05</v>
      </c>
      <c r="P245" s="62">
        <f>RawData[[#This Row],[Value_USD_M]]*RawData[[#This Row],[Share_Est]]</f>
        <v>173.97000000000003</v>
      </c>
      <c r="Q245" s="46" t="s">
        <v>598</v>
      </c>
      <c r="R245" s="57"/>
      <c r="S245" s="58"/>
    </row>
    <row r="246" spans="2:19" x14ac:dyDescent="0.3">
      <c r="B246" s="56" t="s">
        <v>593</v>
      </c>
      <c r="C246" s="57">
        <v>2024</v>
      </c>
      <c r="D246" s="57" t="s">
        <v>615</v>
      </c>
      <c r="E246" s="57" t="s">
        <v>560</v>
      </c>
      <c r="F246" s="57" t="s">
        <v>549</v>
      </c>
      <c r="G246" s="57" t="s">
        <v>325</v>
      </c>
      <c r="H246" s="57" t="s">
        <v>23</v>
      </c>
      <c r="I246" s="57"/>
      <c r="J246" s="57"/>
      <c r="K246" s="57"/>
      <c r="L246" s="57"/>
      <c r="M246" s="57">
        <v>760.1</v>
      </c>
      <c r="N246" s="57"/>
      <c r="O246" s="57">
        <v>0.55000000000000004</v>
      </c>
      <c r="P246" s="62">
        <f>RawData[[#This Row],[Value_USD_M]]*RawData[[#This Row],[Share_Est]]</f>
        <v>418.05500000000006</v>
      </c>
      <c r="Q246" s="46" t="s">
        <v>598</v>
      </c>
      <c r="R246" s="57"/>
      <c r="S246" s="58"/>
    </row>
    <row r="247" spans="2:19" x14ac:dyDescent="0.3">
      <c r="B247" s="56" t="s">
        <v>593</v>
      </c>
      <c r="C247" s="57">
        <v>2024</v>
      </c>
      <c r="D247" s="57" t="s">
        <v>615</v>
      </c>
      <c r="E247" s="57" t="s">
        <v>560</v>
      </c>
      <c r="F247" s="57" t="s">
        <v>549</v>
      </c>
      <c r="G247" s="57" t="s">
        <v>326</v>
      </c>
      <c r="H247" s="57" t="s">
        <v>594</v>
      </c>
      <c r="I247" s="57"/>
      <c r="J247" s="57"/>
      <c r="K247" s="57"/>
      <c r="L247" s="57"/>
      <c r="M247" s="57">
        <v>760.1</v>
      </c>
      <c r="N247" s="57"/>
      <c r="O247" s="57">
        <v>0.45</v>
      </c>
      <c r="P247" s="62">
        <f>RawData[[#This Row],[Value_USD_M]]*RawData[[#This Row],[Share_Est]]</f>
        <v>342.04500000000002</v>
      </c>
      <c r="Q247" s="46" t="s">
        <v>598</v>
      </c>
      <c r="R247" s="57"/>
      <c r="S247" s="58"/>
    </row>
    <row r="248" spans="2:19" x14ac:dyDescent="0.3">
      <c r="B248" s="56" t="s">
        <v>593</v>
      </c>
      <c r="C248" s="57">
        <v>2024</v>
      </c>
      <c r="D248" s="57" t="s">
        <v>615</v>
      </c>
      <c r="E248" s="57" t="s">
        <v>560</v>
      </c>
      <c r="F248" s="57" t="s">
        <v>548</v>
      </c>
      <c r="G248" s="57" t="s">
        <v>325</v>
      </c>
      <c r="H248" s="57" t="s">
        <v>23</v>
      </c>
      <c r="I248" s="57"/>
      <c r="J248" s="57"/>
      <c r="K248" s="57">
        <v>0</v>
      </c>
      <c r="L248" s="57"/>
      <c r="M248" s="57">
        <v>418.6</v>
      </c>
      <c r="N248" s="57"/>
      <c r="O248" s="57">
        <v>0.6</v>
      </c>
      <c r="P248" s="62">
        <f>RawData[[#This Row],[Value_USD_M]]*RawData[[#This Row],[Share_Est]]</f>
        <v>251.16</v>
      </c>
      <c r="Q248" s="46" t="s">
        <v>598</v>
      </c>
      <c r="R248" s="57"/>
      <c r="S248" s="58"/>
    </row>
    <row r="249" spans="2:19" x14ac:dyDescent="0.3">
      <c r="B249" s="56" t="s">
        <v>593</v>
      </c>
      <c r="C249" s="57">
        <v>2024</v>
      </c>
      <c r="D249" s="57" t="s">
        <v>615</v>
      </c>
      <c r="E249" s="57" t="s">
        <v>560</v>
      </c>
      <c r="F249" s="57" t="s">
        <v>548</v>
      </c>
      <c r="G249" s="57" t="s">
        <v>326</v>
      </c>
      <c r="H249" s="57" t="s">
        <v>594</v>
      </c>
      <c r="I249" s="57"/>
      <c r="J249" s="57"/>
      <c r="K249" s="57">
        <v>0</v>
      </c>
      <c r="L249" s="57"/>
      <c r="M249" s="57">
        <v>418.6</v>
      </c>
      <c r="N249" s="57"/>
      <c r="O249" s="57">
        <v>0.4</v>
      </c>
      <c r="P249" s="62">
        <f>RawData[[#This Row],[Value_USD_M]]*RawData[[#This Row],[Share_Est]]</f>
        <v>167.44000000000003</v>
      </c>
      <c r="Q249" s="46" t="s">
        <v>598</v>
      </c>
      <c r="R249" s="57"/>
      <c r="S249" s="58"/>
    </row>
    <row r="250" spans="2:19" x14ac:dyDescent="0.3">
      <c r="B250" s="56" t="s">
        <v>593</v>
      </c>
      <c r="C250" s="57">
        <v>2025</v>
      </c>
      <c r="D250" s="57" t="s">
        <v>615</v>
      </c>
      <c r="E250" s="57" t="s">
        <v>560</v>
      </c>
      <c r="F250" s="57" t="s">
        <v>549</v>
      </c>
      <c r="G250" s="57" t="s">
        <v>325</v>
      </c>
      <c r="H250" s="57" t="s">
        <v>23</v>
      </c>
      <c r="I250" s="57"/>
      <c r="J250" s="57"/>
      <c r="K250" s="57"/>
      <c r="L250" s="57"/>
      <c r="M250" s="57">
        <v>337.5</v>
      </c>
      <c r="N250" s="57"/>
      <c r="O250" s="57">
        <v>0.55000000000000004</v>
      </c>
      <c r="P250" s="62">
        <f>RawData[[#This Row],[Value_USD_M]]*RawData[[#This Row],[Share_Est]]</f>
        <v>185.62500000000003</v>
      </c>
      <c r="Q250" s="46" t="s">
        <v>598</v>
      </c>
      <c r="R250" s="57"/>
      <c r="S250" s="58"/>
    </row>
    <row r="251" spans="2:19" x14ac:dyDescent="0.3">
      <c r="B251" s="56" t="s">
        <v>593</v>
      </c>
      <c r="C251" s="57">
        <v>2025</v>
      </c>
      <c r="D251" s="57" t="s">
        <v>615</v>
      </c>
      <c r="E251" s="57" t="s">
        <v>560</v>
      </c>
      <c r="F251" s="57" t="s">
        <v>549</v>
      </c>
      <c r="G251" s="57" t="s">
        <v>326</v>
      </c>
      <c r="H251" s="57" t="s">
        <v>594</v>
      </c>
      <c r="I251" s="57"/>
      <c r="J251" s="57"/>
      <c r="K251" s="57"/>
      <c r="L251" s="57"/>
      <c r="M251" s="57">
        <v>337.5</v>
      </c>
      <c r="N251" s="57"/>
      <c r="O251" s="57">
        <v>0.45</v>
      </c>
      <c r="P251" s="62">
        <f>RawData[[#This Row],[Value_USD_M]]*RawData[[#This Row],[Share_Est]]</f>
        <v>151.875</v>
      </c>
      <c r="Q251" s="46" t="s">
        <v>598</v>
      </c>
      <c r="R251" s="57"/>
      <c r="S251" s="58"/>
    </row>
    <row r="252" spans="2:19" x14ac:dyDescent="0.3">
      <c r="B252" s="56" t="s">
        <v>593</v>
      </c>
      <c r="C252" s="57">
        <v>2025</v>
      </c>
      <c r="D252" s="57" t="s">
        <v>615</v>
      </c>
      <c r="E252" s="57" t="s">
        <v>560</v>
      </c>
      <c r="F252" s="57" t="s">
        <v>548</v>
      </c>
      <c r="G252" s="57" t="s">
        <v>325</v>
      </c>
      <c r="H252" s="57" t="s">
        <v>23</v>
      </c>
      <c r="I252" s="57"/>
      <c r="J252" s="57"/>
      <c r="K252" s="57">
        <v>0</v>
      </c>
      <c r="L252" s="57"/>
      <c r="M252" s="57">
        <v>566.29999999999995</v>
      </c>
      <c r="N252" s="57"/>
      <c r="O252" s="57">
        <v>0.6</v>
      </c>
      <c r="P252" s="62">
        <f>RawData[[#This Row],[Value_USD_M]]*RawData[[#This Row],[Share_Est]]</f>
        <v>339.78</v>
      </c>
      <c r="Q252" s="46" t="s">
        <v>598</v>
      </c>
      <c r="R252" s="57"/>
      <c r="S252" s="58"/>
    </row>
    <row r="253" spans="2:19" x14ac:dyDescent="0.3">
      <c r="B253" s="56" t="s">
        <v>593</v>
      </c>
      <c r="C253" s="57">
        <v>2025</v>
      </c>
      <c r="D253" s="57" t="s">
        <v>615</v>
      </c>
      <c r="E253" s="57" t="s">
        <v>560</v>
      </c>
      <c r="F253" s="57" t="s">
        <v>548</v>
      </c>
      <c r="G253" s="57" t="s">
        <v>326</v>
      </c>
      <c r="H253" s="57" t="s">
        <v>594</v>
      </c>
      <c r="I253" s="57"/>
      <c r="J253" s="57"/>
      <c r="K253" s="57">
        <v>0</v>
      </c>
      <c r="L253" s="57"/>
      <c r="M253" s="57">
        <v>566.29999999999995</v>
      </c>
      <c r="N253" s="57"/>
      <c r="O253" s="57">
        <v>0.4</v>
      </c>
      <c r="P253" s="62">
        <f>RawData[[#This Row],[Value_USD_M]]*RawData[[#This Row],[Share_Est]]</f>
        <v>226.51999999999998</v>
      </c>
      <c r="Q253" s="46" t="s">
        <v>598</v>
      </c>
      <c r="R253" s="57"/>
      <c r="S253" s="58"/>
    </row>
    <row r="254" spans="2:19" x14ac:dyDescent="0.3">
      <c r="B254" s="56" t="s">
        <v>593</v>
      </c>
      <c r="C254" s="57">
        <v>2026</v>
      </c>
      <c r="D254" s="57" t="s">
        <v>615</v>
      </c>
      <c r="E254" s="57" t="s">
        <v>560</v>
      </c>
      <c r="F254" s="57" t="s">
        <v>549</v>
      </c>
      <c r="G254" s="57" t="s">
        <v>325</v>
      </c>
      <c r="H254" s="57" t="s">
        <v>23</v>
      </c>
      <c r="I254" s="57"/>
      <c r="J254" s="57"/>
      <c r="K254" s="57"/>
      <c r="L254" s="57"/>
      <c r="M254" s="57">
        <v>480.4</v>
      </c>
      <c r="N254" s="57"/>
      <c r="O254" s="57">
        <v>0.55000000000000004</v>
      </c>
      <c r="P254" s="62">
        <f>RawData[[#This Row],[Value_USD_M]]*RawData[[#This Row],[Share_Est]]</f>
        <v>264.22000000000003</v>
      </c>
      <c r="Q254" s="46" t="s">
        <v>598</v>
      </c>
      <c r="R254" s="57"/>
      <c r="S254" s="58"/>
    </row>
    <row r="255" spans="2:19" x14ac:dyDescent="0.3">
      <c r="B255" s="56" t="s">
        <v>593</v>
      </c>
      <c r="C255" s="57">
        <v>2026</v>
      </c>
      <c r="D255" s="57" t="s">
        <v>615</v>
      </c>
      <c r="E255" s="57" t="s">
        <v>560</v>
      </c>
      <c r="F255" s="57" t="s">
        <v>549</v>
      </c>
      <c r="G255" s="57" t="s">
        <v>326</v>
      </c>
      <c r="H255" s="57" t="s">
        <v>594</v>
      </c>
      <c r="I255" s="57"/>
      <c r="J255" s="57"/>
      <c r="K255" s="57"/>
      <c r="L255" s="57"/>
      <c r="M255" s="57">
        <v>480.4</v>
      </c>
      <c r="N255" s="57"/>
      <c r="O255" s="57">
        <v>0.45</v>
      </c>
      <c r="P255" s="62">
        <f>RawData[[#This Row],[Value_USD_M]]*RawData[[#This Row],[Share_Est]]</f>
        <v>216.18</v>
      </c>
      <c r="Q255" s="46" t="s">
        <v>598</v>
      </c>
      <c r="R255" s="57"/>
      <c r="S255" s="58"/>
    </row>
    <row r="256" spans="2:19" x14ac:dyDescent="0.3">
      <c r="B256" s="56" t="s">
        <v>593</v>
      </c>
      <c r="C256" s="57">
        <v>2026</v>
      </c>
      <c r="D256" s="57" t="s">
        <v>615</v>
      </c>
      <c r="E256" s="57" t="s">
        <v>560</v>
      </c>
      <c r="F256" s="57" t="s">
        <v>548</v>
      </c>
      <c r="G256" s="57" t="s">
        <v>325</v>
      </c>
      <c r="H256" s="57" t="s">
        <v>23</v>
      </c>
      <c r="I256" s="57"/>
      <c r="J256" s="57"/>
      <c r="K256" s="57">
        <v>0</v>
      </c>
      <c r="L256" s="57"/>
      <c r="M256" s="57">
        <v>2019.9</v>
      </c>
      <c r="N256" s="57"/>
      <c r="O256" s="57">
        <v>0.6</v>
      </c>
      <c r="P256" s="62">
        <f>RawData[[#This Row],[Value_USD_M]]*RawData[[#This Row],[Share_Est]]</f>
        <v>1211.94</v>
      </c>
      <c r="Q256" s="46" t="s">
        <v>598</v>
      </c>
      <c r="R256" s="57"/>
      <c r="S256" s="58"/>
    </row>
    <row r="257" spans="2:19" x14ac:dyDescent="0.3">
      <c r="B257" s="56" t="s">
        <v>593</v>
      </c>
      <c r="C257" s="57">
        <v>2026</v>
      </c>
      <c r="D257" s="57" t="s">
        <v>615</v>
      </c>
      <c r="E257" s="57" t="s">
        <v>560</v>
      </c>
      <c r="F257" s="57" t="s">
        <v>548</v>
      </c>
      <c r="G257" s="57" t="s">
        <v>326</v>
      </c>
      <c r="H257" s="57" t="s">
        <v>594</v>
      </c>
      <c r="K257" s="46">
        <v>0</v>
      </c>
      <c r="L257" s="57"/>
      <c r="M257" s="57">
        <v>2019.9</v>
      </c>
      <c r="O257" s="57">
        <v>0.4</v>
      </c>
      <c r="P257" s="61">
        <f>RawData[[#This Row],[Value_USD_M]]*RawData[[#This Row],[Share_Est]]</f>
        <v>807.96</v>
      </c>
      <c r="Q257" s="46" t="s">
        <v>598</v>
      </c>
      <c r="S257" s="52"/>
    </row>
    <row r="258" spans="2:19" x14ac:dyDescent="0.3">
      <c r="B258" s="56" t="s">
        <v>595</v>
      </c>
      <c r="C258" s="57">
        <v>2024</v>
      </c>
      <c r="D258" s="57" t="s">
        <v>546</v>
      </c>
      <c r="E258" s="57" t="s">
        <v>560</v>
      </c>
      <c r="F258" s="57" t="s">
        <v>549</v>
      </c>
      <c r="G258" s="57" t="s">
        <v>589</v>
      </c>
      <c r="H258" s="57" t="s">
        <v>590</v>
      </c>
      <c r="I258" s="57"/>
      <c r="J258" s="57"/>
      <c r="K258" s="57"/>
      <c r="L258" s="57"/>
      <c r="M258" s="57">
        <v>392</v>
      </c>
      <c r="N258" s="57" t="s">
        <v>599</v>
      </c>
      <c r="O258" s="57">
        <v>0.6</v>
      </c>
      <c r="P258" s="62">
        <f>RawData[[#This Row],[Value_USD_M]]*RawData[[#This Row],[Share_Est]]</f>
        <v>235.2</v>
      </c>
      <c r="Q258" s="46" t="s">
        <v>598</v>
      </c>
      <c r="R258" s="57"/>
      <c r="S258" s="58"/>
    </row>
    <row r="259" spans="2:19" x14ac:dyDescent="0.3">
      <c r="B259" s="56" t="s">
        <v>595</v>
      </c>
      <c r="C259" s="57">
        <v>2024</v>
      </c>
      <c r="D259" s="57" t="s">
        <v>546</v>
      </c>
      <c r="E259" s="57" t="s">
        <v>560</v>
      </c>
      <c r="F259" s="57" t="s">
        <v>549</v>
      </c>
      <c r="G259" s="57" t="s">
        <v>596</v>
      </c>
      <c r="H259" s="57"/>
      <c r="I259" s="57"/>
      <c r="J259" s="57"/>
      <c r="K259" s="57"/>
      <c r="L259" s="57"/>
      <c r="M259" s="57">
        <v>392</v>
      </c>
      <c r="N259" s="57" t="s">
        <v>599</v>
      </c>
      <c r="O259" s="57">
        <v>0.4</v>
      </c>
      <c r="P259" s="62">
        <f>RawData[[#This Row],[Value_USD_M]]*RawData[[#This Row],[Share_Est]]</f>
        <v>156.80000000000001</v>
      </c>
      <c r="Q259" s="46" t="s">
        <v>598</v>
      </c>
      <c r="R259" s="57"/>
      <c r="S259" s="58"/>
    </row>
    <row r="260" spans="2:19" x14ac:dyDescent="0.3">
      <c r="B260" s="56" t="s">
        <v>595</v>
      </c>
      <c r="C260" s="57">
        <v>2025</v>
      </c>
      <c r="D260" s="57" t="s">
        <v>546</v>
      </c>
      <c r="E260" s="57" t="s">
        <v>560</v>
      </c>
      <c r="F260" s="57" t="s">
        <v>549</v>
      </c>
      <c r="G260" s="57" t="s">
        <v>589</v>
      </c>
      <c r="H260" s="57" t="s">
        <v>590</v>
      </c>
      <c r="I260" s="57"/>
      <c r="J260" s="57"/>
      <c r="K260" s="57"/>
      <c r="L260" s="57"/>
      <c r="M260" s="57">
        <v>711.7</v>
      </c>
      <c r="N260" s="57" t="s">
        <v>599</v>
      </c>
      <c r="O260" s="57">
        <v>0.6</v>
      </c>
      <c r="P260" s="62">
        <f>RawData[[#This Row],[Value_USD_M]]*RawData[[#This Row],[Share_Est]]</f>
        <v>427.02000000000004</v>
      </c>
      <c r="Q260" s="46" t="s">
        <v>598</v>
      </c>
      <c r="R260" s="57"/>
      <c r="S260" s="58"/>
    </row>
    <row r="261" spans="2:19" x14ac:dyDescent="0.3">
      <c r="B261" s="56" t="s">
        <v>595</v>
      </c>
      <c r="C261" s="57">
        <v>2025</v>
      </c>
      <c r="D261" s="57" t="s">
        <v>546</v>
      </c>
      <c r="E261" s="57" t="s">
        <v>560</v>
      </c>
      <c r="F261" s="57" t="s">
        <v>549</v>
      </c>
      <c r="G261" s="57" t="s">
        <v>596</v>
      </c>
      <c r="H261" s="57"/>
      <c r="I261" s="57"/>
      <c r="J261" s="57"/>
      <c r="K261" s="57"/>
      <c r="L261" s="57"/>
      <c r="M261" s="57">
        <v>711.7</v>
      </c>
      <c r="N261" s="57" t="s">
        <v>599</v>
      </c>
      <c r="O261" s="57">
        <v>0.4</v>
      </c>
      <c r="P261" s="62">
        <f>RawData[[#This Row],[Value_USD_M]]*RawData[[#This Row],[Share_Est]]</f>
        <v>284.68</v>
      </c>
      <c r="Q261" s="46" t="s">
        <v>598</v>
      </c>
      <c r="R261" s="57"/>
      <c r="S261" s="58"/>
    </row>
    <row r="262" spans="2:19" x14ac:dyDescent="0.3">
      <c r="B262" s="56" t="s">
        <v>595</v>
      </c>
      <c r="C262" s="57">
        <v>2026</v>
      </c>
      <c r="D262" s="57" t="s">
        <v>546</v>
      </c>
      <c r="E262" s="57" t="s">
        <v>560</v>
      </c>
      <c r="F262" s="57" t="s">
        <v>549</v>
      </c>
      <c r="G262" s="57" t="s">
        <v>589</v>
      </c>
      <c r="H262" s="57" t="s">
        <v>590</v>
      </c>
      <c r="I262" s="57"/>
      <c r="J262" s="57"/>
      <c r="K262" s="57"/>
      <c r="L262" s="57"/>
      <c r="M262" s="57">
        <v>678</v>
      </c>
      <c r="N262" s="57" t="s">
        <v>599</v>
      </c>
      <c r="O262" s="57">
        <v>0.6</v>
      </c>
      <c r="P262" s="62">
        <f>RawData[[#This Row],[Value_USD_M]]*RawData[[#This Row],[Share_Est]]</f>
        <v>406.8</v>
      </c>
      <c r="Q262" s="46" t="s">
        <v>598</v>
      </c>
      <c r="R262" s="57"/>
      <c r="S262" s="58"/>
    </row>
    <row r="263" spans="2:19" x14ac:dyDescent="0.3">
      <c r="B263" s="56" t="s">
        <v>595</v>
      </c>
      <c r="C263" s="57">
        <v>2026</v>
      </c>
      <c r="D263" s="57" t="s">
        <v>546</v>
      </c>
      <c r="E263" s="57" t="s">
        <v>560</v>
      </c>
      <c r="F263" s="57" t="s">
        <v>549</v>
      </c>
      <c r="G263" s="57" t="s">
        <v>596</v>
      </c>
      <c r="H263" s="57"/>
      <c r="I263" s="57"/>
      <c r="J263" s="57"/>
      <c r="K263" s="57"/>
      <c r="L263" s="57"/>
      <c r="M263" s="57">
        <v>678</v>
      </c>
      <c r="N263" s="57" t="s">
        <v>599</v>
      </c>
      <c r="O263" s="57">
        <v>0.4</v>
      </c>
      <c r="P263" s="62">
        <f>RawData[[#This Row],[Value_USD_M]]*RawData[[#This Row],[Share_Est]]</f>
        <v>271.2</v>
      </c>
      <c r="Q263" s="46" t="s">
        <v>598</v>
      </c>
      <c r="R263" s="57"/>
      <c r="S263" s="58"/>
    </row>
    <row r="264" spans="2:19" x14ac:dyDescent="0.3">
      <c r="B264" s="56" t="s">
        <v>595</v>
      </c>
      <c r="C264" s="57">
        <v>2026</v>
      </c>
      <c r="D264" s="57" t="s">
        <v>546</v>
      </c>
      <c r="E264" s="57" t="s">
        <v>560</v>
      </c>
      <c r="F264" s="57" t="s">
        <v>548</v>
      </c>
      <c r="G264" s="57" t="s">
        <v>589</v>
      </c>
      <c r="H264" s="57" t="s">
        <v>590</v>
      </c>
      <c r="I264" s="57"/>
      <c r="J264" s="57"/>
      <c r="K264" s="57">
        <v>0</v>
      </c>
      <c r="L264" s="57"/>
      <c r="M264" s="57">
        <v>15</v>
      </c>
      <c r="N264" s="57" t="s">
        <v>599</v>
      </c>
      <c r="O264" s="57">
        <v>0.65</v>
      </c>
      <c r="P264" s="62">
        <f>RawData[[#This Row],[Value_USD_M]]*RawData[[#This Row],[Share_Est]]</f>
        <v>9.75</v>
      </c>
      <c r="Q264" s="46" t="s">
        <v>598</v>
      </c>
      <c r="R264" s="57"/>
      <c r="S264" s="58"/>
    </row>
    <row r="265" spans="2:19" x14ac:dyDescent="0.3">
      <c r="B265" s="56" t="s">
        <v>595</v>
      </c>
      <c r="C265" s="57">
        <v>2026</v>
      </c>
      <c r="D265" s="57" t="s">
        <v>546</v>
      </c>
      <c r="E265" s="57" t="s">
        <v>560</v>
      </c>
      <c r="F265" s="57" t="s">
        <v>548</v>
      </c>
      <c r="G265" s="57" t="s">
        <v>596</v>
      </c>
      <c r="H265" s="57"/>
      <c r="I265" s="57"/>
      <c r="J265" s="57"/>
      <c r="K265" s="57">
        <v>0</v>
      </c>
      <c r="L265" s="57"/>
      <c r="M265" s="57">
        <v>15</v>
      </c>
      <c r="N265" s="57" t="s">
        <v>599</v>
      </c>
      <c r="O265" s="57">
        <v>0.35</v>
      </c>
      <c r="P265" s="62">
        <f>RawData[[#This Row],[Value_USD_M]]*RawData[[#This Row],[Share_Est]]</f>
        <v>5.25</v>
      </c>
      <c r="Q265" s="46" t="s">
        <v>598</v>
      </c>
      <c r="R265" s="57"/>
      <c r="S265" s="58"/>
    </row>
    <row r="266" spans="2:19" x14ac:dyDescent="0.3">
      <c r="B266" s="56" t="s">
        <v>597</v>
      </c>
      <c r="C266" s="57">
        <v>2024</v>
      </c>
      <c r="D266" s="57" t="s">
        <v>546</v>
      </c>
      <c r="E266" s="57" t="s">
        <v>560</v>
      </c>
      <c r="F266" s="57" t="s">
        <v>549</v>
      </c>
      <c r="G266" s="57" t="s">
        <v>337</v>
      </c>
      <c r="H266" s="57" t="s">
        <v>580</v>
      </c>
      <c r="I266" s="57"/>
      <c r="J266" s="57"/>
      <c r="K266" s="57"/>
      <c r="L266" s="57"/>
      <c r="M266" s="57">
        <f>102+53.3</f>
        <v>155.30000000000001</v>
      </c>
      <c r="N266" s="57"/>
      <c r="O266" s="57">
        <v>0.73</v>
      </c>
      <c r="P266" s="62">
        <f>RawData[[#This Row],[Value_USD_M]]*RawData[[#This Row],[Share_Est]]</f>
        <v>113.369</v>
      </c>
      <c r="Q266" s="46" t="s">
        <v>598</v>
      </c>
      <c r="R266" s="57"/>
      <c r="S266" s="58"/>
    </row>
    <row r="267" spans="2:19" x14ac:dyDescent="0.3">
      <c r="B267" s="56" t="s">
        <v>597</v>
      </c>
      <c r="C267" s="57">
        <v>2024</v>
      </c>
      <c r="D267" s="57" t="s">
        <v>546</v>
      </c>
      <c r="E267" s="57" t="s">
        <v>560</v>
      </c>
      <c r="F267" s="57" t="s">
        <v>549</v>
      </c>
      <c r="G267" s="57" t="s">
        <v>325</v>
      </c>
      <c r="H267" s="57" t="s">
        <v>592</v>
      </c>
      <c r="I267" s="57"/>
      <c r="J267" s="57"/>
      <c r="K267" s="57"/>
      <c r="L267" s="57"/>
      <c r="M267" s="57">
        <f>102+53.3</f>
        <v>155.30000000000001</v>
      </c>
      <c r="N267" s="57"/>
      <c r="O267" s="57">
        <v>0.27</v>
      </c>
      <c r="P267" s="62">
        <f>RawData[[#This Row],[Value_USD_M]]*RawData[[#This Row],[Share_Est]]</f>
        <v>41.931000000000004</v>
      </c>
      <c r="Q267" s="46" t="s">
        <v>598</v>
      </c>
      <c r="R267" s="57"/>
      <c r="S267" s="58"/>
    </row>
    <row r="268" spans="2:19" x14ac:dyDescent="0.3">
      <c r="B268" s="56" t="s">
        <v>597</v>
      </c>
      <c r="C268" s="46">
        <v>2025</v>
      </c>
      <c r="D268" s="57" t="s">
        <v>546</v>
      </c>
      <c r="E268" s="57" t="s">
        <v>560</v>
      </c>
      <c r="F268" s="46" t="s">
        <v>549</v>
      </c>
      <c r="G268" s="57" t="s">
        <v>337</v>
      </c>
      <c r="H268" s="57" t="s">
        <v>580</v>
      </c>
      <c r="M268" s="46">
        <f>56.2+158.6</f>
        <v>214.8</v>
      </c>
      <c r="O268" s="57">
        <v>0.73</v>
      </c>
      <c r="P268" s="62">
        <f>RawData[[#This Row],[Value_USD_M]]*RawData[[#This Row],[Share_Est]]</f>
        <v>156.804</v>
      </c>
      <c r="Q268" s="46" t="s">
        <v>598</v>
      </c>
      <c r="S268" s="52"/>
    </row>
    <row r="269" spans="2:19" x14ac:dyDescent="0.3">
      <c r="B269" s="56" t="s">
        <v>597</v>
      </c>
      <c r="C269" s="46">
        <v>2025</v>
      </c>
      <c r="D269" s="57" t="s">
        <v>546</v>
      </c>
      <c r="E269" s="57" t="s">
        <v>560</v>
      </c>
      <c r="F269" s="46" t="s">
        <v>549</v>
      </c>
      <c r="G269" s="57" t="s">
        <v>325</v>
      </c>
      <c r="H269" s="57" t="s">
        <v>592</v>
      </c>
      <c r="M269" s="46">
        <f>56.2+158.6</f>
        <v>214.8</v>
      </c>
      <c r="O269" s="57">
        <v>0.27</v>
      </c>
      <c r="P269" s="62">
        <f>RawData[[#This Row],[Value_USD_M]]*RawData[[#This Row],[Share_Est]]</f>
        <v>57.996000000000009</v>
      </c>
      <c r="Q269" s="46" t="s">
        <v>598</v>
      </c>
      <c r="S269" s="52"/>
    </row>
    <row r="270" spans="2:19" x14ac:dyDescent="0.3">
      <c r="B270" s="56" t="s">
        <v>597</v>
      </c>
      <c r="C270" s="46">
        <v>2026</v>
      </c>
      <c r="D270" s="57" t="s">
        <v>546</v>
      </c>
      <c r="E270" s="57" t="s">
        <v>560</v>
      </c>
      <c r="F270" s="46" t="s">
        <v>549</v>
      </c>
      <c r="G270" s="57" t="s">
        <v>337</v>
      </c>
      <c r="H270" s="57" t="s">
        <v>580</v>
      </c>
      <c r="M270" s="46">
        <f>80.4+233</f>
        <v>313.39999999999998</v>
      </c>
      <c r="O270" s="57">
        <v>0.73</v>
      </c>
      <c r="P270" s="62">
        <f>RawData[[#This Row],[Value_USD_M]]*RawData[[#This Row],[Share_Est]]</f>
        <v>228.78199999999998</v>
      </c>
      <c r="Q270" s="46" t="s">
        <v>598</v>
      </c>
      <c r="S270" s="52"/>
    </row>
    <row r="271" spans="2:19" x14ac:dyDescent="0.3">
      <c r="B271" s="56" t="s">
        <v>597</v>
      </c>
      <c r="C271" s="46">
        <v>2026</v>
      </c>
      <c r="D271" s="57" t="s">
        <v>546</v>
      </c>
      <c r="E271" s="57" t="s">
        <v>560</v>
      </c>
      <c r="F271" s="46" t="s">
        <v>549</v>
      </c>
      <c r="G271" s="57" t="s">
        <v>325</v>
      </c>
      <c r="H271" s="57" t="s">
        <v>592</v>
      </c>
      <c r="M271" s="46">
        <f>80.4+233</f>
        <v>313.39999999999998</v>
      </c>
      <c r="O271" s="57">
        <v>0.27</v>
      </c>
      <c r="P271" s="62">
        <f>RawData[[#This Row],[Value_USD_M]]*RawData[[#This Row],[Share_Est]]</f>
        <v>84.617999999999995</v>
      </c>
      <c r="Q271" s="46" t="s">
        <v>598</v>
      </c>
      <c r="S271" s="52"/>
    </row>
    <row r="272" spans="2:19" x14ac:dyDescent="0.3">
      <c r="B272" s="56" t="s">
        <v>597</v>
      </c>
      <c r="C272" s="46">
        <v>2024</v>
      </c>
      <c r="D272" s="57" t="s">
        <v>546</v>
      </c>
      <c r="E272" s="57" t="s">
        <v>560</v>
      </c>
      <c r="F272" s="46" t="s">
        <v>548</v>
      </c>
      <c r="G272" s="57" t="s">
        <v>337</v>
      </c>
      <c r="H272" s="57" t="s">
        <v>580</v>
      </c>
      <c r="M272" s="46">
        <f>2775.5+276</f>
        <v>3051.5</v>
      </c>
      <c r="O272" s="46">
        <v>0.69</v>
      </c>
      <c r="P272" s="62">
        <f>RawData[[#This Row],[Value_USD_M]]*RawData[[#This Row],[Share_Est]]</f>
        <v>2105.5349999999999</v>
      </c>
      <c r="Q272" s="46" t="s">
        <v>598</v>
      </c>
      <c r="S272" s="52"/>
    </row>
    <row r="273" spans="2:19" x14ac:dyDescent="0.3">
      <c r="B273" s="56" t="s">
        <v>597</v>
      </c>
      <c r="C273" s="46">
        <v>2024</v>
      </c>
      <c r="D273" s="57" t="s">
        <v>546</v>
      </c>
      <c r="E273" s="57" t="s">
        <v>560</v>
      </c>
      <c r="F273" s="46" t="s">
        <v>548</v>
      </c>
      <c r="G273" s="57" t="s">
        <v>325</v>
      </c>
      <c r="H273" s="57" t="s">
        <v>592</v>
      </c>
      <c r="M273" s="46">
        <f>2775.5+276</f>
        <v>3051.5</v>
      </c>
      <c r="O273" s="46">
        <v>0.31</v>
      </c>
      <c r="P273" s="62">
        <f>RawData[[#This Row],[Value_USD_M]]*RawData[[#This Row],[Share_Est]]</f>
        <v>945.96500000000003</v>
      </c>
      <c r="Q273" s="46" t="s">
        <v>598</v>
      </c>
      <c r="S273" s="52"/>
    </row>
    <row r="274" spans="2:19" x14ac:dyDescent="0.3">
      <c r="B274" s="56" t="s">
        <v>597</v>
      </c>
      <c r="C274" s="46">
        <v>2025</v>
      </c>
      <c r="D274" s="57" t="s">
        <v>546</v>
      </c>
      <c r="E274" s="57" t="s">
        <v>560</v>
      </c>
      <c r="F274" s="46" t="s">
        <v>548</v>
      </c>
      <c r="G274" s="57" t="s">
        <v>337</v>
      </c>
      <c r="H274" s="57" t="s">
        <v>580</v>
      </c>
      <c r="M274" s="46">
        <f>1848.6+306.8</f>
        <v>2155.4</v>
      </c>
      <c r="O274" s="46">
        <v>0.69</v>
      </c>
      <c r="P274" s="62">
        <f>RawData[[#This Row],[Value_USD_M]]*RawData[[#This Row],[Share_Est]]</f>
        <v>1487.2259999999999</v>
      </c>
      <c r="Q274" s="46" t="s">
        <v>598</v>
      </c>
      <c r="S274" s="52"/>
    </row>
    <row r="275" spans="2:19" x14ac:dyDescent="0.3">
      <c r="B275" s="56" t="s">
        <v>597</v>
      </c>
      <c r="C275" s="46">
        <v>2025</v>
      </c>
      <c r="D275" s="57" t="s">
        <v>546</v>
      </c>
      <c r="E275" s="57" t="s">
        <v>560</v>
      </c>
      <c r="F275" s="46" t="s">
        <v>548</v>
      </c>
      <c r="G275" s="57" t="s">
        <v>325</v>
      </c>
      <c r="H275" s="57" t="s">
        <v>592</v>
      </c>
      <c r="M275" s="46">
        <f>1848.6+306.8</f>
        <v>2155.4</v>
      </c>
      <c r="O275" s="46">
        <v>0.31</v>
      </c>
      <c r="P275" s="62">
        <f>RawData[[#This Row],[Value_USD_M]]*RawData[[#This Row],[Share_Est]]</f>
        <v>668.17399999999998</v>
      </c>
      <c r="Q275" s="46" t="s">
        <v>598</v>
      </c>
      <c r="S275" s="52"/>
    </row>
    <row r="276" spans="2:19" x14ac:dyDescent="0.3">
      <c r="B276" s="56" t="s">
        <v>597</v>
      </c>
      <c r="C276" s="46">
        <v>2026</v>
      </c>
      <c r="D276" s="57" t="s">
        <v>546</v>
      </c>
      <c r="E276" s="57" t="s">
        <v>560</v>
      </c>
      <c r="F276" s="46" t="s">
        <v>548</v>
      </c>
      <c r="G276" s="57" t="s">
        <v>337</v>
      </c>
      <c r="H276" s="57" t="s">
        <v>580</v>
      </c>
      <c r="M276" s="46">
        <f>3018.2+468.5</f>
        <v>3486.7</v>
      </c>
      <c r="O276" s="46">
        <v>0.69</v>
      </c>
      <c r="P276" s="62">
        <f>RawData[[#This Row],[Value_USD_M]]*RawData[[#This Row],[Share_Est]]</f>
        <v>2405.8229999999999</v>
      </c>
      <c r="Q276" s="46" t="s">
        <v>598</v>
      </c>
      <c r="S276" s="52"/>
    </row>
    <row r="277" spans="2:19" x14ac:dyDescent="0.3">
      <c r="B277" s="56" t="s">
        <v>597</v>
      </c>
      <c r="C277" s="46">
        <v>2026</v>
      </c>
      <c r="D277" s="57" t="s">
        <v>546</v>
      </c>
      <c r="E277" s="57" t="s">
        <v>560</v>
      </c>
      <c r="F277" s="46" t="s">
        <v>548</v>
      </c>
      <c r="G277" s="57" t="s">
        <v>325</v>
      </c>
      <c r="H277" s="57" t="s">
        <v>592</v>
      </c>
      <c r="M277" s="46">
        <f>3018.2+468.5</f>
        <v>3486.7</v>
      </c>
      <c r="O277" s="46">
        <v>0.31</v>
      </c>
      <c r="P277" s="61">
        <f>RawData[[#This Row],[Value_USD_M]]*RawData[[#This Row],[Share_Est]]</f>
        <v>1080.877</v>
      </c>
      <c r="Q277" s="46" t="s">
        <v>598</v>
      </c>
      <c r="S277" s="52"/>
    </row>
    <row r="278" spans="2:19" x14ac:dyDescent="0.3">
      <c r="B278" s="56" t="s">
        <v>600</v>
      </c>
      <c r="C278" s="57">
        <v>2024</v>
      </c>
      <c r="D278" s="57" t="s">
        <v>546</v>
      </c>
      <c r="E278" s="57" t="s">
        <v>560</v>
      </c>
      <c r="F278" s="57" t="s">
        <v>549</v>
      </c>
      <c r="G278" s="57" t="s">
        <v>326</v>
      </c>
      <c r="H278" s="57" t="s">
        <v>553</v>
      </c>
      <c r="I278" s="57"/>
      <c r="J278" s="57"/>
      <c r="K278" s="57"/>
      <c r="L278" s="57"/>
      <c r="M278" s="57">
        <v>640.1</v>
      </c>
      <c r="N278" s="57"/>
      <c r="O278" s="57">
        <v>0.7</v>
      </c>
      <c r="P278" s="62">
        <f>RawData[[#This Row],[Value_USD_M]]*RawData[[#This Row],[Share_Est]]</f>
        <v>448.07</v>
      </c>
      <c r="Q278" s="46" t="s">
        <v>598</v>
      </c>
      <c r="R278" s="57"/>
      <c r="S278" s="58"/>
    </row>
    <row r="279" spans="2:19" x14ac:dyDescent="0.3">
      <c r="B279" s="56" t="s">
        <v>600</v>
      </c>
      <c r="C279" s="57">
        <v>2024</v>
      </c>
      <c r="D279" s="57" t="s">
        <v>546</v>
      </c>
      <c r="E279" s="57" t="s">
        <v>560</v>
      </c>
      <c r="F279" s="57" t="s">
        <v>549</v>
      </c>
      <c r="G279" s="57" t="s">
        <v>325</v>
      </c>
      <c r="H279" s="57" t="s">
        <v>563</v>
      </c>
      <c r="I279" s="57"/>
      <c r="J279" s="57"/>
      <c r="K279" s="57"/>
      <c r="L279" s="57"/>
      <c r="M279" s="57">
        <v>640.1</v>
      </c>
      <c r="N279" s="57"/>
      <c r="O279" s="57">
        <v>0.3</v>
      </c>
      <c r="P279" s="62">
        <f>RawData[[#This Row],[Value_USD_M]]*RawData[[#This Row],[Share_Est]]</f>
        <v>192.03</v>
      </c>
      <c r="Q279" s="46" t="s">
        <v>598</v>
      </c>
      <c r="R279" s="57"/>
      <c r="S279" s="58"/>
    </row>
    <row r="280" spans="2:19" x14ac:dyDescent="0.3">
      <c r="B280" s="56" t="s">
        <v>600</v>
      </c>
      <c r="C280" s="57">
        <v>2025</v>
      </c>
      <c r="D280" s="57" t="s">
        <v>546</v>
      </c>
      <c r="E280" s="57" t="s">
        <v>560</v>
      </c>
      <c r="F280" s="57" t="s">
        <v>549</v>
      </c>
      <c r="G280" s="57" t="s">
        <v>326</v>
      </c>
      <c r="H280" s="57" t="s">
        <v>553</v>
      </c>
      <c r="I280" s="57"/>
      <c r="J280" s="57"/>
      <c r="K280" s="57"/>
      <c r="L280" s="57"/>
      <c r="M280" s="57">
        <v>758.8</v>
      </c>
      <c r="N280" s="57"/>
      <c r="O280" s="57">
        <v>0.7</v>
      </c>
      <c r="P280" s="62">
        <f>RawData[[#This Row],[Value_USD_M]]*RawData[[#This Row],[Share_Est]]</f>
        <v>531.16</v>
      </c>
      <c r="Q280" s="46" t="s">
        <v>598</v>
      </c>
      <c r="R280" s="57"/>
      <c r="S280" s="58"/>
    </row>
    <row r="281" spans="2:19" x14ac:dyDescent="0.3">
      <c r="B281" s="56" t="s">
        <v>600</v>
      </c>
      <c r="C281" s="57">
        <v>2025</v>
      </c>
      <c r="D281" s="57" t="s">
        <v>546</v>
      </c>
      <c r="E281" s="57" t="s">
        <v>560</v>
      </c>
      <c r="F281" s="57" t="s">
        <v>549</v>
      </c>
      <c r="G281" s="57" t="s">
        <v>325</v>
      </c>
      <c r="H281" s="57" t="s">
        <v>563</v>
      </c>
      <c r="I281" s="57"/>
      <c r="J281" s="57"/>
      <c r="K281" s="57"/>
      <c r="L281" s="57"/>
      <c r="M281" s="57">
        <v>758.8</v>
      </c>
      <c r="N281" s="57"/>
      <c r="O281" s="57">
        <v>0.3</v>
      </c>
      <c r="P281" s="62">
        <f>RawData[[#This Row],[Value_USD_M]]*RawData[[#This Row],[Share_Est]]</f>
        <v>227.64</v>
      </c>
      <c r="Q281" s="46" t="s">
        <v>598</v>
      </c>
      <c r="R281" s="57"/>
      <c r="S281" s="58"/>
    </row>
    <row r="282" spans="2:19" x14ac:dyDescent="0.3">
      <c r="B282" s="56" t="s">
        <v>600</v>
      </c>
      <c r="C282" s="57">
        <v>2026</v>
      </c>
      <c r="D282" s="57" t="s">
        <v>546</v>
      </c>
      <c r="E282" s="57" t="s">
        <v>560</v>
      </c>
      <c r="F282" s="57" t="s">
        <v>549</v>
      </c>
      <c r="G282" s="57" t="s">
        <v>326</v>
      </c>
      <c r="H282" s="57" t="s">
        <v>553</v>
      </c>
      <c r="I282" s="57"/>
      <c r="J282" s="57"/>
      <c r="K282" s="57"/>
      <c r="L282" s="57"/>
      <c r="M282" s="57">
        <v>852.3</v>
      </c>
      <c r="N282" s="57"/>
      <c r="O282" s="57">
        <v>0.7</v>
      </c>
      <c r="P282" s="62">
        <f>RawData[[#This Row],[Value_USD_M]]*RawData[[#This Row],[Share_Est]]</f>
        <v>596.6099999999999</v>
      </c>
      <c r="Q282" s="46" t="s">
        <v>598</v>
      </c>
      <c r="R282" s="57"/>
      <c r="S282" s="58"/>
    </row>
    <row r="283" spans="2:19" x14ac:dyDescent="0.3">
      <c r="B283" s="56" t="s">
        <v>600</v>
      </c>
      <c r="C283" s="57">
        <v>2026</v>
      </c>
      <c r="D283" s="57" t="s">
        <v>546</v>
      </c>
      <c r="E283" s="57" t="s">
        <v>560</v>
      </c>
      <c r="F283" s="57" t="s">
        <v>549</v>
      </c>
      <c r="G283" s="57" t="s">
        <v>325</v>
      </c>
      <c r="H283" s="57" t="s">
        <v>563</v>
      </c>
      <c r="I283" s="57"/>
      <c r="J283" s="57"/>
      <c r="K283" s="57"/>
      <c r="L283" s="57"/>
      <c r="M283" s="57">
        <v>852.3</v>
      </c>
      <c r="N283" s="57"/>
      <c r="O283" s="57">
        <v>0.3</v>
      </c>
      <c r="P283" s="62">
        <f>RawData[[#This Row],[Value_USD_M]]*RawData[[#This Row],[Share_Est]]</f>
        <v>255.68999999999997</v>
      </c>
      <c r="Q283" s="46" t="s">
        <v>598</v>
      </c>
      <c r="R283" s="57"/>
      <c r="S283" s="58"/>
    </row>
    <row r="284" spans="2:19" x14ac:dyDescent="0.3">
      <c r="B284" s="56" t="s">
        <v>600</v>
      </c>
      <c r="C284" s="57">
        <v>2024</v>
      </c>
      <c r="D284" s="57" t="s">
        <v>546</v>
      </c>
      <c r="E284" s="57" t="s">
        <v>560</v>
      </c>
      <c r="F284" s="57" t="s">
        <v>548</v>
      </c>
      <c r="G284" s="57" t="s">
        <v>326</v>
      </c>
      <c r="H284" s="57" t="s">
        <v>553</v>
      </c>
      <c r="I284" s="57"/>
      <c r="J284" s="57"/>
      <c r="K284" s="57">
        <v>0</v>
      </c>
      <c r="L284" s="57"/>
      <c r="M284" s="57">
        <v>414.1</v>
      </c>
      <c r="N284" s="57"/>
      <c r="O284" s="57">
        <v>0.65</v>
      </c>
      <c r="P284" s="62">
        <f>RawData[[#This Row],[Value_USD_M]]*RawData[[#This Row],[Share_Est]]</f>
        <v>269.16500000000002</v>
      </c>
      <c r="Q284" s="46" t="s">
        <v>598</v>
      </c>
      <c r="R284" s="57"/>
      <c r="S284" s="58"/>
    </row>
    <row r="285" spans="2:19" x14ac:dyDescent="0.3">
      <c r="B285" s="56" t="s">
        <v>600</v>
      </c>
      <c r="C285" s="57">
        <v>2024</v>
      </c>
      <c r="D285" s="57" t="s">
        <v>546</v>
      </c>
      <c r="E285" s="57" t="s">
        <v>560</v>
      </c>
      <c r="F285" s="57" t="s">
        <v>548</v>
      </c>
      <c r="G285" s="57" t="s">
        <v>325</v>
      </c>
      <c r="H285" s="57" t="s">
        <v>563</v>
      </c>
      <c r="I285" s="57"/>
      <c r="J285" s="57"/>
      <c r="K285" s="57">
        <v>0</v>
      </c>
      <c r="L285" s="57"/>
      <c r="M285" s="57">
        <v>414.1</v>
      </c>
      <c r="N285" s="57"/>
      <c r="O285" s="57">
        <v>0.35</v>
      </c>
      <c r="P285" s="62">
        <f>RawData[[#This Row],[Value_USD_M]]*RawData[[#This Row],[Share_Est]]</f>
        <v>144.935</v>
      </c>
      <c r="Q285" s="46" t="s">
        <v>598</v>
      </c>
      <c r="R285" s="57"/>
      <c r="S285" s="58"/>
    </row>
    <row r="286" spans="2:19" x14ac:dyDescent="0.3">
      <c r="B286" s="56" t="s">
        <v>600</v>
      </c>
      <c r="C286" s="57">
        <v>2025</v>
      </c>
      <c r="D286" s="57" t="s">
        <v>546</v>
      </c>
      <c r="E286" s="57" t="s">
        <v>560</v>
      </c>
      <c r="F286" s="57" t="s">
        <v>548</v>
      </c>
      <c r="G286" s="57" t="s">
        <v>326</v>
      </c>
      <c r="H286" s="57" t="s">
        <v>553</v>
      </c>
      <c r="I286" s="57"/>
      <c r="J286" s="57"/>
      <c r="K286" s="57">
        <v>0</v>
      </c>
      <c r="L286" s="57"/>
      <c r="M286" s="57">
        <v>891.6</v>
      </c>
      <c r="N286" s="57"/>
      <c r="O286" s="57">
        <v>0.65</v>
      </c>
      <c r="P286" s="62">
        <f>RawData[[#This Row],[Value_USD_M]]*RawData[[#This Row],[Share_Est]]</f>
        <v>579.54000000000008</v>
      </c>
      <c r="Q286" s="46" t="s">
        <v>598</v>
      </c>
      <c r="R286" s="57"/>
      <c r="S286" s="58"/>
    </row>
    <row r="287" spans="2:19" x14ac:dyDescent="0.3">
      <c r="B287" s="56" t="s">
        <v>600</v>
      </c>
      <c r="C287" s="57">
        <v>2025</v>
      </c>
      <c r="D287" s="57" t="s">
        <v>546</v>
      </c>
      <c r="E287" s="57" t="s">
        <v>560</v>
      </c>
      <c r="F287" s="57" t="s">
        <v>548</v>
      </c>
      <c r="G287" s="57" t="s">
        <v>325</v>
      </c>
      <c r="H287" s="57" t="s">
        <v>563</v>
      </c>
      <c r="I287" s="57"/>
      <c r="J287" s="57"/>
      <c r="K287" s="57">
        <v>0</v>
      </c>
      <c r="L287" s="57"/>
      <c r="M287" s="57">
        <v>891.6</v>
      </c>
      <c r="N287" s="57"/>
      <c r="O287" s="57">
        <v>0.35</v>
      </c>
      <c r="P287" s="62">
        <f>RawData[[#This Row],[Value_USD_M]]*RawData[[#This Row],[Share_Est]]</f>
        <v>312.06</v>
      </c>
      <c r="Q287" s="46" t="s">
        <v>598</v>
      </c>
      <c r="R287" s="57"/>
      <c r="S287" s="58"/>
    </row>
    <row r="288" spans="2:19" x14ac:dyDescent="0.3">
      <c r="B288" s="56" t="s">
        <v>600</v>
      </c>
      <c r="C288" s="57">
        <v>2026</v>
      </c>
      <c r="D288" s="57" t="s">
        <v>546</v>
      </c>
      <c r="E288" s="57" t="s">
        <v>560</v>
      </c>
      <c r="F288" s="57" t="s">
        <v>548</v>
      </c>
      <c r="G288" s="57" t="s">
        <v>326</v>
      </c>
      <c r="H288" s="57" t="s">
        <v>553</v>
      </c>
      <c r="I288" s="57"/>
      <c r="J288" s="57"/>
      <c r="K288" s="57">
        <v>0</v>
      </c>
      <c r="L288" s="57"/>
      <c r="M288" s="57">
        <v>1161.8</v>
      </c>
      <c r="N288" s="57"/>
      <c r="O288" s="57">
        <v>0.65</v>
      </c>
      <c r="P288" s="62">
        <f>RawData[[#This Row],[Value_USD_M]]*RawData[[#This Row],[Share_Est]]</f>
        <v>755.17</v>
      </c>
      <c r="Q288" s="46" t="s">
        <v>598</v>
      </c>
      <c r="R288" s="57"/>
      <c r="S288" s="58"/>
    </row>
    <row r="289" spans="2:19" x14ac:dyDescent="0.3">
      <c r="B289" s="56" t="s">
        <v>600</v>
      </c>
      <c r="C289" s="46">
        <v>2026</v>
      </c>
      <c r="D289" s="57" t="s">
        <v>546</v>
      </c>
      <c r="E289" s="57" t="s">
        <v>560</v>
      </c>
      <c r="F289" s="57" t="s">
        <v>548</v>
      </c>
      <c r="G289" s="57" t="s">
        <v>325</v>
      </c>
      <c r="H289" s="57" t="s">
        <v>563</v>
      </c>
      <c r="K289" s="57">
        <v>0</v>
      </c>
      <c r="L289" s="57"/>
      <c r="M289" s="57">
        <v>1161.8</v>
      </c>
      <c r="O289" s="57">
        <v>0.35</v>
      </c>
      <c r="P289" s="61">
        <f>RawData[[#This Row],[Value_USD_M]]*RawData[[#This Row],[Share_Est]]</f>
        <v>406.62999999999994</v>
      </c>
      <c r="Q289" s="46" t="s">
        <v>598</v>
      </c>
      <c r="S289" s="52"/>
    </row>
    <row r="290" spans="2:19" x14ac:dyDescent="0.3">
      <c r="B290" s="56" t="s">
        <v>601</v>
      </c>
      <c r="C290" s="57">
        <v>2024</v>
      </c>
      <c r="D290" s="57" t="s">
        <v>546</v>
      </c>
      <c r="E290" s="57" t="s">
        <v>560</v>
      </c>
      <c r="F290" s="57" t="s">
        <v>549</v>
      </c>
      <c r="G290" s="57" t="s">
        <v>337</v>
      </c>
      <c r="H290" s="57" t="s">
        <v>580</v>
      </c>
      <c r="I290" s="57"/>
      <c r="J290" s="57"/>
      <c r="K290" s="57"/>
      <c r="L290" s="57"/>
      <c r="M290" s="57">
        <v>78.7</v>
      </c>
      <c r="N290" s="57"/>
      <c r="O290" s="57">
        <v>0.9</v>
      </c>
      <c r="P290" s="62">
        <f>RawData[[#This Row],[Value_USD_M]]*RawData[[#This Row],[Share_Est]]</f>
        <v>70.83</v>
      </c>
      <c r="Q290" s="57"/>
      <c r="R290" s="57"/>
      <c r="S290" s="58"/>
    </row>
    <row r="291" spans="2:19" x14ac:dyDescent="0.3">
      <c r="B291" s="56" t="s">
        <v>601</v>
      </c>
      <c r="C291" s="57">
        <v>2024</v>
      </c>
      <c r="D291" s="57" t="s">
        <v>546</v>
      </c>
      <c r="E291" s="57" t="s">
        <v>560</v>
      </c>
      <c r="F291" s="57" t="s">
        <v>549</v>
      </c>
      <c r="G291" s="57" t="s">
        <v>325</v>
      </c>
      <c r="H291" s="57" t="s">
        <v>592</v>
      </c>
      <c r="I291" s="57"/>
      <c r="J291" s="57"/>
      <c r="K291" s="57"/>
      <c r="L291" s="57"/>
      <c r="M291" s="57">
        <v>78.7</v>
      </c>
      <c r="N291" s="57"/>
      <c r="O291" s="57">
        <v>0.1</v>
      </c>
      <c r="P291" s="62">
        <f>RawData[[#This Row],[Value_USD_M]]*RawData[[#This Row],[Share_Est]]</f>
        <v>7.870000000000001</v>
      </c>
      <c r="Q291" s="57"/>
      <c r="R291" s="57"/>
      <c r="S291" s="58"/>
    </row>
    <row r="292" spans="2:19" x14ac:dyDescent="0.3">
      <c r="B292" s="56" t="s">
        <v>601</v>
      </c>
      <c r="C292" s="57">
        <v>2025</v>
      </c>
      <c r="D292" s="57" t="s">
        <v>546</v>
      </c>
      <c r="E292" s="57" t="s">
        <v>560</v>
      </c>
      <c r="F292" s="57" t="s">
        <v>549</v>
      </c>
      <c r="G292" s="57" t="s">
        <v>337</v>
      </c>
      <c r="H292" s="57" t="s">
        <v>580</v>
      </c>
      <c r="I292" s="57"/>
      <c r="J292" s="57"/>
      <c r="K292" s="57"/>
      <c r="L292" s="57"/>
      <c r="M292" s="57">
        <v>77.8</v>
      </c>
      <c r="N292" s="57"/>
      <c r="O292" s="57">
        <v>0.9</v>
      </c>
      <c r="P292" s="62">
        <f>RawData[[#This Row],[Value_USD_M]]*RawData[[#This Row],[Share_Est]]</f>
        <v>70.02</v>
      </c>
      <c r="Q292" s="57"/>
      <c r="R292" s="57"/>
      <c r="S292" s="58"/>
    </row>
    <row r="293" spans="2:19" x14ac:dyDescent="0.3">
      <c r="B293" s="56" t="s">
        <v>601</v>
      </c>
      <c r="C293" s="57">
        <v>2025</v>
      </c>
      <c r="D293" s="57" t="s">
        <v>546</v>
      </c>
      <c r="E293" s="57" t="s">
        <v>560</v>
      </c>
      <c r="F293" s="57" t="s">
        <v>549</v>
      </c>
      <c r="G293" s="57" t="s">
        <v>325</v>
      </c>
      <c r="H293" s="57" t="s">
        <v>592</v>
      </c>
      <c r="L293" s="57"/>
      <c r="M293" s="57">
        <v>77.8</v>
      </c>
      <c r="O293" s="57">
        <v>0.1</v>
      </c>
      <c r="P293" s="61">
        <f>RawData[[#This Row],[Value_USD_M]]*RawData[[#This Row],[Share_Est]]</f>
        <v>7.78</v>
      </c>
      <c r="S293" s="52"/>
    </row>
    <row r="294" spans="2:19" x14ac:dyDescent="0.3">
      <c r="B294" s="56" t="s">
        <v>601</v>
      </c>
      <c r="C294" s="46">
        <v>2026</v>
      </c>
      <c r="D294" s="57" t="s">
        <v>546</v>
      </c>
      <c r="E294" s="57" t="s">
        <v>560</v>
      </c>
      <c r="F294" s="57" t="s">
        <v>549</v>
      </c>
      <c r="G294" s="46" t="s">
        <v>337</v>
      </c>
      <c r="H294" s="46" t="s">
        <v>580</v>
      </c>
      <c r="M294" s="46">
        <v>121.6</v>
      </c>
      <c r="O294" s="57">
        <v>0.9</v>
      </c>
      <c r="P294" s="61">
        <f>RawData[[#This Row],[Value_USD_M]]*RawData[[#This Row],[Share_Est]]</f>
        <v>109.44</v>
      </c>
      <c r="S294" s="52"/>
    </row>
    <row r="295" spans="2:19" x14ac:dyDescent="0.3">
      <c r="B295" s="56" t="s">
        <v>601</v>
      </c>
      <c r="C295" s="46">
        <v>2026</v>
      </c>
      <c r="D295" s="57" t="s">
        <v>546</v>
      </c>
      <c r="E295" s="57" t="s">
        <v>560</v>
      </c>
      <c r="F295" s="57" t="s">
        <v>549</v>
      </c>
      <c r="G295" s="57" t="s">
        <v>325</v>
      </c>
      <c r="H295" s="57" t="s">
        <v>592</v>
      </c>
      <c r="I295" s="57"/>
      <c r="J295" s="57"/>
      <c r="K295" s="57"/>
      <c r="L295" s="57"/>
      <c r="M295" s="46">
        <v>121.6</v>
      </c>
      <c r="N295" s="57"/>
      <c r="O295" s="57">
        <v>0.1</v>
      </c>
      <c r="P295" s="62">
        <f>RawData[[#This Row],[Value_USD_M]]*RawData[[#This Row],[Share_Est]]</f>
        <v>12.16</v>
      </c>
      <c r="Q295" s="57"/>
      <c r="R295" s="57"/>
      <c r="S295" s="58"/>
    </row>
    <row r="296" spans="2:19" x14ac:dyDescent="0.3">
      <c r="B296" s="56" t="s">
        <v>601</v>
      </c>
      <c r="C296" s="57">
        <v>2024</v>
      </c>
      <c r="D296" s="57" t="s">
        <v>546</v>
      </c>
      <c r="E296" s="57" t="s">
        <v>560</v>
      </c>
      <c r="F296" s="57" t="s">
        <v>548</v>
      </c>
      <c r="G296" s="57" t="s">
        <v>337</v>
      </c>
      <c r="H296" s="57" t="s">
        <v>580</v>
      </c>
      <c r="I296" s="57"/>
      <c r="J296" s="57"/>
      <c r="K296" s="57">
        <v>15</v>
      </c>
      <c r="L296" s="57"/>
      <c r="M296" s="57">
        <v>2943</v>
      </c>
      <c r="N296" s="57"/>
      <c r="O296" s="57">
        <v>0.85</v>
      </c>
      <c r="P296" s="62">
        <f>RawData[[#This Row],[Value_USD_M]]*RawData[[#This Row],[Share_Est]]</f>
        <v>2501.5499999999997</v>
      </c>
      <c r="Q296" s="57"/>
      <c r="R296" s="57"/>
      <c r="S296" s="58"/>
    </row>
    <row r="297" spans="2:19" x14ac:dyDescent="0.3">
      <c r="B297" s="56" t="s">
        <v>601</v>
      </c>
      <c r="C297" s="57">
        <v>2024</v>
      </c>
      <c r="D297" s="57" t="s">
        <v>546</v>
      </c>
      <c r="E297" s="57" t="s">
        <v>560</v>
      </c>
      <c r="F297" s="57" t="s">
        <v>548</v>
      </c>
      <c r="G297" s="57" t="s">
        <v>325</v>
      </c>
      <c r="H297" s="57" t="s">
        <v>592</v>
      </c>
      <c r="I297" s="57"/>
      <c r="J297" s="57"/>
      <c r="K297" s="57">
        <v>15</v>
      </c>
      <c r="L297" s="57"/>
      <c r="M297" s="57">
        <v>2943</v>
      </c>
      <c r="N297" s="57"/>
      <c r="O297" s="57">
        <v>0.15</v>
      </c>
      <c r="P297" s="62">
        <f>RawData[[#This Row],[Value_USD_M]]*RawData[[#This Row],[Share_Est]]</f>
        <v>441.45</v>
      </c>
      <c r="Q297" s="57"/>
      <c r="R297" s="57"/>
      <c r="S297" s="58"/>
    </row>
    <row r="298" spans="2:19" x14ac:dyDescent="0.3">
      <c r="B298" s="56" t="s">
        <v>601</v>
      </c>
      <c r="C298" s="57">
        <v>2025</v>
      </c>
      <c r="D298" s="57" t="s">
        <v>546</v>
      </c>
      <c r="E298" s="57" t="s">
        <v>560</v>
      </c>
      <c r="F298" s="57" t="s">
        <v>548</v>
      </c>
      <c r="G298" s="57" t="s">
        <v>337</v>
      </c>
      <c r="H298" s="57" t="s">
        <v>580</v>
      </c>
      <c r="I298" s="57"/>
      <c r="J298" s="57"/>
      <c r="K298" s="57">
        <v>15</v>
      </c>
      <c r="L298" s="57"/>
      <c r="M298" s="57">
        <v>2986.4</v>
      </c>
      <c r="N298" s="57"/>
      <c r="O298" s="57">
        <v>0.85</v>
      </c>
      <c r="P298" s="62">
        <f>RawData[[#This Row],[Value_USD_M]]*RawData[[#This Row],[Share_Est]]</f>
        <v>2538.44</v>
      </c>
      <c r="Q298" s="57"/>
      <c r="R298" s="57"/>
      <c r="S298" s="58"/>
    </row>
    <row r="299" spans="2:19" x14ac:dyDescent="0.3">
      <c r="B299" s="56" t="s">
        <v>601</v>
      </c>
      <c r="C299" s="57">
        <v>2025</v>
      </c>
      <c r="D299" s="57" t="s">
        <v>546</v>
      </c>
      <c r="E299" s="57" t="s">
        <v>560</v>
      </c>
      <c r="F299" s="57" t="s">
        <v>548</v>
      </c>
      <c r="G299" s="57" t="s">
        <v>325</v>
      </c>
      <c r="H299" s="57" t="s">
        <v>592</v>
      </c>
      <c r="I299" s="57"/>
      <c r="J299" s="57"/>
      <c r="K299" s="57">
        <v>15</v>
      </c>
      <c r="L299" s="57"/>
      <c r="M299" s="57">
        <v>2986.4</v>
      </c>
      <c r="N299" s="57"/>
      <c r="O299" s="57">
        <v>0.15</v>
      </c>
      <c r="P299" s="62">
        <f>RawData[[#This Row],[Value_USD_M]]*RawData[[#This Row],[Share_Est]]</f>
        <v>447.96</v>
      </c>
      <c r="Q299" s="57"/>
      <c r="R299" s="57"/>
      <c r="S299" s="58"/>
    </row>
    <row r="300" spans="2:19" x14ac:dyDescent="0.3">
      <c r="B300" s="56" t="s">
        <v>601</v>
      </c>
      <c r="C300" s="57">
        <v>2026</v>
      </c>
      <c r="D300" s="57" t="s">
        <v>546</v>
      </c>
      <c r="E300" s="57" t="s">
        <v>560</v>
      </c>
      <c r="F300" s="57" t="s">
        <v>548</v>
      </c>
      <c r="G300" s="46" t="s">
        <v>337</v>
      </c>
      <c r="H300" s="46" t="s">
        <v>580</v>
      </c>
      <c r="I300" s="57"/>
      <c r="J300" s="57"/>
      <c r="K300" s="57">
        <v>15</v>
      </c>
      <c r="L300" s="57"/>
      <c r="M300" s="57">
        <v>3143.1</v>
      </c>
      <c r="N300" s="57"/>
      <c r="O300" s="57">
        <v>0.85</v>
      </c>
      <c r="P300" s="62">
        <f>RawData[[#This Row],[Value_USD_M]]*RawData[[#This Row],[Share_Est]]</f>
        <v>2671.6349999999998</v>
      </c>
      <c r="Q300" s="57"/>
      <c r="R300" s="57"/>
      <c r="S300" s="58"/>
    </row>
    <row r="301" spans="2:19" x14ac:dyDescent="0.3">
      <c r="B301" s="56" t="s">
        <v>601</v>
      </c>
      <c r="C301" s="57">
        <v>2026</v>
      </c>
      <c r="D301" s="57" t="s">
        <v>546</v>
      </c>
      <c r="E301" s="57" t="s">
        <v>560</v>
      </c>
      <c r="F301" s="57" t="s">
        <v>548</v>
      </c>
      <c r="G301" s="57" t="s">
        <v>325</v>
      </c>
      <c r="H301" s="57" t="s">
        <v>592</v>
      </c>
      <c r="I301" s="57"/>
      <c r="J301" s="57"/>
      <c r="K301" s="57">
        <v>15</v>
      </c>
      <c r="L301" s="57"/>
      <c r="M301" s="57">
        <v>3143.1</v>
      </c>
      <c r="N301" s="57"/>
      <c r="O301" s="57">
        <v>0.15</v>
      </c>
      <c r="P301" s="62">
        <f>RawData[[#This Row],[Value_USD_M]]*RawData[[#This Row],[Share_Est]]</f>
        <v>471.46499999999997</v>
      </c>
      <c r="Q301" s="57"/>
      <c r="R301" s="57"/>
      <c r="S301" s="58"/>
    </row>
    <row r="302" spans="2:19" x14ac:dyDescent="0.3">
      <c r="B302" s="56" t="s">
        <v>602</v>
      </c>
      <c r="C302" s="57">
        <v>2024</v>
      </c>
      <c r="D302" s="57" t="s">
        <v>546</v>
      </c>
      <c r="E302" s="57" t="s">
        <v>560</v>
      </c>
      <c r="F302" s="57" t="s">
        <v>549</v>
      </c>
      <c r="G302" s="57" t="s">
        <v>324</v>
      </c>
      <c r="H302" s="57" t="s">
        <v>590</v>
      </c>
      <c r="I302" s="57"/>
      <c r="J302" s="57"/>
      <c r="K302" s="57"/>
      <c r="L302" s="57"/>
      <c r="M302" s="57">
        <v>975.6</v>
      </c>
      <c r="N302" s="57"/>
      <c r="O302" s="57">
        <v>0.6</v>
      </c>
      <c r="P302" s="62">
        <f>RawData[[#This Row],[Value_USD_M]]*RawData[[#This Row],[Share_Est]]</f>
        <v>585.36</v>
      </c>
      <c r="Q302" s="57"/>
      <c r="R302" s="57"/>
      <c r="S302" s="58"/>
    </row>
    <row r="303" spans="2:19" x14ac:dyDescent="0.3">
      <c r="B303" s="56" t="s">
        <v>602</v>
      </c>
      <c r="C303" s="57">
        <v>2024</v>
      </c>
      <c r="D303" s="57" t="s">
        <v>546</v>
      </c>
      <c r="E303" s="57" t="s">
        <v>560</v>
      </c>
      <c r="F303" s="57" t="s">
        <v>549</v>
      </c>
      <c r="G303" s="57" t="s">
        <v>337</v>
      </c>
      <c r="H303" s="57" t="s">
        <v>580</v>
      </c>
      <c r="I303" s="57"/>
      <c r="J303" s="57"/>
      <c r="K303" s="57"/>
      <c r="L303" s="57"/>
      <c r="M303" s="57">
        <v>975.6</v>
      </c>
      <c r="N303" s="57"/>
      <c r="O303" s="57">
        <v>0.4</v>
      </c>
      <c r="P303" s="62">
        <f>RawData[[#This Row],[Value_USD_M]]*RawData[[#This Row],[Share_Est]]</f>
        <v>390.24</v>
      </c>
      <c r="Q303" s="57"/>
      <c r="R303" s="57"/>
      <c r="S303" s="58"/>
    </row>
    <row r="304" spans="2:19" x14ac:dyDescent="0.3">
      <c r="B304" s="56" t="s">
        <v>602</v>
      </c>
      <c r="C304" s="57">
        <v>2025</v>
      </c>
      <c r="D304" s="57" t="s">
        <v>546</v>
      </c>
      <c r="E304" s="57" t="s">
        <v>560</v>
      </c>
      <c r="F304" s="57" t="s">
        <v>549</v>
      </c>
      <c r="G304" s="57" t="s">
        <v>324</v>
      </c>
      <c r="H304" s="57" t="s">
        <v>590</v>
      </c>
      <c r="I304" s="57"/>
      <c r="J304" s="57"/>
      <c r="K304" s="57"/>
      <c r="L304" s="57"/>
      <c r="M304" s="57">
        <v>1106.9000000000001</v>
      </c>
      <c r="N304" s="57"/>
      <c r="O304" s="57">
        <v>0.6</v>
      </c>
      <c r="P304" s="62">
        <f>RawData[[#This Row],[Value_USD_M]]*RawData[[#This Row],[Share_Est]]</f>
        <v>664.14</v>
      </c>
      <c r="Q304" s="57"/>
      <c r="R304" s="57"/>
      <c r="S304" s="58"/>
    </row>
    <row r="305" spans="2:19" x14ac:dyDescent="0.3">
      <c r="B305" s="56" t="s">
        <v>602</v>
      </c>
      <c r="C305" s="57">
        <v>2025</v>
      </c>
      <c r="D305" s="57" t="s">
        <v>546</v>
      </c>
      <c r="E305" s="57" t="s">
        <v>560</v>
      </c>
      <c r="F305" s="57" t="s">
        <v>549</v>
      </c>
      <c r="G305" s="57" t="s">
        <v>337</v>
      </c>
      <c r="H305" s="57" t="s">
        <v>580</v>
      </c>
      <c r="I305" s="57"/>
      <c r="J305" s="57"/>
      <c r="K305" s="57"/>
      <c r="L305" s="57"/>
      <c r="M305" s="57">
        <v>1106.9000000000001</v>
      </c>
      <c r="N305" s="57"/>
      <c r="O305" s="57">
        <v>0.4</v>
      </c>
      <c r="P305" s="62">
        <f>RawData[[#This Row],[Value_USD_M]]*RawData[[#This Row],[Share_Est]]</f>
        <v>442.76000000000005</v>
      </c>
      <c r="Q305" s="57"/>
      <c r="R305" s="57"/>
      <c r="S305" s="58"/>
    </row>
    <row r="306" spans="2:19" x14ac:dyDescent="0.3">
      <c r="B306" s="56" t="s">
        <v>602</v>
      </c>
      <c r="C306" s="57">
        <v>2026</v>
      </c>
      <c r="D306" s="57" t="s">
        <v>546</v>
      </c>
      <c r="E306" s="57" t="s">
        <v>560</v>
      </c>
      <c r="F306" s="57" t="s">
        <v>549</v>
      </c>
      <c r="G306" s="57" t="s">
        <v>324</v>
      </c>
      <c r="H306" s="57" t="s">
        <v>590</v>
      </c>
      <c r="I306" s="57"/>
      <c r="J306" s="57"/>
      <c r="K306" s="57"/>
      <c r="L306" s="57"/>
      <c r="M306" s="57">
        <v>1037.5</v>
      </c>
      <c r="N306" s="57"/>
      <c r="O306" s="57">
        <v>0.6</v>
      </c>
      <c r="P306" s="62">
        <f>RawData[[#This Row],[Value_USD_M]]*RawData[[#This Row],[Share_Est]]</f>
        <v>622.5</v>
      </c>
      <c r="Q306" s="57"/>
      <c r="R306" s="57"/>
      <c r="S306" s="58"/>
    </row>
    <row r="307" spans="2:19" x14ac:dyDescent="0.3">
      <c r="B307" s="56" t="s">
        <v>602</v>
      </c>
      <c r="C307" s="57">
        <v>2026</v>
      </c>
      <c r="D307" s="57" t="s">
        <v>546</v>
      </c>
      <c r="E307" s="57" t="s">
        <v>560</v>
      </c>
      <c r="F307" s="57" t="s">
        <v>549</v>
      </c>
      <c r="G307" s="57" t="s">
        <v>337</v>
      </c>
      <c r="H307" s="57" t="s">
        <v>580</v>
      </c>
      <c r="I307" s="57"/>
      <c r="J307" s="57"/>
      <c r="K307" s="57"/>
      <c r="L307" s="57"/>
      <c r="M307" s="57">
        <v>1037.5</v>
      </c>
      <c r="N307" s="57"/>
      <c r="O307" s="57">
        <v>0.4</v>
      </c>
      <c r="P307" s="62">
        <f>RawData[[#This Row],[Value_USD_M]]*RawData[[#This Row],[Share_Est]]</f>
        <v>415</v>
      </c>
      <c r="Q307" s="57"/>
      <c r="R307" s="57"/>
      <c r="S307" s="58"/>
    </row>
    <row r="308" spans="2:19" x14ac:dyDescent="0.3">
      <c r="B308" s="56" t="s">
        <v>602</v>
      </c>
      <c r="C308" s="57">
        <v>2024</v>
      </c>
      <c r="D308" s="57" t="s">
        <v>546</v>
      </c>
      <c r="E308" s="57" t="s">
        <v>560</v>
      </c>
      <c r="F308" s="57" t="s">
        <v>548</v>
      </c>
      <c r="G308" s="57" t="s">
        <v>324</v>
      </c>
      <c r="H308" s="57" t="s">
        <v>590</v>
      </c>
      <c r="I308" s="57"/>
      <c r="J308" s="57"/>
      <c r="K308" s="57"/>
      <c r="L308" s="57"/>
      <c r="M308" s="57">
        <v>174.2</v>
      </c>
      <c r="N308" s="57"/>
      <c r="O308" s="57">
        <v>0.5</v>
      </c>
      <c r="P308" s="62">
        <f>RawData[[#This Row],[Value_USD_M]]*RawData[[#This Row],[Share_Est]]</f>
        <v>87.1</v>
      </c>
      <c r="Q308" s="57"/>
      <c r="R308" s="57"/>
      <c r="S308" s="58"/>
    </row>
    <row r="309" spans="2:19" x14ac:dyDescent="0.3">
      <c r="B309" s="56" t="s">
        <v>602</v>
      </c>
      <c r="C309" s="57">
        <v>2024</v>
      </c>
      <c r="D309" s="57" t="s">
        <v>546</v>
      </c>
      <c r="E309" s="57" t="s">
        <v>560</v>
      </c>
      <c r="F309" s="57" t="s">
        <v>548</v>
      </c>
      <c r="G309" s="57" t="s">
        <v>337</v>
      </c>
      <c r="H309" s="57" t="s">
        <v>580</v>
      </c>
      <c r="I309" s="57"/>
      <c r="J309" s="57"/>
      <c r="K309" s="57"/>
      <c r="L309" s="57"/>
      <c r="M309" s="57">
        <v>174.2</v>
      </c>
      <c r="N309" s="57"/>
      <c r="O309" s="57">
        <v>0.5</v>
      </c>
      <c r="P309" s="62">
        <f>RawData[[#This Row],[Value_USD_M]]*RawData[[#This Row],[Share_Est]]</f>
        <v>87.1</v>
      </c>
      <c r="Q309" s="57"/>
      <c r="R309" s="57"/>
      <c r="S309" s="58"/>
    </row>
    <row r="310" spans="2:19" x14ac:dyDescent="0.3">
      <c r="B310" s="56" t="s">
        <v>602</v>
      </c>
      <c r="C310" s="57">
        <v>2025</v>
      </c>
      <c r="D310" s="57" t="s">
        <v>546</v>
      </c>
      <c r="E310" s="57" t="s">
        <v>560</v>
      </c>
      <c r="F310" s="57" t="s">
        <v>548</v>
      </c>
      <c r="G310" s="57" t="s">
        <v>324</v>
      </c>
      <c r="H310" s="57" t="s">
        <v>590</v>
      </c>
      <c r="I310" s="57"/>
      <c r="J310" s="57"/>
      <c r="K310" s="57"/>
      <c r="L310" s="57"/>
      <c r="M310" s="57">
        <v>208.1</v>
      </c>
      <c r="N310" s="57"/>
      <c r="O310" s="57">
        <v>0.5</v>
      </c>
      <c r="P310" s="62">
        <f>RawData[[#This Row],[Value_USD_M]]*RawData[[#This Row],[Share_Est]]</f>
        <v>104.05</v>
      </c>
      <c r="Q310" s="57"/>
      <c r="R310" s="57"/>
      <c r="S310" s="58"/>
    </row>
    <row r="311" spans="2:19" x14ac:dyDescent="0.3">
      <c r="B311" s="56" t="s">
        <v>602</v>
      </c>
      <c r="C311" s="57">
        <v>2025</v>
      </c>
      <c r="D311" s="57" t="s">
        <v>546</v>
      </c>
      <c r="E311" s="57" t="s">
        <v>560</v>
      </c>
      <c r="F311" s="57" t="s">
        <v>548</v>
      </c>
      <c r="G311" s="57" t="s">
        <v>337</v>
      </c>
      <c r="H311" s="57" t="s">
        <v>580</v>
      </c>
      <c r="I311" s="57"/>
      <c r="J311" s="57"/>
      <c r="K311" s="57"/>
      <c r="L311" s="57"/>
      <c r="M311" s="57">
        <v>208.1</v>
      </c>
      <c r="N311" s="57"/>
      <c r="O311" s="57">
        <v>0.5</v>
      </c>
      <c r="P311" s="62">
        <f>RawData[[#This Row],[Value_USD_M]]*RawData[[#This Row],[Share_Est]]</f>
        <v>104.05</v>
      </c>
      <c r="Q311" s="57"/>
      <c r="R311" s="57"/>
      <c r="S311" s="58"/>
    </row>
    <row r="312" spans="2:19" x14ac:dyDescent="0.3">
      <c r="B312" s="56" t="s">
        <v>602</v>
      </c>
      <c r="C312" s="57">
        <v>2026</v>
      </c>
      <c r="D312" s="57" t="s">
        <v>546</v>
      </c>
      <c r="E312" s="57" t="s">
        <v>560</v>
      </c>
      <c r="F312" s="57" t="s">
        <v>548</v>
      </c>
      <c r="G312" s="57" t="s">
        <v>324</v>
      </c>
      <c r="H312" s="57" t="s">
        <v>590</v>
      </c>
      <c r="I312" s="57"/>
      <c r="J312" s="57"/>
      <c r="K312" s="57"/>
      <c r="L312" s="57"/>
      <c r="M312" s="57">
        <v>437.5</v>
      </c>
      <c r="N312" s="57"/>
      <c r="O312" s="57">
        <v>0.5</v>
      </c>
      <c r="P312" s="62">
        <f>RawData[[#This Row],[Value_USD_M]]*RawData[[#This Row],[Share_Est]]</f>
        <v>218.75</v>
      </c>
      <c r="Q312" s="57"/>
      <c r="R312" s="57"/>
      <c r="S312" s="58"/>
    </row>
    <row r="313" spans="2:19" x14ac:dyDescent="0.3">
      <c r="B313" s="56" t="s">
        <v>602</v>
      </c>
      <c r="C313" s="57">
        <v>2026</v>
      </c>
      <c r="D313" s="57" t="s">
        <v>546</v>
      </c>
      <c r="E313" s="57" t="s">
        <v>560</v>
      </c>
      <c r="F313" s="57" t="s">
        <v>548</v>
      </c>
      <c r="G313" s="57" t="s">
        <v>337</v>
      </c>
      <c r="H313" s="57" t="s">
        <v>580</v>
      </c>
      <c r="L313" s="57"/>
      <c r="M313" s="57">
        <v>437.5</v>
      </c>
      <c r="O313" s="57">
        <v>0.5</v>
      </c>
      <c r="P313" s="61">
        <f>RawData[[#This Row],[Value_USD_M]]*RawData[[#This Row],[Share_Est]]</f>
        <v>218.75</v>
      </c>
      <c r="S313" s="52"/>
    </row>
    <row r="314" spans="2:19" x14ac:dyDescent="0.3">
      <c r="B314" s="56" t="s">
        <v>603</v>
      </c>
      <c r="C314" s="57">
        <v>2024</v>
      </c>
      <c r="D314" s="57" t="s">
        <v>604</v>
      </c>
      <c r="E314" s="57" t="s">
        <v>560</v>
      </c>
      <c r="F314" s="57" t="s">
        <v>549</v>
      </c>
      <c r="G314" s="57" t="s">
        <v>326</v>
      </c>
      <c r="H314" s="57" t="s">
        <v>605</v>
      </c>
      <c r="I314" s="57"/>
      <c r="J314" s="57"/>
      <c r="K314" s="57"/>
      <c r="L314" s="57"/>
      <c r="M314" s="57">
        <v>154.1</v>
      </c>
      <c r="N314" s="57"/>
      <c r="O314" s="57">
        <v>0.9</v>
      </c>
      <c r="P314" s="62">
        <f>RawData[[#This Row],[Value_USD_M]]*RawData[[#This Row],[Share_Est]]</f>
        <v>138.69</v>
      </c>
      <c r="Q314" s="57"/>
      <c r="R314" s="57"/>
      <c r="S314" s="58"/>
    </row>
    <row r="315" spans="2:19" x14ac:dyDescent="0.3">
      <c r="B315" s="56" t="s">
        <v>603</v>
      </c>
      <c r="C315" s="57">
        <v>2024</v>
      </c>
      <c r="D315" s="57" t="s">
        <v>604</v>
      </c>
      <c r="E315" s="57" t="s">
        <v>560</v>
      </c>
      <c r="F315" s="57" t="s">
        <v>549</v>
      </c>
      <c r="G315" s="57" t="s">
        <v>583</v>
      </c>
      <c r="H315" s="57" t="s">
        <v>584</v>
      </c>
      <c r="I315" s="57"/>
      <c r="J315" s="57"/>
      <c r="K315" s="57"/>
      <c r="L315" s="57"/>
      <c r="M315" s="57">
        <v>154.1</v>
      </c>
      <c r="N315" s="57"/>
      <c r="O315" s="57">
        <v>0.1</v>
      </c>
      <c r="P315" s="62">
        <f>RawData[[#This Row],[Value_USD_M]]*RawData[[#This Row],[Share_Est]]</f>
        <v>15.41</v>
      </c>
      <c r="Q315" s="57"/>
      <c r="R315" s="57"/>
      <c r="S315" s="58"/>
    </row>
    <row r="316" spans="2:19" x14ac:dyDescent="0.3">
      <c r="B316" s="56" t="s">
        <v>603</v>
      </c>
      <c r="C316" s="57">
        <v>2025</v>
      </c>
      <c r="D316" s="57" t="s">
        <v>604</v>
      </c>
      <c r="E316" s="57" t="s">
        <v>560</v>
      </c>
      <c r="F316" s="57" t="s">
        <v>549</v>
      </c>
      <c r="G316" s="57" t="s">
        <v>326</v>
      </c>
      <c r="H316" s="57" t="s">
        <v>605</v>
      </c>
      <c r="I316" s="57"/>
      <c r="J316" s="57"/>
      <c r="K316" s="57"/>
      <c r="L316" s="57"/>
      <c r="M316" s="57">
        <v>71.400000000000006</v>
      </c>
      <c r="N316" s="57"/>
      <c r="O316" s="57">
        <v>0.9</v>
      </c>
      <c r="P316" s="62">
        <f>RawData[[#This Row],[Value_USD_M]]*RawData[[#This Row],[Share_Est]]</f>
        <v>64.260000000000005</v>
      </c>
      <c r="Q316" s="57"/>
      <c r="R316" s="57"/>
      <c r="S316" s="58"/>
    </row>
    <row r="317" spans="2:19" x14ac:dyDescent="0.3">
      <c r="B317" s="56" t="s">
        <v>603</v>
      </c>
      <c r="C317" s="57">
        <v>2025</v>
      </c>
      <c r="D317" s="57" t="s">
        <v>604</v>
      </c>
      <c r="E317" s="57" t="s">
        <v>560</v>
      </c>
      <c r="F317" s="57" t="s">
        <v>549</v>
      </c>
      <c r="G317" s="57" t="s">
        <v>583</v>
      </c>
      <c r="H317" s="57" t="s">
        <v>584</v>
      </c>
      <c r="I317" s="57"/>
      <c r="J317" s="57"/>
      <c r="K317" s="57"/>
      <c r="L317" s="57"/>
      <c r="M317" s="57">
        <v>71.400000000000006</v>
      </c>
      <c r="N317" s="57"/>
      <c r="O317" s="57">
        <v>0.1</v>
      </c>
      <c r="P317" s="62">
        <f>RawData[[#This Row],[Value_USD_M]]*RawData[[#This Row],[Share_Est]]</f>
        <v>7.1400000000000006</v>
      </c>
      <c r="Q317" s="57"/>
      <c r="R317" s="57"/>
      <c r="S317" s="58"/>
    </row>
    <row r="318" spans="2:19" x14ac:dyDescent="0.3">
      <c r="B318" s="56" t="s">
        <v>603</v>
      </c>
      <c r="C318" s="57">
        <v>2026</v>
      </c>
      <c r="D318" s="57" t="s">
        <v>604</v>
      </c>
      <c r="E318" s="57" t="s">
        <v>560</v>
      </c>
      <c r="F318" s="57" t="s">
        <v>549</v>
      </c>
      <c r="G318" s="57" t="s">
        <v>326</v>
      </c>
      <c r="H318" s="57" t="s">
        <v>605</v>
      </c>
      <c r="I318" s="57"/>
      <c r="J318" s="57"/>
      <c r="K318" s="57"/>
      <c r="L318" s="57"/>
      <c r="M318" s="57">
        <v>135.4</v>
      </c>
      <c r="N318" s="57"/>
      <c r="O318" s="57">
        <v>0.9</v>
      </c>
      <c r="P318" s="62">
        <f>RawData[[#This Row],[Value_USD_M]]*RawData[[#This Row],[Share_Est]]</f>
        <v>121.86000000000001</v>
      </c>
      <c r="Q318" s="57"/>
      <c r="R318" s="57"/>
      <c r="S318" s="58"/>
    </row>
    <row r="319" spans="2:19" x14ac:dyDescent="0.3">
      <c r="B319" s="56" t="s">
        <v>603</v>
      </c>
      <c r="C319" s="57">
        <v>2026</v>
      </c>
      <c r="D319" s="57" t="s">
        <v>604</v>
      </c>
      <c r="E319" s="57" t="s">
        <v>560</v>
      </c>
      <c r="F319" s="57" t="s">
        <v>549</v>
      </c>
      <c r="G319" s="57" t="s">
        <v>583</v>
      </c>
      <c r="H319" s="57" t="s">
        <v>584</v>
      </c>
      <c r="I319" s="57"/>
      <c r="J319" s="57"/>
      <c r="K319" s="57"/>
      <c r="L319" s="57"/>
      <c r="M319" s="57">
        <v>135.4</v>
      </c>
      <c r="N319" s="57"/>
      <c r="O319" s="57">
        <v>0.1</v>
      </c>
      <c r="P319" s="62">
        <f>RawData[[#This Row],[Value_USD_M]]*RawData[[#This Row],[Share_Est]]</f>
        <v>13.540000000000001</v>
      </c>
      <c r="Q319" s="57"/>
      <c r="R319" s="57"/>
      <c r="S319" s="58"/>
    </row>
    <row r="320" spans="2:19" x14ac:dyDescent="0.3">
      <c r="B320" s="56" t="s">
        <v>603</v>
      </c>
      <c r="C320" s="57">
        <v>2024</v>
      </c>
      <c r="D320" s="57" t="s">
        <v>604</v>
      </c>
      <c r="E320" s="57" t="s">
        <v>560</v>
      </c>
      <c r="F320" s="57" t="s">
        <v>548</v>
      </c>
      <c r="G320" s="57" t="s">
        <v>326</v>
      </c>
      <c r="H320" s="57" t="s">
        <v>605</v>
      </c>
      <c r="I320" s="57"/>
      <c r="J320" s="57"/>
      <c r="K320" s="57">
        <v>15</v>
      </c>
      <c r="L320" s="57"/>
      <c r="M320" s="57">
        <v>2352.1</v>
      </c>
      <c r="N320" s="57"/>
      <c r="O320" s="57">
        <v>0.85</v>
      </c>
      <c r="P320" s="62">
        <f>RawData[[#This Row],[Value_USD_M]]*RawData[[#This Row],[Share_Est]]</f>
        <v>1999.2849999999999</v>
      </c>
      <c r="Q320" s="57"/>
      <c r="R320" s="57"/>
      <c r="S320" s="58"/>
    </row>
    <row r="321" spans="2:19" x14ac:dyDescent="0.3">
      <c r="B321" s="56" t="s">
        <v>603</v>
      </c>
      <c r="C321" s="57">
        <v>2024</v>
      </c>
      <c r="D321" s="57" t="s">
        <v>604</v>
      </c>
      <c r="E321" s="57" t="s">
        <v>560</v>
      </c>
      <c r="F321" s="57" t="s">
        <v>548</v>
      </c>
      <c r="G321" s="57" t="s">
        <v>583</v>
      </c>
      <c r="H321" s="57" t="s">
        <v>584</v>
      </c>
      <c r="I321" s="57"/>
      <c r="J321" s="57"/>
      <c r="K321" s="57">
        <v>15</v>
      </c>
      <c r="L321" s="57"/>
      <c r="M321" s="57">
        <v>2352.1</v>
      </c>
      <c r="N321" s="57"/>
      <c r="O321" s="57">
        <v>0.15</v>
      </c>
      <c r="P321" s="62">
        <f>RawData[[#This Row],[Value_USD_M]]*RawData[[#This Row],[Share_Est]]</f>
        <v>352.815</v>
      </c>
      <c r="Q321" s="57"/>
      <c r="R321" s="57"/>
      <c r="S321" s="58"/>
    </row>
    <row r="322" spans="2:19" x14ac:dyDescent="0.3">
      <c r="B322" s="56" t="s">
        <v>603</v>
      </c>
      <c r="C322" s="57">
        <v>2025</v>
      </c>
      <c r="D322" s="57" t="s">
        <v>604</v>
      </c>
      <c r="E322" s="57" t="s">
        <v>560</v>
      </c>
      <c r="F322" s="57" t="s">
        <v>548</v>
      </c>
      <c r="G322" s="57" t="s">
        <v>326</v>
      </c>
      <c r="H322" s="57" t="s">
        <v>605</v>
      </c>
      <c r="I322" s="57"/>
      <c r="J322" s="57"/>
      <c r="K322" s="57">
        <v>20</v>
      </c>
      <c r="L322" s="57"/>
      <c r="M322" s="57">
        <v>2911.6</v>
      </c>
      <c r="N322" s="57"/>
      <c r="O322" s="57">
        <v>0.85</v>
      </c>
      <c r="P322" s="62">
        <f>RawData[[#This Row],[Value_USD_M]]*RawData[[#This Row],[Share_Est]]</f>
        <v>2474.8599999999997</v>
      </c>
      <c r="Q322" s="57"/>
      <c r="R322" s="57"/>
      <c r="S322" s="58"/>
    </row>
    <row r="323" spans="2:19" x14ac:dyDescent="0.3">
      <c r="B323" s="56" t="s">
        <v>603</v>
      </c>
      <c r="C323" s="57">
        <v>2025</v>
      </c>
      <c r="D323" s="57" t="s">
        <v>604</v>
      </c>
      <c r="E323" s="57" t="s">
        <v>560</v>
      </c>
      <c r="F323" s="57" t="s">
        <v>548</v>
      </c>
      <c r="G323" s="57" t="s">
        <v>583</v>
      </c>
      <c r="H323" s="57" t="s">
        <v>584</v>
      </c>
      <c r="I323" s="57"/>
      <c r="J323" s="57"/>
      <c r="K323" s="57">
        <v>20</v>
      </c>
      <c r="L323" s="57"/>
      <c r="M323" s="57">
        <v>2911.6</v>
      </c>
      <c r="N323" s="57"/>
      <c r="O323" s="57">
        <v>0.15</v>
      </c>
      <c r="P323" s="62">
        <f>RawData[[#This Row],[Value_USD_M]]*RawData[[#This Row],[Share_Est]]</f>
        <v>436.73999999999995</v>
      </c>
      <c r="Q323" s="57"/>
      <c r="R323" s="57"/>
      <c r="S323" s="58"/>
    </row>
    <row r="324" spans="2:19" x14ac:dyDescent="0.3">
      <c r="B324" s="56" t="s">
        <v>603</v>
      </c>
      <c r="C324" s="57">
        <v>2026</v>
      </c>
      <c r="D324" s="57" t="s">
        <v>604</v>
      </c>
      <c r="E324" s="57" t="s">
        <v>560</v>
      </c>
      <c r="F324" s="57" t="s">
        <v>548</v>
      </c>
      <c r="G324" s="57" t="s">
        <v>326</v>
      </c>
      <c r="H324" s="57" t="s">
        <v>605</v>
      </c>
      <c r="I324" s="57"/>
      <c r="J324" s="57"/>
      <c r="K324" s="57">
        <v>12</v>
      </c>
      <c r="L324" s="57"/>
      <c r="M324" s="57">
        <v>2342.1999999999998</v>
      </c>
      <c r="N324" s="57"/>
      <c r="O324" s="57">
        <v>0.85</v>
      </c>
      <c r="P324" s="62">
        <f>RawData[[#This Row],[Value_USD_M]]*RawData[[#This Row],[Share_Est]]</f>
        <v>1990.87</v>
      </c>
      <c r="Q324" s="57"/>
      <c r="R324" s="57"/>
      <c r="S324" s="58"/>
    </row>
    <row r="325" spans="2:19" x14ac:dyDescent="0.3">
      <c r="B325" s="56" t="s">
        <v>603</v>
      </c>
      <c r="C325" s="57">
        <v>2026</v>
      </c>
      <c r="D325" s="57" t="s">
        <v>604</v>
      </c>
      <c r="E325" s="57" t="s">
        <v>560</v>
      </c>
      <c r="F325" s="57" t="s">
        <v>548</v>
      </c>
      <c r="G325" s="57" t="s">
        <v>583</v>
      </c>
      <c r="H325" s="57" t="s">
        <v>584</v>
      </c>
      <c r="K325" s="57">
        <v>12</v>
      </c>
      <c r="L325" s="57"/>
      <c r="M325" s="57">
        <v>2342.1999999999998</v>
      </c>
      <c r="O325" s="57">
        <v>0.15</v>
      </c>
      <c r="P325" s="61">
        <f>RawData[[#This Row],[Value_USD_M]]*RawData[[#This Row],[Share_Est]]</f>
        <v>351.33</v>
      </c>
      <c r="S325" s="52"/>
    </row>
    <row r="326" spans="2:19" x14ac:dyDescent="0.3">
      <c r="B326" s="56" t="s">
        <v>606</v>
      </c>
      <c r="C326" s="57">
        <v>2024</v>
      </c>
      <c r="D326" s="57" t="s">
        <v>582</v>
      </c>
      <c r="E326" s="57" t="s">
        <v>560</v>
      </c>
      <c r="F326" s="57" t="s">
        <v>549</v>
      </c>
      <c r="G326" s="57" t="s">
        <v>574</v>
      </c>
      <c r="H326" s="57" t="s">
        <v>577</v>
      </c>
      <c r="I326" s="57"/>
      <c r="J326" s="57"/>
      <c r="K326" s="57"/>
      <c r="L326" s="57"/>
      <c r="M326" s="57">
        <v>1006</v>
      </c>
      <c r="N326" s="57"/>
      <c r="O326" s="57">
        <v>0.9</v>
      </c>
      <c r="P326" s="62">
        <f>RawData[[#This Row],[Value_USD_M]]*RawData[[#This Row],[Share_Est]]</f>
        <v>905.4</v>
      </c>
      <c r="Q326" s="57"/>
      <c r="R326" s="57"/>
      <c r="S326" s="58"/>
    </row>
    <row r="327" spans="2:19" x14ac:dyDescent="0.3">
      <c r="B327" s="56" t="s">
        <v>606</v>
      </c>
      <c r="C327" s="57">
        <v>2024</v>
      </c>
      <c r="D327" s="57" t="s">
        <v>582</v>
      </c>
      <c r="E327" s="57" t="s">
        <v>560</v>
      </c>
      <c r="F327" s="57" t="s">
        <v>549</v>
      </c>
      <c r="G327" s="57" t="s">
        <v>325</v>
      </c>
      <c r="H327" s="57" t="s">
        <v>563</v>
      </c>
      <c r="I327" s="57"/>
      <c r="J327" s="57"/>
      <c r="K327" s="57"/>
      <c r="L327" s="57"/>
      <c r="M327" s="57">
        <v>1006</v>
      </c>
      <c r="N327" s="57"/>
      <c r="O327" s="57">
        <v>0.1</v>
      </c>
      <c r="P327" s="62">
        <f>RawData[[#This Row],[Value_USD_M]]*RawData[[#This Row],[Share_Est]]</f>
        <v>100.60000000000001</v>
      </c>
      <c r="Q327" s="57"/>
      <c r="R327" s="57"/>
      <c r="S327" s="58"/>
    </row>
    <row r="328" spans="2:19" x14ac:dyDescent="0.3">
      <c r="B328" s="56" t="s">
        <v>606</v>
      </c>
      <c r="C328" s="57">
        <v>2025</v>
      </c>
      <c r="D328" s="57" t="s">
        <v>582</v>
      </c>
      <c r="E328" s="57" t="s">
        <v>560</v>
      </c>
      <c r="F328" s="57" t="s">
        <v>549</v>
      </c>
      <c r="G328" s="57" t="s">
        <v>574</v>
      </c>
      <c r="H328" s="57" t="s">
        <v>577</v>
      </c>
      <c r="I328" s="57"/>
      <c r="J328" s="57"/>
      <c r="K328" s="57"/>
      <c r="L328" s="57"/>
      <c r="M328" s="57">
        <v>1258.5999999999999</v>
      </c>
      <c r="N328" s="57"/>
      <c r="O328" s="57">
        <v>0.9</v>
      </c>
      <c r="P328" s="62">
        <f>RawData[[#This Row],[Value_USD_M]]*RawData[[#This Row],[Share_Est]]</f>
        <v>1132.74</v>
      </c>
      <c r="Q328" s="57"/>
      <c r="R328" s="57"/>
      <c r="S328" s="58"/>
    </row>
    <row r="329" spans="2:19" x14ac:dyDescent="0.3">
      <c r="B329" s="56" t="s">
        <v>606</v>
      </c>
      <c r="C329" s="57">
        <v>2025</v>
      </c>
      <c r="D329" s="57" t="s">
        <v>582</v>
      </c>
      <c r="E329" s="57" t="s">
        <v>560</v>
      </c>
      <c r="F329" s="57" t="s">
        <v>549</v>
      </c>
      <c r="G329" s="57" t="s">
        <v>325</v>
      </c>
      <c r="H329" s="57" t="s">
        <v>563</v>
      </c>
      <c r="I329" s="57"/>
      <c r="J329" s="57"/>
      <c r="K329" s="57"/>
      <c r="L329" s="57"/>
      <c r="M329" s="57">
        <v>1258.5999999999999</v>
      </c>
      <c r="N329" s="57"/>
      <c r="O329" s="57">
        <v>0.1</v>
      </c>
      <c r="P329" s="62">
        <f>RawData[[#This Row],[Value_USD_M]]*RawData[[#This Row],[Share_Est]]</f>
        <v>125.86</v>
      </c>
      <c r="Q329" s="57"/>
      <c r="R329" s="57"/>
      <c r="S329" s="58"/>
    </row>
    <row r="330" spans="2:19" x14ac:dyDescent="0.3">
      <c r="B330" s="56" t="s">
        <v>606</v>
      </c>
      <c r="C330" s="57">
        <v>2026</v>
      </c>
      <c r="D330" s="57" t="s">
        <v>582</v>
      </c>
      <c r="E330" s="57" t="s">
        <v>560</v>
      </c>
      <c r="F330" s="57" t="s">
        <v>549</v>
      </c>
      <c r="G330" s="57" t="s">
        <v>574</v>
      </c>
      <c r="H330" s="57" t="s">
        <v>577</v>
      </c>
      <c r="I330" s="57"/>
      <c r="J330" s="57"/>
      <c r="K330" s="57"/>
      <c r="L330" s="57"/>
      <c r="M330" s="57">
        <v>1248.5</v>
      </c>
      <c r="N330" s="57"/>
      <c r="O330" s="57">
        <v>0.9</v>
      </c>
      <c r="P330" s="62">
        <f>RawData[[#This Row],[Value_USD_M]]*RawData[[#This Row],[Share_Est]]</f>
        <v>1123.6500000000001</v>
      </c>
      <c r="Q330" s="57"/>
      <c r="R330" s="57"/>
      <c r="S330" s="58"/>
    </row>
    <row r="331" spans="2:19" x14ac:dyDescent="0.3">
      <c r="B331" s="56" t="s">
        <v>606</v>
      </c>
      <c r="C331" s="46">
        <v>2026</v>
      </c>
      <c r="D331" s="57" t="s">
        <v>582</v>
      </c>
      <c r="E331" s="57" t="s">
        <v>560</v>
      </c>
      <c r="F331" s="57" t="s">
        <v>549</v>
      </c>
      <c r="G331" s="57" t="s">
        <v>325</v>
      </c>
      <c r="H331" s="57" t="s">
        <v>563</v>
      </c>
      <c r="L331" s="57"/>
      <c r="M331" s="57">
        <v>1248.5</v>
      </c>
      <c r="O331" s="57">
        <v>0.1</v>
      </c>
      <c r="P331" s="61">
        <f>RawData[[#This Row],[Value_USD_M]]*RawData[[#This Row],[Share_Est]]</f>
        <v>124.85000000000001</v>
      </c>
      <c r="S331" s="52"/>
    </row>
    <row r="332" spans="2:19" x14ac:dyDescent="0.3">
      <c r="B332" s="56" t="s">
        <v>607</v>
      </c>
      <c r="C332" s="57">
        <v>2024</v>
      </c>
      <c r="D332" s="57" t="s">
        <v>547</v>
      </c>
      <c r="E332" s="57" t="s">
        <v>560</v>
      </c>
      <c r="F332" s="57" t="s">
        <v>549</v>
      </c>
      <c r="G332" s="57" t="s">
        <v>337</v>
      </c>
      <c r="H332" s="57" t="s">
        <v>553</v>
      </c>
      <c r="I332" s="57"/>
      <c r="J332" s="57"/>
      <c r="K332" s="57"/>
      <c r="L332" s="57"/>
      <c r="M332" s="57">
        <v>275.3</v>
      </c>
      <c r="N332" s="57"/>
      <c r="O332" s="57">
        <v>0.8</v>
      </c>
      <c r="P332" s="62">
        <f>RawData[[#This Row],[Value_USD_M]]*RawData[[#This Row],[Share_Est]]</f>
        <v>220.24</v>
      </c>
      <c r="Q332" s="57"/>
      <c r="R332" s="57"/>
      <c r="S332" s="58"/>
    </row>
    <row r="333" spans="2:19" x14ac:dyDescent="0.3">
      <c r="B333" s="56" t="s">
        <v>607</v>
      </c>
      <c r="C333" s="57">
        <v>2024</v>
      </c>
      <c r="D333" s="57" t="s">
        <v>547</v>
      </c>
      <c r="E333" s="57" t="s">
        <v>560</v>
      </c>
      <c r="F333" s="57" t="s">
        <v>549</v>
      </c>
      <c r="G333" s="57" t="s">
        <v>326</v>
      </c>
      <c r="H333" s="57" t="s">
        <v>585</v>
      </c>
      <c r="I333" s="57"/>
      <c r="J333" s="57"/>
      <c r="K333" s="57"/>
      <c r="L333" s="57"/>
      <c r="M333" s="57">
        <v>275.3</v>
      </c>
      <c r="N333" s="57"/>
      <c r="O333" s="57">
        <v>0.2</v>
      </c>
      <c r="P333" s="62">
        <f>RawData[[#This Row],[Value_USD_M]]*RawData[[#This Row],[Share_Est]]</f>
        <v>55.06</v>
      </c>
      <c r="Q333" s="57"/>
      <c r="R333" s="57"/>
      <c r="S333" s="58"/>
    </row>
    <row r="334" spans="2:19" x14ac:dyDescent="0.3">
      <c r="B334" s="56" t="s">
        <v>607</v>
      </c>
      <c r="C334" s="57">
        <v>2025</v>
      </c>
      <c r="D334" s="57" t="s">
        <v>547</v>
      </c>
      <c r="E334" s="57" t="s">
        <v>560</v>
      </c>
      <c r="F334" s="57" t="s">
        <v>549</v>
      </c>
      <c r="G334" s="57" t="s">
        <v>337</v>
      </c>
      <c r="H334" s="57" t="s">
        <v>553</v>
      </c>
      <c r="I334" s="57"/>
      <c r="J334" s="57"/>
      <c r="K334" s="57"/>
      <c r="L334" s="57"/>
      <c r="M334" s="57">
        <v>255</v>
      </c>
      <c r="N334" s="57"/>
      <c r="O334" s="57">
        <v>0.8</v>
      </c>
      <c r="P334" s="62">
        <f>RawData[[#This Row],[Value_USD_M]]*RawData[[#This Row],[Share_Est]]</f>
        <v>204</v>
      </c>
      <c r="Q334" s="57"/>
      <c r="R334" s="57"/>
      <c r="S334" s="58"/>
    </row>
    <row r="335" spans="2:19" x14ac:dyDescent="0.3">
      <c r="B335" s="56" t="s">
        <v>607</v>
      </c>
      <c r="C335" s="57">
        <v>2025</v>
      </c>
      <c r="D335" s="57" t="s">
        <v>547</v>
      </c>
      <c r="E335" s="57" t="s">
        <v>560</v>
      </c>
      <c r="F335" s="57" t="s">
        <v>549</v>
      </c>
      <c r="G335" s="57" t="s">
        <v>326</v>
      </c>
      <c r="H335" s="57" t="s">
        <v>585</v>
      </c>
      <c r="I335" s="57"/>
      <c r="J335" s="57"/>
      <c r="K335" s="57"/>
      <c r="L335" s="57"/>
      <c r="M335" s="57">
        <v>255</v>
      </c>
      <c r="N335" s="57"/>
      <c r="O335" s="57">
        <v>0.2</v>
      </c>
      <c r="P335" s="62">
        <f>RawData[[#This Row],[Value_USD_M]]*RawData[[#This Row],[Share_Est]]</f>
        <v>51</v>
      </c>
      <c r="Q335" s="57"/>
      <c r="R335" s="57"/>
      <c r="S335" s="58"/>
    </row>
    <row r="336" spans="2:19" x14ac:dyDescent="0.3">
      <c r="B336" s="56" t="s">
        <v>607</v>
      </c>
      <c r="C336" s="57">
        <v>2026</v>
      </c>
      <c r="D336" s="57" t="s">
        <v>547</v>
      </c>
      <c r="E336" s="57" t="s">
        <v>560</v>
      </c>
      <c r="F336" s="57" t="s">
        <v>549</v>
      </c>
      <c r="G336" s="57" t="s">
        <v>337</v>
      </c>
      <c r="H336" s="57" t="s">
        <v>553</v>
      </c>
      <c r="I336" s="57"/>
      <c r="J336" s="57"/>
      <c r="K336" s="57"/>
      <c r="L336" s="57"/>
      <c r="M336" s="57">
        <v>305.5</v>
      </c>
      <c r="N336" s="57"/>
      <c r="O336" s="57">
        <v>0.8</v>
      </c>
      <c r="P336" s="62">
        <f>RawData[[#This Row],[Value_USD_M]]*RawData[[#This Row],[Share_Est]]</f>
        <v>244.4</v>
      </c>
      <c r="Q336" s="57"/>
      <c r="R336" s="57"/>
      <c r="S336" s="58"/>
    </row>
    <row r="337" spans="2:19" x14ac:dyDescent="0.3">
      <c r="B337" s="56" t="s">
        <v>607</v>
      </c>
      <c r="C337" s="57">
        <v>2026</v>
      </c>
      <c r="D337" s="57" t="s">
        <v>547</v>
      </c>
      <c r="E337" s="57" t="s">
        <v>560</v>
      </c>
      <c r="F337" s="57" t="s">
        <v>549</v>
      </c>
      <c r="G337" s="57" t="s">
        <v>326</v>
      </c>
      <c r="H337" s="57" t="s">
        <v>585</v>
      </c>
      <c r="I337" s="57"/>
      <c r="J337" s="57"/>
      <c r="K337" s="57"/>
      <c r="L337" s="57"/>
      <c r="M337" s="57">
        <v>305.5</v>
      </c>
      <c r="N337" s="57"/>
      <c r="O337" s="57">
        <v>0.2</v>
      </c>
      <c r="P337" s="62">
        <f>RawData[[#This Row],[Value_USD_M]]*RawData[[#This Row],[Share_Est]]</f>
        <v>61.1</v>
      </c>
      <c r="Q337" s="57"/>
      <c r="R337" s="57"/>
      <c r="S337" s="58"/>
    </row>
    <row r="338" spans="2:19" x14ac:dyDescent="0.3">
      <c r="B338" s="56" t="s">
        <v>607</v>
      </c>
      <c r="C338" s="57">
        <v>2024</v>
      </c>
      <c r="D338" s="57" t="s">
        <v>547</v>
      </c>
      <c r="E338" s="57" t="s">
        <v>560</v>
      </c>
      <c r="F338" s="57" t="s">
        <v>548</v>
      </c>
      <c r="G338" s="57" t="s">
        <v>337</v>
      </c>
      <c r="H338" s="57" t="s">
        <v>553</v>
      </c>
      <c r="I338" s="57"/>
      <c r="J338" s="57"/>
      <c r="K338" s="57">
        <v>0</v>
      </c>
      <c r="L338" s="57"/>
      <c r="M338" s="57">
        <f>142.7+143.6</f>
        <v>286.29999999999995</v>
      </c>
      <c r="N338" s="57"/>
      <c r="O338" s="57">
        <v>0.75</v>
      </c>
      <c r="P338" s="62">
        <f>RawData[[#This Row],[Value_USD_M]]*RawData[[#This Row],[Share_Est]]</f>
        <v>214.72499999999997</v>
      </c>
      <c r="Q338" s="57"/>
      <c r="R338" s="57"/>
      <c r="S338" s="58"/>
    </row>
    <row r="339" spans="2:19" x14ac:dyDescent="0.3">
      <c r="B339" s="56" t="s">
        <v>607</v>
      </c>
      <c r="C339" s="57">
        <v>2024</v>
      </c>
      <c r="D339" s="57" t="s">
        <v>547</v>
      </c>
      <c r="E339" s="57" t="s">
        <v>560</v>
      </c>
      <c r="F339" s="57" t="s">
        <v>548</v>
      </c>
      <c r="G339" s="57" t="s">
        <v>326</v>
      </c>
      <c r="H339" s="57" t="s">
        <v>585</v>
      </c>
      <c r="I339" s="57"/>
      <c r="J339" s="57"/>
      <c r="K339" s="57">
        <v>0</v>
      </c>
      <c r="L339" s="57"/>
      <c r="M339" s="57">
        <f>142.7+143.6</f>
        <v>286.29999999999995</v>
      </c>
      <c r="N339" s="57"/>
      <c r="O339" s="57">
        <v>0.25</v>
      </c>
      <c r="P339" s="62">
        <f>RawData[[#This Row],[Value_USD_M]]*RawData[[#This Row],[Share_Est]]</f>
        <v>71.574999999999989</v>
      </c>
      <c r="Q339" s="57"/>
      <c r="R339" s="57"/>
      <c r="S339" s="58"/>
    </row>
    <row r="340" spans="2:19" x14ac:dyDescent="0.3">
      <c r="B340" s="56" t="s">
        <v>607</v>
      </c>
      <c r="C340" s="57">
        <v>2025</v>
      </c>
      <c r="D340" s="57" t="s">
        <v>547</v>
      </c>
      <c r="E340" s="57" t="s">
        <v>560</v>
      </c>
      <c r="F340" s="57" t="s">
        <v>548</v>
      </c>
      <c r="G340" s="57" t="s">
        <v>337</v>
      </c>
      <c r="H340" s="57" t="s">
        <v>553</v>
      </c>
      <c r="I340" s="57"/>
      <c r="J340" s="57"/>
      <c r="K340" s="57">
        <v>0</v>
      </c>
      <c r="L340" s="57"/>
      <c r="M340" s="57">
        <f>50.4+119.6</f>
        <v>170</v>
      </c>
      <c r="N340" s="57"/>
      <c r="O340" s="57">
        <v>0.75</v>
      </c>
      <c r="P340" s="62">
        <f>RawData[[#This Row],[Value_USD_M]]*RawData[[#This Row],[Share_Est]]</f>
        <v>127.5</v>
      </c>
      <c r="Q340" s="57"/>
      <c r="R340" s="57"/>
      <c r="S340" s="58"/>
    </row>
    <row r="341" spans="2:19" x14ac:dyDescent="0.3">
      <c r="B341" s="56" t="s">
        <v>607</v>
      </c>
      <c r="C341" s="57">
        <v>2025</v>
      </c>
      <c r="D341" s="57" t="s">
        <v>547</v>
      </c>
      <c r="E341" s="57" t="s">
        <v>560</v>
      </c>
      <c r="F341" s="57" t="s">
        <v>548</v>
      </c>
      <c r="G341" s="57" t="s">
        <v>326</v>
      </c>
      <c r="H341" s="57" t="s">
        <v>585</v>
      </c>
      <c r="I341" s="57"/>
      <c r="J341" s="57"/>
      <c r="K341" s="57">
        <v>0</v>
      </c>
      <c r="L341" s="57"/>
      <c r="M341" s="57">
        <f>50.4+119.6</f>
        <v>170</v>
      </c>
      <c r="N341" s="57"/>
      <c r="O341" s="57">
        <v>0.25</v>
      </c>
      <c r="P341" s="62">
        <f>RawData[[#This Row],[Value_USD_M]]*RawData[[#This Row],[Share_Est]]</f>
        <v>42.5</v>
      </c>
      <c r="Q341" s="57"/>
      <c r="R341" s="57"/>
      <c r="S341" s="58"/>
    </row>
    <row r="342" spans="2:19" x14ac:dyDescent="0.3">
      <c r="B342" s="56" t="s">
        <v>607</v>
      </c>
      <c r="C342" s="57">
        <v>2026</v>
      </c>
      <c r="D342" s="57" t="s">
        <v>547</v>
      </c>
      <c r="E342" s="57" t="s">
        <v>560</v>
      </c>
      <c r="F342" s="57" t="s">
        <v>548</v>
      </c>
      <c r="G342" s="57" t="s">
        <v>337</v>
      </c>
      <c r="H342" s="57" t="s">
        <v>553</v>
      </c>
      <c r="I342" s="57"/>
      <c r="J342" s="57"/>
      <c r="K342" s="57">
        <v>3</v>
      </c>
      <c r="L342" s="57"/>
      <c r="M342" s="57">
        <f>646.9+189.6</f>
        <v>836.5</v>
      </c>
      <c r="N342" s="57"/>
      <c r="O342" s="57">
        <v>0.75</v>
      </c>
      <c r="P342" s="62">
        <f>RawData[[#This Row],[Value_USD_M]]*RawData[[#This Row],[Share_Est]]</f>
        <v>627.375</v>
      </c>
      <c r="Q342" s="57"/>
      <c r="R342" s="57"/>
      <c r="S342" s="58"/>
    </row>
    <row r="343" spans="2:19" x14ac:dyDescent="0.3">
      <c r="B343" s="56" t="s">
        <v>607</v>
      </c>
      <c r="C343" s="57">
        <v>2026</v>
      </c>
      <c r="D343" s="57" t="s">
        <v>547</v>
      </c>
      <c r="E343" s="57" t="s">
        <v>560</v>
      </c>
      <c r="F343" s="57" t="s">
        <v>548</v>
      </c>
      <c r="G343" s="57" t="s">
        <v>326</v>
      </c>
      <c r="H343" s="57" t="s">
        <v>585</v>
      </c>
      <c r="I343" s="57"/>
      <c r="J343" s="57"/>
      <c r="K343" s="57">
        <v>3</v>
      </c>
      <c r="L343" s="57"/>
      <c r="M343" s="57">
        <f>646.9+189.6</f>
        <v>836.5</v>
      </c>
      <c r="N343" s="57"/>
      <c r="O343" s="57">
        <v>0.25</v>
      </c>
      <c r="P343" s="62">
        <f>RawData[[#This Row],[Value_USD_M]]*RawData[[#This Row],[Share_Est]]</f>
        <v>209.125</v>
      </c>
      <c r="Q343" s="57"/>
      <c r="R343" s="57"/>
      <c r="S343" s="58"/>
    </row>
    <row r="344" spans="2:19" x14ac:dyDescent="0.3">
      <c r="B344" s="56" t="s">
        <v>608</v>
      </c>
      <c r="C344" s="57">
        <v>2024</v>
      </c>
      <c r="D344" s="57" t="s">
        <v>547</v>
      </c>
      <c r="E344" s="57" t="s">
        <v>560</v>
      </c>
      <c r="F344" s="57" t="s">
        <v>549</v>
      </c>
      <c r="G344" s="57" t="s">
        <v>337</v>
      </c>
      <c r="H344" s="57" t="s">
        <v>553</v>
      </c>
      <c r="I344" s="57" t="s">
        <v>562</v>
      </c>
      <c r="J344" s="57"/>
      <c r="K344" s="57"/>
      <c r="L344" s="57"/>
      <c r="M344" s="57">
        <v>310.8</v>
      </c>
      <c r="N344" s="57"/>
      <c r="O344" s="57">
        <v>0.85</v>
      </c>
      <c r="P344" s="62">
        <f>RawData[[#This Row],[Value_USD_M]]*RawData[[#This Row],[Share_Est]]</f>
        <v>264.18</v>
      </c>
      <c r="Q344" s="57"/>
      <c r="R344" s="57"/>
      <c r="S344" s="58"/>
    </row>
    <row r="345" spans="2:19" x14ac:dyDescent="0.3">
      <c r="B345" s="56" t="s">
        <v>608</v>
      </c>
      <c r="C345" s="57">
        <v>2024</v>
      </c>
      <c r="D345" s="57" t="s">
        <v>547</v>
      </c>
      <c r="E345" s="57" t="s">
        <v>560</v>
      </c>
      <c r="F345" s="57" t="s">
        <v>549</v>
      </c>
      <c r="G345" s="57" t="s">
        <v>583</v>
      </c>
      <c r="H345" s="57" t="s">
        <v>611</v>
      </c>
      <c r="I345" s="57" t="s">
        <v>564</v>
      </c>
      <c r="J345" s="57"/>
      <c r="K345" s="57"/>
      <c r="L345" s="57"/>
      <c r="M345" s="57">
        <v>310.8</v>
      </c>
      <c r="N345" s="57"/>
      <c r="O345" s="57">
        <v>0.15</v>
      </c>
      <c r="P345" s="62">
        <f>RawData[[#This Row],[Value_USD_M]]*RawData[[#This Row],[Share_Est]]</f>
        <v>46.62</v>
      </c>
      <c r="Q345" s="57"/>
      <c r="R345" s="57"/>
      <c r="S345" s="58"/>
    </row>
    <row r="346" spans="2:19" x14ac:dyDescent="0.3">
      <c r="B346" s="56" t="s">
        <v>608</v>
      </c>
      <c r="C346" s="57">
        <v>2025</v>
      </c>
      <c r="D346" s="57" t="s">
        <v>547</v>
      </c>
      <c r="E346" s="57" t="s">
        <v>560</v>
      </c>
      <c r="F346" s="57" t="s">
        <v>549</v>
      </c>
      <c r="G346" s="57" t="s">
        <v>337</v>
      </c>
      <c r="H346" s="57" t="s">
        <v>553</v>
      </c>
      <c r="I346" s="57" t="s">
        <v>562</v>
      </c>
      <c r="J346" s="57"/>
      <c r="K346" s="57"/>
      <c r="L346" s="57"/>
      <c r="M346" s="57">
        <v>356.9</v>
      </c>
      <c r="N346" s="57"/>
      <c r="O346" s="57">
        <v>0.85</v>
      </c>
      <c r="P346" s="62">
        <f>RawData[[#This Row],[Value_USD_M]]*RawData[[#This Row],[Share_Est]]</f>
        <v>303.36499999999995</v>
      </c>
      <c r="Q346" s="57"/>
      <c r="R346" s="57"/>
      <c r="S346" s="58"/>
    </row>
    <row r="347" spans="2:19" x14ac:dyDescent="0.3">
      <c r="B347" s="56" t="s">
        <v>608</v>
      </c>
      <c r="C347" s="57">
        <v>2025</v>
      </c>
      <c r="D347" s="57" t="s">
        <v>547</v>
      </c>
      <c r="E347" s="57" t="s">
        <v>560</v>
      </c>
      <c r="F347" s="57" t="s">
        <v>549</v>
      </c>
      <c r="G347" s="57" t="s">
        <v>583</v>
      </c>
      <c r="H347" s="57" t="s">
        <v>611</v>
      </c>
      <c r="I347" s="57" t="s">
        <v>564</v>
      </c>
      <c r="J347" s="57"/>
      <c r="K347" s="57"/>
      <c r="L347" s="57"/>
      <c r="M347" s="57">
        <v>356.9</v>
      </c>
      <c r="N347" s="57"/>
      <c r="O347" s="57">
        <v>0.15</v>
      </c>
      <c r="P347" s="62">
        <f>RawData[[#This Row],[Value_USD_M]]*RawData[[#This Row],[Share_Est]]</f>
        <v>53.534999999999997</v>
      </c>
      <c r="Q347" s="57"/>
      <c r="R347" s="57"/>
      <c r="S347" s="58"/>
    </row>
    <row r="348" spans="2:19" x14ac:dyDescent="0.3">
      <c r="B348" s="56" t="s">
        <v>608</v>
      </c>
      <c r="C348" s="57">
        <v>2026</v>
      </c>
      <c r="D348" s="57" t="s">
        <v>547</v>
      </c>
      <c r="E348" s="57" t="s">
        <v>560</v>
      </c>
      <c r="F348" s="57" t="s">
        <v>549</v>
      </c>
      <c r="G348" s="57" t="s">
        <v>337</v>
      </c>
      <c r="H348" s="57" t="s">
        <v>553</v>
      </c>
      <c r="I348" s="57" t="s">
        <v>562</v>
      </c>
      <c r="J348" s="57"/>
      <c r="K348" s="57"/>
      <c r="L348" s="57"/>
      <c r="M348" s="57">
        <v>369.9</v>
      </c>
      <c r="N348" s="57"/>
      <c r="O348" s="57">
        <v>0.85</v>
      </c>
      <c r="P348" s="62">
        <f>RawData[[#This Row],[Value_USD_M]]*RawData[[#This Row],[Share_Est]]</f>
        <v>314.41499999999996</v>
      </c>
      <c r="Q348" s="57"/>
      <c r="R348" s="57"/>
      <c r="S348" s="58"/>
    </row>
    <row r="349" spans="2:19" x14ac:dyDescent="0.3">
      <c r="B349" s="56" t="s">
        <v>608</v>
      </c>
      <c r="C349" s="57">
        <v>2026</v>
      </c>
      <c r="D349" s="57" t="s">
        <v>547</v>
      </c>
      <c r="E349" s="57" t="s">
        <v>560</v>
      </c>
      <c r="F349" s="57" t="s">
        <v>549</v>
      </c>
      <c r="G349" s="57" t="s">
        <v>583</v>
      </c>
      <c r="H349" s="57" t="s">
        <v>611</v>
      </c>
      <c r="I349" s="57" t="s">
        <v>564</v>
      </c>
      <c r="J349" s="57"/>
      <c r="K349" s="57"/>
      <c r="L349" s="57"/>
      <c r="M349" s="57">
        <v>369.9</v>
      </c>
      <c r="N349" s="57"/>
      <c r="O349" s="57">
        <v>0.15</v>
      </c>
      <c r="P349" s="62">
        <f>RawData[[#This Row],[Value_USD_M]]*RawData[[#This Row],[Share_Est]]</f>
        <v>55.484999999999992</v>
      </c>
      <c r="Q349" s="57"/>
      <c r="R349" s="57"/>
      <c r="S349" s="58"/>
    </row>
    <row r="350" spans="2:19" x14ac:dyDescent="0.3">
      <c r="B350" s="56" t="s">
        <v>608</v>
      </c>
      <c r="C350" s="57">
        <v>2024</v>
      </c>
      <c r="D350" s="57" t="s">
        <v>547</v>
      </c>
      <c r="E350" s="57" t="s">
        <v>560</v>
      </c>
      <c r="F350" s="57" t="s">
        <v>548</v>
      </c>
      <c r="G350" s="57" t="s">
        <v>337</v>
      </c>
      <c r="H350" s="57" t="s">
        <v>553</v>
      </c>
      <c r="I350" s="57" t="s">
        <v>562</v>
      </c>
      <c r="J350" s="57"/>
      <c r="K350" s="57"/>
      <c r="L350" s="57"/>
      <c r="M350" s="57">
        <v>1488.2</v>
      </c>
      <c r="N350" s="57"/>
      <c r="O350" s="57">
        <v>0.85</v>
      </c>
      <c r="P350" s="62">
        <f>RawData[[#This Row],[Value_USD_M]]*RawData[[#This Row],[Share_Est]]</f>
        <v>1264.97</v>
      </c>
      <c r="Q350" s="57"/>
      <c r="R350" s="57"/>
      <c r="S350" s="58"/>
    </row>
    <row r="351" spans="2:19" x14ac:dyDescent="0.3">
      <c r="B351" s="56" t="s">
        <v>608</v>
      </c>
      <c r="C351" s="57">
        <v>2024</v>
      </c>
      <c r="D351" s="57" t="s">
        <v>547</v>
      </c>
      <c r="E351" s="57" t="s">
        <v>560</v>
      </c>
      <c r="F351" s="57" t="s">
        <v>548</v>
      </c>
      <c r="G351" s="57" t="s">
        <v>583</v>
      </c>
      <c r="H351" s="57" t="s">
        <v>611</v>
      </c>
      <c r="I351" s="57" t="s">
        <v>564</v>
      </c>
      <c r="J351" s="57"/>
      <c r="K351" s="57"/>
      <c r="L351" s="57"/>
      <c r="M351" s="57">
        <v>1488.2</v>
      </c>
      <c r="N351" s="57"/>
      <c r="O351" s="57">
        <v>0.15</v>
      </c>
      <c r="P351" s="62">
        <f>RawData[[#This Row],[Value_USD_M]]*RawData[[#This Row],[Share_Est]]</f>
        <v>223.23</v>
      </c>
      <c r="Q351" s="57"/>
      <c r="R351" s="57"/>
      <c r="S351" s="58"/>
    </row>
    <row r="352" spans="2:19" x14ac:dyDescent="0.3">
      <c r="B352" s="56" t="s">
        <v>608</v>
      </c>
      <c r="C352" s="57">
        <v>2025</v>
      </c>
      <c r="D352" s="57" t="s">
        <v>547</v>
      </c>
      <c r="E352" s="57" t="s">
        <v>560</v>
      </c>
      <c r="F352" s="57" t="s">
        <v>548</v>
      </c>
      <c r="G352" s="57" t="s">
        <v>337</v>
      </c>
      <c r="H352" s="57" t="s">
        <v>553</v>
      </c>
      <c r="I352" s="57" t="s">
        <v>562</v>
      </c>
      <c r="J352" s="57"/>
      <c r="K352" s="57"/>
      <c r="L352" s="57"/>
      <c r="M352" s="57">
        <v>1303.2</v>
      </c>
      <c r="N352" s="57"/>
      <c r="O352" s="57">
        <v>0.85</v>
      </c>
      <c r="P352" s="62">
        <f>RawData[[#This Row],[Value_USD_M]]*RawData[[#This Row],[Share_Est]]</f>
        <v>1107.72</v>
      </c>
      <c r="Q352" s="57"/>
      <c r="R352" s="57"/>
      <c r="S352" s="58"/>
    </row>
    <row r="353" spans="2:19" x14ac:dyDescent="0.3">
      <c r="B353" s="56" t="s">
        <v>608</v>
      </c>
      <c r="C353" s="57">
        <v>2025</v>
      </c>
      <c r="D353" s="57" t="s">
        <v>547</v>
      </c>
      <c r="E353" s="57" t="s">
        <v>560</v>
      </c>
      <c r="F353" s="57" t="s">
        <v>548</v>
      </c>
      <c r="G353" s="57" t="s">
        <v>583</v>
      </c>
      <c r="H353" s="57" t="s">
        <v>611</v>
      </c>
      <c r="I353" s="57" t="s">
        <v>564</v>
      </c>
      <c r="J353" s="57"/>
      <c r="K353" s="57"/>
      <c r="L353" s="57"/>
      <c r="M353" s="57">
        <v>1303.2</v>
      </c>
      <c r="N353" s="57"/>
      <c r="O353" s="57">
        <v>0.15</v>
      </c>
      <c r="P353" s="62">
        <f>RawData[[#This Row],[Value_USD_M]]*RawData[[#This Row],[Share_Est]]</f>
        <v>195.48</v>
      </c>
      <c r="Q353" s="57"/>
      <c r="R353" s="57"/>
      <c r="S353" s="58"/>
    </row>
    <row r="354" spans="2:19" x14ac:dyDescent="0.3">
      <c r="B354" s="56" t="s">
        <v>608</v>
      </c>
      <c r="C354" s="57">
        <v>2026</v>
      </c>
      <c r="D354" s="57" t="s">
        <v>547</v>
      </c>
      <c r="E354" s="57" t="s">
        <v>560</v>
      </c>
      <c r="F354" s="57" t="s">
        <v>548</v>
      </c>
      <c r="G354" s="57" t="s">
        <v>337</v>
      </c>
      <c r="H354" s="57" t="s">
        <v>553</v>
      </c>
      <c r="I354" s="57" t="s">
        <v>562</v>
      </c>
      <c r="J354" s="57"/>
      <c r="K354" s="57"/>
      <c r="L354" s="57"/>
      <c r="M354" s="57">
        <v>1612.4</v>
      </c>
      <c r="N354" s="57"/>
      <c r="O354" s="57">
        <v>0.85</v>
      </c>
      <c r="P354" s="62">
        <f>RawData[[#This Row],[Value_USD_M]]*RawData[[#This Row],[Share_Est]]</f>
        <v>1370.54</v>
      </c>
      <c r="Q354" s="57"/>
      <c r="R354" s="57"/>
      <c r="S354" s="58"/>
    </row>
    <row r="355" spans="2:19" x14ac:dyDescent="0.3">
      <c r="B355" s="56" t="s">
        <v>608</v>
      </c>
      <c r="C355" s="57">
        <v>2026</v>
      </c>
      <c r="D355" s="57" t="s">
        <v>547</v>
      </c>
      <c r="E355" s="57" t="s">
        <v>560</v>
      </c>
      <c r="F355" s="57" t="s">
        <v>548</v>
      </c>
      <c r="G355" s="57" t="s">
        <v>583</v>
      </c>
      <c r="H355" s="57" t="s">
        <v>611</v>
      </c>
      <c r="I355" s="57" t="s">
        <v>564</v>
      </c>
      <c r="L355" s="57"/>
      <c r="M355" s="57">
        <v>1612.4</v>
      </c>
      <c r="O355" s="57">
        <v>0.15</v>
      </c>
      <c r="P355" s="61">
        <f>RawData[[#This Row],[Value_USD_M]]*RawData[[#This Row],[Share_Est]]</f>
        <v>241.86</v>
      </c>
      <c r="S355" s="52"/>
    </row>
    <row r="356" spans="2:19" x14ac:dyDescent="0.3">
      <c r="B356" s="56" t="s">
        <v>612</v>
      </c>
      <c r="C356" s="57">
        <v>2024</v>
      </c>
      <c r="D356" s="57" t="s">
        <v>547</v>
      </c>
      <c r="E356" s="57" t="s">
        <v>560</v>
      </c>
      <c r="F356" s="57" t="s">
        <v>549</v>
      </c>
      <c r="G356" s="57" t="s">
        <v>324</v>
      </c>
      <c r="H356" s="57" t="s">
        <v>590</v>
      </c>
      <c r="I356" s="57"/>
      <c r="J356" s="57"/>
      <c r="K356" s="57"/>
      <c r="L356" s="57"/>
      <c r="M356" s="57">
        <v>365.2</v>
      </c>
      <c r="N356" s="57"/>
      <c r="O356" s="57">
        <v>0.7</v>
      </c>
      <c r="P356" s="62">
        <f>RawData[[#This Row],[Value_USD_M]]*RawData[[#This Row],[Share_Est]]</f>
        <v>255.64</v>
      </c>
      <c r="Q356" s="57"/>
      <c r="R356" s="57"/>
      <c r="S356" s="58"/>
    </row>
    <row r="357" spans="2:19" x14ac:dyDescent="0.3">
      <c r="B357" s="56" t="s">
        <v>612</v>
      </c>
      <c r="C357" s="57">
        <v>2024</v>
      </c>
      <c r="D357" s="57" t="s">
        <v>547</v>
      </c>
      <c r="E357" s="57" t="s">
        <v>560</v>
      </c>
      <c r="F357" s="57" t="s">
        <v>549</v>
      </c>
      <c r="G357" s="57" t="s">
        <v>578</v>
      </c>
      <c r="H357" s="57" t="s">
        <v>579</v>
      </c>
      <c r="I357" s="57"/>
      <c r="J357" s="57"/>
      <c r="K357" s="57"/>
      <c r="L357" s="57"/>
      <c r="M357" s="57">
        <v>365.2</v>
      </c>
      <c r="N357" s="57"/>
      <c r="O357" s="57">
        <v>0.15</v>
      </c>
      <c r="P357" s="62">
        <f>RawData[[#This Row],[Value_USD_M]]*RawData[[#This Row],[Share_Est]]</f>
        <v>54.779999999999994</v>
      </c>
      <c r="Q357" s="57"/>
      <c r="R357" s="57"/>
      <c r="S357" s="58"/>
    </row>
    <row r="358" spans="2:19" x14ac:dyDescent="0.3">
      <c r="B358" s="56" t="s">
        <v>612</v>
      </c>
      <c r="C358" s="57">
        <v>2024</v>
      </c>
      <c r="D358" s="57" t="s">
        <v>547</v>
      </c>
      <c r="E358" s="57" t="s">
        <v>560</v>
      </c>
      <c r="F358" s="57" t="s">
        <v>549</v>
      </c>
      <c r="G358" s="57" t="s">
        <v>326</v>
      </c>
      <c r="H358" s="57" t="s">
        <v>585</v>
      </c>
      <c r="I358" s="57"/>
      <c r="J358" s="57"/>
      <c r="K358" s="57"/>
      <c r="L358" s="57"/>
      <c r="M358" s="57">
        <v>365.2</v>
      </c>
      <c r="N358" s="57"/>
      <c r="O358" s="57">
        <v>0.15</v>
      </c>
      <c r="P358" s="62">
        <f>RawData[[#This Row],[Value_USD_M]]*RawData[[#This Row],[Share_Est]]</f>
        <v>54.779999999999994</v>
      </c>
      <c r="Q358" s="57"/>
      <c r="R358" s="57"/>
      <c r="S358" s="58"/>
    </row>
    <row r="359" spans="2:19" x14ac:dyDescent="0.3">
      <c r="B359" s="56" t="s">
        <v>612</v>
      </c>
      <c r="C359" s="57">
        <v>2025</v>
      </c>
      <c r="D359" s="57" t="s">
        <v>547</v>
      </c>
      <c r="E359" s="57" t="s">
        <v>560</v>
      </c>
      <c r="F359" s="57" t="s">
        <v>549</v>
      </c>
      <c r="G359" s="57" t="s">
        <v>324</v>
      </c>
      <c r="H359" s="57" t="s">
        <v>590</v>
      </c>
      <c r="I359" s="57"/>
      <c r="J359" s="57"/>
      <c r="K359" s="57"/>
      <c r="L359" s="57"/>
      <c r="M359" s="57">
        <v>288.3</v>
      </c>
      <c r="N359" s="57"/>
      <c r="O359" s="57">
        <v>0.7</v>
      </c>
      <c r="P359" s="62">
        <f>RawData[[#This Row],[Value_USD_M]]*RawData[[#This Row],[Share_Est]]</f>
        <v>201.81</v>
      </c>
      <c r="Q359" s="57"/>
      <c r="R359" s="57"/>
      <c r="S359" s="58"/>
    </row>
    <row r="360" spans="2:19" x14ac:dyDescent="0.3">
      <c r="B360" s="56" t="s">
        <v>612</v>
      </c>
      <c r="C360" s="57">
        <v>2025</v>
      </c>
      <c r="D360" s="57" t="s">
        <v>547</v>
      </c>
      <c r="E360" s="57" t="s">
        <v>560</v>
      </c>
      <c r="F360" s="57" t="s">
        <v>549</v>
      </c>
      <c r="G360" s="57" t="s">
        <v>578</v>
      </c>
      <c r="H360" s="57" t="s">
        <v>579</v>
      </c>
      <c r="I360" s="57"/>
      <c r="J360" s="57"/>
      <c r="K360" s="57"/>
      <c r="L360" s="57"/>
      <c r="M360" s="57">
        <v>288.3</v>
      </c>
      <c r="N360" s="57"/>
      <c r="O360" s="57">
        <v>0.15</v>
      </c>
      <c r="P360" s="62">
        <f>RawData[[#This Row],[Value_USD_M]]*RawData[[#This Row],[Share_Est]]</f>
        <v>43.244999999999997</v>
      </c>
      <c r="Q360" s="57"/>
      <c r="R360" s="57"/>
      <c r="S360" s="58"/>
    </row>
    <row r="361" spans="2:19" x14ac:dyDescent="0.3">
      <c r="B361" s="56" t="s">
        <v>612</v>
      </c>
      <c r="C361" s="57">
        <v>2025</v>
      </c>
      <c r="D361" s="57" t="s">
        <v>547</v>
      </c>
      <c r="E361" s="57" t="s">
        <v>560</v>
      </c>
      <c r="F361" s="57" t="s">
        <v>549</v>
      </c>
      <c r="G361" s="57" t="s">
        <v>326</v>
      </c>
      <c r="H361" s="57" t="s">
        <v>585</v>
      </c>
      <c r="I361" s="57"/>
      <c r="J361" s="57"/>
      <c r="K361" s="57"/>
      <c r="L361" s="57"/>
      <c r="M361" s="57">
        <v>288.3</v>
      </c>
      <c r="N361" s="57"/>
      <c r="O361" s="57">
        <v>0.15</v>
      </c>
      <c r="P361" s="62">
        <f>RawData[[#This Row],[Value_USD_M]]*RawData[[#This Row],[Share_Est]]</f>
        <v>43.244999999999997</v>
      </c>
      <c r="Q361" s="57"/>
      <c r="R361" s="57"/>
      <c r="S361" s="58"/>
    </row>
    <row r="362" spans="2:19" x14ac:dyDescent="0.3">
      <c r="B362" s="56" t="s">
        <v>612</v>
      </c>
      <c r="C362" s="57">
        <v>2026</v>
      </c>
      <c r="D362" s="57" t="s">
        <v>547</v>
      </c>
      <c r="E362" s="57" t="s">
        <v>560</v>
      </c>
      <c r="F362" s="57" t="s">
        <v>549</v>
      </c>
      <c r="G362" s="57" t="s">
        <v>324</v>
      </c>
      <c r="H362" s="57" t="s">
        <v>590</v>
      </c>
      <c r="I362" s="57"/>
      <c r="J362" s="57"/>
      <c r="K362" s="57"/>
      <c r="L362" s="57"/>
      <c r="M362" s="57">
        <v>350.3</v>
      </c>
      <c r="N362" s="57"/>
      <c r="O362" s="57">
        <v>0.7</v>
      </c>
      <c r="P362" s="62">
        <f>RawData[[#This Row],[Value_USD_M]]*RawData[[#This Row],[Share_Est]]</f>
        <v>245.20999999999998</v>
      </c>
      <c r="Q362" s="57"/>
      <c r="R362" s="57"/>
      <c r="S362" s="58"/>
    </row>
    <row r="363" spans="2:19" x14ac:dyDescent="0.3">
      <c r="B363" s="56" t="s">
        <v>612</v>
      </c>
      <c r="C363" s="57">
        <v>2026</v>
      </c>
      <c r="D363" s="57" t="s">
        <v>547</v>
      </c>
      <c r="E363" s="57" t="s">
        <v>560</v>
      </c>
      <c r="F363" s="57" t="s">
        <v>549</v>
      </c>
      <c r="G363" s="57" t="s">
        <v>578</v>
      </c>
      <c r="H363" s="57" t="s">
        <v>579</v>
      </c>
      <c r="I363" s="57"/>
      <c r="J363" s="57"/>
      <c r="K363" s="57"/>
      <c r="L363" s="57"/>
      <c r="M363" s="57">
        <v>350.3</v>
      </c>
      <c r="N363" s="57"/>
      <c r="O363" s="57">
        <v>0.15</v>
      </c>
      <c r="P363" s="62">
        <f>RawData[[#This Row],[Value_USD_M]]*RawData[[#This Row],[Share_Est]]</f>
        <v>52.545000000000002</v>
      </c>
      <c r="Q363" s="57"/>
      <c r="R363" s="57"/>
      <c r="S363" s="58"/>
    </row>
    <row r="364" spans="2:19" x14ac:dyDescent="0.3">
      <c r="B364" s="56" t="s">
        <v>612</v>
      </c>
      <c r="C364" s="57">
        <v>2026</v>
      </c>
      <c r="D364" s="57" t="s">
        <v>547</v>
      </c>
      <c r="E364" s="57" t="s">
        <v>560</v>
      </c>
      <c r="F364" s="57" t="s">
        <v>549</v>
      </c>
      <c r="G364" s="57" t="s">
        <v>326</v>
      </c>
      <c r="H364" s="57" t="s">
        <v>585</v>
      </c>
      <c r="I364" s="57"/>
      <c r="J364" s="57"/>
      <c r="K364" s="57"/>
      <c r="L364" s="57"/>
      <c r="M364" s="57">
        <v>350.3</v>
      </c>
      <c r="N364" s="57"/>
      <c r="O364" s="57">
        <v>0.15</v>
      </c>
      <c r="P364" s="62">
        <f>RawData[[#This Row],[Value_USD_M]]*RawData[[#This Row],[Share_Est]]</f>
        <v>52.545000000000002</v>
      </c>
      <c r="Q364" s="57"/>
      <c r="R364" s="57"/>
      <c r="S364" s="58"/>
    </row>
    <row r="365" spans="2:19" x14ac:dyDescent="0.3">
      <c r="B365" s="56" t="s">
        <v>612</v>
      </c>
      <c r="C365" s="57">
        <v>2024</v>
      </c>
      <c r="D365" s="57" t="s">
        <v>547</v>
      </c>
      <c r="E365" s="57" t="s">
        <v>560</v>
      </c>
      <c r="F365" s="57" t="s">
        <v>548</v>
      </c>
      <c r="G365" s="57" t="s">
        <v>324</v>
      </c>
      <c r="H365" s="57" t="s">
        <v>590</v>
      </c>
      <c r="I365" s="57"/>
      <c r="J365" s="57"/>
      <c r="K365" s="57">
        <v>2</v>
      </c>
      <c r="L365" s="57"/>
      <c r="M365" s="57">
        <v>840.4</v>
      </c>
      <c r="N365" s="57"/>
      <c r="O365" s="57">
        <v>0.7</v>
      </c>
      <c r="P365" s="62">
        <f>RawData[[#This Row],[Value_USD_M]]*RawData[[#This Row],[Share_Est]]</f>
        <v>588.28</v>
      </c>
      <c r="Q365" s="57"/>
      <c r="R365" s="57"/>
      <c r="S365" s="58"/>
    </row>
    <row r="366" spans="2:19" x14ac:dyDescent="0.3">
      <c r="B366" s="56" t="s">
        <v>612</v>
      </c>
      <c r="C366" s="57">
        <v>2024</v>
      </c>
      <c r="D366" s="57" t="s">
        <v>547</v>
      </c>
      <c r="E366" s="57" t="s">
        <v>560</v>
      </c>
      <c r="F366" s="57" t="s">
        <v>548</v>
      </c>
      <c r="G366" s="57" t="s">
        <v>578</v>
      </c>
      <c r="H366" s="57" t="s">
        <v>579</v>
      </c>
      <c r="I366" s="57"/>
      <c r="J366" s="57"/>
      <c r="K366" s="57">
        <v>2</v>
      </c>
      <c r="L366" s="57"/>
      <c r="M366" s="57">
        <v>840.4</v>
      </c>
      <c r="N366" s="57"/>
      <c r="O366" s="57">
        <v>0.15</v>
      </c>
      <c r="P366" s="62">
        <f>RawData[[#This Row],[Value_USD_M]]*RawData[[#This Row],[Share_Est]]</f>
        <v>126.05999999999999</v>
      </c>
      <c r="Q366" s="57"/>
      <c r="R366" s="57"/>
      <c r="S366" s="58"/>
    </row>
    <row r="367" spans="2:19" x14ac:dyDescent="0.3">
      <c r="B367" s="56" t="s">
        <v>612</v>
      </c>
      <c r="C367" s="57">
        <v>2024</v>
      </c>
      <c r="D367" s="57" t="s">
        <v>547</v>
      </c>
      <c r="E367" s="57" t="s">
        <v>560</v>
      </c>
      <c r="F367" s="57" t="s">
        <v>548</v>
      </c>
      <c r="G367" s="57" t="s">
        <v>326</v>
      </c>
      <c r="H367" s="57" t="s">
        <v>585</v>
      </c>
      <c r="I367" s="57"/>
      <c r="J367" s="57"/>
      <c r="K367" s="57">
        <v>2</v>
      </c>
      <c r="L367" s="57"/>
      <c r="M367" s="57">
        <v>840.4</v>
      </c>
      <c r="N367" s="57"/>
      <c r="O367" s="57">
        <v>0.15</v>
      </c>
      <c r="P367" s="62">
        <f>RawData[[#This Row],[Value_USD_M]]*RawData[[#This Row],[Share_Est]]</f>
        <v>126.05999999999999</v>
      </c>
      <c r="Q367" s="57"/>
      <c r="R367" s="57"/>
      <c r="S367" s="58"/>
    </row>
    <row r="368" spans="2:19" x14ac:dyDescent="0.3">
      <c r="B368" s="56" t="s">
        <v>612</v>
      </c>
      <c r="C368" s="57">
        <v>2025</v>
      </c>
      <c r="D368" s="57" t="s">
        <v>547</v>
      </c>
      <c r="E368" s="57" t="s">
        <v>560</v>
      </c>
      <c r="F368" s="57" t="s">
        <v>548</v>
      </c>
      <c r="G368" s="57" t="s">
        <v>324</v>
      </c>
      <c r="H368" s="57" t="s">
        <v>590</v>
      </c>
      <c r="I368" s="57"/>
      <c r="J368" s="57"/>
      <c r="K368" s="57">
        <v>4</v>
      </c>
      <c r="L368" s="57"/>
      <c r="M368" s="57">
        <v>295.7</v>
      </c>
      <c r="N368" s="57"/>
      <c r="O368" s="57">
        <v>0.7</v>
      </c>
      <c r="P368" s="62">
        <f>RawData[[#This Row],[Value_USD_M]]*RawData[[#This Row],[Share_Est]]</f>
        <v>206.98999999999998</v>
      </c>
      <c r="Q368" s="57"/>
      <c r="R368" s="57"/>
      <c r="S368" s="58"/>
    </row>
    <row r="369" spans="2:19" x14ac:dyDescent="0.3">
      <c r="B369" s="56" t="s">
        <v>612</v>
      </c>
      <c r="C369" s="57">
        <v>2025</v>
      </c>
      <c r="D369" s="57" t="s">
        <v>547</v>
      </c>
      <c r="E369" s="57" t="s">
        <v>560</v>
      </c>
      <c r="F369" s="57" t="s">
        <v>548</v>
      </c>
      <c r="G369" s="57" t="s">
        <v>578</v>
      </c>
      <c r="H369" s="57" t="s">
        <v>579</v>
      </c>
      <c r="I369" s="57"/>
      <c r="J369" s="57"/>
      <c r="K369" s="57">
        <v>4</v>
      </c>
      <c r="L369" s="57"/>
      <c r="M369" s="57">
        <v>295.7</v>
      </c>
      <c r="N369" s="57"/>
      <c r="O369" s="57">
        <v>0.15</v>
      </c>
      <c r="P369" s="62">
        <f>RawData[[#This Row],[Value_USD_M]]*RawData[[#This Row],[Share_Est]]</f>
        <v>44.354999999999997</v>
      </c>
      <c r="Q369" s="57"/>
      <c r="R369" s="57"/>
      <c r="S369" s="58"/>
    </row>
    <row r="370" spans="2:19" x14ac:dyDescent="0.3">
      <c r="B370" s="56" t="s">
        <v>612</v>
      </c>
      <c r="C370" s="57">
        <v>2025</v>
      </c>
      <c r="D370" s="57" t="s">
        <v>547</v>
      </c>
      <c r="E370" s="57" t="s">
        <v>560</v>
      </c>
      <c r="F370" s="57" t="s">
        <v>548</v>
      </c>
      <c r="G370" s="57" t="s">
        <v>326</v>
      </c>
      <c r="H370" s="57" t="s">
        <v>585</v>
      </c>
      <c r="I370" s="57"/>
      <c r="J370" s="57"/>
      <c r="K370" s="57">
        <v>4</v>
      </c>
      <c r="L370" s="57"/>
      <c r="M370" s="57">
        <v>295.7</v>
      </c>
      <c r="N370" s="57"/>
      <c r="O370" s="57">
        <v>0.15</v>
      </c>
      <c r="P370" s="62">
        <f>RawData[[#This Row],[Value_USD_M]]*RawData[[#This Row],[Share_Est]]</f>
        <v>44.354999999999997</v>
      </c>
      <c r="Q370" s="57"/>
      <c r="R370" s="57"/>
      <c r="S370" s="58"/>
    </row>
    <row r="371" spans="2:19" x14ac:dyDescent="0.3">
      <c r="B371" s="56" t="s">
        <v>612</v>
      </c>
      <c r="C371" s="57">
        <v>2026</v>
      </c>
      <c r="D371" s="57" t="s">
        <v>547</v>
      </c>
      <c r="E371" s="57" t="s">
        <v>560</v>
      </c>
      <c r="F371" s="57" t="s">
        <v>548</v>
      </c>
      <c r="G371" s="57" t="s">
        <v>324</v>
      </c>
      <c r="H371" s="57" t="s">
        <v>590</v>
      </c>
      <c r="I371" s="57"/>
      <c r="J371" s="57"/>
      <c r="K371" s="57">
        <v>4</v>
      </c>
      <c r="L371" s="57"/>
      <c r="M371" s="57">
        <v>1773.8</v>
      </c>
      <c r="N371" s="57"/>
      <c r="O371" s="57">
        <v>0.7</v>
      </c>
      <c r="P371" s="62">
        <f>RawData[[#This Row],[Value_USD_M]]*RawData[[#This Row],[Share_Est]]</f>
        <v>1241.6599999999999</v>
      </c>
      <c r="Q371" s="57"/>
      <c r="R371" s="57"/>
      <c r="S371" s="58"/>
    </row>
    <row r="372" spans="2:19" x14ac:dyDescent="0.3">
      <c r="B372" s="56" t="s">
        <v>612</v>
      </c>
      <c r="C372" s="57">
        <v>2026</v>
      </c>
      <c r="D372" s="57" t="s">
        <v>547</v>
      </c>
      <c r="E372" s="57" t="s">
        <v>560</v>
      </c>
      <c r="F372" s="57" t="s">
        <v>548</v>
      </c>
      <c r="G372" s="57" t="s">
        <v>578</v>
      </c>
      <c r="H372" s="57" t="s">
        <v>579</v>
      </c>
      <c r="K372" s="57">
        <v>4</v>
      </c>
      <c r="L372" s="57"/>
      <c r="M372" s="57">
        <v>1773.8</v>
      </c>
      <c r="O372" s="57">
        <v>0.15</v>
      </c>
      <c r="P372" s="61">
        <f>RawData[[#This Row],[Value_USD_M]]*RawData[[#This Row],[Share_Est]]</f>
        <v>266.07</v>
      </c>
      <c r="S372" s="52"/>
    </row>
    <row r="373" spans="2:19" x14ac:dyDescent="0.3">
      <c r="B373" s="56" t="s">
        <v>612</v>
      </c>
      <c r="C373" s="57">
        <v>2026</v>
      </c>
      <c r="D373" s="57" t="s">
        <v>547</v>
      </c>
      <c r="E373" s="57" t="s">
        <v>560</v>
      </c>
      <c r="F373" s="57" t="s">
        <v>548</v>
      </c>
      <c r="G373" s="57" t="s">
        <v>326</v>
      </c>
      <c r="H373" s="57" t="s">
        <v>585</v>
      </c>
      <c r="K373" s="57">
        <v>4</v>
      </c>
      <c r="L373" s="57"/>
      <c r="M373" s="57">
        <v>1773.8</v>
      </c>
      <c r="O373" s="57">
        <v>0.15</v>
      </c>
      <c r="P373" s="61">
        <f>RawData[[#This Row],[Value_USD_M]]*RawData[[#This Row],[Share_Est]]</f>
        <v>266.07</v>
      </c>
      <c r="S373" s="52"/>
    </row>
    <row r="374" spans="2:19" x14ac:dyDescent="0.3">
      <c r="B374" s="56" t="s">
        <v>429</v>
      </c>
      <c r="C374" s="57">
        <v>2024</v>
      </c>
      <c r="D374" s="57" t="s">
        <v>582</v>
      </c>
      <c r="E374" s="57" t="s">
        <v>560</v>
      </c>
      <c r="F374" s="57" t="s">
        <v>548</v>
      </c>
      <c r="G374" s="57" t="s">
        <v>381</v>
      </c>
      <c r="H374" s="57"/>
      <c r="I374" s="57"/>
      <c r="J374" s="57"/>
      <c r="K374" s="57">
        <v>13189</v>
      </c>
      <c r="L374" s="57"/>
      <c r="M374" s="57">
        <v>721.4</v>
      </c>
      <c r="N374" s="57"/>
      <c r="O374" s="57">
        <v>0.35</v>
      </c>
      <c r="P374" s="62">
        <f>RawData[[#This Row],[Value_USD_M]]*RawData[[#This Row],[Share_Est]]</f>
        <v>252.48999999999998</v>
      </c>
      <c r="Q374" s="57"/>
      <c r="R374" s="57"/>
      <c r="S374" s="58"/>
    </row>
    <row r="375" spans="2:19" x14ac:dyDescent="0.3">
      <c r="B375" s="56" t="s">
        <v>429</v>
      </c>
      <c r="C375" s="57">
        <v>2024</v>
      </c>
      <c r="D375" s="57" t="s">
        <v>582</v>
      </c>
      <c r="E375" s="57" t="s">
        <v>560</v>
      </c>
      <c r="F375" s="57" t="s">
        <v>548</v>
      </c>
      <c r="G375" s="57" t="s">
        <v>325</v>
      </c>
      <c r="H375" s="57" t="s">
        <v>592</v>
      </c>
      <c r="I375" s="57"/>
      <c r="J375" s="57"/>
      <c r="K375" s="57">
        <v>13189</v>
      </c>
      <c r="L375" s="57"/>
      <c r="M375" s="57">
        <v>721.4</v>
      </c>
      <c r="N375" s="57"/>
      <c r="O375" s="57">
        <v>0.25</v>
      </c>
      <c r="P375" s="62">
        <f>RawData[[#This Row],[Value_USD_M]]*RawData[[#This Row],[Share_Est]]</f>
        <v>180.35</v>
      </c>
      <c r="Q375" s="57"/>
      <c r="R375" s="57"/>
      <c r="S375" s="58"/>
    </row>
    <row r="376" spans="2:19" x14ac:dyDescent="0.3">
      <c r="B376" s="56" t="s">
        <v>429</v>
      </c>
      <c r="C376" s="57">
        <v>2024</v>
      </c>
      <c r="D376" s="57" t="s">
        <v>582</v>
      </c>
      <c r="E376" s="57" t="s">
        <v>560</v>
      </c>
      <c r="F376" s="57" t="s">
        <v>548</v>
      </c>
      <c r="G376" s="57" t="s">
        <v>613</v>
      </c>
      <c r="H376" s="57"/>
      <c r="I376" s="57"/>
      <c r="J376" s="57"/>
      <c r="K376" s="57">
        <v>13189</v>
      </c>
      <c r="L376" s="57"/>
      <c r="M376" s="57">
        <v>721.4</v>
      </c>
      <c r="N376" s="57"/>
      <c r="O376" s="57">
        <v>0.25</v>
      </c>
      <c r="P376" s="62">
        <f>RawData[[#This Row],[Value_USD_M]]*RawData[[#This Row],[Share_Est]]</f>
        <v>180.35</v>
      </c>
      <c r="Q376" s="57"/>
      <c r="R376" s="57"/>
      <c r="S376" s="58"/>
    </row>
    <row r="377" spans="2:19" x14ac:dyDescent="0.3">
      <c r="B377" s="56" t="s">
        <v>429</v>
      </c>
      <c r="C377" s="57">
        <v>2024</v>
      </c>
      <c r="D377" s="57" t="s">
        <v>582</v>
      </c>
      <c r="E377" s="57" t="s">
        <v>560</v>
      </c>
      <c r="F377" s="57" t="s">
        <v>548</v>
      </c>
      <c r="G377" s="57" t="s">
        <v>596</v>
      </c>
      <c r="H377" s="57"/>
      <c r="I377" s="57"/>
      <c r="J377" s="57"/>
      <c r="K377" s="57">
        <v>13189</v>
      </c>
      <c r="L377" s="57"/>
      <c r="M377" s="57">
        <v>721.4</v>
      </c>
      <c r="N377" s="57"/>
      <c r="O377" s="57">
        <v>0.15</v>
      </c>
      <c r="P377" s="62">
        <f>RawData[[#This Row],[Value_USD_M]]*RawData[[#This Row],[Share_Est]]</f>
        <v>108.21</v>
      </c>
      <c r="Q377" s="57"/>
      <c r="R377" s="57"/>
      <c r="S377" s="58"/>
    </row>
    <row r="378" spans="2:19" x14ac:dyDescent="0.3">
      <c r="B378" s="56" t="s">
        <v>429</v>
      </c>
      <c r="C378" s="57">
        <v>2025</v>
      </c>
      <c r="D378" s="57" t="s">
        <v>582</v>
      </c>
      <c r="E378" s="57" t="s">
        <v>560</v>
      </c>
      <c r="F378" s="57" t="s">
        <v>548</v>
      </c>
      <c r="G378" s="57" t="s">
        <v>381</v>
      </c>
      <c r="H378" s="57"/>
      <c r="I378" s="57"/>
      <c r="J378" s="57"/>
      <c r="K378" s="57">
        <v>10206</v>
      </c>
      <c r="L378" s="57"/>
      <c r="M378" s="57">
        <v>649.20000000000005</v>
      </c>
      <c r="N378" s="57"/>
      <c r="O378" s="57">
        <v>0.35</v>
      </c>
      <c r="P378" s="62">
        <f>RawData[[#This Row],[Value_USD_M]]*RawData[[#This Row],[Share_Est]]</f>
        <v>227.22</v>
      </c>
      <c r="Q378" s="57"/>
      <c r="R378" s="57"/>
      <c r="S378" s="58"/>
    </row>
    <row r="379" spans="2:19" x14ac:dyDescent="0.3">
      <c r="B379" s="56" t="s">
        <v>429</v>
      </c>
      <c r="C379" s="57">
        <v>2025</v>
      </c>
      <c r="D379" s="57" t="s">
        <v>582</v>
      </c>
      <c r="E379" s="57" t="s">
        <v>560</v>
      </c>
      <c r="F379" s="57" t="s">
        <v>548</v>
      </c>
      <c r="G379" s="57" t="s">
        <v>325</v>
      </c>
      <c r="H379" s="57" t="s">
        <v>592</v>
      </c>
      <c r="I379" s="57"/>
      <c r="J379" s="57"/>
      <c r="K379" s="57">
        <v>10206</v>
      </c>
      <c r="L379" s="57"/>
      <c r="M379" s="57">
        <v>649.20000000000005</v>
      </c>
      <c r="N379" s="57"/>
      <c r="O379" s="57">
        <v>0.25</v>
      </c>
      <c r="P379" s="62">
        <f>RawData[[#This Row],[Value_USD_M]]*RawData[[#This Row],[Share_Est]]</f>
        <v>162.30000000000001</v>
      </c>
      <c r="Q379" s="57"/>
      <c r="R379" s="57"/>
      <c r="S379" s="58"/>
    </row>
    <row r="380" spans="2:19" x14ac:dyDescent="0.3">
      <c r="B380" s="56" t="s">
        <v>429</v>
      </c>
      <c r="C380" s="57">
        <v>2025</v>
      </c>
      <c r="D380" s="57" t="s">
        <v>582</v>
      </c>
      <c r="E380" s="57" t="s">
        <v>560</v>
      </c>
      <c r="F380" s="57" t="s">
        <v>548</v>
      </c>
      <c r="G380" s="57" t="s">
        <v>613</v>
      </c>
      <c r="H380" s="57"/>
      <c r="I380" s="57"/>
      <c r="J380" s="57"/>
      <c r="K380" s="57">
        <v>10206</v>
      </c>
      <c r="L380" s="57"/>
      <c r="M380" s="57">
        <v>649.20000000000005</v>
      </c>
      <c r="N380" s="57"/>
      <c r="O380" s="57">
        <v>0.25</v>
      </c>
      <c r="P380" s="62">
        <f>RawData[[#This Row],[Value_USD_M]]*RawData[[#This Row],[Share_Est]]</f>
        <v>162.30000000000001</v>
      </c>
      <c r="Q380" s="57"/>
      <c r="R380" s="57"/>
      <c r="S380" s="58"/>
    </row>
    <row r="381" spans="2:19" x14ac:dyDescent="0.3">
      <c r="B381" s="56" t="s">
        <v>429</v>
      </c>
      <c r="C381" s="57">
        <v>2025</v>
      </c>
      <c r="D381" s="57" t="s">
        <v>582</v>
      </c>
      <c r="E381" s="57" t="s">
        <v>560</v>
      </c>
      <c r="F381" s="57" t="s">
        <v>548</v>
      </c>
      <c r="G381" s="57" t="s">
        <v>596</v>
      </c>
      <c r="H381" s="57"/>
      <c r="I381" s="57"/>
      <c r="J381" s="57"/>
      <c r="K381" s="57">
        <v>10206</v>
      </c>
      <c r="L381" s="57"/>
      <c r="M381" s="57">
        <v>649.20000000000005</v>
      </c>
      <c r="N381" s="57"/>
      <c r="O381" s="57">
        <v>0.15</v>
      </c>
      <c r="P381" s="62">
        <f>RawData[[#This Row],[Value_USD_M]]*RawData[[#This Row],[Share_Est]]</f>
        <v>97.38000000000001</v>
      </c>
      <c r="Q381" s="57"/>
      <c r="R381" s="57"/>
      <c r="S381" s="58"/>
    </row>
    <row r="382" spans="2:19" x14ac:dyDescent="0.3">
      <c r="B382" s="56" t="s">
        <v>429</v>
      </c>
      <c r="C382" s="57">
        <v>2026</v>
      </c>
      <c r="D382" s="57" t="s">
        <v>582</v>
      </c>
      <c r="E382" s="57" t="s">
        <v>560</v>
      </c>
      <c r="F382" s="57" t="s">
        <v>548</v>
      </c>
      <c r="G382" s="57" t="s">
        <v>381</v>
      </c>
      <c r="H382" s="57"/>
      <c r="I382" s="57"/>
      <c r="J382" s="57"/>
      <c r="K382" s="57">
        <v>7966</v>
      </c>
      <c r="L382" s="57"/>
      <c r="M382" s="57">
        <v>478.4</v>
      </c>
      <c r="N382" s="57"/>
      <c r="O382" s="57">
        <v>0.35</v>
      </c>
      <c r="P382" s="62">
        <f>RawData[[#This Row],[Value_USD_M]]*RawData[[#This Row],[Share_Est]]</f>
        <v>167.43999999999997</v>
      </c>
      <c r="Q382" s="57"/>
      <c r="R382" s="57"/>
      <c r="S382" s="58"/>
    </row>
    <row r="383" spans="2:19" x14ac:dyDescent="0.3">
      <c r="B383" s="56" t="s">
        <v>429</v>
      </c>
      <c r="C383" s="46">
        <v>2026</v>
      </c>
      <c r="D383" s="57" t="s">
        <v>582</v>
      </c>
      <c r="E383" s="57" t="s">
        <v>560</v>
      </c>
      <c r="F383" s="57" t="s">
        <v>548</v>
      </c>
      <c r="G383" s="57" t="s">
        <v>325</v>
      </c>
      <c r="H383" s="57" t="s">
        <v>592</v>
      </c>
      <c r="K383" s="57">
        <v>7966</v>
      </c>
      <c r="L383" s="57"/>
      <c r="M383" s="57">
        <v>478.4</v>
      </c>
      <c r="O383" s="57">
        <v>0.25</v>
      </c>
      <c r="P383" s="61">
        <f>RawData[[#This Row],[Value_USD_M]]*RawData[[#This Row],[Share_Est]]</f>
        <v>119.6</v>
      </c>
      <c r="S383" s="52"/>
    </row>
    <row r="384" spans="2:19" x14ac:dyDescent="0.3">
      <c r="B384" s="56" t="s">
        <v>429</v>
      </c>
      <c r="C384" s="46">
        <v>2026</v>
      </c>
      <c r="D384" s="57" t="s">
        <v>582</v>
      </c>
      <c r="E384" s="57" t="s">
        <v>560</v>
      </c>
      <c r="F384" s="57" t="s">
        <v>548</v>
      </c>
      <c r="G384" s="57" t="s">
        <v>613</v>
      </c>
      <c r="H384" s="57"/>
      <c r="K384" s="57">
        <v>7966</v>
      </c>
      <c r="L384" s="57"/>
      <c r="M384" s="57">
        <v>478.4</v>
      </c>
      <c r="O384" s="57">
        <v>0.25</v>
      </c>
      <c r="P384" s="61">
        <f>RawData[[#This Row],[Value_USD_M]]*RawData[[#This Row],[Share_Est]]</f>
        <v>119.6</v>
      </c>
      <c r="S384" s="52"/>
    </row>
    <row r="385" spans="2:19" x14ac:dyDescent="0.3">
      <c r="B385" s="56" t="s">
        <v>429</v>
      </c>
      <c r="C385" s="46">
        <v>2026</v>
      </c>
      <c r="D385" s="57" t="s">
        <v>582</v>
      </c>
      <c r="E385" s="57" t="s">
        <v>560</v>
      </c>
      <c r="F385" s="57" t="s">
        <v>548</v>
      </c>
      <c r="G385" s="57" t="s">
        <v>596</v>
      </c>
      <c r="H385" s="57"/>
      <c r="K385" s="57">
        <v>7966</v>
      </c>
      <c r="L385" s="57"/>
      <c r="M385" s="57">
        <v>478.4</v>
      </c>
      <c r="O385" s="57">
        <v>0.15</v>
      </c>
      <c r="P385" s="61">
        <f>RawData[[#This Row],[Value_USD_M]]*RawData[[#This Row],[Share_Est]]</f>
        <v>71.759999999999991</v>
      </c>
      <c r="S385" s="52"/>
    </row>
    <row r="386" spans="2:19" x14ac:dyDescent="0.3">
      <c r="B386" s="56" t="s">
        <v>614</v>
      </c>
      <c r="C386" s="57">
        <v>2024</v>
      </c>
      <c r="D386" s="57" t="s">
        <v>615</v>
      </c>
      <c r="E386" s="57" t="s">
        <v>560</v>
      </c>
      <c r="F386" s="57" t="s">
        <v>549</v>
      </c>
      <c r="G386" s="57" t="s">
        <v>616</v>
      </c>
      <c r="H386" s="57" t="s">
        <v>617</v>
      </c>
      <c r="I386" s="57"/>
      <c r="J386" s="57"/>
      <c r="K386" s="57"/>
      <c r="L386" s="57"/>
      <c r="M386" s="57">
        <v>181</v>
      </c>
      <c r="N386" s="57"/>
      <c r="O386" s="57">
        <v>1</v>
      </c>
      <c r="P386" s="62">
        <f>RawData[[#This Row],[Value_USD_M]]*RawData[[#This Row],[Share_Est]]</f>
        <v>181</v>
      </c>
      <c r="Q386" s="57"/>
      <c r="R386" s="57"/>
      <c r="S386" s="58"/>
    </row>
    <row r="387" spans="2:19" x14ac:dyDescent="0.3">
      <c r="B387" s="56" t="s">
        <v>614</v>
      </c>
      <c r="C387" s="57">
        <v>2025</v>
      </c>
      <c r="D387" s="57" t="s">
        <v>615</v>
      </c>
      <c r="E387" s="57" t="s">
        <v>560</v>
      </c>
      <c r="F387" s="57" t="s">
        <v>549</v>
      </c>
      <c r="G387" s="57" t="s">
        <v>616</v>
      </c>
      <c r="H387" s="57" t="s">
        <v>617</v>
      </c>
      <c r="I387" s="57"/>
      <c r="J387" s="57"/>
      <c r="K387" s="57"/>
      <c r="L387" s="57"/>
      <c r="M387" s="57">
        <v>251.7</v>
      </c>
      <c r="N387" s="57"/>
      <c r="O387" s="57">
        <v>1</v>
      </c>
      <c r="P387" s="62">
        <f>RawData[[#This Row],[Value_USD_M]]*RawData[[#This Row],[Share_Est]]</f>
        <v>251.7</v>
      </c>
      <c r="Q387" s="57"/>
      <c r="R387" s="57"/>
      <c r="S387" s="58"/>
    </row>
    <row r="388" spans="2:19" x14ac:dyDescent="0.3">
      <c r="B388" s="56" t="s">
        <v>614</v>
      </c>
      <c r="C388" s="57">
        <v>2026</v>
      </c>
      <c r="D388" s="57" t="s">
        <v>615</v>
      </c>
      <c r="E388" s="57" t="s">
        <v>560</v>
      </c>
      <c r="F388" s="57" t="s">
        <v>549</v>
      </c>
      <c r="G388" s="57" t="s">
        <v>616</v>
      </c>
      <c r="H388" s="57" t="s">
        <v>617</v>
      </c>
      <c r="I388" s="57"/>
      <c r="J388" s="57"/>
      <c r="K388" s="57"/>
      <c r="L388" s="57"/>
      <c r="M388" s="57">
        <v>723.5</v>
      </c>
      <c r="N388" s="57"/>
      <c r="O388" s="57">
        <v>1</v>
      </c>
      <c r="P388" s="62">
        <f>RawData[[#This Row],[Value_USD_M]]*RawData[[#This Row],[Share_Est]]</f>
        <v>723.5</v>
      </c>
      <c r="Q388" s="57"/>
      <c r="R388" s="57"/>
      <c r="S388" s="58"/>
    </row>
    <row r="389" spans="2:19" x14ac:dyDescent="0.3">
      <c r="B389" s="56" t="s">
        <v>614</v>
      </c>
      <c r="C389" s="57">
        <v>2024</v>
      </c>
      <c r="D389" s="57" t="s">
        <v>615</v>
      </c>
      <c r="E389" s="57" t="s">
        <v>560</v>
      </c>
      <c r="F389" s="57" t="s">
        <v>548</v>
      </c>
      <c r="G389" s="57" t="s">
        <v>616</v>
      </c>
      <c r="H389" s="57" t="s">
        <v>617</v>
      </c>
      <c r="I389" s="57"/>
      <c r="J389" s="57"/>
      <c r="K389" s="57">
        <v>100</v>
      </c>
      <c r="L389" s="57"/>
      <c r="M389" s="57">
        <v>1240.3</v>
      </c>
      <c r="N389" s="57"/>
      <c r="O389" s="57">
        <v>1</v>
      </c>
      <c r="P389" s="62">
        <f>RawData[[#This Row],[Value_USD_M]]*RawData[[#This Row],[Share_Est]]</f>
        <v>1240.3</v>
      </c>
      <c r="Q389" s="57"/>
      <c r="R389" s="57"/>
      <c r="S389" s="58"/>
    </row>
    <row r="390" spans="2:19" x14ac:dyDescent="0.3">
      <c r="B390" s="56" t="s">
        <v>614</v>
      </c>
      <c r="C390" s="57">
        <v>2025</v>
      </c>
      <c r="D390" s="57" t="s">
        <v>615</v>
      </c>
      <c r="E390" s="57" t="s">
        <v>560</v>
      </c>
      <c r="F390" s="46" t="s">
        <v>548</v>
      </c>
      <c r="G390" s="57" t="s">
        <v>616</v>
      </c>
      <c r="H390" s="57" t="s">
        <v>617</v>
      </c>
      <c r="K390" s="46">
        <v>30</v>
      </c>
      <c r="M390" s="46">
        <v>799.7</v>
      </c>
      <c r="O390" s="57">
        <v>1</v>
      </c>
      <c r="P390" s="61">
        <f>RawData[[#This Row],[Value_USD_M]]*RawData[[#This Row],[Share_Est]]</f>
        <v>799.7</v>
      </c>
      <c r="S390" s="52"/>
    </row>
    <row r="391" spans="2:19" x14ac:dyDescent="0.3">
      <c r="B391" s="56" t="s">
        <v>614</v>
      </c>
      <c r="C391" s="57">
        <v>2026</v>
      </c>
      <c r="D391" s="57" t="s">
        <v>615</v>
      </c>
      <c r="E391" s="57" t="s">
        <v>560</v>
      </c>
      <c r="F391" s="46" t="s">
        <v>548</v>
      </c>
      <c r="G391" s="57" t="s">
        <v>616</v>
      </c>
      <c r="H391" s="57" t="s">
        <v>617</v>
      </c>
      <c r="K391" s="46">
        <v>30</v>
      </c>
      <c r="M391" s="46">
        <v>740.5</v>
      </c>
      <c r="O391" s="57">
        <v>1</v>
      </c>
      <c r="P391" s="61">
        <f>RawData[[#This Row],[Value_USD_M]]*RawData[[#This Row],[Share_Est]]</f>
        <v>740.5</v>
      </c>
      <c r="S391" s="52"/>
    </row>
    <row r="392" spans="2:19" x14ac:dyDescent="0.3">
      <c r="B392" s="56" t="s">
        <v>434</v>
      </c>
      <c r="C392" s="57">
        <v>2024</v>
      </c>
      <c r="D392" s="57" t="s">
        <v>615</v>
      </c>
      <c r="E392" s="57" t="s">
        <v>560</v>
      </c>
      <c r="F392" s="57" t="s">
        <v>549</v>
      </c>
      <c r="G392" s="57" t="s">
        <v>26</v>
      </c>
      <c r="H392" s="57" t="s">
        <v>650</v>
      </c>
      <c r="I392" s="57"/>
      <c r="J392" s="57"/>
      <c r="K392" s="57"/>
      <c r="L392" s="57"/>
      <c r="M392" s="57">
        <v>11.9</v>
      </c>
      <c r="N392" s="57"/>
      <c r="O392" s="57">
        <v>1</v>
      </c>
      <c r="P392" s="62">
        <f>RawData[[#This Row],[Value_USD_M]]*RawData[[#This Row],[Share_Est]]</f>
        <v>11.9</v>
      </c>
      <c r="Q392" s="57"/>
      <c r="R392" s="57"/>
      <c r="S392" s="58"/>
    </row>
    <row r="393" spans="2:19" x14ac:dyDescent="0.3">
      <c r="B393" s="56" t="s">
        <v>434</v>
      </c>
      <c r="C393" s="57">
        <v>2025</v>
      </c>
      <c r="D393" s="57" t="s">
        <v>615</v>
      </c>
      <c r="E393" s="57" t="s">
        <v>560</v>
      </c>
      <c r="F393" s="57" t="s">
        <v>549</v>
      </c>
      <c r="G393" s="57" t="s">
        <v>26</v>
      </c>
      <c r="H393" s="57" t="s">
        <v>650</v>
      </c>
      <c r="I393" s="57"/>
      <c r="J393" s="57"/>
      <c r="K393" s="57"/>
      <c r="L393" s="57"/>
      <c r="M393" s="57">
        <v>12.3</v>
      </c>
      <c r="N393" s="57"/>
      <c r="O393" s="57">
        <v>1</v>
      </c>
      <c r="P393" s="62">
        <f>RawData[[#This Row],[Value_USD_M]]*RawData[[#This Row],[Share_Est]]</f>
        <v>12.3</v>
      </c>
      <c r="Q393" s="57"/>
      <c r="R393" s="57"/>
      <c r="S393" s="58"/>
    </row>
    <row r="394" spans="2:19" x14ac:dyDescent="0.3">
      <c r="B394" s="56" t="s">
        <v>434</v>
      </c>
      <c r="C394" s="57">
        <v>2026</v>
      </c>
      <c r="D394" s="57" t="s">
        <v>615</v>
      </c>
      <c r="E394" s="57" t="s">
        <v>560</v>
      </c>
      <c r="F394" s="57" t="s">
        <v>549</v>
      </c>
      <c r="G394" s="57" t="s">
        <v>26</v>
      </c>
      <c r="H394" s="57" t="s">
        <v>650</v>
      </c>
      <c r="I394" s="57"/>
      <c r="J394" s="57"/>
      <c r="K394" s="57"/>
      <c r="L394" s="57"/>
      <c r="M394" s="57">
        <v>10.8</v>
      </c>
      <c r="N394" s="57"/>
      <c r="O394" s="57">
        <v>1</v>
      </c>
      <c r="P394" s="62">
        <f>RawData[[#This Row],[Value_USD_M]]*RawData[[#This Row],[Share_Est]]</f>
        <v>10.8</v>
      </c>
      <c r="Q394" s="57"/>
      <c r="R394" s="57"/>
      <c r="S394" s="58"/>
    </row>
    <row r="395" spans="2:19" x14ac:dyDescent="0.3">
      <c r="B395" s="56" t="s">
        <v>434</v>
      </c>
      <c r="C395" s="57">
        <v>2024</v>
      </c>
      <c r="D395" s="57" t="s">
        <v>615</v>
      </c>
      <c r="E395" s="57" t="s">
        <v>560</v>
      </c>
      <c r="F395" s="57" t="s">
        <v>548</v>
      </c>
      <c r="G395" s="57" t="s">
        <v>26</v>
      </c>
      <c r="H395" s="57" t="s">
        <v>650</v>
      </c>
      <c r="I395" s="57"/>
      <c r="J395" s="57"/>
      <c r="K395" s="57">
        <v>57</v>
      </c>
      <c r="L395" s="57"/>
      <c r="M395" s="57">
        <v>592</v>
      </c>
      <c r="N395" s="57"/>
      <c r="O395" s="57">
        <v>1</v>
      </c>
      <c r="P395" s="62">
        <f>RawData[[#This Row],[Value_USD_M]]*RawData[[#This Row],[Share_Est]]</f>
        <v>592</v>
      </c>
      <c r="Q395" s="57"/>
      <c r="R395" s="57"/>
      <c r="S395" s="58"/>
    </row>
    <row r="396" spans="2:19" x14ac:dyDescent="0.3">
      <c r="B396" s="56" t="s">
        <v>434</v>
      </c>
      <c r="C396" s="57">
        <v>2025</v>
      </c>
      <c r="D396" s="57" t="s">
        <v>615</v>
      </c>
      <c r="E396" s="57" t="s">
        <v>560</v>
      </c>
      <c r="F396" s="57" t="s">
        <v>548</v>
      </c>
      <c r="G396" s="57" t="s">
        <v>26</v>
      </c>
      <c r="H396" s="57" t="s">
        <v>650</v>
      </c>
      <c r="I396" s="57"/>
      <c r="J396" s="57"/>
      <c r="K396" s="57">
        <v>56</v>
      </c>
      <c r="L396" s="57"/>
      <c r="M396" s="57">
        <v>381.5</v>
      </c>
      <c r="N396" s="57"/>
      <c r="O396" s="57">
        <v>1</v>
      </c>
      <c r="P396" s="62">
        <f>RawData[[#This Row],[Value_USD_M]]*RawData[[#This Row],[Share_Est]]</f>
        <v>381.5</v>
      </c>
      <c r="Q396" s="57"/>
      <c r="R396" s="57"/>
      <c r="S396" s="58"/>
    </row>
    <row r="397" spans="2:19" x14ac:dyDescent="0.3">
      <c r="B397" s="56" t="s">
        <v>434</v>
      </c>
      <c r="C397" s="57">
        <v>2026</v>
      </c>
      <c r="D397" s="57" t="s">
        <v>615</v>
      </c>
      <c r="E397" s="57" t="s">
        <v>560</v>
      </c>
      <c r="F397" s="57" t="s">
        <v>548</v>
      </c>
      <c r="G397" s="57" t="s">
        <v>26</v>
      </c>
      <c r="H397" s="57" t="s">
        <v>650</v>
      </c>
      <c r="I397" s="57"/>
      <c r="J397" s="57"/>
      <c r="K397" s="57">
        <v>86</v>
      </c>
      <c r="L397" s="57"/>
      <c r="M397" s="57">
        <v>554.6</v>
      </c>
      <c r="N397" s="57"/>
      <c r="O397" s="57">
        <v>1</v>
      </c>
      <c r="P397" s="62">
        <f>RawData[[#This Row],[Value_USD_M]]*RawData[[#This Row],[Share_Est]]</f>
        <v>554.6</v>
      </c>
      <c r="Q397" s="57"/>
      <c r="R397" s="57"/>
      <c r="S397" s="58"/>
    </row>
    <row r="398" spans="2:19" x14ac:dyDescent="0.3">
      <c r="B398" s="56" t="s">
        <v>436</v>
      </c>
      <c r="C398" s="57">
        <v>2024</v>
      </c>
      <c r="D398" s="57" t="s">
        <v>615</v>
      </c>
      <c r="E398" s="57" t="s">
        <v>560</v>
      </c>
      <c r="F398" s="57" t="s">
        <v>549</v>
      </c>
      <c r="G398" s="57" t="s">
        <v>26</v>
      </c>
      <c r="H398" s="57" t="s">
        <v>650</v>
      </c>
      <c r="I398" s="57"/>
      <c r="J398" s="57"/>
      <c r="K398" s="57"/>
      <c r="L398" s="57"/>
      <c r="M398" s="57">
        <v>40.9</v>
      </c>
      <c r="N398" s="57"/>
      <c r="O398" s="57">
        <v>1</v>
      </c>
      <c r="P398" s="62">
        <f>RawData[[#This Row],[Value_USD_M]]*RawData[[#This Row],[Share_Est]]</f>
        <v>40.9</v>
      </c>
      <c r="Q398" s="57"/>
      <c r="R398" s="57"/>
      <c r="S398" s="58"/>
    </row>
    <row r="399" spans="2:19" x14ac:dyDescent="0.3">
      <c r="B399" s="56" t="s">
        <v>436</v>
      </c>
      <c r="C399" s="57">
        <v>2025</v>
      </c>
      <c r="D399" s="57" t="s">
        <v>615</v>
      </c>
      <c r="E399" s="57" t="s">
        <v>560</v>
      </c>
      <c r="F399" s="57" t="s">
        <v>549</v>
      </c>
      <c r="G399" s="57" t="s">
        <v>26</v>
      </c>
      <c r="H399" s="57" t="s">
        <v>650</v>
      </c>
      <c r="I399" s="57"/>
      <c r="J399" s="57"/>
      <c r="K399" s="57"/>
      <c r="L399" s="57"/>
      <c r="M399" s="57">
        <v>42.5</v>
      </c>
      <c r="N399" s="57"/>
      <c r="O399" s="57">
        <v>1</v>
      </c>
      <c r="P399" s="62">
        <f>RawData[[#This Row],[Value_USD_M]]*RawData[[#This Row],[Share_Est]]</f>
        <v>42.5</v>
      </c>
      <c r="Q399" s="57"/>
      <c r="R399" s="57"/>
      <c r="S399" s="58"/>
    </row>
    <row r="400" spans="2:19" x14ac:dyDescent="0.3">
      <c r="B400" s="56" t="s">
        <v>436</v>
      </c>
      <c r="C400" s="57">
        <v>2026</v>
      </c>
      <c r="D400" s="57" t="s">
        <v>615</v>
      </c>
      <c r="E400" s="57" t="s">
        <v>560</v>
      </c>
      <c r="F400" s="57" t="s">
        <v>549</v>
      </c>
      <c r="G400" s="57" t="s">
        <v>26</v>
      </c>
      <c r="H400" s="57" t="s">
        <v>650</v>
      </c>
      <c r="I400" s="57"/>
      <c r="J400" s="57"/>
      <c r="K400" s="57"/>
      <c r="L400" s="57"/>
      <c r="M400" s="57">
        <v>12.5</v>
      </c>
      <c r="N400" s="57"/>
      <c r="O400" s="57">
        <v>1</v>
      </c>
      <c r="P400" s="62">
        <f>RawData[[#This Row],[Value_USD_M]]*RawData[[#This Row],[Share_Est]]</f>
        <v>12.5</v>
      </c>
      <c r="Q400" s="57"/>
      <c r="R400" s="57"/>
      <c r="S400" s="58"/>
    </row>
    <row r="401" spans="2:19" x14ac:dyDescent="0.3">
      <c r="B401" s="56" t="s">
        <v>436</v>
      </c>
      <c r="C401" s="57">
        <v>2024</v>
      </c>
      <c r="D401" s="57" t="s">
        <v>615</v>
      </c>
      <c r="E401" s="57" t="s">
        <v>560</v>
      </c>
      <c r="F401" s="57" t="s">
        <v>548</v>
      </c>
      <c r="G401" s="57" t="s">
        <v>26</v>
      </c>
      <c r="H401" s="57" t="s">
        <v>650</v>
      </c>
      <c r="I401" s="57"/>
      <c r="J401" s="57"/>
      <c r="K401" s="57">
        <v>57</v>
      </c>
      <c r="L401" s="57"/>
      <c r="M401" s="57">
        <v>742.3</v>
      </c>
      <c r="N401" s="57"/>
      <c r="O401" s="57">
        <v>1</v>
      </c>
      <c r="P401" s="62">
        <f>RawData[[#This Row],[Value_USD_M]]*RawData[[#This Row],[Share_Est]]</f>
        <v>742.3</v>
      </c>
      <c r="Q401" s="57"/>
      <c r="R401" s="57"/>
      <c r="S401" s="58"/>
    </row>
    <row r="402" spans="2:19" x14ac:dyDescent="0.3">
      <c r="B402" s="56" t="s">
        <v>436</v>
      </c>
      <c r="C402" s="57">
        <v>2025</v>
      </c>
      <c r="D402" s="57" t="s">
        <v>615</v>
      </c>
      <c r="E402" s="57" t="s">
        <v>560</v>
      </c>
      <c r="F402" s="46" t="s">
        <v>548</v>
      </c>
      <c r="G402" s="57" t="s">
        <v>26</v>
      </c>
      <c r="H402" s="57" t="s">
        <v>650</v>
      </c>
      <c r="K402" s="46">
        <v>20</v>
      </c>
      <c r="M402" s="46">
        <v>568.6</v>
      </c>
      <c r="O402" s="57">
        <v>1</v>
      </c>
      <c r="P402" s="61">
        <f>RawData[[#This Row],[Value_USD_M]]*RawData[[#This Row],[Share_Est]]</f>
        <v>568.6</v>
      </c>
      <c r="S402" s="52"/>
    </row>
    <row r="403" spans="2:19" x14ac:dyDescent="0.3">
      <c r="B403" s="56" t="s">
        <v>436</v>
      </c>
      <c r="C403" s="57">
        <v>2026</v>
      </c>
      <c r="D403" s="57" t="s">
        <v>615</v>
      </c>
      <c r="E403" s="57" t="s">
        <v>560</v>
      </c>
      <c r="F403" s="46" t="s">
        <v>548</v>
      </c>
      <c r="G403" s="57" t="s">
        <v>26</v>
      </c>
      <c r="H403" s="57" t="s">
        <v>650</v>
      </c>
      <c r="K403" s="46">
        <v>10</v>
      </c>
      <c r="M403" s="46">
        <v>250.2</v>
      </c>
      <c r="O403" s="57">
        <v>1</v>
      </c>
      <c r="P403" s="61">
        <f>RawData[[#This Row],[Value_USD_M]]*RawData[[#This Row],[Share_Est]]</f>
        <v>250.2</v>
      </c>
      <c r="S403" s="52"/>
    </row>
    <row r="404" spans="2:19" x14ac:dyDescent="0.3">
      <c r="B404" s="56" t="s">
        <v>441</v>
      </c>
      <c r="C404" s="57">
        <v>2024</v>
      </c>
      <c r="D404" s="57" t="s">
        <v>615</v>
      </c>
      <c r="E404" s="57" t="s">
        <v>560</v>
      </c>
      <c r="F404" s="57" t="s">
        <v>549</v>
      </c>
      <c r="G404" s="57" t="s">
        <v>616</v>
      </c>
      <c r="H404" s="57" t="s">
        <v>617</v>
      </c>
      <c r="I404" s="57"/>
      <c r="J404" s="57"/>
      <c r="K404" s="57"/>
      <c r="L404" s="57"/>
      <c r="M404" s="57">
        <v>565</v>
      </c>
      <c r="N404" s="57"/>
      <c r="O404" s="57">
        <v>0.5</v>
      </c>
      <c r="P404" s="62">
        <f>RawData[[#This Row],[Value_USD_M]]*RawData[[#This Row],[Share_Est]]</f>
        <v>282.5</v>
      </c>
      <c r="Q404" s="57"/>
      <c r="R404" s="57"/>
      <c r="S404" s="58"/>
    </row>
    <row r="405" spans="2:19" x14ac:dyDescent="0.3">
      <c r="B405" s="56" t="s">
        <v>441</v>
      </c>
      <c r="C405" s="57">
        <v>2024</v>
      </c>
      <c r="D405" s="57" t="s">
        <v>615</v>
      </c>
      <c r="E405" s="57" t="s">
        <v>560</v>
      </c>
      <c r="F405" s="57" t="s">
        <v>549</v>
      </c>
      <c r="G405" s="57" t="s">
        <v>651</v>
      </c>
      <c r="H405" s="57" t="s">
        <v>617</v>
      </c>
      <c r="I405" s="57"/>
      <c r="J405" s="57"/>
      <c r="K405" s="57"/>
      <c r="L405" s="57"/>
      <c r="M405" s="57">
        <v>565</v>
      </c>
      <c r="N405" s="57"/>
      <c r="O405" s="57">
        <v>0.5</v>
      </c>
      <c r="P405" s="62">
        <f>RawData[[#This Row],[Value_USD_M]]*RawData[[#This Row],[Share_Est]]</f>
        <v>282.5</v>
      </c>
      <c r="Q405" s="57"/>
      <c r="R405" s="57"/>
      <c r="S405" s="58"/>
    </row>
    <row r="406" spans="2:19" x14ac:dyDescent="0.3">
      <c r="B406" s="56" t="s">
        <v>441</v>
      </c>
      <c r="C406" s="57">
        <v>2025</v>
      </c>
      <c r="D406" s="57" t="s">
        <v>615</v>
      </c>
      <c r="E406" s="57" t="s">
        <v>560</v>
      </c>
      <c r="F406" s="57" t="s">
        <v>549</v>
      </c>
      <c r="G406" s="57" t="s">
        <v>616</v>
      </c>
      <c r="H406" s="57" t="s">
        <v>617</v>
      </c>
      <c r="I406" s="57"/>
      <c r="J406" s="57"/>
      <c r="K406" s="57"/>
      <c r="L406" s="57"/>
      <c r="M406" s="57">
        <v>499.5</v>
      </c>
      <c r="N406" s="57"/>
      <c r="O406" s="57">
        <v>0.5</v>
      </c>
      <c r="P406" s="62">
        <f>RawData[[#This Row],[Value_USD_M]]*RawData[[#This Row],[Share_Est]]</f>
        <v>249.75</v>
      </c>
      <c r="Q406" s="57"/>
      <c r="R406" s="57"/>
      <c r="S406" s="58"/>
    </row>
    <row r="407" spans="2:19" x14ac:dyDescent="0.3">
      <c r="B407" s="56" t="s">
        <v>441</v>
      </c>
      <c r="C407" s="57">
        <v>2025</v>
      </c>
      <c r="D407" s="57" t="s">
        <v>615</v>
      </c>
      <c r="E407" s="57" t="s">
        <v>560</v>
      </c>
      <c r="F407" s="57" t="s">
        <v>549</v>
      </c>
      <c r="G407" s="57" t="s">
        <v>651</v>
      </c>
      <c r="H407" s="57" t="s">
        <v>617</v>
      </c>
      <c r="I407" s="57"/>
      <c r="J407" s="57"/>
      <c r="K407" s="57"/>
      <c r="L407" s="57"/>
      <c r="M407" s="57">
        <v>499.5</v>
      </c>
      <c r="N407" s="57"/>
      <c r="O407" s="57">
        <v>0.5</v>
      </c>
      <c r="P407" s="62">
        <f>RawData[[#This Row],[Value_USD_M]]*RawData[[#This Row],[Share_Est]]</f>
        <v>249.75</v>
      </c>
      <c r="Q407" s="57"/>
      <c r="R407" s="57"/>
      <c r="S407" s="58"/>
    </row>
    <row r="408" spans="2:19" x14ac:dyDescent="0.3">
      <c r="B408" s="56" t="s">
        <v>441</v>
      </c>
      <c r="C408" s="57">
        <v>2026</v>
      </c>
      <c r="D408" s="57" t="s">
        <v>615</v>
      </c>
      <c r="E408" s="57" t="s">
        <v>560</v>
      </c>
      <c r="F408" s="57" t="s">
        <v>549</v>
      </c>
      <c r="G408" s="57" t="s">
        <v>616</v>
      </c>
      <c r="H408" s="57" t="s">
        <v>617</v>
      </c>
      <c r="I408" s="57"/>
      <c r="J408" s="57"/>
      <c r="K408" s="57"/>
      <c r="L408" s="57"/>
      <c r="M408" s="57">
        <v>386.4</v>
      </c>
      <c r="N408" s="57"/>
      <c r="O408" s="57">
        <v>0.5</v>
      </c>
      <c r="P408" s="62">
        <f>RawData[[#This Row],[Value_USD_M]]*RawData[[#This Row],[Share_Est]]</f>
        <v>193.2</v>
      </c>
      <c r="Q408" s="57"/>
      <c r="R408" s="57"/>
      <c r="S408" s="58"/>
    </row>
    <row r="409" spans="2:19" x14ac:dyDescent="0.3">
      <c r="B409" s="56" t="s">
        <v>441</v>
      </c>
      <c r="C409" s="57">
        <v>2026</v>
      </c>
      <c r="D409" s="57" t="s">
        <v>615</v>
      </c>
      <c r="E409" s="57" t="s">
        <v>560</v>
      </c>
      <c r="F409" s="57" t="s">
        <v>549</v>
      </c>
      <c r="G409" s="57" t="s">
        <v>651</v>
      </c>
      <c r="H409" s="57" t="s">
        <v>617</v>
      </c>
      <c r="I409" s="57"/>
      <c r="J409" s="57"/>
      <c r="K409" s="57"/>
      <c r="L409" s="57"/>
      <c r="M409" s="57">
        <v>386.4</v>
      </c>
      <c r="N409" s="57"/>
      <c r="O409" s="57">
        <v>0.5</v>
      </c>
      <c r="P409" s="62">
        <f>RawData[[#This Row],[Value_USD_M]]*RawData[[#This Row],[Share_Est]]</f>
        <v>193.2</v>
      </c>
      <c r="Q409" s="57"/>
      <c r="R409" s="57"/>
      <c r="S409" s="58"/>
    </row>
    <row r="410" spans="2:19" x14ac:dyDescent="0.3">
      <c r="B410" s="56" t="s">
        <v>652</v>
      </c>
      <c r="C410" s="57">
        <v>2024</v>
      </c>
      <c r="D410" s="57" t="s">
        <v>604</v>
      </c>
      <c r="E410" s="57" t="s">
        <v>560</v>
      </c>
      <c r="F410" s="57" t="s">
        <v>549</v>
      </c>
      <c r="G410" s="57" t="s">
        <v>26</v>
      </c>
      <c r="H410" s="57" t="s">
        <v>617</v>
      </c>
      <c r="I410" s="57"/>
      <c r="J410" s="57"/>
      <c r="K410" s="57"/>
      <c r="L410" s="57"/>
      <c r="M410" s="57">
        <v>87.7</v>
      </c>
      <c r="N410" s="57"/>
      <c r="O410" s="57">
        <v>1</v>
      </c>
      <c r="P410" s="62">
        <f>RawData[[#This Row],[Value_USD_M]]*RawData[[#This Row],[Share_Est]]</f>
        <v>87.7</v>
      </c>
      <c r="Q410" s="57"/>
      <c r="R410" s="57"/>
      <c r="S410" s="58"/>
    </row>
    <row r="411" spans="2:19" x14ac:dyDescent="0.3">
      <c r="B411" s="56" t="s">
        <v>652</v>
      </c>
      <c r="C411" s="57">
        <v>2025</v>
      </c>
      <c r="D411" s="57" t="s">
        <v>604</v>
      </c>
      <c r="E411" s="57" t="s">
        <v>560</v>
      </c>
      <c r="F411" s="57" t="s">
        <v>549</v>
      </c>
      <c r="G411" s="57" t="s">
        <v>26</v>
      </c>
      <c r="H411" s="57" t="s">
        <v>617</v>
      </c>
      <c r="I411" s="57"/>
      <c r="J411" s="57"/>
      <c r="K411" s="57"/>
      <c r="L411" s="57"/>
      <c r="M411" s="57">
        <v>46.7</v>
      </c>
      <c r="N411" s="57"/>
      <c r="O411" s="57">
        <v>1</v>
      </c>
      <c r="P411" s="62">
        <f>RawData[[#This Row],[Value_USD_M]]*RawData[[#This Row],[Share_Est]]</f>
        <v>46.7</v>
      </c>
      <c r="Q411" s="57"/>
      <c r="R411" s="57"/>
      <c r="S411" s="58"/>
    </row>
    <row r="412" spans="2:19" x14ac:dyDescent="0.3">
      <c r="B412" s="56" t="s">
        <v>652</v>
      </c>
      <c r="C412" s="57">
        <v>2026</v>
      </c>
      <c r="D412" s="57" t="s">
        <v>604</v>
      </c>
      <c r="E412" s="57" t="s">
        <v>560</v>
      </c>
      <c r="F412" s="57" t="s">
        <v>549</v>
      </c>
      <c r="G412" s="57" t="s">
        <v>26</v>
      </c>
      <c r="H412" s="57" t="s">
        <v>617</v>
      </c>
      <c r="I412" s="57"/>
      <c r="J412" s="57"/>
      <c r="K412" s="57"/>
      <c r="L412" s="57"/>
      <c r="M412" s="57">
        <v>44.6</v>
      </c>
      <c r="N412" s="57"/>
      <c r="O412" s="57">
        <v>1</v>
      </c>
      <c r="P412" s="62">
        <f>RawData[[#This Row],[Value_USD_M]]*RawData[[#This Row],[Share_Est]]</f>
        <v>44.6</v>
      </c>
      <c r="Q412" s="57"/>
      <c r="R412" s="57"/>
      <c r="S412" s="58"/>
    </row>
    <row r="413" spans="2:19" x14ac:dyDescent="0.3">
      <c r="B413" s="56" t="s">
        <v>652</v>
      </c>
      <c r="C413" s="57">
        <v>2024</v>
      </c>
      <c r="D413" s="57" t="s">
        <v>604</v>
      </c>
      <c r="E413" s="57" t="s">
        <v>560</v>
      </c>
      <c r="F413" s="57" t="s">
        <v>548</v>
      </c>
      <c r="G413" s="57" t="s">
        <v>26</v>
      </c>
      <c r="H413" s="57" t="s">
        <v>617</v>
      </c>
      <c r="I413" s="57"/>
      <c r="J413" s="57"/>
      <c r="K413" s="57"/>
      <c r="L413" s="57"/>
      <c r="M413" s="57">
        <v>545.1</v>
      </c>
      <c r="N413" s="57"/>
      <c r="O413" s="57">
        <v>1</v>
      </c>
      <c r="P413" s="62">
        <f>RawData[[#This Row],[Value_USD_M]]*RawData[[#This Row],[Share_Est]]</f>
        <v>545.1</v>
      </c>
      <c r="Q413" s="57"/>
      <c r="R413" s="57"/>
      <c r="S413" s="58"/>
    </row>
    <row r="414" spans="2:19" x14ac:dyDescent="0.3">
      <c r="B414" s="56" t="s">
        <v>652</v>
      </c>
      <c r="C414" s="57">
        <v>2025</v>
      </c>
      <c r="D414" s="57" t="s">
        <v>604</v>
      </c>
      <c r="E414" s="57" t="s">
        <v>560</v>
      </c>
      <c r="F414" s="57" t="s">
        <v>548</v>
      </c>
      <c r="G414" s="57" t="s">
        <v>26</v>
      </c>
      <c r="H414" s="57" t="s">
        <v>617</v>
      </c>
      <c r="I414" s="57"/>
      <c r="J414" s="57"/>
      <c r="K414" s="57"/>
      <c r="L414" s="57"/>
      <c r="M414" s="57">
        <v>810.3</v>
      </c>
      <c r="N414" s="57"/>
      <c r="O414" s="57">
        <v>1</v>
      </c>
      <c r="P414" s="62">
        <f>RawData[[#This Row],[Value_USD_M]]*RawData[[#This Row],[Share_Est]]</f>
        <v>810.3</v>
      </c>
      <c r="Q414" s="57"/>
      <c r="R414" s="57"/>
      <c r="S414" s="58"/>
    </row>
    <row r="415" spans="2:19" x14ac:dyDescent="0.3">
      <c r="B415" s="56" t="s">
        <v>652</v>
      </c>
      <c r="C415" s="57">
        <v>2026</v>
      </c>
      <c r="D415" s="57" t="s">
        <v>604</v>
      </c>
      <c r="E415" s="57" t="s">
        <v>560</v>
      </c>
      <c r="F415" s="57" t="s">
        <v>548</v>
      </c>
      <c r="G415" s="57" t="s">
        <v>26</v>
      </c>
      <c r="H415" s="57" t="s">
        <v>617</v>
      </c>
      <c r="I415" s="57"/>
      <c r="J415" s="57"/>
      <c r="K415" s="57"/>
      <c r="L415" s="57"/>
      <c r="M415" s="57">
        <v>790.8</v>
      </c>
      <c r="N415" s="57"/>
      <c r="O415" s="57">
        <v>1</v>
      </c>
      <c r="P415" s="62">
        <f>RawData[[#This Row],[Value_USD_M]]*RawData[[#This Row],[Share_Est]]</f>
        <v>790.8</v>
      </c>
      <c r="Q415" s="57"/>
      <c r="R415" s="57"/>
      <c r="S415" s="58"/>
    </row>
    <row r="416" spans="2:19" x14ac:dyDescent="0.3">
      <c r="B416" s="56" t="s">
        <v>654</v>
      </c>
      <c r="C416" s="57">
        <v>2024</v>
      </c>
      <c r="D416" s="57" t="s">
        <v>653</v>
      </c>
      <c r="E416" s="57" t="s">
        <v>560</v>
      </c>
      <c r="F416" s="57" t="s">
        <v>549</v>
      </c>
      <c r="G416" s="57" t="s">
        <v>324</v>
      </c>
      <c r="H416" s="57" t="s">
        <v>585</v>
      </c>
      <c r="I416" s="57"/>
      <c r="J416" s="57"/>
      <c r="K416" s="57"/>
      <c r="L416" s="57"/>
      <c r="M416" s="57">
        <v>2973.7</v>
      </c>
      <c r="N416" s="57"/>
      <c r="O416" s="57">
        <v>0.5</v>
      </c>
      <c r="P416" s="62">
        <f>RawData[[#This Row],[Value_USD_M]]*RawData[[#This Row],[Share_Est]]</f>
        <v>1486.85</v>
      </c>
      <c r="Q416" s="57"/>
      <c r="R416" s="57"/>
      <c r="S416" s="58"/>
    </row>
    <row r="417" spans="2:19" x14ac:dyDescent="0.3">
      <c r="B417" s="56" t="s">
        <v>654</v>
      </c>
      <c r="C417" s="57">
        <v>2024</v>
      </c>
      <c r="D417" s="57" t="s">
        <v>653</v>
      </c>
      <c r="E417" s="57" t="s">
        <v>560</v>
      </c>
      <c r="F417" s="57" t="s">
        <v>549</v>
      </c>
      <c r="G417" s="57" t="s">
        <v>326</v>
      </c>
      <c r="H417" s="57" t="s">
        <v>594</v>
      </c>
      <c r="I417" s="57"/>
      <c r="J417" s="57"/>
      <c r="K417" s="57"/>
      <c r="L417" s="57"/>
      <c r="M417" s="57">
        <v>2973.7</v>
      </c>
      <c r="N417" s="57"/>
      <c r="O417" s="57">
        <v>0.5</v>
      </c>
      <c r="P417" s="62">
        <f>RawData[[#This Row],[Value_USD_M]]*RawData[[#This Row],[Share_Est]]</f>
        <v>1486.85</v>
      </c>
      <c r="Q417" s="57"/>
      <c r="R417" s="57"/>
      <c r="S417" s="58"/>
    </row>
    <row r="418" spans="2:19" x14ac:dyDescent="0.3">
      <c r="B418" s="56" t="s">
        <v>654</v>
      </c>
      <c r="C418" s="57">
        <v>2025</v>
      </c>
      <c r="D418" s="57" t="s">
        <v>653</v>
      </c>
      <c r="E418" s="57" t="s">
        <v>560</v>
      </c>
      <c r="F418" s="57" t="s">
        <v>549</v>
      </c>
      <c r="G418" s="57" t="s">
        <v>324</v>
      </c>
      <c r="H418" s="57" t="s">
        <v>585</v>
      </c>
      <c r="I418" s="57"/>
      <c r="J418" s="57"/>
      <c r="K418" s="57"/>
      <c r="L418" s="57"/>
      <c r="M418" s="57">
        <v>2462.1999999999998</v>
      </c>
      <c r="N418" s="57"/>
      <c r="O418" s="57">
        <v>0.5</v>
      </c>
      <c r="P418" s="62">
        <f>RawData[[#This Row],[Value_USD_M]]*RawData[[#This Row],[Share_Est]]</f>
        <v>1231.0999999999999</v>
      </c>
      <c r="Q418" s="57"/>
      <c r="R418" s="57"/>
      <c r="S418" s="58"/>
    </row>
    <row r="419" spans="2:19" x14ac:dyDescent="0.3">
      <c r="B419" s="56" t="s">
        <v>654</v>
      </c>
      <c r="C419" s="57">
        <v>2025</v>
      </c>
      <c r="D419" s="57" t="s">
        <v>653</v>
      </c>
      <c r="E419" s="57" t="s">
        <v>560</v>
      </c>
      <c r="F419" s="57" t="s">
        <v>549</v>
      </c>
      <c r="G419" s="57" t="s">
        <v>326</v>
      </c>
      <c r="H419" s="57" t="s">
        <v>594</v>
      </c>
      <c r="I419" s="57"/>
      <c r="J419" s="57"/>
      <c r="K419" s="57"/>
      <c r="L419" s="57"/>
      <c r="M419" s="57">
        <v>2462.1999999999998</v>
      </c>
      <c r="N419" s="57"/>
      <c r="O419" s="57">
        <v>0.5</v>
      </c>
      <c r="P419" s="62">
        <f>RawData[[#This Row],[Value_USD_M]]*RawData[[#This Row],[Share_Est]]</f>
        <v>1231.0999999999999</v>
      </c>
      <c r="Q419" s="57"/>
      <c r="R419" s="57"/>
      <c r="S419" s="58"/>
    </row>
    <row r="420" spans="2:19" x14ac:dyDescent="0.3">
      <c r="B420" s="56" t="s">
        <v>654</v>
      </c>
      <c r="C420" s="57">
        <v>2026</v>
      </c>
      <c r="D420" s="57" t="s">
        <v>653</v>
      </c>
      <c r="E420" s="57" t="s">
        <v>560</v>
      </c>
      <c r="F420" s="57" t="s">
        <v>549</v>
      </c>
      <c r="G420" s="57" t="s">
        <v>324</v>
      </c>
      <c r="H420" s="57" t="s">
        <v>585</v>
      </c>
      <c r="I420" s="57"/>
      <c r="J420" s="57"/>
      <c r="K420" s="57"/>
      <c r="L420" s="57"/>
      <c r="M420" s="57">
        <v>2501.6999999999998</v>
      </c>
      <c r="N420" s="57"/>
      <c r="O420" s="57">
        <v>0.5</v>
      </c>
      <c r="P420" s="62">
        <f>RawData[[#This Row],[Value_USD_M]]*RawData[[#This Row],[Share_Est]]</f>
        <v>1250.8499999999999</v>
      </c>
      <c r="Q420" s="57"/>
      <c r="R420" s="57"/>
      <c r="S420" s="58"/>
    </row>
    <row r="421" spans="2:19" x14ac:dyDescent="0.3">
      <c r="B421" s="56" t="s">
        <v>654</v>
      </c>
      <c r="C421" s="46">
        <v>2026</v>
      </c>
      <c r="D421" s="57" t="s">
        <v>653</v>
      </c>
      <c r="E421" s="57" t="s">
        <v>560</v>
      </c>
      <c r="F421" s="57" t="s">
        <v>549</v>
      </c>
      <c r="G421" s="57" t="s">
        <v>326</v>
      </c>
      <c r="H421" s="57" t="s">
        <v>594</v>
      </c>
      <c r="L421" s="57"/>
      <c r="M421" s="57">
        <v>2501.6999999999998</v>
      </c>
      <c r="O421" s="57">
        <v>0.5</v>
      </c>
      <c r="P421" s="61">
        <f>RawData[[#This Row],[Value_USD_M]]*RawData[[#This Row],[Share_Est]]</f>
        <v>1250.8499999999999</v>
      </c>
      <c r="S421" s="52"/>
    </row>
    <row r="422" spans="2:19" x14ac:dyDescent="0.3">
      <c r="B422" s="56" t="s">
        <v>655</v>
      </c>
      <c r="C422" s="57">
        <v>2024</v>
      </c>
      <c r="D422" s="57" t="s">
        <v>653</v>
      </c>
      <c r="E422" s="57" t="s">
        <v>560</v>
      </c>
      <c r="F422" s="57" t="s">
        <v>549</v>
      </c>
      <c r="G422" s="57" t="s">
        <v>326</v>
      </c>
      <c r="H422" s="57" t="s">
        <v>594</v>
      </c>
      <c r="I422" s="57"/>
      <c r="J422" s="57"/>
      <c r="K422" s="57"/>
      <c r="L422" s="57"/>
      <c r="M422" s="57">
        <v>241.2</v>
      </c>
      <c r="N422" s="57"/>
      <c r="O422" s="57">
        <v>1</v>
      </c>
      <c r="P422" s="62">
        <f>RawData[[#This Row],[Value_USD_M]]*RawData[[#This Row],[Share_Est]]</f>
        <v>241.2</v>
      </c>
      <c r="Q422" s="57"/>
      <c r="R422" s="57"/>
      <c r="S422" s="58"/>
    </row>
    <row r="423" spans="2:19" x14ac:dyDescent="0.3">
      <c r="B423" s="56" t="s">
        <v>655</v>
      </c>
      <c r="C423" s="57">
        <v>2025</v>
      </c>
      <c r="D423" s="57" t="s">
        <v>653</v>
      </c>
      <c r="E423" s="57" t="s">
        <v>560</v>
      </c>
      <c r="F423" s="57" t="s">
        <v>549</v>
      </c>
      <c r="G423" s="57" t="s">
        <v>326</v>
      </c>
      <c r="H423" s="57" t="s">
        <v>594</v>
      </c>
      <c r="I423" s="57"/>
      <c r="J423" s="57"/>
      <c r="K423" s="57"/>
      <c r="L423" s="57"/>
      <c r="M423" s="57">
        <v>311</v>
      </c>
      <c r="N423" s="57"/>
      <c r="O423" s="57">
        <v>1</v>
      </c>
      <c r="P423" s="62">
        <f>RawData[[#This Row],[Value_USD_M]]*RawData[[#This Row],[Share_Est]]</f>
        <v>311</v>
      </c>
      <c r="Q423" s="57"/>
      <c r="R423" s="57"/>
      <c r="S423" s="58"/>
    </row>
    <row r="424" spans="2:19" x14ac:dyDescent="0.3">
      <c r="B424" s="56" t="s">
        <v>655</v>
      </c>
      <c r="C424" s="57">
        <v>2026</v>
      </c>
      <c r="D424" s="57" t="s">
        <v>653</v>
      </c>
      <c r="E424" s="57" t="s">
        <v>560</v>
      </c>
      <c r="F424" s="57" t="s">
        <v>549</v>
      </c>
      <c r="G424" s="57" t="s">
        <v>326</v>
      </c>
      <c r="H424" s="57" t="s">
        <v>594</v>
      </c>
      <c r="I424" s="57"/>
      <c r="J424" s="57"/>
      <c r="K424" s="57"/>
      <c r="L424" s="57"/>
      <c r="M424" s="57">
        <v>684.7</v>
      </c>
      <c r="N424" s="57"/>
      <c r="O424" s="57">
        <v>1</v>
      </c>
      <c r="P424" s="62">
        <f>RawData[[#This Row],[Value_USD_M]]*RawData[[#This Row],[Share_Est]]</f>
        <v>684.7</v>
      </c>
      <c r="Q424" s="57"/>
      <c r="R424" s="57"/>
      <c r="S424" s="58"/>
    </row>
    <row r="425" spans="2:19" x14ac:dyDescent="0.3">
      <c r="B425" s="56" t="s">
        <v>655</v>
      </c>
      <c r="C425" s="57">
        <v>2024</v>
      </c>
      <c r="D425" s="57" t="s">
        <v>653</v>
      </c>
      <c r="E425" s="57" t="s">
        <v>560</v>
      </c>
      <c r="F425" s="57" t="s">
        <v>548</v>
      </c>
      <c r="G425" s="57" t="s">
        <v>326</v>
      </c>
      <c r="H425" s="57" t="s">
        <v>594</v>
      </c>
      <c r="I425" s="57"/>
      <c r="J425" s="57"/>
      <c r="K425" s="57">
        <v>11</v>
      </c>
      <c r="L425" s="57"/>
      <c r="M425" s="57">
        <v>216.8</v>
      </c>
      <c r="N425" s="57"/>
      <c r="O425" s="57">
        <v>1</v>
      </c>
      <c r="P425" s="62">
        <f>RawData[[#This Row],[Value_USD_M]]*RawData[[#This Row],[Share_Est]]</f>
        <v>216.8</v>
      </c>
      <c r="Q425" s="57"/>
      <c r="R425" s="57"/>
      <c r="S425" s="58"/>
    </row>
    <row r="426" spans="2:19" x14ac:dyDescent="0.3">
      <c r="B426" s="56" t="s">
        <v>655</v>
      </c>
      <c r="C426" s="57">
        <v>2025</v>
      </c>
      <c r="D426" s="57" t="s">
        <v>653</v>
      </c>
      <c r="E426" s="57" t="s">
        <v>560</v>
      </c>
      <c r="F426" s="57" t="s">
        <v>548</v>
      </c>
      <c r="G426" s="57" t="s">
        <v>326</v>
      </c>
      <c r="H426" s="57" t="s">
        <v>594</v>
      </c>
      <c r="I426" s="57"/>
      <c r="J426" s="57"/>
      <c r="K426" s="57">
        <v>12</v>
      </c>
      <c r="L426" s="57"/>
      <c r="M426" s="57">
        <v>247</v>
      </c>
      <c r="N426" s="57"/>
      <c r="O426" s="57">
        <v>1</v>
      </c>
      <c r="P426" s="62">
        <f>RawData[[#This Row],[Value_USD_M]]*RawData[[#This Row],[Share_Est]]</f>
        <v>247</v>
      </c>
      <c r="Q426" s="57"/>
      <c r="R426" s="57"/>
      <c r="S426" s="58"/>
    </row>
    <row r="427" spans="2:19" x14ac:dyDescent="0.3">
      <c r="B427" s="56" t="s">
        <v>655</v>
      </c>
      <c r="C427" s="57">
        <v>2026</v>
      </c>
      <c r="D427" s="57" t="s">
        <v>653</v>
      </c>
      <c r="E427" s="57" t="s">
        <v>560</v>
      </c>
      <c r="F427" s="57" t="s">
        <v>548</v>
      </c>
      <c r="G427" s="57" t="s">
        <v>326</v>
      </c>
      <c r="H427" s="57" t="s">
        <v>594</v>
      </c>
      <c r="I427" s="57"/>
      <c r="J427" s="57"/>
      <c r="K427" s="57">
        <v>12</v>
      </c>
      <c r="L427" s="57"/>
      <c r="M427" s="57">
        <v>840.1</v>
      </c>
      <c r="N427" s="57"/>
      <c r="O427" s="57">
        <v>1</v>
      </c>
      <c r="P427" s="62">
        <f>RawData[[#This Row],[Value_USD_M]]*RawData[[#This Row],[Share_Est]]</f>
        <v>840.1</v>
      </c>
      <c r="Q427" s="57"/>
      <c r="R427" s="57"/>
      <c r="S427" s="58"/>
    </row>
    <row r="428" spans="2:19" x14ac:dyDescent="0.3">
      <c r="B428" s="56" t="s">
        <v>656</v>
      </c>
      <c r="C428" s="57">
        <v>2024</v>
      </c>
      <c r="D428" s="57" t="s">
        <v>653</v>
      </c>
      <c r="E428" s="57" t="s">
        <v>560</v>
      </c>
      <c r="F428" s="57" t="s">
        <v>549</v>
      </c>
      <c r="G428" s="57" t="s">
        <v>326</v>
      </c>
      <c r="H428" s="57" t="s">
        <v>657</v>
      </c>
      <c r="I428" s="57"/>
      <c r="J428" s="57"/>
      <c r="K428" s="57"/>
      <c r="L428" s="57"/>
      <c r="M428" s="57">
        <v>983.5</v>
      </c>
      <c r="N428" s="57"/>
      <c r="O428" s="57">
        <v>0.55000000000000004</v>
      </c>
      <c r="P428" s="62">
        <f>RawData[[#This Row],[Value_USD_M]]*RawData[[#This Row],[Share_Est]]</f>
        <v>540.92500000000007</v>
      </c>
      <c r="Q428" s="57"/>
      <c r="R428" s="57"/>
      <c r="S428" s="58"/>
    </row>
    <row r="429" spans="2:19" x14ac:dyDescent="0.3">
      <c r="B429" s="56" t="s">
        <v>656</v>
      </c>
      <c r="C429" s="57">
        <v>2024</v>
      </c>
      <c r="D429" s="57" t="s">
        <v>653</v>
      </c>
      <c r="E429" s="57" t="s">
        <v>560</v>
      </c>
      <c r="F429" s="57" t="s">
        <v>549</v>
      </c>
      <c r="G429" s="57" t="s">
        <v>325</v>
      </c>
      <c r="H429" s="57" t="s">
        <v>23</v>
      </c>
      <c r="I429" s="57"/>
      <c r="J429" s="57"/>
      <c r="K429" s="57"/>
      <c r="L429" s="57"/>
      <c r="M429" s="57">
        <v>983.5</v>
      </c>
      <c r="N429" s="57"/>
      <c r="O429" s="57">
        <v>0.45</v>
      </c>
      <c r="P429" s="62">
        <f>RawData[[#This Row],[Value_USD_M]]*RawData[[#This Row],[Share_Est]]</f>
        <v>442.57499999999999</v>
      </c>
      <c r="Q429" s="57"/>
      <c r="R429" s="57"/>
      <c r="S429" s="58"/>
    </row>
    <row r="430" spans="2:19" x14ac:dyDescent="0.3">
      <c r="B430" s="56" t="s">
        <v>656</v>
      </c>
      <c r="C430" s="57">
        <v>2025</v>
      </c>
      <c r="D430" s="57" t="s">
        <v>653</v>
      </c>
      <c r="E430" s="57" t="s">
        <v>560</v>
      </c>
      <c r="F430" s="57" t="s">
        <v>549</v>
      </c>
      <c r="G430" s="57" t="s">
        <v>326</v>
      </c>
      <c r="H430" s="57" t="s">
        <v>657</v>
      </c>
      <c r="I430" s="57"/>
      <c r="J430" s="57"/>
      <c r="K430" s="57"/>
      <c r="L430" s="57"/>
      <c r="M430" s="57">
        <v>984.4</v>
      </c>
      <c r="N430" s="57"/>
      <c r="O430" s="57">
        <v>0.55000000000000004</v>
      </c>
      <c r="P430" s="62">
        <f>RawData[[#This Row],[Value_USD_M]]*RawData[[#This Row],[Share_Est]]</f>
        <v>541.42000000000007</v>
      </c>
      <c r="Q430" s="57"/>
      <c r="R430" s="57"/>
      <c r="S430" s="58"/>
    </row>
    <row r="431" spans="2:19" x14ac:dyDescent="0.3">
      <c r="B431" s="56" t="s">
        <v>656</v>
      </c>
      <c r="C431" s="57">
        <v>2025</v>
      </c>
      <c r="D431" s="57" t="s">
        <v>653</v>
      </c>
      <c r="E431" s="57" t="s">
        <v>560</v>
      </c>
      <c r="F431" s="57" t="s">
        <v>549</v>
      </c>
      <c r="G431" s="57" t="s">
        <v>325</v>
      </c>
      <c r="H431" s="57" t="s">
        <v>23</v>
      </c>
      <c r="I431" s="57"/>
      <c r="J431" s="57"/>
      <c r="K431" s="57"/>
      <c r="L431" s="57"/>
      <c r="M431" s="57">
        <v>984.4</v>
      </c>
      <c r="N431" s="57"/>
      <c r="O431" s="57">
        <v>0.45</v>
      </c>
      <c r="P431" s="62">
        <f>RawData[[#This Row],[Value_USD_M]]*RawData[[#This Row],[Share_Est]]</f>
        <v>442.98</v>
      </c>
      <c r="Q431" s="57"/>
      <c r="R431" s="57"/>
      <c r="S431" s="58"/>
    </row>
    <row r="432" spans="2:19" x14ac:dyDescent="0.3">
      <c r="B432" s="56" t="s">
        <v>656</v>
      </c>
      <c r="C432" s="57">
        <v>2026</v>
      </c>
      <c r="D432" s="57" t="s">
        <v>653</v>
      </c>
      <c r="E432" s="57" t="s">
        <v>560</v>
      </c>
      <c r="F432" s="57" t="s">
        <v>549</v>
      </c>
      <c r="G432" s="57" t="s">
        <v>326</v>
      </c>
      <c r="H432" s="57" t="s">
        <v>657</v>
      </c>
      <c r="I432" s="57"/>
      <c r="J432" s="57"/>
      <c r="K432" s="57"/>
      <c r="L432" s="57"/>
      <c r="M432" s="57">
        <v>1339.4</v>
      </c>
      <c r="N432" s="57"/>
      <c r="O432" s="57">
        <v>0.55000000000000004</v>
      </c>
      <c r="P432" s="62">
        <f>RawData[[#This Row],[Value_USD_M]]*RawData[[#This Row],[Share_Est]]</f>
        <v>736.67000000000007</v>
      </c>
      <c r="Q432" s="57"/>
      <c r="R432" s="57"/>
      <c r="S432" s="58"/>
    </row>
    <row r="433" spans="2:19" x14ac:dyDescent="0.3">
      <c r="B433" s="56" t="s">
        <v>656</v>
      </c>
      <c r="C433" s="57">
        <v>2026</v>
      </c>
      <c r="D433" s="57" t="s">
        <v>653</v>
      </c>
      <c r="E433" s="57" t="s">
        <v>560</v>
      </c>
      <c r="F433" s="57" t="s">
        <v>549</v>
      </c>
      <c r="G433" s="57" t="s">
        <v>325</v>
      </c>
      <c r="H433" s="57" t="s">
        <v>23</v>
      </c>
      <c r="I433" s="57"/>
      <c r="J433" s="57"/>
      <c r="K433" s="57"/>
      <c r="L433" s="57"/>
      <c r="M433" s="57">
        <v>1339.4</v>
      </c>
      <c r="N433" s="57"/>
      <c r="O433" s="57">
        <v>0.45</v>
      </c>
      <c r="P433" s="62">
        <f>RawData[[#This Row],[Value_USD_M]]*RawData[[#This Row],[Share_Est]]</f>
        <v>602.73</v>
      </c>
      <c r="Q433" s="57"/>
      <c r="R433" s="57"/>
      <c r="S433" s="58"/>
    </row>
    <row r="434" spans="2:19" x14ac:dyDescent="0.3">
      <c r="B434" s="56" t="s">
        <v>656</v>
      </c>
      <c r="C434" s="57">
        <v>2024</v>
      </c>
      <c r="D434" s="57" t="s">
        <v>653</v>
      </c>
      <c r="E434" s="57" t="s">
        <v>560</v>
      </c>
      <c r="F434" s="57" t="s">
        <v>548</v>
      </c>
      <c r="G434" s="57" t="s">
        <v>326</v>
      </c>
      <c r="H434" s="57" t="s">
        <v>657</v>
      </c>
      <c r="I434" s="57"/>
      <c r="J434" s="57"/>
      <c r="K434" s="57">
        <v>48</v>
      </c>
      <c r="L434" s="57"/>
      <c r="M434" s="57">
        <f>1070.2+2.4</f>
        <v>1072.6000000000001</v>
      </c>
      <c r="N434" s="57"/>
      <c r="O434" s="57">
        <v>0.55000000000000004</v>
      </c>
      <c r="P434" s="62">
        <f>RawData[[#This Row],[Value_USD_M]]*RawData[[#This Row],[Share_Est]]</f>
        <v>589.93000000000018</v>
      </c>
      <c r="Q434" s="57"/>
      <c r="R434" s="57"/>
      <c r="S434" s="58"/>
    </row>
    <row r="435" spans="2:19" x14ac:dyDescent="0.3">
      <c r="B435" s="56" t="s">
        <v>656</v>
      </c>
      <c r="C435" s="57">
        <v>2024</v>
      </c>
      <c r="D435" s="57" t="s">
        <v>653</v>
      </c>
      <c r="E435" s="57" t="s">
        <v>560</v>
      </c>
      <c r="F435" s="57" t="s">
        <v>548</v>
      </c>
      <c r="G435" s="57" t="s">
        <v>325</v>
      </c>
      <c r="H435" s="57" t="s">
        <v>23</v>
      </c>
      <c r="I435" s="57"/>
      <c r="J435" s="57"/>
      <c r="K435" s="57">
        <v>48</v>
      </c>
      <c r="L435" s="57"/>
      <c r="M435" s="57">
        <f>1070.2+2.4</f>
        <v>1072.6000000000001</v>
      </c>
      <c r="N435" s="57"/>
      <c r="O435" s="57">
        <v>0.45</v>
      </c>
      <c r="P435" s="62">
        <f>RawData[[#This Row],[Value_USD_M]]*RawData[[#This Row],[Share_Est]]</f>
        <v>482.67000000000007</v>
      </c>
      <c r="Q435" s="57"/>
      <c r="R435" s="57"/>
      <c r="S435" s="58"/>
    </row>
    <row r="436" spans="2:19" x14ac:dyDescent="0.3">
      <c r="B436" s="56" t="s">
        <v>656</v>
      </c>
      <c r="C436" s="57">
        <v>2025</v>
      </c>
      <c r="D436" s="57" t="s">
        <v>653</v>
      </c>
      <c r="E436" s="57" t="s">
        <v>560</v>
      </c>
      <c r="F436" s="57" t="s">
        <v>548</v>
      </c>
      <c r="G436" s="57" t="s">
        <v>326</v>
      </c>
      <c r="H436" s="57" t="s">
        <v>657</v>
      </c>
      <c r="I436" s="57"/>
      <c r="J436" s="57"/>
      <c r="K436" s="57">
        <v>18</v>
      </c>
      <c r="L436" s="57"/>
      <c r="M436" s="57">
        <v>633.4</v>
      </c>
      <c r="N436" s="57"/>
      <c r="O436" s="57">
        <v>0.55000000000000004</v>
      </c>
      <c r="P436" s="62">
        <f>RawData[[#This Row],[Value_USD_M]]*RawData[[#This Row],[Share_Est]]</f>
        <v>348.37</v>
      </c>
      <c r="Q436" s="57"/>
      <c r="R436" s="57"/>
      <c r="S436" s="58"/>
    </row>
    <row r="437" spans="2:19" x14ac:dyDescent="0.3">
      <c r="B437" s="56" t="s">
        <v>656</v>
      </c>
      <c r="C437" s="57">
        <v>2025</v>
      </c>
      <c r="D437" s="57" t="s">
        <v>653</v>
      </c>
      <c r="E437" s="57" t="s">
        <v>560</v>
      </c>
      <c r="F437" s="57" t="s">
        <v>548</v>
      </c>
      <c r="G437" s="57" t="s">
        <v>325</v>
      </c>
      <c r="H437" s="57" t="s">
        <v>23</v>
      </c>
      <c r="I437" s="57"/>
      <c r="J437" s="57"/>
      <c r="K437" s="57">
        <v>18</v>
      </c>
      <c r="L437" s="57"/>
      <c r="M437" s="57">
        <v>633.4</v>
      </c>
      <c r="N437" s="57"/>
      <c r="O437" s="57">
        <v>0.45</v>
      </c>
      <c r="P437" s="62">
        <f>RawData[[#This Row],[Value_USD_M]]*RawData[[#This Row],[Share_Est]]</f>
        <v>285.02999999999997</v>
      </c>
      <c r="Q437" s="57"/>
      <c r="R437" s="57"/>
      <c r="S437" s="58"/>
    </row>
    <row r="438" spans="2:19" x14ac:dyDescent="0.3">
      <c r="B438" s="56" t="s">
        <v>656</v>
      </c>
      <c r="C438" s="57">
        <v>2026</v>
      </c>
      <c r="D438" s="57" t="s">
        <v>653</v>
      </c>
      <c r="E438" s="57" t="s">
        <v>560</v>
      </c>
      <c r="F438" s="57" t="s">
        <v>548</v>
      </c>
      <c r="G438" s="57" t="s">
        <v>326</v>
      </c>
      <c r="H438" s="57" t="s">
        <v>657</v>
      </c>
      <c r="K438" s="46">
        <v>12</v>
      </c>
      <c r="L438" s="57"/>
      <c r="M438" s="57">
        <v>462</v>
      </c>
      <c r="O438" s="57">
        <v>0.55000000000000004</v>
      </c>
      <c r="P438" s="61">
        <f>RawData[[#This Row],[Value_USD_M]]*RawData[[#This Row],[Share_Est]]</f>
        <v>254.10000000000002</v>
      </c>
      <c r="S438" s="52"/>
    </row>
    <row r="439" spans="2:19" x14ac:dyDescent="0.3">
      <c r="B439" s="56" t="s">
        <v>656</v>
      </c>
      <c r="C439" s="57">
        <v>2026</v>
      </c>
      <c r="D439" s="57" t="s">
        <v>653</v>
      </c>
      <c r="E439" s="57" t="s">
        <v>560</v>
      </c>
      <c r="F439" s="57" t="s">
        <v>548</v>
      </c>
      <c r="G439" s="57" t="s">
        <v>325</v>
      </c>
      <c r="H439" s="57" t="s">
        <v>23</v>
      </c>
      <c r="K439" s="46">
        <v>12</v>
      </c>
      <c r="L439" s="57"/>
      <c r="M439" s="57">
        <v>462</v>
      </c>
      <c r="O439" s="57">
        <v>0.45</v>
      </c>
      <c r="P439" s="61">
        <f>RawData[[#This Row],[Value_USD_M]]*RawData[[#This Row],[Share_Est]]</f>
        <v>207.9</v>
      </c>
      <c r="S439" s="52"/>
    </row>
    <row r="440" spans="2:19" x14ac:dyDescent="0.3">
      <c r="B440" s="56" t="s">
        <v>659</v>
      </c>
      <c r="C440" s="57">
        <v>2024</v>
      </c>
      <c r="D440" s="57" t="s">
        <v>615</v>
      </c>
      <c r="E440" s="57" t="s">
        <v>560</v>
      </c>
      <c r="F440" s="57" t="s">
        <v>548</v>
      </c>
      <c r="G440" s="57" t="s">
        <v>326</v>
      </c>
      <c r="H440" s="57" t="s">
        <v>594</v>
      </c>
      <c r="I440" s="57"/>
      <c r="J440" s="57"/>
      <c r="K440" s="57">
        <v>230</v>
      </c>
      <c r="L440" s="57"/>
      <c r="M440" s="57">
        <v>2814.9</v>
      </c>
      <c r="N440" s="57"/>
      <c r="O440" s="57">
        <v>1</v>
      </c>
      <c r="P440" s="62">
        <f>RawData[[#This Row],[Value_USD_M]]*RawData[[#This Row],[Share_Est]]</f>
        <v>2814.9</v>
      </c>
      <c r="Q440" s="57"/>
      <c r="R440" s="57"/>
      <c r="S440" s="58" t="s">
        <v>658</v>
      </c>
    </row>
    <row r="441" spans="2:19" x14ac:dyDescent="0.3">
      <c r="B441" s="56" t="s">
        <v>659</v>
      </c>
      <c r="C441" s="57">
        <v>2025</v>
      </c>
      <c r="D441" s="57" t="s">
        <v>615</v>
      </c>
      <c r="E441" s="57" t="s">
        <v>560</v>
      </c>
      <c r="F441" s="57" t="s">
        <v>548</v>
      </c>
      <c r="G441" s="57" t="s">
        <v>326</v>
      </c>
      <c r="H441" s="57" t="s">
        <v>594</v>
      </c>
      <c r="I441" s="57"/>
      <c r="J441" s="57"/>
      <c r="K441" s="57">
        <v>214</v>
      </c>
      <c r="L441" s="57"/>
      <c r="M441" s="57">
        <v>905.1</v>
      </c>
      <c r="N441" s="57"/>
      <c r="O441" s="57">
        <v>1</v>
      </c>
      <c r="P441" s="62">
        <f>RawData[[#This Row],[Value_USD_M]]*RawData[[#This Row],[Share_Est]]</f>
        <v>905.1</v>
      </c>
      <c r="Q441" s="57"/>
      <c r="R441" s="57"/>
      <c r="S441" s="58"/>
    </row>
    <row r="442" spans="2:19" x14ac:dyDescent="0.3">
      <c r="B442" s="56" t="s">
        <v>659</v>
      </c>
      <c r="C442" s="57">
        <v>2026</v>
      </c>
      <c r="D442" s="57" t="s">
        <v>615</v>
      </c>
      <c r="E442" s="57" t="s">
        <v>560</v>
      </c>
      <c r="F442" s="57" t="s">
        <v>548</v>
      </c>
      <c r="G442" s="57" t="s">
        <v>326</v>
      </c>
      <c r="H442" s="57" t="s">
        <v>594</v>
      </c>
      <c r="I442" s="57"/>
      <c r="J442" s="57"/>
      <c r="K442" s="57">
        <v>245</v>
      </c>
      <c r="L442" s="57"/>
      <c r="M442" s="57">
        <v>1358.9</v>
      </c>
      <c r="N442" s="57"/>
      <c r="O442" s="57">
        <v>1</v>
      </c>
      <c r="P442" s="62">
        <f>RawData[[#This Row],[Value_USD_M]]*RawData[[#This Row],[Share_Est]]</f>
        <v>1358.9</v>
      </c>
      <c r="Q442" s="57"/>
      <c r="R442" s="57"/>
      <c r="S442" s="58"/>
    </row>
    <row r="443" spans="2:19" x14ac:dyDescent="0.3">
      <c r="B443" s="56" t="s">
        <v>474</v>
      </c>
      <c r="C443" s="57">
        <v>2024</v>
      </c>
      <c r="D443" s="57" t="s">
        <v>615</v>
      </c>
      <c r="E443" s="57" t="s">
        <v>560</v>
      </c>
      <c r="F443" s="57" t="s">
        <v>549</v>
      </c>
      <c r="G443" s="57" t="s">
        <v>660</v>
      </c>
      <c r="H443" s="57" t="s">
        <v>661</v>
      </c>
      <c r="I443" s="57"/>
      <c r="J443" s="57"/>
      <c r="K443" s="57"/>
      <c r="L443" s="57"/>
      <c r="M443" s="57">
        <v>172.7</v>
      </c>
      <c r="N443" s="57"/>
      <c r="O443" s="57">
        <v>0.25</v>
      </c>
      <c r="P443" s="62">
        <f>RawData[[#This Row],[Value_USD_M]]*RawData[[#This Row],[Share_Est]]</f>
        <v>43.174999999999997</v>
      </c>
      <c r="Q443" s="57"/>
      <c r="R443" s="57"/>
      <c r="S443" s="58"/>
    </row>
    <row r="444" spans="2:19" x14ac:dyDescent="0.3">
      <c r="B444" s="56" t="s">
        <v>474</v>
      </c>
      <c r="C444" s="57">
        <v>2024</v>
      </c>
      <c r="D444" s="57" t="s">
        <v>615</v>
      </c>
      <c r="E444" s="57" t="s">
        <v>560</v>
      </c>
      <c r="F444" s="57" t="s">
        <v>549</v>
      </c>
      <c r="G444" s="57" t="s">
        <v>325</v>
      </c>
      <c r="H444" s="57" t="s">
        <v>23</v>
      </c>
      <c r="I444" s="57"/>
      <c r="J444" s="57"/>
      <c r="K444" s="57"/>
      <c r="L444" s="57"/>
      <c r="M444" s="57">
        <v>172.7</v>
      </c>
      <c r="N444" s="57"/>
      <c r="O444" s="57">
        <v>0.25</v>
      </c>
      <c r="P444" s="62">
        <f>RawData[[#This Row],[Value_USD_M]]*RawData[[#This Row],[Share_Est]]</f>
        <v>43.174999999999997</v>
      </c>
      <c r="Q444" s="57"/>
      <c r="R444" s="57"/>
      <c r="S444" s="58"/>
    </row>
    <row r="445" spans="2:19" x14ac:dyDescent="0.3">
      <c r="B445" s="56" t="s">
        <v>474</v>
      </c>
      <c r="C445" s="57">
        <v>2024</v>
      </c>
      <c r="D445" s="57" t="s">
        <v>615</v>
      </c>
      <c r="E445" s="57" t="s">
        <v>560</v>
      </c>
      <c r="F445" s="57" t="s">
        <v>549</v>
      </c>
      <c r="G445" s="57" t="s">
        <v>326</v>
      </c>
      <c r="H445" s="57" t="s">
        <v>594</v>
      </c>
      <c r="I445" s="57"/>
      <c r="J445" s="57"/>
      <c r="K445" s="57"/>
      <c r="L445" s="57"/>
      <c r="M445" s="57">
        <v>172.7</v>
      </c>
      <c r="N445" s="57"/>
      <c r="O445" s="57">
        <v>0.2</v>
      </c>
      <c r="P445" s="62">
        <f>RawData[[#This Row],[Value_USD_M]]*RawData[[#This Row],[Share_Est]]</f>
        <v>34.54</v>
      </c>
      <c r="Q445" s="57"/>
      <c r="R445" s="57"/>
      <c r="S445" s="58"/>
    </row>
    <row r="446" spans="2:19" x14ac:dyDescent="0.3">
      <c r="B446" s="56" t="s">
        <v>474</v>
      </c>
      <c r="C446" s="57">
        <v>2024</v>
      </c>
      <c r="D446" s="57" t="s">
        <v>615</v>
      </c>
      <c r="E446" s="57" t="s">
        <v>560</v>
      </c>
      <c r="F446" s="57" t="s">
        <v>549</v>
      </c>
      <c r="G446" s="57" t="s">
        <v>596</v>
      </c>
      <c r="H446" s="57"/>
      <c r="I446" s="57"/>
      <c r="J446" s="57"/>
      <c r="K446" s="57"/>
      <c r="L446" s="57"/>
      <c r="M446" s="57">
        <v>172.7</v>
      </c>
      <c r="N446" s="57"/>
      <c r="O446" s="57">
        <v>0.15</v>
      </c>
      <c r="P446" s="62">
        <f>RawData[[#This Row],[Value_USD_M]]*RawData[[#This Row],[Share_Est]]</f>
        <v>25.904999999999998</v>
      </c>
      <c r="Q446" s="57"/>
      <c r="R446" s="57"/>
      <c r="S446" s="58"/>
    </row>
    <row r="447" spans="2:19" x14ac:dyDescent="0.3">
      <c r="B447" s="56" t="s">
        <v>474</v>
      </c>
      <c r="C447" s="57">
        <v>2024</v>
      </c>
      <c r="D447" s="57" t="s">
        <v>615</v>
      </c>
      <c r="E447" s="57" t="s">
        <v>560</v>
      </c>
      <c r="F447" s="57" t="s">
        <v>549</v>
      </c>
      <c r="G447" s="57" t="s">
        <v>381</v>
      </c>
      <c r="H447" s="57"/>
      <c r="I447" s="57"/>
      <c r="J447" s="57"/>
      <c r="K447" s="57"/>
      <c r="L447" s="57"/>
      <c r="M447" s="57">
        <v>172.7</v>
      </c>
      <c r="N447" s="57"/>
      <c r="O447" s="57">
        <v>0.15</v>
      </c>
      <c r="P447" s="62">
        <f>RawData[[#This Row],[Value_USD_M]]*RawData[[#This Row],[Share_Est]]</f>
        <v>25.904999999999998</v>
      </c>
      <c r="Q447" s="57"/>
      <c r="R447" s="57"/>
      <c r="S447" s="58"/>
    </row>
    <row r="448" spans="2:19" x14ac:dyDescent="0.3">
      <c r="B448" s="56" t="s">
        <v>474</v>
      </c>
      <c r="C448" s="57">
        <v>2025</v>
      </c>
      <c r="D448" s="57" t="s">
        <v>615</v>
      </c>
      <c r="E448" s="57" t="s">
        <v>560</v>
      </c>
      <c r="F448" s="57" t="s">
        <v>549</v>
      </c>
      <c r="G448" s="57" t="s">
        <v>660</v>
      </c>
      <c r="H448" s="57" t="s">
        <v>661</v>
      </c>
      <c r="I448" s="57"/>
      <c r="J448" s="57"/>
      <c r="K448" s="57"/>
      <c r="L448" s="57"/>
      <c r="M448" s="57">
        <v>140.9</v>
      </c>
      <c r="N448" s="57"/>
      <c r="O448" s="57">
        <v>0.25</v>
      </c>
      <c r="P448" s="62">
        <f>RawData[[#This Row],[Value_USD_M]]*RawData[[#This Row],[Share_Est]]</f>
        <v>35.225000000000001</v>
      </c>
      <c r="Q448" s="57"/>
      <c r="R448" s="57"/>
      <c r="S448" s="58"/>
    </row>
    <row r="449" spans="2:19" x14ac:dyDescent="0.3">
      <c r="B449" s="56" t="s">
        <v>474</v>
      </c>
      <c r="C449" s="57">
        <v>2025</v>
      </c>
      <c r="D449" s="57" t="s">
        <v>615</v>
      </c>
      <c r="E449" s="57" t="s">
        <v>560</v>
      </c>
      <c r="F449" s="57" t="s">
        <v>549</v>
      </c>
      <c r="G449" s="57" t="s">
        <v>325</v>
      </c>
      <c r="H449" s="57" t="s">
        <v>23</v>
      </c>
      <c r="I449" s="57"/>
      <c r="J449" s="57"/>
      <c r="K449" s="57"/>
      <c r="L449" s="57"/>
      <c r="M449" s="57">
        <v>140.9</v>
      </c>
      <c r="N449" s="57"/>
      <c r="O449" s="57">
        <v>0.25</v>
      </c>
      <c r="P449" s="62">
        <f>RawData[[#This Row],[Value_USD_M]]*RawData[[#This Row],[Share_Est]]</f>
        <v>35.225000000000001</v>
      </c>
      <c r="Q449" s="57"/>
      <c r="R449" s="57"/>
      <c r="S449" s="58"/>
    </row>
    <row r="450" spans="2:19" x14ac:dyDescent="0.3">
      <c r="B450" s="56" t="s">
        <v>474</v>
      </c>
      <c r="C450" s="57">
        <v>2025</v>
      </c>
      <c r="D450" s="57" t="s">
        <v>615</v>
      </c>
      <c r="E450" s="57" t="s">
        <v>560</v>
      </c>
      <c r="F450" s="57" t="s">
        <v>549</v>
      </c>
      <c r="G450" s="57" t="s">
        <v>326</v>
      </c>
      <c r="H450" s="57" t="s">
        <v>594</v>
      </c>
      <c r="I450" s="57"/>
      <c r="J450" s="57"/>
      <c r="K450" s="57"/>
      <c r="L450" s="57"/>
      <c r="M450" s="57">
        <v>140.9</v>
      </c>
      <c r="N450" s="57"/>
      <c r="O450" s="57">
        <v>0.2</v>
      </c>
      <c r="P450" s="62">
        <f>RawData[[#This Row],[Value_USD_M]]*RawData[[#This Row],[Share_Est]]</f>
        <v>28.180000000000003</v>
      </c>
      <c r="Q450" s="57"/>
      <c r="R450" s="57"/>
      <c r="S450" s="58"/>
    </row>
    <row r="451" spans="2:19" x14ac:dyDescent="0.3">
      <c r="B451" s="56" t="s">
        <v>474</v>
      </c>
      <c r="C451" s="57">
        <v>2025</v>
      </c>
      <c r="D451" s="57" t="s">
        <v>615</v>
      </c>
      <c r="E451" s="57" t="s">
        <v>560</v>
      </c>
      <c r="F451" s="57" t="s">
        <v>549</v>
      </c>
      <c r="G451" s="57" t="s">
        <v>596</v>
      </c>
      <c r="H451" s="57"/>
      <c r="I451" s="57"/>
      <c r="J451" s="57"/>
      <c r="K451" s="57"/>
      <c r="L451" s="57"/>
      <c r="M451" s="57">
        <v>140.9</v>
      </c>
      <c r="N451" s="57"/>
      <c r="O451" s="57">
        <v>0.15</v>
      </c>
      <c r="P451" s="62">
        <f>RawData[[#This Row],[Value_USD_M]]*RawData[[#This Row],[Share_Est]]</f>
        <v>21.135000000000002</v>
      </c>
      <c r="Q451" s="57"/>
      <c r="R451" s="57"/>
      <c r="S451" s="58"/>
    </row>
    <row r="452" spans="2:19" x14ac:dyDescent="0.3">
      <c r="B452" s="56" t="s">
        <v>474</v>
      </c>
      <c r="C452" s="57">
        <v>2025</v>
      </c>
      <c r="D452" s="57" t="s">
        <v>615</v>
      </c>
      <c r="E452" s="57" t="s">
        <v>560</v>
      </c>
      <c r="F452" s="57" t="s">
        <v>549</v>
      </c>
      <c r="G452" s="57" t="s">
        <v>381</v>
      </c>
      <c r="H452" s="57"/>
      <c r="I452" s="57"/>
      <c r="J452" s="57"/>
      <c r="K452" s="57"/>
      <c r="L452" s="57"/>
      <c r="M452" s="57">
        <v>140.9</v>
      </c>
      <c r="N452" s="57"/>
      <c r="O452" s="57">
        <v>0.15</v>
      </c>
      <c r="P452" s="62">
        <f>RawData[[#This Row],[Value_USD_M]]*RawData[[#This Row],[Share_Est]]</f>
        <v>21.135000000000002</v>
      </c>
      <c r="Q452" s="57"/>
      <c r="R452" s="57"/>
      <c r="S452" s="58"/>
    </row>
    <row r="453" spans="2:19" x14ac:dyDescent="0.3">
      <c r="B453" s="56" t="s">
        <v>474</v>
      </c>
      <c r="C453" s="57">
        <v>2026</v>
      </c>
      <c r="D453" s="57" t="s">
        <v>615</v>
      </c>
      <c r="E453" s="57" t="s">
        <v>560</v>
      </c>
      <c r="F453" s="57" t="s">
        <v>549</v>
      </c>
      <c r="G453" s="57" t="s">
        <v>660</v>
      </c>
      <c r="H453" s="57" t="s">
        <v>661</v>
      </c>
      <c r="I453" s="57"/>
      <c r="J453" s="57"/>
      <c r="K453" s="57"/>
      <c r="L453" s="57"/>
      <c r="M453" s="57">
        <v>248.7</v>
      </c>
      <c r="N453" s="57"/>
      <c r="O453" s="57">
        <v>0.25</v>
      </c>
      <c r="P453" s="62">
        <f>RawData[[#This Row],[Value_USD_M]]*RawData[[#This Row],[Share_Est]]</f>
        <v>62.174999999999997</v>
      </c>
      <c r="Q453" s="57"/>
      <c r="R453" s="57"/>
      <c r="S453" s="58"/>
    </row>
    <row r="454" spans="2:19" x14ac:dyDescent="0.3">
      <c r="B454" s="56" t="s">
        <v>474</v>
      </c>
      <c r="C454" s="57">
        <v>2026</v>
      </c>
      <c r="D454" s="57" t="s">
        <v>615</v>
      </c>
      <c r="E454" s="57" t="s">
        <v>560</v>
      </c>
      <c r="F454" s="57" t="s">
        <v>549</v>
      </c>
      <c r="G454" s="57" t="s">
        <v>325</v>
      </c>
      <c r="H454" s="57" t="s">
        <v>23</v>
      </c>
      <c r="I454" s="57"/>
      <c r="J454" s="57"/>
      <c r="K454" s="57"/>
      <c r="L454" s="57"/>
      <c r="M454" s="57">
        <v>248.7</v>
      </c>
      <c r="N454" s="57"/>
      <c r="O454" s="57">
        <v>0.25</v>
      </c>
      <c r="P454" s="62">
        <f>RawData[[#This Row],[Value_USD_M]]*RawData[[#This Row],[Share_Est]]</f>
        <v>62.174999999999997</v>
      </c>
      <c r="Q454" s="57"/>
      <c r="R454" s="57"/>
      <c r="S454" s="58"/>
    </row>
    <row r="455" spans="2:19" x14ac:dyDescent="0.3">
      <c r="B455" s="56" t="s">
        <v>474</v>
      </c>
      <c r="C455" s="57">
        <v>2026</v>
      </c>
      <c r="D455" s="57" t="s">
        <v>615</v>
      </c>
      <c r="E455" s="57" t="s">
        <v>560</v>
      </c>
      <c r="F455" s="57" t="s">
        <v>549</v>
      </c>
      <c r="G455" s="57" t="s">
        <v>326</v>
      </c>
      <c r="H455" s="57" t="s">
        <v>594</v>
      </c>
      <c r="I455" s="57"/>
      <c r="J455" s="57"/>
      <c r="K455" s="57"/>
      <c r="L455" s="57"/>
      <c r="M455" s="57">
        <v>248.7</v>
      </c>
      <c r="N455" s="57"/>
      <c r="O455" s="57">
        <v>0.2</v>
      </c>
      <c r="P455" s="62">
        <f>RawData[[#This Row],[Value_USD_M]]*RawData[[#This Row],[Share_Est]]</f>
        <v>49.74</v>
      </c>
      <c r="Q455" s="57"/>
      <c r="R455" s="57"/>
      <c r="S455" s="58"/>
    </row>
    <row r="456" spans="2:19" x14ac:dyDescent="0.3">
      <c r="B456" s="56" t="s">
        <v>474</v>
      </c>
      <c r="C456" s="57">
        <v>2026</v>
      </c>
      <c r="D456" s="57" t="s">
        <v>615</v>
      </c>
      <c r="E456" s="57" t="s">
        <v>560</v>
      </c>
      <c r="F456" s="57" t="s">
        <v>549</v>
      </c>
      <c r="G456" s="57" t="s">
        <v>596</v>
      </c>
      <c r="H456" s="57"/>
      <c r="I456" s="57"/>
      <c r="J456" s="57"/>
      <c r="K456" s="57"/>
      <c r="L456" s="57"/>
      <c r="M456" s="57">
        <v>248.7</v>
      </c>
      <c r="N456" s="57"/>
      <c r="O456" s="57">
        <v>0.15</v>
      </c>
      <c r="P456" s="62">
        <f>RawData[[#This Row],[Value_USD_M]]*RawData[[#This Row],[Share_Est]]</f>
        <v>37.305</v>
      </c>
      <c r="Q456" s="57"/>
      <c r="R456" s="57"/>
      <c r="S456" s="58"/>
    </row>
    <row r="457" spans="2:19" x14ac:dyDescent="0.3">
      <c r="B457" s="56" t="s">
        <v>474</v>
      </c>
      <c r="C457" s="57">
        <v>2026</v>
      </c>
      <c r="D457" s="57" t="s">
        <v>615</v>
      </c>
      <c r="E457" s="57" t="s">
        <v>560</v>
      </c>
      <c r="F457" s="57" t="s">
        <v>549</v>
      </c>
      <c r="G457" s="57" t="s">
        <v>381</v>
      </c>
      <c r="H457" s="57"/>
      <c r="I457" s="57"/>
      <c r="J457" s="57"/>
      <c r="K457" s="57"/>
      <c r="L457" s="57"/>
      <c r="M457" s="57">
        <v>248.7</v>
      </c>
      <c r="N457" s="57"/>
      <c r="O457" s="57">
        <v>0.15</v>
      </c>
      <c r="P457" s="62">
        <f>RawData[[#This Row],[Value_USD_M]]*RawData[[#This Row],[Share_Est]]</f>
        <v>37.305</v>
      </c>
      <c r="Q457" s="57"/>
      <c r="R457" s="57"/>
      <c r="S457" s="58"/>
    </row>
    <row r="458" spans="2:19" x14ac:dyDescent="0.3">
      <c r="B458" s="56" t="s">
        <v>474</v>
      </c>
      <c r="C458" s="57">
        <v>2024</v>
      </c>
      <c r="D458" s="57" t="s">
        <v>615</v>
      </c>
      <c r="E458" s="57" t="s">
        <v>560</v>
      </c>
      <c r="F458" s="57" t="s">
        <v>548</v>
      </c>
      <c r="G458" s="57" t="s">
        <v>660</v>
      </c>
      <c r="H458" s="57" t="s">
        <v>661</v>
      </c>
      <c r="I458" s="57"/>
      <c r="J458" s="57"/>
      <c r="K458" s="57"/>
      <c r="L458" s="57"/>
      <c r="M458" s="57">
        <v>256.8</v>
      </c>
      <c r="N458" s="57"/>
      <c r="O458" s="57">
        <v>0.25</v>
      </c>
      <c r="P458" s="62">
        <f>RawData[[#This Row],[Value_USD_M]]*RawData[[#This Row],[Share_Est]]</f>
        <v>64.2</v>
      </c>
      <c r="Q458" s="57"/>
      <c r="R458" s="57"/>
      <c r="S458" s="58"/>
    </row>
    <row r="459" spans="2:19" x14ac:dyDescent="0.3">
      <c r="B459" s="56" t="s">
        <v>474</v>
      </c>
      <c r="C459" s="57">
        <v>2024</v>
      </c>
      <c r="D459" s="57" t="s">
        <v>615</v>
      </c>
      <c r="E459" s="57" t="s">
        <v>560</v>
      </c>
      <c r="F459" s="57" t="s">
        <v>548</v>
      </c>
      <c r="G459" s="57" t="s">
        <v>325</v>
      </c>
      <c r="H459" s="57" t="s">
        <v>23</v>
      </c>
      <c r="I459" s="57"/>
      <c r="J459" s="57"/>
      <c r="K459" s="57"/>
      <c r="L459" s="57"/>
      <c r="M459" s="57">
        <v>256.8</v>
      </c>
      <c r="N459" s="57"/>
      <c r="O459" s="57">
        <v>0.25</v>
      </c>
      <c r="P459" s="62">
        <f>RawData[[#This Row],[Value_USD_M]]*RawData[[#This Row],[Share_Est]]</f>
        <v>64.2</v>
      </c>
      <c r="Q459" s="57"/>
      <c r="R459" s="57"/>
      <c r="S459" s="58"/>
    </row>
    <row r="460" spans="2:19" x14ac:dyDescent="0.3">
      <c r="B460" s="56" t="s">
        <v>474</v>
      </c>
      <c r="C460" s="57">
        <v>2024</v>
      </c>
      <c r="D460" s="57" t="s">
        <v>615</v>
      </c>
      <c r="E460" s="57" t="s">
        <v>560</v>
      </c>
      <c r="F460" s="57" t="s">
        <v>548</v>
      </c>
      <c r="G460" s="57" t="s">
        <v>326</v>
      </c>
      <c r="H460" s="57" t="s">
        <v>594</v>
      </c>
      <c r="I460" s="57"/>
      <c r="J460" s="57"/>
      <c r="K460" s="57"/>
      <c r="L460" s="57"/>
      <c r="M460" s="57">
        <v>256.8</v>
      </c>
      <c r="N460" s="57"/>
      <c r="O460" s="57">
        <v>0.2</v>
      </c>
      <c r="P460" s="62">
        <f>RawData[[#This Row],[Value_USD_M]]*RawData[[#This Row],[Share_Est]]</f>
        <v>51.360000000000007</v>
      </c>
      <c r="Q460" s="57"/>
      <c r="R460" s="57"/>
      <c r="S460" s="58"/>
    </row>
    <row r="461" spans="2:19" x14ac:dyDescent="0.3">
      <c r="B461" s="56" t="s">
        <v>474</v>
      </c>
      <c r="C461" s="57">
        <v>2024</v>
      </c>
      <c r="D461" s="57" t="s">
        <v>615</v>
      </c>
      <c r="E461" s="57" t="s">
        <v>560</v>
      </c>
      <c r="F461" s="57" t="s">
        <v>548</v>
      </c>
      <c r="G461" s="57" t="s">
        <v>596</v>
      </c>
      <c r="H461" s="57"/>
      <c r="I461" s="57"/>
      <c r="J461" s="57"/>
      <c r="K461" s="57"/>
      <c r="L461" s="57"/>
      <c r="M461" s="57">
        <v>256.8</v>
      </c>
      <c r="N461" s="57"/>
      <c r="O461" s="57">
        <v>0.15</v>
      </c>
      <c r="P461" s="62">
        <f>RawData[[#This Row],[Value_USD_M]]*RawData[[#This Row],[Share_Est]]</f>
        <v>38.520000000000003</v>
      </c>
      <c r="Q461" s="57"/>
      <c r="R461" s="57"/>
      <c r="S461" s="58"/>
    </row>
    <row r="462" spans="2:19" x14ac:dyDescent="0.3">
      <c r="B462" s="56" t="s">
        <v>474</v>
      </c>
      <c r="C462" s="57">
        <v>2024</v>
      </c>
      <c r="D462" s="57" t="s">
        <v>615</v>
      </c>
      <c r="E462" s="57" t="s">
        <v>560</v>
      </c>
      <c r="F462" s="57" t="s">
        <v>548</v>
      </c>
      <c r="G462" s="57" t="s">
        <v>381</v>
      </c>
      <c r="H462" s="57"/>
      <c r="I462" s="57"/>
      <c r="J462" s="57"/>
      <c r="K462" s="57"/>
      <c r="L462" s="57"/>
      <c r="M462" s="57">
        <v>256.8</v>
      </c>
      <c r="N462" s="57"/>
      <c r="O462" s="57">
        <v>0.15</v>
      </c>
      <c r="P462" s="62">
        <f>RawData[[#This Row],[Value_USD_M]]*RawData[[#This Row],[Share_Est]]</f>
        <v>38.520000000000003</v>
      </c>
      <c r="Q462" s="57"/>
      <c r="R462" s="57"/>
      <c r="S462" s="58"/>
    </row>
    <row r="463" spans="2:19" x14ac:dyDescent="0.3">
      <c r="B463" s="56" t="s">
        <v>474</v>
      </c>
      <c r="C463" s="57">
        <v>2025</v>
      </c>
      <c r="D463" s="57" t="s">
        <v>615</v>
      </c>
      <c r="E463" s="57" t="s">
        <v>560</v>
      </c>
      <c r="F463" s="57" t="s">
        <v>548</v>
      </c>
      <c r="G463" s="57" t="s">
        <v>660</v>
      </c>
      <c r="H463" s="57" t="s">
        <v>661</v>
      </c>
      <c r="I463" s="57"/>
      <c r="J463" s="57"/>
      <c r="K463" s="57"/>
      <c r="L463" s="57"/>
      <c r="M463" s="57">
        <v>552.4</v>
      </c>
      <c r="N463" s="57"/>
      <c r="O463" s="57">
        <v>0.25</v>
      </c>
      <c r="P463" s="62">
        <f>RawData[[#This Row],[Value_USD_M]]*RawData[[#This Row],[Share_Est]]</f>
        <v>138.1</v>
      </c>
      <c r="Q463" s="57"/>
      <c r="R463" s="57"/>
      <c r="S463" s="58"/>
    </row>
    <row r="464" spans="2:19" x14ac:dyDescent="0.3">
      <c r="B464" s="56" t="s">
        <v>474</v>
      </c>
      <c r="C464" s="57">
        <v>2025</v>
      </c>
      <c r="D464" s="57" t="s">
        <v>615</v>
      </c>
      <c r="E464" s="57" t="s">
        <v>560</v>
      </c>
      <c r="F464" s="57" t="s">
        <v>548</v>
      </c>
      <c r="G464" s="57" t="s">
        <v>325</v>
      </c>
      <c r="H464" s="57" t="s">
        <v>23</v>
      </c>
      <c r="I464" s="57"/>
      <c r="J464" s="57"/>
      <c r="K464" s="57"/>
      <c r="L464" s="57"/>
      <c r="M464" s="57">
        <v>552.4</v>
      </c>
      <c r="N464" s="57"/>
      <c r="O464" s="57">
        <v>0.25</v>
      </c>
      <c r="P464" s="62">
        <f>RawData[[#This Row],[Value_USD_M]]*RawData[[#This Row],[Share_Est]]</f>
        <v>138.1</v>
      </c>
      <c r="Q464" s="57"/>
      <c r="R464" s="57"/>
      <c r="S464" s="58"/>
    </row>
    <row r="465" spans="2:19" x14ac:dyDescent="0.3">
      <c r="B465" s="56" t="s">
        <v>474</v>
      </c>
      <c r="C465" s="57">
        <v>2025</v>
      </c>
      <c r="D465" s="57" t="s">
        <v>615</v>
      </c>
      <c r="E465" s="57" t="s">
        <v>560</v>
      </c>
      <c r="F465" s="57" t="s">
        <v>548</v>
      </c>
      <c r="G465" s="57" t="s">
        <v>326</v>
      </c>
      <c r="H465" s="57" t="s">
        <v>594</v>
      </c>
      <c r="I465" s="57"/>
      <c r="J465" s="57"/>
      <c r="K465" s="57"/>
      <c r="L465" s="57"/>
      <c r="M465" s="57">
        <v>552.4</v>
      </c>
      <c r="N465" s="57"/>
      <c r="O465" s="57">
        <v>0.2</v>
      </c>
      <c r="P465" s="62">
        <f>RawData[[#This Row],[Value_USD_M]]*RawData[[#This Row],[Share_Est]]</f>
        <v>110.48</v>
      </c>
      <c r="Q465" s="57"/>
      <c r="R465" s="57"/>
      <c r="S465" s="58"/>
    </row>
    <row r="466" spans="2:19" x14ac:dyDescent="0.3">
      <c r="B466" s="56" t="s">
        <v>474</v>
      </c>
      <c r="C466" s="57">
        <v>2025</v>
      </c>
      <c r="D466" s="57" t="s">
        <v>615</v>
      </c>
      <c r="E466" s="57" t="s">
        <v>560</v>
      </c>
      <c r="F466" s="57" t="s">
        <v>548</v>
      </c>
      <c r="G466" s="57" t="s">
        <v>596</v>
      </c>
      <c r="H466" s="57"/>
      <c r="I466" s="57"/>
      <c r="J466" s="57"/>
      <c r="K466" s="57"/>
      <c r="L466" s="57"/>
      <c r="M466" s="57">
        <v>552.4</v>
      </c>
      <c r="N466" s="57"/>
      <c r="O466" s="57">
        <v>0.15</v>
      </c>
      <c r="P466" s="62">
        <f>RawData[[#This Row],[Value_USD_M]]*RawData[[#This Row],[Share_Est]]</f>
        <v>82.86</v>
      </c>
      <c r="Q466" s="57"/>
      <c r="R466" s="57"/>
      <c r="S466" s="58"/>
    </row>
    <row r="467" spans="2:19" x14ac:dyDescent="0.3">
      <c r="B467" s="56" t="s">
        <v>474</v>
      </c>
      <c r="C467" s="57">
        <v>2025</v>
      </c>
      <c r="D467" s="57" t="s">
        <v>615</v>
      </c>
      <c r="E467" s="57" t="s">
        <v>560</v>
      </c>
      <c r="F467" s="57" t="s">
        <v>548</v>
      </c>
      <c r="G467" s="57" t="s">
        <v>381</v>
      </c>
      <c r="H467" s="57"/>
      <c r="I467" s="57"/>
      <c r="J467" s="57"/>
      <c r="K467" s="57"/>
      <c r="L467" s="57"/>
      <c r="M467" s="57">
        <v>552.4</v>
      </c>
      <c r="N467" s="57"/>
      <c r="O467" s="57">
        <v>0.15</v>
      </c>
      <c r="P467" s="62">
        <f>RawData[[#This Row],[Value_USD_M]]*RawData[[#This Row],[Share_Est]]</f>
        <v>82.86</v>
      </c>
      <c r="Q467" s="57"/>
      <c r="R467" s="57"/>
      <c r="S467" s="58"/>
    </row>
    <row r="468" spans="2:19" x14ac:dyDescent="0.3">
      <c r="B468" s="56" t="s">
        <v>474</v>
      </c>
      <c r="C468" s="57">
        <v>2026</v>
      </c>
      <c r="D468" s="57" t="s">
        <v>615</v>
      </c>
      <c r="E468" s="57" t="s">
        <v>560</v>
      </c>
      <c r="F468" s="57" t="s">
        <v>548</v>
      </c>
      <c r="G468" s="57" t="s">
        <v>660</v>
      </c>
      <c r="H468" s="57" t="s">
        <v>661</v>
      </c>
      <c r="I468" s="57"/>
      <c r="J468" s="57"/>
      <c r="K468" s="57"/>
      <c r="L468" s="57"/>
      <c r="M468" s="57">
        <v>1018.6</v>
      </c>
      <c r="N468" s="57"/>
      <c r="O468" s="57">
        <v>0.25</v>
      </c>
      <c r="P468" s="62">
        <f>RawData[[#This Row],[Value_USD_M]]*RawData[[#This Row],[Share_Est]]</f>
        <v>254.65</v>
      </c>
      <c r="Q468" s="57"/>
      <c r="R468" s="57"/>
      <c r="S468" s="58"/>
    </row>
    <row r="469" spans="2:19" x14ac:dyDescent="0.3">
      <c r="B469" s="56" t="s">
        <v>474</v>
      </c>
      <c r="C469" s="57">
        <v>2026</v>
      </c>
      <c r="D469" s="57" t="s">
        <v>615</v>
      </c>
      <c r="E469" s="57" t="s">
        <v>560</v>
      </c>
      <c r="F469" s="57" t="s">
        <v>548</v>
      </c>
      <c r="G469" s="57" t="s">
        <v>325</v>
      </c>
      <c r="H469" s="57" t="s">
        <v>23</v>
      </c>
      <c r="I469" s="57"/>
      <c r="J469" s="57"/>
      <c r="K469" s="57"/>
      <c r="L469" s="57"/>
      <c r="M469" s="57">
        <v>1018.6</v>
      </c>
      <c r="N469" s="57"/>
      <c r="O469" s="57">
        <v>0.25</v>
      </c>
      <c r="P469" s="62">
        <f>RawData[[#This Row],[Value_USD_M]]*RawData[[#This Row],[Share_Est]]</f>
        <v>254.65</v>
      </c>
      <c r="Q469" s="57"/>
      <c r="R469" s="57"/>
      <c r="S469" s="58"/>
    </row>
    <row r="470" spans="2:19" x14ac:dyDescent="0.3">
      <c r="B470" s="56" t="s">
        <v>474</v>
      </c>
      <c r="C470" s="57">
        <v>2026</v>
      </c>
      <c r="D470" s="57" t="s">
        <v>615</v>
      </c>
      <c r="E470" s="57" t="s">
        <v>560</v>
      </c>
      <c r="F470" s="57" t="s">
        <v>548</v>
      </c>
      <c r="G470" s="57" t="s">
        <v>326</v>
      </c>
      <c r="H470" s="57" t="s">
        <v>594</v>
      </c>
      <c r="L470" s="57"/>
      <c r="M470" s="57">
        <v>1018.6</v>
      </c>
      <c r="O470" s="57">
        <v>0.2</v>
      </c>
      <c r="P470" s="61">
        <f>RawData[[#This Row],[Value_USD_M]]*RawData[[#This Row],[Share_Est]]</f>
        <v>203.72000000000003</v>
      </c>
      <c r="S470" s="52"/>
    </row>
    <row r="471" spans="2:19" x14ac:dyDescent="0.3">
      <c r="B471" s="56" t="s">
        <v>474</v>
      </c>
      <c r="C471" s="57">
        <v>2026</v>
      </c>
      <c r="D471" s="57" t="s">
        <v>615</v>
      </c>
      <c r="E471" s="57" t="s">
        <v>560</v>
      </c>
      <c r="F471" s="57" t="s">
        <v>548</v>
      </c>
      <c r="G471" s="57" t="s">
        <v>596</v>
      </c>
      <c r="H471" s="57"/>
      <c r="L471" s="57"/>
      <c r="M471" s="57">
        <v>1018.6</v>
      </c>
      <c r="O471" s="57">
        <v>0.15</v>
      </c>
      <c r="P471" s="61">
        <f>RawData[[#This Row],[Value_USD_M]]*RawData[[#This Row],[Share_Est]]</f>
        <v>152.79</v>
      </c>
      <c r="S471" s="52"/>
    </row>
    <row r="472" spans="2:19" x14ac:dyDescent="0.3">
      <c r="B472" s="56" t="s">
        <v>474</v>
      </c>
      <c r="C472" s="57">
        <v>2026</v>
      </c>
      <c r="D472" s="57" t="s">
        <v>615</v>
      </c>
      <c r="E472" s="57" t="s">
        <v>560</v>
      </c>
      <c r="F472" s="57" t="s">
        <v>548</v>
      </c>
      <c r="G472" s="57" t="s">
        <v>381</v>
      </c>
      <c r="H472" s="57"/>
      <c r="L472" s="57"/>
      <c r="M472" s="57">
        <v>1018.6</v>
      </c>
      <c r="O472" s="57">
        <v>0.15</v>
      </c>
      <c r="P472" s="61">
        <f>RawData[[#This Row],[Value_USD_M]]*RawData[[#This Row],[Share_Est]]</f>
        <v>152.79</v>
      </c>
      <c r="S472" s="52"/>
    </row>
    <row r="473" spans="2:19" x14ac:dyDescent="0.3">
      <c r="B473" s="56" t="s">
        <v>483</v>
      </c>
      <c r="C473" s="57">
        <v>2024</v>
      </c>
      <c r="D473" s="57" t="s">
        <v>546</v>
      </c>
      <c r="E473" s="57" t="s">
        <v>560</v>
      </c>
      <c r="F473" s="57" t="s">
        <v>549</v>
      </c>
      <c r="G473" s="57" t="s">
        <v>326</v>
      </c>
      <c r="H473" s="57" t="s">
        <v>594</v>
      </c>
      <c r="I473" s="57"/>
      <c r="J473" s="57"/>
      <c r="K473" s="57"/>
      <c r="L473" s="57"/>
      <c r="M473" s="57">
        <v>129.30000000000001</v>
      </c>
      <c r="N473" s="57"/>
      <c r="O473" s="57">
        <v>1</v>
      </c>
      <c r="P473" s="61">
        <f>RawData[[#This Row],[Value_USD_M]]*RawData[[#This Row],[Share_Est]]</f>
        <v>129.30000000000001</v>
      </c>
      <c r="Q473" s="57"/>
      <c r="R473" s="57"/>
      <c r="S473" s="58"/>
    </row>
    <row r="474" spans="2:19" x14ac:dyDescent="0.3">
      <c r="B474" s="56" t="s">
        <v>483</v>
      </c>
      <c r="C474" s="57">
        <v>2025</v>
      </c>
      <c r="D474" s="57" t="s">
        <v>546</v>
      </c>
      <c r="E474" s="57" t="s">
        <v>560</v>
      </c>
      <c r="F474" s="57" t="s">
        <v>549</v>
      </c>
      <c r="G474" s="57" t="s">
        <v>326</v>
      </c>
      <c r="H474" s="57" t="s">
        <v>594</v>
      </c>
      <c r="I474" s="57"/>
      <c r="J474" s="57"/>
      <c r="K474" s="57"/>
      <c r="L474" s="57"/>
      <c r="M474" s="57">
        <v>181.7</v>
      </c>
      <c r="N474" s="57"/>
      <c r="O474" s="57">
        <v>1</v>
      </c>
      <c r="P474" s="61">
        <f>RawData[[#This Row],[Value_USD_M]]*RawData[[#This Row],[Share_Est]]</f>
        <v>181.7</v>
      </c>
      <c r="Q474" s="57"/>
      <c r="R474" s="57"/>
      <c r="S474" s="58"/>
    </row>
    <row r="475" spans="2:19" x14ac:dyDescent="0.3">
      <c r="B475" s="56" t="s">
        <v>483</v>
      </c>
      <c r="C475" s="57">
        <v>2026</v>
      </c>
      <c r="D475" s="57" t="s">
        <v>546</v>
      </c>
      <c r="E475" s="57" t="s">
        <v>560</v>
      </c>
      <c r="F475" s="57" t="s">
        <v>549</v>
      </c>
      <c r="G475" s="57" t="s">
        <v>326</v>
      </c>
      <c r="H475" s="57" t="s">
        <v>594</v>
      </c>
      <c r="I475" s="57"/>
      <c r="J475" s="57"/>
      <c r="K475" s="57"/>
      <c r="L475" s="57"/>
      <c r="M475" s="57">
        <v>232.3</v>
      </c>
      <c r="N475" s="57"/>
      <c r="O475" s="57">
        <v>1</v>
      </c>
      <c r="P475" s="61">
        <f>RawData[[#This Row],[Value_USD_M]]*RawData[[#This Row],[Share_Est]]</f>
        <v>232.3</v>
      </c>
      <c r="Q475" s="57"/>
      <c r="R475" s="57"/>
      <c r="S475" s="58"/>
    </row>
    <row r="476" spans="2:19" x14ac:dyDescent="0.3">
      <c r="B476" s="56" t="s">
        <v>483</v>
      </c>
      <c r="C476" s="57">
        <v>2024</v>
      </c>
      <c r="D476" s="57" t="s">
        <v>546</v>
      </c>
      <c r="E476" s="57" t="s">
        <v>560</v>
      </c>
      <c r="F476" s="57" t="s">
        <v>548</v>
      </c>
      <c r="G476" s="57" t="s">
        <v>326</v>
      </c>
      <c r="H476" s="57" t="s">
        <v>594</v>
      </c>
      <c r="I476" s="57"/>
      <c r="J476" s="57"/>
      <c r="K476" s="57">
        <v>1140</v>
      </c>
      <c r="L476" s="57"/>
      <c r="M476" s="57">
        <v>2730.3</v>
      </c>
      <c r="N476" s="57"/>
      <c r="O476" s="57">
        <v>1</v>
      </c>
      <c r="P476" s="61">
        <f>RawData[[#This Row],[Value_USD_M]]*RawData[[#This Row],[Share_Est]]</f>
        <v>2730.3</v>
      </c>
      <c r="Q476" s="57"/>
      <c r="R476" s="57"/>
      <c r="S476" s="58"/>
    </row>
    <row r="477" spans="2:19" x14ac:dyDescent="0.3">
      <c r="B477" s="56" t="s">
        <v>483</v>
      </c>
      <c r="C477" s="57">
        <v>2025</v>
      </c>
      <c r="D477" s="57" t="s">
        <v>546</v>
      </c>
      <c r="E477" s="57" t="s">
        <v>560</v>
      </c>
      <c r="F477" s="57" t="s">
        <v>548</v>
      </c>
      <c r="G477" s="57" t="s">
        <v>326</v>
      </c>
      <c r="H477" s="57" t="s">
        <v>594</v>
      </c>
      <c r="I477" s="57"/>
      <c r="J477" s="57"/>
      <c r="K477" s="57">
        <v>450</v>
      </c>
      <c r="L477" s="57"/>
      <c r="M477" s="57">
        <v>821.1</v>
      </c>
      <c r="N477" s="57"/>
      <c r="O477" s="57">
        <v>1</v>
      </c>
      <c r="P477" s="61">
        <f>RawData[[#This Row],[Value_USD_M]]*RawData[[#This Row],[Share_Est]]</f>
        <v>821.1</v>
      </c>
      <c r="Q477" s="57"/>
      <c r="R477" s="57"/>
      <c r="S477" s="58"/>
    </row>
    <row r="478" spans="2:19" x14ac:dyDescent="0.3">
      <c r="B478" s="56" t="s">
        <v>483</v>
      </c>
      <c r="C478" s="57">
        <v>2026</v>
      </c>
      <c r="D478" s="57" t="s">
        <v>546</v>
      </c>
      <c r="E478" s="57" t="s">
        <v>560</v>
      </c>
      <c r="F478" s="57" t="s">
        <v>548</v>
      </c>
      <c r="G478" s="57" t="s">
        <v>326</v>
      </c>
      <c r="H478" s="57" t="s">
        <v>594</v>
      </c>
      <c r="I478" s="57"/>
      <c r="J478" s="57"/>
      <c r="K478" s="57">
        <v>389</v>
      </c>
      <c r="L478" s="57"/>
      <c r="M478" s="57">
        <v>819.1</v>
      </c>
      <c r="N478" s="57"/>
      <c r="O478" s="57">
        <v>1</v>
      </c>
      <c r="P478" s="61">
        <f>RawData[[#This Row],[Value_USD_M]]*RawData[[#This Row],[Share_Est]]</f>
        <v>819.1</v>
      </c>
      <c r="Q478" s="57"/>
      <c r="R478" s="57"/>
      <c r="S478" s="58"/>
    </row>
    <row r="479" spans="2:19" x14ac:dyDescent="0.3">
      <c r="B479" s="56" t="s">
        <v>488</v>
      </c>
      <c r="C479" s="57">
        <v>2024</v>
      </c>
      <c r="D479" s="57" t="s">
        <v>582</v>
      </c>
      <c r="E479" s="57" t="s">
        <v>560</v>
      </c>
      <c r="F479" s="57" t="s">
        <v>549</v>
      </c>
      <c r="G479" s="57" t="s">
        <v>326</v>
      </c>
      <c r="H479" s="57" t="s">
        <v>594</v>
      </c>
      <c r="I479" s="57"/>
      <c r="J479" s="57"/>
      <c r="K479" s="57"/>
      <c r="L479" s="57"/>
      <c r="M479" s="57">
        <v>253.1</v>
      </c>
      <c r="N479" s="57"/>
      <c r="O479" s="57">
        <v>1</v>
      </c>
      <c r="P479" s="62">
        <f>RawData[[#This Row],[Value_USD_M]]*RawData[[#This Row],[Share_Est]]</f>
        <v>253.1</v>
      </c>
      <c r="Q479" s="57"/>
      <c r="R479" s="57"/>
      <c r="S479" s="58"/>
    </row>
    <row r="480" spans="2:19" x14ac:dyDescent="0.3">
      <c r="B480" s="56" t="s">
        <v>488</v>
      </c>
      <c r="C480" s="57">
        <v>2025</v>
      </c>
      <c r="D480" s="57" t="s">
        <v>582</v>
      </c>
      <c r="E480" s="57" t="s">
        <v>560</v>
      </c>
      <c r="F480" s="57" t="s">
        <v>549</v>
      </c>
      <c r="G480" s="57" t="s">
        <v>326</v>
      </c>
      <c r="H480" s="57" t="s">
        <v>594</v>
      </c>
      <c r="I480" s="57"/>
      <c r="J480" s="57"/>
      <c r="K480" s="57"/>
      <c r="L480" s="57"/>
      <c r="M480" s="57">
        <v>286.39999999999998</v>
      </c>
      <c r="N480" s="57"/>
      <c r="O480" s="57">
        <v>1</v>
      </c>
      <c r="P480" s="62">
        <f>RawData[[#This Row],[Value_USD_M]]*RawData[[#This Row],[Share_Est]]</f>
        <v>286.39999999999998</v>
      </c>
      <c r="Q480" s="57"/>
      <c r="R480" s="57"/>
      <c r="S480" s="58"/>
    </row>
    <row r="481" spans="2:19" x14ac:dyDescent="0.3">
      <c r="B481" s="56" t="s">
        <v>488</v>
      </c>
      <c r="C481" s="57">
        <v>2026</v>
      </c>
      <c r="D481" s="57" t="s">
        <v>582</v>
      </c>
      <c r="E481" s="57" t="s">
        <v>560</v>
      </c>
      <c r="F481" s="57" t="s">
        <v>549</v>
      </c>
      <c r="G481" s="57" t="s">
        <v>326</v>
      </c>
      <c r="H481" s="57" t="s">
        <v>594</v>
      </c>
      <c r="I481" s="57"/>
      <c r="J481" s="57"/>
      <c r="K481" s="57"/>
      <c r="L481" s="57"/>
      <c r="M481" s="57">
        <v>225.8</v>
      </c>
      <c r="N481" s="57"/>
      <c r="O481" s="57">
        <v>1</v>
      </c>
      <c r="P481" s="62">
        <f>RawData[[#This Row],[Value_USD_M]]*RawData[[#This Row],[Share_Est]]</f>
        <v>225.8</v>
      </c>
      <c r="Q481" s="57"/>
      <c r="R481" s="57"/>
      <c r="S481" s="58"/>
    </row>
    <row r="482" spans="2:19" x14ac:dyDescent="0.3">
      <c r="B482" s="56" t="s">
        <v>488</v>
      </c>
      <c r="C482" s="57">
        <v>2024</v>
      </c>
      <c r="D482" s="57" t="s">
        <v>547</v>
      </c>
      <c r="E482" s="57" t="s">
        <v>560</v>
      </c>
      <c r="F482" s="57" t="s">
        <v>548</v>
      </c>
      <c r="G482" s="57" t="s">
        <v>326</v>
      </c>
      <c r="H482" s="57" t="s">
        <v>594</v>
      </c>
      <c r="I482" s="57"/>
      <c r="J482" s="57"/>
      <c r="K482" s="57">
        <v>91</v>
      </c>
      <c r="L482" s="57"/>
      <c r="M482" s="57">
        <v>599.6</v>
      </c>
      <c r="N482" s="57"/>
      <c r="O482" s="57">
        <v>1</v>
      </c>
      <c r="P482" s="62">
        <f>RawData[[#This Row],[Value_USD_M]]*RawData[[#This Row],[Share_Est]]</f>
        <v>599.6</v>
      </c>
      <c r="Q482" s="57"/>
      <c r="R482" s="57"/>
      <c r="S482" s="58"/>
    </row>
    <row r="483" spans="2:19" x14ac:dyDescent="0.3">
      <c r="B483" s="56" t="s">
        <v>488</v>
      </c>
      <c r="C483" s="57">
        <v>2025</v>
      </c>
      <c r="D483" s="57" t="s">
        <v>547</v>
      </c>
      <c r="E483" s="57" t="s">
        <v>560</v>
      </c>
      <c r="F483" s="57" t="s">
        <v>548</v>
      </c>
      <c r="G483" s="57" t="s">
        <v>326</v>
      </c>
      <c r="H483" s="57" t="s">
        <v>594</v>
      </c>
      <c r="I483" s="57"/>
      <c r="J483" s="57"/>
      <c r="K483" s="57">
        <v>90</v>
      </c>
      <c r="L483" s="57"/>
      <c r="M483" s="57">
        <v>326.39999999999998</v>
      </c>
      <c r="N483" s="57"/>
      <c r="O483" s="57">
        <v>1</v>
      </c>
      <c r="P483" s="62">
        <f>RawData[[#This Row],[Value_USD_M]]*RawData[[#This Row],[Share_Est]]</f>
        <v>326.39999999999998</v>
      </c>
      <c r="Q483" s="57"/>
      <c r="R483" s="57"/>
      <c r="S483" s="58"/>
    </row>
    <row r="484" spans="2:19" x14ac:dyDescent="0.3">
      <c r="B484" s="56" t="s">
        <v>488</v>
      </c>
      <c r="C484" s="57">
        <v>2026</v>
      </c>
      <c r="D484" s="57" t="s">
        <v>547</v>
      </c>
      <c r="E484" s="57" t="s">
        <v>560</v>
      </c>
      <c r="F484" s="57" t="s">
        <v>548</v>
      </c>
      <c r="G484" s="57" t="s">
        <v>326</v>
      </c>
      <c r="H484" s="57" t="s">
        <v>594</v>
      </c>
      <c r="I484" s="57"/>
      <c r="J484" s="57"/>
      <c r="K484" s="57">
        <v>120</v>
      </c>
      <c r="L484" s="57"/>
      <c r="M484" s="57">
        <v>535.5</v>
      </c>
      <c r="N484" s="57"/>
      <c r="O484" s="57">
        <v>1</v>
      </c>
      <c r="P484" s="62">
        <f>RawData[[#This Row],[Value_USD_M]]*RawData[[#This Row],[Share_Est]]</f>
        <v>535.5</v>
      </c>
      <c r="Q484" s="57"/>
      <c r="R484" s="57"/>
      <c r="S484" s="58"/>
    </row>
    <row r="485" spans="2:19" x14ac:dyDescent="0.3">
      <c r="B485" s="56" t="s">
        <v>488</v>
      </c>
      <c r="C485" s="57">
        <v>2024</v>
      </c>
      <c r="D485" s="57" t="s">
        <v>546</v>
      </c>
      <c r="E485" s="57" t="s">
        <v>560</v>
      </c>
      <c r="F485" s="57" t="s">
        <v>548</v>
      </c>
      <c r="G485" s="57" t="s">
        <v>326</v>
      </c>
      <c r="H485" s="57" t="s">
        <v>594</v>
      </c>
      <c r="I485" s="57"/>
      <c r="J485" s="57"/>
      <c r="K485" s="57">
        <v>118</v>
      </c>
      <c r="L485" s="57"/>
      <c r="M485" s="57">
        <v>514.9</v>
      </c>
      <c r="N485" s="57"/>
      <c r="O485" s="57">
        <v>1</v>
      </c>
      <c r="P485" s="62">
        <f>RawData[[#This Row],[Value_USD_M]]*RawData[[#This Row],[Share_Est]]</f>
        <v>514.9</v>
      </c>
      <c r="Q485" s="57"/>
      <c r="R485" s="57"/>
      <c r="S485" s="58"/>
    </row>
    <row r="486" spans="2:19" x14ac:dyDescent="0.3">
      <c r="B486" s="56" t="s">
        <v>488</v>
      </c>
      <c r="C486" s="57">
        <v>2025</v>
      </c>
      <c r="D486" s="57" t="s">
        <v>546</v>
      </c>
      <c r="E486" s="57" t="s">
        <v>560</v>
      </c>
      <c r="F486" s="57" t="s">
        <v>548</v>
      </c>
      <c r="G486" s="57" t="s">
        <v>326</v>
      </c>
      <c r="H486" s="57" t="s">
        <v>594</v>
      </c>
      <c r="I486" s="57"/>
      <c r="J486" s="57"/>
      <c r="K486" s="57">
        <v>115</v>
      </c>
      <c r="L486" s="57"/>
      <c r="M486" s="57">
        <v>354.1</v>
      </c>
      <c r="N486" s="57"/>
      <c r="O486" s="57">
        <v>1</v>
      </c>
      <c r="P486" s="62">
        <f>RawData[[#This Row],[Value_USD_M]]*RawData[[#This Row],[Share_Est]]</f>
        <v>354.1</v>
      </c>
      <c r="Q486" s="57"/>
      <c r="R486" s="57"/>
      <c r="S486" s="58"/>
    </row>
    <row r="487" spans="2:19" x14ac:dyDescent="0.3">
      <c r="B487" s="56" t="s">
        <v>488</v>
      </c>
      <c r="C487" s="57">
        <v>2026</v>
      </c>
      <c r="D487" s="57" t="s">
        <v>546</v>
      </c>
      <c r="E487" s="57" t="s">
        <v>560</v>
      </c>
      <c r="F487" s="57" t="s">
        <v>548</v>
      </c>
      <c r="G487" s="57" t="s">
        <v>326</v>
      </c>
      <c r="H487" s="57" t="s">
        <v>594</v>
      </c>
      <c r="I487" s="57"/>
      <c r="J487" s="57"/>
      <c r="K487" s="57">
        <v>118</v>
      </c>
      <c r="L487" s="57"/>
      <c r="M487" s="57">
        <v>406.6</v>
      </c>
      <c r="N487" s="57"/>
      <c r="O487" s="57">
        <v>1</v>
      </c>
      <c r="P487" s="62">
        <f>RawData[[#This Row],[Value_USD_M]]*RawData[[#This Row],[Share_Est]]</f>
        <v>406.6</v>
      </c>
      <c r="Q487" s="57"/>
      <c r="R487" s="57"/>
      <c r="S487" s="58"/>
    </row>
    <row r="488" spans="2:19" x14ac:dyDescent="0.3">
      <c r="B488" s="56" t="s">
        <v>489</v>
      </c>
      <c r="C488" s="57">
        <v>2024</v>
      </c>
      <c r="D488" s="57" t="s">
        <v>615</v>
      </c>
      <c r="E488" s="57" t="s">
        <v>560</v>
      </c>
      <c r="F488" s="57" t="s">
        <v>548</v>
      </c>
      <c r="G488" s="57" t="s">
        <v>616</v>
      </c>
      <c r="H488" s="57" t="s">
        <v>669</v>
      </c>
      <c r="I488" s="57"/>
      <c r="J488" s="57"/>
      <c r="K488" s="57"/>
      <c r="L488" s="57"/>
      <c r="M488" s="57">
        <v>10653.5</v>
      </c>
      <c r="N488" s="57"/>
      <c r="O488" s="57">
        <v>0.35</v>
      </c>
      <c r="P488" s="62">
        <f>RawData[[#This Row],[Value_USD_M]]*RawData[[#This Row],[Share_Est]]</f>
        <v>3728.7249999999999</v>
      </c>
      <c r="Q488" s="57"/>
      <c r="R488" s="57"/>
      <c r="S488" s="58" t="s">
        <v>662</v>
      </c>
    </row>
    <row r="489" spans="2:19" x14ac:dyDescent="0.3">
      <c r="B489" s="56" t="s">
        <v>489</v>
      </c>
      <c r="C489" s="57">
        <v>2024</v>
      </c>
      <c r="D489" s="57" t="s">
        <v>615</v>
      </c>
      <c r="E489" s="57" t="s">
        <v>560</v>
      </c>
      <c r="F489" s="57" t="s">
        <v>548</v>
      </c>
      <c r="G489" s="57" t="s">
        <v>26</v>
      </c>
      <c r="H489" s="57" t="s">
        <v>650</v>
      </c>
      <c r="I489" s="57"/>
      <c r="J489" s="57"/>
      <c r="K489" s="57"/>
      <c r="L489" s="57"/>
      <c r="M489" s="57">
        <v>10653.5</v>
      </c>
      <c r="N489" s="57"/>
      <c r="O489" s="57">
        <v>0.3</v>
      </c>
      <c r="P489" s="62">
        <f>RawData[[#This Row],[Value_USD_M]]*RawData[[#This Row],[Share_Est]]</f>
        <v>3196.0499999999997</v>
      </c>
      <c r="Q489" s="57"/>
      <c r="R489" s="57"/>
      <c r="S489" s="58"/>
    </row>
    <row r="490" spans="2:19" x14ac:dyDescent="0.3">
      <c r="B490" s="56" t="s">
        <v>489</v>
      </c>
      <c r="C490" s="57">
        <v>2024</v>
      </c>
      <c r="D490" s="57" t="s">
        <v>615</v>
      </c>
      <c r="E490" s="57" t="s">
        <v>560</v>
      </c>
      <c r="F490" s="57" t="s">
        <v>548</v>
      </c>
      <c r="G490" s="57" t="s">
        <v>325</v>
      </c>
      <c r="H490" s="57" t="s">
        <v>23</v>
      </c>
      <c r="I490" s="57"/>
      <c r="J490" s="57"/>
      <c r="K490" s="57"/>
      <c r="L490" s="57"/>
      <c r="M490" s="57">
        <v>10653.5</v>
      </c>
      <c r="N490" s="57"/>
      <c r="O490" s="57">
        <v>0.15</v>
      </c>
      <c r="P490" s="62">
        <f>RawData[[#This Row],[Value_USD_M]]*RawData[[#This Row],[Share_Est]]</f>
        <v>1598.0249999999999</v>
      </c>
      <c r="Q490" s="57"/>
      <c r="R490" s="57"/>
      <c r="S490" s="58"/>
    </row>
    <row r="491" spans="2:19" x14ac:dyDescent="0.3">
      <c r="B491" s="56" t="s">
        <v>489</v>
      </c>
      <c r="C491" s="57">
        <v>2024</v>
      </c>
      <c r="D491" s="57" t="s">
        <v>615</v>
      </c>
      <c r="E491" s="57" t="s">
        <v>560</v>
      </c>
      <c r="F491" s="57" t="s">
        <v>548</v>
      </c>
      <c r="G491" s="57" t="s">
        <v>664</v>
      </c>
      <c r="H491" s="57" t="s">
        <v>665</v>
      </c>
      <c r="I491" s="57"/>
      <c r="J491" s="57"/>
      <c r="K491" s="57"/>
      <c r="L491" s="57"/>
      <c r="M491" s="57">
        <v>10653.5</v>
      </c>
      <c r="N491" s="57"/>
      <c r="O491" s="57">
        <v>0.1</v>
      </c>
      <c r="P491" s="62">
        <f>RawData[[#This Row],[Value_USD_M]]*RawData[[#This Row],[Share_Est]]</f>
        <v>1065.3500000000001</v>
      </c>
      <c r="Q491" s="57"/>
      <c r="R491" s="57"/>
      <c r="S491" s="58"/>
    </row>
    <row r="492" spans="2:19" x14ac:dyDescent="0.3">
      <c r="B492" s="56" t="s">
        <v>489</v>
      </c>
      <c r="C492" s="57">
        <v>2024</v>
      </c>
      <c r="D492" s="57" t="s">
        <v>615</v>
      </c>
      <c r="E492" s="57" t="s">
        <v>560</v>
      </c>
      <c r="F492" s="57" t="s">
        <v>548</v>
      </c>
      <c r="G492" s="57" t="s">
        <v>666</v>
      </c>
      <c r="H492" s="57"/>
      <c r="I492" s="57"/>
      <c r="J492" s="57"/>
      <c r="K492" s="57"/>
      <c r="L492" s="57"/>
      <c r="M492" s="57">
        <v>10653.5</v>
      </c>
      <c r="N492" s="57"/>
      <c r="O492" s="57">
        <v>0.1</v>
      </c>
      <c r="P492" s="62">
        <f>RawData[[#This Row],[Value_USD_M]]*RawData[[#This Row],[Share_Est]]</f>
        <v>1065.3500000000001</v>
      </c>
      <c r="Q492" s="57"/>
      <c r="R492" s="57"/>
      <c r="S492" s="58"/>
    </row>
    <row r="493" spans="2:19" x14ac:dyDescent="0.3">
      <c r="B493" s="56" t="s">
        <v>489</v>
      </c>
      <c r="C493" s="57">
        <v>2025</v>
      </c>
      <c r="D493" s="57" t="s">
        <v>615</v>
      </c>
      <c r="E493" s="57" t="s">
        <v>560</v>
      </c>
      <c r="F493" s="57" t="s">
        <v>548</v>
      </c>
      <c r="G493" s="57" t="s">
        <v>616</v>
      </c>
      <c r="H493" s="57" t="s">
        <v>669</v>
      </c>
      <c r="I493" s="57"/>
      <c r="J493" s="57"/>
      <c r="K493" s="57"/>
      <c r="L493" s="57"/>
      <c r="M493" s="57">
        <v>3535.5</v>
      </c>
      <c r="N493" s="57"/>
      <c r="O493" s="57">
        <v>0.35</v>
      </c>
      <c r="P493" s="62">
        <f>RawData[[#This Row],[Value_USD_M]]*RawData[[#This Row],[Share_Est]]</f>
        <v>1237.425</v>
      </c>
      <c r="Q493" s="57"/>
      <c r="R493" s="57"/>
      <c r="S493" s="58"/>
    </row>
    <row r="494" spans="2:19" x14ac:dyDescent="0.3">
      <c r="B494" s="56" t="s">
        <v>489</v>
      </c>
      <c r="C494" s="57">
        <v>2025</v>
      </c>
      <c r="D494" s="57" t="s">
        <v>615</v>
      </c>
      <c r="E494" s="57" t="s">
        <v>560</v>
      </c>
      <c r="F494" s="57" t="s">
        <v>548</v>
      </c>
      <c r="G494" s="57" t="s">
        <v>26</v>
      </c>
      <c r="H494" s="57" t="s">
        <v>650</v>
      </c>
      <c r="I494" s="57"/>
      <c r="J494" s="57"/>
      <c r="K494" s="57"/>
      <c r="L494" s="57"/>
      <c r="M494" s="57">
        <v>3535.5</v>
      </c>
      <c r="N494" s="57"/>
      <c r="O494" s="57">
        <v>0.3</v>
      </c>
      <c r="P494" s="62">
        <f>RawData[[#This Row],[Value_USD_M]]*RawData[[#This Row],[Share_Est]]</f>
        <v>1060.6499999999999</v>
      </c>
      <c r="Q494" s="57"/>
      <c r="R494" s="57"/>
      <c r="S494" s="58"/>
    </row>
    <row r="495" spans="2:19" x14ac:dyDescent="0.3">
      <c r="B495" s="56" t="s">
        <v>489</v>
      </c>
      <c r="C495" s="57">
        <v>2025</v>
      </c>
      <c r="D495" s="57" t="s">
        <v>615</v>
      </c>
      <c r="E495" s="57" t="s">
        <v>560</v>
      </c>
      <c r="F495" s="57" t="s">
        <v>548</v>
      </c>
      <c r="G495" s="57" t="s">
        <v>325</v>
      </c>
      <c r="H495" s="57" t="s">
        <v>23</v>
      </c>
      <c r="I495" s="57"/>
      <c r="J495" s="57"/>
      <c r="K495" s="57"/>
      <c r="L495" s="57"/>
      <c r="M495" s="57">
        <v>3535.5</v>
      </c>
      <c r="N495" s="57"/>
      <c r="O495" s="57">
        <v>0.15</v>
      </c>
      <c r="P495" s="62">
        <f>RawData[[#This Row],[Value_USD_M]]*RawData[[#This Row],[Share_Est]]</f>
        <v>530.32499999999993</v>
      </c>
      <c r="Q495" s="57"/>
      <c r="R495" s="57"/>
      <c r="S495" s="58"/>
    </row>
    <row r="496" spans="2:19" x14ac:dyDescent="0.3">
      <c r="B496" s="56" t="s">
        <v>489</v>
      </c>
      <c r="C496" s="57">
        <v>2025</v>
      </c>
      <c r="D496" s="57" t="s">
        <v>615</v>
      </c>
      <c r="E496" s="57" t="s">
        <v>560</v>
      </c>
      <c r="F496" s="57" t="s">
        <v>548</v>
      </c>
      <c r="G496" s="57" t="s">
        <v>664</v>
      </c>
      <c r="H496" s="57" t="s">
        <v>665</v>
      </c>
      <c r="I496" s="57"/>
      <c r="J496" s="57"/>
      <c r="K496" s="57"/>
      <c r="L496" s="57"/>
      <c r="M496" s="57">
        <v>3535.5</v>
      </c>
      <c r="N496" s="57"/>
      <c r="O496" s="57">
        <v>0.1</v>
      </c>
      <c r="P496" s="62">
        <f>RawData[[#This Row],[Value_USD_M]]*RawData[[#This Row],[Share_Est]]</f>
        <v>353.55</v>
      </c>
      <c r="Q496" s="57"/>
      <c r="R496" s="57"/>
      <c r="S496" s="58"/>
    </row>
    <row r="497" spans="2:19" x14ac:dyDescent="0.3">
      <c r="B497" s="56" t="s">
        <v>489</v>
      </c>
      <c r="C497" s="57">
        <v>2025</v>
      </c>
      <c r="D497" s="57" t="s">
        <v>615</v>
      </c>
      <c r="E497" s="57" t="s">
        <v>560</v>
      </c>
      <c r="F497" s="57" t="s">
        <v>548</v>
      </c>
      <c r="G497" s="57" t="s">
        <v>666</v>
      </c>
      <c r="H497" s="57"/>
      <c r="I497" s="57"/>
      <c r="J497" s="57"/>
      <c r="K497" s="57"/>
      <c r="L497" s="57"/>
      <c r="M497" s="57">
        <v>3535.5</v>
      </c>
      <c r="N497" s="57"/>
      <c r="O497" s="57">
        <v>0.1</v>
      </c>
      <c r="P497" s="62">
        <f>RawData[[#This Row],[Value_USD_M]]*RawData[[#This Row],[Share_Est]]</f>
        <v>353.55</v>
      </c>
      <c r="Q497" s="57"/>
      <c r="R497" s="57"/>
      <c r="S497" s="58"/>
    </row>
    <row r="498" spans="2:19" x14ac:dyDescent="0.3">
      <c r="B498" s="56" t="s">
        <v>489</v>
      </c>
      <c r="C498" s="57">
        <v>2026</v>
      </c>
      <c r="D498" s="57" t="s">
        <v>615</v>
      </c>
      <c r="E498" s="57" t="s">
        <v>560</v>
      </c>
      <c r="F498" s="57" t="s">
        <v>548</v>
      </c>
      <c r="G498" s="57" t="s">
        <v>616</v>
      </c>
      <c r="H498" s="57" t="s">
        <v>669</v>
      </c>
      <c r="I498" s="57"/>
      <c r="J498" s="57"/>
      <c r="K498" s="57"/>
      <c r="L498" s="57"/>
      <c r="M498" s="57">
        <v>4201.1000000000004</v>
      </c>
      <c r="N498" s="57"/>
      <c r="O498" s="57">
        <v>0.35</v>
      </c>
      <c r="P498" s="62">
        <f>RawData[[#This Row],[Value_USD_M]]*RawData[[#This Row],[Share_Est]]</f>
        <v>1470.385</v>
      </c>
      <c r="Q498" s="57"/>
      <c r="R498" s="57"/>
      <c r="S498" s="58"/>
    </row>
    <row r="499" spans="2:19" x14ac:dyDescent="0.3">
      <c r="B499" s="56" t="s">
        <v>489</v>
      </c>
      <c r="C499" s="57">
        <v>2026</v>
      </c>
      <c r="D499" s="57" t="s">
        <v>615</v>
      </c>
      <c r="E499" s="57" t="s">
        <v>560</v>
      </c>
      <c r="F499" s="57" t="s">
        <v>548</v>
      </c>
      <c r="G499" s="57" t="s">
        <v>26</v>
      </c>
      <c r="H499" s="57" t="s">
        <v>650</v>
      </c>
      <c r="I499" s="57"/>
      <c r="J499" s="57"/>
      <c r="K499" s="57"/>
      <c r="L499" s="57"/>
      <c r="M499" s="57">
        <v>4201.1000000000004</v>
      </c>
      <c r="N499" s="57"/>
      <c r="O499" s="57">
        <v>0.3</v>
      </c>
      <c r="P499" s="62">
        <f>RawData[[#This Row],[Value_USD_M]]*RawData[[#This Row],[Share_Est]]</f>
        <v>1260.3300000000002</v>
      </c>
      <c r="Q499" s="57"/>
      <c r="R499" s="57"/>
      <c r="S499" s="58"/>
    </row>
    <row r="500" spans="2:19" x14ac:dyDescent="0.3">
      <c r="B500" s="56" t="s">
        <v>489</v>
      </c>
      <c r="C500" s="57">
        <v>2026</v>
      </c>
      <c r="D500" s="57" t="s">
        <v>615</v>
      </c>
      <c r="E500" s="57" t="s">
        <v>560</v>
      </c>
      <c r="F500" s="57" t="s">
        <v>548</v>
      </c>
      <c r="G500" s="57" t="s">
        <v>325</v>
      </c>
      <c r="H500" s="57" t="s">
        <v>23</v>
      </c>
      <c r="I500" s="57"/>
      <c r="J500" s="57"/>
      <c r="K500" s="57"/>
      <c r="L500" s="57"/>
      <c r="M500" s="57">
        <v>4201.1000000000004</v>
      </c>
      <c r="N500" s="57"/>
      <c r="O500" s="57">
        <v>0.15</v>
      </c>
      <c r="P500" s="62">
        <f>RawData[[#This Row],[Value_USD_M]]*RawData[[#This Row],[Share_Est]]</f>
        <v>630.16500000000008</v>
      </c>
      <c r="Q500" s="57"/>
      <c r="R500" s="57"/>
      <c r="S500" s="58"/>
    </row>
    <row r="501" spans="2:19" x14ac:dyDescent="0.3">
      <c r="B501" s="56" t="s">
        <v>489</v>
      </c>
      <c r="C501" s="57">
        <v>2026</v>
      </c>
      <c r="D501" s="57" t="s">
        <v>615</v>
      </c>
      <c r="E501" s="57" t="s">
        <v>560</v>
      </c>
      <c r="F501" s="57" t="s">
        <v>548</v>
      </c>
      <c r="G501" s="57" t="s">
        <v>664</v>
      </c>
      <c r="H501" s="57" t="s">
        <v>665</v>
      </c>
      <c r="I501" s="57"/>
      <c r="J501" s="57"/>
      <c r="K501" s="57"/>
      <c r="L501" s="57"/>
      <c r="M501" s="57">
        <v>4201.1000000000004</v>
      </c>
      <c r="N501" s="57"/>
      <c r="O501" s="57">
        <v>0.1</v>
      </c>
      <c r="P501" s="62">
        <f>RawData[[#This Row],[Value_USD_M]]*RawData[[#This Row],[Share_Est]]</f>
        <v>420.11000000000007</v>
      </c>
      <c r="Q501" s="57"/>
      <c r="R501" s="57"/>
      <c r="S501" s="58"/>
    </row>
    <row r="502" spans="2:19" x14ac:dyDescent="0.3">
      <c r="B502" s="56" t="s">
        <v>489</v>
      </c>
      <c r="C502" s="57">
        <v>2026</v>
      </c>
      <c r="D502" s="57" t="s">
        <v>615</v>
      </c>
      <c r="E502" s="57" t="s">
        <v>560</v>
      </c>
      <c r="F502" s="57" t="s">
        <v>548</v>
      </c>
      <c r="G502" s="57" t="s">
        <v>666</v>
      </c>
      <c r="H502" s="57"/>
      <c r="I502" s="57"/>
      <c r="J502" s="57"/>
      <c r="K502" s="57"/>
      <c r="L502" s="57"/>
      <c r="M502" s="57">
        <v>4201.1000000000004</v>
      </c>
      <c r="N502" s="57"/>
      <c r="O502" s="57">
        <v>0.1</v>
      </c>
      <c r="P502" s="62">
        <f>RawData[[#This Row],[Value_USD_M]]*RawData[[#This Row],[Share_Est]]</f>
        <v>420.11000000000007</v>
      </c>
      <c r="Q502" s="57"/>
      <c r="R502" s="57"/>
      <c r="S502" s="58"/>
    </row>
    <row r="503" spans="2:19" x14ac:dyDescent="0.3">
      <c r="B503" s="56" t="s">
        <v>489</v>
      </c>
      <c r="C503" s="57">
        <v>2024</v>
      </c>
      <c r="D503" s="57" t="s">
        <v>547</v>
      </c>
      <c r="E503" s="57" t="s">
        <v>560</v>
      </c>
      <c r="F503" s="57" t="s">
        <v>548</v>
      </c>
      <c r="G503" s="57" t="s">
        <v>616</v>
      </c>
      <c r="H503" s="57" t="s">
        <v>669</v>
      </c>
      <c r="I503" s="57"/>
      <c r="J503" s="57"/>
      <c r="K503" s="57"/>
      <c r="L503" s="57"/>
      <c r="M503" s="57">
        <v>2170.9</v>
      </c>
      <c r="N503" s="57"/>
      <c r="O503" s="57">
        <v>0.35</v>
      </c>
      <c r="P503" s="62">
        <f>RawData[[#This Row],[Value_USD_M]]*RawData[[#This Row],[Share_Est]]</f>
        <v>759.81499999999994</v>
      </c>
      <c r="Q503" s="57"/>
      <c r="R503" s="57"/>
      <c r="S503" s="58"/>
    </row>
    <row r="504" spans="2:19" x14ac:dyDescent="0.3">
      <c r="B504" s="56" t="s">
        <v>489</v>
      </c>
      <c r="C504" s="57">
        <v>2024</v>
      </c>
      <c r="D504" s="57" t="s">
        <v>547</v>
      </c>
      <c r="E504" s="57" t="s">
        <v>560</v>
      </c>
      <c r="F504" s="57" t="s">
        <v>548</v>
      </c>
      <c r="G504" s="57" t="s">
        <v>26</v>
      </c>
      <c r="H504" s="57" t="s">
        <v>650</v>
      </c>
      <c r="I504" s="57"/>
      <c r="J504" s="57"/>
      <c r="K504" s="57"/>
      <c r="L504" s="57"/>
      <c r="M504" s="57">
        <v>2170.9</v>
      </c>
      <c r="N504" s="57"/>
      <c r="O504" s="57">
        <v>0.3</v>
      </c>
      <c r="P504" s="62">
        <f>RawData[[#This Row],[Value_USD_M]]*RawData[[#This Row],[Share_Est]]</f>
        <v>651.27</v>
      </c>
      <c r="Q504" s="57"/>
      <c r="R504" s="57"/>
      <c r="S504" s="58"/>
    </row>
    <row r="505" spans="2:19" x14ac:dyDescent="0.3">
      <c r="B505" s="56" t="s">
        <v>489</v>
      </c>
      <c r="C505" s="57">
        <v>2024</v>
      </c>
      <c r="D505" s="57" t="s">
        <v>547</v>
      </c>
      <c r="E505" s="57" t="s">
        <v>560</v>
      </c>
      <c r="F505" s="57" t="s">
        <v>548</v>
      </c>
      <c r="G505" s="57" t="s">
        <v>325</v>
      </c>
      <c r="H505" s="57" t="s">
        <v>23</v>
      </c>
      <c r="I505" s="57"/>
      <c r="J505" s="57"/>
      <c r="K505" s="57"/>
      <c r="L505" s="57"/>
      <c r="M505" s="57">
        <v>2170.9</v>
      </c>
      <c r="N505" s="57"/>
      <c r="O505" s="57">
        <v>0.15</v>
      </c>
      <c r="P505" s="62">
        <f>RawData[[#This Row],[Value_USD_M]]*RawData[[#This Row],[Share_Est]]</f>
        <v>325.63499999999999</v>
      </c>
      <c r="Q505" s="57"/>
      <c r="R505" s="57"/>
      <c r="S505" s="58"/>
    </row>
    <row r="506" spans="2:19" x14ac:dyDescent="0.3">
      <c r="B506" s="56" t="s">
        <v>489</v>
      </c>
      <c r="C506" s="57">
        <v>2024</v>
      </c>
      <c r="D506" s="57" t="s">
        <v>547</v>
      </c>
      <c r="E506" s="57" t="s">
        <v>560</v>
      </c>
      <c r="F506" s="57" t="s">
        <v>548</v>
      </c>
      <c r="G506" s="57" t="s">
        <v>664</v>
      </c>
      <c r="H506" s="57" t="s">
        <v>665</v>
      </c>
      <c r="I506" s="57"/>
      <c r="J506" s="57"/>
      <c r="K506" s="57"/>
      <c r="L506" s="57"/>
      <c r="M506" s="57">
        <v>2170.9</v>
      </c>
      <c r="N506" s="57"/>
      <c r="O506" s="57">
        <v>0.1</v>
      </c>
      <c r="P506" s="62">
        <f>RawData[[#This Row],[Value_USD_M]]*RawData[[#This Row],[Share_Est]]</f>
        <v>217.09000000000003</v>
      </c>
      <c r="Q506" s="57"/>
      <c r="R506" s="57"/>
      <c r="S506" s="58"/>
    </row>
    <row r="507" spans="2:19" x14ac:dyDescent="0.3">
      <c r="B507" s="56" t="s">
        <v>489</v>
      </c>
      <c r="C507" s="57">
        <v>2024</v>
      </c>
      <c r="D507" s="57" t="s">
        <v>547</v>
      </c>
      <c r="E507" s="57" t="s">
        <v>560</v>
      </c>
      <c r="F507" s="57" t="s">
        <v>548</v>
      </c>
      <c r="G507" s="57" t="s">
        <v>666</v>
      </c>
      <c r="H507" s="57"/>
      <c r="I507" s="57"/>
      <c r="J507" s="57"/>
      <c r="K507" s="57"/>
      <c r="L507" s="57"/>
      <c r="M507" s="57">
        <v>2170.9</v>
      </c>
      <c r="N507" s="57"/>
      <c r="O507" s="57">
        <v>0.1</v>
      </c>
      <c r="P507" s="62">
        <f>RawData[[#This Row],[Value_USD_M]]*RawData[[#This Row],[Share_Est]]</f>
        <v>217.09000000000003</v>
      </c>
      <c r="Q507" s="57"/>
      <c r="R507" s="57"/>
      <c r="S507" s="58"/>
    </row>
    <row r="508" spans="2:19" x14ac:dyDescent="0.3">
      <c r="B508" s="56" t="s">
        <v>489</v>
      </c>
      <c r="C508" s="57">
        <v>2025</v>
      </c>
      <c r="D508" s="57" t="s">
        <v>547</v>
      </c>
      <c r="E508" s="57" t="s">
        <v>560</v>
      </c>
      <c r="F508" s="57" t="s">
        <v>548</v>
      </c>
      <c r="G508" s="57" t="s">
        <v>616</v>
      </c>
      <c r="H508" s="57" t="s">
        <v>669</v>
      </c>
      <c r="I508" s="57"/>
      <c r="J508" s="57"/>
      <c r="K508" s="57"/>
      <c r="L508" s="57"/>
      <c r="M508" s="57">
        <v>1753.9</v>
      </c>
      <c r="N508" s="57"/>
      <c r="O508" s="57">
        <v>0.35</v>
      </c>
      <c r="P508" s="62">
        <f>RawData[[#This Row],[Value_USD_M]]*RawData[[#This Row],[Share_Est]]</f>
        <v>613.86500000000001</v>
      </c>
      <c r="Q508" s="57"/>
      <c r="R508" s="57"/>
      <c r="S508" s="58"/>
    </row>
    <row r="509" spans="2:19" x14ac:dyDescent="0.3">
      <c r="B509" s="56" t="s">
        <v>489</v>
      </c>
      <c r="C509" s="57">
        <v>2025</v>
      </c>
      <c r="D509" s="57" t="s">
        <v>547</v>
      </c>
      <c r="E509" s="57" t="s">
        <v>560</v>
      </c>
      <c r="F509" s="57" t="s">
        <v>548</v>
      </c>
      <c r="G509" s="57" t="s">
        <v>26</v>
      </c>
      <c r="H509" s="57" t="s">
        <v>650</v>
      </c>
      <c r="I509" s="57"/>
      <c r="J509" s="57"/>
      <c r="K509" s="57"/>
      <c r="L509" s="57"/>
      <c r="M509" s="57">
        <v>1753.9</v>
      </c>
      <c r="N509" s="57"/>
      <c r="O509" s="57">
        <v>0.3</v>
      </c>
      <c r="P509" s="62">
        <f>RawData[[#This Row],[Value_USD_M]]*RawData[[#This Row],[Share_Est]]</f>
        <v>526.16999999999996</v>
      </c>
      <c r="Q509" s="57"/>
      <c r="R509" s="57"/>
      <c r="S509" s="58"/>
    </row>
    <row r="510" spans="2:19" x14ac:dyDescent="0.3">
      <c r="B510" s="56" t="s">
        <v>489</v>
      </c>
      <c r="C510" s="57">
        <v>2025</v>
      </c>
      <c r="D510" s="57" t="s">
        <v>547</v>
      </c>
      <c r="E510" s="57" t="s">
        <v>560</v>
      </c>
      <c r="F510" s="57" t="s">
        <v>548</v>
      </c>
      <c r="G510" s="57" t="s">
        <v>325</v>
      </c>
      <c r="H510" s="57" t="s">
        <v>23</v>
      </c>
      <c r="I510" s="57"/>
      <c r="J510" s="57"/>
      <c r="K510" s="57"/>
      <c r="L510" s="57"/>
      <c r="M510" s="57">
        <v>1753.9</v>
      </c>
      <c r="N510" s="57"/>
      <c r="O510" s="57">
        <v>0.15</v>
      </c>
      <c r="P510" s="62">
        <f>RawData[[#This Row],[Value_USD_M]]*RawData[[#This Row],[Share_Est]]</f>
        <v>263.08499999999998</v>
      </c>
      <c r="Q510" s="57"/>
      <c r="R510" s="57"/>
      <c r="S510" s="58"/>
    </row>
    <row r="511" spans="2:19" x14ac:dyDescent="0.3">
      <c r="B511" s="56" t="s">
        <v>489</v>
      </c>
      <c r="C511" s="57">
        <v>2025</v>
      </c>
      <c r="D511" s="57" t="s">
        <v>547</v>
      </c>
      <c r="E511" s="57" t="s">
        <v>560</v>
      </c>
      <c r="F511" s="57" t="s">
        <v>548</v>
      </c>
      <c r="G511" s="57" t="s">
        <v>664</v>
      </c>
      <c r="H511" s="57" t="s">
        <v>665</v>
      </c>
      <c r="I511" s="57"/>
      <c r="J511" s="57"/>
      <c r="K511" s="57"/>
      <c r="L511" s="57"/>
      <c r="M511" s="57">
        <v>1753.9</v>
      </c>
      <c r="N511" s="57"/>
      <c r="O511" s="57">
        <v>0.1</v>
      </c>
      <c r="P511" s="62">
        <f>RawData[[#This Row],[Value_USD_M]]*RawData[[#This Row],[Share_Est]]</f>
        <v>175.39000000000001</v>
      </c>
      <c r="Q511" s="57"/>
      <c r="R511" s="57"/>
      <c r="S511" s="58"/>
    </row>
    <row r="512" spans="2:19" x14ac:dyDescent="0.3">
      <c r="B512" s="56" t="s">
        <v>489</v>
      </c>
      <c r="C512" s="57">
        <v>2025</v>
      </c>
      <c r="D512" s="57" t="s">
        <v>547</v>
      </c>
      <c r="E512" s="57" t="s">
        <v>560</v>
      </c>
      <c r="F512" s="57" t="s">
        <v>548</v>
      </c>
      <c r="G512" s="57" t="s">
        <v>666</v>
      </c>
      <c r="H512" s="57"/>
      <c r="I512" s="57"/>
      <c r="J512" s="57"/>
      <c r="K512" s="57"/>
      <c r="L512" s="57"/>
      <c r="M512" s="57">
        <v>1753.9</v>
      </c>
      <c r="N512" s="57"/>
      <c r="O512" s="57">
        <v>0.1</v>
      </c>
      <c r="P512" s="62">
        <f>RawData[[#This Row],[Value_USD_M]]*RawData[[#This Row],[Share_Est]]</f>
        <v>175.39000000000001</v>
      </c>
      <c r="Q512" s="57"/>
      <c r="R512" s="57"/>
      <c r="S512" s="58"/>
    </row>
    <row r="513" spans="2:19" x14ac:dyDescent="0.3">
      <c r="B513" s="56" t="s">
        <v>489</v>
      </c>
      <c r="C513" s="57">
        <v>2026</v>
      </c>
      <c r="D513" s="57" t="s">
        <v>547</v>
      </c>
      <c r="E513" s="57" t="s">
        <v>560</v>
      </c>
      <c r="F513" s="57" t="s">
        <v>548</v>
      </c>
      <c r="G513" s="57" t="s">
        <v>616</v>
      </c>
      <c r="H513" s="57" t="s">
        <v>669</v>
      </c>
      <c r="I513" s="57"/>
      <c r="J513" s="57"/>
      <c r="K513" s="57"/>
      <c r="L513" s="57"/>
      <c r="M513" s="57">
        <v>1359.3</v>
      </c>
      <c r="N513" s="57"/>
      <c r="O513" s="57">
        <v>0.35</v>
      </c>
      <c r="P513" s="62">
        <f>RawData[[#This Row],[Value_USD_M]]*RawData[[#This Row],[Share_Est]]</f>
        <v>475.75499999999994</v>
      </c>
      <c r="Q513" s="57"/>
      <c r="R513" s="57"/>
      <c r="S513" s="58"/>
    </row>
    <row r="514" spans="2:19" x14ac:dyDescent="0.3">
      <c r="B514" s="56" t="s">
        <v>489</v>
      </c>
      <c r="C514" s="57">
        <v>2026</v>
      </c>
      <c r="D514" s="57" t="s">
        <v>547</v>
      </c>
      <c r="E514" s="57" t="s">
        <v>560</v>
      </c>
      <c r="F514" s="57" t="s">
        <v>548</v>
      </c>
      <c r="G514" s="57" t="s">
        <v>26</v>
      </c>
      <c r="H514" s="57" t="s">
        <v>650</v>
      </c>
      <c r="I514" s="57"/>
      <c r="J514" s="57"/>
      <c r="K514" s="57"/>
      <c r="L514" s="57"/>
      <c r="M514" s="57">
        <v>1359.3</v>
      </c>
      <c r="N514" s="57"/>
      <c r="O514" s="57">
        <v>0.3</v>
      </c>
      <c r="P514" s="62">
        <f>RawData[[#This Row],[Value_USD_M]]*RawData[[#This Row],[Share_Est]]</f>
        <v>407.78999999999996</v>
      </c>
      <c r="Q514" s="57"/>
      <c r="R514" s="57"/>
      <c r="S514" s="58"/>
    </row>
    <row r="515" spans="2:19" x14ac:dyDescent="0.3">
      <c r="B515" s="56" t="s">
        <v>489</v>
      </c>
      <c r="C515" s="57">
        <v>2026</v>
      </c>
      <c r="D515" s="57" t="s">
        <v>547</v>
      </c>
      <c r="E515" s="57" t="s">
        <v>560</v>
      </c>
      <c r="F515" s="57" t="s">
        <v>548</v>
      </c>
      <c r="G515" s="57" t="s">
        <v>325</v>
      </c>
      <c r="H515" s="57" t="s">
        <v>23</v>
      </c>
      <c r="I515" s="57"/>
      <c r="J515" s="57"/>
      <c r="K515" s="57"/>
      <c r="L515" s="57"/>
      <c r="M515" s="57">
        <v>1359.3</v>
      </c>
      <c r="N515" s="57"/>
      <c r="O515" s="57">
        <v>0.15</v>
      </c>
      <c r="P515" s="62">
        <f>RawData[[#This Row],[Value_USD_M]]*RawData[[#This Row],[Share_Est]]</f>
        <v>203.89499999999998</v>
      </c>
      <c r="Q515" s="57"/>
      <c r="R515" s="57"/>
      <c r="S515" s="58"/>
    </row>
    <row r="516" spans="2:19" x14ac:dyDescent="0.3">
      <c r="B516" s="56" t="s">
        <v>489</v>
      </c>
      <c r="C516" s="57">
        <v>2026</v>
      </c>
      <c r="D516" s="57" t="s">
        <v>547</v>
      </c>
      <c r="E516" s="57" t="s">
        <v>560</v>
      </c>
      <c r="F516" s="57" t="s">
        <v>548</v>
      </c>
      <c r="G516" s="57" t="s">
        <v>664</v>
      </c>
      <c r="H516" s="57" t="s">
        <v>665</v>
      </c>
      <c r="I516" s="57"/>
      <c r="J516" s="57"/>
      <c r="K516" s="57"/>
      <c r="L516" s="57"/>
      <c r="M516" s="57">
        <v>1359.3</v>
      </c>
      <c r="N516" s="57"/>
      <c r="O516" s="57">
        <v>0.1</v>
      </c>
      <c r="P516" s="62">
        <f>RawData[[#This Row],[Value_USD_M]]*RawData[[#This Row],[Share_Est]]</f>
        <v>135.93</v>
      </c>
      <c r="Q516" s="57"/>
      <c r="R516" s="57"/>
      <c r="S516" s="58"/>
    </row>
    <row r="517" spans="2:19" x14ac:dyDescent="0.3">
      <c r="B517" s="56" t="s">
        <v>489</v>
      </c>
      <c r="C517" s="57">
        <v>2026</v>
      </c>
      <c r="D517" s="57" t="s">
        <v>547</v>
      </c>
      <c r="E517" s="57" t="s">
        <v>560</v>
      </c>
      <c r="F517" s="57" t="s">
        <v>548</v>
      </c>
      <c r="G517" s="57" t="s">
        <v>666</v>
      </c>
      <c r="H517" s="57"/>
      <c r="I517" s="57"/>
      <c r="J517" s="57"/>
      <c r="K517" s="57"/>
      <c r="L517" s="57"/>
      <c r="M517" s="57">
        <v>1359.3</v>
      </c>
      <c r="N517" s="57"/>
      <c r="O517" s="57">
        <v>0.1</v>
      </c>
      <c r="P517" s="62">
        <f>RawData[[#This Row],[Value_USD_M]]*RawData[[#This Row],[Share_Est]]</f>
        <v>135.93</v>
      </c>
      <c r="Q517" s="57"/>
      <c r="R517" s="57"/>
      <c r="S517" s="58"/>
    </row>
    <row r="518" spans="2:19" x14ac:dyDescent="0.3">
      <c r="B518" s="56" t="s">
        <v>489</v>
      </c>
      <c r="C518" s="57">
        <v>2024</v>
      </c>
      <c r="D518" s="57" t="s">
        <v>546</v>
      </c>
      <c r="E518" s="57" t="s">
        <v>560</v>
      </c>
      <c r="F518" s="57" t="s">
        <v>548</v>
      </c>
      <c r="G518" s="57" t="s">
        <v>616</v>
      </c>
      <c r="H518" s="57" t="s">
        <v>669</v>
      </c>
      <c r="I518" s="57"/>
      <c r="J518" s="57"/>
      <c r="K518" s="57"/>
      <c r="L518" s="57"/>
      <c r="M518" s="57">
        <v>490.7</v>
      </c>
      <c r="N518" s="57"/>
      <c r="O518" s="57">
        <v>0.35</v>
      </c>
      <c r="P518" s="62">
        <f>RawData[[#This Row],[Value_USD_M]]*RawData[[#This Row],[Share_Est]]</f>
        <v>171.74499999999998</v>
      </c>
      <c r="Q518" s="57"/>
      <c r="R518" s="57"/>
      <c r="S518" s="58"/>
    </row>
    <row r="519" spans="2:19" x14ac:dyDescent="0.3">
      <c r="B519" s="56" t="s">
        <v>489</v>
      </c>
      <c r="C519" s="57">
        <v>2024</v>
      </c>
      <c r="D519" s="57" t="s">
        <v>546</v>
      </c>
      <c r="E519" s="57" t="s">
        <v>560</v>
      </c>
      <c r="F519" s="57" t="s">
        <v>548</v>
      </c>
      <c r="G519" s="57" t="s">
        <v>26</v>
      </c>
      <c r="H519" s="57" t="s">
        <v>650</v>
      </c>
      <c r="I519" s="57"/>
      <c r="J519" s="57"/>
      <c r="K519" s="57"/>
      <c r="L519" s="57"/>
      <c r="M519" s="57">
        <v>490.7</v>
      </c>
      <c r="N519" s="57"/>
      <c r="O519" s="57">
        <v>0.3</v>
      </c>
      <c r="P519" s="62">
        <f>RawData[[#This Row],[Value_USD_M]]*RawData[[#This Row],[Share_Est]]</f>
        <v>147.20999999999998</v>
      </c>
      <c r="Q519" s="57"/>
      <c r="R519" s="57"/>
      <c r="S519" s="58"/>
    </row>
    <row r="520" spans="2:19" x14ac:dyDescent="0.3">
      <c r="B520" s="56" t="s">
        <v>489</v>
      </c>
      <c r="C520" s="57">
        <v>2024</v>
      </c>
      <c r="D520" s="57" t="s">
        <v>546</v>
      </c>
      <c r="E520" s="57" t="s">
        <v>560</v>
      </c>
      <c r="F520" s="57" t="s">
        <v>548</v>
      </c>
      <c r="G520" s="57" t="s">
        <v>325</v>
      </c>
      <c r="H520" s="57" t="s">
        <v>23</v>
      </c>
      <c r="I520" s="57"/>
      <c r="J520" s="57"/>
      <c r="K520" s="57"/>
      <c r="L520" s="57"/>
      <c r="M520" s="57">
        <v>490.7</v>
      </c>
      <c r="N520" s="57"/>
      <c r="O520" s="57">
        <v>0.15</v>
      </c>
      <c r="P520" s="62">
        <f>RawData[[#This Row],[Value_USD_M]]*RawData[[#This Row],[Share_Est]]</f>
        <v>73.60499999999999</v>
      </c>
      <c r="Q520" s="57"/>
      <c r="R520" s="57"/>
      <c r="S520" s="58"/>
    </row>
    <row r="521" spans="2:19" x14ac:dyDescent="0.3">
      <c r="B521" s="56" t="s">
        <v>489</v>
      </c>
      <c r="C521" s="57">
        <v>2024</v>
      </c>
      <c r="D521" s="57" t="s">
        <v>546</v>
      </c>
      <c r="E521" s="57" t="s">
        <v>560</v>
      </c>
      <c r="F521" s="57" t="s">
        <v>548</v>
      </c>
      <c r="G521" s="57" t="s">
        <v>664</v>
      </c>
      <c r="H521" s="57" t="s">
        <v>665</v>
      </c>
      <c r="I521" s="57"/>
      <c r="J521" s="57"/>
      <c r="K521" s="57"/>
      <c r="L521" s="57"/>
      <c r="M521" s="57">
        <v>490.7</v>
      </c>
      <c r="N521" s="57"/>
      <c r="O521" s="57">
        <v>0.1</v>
      </c>
      <c r="P521" s="62">
        <f>RawData[[#This Row],[Value_USD_M]]*RawData[[#This Row],[Share_Est]]</f>
        <v>49.07</v>
      </c>
      <c r="Q521" s="57"/>
      <c r="R521" s="57"/>
      <c r="S521" s="58"/>
    </row>
    <row r="522" spans="2:19" x14ac:dyDescent="0.3">
      <c r="B522" s="56" t="s">
        <v>489</v>
      </c>
      <c r="C522" s="57">
        <v>2024</v>
      </c>
      <c r="D522" s="57" t="s">
        <v>546</v>
      </c>
      <c r="E522" s="57" t="s">
        <v>560</v>
      </c>
      <c r="F522" s="57" t="s">
        <v>548</v>
      </c>
      <c r="G522" s="57" t="s">
        <v>666</v>
      </c>
      <c r="H522" s="57"/>
      <c r="I522" s="57"/>
      <c r="J522" s="57"/>
      <c r="K522" s="57"/>
      <c r="L522" s="57"/>
      <c r="M522" s="57">
        <v>490.7</v>
      </c>
      <c r="N522" s="57"/>
      <c r="O522" s="57">
        <v>0.1</v>
      </c>
      <c r="P522" s="62">
        <f>RawData[[#This Row],[Value_USD_M]]*RawData[[#This Row],[Share_Est]]</f>
        <v>49.07</v>
      </c>
      <c r="Q522" s="57"/>
      <c r="R522" s="57"/>
      <c r="S522" s="58"/>
    </row>
    <row r="523" spans="2:19" x14ac:dyDescent="0.3">
      <c r="B523" s="56" t="s">
        <v>489</v>
      </c>
      <c r="C523" s="57">
        <v>2025</v>
      </c>
      <c r="D523" s="57" t="s">
        <v>546</v>
      </c>
      <c r="E523" s="57" t="s">
        <v>560</v>
      </c>
      <c r="F523" s="57" t="s">
        <v>548</v>
      </c>
      <c r="G523" s="57" t="s">
        <v>616</v>
      </c>
      <c r="H523" s="57" t="s">
        <v>669</v>
      </c>
      <c r="I523" s="57"/>
      <c r="J523" s="57"/>
      <c r="K523" s="57"/>
      <c r="L523" s="57"/>
      <c r="M523" s="57">
        <v>426.4</v>
      </c>
      <c r="N523" s="57"/>
      <c r="O523" s="57">
        <v>0.35</v>
      </c>
      <c r="P523" s="62">
        <f>RawData[[#This Row],[Value_USD_M]]*RawData[[#This Row],[Share_Est]]</f>
        <v>149.23999999999998</v>
      </c>
      <c r="Q523" s="57"/>
      <c r="R523" s="57"/>
      <c r="S523" s="58"/>
    </row>
    <row r="524" spans="2:19" x14ac:dyDescent="0.3">
      <c r="B524" s="56" t="s">
        <v>489</v>
      </c>
      <c r="C524" s="57">
        <v>2025</v>
      </c>
      <c r="D524" s="57" t="s">
        <v>546</v>
      </c>
      <c r="E524" s="57" t="s">
        <v>560</v>
      </c>
      <c r="F524" s="57" t="s">
        <v>548</v>
      </c>
      <c r="G524" s="57" t="s">
        <v>26</v>
      </c>
      <c r="H524" s="57" t="s">
        <v>650</v>
      </c>
      <c r="I524" s="57"/>
      <c r="J524" s="57"/>
      <c r="K524" s="57"/>
      <c r="L524" s="57"/>
      <c r="M524" s="57">
        <v>426.4</v>
      </c>
      <c r="N524" s="57"/>
      <c r="O524" s="57">
        <v>0.3</v>
      </c>
      <c r="P524" s="62">
        <f>RawData[[#This Row],[Value_USD_M]]*RawData[[#This Row],[Share_Est]]</f>
        <v>127.91999999999999</v>
      </c>
      <c r="Q524" s="57"/>
      <c r="R524" s="57"/>
      <c r="S524" s="58"/>
    </row>
    <row r="525" spans="2:19" x14ac:dyDescent="0.3">
      <c r="B525" s="56" t="s">
        <v>489</v>
      </c>
      <c r="C525" s="57">
        <v>2025</v>
      </c>
      <c r="D525" s="57" t="s">
        <v>546</v>
      </c>
      <c r="E525" s="57" t="s">
        <v>560</v>
      </c>
      <c r="F525" s="57" t="s">
        <v>548</v>
      </c>
      <c r="G525" s="57" t="s">
        <v>325</v>
      </c>
      <c r="H525" s="57" t="s">
        <v>23</v>
      </c>
      <c r="I525" s="57"/>
      <c r="J525" s="57"/>
      <c r="K525" s="57"/>
      <c r="L525" s="57"/>
      <c r="M525" s="57">
        <v>426.4</v>
      </c>
      <c r="N525" s="57"/>
      <c r="O525" s="57">
        <v>0.15</v>
      </c>
      <c r="P525" s="62">
        <f>RawData[[#This Row],[Value_USD_M]]*RawData[[#This Row],[Share_Est]]</f>
        <v>63.959999999999994</v>
      </c>
      <c r="Q525" s="57"/>
      <c r="R525" s="57"/>
      <c r="S525" s="58"/>
    </row>
    <row r="526" spans="2:19" x14ac:dyDescent="0.3">
      <c r="B526" s="56" t="s">
        <v>489</v>
      </c>
      <c r="C526" s="57">
        <v>2025</v>
      </c>
      <c r="D526" s="57" t="s">
        <v>546</v>
      </c>
      <c r="E526" s="57" t="s">
        <v>560</v>
      </c>
      <c r="F526" s="57" t="s">
        <v>548</v>
      </c>
      <c r="G526" s="57" t="s">
        <v>664</v>
      </c>
      <c r="H526" s="57" t="s">
        <v>665</v>
      </c>
      <c r="I526" s="57"/>
      <c r="J526" s="57"/>
      <c r="K526" s="57"/>
      <c r="L526" s="57"/>
      <c r="M526" s="57">
        <v>426.4</v>
      </c>
      <c r="N526" s="57"/>
      <c r="O526" s="57">
        <v>0.1</v>
      </c>
      <c r="P526" s="62">
        <f>RawData[[#This Row],[Value_USD_M]]*RawData[[#This Row],[Share_Est]]</f>
        <v>42.64</v>
      </c>
      <c r="Q526" s="57"/>
      <c r="R526" s="57"/>
      <c r="S526" s="58"/>
    </row>
    <row r="527" spans="2:19" x14ac:dyDescent="0.3">
      <c r="B527" s="56" t="s">
        <v>489</v>
      </c>
      <c r="C527" s="57">
        <v>2025</v>
      </c>
      <c r="D527" s="57" t="s">
        <v>546</v>
      </c>
      <c r="E527" s="57" t="s">
        <v>560</v>
      </c>
      <c r="F527" s="57" t="s">
        <v>548</v>
      </c>
      <c r="G527" s="57" t="s">
        <v>666</v>
      </c>
      <c r="H527" s="57"/>
      <c r="I527" s="57"/>
      <c r="J527" s="57"/>
      <c r="K527" s="57"/>
      <c r="L527" s="57"/>
      <c r="M527" s="57">
        <v>426.4</v>
      </c>
      <c r="N527" s="57"/>
      <c r="O527" s="57">
        <v>0.1</v>
      </c>
      <c r="P527" s="62">
        <f>RawData[[#This Row],[Value_USD_M]]*RawData[[#This Row],[Share_Est]]</f>
        <v>42.64</v>
      </c>
      <c r="Q527" s="57"/>
      <c r="R527" s="57"/>
      <c r="S527" s="58"/>
    </row>
    <row r="528" spans="2:19" x14ac:dyDescent="0.3">
      <c r="B528" s="56" t="s">
        <v>489</v>
      </c>
      <c r="C528" s="57">
        <v>2026</v>
      </c>
      <c r="D528" s="57" t="s">
        <v>546</v>
      </c>
      <c r="E528" s="57" t="s">
        <v>560</v>
      </c>
      <c r="F528" s="57" t="s">
        <v>548</v>
      </c>
      <c r="G528" s="57" t="s">
        <v>616</v>
      </c>
      <c r="H528" s="57" t="s">
        <v>669</v>
      </c>
      <c r="I528" s="57"/>
      <c r="J528" s="57"/>
      <c r="K528" s="57"/>
      <c r="L528" s="57"/>
      <c r="M528" s="57">
        <v>653.29999999999995</v>
      </c>
      <c r="N528" s="57"/>
      <c r="O528" s="57">
        <v>0.35</v>
      </c>
      <c r="P528" s="62">
        <f>RawData[[#This Row],[Value_USD_M]]*RawData[[#This Row],[Share_Est]]</f>
        <v>228.65499999999997</v>
      </c>
      <c r="Q528" s="57"/>
      <c r="R528" s="57"/>
      <c r="S528" s="58"/>
    </row>
    <row r="529" spans="2:19" x14ac:dyDescent="0.3">
      <c r="B529" s="56" t="s">
        <v>489</v>
      </c>
      <c r="C529" s="57">
        <v>2026</v>
      </c>
      <c r="D529" s="57" t="s">
        <v>546</v>
      </c>
      <c r="E529" s="57" t="s">
        <v>560</v>
      </c>
      <c r="F529" s="57" t="s">
        <v>548</v>
      </c>
      <c r="G529" s="57" t="s">
        <v>26</v>
      </c>
      <c r="H529" s="57" t="s">
        <v>650</v>
      </c>
      <c r="I529" s="57"/>
      <c r="J529" s="57"/>
      <c r="K529" s="57"/>
      <c r="L529" s="57"/>
      <c r="M529" s="57">
        <v>653.29999999999995</v>
      </c>
      <c r="N529" s="57"/>
      <c r="O529" s="57">
        <v>0.3</v>
      </c>
      <c r="P529" s="62">
        <f>RawData[[#This Row],[Value_USD_M]]*RawData[[#This Row],[Share_Est]]</f>
        <v>195.98999999999998</v>
      </c>
      <c r="Q529" s="57"/>
      <c r="R529" s="57"/>
      <c r="S529" s="58"/>
    </row>
    <row r="530" spans="2:19" x14ac:dyDescent="0.3">
      <c r="B530" s="56" t="s">
        <v>489</v>
      </c>
      <c r="C530" s="57">
        <v>2026</v>
      </c>
      <c r="D530" s="57" t="s">
        <v>546</v>
      </c>
      <c r="E530" s="57" t="s">
        <v>560</v>
      </c>
      <c r="F530" s="57" t="s">
        <v>548</v>
      </c>
      <c r="G530" s="57" t="s">
        <v>325</v>
      </c>
      <c r="H530" s="57" t="s">
        <v>23</v>
      </c>
      <c r="I530" s="57"/>
      <c r="J530" s="57"/>
      <c r="K530" s="57"/>
      <c r="L530" s="57"/>
      <c r="M530" s="57">
        <v>653.29999999999995</v>
      </c>
      <c r="N530" s="57"/>
      <c r="O530" s="57">
        <v>0.15</v>
      </c>
      <c r="P530" s="62">
        <f>RawData[[#This Row],[Value_USD_M]]*RawData[[#This Row],[Share_Est]]</f>
        <v>97.99499999999999</v>
      </c>
      <c r="Q530" s="57"/>
      <c r="R530" s="57"/>
      <c r="S530" s="58"/>
    </row>
    <row r="531" spans="2:19" x14ac:dyDescent="0.3">
      <c r="B531" s="56" t="s">
        <v>489</v>
      </c>
      <c r="C531" s="57">
        <v>2026</v>
      </c>
      <c r="D531" s="57" t="s">
        <v>546</v>
      </c>
      <c r="E531" s="57" t="s">
        <v>560</v>
      </c>
      <c r="F531" s="57" t="s">
        <v>548</v>
      </c>
      <c r="G531" s="57" t="s">
        <v>664</v>
      </c>
      <c r="H531" s="57" t="s">
        <v>665</v>
      </c>
      <c r="I531" s="57"/>
      <c r="J531" s="57"/>
      <c r="K531" s="57"/>
      <c r="L531" s="57"/>
      <c r="M531" s="57">
        <v>653.29999999999995</v>
      </c>
      <c r="N531" s="57"/>
      <c r="O531" s="57">
        <v>0.1</v>
      </c>
      <c r="P531" s="62">
        <f>RawData[[#This Row],[Value_USD_M]]*RawData[[#This Row],[Share_Est]]</f>
        <v>65.33</v>
      </c>
      <c r="Q531" s="57"/>
      <c r="R531" s="57"/>
      <c r="S531" s="58"/>
    </row>
    <row r="532" spans="2:19" x14ac:dyDescent="0.3">
      <c r="B532" s="56" t="s">
        <v>489</v>
      </c>
      <c r="C532" s="57">
        <v>2026</v>
      </c>
      <c r="D532" s="57" t="s">
        <v>546</v>
      </c>
      <c r="E532" s="57" t="s">
        <v>560</v>
      </c>
      <c r="F532" s="57" t="s">
        <v>548</v>
      </c>
      <c r="G532" s="57" t="s">
        <v>666</v>
      </c>
      <c r="H532" s="57"/>
      <c r="I532" s="57"/>
      <c r="J532" s="57"/>
      <c r="K532" s="57"/>
      <c r="L532" s="57"/>
      <c r="M532" s="57">
        <v>653.29999999999995</v>
      </c>
      <c r="N532" s="57"/>
      <c r="O532" s="57">
        <v>0.1</v>
      </c>
      <c r="P532" s="62">
        <f>RawData[[#This Row],[Value_USD_M]]*RawData[[#This Row],[Share_Est]]</f>
        <v>65.33</v>
      </c>
      <c r="Q532" s="57"/>
      <c r="R532" s="57"/>
      <c r="S532" s="58"/>
    </row>
    <row r="533" spans="2:19" x14ac:dyDescent="0.3">
      <c r="B533" s="56" t="s">
        <v>489</v>
      </c>
      <c r="C533" s="57">
        <v>2024</v>
      </c>
      <c r="D533" s="57" t="s">
        <v>573</v>
      </c>
      <c r="E533" s="57" t="s">
        <v>560</v>
      </c>
      <c r="F533" s="57" t="s">
        <v>548</v>
      </c>
      <c r="G533" s="57" t="s">
        <v>616</v>
      </c>
      <c r="H533" s="57" t="s">
        <v>669</v>
      </c>
      <c r="I533" s="57"/>
      <c r="J533" s="57"/>
      <c r="K533" s="57"/>
      <c r="L533" s="57"/>
      <c r="M533" s="57">
        <v>147</v>
      </c>
      <c r="N533" s="57"/>
      <c r="O533" s="57">
        <v>0.35</v>
      </c>
      <c r="P533" s="62">
        <f>RawData[[#This Row],[Value_USD_M]]*RawData[[#This Row],[Share_Est]]</f>
        <v>51.449999999999996</v>
      </c>
      <c r="Q533" s="57"/>
      <c r="R533" s="57"/>
      <c r="S533" s="58"/>
    </row>
    <row r="534" spans="2:19" x14ac:dyDescent="0.3">
      <c r="B534" s="56" t="s">
        <v>489</v>
      </c>
      <c r="C534" s="57">
        <v>2024</v>
      </c>
      <c r="D534" s="57" t="s">
        <v>573</v>
      </c>
      <c r="E534" s="57" t="s">
        <v>560</v>
      </c>
      <c r="F534" s="57" t="s">
        <v>548</v>
      </c>
      <c r="G534" s="57" t="s">
        <v>26</v>
      </c>
      <c r="H534" s="57" t="s">
        <v>650</v>
      </c>
      <c r="I534" s="57"/>
      <c r="J534" s="57"/>
      <c r="K534" s="57"/>
      <c r="L534" s="57"/>
      <c r="M534" s="57">
        <v>147</v>
      </c>
      <c r="N534" s="57"/>
      <c r="O534" s="57">
        <v>0.3</v>
      </c>
      <c r="P534" s="62">
        <f>RawData[[#This Row],[Value_USD_M]]*RawData[[#This Row],[Share_Est]]</f>
        <v>44.1</v>
      </c>
      <c r="Q534" s="57"/>
      <c r="R534" s="57"/>
      <c r="S534" s="58"/>
    </row>
    <row r="535" spans="2:19" x14ac:dyDescent="0.3">
      <c r="B535" s="56" t="s">
        <v>489</v>
      </c>
      <c r="C535" s="57">
        <v>2024</v>
      </c>
      <c r="D535" s="57" t="s">
        <v>573</v>
      </c>
      <c r="E535" s="57" t="s">
        <v>560</v>
      </c>
      <c r="F535" s="57" t="s">
        <v>548</v>
      </c>
      <c r="G535" s="57" t="s">
        <v>325</v>
      </c>
      <c r="H535" s="57" t="s">
        <v>23</v>
      </c>
      <c r="I535" s="57"/>
      <c r="J535" s="57"/>
      <c r="K535" s="57"/>
      <c r="L535" s="57"/>
      <c r="M535" s="57">
        <v>147</v>
      </c>
      <c r="N535" s="57"/>
      <c r="O535" s="57">
        <v>0.15</v>
      </c>
      <c r="P535" s="62">
        <f>RawData[[#This Row],[Value_USD_M]]*RawData[[#This Row],[Share_Est]]</f>
        <v>22.05</v>
      </c>
      <c r="Q535" s="57"/>
      <c r="R535" s="57"/>
      <c r="S535" s="58"/>
    </row>
    <row r="536" spans="2:19" x14ac:dyDescent="0.3">
      <c r="B536" s="56" t="s">
        <v>489</v>
      </c>
      <c r="C536" s="57">
        <v>2024</v>
      </c>
      <c r="D536" s="57" t="s">
        <v>573</v>
      </c>
      <c r="E536" s="57" t="s">
        <v>560</v>
      </c>
      <c r="F536" s="57" t="s">
        <v>548</v>
      </c>
      <c r="G536" s="57" t="s">
        <v>664</v>
      </c>
      <c r="H536" s="57" t="s">
        <v>665</v>
      </c>
      <c r="I536" s="57"/>
      <c r="J536" s="57"/>
      <c r="K536" s="57"/>
      <c r="L536" s="57"/>
      <c r="M536" s="57">
        <v>147</v>
      </c>
      <c r="N536" s="57"/>
      <c r="O536" s="57">
        <v>0.1</v>
      </c>
      <c r="P536" s="62">
        <f>RawData[[#This Row],[Value_USD_M]]*RawData[[#This Row],[Share_Est]]</f>
        <v>14.700000000000001</v>
      </c>
      <c r="Q536" s="57"/>
      <c r="R536" s="57"/>
      <c r="S536" s="58"/>
    </row>
    <row r="537" spans="2:19" x14ac:dyDescent="0.3">
      <c r="B537" s="56" t="s">
        <v>489</v>
      </c>
      <c r="C537" s="57">
        <v>2024</v>
      </c>
      <c r="D537" s="57" t="s">
        <v>573</v>
      </c>
      <c r="E537" s="57" t="s">
        <v>560</v>
      </c>
      <c r="F537" s="57" t="s">
        <v>548</v>
      </c>
      <c r="G537" s="57" t="s">
        <v>666</v>
      </c>
      <c r="H537" s="57"/>
      <c r="I537" s="57"/>
      <c r="J537" s="57"/>
      <c r="K537" s="57"/>
      <c r="L537" s="57"/>
      <c r="M537" s="57">
        <v>147</v>
      </c>
      <c r="N537" s="57"/>
      <c r="O537" s="57">
        <v>0.1</v>
      </c>
      <c r="P537" s="62">
        <f>RawData[[#This Row],[Value_USD_M]]*RawData[[#This Row],[Share_Est]]</f>
        <v>14.700000000000001</v>
      </c>
      <c r="Q537" s="57"/>
      <c r="R537" s="57"/>
      <c r="S537" s="58"/>
    </row>
    <row r="538" spans="2:19" x14ac:dyDescent="0.3">
      <c r="B538" s="56" t="s">
        <v>489</v>
      </c>
      <c r="C538" s="57">
        <v>2025</v>
      </c>
      <c r="D538" s="57" t="s">
        <v>573</v>
      </c>
      <c r="E538" s="57" t="s">
        <v>560</v>
      </c>
      <c r="F538" s="57" t="s">
        <v>548</v>
      </c>
      <c r="G538" s="57" t="s">
        <v>616</v>
      </c>
      <c r="H538" s="57" t="s">
        <v>669</v>
      </c>
      <c r="I538" s="57"/>
      <c r="J538" s="57"/>
      <c r="K538" s="57"/>
      <c r="L538" s="57"/>
      <c r="M538" s="57">
        <v>130.69999999999999</v>
      </c>
      <c r="N538" s="57"/>
      <c r="O538" s="57">
        <v>0.35</v>
      </c>
      <c r="P538" s="62">
        <f>RawData[[#This Row],[Value_USD_M]]*RawData[[#This Row],[Share_Est]]</f>
        <v>45.74499999999999</v>
      </c>
      <c r="Q538" s="57"/>
      <c r="R538" s="57"/>
      <c r="S538" s="58"/>
    </row>
    <row r="539" spans="2:19" x14ac:dyDescent="0.3">
      <c r="B539" s="56" t="s">
        <v>489</v>
      </c>
      <c r="C539" s="57">
        <v>2025</v>
      </c>
      <c r="D539" s="57" t="s">
        <v>573</v>
      </c>
      <c r="E539" s="57" t="s">
        <v>560</v>
      </c>
      <c r="F539" s="57" t="s">
        <v>548</v>
      </c>
      <c r="G539" s="57" t="s">
        <v>26</v>
      </c>
      <c r="H539" s="57" t="s">
        <v>650</v>
      </c>
      <c r="I539" s="57"/>
      <c r="J539" s="57"/>
      <c r="K539" s="57"/>
      <c r="L539" s="57"/>
      <c r="M539" s="57">
        <v>130.69999999999999</v>
      </c>
      <c r="N539" s="57"/>
      <c r="O539" s="57">
        <v>0.3</v>
      </c>
      <c r="P539" s="62">
        <f>RawData[[#This Row],[Value_USD_M]]*RawData[[#This Row],[Share_Est]]</f>
        <v>39.209999999999994</v>
      </c>
      <c r="Q539" s="57"/>
      <c r="R539" s="57"/>
      <c r="S539" s="58"/>
    </row>
    <row r="540" spans="2:19" x14ac:dyDescent="0.3">
      <c r="B540" s="56" t="s">
        <v>489</v>
      </c>
      <c r="C540" s="57">
        <v>2025</v>
      </c>
      <c r="D540" s="57" t="s">
        <v>573</v>
      </c>
      <c r="E540" s="57" t="s">
        <v>560</v>
      </c>
      <c r="F540" s="57" t="s">
        <v>548</v>
      </c>
      <c r="G540" s="57" t="s">
        <v>325</v>
      </c>
      <c r="H540" s="57" t="s">
        <v>23</v>
      </c>
      <c r="I540" s="57"/>
      <c r="J540" s="57"/>
      <c r="K540" s="57"/>
      <c r="L540" s="57"/>
      <c r="M540" s="57">
        <v>130.69999999999999</v>
      </c>
      <c r="N540" s="57"/>
      <c r="O540" s="57">
        <v>0.15</v>
      </c>
      <c r="P540" s="62">
        <f>RawData[[#This Row],[Value_USD_M]]*RawData[[#This Row],[Share_Est]]</f>
        <v>19.604999999999997</v>
      </c>
      <c r="Q540" s="57"/>
      <c r="R540" s="57"/>
      <c r="S540" s="58"/>
    </row>
    <row r="541" spans="2:19" x14ac:dyDescent="0.3">
      <c r="B541" s="56" t="s">
        <v>489</v>
      </c>
      <c r="C541" s="57">
        <v>2025</v>
      </c>
      <c r="D541" s="57" t="s">
        <v>573</v>
      </c>
      <c r="E541" s="57" t="s">
        <v>560</v>
      </c>
      <c r="F541" s="57" t="s">
        <v>548</v>
      </c>
      <c r="G541" s="57" t="s">
        <v>664</v>
      </c>
      <c r="H541" s="57" t="s">
        <v>665</v>
      </c>
      <c r="I541" s="57"/>
      <c r="J541" s="57"/>
      <c r="K541" s="57"/>
      <c r="L541" s="57"/>
      <c r="M541" s="57">
        <v>130.69999999999999</v>
      </c>
      <c r="N541" s="57"/>
      <c r="O541" s="57">
        <v>0.1</v>
      </c>
      <c r="P541" s="62">
        <f>RawData[[#This Row],[Value_USD_M]]*RawData[[#This Row],[Share_Est]]</f>
        <v>13.07</v>
      </c>
      <c r="Q541" s="57"/>
      <c r="R541" s="57"/>
      <c r="S541" s="58"/>
    </row>
    <row r="542" spans="2:19" x14ac:dyDescent="0.3">
      <c r="B542" s="56" t="s">
        <v>489</v>
      </c>
      <c r="C542" s="57">
        <v>2025</v>
      </c>
      <c r="D542" s="57" t="s">
        <v>573</v>
      </c>
      <c r="E542" s="57" t="s">
        <v>560</v>
      </c>
      <c r="F542" s="57" t="s">
        <v>548</v>
      </c>
      <c r="G542" s="57" t="s">
        <v>666</v>
      </c>
      <c r="H542" s="57"/>
      <c r="I542" s="57"/>
      <c r="J542" s="57"/>
      <c r="K542" s="57"/>
      <c r="L542" s="57"/>
      <c r="M542" s="57">
        <v>130.69999999999999</v>
      </c>
      <c r="N542" s="57"/>
      <c r="O542" s="57">
        <v>0.1</v>
      </c>
      <c r="P542" s="62">
        <f>RawData[[#This Row],[Value_USD_M]]*RawData[[#This Row],[Share_Est]]</f>
        <v>13.07</v>
      </c>
      <c r="Q542" s="57"/>
      <c r="R542" s="57"/>
      <c r="S542" s="58"/>
    </row>
    <row r="543" spans="2:19" x14ac:dyDescent="0.3">
      <c r="B543" s="56" t="s">
        <v>489</v>
      </c>
      <c r="C543" s="57">
        <v>2026</v>
      </c>
      <c r="D543" s="57" t="s">
        <v>573</v>
      </c>
      <c r="E543" s="57" t="s">
        <v>560</v>
      </c>
      <c r="F543" s="57" t="s">
        <v>548</v>
      </c>
      <c r="G543" s="57" t="s">
        <v>616</v>
      </c>
      <c r="H543" s="57" t="s">
        <v>669</v>
      </c>
      <c r="I543" s="57"/>
      <c r="J543" s="57"/>
      <c r="K543" s="57"/>
      <c r="L543" s="57"/>
      <c r="M543" s="57">
        <v>117</v>
      </c>
      <c r="N543" s="57"/>
      <c r="O543" s="57">
        <v>0.35</v>
      </c>
      <c r="P543" s="62">
        <f>RawData[[#This Row],[Value_USD_M]]*RawData[[#This Row],[Share_Est]]</f>
        <v>40.949999999999996</v>
      </c>
      <c r="Q543" s="57"/>
      <c r="R543" s="57"/>
      <c r="S543" s="58"/>
    </row>
    <row r="544" spans="2:19" x14ac:dyDescent="0.3">
      <c r="B544" s="56" t="s">
        <v>489</v>
      </c>
      <c r="C544" s="57">
        <v>2026</v>
      </c>
      <c r="D544" s="57" t="s">
        <v>573</v>
      </c>
      <c r="E544" s="57" t="s">
        <v>560</v>
      </c>
      <c r="F544" s="57" t="s">
        <v>548</v>
      </c>
      <c r="G544" s="57" t="s">
        <v>26</v>
      </c>
      <c r="H544" s="57" t="s">
        <v>650</v>
      </c>
      <c r="L544" s="57"/>
      <c r="M544" s="57">
        <v>117</v>
      </c>
      <c r="O544" s="57">
        <v>0.3</v>
      </c>
      <c r="P544" s="61">
        <f>RawData[[#This Row],[Value_USD_M]]*RawData[[#This Row],[Share_Est]]</f>
        <v>35.1</v>
      </c>
      <c r="S544" s="52"/>
    </row>
    <row r="545" spans="2:19" x14ac:dyDescent="0.3">
      <c r="B545" s="56" t="s">
        <v>489</v>
      </c>
      <c r="C545" s="57">
        <v>2026</v>
      </c>
      <c r="D545" s="57" t="s">
        <v>573</v>
      </c>
      <c r="E545" s="57" t="s">
        <v>560</v>
      </c>
      <c r="F545" s="57" t="s">
        <v>548</v>
      </c>
      <c r="G545" s="57" t="s">
        <v>325</v>
      </c>
      <c r="H545" s="57" t="s">
        <v>23</v>
      </c>
      <c r="L545" s="57"/>
      <c r="M545" s="57">
        <v>117</v>
      </c>
      <c r="O545" s="57">
        <v>0.15</v>
      </c>
      <c r="P545" s="61">
        <f>RawData[[#This Row],[Value_USD_M]]*RawData[[#This Row],[Share_Est]]</f>
        <v>17.55</v>
      </c>
      <c r="S545" s="52"/>
    </row>
    <row r="546" spans="2:19" x14ac:dyDescent="0.3">
      <c r="B546" s="56" t="s">
        <v>489</v>
      </c>
      <c r="C546" s="57">
        <v>2026</v>
      </c>
      <c r="D546" s="57" t="s">
        <v>573</v>
      </c>
      <c r="E546" s="57" t="s">
        <v>560</v>
      </c>
      <c r="F546" s="57" t="s">
        <v>548</v>
      </c>
      <c r="G546" s="57" t="s">
        <v>664</v>
      </c>
      <c r="H546" s="57" t="s">
        <v>665</v>
      </c>
      <c r="L546" s="57"/>
      <c r="M546" s="57">
        <v>117</v>
      </c>
      <c r="O546" s="57">
        <v>0.1</v>
      </c>
      <c r="P546" s="61">
        <f>RawData[[#This Row],[Value_USD_M]]*RawData[[#This Row],[Share_Est]]</f>
        <v>11.700000000000001</v>
      </c>
      <c r="S546" s="52"/>
    </row>
    <row r="547" spans="2:19" x14ac:dyDescent="0.3">
      <c r="B547" s="56" t="s">
        <v>489</v>
      </c>
      <c r="C547" s="57">
        <v>2026</v>
      </c>
      <c r="D547" s="57" t="s">
        <v>573</v>
      </c>
      <c r="E547" s="57" t="s">
        <v>560</v>
      </c>
      <c r="F547" s="57" t="s">
        <v>548</v>
      </c>
      <c r="G547" s="57" t="s">
        <v>666</v>
      </c>
      <c r="H547" s="57"/>
      <c r="L547" s="57"/>
      <c r="M547" s="57">
        <v>117</v>
      </c>
      <c r="O547" s="57">
        <v>0.1</v>
      </c>
      <c r="P547" s="61">
        <f>RawData[[#This Row],[Value_USD_M]]*RawData[[#This Row],[Share_Est]]</f>
        <v>11.700000000000001</v>
      </c>
      <c r="S547" s="52"/>
    </row>
    <row r="548" spans="2:19" x14ac:dyDescent="0.3">
      <c r="B548" s="56" t="s">
        <v>491</v>
      </c>
      <c r="C548" s="57">
        <v>2024</v>
      </c>
      <c r="D548" s="57" t="s">
        <v>582</v>
      </c>
      <c r="E548" s="57" t="s">
        <v>560</v>
      </c>
      <c r="F548" s="57" t="s">
        <v>549</v>
      </c>
      <c r="G548" s="57" t="s">
        <v>326</v>
      </c>
      <c r="H548" s="57" t="s">
        <v>594</v>
      </c>
      <c r="I548" s="57"/>
      <c r="J548" s="57"/>
      <c r="K548" s="57"/>
      <c r="L548" s="57"/>
      <c r="M548" s="57">
        <v>70.8</v>
      </c>
      <c r="N548" s="57"/>
      <c r="O548" s="57">
        <v>1</v>
      </c>
      <c r="P548" s="62">
        <f>RawData[[#This Row],[Value_USD_M]]*RawData[[#This Row],[Share_Est]]</f>
        <v>70.8</v>
      </c>
      <c r="Q548" s="57"/>
      <c r="R548" s="57"/>
      <c r="S548" s="58"/>
    </row>
    <row r="549" spans="2:19" x14ac:dyDescent="0.3">
      <c r="B549" s="56" t="s">
        <v>491</v>
      </c>
      <c r="C549" s="57">
        <v>2025</v>
      </c>
      <c r="D549" s="57" t="s">
        <v>582</v>
      </c>
      <c r="E549" s="57" t="s">
        <v>560</v>
      </c>
      <c r="F549" s="57" t="s">
        <v>549</v>
      </c>
      <c r="G549" s="57" t="s">
        <v>326</v>
      </c>
      <c r="H549" s="57" t="s">
        <v>594</v>
      </c>
      <c r="I549" s="57"/>
      <c r="J549" s="57"/>
      <c r="K549" s="57"/>
      <c r="L549" s="57"/>
      <c r="M549" s="57">
        <v>20.6</v>
      </c>
      <c r="N549" s="57"/>
      <c r="O549" s="57">
        <v>1</v>
      </c>
      <c r="P549" s="62">
        <f>RawData[[#This Row],[Value_USD_M]]*RawData[[#This Row],[Share_Est]]</f>
        <v>20.6</v>
      </c>
      <c r="Q549" s="57"/>
      <c r="R549" s="57"/>
      <c r="S549" s="58"/>
    </row>
    <row r="550" spans="2:19" x14ac:dyDescent="0.3">
      <c r="B550" s="56" t="s">
        <v>491</v>
      </c>
      <c r="C550" s="57">
        <v>2026</v>
      </c>
      <c r="D550" s="57" t="s">
        <v>582</v>
      </c>
      <c r="E550" s="57" t="s">
        <v>560</v>
      </c>
      <c r="F550" s="57" t="s">
        <v>549</v>
      </c>
      <c r="G550" s="57" t="s">
        <v>326</v>
      </c>
      <c r="H550" s="57" t="s">
        <v>594</v>
      </c>
      <c r="I550" s="57"/>
      <c r="J550" s="57"/>
      <c r="K550" s="57"/>
      <c r="L550" s="57"/>
      <c r="M550" s="57">
        <v>33.299999999999997</v>
      </c>
      <c r="N550" s="57"/>
      <c r="O550" s="57">
        <v>1</v>
      </c>
      <c r="P550" s="62">
        <f>RawData[[#This Row],[Value_USD_M]]*RawData[[#This Row],[Share_Est]]</f>
        <v>33.299999999999997</v>
      </c>
      <c r="Q550" s="57"/>
      <c r="R550" s="57"/>
      <c r="S550" s="58"/>
    </row>
    <row r="551" spans="2:19" x14ac:dyDescent="0.3">
      <c r="B551" s="56" t="s">
        <v>491</v>
      </c>
      <c r="C551" s="57">
        <v>2024</v>
      </c>
      <c r="D551" s="57" t="s">
        <v>615</v>
      </c>
      <c r="E551" s="57" t="s">
        <v>560</v>
      </c>
      <c r="F551" s="57" t="s">
        <v>548</v>
      </c>
      <c r="G551" s="57" t="s">
        <v>326</v>
      </c>
      <c r="H551" s="57" t="s">
        <v>594</v>
      </c>
      <c r="I551" s="57"/>
      <c r="J551" s="57"/>
      <c r="K551" s="57"/>
      <c r="L551" s="57"/>
      <c r="M551" s="57">
        <v>1398.1</v>
      </c>
      <c r="N551" s="57"/>
      <c r="O551" s="57">
        <v>1</v>
      </c>
      <c r="P551" s="62">
        <f>RawData[[#This Row],[Value_USD_M]]*RawData[[#This Row],[Share_Est]]</f>
        <v>1398.1</v>
      </c>
      <c r="Q551" s="57"/>
      <c r="R551" s="57"/>
      <c r="S551" s="58"/>
    </row>
    <row r="552" spans="2:19" x14ac:dyDescent="0.3">
      <c r="B552" s="56" t="s">
        <v>491</v>
      </c>
      <c r="C552" s="57">
        <v>2025</v>
      </c>
      <c r="D552" s="57" t="s">
        <v>615</v>
      </c>
      <c r="E552" s="57" t="s">
        <v>560</v>
      </c>
      <c r="F552" s="57" t="s">
        <v>548</v>
      </c>
      <c r="G552" s="57" t="s">
        <v>326</v>
      </c>
      <c r="H552" s="57" t="s">
        <v>594</v>
      </c>
      <c r="M552" s="46">
        <v>1198.3</v>
      </c>
      <c r="O552" s="57">
        <v>1</v>
      </c>
      <c r="P552" s="61">
        <f>RawData[[#This Row],[Value_USD_M]]*RawData[[#This Row],[Share_Est]]</f>
        <v>1198.3</v>
      </c>
      <c r="S552" s="52"/>
    </row>
    <row r="553" spans="2:19" x14ac:dyDescent="0.3">
      <c r="B553" s="56" t="s">
        <v>491</v>
      </c>
      <c r="C553" s="57">
        <v>2026</v>
      </c>
      <c r="D553" s="57" t="s">
        <v>615</v>
      </c>
      <c r="E553" s="57" t="s">
        <v>560</v>
      </c>
      <c r="F553" s="57" t="s">
        <v>548</v>
      </c>
      <c r="G553" s="57" t="s">
        <v>326</v>
      </c>
      <c r="H553" s="57" t="s">
        <v>594</v>
      </c>
      <c r="M553" s="46">
        <v>1168.3</v>
      </c>
      <c r="O553" s="57">
        <v>1</v>
      </c>
      <c r="P553" s="61">
        <f>RawData[[#This Row],[Value_USD_M]]*RawData[[#This Row],[Share_Est]]</f>
        <v>1168.3</v>
      </c>
      <c r="S553" s="52"/>
    </row>
    <row r="554" spans="2:19" x14ac:dyDescent="0.3">
      <c r="B554" s="56" t="s">
        <v>491</v>
      </c>
      <c r="C554" s="46">
        <v>2024</v>
      </c>
      <c r="D554" s="46" t="s">
        <v>547</v>
      </c>
      <c r="E554" s="57" t="s">
        <v>560</v>
      </c>
      <c r="F554" s="57" t="s">
        <v>548</v>
      </c>
      <c r="G554" s="57" t="s">
        <v>326</v>
      </c>
      <c r="H554" s="57" t="s">
        <v>594</v>
      </c>
      <c r="M554" s="46">
        <v>200</v>
      </c>
      <c r="O554" s="57">
        <v>1</v>
      </c>
      <c r="P554" s="61">
        <f>RawData[[#This Row],[Value_USD_M]]*RawData[[#This Row],[Share_Est]]</f>
        <v>200</v>
      </c>
      <c r="S554" s="52"/>
    </row>
    <row r="555" spans="2:19" x14ac:dyDescent="0.3">
      <c r="B555" s="56" t="s">
        <v>491</v>
      </c>
      <c r="C555" s="46">
        <v>2025</v>
      </c>
      <c r="D555" s="46" t="s">
        <v>547</v>
      </c>
      <c r="E555" s="57" t="s">
        <v>560</v>
      </c>
      <c r="F555" s="57" t="s">
        <v>548</v>
      </c>
      <c r="G555" s="57" t="s">
        <v>326</v>
      </c>
      <c r="H555" s="57" t="s">
        <v>594</v>
      </c>
      <c r="M555" s="46">
        <v>1.6</v>
      </c>
      <c r="O555" s="57">
        <v>1</v>
      </c>
      <c r="P555" s="61">
        <f>RawData[[#This Row],[Value_USD_M]]*RawData[[#This Row],[Share_Est]]</f>
        <v>1.6</v>
      </c>
      <c r="S555" s="52"/>
    </row>
    <row r="556" spans="2:19" x14ac:dyDescent="0.3">
      <c r="B556" s="56" t="s">
        <v>491</v>
      </c>
      <c r="C556" s="57">
        <v>2026</v>
      </c>
      <c r="D556" s="46" t="s">
        <v>547</v>
      </c>
      <c r="E556" s="57" t="s">
        <v>560</v>
      </c>
      <c r="F556" s="57" t="s">
        <v>548</v>
      </c>
      <c r="G556" s="57" t="s">
        <v>326</v>
      </c>
      <c r="H556" s="57" t="s">
        <v>594</v>
      </c>
      <c r="I556" s="57"/>
      <c r="J556" s="57"/>
      <c r="K556" s="57"/>
      <c r="L556" s="57"/>
      <c r="M556" s="57">
        <v>61.5</v>
      </c>
      <c r="N556" s="57"/>
      <c r="O556" s="57">
        <v>1</v>
      </c>
      <c r="P556" s="62">
        <f>RawData[[#This Row],[Value_USD_M]]*RawData[[#This Row],[Share_Est]]</f>
        <v>61.5</v>
      </c>
      <c r="Q556" s="57"/>
      <c r="R556" s="57"/>
      <c r="S556" s="58"/>
    </row>
    <row r="557" spans="2:19" x14ac:dyDescent="0.3">
      <c r="B557" s="56" t="s">
        <v>506</v>
      </c>
      <c r="C557" s="57">
        <v>2024</v>
      </c>
      <c r="D557" s="57" t="s">
        <v>615</v>
      </c>
      <c r="E557" s="57" t="s">
        <v>560</v>
      </c>
      <c r="F557" s="57" t="s">
        <v>549</v>
      </c>
      <c r="G557" s="57" t="s">
        <v>326</v>
      </c>
      <c r="H557" s="57" t="s">
        <v>594</v>
      </c>
      <c r="I557" s="57"/>
      <c r="J557" s="57"/>
      <c r="K557" s="57"/>
      <c r="L557" s="57"/>
      <c r="M557" s="57">
        <v>262.8</v>
      </c>
      <c r="N557" s="57"/>
      <c r="O557" s="57">
        <v>1</v>
      </c>
      <c r="P557" s="62">
        <f>RawData[[#This Row],[Value_USD_M]]*RawData[[#This Row],[Share_Est]]</f>
        <v>262.8</v>
      </c>
      <c r="Q557" s="57"/>
      <c r="R557" s="57"/>
      <c r="S557" s="58" t="s">
        <v>670</v>
      </c>
    </row>
    <row r="558" spans="2:19" x14ac:dyDescent="0.3">
      <c r="B558" s="56" t="s">
        <v>506</v>
      </c>
      <c r="C558" s="57">
        <v>2025</v>
      </c>
      <c r="D558" s="57" t="s">
        <v>615</v>
      </c>
      <c r="E558" s="57" t="s">
        <v>560</v>
      </c>
      <c r="F558" s="57" t="s">
        <v>549</v>
      </c>
      <c r="G558" s="57" t="s">
        <v>326</v>
      </c>
      <c r="H558" s="57" t="s">
        <v>594</v>
      </c>
      <c r="I558" s="57"/>
      <c r="J558" s="57"/>
      <c r="K558" s="57"/>
      <c r="L558" s="57"/>
      <c r="M558" s="57">
        <v>184</v>
      </c>
      <c r="N558" s="57"/>
      <c r="O558" s="57">
        <v>1</v>
      </c>
      <c r="P558" s="62">
        <f>RawData[[#This Row],[Value_USD_M]]*RawData[[#This Row],[Share_Est]]</f>
        <v>184</v>
      </c>
      <c r="Q558" s="57"/>
      <c r="R558" s="57"/>
      <c r="S558" s="58"/>
    </row>
    <row r="559" spans="2:19" x14ac:dyDescent="0.3">
      <c r="B559" s="56" t="s">
        <v>506</v>
      </c>
      <c r="C559" s="57">
        <v>2026</v>
      </c>
      <c r="D559" s="57" t="s">
        <v>615</v>
      </c>
      <c r="E559" s="57" t="s">
        <v>560</v>
      </c>
      <c r="F559" s="57" t="s">
        <v>549</v>
      </c>
      <c r="G559" s="57" t="s">
        <v>326</v>
      </c>
      <c r="H559" s="57" t="s">
        <v>594</v>
      </c>
      <c r="I559" s="57"/>
      <c r="J559" s="57"/>
      <c r="K559" s="57"/>
      <c r="L559" s="57"/>
      <c r="M559" s="57">
        <v>197.2</v>
      </c>
      <c r="N559" s="57"/>
      <c r="O559" s="57">
        <v>1</v>
      </c>
      <c r="P559" s="62">
        <f>RawData[[#This Row],[Value_USD_M]]*RawData[[#This Row],[Share_Est]]</f>
        <v>197.2</v>
      </c>
      <c r="Q559" s="57"/>
      <c r="R559" s="57"/>
      <c r="S559" s="58"/>
    </row>
    <row r="560" spans="2:19" x14ac:dyDescent="0.3">
      <c r="B560" s="56" t="s">
        <v>506</v>
      </c>
      <c r="C560" s="57">
        <v>2024</v>
      </c>
      <c r="D560" s="57" t="s">
        <v>615</v>
      </c>
      <c r="E560" s="57" t="s">
        <v>560</v>
      </c>
      <c r="F560" s="57" t="s">
        <v>548</v>
      </c>
      <c r="G560" s="57" t="s">
        <v>326</v>
      </c>
      <c r="H560" s="57" t="s">
        <v>594</v>
      </c>
      <c r="I560" s="57"/>
      <c r="J560" s="57"/>
      <c r="K560" s="57">
        <v>98</v>
      </c>
      <c r="L560" s="57"/>
      <c r="M560" s="57">
        <v>1048.5</v>
      </c>
      <c r="N560" s="57"/>
      <c r="O560" s="57">
        <v>1</v>
      </c>
      <c r="P560" s="62">
        <f>RawData[[#This Row],[Value_USD_M]]*RawData[[#This Row],[Share_Est]]</f>
        <v>1048.5</v>
      </c>
      <c r="Q560" s="57"/>
      <c r="R560" s="57"/>
      <c r="S560" s="58"/>
    </row>
    <row r="561" spans="2:19" x14ac:dyDescent="0.3">
      <c r="B561" s="56" t="s">
        <v>506</v>
      </c>
      <c r="C561" s="57">
        <v>2025</v>
      </c>
      <c r="D561" s="57" t="s">
        <v>615</v>
      </c>
      <c r="E561" s="57" t="s">
        <v>560</v>
      </c>
      <c r="F561" s="57" t="s">
        <v>548</v>
      </c>
      <c r="G561" s="57" t="s">
        <v>326</v>
      </c>
      <c r="H561" s="57" t="s">
        <v>594</v>
      </c>
      <c r="I561" s="57"/>
      <c r="J561" s="57"/>
      <c r="K561" s="57">
        <v>230</v>
      </c>
      <c r="L561" s="57"/>
      <c r="M561" s="57">
        <v>457.5</v>
      </c>
      <c r="N561" s="57"/>
      <c r="O561" s="57">
        <v>1</v>
      </c>
      <c r="P561" s="62">
        <f>RawData[[#This Row],[Value_USD_M]]*RawData[[#This Row],[Share_Est]]</f>
        <v>457.5</v>
      </c>
      <c r="Q561" s="57"/>
      <c r="R561" s="57"/>
      <c r="S561" s="58"/>
    </row>
    <row r="562" spans="2:19" x14ac:dyDescent="0.3">
      <c r="B562" s="56" t="s">
        <v>506</v>
      </c>
      <c r="C562" s="57">
        <v>2026</v>
      </c>
      <c r="D562" s="57" t="s">
        <v>615</v>
      </c>
      <c r="E562" s="57" t="s">
        <v>560</v>
      </c>
      <c r="F562" s="57" t="s">
        <v>548</v>
      </c>
      <c r="G562" s="57" t="s">
        <v>326</v>
      </c>
      <c r="H562" s="57" t="s">
        <v>594</v>
      </c>
      <c r="I562" s="57"/>
      <c r="J562" s="57"/>
      <c r="K562" s="57">
        <v>152</v>
      </c>
      <c r="L562" s="57"/>
      <c r="M562" s="57">
        <v>363.7</v>
      </c>
      <c r="N562" s="57"/>
      <c r="O562" s="57">
        <v>1</v>
      </c>
      <c r="P562" s="62">
        <f>RawData[[#This Row],[Value_USD_M]]*RawData[[#This Row],[Share_Est]]</f>
        <v>363.7</v>
      </c>
      <c r="Q562" s="57"/>
      <c r="R562" s="57"/>
      <c r="S562" s="58"/>
    </row>
    <row r="563" spans="2:19" x14ac:dyDescent="0.3">
      <c r="B563" s="56" t="s">
        <v>671</v>
      </c>
      <c r="C563" s="57">
        <v>2024</v>
      </c>
      <c r="D563" s="57" t="s">
        <v>547</v>
      </c>
      <c r="E563" s="57" t="s">
        <v>560</v>
      </c>
      <c r="F563" s="57" t="s">
        <v>549</v>
      </c>
      <c r="G563" s="57" t="s">
        <v>326</v>
      </c>
      <c r="H563" s="57" t="s">
        <v>141</v>
      </c>
      <c r="I563" s="57"/>
      <c r="J563" s="57"/>
      <c r="K563" s="57"/>
      <c r="L563" s="57"/>
      <c r="M563" s="57">
        <v>326.3</v>
      </c>
      <c r="N563" s="57"/>
      <c r="O563" s="57">
        <v>1</v>
      </c>
      <c r="P563" s="62">
        <f>RawData[[#This Row],[Value_USD_M]]*RawData[[#This Row],[Share_Est]]</f>
        <v>326.3</v>
      </c>
      <c r="Q563" s="57"/>
      <c r="R563" s="57"/>
      <c r="S563" s="58" t="s">
        <v>699</v>
      </c>
    </row>
    <row r="564" spans="2:19" x14ac:dyDescent="0.3">
      <c r="B564" s="56" t="s">
        <v>671</v>
      </c>
      <c r="C564" s="57">
        <v>2025</v>
      </c>
      <c r="D564" s="57" t="s">
        <v>547</v>
      </c>
      <c r="E564" s="57" t="s">
        <v>560</v>
      </c>
      <c r="F564" s="57" t="s">
        <v>549</v>
      </c>
      <c r="G564" s="57" t="s">
        <v>326</v>
      </c>
      <c r="H564" s="57" t="s">
        <v>141</v>
      </c>
      <c r="I564" s="57"/>
      <c r="J564" s="57"/>
      <c r="K564" s="57"/>
      <c r="L564" s="57"/>
      <c r="M564" s="57">
        <v>335.3</v>
      </c>
      <c r="N564" s="57"/>
      <c r="O564" s="57">
        <v>1</v>
      </c>
      <c r="P564" s="62">
        <f>RawData[[#This Row],[Value_USD_M]]*RawData[[#This Row],[Share_Est]]</f>
        <v>335.3</v>
      </c>
      <c r="Q564" s="57"/>
      <c r="R564" s="57"/>
      <c r="S564" s="58"/>
    </row>
    <row r="565" spans="2:19" x14ac:dyDescent="0.3">
      <c r="B565" s="56" t="s">
        <v>671</v>
      </c>
      <c r="C565" s="57">
        <v>2026</v>
      </c>
      <c r="D565" s="57" t="s">
        <v>547</v>
      </c>
      <c r="E565" s="57" t="s">
        <v>560</v>
      </c>
      <c r="F565" s="57" t="s">
        <v>549</v>
      </c>
      <c r="G565" s="57" t="s">
        <v>326</v>
      </c>
      <c r="H565" s="57" t="s">
        <v>141</v>
      </c>
      <c r="I565" s="57"/>
      <c r="J565" s="57"/>
      <c r="K565" s="57"/>
      <c r="L565" s="57"/>
      <c r="M565" s="57">
        <v>807.1</v>
      </c>
      <c r="N565" s="57"/>
      <c r="O565" s="57">
        <v>1</v>
      </c>
      <c r="P565" s="62">
        <f>RawData[[#This Row],[Value_USD_M]]*RawData[[#This Row],[Share_Est]]</f>
        <v>807.1</v>
      </c>
      <c r="Q565" s="57"/>
      <c r="R565" s="57"/>
      <c r="S565" s="58"/>
    </row>
    <row r="566" spans="2:19" x14ac:dyDescent="0.3">
      <c r="B566" s="56" t="s">
        <v>671</v>
      </c>
      <c r="C566" s="57">
        <v>2024</v>
      </c>
      <c r="D566" s="57" t="s">
        <v>547</v>
      </c>
      <c r="E566" s="57" t="s">
        <v>560</v>
      </c>
      <c r="F566" s="57" t="s">
        <v>548</v>
      </c>
      <c r="G566" s="57" t="s">
        <v>326</v>
      </c>
      <c r="H566" s="57" t="s">
        <v>141</v>
      </c>
      <c r="I566" s="57"/>
      <c r="J566" s="57"/>
      <c r="K566" s="57"/>
      <c r="L566" s="57"/>
      <c r="M566" s="57">
        <v>1545.8</v>
      </c>
      <c r="N566" s="57"/>
      <c r="O566" s="57">
        <v>1</v>
      </c>
      <c r="P566" s="62">
        <f>RawData[[#This Row],[Value_USD_M]]*RawData[[#This Row],[Share_Est]]</f>
        <v>1545.8</v>
      </c>
      <c r="Q566" s="57"/>
      <c r="R566" s="57"/>
      <c r="S566" s="58"/>
    </row>
    <row r="567" spans="2:19" x14ac:dyDescent="0.3">
      <c r="B567" s="56" t="s">
        <v>671</v>
      </c>
      <c r="C567" s="57">
        <v>2025</v>
      </c>
      <c r="D567" s="57" t="s">
        <v>547</v>
      </c>
      <c r="E567" s="57" t="s">
        <v>560</v>
      </c>
      <c r="F567" s="57" t="s">
        <v>548</v>
      </c>
      <c r="G567" s="57" t="s">
        <v>326</v>
      </c>
      <c r="H567" s="57" t="s">
        <v>141</v>
      </c>
      <c r="I567" s="57"/>
      <c r="J567" s="57"/>
      <c r="K567" s="57"/>
      <c r="L567" s="57"/>
      <c r="M567" s="57">
        <v>2057.8000000000002</v>
      </c>
      <c r="N567" s="57"/>
      <c r="O567" s="57">
        <v>1</v>
      </c>
      <c r="P567" s="62">
        <f>RawData[[#This Row],[Value_USD_M]]*RawData[[#This Row],[Share_Est]]</f>
        <v>2057.8000000000002</v>
      </c>
      <c r="Q567" s="57"/>
      <c r="R567" s="57"/>
      <c r="S567" s="58"/>
    </row>
    <row r="568" spans="2:19" x14ac:dyDescent="0.3">
      <c r="B568" s="56" t="s">
        <v>671</v>
      </c>
      <c r="C568" s="57">
        <v>2026</v>
      </c>
      <c r="D568" s="57" t="s">
        <v>547</v>
      </c>
      <c r="E568" s="57" t="s">
        <v>560</v>
      </c>
      <c r="F568" s="57" t="s">
        <v>548</v>
      </c>
      <c r="G568" s="57" t="s">
        <v>326</v>
      </c>
      <c r="H568" s="57" t="s">
        <v>141</v>
      </c>
      <c r="I568" s="57"/>
      <c r="J568" s="57"/>
      <c r="K568" s="57"/>
      <c r="L568" s="57"/>
      <c r="M568" s="57">
        <v>2934.9</v>
      </c>
      <c r="N568" s="57"/>
      <c r="O568" s="57">
        <v>1</v>
      </c>
      <c r="P568" s="62">
        <f>RawData[[#This Row],[Value_USD_M]]*RawData[[#This Row],[Share_Est]]</f>
        <v>2934.9</v>
      </c>
      <c r="Q568" s="57"/>
      <c r="R568" s="57"/>
      <c r="S568" s="58"/>
    </row>
    <row r="569" spans="2:19" x14ac:dyDescent="0.3">
      <c r="B569" s="56" t="s">
        <v>672</v>
      </c>
      <c r="C569" s="57">
        <v>2024</v>
      </c>
      <c r="D569" s="57" t="s">
        <v>547</v>
      </c>
      <c r="E569" s="57" t="s">
        <v>560</v>
      </c>
      <c r="F569" s="57" t="s">
        <v>549</v>
      </c>
      <c r="G569" s="57" t="s">
        <v>325</v>
      </c>
      <c r="H569" s="57" t="s">
        <v>23</v>
      </c>
      <c r="I569" s="57"/>
      <c r="J569" s="57"/>
      <c r="K569" s="57"/>
      <c r="L569" s="57"/>
      <c r="M569" s="57">
        <v>366.2</v>
      </c>
      <c r="N569" s="57"/>
      <c r="O569" s="57">
        <v>1</v>
      </c>
      <c r="P569" s="62">
        <f>RawData[[#This Row],[Value_USD_M]]*RawData[[#This Row],[Share_Est]]</f>
        <v>366.2</v>
      </c>
      <c r="Q569" s="57"/>
      <c r="R569" s="57"/>
      <c r="S569" s="58"/>
    </row>
    <row r="570" spans="2:19" x14ac:dyDescent="0.3">
      <c r="B570" s="56" t="s">
        <v>672</v>
      </c>
      <c r="C570" s="57">
        <v>2025</v>
      </c>
      <c r="D570" s="57" t="s">
        <v>547</v>
      </c>
      <c r="E570" s="57" t="s">
        <v>560</v>
      </c>
      <c r="F570" s="57" t="s">
        <v>549</v>
      </c>
      <c r="G570" s="57" t="s">
        <v>325</v>
      </c>
      <c r="H570" s="57" t="s">
        <v>23</v>
      </c>
      <c r="I570" s="57"/>
      <c r="J570" s="57"/>
      <c r="K570" s="57"/>
      <c r="L570" s="57"/>
      <c r="M570" s="57">
        <v>288.3</v>
      </c>
      <c r="N570" s="57"/>
      <c r="O570" s="57">
        <v>1</v>
      </c>
      <c r="P570" s="62">
        <f>RawData[[#This Row],[Value_USD_M]]*RawData[[#This Row],[Share_Est]]</f>
        <v>288.3</v>
      </c>
      <c r="Q570" s="57"/>
      <c r="R570" s="57"/>
      <c r="S570" s="58"/>
    </row>
    <row r="571" spans="2:19" x14ac:dyDescent="0.3">
      <c r="B571" s="56" t="s">
        <v>672</v>
      </c>
      <c r="C571" s="57">
        <v>2026</v>
      </c>
      <c r="D571" s="57" t="s">
        <v>547</v>
      </c>
      <c r="E571" s="57" t="s">
        <v>560</v>
      </c>
      <c r="F571" s="57" t="s">
        <v>549</v>
      </c>
      <c r="G571" s="57" t="s">
        <v>325</v>
      </c>
      <c r="H571" s="57" t="s">
        <v>23</v>
      </c>
      <c r="I571" s="57"/>
      <c r="J571" s="57"/>
      <c r="K571" s="57"/>
      <c r="L571" s="57"/>
      <c r="M571" s="57">
        <v>413</v>
      </c>
      <c r="N571" s="57"/>
      <c r="O571" s="57">
        <v>1</v>
      </c>
      <c r="P571" s="62">
        <f>RawData[[#This Row],[Value_USD_M]]*RawData[[#This Row],[Share_Est]]</f>
        <v>413</v>
      </c>
      <c r="Q571" s="57"/>
      <c r="R571" s="57"/>
      <c r="S571" s="58"/>
    </row>
    <row r="572" spans="2:19" x14ac:dyDescent="0.3">
      <c r="B572" s="56" t="s">
        <v>672</v>
      </c>
      <c r="C572" s="57">
        <v>2024</v>
      </c>
      <c r="D572" s="57" t="s">
        <v>547</v>
      </c>
      <c r="E572" s="57" t="s">
        <v>560</v>
      </c>
      <c r="F572" s="57" t="s">
        <v>548</v>
      </c>
      <c r="G572" s="57" t="s">
        <v>325</v>
      </c>
      <c r="H572" s="57" t="s">
        <v>23</v>
      </c>
      <c r="I572" s="57"/>
      <c r="J572" s="57"/>
      <c r="K572" s="57">
        <v>97</v>
      </c>
      <c r="L572" s="57"/>
      <c r="M572" s="57">
        <v>1137.5</v>
      </c>
      <c r="N572" s="57"/>
      <c r="O572" s="57">
        <v>1</v>
      </c>
      <c r="P572" s="62">
        <f>RawData[[#This Row],[Value_USD_M]]*RawData[[#This Row],[Share_Est]]</f>
        <v>1137.5</v>
      </c>
      <c r="Q572" s="57"/>
      <c r="R572" s="57"/>
      <c r="S572" s="58"/>
    </row>
    <row r="573" spans="2:19" x14ac:dyDescent="0.3">
      <c r="B573" s="56" t="s">
        <v>672</v>
      </c>
      <c r="C573" s="57">
        <v>2025</v>
      </c>
      <c r="D573" s="57" t="s">
        <v>547</v>
      </c>
      <c r="E573" s="57" t="s">
        <v>560</v>
      </c>
      <c r="F573" s="57" t="s">
        <v>548</v>
      </c>
      <c r="G573" s="57" t="s">
        <v>325</v>
      </c>
      <c r="H573" s="57" t="s">
        <v>23</v>
      </c>
      <c r="I573" s="57"/>
      <c r="J573" s="57"/>
      <c r="K573" s="57">
        <v>78</v>
      </c>
      <c r="L573" s="57"/>
      <c r="M573" s="57">
        <v>694.4</v>
      </c>
      <c r="N573" s="57"/>
      <c r="O573" s="57">
        <v>1</v>
      </c>
      <c r="P573" s="62">
        <f>RawData[[#This Row],[Value_USD_M]]*RawData[[#This Row],[Share_Est]]</f>
        <v>694.4</v>
      </c>
      <c r="Q573" s="57"/>
      <c r="R573" s="57"/>
      <c r="S573" s="58"/>
    </row>
    <row r="574" spans="2:19" x14ac:dyDescent="0.3">
      <c r="B574" s="56" t="s">
        <v>672</v>
      </c>
      <c r="C574" s="57">
        <v>2026</v>
      </c>
      <c r="D574" s="57" t="s">
        <v>547</v>
      </c>
      <c r="E574" s="57" t="s">
        <v>560</v>
      </c>
      <c r="F574" s="57" t="s">
        <v>548</v>
      </c>
      <c r="G574" s="57" t="s">
        <v>325</v>
      </c>
      <c r="H574" s="57" t="s">
        <v>23</v>
      </c>
      <c r="I574" s="57"/>
      <c r="J574" s="57"/>
      <c r="K574" s="57">
        <v>139</v>
      </c>
      <c r="L574" s="57"/>
      <c r="M574" s="57">
        <v>849.5</v>
      </c>
      <c r="N574" s="57"/>
      <c r="O574" s="57">
        <v>1</v>
      </c>
      <c r="P574" s="62">
        <f>RawData[[#This Row],[Value_USD_M]]*RawData[[#This Row],[Share_Est]]</f>
        <v>849.5</v>
      </c>
      <c r="Q574" s="57"/>
      <c r="R574" s="57"/>
      <c r="S574" s="58"/>
    </row>
    <row r="575" spans="2:19" x14ac:dyDescent="0.3">
      <c r="B575" s="56" t="s">
        <v>673</v>
      </c>
      <c r="C575" s="57">
        <v>2024</v>
      </c>
      <c r="D575" s="57" t="s">
        <v>582</v>
      </c>
      <c r="E575" s="57" t="s">
        <v>560</v>
      </c>
      <c r="F575" s="57" t="s">
        <v>549</v>
      </c>
      <c r="G575" s="57" t="s">
        <v>325</v>
      </c>
      <c r="H575" s="57" t="s">
        <v>23</v>
      </c>
      <c r="I575" s="57"/>
      <c r="J575" s="57"/>
      <c r="K575" s="57"/>
      <c r="L575" s="57"/>
      <c r="M575" s="57">
        <v>119.5</v>
      </c>
      <c r="N575" s="57"/>
      <c r="O575" s="57">
        <v>1</v>
      </c>
      <c r="P575" s="62">
        <f>RawData[[#This Row],[Value_USD_M]]*RawData[[#This Row],[Share_Est]]</f>
        <v>119.5</v>
      </c>
      <c r="Q575" s="57"/>
      <c r="R575" s="57"/>
      <c r="S575" s="58" t="s">
        <v>674</v>
      </c>
    </row>
    <row r="576" spans="2:19" x14ac:dyDescent="0.3">
      <c r="B576" s="56" t="s">
        <v>673</v>
      </c>
      <c r="C576" s="57">
        <v>2025</v>
      </c>
      <c r="D576" s="57" t="s">
        <v>582</v>
      </c>
      <c r="E576" s="57" t="s">
        <v>560</v>
      </c>
      <c r="F576" s="57" t="s">
        <v>549</v>
      </c>
      <c r="G576" s="57" t="s">
        <v>325</v>
      </c>
      <c r="H576" s="57" t="s">
        <v>23</v>
      </c>
      <c r="I576" s="57"/>
      <c r="J576" s="57"/>
      <c r="K576" s="57"/>
      <c r="L576" s="57"/>
      <c r="M576" s="57">
        <v>166.2</v>
      </c>
      <c r="N576" s="57"/>
      <c r="O576" s="57">
        <v>1</v>
      </c>
      <c r="P576" s="62">
        <f>RawData[[#This Row],[Value_USD_M]]*RawData[[#This Row],[Share_Est]]</f>
        <v>166.2</v>
      </c>
      <c r="Q576" s="57"/>
      <c r="R576" s="57"/>
      <c r="S576" s="58"/>
    </row>
    <row r="577" spans="2:19" x14ac:dyDescent="0.3">
      <c r="B577" s="56" t="s">
        <v>673</v>
      </c>
      <c r="C577" s="57">
        <v>2026</v>
      </c>
      <c r="D577" s="57" t="s">
        <v>582</v>
      </c>
      <c r="E577" s="57" t="s">
        <v>560</v>
      </c>
      <c r="F577" s="57" t="s">
        <v>549</v>
      </c>
      <c r="G577" s="57" t="s">
        <v>325</v>
      </c>
      <c r="H577" s="57" t="s">
        <v>23</v>
      </c>
      <c r="I577" s="57"/>
      <c r="J577" s="57"/>
      <c r="K577" s="57"/>
      <c r="L577" s="57"/>
      <c r="M577" s="57">
        <v>151.19999999999999</v>
      </c>
      <c r="N577" s="57"/>
      <c r="O577" s="57">
        <v>1</v>
      </c>
      <c r="P577" s="62">
        <f>RawData[[#This Row],[Value_USD_M]]*RawData[[#This Row],[Share_Est]]</f>
        <v>151.19999999999999</v>
      </c>
      <c r="Q577" s="57"/>
      <c r="R577" s="57"/>
      <c r="S577" s="58"/>
    </row>
    <row r="578" spans="2:19" x14ac:dyDescent="0.3">
      <c r="B578" s="56" t="s">
        <v>673</v>
      </c>
      <c r="C578" s="57">
        <v>2024</v>
      </c>
      <c r="D578" s="57" t="s">
        <v>615</v>
      </c>
      <c r="E578" s="57" t="s">
        <v>560</v>
      </c>
      <c r="F578" s="57" t="s">
        <v>548</v>
      </c>
      <c r="G578" s="57" t="s">
        <v>325</v>
      </c>
      <c r="H578" s="57" t="s">
        <v>23</v>
      </c>
      <c r="I578" s="57"/>
      <c r="J578" s="57"/>
      <c r="K578" s="57"/>
      <c r="L578" s="57"/>
      <c r="M578" s="57">
        <v>5</v>
      </c>
      <c r="N578" s="57"/>
      <c r="O578" s="57">
        <v>1</v>
      </c>
      <c r="P578" s="62">
        <f>RawData[[#This Row],[Value_USD_M]]*RawData[[#This Row],[Share_Est]]</f>
        <v>5</v>
      </c>
      <c r="Q578" s="57"/>
      <c r="R578" s="57"/>
      <c r="S578" s="58"/>
    </row>
    <row r="579" spans="2:19" x14ac:dyDescent="0.3">
      <c r="B579" s="56" t="s">
        <v>673</v>
      </c>
      <c r="C579" s="57">
        <v>2024</v>
      </c>
      <c r="D579" s="57" t="s">
        <v>547</v>
      </c>
      <c r="E579" s="57" t="s">
        <v>560</v>
      </c>
      <c r="F579" s="57" t="s">
        <v>548</v>
      </c>
      <c r="G579" s="57" t="s">
        <v>325</v>
      </c>
      <c r="H579" s="57" t="s">
        <v>23</v>
      </c>
      <c r="I579" s="57"/>
      <c r="J579" s="57"/>
      <c r="K579" s="57"/>
      <c r="L579" s="57"/>
      <c r="M579" s="57">
        <v>665.6</v>
      </c>
      <c r="N579" s="57"/>
      <c r="O579" s="57">
        <v>1</v>
      </c>
      <c r="P579" s="62">
        <f>RawData[[#This Row],[Value_USD_M]]*RawData[[#This Row],[Share_Est]]</f>
        <v>665.6</v>
      </c>
      <c r="Q579" s="57"/>
      <c r="R579" s="57"/>
      <c r="S579" s="58"/>
    </row>
    <row r="580" spans="2:19" x14ac:dyDescent="0.3">
      <c r="B580" s="56" t="s">
        <v>673</v>
      </c>
      <c r="C580" s="57">
        <v>2025</v>
      </c>
      <c r="D580" s="57" t="s">
        <v>547</v>
      </c>
      <c r="E580" s="57" t="s">
        <v>560</v>
      </c>
      <c r="F580" s="57" t="s">
        <v>548</v>
      </c>
      <c r="G580" s="57" t="s">
        <v>325</v>
      </c>
      <c r="H580" s="57" t="s">
        <v>23</v>
      </c>
      <c r="I580" s="57"/>
      <c r="J580" s="57"/>
      <c r="K580" s="57"/>
      <c r="L580" s="57"/>
      <c r="M580" s="57">
        <v>429</v>
      </c>
      <c r="N580" s="57"/>
      <c r="O580" s="57">
        <v>1</v>
      </c>
      <c r="P580" s="62">
        <f>RawData[[#This Row],[Value_USD_M]]*RawData[[#This Row],[Share_Est]]</f>
        <v>429</v>
      </c>
      <c r="Q580" s="57"/>
      <c r="R580" s="57"/>
      <c r="S580" s="58"/>
    </row>
    <row r="581" spans="2:19" x14ac:dyDescent="0.3">
      <c r="B581" s="56" t="s">
        <v>673</v>
      </c>
      <c r="C581" s="57">
        <v>2026</v>
      </c>
      <c r="D581" s="57" t="s">
        <v>547</v>
      </c>
      <c r="E581" s="57" t="s">
        <v>560</v>
      </c>
      <c r="F581" s="57" t="s">
        <v>548</v>
      </c>
      <c r="G581" s="57" t="s">
        <v>325</v>
      </c>
      <c r="H581" s="57" t="s">
        <v>23</v>
      </c>
      <c r="I581" s="57"/>
      <c r="J581" s="57"/>
      <c r="K581" s="57">
        <v>57</v>
      </c>
      <c r="L581" s="57"/>
      <c r="M581" s="57">
        <v>795</v>
      </c>
      <c r="N581" s="57"/>
      <c r="O581" s="57">
        <v>1</v>
      </c>
      <c r="P581" s="62">
        <f>RawData[[#This Row],[Value_USD_M]]*RawData[[#This Row],[Share_Est]]</f>
        <v>795</v>
      </c>
      <c r="Q581" s="57"/>
      <c r="R581" s="57"/>
      <c r="S581" s="58"/>
    </row>
    <row r="582" spans="2:19" x14ac:dyDescent="0.3">
      <c r="B582" s="56" t="s">
        <v>673</v>
      </c>
      <c r="C582" s="57">
        <v>2024</v>
      </c>
      <c r="D582" s="57" t="s">
        <v>604</v>
      </c>
      <c r="E582" s="57" t="s">
        <v>560</v>
      </c>
      <c r="F582" s="57" t="s">
        <v>548</v>
      </c>
      <c r="G582" s="57" t="s">
        <v>325</v>
      </c>
      <c r="H582" s="57" t="s">
        <v>23</v>
      </c>
      <c r="I582" s="57"/>
      <c r="J582" s="57"/>
      <c r="K582" s="57">
        <v>30</v>
      </c>
      <c r="L582" s="57"/>
      <c r="M582" s="57">
        <v>93.6</v>
      </c>
      <c r="N582" s="57"/>
      <c r="O582" s="57">
        <v>1</v>
      </c>
      <c r="P582" s="62">
        <f>RawData[[#This Row],[Value_USD_M]]*RawData[[#This Row],[Share_Est]]</f>
        <v>93.6</v>
      </c>
      <c r="Q582" s="57"/>
      <c r="R582" s="57"/>
      <c r="S582" s="58"/>
    </row>
    <row r="583" spans="2:19" x14ac:dyDescent="0.3">
      <c r="B583" s="56" t="s">
        <v>673</v>
      </c>
      <c r="C583" s="57">
        <v>2025</v>
      </c>
      <c r="D583" s="57" t="s">
        <v>604</v>
      </c>
      <c r="E583" s="57" t="s">
        <v>560</v>
      </c>
      <c r="F583" s="57" t="s">
        <v>548</v>
      </c>
      <c r="G583" s="57" t="s">
        <v>325</v>
      </c>
      <c r="H583" s="57" t="s">
        <v>23</v>
      </c>
      <c r="I583" s="57"/>
      <c r="J583" s="57"/>
      <c r="K583" s="57">
        <v>22</v>
      </c>
      <c r="L583" s="57"/>
      <c r="M583" s="57">
        <v>112.5</v>
      </c>
      <c r="N583" s="57"/>
      <c r="O583" s="57">
        <v>1</v>
      </c>
      <c r="P583" s="62">
        <f>RawData[[#This Row],[Value_USD_M]]*RawData[[#This Row],[Share_Est]]</f>
        <v>112.5</v>
      </c>
      <c r="Q583" s="57"/>
      <c r="R583" s="57"/>
      <c r="S583" s="58"/>
    </row>
    <row r="584" spans="2:19" x14ac:dyDescent="0.3">
      <c r="B584" s="56" t="s">
        <v>292</v>
      </c>
      <c r="C584" s="57">
        <v>2024</v>
      </c>
      <c r="D584" s="57" t="s">
        <v>546</v>
      </c>
      <c r="E584" s="57" t="s">
        <v>560</v>
      </c>
      <c r="F584" s="57" t="s">
        <v>549</v>
      </c>
      <c r="G584" s="57" t="s">
        <v>324</v>
      </c>
      <c r="H584" s="57" t="s">
        <v>590</v>
      </c>
      <c r="I584" s="57"/>
      <c r="J584" s="57"/>
      <c r="K584" s="57"/>
      <c r="L584" s="57"/>
      <c r="M584" s="57">
        <v>4237.3</v>
      </c>
      <c r="N584" s="57"/>
      <c r="O584" s="57">
        <v>1</v>
      </c>
      <c r="P584" s="62">
        <f>RawData[[#This Row],[Value_USD_M]]*RawData[[#This Row],[Share_Est]]</f>
        <v>4237.3</v>
      </c>
      <c r="Q584" s="57"/>
      <c r="R584" s="57"/>
      <c r="S584" s="58"/>
    </row>
    <row r="585" spans="2:19" x14ac:dyDescent="0.3">
      <c r="B585" s="56" t="s">
        <v>292</v>
      </c>
      <c r="C585" s="57">
        <v>2025</v>
      </c>
      <c r="D585" s="57" t="s">
        <v>546</v>
      </c>
      <c r="E585" s="57" t="s">
        <v>560</v>
      </c>
      <c r="F585" s="57" t="s">
        <v>549</v>
      </c>
      <c r="G585" s="57" t="s">
        <v>324</v>
      </c>
      <c r="H585" s="57" t="s">
        <v>590</v>
      </c>
      <c r="I585" s="57"/>
      <c r="J585" s="57"/>
      <c r="K585" s="57"/>
      <c r="L585" s="57"/>
      <c r="M585" s="57">
        <v>2011</v>
      </c>
      <c r="N585" s="57"/>
      <c r="O585" s="57">
        <v>1</v>
      </c>
      <c r="P585" s="62">
        <f>RawData[[#This Row],[Value_USD_M]]*RawData[[#This Row],[Share_Est]]</f>
        <v>2011</v>
      </c>
      <c r="Q585" s="57"/>
      <c r="R585" s="57"/>
      <c r="S585" s="58"/>
    </row>
    <row r="586" spans="2:19" x14ac:dyDescent="0.3">
      <c r="B586" s="56" t="s">
        <v>292</v>
      </c>
      <c r="C586" s="57">
        <v>2026</v>
      </c>
      <c r="D586" s="57" t="s">
        <v>546</v>
      </c>
      <c r="E586" s="57" t="s">
        <v>560</v>
      </c>
      <c r="F586" s="57" t="s">
        <v>549</v>
      </c>
      <c r="G586" s="57" t="s">
        <v>324</v>
      </c>
      <c r="H586" s="57" t="s">
        <v>590</v>
      </c>
      <c r="I586" s="57"/>
      <c r="J586" s="57"/>
      <c r="K586" s="57"/>
      <c r="L586" s="57"/>
      <c r="M586" s="57">
        <v>4147.6000000000004</v>
      </c>
      <c r="N586" s="57"/>
      <c r="O586" s="57">
        <v>1</v>
      </c>
      <c r="P586" s="62">
        <f>RawData[[#This Row],[Value_USD_M]]*RawData[[#This Row],[Share_Est]]</f>
        <v>4147.6000000000004</v>
      </c>
      <c r="Q586" s="57"/>
      <c r="R586" s="57"/>
      <c r="S586" s="58"/>
    </row>
    <row r="587" spans="2:19" x14ac:dyDescent="0.3">
      <c r="B587" s="56" t="s">
        <v>291</v>
      </c>
      <c r="C587" s="57">
        <v>2024</v>
      </c>
      <c r="D587" s="57" t="s">
        <v>546</v>
      </c>
      <c r="E587" s="57" t="s">
        <v>560</v>
      </c>
      <c r="F587" s="57" t="s">
        <v>549</v>
      </c>
      <c r="G587" s="57" t="s">
        <v>325</v>
      </c>
      <c r="H587" s="57" t="s">
        <v>23</v>
      </c>
      <c r="I587" s="57"/>
      <c r="J587" s="57"/>
      <c r="K587" s="57"/>
      <c r="L587" s="57"/>
      <c r="M587" s="57">
        <v>856.9</v>
      </c>
      <c r="N587" s="57"/>
      <c r="O587" s="57">
        <v>1</v>
      </c>
      <c r="P587" s="62">
        <f>RawData[[#This Row],[Value_USD_M]]*RawData[[#This Row],[Share_Est]]</f>
        <v>856.9</v>
      </c>
      <c r="Q587" s="57"/>
      <c r="R587" s="57"/>
      <c r="S587" s="58"/>
    </row>
    <row r="588" spans="2:19" x14ac:dyDescent="0.3">
      <c r="B588" s="56" t="s">
        <v>291</v>
      </c>
      <c r="C588" s="57">
        <v>2025</v>
      </c>
      <c r="D588" s="57" t="s">
        <v>546</v>
      </c>
      <c r="E588" s="57" t="s">
        <v>560</v>
      </c>
      <c r="F588" s="57" t="s">
        <v>549</v>
      </c>
      <c r="G588" s="57" t="s">
        <v>325</v>
      </c>
      <c r="H588" s="57" t="s">
        <v>23</v>
      </c>
      <c r="I588" s="57"/>
      <c r="J588" s="57"/>
      <c r="K588" s="57"/>
      <c r="L588" s="57"/>
      <c r="M588" s="57">
        <v>593.9</v>
      </c>
      <c r="N588" s="57"/>
      <c r="O588" s="57">
        <v>1</v>
      </c>
      <c r="P588" s="62">
        <f>RawData[[#This Row],[Value_USD_M]]*RawData[[#This Row],[Share_Est]]</f>
        <v>593.9</v>
      </c>
      <c r="Q588" s="57"/>
      <c r="R588" s="57"/>
      <c r="S588" s="58"/>
    </row>
    <row r="589" spans="2:19" x14ac:dyDescent="0.3">
      <c r="B589" s="56" t="s">
        <v>291</v>
      </c>
      <c r="C589" s="57">
        <v>2026</v>
      </c>
      <c r="D589" s="57" t="s">
        <v>546</v>
      </c>
      <c r="E589" s="57" t="s">
        <v>560</v>
      </c>
      <c r="F589" s="57" t="s">
        <v>549</v>
      </c>
      <c r="G589" s="57" t="s">
        <v>325</v>
      </c>
      <c r="H589" s="57" t="s">
        <v>23</v>
      </c>
      <c r="I589" s="57"/>
      <c r="J589" s="57"/>
      <c r="K589" s="57"/>
      <c r="L589" s="57"/>
      <c r="M589" s="57">
        <v>607</v>
      </c>
      <c r="N589" s="57"/>
      <c r="O589" s="57">
        <v>1</v>
      </c>
      <c r="P589" s="62">
        <f>RawData[[#This Row],[Value_USD_M]]*RawData[[#This Row],[Share_Est]]</f>
        <v>607</v>
      </c>
      <c r="Q589" s="57"/>
      <c r="R589" s="57"/>
      <c r="S589" s="58"/>
    </row>
    <row r="590" spans="2:19" x14ac:dyDescent="0.3">
      <c r="B590" s="56" t="s">
        <v>291</v>
      </c>
      <c r="C590" s="57">
        <v>2024</v>
      </c>
      <c r="D590" s="57" t="s">
        <v>546</v>
      </c>
      <c r="E590" s="57" t="s">
        <v>560</v>
      </c>
      <c r="F590" s="57" t="s">
        <v>548</v>
      </c>
      <c r="G590" s="57" t="s">
        <v>325</v>
      </c>
      <c r="H590" s="57" t="s">
        <v>23</v>
      </c>
      <c r="I590" s="57"/>
      <c r="J590" s="57"/>
      <c r="K590" s="57"/>
      <c r="L590" s="57"/>
      <c r="M590" s="57">
        <v>66.8</v>
      </c>
      <c r="N590" s="57"/>
      <c r="O590" s="57">
        <v>1</v>
      </c>
      <c r="P590" s="62">
        <f>RawData[[#This Row],[Value_USD_M]]*RawData[[#This Row],[Share_Est]]</f>
        <v>66.8</v>
      </c>
      <c r="Q590" s="57"/>
      <c r="R590" s="57"/>
      <c r="S590" s="58"/>
    </row>
    <row r="591" spans="2:19" x14ac:dyDescent="0.3">
      <c r="B591" s="56" t="s">
        <v>291</v>
      </c>
      <c r="C591" s="57">
        <v>2025</v>
      </c>
      <c r="D591" s="57" t="s">
        <v>546</v>
      </c>
      <c r="E591" s="57" t="s">
        <v>560</v>
      </c>
      <c r="F591" s="57" t="s">
        <v>548</v>
      </c>
      <c r="G591" s="57" t="s">
        <v>325</v>
      </c>
      <c r="H591" s="57" t="s">
        <v>23</v>
      </c>
      <c r="I591" s="57"/>
      <c r="J591" s="57"/>
      <c r="K591" s="57"/>
      <c r="L591" s="57"/>
      <c r="M591" s="57">
        <v>210.3</v>
      </c>
      <c r="N591" s="57"/>
      <c r="O591" s="57">
        <v>1</v>
      </c>
      <c r="P591" s="62">
        <f>RawData[[#This Row],[Value_USD_M]]*RawData[[#This Row],[Share_Est]]</f>
        <v>210.3</v>
      </c>
      <c r="Q591" s="57"/>
      <c r="R591" s="57"/>
      <c r="S591" s="58"/>
    </row>
    <row r="592" spans="2:19" x14ac:dyDescent="0.3">
      <c r="B592" s="56" t="s">
        <v>291</v>
      </c>
      <c r="C592" s="57">
        <v>2026</v>
      </c>
      <c r="D592" s="57" t="s">
        <v>546</v>
      </c>
      <c r="E592" s="57" t="s">
        <v>560</v>
      </c>
      <c r="F592" s="57" t="s">
        <v>548</v>
      </c>
      <c r="G592" s="57" t="s">
        <v>325</v>
      </c>
      <c r="H592" s="57" t="s">
        <v>23</v>
      </c>
      <c r="I592" s="57"/>
      <c r="J592" s="57"/>
      <c r="K592" s="57"/>
      <c r="L592" s="57"/>
      <c r="M592" s="57">
        <v>443.7</v>
      </c>
      <c r="N592" s="57"/>
      <c r="O592" s="57">
        <v>1</v>
      </c>
      <c r="P592" s="62">
        <f>RawData[[#This Row],[Value_USD_M]]*RawData[[#This Row],[Share_Est]]</f>
        <v>443.7</v>
      </c>
      <c r="Q592" s="57"/>
      <c r="R592" s="57"/>
      <c r="S592" s="58"/>
    </row>
    <row r="593" spans="2:19" x14ac:dyDescent="0.3">
      <c r="B593" s="56" t="s">
        <v>675</v>
      </c>
      <c r="C593" s="57">
        <v>2024</v>
      </c>
      <c r="D593" s="57" t="s">
        <v>677</v>
      </c>
      <c r="E593" s="57" t="s">
        <v>560</v>
      </c>
      <c r="F593" s="57" t="s">
        <v>549</v>
      </c>
      <c r="G593" s="57" t="s">
        <v>324</v>
      </c>
      <c r="H593" s="57" t="s">
        <v>141</v>
      </c>
      <c r="I593" s="57"/>
      <c r="J593" s="57"/>
      <c r="K593" s="57"/>
      <c r="L593" s="57"/>
      <c r="M593" s="57">
        <v>258.60000000000002</v>
      </c>
      <c r="N593" s="57"/>
      <c r="O593" s="57">
        <v>0.2</v>
      </c>
      <c r="P593" s="62">
        <f>RawData[[#This Row],[Value_USD_M]]*RawData[[#This Row],[Share_Est]]</f>
        <v>51.720000000000006</v>
      </c>
      <c r="Q593" s="57"/>
      <c r="R593" s="57"/>
      <c r="S593" s="58" t="s">
        <v>676</v>
      </c>
    </row>
    <row r="594" spans="2:19" x14ac:dyDescent="0.3">
      <c r="B594" s="56" t="s">
        <v>675</v>
      </c>
      <c r="C594" s="57">
        <v>2024</v>
      </c>
      <c r="D594" s="57" t="s">
        <v>677</v>
      </c>
      <c r="E594" s="57" t="s">
        <v>560</v>
      </c>
      <c r="F594" s="57" t="s">
        <v>549</v>
      </c>
      <c r="G594" s="57" t="s">
        <v>678</v>
      </c>
      <c r="H594" s="57"/>
      <c r="I594" s="57"/>
      <c r="J594" s="57"/>
      <c r="K594" s="57"/>
      <c r="L594" s="57"/>
      <c r="M594" s="57">
        <v>258.60000000000002</v>
      </c>
      <c r="N594" s="57"/>
      <c r="O594" s="57">
        <v>0.25</v>
      </c>
      <c r="P594" s="62">
        <f>RawData[[#This Row],[Value_USD_M]]*RawData[[#This Row],[Share_Est]]</f>
        <v>64.650000000000006</v>
      </c>
      <c r="Q594" s="57"/>
      <c r="R594" s="57"/>
      <c r="S594" s="58"/>
    </row>
    <row r="595" spans="2:19" x14ac:dyDescent="0.3">
      <c r="B595" s="56" t="s">
        <v>675</v>
      </c>
      <c r="C595" s="57">
        <v>2024</v>
      </c>
      <c r="D595" s="57" t="s">
        <v>677</v>
      </c>
      <c r="E595" s="57" t="s">
        <v>560</v>
      </c>
      <c r="F595" s="57" t="s">
        <v>549</v>
      </c>
      <c r="G595" s="57" t="s">
        <v>679</v>
      </c>
      <c r="H595" s="57"/>
      <c r="I595" s="57"/>
      <c r="J595" s="57"/>
      <c r="K595" s="57"/>
      <c r="L595" s="57"/>
      <c r="M595" s="57">
        <v>258.60000000000002</v>
      </c>
      <c r="N595" s="57"/>
      <c r="O595" s="57">
        <v>0.25</v>
      </c>
      <c r="P595" s="62">
        <f>RawData[[#This Row],[Value_USD_M]]*RawData[[#This Row],[Share_Est]]</f>
        <v>64.650000000000006</v>
      </c>
      <c r="Q595" s="57"/>
      <c r="R595" s="57"/>
      <c r="S595" s="58"/>
    </row>
    <row r="596" spans="2:19" x14ac:dyDescent="0.3">
      <c r="B596" s="56" t="s">
        <v>675</v>
      </c>
      <c r="C596" s="57">
        <v>2024</v>
      </c>
      <c r="D596" s="57" t="s">
        <v>677</v>
      </c>
      <c r="E596" s="57" t="s">
        <v>560</v>
      </c>
      <c r="F596" s="57" t="s">
        <v>549</v>
      </c>
      <c r="G596" s="57" t="s">
        <v>682</v>
      </c>
      <c r="H596" s="57"/>
      <c r="I596" s="57"/>
      <c r="J596" s="57"/>
      <c r="K596" s="57"/>
      <c r="L596" s="57"/>
      <c r="M596" s="57">
        <v>258.60000000000002</v>
      </c>
      <c r="N596" s="57"/>
      <c r="O596" s="57">
        <v>0.15</v>
      </c>
      <c r="P596" s="62">
        <f>RawData[[#This Row],[Value_USD_M]]*RawData[[#This Row],[Share_Est]]</f>
        <v>38.79</v>
      </c>
      <c r="Q596" s="57"/>
      <c r="R596" s="57"/>
      <c r="S596" s="58"/>
    </row>
    <row r="597" spans="2:19" x14ac:dyDescent="0.3">
      <c r="B597" s="56" t="s">
        <v>675</v>
      </c>
      <c r="C597" s="57">
        <v>2024</v>
      </c>
      <c r="D597" s="57" t="s">
        <v>677</v>
      </c>
      <c r="E597" s="57" t="s">
        <v>560</v>
      </c>
      <c r="F597" s="57" t="s">
        <v>549</v>
      </c>
      <c r="G597" s="57" t="s">
        <v>680</v>
      </c>
      <c r="H597" s="57"/>
      <c r="I597" s="57"/>
      <c r="J597" s="57"/>
      <c r="K597" s="57"/>
      <c r="L597" s="57"/>
      <c r="M597" s="57">
        <v>258.60000000000002</v>
      </c>
      <c r="N597" s="57"/>
      <c r="O597" s="57">
        <v>0.1</v>
      </c>
      <c r="P597" s="62">
        <f>RawData[[#This Row],[Value_USD_M]]*RawData[[#This Row],[Share_Est]]</f>
        <v>25.860000000000003</v>
      </c>
      <c r="Q597" s="57"/>
      <c r="R597" s="57"/>
      <c r="S597" s="58"/>
    </row>
    <row r="598" spans="2:19" x14ac:dyDescent="0.3">
      <c r="B598" s="56" t="s">
        <v>675</v>
      </c>
      <c r="C598" s="57">
        <v>2024</v>
      </c>
      <c r="D598" s="57" t="s">
        <v>677</v>
      </c>
      <c r="E598" s="57" t="s">
        <v>560</v>
      </c>
      <c r="F598" s="57" t="s">
        <v>549</v>
      </c>
      <c r="G598" s="57" t="s">
        <v>681</v>
      </c>
      <c r="H598" s="57"/>
      <c r="I598" s="57"/>
      <c r="J598" s="57"/>
      <c r="K598" s="57"/>
      <c r="L598" s="57"/>
      <c r="M598" s="57">
        <v>258.60000000000002</v>
      </c>
      <c r="N598" s="57"/>
      <c r="O598" s="57">
        <v>0.05</v>
      </c>
      <c r="P598" s="62">
        <f>RawData[[#This Row],[Value_USD_M]]*RawData[[#This Row],[Share_Est]]</f>
        <v>12.930000000000001</v>
      </c>
      <c r="Q598" s="57"/>
      <c r="R598" s="57"/>
      <c r="S598" s="58"/>
    </row>
    <row r="599" spans="2:19" x14ac:dyDescent="0.3">
      <c r="B599" s="56" t="s">
        <v>675</v>
      </c>
      <c r="C599" s="57">
        <v>2025</v>
      </c>
      <c r="D599" s="57" t="s">
        <v>677</v>
      </c>
      <c r="E599" s="57" t="s">
        <v>560</v>
      </c>
      <c r="F599" s="57" t="s">
        <v>549</v>
      </c>
      <c r="G599" s="57" t="s">
        <v>324</v>
      </c>
      <c r="H599" s="57" t="s">
        <v>141</v>
      </c>
      <c r="I599" s="57"/>
      <c r="J599" s="57"/>
      <c r="K599" s="57"/>
      <c r="L599" s="57"/>
      <c r="M599" s="57">
        <v>248.1</v>
      </c>
      <c r="N599" s="57"/>
      <c r="O599" s="57">
        <v>0.2</v>
      </c>
      <c r="P599" s="62">
        <f>RawData[[#This Row],[Value_USD_M]]*RawData[[#This Row],[Share_Est]]</f>
        <v>49.620000000000005</v>
      </c>
      <c r="Q599" s="57"/>
      <c r="R599" s="57"/>
      <c r="S599" s="58"/>
    </row>
    <row r="600" spans="2:19" x14ac:dyDescent="0.3">
      <c r="B600" s="56" t="s">
        <v>675</v>
      </c>
      <c r="C600" s="57">
        <v>2025</v>
      </c>
      <c r="D600" s="57" t="s">
        <v>677</v>
      </c>
      <c r="E600" s="57" t="s">
        <v>560</v>
      </c>
      <c r="F600" s="57" t="s">
        <v>549</v>
      </c>
      <c r="G600" s="57" t="s">
        <v>678</v>
      </c>
      <c r="H600" s="57"/>
      <c r="I600" s="57"/>
      <c r="J600" s="57"/>
      <c r="K600" s="57"/>
      <c r="L600" s="57"/>
      <c r="M600" s="57">
        <v>248.1</v>
      </c>
      <c r="N600" s="57"/>
      <c r="O600" s="57">
        <v>0.25</v>
      </c>
      <c r="P600" s="62">
        <f>RawData[[#This Row],[Value_USD_M]]*RawData[[#This Row],[Share_Est]]</f>
        <v>62.024999999999999</v>
      </c>
      <c r="Q600" s="57"/>
      <c r="R600" s="57"/>
      <c r="S600" s="58"/>
    </row>
    <row r="601" spans="2:19" x14ac:dyDescent="0.3">
      <c r="B601" s="56" t="s">
        <v>675</v>
      </c>
      <c r="C601" s="57">
        <v>2025</v>
      </c>
      <c r="D601" s="57" t="s">
        <v>677</v>
      </c>
      <c r="E601" s="57" t="s">
        <v>560</v>
      </c>
      <c r="F601" s="57" t="s">
        <v>549</v>
      </c>
      <c r="G601" s="57" t="s">
        <v>679</v>
      </c>
      <c r="H601" s="57"/>
      <c r="I601" s="57"/>
      <c r="J601" s="57"/>
      <c r="K601" s="57"/>
      <c r="L601" s="57"/>
      <c r="M601" s="57">
        <v>248.1</v>
      </c>
      <c r="N601" s="57"/>
      <c r="O601" s="57">
        <v>0.25</v>
      </c>
      <c r="P601" s="62">
        <f>RawData[[#This Row],[Value_USD_M]]*RawData[[#This Row],[Share_Est]]</f>
        <v>62.024999999999999</v>
      </c>
      <c r="Q601" s="57"/>
      <c r="R601" s="57"/>
      <c r="S601" s="58"/>
    </row>
    <row r="602" spans="2:19" x14ac:dyDescent="0.3">
      <c r="B602" s="56" t="s">
        <v>675</v>
      </c>
      <c r="C602" s="57">
        <v>2025</v>
      </c>
      <c r="D602" s="57" t="s">
        <v>677</v>
      </c>
      <c r="E602" s="57" t="s">
        <v>560</v>
      </c>
      <c r="F602" s="57" t="s">
        <v>549</v>
      </c>
      <c r="G602" s="57" t="s">
        <v>682</v>
      </c>
      <c r="H602" s="57"/>
      <c r="I602" s="57"/>
      <c r="J602" s="57"/>
      <c r="K602" s="57"/>
      <c r="L602" s="57"/>
      <c r="M602" s="57">
        <v>248.1</v>
      </c>
      <c r="N602" s="57"/>
      <c r="O602" s="57">
        <v>0.15</v>
      </c>
      <c r="P602" s="62">
        <f>RawData[[#This Row],[Value_USD_M]]*RawData[[#This Row],[Share_Est]]</f>
        <v>37.214999999999996</v>
      </c>
      <c r="Q602" s="57"/>
      <c r="R602" s="57"/>
      <c r="S602" s="58"/>
    </row>
    <row r="603" spans="2:19" x14ac:dyDescent="0.3">
      <c r="B603" s="56" t="s">
        <v>675</v>
      </c>
      <c r="C603" s="57">
        <v>2025</v>
      </c>
      <c r="D603" s="57" t="s">
        <v>677</v>
      </c>
      <c r="E603" s="57" t="s">
        <v>560</v>
      </c>
      <c r="F603" s="57" t="s">
        <v>549</v>
      </c>
      <c r="G603" s="57" t="s">
        <v>680</v>
      </c>
      <c r="H603" s="57"/>
      <c r="I603" s="57"/>
      <c r="J603" s="57"/>
      <c r="K603" s="57"/>
      <c r="L603" s="57"/>
      <c r="M603" s="57">
        <v>248.1</v>
      </c>
      <c r="N603" s="57"/>
      <c r="O603" s="57">
        <v>0.1</v>
      </c>
      <c r="P603" s="62">
        <f>RawData[[#This Row],[Value_USD_M]]*RawData[[#This Row],[Share_Est]]</f>
        <v>24.810000000000002</v>
      </c>
      <c r="Q603" s="57"/>
      <c r="R603" s="57"/>
      <c r="S603" s="58"/>
    </row>
    <row r="604" spans="2:19" x14ac:dyDescent="0.3">
      <c r="B604" s="56" t="s">
        <v>675</v>
      </c>
      <c r="C604" s="57">
        <v>2025</v>
      </c>
      <c r="D604" s="57" t="s">
        <v>677</v>
      </c>
      <c r="E604" s="57" t="s">
        <v>560</v>
      </c>
      <c r="F604" s="57" t="s">
        <v>549</v>
      </c>
      <c r="G604" s="57" t="s">
        <v>681</v>
      </c>
      <c r="H604" s="57"/>
      <c r="I604" s="57"/>
      <c r="J604" s="57"/>
      <c r="K604" s="57"/>
      <c r="L604" s="57"/>
      <c r="M604" s="57">
        <v>248.1</v>
      </c>
      <c r="N604" s="57"/>
      <c r="O604" s="57">
        <v>0.05</v>
      </c>
      <c r="P604" s="62">
        <f>RawData[[#This Row],[Value_USD_M]]*RawData[[#This Row],[Share_Est]]</f>
        <v>12.405000000000001</v>
      </c>
      <c r="Q604" s="57"/>
      <c r="R604" s="57"/>
      <c r="S604" s="58"/>
    </row>
    <row r="605" spans="2:19" x14ac:dyDescent="0.3">
      <c r="B605" s="56" t="s">
        <v>675</v>
      </c>
      <c r="C605" s="57">
        <v>2026</v>
      </c>
      <c r="D605" s="57" t="s">
        <v>677</v>
      </c>
      <c r="E605" s="57" t="s">
        <v>560</v>
      </c>
      <c r="F605" s="57" t="s">
        <v>549</v>
      </c>
      <c r="G605" s="57" t="s">
        <v>324</v>
      </c>
      <c r="H605" s="57" t="s">
        <v>141</v>
      </c>
      <c r="I605" s="57"/>
      <c r="J605" s="57"/>
      <c r="K605" s="57"/>
      <c r="L605" s="57"/>
      <c r="M605" s="57">
        <v>264.2</v>
      </c>
      <c r="N605" s="57"/>
      <c r="O605" s="57">
        <v>0.2</v>
      </c>
      <c r="P605" s="62">
        <f>RawData[[#This Row],[Value_USD_M]]*RawData[[#This Row],[Share_Est]]</f>
        <v>52.84</v>
      </c>
      <c r="Q605" s="57"/>
      <c r="R605" s="57"/>
      <c r="S605" s="58"/>
    </row>
    <row r="606" spans="2:19" x14ac:dyDescent="0.3">
      <c r="B606" s="56" t="s">
        <v>675</v>
      </c>
      <c r="C606" s="57">
        <v>2026</v>
      </c>
      <c r="D606" s="57" t="s">
        <v>677</v>
      </c>
      <c r="E606" s="57" t="s">
        <v>560</v>
      </c>
      <c r="F606" s="57" t="s">
        <v>549</v>
      </c>
      <c r="G606" s="57" t="s">
        <v>678</v>
      </c>
      <c r="H606" s="57"/>
      <c r="I606" s="57"/>
      <c r="J606" s="57"/>
      <c r="K606" s="57"/>
      <c r="L606" s="57"/>
      <c r="M606" s="57">
        <v>264.2</v>
      </c>
      <c r="N606" s="57"/>
      <c r="O606" s="57">
        <v>0.25</v>
      </c>
      <c r="P606" s="62">
        <f>RawData[[#This Row],[Value_USD_M]]*RawData[[#This Row],[Share_Est]]</f>
        <v>66.05</v>
      </c>
      <c r="Q606" s="57"/>
      <c r="R606" s="57"/>
      <c r="S606" s="58"/>
    </row>
    <row r="607" spans="2:19" x14ac:dyDescent="0.3">
      <c r="B607" s="56" t="s">
        <v>675</v>
      </c>
      <c r="C607" s="57">
        <v>2026</v>
      </c>
      <c r="D607" s="57" t="s">
        <v>677</v>
      </c>
      <c r="E607" s="57" t="s">
        <v>560</v>
      </c>
      <c r="F607" s="57" t="s">
        <v>549</v>
      </c>
      <c r="G607" s="57" t="s">
        <v>679</v>
      </c>
      <c r="H607" s="57"/>
      <c r="I607" s="57"/>
      <c r="J607" s="57"/>
      <c r="K607" s="57"/>
      <c r="L607" s="57"/>
      <c r="M607" s="57">
        <v>264.2</v>
      </c>
      <c r="N607" s="57"/>
      <c r="O607" s="57">
        <v>0.25</v>
      </c>
      <c r="P607" s="62">
        <f>RawData[[#This Row],[Value_USD_M]]*RawData[[#This Row],[Share_Est]]</f>
        <v>66.05</v>
      </c>
      <c r="Q607" s="57"/>
      <c r="R607" s="57"/>
      <c r="S607" s="58"/>
    </row>
    <row r="608" spans="2:19" x14ac:dyDescent="0.3">
      <c r="B608" s="56" t="s">
        <v>675</v>
      </c>
      <c r="C608" s="57">
        <v>2026</v>
      </c>
      <c r="D608" s="57" t="s">
        <v>677</v>
      </c>
      <c r="E608" s="57" t="s">
        <v>560</v>
      </c>
      <c r="F608" s="57" t="s">
        <v>549</v>
      </c>
      <c r="G608" s="57" t="s">
        <v>682</v>
      </c>
      <c r="H608" s="57"/>
      <c r="I608" s="57"/>
      <c r="J608" s="57"/>
      <c r="K608" s="57"/>
      <c r="L608" s="57"/>
      <c r="M608" s="57">
        <v>264.2</v>
      </c>
      <c r="N608" s="57"/>
      <c r="O608" s="57">
        <v>0.15</v>
      </c>
      <c r="P608" s="62">
        <f>RawData[[#This Row],[Value_USD_M]]*RawData[[#This Row],[Share_Est]]</f>
        <v>39.629999999999995</v>
      </c>
      <c r="Q608" s="57"/>
      <c r="R608" s="57"/>
      <c r="S608" s="58"/>
    </row>
    <row r="609" spans="2:19" x14ac:dyDescent="0.3">
      <c r="B609" s="56" t="s">
        <v>675</v>
      </c>
      <c r="C609" s="57">
        <v>2026</v>
      </c>
      <c r="D609" s="57" t="s">
        <v>677</v>
      </c>
      <c r="E609" s="57" t="s">
        <v>560</v>
      </c>
      <c r="F609" s="57" t="s">
        <v>549</v>
      </c>
      <c r="G609" s="57" t="s">
        <v>680</v>
      </c>
      <c r="H609" s="57"/>
      <c r="I609" s="57"/>
      <c r="J609" s="57"/>
      <c r="K609" s="57"/>
      <c r="L609" s="57"/>
      <c r="M609" s="57">
        <v>264.2</v>
      </c>
      <c r="N609" s="57"/>
      <c r="O609" s="57">
        <v>0.1</v>
      </c>
      <c r="P609" s="62">
        <f>RawData[[#This Row],[Value_USD_M]]*RawData[[#This Row],[Share_Est]]</f>
        <v>26.42</v>
      </c>
      <c r="Q609" s="57"/>
      <c r="R609" s="57"/>
      <c r="S609" s="58"/>
    </row>
    <row r="610" spans="2:19" x14ac:dyDescent="0.3">
      <c r="B610" s="56" t="s">
        <v>675</v>
      </c>
      <c r="C610" s="57">
        <v>2026</v>
      </c>
      <c r="D610" s="57" t="s">
        <v>677</v>
      </c>
      <c r="E610" s="57" t="s">
        <v>560</v>
      </c>
      <c r="F610" s="57" t="s">
        <v>549</v>
      </c>
      <c r="G610" s="57" t="s">
        <v>681</v>
      </c>
      <c r="H610" s="57"/>
      <c r="I610" s="57"/>
      <c r="J610" s="57"/>
      <c r="K610" s="57"/>
      <c r="L610" s="57"/>
      <c r="M610" s="57">
        <v>264.2</v>
      </c>
      <c r="N610" s="57"/>
      <c r="O610" s="57">
        <v>0.05</v>
      </c>
      <c r="P610" s="62">
        <f>RawData[[#This Row],[Value_USD_M]]*RawData[[#This Row],[Share_Est]]</f>
        <v>13.21</v>
      </c>
      <c r="Q610" s="57"/>
      <c r="R610" s="57"/>
      <c r="S610" s="58"/>
    </row>
    <row r="611" spans="2:19" x14ac:dyDescent="0.3">
      <c r="B611" s="56" t="s">
        <v>675</v>
      </c>
      <c r="C611" s="57">
        <v>2024</v>
      </c>
      <c r="D611" s="57" t="s">
        <v>677</v>
      </c>
      <c r="E611" s="57" t="s">
        <v>560</v>
      </c>
      <c r="F611" s="57" t="s">
        <v>548</v>
      </c>
      <c r="G611" s="57" t="s">
        <v>324</v>
      </c>
      <c r="H611" s="57" t="s">
        <v>141</v>
      </c>
      <c r="I611" s="57"/>
      <c r="J611" s="57"/>
      <c r="K611" s="57"/>
      <c r="L611" s="57"/>
      <c r="M611" s="57">
        <v>2812.7</v>
      </c>
      <c r="N611" s="57"/>
      <c r="O611" s="57">
        <v>0.2</v>
      </c>
      <c r="P611" s="62">
        <f>RawData[[#This Row],[Value_USD_M]]*RawData[[#This Row],[Share_Est]]</f>
        <v>562.54</v>
      </c>
      <c r="Q611" s="57"/>
      <c r="R611" s="57"/>
      <c r="S611" s="58"/>
    </row>
    <row r="612" spans="2:19" x14ac:dyDescent="0.3">
      <c r="B612" s="56" t="s">
        <v>675</v>
      </c>
      <c r="C612" s="57">
        <v>2024</v>
      </c>
      <c r="D612" s="57" t="s">
        <v>677</v>
      </c>
      <c r="E612" s="57" t="s">
        <v>560</v>
      </c>
      <c r="F612" s="57" t="s">
        <v>548</v>
      </c>
      <c r="G612" s="57" t="s">
        <v>678</v>
      </c>
      <c r="H612" s="57"/>
      <c r="I612" s="57"/>
      <c r="J612" s="57"/>
      <c r="K612" s="57"/>
      <c r="L612" s="57"/>
      <c r="M612" s="57">
        <v>2812.7</v>
      </c>
      <c r="N612" s="57"/>
      <c r="O612" s="57">
        <v>0.25</v>
      </c>
      <c r="P612" s="62">
        <f>RawData[[#This Row],[Value_USD_M]]*RawData[[#This Row],[Share_Est]]</f>
        <v>703.17499999999995</v>
      </c>
      <c r="Q612" s="57"/>
      <c r="R612" s="57"/>
      <c r="S612" s="58"/>
    </row>
    <row r="613" spans="2:19" x14ac:dyDescent="0.3">
      <c r="B613" s="56" t="s">
        <v>675</v>
      </c>
      <c r="C613" s="57">
        <v>2024</v>
      </c>
      <c r="D613" s="57" t="s">
        <v>677</v>
      </c>
      <c r="E613" s="57" t="s">
        <v>560</v>
      </c>
      <c r="F613" s="57" t="s">
        <v>548</v>
      </c>
      <c r="G613" s="57" t="s">
        <v>679</v>
      </c>
      <c r="H613" s="57"/>
      <c r="I613" s="57"/>
      <c r="J613" s="57"/>
      <c r="K613" s="57"/>
      <c r="L613" s="57"/>
      <c r="M613" s="57">
        <v>2812.7</v>
      </c>
      <c r="N613" s="57"/>
      <c r="O613" s="57">
        <v>0.25</v>
      </c>
      <c r="P613" s="62">
        <f>RawData[[#This Row],[Value_USD_M]]*RawData[[#This Row],[Share_Est]]</f>
        <v>703.17499999999995</v>
      </c>
      <c r="Q613" s="57"/>
      <c r="R613" s="57"/>
      <c r="S613" s="58"/>
    </row>
    <row r="614" spans="2:19" x14ac:dyDescent="0.3">
      <c r="B614" s="56" t="s">
        <v>675</v>
      </c>
      <c r="C614" s="57">
        <v>2024</v>
      </c>
      <c r="D614" s="57" t="s">
        <v>677</v>
      </c>
      <c r="E614" s="57" t="s">
        <v>560</v>
      </c>
      <c r="F614" s="57" t="s">
        <v>548</v>
      </c>
      <c r="G614" s="57" t="s">
        <v>682</v>
      </c>
      <c r="H614" s="57"/>
      <c r="I614" s="57"/>
      <c r="J614" s="57"/>
      <c r="K614" s="57"/>
      <c r="L614" s="57"/>
      <c r="M614" s="57">
        <v>2812.7</v>
      </c>
      <c r="N614" s="57"/>
      <c r="O614" s="57">
        <v>0.15</v>
      </c>
      <c r="P614" s="62">
        <f>RawData[[#This Row],[Value_USD_M]]*RawData[[#This Row],[Share_Est]]</f>
        <v>421.90499999999997</v>
      </c>
      <c r="Q614" s="57"/>
      <c r="R614" s="57"/>
      <c r="S614" s="58"/>
    </row>
    <row r="615" spans="2:19" x14ac:dyDescent="0.3">
      <c r="B615" s="56" t="s">
        <v>675</v>
      </c>
      <c r="C615" s="57">
        <v>2024</v>
      </c>
      <c r="D615" s="57" t="s">
        <v>677</v>
      </c>
      <c r="E615" s="57" t="s">
        <v>560</v>
      </c>
      <c r="F615" s="57" t="s">
        <v>548</v>
      </c>
      <c r="G615" s="57" t="s">
        <v>680</v>
      </c>
      <c r="H615" s="57"/>
      <c r="I615" s="57"/>
      <c r="J615" s="57"/>
      <c r="K615" s="57"/>
      <c r="L615" s="57"/>
      <c r="M615" s="57">
        <v>2812.7</v>
      </c>
      <c r="N615" s="57"/>
      <c r="O615" s="57">
        <v>0.1</v>
      </c>
      <c r="P615" s="62">
        <f>RawData[[#This Row],[Value_USD_M]]*RawData[[#This Row],[Share_Est]]</f>
        <v>281.27</v>
      </c>
      <c r="Q615" s="57"/>
      <c r="R615" s="57"/>
      <c r="S615" s="58"/>
    </row>
    <row r="616" spans="2:19" x14ac:dyDescent="0.3">
      <c r="B616" s="56" t="s">
        <v>675</v>
      </c>
      <c r="C616" s="57">
        <v>2024</v>
      </c>
      <c r="D616" s="57" t="s">
        <v>677</v>
      </c>
      <c r="E616" s="57" t="s">
        <v>560</v>
      </c>
      <c r="F616" s="57" t="s">
        <v>548</v>
      </c>
      <c r="G616" s="57" t="s">
        <v>681</v>
      </c>
      <c r="H616" s="57"/>
      <c r="I616" s="57"/>
      <c r="J616" s="57"/>
      <c r="K616" s="57"/>
      <c r="L616" s="57"/>
      <c r="M616" s="57">
        <v>2812.7</v>
      </c>
      <c r="N616" s="57"/>
      <c r="O616" s="57">
        <v>0.05</v>
      </c>
      <c r="P616" s="62">
        <f>RawData[[#This Row],[Value_USD_M]]*RawData[[#This Row],[Share_Est]]</f>
        <v>140.63499999999999</v>
      </c>
      <c r="Q616" s="57"/>
      <c r="R616" s="57"/>
      <c r="S616" s="58"/>
    </row>
    <row r="617" spans="2:19" x14ac:dyDescent="0.3">
      <c r="B617" s="56" t="s">
        <v>675</v>
      </c>
      <c r="C617" s="57">
        <v>2025</v>
      </c>
      <c r="D617" s="57" t="s">
        <v>677</v>
      </c>
      <c r="E617" s="57" t="s">
        <v>560</v>
      </c>
      <c r="F617" s="57" t="s">
        <v>548</v>
      </c>
      <c r="G617" s="57" t="s">
        <v>324</v>
      </c>
      <c r="H617" s="57" t="s">
        <v>141</v>
      </c>
      <c r="I617" s="57"/>
      <c r="J617" s="57"/>
      <c r="K617" s="57"/>
      <c r="L617" s="57"/>
      <c r="M617" s="57">
        <v>2190.5</v>
      </c>
      <c r="N617" s="57"/>
      <c r="O617" s="57">
        <v>0.2</v>
      </c>
      <c r="P617" s="62">
        <f>RawData[[#This Row],[Value_USD_M]]*RawData[[#This Row],[Share_Est]]</f>
        <v>438.1</v>
      </c>
      <c r="Q617" s="57"/>
      <c r="R617" s="57"/>
      <c r="S617" s="58"/>
    </row>
    <row r="618" spans="2:19" x14ac:dyDescent="0.3">
      <c r="B618" s="56" t="s">
        <v>675</v>
      </c>
      <c r="C618" s="57">
        <v>2025</v>
      </c>
      <c r="D618" s="57" t="s">
        <v>677</v>
      </c>
      <c r="E618" s="57" t="s">
        <v>560</v>
      </c>
      <c r="F618" s="57" t="s">
        <v>548</v>
      </c>
      <c r="G618" s="57" t="s">
        <v>678</v>
      </c>
      <c r="H618" s="57"/>
      <c r="I618" s="57"/>
      <c r="J618" s="57"/>
      <c r="K618" s="57"/>
      <c r="L618" s="57"/>
      <c r="M618" s="57">
        <v>2190.5</v>
      </c>
      <c r="N618" s="57"/>
      <c r="O618" s="57">
        <v>0.25</v>
      </c>
      <c r="P618" s="62">
        <f>RawData[[#This Row],[Value_USD_M]]*RawData[[#This Row],[Share_Est]]</f>
        <v>547.625</v>
      </c>
      <c r="Q618" s="57"/>
      <c r="R618" s="57"/>
      <c r="S618" s="58"/>
    </row>
    <row r="619" spans="2:19" x14ac:dyDescent="0.3">
      <c r="B619" s="56" t="s">
        <v>675</v>
      </c>
      <c r="C619" s="57">
        <v>2025</v>
      </c>
      <c r="D619" s="57" t="s">
        <v>677</v>
      </c>
      <c r="E619" s="57" t="s">
        <v>560</v>
      </c>
      <c r="F619" s="57" t="s">
        <v>548</v>
      </c>
      <c r="G619" s="57" t="s">
        <v>679</v>
      </c>
      <c r="H619" s="57"/>
      <c r="I619" s="57"/>
      <c r="J619" s="57"/>
      <c r="K619" s="57"/>
      <c r="L619" s="57"/>
      <c r="M619" s="57">
        <v>2190.5</v>
      </c>
      <c r="N619" s="57"/>
      <c r="O619" s="57">
        <v>0.25</v>
      </c>
      <c r="P619" s="62">
        <f>RawData[[#This Row],[Value_USD_M]]*RawData[[#This Row],[Share_Est]]</f>
        <v>547.625</v>
      </c>
      <c r="Q619" s="57"/>
      <c r="R619" s="57"/>
      <c r="S619" s="58"/>
    </row>
    <row r="620" spans="2:19" x14ac:dyDescent="0.3">
      <c r="B620" s="56" t="s">
        <v>675</v>
      </c>
      <c r="C620" s="57">
        <v>2025</v>
      </c>
      <c r="D620" s="57" t="s">
        <v>677</v>
      </c>
      <c r="E620" s="57" t="s">
        <v>560</v>
      </c>
      <c r="F620" s="57" t="s">
        <v>548</v>
      </c>
      <c r="G620" s="57" t="s">
        <v>682</v>
      </c>
      <c r="H620" s="57"/>
      <c r="I620" s="57"/>
      <c r="J620" s="57"/>
      <c r="K620" s="57"/>
      <c r="L620" s="57"/>
      <c r="M620" s="57">
        <v>2190.5</v>
      </c>
      <c r="N620" s="57"/>
      <c r="O620" s="57">
        <v>0.15</v>
      </c>
      <c r="P620" s="62">
        <f>RawData[[#This Row],[Value_USD_M]]*RawData[[#This Row],[Share_Est]]</f>
        <v>328.57499999999999</v>
      </c>
      <c r="Q620" s="57"/>
      <c r="R620" s="57"/>
      <c r="S620" s="58"/>
    </row>
    <row r="621" spans="2:19" x14ac:dyDescent="0.3">
      <c r="B621" s="56" t="s">
        <v>675</v>
      </c>
      <c r="C621" s="57">
        <v>2025</v>
      </c>
      <c r="D621" s="57" t="s">
        <v>677</v>
      </c>
      <c r="E621" s="57" t="s">
        <v>560</v>
      </c>
      <c r="F621" s="57" t="s">
        <v>548</v>
      </c>
      <c r="G621" s="57" t="s">
        <v>680</v>
      </c>
      <c r="H621" s="57"/>
      <c r="I621" s="57"/>
      <c r="J621" s="57"/>
      <c r="K621" s="57"/>
      <c r="L621" s="57"/>
      <c r="M621" s="57">
        <v>2190.5</v>
      </c>
      <c r="N621" s="57"/>
      <c r="O621" s="57">
        <v>0.1</v>
      </c>
      <c r="P621" s="62">
        <f>RawData[[#This Row],[Value_USD_M]]*RawData[[#This Row],[Share_Est]]</f>
        <v>219.05</v>
      </c>
      <c r="Q621" s="57"/>
      <c r="R621" s="57"/>
      <c r="S621" s="58"/>
    </row>
    <row r="622" spans="2:19" x14ac:dyDescent="0.3">
      <c r="B622" s="56" t="s">
        <v>675</v>
      </c>
      <c r="C622" s="57">
        <v>2025</v>
      </c>
      <c r="D622" s="57" t="s">
        <v>677</v>
      </c>
      <c r="E622" s="57" t="s">
        <v>560</v>
      </c>
      <c r="F622" s="57" t="s">
        <v>548</v>
      </c>
      <c r="G622" s="57" t="s">
        <v>681</v>
      </c>
      <c r="H622" s="57"/>
      <c r="I622" s="57"/>
      <c r="J622" s="57"/>
      <c r="K622" s="57"/>
      <c r="L622" s="57"/>
      <c r="M622" s="57">
        <v>2190.5</v>
      </c>
      <c r="N622" s="57"/>
      <c r="O622" s="57">
        <v>0.05</v>
      </c>
      <c r="P622" s="62">
        <f>RawData[[#This Row],[Value_USD_M]]*RawData[[#This Row],[Share_Est]]</f>
        <v>109.52500000000001</v>
      </c>
      <c r="Q622" s="57"/>
      <c r="R622" s="57"/>
      <c r="S622" s="58"/>
    </row>
    <row r="623" spans="2:19" x14ac:dyDescent="0.3">
      <c r="B623" s="56" t="s">
        <v>675</v>
      </c>
      <c r="C623" s="57">
        <v>2026</v>
      </c>
      <c r="D623" s="57" t="s">
        <v>677</v>
      </c>
      <c r="E623" s="57" t="s">
        <v>560</v>
      </c>
      <c r="F623" s="57" t="s">
        <v>548</v>
      </c>
      <c r="G623" s="57" t="s">
        <v>324</v>
      </c>
      <c r="H623" s="57" t="s">
        <v>141</v>
      </c>
      <c r="I623" s="57"/>
      <c r="J623" s="57"/>
      <c r="K623" s="57"/>
      <c r="L623" s="57"/>
      <c r="M623" s="57">
        <v>2185.6999999999998</v>
      </c>
      <c r="N623" s="57"/>
      <c r="O623" s="57">
        <v>0.2</v>
      </c>
      <c r="P623" s="62">
        <f>RawData[[#This Row],[Value_USD_M]]*RawData[[#This Row],[Share_Est]]</f>
        <v>437.14</v>
      </c>
      <c r="Q623" s="57"/>
      <c r="R623" s="57"/>
      <c r="S623" s="58"/>
    </row>
    <row r="624" spans="2:19" x14ac:dyDescent="0.3">
      <c r="B624" s="56" t="s">
        <v>675</v>
      </c>
      <c r="C624" s="57">
        <v>2026</v>
      </c>
      <c r="D624" s="57" t="s">
        <v>677</v>
      </c>
      <c r="E624" s="57" t="s">
        <v>560</v>
      </c>
      <c r="F624" s="57" t="s">
        <v>548</v>
      </c>
      <c r="G624" s="57" t="s">
        <v>678</v>
      </c>
      <c r="H624" s="57"/>
      <c r="L624" s="57"/>
      <c r="M624" s="57">
        <v>2185.6999999999998</v>
      </c>
      <c r="O624" s="57">
        <v>0.25</v>
      </c>
      <c r="P624" s="61">
        <f>RawData[[#This Row],[Value_USD_M]]*RawData[[#This Row],[Share_Est]]</f>
        <v>546.42499999999995</v>
      </c>
      <c r="S624" s="52"/>
    </row>
    <row r="625" spans="2:19" x14ac:dyDescent="0.3">
      <c r="B625" s="56" t="s">
        <v>675</v>
      </c>
      <c r="C625" s="57">
        <v>2026</v>
      </c>
      <c r="D625" s="57" t="s">
        <v>677</v>
      </c>
      <c r="E625" s="57" t="s">
        <v>560</v>
      </c>
      <c r="F625" s="57" t="s">
        <v>548</v>
      </c>
      <c r="G625" s="57" t="s">
        <v>679</v>
      </c>
      <c r="H625" s="57"/>
      <c r="L625" s="57"/>
      <c r="M625" s="57">
        <v>2185.6999999999998</v>
      </c>
      <c r="O625" s="57">
        <v>0.25</v>
      </c>
      <c r="P625" s="61">
        <f>RawData[[#This Row],[Value_USD_M]]*RawData[[#This Row],[Share_Est]]</f>
        <v>546.42499999999995</v>
      </c>
      <c r="S625" s="52"/>
    </row>
    <row r="626" spans="2:19" x14ac:dyDescent="0.3">
      <c r="B626" s="56" t="s">
        <v>675</v>
      </c>
      <c r="C626" s="57">
        <v>2026</v>
      </c>
      <c r="D626" s="57" t="s">
        <v>677</v>
      </c>
      <c r="E626" s="57" t="s">
        <v>560</v>
      </c>
      <c r="F626" s="57" t="s">
        <v>548</v>
      </c>
      <c r="G626" s="57" t="s">
        <v>682</v>
      </c>
      <c r="H626" s="57"/>
      <c r="L626" s="57"/>
      <c r="M626" s="57">
        <v>2185.6999999999998</v>
      </c>
      <c r="O626" s="57">
        <v>0.15</v>
      </c>
      <c r="P626" s="61">
        <f>RawData[[#This Row],[Value_USD_M]]*RawData[[#This Row],[Share_Est]]</f>
        <v>327.85499999999996</v>
      </c>
      <c r="S626" s="52"/>
    </row>
    <row r="627" spans="2:19" x14ac:dyDescent="0.3">
      <c r="B627" s="56" t="s">
        <v>675</v>
      </c>
      <c r="C627" s="57">
        <v>2026</v>
      </c>
      <c r="D627" s="57" t="s">
        <v>677</v>
      </c>
      <c r="E627" s="57" t="s">
        <v>560</v>
      </c>
      <c r="F627" s="57" t="s">
        <v>548</v>
      </c>
      <c r="G627" s="57" t="s">
        <v>680</v>
      </c>
      <c r="H627" s="57"/>
      <c r="L627" s="57"/>
      <c r="M627" s="57">
        <v>2185.6999999999998</v>
      </c>
      <c r="O627" s="57">
        <v>0.1</v>
      </c>
      <c r="P627" s="61">
        <f>RawData[[#This Row],[Value_USD_M]]*RawData[[#This Row],[Share_Est]]</f>
        <v>218.57</v>
      </c>
      <c r="S627" s="52"/>
    </row>
    <row r="628" spans="2:19" x14ac:dyDescent="0.3">
      <c r="B628" s="56" t="s">
        <v>675</v>
      </c>
      <c r="C628" s="57">
        <v>2026</v>
      </c>
      <c r="D628" s="57" t="s">
        <v>677</v>
      </c>
      <c r="E628" s="57" t="s">
        <v>560</v>
      </c>
      <c r="F628" s="57" t="s">
        <v>548</v>
      </c>
      <c r="G628" s="57" t="s">
        <v>681</v>
      </c>
      <c r="H628" s="57"/>
      <c r="L628" s="57"/>
      <c r="M628" s="57">
        <v>2185.6999999999998</v>
      </c>
      <c r="O628" s="57">
        <v>0.05</v>
      </c>
      <c r="P628" s="61">
        <f>RawData[[#This Row],[Value_USD_M]]*RawData[[#This Row],[Share_Est]]</f>
        <v>109.285</v>
      </c>
      <c r="S628" s="52"/>
    </row>
    <row r="629" spans="2:19" x14ac:dyDescent="0.3">
      <c r="B629" s="56" t="s">
        <v>683</v>
      </c>
      <c r="C629" s="57">
        <v>2024</v>
      </c>
      <c r="D629" s="57" t="s">
        <v>677</v>
      </c>
      <c r="E629" s="57" t="s">
        <v>560</v>
      </c>
      <c r="F629" s="57" t="s">
        <v>549</v>
      </c>
      <c r="G629" s="57" t="s">
        <v>326</v>
      </c>
      <c r="H629" s="57" t="s">
        <v>141</v>
      </c>
      <c r="I629" s="57"/>
      <c r="J629" s="57"/>
      <c r="K629" s="57"/>
      <c r="L629" s="57"/>
      <c r="M629" s="57">
        <v>4756.1000000000004</v>
      </c>
      <c r="N629" s="57"/>
      <c r="O629" s="57">
        <v>0.55000000000000004</v>
      </c>
      <c r="P629" s="62">
        <f>RawData[[#This Row],[Value_USD_M]]*RawData[[#This Row],[Share_Est]]</f>
        <v>2615.8550000000005</v>
      </c>
      <c r="Q629" s="57"/>
      <c r="R629" s="57"/>
      <c r="S629" s="58"/>
    </row>
    <row r="630" spans="2:19" x14ac:dyDescent="0.3">
      <c r="B630" s="56" t="s">
        <v>683</v>
      </c>
      <c r="C630" s="57">
        <v>2024</v>
      </c>
      <c r="D630" s="57" t="s">
        <v>677</v>
      </c>
      <c r="E630" s="57" t="s">
        <v>560</v>
      </c>
      <c r="F630" s="57" t="s">
        <v>549</v>
      </c>
      <c r="G630" s="57" t="s">
        <v>324</v>
      </c>
      <c r="H630" s="57" t="s">
        <v>141</v>
      </c>
      <c r="I630" s="57"/>
      <c r="J630" s="57"/>
      <c r="K630" s="57"/>
      <c r="L630" s="57"/>
      <c r="M630" s="57">
        <v>4756.1000000000004</v>
      </c>
      <c r="N630" s="57"/>
      <c r="O630" s="57">
        <v>0.3</v>
      </c>
      <c r="P630" s="62">
        <f>RawData[[#This Row],[Value_USD_M]]*RawData[[#This Row],[Share_Est]]</f>
        <v>1426.8300000000002</v>
      </c>
      <c r="Q630" s="57"/>
      <c r="R630" s="57"/>
      <c r="S630" s="58"/>
    </row>
    <row r="631" spans="2:19" x14ac:dyDescent="0.3">
      <c r="B631" s="56" t="s">
        <v>683</v>
      </c>
      <c r="C631" s="57">
        <v>2024</v>
      </c>
      <c r="D631" s="57" t="s">
        <v>677</v>
      </c>
      <c r="E631" s="57" t="s">
        <v>560</v>
      </c>
      <c r="F631" s="57" t="s">
        <v>549</v>
      </c>
      <c r="G631" s="57" t="s">
        <v>325</v>
      </c>
      <c r="H631" s="57" t="s">
        <v>23</v>
      </c>
      <c r="I631" s="57"/>
      <c r="J631" s="57"/>
      <c r="K631" s="57"/>
      <c r="L631" s="57"/>
      <c r="M631" s="57">
        <v>4756.1000000000004</v>
      </c>
      <c r="N631" s="57"/>
      <c r="O631" s="57">
        <v>0.1</v>
      </c>
      <c r="P631" s="62">
        <f>RawData[[#This Row],[Value_USD_M]]*RawData[[#This Row],[Share_Est]]</f>
        <v>475.61000000000007</v>
      </c>
      <c r="Q631" s="57"/>
      <c r="R631" s="57"/>
      <c r="S631" s="58"/>
    </row>
    <row r="632" spans="2:19" x14ac:dyDescent="0.3">
      <c r="B632" s="56" t="s">
        <v>683</v>
      </c>
      <c r="C632" s="57">
        <v>2024</v>
      </c>
      <c r="D632" s="57" t="s">
        <v>677</v>
      </c>
      <c r="E632" s="57" t="s">
        <v>560</v>
      </c>
      <c r="F632" s="57" t="s">
        <v>549</v>
      </c>
      <c r="G632" s="57" t="s">
        <v>381</v>
      </c>
      <c r="H632" s="57" t="s">
        <v>585</v>
      </c>
      <c r="I632" s="57"/>
      <c r="J632" s="57"/>
      <c r="K632" s="57"/>
      <c r="L632" s="57"/>
      <c r="M632" s="57">
        <v>4756.1000000000004</v>
      </c>
      <c r="N632" s="57"/>
      <c r="O632" s="57">
        <v>0.05</v>
      </c>
      <c r="P632" s="62">
        <f>RawData[[#This Row],[Value_USD_M]]*RawData[[#This Row],[Share_Est]]</f>
        <v>237.80500000000004</v>
      </c>
      <c r="Q632" s="57"/>
      <c r="R632" s="57"/>
      <c r="S632" s="58"/>
    </row>
    <row r="633" spans="2:19" x14ac:dyDescent="0.3">
      <c r="B633" s="56" t="s">
        <v>683</v>
      </c>
      <c r="C633" s="57">
        <v>2025</v>
      </c>
      <c r="D633" s="57" t="s">
        <v>677</v>
      </c>
      <c r="E633" s="57" t="s">
        <v>560</v>
      </c>
      <c r="F633" s="57" t="s">
        <v>549</v>
      </c>
      <c r="G633" s="57" t="s">
        <v>326</v>
      </c>
      <c r="H633" s="57" t="s">
        <v>141</v>
      </c>
      <c r="I633" s="57"/>
      <c r="J633" s="57"/>
      <c r="K633" s="57"/>
      <c r="L633" s="57"/>
      <c r="M633" s="57">
        <v>4701.3</v>
      </c>
      <c r="N633" s="57"/>
      <c r="O633" s="57">
        <v>0.55000000000000004</v>
      </c>
      <c r="P633" s="62">
        <f>RawData[[#This Row],[Value_USD_M]]*RawData[[#This Row],[Share_Est]]</f>
        <v>2585.7150000000001</v>
      </c>
      <c r="Q633" s="57"/>
      <c r="R633" s="57"/>
      <c r="S633" s="58"/>
    </row>
    <row r="634" spans="2:19" x14ac:dyDescent="0.3">
      <c r="B634" s="56" t="s">
        <v>683</v>
      </c>
      <c r="C634" s="57">
        <v>2025</v>
      </c>
      <c r="D634" s="57" t="s">
        <v>677</v>
      </c>
      <c r="E634" s="57" t="s">
        <v>560</v>
      </c>
      <c r="F634" s="57" t="s">
        <v>549</v>
      </c>
      <c r="G634" s="57" t="s">
        <v>324</v>
      </c>
      <c r="H634" s="57" t="s">
        <v>141</v>
      </c>
      <c r="I634" s="57"/>
      <c r="J634" s="57"/>
      <c r="K634" s="57"/>
      <c r="L634" s="57"/>
      <c r="M634" s="57">
        <v>4701.3</v>
      </c>
      <c r="N634" s="57"/>
      <c r="O634" s="57">
        <v>0.3</v>
      </c>
      <c r="P634" s="62">
        <f>RawData[[#This Row],[Value_USD_M]]*RawData[[#This Row],[Share_Est]]</f>
        <v>1410.39</v>
      </c>
      <c r="Q634" s="57"/>
      <c r="R634" s="57"/>
      <c r="S634" s="58"/>
    </row>
    <row r="635" spans="2:19" x14ac:dyDescent="0.3">
      <c r="B635" s="56" t="s">
        <v>683</v>
      </c>
      <c r="C635" s="57">
        <v>2025</v>
      </c>
      <c r="D635" s="57" t="s">
        <v>677</v>
      </c>
      <c r="E635" s="57" t="s">
        <v>560</v>
      </c>
      <c r="F635" s="57" t="s">
        <v>549</v>
      </c>
      <c r="G635" s="57" t="s">
        <v>325</v>
      </c>
      <c r="H635" s="57" t="s">
        <v>23</v>
      </c>
      <c r="I635" s="57"/>
      <c r="J635" s="57"/>
      <c r="K635" s="57"/>
      <c r="L635" s="57"/>
      <c r="M635" s="57">
        <v>4701.3</v>
      </c>
      <c r="N635" s="57"/>
      <c r="O635" s="57">
        <v>0.1</v>
      </c>
      <c r="P635" s="62">
        <f>RawData[[#This Row],[Value_USD_M]]*RawData[[#This Row],[Share_Est]]</f>
        <v>470.13000000000005</v>
      </c>
      <c r="Q635" s="57"/>
      <c r="R635" s="57"/>
      <c r="S635" s="58"/>
    </row>
    <row r="636" spans="2:19" x14ac:dyDescent="0.3">
      <c r="B636" s="56" t="s">
        <v>683</v>
      </c>
      <c r="C636" s="57">
        <v>2025</v>
      </c>
      <c r="D636" s="57" t="s">
        <v>677</v>
      </c>
      <c r="E636" s="57" t="s">
        <v>560</v>
      </c>
      <c r="F636" s="57" t="s">
        <v>549</v>
      </c>
      <c r="G636" s="57" t="s">
        <v>381</v>
      </c>
      <c r="H636" s="57" t="s">
        <v>585</v>
      </c>
      <c r="I636" s="57"/>
      <c r="J636" s="57"/>
      <c r="K636" s="57"/>
      <c r="L636" s="57"/>
      <c r="M636" s="57">
        <v>4701.3</v>
      </c>
      <c r="N636" s="57"/>
      <c r="O636" s="57">
        <v>0.05</v>
      </c>
      <c r="P636" s="62">
        <f>RawData[[#This Row],[Value_USD_M]]*RawData[[#This Row],[Share_Est]]</f>
        <v>235.06500000000003</v>
      </c>
      <c r="Q636" s="57"/>
      <c r="R636" s="57"/>
      <c r="S636" s="58"/>
    </row>
    <row r="637" spans="2:19" x14ac:dyDescent="0.3">
      <c r="B637" s="56" t="s">
        <v>683</v>
      </c>
      <c r="C637" s="57">
        <v>2026</v>
      </c>
      <c r="D637" s="57" t="s">
        <v>677</v>
      </c>
      <c r="E637" s="57" t="s">
        <v>560</v>
      </c>
      <c r="F637" s="57" t="s">
        <v>549</v>
      </c>
      <c r="G637" s="57" t="s">
        <v>326</v>
      </c>
      <c r="H637" s="57" t="s">
        <v>141</v>
      </c>
      <c r="I637" s="57"/>
      <c r="J637" s="57"/>
      <c r="K637" s="57"/>
      <c r="L637" s="57"/>
      <c r="M637" s="57">
        <v>12958.8</v>
      </c>
      <c r="N637" s="57"/>
      <c r="O637" s="57">
        <v>0.55000000000000004</v>
      </c>
      <c r="P637" s="62">
        <f>RawData[[#This Row],[Value_USD_M]]*RawData[[#This Row],[Share_Est]]</f>
        <v>7127.34</v>
      </c>
      <c r="Q637" s="57"/>
      <c r="R637" s="57"/>
      <c r="S637" s="58"/>
    </row>
    <row r="638" spans="2:19" x14ac:dyDescent="0.3">
      <c r="B638" s="56" t="s">
        <v>683</v>
      </c>
      <c r="C638" s="57">
        <v>2026</v>
      </c>
      <c r="D638" s="57" t="s">
        <v>677</v>
      </c>
      <c r="E638" s="57" t="s">
        <v>560</v>
      </c>
      <c r="F638" s="57" t="s">
        <v>549</v>
      </c>
      <c r="G638" s="57" t="s">
        <v>324</v>
      </c>
      <c r="H638" s="57" t="s">
        <v>141</v>
      </c>
      <c r="I638" s="57"/>
      <c r="J638" s="57"/>
      <c r="K638" s="57"/>
      <c r="L638" s="57"/>
      <c r="M638" s="57">
        <v>12958.8</v>
      </c>
      <c r="N638" s="57"/>
      <c r="O638" s="57">
        <v>0.3</v>
      </c>
      <c r="P638" s="62">
        <f>RawData[[#This Row],[Value_USD_M]]*RawData[[#This Row],[Share_Est]]</f>
        <v>3887.6399999999994</v>
      </c>
      <c r="Q638" s="57"/>
      <c r="R638" s="57"/>
      <c r="S638" s="58"/>
    </row>
    <row r="639" spans="2:19" x14ac:dyDescent="0.3">
      <c r="B639" s="56" t="s">
        <v>683</v>
      </c>
      <c r="C639" s="57">
        <v>2026</v>
      </c>
      <c r="D639" s="57" t="s">
        <v>677</v>
      </c>
      <c r="E639" s="57" t="s">
        <v>560</v>
      </c>
      <c r="F639" s="57" t="s">
        <v>549</v>
      </c>
      <c r="G639" s="57" t="s">
        <v>325</v>
      </c>
      <c r="H639" s="57" t="s">
        <v>23</v>
      </c>
      <c r="I639" s="57"/>
      <c r="J639" s="57"/>
      <c r="K639" s="57"/>
      <c r="L639" s="57"/>
      <c r="M639" s="57">
        <v>12958.8</v>
      </c>
      <c r="N639" s="57"/>
      <c r="O639" s="57">
        <v>0.1</v>
      </c>
      <c r="P639" s="62">
        <f>RawData[[#This Row],[Value_USD_M]]*RawData[[#This Row],[Share_Est]]</f>
        <v>1295.8800000000001</v>
      </c>
      <c r="Q639" s="57"/>
      <c r="R639" s="57"/>
      <c r="S639" s="58"/>
    </row>
    <row r="640" spans="2:19" x14ac:dyDescent="0.3">
      <c r="B640" s="56" t="s">
        <v>683</v>
      </c>
      <c r="C640" s="57">
        <v>2026</v>
      </c>
      <c r="D640" s="57" t="s">
        <v>677</v>
      </c>
      <c r="E640" s="57" t="s">
        <v>560</v>
      </c>
      <c r="F640" s="57" t="s">
        <v>549</v>
      </c>
      <c r="G640" s="57" t="s">
        <v>381</v>
      </c>
      <c r="H640" s="57" t="s">
        <v>585</v>
      </c>
      <c r="I640" s="57"/>
      <c r="J640" s="57"/>
      <c r="K640" s="57"/>
      <c r="L640" s="57"/>
      <c r="M640" s="57">
        <v>12958.8</v>
      </c>
      <c r="N640" s="57"/>
      <c r="O640" s="57">
        <v>0.05</v>
      </c>
      <c r="P640" s="62">
        <f>RawData[[#This Row],[Value_USD_M]]*RawData[[#This Row],[Share_Est]]</f>
        <v>647.94000000000005</v>
      </c>
      <c r="Q640" s="57"/>
      <c r="R640" s="57"/>
      <c r="S640" s="58"/>
    </row>
    <row r="641" spans="2:19" x14ac:dyDescent="0.3">
      <c r="B641" s="56" t="s">
        <v>683</v>
      </c>
      <c r="C641" s="57">
        <v>2024</v>
      </c>
      <c r="D641" s="57" t="s">
        <v>677</v>
      </c>
      <c r="E641" s="57" t="s">
        <v>560</v>
      </c>
      <c r="F641" s="57" t="s">
        <v>548</v>
      </c>
      <c r="G641" s="57" t="s">
        <v>326</v>
      </c>
      <c r="H641" s="57" t="s">
        <v>141</v>
      </c>
      <c r="I641" s="57"/>
      <c r="J641" s="57"/>
      <c r="K641" s="57"/>
      <c r="L641" s="57"/>
      <c r="M641" s="57">
        <v>124.6</v>
      </c>
      <c r="N641" s="57"/>
      <c r="O641" s="57">
        <v>0.55000000000000004</v>
      </c>
      <c r="P641" s="62">
        <f>RawData[[#This Row],[Value_USD_M]]*RawData[[#This Row],[Share_Est]]</f>
        <v>68.53</v>
      </c>
      <c r="Q641" s="57"/>
      <c r="R641" s="57"/>
      <c r="S641" s="58"/>
    </row>
    <row r="642" spans="2:19" x14ac:dyDescent="0.3">
      <c r="B642" s="56" t="s">
        <v>683</v>
      </c>
      <c r="C642" s="57">
        <v>2024</v>
      </c>
      <c r="D642" s="57" t="s">
        <v>677</v>
      </c>
      <c r="E642" s="57" t="s">
        <v>560</v>
      </c>
      <c r="F642" s="57" t="s">
        <v>548</v>
      </c>
      <c r="G642" s="57" t="s">
        <v>324</v>
      </c>
      <c r="H642" s="57" t="s">
        <v>141</v>
      </c>
      <c r="I642" s="57"/>
      <c r="J642" s="57"/>
      <c r="K642" s="57"/>
      <c r="L642" s="57"/>
      <c r="M642" s="57">
        <v>124.6</v>
      </c>
      <c r="N642" s="57"/>
      <c r="O642" s="57">
        <v>0.3</v>
      </c>
      <c r="P642" s="62">
        <f>RawData[[#This Row],[Value_USD_M]]*RawData[[#This Row],[Share_Est]]</f>
        <v>37.379999999999995</v>
      </c>
      <c r="Q642" s="57"/>
      <c r="R642" s="57"/>
      <c r="S642" s="58"/>
    </row>
    <row r="643" spans="2:19" x14ac:dyDescent="0.3">
      <c r="B643" s="56" t="s">
        <v>683</v>
      </c>
      <c r="C643" s="57">
        <v>2024</v>
      </c>
      <c r="D643" s="57" t="s">
        <v>677</v>
      </c>
      <c r="E643" s="57" t="s">
        <v>560</v>
      </c>
      <c r="F643" s="57" t="s">
        <v>548</v>
      </c>
      <c r="G643" s="57" t="s">
        <v>325</v>
      </c>
      <c r="H643" s="57" t="s">
        <v>23</v>
      </c>
      <c r="I643" s="57"/>
      <c r="J643" s="57"/>
      <c r="K643" s="57"/>
      <c r="L643" s="57"/>
      <c r="M643" s="57">
        <v>124.6</v>
      </c>
      <c r="N643" s="57"/>
      <c r="O643" s="57">
        <v>0.1</v>
      </c>
      <c r="P643" s="62">
        <f>RawData[[#This Row],[Value_USD_M]]*RawData[[#This Row],[Share_Est]]</f>
        <v>12.46</v>
      </c>
      <c r="Q643" s="57"/>
      <c r="R643" s="57"/>
      <c r="S643" s="58"/>
    </row>
    <row r="644" spans="2:19" x14ac:dyDescent="0.3">
      <c r="B644" s="56" t="s">
        <v>683</v>
      </c>
      <c r="C644" s="57">
        <v>2024</v>
      </c>
      <c r="D644" s="57" t="s">
        <v>677</v>
      </c>
      <c r="E644" s="57" t="s">
        <v>560</v>
      </c>
      <c r="F644" s="57" t="s">
        <v>548</v>
      </c>
      <c r="G644" s="57" t="s">
        <v>381</v>
      </c>
      <c r="H644" s="57" t="s">
        <v>585</v>
      </c>
      <c r="I644" s="57"/>
      <c r="J644" s="57"/>
      <c r="K644" s="57"/>
      <c r="L644" s="57"/>
      <c r="M644" s="57">
        <v>124.6</v>
      </c>
      <c r="N644" s="57"/>
      <c r="O644" s="57">
        <v>0.05</v>
      </c>
      <c r="P644" s="62">
        <f>RawData[[#This Row],[Value_USD_M]]*RawData[[#This Row],[Share_Est]]</f>
        <v>6.23</v>
      </c>
      <c r="Q644" s="57"/>
      <c r="R644" s="57"/>
      <c r="S644" s="58"/>
    </row>
    <row r="645" spans="2:19" x14ac:dyDescent="0.3">
      <c r="B645" s="56" t="s">
        <v>683</v>
      </c>
      <c r="C645" s="57">
        <v>2026</v>
      </c>
      <c r="D645" s="57" t="s">
        <v>677</v>
      </c>
      <c r="E645" s="57" t="s">
        <v>560</v>
      </c>
      <c r="F645" s="57" t="s">
        <v>548</v>
      </c>
      <c r="G645" s="57" t="s">
        <v>326</v>
      </c>
      <c r="H645" s="57" t="s">
        <v>141</v>
      </c>
      <c r="I645" s="57"/>
      <c r="J645" s="57"/>
      <c r="K645" s="57"/>
      <c r="L645" s="57"/>
      <c r="M645" s="57">
        <v>8</v>
      </c>
      <c r="N645" s="57"/>
      <c r="O645" s="57">
        <v>0.55000000000000004</v>
      </c>
      <c r="P645" s="62">
        <f>RawData[[#This Row],[Value_USD_M]]*RawData[[#This Row],[Share_Est]]</f>
        <v>4.4000000000000004</v>
      </c>
      <c r="Q645" s="57"/>
      <c r="R645" s="57"/>
      <c r="S645" s="58"/>
    </row>
    <row r="646" spans="2:19" x14ac:dyDescent="0.3">
      <c r="B646" s="56" t="s">
        <v>683</v>
      </c>
      <c r="C646" s="46">
        <v>2026</v>
      </c>
      <c r="D646" s="57" t="s">
        <v>677</v>
      </c>
      <c r="E646" s="57" t="s">
        <v>560</v>
      </c>
      <c r="F646" s="57" t="s">
        <v>548</v>
      </c>
      <c r="G646" s="57" t="s">
        <v>324</v>
      </c>
      <c r="H646" s="57" t="s">
        <v>141</v>
      </c>
      <c r="L646" s="57"/>
      <c r="M646" s="57">
        <v>8</v>
      </c>
      <c r="O646" s="57">
        <v>0.3</v>
      </c>
      <c r="P646" s="61">
        <f>RawData[[#This Row],[Value_USD_M]]*RawData[[#This Row],[Share_Est]]</f>
        <v>2.4</v>
      </c>
      <c r="S646" s="52"/>
    </row>
    <row r="647" spans="2:19" x14ac:dyDescent="0.3">
      <c r="B647" s="56" t="s">
        <v>683</v>
      </c>
      <c r="C647" s="46">
        <v>2026</v>
      </c>
      <c r="D647" s="57" t="s">
        <v>677</v>
      </c>
      <c r="E647" s="57" t="s">
        <v>560</v>
      </c>
      <c r="F647" s="57" t="s">
        <v>548</v>
      </c>
      <c r="G647" s="57" t="s">
        <v>325</v>
      </c>
      <c r="H647" s="57" t="s">
        <v>23</v>
      </c>
      <c r="L647" s="57"/>
      <c r="M647" s="57">
        <v>8</v>
      </c>
      <c r="O647" s="57">
        <v>0.1</v>
      </c>
      <c r="P647" s="61">
        <f>RawData[[#This Row],[Value_USD_M]]*RawData[[#This Row],[Share_Est]]</f>
        <v>0.8</v>
      </c>
      <c r="S647" s="52"/>
    </row>
    <row r="648" spans="2:19" x14ac:dyDescent="0.3">
      <c r="B648" s="56" t="s">
        <v>683</v>
      </c>
      <c r="C648" s="46">
        <v>2026</v>
      </c>
      <c r="D648" s="57" t="s">
        <v>677</v>
      </c>
      <c r="E648" s="57" t="s">
        <v>560</v>
      </c>
      <c r="F648" s="57" t="s">
        <v>548</v>
      </c>
      <c r="G648" s="57" t="s">
        <v>381</v>
      </c>
      <c r="H648" s="57" t="s">
        <v>585</v>
      </c>
      <c r="L648" s="57"/>
      <c r="M648" s="57">
        <v>8</v>
      </c>
      <c r="O648" s="57">
        <v>0.05</v>
      </c>
      <c r="P648" s="61">
        <f>RawData[[#This Row],[Value_USD_M]]*RawData[[#This Row],[Share_Est]]</f>
        <v>0.4</v>
      </c>
      <c r="S648" s="52"/>
    </row>
    <row r="649" spans="2:19" x14ac:dyDescent="0.3">
      <c r="B649" s="56" t="s">
        <v>311</v>
      </c>
      <c r="C649" s="57">
        <v>2024</v>
      </c>
      <c r="D649" s="57" t="s">
        <v>677</v>
      </c>
      <c r="E649" s="57" t="s">
        <v>560</v>
      </c>
      <c r="F649" s="57" t="s">
        <v>549</v>
      </c>
      <c r="G649" s="57" t="s">
        <v>337</v>
      </c>
      <c r="H649" s="57" t="s">
        <v>553</v>
      </c>
      <c r="I649" s="57"/>
      <c r="J649" s="57"/>
      <c r="K649" s="57"/>
      <c r="L649" s="57"/>
      <c r="M649" s="57">
        <v>3569.7</v>
      </c>
      <c r="N649" s="57"/>
      <c r="O649" s="57">
        <v>0.35</v>
      </c>
      <c r="P649" s="62">
        <f>RawData[[#This Row],[Value_USD_M]]*RawData[[#This Row],[Share_Est]]</f>
        <v>1249.3949999999998</v>
      </c>
      <c r="Q649" s="57"/>
      <c r="R649" s="57"/>
      <c r="S649" s="58"/>
    </row>
    <row r="650" spans="2:19" x14ac:dyDescent="0.3">
      <c r="B650" s="56" t="s">
        <v>311</v>
      </c>
      <c r="C650" s="57">
        <v>2024</v>
      </c>
      <c r="D650" s="57" t="s">
        <v>677</v>
      </c>
      <c r="E650" s="57" t="s">
        <v>560</v>
      </c>
      <c r="F650" s="57" t="s">
        <v>549</v>
      </c>
      <c r="G650" s="57" t="s">
        <v>324</v>
      </c>
      <c r="H650" s="57" t="s">
        <v>141</v>
      </c>
      <c r="I650" s="57"/>
      <c r="J650" s="57"/>
      <c r="K650" s="57"/>
      <c r="L650" s="57"/>
      <c r="M650" s="57">
        <v>3569.7</v>
      </c>
      <c r="N650" s="57"/>
      <c r="O650" s="57">
        <v>0.35</v>
      </c>
      <c r="P650" s="62">
        <f>RawData[[#This Row],[Value_USD_M]]*RawData[[#This Row],[Share_Est]]</f>
        <v>1249.3949999999998</v>
      </c>
      <c r="Q650" s="57"/>
      <c r="R650" s="57"/>
      <c r="S650" s="58"/>
    </row>
    <row r="651" spans="2:19" x14ac:dyDescent="0.3">
      <c r="B651" s="56" t="s">
        <v>311</v>
      </c>
      <c r="C651" s="57">
        <v>2024</v>
      </c>
      <c r="D651" s="57" t="s">
        <v>677</v>
      </c>
      <c r="E651" s="57" t="s">
        <v>560</v>
      </c>
      <c r="F651" s="57" t="s">
        <v>549</v>
      </c>
      <c r="G651" s="57" t="s">
        <v>616</v>
      </c>
      <c r="H651" s="57"/>
      <c r="I651" s="57"/>
      <c r="J651" s="57"/>
      <c r="K651" s="57"/>
      <c r="L651" s="57"/>
      <c r="M651" s="57">
        <v>3569.7</v>
      </c>
      <c r="N651" s="57"/>
      <c r="O651" s="57">
        <v>0.15</v>
      </c>
      <c r="P651" s="62">
        <f>RawData[[#This Row],[Value_USD_M]]*RawData[[#This Row],[Share_Est]]</f>
        <v>535.45499999999993</v>
      </c>
      <c r="Q651" s="57"/>
      <c r="R651" s="57"/>
      <c r="S651" s="58"/>
    </row>
    <row r="652" spans="2:19" x14ac:dyDescent="0.3">
      <c r="B652" s="56" t="s">
        <v>311</v>
      </c>
      <c r="C652" s="57">
        <v>2024</v>
      </c>
      <c r="D652" s="57" t="s">
        <v>677</v>
      </c>
      <c r="E652" s="57" t="s">
        <v>560</v>
      </c>
      <c r="F652" s="57" t="s">
        <v>549</v>
      </c>
      <c r="G652" s="57" t="s">
        <v>325</v>
      </c>
      <c r="H652" s="57" t="s">
        <v>23</v>
      </c>
      <c r="I652" s="57"/>
      <c r="J652" s="57"/>
      <c r="K652" s="57"/>
      <c r="L652" s="57"/>
      <c r="M652" s="57">
        <v>3569.7</v>
      </c>
      <c r="N652" s="57"/>
      <c r="O652" s="57">
        <v>0.15</v>
      </c>
      <c r="P652" s="62">
        <f>RawData[[#This Row],[Value_USD_M]]*RawData[[#This Row],[Share_Est]]</f>
        <v>535.45499999999993</v>
      </c>
      <c r="Q652" s="57"/>
      <c r="R652" s="57"/>
      <c r="S652" s="58"/>
    </row>
    <row r="653" spans="2:19" x14ac:dyDescent="0.3">
      <c r="B653" s="56" t="s">
        <v>311</v>
      </c>
      <c r="C653" s="57">
        <v>2025</v>
      </c>
      <c r="D653" s="57" t="s">
        <v>677</v>
      </c>
      <c r="E653" s="57" t="s">
        <v>560</v>
      </c>
      <c r="F653" s="57" t="s">
        <v>549</v>
      </c>
      <c r="G653" s="57" t="s">
        <v>337</v>
      </c>
      <c r="H653" s="57" t="s">
        <v>553</v>
      </c>
      <c r="I653" s="57"/>
      <c r="J653" s="57"/>
      <c r="K653" s="57"/>
      <c r="L653" s="57"/>
      <c r="M653" s="57">
        <v>4116.5</v>
      </c>
      <c r="N653" s="57"/>
      <c r="O653" s="57">
        <v>0.35</v>
      </c>
      <c r="P653" s="62">
        <f>RawData[[#This Row],[Value_USD_M]]*RawData[[#This Row],[Share_Est]]</f>
        <v>1440.7749999999999</v>
      </c>
      <c r="Q653" s="57"/>
      <c r="R653" s="57"/>
      <c r="S653" s="58"/>
    </row>
    <row r="654" spans="2:19" x14ac:dyDescent="0.3">
      <c r="B654" s="56" t="s">
        <v>311</v>
      </c>
      <c r="C654" s="57">
        <v>2025</v>
      </c>
      <c r="D654" s="57" t="s">
        <v>677</v>
      </c>
      <c r="E654" s="57" t="s">
        <v>560</v>
      </c>
      <c r="F654" s="57" t="s">
        <v>549</v>
      </c>
      <c r="G654" s="57" t="s">
        <v>324</v>
      </c>
      <c r="H654" s="57" t="s">
        <v>141</v>
      </c>
      <c r="I654" s="57"/>
      <c r="J654" s="57"/>
      <c r="K654" s="57"/>
      <c r="L654" s="57"/>
      <c r="M654" s="57">
        <v>4116.5</v>
      </c>
      <c r="N654" s="57"/>
      <c r="O654" s="57">
        <v>0.35</v>
      </c>
      <c r="P654" s="62">
        <f>RawData[[#This Row],[Value_USD_M]]*RawData[[#This Row],[Share_Est]]</f>
        <v>1440.7749999999999</v>
      </c>
      <c r="Q654" s="57"/>
      <c r="R654" s="57"/>
      <c r="S654" s="58"/>
    </row>
    <row r="655" spans="2:19" x14ac:dyDescent="0.3">
      <c r="B655" s="56" t="s">
        <v>311</v>
      </c>
      <c r="C655" s="57">
        <v>2025</v>
      </c>
      <c r="D655" s="57" t="s">
        <v>677</v>
      </c>
      <c r="E655" s="57" t="s">
        <v>560</v>
      </c>
      <c r="F655" s="57" t="s">
        <v>549</v>
      </c>
      <c r="G655" s="57" t="s">
        <v>616</v>
      </c>
      <c r="H655" s="57"/>
      <c r="I655" s="57"/>
      <c r="J655" s="57"/>
      <c r="K655" s="57"/>
      <c r="L655" s="57"/>
      <c r="M655" s="57">
        <v>4116.5</v>
      </c>
      <c r="N655" s="57"/>
      <c r="O655" s="57">
        <v>0.15</v>
      </c>
      <c r="P655" s="62">
        <f>RawData[[#This Row],[Value_USD_M]]*RawData[[#This Row],[Share_Est]]</f>
        <v>617.47500000000002</v>
      </c>
      <c r="Q655" s="57"/>
      <c r="R655" s="57"/>
      <c r="S655" s="58"/>
    </row>
    <row r="656" spans="2:19" x14ac:dyDescent="0.3">
      <c r="B656" s="56" t="s">
        <v>311</v>
      </c>
      <c r="C656" s="57">
        <v>2025</v>
      </c>
      <c r="D656" s="57" t="s">
        <v>677</v>
      </c>
      <c r="E656" s="57" t="s">
        <v>560</v>
      </c>
      <c r="F656" s="57" t="s">
        <v>549</v>
      </c>
      <c r="G656" s="57" t="s">
        <v>325</v>
      </c>
      <c r="H656" s="57" t="s">
        <v>23</v>
      </c>
      <c r="I656" s="57"/>
      <c r="J656" s="57"/>
      <c r="K656" s="57"/>
      <c r="L656" s="57"/>
      <c r="M656" s="57">
        <v>4116.5</v>
      </c>
      <c r="N656" s="57"/>
      <c r="O656" s="57">
        <v>0.15</v>
      </c>
      <c r="P656" s="62">
        <f>RawData[[#This Row],[Value_USD_M]]*RawData[[#This Row],[Share_Est]]</f>
        <v>617.47500000000002</v>
      </c>
      <c r="Q656" s="57"/>
      <c r="R656" s="57"/>
      <c r="S656" s="58"/>
    </row>
    <row r="657" spans="2:19" x14ac:dyDescent="0.3">
      <c r="B657" s="56" t="s">
        <v>311</v>
      </c>
      <c r="C657" s="57">
        <v>2026</v>
      </c>
      <c r="D657" s="57" t="s">
        <v>677</v>
      </c>
      <c r="E657" s="57" t="s">
        <v>560</v>
      </c>
      <c r="F657" s="57" t="s">
        <v>549</v>
      </c>
      <c r="G657" s="57" t="s">
        <v>337</v>
      </c>
      <c r="H657" s="57" t="s">
        <v>553</v>
      </c>
      <c r="I657" s="57"/>
      <c r="J657" s="57"/>
      <c r="K657" s="57"/>
      <c r="L657" s="57"/>
      <c r="M657" s="57">
        <v>5735.6</v>
      </c>
      <c r="N657" s="57"/>
      <c r="O657" s="57">
        <v>0.35</v>
      </c>
      <c r="P657" s="62">
        <f>RawData[[#This Row],[Value_USD_M]]*RawData[[#This Row],[Share_Est]]</f>
        <v>2007.46</v>
      </c>
      <c r="Q657" s="57"/>
      <c r="R657" s="57"/>
      <c r="S657" s="58"/>
    </row>
    <row r="658" spans="2:19" x14ac:dyDescent="0.3">
      <c r="B658" s="56" t="s">
        <v>311</v>
      </c>
      <c r="C658" s="57">
        <v>2026</v>
      </c>
      <c r="D658" s="57" t="s">
        <v>677</v>
      </c>
      <c r="E658" s="57" t="s">
        <v>560</v>
      </c>
      <c r="F658" s="57" t="s">
        <v>549</v>
      </c>
      <c r="G658" s="57" t="s">
        <v>324</v>
      </c>
      <c r="H658" s="57" t="s">
        <v>141</v>
      </c>
      <c r="I658" s="57"/>
      <c r="J658" s="57"/>
      <c r="K658" s="57"/>
      <c r="L658" s="57"/>
      <c r="M658" s="57">
        <v>5735.6</v>
      </c>
      <c r="N658" s="57"/>
      <c r="O658" s="57">
        <v>0.35</v>
      </c>
      <c r="P658" s="62">
        <f>RawData[[#This Row],[Value_USD_M]]*RawData[[#This Row],[Share_Est]]</f>
        <v>2007.46</v>
      </c>
      <c r="Q658" s="57"/>
      <c r="R658" s="57"/>
      <c r="S658" s="58"/>
    </row>
    <row r="659" spans="2:19" x14ac:dyDescent="0.3">
      <c r="B659" s="56" t="s">
        <v>311</v>
      </c>
      <c r="C659" s="57">
        <v>2026</v>
      </c>
      <c r="D659" s="57" t="s">
        <v>677</v>
      </c>
      <c r="E659" s="57" t="s">
        <v>560</v>
      </c>
      <c r="F659" s="57" t="s">
        <v>549</v>
      </c>
      <c r="G659" s="57" t="s">
        <v>616</v>
      </c>
      <c r="H659" s="57"/>
      <c r="I659" s="57"/>
      <c r="J659" s="57"/>
      <c r="K659" s="57"/>
      <c r="L659" s="57"/>
      <c r="M659" s="57">
        <v>5735.6</v>
      </c>
      <c r="N659" s="57"/>
      <c r="O659" s="57">
        <v>0.15</v>
      </c>
      <c r="P659" s="62">
        <f>RawData[[#This Row],[Value_USD_M]]*RawData[[#This Row],[Share_Est]]</f>
        <v>860.34</v>
      </c>
      <c r="Q659" s="57"/>
      <c r="R659" s="57"/>
      <c r="S659" s="58"/>
    </row>
    <row r="660" spans="2:19" x14ac:dyDescent="0.3">
      <c r="B660" s="56" t="s">
        <v>311</v>
      </c>
      <c r="C660" s="57">
        <v>2026</v>
      </c>
      <c r="D660" s="57" t="s">
        <v>677</v>
      </c>
      <c r="E660" s="57" t="s">
        <v>560</v>
      </c>
      <c r="F660" s="57" t="s">
        <v>549</v>
      </c>
      <c r="G660" s="57" t="s">
        <v>325</v>
      </c>
      <c r="H660" s="57" t="s">
        <v>23</v>
      </c>
      <c r="I660" s="57"/>
      <c r="J660" s="57"/>
      <c r="K660" s="57"/>
      <c r="L660" s="57"/>
      <c r="M660" s="57">
        <v>5735.6</v>
      </c>
      <c r="N660" s="57"/>
      <c r="O660" s="57">
        <v>0.15</v>
      </c>
      <c r="P660" s="62">
        <f>RawData[[#This Row],[Value_USD_M]]*RawData[[#This Row],[Share_Est]]</f>
        <v>860.34</v>
      </c>
      <c r="Q660" s="57"/>
      <c r="R660" s="57"/>
      <c r="S660" s="58"/>
    </row>
    <row r="661" spans="2:19" x14ac:dyDescent="0.3">
      <c r="B661" s="56" t="s">
        <v>311</v>
      </c>
      <c r="C661" s="57">
        <v>2024</v>
      </c>
      <c r="D661" s="57" t="s">
        <v>677</v>
      </c>
      <c r="E661" s="57" t="s">
        <v>560</v>
      </c>
      <c r="F661" s="57" t="s">
        <v>548</v>
      </c>
      <c r="G661" s="57" t="s">
        <v>337</v>
      </c>
      <c r="H661" s="57" t="s">
        <v>553</v>
      </c>
      <c r="I661" s="57"/>
      <c r="J661" s="57"/>
      <c r="K661" s="57"/>
      <c r="L661" s="57"/>
      <c r="M661" s="57">
        <v>334.8</v>
      </c>
      <c r="N661" s="57"/>
      <c r="O661" s="57">
        <v>0.35</v>
      </c>
      <c r="P661" s="62">
        <f>RawData[[#This Row],[Value_USD_M]]*RawData[[#This Row],[Share_Est]]</f>
        <v>117.17999999999999</v>
      </c>
      <c r="Q661" s="57"/>
      <c r="R661" s="57"/>
      <c r="S661" s="58"/>
    </row>
    <row r="662" spans="2:19" x14ac:dyDescent="0.3">
      <c r="B662" s="56" t="s">
        <v>311</v>
      </c>
      <c r="C662" s="57">
        <v>2024</v>
      </c>
      <c r="D662" s="57" t="s">
        <v>677</v>
      </c>
      <c r="E662" s="57" t="s">
        <v>560</v>
      </c>
      <c r="F662" s="57" t="s">
        <v>548</v>
      </c>
      <c r="G662" s="57" t="s">
        <v>324</v>
      </c>
      <c r="H662" s="57" t="s">
        <v>141</v>
      </c>
      <c r="I662" s="57"/>
      <c r="J662" s="57"/>
      <c r="K662" s="57"/>
      <c r="L662" s="57"/>
      <c r="M662" s="57">
        <v>334.8</v>
      </c>
      <c r="N662" s="57"/>
      <c r="O662" s="57">
        <v>0.35</v>
      </c>
      <c r="P662" s="62">
        <f>RawData[[#This Row],[Value_USD_M]]*RawData[[#This Row],[Share_Est]]</f>
        <v>117.17999999999999</v>
      </c>
      <c r="Q662" s="57"/>
      <c r="R662" s="57"/>
      <c r="S662" s="58"/>
    </row>
    <row r="663" spans="2:19" x14ac:dyDescent="0.3">
      <c r="B663" s="56" t="s">
        <v>311</v>
      </c>
      <c r="C663" s="57">
        <v>2024</v>
      </c>
      <c r="D663" s="57" t="s">
        <v>677</v>
      </c>
      <c r="E663" s="57" t="s">
        <v>560</v>
      </c>
      <c r="F663" s="57" t="s">
        <v>548</v>
      </c>
      <c r="G663" s="57" t="s">
        <v>616</v>
      </c>
      <c r="H663" s="57"/>
      <c r="I663" s="57"/>
      <c r="J663" s="57"/>
      <c r="K663" s="57"/>
      <c r="L663" s="57"/>
      <c r="M663" s="57">
        <v>334.8</v>
      </c>
      <c r="N663" s="57"/>
      <c r="O663" s="57">
        <v>0.15</v>
      </c>
      <c r="P663" s="62">
        <f>RawData[[#This Row],[Value_USD_M]]*RawData[[#This Row],[Share_Est]]</f>
        <v>50.22</v>
      </c>
      <c r="Q663" s="57"/>
      <c r="R663" s="57"/>
      <c r="S663" s="58"/>
    </row>
    <row r="664" spans="2:19" x14ac:dyDescent="0.3">
      <c r="B664" s="56" t="s">
        <v>311</v>
      </c>
      <c r="C664" s="57">
        <v>2024</v>
      </c>
      <c r="D664" s="57" t="s">
        <v>677</v>
      </c>
      <c r="E664" s="57" t="s">
        <v>560</v>
      </c>
      <c r="F664" s="57" t="s">
        <v>548</v>
      </c>
      <c r="G664" s="57" t="s">
        <v>325</v>
      </c>
      <c r="H664" s="57" t="s">
        <v>23</v>
      </c>
      <c r="I664" s="57"/>
      <c r="J664" s="57"/>
      <c r="K664" s="57"/>
      <c r="L664" s="57"/>
      <c r="M664" s="57">
        <v>334.8</v>
      </c>
      <c r="N664" s="57"/>
      <c r="O664" s="57">
        <v>0.15</v>
      </c>
      <c r="P664" s="62">
        <f>RawData[[#This Row],[Value_USD_M]]*RawData[[#This Row],[Share_Est]]</f>
        <v>50.22</v>
      </c>
      <c r="Q664" s="57"/>
      <c r="R664" s="57"/>
      <c r="S664" s="58"/>
    </row>
    <row r="665" spans="2:19" x14ac:dyDescent="0.3">
      <c r="B665" s="56" t="s">
        <v>311</v>
      </c>
      <c r="C665" s="57">
        <v>2025</v>
      </c>
      <c r="D665" s="57" t="s">
        <v>677</v>
      </c>
      <c r="E665" s="57" t="s">
        <v>560</v>
      </c>
      <c r="F665" s="57" t="s">
        <v>548</v>
      </c>
      <c r="G665" s="57" t="s">
        <v>337</v>
      </c>
      <c r="H665" s="57" t="s">
        <v>553</v>
      </c>
      <c r="I665" s="57"/>
      <c r="J665" s="57"/>
      <c r="K665" s="57"/>
      <c r="L665" s="57"/>
      <c r="M665" s="57">
        <v>398.2</v>
      </c>
      <c r="N665" s="57"/>
      <c r="O665" s="57">
        <v>0.35</v>
      </c>
      <c r="P665" s="62">
        <f>RawData[[#This Row],[Value_USD_M]]*RawData[[#This Row],[Share_Est]]</f>
        <v>139.36999999999998</v>
      </c>
      <c r="Q665" s="57"/>
      <c r="R665" s="57"/>
      <c r="S665" s="58"/>
    </row>
    <row r="666" spans="2:19" x14ac:dyDescent="0.3">
      <c r="B666" s="56" t="s">
        <v>311</v>
      </c>
      <c r="C666" s="57">
        <v>2025</v>
      </c>
      <c r="D666" s="57" t="s">
        <v>677</v>
      </c>
      <c r="E666" s="57" t="s">
        <v>560</v>
      </c>
      <c r="F666" s="57" t="s">
        <v>548</v>
      </c>
      <c r="G666" s="57" t="s">
        <v>324</v>
      </c>
      <c r="H666" s="57" t="s">
        <v>141</v>
      </c>
      <c r="I666" s="57"/>
      <c r="J666" s="57"/>
      <c r="K666" s="57"/>
      <c r="L666" s="57"/>
      <c r="M666" s="57">
        <v>398.2</v>
      </c>
      <c r="N666" s="57"/>
      <c r="O666" s="57">
        <v>0.35</v>
      </c>
      <c r="P666" s="62">
        <f>RawData[[#This Row],[Value_USD_M]]*RawData[[#This Row],[Share_Est]]</f>
        <v>139.36999999999998</v>
      </c>
      <c r="Q666" s="57"/>
      <c r="R666" s="57"/>
      <c r="S666" s="58"/>
    </row>
    <row r="667" spans="2:19" x14ac:dyDescent="0.3">
      <c r="B667" s="56" t="s">
        <v>311</v>
      </c>
      <c r="C667" s="57">
        <v>2025</v>
      </c>
      <c r="D667" s="57" t="s">
        <v>677</v>
      </c>
      <c r="E667" s="57" t="s">
        <v>560</v>
      </c>
      <c r="F667" s="57" t="s">
        <v>548</v>
      </c>
      <c r="G667" s="57" t="s">
        <v>616</v>
      </c>
      <c r="H667" s="57"/>
      <c r="I667" s="57"/>
      <c r="J667" s="57"/>
      <c r="K667" s="57"/>
      <c r="L667" s="57"/>
      <c r="M667" s="57">
        <v>398.2</v>
      </c>
      <c r="N667" s="57"/>
      <c r="O667" s="57">
        <v>0.15</v>
      </c>
      <c r="P667" s="62">
        <f>RawData[[#This Row],[Value_USD_M]]*RawData[[#This Row],[Share_Est]]</f>
        <v>59.73</v>
      </c>
      <c r="Q667" s="57"/>
      <c r="R667" s="57"/>
      <c r="S667" s="58"/>
    </row>
    <row r="668" spans="2:19" x14ac:dyDescent="0.3">
      <c r="B668" s="56" t="s">
        <v>311</v>
      </c>
      <c r="C668" s="57">
        <v>2025</v>
      </c>
      <c r="D668" s="57" t="s">
        <v>677</v>
      </c>
      <c r="E668" s="57" t="s">
        <v>560</v>
      </c>
      <c r="F668" s="57" t="s">
        <v>548</v>
      </c>
      <c r="G668" s="57" t="s">
        <v>325</v>
      </c>
      <c r="H668" s="57" t="s">
        <v>23</v>
      </c>
      <c r="I668" s="57"/>
      <c r="J668" s="57"/>
      <c r="K668" s="57"/>
      <c r="L668" s="57"/>
      <c r="M668" s="57">
        <v>398.2</v>
      </c>
      <c r="N668" s="57"/>
      <c r="O668" s="57">
        <v>0.15</v>
      </c>
      <c r="P668" s="62">
        <f>RawData[[#This Row],[Value_USD_M]]*RawData[[#This Row],[Share_Est]]</f>
        <v>59.73</v>
      </c>
      <c r="Q668" s="57"/>
      <c r="R668" s="57"/>
      <c r="S668" s="58"/>
    </row>
    <row r="669" spans="2:19" x14ac:dyDescent="0.3">
      <c r="B669" s="56" t="s">
        <v>311</v>
      </c>
      <c r="C669" s="57">
        <v>2026</v>
      </c>
      <c r="D669" s="57" t="s">
        <v>677</v>
      </c>
      <c r="E669" s="57" t="s">
        <v>560</v>
      </c>
      <c r="F669" s="57" t="s">
        <v>548</v>
      </c>
      <c r="G669" s="57" t="s">
        <v>337</v>
      </c>
      <c r="H669" s="57" t="s">
        <v>553</v>
      </c>
      <c r="I669" s="57"/>
      <c r="J669" s="57"/>
      <c r="K669" s="57"/>
      <c r="L669" s="57"/>
      <c r="M669" s="57">
        <v>195.8</v>
      </c>
      <c r="N669" s="57"/>
      <c r="O669" s="57">
        <v>0.35</v>
      </c>
      <c r="P669" s="62">
        <f>RawData[[#This Row],[Value_USD_M]]*RawData[[#This Row],[Share_Est]]</f>
        <v>68.53</v>
      </c>
      <c r="Q669" s="57"/>
      <c r="R669" s="57"/>
      <c r="S669" s="58"/>
    </row>
    <row r="670" spans="2:19" x14ac:dyDescent="0.3">
      <c r="B670" s="56" t="s">
        <v>311</v>
      </c>
      <c r="C670" s="57">
        <v>2026</v>
      </c>
      <c r="D670" s="57" t="s">
        <v>677</v>
      </c>
      <c r="E670" s="57" t="s">
        <v>560</v>
      </c>
      <c r="F670" s="57" t="s">
        <v>548</v>
      </c>
      <c r="G670" s="57" t="s">
        <v>324</v>
      </c>
      <c r="H670" s="57" t="s">
        <v>141</v>
      </c>
      <c r="L670" s="57"/>
      <c r="M670" s="57">
        <v>195.8</v>
      </c>
      <c r="O670" s="57">
        <v>0.35</v>
      </c>
      <c r="P670" s="61">
        <f>RawData[[#This Row],[Value_USD_M]]*RawData[[#This Row],[Share_Est]]</f>
        <v>68.53</v>
      </c>
      <c r="S670" s="52"/>
    </row>
    <row r="671" spans="2:19" x14ac:dyDescent="0.3">
      <c r="B671" s="56" t="s">
        <v>311</v>
      </c>
      <c r="C671" s="57">
        <v>2026</v>
      </c>
      <c r="D671" s="57" t="s">
        <v>677</v>
      </c>
      <c r="E671" s="57" t="s">
        <v>560</v>
      </c>
      <c r="F671" s="57" t="s">
        <v>548</v>
      </c>
      <c r="G671" s="57" t="s">
        <v>616</v>
      </c>
      <c r="H671" s="57"/>
      <c r="L671" s="57"/>
      <c r="M671" s="57">
        <v>195.8</v>
      </c>
      <c r="O671" s="57">
        <v>0.15</v>
      </c>
      <c r="P671" s="61">
        <f>RawData[[#This Row],[Value_USD_M]]*RawData[[#This Row],[Share_Est]]</f>
        <v>29.37</v>
      </c>
      <c r="S671" s="52"/>
    </row>
    <row r="672" spans="2:19" x14ac:dyDescent="0.3">
      <c r="B672" s="56" t="s">
        <v>311</v>
      </c>
      <c r="C672" s="57">
        <v>2026</v>
      </c>
      <c r="D672" s="57" t="s">
        <v>677</v>
      </c>
      <c r="E672" s="57" t="s">
        <v>560</v>
      </c>
      <c r="F672" s="57" t="s">
        <v>548</v>
      </c>
      <c r="G672" s="57" t="s">
        <v>325</v>
      </c>
      <c r="H672" s="57" t="s">
        <v>23</v>
      </c>
      <c r="L672" s="57"/>
      <c r="M672" s="57">
        <v>195.8</v>
      </c>
      <c r="O672" s="57">
        <v>0.15</v>
      </c>
      <c r="P672" s="61">
        <f>RawData[[#This Row],[Value_USD_M]]*RawData[[#This Row],[Share_Est]]</f>
        <v>29.37</v>
      </c>
      <c r="S672" s="52"/>
    </row>
    <row r="673" spans="2:19" x14ac:dyDescent="0.3">
      <c r="B673" s="56" t="s">
        <v>684</v>
      </c>
      <c r="C673" s="57">
        <v>2024</v>
      </c>
      <c r="D673" s="57" t="s">
        <v>615</v>
      </c>
      <c r="E673" s="57" t="s">
        <v>560</v>
      </c>
      <c r="F673" s="57" t="s">
        <v>549</v>
      </c>
      <c r="G673" s="57" t="s">
        <v>325</v>
      </c>
      <c r="H673" s="57" t="s">
        <v>23</v>
      </c>
      <c r="I673" s="57"/>
      <c r="J673" s="57"/>
      <c r="K673" s="57"/>
      <c r="L673" s="57"/>
      <c r="M673" s="57">
        <v>3.9</v>
      </c>
      <c r="N673" s="57"/>
      <c r="O673" s="57">
        <v>0.35</v>
      </c>
      <c r="P673" s="62">
        <f>RawData[[#This Row],[Value_USD_M]]*RawData[[#This Row],[Share_Est]]</f>
        <v>1.365</v>
      </c>
      <c r="Q673" s="57"/>
      <c r="R673" s="57"/>
      <c r="S673" s="58"/>
    </row>
    <row r="674" spans="2:19" x14ac:dyDescent="0.3">
      <c r="B674" s="56" t="s">
        <v>684</v>
      </c>
      <c r="C674" s="57">
        <v>2024</v>
      </c>
      <c r="D674" s="57" t="s">
        <v>615</v>
      </c>
      <c r="E674" s="57" t="s">
        <v>560</v>
      </c>
      <c r="F674" s="57" t="s">
        <v>549</v>
      </c>
      <c r="G674" s="57" t="s">
        <v>381</v>
      </c>
      <c r="H674" s="57" t="s">
        <v>585</v>
      </c>
      <c r="I674" s="57"/>
      <c r="J674" s="57"/>
      <c r="K674" s="57"/>
      <c r="L674" s="57"/>
      <c r="M674" s="57">
        <v>3.9</v>
      </c>
      <c r="N674" s="57"/>
      <c r="O674" s="57">
        <v>0.15</v>
      </c>
      <c r="P674" s="62">
        <f>RawData[[#This Row],[Value_USD_M]]*RawData[[#This Row],[Share_Est]]</f>
        <v>0.58499999999999996</v>
      </c>
      <c r="Q674" s="57"/>
      <c r="R674" s="57"/>
      <c r="S674" s="58"/>
    </row>
    <row r="675" spans="2:19" x14ac:dyDescent="0.3">
      <c r="B675" s="56" t="s">
        <v>684</v>
      </c>
      <c r="C675" s="57">
        <v>2024</v>
      </c>
      <c r="D675" s="57" t="s">
        <v>615</v>
      </c>
      <c r="E675" s="57" t="s">
        <v>560</v>
      </c>
      <c r="F675" s="57" t="s">
        <v>549</v>
      </c>
      <c r="G675" s="57" t="s">
        <v>324</v>
      </c>
      <c r="H675" s="57" t="s">
        <v>141</v>
      </c>
      <c r="I675" s="57"/>
      <c r="J675" s="57"/>
      <c r="K675" s="57"/>
      <c r="L675" s="57"/>
      <c r="M675" s="57">
        <v>3.9</v>
      </c>
      <c r="N675" s="57"/>
      <c r="O675" s="57">
        <v>0.25</v>
      </c>
      <c r="P675" s="62">
        <f>RawData[[#This Row],[Value_USD_M]]*RawData[[#This Row],[Share_Est]]</f>
        <v>0.97499999999999998</v>
      </c>
      <c r="Q675" s="57"/>
      <c r="R675" s="57"/>
      <c r="S675" s="58"/>
    </row>
    <row r="676" spans="2:19" x14ac:dyDescent="0.3">
      <c r="B676" s="56" t="s">
        <v>684</v>
      </c>
      <c r="C676" s="57">
        <v>2024</v>
      </c>
      <c r="D676" s="57" t="s">
        <v>615</v>
      </c>
      <c r="E676" s="57" t="s">
        <v>560</v>
      </c>
      <c r="F676" s="57" t="s">
        <v>549</v>
      </c>
      <c r="G676" s="57" t="s">
        <v>326</v>
      </c>
      <c r="H676" s="57" t="s">
        <v>594</v>
      </c>
      <c r="I676" s="57"/>
      <c r="J676" s="57"/>
      <c r="K676" s="57"/>
      <c r="L676" s="57"/>
      <c r="M676" s="57">
        <v>3.9</v>
      </c>
      <c r="N676" s="57"/>
      <c r="O676" s="57">
        <v>0.25</v>
      </c>
      <c r="P676" s="62">
        <f>RawData[[#This Row],[Value_USD_M]]*RawData[[#This Row],[Share_Est]]</f>
        <v>0.97499999999999998</v>
      </c>
      <c r="Q676" s="57"/>
      <c r="R676" s="57"/>
      <c r="S676" s="58"/>
    </row>
    <row r="677" spans="2:19" x14ac:dyDescent="0.3">
      <c r="B677" s="56" t="s">
        <v>684</v>
      </c>
      <c r="C677" s="57">
        <v>2025</v>
      </c>
      <c r="D677" s="57" t="s">
        <v>615</v>
      </c>
      <c r="E677" s="57" t="s">
        <v>560</v>
      </c>
      <c r="F677" s="57" t="s">
        <v>549</v>
      </c>
      <c r="G677" s="57" t="s">
        <v>325</v>
      </c>
      <c r="H677" s="57" t="s">
        <v>23</v>
      </c>
      <c r="I677" s="57"/>
      <c r="J677" s="57"/>
      <c r="K677" s="57"/>
      <c r="L677" s="57"/>
      <c r="M677" s="57">
        <v>38.1</v>
      </c>
      <c r="N677" s="57"/>
      <c r="O677" s="57">
        <v>0.35</v>
      </c>
      <c r="P677" s="62">
        <f>RawData[[#This Row],[Value_USD_M]]*RawData[[#This Row],[Share_Est]]</f>
        <v>13.334999999999999</v>
      </c>
      <c r="Q677" s="57"/>
      <c r="R677" s="57"/>
      <c r="S677" s="58"/>
    </row>
    <row r="678" spans="2:19" x14ac:dyDescent="0.3">
      <c r="B678" s="56" t="s">
        <v>684</v>
      </c>
      <c r="C678" s="57">
        <v>2025</v>
      </c>
      <c r="D678" s="57" t="s">
        <v>615</v>
      </c>
      <c r="E678" s="57" t="s">
        <v>560</v>
      </c>
      <c r="F678" s="57" t="s">
        <v>549</v>
      </c>
      <c r="G678" s="57" t="s">
        <v>381</v>
      </c>
      <c r="H678" s="57" t="s">
        <v>585</v>
      </c>
      <c r="I678" s="57"/>
      <c r="J678" s="57"/>
      <c r="K678" s="57"/>
      <c r="L678" s="57"/>
      <c r="M678" s="57">
        <v>38.1</v>
      </c>
      <c r="N678" s="57"/>
      <c r="O678" s="57">
        <v>0.15</v>
      </c>
      <c r="P678" s="62">
        <f>RawData[[#This Row],[Value_USD_M]]*RawData[[#This Row],[Share_Est]]</f>
        <v>5.7149999999999999</v>
      </c>
      <c r="Q678" s="57"/>
      <c r="R678" s="57"/>
      <c r="S678" s="58"/>
    </row>
    <row r="679" spans="2:19" x14ac:dyDescent="0.3">
      <c r="B679" s="56" t="s">
        <v>684</v>
      </c>
      <c r="C679" s="57">
        <v>2025</v>
      </c>
      <c r="D679" s="57" t="s">
        <v>615</v>
      </c>
      <c r="E679" s="57" t="s">
        <v>560</v>
      </c>
      <c r="F679" s="57" t="s">
        <v>549</v>
      </c>
      <c r="G679" s="57" t="s">
        <v>324</v>
      </c>
      <c r="H679" s="57" t="s">
        <v>141</v>
      </c>
      <c r="I679" s="57"/>
      <c r="J679" s="57"/>
      <c r="K679" s="57"/>
      <c r="L679" s="57"/>
      <c r="M679" s="57">
        <v>38.1</v>
      </c>
      <c r="N679" s="57"/>
      <c r="O679" s="57">
        <v>0.25</v>
      </c>
      <c r="P679" s="62">
        <f>RawData[[#This Row],[Value_USD_M]]*RawData[[#This Row],[Share_Est]]</f>
        <v>9.5250000000000004</v>
      </c>
      <c r="Q679" s="57"/>
      <c r="R679" s="57"/>
      <c r="S679" s="58"/>
    </row>
    <row r="680" spans="2:19" x14ac:dyDescent="0.3">
      <c r="B680" s="56" t="s">
        <v>684</v>
      </c>
      <c r="C680" s="57">
        <v>2025</v>
      </c>
      <c r="D680" s="57" t="s">
        <v>615</v>
      </c>
      <c r="E680" s="57" t="s">
        <v>560</v>
      </c>
      <c r="F680" s="57" t="s">
        <v>549</v>
      </c>
      <c r="G680" s="57" t="s">
        <v>326</v>
      </c>
      <c r="H680" s="57" t="s">
        <v>594</v>
      </c>
      <c r="I680" s="57"/>
      <c r="J680" s="57"/>
      <c r="K680" s="57"/>
      <c r="L680" s="57"/>
      <c r="M680" s="57">
        <v>38.1</v>
      </c>
      <c r="N680" s="57"/>
      <c r="O680" s="57">
        <v>0.25</v>
      </c>
      <c r="P680" s="62">
        <f>RawData[[#This Row],[Value_USD_M]]*RawData[[#This Row],[Share_Est]]</f>
        <v>9.5250000000000004</v>
      </c>
      <c r="Q680" s="57"/>
      <c r="R680" s="57"/>
      <c r="S680" s="58"/>
    </row>
    <row r="681" spans="2:19" x14ac:dyDescent="0.3">
      <c r="B681" s="56" t="s">
        <v>684</v>
      </c>
      <c r="C681" s="57">
        <v>2026</v>
      </c>
      <c r="D681" s="57" t="s">
        <v>615</v>
      </c>
      <c r="E681" s="57" t="s">
        <v>560</v>
      </c>
      <c r="F681" s="57" t="s">
        <v>549</v>
      </c>
      <c r="G681" s="57" t="s">
        <v>325</v>
      </c>
      <c r="H681" s="57" t="s">
        <v>23</v>
      </c>
      <c r="I681" s="57"/>
      <c r="J681" s="57"/>
      <c r="K681" s="57"/>
      <c r="L681" s="57"/>
      <c r="M681" s="57">
        <v>350</v>
      </c>
      <c r="N681" s="57"/>
      <c r="O681" s="57">
        <v>0.35</v>
      </c>
      <c r="P681" s="62">
        <f>RawData[[#This Row],[Value_USD_M]]*RawData[[#This Row],[Share_Est]]</f>
        <v>122.49999999999999</v>
      </c>
      <c r="Q681" s="57"/>
      <c r="R681" s="57"/>
      <c r="S681" s="58"/>
    </row>
    <row r="682" spans="2:19" x14ac:dyDescent="0.3">
      <c r="B682" s="56" t="s">
        <v>684</v>
      </c>
      <c r="C682" s="57">
        <v>2026</v>
      </c>
      <c r="D682" s="57" t="s">
        <v>615</v>
      </c>
      <c r="E682" s="57" t="s">
        <v>560</v>
      </c>
      <c r="F682" s="57" t="s">
        <v>549</v>
      </c>
      <c r="G682" s="57" t="s">
        <v>381</v>
      </c>
      <c r="H682" s="57" t="s">
        <v>585</v>
      </c>
      <c r="I682" s="57"/>
      <c r="J682" s="57"/>
      <c r="K682" s="57"/>
      <c r="L682" s="57"/>
      <c r="M682" s="57">
        <v>350</v>
      </c>
      <c r="N682" s="57"/>
      <c r="O682" s="57">
        <v>0.15</v>
      </c>
      <c r="P682" s="62">
        <f>RawData[[#This Row],[Value_USD_M]]*RawData[[#This Row],[Share_Est]]</f>
        <v>52.5</v>
      </c>
      <c r="Q682" s="57"/>
      <c r="R682" s="57"/>
      <c r="S682" s="58"/>
    </row>
    <row r="683" spans="2:19" x14ac:dyDescent="0.3">
      <c r="B683" s="56" t="s">
        <v>684</v>
      </c>
      <c r="C683" s="57">
        <v>2026</v>
      </c>
      <c r="D683" s="57" t="s">
        <v>615</v>
      </c>
      <c r="E683" s="57" t="s">
        <v>560</v>
      </c>
      <c r="F683" s="57" t="s">
        <v>549</v>
      </c>
      <c r="G683" s="57" t="s">
        <v>324</v>
      </c>
      <c r="H683" s="57" t="s">
        <v>141</v>
      </c>
      <c r="I683" s="57"/>
      <c r="J683" s="57"/>
      <c r="K683" s="57"/>
      <c r="L683" s="57"/>
      <c r="M683" s="57">
        <v>350</v>
      </c>
      <c r="N683" s="57"/>
      <c r="O683" s="57">
        <v>0.25</v>
      </c>
      <c r="P683" s="62">
        <f>RawData[[#This Row],[Value_USD_M]]*RawData[[#This Row],[Share_Est]]</f>
        <v>87.5</v>
      </c>
      <c r="Q683" s="57"/>
      <c r="R683" s="57"/>
      <c r="S683" s="58"/>
    </row>
    <row r="684" spans="2:19" x14ac:dyDescent="0.3">
      <c r="B684" s="56" t="s">
        <v>684</v>
      </c>
      <c r="C684" s="57">
        <v>2026</v>
      </c>
      <c r="D684" s="57" t="s">
        <v>615</v>
      </c>
      <c r="E684" s="57" t="s">
        <v>560</v>
      </c>
      <c r="F684" s="57" t="s">
        <v>549</v>
      </c>
      <c r="G684" s="57" t="s">
        <v>326</v>
      </c>
      <c r="H684" s="57" t="s">
        <v>594</v>
      </c>
      <c r="I684" s="57"/>
      <c r="J684" s="57"/>
      <c r="K684" s="57"/>
      <c r="L684" s="57"/>
      <c r="M684" s="57">
        <v>350</v>
      </c>
      <c r="N684" s="57"/>
      <c r="O684" s="57">
        <v>0.25</v>
      </c>
      <c r="P684" s="62">
        <f>RawData[[#This Row],[Value_USD_M]]*RawData[[#This Row],[Share_Est]]</f>
        <v>87.5</v>
      </c>
      <c r="Q684" s="57"/>
      <c r="R684" s="57"/>
      <c r="S684" s="58"/>
    </row>
    <row r="685" spans="2:19" x14ac:dyDescent="0.3">
      <c r="B685" s="56" t="s">
        <v>684</v>
      </c>
      <c r="C685" s="57">
        <v>2024</v>
      </c>
      <c r="D685" s="57" t="s">
        <v>547</v>
      </c>
      <c r="E685" s="57" t="s">
        <v>560</v>
      </c>
      <c r="F685" s="57" t="s">
        <v>549</v>
      </c>
      <c r="G685" s="57" t="s">
        <v>325</v>
      </c>
      <c r="H685" s="57" t="s">
        <v>23</v>
      </c>
      <c r="I685" s="57"/>
      <c r="J685" s="57"/>
      <c r="K685" s="57"/>
      <c r="L685" s="57"/>
      <c r="M685" s="57">
        <v>366.2</v>
      </c>
      <c r="N685" s="57"/>
      <c r="O685" s="57">
        <v>0.35</v>
      </c>
      <c r="P685" s="62">
        <f>RawData[[#This Row],[Value_USD_M]]*RawData[[#This Row],[Share_Est]]</f>
        <v>128.16999999999999</v>
      </c>
      <c r="Q685" s="57"/>
      <c r="R685" s="57"/>
      <c r="S685" s="58"/>
    </row>
    <row r="686" spans="2:19" x14ac:dyDescent="0.3">
      <c r="B686" s="56" t="s">
        <v>684</v>
      </c>
      <c r="C686" s="57">
        <v>2024</v>
      </c>
      <c r="D686" s="57" t="s">
        <v>547</v>
      </c>
      <c r="E686" s="57" t="s">
        <v>560</v>
      </c>
      <c r="F686" s="57" t="s">
        <v>549</v>
      </c>
      <c r="G686" s="57" t="s">
        <v>381</v>
      </c>
      <c r="H686" s="57" t="s">
        <v>585</v>
      </c>
      <c r="I686" s="57"/>
      <c r="J686" s="57"/>
      <c r="K686" s="57"/>
      <c r="L686" s="57"/>
      <c r="M686" s="57">
        <v>366.2</v>
      </c>
      <c r="N686" s="57"/>
      <c r="O686" s="57">
        <v>0.15</v>
      </c>
      <c r="P686" s="62">
        <f>RawData[[#This Row],[Value_USD_M]]*RawData[[#This Row],[Share_Est]]</f>
        <v>54.93</v>
      </c>
      <c r="Q686" s="57"/>
      <c r="R686" s="57"/>
      <c r="S686" s="58"/>
    </row>
    <row r="687" spans="2:19" x14ac:dyDescent="0.3">
      <c r="B687" s="56" t="s">
        <v>684</v>
      </c>
      <c r="C687" s="57">
        <v>2024</v>
      </c>
      <c r="D687" s="57" t="s">
        <v>547</v>
      </c>
      <c r="E687" s="57" t="s">
        <v>560</v>
      </c>
      <c r="F687" s="57" t="s">
        <v>549</v>
      </c>
      <c r="G687" s="57" t="s">
        <v>324</v>
      </c>
      <c r="H687" s="57" t="s">
        <v>141</v>
      </c>
      <c r="I687" s="57"/>
      <c r="J687" s="57"/>
      <c r="K687" s="57"/>
      <c r="L687" s="57"/>
      <c r="M687" s="57">
        <v>366.2</v>
      </c>
      <c r="N687" s="57"/>
      <c r="O687" s="57">
        <v>0.25</v>
      </c>
      <c r="P687" s="62">
        <f>RawData[[#This Row],[Value_USD_M]]*RawData[[#This Row],[Share_Est]]</f>
        <v>91.55</v>
      </c>
      <c r="Q687" s="57"/>
      <c r="R687" s="57"/>
      <c r="S687" s="58"/>
    </row>
    <row r="688" spans="2:19" x14ac:dyDescent="0.3">
      <c r="B688" s="56" t="s">
        <v>684</v>
      </c>
      <c r="C688" s="57">
        <v>2024</v>
      </c>
      <c r="D688" s="57" t="s">
        <v>547</v>
      </c>
      <c r="E688" s="57" t="s">
        <v>560</v>
      </c>
      <c r="F688" s="57" t="s">
        <v>549</v>
      </c>
      <c r="G688" s="57" t="s">
        <v>326</v>
      </c>
      <c r="H688" s="57" t="s">
        <v>594</v>
      </c>
      <c r="I688" s="57"/>
      <c r="J688" s="57"/>
      <c r="K688" s="57"/>
      <c r="L688" s="57"/>
      <c r="M688" s="57">
        <v>366.2</v>
      </c>
      <c r="N688" s="57"/>
      <c r="O688" s="57">
        <v>0.25</v>
      </c>
      <c r="P688" s="62">
        <f>RawData[[#This Row],[Value_USD_M]]*RawData[[#This Row],[Share_Est]]</f>
        <v>91.55</v>
      </c>
      <c r="Q688" s="57"/>
      <c r="R688" s="57"/>
      <c r="S688" s="58"/>
    </row>
    <row r="689" spans="2:19" x14ac:dyDescent="0.3">
      <c r="B689" s="56" t="s">
        <v>684</v>
      </c>
      <c r="C689" s="57">
        <v>2025</v>
      </c>
      <c r="D689" s="57" t="s">
        <v>547</v>
      </c>
      <c r="E689" s="57" t="s">
        <v>560</v>
      </c>
      <c r="F689" s="57" t="s">
        <v>549</v>
      </c>
      <c r="G689" s="57" t="s">
        <v>325</v>
      </c>
      <c r="H689" s="57" t="s">
        <v>23</v>
      </c>
      <c r="I689" s="57"/>
      <c r="J689" s="57"/>
      <c r="K689" s="57"/>
      <c r="L689" s="57"/>
      <c r="M689" s="57">
        <v>288.3</v>
      </c>
      <c r="N689" s="57"/>
      <c r="O689" s="57">
        <v>0.35</v>
      </c>
      <c r="P689" s="62">
        <f>RawData[[#This Row],[Value_USD_M]]*RawData[[#This Row],[Share_Est]]</f>
        <v>100.905</v>
      </c>
      <c r="Q689" s="57"/>
      <c r="R689" s="57"/>
      <c r="S689" s="58"/>
    </row>
    <row r="690" spans="2:19" x14ac:dyDescent="0.3">
      <c r="B690" s="56" t="s">
        <v>684</v>
      </c>
      <c r="C690" s="57">
        <v>2025</v>
      </c>
      <c r="D690" s="57" t="s">
        <v>547</v>
      </c>
      <c r="E690" s="57" t="s">
        <v>560</v>
      </c>
      <c r="F690" s="57" t="s">
        <v>549</v>
      </c>
      <c r="G690" s="57" t="s">
        <v>381</v>
      </c>
      <c r="H690" s="57" t="s">
        <v>585</v>
      </c>
      <c r="I690" s="57"/>
      <c r="J690" s="57"/>
      <c r="K690" s="57"/>
      <c r="L690" s="57"/>
      <c r="M690" s="57">
        <v>288.3</v>
      </c>
      <c r="N690" s="57"/>
      <c r="O690" s="57">
        <v>0.15</v>
      </c>
      <c r="P690" s="62">
        <f>RawData[[#This Row],[Value_USD_M]]*RawData[[#This Row],[Share_Est]]</f>
        <v>43.244999999999997</v>
      </c>
      <c r="Q690" s="57"/>
      <c r="R690" s="57"/>
      <c r="S690" s="58"/>
    </row>
    <row r="691" spans="2:19" x14ac:dyDescent="0.3">
      <c r="B691" s="56" t="s">
        <v>684</v>
      </c>
      <c r="C691" s="57">
        <v>2025</v>
      </c>
      <c r="D691" s="57" t="s">
        <v>547</v>
      </c>
      <c r="E691" s="57" t="s">
        <v>560</v>
      </c>
      <c r="F691" s="57" t="s">
        <v>549</v>
      </c>
      <c r="G691" s="57" t="s">
        <v>324</v>
      </c>
      <c r="H691" s="57" t="s">
        <v>141</v>
      </c>
      <c r="I691" s="57"/>
      <c r="J691" s="57"/>
      <c r="K691" s="57"/>
      <c r="L691" s="57"/>
      <c r="M691" s="57">
        <v>288.3</v>
      </c>
      <c r="N691" s="57"/>
      <c r="O691" s="57">
        <v>0.25</v>
      </c>
      <c r="P691" s="62">
        <f>RawData[[#This Row],[Value_USD_M]]*RawData[[#This Row],[Share_Est]]</f>
        <v>72.075000000000003</v>
      </c>
      <c r="Q691" s="57"/>
      <c r="R691" s="57"/>
      <c r="S691" s="58"/>
    </row>
    <row r="692" spans="2:19" x14ac:dyDescent="0.3">
      <c r="B692" s="56" t="s">
        <v>684</v>
      </c>
      <c r="C692" s="57">
        <v>2025</v>
      </c>
      <c r="D692" s="57" t="s">
        <v>547</v>
      </c>
      <c r="E692" s="57" t="s">
        <v>560</v>
      </c>
      <c r="F692" s="57" t="s">
        <v>549</v>
      </c>
      <c r="G692" s="57" t="s">
        <v>326</v>
      </c>
      <c r="H692" s="57" t="s">
        <v>594</v>
      </c>
      <c r="I692" s="57"/>
      <c r="J692" s="57"/>
      <c r="K692" s="57"/>
      <c r="L692" s="57"/>
      <c r="M692" s="57">
        <v>288.3</v>
      </c>
      <c r="N692" s="57"/>
      <c r="O692" s="57">
        <v>0.25</v>
      </c>
      <c r="P692" s="62">
        <f>RawData[[#This Row],[Value_USD_M]]*RawData[[#This Row],[Share_Est]]</f>
        <v>72.075000000000003</v>
      </c>
      <c r="Q692" s="57"/>
      <c r="R692" s="57"/>
      <c r="S692" s="58"/>
    </row>
    <row r="693" spans="2:19" x14ac:dyDescent="0.3">
      <c r="B693" s="56" t="s">
        <v>684</v>
      </c>
      <c r="C693" s="57">
        <v>2026</v>
      </c>
      <c r="D693" s="57" t="s">
        <v>547</v>
      </c>
      <c r="E693" s="57" t="s">
        <v>560</v>
      </c>
      <c r="F693" s="57" t="s">
        <v>549</v>
      </c>
      <c r="G693" s="57" t="s">
        <v>325</v>
      </c>
      <c r="H693" s="57" t="s">
        <v>23</v>
      </c>
      <c r="I693" s="57"/>
      <c r="J693" s="57"/>
      <c r="K693" s="57"/>
      <c r="L693" s="57"/>
      <c r="M693" s="57">
        <v>413</v>
      </c>
      <c r="N693" s="57"/>
      <c r="O693" s="57">
        <v>0.35</v>
      </c>
      <c r="P693" s="62">
        <f>RawData[[#This Row],[Value_USD_M]]*RawData[[#This Row],[Share_Est]]</f>
        <v>144.54999999999998</v>
      </c>
      <c r="Q693" s="57"/>
      <c r="R693" s="57"/>
      <c r="S693" s="58"/>
    </row>
    <row r="694" spans="2:19" x14ac:dyDescent="0.3">
      <c r="B694" s="56" t="s">
        <v>684</v>
      </c>
      <c r="C694" s="57">
        <v>2026</v>
      </c>
      <c r="D694" s="57" t="s">
        <v>547</v>
      </c>
      <c r="E694" s="57" t="s">
        <v>560</v>
      </c>
      <c r="F694" s="57" t="s">
        <v>549</v>
      </c>
      <c r="G694" s="57" t="s">
        <v>381</v>
      </c>
      <c r="H694" s="57" t="s">
        <v>585</v>
      </c>
      <c r="I694" s="57"/>
      <c r="J694" s="57"/>
      <c r="K694" s="57"/>
      <c r="L694" s="57"/>
      <c r="M694" s="57">
        <v>413</v>
      </c>
      <c r="N694" s="57"/>
      <c r="O694" s="57">
        <v>0.15</v>
      </c>
      <c r="P694" s="62">
        <f>RawData[[#This Row],[Value_USD_M]]*RawData[[#This Row],[Share_Est]]</f>
        <v>61.949999999999996</v>
      </c>
      <c r="Q694" s="57"/>
      <c r="R694" s="57"/>
      <c r="S694" s="58"/>
    </row>
    <row r="695" spans="2:19" x14ac:dyDescent="0.3">
      <c r="B695" s="56" t="s">
        <v>684</v>
      </c>
      <c r="C695" s="57">
        <v>2026</v>
      </c>
      <c r="D695" s="57" t="s">
        <v>547</v>
      </c>
      <c r="E695" s="57" t="s">
        <v>560</v>
      </c>
      <c r="F695" s="57" t="s">
        <v>549</v>
      </c>
      <c r="G695" s="57" t="s">
        <v>324</v>
      </c>
      <c r="H695" s="57" t="s">
        <v>141</v>
      </c>
      <c r="I695" s="57"/>
      <c r="J695" s="57"/>
      <c r="K695" s="57"/>
      <c r="L695" s="57"/>
      <c r="M695" s="57">
        <v>413</v>
      </c>
      <c r="N695" s="57"/>
      <c r="O695" s="57">
        <v>0.25</v>
      </c>
      <c r="P695" s="62">
        <f>RawData[[#This Row],[Value_USD_M]]*RawData[[#This Row],[Share_Est]]</f>
        <v>103.25</v>
      </c>
      <c r="Q695" s="57"/>
      <c r="R695" s="57"/>
      <c r="S695" s="58"/>
    </row>
    <row r="696" spans="2:19" x14ac:dyDescent="0.3">
      <c r="B696" s="56" t="s">
        <v>684</v>
      </c>
      <c r="C696" s="57">
        <v>2026</v>
      </c>
      <c r="D696" s="57" t="s">
        <v>547</v>
      </c>
      <c r="E696" s="57" t="s">
        <v>560</v>
      </c>
      <c r="F696" s="57" t="s">
        <v>549</v>
      </c>
      <c r="G696" s="57" t="s">
        <v>326</v>
      </c>
      <c r="H696" s="57" t="s">
        <v>594</v>
      </c>
      <c r="I696" s="57"/>
      <c r="J696" s="57"/>
      <c r="K696" s="57"/>
      <c r="L696" s="57"/>
      <c r="M696" s="57">
        <v>413</v>
      </c>
      <c r="N696" s="57"/>
      <c r="O696" s="57">
        <v>0.25</v>
      </c>
      <c r="P696" s="62">
        <f>RawData[[#This Row],[Value_USD_M]]*RawData[[#This Row],[Share_Est]]</f>
        <v>103.25</v>
      </c>
      <c r="Q696" s="57"/>
      <c r="R696" s="57"/>
      <c r="S696" s="58"/>
    </row>
    <row r="697" spans="2:19" x14ac:dyDescent="0.3">
      <c r="B697" s="56" t="s">
        <v>684</v>
      </c>
      <c r="C697" s="57">
        <v>2024</v>
      </c>
      <c r="D697" s="57" t="s">
        <v>653</v>
      </c>
      <c r="E697" s="57" t="s">
        <v>560</v>
      </c>
      <c r="F697" s="57" t="s">
        <v>549</v>
      </c>
      <c r="G697" s="57" t="s">
        <v>325</v>
      </c>
      <c r="H697" s="57" t="s">
        <v>23</v>
      </c>
      <c r="I697" s="57"/>
      <c r="J697" s="57"/>
      <c r="K697" s="57"/>
      <c r="L697" s="57"/>
      <c r="M697" s="57">
        <v>417</v>
      </c>
      <c r="N697" s="57"/>
      <c r="O697" s="57">
        <v>0.35</v>
      </c>
      <c r="P697" s="62">
        <f>RawData[[#This Row],[Value_USD_M]]*RawData[[#This Row],[Share_Est]]</f>
        <v>145.94999999999999</v>
      </c>
      <c r="Q697" s="57"/>
      <c r="R697" s="57"/>
      <c r="S697" s="58"/>
    </row>
    <row r="698" spans="2:19" x14ac:dyDescent="0.3">
      <c r="B698" s="56" t="s">
        <v>684</v>
      </c>
      <c r="C698" s="57">
        <v>2024</v>
      </c>
      <c r="D698" s="57" t="s">
        <v>653</v>
      </c>
      <c r="E698" s="57" t="s">
        <v>560</v>
      </c>
      <c r="F698" s="57" t="s">
        <v>549</v>
      </c>
      <c r="G698" s="57" t="s">
        <v>381</v>
      </c>
      <c r="H698" s="57" t="s">
        <v>585</v>
      </c>
      <c r="I698" s="57"/>
      <c r="J698" s="57"/>
      <c r="K698" s="57"/>
      <c r="L698" s="57"/>
      <c r="M698" s="57">
        <v>417</v>
      </c>
      <c r="N698" s="57"/>
      <c r="O698" s="57">
        <v>0.15</v>
      </c>
      <c r="P698" s="62">
        <f>RawData[[#This Row],[Value_USD_M]]*RawData[[#This Row],[Share_Est]]</f>
        <v>62.55</v>
      </c>
      <c r="Q698" s="57"/>
      <c r="R698" s="57"/>
      <c r="S698" s="58"/>
    </row>
    <row r="699" spans="2:19" x14ac:dyDescent="0.3">
      <c r="B699" s="56" t="s">
        <v>684</v>
      </c>
      <c r="C699" s="57">
        <v>2024</v>
      </c>
      <c r="D699" s="57" t="s">
        <v>653</v>
      </c>
      <c r="E699" s="57" t="s">
        <v>560</v>
      </c>
      <c r="F699" s="57" t="s">
        <v>549</v>
      </c>
      <c r="G699" s="57" t="s">
        <v>324</v>
      </c>
      <c r="H699" s="57" t="s">
        <v>141</v>
      </c>
      <c r="I699" s="57"/>
      <c r="J699" s="57"/>
      <c r="K699" s="57"/>
      <c r="L699" s="57"/>
      <c r="M699" s="57">
        <v>417</v>
      </c>
      <c r="N699" s="57"/>
      <c r="O699" s="57">
        <v>0.25</v>
      </c>
      <c r="P699" s="62">
        <f>RawData[[#This Row],[Value_USD_M]]*RawData[[#This Row],[Share_Est]]</f>
        <v>104.25</v>
      </c>
      <c r="Q699" s="57"/>
      <c r="R699" s="57"/>
      <c r="S699" s="58"/>
    </row>
    <row r="700" spans="2:19" x14ac:dyDescent="0.3">
      <c r="B700" s="56" t="s">
        <v>684</v>
      </c>
      <c r="C700" s="57">
        <v>2024</v>
      </c>
      <c r="D700" s="57" t="s">
        <v>653</v>
      </c>
      <c r="E700" s="57" t="s">
        <v>560</v>
      </c>
      <c r="F700" s="57" t="s">
        <v>549</v>
      </c>
      <c r="G700" s="57" t="s">
        <v>326</v>
      </c>
      <c r="H700" s="57" t="s">
        <v>594</v>
      </c>
      <c r="I700" s="57"/>
      <c r="J700" s="57"/>
      <c r="K700" s="57"/>
      <c r="L700" s="57"/>
      <c r="M700" s="57">
        <v>417</v>
      </c>
      <c r="N700" s="57"/>
      <c r="O700" s="57">
        <v>0.25</v>
      </c>
      <c r="P700" s="62">
        <f>RawData[[#This Row],[Value_USD_M]]*RawData[[#This Row],[Share_Est]]</f>
        <v>104.25</v>
      </c>
      <c r="Q700" s="57"/>
      <c r="R700" s="57"/>
      <c r="S700" s="58"/>
    </row>
    <row r="701" spans="2:19" x14ac:dyDescent="0.3">
      <c r="B701" s="56" t="s">
        <v>684</v>
      </c>
      <c r="C701" s="57">
        <v>2025</v>
      </c>
      <c r="D701" s="57" t="s">
        <v>653</v>
      </c>
      <c r="E701" s="57" t="s">
        <v>560</v>
      </c>
      <c r="F701" s="57" t="s">
        <v>549</v>
      </c>
      <c r="G701" s="57" t="s">
        <v>325</v>
      </c>
      <c r="H701" s="57" t="s">
        <v>23</v>
      </c>
      <c r="I701" s="57"/>
      <c r="J701" s="57"/>
      <c r="K701" s="57"/>
      <c r="L701" s="57"/>
      <c r="M701" s="57">
        <v>353</v>
      </c>
      <c r="N701" s="57"/>
      <c r="O701" s="57">
        <v>0.35</v>
      </c>
      <c r="P701" s="62">
        <f>RawData[[#This Row],[Value_USD_M]]*RawData[[#This Row],[Share_Est]]</f>
        <v>123.55</v>
      </c>
      <c r="Q701" s="57"/>
      <c r="R701" s="57"/>
      <c r="S701" s="58"/>
    </row>
    <row r="702" spans="2:19" x14ac:dyDescent="0.3">
      <c r="B702" s="56" t="s">
        <v>684</v>
      </c>
      <c r="C702" s="57">
        <v>2025</v>
      </c>
      <c r="D702" s="57" t="s">
        <v>653</v>
      </c>
      <c r="E702" s="57" t="s">
        <v>560</v>
      </c>
      <c r="F702" s="57" t="s">
        <v>549</v>
      </c>
      <c r="G702" s="57" t="s">
        <v>381</v>
      </c>
      <c r="H702" s="57" t="s">
        <v>585</v>
      </c>
      <c r="I702" s="57"/>
      <c r="J702" s="57"/>
      <c r="K702" s="57"/>
      <c r="L702" s="57"/>
      <c r="M702" s="57">
        <v>353</v>
      </c>
      <c r="N702" s="57"/>
      <c r="O702" s="57">
        <v>0.15</v>
      </c>
      <c r="P702" s="62">
        <f>RawData[[#This Row],[Value_USD_M]]*RawData[[#This Row],[Share_Est]]</f>
        <v>52.949999999999996</v>
      </c>
      <c r="Q702" s="57"/>
      <c r="R702" s="57"/>
      <c r="S702" s="58"/>
    </row>
    <row r="703" spans="2:19" x14ac:dyDescent="0.3">
      <c r="B703" s="56" t="s">
        <v>684</v>
      </c>
      <c r="C703" s="57">
        <v>2025</v>
      </c>
      <c r="D703" s="57" t="s">
        <v>653</v>
      </c>
      <c r="E703" s="57" t="s">
        <v>560</v>
      </c>
      <c r="F703" s="57" t="s">
        <v>549</v>
      </c>
      <c r="G703" s="57" t="s">
        <v>324</v>
      </c>
      <c r="H703" s="57" t="s">
        <v>141</v>
      </c>
      <c r="I703" s="57"/>
      <c r="J703" s="57"/>
      <c r="K703" s="57"/>
      <c r="L703" s="57"/>
      <c r="M703" s="57">
        <v>353</v>
      </c>
      <c r="N703" s="57"/>
      <c r="O703" s="57">
        <v>0.25</v>
      </c>
      <c r="P703" s="62">
        <f>RawData[[#This Row],[Value_USD_M]]*RawData[[#This Row],[Share_Est]]</f>
        <v>88.25</v>
      </c>
      <c r="Q703" s="57"/>
      <c r="R703" s="57"/>
      <c r="S703" s="58"/>
    </row>
    <row r="704" spans="2:19" x14ac:dyDescent="0.3">
      <c r="B704" s="56" t="s">
        <v>684</v>
      </c>
      <c r="C704" s="57">
        <v>2025</v>
      </c>
      <c r="D704" s="57" t="s">
        <v>653</v>
      </c>
      <c r="E704" s="57" t="s">
        <v>560</v>
      </c>
      <c r="F704" s="57" t="s">
        <v>549</v>
      </c>
      <c r="G704" s="57" t="s">
        <v>326</v>
      </c>
      <c r="H704" s="57" t="s">
        <v>594</v>
      </c>
      <c r="I704" s="57"/>
      <c r="J704" s="57"/>
      <c r="K704" s="57"/>
      <c r="L704" s="57"/>
      <c r="M704" s="57">
        <v>353</v>
      </c>
      <c r="N704" s="57"/>
      <c r="O704" s="57">
        <v>0.25</v>
      </c>
      <c r="P704" s="62">
        <f>RawData[[#This Row],[Value_USD_M]]*RawData[[#This Row],[Share_Est]]</f>
        <v>88.25</v>
      </c>
      <c r="Q704" s="57"/>
      <c r="R704" s="57"/>
      <c r="S704" s="58"/>
    </row>
    <row r="705" spans="2:19" x14ac:dyDescent="0.3">
      <c r="B705" s="56" t="s">
        <v>684</v>
      </c>
      <c r="C705" s="57">
        <v>2026</v>
      </c>
      <c r="D705" s="57" t="s">
        <v>653</v>
      </c>
      <c r="E705" s="57" t="s">
        <v>560</v>
      </c>
      <c r="F705" s="57" t="s">
        <v>549</v>
      </c>
      <c r="G705" s="57" t="s">
        <v>325</v>
      </c>
      <c r="H705" s="57" t="s">
        <v>23</v>
      </c>
      <c r="I705" s="57"/>
      <c r="J705" s="57"/>
      <c r="K705" s="57"/>
      <c r="L705" s="57"/>
      <c r="M705" s="57">
        <v>612.1</v>
      </c>
      <c r="N705" s="57"/>
      <c r="O705" s="57">
        <v>0.35</v>
      </c>
      <c r="P705" s="62">
        <f>RawData[[#This Row],[Value_USD_M]]*RawData[[#This Row],[Share_Est]]</f>
        <v>214.23499999999999</v>
      </c>
      <c r="Q705" s="57"/>
      <c r="R705" s="57"/>
      <c r="S705" s="58"/>
    </row>
    <row r="706" spans="2:19" x14ac:dyDescent="0.3">
      <c r="B706" s="56" t="s">
        <v>684</v>
      </c>
      <c r="C706" s="57">
        <v>2026</v>
      </c>
      <c r="D706" s="57" t="s">
        <v>653</v>
      </c>
      <c r="E706" s="57" t="s">
        <v>560</v>
      </c>
      <c r="F706" s="57" t="s">
        <v>549</v>
      </c>
      <c r="G706" s="57" t="s">
        <v>381</v>
      </c>
      <c r="H706" s="57" t="s">
        <v>585</v>
      </c>
      <c r="I706" s="57"/>
      <c r="J706" s="57"/>
      <c r="K706" s="57"/>
      <c r="L706" s="57"/>
      <c r="M706" s="57">
        <v>612.1</v>
      </c>
      <c r="N706" s="57"/>
      <c r="O706" s="57">
        <v>0.15</v>
      </c>
      <c r="P706" s="62">
        <f>RawData[[#This Row],[Value_USD_M]]*RawData[[#This Row],[Share_Est]]</f>
        <v>91.814999999999998</v>
      </c>
      <c r="Q706" s="57"/>
      <c r="R706" s="57"/>
      <c r="S706" s="58"/>
    </row>
    <row r="707" spans="2:19" x14ac:dyDescent="0.3">
      <c r="B707" s="56" t="s">
        <v>684</v>
      </c>
      <c r="C707" s="57">
        <v>2026</v>
      </c>
      <c r="D707" s="57" t="s">
        <v>653</v>
      </c>
      <c r="E707" s="57" t="s">
        <v>560</v>
      </c>
      <c r="F707" s="57" t="s">
        <v>549</v>
      </c>
      <c r="G707" s="57" t="s">
        <v>324</v>
      </c>
      <c r="H707" s="57" t="s">
        <v>141</v>
      </c>
      <c r="I707" s="57"/>
      <c r="J707" s="57"/>
      <c r="K707" s="57"/>
      <c r="L707" s="57"/>
      <c r="M707" s="57">
        <v>612.1</v>
      </c>
      <c r="N707" s="57"/>
      <c r="O707" s="57">
        <v>0.25</v>
      </c>
      <c r="P707" s="62">
        <f>RawData[[#This Row],[Value_USD_M]]*RawData[[#This Row],[Share_Est]]</f>
        <v>153.02500000000001</v>
      </c>
      <c r="Q707" s="57"/>
      <c r="R707" s="57"/>
      <c r="S707" s="58"/>
    </row>
    <row r="708" spans="2:19" x14ac:dyDescent="0.3">
      <c r="B708" s="56" t="s">
        <v>684</v>
      </c>
      <c r="C708" s="57">
        <v>2026</v>
      </c>
      <c r="D708" s="57" t="s">
        <v>653</v>
      </c>
      <c r="E708" s="57" t="s">
        <v>560</v>
      </c>
      <c r="F708" s="57" t="s">
        <v>549</v>
      </c>
      <c r="G708" s="57" t="s">
        <v>326</v>
      </c>
      <c r="H708" s="57" t="s">
        <v>594</v>
      </c>
      <c r="I708" s="57"/>
      <c r="J708" s="57"/>
      <c r="K708" s="57"/>
      <c r="L708" s="57"/>
      <c r="M708" s="57">
        <v>612.1</v>
      </c>
      <c r="N708" s="57"/>
      <c r="O708" s="57">
        <v>0.25</v>
      </c>
      <c r="P708" s="62">
        <f>RawData[[#This Row],[Value_USD_M]]*RawData[[#This Row],[Share_Est]]</f>
        <v>153.02500000000001</v>
      </c>
      <c r="Q708" s="57"/>
      <c r="R708" s="57"/>
      <c r="S708" s="58"/>
    </row>
    <row r="709" spans="2:19" x14ac:dyDescent="0.3">
      <c r="B709" s="56" t="s">
        <v>684</v>
      </c>
      <c r="C709" s="57">
        <v>2024</v>
      </c>
      <c r="D709" s="57" t="s">
        <v>615</v>
      </c>
      <c r="E709" s="57" t="s">
        <v>560</v>
      </c>
      <c r="F709" s="57" t="s">
        <v>548</v>
      </c>
      <c r="G709" s="57" t="s">
        <v>325</v>
      </c>
      <c r="H709" s="57" t="s">
        <v>23</v>
      </c>
      <c r="I709" s="57"/>
      <c r="J709" s="57"/>
      <c r="K709" s="57"/>
      <c r="L709" s="57"/>
      <c r="M709" s="57">
        <v>2814.9</v>
      </c>
      <c r="N709" s="57"/>
      <c r="O709" s="57">
        <v>0.4</v>
      </c>
      <c r="P709" s="62">
        <f>RawData[[#This Row],[Value_USD_M]]*RawData[[#This Row],[Share_Est]]</f>
        <v>1125.96</v>
      </c>
      <c r="Q709" s="57"/>
      <c r="R709" s="57"/>
      <c r="S709" s="58"/>
    </row>
    <row r="710" spans="2:19" x14ac:dyDescent="0.3">
      <c r="B710" s="56" t="s">
        <v>684</v>
      </c>
      <c r="C710" s="57">
        <v>2024</v>
      </c>
      <c r="D710" s="57" t="s">
        <v>615</v>
      </c>
      <c r="E710" s="57" t="s">
        <v>560</v>
      </c>
      <c r="F710" s="57" t="s">
        <v>548</v>
      </c>
      <c r="G710" s="57" t="s">
        <v>381</v>
      </c>
      <c r="H710" s="57" t="s">
        <v>585</v>
      </c>
      <c r="I710" s="57"/>
      <c r="J710" s="57"/>
      <c r="K710" s="57"/>
      <c r="L710" s="57"/>
      <c r="M710" s="57">
        <v>2814.9</v>
      </c>
      <c r="N710" s="57"/>
      <c r="O710" s="57">
        <v>0.1</v>
      </c>
      <c r="P710" s="62">
        <f>RawData[[#This Row],[Value_USD_M]]*RawData[[#This Row],[Share_Est]]</f>
        <v>281.49</v>
      </c>
      <c r="Q710" s="57"/>
      <c r="R710" s="57"/>
      <c r="S710" s="58"/>
    </row>
    <row r="711" spans="2:19" x14ac:dyDescent="0.3">
      <c r="B711" s="56" t="s">
        <v>684</v>
      </c>
      <c r="C711" s="57">
        <v>2024</v>
      </c>
      <c r="D711" s="57" t="s">
        <v>615</v>
      </c>
      <c r="E711" s="57" t="s">
        <v>560</v>
      </c>
      <c r="F711" s="57" t="s">
        <v>548</v>
      </c>
      <c r="G711" s="57" t="s">
        <v>324</v>
      </c>
      <c r="H711" s="57" t="s">
        <v>141</v>
      </c>
      <c r="I711" s="57"/>
      <c r="J711" s="57"/>
      <c r="K711" s="57"/>
      <c r="L711" s="57"/>
      <c r="M711" s="57">
        <v>2814.9</v>
      </c>
      <c r="N711" s="57"/>
      <c r="O711" s="57">
        <v>0.2</v>
      </c>
      <c r="P711" s="62">
        <f>RawData[[#This Row],[Value_USD_M]]*RawData[[#This Row],[Share_Est]]</f>
        <v>562.98</v>
      </c>
      <c r="Q711" s="57"/>
      <c r="R711" s="57"/>
      <c r="S711" s="58"/>
    </row>
    <row r="712" spans="2:19" x14ac:dyDescent="0.3">
      <c r="B712" s="56" t="s">
        <v>684</v>
      </c>
      <c r="C712" s="57">
        <v>2024</v>
      </c>
      <c r="D712" s="57" t="s">
        <v>615</v>
      </c>
      <c r="E712" s="57" t="s">
        <v>560</v>
      </c>
      <c r="F712" s="57" t="s">
        <v>548</v>
      </c>
      <c r="G712" s="57" t="s">
        <v>326</v>
      </c>
      <c r="H712" s="57" t="s">
        <v>594</v>
      </c>
      <c r="I712" s="57"/>
      <c r="J712" s="57"/>
      <c r="K712" s="57"/>
      <c r="L712" s="57"/>
      <c r="M712" s="57">
        <v>2814.9</v>
      </c>
      <c r="N712" s="57"/>
      <c r="O712" s="57">
        <v>0.3</v>
      </c>
      <c r="P712" s="62">
        <f>RawData[[#This Row],[Value_USD_M]]*RawData[[#This Row],[Share_Est]]</f>
        <v>844.47</v>
      </c>
      <c r="Q712" s="57"/>
      <c r="R712" s="57"/>
      <c r="S712" s="58"/>
    </row>
    <row r="713" spans="2:19" x14ac:dyDescent="0.3">
      <c r="B713" s="56" t="s">
        <v>684</v>
      </c>
      <c r="C713" s="57">
        <v>2025</v>
      </c>
      <c r="D713" s="57" t="s">
        <v>615</v>
      </c>
      <c r="E713" s="57" t="s">
        <v>560</v>
      </c>
      <c r="F713" s="57" t="s">
        <v>548</v>
      </c>
      <c r="G713" s="57" t="s">
        <v>325</v>
      </c>
      <c r="H713" s="57" t="s">
        <v>23</v>
      </c>
      <c r="I713" s="57"/>
      <c r="J713" s="57"/>
      <c r="K713" s="57"/>
      <c r="L713" s="57"/>
      <c r="M713" s="57">
        <v>905.1</v>
      </c>
      <c r="N713" s="57"/>
      <c r="O713" s="57">
        <v>0.4</v>
      </c>
      <c r="P713" s="62">
        <f>RawData[[#This Row],[Value_USD_M]]*RawData[[#This Row],[Share_Est]]</f>
        <v>362.04</v>
      </c>
      <c r="Q713" s="57"/>
      <c r="R713" s="57"/>
      <c r="S713" s="58"/>
    </row>
    <row r="714" spans="2:19" x14ac:dyDescent="0.3">
      <c r="B714" s="56" t="s">
        <v>684</v>
      </c>
      <c r="C714" s="57">
        <v>2025</v>
      </c>
      <c r="D714" s="57" t="s">
        <v>615</v>
      </c>
      <c r="E714" s="57" t="s">
        <v>560</v>
      </c>
      <c r="F714" s="57" t="s">
        <v>548</v>
      </c>
      <c r="G714" s="57" t="s">
        <v>381</v>
      </c>
      <c r="H714" s="57" t="s">
        <v>585</v>
      </c>
      <c r="I714" s="57"/>
      <c r="J714" s="57"/>
      <c r="K714" s="57"/>
      <c r="L714" s="57"/>
      <c r="M714" s="57">
        <v>905.1</v>
      </c>
      <c r="N714" s="57"/>
      <c r="O714" s="57">
        <v>0.1</v>
      </c>
      <c r="P714" s="62">
        <f>RawData[[#This Row],[Value_USD_M]]*RawData[[#This Row],[Share_Est]]</f>
        <v>90.51</v>
      </c>
      <c r="Q714" s="57"/>
      <c r="R714" s="57"/>
      <c r="S714" s="58"/>
    </row>
    <row r="715" spans="2:19" x14ac:dyDescent="0.3">
      <c r="B715" s="56" t="s">
        <v>684</v>
      </c>
      <c r="C715" s="57">
        <v>2025</v>
      </c>
      <c r="D715" s="57" t="s">
        <v>615</v>
      </c>
      <c r="E715" s="57" t="s">
        <v>560</v>
      </c>
      <c r="F715" s="57" t="s">
        <v>548</v>
      </c>
      <c r="G715" s="57" t="s">
        <v>324</v>
      </c>
      <c r="H715" s="57" t="s">
        <v>141</v>
      </c>
      <c r="I715" s="57"/>
      <c r="J715" s="57"/>
      <c r="K715" s="57"/>
      <c r="L715" s="57"/>
      <c r="M715" s="57">
        <v>905.1</v>
      </c>
      <c r="N715" s="57"/>
      <c r="O715" s="57">
        <v>0.2</v>
      </c>
      <c r="P715" s="62">
        <f>RawData[[#This Row],[Value_USD_M]]*RawData[[#This Row],[Share_Est]]</f>
        <v>181.02</v>
      </c>
      <c r="Q715" s="57"/>
      <c r="R715" s="57"/>
      <c r="S715" s="58"/>
    </row>
    <row r="716" spans="2:19" x14ac:dyDescent="0.3">
      <c r="B716" s="56" t="s">
        <v>684</v>
      </c>
      <c r="C716" s="57">
        <v>2025</v>
      </c>
      <c r="D716" s="57" t="s">
        <v>615</v>
      </c>
      <c r="E716" s="57" t="s">
        <v>560</v>
      </c>
      <c r="F716" s="57" t="s">
        <v>548</v>
      </c>
      <c r="G716" s="57" t="s">
        <v>326</v>
      </c>
      <c r="H716" s="57" t="s">
        <v>594</v>
      </c>
      <c r="I716" s="57"/>
      <c r="J716" s="57"/>
      <c r="K716" s="57"/>
      <c r="L716" s="57"/>
      <c r="M716" s="57">
        <v>905.1</v>
      </c>
      <c r="N716" s="57"/>
      <c r="O716" s="57">
        <v>0.3</v>
      </c>
      <c r="P716" s="62">
        <f>RawData[[#This Row],[Value_USD_M]]*RawData[[#This Row],[Share_Est]]</f>
        <v>271.52999999999997</v>
      </c>
      <c r="Q716" s="57"/>
      <c r="R716" s="57"/>
      <c r="S716" s="58"/>
    </row>
    <row r="717" spans="2:19" x14ac:dyDescent="0.3">
      <c r="B717" s="56" t="s">
        <v>684</v>
      </c>
      <c r="C717" s="57">
        <v>2026</v>
      </c>
      <c r="D717" s="57" t="s">
        <v>615</v>
      </c>
      <c r="E717" s="57" t="s">
        <v>560</v>
      </c>
      <c r="F717" s="57" t="s">
        <v>548</v>
      </c>
      <c r="G717" s="57" t="s">
        <v>325</v>
      </c>
      <c r="H717" s="57" t="s">
        <v>23</v>
      </c>
      <c r="I717" s="57"/>
      <c r="J717" s="57"/>
      <c r="K717" s="57"/>
      <c r="L717" s="57"/>
      <c r="M717" s="57">
        <v>1311.9</v>
      </c>
      <c r="N717" s="57"/>
      <c r="O717" s="57">
        <v>0.4</v>
      </c>
      <c r="P717" s="62">
        <f>RawData[[#This Row],[Value_USD_M]]*RawData[[#This Row],[Share_Est]]</f>
        <v>524.7600000000001</v>
      </c>
      <c r="Q717" s="57"/>
      <c r="R717" s="57"/>
      <c r="S717" s="58"/>
    </row>
    <row r="718" spans="2:19" x14ac:dyDescent="0.3">
      <c r="B718" s="56" t="s">
        <v>684</v>
      </c>
      <c r="C718" s="57">
        <v>2026</v>
      </c>
      <c r="D718" s="57" t="s">
        <v>615</v>
      </c>
      <c r="E718" s="57" t="s">
        <v>560</v>
      </c>
      <c r="F718" s="57" t="s">
        <v>548</v>
      </c>
      <c r="G718" s="57" t="s">
        <v>381</v>
      </c>
      <c r="H718" s="57" t="s">
        <v>585</v>
      </c>
      <c r="L718" s="57"/>
      <c r="M718" s="57">
        <v>1311.9</v>
      </c>
      <c r="O718" s="57">
        <v>0.1</v>
      </c>
      <c r="P718" s="61">
        <f>RawData[[#This Row],[Value_USD_M]]*RawData[[#This Row],[Share_Est]]</f>
        <v>131.19000000000003</v>
      </c>
      <c r="S718" s="52"/>
    </row>
    <row r="719" spans="2:19" x14ac:dyDescent="0.3">
      <c r="B719" s="56" t="s">
        <v>684</v>
      </c>
      <c r="C719" s="57">
        <v>2026</v>
      </c>
      <c r="D719" s="57" t="s">
        <v>615</v>
      </c>
      <c r="E719" s="57" t="s">
        <v>560</v>
      </c>
      <c r="F719" s="57" t="s">
        <v>548</v>
      </c>
      <c r="G719" s="57" t="s">
        <v>324</v>
      </c>
      <c r="H719" s="57" t="s">
        <v>141</v>
      </c>
      <c r="L719" s="57"/>
      <c r="M719" s="57">
        <v>1311.9</v>
      </c>
      <c r="O719" s="57">
        <v>0.2</v>
      </c>
      <c r="P719" s="61">
        <f>RawData[[#This Row],[Value_USD_M]]*RawData[[#This Row],[Share_Est]]</f>
        <v>262.38000000000005</v>
      </c>
      <c r="S719" s="52"/>
    </row>
    <row r="720" spans="2:19" x14ac:dyDescent="0.3">
      <c r="B720" s="56" t="s">
        <v>684</v>
      </c>
      <c r="C720" s="57">
        <v>2026</v>
      </c>
      <c r="D720" s="57" t="s">
        <v>615</v>
      </c>
      <c r="E720" s="57" t="s">
        <v>560</v>
      </c>
      <c r="F720" s="57" t="s">
        <v>548</v>
      </c>
      <c r="G720" s="57" t="s">
        <v>326</v>
      </c>
      <c r="H720" s="57" t="s">
        <v>594</v>
      </c>
      <c r="L720" s="57"/>
      <c r="M720" s="57">
        <v>1311.9</v>
      </c>
      <c r="O720" s="57">
        <v>0.3</v>
      </c>
      <c r="P720" s="61">
        <f>RawData[[#This Row],[Value_USD_M]]*RawData[[#This Row],[Share_Est]]</f>
        <v>393.57</v>
      </c>
      <c r="S720" s="52"/>
    </row>
    <row r="721" spans="2:19" x14ac:dyDescent="0.3">
      <c r="B721" s="56" t="s">
        <v>534</v>
      </c>
      <c r="C721" s="57">
        <v>2024</v>
      </c>
      <c r="D721" s="57" t="s">
        <v>615</v>
      </c>
      <c r="E721" s="57" t="s">
        <v>560</v>
      </c>
      <c r="F721" s="57" t="s">
        <v>549</v>
      </c>
      <c r="G721" s="57" t="s">
        <v>326</v>
      </c>
      <c r="H721" s="57" t="s">
        <v>594</v>
      </c>
      <c r="I721" s="57"/>
      <c r="J721" s="57"/>
      <c r="K721" s="57"/>
      <c r="L721" s="57"/>
      <c r="M721" s="57">
        <v>973.4</v>
      </c>
      <c r="N721" s="57"/>
      <c r="O721" s="57">
        <v>0.4</v>
      </c>
      <c r="P721" s="62">
        <f>RawData[[#This Row],[Value_USD_M]]*RawData[[#This Row],[Share_Est]]</f>
        <v>389.36</v>
      </c>
      <c r="Q721" s="57"/>
      <c r="R721" s="57"/>
      <c r="S721" s="58"/>
    </row>
    <row r="722" spans="2:19" x14ac:dyDescent="0.3">
      <c r="B722" s="56" t="s">
        <v>534</v>
      </c>
      <c r="C722" s="57">
        <v>2024</v>
      </c>
      <c r="D722" s="57" t="s">
        <v>615</v>
      </c>
      <c r="E722" s="57" t="s">
        <v>560</v>
      </c>
      <c r="F722" s="57" t="s">
        <v>549</v>
      </c>
      <c r="G722" s="57" t="s">
        <v>324</v>
      </c>
      <c r="H722" s="57" t="s">
        <v>141</v>
      </c>
      <c r="I722" s="57"/>
      <c r="J722" s="57"/>
      <c r="K722" s="57"/>
      <c r="L722" s="57"/>
      <c r="M722" s="57">
        <v>973.4</v>
      </c>
      <c r="N722" s="57"/>
      <c r="O722" s="57">
        <v>0.25</v>
      </c>
      <c r="P722" s="62">
        <f>RawData[[#This Row],[Value_USD_M]]*RawData[[#This Row],[Share_Est]]</f>
        <v>243.35</v>
      </c>
      <c r="Q722" s="57"/>
      <c r="R722" s="57"/>
      <c r="S722" s="58"/>
    </row>
    <row r="723" spans="2:19" x14ac:dyDescent="0.3">
      <c r="B723" s="56" t="s">
        <v>534</v>
      </c>
      <c r="C723" s="57">
        <v>2024</v>
      </c>
      <c r="D723" s="57" t="s">
        <v>615</v>
      </c>
      <c r="E723" s="57" t="s">
        <v>560</v>
      </c>
      <c r="F723" s="57" t="s">
        <v>549</v>
      </c>
      <c r="G723" s="57" t="s">
        <v>660</v>
      </c>
      <c r="H723" s="57" t="s">
        <v>687</v>
      </c>
      <c r="I723" s="57"/>
      <c r="J723" s="57"/>
      <c r="K723" s="57"/>
      <c r="L723" s="57"/>
      <c r="M723" s="57">
        <v>973.4</v>
      </c>
      <c r="N723" s="57"/>
      <c r="O723" s="57">
        <v>0.25</v>
      </c>
      <c r="P723" s="62">
        <f>RawData[[#This Row],[Value_USD_M]]*RawData[[#This Row],[Share_Est]]</f>
        <v>243.35</v>
      </c>
      <c r="Q723" s="57"/>
      <c r="R723" s="57"/>
      <c r="S723" s="58"/>
    </row>
    <row r="724" spans="2:19" x14ac:dyDescent="0.3">
      <c r="B724" s="56" t="s">
        <v>534</v>
      </c>
      <c r="C724" s="57">
        <v>2024</v>
      </c>
      <c r="D724" s="57" t="s">
        <v>615</v>
      </c>
      <c r="E724" s="57" t="s">
        <v>560</v>
      </c>
      <c r="F724" s="57" t="s">
        <v>549</v>
      </c>
      <c r="G724" s="57" t="s">
        <v>686</v>
      </c>
      <c r="H724" s="57"/>
      <c r="I724" s="57"/>
      <c r="J724" s="57"/>
      <c r="K724" s="57"/>
      <c r="L724" s="57"/>
      <c r="M724" s="57">
        <v>973.4</v>
      </c>
      <c r="N724" s="57"/>
      <c r="O724" s="57">
        <v>0.1</v>
      </c>
      <c r="P724" s="62">
        <f>RawData[[#This Row],[Value_USD_M]]*RawData[[#This Row],[Share_Est]]</f>
        <v>97.34</v>
      </c>
      <c r="Q724" s="57"/>
      <c r="R724" s="57"/>
      <c r="S724" s="58"/>
    </row>
    <row r="725" spans="2:19" x14ac:dyDescent="0.3">
      <c r="B725" s="56" t="s">
        <v>534</v>
      </c>
      <c r="C725" s="57">
        <v>2025</v>
      </c>
      <c r="D725" s="57" t="s">
        <v>615</v>
      </c>
      <c r="E725" s="57" t="s">
        <v>560</v>
      </c>
      <c r="F725" s="57" t="s">
        <v>549</v>
      </c>
      <c r="G725" s="57" t="s">
        <v>326</v>
      </c>
      <c r="H725" s="57" t="s">
        <v>594</v>
      </c>
      <c r="I725" s="57"/>
      <c r="J725" s="57"/>
      <c r="K725" s="57"/>
      <c r="L725" s="57"/>
      <c r="M725" s="57">
        <v>469.8</v>
      </c>
      <c r="N725" s="57"/>
      <c r="O725" s="57">
        <v>0.4</v>
      </c>
      <c r="P725" s="62">
        <f>RawData[[#This Row],[Value_USD_M]]*RawData[[#This Row],[Share_Est]]</f>
        <v>187.92000000000002</v>
      </c>
      <c r="Q725" s="57"/>
      <c r="R725" s="57"/>
      <c r="S725" s="58"/>
    </row>
    <row r="726" spans="2:19" x14ac:dyDescent="0.3">
      <c r="B726" s="56" t="s">
        <v>534</v>
      </c>
      <c r="C726" s="57">
        <v>2025</v>
      </c>
      <c r="D726" s="57" t="s">
        <v>615</v>
      </c>
      <c r="E726" s="57" t="s">
        <v>560</v>
      </c>
      <c r="F726" s="57" t="s">
        <v>549</v>
      </c>
      <c r="G726" s="57" t="s">
        <v>324</v>
      </c>
      <c r="H726" s="57" t="s">
        <v>141</v>
      </c>
      <c r="I726" s="57"/>
      <c r="J726" s="57"/>
      <c r="K726" s="57"/>
      <c r="L726" s="57"/>
      <c r="M726" s="57">
        <v>469.8</v>
      </c>
      <c r="N726" s="57"/>
      <c r="O726" s="57">
        <v>0.25</v>
      </c>
      <c r="P726" s="62">
        <f>RawData[[#This Row],[Value_USD_M]]*RawData[[#This Row],[Share_Est]]</f>
        <v>117.45</v>
      </c>
      <c r="Q726" s="57"/>
      <c r="R726" s="57"/>
      <c r="S726" s="58"/>
    </row>
    <row r="727" spans="2:19" x14ac:dyDescent="0.3">
      <c r="B727" s="56" t="s">
        <v>534</v>
      </c>
      <c r="C727" s="57">
        <v>2025</v>
      </c>
      <c r="D727" s="57" t="s">
        <v>615</v>
      </c>
      <c r="E727" s="57" t="s">
        <v>560</v>
      </c>
      <c r="F727" s="57" t="s">
        <v>549</v>
      </c>
      <c r="G727" s="57" t="s">
        <v>660</v>
      </c>
      <c r="H727" s="57" t="s">
        <v>687</v>
      </c>
      <c r="I727" s="57"/>
      <c r="J727" s="57"/>
      <c r="K727" s="57"/>
      <c r="L727" s="57"/>
      <c r="M727" s="57">
        <v>469.8</v>
      </c>
      <c r="N727" s="57"/>
      <c r="O727" s="57">
        <v>0.25</v>
      </c>
      <c r="P727" s="62">
        <f>RawData[[#This Row],[Value_USD_M]]*RawData[[#This Row],[Share_Est]]</f>
        <v>117.45</v>
      </c>
      <c r="Q727" s="57"/>
      <c r="R727" s="57"/>
      <c r="S727" s="58"/>
    </row>
    <row r="728" spans="2:19" x14ac:dyDescent="0.3">
      <c r="B728" s="56" t="s">
        <v>534</v>
      </c>
      <c r="C728" s="57">
        <v>2025</v>
      </c>
      <c r="D728" s="57" t="s">
        <v>615</v>
      </c>
      <c r="E728" s="57" t="s">
        <v>560</v>
      </c>
      <c r="F728" s="57" t="s">
        <v>549</v>
      </c>
      <c r="G728" s="57" t="s">
        <v>686</v>
      </c>
      <c r="H728" s="57"/>
      <c r="I728" s="57"/>
      <c r="J728" s="57"/>
      <c r="K728" s="57"/>
      <c r="L728" s="57"/>
      <c r="M728" s="57">
        <v>469.8</v>
      </c>
      <c r="N728" s="57"/>
      <c r="O728" s="57">
        <v>0.1</v>
      </c>
      <c r="P728" s="62">
        <f>RawData[[#This Row],[Value_USD_M]]*RawData[[#This Row],[Share_Est]]</f>
        <v>46.980000000000004</v>
      </c>
      <c r="Q728" s="57"/>
      <c r="R728" s="57"/>
      <c r="S728" s="58"/>
    </row>
    <row r="729" spans="2:19" x14ac:dyDescent="0.3">
      <c r="B729" s="56" t="s">
        <v>534</v>
      </c>
      <c r="C729" s="57">
        <v>2026</v>
      </c>
      <c r="D729" s="57" t="s">
        <v>615</v>
      </c>
      <c r="E729" s="57" t="s">
        <v>560</v>
      </c>
      <c r="F729" s="57" t="s">
        <v>549</v>
      </c>
      <c r="G729" s="57" t="s">
        <v>326</v>
      </c>
      <c r="H729" s="57" t="s">
        <v>594</v>
      </c>
      <c r="I729" s="57"/>
      <c r="J729" s="57"/>
      <c r="K729" s="57"/>
      <c r="L729" s="57"/>
      <c r="M729" s="57">
        <v>538</v>
      </c>
      <c r="N729" s="57"/>
      <c r="O729" s="57">
        <v>0.4</v>
      </c>
      <c r="P729" s="62">
        <f>RawData[[#This Row],[Value_USD_M]]*RawData[[#This Row],[Share_Est]]</f>
        <v>215.20000000000002</v>
      </c>
      <c r="Q729" s="57"/>
      <c r="R729" s="57"/>
      <c r="S729" s="58"/>
    </row>
    <row r="730" spans="2:19" x14ac:dyDescent="0.3">
      <c r="B730" s="56" t="s">
        <v>534</v>
      </c>
      <c r="C730" s="57">
        <v>2026</v>
      </c>
      <c r="D730" s="57" t="s">
        <v>615</v>
      </c>
      <c r="E730" s="57" t="s">
        <v>560</v>
      </c>
      <c r="F730" s="57" t="s">
        <v>549</v>
      </c>
      <c r="G730" s="57" t="s">
        <v>324</v>
      </c>
      <c r="H730" s="57" t="s">
        <v>141</v>
      </c>
      <c r="I730" s="57"/>
      <c r="J730" s="57"/>
      <c r="K730" s="57"/>
      <c r="L730" s="57"/>
      <c r="M730" s="57">
        <v>538</v>
      </c>
      <c r="N730" s="57"/>
      <c r="O730" s="57">
        <v>0.25</v>
      </c>
      <c r="P730" s="62">
        <f>RawData[[#This Row],[Value_USD_M]]*RawData[[#This Row],[Share_Est]]</f>
        <v>134.5</v>
      </c>
      <c r="Q730" s="57"/>
      <c r="R730" s="57"/>
      <c r="S730" s="58"/>
    </row>
    <row r="731" spans="2:19" x14ac:dyDescent="0.3">
      <c r="B731" s="56" t="s">
        <v>534</v>
      </c>
      <c r="C731" s="57">
        <v>2026</v>
      </c>
      <c r="D731" s="57" t="s">
        <v>615</v>
      </c>
      <c r="E731" s="57" t="s">
        <v>560</v>
      </c>
      <c r="F731" s="57" t="s">
        <v>549</v>
      </c>
      <c r="G731" s="57" t="s">
        <v>660</v>
      </c>
      <c r="H731" s="57" t="s">
        <v>687</v>
      </c>
      <c r="I731" s="57"/>
      <c r="J731" s="57"/>
      <c r="K731" s="57"/>
      <c r="L731" s="57"/>
      <c r="M731" s="57">
        <v>538</v>
      </c>
      <c r="N731" s="57"/>
      <c r="O731" s="57">
        <v>0.25</v>
      </c>
      <c r="P731" s="62">
        <f>RawData[[#This Row],[Value_USD_M]]*RawData[[#This Row],[Share_Est]]</f>
        <v>134.5</v>
      </c>
      <c r="Q731" s="57"/>
      <c r="R731" s="57"/>
      <c r="S731" s="58"/>
    </row>
    <row r="732" spans="2:19" x14ac:dyDescent="0.3">
      <c r="B732" s="56" t="s">
        <v>534</v>
      </c>
      <c r="C732" s="57">
        <v>2026</v>
      </c>
      <c r="D732" s="57" t="s">
        <v>615</v>
      </c>
      <c r="E732" s="57" t="s">
        <v>560</v>
      </c>
      <c r="F732" s="57" t="s">
        <v>549</v>
      </c>
      <c r="G732" s="57" t="s">
        <v>686</v>
      </c>
      <c r="H732" s="57"/>
      <c r="I732" s="57"/>
      <c r="J732" s="57"/>
      <c r="K732" s="57"/>
      <c r="L732" s="57"/>
      <c r="M732" s="57">
        <v>538</v>
      </c>
      <c r="N732" s="57"/>
      <c r="O732" s="57">
        <v>0.1</v>
      </c>
      <c r="P732" s="62">
        <f>RawData[[#This Row],[Value_USD_M]]*RawData[[#This Row],[Share_Est]]</f>
        <v>53.800000000000004</v>
      </c>
      <c r="Q732" s="57"/>
      <c r="R732" s="57"/>
      <c r="S732" s="58"/>
    </row>
    <row r="733" spans="2:19" x14ac:dyDescent="0.3">
      <c r="B733" s="56" t="s">
        <v>534</v>
      </c>
      <c r="C733" s="57">
        <v>2024</v>
      </c>
      <c r="D733" s="57" t="s">
        <v>615</v>
      </c>
      <c r="E733" s="57" t="s">
        <v>560</v>
      </c>
      <c r="F733" s="57" t="s">
        <v>548</v>
      </c>
      <c r="G733" s="57" t="s">
        <v>326</v>
      </c>
      <c r="H733" s="57" t="s">
        <v>594</v>
      </c>
      <c r="I733" s="57"/>
      <c r="J733" s="57"/>
      <c r="K733" s="57"/>
      <c r="L733" s="57"/>
      <c r="M733" s="57">
        <v>62.8</v>
      </c>
      <c r="N733" s="57"/>
      <c r="O733" s="57">
        <v>0.4</v>
      </c>
      <c r="P733" s="62">
        <f>RawData[[#This Row],[Value_USD_M]]*RawData[[#This Row],[Share_Est]]</f>
        <v>25.12</v>
      </c>
      <c r="Q733" s="57"/>
      <c r="R733" s="57"/>
      <c r="S733" s="58"/>
    </row>
    <row r="734" spans="2:19" x14ac:dyDescent="0.3">
      <c r="B734" s="56" t="s">
        <v>534</v>
      </c>
      <c r="C734" s="57">
        <v>2024</v>
      </c>
      <c r="D734" s="57" t="s">
        <v>615</v>
      </c>
      <c r="E734" s="57" t="s">
        <v>560</v>
      </c>
      <c r="F734" s="57" t="s">
        <v>548</v>
      </c>
      <c r="G734" s="57" t="s">
        <v>324</v>
      </c>
      <c r="H734" s="57" t="s">
        <v>141</v>
      </c>
      <c r="I734" s="57"/>
      <c r="J734" s="57"/>
      <c r="K734" s="57"/>
      <c r="L734" s="57"/>
      <c r="M734" s="57">
        <v>62.8</v>
      </c>
      <c r="N734" s="57"/>
      <c r="O734" s="57">
        <v>0.25</v>
      </c>
      <c r="P734" s="62">
        <f>RawData[[#This Row],[Value_USD_M]]*RawData[[#This Row],[Share_Est]]</f>
        <v>15.7</v>
      </c>
      <c r="Q734" s="57"/>
      <c r="R734" s="57"/>
      <c r="S734" s="58"/>
    </row>
    <row r="735" spans="2:19" x14ac:dyDescent="0.3">
      <c r="B735" s="56" t="s">
        <v>534</v>
      </c>
      <c r="C735" s="57">
        <v>2024</v>
      </c>
      <c r="D735" s="57" t="s">
        <v>615</v>
      </c>
      <c r="E735" s="57" t="s">
        <v>560</v>
      </c>
      <c r="F735" s="57" t="s">
        <v>548</v>
      </c>
      <c r="G735" s="57" t="s">
        <v>660</v>
      </c>
      <c r="H735" s="57" t="s">
        <v>687</v>
      </c>
      <c r="I735" s="57"/>
      <c r="J735" s="57"/>
      <c r="K735" s="57"/>
      <c r="L735" s="57"/>
      <c r="M735" s="57">
        <v>62.8</v>
      </c>
      <c r="N735" s="57"/>
      <c r="O735" s="57">
        <v>0.25</v>
      </c>
      <c r="P735" s="62">
        <f>RawData[[#This Row],[Value_USD_M]]*RawData[[#This Row],[Share_Est]]</f>
        <v>15.7</v>
      </c>
      <c r="Q735" s="57"/>
      <c r="R735" s="57"/>
      <c r="S735" s="58"/>
    </row>
    <row r="736" spans="2:19" x14ac:dyDescent="0.3">
      <c r="B736" s="56" t="s">
        <v>534</v>
      </c>
      <c r="C736" s="57">
        <v>2024</v>
      </c>
      <c r="D736" s="57" t="s">
        <v>615</v>
      </c>
      <c r="E736" s="57" t="s">
        <v>560</v>
      </c>
      <c r="F736" s="57" t="s">
        <v>548</v>
      </c>
      <c r="G736" s="57" t="s">
        <v>686</v>
      </c>
      <c r="H736" s="57"/>
      <c r="I736" s="57"/>
      <c r="J736" s="57"/>
      <c r="K736" s="57"/>
      <c r="L736" s="57"/>
      <c r="M736" s="57">
        <v>62.8</v>
      </c>
      <c r="N736" s="57"/>
      <c r="O736" s="57">
        <v>0.1</v>
      </c>
      <c r="P736" s="62">
        <f>RawData[[#This Row],[Value_USD_M]]*RawData[[#This Row],[Share_Est]]</f>
        <v>6.28</v>
      </c>
      <c r="Q736" s="57"/>
      <c r="R736" s="57"/>
      <c r="S736" s="58"/>
    </row>
    <row r="737" spans="2:19" x14ac:dyDescent="0.3">
      <c r="B737" s="56" t="s">
        <v>534</v>
      </c>
      <c r="C737" s="57">
        <v>2025</v>
      </c>
      <c r="D737" s="57" t="s">
        <v>615</v>
      </c>
      <c r="E737" s="57" t="s">
        <v>560</v>
      </c>
      <c r="F737" s="57" t="s">
        <v>548</v>
      </c>
      <c r="G737" s="57" t="s">
        <v>326</v>
      </c>
      <c r="H737" s="57" t="s">
        <v>594</v>
      </c>
      <c r="I737" s="57"/>
      <c r="J737" s="57"/>
      <c r="K737" s="57"/>
      <c r="L737" s="57"/>
      <c r="M737" s="57">
        <v>669.2</v>
      </c>
      <c r="N737" s="57"/>
      <c r="O737" s="57">
        <v>0.4</v>
      </c>
      <c r="P737" s="62">
        <f>RawData[[#This Row],[Value_USD_M]]*RawData[[#This Row],[Share_Est]]</f>
        <v>267.68</v>
      </c>
      <c r="Q737" s="57"/>
      <c r="R737" s="57"/>
      <c r="S737" s="58"/>
    </row>
    <row r="738" spans="2:19" x14ac:dyDescent="0.3">
      <c r="B738" s="56" t="s">
        <v>534</v>
      </c>
      <c r="C738" s="57">
        <v>2025</v>
      </c>
      <c r="D738" s="57" t="s">
        <v>615</v>
      </c>
      <c r="E738" s="57" t="s">
        <v>560</v>
      </c>
      <c r="F738" s="57" t="s">
        <v>548</v>
      </c>
      <c r="G738" s="57" t="s">
        <v>324</v>
      </c>
      <c r="H738" s="57" t="s">
        <v>141</v>
      </c>
      <c r="I738" s="57"/>
      <c r="J738" s="57"/>
      <c r="K738" s="57"/>
      <c r="L738" s="57"/>
      <c r="M738" s="57">
        <v>669.2</v>
      </c>
      <c r="N738" s="57"/>
      <c r="O738" s="57">
        <v>0.25</v>
      </c>
      <c r="P738" s="62">
        <f>RawData[[#This Row],[Value_USD_M]]*RawData[[#This Row],[Share_Est]]</f>
        <v>167.3</v>
      </c>
      <c r="Q738" s="57"/>
      <c r="R738" s="57"/>
      <c r="S738" s="58"/>
    </row>
    <row r="739" spans="2:19" x14ac:dyDescent="0.3">
      <c r="B739" s="56" t="s">
        <v>534</v>
      </c>
      <c r="C739" s="57">
        <v>2025</v>
      </c>
      <c r="D739" s="57" t="s">
        <v>615</v>
      </c>
      <c r="E739" s="57" t="s">
        <v>560</v>
      </c>
      <c r="F739" s="57" t="s">
        <v>548</v>
      </c>
      <c r="G739" s="57" t="s">
        <v>660</v>
      </c>
      <c r="H739" s="57" t="s">
        <v>687</v>
      </c>
      <c r="I739" s="57"/>
      <c r="J739" s="57"/>
      <c r="K739" s="57"/>
      <c r="L739" s="57"/>
      <c r="M739" s="57">
        <v>669.2</v>
      </c>
      <c r="N739" s="57"/>
      <c r="O739" s="57">
        <v>0.25</v>
      </c>
      <c r="P739" s="62">
        <f>RawData[[#This Row],[Value_USD_M]]*RawData[[#This Row],[Share_Est]]</f>
        <v>167.3</v>
      </c>
      <c r="Q739" s="57"/>
      <c r="R739" s="57"/>
      <c r="S739" s="58"/>
    </row>
    <row r="740" spans="2:19" x14ac:dyDescent="0.3">
      <c r="B740" s="56" t="s">
        <v>534</v>
      </c>
      <c r="C740" s="57">
        <v>2025</v>
      </c>
      <c r="D740" s="57" t="s">
        <v>615</v>
      </c>
      <c r="E740" s="57" t="s">
        <v>560</v>
      </c>
      <c r="F740" s="57" t="s">
        <v>548</v>
      </c>
      <c r="G740" s="57" t="s">
        <v>686</v>
      </c>
      <c r="H740" s="57"/>
      <c r="I740" s="57"/>
      <c r="J740" s="57"/>
      <c r="K740" s="57"/>
      <c r="L740" s="57"/>
      <c r="M740" s="57">
        <v>669.2</v>
      </c>
      <c r="N740" s="57"/>
      <c r="O740" s="57">
        <v>0.1</v>
      </c>
      <c r="P740" s="62">
        <f>RawData[[#This Row],[Value_USD_M]]*RawData[[#This Row],[Share_Est]]</f>
        <v>66.92</v>
      </c>
      <c r="Q740" s="57"/>
      <c r="R740" s="57"/>
      <c r="S740" s="58"/>
    </row>
    <row r="741" spans="2:19" x14ac:dyDescent="0.3">
      <c r="B741" s="56" t="s">
        <v>534</v>
      </c>
      <c r="C741" s="57">
        <v>2026</v>
      </c>
      <c r="D741" s="57" t="s">
        <v>615</v>
      </c>
      <c r="E741" s="57" t="s">
        <v>560</v>
      </c>
      <c r="F741" s="57" t="s">
        <v>548</v>
      </c>
      <c r="G741" s="57" t="s">
        <v>326</v>
      </c>
      <c r="H741" s="57" t="s">
        <v>594</v>
      </c>
      <c r="I741" s="57"/>
      <c r="J741" s="57"/>
      <c r="K741" s="57"/>
      <c r="L741" s="57"/>
      <c r="M741" s="57">
        <v>438.4</v>
      </c>
      <c r="N741" s="57"/>
      <c r="O741" s="57">
        <v>0.4</v>
      </c>
      <c r="P741" s="62">
        <f>RawData[[#This Row],[Value_USD_M]]*RawData[[#This Row],[Share_Est]]</f>
        <v>175.36</v>
      </c>
      <c r="Q741" s="57"/>
      <c r="R741" s="57"/>
      <c r="S741" s="58"/>
    </row>
    <row r="742" spans="2:19" x14ac:dyDescent="0.3">
      <c r="B742" s="56" t="s">
        <v>534</v>
      </c>
      <c r="C742" s="57">
        <v>2026</v>
      </c>
      <c r="D742" s="57" t="s">
        <v>615</v>
      </c>
      <c r="E742" s="57" t="s">
        <v>560</v>
      </c>
      <c r="F742" s="57" t="s">
        <v>548</v>
      </c>
      <c r="G742" s="57" t="s">
        <v>324</v>
      </c>
      <c r="H742" s="57" t="s">
        <v>141</v>
      </c>
      <c r="L742" s="57"/>
      <c r="M742" s="57">
        <v>438.4</v>
      </c>
      <c r="O742" s="57">
        <v>0.25</v>
      </c>
      <c r="P742" s="61">
        <f>RawData[[#This Row],[Value_USD_M]]*RawData[[#This Row],[Share_Est]]</f>
        <v>109.6</v>
      </c>
      <c r="S742" s="52"/>
    </row>
    <row r="743" spans="2:19" x14ac:dyDescent="0.3">
      <c r="B743" s="56" t="s">
        <v>534</v>
      </c>
      <c r="C743" s="57">
        <v>2026</v>
      </c>
      <c r="D743" s="57" t="s">
        <v>615</v>
      </c>
      <c r="E743" s="57" t="s">
        <v>560</v>
      </c>
      <c r="F743" s="57" t="s">
        <v>548</v>
      </c>
      <c r="G743" s="57" t="s">
        <v>660</v>
      </c>
      <c r="H743" s="57" t="s">
        <v>687</v>
      </c>
      <c r="L743" s="57"/>
      <c r="M743" s="57">
        <v>438.4</v>
      </c>
      <c r="O743" s="57">
        <v>0.25</v>
      </c>
      <c r="P743" s="61">
        <f>RawData[[#This Row],[Value_USD_M]]*RawData[[#This Row],[Share_Est]]</f>
        <v>109.6</v>
      </c>
      <c r="S743" s="52"/>
    </row>
    <row r="744" spans="2:19" x14ac:dyDescent="0.3">
      <c r="B744" s="56" t="s">
        <v>534</v>
      </c>
      <c r="C744" s="57">
        <v>2026</v>
      </c>
      <c r="D744" s="57" t="s">
        <v>615</v>
      </c>
      <c r="E744" s="57" t="s">
        <v>560</v>
      </c>
      <c r="F744" s="57" t="s">
        <v>548</v>
      </c>
      <c r="G744" s="57" t="s">
        <v>686</v>
      </c>
      <c r="H744" s="57"/>
      <c r="L744" s="57"/>
      <c r="M744" s="57">
        <v>438.4</v>
      </c>
      <c r="O744" s="57">
        <v>0.1</v>
      </c>
      <c r="P744" s="61">
        <f>RawData[[#This Row],[Value_USD_M]]*RawData[[#This Row],[Share_Est]]</f>
        <v>43.84</v>
      </c>
      <c r="S744" s="52"/>
    </row>
    <row r="745" spans="2:19" x14ac:dyDescent="0.3">
      <c r="B745" s="56" t="s">
        <v>536</v>
      </c>
      <c r="C745" s="57">
        <v>2024</v>
      </c>
      <c r="D745" s="57" t="s">
        <v>546</v>
      </c>
      <c r="E745" s="57" t="s">
        <v>560</v>
      </c>
      <c r="F745" s="57" t="s">
        <v>549</v>
      </c>
      <c r="G745" s="57" t="s">
        <v>325</v>
      </c>
      <c r="H745" s="57" t="s">
        <v>23</v>
      </c>
      <c r="I745" s="57"/>
      <c r="J745" s="57"/>
      <c r="K745" s="57"/>
      <c r="L745" s="57"/>
      <c r="M745" s="57">
        <v>333.3</v>
      </c>
      <c r="N745" s="57"/>
      <c r="O745" s="57">
        <v>0.65</v>
      </c>
      <c r="P745" s="62">
        <f>RawData[[#This Row],[Value_USD_M]]*RawData[[#This Row],[Share_Est]]</f>
        <v>216.64500000000001</v>
      </c>
      <c r="Q745" s="57"/>
      <c r="R745" s="57"/>
      <c r="S745" s="58"/>
    </row>
    <row r="746" spans="2:19" x14ac:dyDescent="0.3">
      <c r="B746" s="56" t="s">
        <v>536</v>
      </c>
      <c r="C746" s="57">
        <v>2025</v>
      </c>
      <c r="D746" s="57" t="s">
        <v>546</v>
      </c>
      <c r="E746" s="57" t="s">
        <v>560</v>
      </c>
      <c r="F746" s="57" t="s">
        <v>549</v>
      </c>
      <c r="G746" s="57" t="s">
        <v>324</v>
      </c>
      <c r="H746" s="57" t="s">
        <v>141</v>
      </c>
      <c r="I746" s="57"/>
      <c r="J746" s="57"/>
      <c r="K746" s="57"/>
      <c r="L746" s="57"/>
      <c r="M746" s="57">
        <v>333.3</v>
      </c>
      <c r="N746" s="57"/>
      <c r="O746" s="57">
        <v>0.35</v>
      </c>
      <c r="P746" s="62">
        <f>RawData[[#This Row],[Value_USD_M]]*RawData[[#This Row],[Share_Est]]</f>
        <v>116.655</v>
      </c>
      <c r="Q746" s="57"/>
      <c r="R746" s="57"/>
      <c r="S746" s="58"/>
    </row>
    <row r="747" spans="2:19" x14ac:dyDescent="0.3">
      <c r="B747" s="56" t="s">
        <v>536</v>
      </c>
      <c r="C747" s="57">
        <v>2026</v>
      </c>
      <c r="D747" s="57" t="s">
        <v>546</v>
      </c>
      <c r="E747" s="57" t="s">
        <v>560</v>
      </c>
      <c r="F747" s="57" t="s">
        <v>549</v>
      </c>
      <c r="G747" s="57" t="s">
        <v>325</v>
      </c>
      <c r="H747" s="57" t="s">
        <v>23</v>
      </c>
      <c r="I747" s="57"/>
      <c r="J747" s="57"/>
      <c r="K747" s="57"/>
      <c r="L747" s="57"/>
      <c r="M747" s="57">
        <v>466.7</v>
      </c>
      <c r="N747" s="57"/>
      <c r="O747" s="57">
        <v>0.65</v>
      </c>
      <c r="P747" s="62">
        <f>RawData[[#This Row],[Value_USD_M]]*RawData[[#This Row],[Share_Est]]</f>
        <v>303.35500000000002</v>
      </c>
      <c r="Q747" s="57"/>
      <c r="R747" s="57"/>
      <c r="S747" s="58"/>
    </row>
    <row r="748" spans="2:19" x14ac:dyDescent="0.3">
      <c r="B748" s="56" t="s">
        <v>536</v>
      </c>
      <c r="C748" s="46">
        <v>2024</v>
      </c>
      <c r="D748" s="57" t="s">
        <v>546</v>
      </c>
      <c r="E748" s="57" t="s">
        <v>560</v>
      </c>
      <c r="F748" s="57" t="s">
        <v>549</v>
      </c>
      <c r="G748" s="57" t="s">
        <v>324</v>
      </c>
      <c r="H748" s="57" t="s">
        <v>141</v>
      </c>
      <c r="L748" s="57"/>
      <c r="M748" s="57">
        <v>466.7</v>
      </c>
      <c r="O748" s="57">
        <v>0.35</v>
      </c>
      <c r="P748" s="61">
        <f>RawData[[#This Row],[Value_USD_M]]*RawData[[#This Row],[Share_Est]]</f>
        <v>163.345</v>
      </c>
      <c r="S748" s="52"/>
    </row>
    <row r="749" spans="2:19" x14ac:dyDescent="0.3">
      <c r="B749" s="56" t="s">
        <v>536</v>
      </c>
      <c r="C749" s="46">
        <v>2025</v>
      </c>
      <c r="D749" s="57" t="s">
        <v>546</v>
      </c>
      <c r="E749" s="57" t="s">
        <v>560</v>
      </c>
      <c r="F749" s="57" t="s">
        <v>549</v>
      </c>
      <c r="G749" s="57" t="s">
        <v>325</v>
      </c>
      <c r="H749" s="57" t="s">
        <v>23</v>
      </c>
      <c r="M749" s="46">
        <v>802.8</v>
      </c>
      <c r="O749" s="57">
        <v>0.65</v>
      </c>
      <c r="P749" s="61">
        <f>RawData[[#This Row],[Value_USD_M]]*RawData[[#This Row],[Share_Est]]</f>
        <v>521.81999999999994</v>
      </c>
      <c r="S749" s="52"/>
    </row>
    <row r="750" spans="2:19" x14ac:dyDescent="0.3">
      <c r="B750" s="56" t="s">
        <v>536</v>
      </c>
      <c r="C750" s="57">
        <v>2026</v>
      </c>
      <c r="D750" s="57" t="s">
        <v>546</v>
      </c>
      <c r="E750" s="57" t="s">
        <v>560</v>
      </c>
      <c r="F750" s="57" t="s">
        <v>549</v>
      </c>
      <c r="G750" s="57" t="s">
        <v>324</v>
      </c>
      <c r="H750" s="57" t="s">
        <v>141</v>
      </c>
      <c r="I750" s="57"/>
      <c r="J750" s="57"/>
      <c r="K750" s="57"/>
      <c r="L750" s="57"/>
      <c r="M750" s="46">
        <v>802.8</v>
      </c>
      <c r="N750" s="57"/>
      <c r="O750" s="57">
        <v>0.35</v>
      </c>
      <c r="P750" s="62">
        <f>RawData[[#This Row],[Value_USD_M]]*RawData[[#This Row],[Share_Est]]</f>
        <v>280.97999999999996</v>
      </c>
      <c r="Q750" s="57"/>
      <c r="R750" s="57"/>
      <c r="S750" s="58"/>
    </row>
    <row r="751" spans="2:19" x14ac:dyDescent="0.3">
      <c r="B751" s="56" t="s">
        <v>690</v>
      </c>
      <c r="C751" s="57">
        <v>2026</v>
      </c>
      <c r="D751" s="57"/>
      <c r="E751" s="57" t="s">
        <v>691</v>
      </c>
      <c r="F751" s="57" t="s">
        <v>548</v>
      </c>
      <c r="G751" s="57" t="s">
        <v>616</v>
      </c>
      <c r="H751" s="57" t="s">
        <v>692</v>
      </c>
      <c r="I751" s="57"/>
      <c r="J751" s="57"/>
      <c r="K751" s="57"/>
      <c r="L751" s="57">
        <v>1644</v>
      </c>
      <c r="M751" s="57">
        <f>RawData[[#This Row],[Value_Other]]*PivotTable!$K$5</f>
        <v>2202.96</v>
      </c>
      <c r="N751" s="57"/>
      <c r="O751" s="57">
        <v>0.7</v>
      </c>
      <c r="P751" s="62">
        <f>RawData[[#This Row],[Value_USD_M]]*RawData[[#This Row],[Share_Est]]</f>
        <v>1542.0719999999999</v>
      </c>
      <c r="Q751" s="57"/>
      <c r="R751" s="57"/>
      <c r="S751" s="58"/>
    </row>
    <row r="752" spans="2:19" x14ac:dyDescent="0.3">
      <c r="B752" s="56" t="s">
        <v>690</v>
      </c>
      <c r="C752" s="57">
        <v>2026</v>
      </c>
      <c r="D752" s="57"/>
      <c r="E752" s="57" t="s">
        <v>691</v>
      </c>
      <c r="F752" s="57" t="s">
        <v>548</v>
      </c>
      <c r="G752" s="57" t="s">
        <v>326</v>
      </c>
      <c r="H752" s="57" t="s">
        <v>585</v>
      </c>
      <c r="I752" s="57"/>
      <c r="J752" s="57"/>
      <c r="K752" s="57"/>
      <c r="L752" s="57">
        <v>1644</v>
      </c>
      <c r="M752" s="57">
        <f>RawData[[#This Row],[Value_Other]]*PivotTable!$K$5</f>
        <v>2202.96</v>
      </c>
      <c r="N752" s="57"/>
      <c r="O752" s="57">
        <v>0.15</v>
      </c>
      <c r="P752" s="62">
        <f>RawData[[#This Row],[Value_USD_M]]*RawData[[#This Row],[Share_Est]]</f>
        <v>330.44400000000002</v>
      </c>
      <c r="Q752" s="57"/>
      <c r="R752" s="57"/>
      <c r="S752" s="58"/>
    </row>
    <row r="753" spans="2:19" x14ac:dyDescent="0.3">
      <c r="B753" s="56" t="s">
        <v>690</v>
      </c>
      <c r="C753" s="57">
        <v>2026</v>
      </c>
      <c r="D753" s="57"/>
      <c r="E753" s="57" t="s">
        <v>691</v>
      </c>
      <c r="F753" s="57" t="s">
        <v>548</v>
      </c>
      <c r="G753" s="57" t="s">
        <v>613</v>
      </c>
      <c r="H753" s="57" t="s">
        <v>694</v>
      </c>
      <c r="I753" s="57"/>
      <c r="J753" s="57"/>
      <c r="K753" s="57"/>
      <c r="L753" s="57">
        <v>1644</v>
      </c>
      <c r="M753" s="57">
        <f>RawData[[#This Row],[Value_Other]]*PivotTable!$K$5</f>
        <v>2202.96</v>
      </c>
      <c r="N753" s="57"/>
      <c r="O753" s="57">
        <v>0.1</v>
      </c>
      <c r="P753" s="62">
        <f>RawData[[#This Row],[Value_USD_M]]*RawData[[#This Row],[Share_Est]]</f>
        <v>220.29600000000002</v>
      </c>
      <c r="Q753" s="57"/>
      <c r="R753" s="57"/>
      <c r="S753" s="58"/>
    </row>
    <row r="754" spans="2:19" x14ac:dyDescent="0.3">
      <c r="B754" s="56" t="s">
        <v>690</v>
      </c>
      <c r="C754" s="57">
        <v>2026</v>
      </c>
      <c r="D754" s="57"/>
      <c r="E754" s="57" t="s">
        <v>691</v>
      </c>
      <c r="F754" s="57" t="s">
        <v>548</v>
      </c>
      <c r="G754" s="57" t="s">
        <v>695</v>
      </c>
      <c r="H754" s="57"/>
      <c r="I754" s="57"/>
      <c r="J754" s="57"/>
      <c r="K754" s="57"/>
      <c r="L754" s="57">
        <v>1644</v>
      </c>
      <c r="M754" s="57">
        <f>RawData[[#This Row],[Value_Other]]*PivotTable!$K$5</f>
        <v>2202.96</v>
      </c>
      <c r="N754" s="57"/>
      <c r="O754" s="57">
        <v>0.05</v>
      </c>
      <c r="P754" s="62">
        <f>RawData[[#This Row],[Value_USD_M]]*RawData[[#This Row],[Share_Est]]</f>
        <v>110.14800000000001</v>
      </c>
      <c r="Q754" s="57"/>
      <c r="R754" s="57"/>
      <c r="S754" s="58"/>
    </row>
    <row r="755" spans="2:19" x14ac:dyDescent="0.3">
      <c r="B755" s="56" t="s">
        <v>696</v>
      </c>
      <c r="C755" s="57">
        <v>2026</v>
      </c>
      <c r="D755" s="57"/>
      <c r="E755" s="57" t="s">
        <v>691</v>
      </c>
      <c r="F755" s="57" t="s">
        <v>548</v>
      </c>
      <c r="G755" s="57" t="s">
        <v>337</v>
      </c>
      <c r="H755" s="57"/>
      <c r="I755" s="57"/>
      <c r="J755" s="57"/>
      <c r="K755" s="57"/>
      <c r="L755" s="57">
        <v>604</v>
      </c>
      <c r="M755" s="57">
        <f>RawData[[#This Row],[Value_Other]]*PivotTable!$K$5</f>
        <v>809.36</v>
      </c>
      <c r="N755" s="57"/>
      <c r="O755" s="57">
        <v>0.8</v>
      </c>
      <c r="P755" s="62">
        <f>RawData[[#This Row],[Value_USD_M]]*RawData[[#This Row],[Share_Est]]</f>
        <v>647.48800000000006</v>
      </c>
      <c r="Q755" s="57"/>
      <c r="R755" s="57"/>
      <c r="S755" s="58"/>
    </row>
    <row r="756" spans="2:19" x14ac:dyDescent="0.3">
      <c r="B756" s="56" t="s">
        <v>696</v>
      </c>
      <c r="C756" s="57">
        <v>2026</v>
      </c>
      <c r="D756" s="57"/>
      <c r="E756" s="57" t="s">
        <v>691</v>
      </c>
      <c r="F756" s="57" t="s">
        <v>548</v>
      </c>
      <c r="G756" s="57" t="s">
        <v>697</v>
      </c>
      <c r="H756" s="57"/>
      <c r="I756" s="57"/>
      <c r="J756" s="57"/>
      <c r="K756" s="57"/>
      <c r="L756" s="57">
        <v>604</v>
      </c>
      <c r="M756" s="57">
        <f>RawData[[#This Row],[Value_Other]]*PivotTable!$K$5</f>
        <v>809.36</v>
      </c>
      <c r="N756" s="57"/>
      <c r="O756" s="57">
        <v>0.2</v>
      </c>
      <c r="P756" s="62">
        <f>RawData[[#This Row],[Value_USD_M]]*RawData[[#This Row],[Share_Est]]</f>
        <v>161.87200000000001</v>
      </c>
      <c r="Q756" s="57"/>
      <c r="R756" s="57"/>
      <c r="S756" s="58"/>
    </row>
    <row r="757" spans="2:19" x14ac:dyDescent="0.3">
      <c r="B757" s="56" t="s">
        <v>698</v>
      </c>
      <c r="C757" s="57">
        <v>2026</v>
      </c>
      <c r="D757" s="57"/>
      <c r="E757" s="57" t="s">
        <v>691</v>
      </c>
      <c r="F757" s="57" t="s">
        <v>549</v>
      </c>
      <c r="G757" s="57" t="s">
        <v>651</v>
      </c>
      <c r="H757" s="57" t="s">
        <v>700</v>
      </c>
      <c r="I757" s="57"/>
      <c r="J757" s="57"/>
      <c r="K757" s="57"/>
      <c r="L757" s="57">
        <v>654</v>
      </c>
      <c r="M757" s="57">
        <f>RawData[[#This Row],[Value_Other]]*PivotTable!$K$5</f>
        <v>876.36</v>
      </c>
      <c r="N757" s="57"/>
      <c r="O757" s="57">
        <v>0.38500000000000001</v>
      </c>
      <c r="P757" s="62">
        <f>RawData[[#This Row],[Value_USD_M]]*RawData[[#This Row],[Share_Est]]</f>
        <v>337.39859999999999</v>
      </c>
      <c r="Q757" s="57"/>
      <c r="R757" s="57"/>
      <c r="S757" s="58"/>
    </row>
    <row r="758" spans="2:19" x14ac:dyDescent="0.3">
      <c r="B758" s="56" t="s">
        <v>698</v>
      </c>
      <c r="C758" s="57">
        <v>2026</v>
      </c>
      <c r="E758" s="57" t="s">
        <v>691</v>
      </c>
      <c r="F758" s="57" t="s">
        <v>549</v>
      </c>
      <c r="G758" s="46" t="s">
        <v>26</v>
      </c>
      <c r="L758" s="57">
        <v>654</v>
      </c>
      <c r="M758" s="57">
        <f>RawData[[#This Row],[Value_Other]]*PivotTable!$K$5</f>
        <v>876.36</v>
      </c>
      <c r="O758" s="46">
        <v>0.315</v>
      </c>
      <c r="P758" s="61">
        <f>RawData[[#This Row],[Value_USD_M]]*RawData[[#This Row],[Share_Est]]</f>
        <v>276.05340000000001</v>
      </c>
      <c r="S758" s="52"/>
    </row>
    <row r="759" spans="2:19" x14ac:dyDescent="0.3">
      <c r="B759" s="56" t="s">
        <v>698</v>
      </c>
      <c r="C759" s="57">
        <v>2026</v>
      </c>
      <c r="E759" s="57" t="s">
        <v>691</v>
      </c>
      <c r="F759" s="57" t="s">
        <v>549</v>
      </c>
      <c r="G759" s="46" t="s">
        <v>651</v>
      </c>
      <c r="H759" s="46" t="s">
        <v>701</v>
      </c>
      <c r="L759" s="57">
        <v>654</v>
      </c>
      <c r="M759" s="57">
        <f>RawData[[#This Row],[Value_Other]]*PivotTable!$K$5</f>
        <v>876.36</v>
      </c>
      <c r="O759" s="46">
        <v>0.15</v>
      </c>
      <c r="P759" s="61">
        <f>RawData[[#This Row],[Value_USD_M]]*RawData[[#This Row],[Share_Est]]</f>
        <v>131.45400000000001</v>
      </c>
      <c r="S759" s="52"/>
    </row>
    <row r="760" spans="2:19" x14ac:dyDescent="0.3">
      <c r="B760" s="56" t="s">
        <v>698</v>
      </c>
      <c r="C760" s="57">
        <v>2026</v>
      </c>
      <c r="E760" s="57" t="s">
        <v>691</v>
      </c>
      <c r="F760" s="57" t="s">
        <v>549</v>
      </c>
      <c r="G760" s="46" t="s">
        <v>697</v>
      </c>
      <c r="L760" s="57">
        <v>654</v>
      </c>
      <c r="M760" s="57">
        <f>RawData[[#This Row],[Value_Other]]*PivotTable!$K$5</f>
        <v>876.36</v>
      </c>
      <c r="O760" s="46">
        <v>0.1</v>
      </c>
      <c r="P760" s="61">
        <f>RawData[[#This Row],[Value_USD_M]]*RawData[[#This Row],[Share_Est]]</f>
        <v>87.63600000000001</v>
      </c>
      <c r="S760" s="52"/>
    </row>
    <row r="761" spans="2:19" x14ac:dyDescent="0.3">
      <c r="B761" s="56" t="s">
        <v>698</v>
      </c>
      <c r="C761" s="57">
        <v>2026</v>
      </c>
      <c r="E761" s="57" t="s">
        <v>691</v>
      </c>
      <c r="F761" s="57" t="s">
        <v>549</v>
      </c>
      <c r="G761" s="46" t="s">
        <v>613</v>
      </c>
      <c r="L761" s="57">
        <v>654</v>
      </c>
      <c r="M761" s="57">
        <f>RawData[[#This Row],[Value_Other]]*PivotTable!$K$5</f>
        <v>876.36</v>
      </c>
      <c r="O761" s="46">
        <v>0.05</v>
      </c>
      <c r="P761" s="61">
        <f>RawData[[#This Row],[Value_USD_M]]*RawData[[#This Row],[Share_Est]]</f>
        <v>43.818000000000005</v>
      </c>
      <c r="S761" s="52"/>
    </row>
    <row r="762" spans="2:19" x14ac:dyDescent="0.3">
      <c r="B762" s="56" t="s">
        <v>704</v>
      </c>
      <c r="C762" s="57">
        <v>2026</v>
      </c>
      <c r="D762" s="57"/>
      <c r="E762" s="57" t="s">
        <v>691</v>
      </c>
      <c r="F762" s="57" t="s">
        <v>548</v>
      </c>
      <c r="G762" s="57" t="s">
        <v>337</v>
      </c>
      <c r="H762" s="57"/>
      <c r="I762" s="57"/>
      <c r="J762" s="57"/>
      <c r="K762" s="57"/>
      <c r="L762" s="57">
        <v>194</v>
      </c>
      <c r="M762" s="57">
        <f>RawData[[#This Row],[Value_Other]]*PivotTable!$K$5</f>
        <v>259.96000000000004</v>
      </c>
      <c r="N762" s="57"/>
      <c r="O762" s="57">
        <v>0.8</v>
      </c>
      <c r="P762" s="62">
        <f>RawData[[#This Row],[Value_USD_M]]*RawData[[#This Row],[Share_Est]]</f>
        <v>207.96800000000005</v>
      </c>
      <c r="Q762" s="57"/>
      <c r="R762" s="57"/>
      <c r="S762" s="58"/>
    </row>
    <row r="763" spans="2:19" x14ac:dyDescent="0.3">
      <c r="B763" s="56" t="s">
        <v>704</v>
      </c>
      <c r="C763" s="57">
        <v>2026</v>
      </c>
      <c r="D763" s="57"/>
      <c r="E763" s="57" t="s">
        <v>691</v>
      </c>
      <c r="F763" s="57" t="s">
        <v>548</v>
      </c>
      <c r="G763" s="57" t="s">
        <v>705</v>
      </c>
      <c r="H763" s="57"/>
      <c r="I763" s="57"/>
      <c r="J763" s="57"/>
      <c r="K763" s="57"/>
      <c r="L763" s="57">
        <v>194</v>
      </c>
      <c r="M763" s="57">
        <f>RawData[[#This Row],[Value_Other]]*PivotTable!$K$5</f>
        <v>259.96000000000004</v>
      </c>
      <c r="N763" s="57"/>
      <c r="O763" s="57">
        <v>0.1</v>
      </c>
      <c r="P763" s="62">
        <f>RawData[[#This Row],[Value_USD_M]]*RawData[[#This Row],[Share_Est]]</f>
        <v>25.996000000000006</v>
      </c>
      <c r="Q763" s="57"/>
      <c r="R763" s="57"/>
      <c r="S763" s="58"/>
    </row>
    <row r="764" spans="2:19" x14ac:dyDescent="0.3">
      <c r="B764" s="56" t="s">
        <v>704</v>
      </c>
      <c r="C764" s="57">
        <v>2026</v>
      </c>
      <c r="D764" s="57"/>
      <c r="E764" s="57" t="s">
        <v>691</v>
      </c>
      <c r="F764" s="57" t="s">
        <v>548</v>
      </c>
      <c r="G764" s="57" t="s">
        <v>697</v>
      </c>
      <c r="H764" s="57"/>
      <c r="I764" s="57"/>
      <c r="J764" s="57"/>
      <c r="K764" s="57"/>
      <c r="L764" s="57">
        <v>194</v>
      </c>
      <c r="M764" s="57">
        <f>RawData[[#This Row],[Value_Other]]*PivotTable!$K$5</f>
        <v>259.96000000000004</v>
      </c>
      <c r="N764" s="57"/>
      <c r="O764" s="57">
        <v>0.1</v>
      </c>
      <c r="P764" s="62">
        <f>RawData[[#This Row],[Value_USD_M]]*RawData[[#This Row],[Share_Est]]</f>
        <v>25.996000000000006</v>
      </c>
      <c r="Q764" s="57"/>
      <c r="R764" s="57"/>
      <c r="S764" s="58"/>
    </row>
    <row r="765" spans="2:19" x14ac:dyDescent="0.3">
      <c r="B765" s="56" t="s">
        <v>706</v>
      </c>
      <c r="C765" s="57">
        <v>2026</v>
      </c>
      <c r="D765" s="57"/>
      <c r="E765" s="57" t="s">
        <v>691</v>
      </c>
      <c r="F765" s="57" t="s">
        <v>548</v>
      </c>
      <c r="G765" s="57" t="s">
        <v>26</v>
      </c>
      <c r="H765" s="57" t="s">
        <v>709</v>
      </c>
      <c r="I765" s="57"/>
      <c r="J765" s="57"/>
      <c r="K765" s="57"/>
      <c r="L765" s="57">
        <v>315</v>
      </c>
      <c r="M765" s="57">
        <f>RawData[[#This Row],[Value_Other]]*PivotTable!$K$5</f>
        <v>422.1</v>
      </c>
      <c r="N765" s="57"/>
      <c r="O765" s="57">
        <v>0.26250000000000001</v>
      </c>
      <c r="P765" s="62">
        <f>RawData[[#This Row],[Value_USD_M]]*RawData[[#This Row],[Share_Est]]</f>
        <v>110.80125000000001</v>
      </c>
      <c r="Q765" s="57"/>
      <c r="R765" s="57"/>
      <c r="S765" s="58"/>
    </row>
    <row r="766" spans="2:19" x14ac:dyDescent="0.3">
      <c r="B766" s="56" t="s">
        <v>706</v>
      </c>
      <c r="C766" s="57">
        <v>2026</v>
      </c>
      <c r="D766" s="57"/>
      <c r="E766" s="57" t="s">
        <v>691</v>
      </c>
      <c r="F766" s="57" t="s">
        <v>548</v>
      </c>
      <c r="G766" s="57" t="s">
        <v>707</v>
      </c>
      <c r="H766" s="57" t="s">
        <v>710</v>
      </c>
      <c r="I766" s="57"/>
      <c r="J766" s="57"/>
      <c r="K766" s="57"/>
      <c r="L766" s="57">
        <v>315</v>
      </c>
      <c r="M766" s="57">
        <f>RawData[[#This Row],[Value_Other]]*PivotTable!$K$5</f>
        <v>422.1</v>
      </c>
      <c r="N766" s="57"/>
      <c r="O766" s="57">
        <v>0.26250000000000001</v>
      </c>
      <c r="P766" s="62">
        <f>RawData[[#This Row],[Value_USD_M]]*RawData[[#This Row],[Share_Est]]</f>
        <v>110.80125000000001</v>
      </c>
      <c r="Q766" s="57"/>
      <c r="R766" s="57"/>
      <c r="S766" s="58"/>
    </row>
    <row r="767" spans="2:19" x14ac:dyDescent="0.3">
      <c r="B767" s="56" t="s">
        <v>706</v>
      </c>
      <c r="C767" s="57">
        <v>2026</v>
      </c>
      <c r="D767" s="57"/>
      <c r="E767" s="57" t="s">
        <v>691</v>
      </c>
      <c r="F767" s="57" t="s">
        <v>548</v>
      </c>
      <c r="G767" s="57" t="s">
        <v>697</v>
      </c>
      <c r="H767" s="57" t="s">
        <v>711</v>
      </c>
      <c r="I767" s="57"/>
      <c r="J767" s="57"/>
      <c r="K767" s="57"/>
      <c r="L767" s="57">
        <v>315</v>
      </c>
      <c r="M767" s="57">
        <f>RawData[[#This Row],[Value_Other]]*PivotTable!$K$5</f>
        <v>422.1</v>
      </c>
      <c r="N767" s="57"/>
      <c r="O767" s="57">
        <v>0.1875</v>
      </c>
      <c r="P767" s="62">
        <f>RawData[[#This Row],[Value_USD_M]]*RawData[[#This Row],[Share_Est]]</f>
        <v>79.143750000000011</v>
      </c>
      <c r="Q767" s="57"/>
      <c r="R767" s="57"/>
      <c r="S767" s="58"/>
    </row>
    <row r="768" spans="2:19" x14ac:dyDescent="0.3">
      <c r="B768" s="56" t="s">
        <v>706</v>
      </c>
      <c r="C768" s="57">
        <v>2026</v>
      </c>
      <c r="D768" s="57"/>
      <c r="E768" s="57" t="s">
        <v>691</v>
      </c>
      <c r="F768" s="57" t="s">
        <v>548</v>
      </c>
      <c r="G768" s="57" t="s">
        <v>26</v>
      </c>
      <c r="H768" s="57" t="s">
        <v>709</v>
      </c>
      <c r="I768" s="57"/>
      <c r="J768" s="57"/>
      <c r="K768" s="57"/>
      <c r="L768" s="57">
        <v>315</v>
      </c>
      <c r="M768" s="57">
        <f>RawData[[#This Row],[Value_Other]]*PivotTable!$K$5</f>
        <v>422.1</v>
      </c>
      <c r="N768" s="57"/>
      <c r="O768" s="57">
        <v>0.2</v>
      </c>
      <c r="P768" s="62">
        <f>RawData[[#This Row],[Value_USD_M]]*RawData[[#This Row],[Share_Est]]</f>
        <v>84.420000000000016</v>
      </c>
      <c r="Q768" s="57"/>
      <c r="R768" s="57"/>
      <c r="S768" s="58"/>
    </row>
    <row r="769" spans="2:19" x14ac:dyDescent="0.3">
      <c r="B769" s="56" t="s">
        <v>706</v>
      </c>
      <c r="C769" s="57">
        <v>2026</v>
      </c>
      <c r="D769" s="57"/>
      <c r="E769" s="57" t="s">
        <v>691</v>
      </c>
      <c r="F769" s="57" t="s">
        <v>548</v>
      </c>
      <c r="G769" s="57" t="s">
        <v>613</v>
      </c>
      <c r="H769" s="57" t="s">
        <v>712</v>
      </c>
      <c r="I769" s="57"/>
      <c r="J769" s="57"/>
      <c r="K769" s="57"/>
      <c r="L769" s="57">
        <v>315</v>
      </c>
      <c r="M769" s="57">
        <f>RawData[[#This Row],[Value_Other]]*PivotTable!$K$5</f>
        <v>422.1</v>
      </c>
      <c r="N769" s="57"/>
      <c r="O769" s="57">
        <v>8.7499999999999994E-2</v>
      </c>
      <c r="P769" s="62">
        <f>RawData[[#This Row],[Value_USD_M]]*RawData[[#This Row],[Share_Est]]</f>
        <v>36.933749999999996</v>
      </c>
      <c r="Q769" s="57"/>
      <c r="R769" s="57"/>
      <c r="S769" s="58"/>
    </row>
    <row r="770" spans="2:19" x14ac:dyDescent="0.3">
      <c r="B770" s="56" t="s">
        <v>714</v>
      </c>
      <c r="C770" s="57">
        <v>2026</v>
      </c>
      <c r="D770" s="57"/>
      <c r="E770" s="57" t="s">
        <v>691</v>
      </c>
      <c r="F770" s="57" t="s">
        <v>548</v>
      </c>
      <c r="G770" s="57" t="s">
        <v>26</v>
      </c>
      <c r="H770" s="57" t="s">
        <v>709</v>
      </c>
      <c r="I770" s="57"/>
      <c r="J770" s="57"/>
      <c r="K770" s="57"/>
      <c r="L770" s="57">
        <v>487</v>
      </c>
      <c r="M770" s="57">
        <f>RawData[[#This Row],[Value_Other]]*PivotTable!$K$5</f>
        <v>652.58000000000004</v>
      </c>
      <c r="N770" s="57"/>
      <c r="O770" s="57">
        <v>0.26250000000000001</v>
      </c>
      <c r="P770" s="62">
        <f>RawData[[#This Row],[Value_USD_M]]*RawData[[#This Row],[Share_Est]]</f>
        <v>171.30225000000002</v>
      </c>
      <c r="Q770" s="57"/>
      <c r="R770" s="57"/>
      <c r="S770" s="58"/>
    </row>
    <row r="771" spans="2:19" x14ac:dyDescent="0.3">
      <c r="B771" s="56" t="s">
        <v>714</v>
      </c>
      <c r="C771" s="57">
        <v>2026</v>
      </c>
      <c r="D771" s="57"/>
      <c r="E771" s="57" t="s">
        <v>691</v>
      </c>
      <c r="F771" s="57" t="s">
        <v>548</v>
      </c>
      <c r="G771" s="57" t="s">
        <v>707</v>
      </c>
      <c r="H771" s="57" t="s">
        <v>710</v>
      </c>
      <c r="I771" s="57"/>
      <c r="J771" s="57"/>
      <c r="K771" s="57"/>
      <c r="L771" s="57">
        <v>487</v>
      </c>
      <c r="M771" s="57">
        <f>RawData[[#This Row],[Value_Other]]*PivotTable!$K$5</f>
        <v>652.58000000000004</v>
      </c>
      <c r="N771" s="57"/>
      <c r="O771" s="57">
        <v>0.26250000000000001</v>
      </c>
      <c r="P771" s="62">
        <f>RawData[[#This Row],[Value_USD_M]]*RawData[[#This Row],[Share_Est]]</f>
        <v>171.30225000000002</v>
      </c>
      <c r="Q771" s="57"/>
      <c r="R771" s="57"/>
      <c r="S771" s="58"/>
    </row>
    <row r="772" spans="2:19" x14ac:dyDescent="0.3">
      <c r="B772" s="56" t="s">
        <v>714</v>
      </c>
      <c r="C772" s="57">
        <v>2026</v>
      </c>
      <c r="D772" s="57"/>
      <c r="E772" s="57" t="s">
        <v>691</v>
      </c>
      <c r="F772" s="57" t="s">
        <v>548</v>
      </c>
      <c r="G772" s="57" t="s">
        <v>697</v>
      </c>
      <c r="H772" s="57" t="s">
        <v>711</v>
      </c>
      <c r="I772" s="57"/>
      <c r="J772" s="57"/>
      <c r="K772" s="57"/>
      <c r="L772" s="57">
        <v>487</v>
      </c>
      <c r="M772" s="57">
        <f>RawData[[#This Row],[Value_Other]]*PivotTable!$K$5</f>
        <v>652.58000000000004</v>
      </c>
      <c r="N772" s="57"/>
      <c r="O772" s="57">
        <v>0.1875</v>
      </c>
      <c r="P772" s="62">
        <f>RawData[[#This Row],[Value_USD_M]]*RawData[[#This Row],[Share_Est]]</f>
        <v>122.35875000000001</v>
      </c>
      <c r="Q772" s="57"/>
      <c r="R772" s="57"/>
      <c r="S772" s="58"/>
    </row>
    <row r="773" spans="2:19" x14ac:dyDescent="0.3">
      <c r="B773" s="56" t="s">
        <v>714</v>
      </c>
      <c r="C773" s="57">
        <v>2026</v>
      </c>
      <c r="D773" s="57"/>
      <c r="E773" s="57" t="s">
        <v>691</v>
      </c>
      <c r="F773" s="57" t="s">
        <v>548</v>
      </c>
      <c r="G773" s="57" t="s">
        <v>26</v>
      </c>
      <c r="H773" s="57" t="s">
        <v>709</v>
      </c>
      <c r="I773" s="57"/>
      <c r="J773" s="57"/>
      <c r="K773" s="57"/>
      <c r="L773" s="57">
        <v>487</v>
      </c>
      <c r="M773" s="57">
        <f>RawData[[#This Row],[Value_Other]]*PivotTable!$K$5</f>
        <v>652.58000000000004</v>
      </c>
      <c r="N773" s="57"/>
      <c r="O773" s="57">
        <v>0.2</v>
      </c>
      <c r="P773" s="62">
        <f>RawData[[#This Row],[Value_USD_M]]*RawData[[#This Row],[Share_Est]]</f>
        <v>130.51600000000002</v>
      </c>
      <c r="Q773" s="57"/>
      <c r="R773" s="57"/>
      <c r="S773" s="58"/>
    </row>
    <row r="774" spans="2:19" x14ac:dyDescent="0.3">
      <c r="B774" s="56" t="s">
        <v>714</v>
      </c>
      <c r="C774" s="57">
        <v>2026</v>
      </c>
      <c r="D774" s="57"/>
      <c r="E774" s="57" t="s">
        <v>691</v>
      </c>
      <c r="F774" s="57" t="s">
        <v>548</v>
      </c>
      <c r="G774" s="57" t="s">
        <v>613</v>
      </c>
      <c r="H774" s="57" t="s">
        <v>712</v>
      </c>
      <c r="I774" s="57"/>
      <c r="J774" s="57"/>
      <c r="K774" s="57"/>
      <c r="L774" s="57">
        <v>487</v>
      </c>
      <c r="M774" s="57">
        <f>RawData[[#This Row],[Value_Other]]*PivotTable!$K$5</f>
        <v>652.58000000000004</v>
      </c>
      <c r="N774" s="57"/>
      <c r="O774" s="57">
        <v>8.7499999999999994E-2</v>
      </c>
      <c r="P774" s="62">
        <f>RawData[[#This Row],[Value_USD_M]]*RawData[[#This Row],[Share_Est]]</f>
        <v>57.100749999999998</v>
      </c>
      <c r="Q774" s="57"/>
      <c r="R774" s="57"/>
      <c r="S774" s="58"/>
    </row>
    <row r="775" spans="2:19" x14ac:dyDescent="0.3">
      <c r="B775" s="56" t="s">
        <v>715</v>
      </c>
      <c r="C775" s="57">
        <v>2026</v>
      </c>
      <c r="D775" s="57"/>
      <c r="E775" s="57" t="s">
        <v>691</v>
      </c>
      <c r="F775" s="57" t="s">
        <v>548</v>
      </c>
      <c r="G775" s="57" t="s">
        <v>26</v>
      </c>
      <c r="H775" s="57" t="s">
        <v>709</v>
      </c>
      <c r="I775" s="57"/>
      <c r="J775" s="57"/>
      <c r="K775" s="57"/>
      <c r="L775" s="57">
        <v>138</v>
      </c>
      <c r="M775" s="57">
        <f>RawData[[#This Row],[Value_Other]]*PivotTable!$K$5</f>
        <v>184.92000000000002</v>
      </c>
      <c r="N775" s="57"/>
      <c r="O775" s="57">
        <v>0.46250000000000002</v>
      </c>
      <c r="P775" s="62">
        <f>RawData[[#This Row],[Value_USD_M]]*RawData[[#This Row],[Share_Est]]</f>
        <v>85.525500000000008</v>
      </c>
      <c r="Q775" s="57"/>
      <c r="R775" s="57"/>
      <c r="S775" s="58"/>
    </row>
    <row r="776" spans="2:19" x14ac:dyDescent="0.3">
      <c r="B776" s="56" t="s">
        <v>715</v>
      </c>
      <c r="C776" s="57">
        <v>2026</v>
      </c>
      <c r="D776" s="57"/>
      <c r="E776" s="57" t="s">
        <v>691</v>
      </c>
      <c r="F776" s="57" t="s">
        <v>548</v>
      </c>
      <c r="G776" s="57" t="s">
        <v>707</v>
      </c>
      <c r="H776" s="57" t="s">
        <v>716</v>
      </c>
      <c r="I776" s="57"/>
      <c r="J776" s="57"/>
      <c r="K776" s="57"/>
      <c r="L776" s="57">
        <v>138</v>
      </c>
      <c r="M776" s="57">
        <f>RawData[[#This Row],[Value_Other]]*PivotTable!$K$5</f>
        <v>184.92000000000002</v>
      </c>
      <c r="N776" s="57"/>
      <c r="O776" s="57">
        <v>0.26250000000000001</v>
      </c>
      <c r="P776" s="62">
        <f>RawData[[#This Row],[Value_USD_M]]*RawData[[#This Row],[Share_Est]]</f>
        <v>48.541500000000006</v>
      </c>
      <c r="Q776" s="57"/>
      <c r="R776" s="57"/>
      <c r="S776" s="58"/>
    </row>
    <row r="777" spans="2:19" x14ac:dyDescent="0.3">
      <c r="B777" s="56" t="s">
        <v>715</v>
      </c>
      <c r="C777" s="57">
        <v>2026</v>
      </c>
      <c r="D777" s="57"/>
      <c r="E777" s="57" t="s">
        <v>691</v>
      </c>
      <c r="F777" s="57" t="s">
        <v>548</v>
      </c>
      <c r="G777" s="57" t="s">
        <v>697</v>
      </c>
      <c r="H777" s="57" t="s">
        <v>711</v>
      </c>
      <c r="I777" s="57"/>
      <c r="J777" s="57"/>
      <c r="K777" s="57"/>
      <c r="L777" s="57">
        <v>138</v>
      </c>
      <c r="M777" s="57">
        <f>RawData[[#This Row],[Value_Other]]*PivotTable!$K$5</f>
        <v>184.92000000000002</v>
      </c>
      <c r="N777" s="57"/>
      <c r="O777" s="57">
        <v>0.1875</v>
      </c>
      <c r="P777" s="62">
        <f>RawData[[#This Row],[Value_USD_M]]*RawData[[#This Row],[Share_Est]]</f>
        <v>34.672499999999999</v>
      </c>
      <c r="Q777" s="57"/>
      <c r="R777" s="57"/>
      <c r="S777" s="58"/>
    </row>
    <row r="778" spans="2:19" x14ac:dyDescent="0.3">
      <c r="B778" s="56" t="s">
        <v>715</v>
      </c>
      <c r="C778" s="57">
        <v>2026</v>
      </c>
      <c r="D778" s="57"/>
      <c r="E778" s="57" t="s">
        <v>691</v>
      </c>
      <c r="F778" s="57" t="s">
        <v>548</v>
      </c>
      <c r="G778" s="57" t="s">
        <v>613</v>
      </c>
      <c r="H778" s="57" t="s">
        <v>712</v>
      </c>
      <c r="I778" s="57"/>
      <c r="J778" s="57"/>
      <c r="K778" s="57"/>
      <c r="L778" s="57">
        <v>138</v>
      </c>
      <c r="M778" s="57">
        <f>RawData[[#This Row],[Value_Other]]*PivotTable!$K$5</f>
        <v>184.92000000000002</v>
      </c>
      <c r="N778" s="57"/>
      <c r="O778" s="57">
        <v>8.7499999999999994E-2</v>
      </c>
      <c r="P778" s="62">
        <f>RawData[[#This Row],[Value_USD_M]]*RawData[[#This Row],[Share_Est]]</f>
        <v>16.180500000000002</v>
      </c>
      <c r="Q778" s="57"/>
      <c r="R778" s="57"/>
      <c r="S778" s="58"/>
    </row>
    <row r="779" spans="2:19" x14ac:dyDescent="0.3">
      <c r="B779" s="56" t="s">
        <v>719</v>
      </c>
      <c r="C779" s="57">
        <v>2026</v>
      </c>
      <c r="D779" s="57"/>
      <c r="E779" s="57" t="s">
        <v>691</v>
      </c>
      <c r="F779" s="57" t="s">
        <v>548</v>
      </c>
      <c r="G779" s="57" t="s">
        <v>337</v>
      </c>
      <c r="H779" s="57"/>
      <c r="I779" s="57"/>
      <c r="J779" s="57"/>
      <c r="K779" s="57"/>
      <c r="L779" s="57">
        <v>554</v>
      </c>
      <c r="M779" s="57">
        <f>RawData[[#This Row],[Value_Other]]*PivotTable!$K$5</f>
        <v>742.36</v>
      </c>
      <c r="N779" s="57"/>
      <c r="O779" s="57">
        <v>0.85</v>
      </c>
      <c r="P779" s="62">
        <f>RawData[[#This Row],[Value_USD_M]]*RawData[[#This Row],[Share_Est]]</f>
        <v>631.00599999999997</v>
      </c>
      <c r="Q779" s="57"/>
      <c r="R779" s="57"/>
      <c r="S779" s="58"/>
    </row>
    <row r="780" spans="2:19" x14ac:dyDescent="0.3">
      <c r="B780" s="56" t="s">
        <v>719</v>
      </c>
      <c r="C780" s="57">
        <v>2026</v>
      </c>
      <c r="D780" s="57"/>
      <c r="E780" s="57" t="s">
        <v>691</v>
      </c>
      <c r="F780" s="57" t="s">
        <v>548</v>
      </c>
      <c r="G780" s="57" t="s">
        <v>697</v>
      </c>
      <c r="H780" s="57" t="s">
        <v>711</v>
      </c>
      <c r="I780" s="57"/>
      <c r="J780" s="57"/>
      <c r="K780" s="57"/>
      <c r="L780" s="57">
        <v>554</v>
      </c>
      <c r="M780" s="57">
        <f>RawData[[#This Row],[Value_Other]]*PivotTable!$K$5</f>
        <v>742.36</v>
      </c>
      <c r="N780" s="57"/>
      <c r="O780" s="57">
        <v>0.1</v>
      </c>
      <c r="P780" s="62">
        <f>RawData[[#This Row],[Value_USD_M]]*RawData[[#This Row],[Share_Est]]</f>
        <v>74.236000000000004</v>
      </c>
      <c r="Q780" s="57"/>
      <c r="R780" s="57"/>
      <c r="S780" s="58"/>
    </row>
    <row r="781" spans="2:19" x14ac:dyDescent="0.3">
      <c r="B781" s="56" t="s">
        <v>719</v>
      </c>
      <c r="C781" s="57">
        <v>2026</v>
      </c>
      <c r="D781" s="57"/>
      <c r="E781" s="57" t="s">
        <v>691</v>
      </c>
      <c r="F781" s="57" t="s">
        <v>548</v>
      </c>
      <c r="G781" s="57" t="s">
        <v>720</v>
      </c>
      <c r="H781" s="57"/>
      <c r="I781" s="57"/>
      <c r="J781" s="57"/>
      <c r="K781" s="57"/>
      <c r="L781" s="57">
        <v>554</v>
      </c>
      <c r="M781" s="57">
        <f>RawData[[#This Row],[Value_Other]]*PivotTable!$K$5</f>
        <v>742.36</v>
      </c>
      <c r="N781" s="57"/>
      <c r="O781" s="57">
        <v>0.05</v>
      </c>
      <c r="P781" s="62">
        <f>RawData[[#This Row],[Value_USD_M]]*RawData[[#This Row],[Share_Est]]</f>
        <v>37.118000000000002</v>
      </c>
      <c r="Q781" s="57"/>
      <c r="R781" s="57"/>
      <c r="S781" s="58"/>
    </row>
    <row r="782" spans="2:19" x14ac:dyDescent="0.3">
      <c r="B782" s="56" t="s">
        <v>721</v>
      </c>
      <c r="C782" s="57">
        <v>2026</v>
      </c>
      <c r="D782" s="57"/>
      <c r="E782" s="57" t="s">
        <v>691</v>
      </c>
      <c r="F782" s="57" t="s">
        <v>548</v>
      </c>
      <c r="G782" s="57" t="s">
        <v>651</v>
      </c>
      <c r="H782" s="57" t="s">
        <v>700</v>
      </c>
      <c r="I782" s="57"/>
      <c r="J782" s="57"/>
      <c r="K782" s="57"/>
      <c r="L782" s="57">
        <v>1357</v>
      </c>
      <c r="M782" s="57">
        <f>RawData[[#This Row],[Value_Other]]*PivotTable!$K$5</f>
        <v>1818.38</v>
      </c>
      <c r="N782" s="57"/>
      <c r="O782" s="57">
        <v>0.6</v>
      </c>
      <c r="P782" s="62">
        <f>RawData[[#This Row],[Value_USD_M]]*RawData[[#This Row],[Share_Est]]</f>
        <v>1091.028</v>
      </c>
      <c r="Q782" s="57"/>
      <c r="R782" s="57"/>
      <c r="S782" s="58"/>
    </row>
    <row r="783" spans="2:19" x14ac:dyDescent="0.3">
      <c r="B783" s="56" t="s">
        <v>721</v>
      </c>
      <c r="C783" s="57">
        <v>2026</v>
      </c>
      <c r="D783" s="57"/>
      <c r="E783" s="57" t="s">
        <v>691</v>
      </c>
      <c r="F783" s="57" t="s">
        <v>548</v>
      </c>
      <c r="G783" s="57" t="s">
        <v>718</v>
      </c>
      <c r="H783" s="57"/>
      <c r="I783" s="57"/>
      <c r="J783" s="57"/>
      <c r="K783" s="57"/>
      <c r="L783" s="57">
        <v>1357</v>
      </c>
      <c r="M783" s="57">
        <f>RawData[[#This Row],[Value_Other]]*PivotTable!$K$5</f>
        <v>1818.38</v>
      </c>
      <c r="N783" s="57"/>
      <c r="O783" s="57">
        <v>0.1</v>
      </c>
      <c r="P783" s="62">
        <f>RawData[[#This Row],[Value_USD_M]]*RawData[[#This Row],[Share_Est]]</f>
        <v>181.83800000000002</v>
      </c>
      <c r="Q783" s="57"/>
      <c r="R783" s="57"/>
      <c r="S783" s="58"/>
    </row>
    <row r="784" spans="2:19" x14ac:dyDescent="0.3">
      <c r="B784" s="56" t="s">
        <v>721</v>
      </c>
      <c r="C784" s="57">
        <v>2026</v>
      </c>
      <c r="D784" s="57"/>
      <c r="E784" s="57" t="s">
        <v>691</v>
      </c>
      <c r="F784" s="57" t="s">
        <v>548</v>
      </c>
      <c r="G784" s="57" t="s">
        <v>651</v>
      </c>
      <c r="H784" s="57" t="s">
        <v>700</v>
      </c>
      <c r="I784" s="57"/>
      <c r="J784" s="57"/>
      <c r="K784" s="57"/>
      <c r="L784" s="57">
        <v>1357</v>
      </c>
      <c r="M784" s="57">
        <f>RawData[[#This Row],[Value_Other]]*PivotTable!$K$5</f>
        <v>1818.38</v>
      </c>
      <c r="N784" s="57"/>
      <c r="O784" s="57">
        <v>0.2</v>
      </c>
      <c r="P784" s="62">
        <f>RawData[[#This Row],[Value_USD_M]]*RawData[[#This Row],[Share_Est]]</f>
        <v>363.67600000000004</v>
      </c>
      <c r="Q784" s="57"/>
      <c r="R784" s="57"/>
      <c r="S784" s="58"/>
    </row>
    <row r="785" spans="2:19" x14ac:dyDescent="0.3">
      <c r="B785" s="56" t="s">
        <v>721</v>
      </c>
      <c r="C785" s="57">
        <v>2026</v>
      </c>
      <c r="D785" s="57"/>
      <c r="E785" s="57" t="s">
        <v>691</v>
      </c>
      <c r="F785" s="57" t="s">
        <v>548</v>
      </c>
      <c r="G785" s="57" t="s">
        <v>26</v>
      </c>
      <c r="H785" s="57" t="s">
        <v>650</v>
      </c>
      <c r="I785" s="57"/>
      <c r="J785" s="57"/>
      <c r="K785" s="57"/>
      <c r="L785" s="57">
        <v>1357</v>
      </c>
      <c r="M785" s="57">
        <f>RawData[[#This Row],[Value_Other]]*PivotTable!$K$5</f>
        <v>1818.38</v>
      </c>
      <c r="N785" s="57"/>
      <c r="O785" s="57">
        <v>0.1</v>
      </c>
      <c r="P785" s="62">
        <f>RawData[[#This Row],[Value_USD_M]]*RawData[[#This Row],[Share_Est]]</f>
        <v>181.83800000000002</v>
      </c>
      <c r="Q785" s="57"/>
      <c r="R785" s="57"/>
      <c r="S785" s="58"/>
    </row>
    <row r="786" spans="2:19" x14ac:dyDescent="0.3">
      <c r="B786" s="56" t="s">
        <v>269</v>
      </c>
      <c r="C786" s="57">
        <v>2026</v>
      </c>
      <c r="D786" s="57"/>
      <c r="E786" s="57" t="s">
        <v>691</v>
      </c>
      <c r="F786" s="57" t="s">
        <v>548</v>
      </c>
      <c r="G786" s="57" t="s">
        <v>589</v>
      </c>
      <c r="H786" s="57"/>
      <c r="I786" s="57"/>
      <c r="J786" s="57"/>
      <c r="K786" s="57"/>
      <c r="L786" s="57">
        <v>385</v>
      </c>
      <c r="M786" s="57">
        <f>RawData[[#This Row],[Value_Other]]*PivotTable!$K$5</f>
        <v>515.9</v>
      </c>
      <c r="N786" s="57"/>
      <c r="O786" s="57">
        <v>0.7</v>
      </c>
      <c r="P786" s="62">
        <f>RawData[[#This Row],[Value_USD_M]]*RawData[[#This Row],[Share_Est]]</f>
        <v>361.12999999999994</v>
      </c>
      <c r="Q786" s="57"/>
      <c r="R786" s="57"/>
      <c r="S786" s="58"/>
    </row>
    <row r="787" spans="2:19" x14ac:dyDescent="0.3">
      <c r="B787" s="56" t="s">
        <v>269</v>
      </c>
      <c r="C787" s="57">
        <v>2026</v>
      </c>
      <c r="D787" s="57"/>
      <c r="E787" s="57" t="s">
        <v>691</v>
      </c>
      <c r="F787" s="57" t="s">
        <v>548</v>
      </c>
      <c r="G787" s="57" t="s">
        <v>697</v>
      </c>
      <c r="H787" s="57" t="s">
        <v>711</v>
      </c>
      <c r="I787" s="57"/>
      <c r="J787" s="57"/>
      <c r="K787" s="57"/>
      <c r="L787" s="57">
        <v>385</v>
      </c>
      <c r="M787" s="57">
        <f>RawData[[#This Row],[Value_Other]]*PivotTable!$K$5</f>
        <v>515.9</v>
      </c>
      <c r="N787" s="57"/>
      <c r="O787" s="57">
        <v>0.15</v>
      </c>
      <c r="P787" s="62">
        <f>RawData[[#This Row],[Value_USD_M]]*RawData[[#This Row],[Share_Est]]</f>
        <v>77.384999999999991</v>
      </c>
      <c r="Q787" s="57"/>
      <c r="R787" s="57"/>
      <c r="S787" s="58"/>
    </row>
    <row r="788" spans="2:19" x14ac:dyDescent="0.3">
      <c r="B788" s="56" t="s">
        <v>269</v>
      </c>
      <c r="C788" s="57">
        <v>2026</v>
      </c>
      <c r="D788" s="57"/>
      <c r="E788" s="57" t="s">
        <v>691</v>
      </c>
      <c r="F788" s="57" t="s">
        <v>548</v>
      </c>
      <c r="G788" s="57" t="s">
        <v>325</v>
      </c>
      <c r="H788" s="57"/>
      <c r="I788" s="57"/>
      <c r="J788" s="57"/>
      <c r="K788" s="57"/>
      <c r="L788" s="57">
        <v>385</v>
      </c>
      <c r="M788" s="57">
        <f>RawData[[#This Row],[Value_Other]]*PivotTable!$K$5</f>
        <v>515.9</v>
      </c>
      <c r="N788" s="57"/>
      <c r="O788" s="57">
        <v>0.1</v>
      </c>
      <c r="P788" s="62">
        <f>RawData[[#This Row],[Value_USD_M]]*RawData[[#This Row],[Share_Est]]</f>
        <v>51.59</v>
      </c>
      <c r="Q788" s="57"/>
      <c r="R788" s="57"/>
      <c r="S788" s="58"/>
    </row>
    <row r="789" spans="2:19" x14ac:dyDescent="0.3">
      <c r="B789" s="56" t="s">
        <v>269</v>
      </c>
      <c r="C789" s="57">
        <v>2026</v>
      </c>
      <c r="D789" s="57"/>
      <c r="E789" s="57" t="s">
        <v>691</v>
      </c>
      <c r="F789" s="57" t="s">
        <v>548</v>
      </c>
      <c r="G789" s="57" t="s">
        <v>720</v>
      </c>
      <c r="H789" s="57"/>
      <c r="I789" s="57"/>
      <c r="J789" s="57"/>
      <c r="K789" s="57"/>
      <c r="L789" s="57">
        <v>385</v>
      </c>
      <c r="M789" s="57">
        <f>RawData[[#This Row],[Value_Other]]*PivotTable!$K$5</f>
        <v>515.9</v>
      </c>
      <c r="N789" s="57"/>
      <c r="O789" s="57">
        <v>0.05</v>
      </c>
      <c r="P789" s="62">
        <f>RawData[[#This Row],[Value_USD_M]]*RawData[[#This Row],[Share_Est]]</f>
        <v>25.795000000000002</v>
      </c>
      <c r="Q789" s="57"/>
      <c r="R789" s="57"/>
      <c r="S789" s="58"/>
    </row>
  </sheetData>
  <hyperlinks>
    <hyperlink ref="A1" location="Main!A1" display="Main" xr:uid="{0650EFBA-0ADC-475A-98ED-FFB2D9D66442}"/>
  </hyperlinks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1E2ED-B693-4ADA-8BE4-FBB540773D2D}">
  <dimension ref="A3:K381"/>
  <sheetViews>
    <sheetView tabSelected="1" workbookViewId="0">
      <selection activeCell="E8" sqref="E8"/>
    </sheetView>
  </sheetViews>
  <sheetFormatPr defaultRowHeight="14.4" x14ac:dyDescent="0.3"/>
  <cols>
    <col min="1" max="1" width="8.88671875" style="46"/>
    <col min="2" max="2" width="30.88671875" style="46" bestFit="1" customWidth="1"/>
    <col min="3" max="3" width="15.5546875" style="46" bestFit="1" customWidth="1"/>
    <col min="4" max="4" width="8.109375" style="46" bestFit="1" customWidth="1"/>
    <col min="5" max="5" width="9.109375" style="46" bestFit="1" customWidth="1"/>
    <col min="6" max="6" width="10.77734375" style="46" bestFit="1" customWidth="1"/>
    <col min="7" max="16384" width="8.88671875" style="46"/>
  </cols>
  <sheetData>
    <row r="3" spans="2:11" x14ac:dyDescent="0.3">
      <c r="B3" s="46" t="s">
        <v>575</v>
      </c>
      <c r="C3" s="46" t="s">
        <v>569</v>
      </c>
    </row>
    <row r="4" spans="2:11" x14ac:dyDescent="0.3">
      <c r="B4" s="46" t="s">
        <v>567</v>
      </c>
      <c r="C4" s="46">
        <v>2024</v>
      </c>
      <c r="D4" s="46">
        <v>2025</v>
      </c>
      <c r="E4" s="46">
        <v>2026</v>
      </c>
      <c r="F4" s="46" t="s">
        <v>568</v>
      </c>
    </row>
    <row r="5" spans="2:11" x14ac:dyDescent="0.3">
      <c r="B5" s="59" t="s">
        <v>326</v>
      </c>
      <c r="C5" s="61">
        <v>36033.972900000001</v>
      </c>
      <c r="D5" s="61">
        <v>29613.473100000007</v>
      </c>
      <c r="E5" s="61">
        <v>38304.94200000001</v>
      </c>
      <c r="F5" s="61">
        <v>103952.38799999999</v>
      </c>
      <c r="J5" s="46" t="s">
        <v>693</v>
      </c>
      <c r="K5" s="46">
        <v>1.34</v>
      </c>
    </row>
    <row r="6" spans="2:11" x14ac:dyDescent="0.3">
      <c r="B6" s="60" t="s">
        <v>553</v>
      </c>
      <c r="C6" s="61">
        <v>13882.922900000001</v>
      </c>
      <c r="D6" s="61">
        <v>13084.713100000003</v>
      </c>
      <c r="E6" s="61">
        <v>12825.063000000002</v>
      </c>
      <c r="F6" s="61">
        <v>39792.699000000001</v>
      </c>
    </row>
    <row r="7" spans="2:11" x14ac:dyDescent="0.3">
      <c r="B7" s="69" t="s">
        <v>552</v>
      </c>
      <c r="C7" s="61">
        <v>11644.11</v>
      </c>
      <c r="D7" s="61">
        <v>10923.740000000002</v>
      </c>
      <c r="E7" s="61">
        <v>10716.580000000002</v>
      </c>
      <c r="F7" s="61">
        <v>33284.430000000008</v>
      </c>
    </row>
    <row r="8" spans="2:11" x14ac:dyDescent="0.3">
      <c r="B8" s="70" t="s">
        <v>560</v>
      </c>
      <c r="C8" s="61">
        <v>11644.11</v>
      </c>
      <c r="D8" s="61">
        <v>10923.740000000002</v>
      </c>
      <c r="E8" s="61">
        <v>10716.580000000002</v>
      </c>
      <c r="F8" s="61">
        <v>33284.430000000008</v>
      </c>
    </row>
    <row r="9" spans="2:11" x14ac:dyDescent="0.3">
      <c r="B9" s="69" t="s">
        <v>581</v>
      </c>
      <c r="C9" s="61">
        <v>1521.5778999999998</v>
      </c>
      <c r="D9" s="61">
        <v>1050.2731000000001</v>
      </c>
      <c r="E9" s="61">
        <v>756.70299999999997</v>
      </c>
      <c r="F9" s="61">
        <v>3328.5539999999996</v>
      </c>
    </row>
    <row r="10" spans="2:11" x14ac:dyDescent="0.3">
      <c r="B10" s="70" t="s">
        <v>560</v>
      </c>
      <c r="C10" s="61">
        <v>1521.5778999999998</v>
      </c>
      <c r="D10" s="61">
        <v>1050.2731000000001</v>
      </c>
      <c r="E10" s="61">
        <v>756.70299999999997</v>
      </c>
      <c r="F10" s="61">
        <v>3328.5539999999996</v>
      </c>
      <c r="J10" s="46" t="s">
        <v>708</v>
      </c>
    </row>
    <row r="11" spans="2:11" x14ac:dyDescent="0.3">
      <c r="B11" s="69" t="s">
        <v>600</v>
      </c>
      <c r="C11" s="61">
        <v>717.23500000000001</v>
      </c>
      <c r="D11" s="61">
        <v>1110.7</v>
      </c>
      <c r="E11" s="61">
        <v>1351.7799999999997</v>
      </c>
      <c r="F11" s="61">
        <v>3179.7149999999997</v>
      </c>
    </row>
    <row r="12" spans="2:11" x14ac:dyDescent="0.3">
      <c r="B12" s="70" t="s">
        <v>560</v>
      </c>
      <c r="C12" s="61">
        <v>717.23500000000001</v>
      </c>
      <c r="D12" s="61">
        <v>1110.7</v>
      </c>
      <c r="E12" s="61">
        <v>1351.7799999999997</v>
      </c>
      <c r="F12" s="61">
        <v>3179.7149999999997</v>
      </c>
    </row>
    <row r="13" spans="2:11" x14ac:dyDescent="0.3">
      <c r="B13" s="60" t="s">
        <v>585</v>
      </c>
      <c r="C13" s="61">
        <v>307.47499999999997</v>
      </c>
      <c r="D13" s="61">
        <v>181.1</v>
      </c>
      <c r="E13" s="61">
        <v>919.28400000000011</v>
      </c>
      <c r="F13" s="61">
        <v>1407.8589999999999</v>
      </c>
    </row>
    <row r="14" spans="2:11" x14ac:dyDescent="0.3">
      <c r="B14" s="69" t="s">
        <v>607</v>
      </c>
      <c r="C14" s="61">
        <v>126.63499999999999</v>
      </c>
      <c r="D14" s="61">
        <v>93.5</v>
      </c>
      <c r="E14" s="61">
        <v>270.22500000000002</v>
      </c>
      <c r="F14" s="61">
        <v>490.36</v>
      </c>
    </row>
    <row r="15" spans="2:11" x14ac:dyDescent="0.3">
      <c r="B15" s="70" t="s">
        <v>560</v>
      </c>
      <c r="C15" s="61">
        <v>126.63499999999999</v>
      </c>
      <c r="D15" s="61">
        <v>93.5</v>
      </c>
      <c r="E15" s="61">
        <v>270.22500000000002</v>
      </c>
      <c r="F15" s="61">
        <v>490.36</v>
      </c>
    </row>
    <row r="16" spans="2:11" x14ac:dyDescent="0.3">
      <c r="B16" s="69" t="s">
        <v>612</v>
      </c>
      <c r="C16" s="61">
        <v>180.83999999999997</v>
      </c>
      <c r="D16" s="61">
        <v>87.6</v>
      </c>
      <c r="E16" s="61">
        <v>318.61500000000001</v>
      </c>
      <c r="F16" s="61">
        <v>587.05499999999995</v>
      </c>
    </row>
    <row r="17" spans="1:7" x14ac:dyDescent="0.3">
      <c r="B17" s="70" t="s">
        <v>560</v>
      </c>
      <c r="C17" s="61">
        <v>180.83999999999997</v>
      </c>
      <c r="D17" s="61">
        <v>87.6</v>
      </c>
      <c r="E17" s="61">
        <v>318.61500000000001</v>
      </c>
      <c r="F17" s="61">
        <v>587.05499999999995</v>
      </c>
    </row>
    <row r="18" spans="1:7" x14ac:dyDescent="0.3">
      <c r="B18" s="69" t="s">
        <v>690</v>
      </c>
      <c r="C18" s="61"/>
      <c r="D18" s="61"/>
      <c r="E18" s="61">
        <v>330.44400000000002</v>
      </c>
      <c r="F18" s="61">
        <v>330.44400000000002</v>
      </c>
    </row>
    <row r="19" spans="1:7" x14ac:dyDescent="0.3">
      <c r="B19" s="70" t="s">
        <v>691</v>
      </c>
      <c r="C19" s="61"/>
      <c r="D19" s="61"/>
      <c r="E19" s="61">
        <v>330.44400000000002</v>
      </c>
      <c r="F19" s="61">
        <v>330.44400000000002</v>
      </c>
    </row>
    <row r="20" spans="1:7" x14ac:dyDescent="0.3">
      <c r="B20" s="60" t="s">
        <v>594</v>
      </c>
      <c r="C20" s="61">
        <v>14018.259999999998</v>
      </c>
      <c r="D20" s="61">
        <v>7939.9349999999995</v>
      </c>
      <c r="E20" s="61">
        <v>10583.355</v>
      </c>
      <c r="F20" s="61">
        <v>32541.550000000003</v>
      </c>
    </row>
    <row r="21" spans="1:7" x14ac:dyDescent="0.3">
      <c r="B21" s="69" t="s">
        <v>593</v>
      </c>
      <c r="C21" s="61">
        <v>509.48500000000001</v>
      </c>
      <c r="D21" s="61">
        <v>378.39499999999998</v>
      </c>
      <c r="E21" s="61">
        <v>1024.1400000000001</v>
      </c>
      <c r="F21" s="61">
        <v>1912.02</v>
      </c>
    </row>
    <row r="22" spans="1:7" x14ac:dyDescent="0.3">
      <c r="A22" s="52"/>
      <c r="B22" s="70" t="s">
        <v>560</v>
      </c>
      <c r="C22" s="61">
        <v>509.48500000000001</v>
      </c>
      <c r="D22" s="61">
        <v>378.39499999999998</v>
      </c>
      <c r="E22" s="61">
        <v>1024.1400000000001</v>
      </c>
      <c r="F22" s="61">
        <v>1912.02</v>
      </c>
      <c r="G22" s="51"/>
    </row>
    <row r="23" spans="1:7" x14ac:dyDescent="0.3">
      <c r="A23" s="52"/>
      <c r="B23" s="69" t="s">
        <v>654</v>
      </c>
      <c r="C23" s="61">
        <v>1486.85</v>
      </c>
      <c r="D23" s="61">
        <v>1231.0999999999999</v>
      </c>
      <c r="E23" s="61">
        <v>1250.8499999999999</v>
      </c>
      <c r="F23" s="61">
        <v>3968.7999999999997</v>
      </c>
      <c r="G23" s="51"/>
    </row>
    <row r="24" spans="1:7" x14ac:dyDescent="0.3">
      <c r="A24" s="52"/>
      <c r="B24" s="70" t="s">
        <v>560</v>
      </c>
      <c r="C24" s="61">
        <v>1486.85</v>
      </c>
      <c r="D24" s="61">
        <v>1231.0999999999999</v>
      </c>
      <c r="E24" s="61">
        <v>1250.8499999999999</v>
      </c>
      <c r="F24" s="61">
        <v>3968.7999999999997</v>
      </c>
      <c r="G24" s="51"/>
    </row>
    <row r="25" spans="1:7" x14ac:dyDescent="0.3">
      <c r="A25" s="52"/>
      <c r="B25" s="69" t="s">
        <v>655</v>
      </c>
      <c r="C25" s="61">
        <v>458</v>
      </c>
      <c r="D25" s="61">
        <v>558</v>
      </c>
      <c r="E25" s="61">
        <v>1524.8000000000002</v>
      </c>
      <c r="F25" s="61">
        <v>2540.8000000000002</v>
      </c>
      <c r="G25" s="51"/>
    </row>
    <row r="26" spans="1:7" x14ac:dyDescent="0.3">
      <c r="A26" s="52"/>
      <c r="B26" s="70" t="s">
        <v>560</v>
      </c>
      <c r="C26" s="61">
        <v>458</v>
      </c>
      <c r="D26" s="61">
        <v>558</v>
      </c>
      <c r="E26" s="61">
        <v>1524.8000000000002</v>
      </c>
      <c r="F26" s="61">
        <v>2540.8000000000002</v>
      </c>
      <c r="G26" s="51"/>
    </row>
    <row r="27" spans="1:7" x14ac:dyDescent="0.3">
      <c r="A27" s="52"/>
      <c r="B27" s="69" t="s">
        <v>659</v>
      </c>
      <c r="C27" s="61">
        <v>2814.9</v>
      </c>
      <c r="D27" s="61">
        <v>905.1</v>
      </c>
      <c r="E27" s="61">
        <v>1358.9</v>
      </c>
      <c r="F27" s="61">
        <v>5078.8999999999996</v>
      </c>
      <c r="G27" s="51"/>
    </row>
    <row r="28" spans="1:7" x14ac:dyDescent="0.3">
      <c r="A28" s="52"/>
      <c r="B28" s="70" t="s">
        <v>560</v>
      </c>
      <c r="C28" s="61">
        <v>2814.9</v>
      </c>
      <c r="D28" s="61">
        <v>905.1</v>
      </c>
      <c r="E28" s="61">
        <v>1358.9</v>
      </c>
      <c r="F28" s="61">
        <v>5078.8999999999996</v>
      </c>
      <c r="G28" s="51"/>
    </row>
    <row r="29" spans="1:7" x14ac:dyDescent="0.3">
      <c r="A29" s="52"/>
      <c r="B29" s="69" t="s">
        <v>474</v>
      </c>
      <c r="C29" s="61">
        <v>85.9</v>
      </c>
      <c r="D29" s="61">
        <v>138.66</v>
      </c>
      <c r="E29" s="61">
        <v>253.46000000000004</v>
      </c>
      <c r="F29" s="61">
        <v>478.02000000000004</v>
      </c>
      <c r="G29" s="51"/>
    </row>
    <row r="30" spans="1:7" x14ac:dyDescent="0.3">
      <c r="A30" s="52"/>
      <c r="B30" s="70" t="s">
        <v>560</v>
      </c>
      <c r="C30" s="61">
        <v>85.9</v>
      </c>
      <c r="D30" s="61">
        <v>138.66</v>
      </c>
      <c r="E30" s="61">
        <v>253.46000000000004</v>
      </c>
      <c r="F30" s="61">
        <v>478.02000000000004</v>
      </c>
      <c r="G30" s="51"/>
    </row>
    <row r="31" spans="1:7" x14ac:dyDescent="0.3">
      <c r="A31" s="52"/>
      <c r="B31" s="69" t="s">
        <v>483</v>
      </c>
      <c r="C31" s="61">
        <v>2859.6000000000004</v>
      </c>
      <c r="D31" s="61">
        <v>1002.8</v>
      </c>
      <c r="E31" s="61">
        <v>1051.4000000000001</v>
      </c>
      <c r="F31" s="61">
        <v>4913.8000000000011</v>
      </c>
      <c r="G31" s="51"/>
    </row>
    <row r="32" spans="1:7" x14ac:dyDescent="0.3">
      <c r="A32" s="52"/>
      <c r="B32" s="70" t="s">
        <v>560</v>
      </c>
      <c r="C32" s="61">
        <v>2859.6000000000004</v>
      </c>
      <c r="D32" s="61">
        <v>1002.8</v>
      </c>
      <c r="E32" s="61">
        <v>1051.4000000000001</v>
      </c>
      <c r="F32" s="61">
        <v>4913.8000000000011</v>
      </c>
      <c r="G32" s="51"/>
    </row>
    <row r="33" spans="1:7" x14ac:dyDescent="0.3">
      <c r="A33" s="52"/>
      <c r="B33" s="69" t="s">
        <v>488</v>
      </c>
      <c r="C33" s="61">
        <v>1367.6</v>
      </c>
      <c r="D33" s="61">
        <v>966.9</v>
      </c>
      <c r="E33" s="61">
        <v>1167.9000000000001</v>
      </c>
      <c r="F33" s="61">
        <v>3502.4</v>
      </c>
      <c r="G33" s="51"/>
    </row>
    <row r="34" spans="1:7" x14ac:dyDescent="0.3">
      <c r="A34" s="52"/>
      <c r="B34" s="70" t="s">
        <v>560</v>
      </c>
      <c r="C34" s="61">
        <v>1367.6</v>
      </c>
      <c r="D34" s="61">
        <v>966.9</v>
      </c>
      <c r="E34" s="61">
        <v>1167.9000000000001</v>
      </c>
      <c r="F34" s="61">
        <v>3502.4</v>
      </c>
      <c r="G34" s="51"/>
    </row>
    <row r="35" spans="1:7" x14ac:dyDescent="0.3">
      <c r="A35" s="52"/>
      <c r="B35" s="69" t="s">
        <v>491</v>
      </c>
      <c r="C35" s="61">
        <v>1668.8999999999999</v>
      </c>
      <c r="D35" s="61">
        <v>1220.4999999999998</v>
      </c>
      <c r="E35" s="61">
        <v>1263.0999999999999</v>
      </c>
      <c r="F35" s="61">
        <v>4152.5</v>
      </c>
      <c r="G35" s="51"/>
    </row>
    <row r="36" spans="1:7" x14ac:dyDescent="0.3">
      <c r="A36" s="52"/>
      <c r="B36" s="70" t="s">
        <v>560</v>
      </c>
      <c r="C36" s="61">
        <v>1668.8999999999999</v>
      </c>
      <c r="D36" s="61">
        <v>1220.4999999999998</v>
      </c>
      <c r="E36" s="61">
        <v>1263.0999999999999</v>
      </c>
      <c r="F36" s="61">
        <v>4152.5</v>
      </c>
      <c r="G36" s="51"/>
    </row>
    <row r="37" spans="1:7" x14ac:dyDescent="0.3">
      <c r="A37" s="52"/>
      <c r="B37" s="69" t="s">
        <v>506</v>
      </c>
      <c r="C37" s="61">
        <v>1311.3</v>
      </c>
      <c r="D37" s="61">
        <v>641.5</v>
      </c>
      <c r="E37" s="61">
        <v>560.9</v>
      </c>
      <c r="F37" s="61">
        <v>2513.6999999999998</v>
      </c>
      <c r="G37" s="51"/>
    </row>
    <row r="38" spans="1:7" x14ac:dyDescent="0.3">
      <c r="A38" s="52"/>
      <c r="B38" s="70" t="s">
        <v>560</v>
      </c>
      <c r="C38" s="61">
        <v>1311.3</v>
      </c>
      <c r="D38" s="61">
        <v>641.5</v>
      </c>
      <c r="E38" s="61">
        <v>560.9</v>
      </c>
      <c r="F38" s="61">
        <v>2513.6999999999998</v>
      </c>
      <c r="G38" s="51"/>
    </row>
    <row r="39" spans="1:7" x14ac:dyDescent="0.3">
      <c r="A39" s="52"/>
      <c r="B39" s="69" t="s">
        <v>684</v>
      </c>
      <c r="C39" s="61">
        <v>1041.2449999999999</v>
      </c>
      <c r="D39" s="61">
        <v>441.38</v>
      </c>
      <c r="E39" s="61">
        <v>737.34500000000003</v>
      </c>
      <c r="F39" s="61">
        <v>2219.9700000000003</v>
      </c>
      <c r="G39" s="51"/>
    </row>
    <row r="40" spans="1:7" x14ac:dyDescent="0.3">
      <c r="A40" s="52"/>
      <c r="B40" s="70" t="s">
        <v>560</v>
      </c>
      <c r="C40" s="61">
        <v>1041.2449999999999</v>
      </c>
      <c r="D40" s="61">
        <v>441.38</v>
      </c>
      <c r="E40" s="61">
        <v>737.34500000000003</v>
      </c>
      <c r="F40" s="61">
        <v>2219.9700000000003</v>
      </c>
      <c r="G40" s="51"/>
    </row>
    <row r="41" spans="1:7" x14ac:dyDescent="0.3">
      <c r="A41" s="52"/>
      <c r="B41" s="69" t="s">
        <v>534</v>
      </c>
      <c r="C41" s="61">
        <v>414.48</v>
      </c>
      <c r="D41" s="61">
        <v>455.6</v>
      </c>
      <c r="E41" s="61">
        <v>390.56000000000006</v>
      </c>
      <c r="F41" s="61">
        <v>1260.6400000000001</v>
      </c>
      <c r="G41" s="51"/>
    </row>
    <row r="42" spans="1:7" x14ac:dyDescent="0.3">
      <c r="A42" s="52"/>
      <c r="B42" s="70" t="s">
        <v>560</v>
      </c>
      <c r="C42" s="61">
        <v>414.48</v>
      </c>
      <c r="D42" s="61">
        <v>455.6</v>
      </c>
      <c r="E42" s="61">
        <v>390.56000000000006</v>
      </c>
      <c r="F42" s="61">
        <v>1260.6400000000001</v>
      </c>
      <c r="G42" s="51"/>
    </row>
    <row r="43" spans="1:7" x14ac:dyDescent="0.3">
      <c r="A43" s="52"/>
      <c r="B43" s="60" t="s">
        <v>605</v>
      </c>
      <c r="C43" s="61">
        <v>2137.9749999999999</v>
      </c>
      <c r="D43" s="61">
        <v>2539.12</v>
      </c>
      <c r="E43" s="61">
        <v>2112.73</v>
      </c>
      <c r="F43" s="61">
        <v>6789.8249999999989</v>
      </c>
      <c r="G43" s="51"/>
    </row>
    <row r="44" spans="1:7" x14ac:dyDescent="0.3">
      <c r="A44" s="52"/>
      <c r="B44" s="69" t="s">
        <v>603</v>
      </c>
      <c r="C44" s="61">
        <v>2137.9749999999999</v>
      </c>
      <c r="D44" s="61">
        <v>2539.12</v>
      </c>
      <c r="E44" s="61">
        <v>2112.73</v>
      </c>
      <c r="F44" s="61">
        <v>6789.8249999999989</v>
      </c>
      <c r="G44" s="51"/>
    </row>
    <row r="45" spans="1:7" x14ac:dyDescent="0.3">
      <c r="A45" s="52"/>
      <c r="B45" s="70" t="s">
        <v>560</v>
      </c>
      <c r="C45" s="61">
        <v>2137.9749999999999</v>
      </c>
      <c r="D45" s="61">
        <v>2539.12</v>
      </c>
      <c r="E45" s="61">
        <v>2112.73</v>
      </c>
      <c r="F45" s="61">
        <v>6789.8249999999989</v>
      </c>
      <c r="G45" s="51"/>
    </row>
    <row r="46" spans="1:7" x14ac:dyDescent="0.3">
      <c r="A46" s="52"/>
      <c r="B46" s="60" t="s">
        <v>657</v>
      </c>
      <c r="C46" s="61">
        <v>1130.8550000000002</v>
      </c>
      <c r="D46" s="61">
        <v>889.79000000000008</v>
      </c>
      <c r="E46" s="61">
        <v>990.7700000000001</v>
      </c>
      <c r="F46" s="61">
        <v>3011.4150000000004</v>
      </c>
      <c r="G46" s="51"/>
    </row>
    <row r="47" spans="1:7" x14ac:dyDescent="0.3">
      <c r="A47" s="52"/>
      <c r="B47" s="69" t="s">
        <v>656</v>
      </c>
      <c r="C47" s="61">
        <v>1130.8550000000002</v>
      </c>
      <c r="D47" s="61">
        <v>889.79000000000008</v>
      </c>
      <c r="E47" s="61">
        <v>990.7700000000001</v>
      </c>
      <c r="F47" s="61">
        <v>3011.4150000000004</v>
      </c>
      <c r="G47" s="51"/>
    </row>
    <row r="48" spans="1:7" x14ac:dyDescent="0.3">
      <c r="A48" s="52"/>
      <c r="B48" s="70" t="s">
        <v>560</v>
      </c>
      <c r="C48" s="61">
        <v>1130.8550000000002</v>
      </c>
      <c r="D48" s="61">
        <v>889.79000000000008</v>
      </c>
      <c r="E48" s="61">
        <v>990.7700000000001</v>
      </c>
      <c r="F48" s="61">
        <v>3011.4150000000004</v>
      </c>
      <c r="G48" s="51"/>
    </row>
    <row r="49" spans="1:7" x14ac:dyDescent="0.3">
      <c r="A49" s="52"/>
      <c r="B49" s="60" t="s">
        <v>141</v>
      </c>
      <c r="C49" s="61">
        <v>4556.4850000000006</v>
      </c>
      <c r="D49" s="61">
        <v>4978.8150000000005</v>
      </c>
      <c r="E49" s="61">
        <v>10873.74</v>
      </c>
      <c r="F49" s="61">
        <v>20409.04</v>
      </c>
      <c r="G49" s="51"/>
    </row>
    <row r="50" spans="1:7" x14ac:dyDescent="0.3">
      <c r="A50" s="52"/>
      <c r="B50" s="69" t="s">
        <v>671</v>
      </c>
      <c r="C50" s="61">
        <v>1872.1</v>
      </c>
      <c r="D50" s="61">
        <v>2393.1000000000004</v>
      </c>
      <c r="E50" s="61">
        <v>3742</v>
      </c>
      <c r="F50" s="61">
        <v>8007.2000000000007</v>
      </c>
      <c r="G50" s="51"/>
    </row>
    <row r="51" spans="1:7" x14ac:dyDescent="0.3">
      <c r="A51" s="52"/>
      <c r="B51" s="70" t="s">
        <v>560</v>
      </c>
      <c r="C51" s="61">
        <v>1872.1</v>
      </c>
      <c r="D51" s="61">
        <v>2393.1000000000004</v>
      </c>
      <c r="E51" s="61">
        <v>3742</v>
      </c>
      <c r="F51" s="61">
        <v>8007.2000000000007</v>
      </c>
      <c r="G51" s="51"/>
    </row>
    <row r="52" spans="1:7" x14ac:dyDescent="0.3">
      <c r="A52" s="52"/>
      <c r="B52" s="69" t="s">
        <v>683</v>
      </c>
      <c r="C52" s="61">
        <v>2684.3850000000007</v>
      </c>
      <c r="D52" s="61">
        <v>2585.7150000000001</v>
      </c>
      <c r="E52" s="61">
        <v>7131.74</v>
      </c>
      <c r="F52" s="61">
        <v>12401.84</v>
      </c>
      <c r="G52" s="51"/>
    </row>
    <row r="53" spans="1:7" x14ac:dyDescent="0.3">
      <c r="A53" s="52"/>
      <c r="B53" s="70" t="s">
        <v>560</v>
      </c>
      <c r="C53" s="61">
        <v>2684.3850000000007</v>
      </c>
      <c r="D53" s="61">
        <v>2585.7150000000001</v>
      </c>
      <c r="E53" s="61">
        <v>7131.74</v>
      </c>
      <c r="F53" s="61">
        <v>12401.84</v>
      </c>
      <c r="G53" s="51"/>
    </row>
    <row r="54" spans="1:7" x14ac:dyDescent="0.3">
      <c r="A54" s="52"/>
      <c r="B54" s="59" t="s">
        <v>324</v>
      </c>
      <c r="C54" s="61">
        <v>16485.125700000001</v>
      </c>
      <c r="D54" s="61">
        <v>13308.9673</v>
      </c>
      <c r="E54" s="61">
        <v>24348.545999999998</v>
      </c>
      <c r="F54" s="61">
        <v>54142.639000000003</v>
      </c>
      <c r="G54" s="51"/>
    </row>
    <row r="55" spans="1:7" x14ac:dyDescent="0.3">
      <c r="A55" s="52"/>
      <c r="B55" s="60" t="s">
        <v>585</v>
      </c>
      <c r="C55" s="61">
        <v>1584.1356999999998</v>
      </c>
      <c r="D55" s="61">
        <v>1291.3322999999998</v>
      </c>
      <c r="E55" s="61">
        <v>1301.8709999999999</v>
      </c>
      <c r="F55" s="61">
        <v>4177.3389999999999</v>
      </c>
      <c r="G55" s="51"/>
    </row>
    <row r="56" spans="1:7" x14ac:dyDescent="0.3">
      <c r="A56" s="52"/>
      <c r="B56" s="69" t="s">
        <v>581</v>
      </c>
      <c r="C56" s="61">
        <v>73.707699999999988</v>
      </c>
      <c r="D56" s="61">
        <v>48.540300000000002</v>
      </c>
      <c r="E56" s="61">
        <v>33.928999999999995</v>
      </c>
      <c r="F56" s="61">
        <v>156.17699999999999</v>
      </c>
      <c r="G56" s="51"/>
    </row>
    <row r="57" spans="1:7" x14ac:dyDescent="0.3">
      <c r="A57" s="52"/>
      <c r="B57" s="70" t="s">
        <v>560</v>
      </c>
      <c r="C57" s="61">
        <v>73.707699999999988</v>
      </c>
      <c r="D57" s="61">
        <v>48.540300000000002</v>
      </c>
      <c r="E57" s="61">
        <v>33.928999999999995</v>
      </c>
      <c r="F57" s="61">
        <v>156.17699999999999</v>
      </c>
      <c r="G57" s="51"/>
    </row>
    <row r="58" spans="1:7" x14ac:dyDescent="0.3">
      <c r="A58" s="52"/>
      <c r="B58" s="69" t="s">
        <v>588</v>
      </c>
      <c r="C58" s="61">
        <v>0.19799999999999998</v>
      </c>
      <c r="D58" s="61">
        <v>0.20099999999999998</v>
      </c>
      <c r="E58" s="61">
        <v>0.10199999999999999</v>
      </c>
      <c r="F58" s="61">
        <v>0.501</v>
      </c>
      <c r="G58" s="51"/>
    </row>
    <row r="59" spans="1:7" x14ac:dyDescent="0.3">
      <c r="A59" s="52"/>
      <c r="B59" s="70" t="s">
        <v>560</v>
      </c>
      <c r="C59" s="61">
        <v>0.19799999999999998</v>
      </c>
      <c r="D59" s="61">
        <v>0.20099999999999998</v>
      </c>
      <c r="E59" s="61">
        <v>0.10199999999999999</v>
      </c>
      <c r="F59" s="61">
        <v>0.501</v>
      </c>
      <c r="G59" s="51"/>
    </row>
    <row r="60" spans="1:7" x14ac:dyDescent="0.3">
      <c r="A60" s="52"/>
      <c r="B60" s="69" t="s">
        <v>269</v>
      </c>
      <c r="C60" s="61">
        <v>23.38</v>
      </c>
      <c r="D60" s="61">
        <v>11.491000000000001</v>
      </c>
      <c r="E60" s="61">
        <v>16.990000000000002</v>
      </c>
      <c r="F60" s="61">
        <v>51.861000000000004</v>
      </c>
      <c r="G60" s="51"/>
    </row>
    <row r="61" spans="1:7" x14ac:dyDescent="0.3">
      <c r="A61" s="52"/>
      <c r="B61" s="70" t="s">
        <v>560</v>
      </c>
      <c r="C61" s="61">
        <v>23.38</v>
      </c>
      <c r="D61" s="61">
        <v>11.491000000000001</v>
      </c>
      <c r="E61" s="61">
        <v>16.990000000000002</v>
      </c>
      <c r="F61" s="61">
        <v>51.861000000000004</v>
      </c>
      <c r="G61" s="51"/>
    </row>
    <row r="62" spans="1:7" x14ac:dyDescent="0.3">
      <c r="A62" s="52"/>
      <c r="B62" s="69" t="s">
        <v>654</v>
      </c>
      <c r="C62" s="61">
        <v>1486.85</v>
      </c>
      <c r="D62" s="61">
        <v>1231.0999999999999</v>
      </c>
      <c r="E62" s="61">
        <v>1250.8499999999999</v>
      </c>
      <c r="F62" s="61">
        <v>3968.7999999999997</v>
      </c>
      <c r="G62" s="51"/>
    </row>
    <row r="63" spans="1:7" x14ac:dyDescent="0.3">
      <c r="A63" s="52"/>
      <c r="B63" s="70" t="s">
        <v>560</v>
      </c>
      <c r="C63" s="61">
        <v>1486.85</v>
      </c>
      <c r="D63" s="61">
        <v>1231.0999999999999</v>
      </c>
      <c r="E63" s="61">
        <v>1250.8499999999999</v>
      </c>
      <c r="F63" s="61">
        <v>3968.7999999999997</v>
      </c>
      <c r="G63" s="51"/>
    </row>
    <row r="64" spans="1:7" x14ac:dyDescent="0.3">
      <c r="A64" s="52"/>
      <c r="B64" s="60" t="s">
        <v>590</v>
      </c>
      <c r="C64" s="61">
        <v>10273.795</v>
      </c>
      <c r="D64" s="61">
        <v>7787.1049999999996</v>
      </c>
      <c r="E64" s="61">
        <v>15459.429999999998</v>
      </c>
      <c r="F64" s="61">
        <v>33520.33</v>
      </c>
      <c r="G64" s="51"/>
    </row>
    <row r="65" spans="1:7" x14ac:dyDescent="0.3">
      <c r="A65" s="52"/>
      <c r="B65" s="69" t="s">
        <v>118</v>
      </c>
      <c r="C65" s="61">
        <v>4520.1149999999998</v>
      </c>
      <c r="D65" s="61">
        <v>4599.1149999999998</v>
      </c>
      <c r="E65" s="61">
        <v>8983.7099999999991</v>
      </c>
      <c r="F65" s="61">
        <v>18102.939999999999</v>
      </c>
      <c r="G65" s="51"/>
    </row>
    <row r="66" spans="1:7" x14ac:dyDescent="0.3">
      <c r="A66" s="52"/>
      <c r="B66" s="70" t="s">
        <v>560</v>
      </c>
      <c r="C66" s="61">
        <v>4520.1149999999998</v>
      </c>
      <c r="D66" s="61">
        <v>4599.1149999999998</v>
      </c>
      <c r="E66" s="61">
        <v>8983.7099999999991</v>
      </c>
      <c r="F66" s="61">
        <v>18102.939999999999</v>
      </c>
      <c r="G66" s="51"/>
    </row>
    <row r="67" spans="1:7" x14ac:dyDescent="0.3">
      <c r="A67" s="52"/>
      <c r="B67" s="69" t="s">
        <v>602</v>
      </c>
      <c r="C67" s="61">
        <v>672.46</v>
      </c>
      <c r="D67" s="61">
        <v>768.18999999999994</v>
      </c>
      <c r="E67" s="61">
        <v>841.25</v>
      </c>
      <c r="F67" s="61">
        <v>2281.9</v>
      </c>
      <c r="G67" s="51"/>
    </row>
    <row r="68" spans="1:7" x14ac:dyDescent="0.3">
      <c r="A68" s="52"/>
      <c r="B68" s="70" t="s">
        <v>560</v>
      </c>
      <c r="C68" s="61">
        <v>672.46</v>
      </c>
      <c r="D68" s="61">
        <v>768.18999999999994</v>
      </c>
      <c r="E68" s="61">
        <v>841.25</v>
      </c>
      <c r="F68" s="61">
        <v>2281.9</v>
      </c>
      <c r="G68" s="51"/>
    </row>
    <row r="69" spans="1:7" x14ac:dyDescent="0.3">
      <c r="A69" s="52"/>
      <c r="B69" s="69" t="s">
        <v>612</v>
      </c>
      <c r="C69" s="61">
        <v>843.92</v>
      </c>
      <c r="D69" s="61">
        <v>408.79999999999995</v>
      </c>
      <c r="E69" s="61">
        <v>1486.87</v>
      </c>
      <c r="F69" s="61">
        <v>2739.5899999999997</v>
      </c>
      <c r="G69" s="51"/>
    </row>
    <row r="70" spans="1:7" x14ac:dyDescent="0.3">
      <c r="A70" s="52"/>
      <c r="B70" s="70" t="s">
        <v>560</v>
      </c>
      <c r="C70" s="61">
        <v>843.92</v>
      </c>
      <c r="D70" s="61">
        <v>408.79999999999995</v>
      </c>
      <c r="E70" s="61">
        <v>1486.87</v>
      </c>
      <c r="F70" s="61">
        <v>2739.5899999999997</v>
      </c>
      <c r="G70" s="51"/>
    </row>
    <row r="71" spans="1:7" x14ac:dyDescent="0.3">
      <c r="A71" s="52"/>
      <c r="B71" s="69" t="s">
        <v>292</v>
      </c>
      <c r="C71" s="61">
        <v>4237.3</v>
      </c>
      <c r="D71" s="61">
        <v>2011</v>
      </c>
      <c r="E71" s="61">
        <v>4147.6000000000004</v>
      </c>
      <c r="F71" s="61">
        <v>10395.900000000001</v>
      </c>
      <c r="G71" s="51"/>
    </row>
    <row r="72" spans="1:7" x14ac:dyDescent="0.3">
      <c r="A72" s="52"/>
      <c r="B72" s="70" t="s">
        <v>560</v>
      </c>
      <c r="C72" s="61">
        <v>4237.3</v>
      </c>
      <c r="D72" s="61">
        <v>2011</v>
      </c>
      <c r="E72" s="61">
        <v>4147.6000000000004</v>
      </c>
      <c r="F72" s="61">
        <v>10395.900000000001</v>
      </c>
      <c r="G72" s="51"/>
    </row>
    <row r="73" spans="1:7" x14ac:dyDescent="0.3">
      <c r="A73" s="52"/>
      <c r="B73" s="60" t="s">
        <v>141</v>
      </c>
      <c r="C73" s="61">
        <v>4627.1950000000006</v>
      </c>
      <c r="D73" s="61">
        <v>4230.53</v>
      </c>
      <c r="E73" s="61">
        <v>7587.2449999999999</v>
      </c>
      <c r="F73" s="61">
        <v>16444.969999999998</v>
      </c>
      <c r="G73" s="51"/>
    </row>
    <row r="74" spans="1:7" x14ac:dyDescent="0.3">
      <c r="A74" s="52"/>
      <c r="B74" s="69" t="s">
        <v>675</v>
      </c>
      <c r="C74" s="61">
        <v>614.26</v>
      </c>
      <c r="D74" s="61">
        <v>487.72</v>
      </c>
      <c r="E74" s="61">
        <v>489.98</v>
      </c>
      <c r="F74" s="61">
        <v>1591.96</v>
      </c>
      <c r="G74" s="51"/>
    </row>
    <row r="75" spans="1:7" x14ac:dyDescent="0.3">
      <c r="A75" s="52"/>
      <c r="B75" s="70" t="s">
        <v>560</v>
      </c>
      <c r="C75" s="61">
        <v>614.26</v>
      </c>
      <c r="D75" s="61">
        <v>487.72</v>
      </c>
      <c r="E75" s="61">
        <v>489.98</v>
      </c>
      <c r="F75" s="61">
        <v>1591.96</v>
      </c>
      <c r="G75" s="51"/>
    </row>
    <row r="76" spans="1:7" x14ac:dyDescent="0.3">
      <c r="A76" s="52"/>
      <c r="B76" s="69" t="s">
        <v>683</v>
      </c>
      <c r="C76" s="61">
        <v>1464.21</v>
      </c>
      <c r="D76" s="61">
        <v>1410.39</v>
      </c>
      <c r="E76" s="61">
        <v>3890.0399999999995</v>
      </c>
      <c r="F76" s="61">
        <v>6764.6399999999994</v>
      </c>
      <c r="G76" s="51"/>
    </row>
    <row r="77" spans="1:7" x14ac:dyDescent="0.3">
      <c r="A77" s="52"/>
      <c r="B77" s="70" t="s">
        <v>560</v>
      </c>
      <c r="C77" s="61">
        <v>1464.21</v>
      </c>
      <c r="D77" s="61">
        <v>1410.39</v>
      </c>
      <c r="E77" s="61">
        <v>3890.0399999999995</v>
      </c>
      <c r="F77" s="61">
        <v>6764.6399999999994</v>
      </c>
      <c r="G77" s="51"/>
    </row>
    <row r="78" spans="1:7" x14ac:dyDescent="0.3">
      <c r="A78" s="52"/>
      <c r="B78" s="69" t="s">
        <v>311</v>
      </c>
      <c r="C78" s="61">
        <v>1366.5749999999998</v>
      </c>
      <c r="D78" s="61">
        <v>1580.1449999999998</v>
      </c>
      <c r="E78" s="61">
        <v>2075.9900000000002</v>
      </c>
      <c r="F78" s="61">
        <v>5022.7099999999991</v>
      </c>
      <c r="G78" s="51"/>
    </row>
    <row r="79" spans="1:7" x14ac:dyDescent="0.3">
      <c r="A79" s="52"/>
      <c r="B79" s="70" t="s">
        <v>560</v>
      </c>
      <c r="C79" s="61">
        <v>1366.5749999999998</v>
      </c>
      <c r="D79" s="61">
        <v>1580.1449999999998</v>
      </c>
      <c r="E79" s="61">
        <v>2075.9900000000002</v>
      </c>
      <c r="F79" s="61">
        <v>5022.7099999999991</v>
      </c>
      <c r="G79" s="51"/>
    </row>
    <row r="80" spans="1:7" x14ac:dyDescent="0.3">
      <c r="A80" s="52"/>
      <c r="B80" s="69" t="s">
        <v>684</v>
      </c>
      <c r="C80" s="61">
        <v>759.755</v>
      </c>
      <c r="D80" s="61">
        <v>350.87</v>
      </c>
      <c r="E80" s="61">
        <v>606.15499999999997</v>
      </c>
      <c r="F80" s="61">
        <v>1716.78</v>
      </c>
      <c r="G80" s="51"/>
    </row>
    <row r="81" spans="1:7" x14ac:dyDescent="0.3">
      <c r="A81" s="52"/>
      <c r="B81" s="70" t="s">
        <v>560</v>
      </c>
      <c r="C81" s="61">
        <v>759.755</v>
      </c>
      <c r="D81" s="61">
        <v>350.87</v>
      </c>
      <c r="E81" s="61">
        <v>606.15499999999997</v>
      </c>
      <c r="F81" s="61">
        <v>1716.78</v>
      </c>
      <c r="G81" s="51"/>
    </row>
    <row r="82" spans="1:7" x14ac:dyDescent="0.3">
      <c r="A82" s="52"/>
      <c r="B82" s="69" t="s">
        <v>534</v>
      </c>
      <c r="C82" s="61">
        <v>259.05</v>
      </c>
      <c r="D82" s="61">
        <v>284.75</v>
      </c>
      <c r="E82" s="61">
        <v>244.1</v>
      </c>
      <c r="F82" s="61">
        <v>787.9</v>
      </c>
      <c r="G82" s="51"/>
    </row>
    <row r="83" spans="1:7" x14ac:dyDescent="0.3">
      <c r="A83" s="52"/>
      <c r="B83" s="70" t="s">
        <v>560</v>
      </c>
      <c r="C83" s="61">
        <v>259.05</v>
      </c>
      <c r="D83" s="61">
        <v>284.75</v>
      </c>
      <c r="E83" s="61">
        <v>244.1</v>
      </c>
      <c r="F83" s="61">
        <v>787.9</v>
      </c>
      <c r="G83" s="51"/>
    </row>
    <row r="84" spans="1:7" x14ac:dyDescent="0.3">
      <c r="A84" s="52"/>
      <c r="B84" s="69" t="s">
        <v>536</v>
      </c>
      <c r="C84" s="61">
        <v>163.345</v>
      </c>
      <c r="D84" s="61">
        <v>116.655</v>
      </c>
      <c r="E84" s="61">
        <v>280.97999999999996</v>
      </c>
      <c r="F84" s="61">
        <v>560.98</v>
      </c>
      <c r="G84" s="51"/>
    </row>
    <row r="85" spans="1:7" x14ac:dyDescent="0.3">
      <c r="A85" s="52"/>
      <c r="B85" s="70" t="s">
        <v>560</v>
      </c>
      <c r="C85" s="61">
        <v>163.345</v>
      </c>
      <c r="D85" s="61">
        <v>116.655</v>
      </c>
      <c r="E85" s="61">
        <v>280.97999999999996</v>
      </c>
      <c r="F85" s="61">
        <v>560.98</v>
      </c>
      <c r="G85" s="51"/>
    </row>
    <row r="86" spans="1:7" x14ac:dyDescent="0.3">
      <c r="A86" s="52"/>
      <c r="B86" s="59" t="s">
        <v>325</v>
      </c>
      <c r="C86" s="61">
        <v>16394.114000000001</v>
      </c>
      <c r="D86" s="61">
        <v>13261.948999999997</v>
      </c>
      <c r="E86" s="61">
        <v>18048.022000000001</v>
      </c>
      <c r="F86" s="61">
        <v>47704.084999999992</v>
      </c>
      <c r="G86" s="51"/>
    </row>
    <row r="87" spans="1:7" x14ac:dyDescent="0.3">
      <c r="A87" s="52"/>
      <c r="B87" s="60" t="s">
        <v>563</v>
      </c>
      <c r="C87" s="61">
        <v>3735.2270000000003</v>
      </c>
      <c r="D87" s="61">
        <v>3847.3500000000008</v>
      </c>
      <c r="E87" s="61">
        <v>4501.1580000000004</v>
      </c>
      <c r="F87" s="61">
        <v>12083.735000000001</v>
      </c>
      <c r="G87" s="51"/>
    </row>
    <row r="88" spans="1:7" x14ac:dyDescent="0.3">
      <c r="A88" s="52"/>
      <c r="B88" s="69" t="s">
        <v>552</v>
      </c>
      <c r="C88" s="61">
        <v>2627.19</v>
      </c>
      <c r="D88" s="61">
        <v>2458.7600000000002</v>
      </c>
      <c r="E88" s="61">
        <v>2404.12</v>
      </c>
      <c r="F88" s="61">
        <v>7490.0700000000006</v>
      </c>
      <c r="G88" s="51"/>
    </row>
    <row r="89" spans="1:7" x14ac:dyDescent="0.3">
      <c r="A89" s="52"/>
      <c r="B89" s="70" t="s">
        <v>560</v>
      </c>
      <c r="C89" s="61">
        <v>2627.19</v>
      </c>
      <c r="D89" s="61">
        <v>2458.7600000000002</v>
      </c>
      <c r="E89" s="61">
        <v>2404.12</v>
      </c>
      <c r="F89" s="61">
        <v>7490.0700000000006</v>
      </c>
      <c r="G89" s="51"/>
    </row>
    <row r="90" spans="1:7" x14ac:dyDescent="0.3">
      <c r="A90" s="52"/>
      <c r="B90" s="69" t="s">
        <v>588</v>
      </c>
      <c r="C90" s="61">
        <v>5.49</v>
      </c>
      <c r="D90" s="61">
        <v>14.57</v>
      </c>
      <c r="E90" s="61">
        <v>0.96000000000000019</v>
      </c>
      <c r="F90" s="61">
        <v>21.020000000000003</v>
      </c>
      <c r="G90" s="51"/>
    </row>
    <row r="91" spans="1:7" x14ac:dyDescent="0.3">
      <c r="A91" s="52"/>
      <c r="B91" s="70" t="s">
        <v>560</v>
      </c>
      <c r="C91" s="61">
        <v>5.49</v>
      </c>
      <c r="D91" s="61">
        <v>14.57</v>
      </c>
      <c r="E91" s="61">
        <v>0.96000000000000019</v>
      </c>
      <c r="F91" s="61">
        <v>21.020000000000003</v>
      </c>
      <c r="G91" s="51"/>
    </row>
    <row r="92" spans="1:7" x14ac:dyDescent="0.3">
      <c r="A92" s="52"/>
      <c r="B92" s="69" t="s">
        <v>269</v>
      </c>
      <c r="C92" s="61">
        <v>40.995999999999995</v>
      </c>
      <c r="D92" s="61">
        <v>20.202999999999999</v>
      </c>
      <c r="E92" s="61">
        <v>74.11099999999999</v>
      </c>
      <c r="F92" s="61">
        <v>135.31</v>
      </c>
      <c r="G92" s="51"/>
    </row>
    <row r="93" spans="1:7" x14ac:dyDescent="0.3">
      <c r="A93" s="52"/>
      <c r="B93" s="70" t="s">
        <v>560</v>
      </c>
      <c r="C93" s="61">
        <v>40.995999999999995</v>
      </c>
      <c r="D93" s="61">
        <v>20.202999999999999</v>
      </c>
      <c r="E93" s="61">
        <v>74.11099999999999</v>
      </c>
      <c r="F93" s="61">
        <v>135.31</v>
      </c>
      <c r="G93" s="51"/>
    </row>
    <row r="94" spans="1:7" x14ac:dyDescent="0.3">
      <c r="A94" s="52"/>
      <c r="B94" s="69" t="s">
        <v>118</v>
      </c>
      <c r="C94" s="61">
        <v>428.51600000000002</v>
      </c>
      <c r="D94" s="61">
        <v>445.83699999999999</v>
      </c>
      <c r="E94" s="61">
        <v>886.85700000000008</v>
      </c>
      <c r="F94" s="61">
        <v>1761.21</v>
      </c>
      <c r="G94" s="51"/>
    </row>
    <row r="95" spans="1:7" x14ac:dyDescent="0.3">
      <c r="A95" s="52"/>
      <c r="B95" s="70" t="s">
        <v>560</v>
      </c>
      <c r="C95" s="61">
        <v>428.51600000000002</v>
      </c>
      <c r="D95" s="61">
        <v>445.83699999999999</v>
      </c>
      <c r="E95" s="61">
        <v>886.85700000000008</v>
      </c>
      <c r="F95" s="61">
        <v>1761.21</v>
      </c>
      <c r="G95" s="51"/>
    </row>
    <row r="96" spans="1:7" x14ac:dyDescent="0.3">
      <c r="A96" s="52"/>
      <c r="B96" s="69" t="s">
        <v>175</v>
      </c>
      <c r="C96" s="61">
        <v>195.47000000000003</v>
      </c>
      <c r="D96" s="61">
        <v>242.42</v>
      </c>
      <c r="E96" s="61">
        <v>347.94000000000005</v>
      </c>
      <c r="F96" s="61">
        <v>785.83</v>
      </c>
      <c r="G96" s="51"/>
    </row>
    <row r="97" spans="1:7" x14ac:dyDescent="0.3">
      <c r="A97" s="52"/>
      <c r="B97" s="70" t="s">
        <v>560</v>
      </c>
      <c r="C97" s="61">
        <v>195.47000000000003</v>
      </c>
      <c r="D97" s="61">
        <v>242.42</v>
      </c>
      <c r="E97" s="61">
        <v>347.94000000000005</v>
      </c>
      <c r="F97" s="61">
        <v>785.83</v>
      </c>
      <c r="G97" s="51"/>
    </row>
    <row r="98" spans="1:7" x14ac:dyDescent="0.3">
      <c r="A98" s="52"/>
      <c r="B98" s="69" t="s">
        <v>600</v>
      </c>
      <c r="C98" s="61">
        <v>336.96500000000003</v>
      </c>
      <c r="D98" s="61">
        <v>539.70000000000005</v>
      </c>
      <c r="E98" s="61">
        <v>662.31999999999994</v>
      </c>
      <c r="F98" s="61">
        <v>1538.9850000000001</v>
      </c>
      <c r="G98" s="51"/>
    </row>
    <row r="99" spans="1:7" x14ac:dyDescent="0.3">
      <c r="A99" s="52"/>
      <c r="B99" s="70" t="s">
        <v>560</v>
      </c>
      <c r="C99" s="61">
        <v>336.96500000000003</v>
      </c>
      <c r="D99" s="61">
        <v>539.70000000000005</v>
      </c>
      <c r="E99" s="61">
        <v>662.31999999999994</v>
      </c>
      <c r="F99" s="61">
        <v>1538.9850000000001</v>
      </c>
      <c r="G99" s="51"/>
    </row>
    <row r="100" spans="1:7" x14ac:dyDescent="0.3">
      <c r="A100" s="52"/>
      <c r="B100" s="69" t="s">
        <v>606</v>
      </c>
      <c r="C100" s="61">
        <v>100.60000000000001</v>
      </c>
      <c r="D100" s="61">
        <v>125.86</v>
      </c>
      <c r="E100" s="61">
        <v>124.85000000000001</v>
      </c>
      <c r="F100" s="61">
        <v>351.31</v>
      </c>
      <c r="G100" s="51"/>
    </row>
    <row r="101" spans="1:7" x14ac:dyDescent="0.3">
      <c r="A101" s="52"/>
      <c r="B101" s="70" t="s">
        <v>560</v>
      </c>
      <c r="C101" s="61">
        <v>100.60000000000001</v>
      </c>
      <c r="D101" s="61">
        <v>125.86</v>
      </c>
      <c r="E101" s="61">
        <v>124.85000000000001</v>
      </c>
      <c r="F101" s="61">
        <v>351.31</v>
      </c>
      <c r="G101" s="51"/>
    </row>
    <row r="102" spans="1:7" x14ac:dyDescent="0.3">
      <c r="A102" s="52"/>
      <c r="B102" s="60" t="s">
        <v>23</v>
      </c>
      <c r="C102" s="61">
        <v>10841.451999999999</v>
      </c>
      <c r="D102" s="61">
        <v>7860.7409999999991</v>
      </c>
      <c r="E102" s="61">
        <v>11306.820999999998</v>
      </c>
      <c r="F102" s="61">
        <v>30009.014000000003</v>
      </c>
      <c r="G102" s="51"/>
    </row>
    <row r="103" spans="1:7" x14ac:dyDescent="0.3">
      <c r="A103" s="52"/>
      <c r="B103" s="69" t="s">
        <v>485</v>
      </c>
      <c r="C103" s="61">
        <v>1010.5</v>
      </c>
      <c r="D103" s="61">
        <v>667.5</v>
      </c>
      <c r="E103" s="61">
        <v>815.9</v>
      </c>
      <c r="F103" s="61">
        <v>2493.9</v>
      </c>
      <c r="G103" s="51"/>
    </row>
    <row r="104" spans="1:7" x14ac:dyDescent="0.3">
      <c r="A104" s="52"/>
      <c r="B104" s="70" t="s">
        <v>560</v>
      </c>
      <c r="C104" s="61">
        <v>1010.5</v>
      </c>
      <c r="D104" s="61">
        <v>667.5</v>
      </c>
      <c r="E104" s="61">
        <v>815.9</v>
      </c>
      <c r="F104" s="61">
        <v>2493.9</v>
      </c>
      <c r="G104" s="51"/>
    </row>
    <row r="105" spans="1:7" x14ac:dyDescent="0.3">
      <c r="A105" s="52"/>
      <c r="B105" s="69" t="s">
        <v>269</v>
      </c>
      <c r="C105" s="61">
        <v>9.1319999999999997</v>
      </c>
      <c r="D105" s="61">
        <v>4.7310000000000008</v>
      </c>
      <c r="E105" s="61">
        <v>8.5410000000000004</v>
      </c>
      <c r="F105" s="61">
        <v>22.404</v>
      </c>
      <c r="G105" s="51"/>
    </row>
    <row r="106" spans="1:7" x14ac:dyDescent="0.3">
      <c r="A106" s="52"/>
      <c r="B106" s="70" t="s">
        <v>560</v>
      </c>
      <c r="C106" s="61">
        <v>9.1319999999999997</v>
      </c>
      <c r="D106" s="61">
        <v>4.7310000000000008</v>
      </c>
      <c r="E106" s="61">
        <v>8.5410000000000004</v>
      </c>
      <c r="F106" s="61">
        <v>22.404</v>
      </c>
      <c r="G106" s="51"/>
    </row>
    <row r="107" spans="1:7" x14ac:dyDescent="0.3">
      <c r="A107" s="52"/>
      <c r="B107" s="69" t="s">
        <v>175</v>
      </c>
      <c r="C107" s="61">
        <v>97.735000000000014</v>
      </c>
      <c r="D107" s="61">
        <v>121.21</v>
      </c>
      <c r="E107" s="61">
        <v>173.97000000000003</v>
      </c>
      <c r="F107" s="61">
        <v>392.91500000000002</v>
      </c>
      <c r="G107" s="51"/>
    </row>
    <row r="108" spans="1:7" x14ac:dyDescent="0.3">
      <c r="A108" s="52"/>
      <c r="B108" s="70" t="s">
        <v>560</v>
      </c>
      <c r="C108" s="61">
        <v>97.735000000000014</v>
      </c>
      <c r="D108" s="61">
        <v>121.21</v>
      </c>
      <c r="E108" s="61">
        <v>173.97000000000003</v>
      </c>
      <c r="F108" s="61">
        <v>392.91500000000002</v>
      </c>
      <c r="G108" s="51"/>
    </row>
    <row r="109" spans="1:7" x14ac:dyDescent="0.3">
      <c r="A109" s="52"/>
      <c r="B109" s="69" t="s">
        <v>593</v>
      </c>
      <c r="C109" s="61">
        <v>669.21500000000003</v>
      </c>
      <c r="D109" s="61">
        <v>525.40499999999997</v>
      </c>
      <c r="E109" s="61">
        <v>1476.16</v>
      </c>
      <c r="F109" s="61">
        <v>2670.7799999999997</v>
      </c>
      <c r="G109" s="51"/>
    </row>
    <row r="110" spans="1:7" x14ac:dyDescent="0.3">
      <c r="A110" s="52"/>
      <c r="B110" s="70" t="s">
        <v>560</v>
      </c>
      <c r="C110" s="61">
        <v>669.21500000000003</v>
      </c>
      <c r="D110" s="61">
        <v>525.40499999999997</v>
      </c>
      <c r="E110" s="61">
        <v>1476.16</v>
      </c>
      <c r="F110" s="61">
        <v>2670.7799999999997</v>
      </c>
      <c r="G110" s="51"/>
    </row>
    <row r="111" spans="1:7" x14ac:dyDescent="0.3">
      <c r="A111" s="52"/>
      <c r="B111" s="69" t="s">
        <v>656</v>
      </c>
      <c r="C111" s="61">
        <v>925.24500000000012</v>
      </c>
      <c r="D111" s="61">
        <v>728.01</v>
      </c>
      <c r="E111" s="61">
        <v>810.63</v>
      </c>
      <c r="F111" s="61">
        <v>2463.8850000000002</v>
      </c>
      <c r="G111" s="51"/>
    </row>
    <row r="112" spans="1:7" x14ac:dyDescent="0.3">
      <c r="A112" s="52"/>
      <c r="B112" s="70" t="s">
        <v>560</v>
      </c>
      <c r="C112" s="61">
        <v>925.24500000000012</v>
      </c>
      <c r="D112" s="61">
        <v>728.01</v>
      </c>
      <c r="E112" s="61">
        <v>810.63</v>
      </c>
      <c r="F112" s="61">
        <v>2463.8850000000002</v>
      </c>
      <c r="G112" s="51"/>
    </row>
    <row r="113" spans="1:7" x14ac:dyDescent="0.3">
      <c r="A113" s="52"/>
      <c r="B113" s="69" t="s">
        <v>474</v>
      </c>
      <c r="C113" s="61">
        <v>107.375</v>
      </c>
      <c r="D113" s="61">
        <v>173.32499999999999</v>
      </c>
      <c r="E113" s="61">
        <v>316.82499999999999</v>
      </c>
      <c r="F113" s="61">
        <v>597.52499999999998</v>
      </c>
      <c r="G113" s="51"/>
    </row>
    <row r="114" spans="1:7" x14ac:dyDescent="0.3">
      <c r="A114" s="52"/>
      <c r="B114" s="70" t="s">
        <v>560</v>
      </c>
      <c r="C114" s="61">
        <v>107.375</v>
      </c>
      <c r="D114" s="61">
        <v>173.32499999999999</v>
      </c>
      <c r="E114" s="61">
        <v>316.82499999999999</v>
      </c>
      <c r="F114" s="61">
        <v>597.52499999999998</v>
      </c>
      <c r="G114" s="51"/>
    </row>
    <row r="115" spans="1:7" x14ac:dyDescent="0.3">
      <c r="A115" s="52"/>
      <c r="B115" s="69" t="s">
        <v>489</v>
      </c>
      <c r="C115" s="61">
        <v>2019.3149999999998</v>
      </c>
      <c r="D115" s="61">
        <v>876.97499999999991</v>
      </c>
      <c r="E115" s="61">
        <v>949.60500000000002</v>
      </c>
      <c r="F115" s="61">
        <v>3845.895</v>
      </c>
      <c r="G115" s="51"/>
    </row>
    <row r="116" spans="1:7" x14ac:dyDescent="0.3">
      <c r="A116" s="52"/>
      <c r="B116" s="70" t="s">
        <v>560</v>
      </c>
      <c r="C116" s="61">
        <v>2019.3149999999998</v>
      </c>
      <c r="D116" s="61">
        <v>876.97499999999991</v>
      </c>
      <c r="E116" s="61">
        <v>949.60500000000002</v>
      </c>
      <c r="F116" s="61">
        <v>3845.895</v>
      </c>
      <c r="G116" s="51"/>
    </row>
    <row r="117" spans="1:7" x14ac:dyDescent="0.3">
      <c r="A117" s="52"/>
      <c r="B117" s="69" t="s">
        <v>672</v>
      </c>
      <c r="C117" s="61">
        <v>1503.7</v>
      </c>
      <c r="D117" s="61">
        <v>982.7</v>
      </c>
      <c r="E117" s="61">
        <v>1262.5</v>
      </c>
      <c r="F117" s="61">
        <v>3748.9</v>
      </c>
      <c r="G117" s="51"/>
    </row>
    <row r="118" spans="1:7" x14ac:dyDescent="0.3">
      <c r="A118" s="52"/>
      <c r="B118" s="70" t="s">
        <v>560</v>
      </c>
      <c r="C118" s="61">
        <v>1503.7</v>
      </c>
      <c r="D118" s="61">
        <v>982.7</v>
      </c>
      <c r="E118" s="61">
        <v>1262.5</v>
      </c>
      <c r="F118" s="61">
        <v>3748.9</v>
      </c>
      <c r="G118" s="51"/>
    </row>
    <row r="119" spans="1:7" x14ac:dyDescent="0.3">
      <c r="A119" s="52"/>
      <c r="B119" s="69" t="s">
        <v>673</v>
      </c>
      <c r="C119" s="61">
        <v>883.7</v>
      </c>
      <c r="D119" s="61">
        <v>707.7</v>
      </c>
      <c r="E119" s="61">
        <v>946.2</v>
      </c>
      <c r="F119" s="61">
        <v>2537.6000000000004</v>
      </c>
      <c r="G119" s="51"/>
    </row>
    <row r="120" spans="1:7" x14ac:dyDescent="0.3">
      <c r="A120" s="52"/>
      <c r="B120" s="70" t="s">
        <v>560</v>
      </c>
      <c r="C120" s="61">
        <v>883.7</v>
      </c>
      <c r="D120" s="61">
        <v>707.7</v>
      </c>
      <c r="E120" s="61">
        <v>946.2</v>
      </c>
      <c r="F120" s="61">
        <v>2537.6000000000004</v>
      </c>
      <c r="G120" s="51"/>
    </row>
    <row r="121" spans="1:7" x14ac:dyDescent="0.3">
      <c r="A121" s="52"/>
      <c r="B121" s="69" t="s">
        <v>291</v>
      </c>
      <c r="C121" s="61">
        <v>923.69999999999993</v>
      </c>
      <c r="D121" s="61">
        <v>804.2</v>
      </c>
      <c r="E121" s="61">
        <v>1050.7</v>
      </c>
      <c r="F121" s="61">
        <v>2778.6000000000004</v>
      </c>
      <c r="G121" s="51"/>
    </row>
    <row r="122" spans="1:7" x14ac:dyDescent="0.3">
      <c r="A122" s="52"/>
      <c r="B122" s="70" t="s">
        <v>560</v>
      </c>
      <c r="C122" s="61">
        <v>923.69999999999993</v>
      </c>
      <c r="D122" s="61">
        <v>804.2</v>
      </c>
      <c r="E122" s="61">
        <v>1050.7</v>
      </c>
      <c r="F122" s="61">
        <v>2778.6000000000004</v>
      </c>
      <c r="G122" s="51"/>
    </row>
    <row r="123" spans="1:7" x14ac:dyDescent="0.3">
      <c r="A123" s="52"/>
      <c r="B123" s="69" t="s">
        <v>683</v>
      </c>
      <c r="C123" s="61">
        <v>488.07000000000005</v>
      </c>
      <c r="D123" s="61">
        <v>470.13000000000005</v>
      </c>
      <c r="E123" s="61">
        <v>1296.68</v>
      </c>
      <c r="F123" s="61">
        <v>2254.88</v>
      </c>
      <c r="G123" s="51"/>
    </row>
    <row r="124" spans="1:7" x14ac:dyDescent="0.3">
      <c r="A124" s="52"/>
      <c r="B124" s="70" t="s">
        <v>560</v>
      </c>
      <c r="C124" s="61">
        <v>488.07000000000005</v>
      </c>
      <c r="D124" s="61">
        <v>470.13000000000005</v>
      </c>
      <c r="E124" s="61">
        <v>1296.68</v>
      </c>
      <c r="F124" s="61">
        <v>2254.88</v>
      </c>
      <c r="G124" s="51"/>
    </row>
    <row r="125" spans="1:7" x14ac:dyDescent="0.3">
      <c r="A125" s="52"/>
      <c r="B125" s="69" t="s">
        <v>311</v>
      </c>
      <c r="C125" s="61">
        <v>585.67499999999995</v>
      </c>
      <c r="D125" s="61">
        <v>677.20500000000004</v>
      </c>
      <c r="E125" s="61">
        <v>889.71</v>
      </c>
      <c r="F125" s="61">
        <v>2152.59</v>
      </c>
      <c r="G125" s="51"/>
    </row>
    <row r="126" spans="1:7" x14ac:dyDescent="0.3">
      <c r="A126" s="52"/>
      <c r="B126" s="70" t="s">
        <v>560</v>
      </c>
      <c r="C126" s="61">
        <v>585.67499999999995</v>
      </c>
      <c r="D126" s="61">
        <v>677.20500000000004</v>
      </c>
      <c r="E126" s="61">
        <v>889.71</v>
      </c>
      <c r="F126" s="61">
        <v>2152.59</v>
      </c>
      <c r="G126" s="51"/>
    </row>
    <row r="127" spans="1:7" x14ac:dyDescent="0.3">
      <c r="A127" s="52"/>
      <c r="B127" s="69" t="s">
        <v>684</v>
      </c>
      <c r="C127" s="61">
        <v>1401.4450000000002</v>
      </c>
      <c r="D127" s="61">
        <v>599.83000000000004</v>
      </c>
      <c r="E127" s="61">
        <v>1006.0450000000001</v>
      </c>
      <c r="F127" s="61">
        <v>3007.32</v>
      </c>
      <c r="G127" s="51"/>
    </row>
    <row r="128" spans="1:7" x14ac:dyDescent="0.3">
      <c r="A128" s="52"/>
      <c r="B128" s="70" t="s">
        <v>560</v>
      </c>
      <c r="C128" s="61">
        <v>1401.4450000000002</v>
      </c>
      <c r="D128" s="61">
        <v>599.83000000000004</v>
      </c>
      <c r="E128" s="61">
        <v>1006.0450000000001</v>
      </c>
      <c r="F128" s="61">
        <v>3007.32</v>
      </c>
      <c r="G128" s="51"/>
    </row>
    <row r="129" spans="1:7" x14ac:dyDescent="0.3">
      <c r="A129" s="52"/>
      <c r="B129" s="69" t="s">
        <v>536</v>
      </c>
      <c r="C129" s="61">
        <v>216.64500000000001</v>
      </c>
      <c r="D129" s="61">
        <v>521.81999999999994</v>
      </c>
      <c r="E129" s="61">
        <v>303.35500000000002</v>
      </c>
      <c r="F129" s="61">
        <v>1041.82</v>
      </c>
      <c r="G129" s="51"/>
    </row>
    <row r="130" spans="1:7" x14ac:dyDescent="0.3">
      <c r="A130" s="52"/>
      <c r="B130" s="70" t="s">
        <v>560</v>
      </c>
      <c r="C130" s="61">
        <v>216.64500000000001</v>
      </c>
      <c r="D130" s="61">
        <v>521.81999999999994</v>
      </c>
      <c r="E130" s="61">
        <v>303.35500000000002</v>
      </c>
      <c r="F130" s="61">
        <v>1041.82</v>
      </c>
      <c r="G130" s="51"/>
    </row>
    <row r="131" spans="1:7" x14ac:dyDescent="0.3">
      <c r="A131" s="52"/>
      <c r="B131" s="60" t="s">
        <v>576</v>
      </c>
      <c r="C131" s="61"/>
      <c r="D131" s="61"/>
      <c r="E131" s="61">
        <v>51.59</v>
      </c>
      <c r="F131" s="61">
        <v>51.59</v>
      </c>
      <c r="G131" s="51"/>
    </row>
    <row r="132" spans="1:7" x14ac:dyDescent="0.3">
      <c r="A132" s="52"/>
      <c r="B132" s="69" t="s">
        <v>269</v>
      </c>
      <c r="C132" s="61"/>
      <c r="D132" s="61"/>
      <c r="E132" s="61">
        <v>51.59</v>
      </c>
      <c r="F132" s="61">
        <v>51.59</v>
      </c>
      <c r="G132" s="51"/>
    </row>
    <row r="133" spans="1:7" x14ac:dyDescent="0.3">
      <c r="A133" s="52"/>
      <c r="B133" s="70" t="s">
        <v>691</v>
      </c>
      <c r="C133" s="61"/>
      <c r="D133" s="61"/>
      <c r="E133" s="61">
        <v>51.59</v>
      </c>
      <c r="F133" s="61">
        <v>51.59</v>
      </c>
      <c r="G133" s="51"/>
    </row>
    <row r="134" spans="1:7" x14ac:dyDescent="0.3">
      <c r="A134" s="52"/>
      <c r="B134" s="60" t="s">
        <v>592</v>
      </c>
      <c r="C134" s="61">
        <v>1817.4349999999999</v>
      </c>
      <c r="D134" s="61">
        <v>1553.8579999999999</v>
      </c>
      <c r="E134" s="61">
        <v>2188.453</v>
      </c>
      <c r="F134" s="61">
        <v>5559.7459999999992</v>
      </c>
      <c r="G134" s="51"/>
    </row>
    <row r="135" spans="1:7" x14ac:dyDescent="0.3">
      <c r="A135" s="52"/>
      <c r="B135" s="69" t="s">
        <v>118</v>
      </c>
      <c r="C135" s="61">
        <v>199.869</v>
      </c>
      <c r="D135" s="61">
        <v>209.648</v>
      </c>
      <c r="E135" s="61">
        <v>419.733</v>
      </c>
      <c r="F135" s="61">
        <v>829.25</v>
      </c>
      <c r="G135" s="51"/>
    </row>
    <row r="136" spans="1:7" x14ac:dyDescent="0.3">
      <c r="A136" s="52"/>
      <c r="B136" s="70" t="s">
        <v>560</v>
      </c>
      <c r="C136" s="61">
        <v>199.869</v>
      </c>
      <c r="D136" s="61">
        <v>209.648</v>
      </c>
      <c r="E136" s="61">
        <v>419.733</v>
      </c>
      <c r="F136" s="61">
        <v>829.25</v>
      </c>
      <c r="G136" s="51"/>
    </row>
    <row r="137" spans="1:7" x14ac:dyDescent="0.3">
      <c r="A137" s="52"/>
      <c r="B137" s="69" t="s">
        <v>597</v>
      </c>
      <c r="C137" s="61">
        <v>987.89600000000007</v>
      </c>
      <c r="D137" s="61">
        <v>726.17</v>
      </c>
      <c r="E137" s="61">
        <v>1165.4949999999999</v>
      </c>
      <c r="F137" s="61">
        <v>2879.5609999999997</v>
      </c>
      <c r="G137" s="51"/>
    </row>
    <row r="138" spans="1:7" x14ac:dyDescent="0.3">
      <c r="A138" s="52"/>
      <c r="B138" s="70" t="s">
        <v>560</v>
      </c>
      <c r="C138" s="61">
        <v>987.89600000000007</v>
      </c>
      <c r="D138" s="61">
        <v>726.17</v>
      </c>
      <c r="E138" s="61">
        <v>1165.4949999999999</v>
      </c>
      <c r="F138" s="61">
        <v>2879.5609999999997</v>
      </c>
      <c r="G138" s="51"/>
    </row>
    <row r="139" spans="1:7" x14ac:dyDescent="0.3">
      <c r="A139" s="52"/>
      <c r="B139" s="69" t="s">
        <v>601</v>
      </c>
      <c r="C139" s="61">
        <v>449.32</v>
      </c>
      <c r="D139" s="61">
        <v>455.73999999999995</v>
      </c>
      <c r="E139" s="61">
        <v>483.625</v>
      </c>
      <c r="F139" s="61">
        <v>1388.6849999999999</v>
      </c>
      <c r="G139" s="51"/>
    </row>
    <row r="140" spans="1:7" x14ac:dyDescent="0.3">
      <c r="A140" s="52"/>
      <c r="B140" s="70" t="s">
        <v>560</v>
      </c>
      <c r="C140" s="61">
        <v>449.32</v>
      </c>
      <c r="D140" s="61">
        <v>455.73999999999995</v>
      </c>
      <c r="E140" s="61">
        <v>483.625</v>
      </c>
      <c r="F140" s="61">
        <v>1388.6849999999999</v>
      </c>
      <c r="G140" s="51"/>
    </row>
    <row r="141" spans="1:7" x14ac:dyDescent="0.3">
      <c r="A141" s="52"/>
      <c r="B141" s="69" t="s">
        <v>429</v>
      </c>
      <c r="C141" s="61">
        <v>180.35</v>
      </c>
      <c r="D141" s="61">
        <v>162.30000000000001</v>
      </c>
      <c r="E141" s="61">
        <v>119.6</v>
      </c>
      <c r="F141" s="61">
        <v>462.25</v>
      </c>
      <c r="G141" s="51"/>
    </row>
    <row r="142" spans="1:7" x14ac:dyDescent="0.3">
      <c r="A142" s="52"/>
      <c r="B142" s="70" t="s">
        <v>560</v>
      </c>
      <c r="C142" s="61">
        <v>180.35</v>
      </c>
      <c r="D142" s="61">
        <v>162.30000000000001</v>
      </c>
      <c r="E142" s="61">
        <v>119.6</v>
      </c>
      <c r="F142" s="61">
        <v>462.25</v>
      </c>
      <c r="G142" s="51"/>
    </row>
    <row r="143" spans="1:7" x14ac:dyDescent="0.3">
      <c r="A143" s="52"/>
      <c r="B143" s="59" t="s">
        <v>337</v>
      </c>
      <c r="C143" s="61">
        <v>10825.350999999999</v>
      </c>
      <c r="D143" s="61">
        <v>10435.611999999999</v>
      </c>
      <c r="E143" s="61">
        <v>15450.437000000002</v>
      </c>
      <c r="F143" s="61">
        <v>36711.4</v>
      </c>
      <c r="G143" s="51"/>
    </row>
    <row r="144" spans="1:7" x14ac:dyDescent="0.3">
      <c r="A144" s="52"/>
      <c r="B144" s="60" t="s">
        <v>553</v>
      </c>
      <c r="C144" s="61">
        <v>3330.6899999999996</v>
      </c>
      <c r="D144" s="61">
        <v>3322.7299999999996</v>
      </c>
      <c r="E144" s="61">
        <v>4632.72</v>
      </c>
      <c r="F144" s="61">
        <v>11286.14</v>
      </c>
      <c r="G144" s="51"/>
    </row>
    <row r="145" spans="1:7" x14ac:dyDescent="0.3">
      <c r="A145" s="52"/>
      <c r="B145" s="69" t="s">
        <v>607</v>
      </c>
      <c r="C145" s="61">
        <v>434.96499999999997</v>
      </c>
      <c r="D145" s="61">
        <v>331.5</v>
      </c>
      <c r="E145" s="61">
        <v>871.77499999999998</v>
      </c>
      <c r="F145" s="61">
        <v>1638.2399999999998</v>
      </c>
      <c r="G145" s="51"/>
    </row>
    <row r="146" spans="1:7" x14ac:dyDescent="0.3">
      <c r="A146" s="52"/>
      <c r="B146" s="70" t="s">
        <v>560</v>
      </c>
      <c r="C146" s="61">
        <v>434.96499999999997</v>
      </c>
      <c r="D146" s="61">
        <v>331.5</v>
      </c>
      <c r="E146" s="61">
        <v>871.77499999999998</v>
      </c>
      <c r="F146" s="61">
        <v>1638.2399999999998</v>
      </c>
      <c r="G146" s="51"/>
    </row>
    <row r="147" spans="1:7" x14ac:dyDescent="0.3">
      <c r="A147" s="52"/>
      <c r="B147" s="69" t="s">
        <v>608</v>
      </c>
      <c r="C147" s="61">
        <v>1529.15</v>
      </c>
      <c r="D147" s="61">
        <v>1411.085</v>
      </c>
      <c r="E147" s="61">
        <v>1684.9549999999999</v>
      </c>
      <c r="F147" s="61">
        <v>4625.1900000000005</v>
      </c>
      <c r="G147" s="51"/>
    </row>
    <row r="148" spans="1:7" x14ac:dyDescent="0.3">
      <c r="A148" s="52"/>
      <c r="B148" s="70" t="s">
        <v>560</v>
      </c>
      <c r="C148" s="61">
        <v>1529.15</v>
      </c>
      <c r="D148" s="61">
        <v>1411.085</v>
      </c>
      <c r="E148" s="61">
        <v>1684.9549999999999</v>
      </c>
      <c r="F148" s="61">
        <v>4625.1900000000005</v>
      </c>
      <c r="G148" s="51"/>
    </row>
    <row r="149" spans="1:7" x14ac:dyDescent="0.3">
      <c r="A149" s="52"/>
      <c r="B149" s="69" t="s">
        <v>311</v>
      </c>
      <c r="C149" s="61">
        <v>1366.5749999999998</v>
      </c>
      <c r="D149" s="61">
        <v>1580.1449999999998</v>
      </c>
      <c r="E149" s="61">
        <v>2075.9900000000002</v>
      </c>
      <c r="F149" s="61">
        <v>5022.7099999999991</v>
      </c>
      <c r="G149" s="51"/>
    </row>
    <row r="150" spans="1:7" x14ac:dyDescent="0.3">
      <c r="A150" s="52"/>
      <c r="B150" s="70" t="s">
        <v>560</v>
      </c>
      <c r="C150" s="61">
        <v>1366.5749999999998</v>
      </c>
      <c r="D150" s="61">
        <v>1580.1449999999998</v>
      </c>
      <c r="E150" s="61">
        <v>2075.9900000000002</v>
      </c>
      <c r="F150" s="61">
        <v>5022.7099999999991</v>
      </c>
      <c r="G150" s="51"/>
    </row>
    <row r="151" spans="1:7" x14ac:dyDescent="0.3">
      <c r="A151" s="52"/>
      <c r="B151" s="60" t="s">
        <v>576</v>
      </c>
      <c r="C151" s="61"/>
      <c r="D151" s="61"/>
      <c r="E151" s="61">
        <v>1486.462</v>
      </c>
      <c r="F151" s="61">
        <v>1486.462</v>
      </c>
      <c r="G151" s="51"/>
    </row>
    <row r="152" spans="1:7" x14ac:dyDescent="0.3">
      <c r="A152" s="52"/>
      <c r="B152" s="69" t="s">
        <v>696</v>
      </c>
      <c r="C152" s="61"/>
      <c r="D152" s="61"/>
      <c r="E152" s="61">
        <v>647.48800000000006</v>
      </c>
      <c r="F152" s="61">
        <v>647.48800000000006</v>
      </c>
      <c r="G152" s="51"/>
    </row>
    <row r="153" spans="1:7" x14ac:dyDescent="0.3">
      <c r="A153" s="52"/>
      <c r="B153" s="70" t="s">
        <v>691</v>
      </c>
      <c r="C153" s="61"/>
      <c r="D153" s="61"/>
      <c r="E153" s="61">
        <v>647.48800000000006</v>
      </c>
      <c r="F153" s="61">
        <v>647.48800000000006</v>
      </c>
      <c r="G153" s="51"/>
    </row>
    <row r="154" spans="1:7" x14ac:dyDescent="0.3">
      <c r="A154" s="52"/>
      <c r="B154" s="69" t="s">
        <v>704</v>
      </c>
      <c r="C154" s="61"/>
      <c r="D154" s="61"/>
      <c r="E154" s="61">
        <v>207.96800000000005</v>
      </c>
      <c r="F154" s="61">
        <v>207.96800000000005</v>
      </c>
      <c r="G154" s="51"/>
    </row>
    <row r="155" spans="1:7" x14ac:dyDescent="0.3">
      <c r="A155" s="52"/>
      <c r="B155" s="70" t="s">
        <v>691</v>
      </c>
      <c r="C155" s="61"/>
      <c r="D155" s="61"/>
      <c r="E155" s="61">
        <v>207.96800000000005</v>
      </c>
      <c r="F155" s="61">
        <v>207.96800000000005</v>
      </c>
      <c r="G155" s="51"/>
    </row>
    <row r="156" spans="1:7" x14ac:dyDescent="0.3">
      <c r="A156" s="52"/>
      <c r="B156" s="69" t="s">
        <v>719</v>
      </c>
      <c r="C156" s="61"/>
      <c r="D156" s="61"/>
      <c r="E156" s="61">
        <v>631.00599999999997</v>
      </c>
      <c r="F156" s="61">
        <v>631.00599999999997</v>
      </c>
      <c r="G156" s="51"/>
    </row>
    <row r="157" spans="1:7" x14ac:dyDescent="0.3">
      <c r="A157" s="52"/>
      <c r="B157" s="70" t="s">
        <v>691</v>
      </c>
      <c r="C157" s="61"/>
      <c r="D157" s="61"/>
      <c r="E157" s="61">
        <v>631.00599999999997</v>
      </c>
      <c r="F157" s="61">
        <v>631.00599999999997</v>
      </c>
      <c r="G157" s="51"/>
    </row>
    <row r="158" spans="1:7" x14ac:dyDescent="0.3">
      <c r="A158" s="52"/>
      <c r="B158" s="60" t="s">
        <v>580</v>
      </c>
      <c r="C158" s="61">
        <v>7494.6610000000001</v>
      </c>
      <c r="D158" s="61">
        <v>7112.8820000000005</v>
      </c>
      <c r="E158" s="61">
        <v>9331.255000000001</v>
      </c>
      <c r="F158" s="61">
        <v>23938.798000000003</v>
      </c>
      <c r="G158" s="51"/>
    </row>
    <row r="159" spans="1:7" x14ac:dyDescent="0.3">
      <c r="A159" s="52"/>
      <c r="B159" s="69" t="s">
        <v>266</v>
      </c>
      <c r="C159" s="61">
        <v>564.54199999999992</v>
      </c>
      <c r="D159" s="61">
        <v>253.012</v>
      </c>
      <c r="E159" s="61">
        <v>324.33500000000004</v>
      </c>
      <c r="F159" s="61">
        <v>1141.8889999999999</v>
      </c>
      <c r="G159" s="51"/>
    </row>
    <row r="160" spans="1:7" x14ac:dyDescent="0.3">
      <c r="A160" s="52"/>
      <c r="B160" s="70" t="s">
        <v>560</v>
      </c>
      <c r="C160" s="61">
        <v>564.54199999999992</v>
      </c>
      <c r="D160" s="61">
        <v>253.012</v>
      </c>
      <c r="E160" s="61">
        <v>324.33500000000004</v>
      </c>
      <c r="F160" s="61">
        <v>1141.8889999999999</v>
      </c>
      <c r="G160" s="51"/>
    </row>
    <row r="161" spans="1:7" x14ac:dyDescent="0.3">
      <c r="A161" s="52"/>
      <c r="B161" s="69" t="s">
        <v>175</v>
      </c>
      <c r="C161" s="61">
        <v>1661.4949999999999</v>
      </c>
      <c r="D161" s="61">
        <v>2060.5699999999997</v>
      </c>
      <c r="E161" s="61">
        <v>2957.49</v>
      </c>
      <c r="F161" s="61">
        <v>6679.5549999999994</v>
      </c>
      <c r="G161" s="51"/>
    </row>
    <row r="162" spans="1:7" x14ac:dyDescent="0.3">
      <c r="A162" s="52"/>
      <c r="B162" s="70" t="s">
        <v>560</v>
      </c>
      <c r="C162" s="61">
        <v>1661.4949999999999</v>
      </c>
      <c r="D162" s="61">
        <v>2060.5699999999997</v>
      </c>
      <c r="E162" s="61">
        <v>2957.49</v>
      </c>
      <c r="F162" s="61">
        <v>6679.5549999999994</v>
      </c>
      <c r="G162" s="51"/>
    </row>
    <row r="163" spans="1:7" x14ac:dyDescent="0.3">
      <c r="A163" s="52"/>
      <c r="B163" s="69" t="s">
        <v>597</v>
      </c>
      <c r="C163" s="61">
        <v>2218.904</v>
      </c>
      <c r="D163" s="61">
        <v>1644.03</v>
      </c>
      <c r="E163" s="61">
        <v>2634.605</v>
      </c>
      <c r="F163" s="61">
        <v>6497.5390000000007</v>
      </c>
      <c r="G163" s="51"/>
    </row>
    <row r="164" spans="1:7" x14ac:dyDescent="0.3">
      <c r="A164" s="52"/>
      <c r="B164" s="70" t="s">
        <v>560</v>
      </c>
      <c r="C164" s="61">
        <v>2218.904</v>
      </c>
      <c r="D164" s="61">
        <v>1644.03</v>
      </c>
      <c r="E164" s="61">
        <v>2634.605</v>
      </c>
      <c r="F164" s="61">
        <v>6497.5390000000007</v>
      </c>
      <c r="G164" s="51"/>
    </row>
    <row r="165" spans="1:7" x14ac:dyDescent="0.3">
      <c r="A165" s="52"/>
      <c r="B165" s="69" t="s">
        <v>601</v>
      </c>
      <c r="C165" s="61">
        <v>2572.3799999999997</v>
      </c>
      <c r="D165" s="61">
        <v>2608.46</v>
      </c>
      <c r="E165" s="61">
        <v>2781.0749999999998</v>
      </c>
      <c r="F165" s="61">
        <v>7961.915</v>
      </c>
      <c r="G165" s="51"/>
    </row>
    <row r="166" spans="1:7" x14ac:dyDescent="0.3">
      <c r="A166" s="52"/>
      <c r="B166" s="70" t="s">
        <v>560</v>
      </c>
      <c r="C166" s="61">
        <v>2572.3799999999997</v>
      </c>
      <c r="D166" s="61">
        <v>2608.46</v>
      </c>
      <c r="E166" s="61">
        <v>2781.0749999999998</v>
      </c>
      <c r="F166" s="61">
        <v>7961.915</v>
      </c>
      <c r="G166" s="51"/>
    </row>
    <row r="167" spans="1:7" x14ac:dyDescent="0.3">
      <c r="A167" s="52"/>
      <c r="B167" s="69" t="s">
        <v>602</v>
      </c>
      <c r="C167" s="61">
        <v>477.34000000000003</v>
      </c>
      <c r="D167" s="61">
        <v>546.81000000000006</v>
      </c>
      <c r="E167" s="61">
        <v>633.75</v>
      </c>
      <c r="F167" s="61">
        <v>1657.9</v>
      </c>
      <c r="G167" s="51"/>
    </row>
    <row r="168" spans="1:7" x14ac:dyDescent="0.3">
      <c r="A168" s="52"/>
      <c r="B168" s="70" t="s">
        <v>560</v>
      </c>
      <c r="C168" s="61">
        <v>477.34000000000003</v>
      </c>
      <c r="D168" s="61">
        <v>546.81000000000006</v>
      </c>
      <c r="E168" s="61">
        <v>633.75</v>
      </c>
      <c r="F168" s="61">
        <v>1657.9</v>
      </c>
      <c r="G168" s="51"/>
    </row>
    <row r="169" spans="1:7" x14ac:dyDescent="0.3">
      <c r="A169" s="52"/>
      <c r="B169" s="59" t="s">
        <v>616</v>
      </c>
      <c r="C169" s="61">
        <v>7001.2099999999991</v>
      </c>
      <c r="D169" s="61">
        <v>4024.63</v>
      </c>
      <c r="E169" s="61">
        <v>6304.7269999999999</v>
      </c>
      <c r="F169" s="61">
        <v>17330.566999999999</v>
      </c>
      <c r="G169" s="51"/>
    </row>
    <row r="170" spans="1:7" x14ac:dyDescent="0.3">
      <c r="A170" s="52"/>
      <c r="B170" s="60" t="s">
        <v>576</v>
      </c>
      <c r="C170" s="61">
        <v>585.67499999999995</v>
      </c>
      <c r="D170" s="61">
        <v>677.20500000000004</v>
      </c>
      <c r="E170" s="61">
        <v>889.71</v>
      </c>
      <c r="F170" s="61">
        <v>2152.59</v>
      </c>
      <c r="G170" s="51"/>
    </row>
    <row r="171" spans="1:7" x14ac:dyDescent="0.3">
      <c r="A171" s="52"/>
      <c r="B171" s="69" t="s">
        <v>311</v>
      </c>
      <c r="C171" s="61">
        <v>585.67499999999995</v>
      </c>
      <c r="D171" s="61">
        <v>677.20500000000004</v>
      </c>
      <c r="E171" s="61">
        <v>889.71</v>
      </c>
      <c r="F171" s="61">
        <v>2152.59</v>
      </c>
      <c r="G171" s="51"/>
    </row>
    <row r="172" spans="1:7" x14ac:dyDescent="0.3">
      <c r="A172" s="52"/>
      <c r="B172" s="70" t="s">
        <v>560</v>
      </c>
      <c r="C172" s="61">
        <v>585.67499999999995</v>
      </c>
      <c r="D172" s="61">
        <v>677.20500000000004</v>
      </c>
      <c r="E172" s="61">
        <v>889.71</v>
      </c>
      <c r="F172" s="61">
        <v>2152.59</v>
      </c>
      <c r="G172" s="51"/>
    </row>
    <row r="173" spans="1:7" x14ac:dyDescent="0.3">
      <c r="A173" s="52"/>
      <c r="B173" s="60" t="s">
        <v>617</v>
      </c>
      <c r="C173" s="61">
        <v>1703.8</v>
      </c>
      <c r="D173" s="61">
        <v>1301.1500000000001</v>
      </c>
      <c r="E173" s="61">
        <v>1657.2</v>
      </c>
      <c r="F173" s="61">
        <v>4662.1499999999996</v>
      </c>
      <c r="G173" s="51"/>
    </row>
    <row r="174" spans="1:7" x14ac:dyDescent="0.3">
      <c r="A174" s="52"/>
      <c r="B174" s="69" t="s">
        <v>614</v>
      </c>
      <c r="C174" s="61">
        <v>1421.3</v>
      </c>
      <c r="D174" s="61">
        <v>1051.4000000000001</v>
      </c>
      <c r="E174" s="61">
        <v>1464</v>
      </c>
      <c r="F174" s="61">
        <v>3936.7</v>
      </c>
      <c r="G174" s="51"/>
    </row>
    <row r="175" spans="1:7" x14ac:dyDescent="0.3">
      <c r="A175" s="52"/>
      <c r="B175" s="70" t="s">
        <v>560</v>
      </c>
      <c r="C175" s="61">
        <v>1421.3</v>
      </c>
      <c r="D175" s="61">
        <v>1051.4000000000001</v>
      </c>
      <c r="E175" s="61">
        <v>1464</v>
      </c>
      <c r="F175" s="61">
        <v>3936.7</v>
      </c>
      <c r="G175" s="51"/>
    </row>
    <row r="176" spans="1:7" x14ac:dyDescent="0.3">
      <c r="A176" s="52"/>
      <c r="B176" s="69" t="s">
        <v>441</v>
      </c>
      <c r="C176" s="61">
        <v>282.5</v>
      </c>
      <c r="D176" s="61">
        <v>249.75</v>
      </c>
      <c r="E176" s="61">
        <v>193.2</v>
      </c>
      <c r="F176" s="61">
        <v>725.45</v>
      </c>
      <c r="G176" s="51"/>
    </row>
    <row r="177" spans="1:7" x14ac:dyDescent="0.3">
      <c r="A177" s="52"/>
      <c r="B177" s="70" t="s">
        <v>560</v>
      </c>
      <c r="C177" s="61">
        <v>282.5</v>
      </c>
      <c r="D177" s="61">
        <v>249.75</v>
      </c>
      <c r="E177" s="61">
        <v>193.2</v>
      </c>
      <c r="F177" s="61">
        <v>725.45</v>
      </c>
      <c r="G177" s="51"/>
    </row>
    <row r="178" spans="1:7" x14ac:dyDescent="0.3">
      <c r="A178" s="52"/>
      <c r="B178" s="60" t="s">
        <v>669</v>
      </c>
      <c r="C178" s="61">
        <v>4711.7349999999997</v>
      </c>
      <c r="D178" s="61">
        <v>2046.2749999999999</v>
      </c>
      <c r="E178" s="61">
        <v>2215.7449999999999</v>
      </c>
      <c r="F178" s="61">
        <v>8973.7549999999992</v>
      </c>
      <c r="G178" s="51"/>
    </row>
    <row r="179" spans="1:7" x14ac:dyDescent="0.3">
      <c r="A179" s="52"/>
      <c r="B179" s="69" t="s">
        <v>489</v>
      </c>
      <c r="C179" s="61">
        <v>4711.7349999999997</v>
      </c>
      <c r="D179" s="61">
        <v>2046.2749999999999</v>
      </c>
      <c r="E179" s="61">
        <v>2215.7449999999999</v>
      </c>
      <c r="F179" s="61">
        <v>8973.7549999999992</v>
      </c>
      <c r="G179" s="51"/>
    </row>
    <row r="180" spans="1:7" x14ac:dyDescent="0.3">
      <c r="A180" s="52"/>
      <c r="B180" s="70" t="s">
        <v>560</v>
      </c>
      <c r="C180" s="61">
        <v>4711.7349999999997</v>
      </c>
      <c r="D180" s="61">
        <v>2046.2749999999999</v>
      </c>
      <c r="E180" s="61">
        <v>2215.7449999999999</v>
      </c>
      <c r="F180" s="61">
        <v>8973.7549999999992</v>
      </c>
      <c r="G180" s="51"/>
    </row>
    <row r="181" spans="1:7" x14ac:dyDescent="0.3">
      <c r="A181" s="52"/>
      <c r="B181" s="60" t="s">
        <v>692</v>
      </c>
      <c r="C181" s="61"/>
      <c r="D181" s="61"/>
      <c r="E181" s="61">
        <v>1542.0719999999999</v>
      </c>
      <c r="F181" s="61">
        <v>1542.0719999999999</v>
      </c>
      <c r="G181" s="51"/>
    </row>
    <row r="182" spans="1:7" x14ac:dyDescent="0.3">
      <c r="A182" s="52"/>
      <c r="B182" s="69" t="s">
        <v>690</v>
      </c>
      <c r="C182" s="61"/>
      <c r="D182" s="61"/>
      <c r="E182" s="61">
        <v>1542.0719999999999</v>
      </c>
      <c r="F182" s="61">
        <v>1542.0719999999999</v>
      </c>
      <c r="G182" s="51"/>
    </row>
    <row r="183" spans="1:7" x14ac:dyDescent="0.3">
      <c r="A183" s="52"/>
      <c r="B183" s="70" t="s">
        <v>691</v>
      </c>
      <c r="C183" s="61"/>
      <c r="D183" s="61"/>
      <c r="E183" s="61">
        <v>1542.0719999999999</v>
      </c>
      <c r="F183" s="61">
        <v>1542.0719999999999</v>
      </c>
      <c r="G183" s="51"/>
    </row>
    <row r="184" spans="1:7" x14ac:dyDescent="0.3">
      <c r="A184" s="52"/>
      <c r="B184" s="59" t="s">
        <v>26</v>
      </c>
      <c r="C184" s="61">
        <v>6058.53</v>
      </c>
      <c r="D184" s="61">
        <v>3615.85</v>
      </c>
      <c r="E184" s="61">
        <v>4603.1664000000001</v>
      </c>
      <c r="F184" s="61">
        <v>14277.546400000001</v>
      </c>
      <c r="G184" s="51"/>
    </row>
    <row r="185" spans="1:7" x14ac:dyDescent="0.3">
      <c r="A185" s="52"/>
      <c r="B185" s="60" t="s">
        <v>576</v>
      </c>
      <c r="C185" s="61"/>
      <c r="D185" s="61"/>
      <c r="E185" s="61">
        <v>276.05340000000001</v>
      </c>
      <c r="F185" s="61">
        <v>276.05340000000001</v>
      </c>
      <c r="G185" s="51"/>
    </row>
    <row r="186" spans="1:7" x14ac:dyDescent="0.3">
      <c r="A186" s="52"/>
      <c r="B186" s="69" t="s">
        <v>698</v>
      </c>
      <c r="C186" s="61"/>
      <c r="D186" s="61"/>
      <c r="E186" s="61">
        <v>276.05340000000001</v>
      </c>
      <c r="F186" s="61">
        <v>276.05340000000001</v>
      </c>
      <c r="G186" s="51"/>
    </row>
    <row r="187" spans="1:7" x14ac:dyDescent="0.3">
      <c r="A187" s="52"/>
      <c r="B187" s="70" t="s">
        <v>691</v>
      </c>
      <c r="C187" s="61"/>
      <c r="D187" s="61"/>
      <c r="E187" s="61">
        <v>276.05340000000001</v>
      </c>
      <c r="F187" s="61">
        <v>276.05340000000001</v>
      </c>
      <c r="G187" s="51"/>
    </row>
    <row r="188" spans="1:7" x14ac:dyDescent="0.3">
      <c r="A188" s="52"/>
      <c r="B188" s="60" t="s">
        <v>617</v>
      </c>
      <c r="C188" s="61">
        <v>632.80000000000007</v>
      </c>
      <c r="D188" s="61">
        <v>857</v>
      </c>
      <c r="E188" s="61">
        <v>835.4</v>
      </c>
      <c r="F188" s="61">
        <v>2325.2000000000003</v>
      </c>
      <c r="G188" s="51"/>
    </row>
    <row r="189" spans="1:7" x14ac:dyDescent="0.3">
      <c r="A189" s="52"/>
      <c r="B189" s="69" t="s">
        <v>652</v>
      </c>
      <c r="C189" s="61">
        <v>632.80000000000007</v>
      </c>
      <c r="D189" s="61">
        <v>857</v>
      </c>
      <c r="E189" s="61">
        <v>835.4</v>
      </c>
      <c r="F189" s="61">
        <v>2325.2000000000003</v>
      </c>
      <c r="G189" s="51"/>
    </row>
    <row r="190" spans="1:7" x14ac:dyDescent="0.3">
      <c r="A190" s="52"/>
      <c r="B190" s="70" t="s">
        <v>560</v>
      </c>
      <c r="C190" s="61">
        <v>632.80000000000007</v>
      </c>
      <c r="D190" s="61">
        <v>857</v>
      </c>
      <c r="E190" s="61">
        <v>835.4</v>
      </c>
      <c r="F190" s="61">
        <v>2325.2000000000003</v>
      </c>
      <c r="G190" s="51"/>
    </row>
    <row r="191" spans="1:7" x14ac:dyDescent="0.3">
      <c r="A191" s="52"/>
      <c r="B191" s="60" t="s">
        <v>650</v>
      </c>
      <c r="C191" s="61">
        <v>5425.73</v>
      </c>
      <c r="D191" s="61">
        <v>2758.85</v>
      </c>
      <c r="E191" s="61">
        <v>2909.1480000000001</v>
      </c>
      <c r="F191" s="61">
        <v>11093.727999999999</v>
      </c>
      <c r="G191" s="51"/>
    </row>
    <row r="192" spans="1:7" x14ac:dyDescent="0.3">
      <c r="A192" s="52"/>
      <c r="B192" s="69" t="s">
        <v>434</v>
      </c>
      <c r="C192" s="61">
        <v>603.9</v>
      </c>
      <c r="D192" s="61">
        <v>393.8</v>
      </c>
      <c r="E192" s="61">
        <v>565.4</v>
      </c>
      <c r="F192" s="61">
        <v>1563.1</v>
      </c>
      <c r="G192" s="51"/>
    </row>
    <row r="193" spans="1:7" x14ac:dyDescent="0.3">
      <c r="A193" s="52"/>
      <c r="B193" s="70" t="s">
        <v>560</v>
      </c>
      <c r="C193" s="61">
        <v>603.9</v>
      </c>
      <c r="D193" s="61">
        <v>393.8</v>
      </c>
      <c r="E193" s="61">
        <v>565.4</v>
      </c>
      <c r="F193" s="61">
        <v>1563.1</v>
      </c>
      <c r="G193" s="51"/>
    </row>
    <row r="194" spans="1:7" x14ac:dyDescent="0.3">
      <c r="A194" s="52"/>
      <c r="B194" s="69" t="s">
        <v>436</v>
      </c>
      <c r="C194" s="61">
        <v>783.19999999999993</v>
      </c>
      <c r="D194" s="61">
        <v>611.1</v>
      </c>
      <c r="E194" s="61">
        <v>262.7</v>
      </c>
      <c r="F194" s="61">
        <v>1657</v>
      </c>
      <c r="G194" s="51"/>
    </row>
    <row r="195" spans="1:7" x14ac:dyDescent="0.3">
      <c r="A195" s="52"/>
      <c r="B195" s="70" t="s">
        <v>560</v>
      </c>
      <c r="C195" s="61">
        <v>783.19999999999993</v>
      </c>
      <c r="D195" s="61">
        <v>611.1</v>
      </c>
      <c r="E195" s="61">
        <v>262.7</v>
      </c>
      <c r="F195" s="61">
        <v>1657</v>
      </c>
      <c r="G195" s="51"/>
    </row>
    <row r="196" spans="1:7" x14ac:dyDescent="0.3">
      <c r="A196" s="52"/>
      <c r="B196" s="69" t="s">
        <v>489</v>
      </c>
      <c r="C196" s="61">
        <v>4038.6299999999997</v>
      </c>
      <c r="D196" s="61">
        <v>1753.9499999999998</v>
      </c>
      <c r="E196" s="61">
        <v>1899.21</v>
      </c>
      <c r="F196" s="61">
        <v>7691.79</v>
      </c>
      <c r="G196" s="51"/>
    </row>
    <row r="197" spans="1:7" x14ac:dyDescent="0.3">
      <c r="A197" s="52"/>
      <c r="B197" s="70" t="s">
        <v>560</v>
      </c>
      <c r="C197" s="61">
        <v>4038.6299999999997</v>
      </c>
      <c r="D197" s="61">
        <v>1753.9499999999998</v>
      </c>
      <c r="E197" s="61">
        <v>1899.21</v>
      </c>
      <c r="F197" s="61">
        <v>7691.79</v>
      </c>
      <c r="G197" s="51"/>
    </row>
    <row r="198" spans="1:7" x14ac:dyDescent="0.3">
      <c r="A198" s="52"/>
      <c r="B198" s="69" t="s">
        <v>721</v>
      </c>
      <c r="C198" s="61"/>
      <c r="D198" s="61"/>
      <c r="E198" s="61">
        <v>181.83800000000002</v>
      </c>
      <c r="F198" s="61">
        <v>181.83800000000002</v>
      </c>
      <c r="G198" s="51"/>
    </row>
    <row r="199" spans="1:7" x14ac:dyDescent="0.3">
      <c r="A199" s="52"/>
      <c r="B199" s="70" t="s">
        <v>691</v>
      </c>
      <c r="C199" s="61"/>
      <c r="D199" s="61"/>
      <c r="E199" s="61">
        <v>181.83800000000002</v>
      </c>
      <c r="F199" s="61">
        <v>181.83800000000002</v>
      </c>
      <c r="G199" s="51"/>
    </row>
    <row r="200" spans="1:7" x14ac:dyDescent="0.3">
      <c r="A200" s="52"/>
      <c r="B200" s="60" t="s">
        <v>709</v>
      </c>
      <c r="C200" s="61"/>
      <c r="D200" s="61"/>
      <c r="E200" s="61">
        <v>582.56500000000005</v>
      </c>
      <c r="F200" s="61">
        <v>582.56500000000005</v>
      </c>
      <c r="G200" s="51"/>
    </row>
    <row r="201" spans="1:7" x14ac:dyDescent="0.3">
      <c r="A201" s="52"/>
      <c r="B201" s="69" t="s">
        <v>706</v>
      </c>
      <c r="C201" s="61"/>
      <c r="D201" s="61"/>
      <c r="E201" s="61">
        <v>195.22125000000003</v>
      </c>
      <c r="F201" s="61">
        <v>195.22125000000003</v>
      </c>
      <c r="G201" s="51"/>
    </row>
    <row r="202" spans="1:7" x14ac:dyDescent="0.3">
      <c r="A202" s="52"/>
      <c r="B202" s="70" t="s">
        <v>691</v>
      </c>
      <c r="C202" s="61"/>
      <c r="D202" s="61"/>
      <c r="E202" s="61">
        <v>195.22125000000003</v>
      </c>
      <c r="F202" s="61">
        <v>195.22125000000003</v>
      </c>
      <c r="G202" s="51"/>
    </row>
    <row r="203" spans="1:7" x14ac:dyDescent="0.3">
      <c r="A203" s="52"/>
      <c r="B203" s="69" t="s">
        <v>714</v>
      </c>
      <c r="C203" s="61"/>
      <c r="D203" s="61"/>
      <c r="E203" s="61">
        <v>301.81825000000003</v>
      </c>
      <c r="F203" s="61">
        <v>301.81825000000003</v>
      </c>
      <c r="G203" s="51"/>
    </row>
    <row r="204" spans="1:7" x14ac:dyDescent="0.3">
      <c r="A204" s="52"/>
      <c r="B204" s="70" t="s">
        <v>691</v>
      </c>
      <c r="C204" s="61"/>
      <c r="D204" s="61"/>
      <c r="E204" s="61">
        <v>301.81825000000003</v>
      </c>
      <c r="F204" s="61">
        <v>301.81825000000003</v>
      </c>
      <c r="G204" s="51"/>
    </row>
    <row r="205" spans="1:7" x14ac:dyDescent="0.3">
      <c r="A205" s="52"/>
      <c r="B205" s="69" t="s">
        <v>715</v>
      </c>
      <c r="C205" s="61"/>
      <c r="D205" s="61"/>
      <c r="E205" s="61">
        <v>85.525500000000008</v>
      </c>
      <c r="F205" s="61">
        <v>85.525500000000008</v>
      </c>
      <c r="G205" s="51"/>
    </row>
    <row r="206" spans="1:7" x14ac:dyDescent="0.3">
      <c r="A206" s="52"/>
      <c r="B206" s="70" t="s">
        <v>691</v>
      </c>
      <c r="C206" s="61"/>
      <c r="D206" s="61"/>
      <c r="E206" s="61">
        <v>85.525500000000008</v>
      </c>
      <c r="F206" s="61">
        <v>85.525500000000008</v>
      </c>
      <c r="G206" s="51"/>
    </row>
    <row r="207" spans="1:7" x14ac:dyDescent="0.3">
      <c r="A207" s="52"/>
      <c r="B207" s="59" t="s">
        <v>574</v>
      </c>
      <c r="C207" s="61">
        <v>1576.3780000000002</v>
      </c>
      <c r="D207" s="61">
        <v>1435.3980000000001</v>
      </c>
      <c r="E207" s="61">
        <v>1510.7400000000002</v>
      </c>
      <c r="F207" s="61">
        <v>4522.5159999999996</v>
      </c>
      <c r="G207" s="51"/>
    </row>
    <row r="208" spans="1:7" x14ac:dyDescent="0.3">
      <c r="A208" s="52"/>
      <c r="B208" s="60" t="s">
        <v>577</v>
      </c>
      <c r="C208" s="61">
        <v>1576.3780000000002</v>
      </c>
      <c r="D208" s="61">
        <v>1435.3980000000001</v>
      </c>
      <c r="E208" s="61">
        <v>1510.7400000000002</v>
      </c>
      <c r="F208" s="61">
        <v>4522.5159999999996</v>
      </c>
      <c r="G208" s="51"/>
    </row>
    <row r="209" spans="1:7" x14ac:dyDescent="0.3">
      <c r="A209" s="52"/>
      <c r="B209" s="69" t="s">
        <v>266</v>
      </c>
      <c r="C209" s="61">
        <v>670.97800000000007</v>
      </c>
      <c r="D209" s="61">
        <v>302.65800000000002</v>
      </c>
      <c r="E209" s="61">
        <v>387.09000000000003</v>
      </c>
      <c r="F209" s="61">
        <v>1360.7260000000001</v>
      </c>
      <c r="G209" s="51"/>
    </row>
    <row r="210" spans="1:7" x14ac:dyDescent="0.3">
      <c r="A210" s="52"/>
      <c r="B210" s="70" t="s">
        <v>560</v>
      </c>
      <c r="C210" s="61">
        <v>670.97800000000007</v>
      </c>
      <c r="D210" s="61">
        <v>302.65800000000002</v>
      </c>
      <c r="E210" s="61">
        <v>387.09000000000003</v>
      </c>
      <c r="F210" s="61">
        <v>1360.7260000000001</v>
      </c>
      <c r="G210" s="51"/>
    </row>
    <row r="211" spans="1:7" x14ac:dyDescent="0.3">
      <c r="A211" s="52"/>
      <c r="B211" s="69" t="s">
        <v>606</v>
      </c>
      <c r="C211" s="61">
        <v>905.4</v>
      </c>
      <c r="D211" s="61">
        <v>1132.74</v>
      </c>
      <c r="E211" s="61">
        <v>1123.6500000000001</v>
      </c>
      <c r="F211" s="61">
        <v>3161.79</v>
      </c>
      <c r="G211" s="51"/>
    </row>
    <row r="212" spans="1:7" x14ac:dyDescent="0.3">
      <c r="A212" s="52"/>
      <c r="B212" s="70" t="s">
        <v>560</v>
      </c>
      <c r="C212" s="61">
        <v>905.4</v>
      </c>
      <c r="D212" s="61">
        <v>1132.74</v>
      </c>
      <c r="E212" s="61">
        <v>1123.6500000000001</v>
      </c>
      <c r="F212" s="61">
        <v>3161.79</v>
      </c>
      <c r="G212" s="51"/>
    </row>
    <row r="213" spans="1:7" x14ac:dyDescent="0.3">
      <c r="A213" s="52"/>
      <c r="B213" s="59" t="s">
        <v>381</v>
      </c>
      <c r="C213" s="61">
        <v>994.48500000000013</v>
      </c>
      <c r="D213" s="61">
        <v>786.83000000000015</v>
      </c>
      <c r="E213" s="61">
        <v>1361.1100000000001</v>
      </c>
      <c r="F213" s="61">
        <v>3142.4250000000002</v>
      </c>
      <c r="G213" s="51"/>
    </row>
    <row r="214" spans="1:7" x14ac:dyDescent="0.3">
      <c r="A214" s="52"/>
      <c r="B214" s="60" t="s">
        <v>576</v>
      </c>
      <c r="C214" s="61">
        <v>350.89499999999998</v>
      </c>
      <c r="D214" s="61">
        <v>359.34500000000003</v>
      </c>
      <c r="E214" s="61">
        <v>375.31499999999994</v>
      </c>
      <c r="F214" s="61">
        <v>1085.5549999999998</v>
      </c>
      <c r="G214" s="51"/>
    </row>
    <row r="215" spans="1:7" x14ac:dyDescent="0.3">
      <c r="A215" s="52"/>
      <c r="B215" s="69" t="s">
        <v>588</v>
      </c>
      <c r="C215" s="61">
        <v>5.16</v>
      </c>
      <c r="D215" s="61">
        <v>14.235000000000001</v>
      </c>
      <c r="E215" s="61">
        <v>0.79000000000000015</v>
      </c>
      <c r="F215" s="61">
        <v>20.185000000000002</v>
      </c>
      <c r="G215" s="51"/>
    </row>
    <row r="216" spans="1:7" x14ac:dyDescent="0.3">
      <c r="A216" s="52"/>
      <c r="B216" s="70" t="s">
        <v>560</v>
      </c>
      <c r="C216" s="61">
        <v>5.16</v>
      </c>
      <c r="D216" s="61">
        <v>14.235000000000001</v>
      </c>
      <c r="E216" s="61">
        <v>0.79000000000000015</v>
      </c>
      <c r="F216" s="61">
        <v>20.185000000000002</v>
      </c>
      <c r="G216" s="51"/>
    </row>
    <row r="217" spans="1:7" x14ac:dyDescent="0.3">
      <c r="A217" s="52"/>
      <c r="B217" s="69" t="s">
        <v>269</v>
      </c>
      <c r="C217" s="61">
        <v>28.820000000000004</v>
      </c>
      <c r="D217" s="61">
        <v>13.895000000000003</v>
      </c>
      <c r="E217" s="61">
        <v>16.990000000000002</v>
      </c>
      <c r="F217" s="61">
        <v>59.705000000000005</v>
      </c>
      <c r="G217" s="51"/>
    </row>
    <row r="218" spans="1:7" x14ac:dyDescent="0.3">
      <c r="A218" s="52"/>
      <c r="B218" s="70" t="s">
        <v>560</v>
      </c>
      <c r="C218" s="61">
        <v>28.820000000000004</v>
      </c>
      <c r="D218" s="61">
        <v>13.895000000000003</v>
      </c>
      <c r="E218" s="61">
        <v>16.990000000000002</v>
      </c>
      <c r="F218" s="61">
        <v>59.705000000000005</v>
      </c>
      <c r="G218" s="51"/>
    </row>
    <row r="219" spans="1:7" x14ac:dyDescent="0.3">
      <c r="A219" s="52"/>
      <c r="B219" s="69" t="s">
        <v>429</v>
      </c>
      <c r="C219" s="61">
        <v>252.48999999999998</v>
      </c>
      <c r="D219" s="61">
        <v>227.22</v>
      </c>
      <c r="E219" s="61">
        <v>167.43999999999997</v>
      </c>
      <c r="F219" s="61">
        <v>647.15</v>
      </c>
      <c r="G219" s="51"/>
    </row>
    <row r="220" spans="1:7" x14ac:dyDescent="0.3">
      <c r="A220" s="52"/>
      <c r="B220" s="70" t="s">
        <v>560</v>
      </c>
      <c r="C220" s="61">
        <v>252.48999999999998</v>
      </c>
      <c r="D220" s="61">
        <v>227.22</v>
      </c>
      <c r="E220" s="61">
        <v>167.43999999999997</v>
      </c>
      <c r="F220" s="61">
        <v>647.15</v>
      </c>
      <c r="G220" s="51"/>
    </row>
    <row r="221" spans="1:7" x14ac:dyDescent="0.3">
      <c r="A221" s="52"/>
      <c r="B221" s="69" t="s">
        <v>474</v>
      </c>
      <c r="C221" s="61">
        <v>64.424999999999997</v>
      </c>
      <c r="D221" s="61">
        <v>103.995</v>
      </c>
      <c r="E221" s="61">
        <v>190.095</v>
      </c>
      <c r="F221" s="61">
        <v>358.51499999999999</v>
      </c>
      <c r="G221" s="51"/>
    </row>
    <row r="222" spans="1:7" x14ac:dyDescent="0.3">
      <c r="A222" s="52"/>
      <c r="B222" s="70" t="s">
        <v>560</v>
      </c>
      <c r="C222" s="61">
        <v>64.424999999999997</v>
      </c>
      <c r="D222" s="61">
        <v>103.995</v>
      </c>
      <c r="E222" s="61">
        <v>190.095</v>
      </c>
      <c r="F222" s="61">
        <v>358.51499999999999</v>
      </c>
      <c r="G222" s="51"/>
    </row>
    <row r="223" spans="1:7" x14ac:dyDescent="0.3">
      <c r="A223" s="52"/>
      <c r="B223" s="60" t="s">
        <v>585</v>
      </c>
      <c r="C223" s="61">
        <v>643.59</v>
      </c>
      <c r="D223" s="61">
        <v>427.48500000000001</v>
      </c>
      <c r="E223" s="61">
        <v>985.79500000000007</v>
      </c>
      <c r="F223" s="61">
        <v>2056.87</v>
      </c>
      <c r="G223" s="51"/>
    </row>
    <row r="224" spans="1:7" x14ac:dyDescent="0.3">
      <c r="A224" s="52"/>
      <c r="B224" s="69" t="s">
        <v>683</v>
      </c>
      <c r="C224" s="61">
        <v>244.03500000000003</v>
      </c>
      <c r="D224" s="61">
        <v>235.06500000000003</v>
      </c>
      <c r="E224" s="61">
        <v>648.34</v>
      </c>
      <c r="F224" s="61">
        <v>1127.44</v>
      </c>
      <c r="G224" s="51"/>
    </row>
    <row r="225" spans="1:7" x14ac:dyDescent="0.3">
      <c r="A225" s="52"/>
      <c r="B225" s="70" t="s">
        <v>560</v>
      </c>
      <c r="C225" s="61">
        <v>244.03500000000003</v>
      </c>
      <c r="D225" s="61">
        <v>235.06500000000003</v>
      </c>
      <c r="E225" s="61">
        <v>648.34</v>
      </c>
      <c r="F225" s="61">
        <v>1127.44</v>
      </c>
      <c r="G225" s="51"/>
    </row>
    <row r="226" spans="1:7" x14ac:dyDescent="0.3">
      <c r="A226" s="52"/>
      <c r="B226" s="69" t="s">
        <v>684</v>
      </c>
      <c r="C226" s="61">
        <v>399.55500000000001</v>
      </c>
      <c r="D226" s="61">
        <v>192.42000000000002</v>
      </c>
      <c r="E226" s="61">
        <v>337.45500000000004</v>
      </c>
      <c r="F226" s="61">
        <v>929.43000000000006</v>
      </c>
      <c r="G226" s="51"/>
    </row>
    <row r="227" spans="1:7" x14ac:dyDescent="0.3">
      <c r="A227" s="52"/>
      <c r="B227" s="70" t="s">
        <v>560</v>
      </c>
      <c r="C227" s="61">
        <v>399.55500000000001</v>
      </c>
      <c r="D227" s="61">
        <v>192.42000000000002</v>
      </c>
      <c r="E227" s="61">
        <v>337.45500000000004</v>
      </c>
      <c r="F227" s="61">
        <v>929.43000000000006</v>
      </c>
      <c r="G227" s="51"/>
    </row>
    <row r="228" spans="1:7" x14ac:dyDescent="0.3">
      <c r="A228" s="52"/>
      <c r="B228" s="59" t="s">
        <v>589</v>
      </c>
      <c r="C228" s="61">
        <v>796.18399999999997</v>
      </c>
      <c r="D228" s="61">
        <v>907.8900000000001</v>
      </c>
      <c r="E228" s="61">
        <v>1013.694</v>
      </c>
      <c r="F228" s="61">
        <v>2717.768</v>
      </c>
      <c r="G228" s="51"/>
    </row>
    <row r="229" spans="1:7" x14ac:dyDescent="0.3">
      <c r="A229" s="52"/>
      <c r="B229" s="60" t="s">
        <v>576</v>
      </c>
      <c r="C229" s="61"/>
      <c r="D229" s="61"/>
      <c r="E229" s="61">
        <v>361.12999999999994</v>
      </c>
      <c r="F229" s="61">
        <v>361.12999999999994</v>
      </c>
      <c r="G229" s="51"/>
    </row>
    <row r="230" spans="1:7" x14ac:dyDescent="0.3">
      <c r="A230" s="52"/>
      <c r="B230" s="69" t="s">
        <v>269</v>
      </c>
      <c r="C230" s="61"/>
      <c r="D230" s="61"/>
      <c r="E230" s="61">
        <v>361.12999999999994</v>
      </c>
      <c r="F230" s="61">
        <v>361.12999999999994</v>
      </c>
      <c r="G230" s="51"/>
    </row>
    <row r="231" spans="1:7" x14ac:dyDescent="0.3">
      <c r="A231" s="52"/>
      <c r="B231" s="70" t="s">
        <v>691</v>
      </c>
      <c r="C231" s="61"/>
      <c r="D231" s="61"/>
      <c r="E231" s="61">
        <v>361.12999999999994</v>
      </c>
      <c r="F231" s="61">
        <v>361.12999999999994</v>
      </c>
      <c r="G231" s="51"/>
    </row>
    <row r="232" spans="1:7" x14ac:dyDescent="0.3">
      <c r="A232" s="52"/>
      <c r="B232" s="60" t="s">
        <v>590</v>
      </c>
      <c r="C232" s="61">
        <v>796.18399999999997</v>
      </c>
      <c r="D232" s="61">
        <v>907.8900000000001</v>
      </c>
      <c r="E232" s="61">
        <v>652.56400000000008</v>
      </c>
      <c r="F232" s="61">
        <v>2356.6379999999999</v>
      </c>
      <c r="G232" s="51"/>
    </row>
    <row r="233" spans="1:7" x14ac:dyDescent="0.3">
      <c r="A233" s="52"/>
      <c r="B233" s="69" t="s">
        <v>588</v>
      </c>
      <c r="C233" s="61">
        <v>92.352000000000004</v>
      </c>
      <c r="D233" s="61">
        <v>255.69400000000002</v>
      </c>
      <c r="E233" s="61">
        <v>13.948</v>
      </c>
      <c r="F233" s="61">
        <v>361.99400000000003</v>
      </c>
      <c r="G233" s="51"/>
    </row>
    <row r="234" spans="1:7" x14ac:dyDescent="0.3">
      <c r="A234" s="52"/>
      <c r="B234" s="70" t="s">
        <v>560</v>
      </c>
      <c r="C234" s="61">
        <v>92.352000000000004</v>
      </c>
      <c r="D234" s="61">
        <v>255.69400000000002</v>
      </c>
      <c r="E234" s="61">
        <v>13.948</v>
      </c>
      <c r="F234" s="61">
        <v>361.99400000000003</v>
      </c>
      <c r="G234" s="51"/>
    </row>
    <row r="235" spans="1:7" x14ac:dyDescent="0.3">
      <c r="A235" s="52"/>
      <c r="B235" s="69" t="s">
        <v>269</v>
      </c>
      <c r="C235" s="61">
        <v>468.63200000000001</v>
      </c>
      <c r="D235" s="61">
        <v>225.17600000000002</v>
      </c>
      <c r="E235" s="61">
        <v>222.066</v>
      </c>
      <c r="F235" s="61">
        <v>915.87400000000002</v>
      </c>
      <c r="G235" s="51"/>
    </row>
    <row r="236" spans="1:7" x14ac:dyDescent="0.3">
      <c r="A236" s="52"/>
      <c r="B236" s="70" t="s">
        <v>560</v>
      </c>
      <c r="C236" s="61">
        <v>468.63200000000001</v>
      </c>
      <c r="D236" s="61">
        <v>225.17600000000002</v>
      </c>
      <c r="E236" s="61">
        <v>222.066</v>
      </c>
      <c r="F236" s="61">
        <v>915.87400000000002</v>
      </c>
      <c r="G236" s="51"/>
    </row>
    <row r="237" spans="1:7" x14ac:dyDescent="0.3">
      <c r="A237" s="52"/>
      <c r="B237" s="69" t="s">
        <v>595</v>
      </c>
      <c r="C237" s="61">
        <v>235.2</v>
      </c>
      <c r="D237" s="61">
        <v>427.02000000000004</v>
      </c>
      <c r="E237" s="61">
        <v>416.55</v>
      </c>
      <c r="F237" s="61">
        <v>1078.77</v>
      </c>
      <c r="G237" s="51"/>
    </row>
    <row r="238" spans="1:7" x14ac:dyDescent="0.3">
      <c r="A238" s="52"/>
      <c r="B238" s="70" t="s">
        <v>560</v>
      </c>
      <c r="C238" s="61">
        <v>235.2</v>
      </c>
      <c r="D238" s="61">
        <v>427.02000000000004</v>
      </c>
      <c r="E238" s="61">
        <v>416.55</v>
      </c>
      <c r="F238" s="61">
        <v>1078.77</v>
      </c>
      <c r="G238" s="51"/>
    </row>
    <row r="239" spans="1:7" x14ac:dyDescent="0.3">
      <c r="A239" s="52"/>
      <c r="B239" s="59" t="s">
        <v>651</v>
      </c>
      <c r="C239" s="61">
        <v>282.5</v>
      </c>
      <c r="D239" s="61">
        <v>249.75</v>
      </c>
      <c r="E239" s="61">
        <v>2116.7566000000002</v>
      </c>
      <c r="F239" s="61">
        <v>2649.0066000000002</v>
      </c>
      <c r="G239" s="51"/>
    </row>
    <row r="240" spans="1:7" x14ac:dyDescent="0.3">
      <c r="A240" s="52"/>
      <c r="B240" s="60" t="s">
        <v>617</v>
      </c>
      <c r="C240" s="61">
        <v>282.5</v>
      </c>
      <c r="D240" s="61">
        <v>249.75</v>
      </c>
      <c r="E240" s="61">
        <v>193.2</v>
      </c>
      <c r="F240" s="61">
        <v>725.45</v>
      </c>
      <c r="G240" s="51"/>
    </row>
    <row r="241" spans="1:7" x14ac:dyDescent="0.3">
      <c r="A241" s="52"/>
      <c r="B241" s="69" t="s">
        <v>441</v>
      </c>
      <c r="C241" s="61">
        <v>282.5</v>
      </c>
      <c r="D241" s="61">
        <v>249.75</v>
      </c>
      <c r="E241" s="61">
        <v>193.2</v>
      </c>
      <c r="F241" s="61">
        <v>725.45</v>
      </c>
      <c r="G241" s="51"/>
    </row>
    <row r="242" spans="1:7" x14ac:dyDescent="0.3">
      <c r="A242" s="52"/>
      <c r="B242" s="70" t="s">
        <v>560</v>
      </c>
      <c r="C242" s="61">
        <v>282.5</v>
      </c>
      <c r="D242" s="61">
        <v>249.75</v>
      </c>
      <c r="E242" s="61">
        <v>193.2</v>
      </c>
      <c r="F242" s="61">
        <v>725.45</v>
      </c>
      <c r="G242" s="51"/>
    </row>
    <row r="243" spans="1:7" x14ac:dyDescent="0.3">
      <c r="A243" s="52"/>
      <c r="B243" s="60" t="s">
        <v>700</v>
      </c>
      <c r="C243" s="61"/>
      <c r="D243" s="61"/>
      <c r="E243" s="61">
        <v>1792.1026000000002</v>
      </c>
      <c r="F243" s="61">
        <v>1792.1026000000002</v>
      </c>
      <c r="G243" s="51"/>
    </row>
    <row r="244" spans="1:7" x14ac:dyDescent="0.3">
      <c r="A244" s="52"/>
      <c r="B244" s="69" t="s">
        <v>698</v>
      </c>
      <c r="C244" s="61"/>
      <c r="D244" s="61"/>
      <c r="E244" s="61">
        <v>337.39859999999999</v>
      </c>
      <c r="F244" s="61">
        <v>337.39859999999999</v>
      </c>
      <c r="G244" s="51"/>
    </row>
    <row r="245" spans="1:7" x14ac:dyDescent="0.3">
      <c r="A245" s="52"/>
      <c r="B245" s="70" t="s">
        <v>691</v>
      </c>
      <c r="C245" s="61"/>
      <c r="D245" s="61"/>
      <c r="E245" s="61">
        <v>337.39859999999999</v>
      </c>
      <c r="F245" s="61">
        <v>337.39859999999999</v>
      </c>
      <c r="G245" s="51"/>
    </row>
    <row r="246" spans="1:7" x14ac:dyDescent="0.3">
      <c r="A246" s="52"/>
      <c r="B246" s="69" t="s">
        <v>721</v>
      </c>
      <c r="C246" s="61"/>
      <c r="D246" s="61"/>
      <c r="E246" s="61">
        <v>1454.7040000000002</v>
      </c>
      <c r="F246" s="61">
        <v>1454.7040000000002</v>
      </c>
      <c r="G246" s="51"/>
    </row>
    <row r="247" spans="1:7" x14ac:dyDescent="0.3">
      <c r="A247" s="52"/>
      <c r="B247" s="70" t="s">
        <v>691</v>
      </c>
      <c r="C247" s="61"/>
      <c r="D247" s="61"/>
      <c r="E247" s="61">
        <v>1454.7040000000002</v>
      </c>
      <c r="F247" s="61">
        <v>1454.7040000000002</v>
      </c>
      <c r="G247" s="51"/>
    </row>
    <row r="248" spans="1:7" x14ac:dyDescent="0.3">
      <c r="A248" s="52"/>
      <c r="B248" s="60" t="s">
        <v>701</v>
      </c>
      <c r="C248" s="61"/>
      <c r="D248" s="61"/>
      <c r="E248" s="61">
        <v>131.45400000000001</v>
      </c>
      <c r="F248" s="61">
        <v>131.45400000000001</v>
      </c>
      <c r="G248" s="51"/>
    </row>
    <row r="249" spans="1:7" x14ac:dyDescent="0.3">
      <c r="A249" s="52"/>
      <c r="B249" s="69" t="s">
        <v>698</v>
      </c>
      <c r="C249" s="61"/>
      <c r="D249" s="61"/>
      <c r="E249" s="61">
        <v>131.45400000000001</v>
      </c>
      <c r="F249" s="61">
        <v>131.45400000000001</v>
      </c>
      <c r="G249" s="51"/>
    </row>
    <row r="250" spans="1:7" x14ac:dyDescent="0.3">
      <c r="A250" s="52"/>
      <c r="B250" s="70" t="s">
        <v>691</v>
      </c>
      <c r="C250" s="61"/>
      <c r="D250" s="61"/>
      <c r="E250" s="61">
        <v>131.45400000000001</v>
      </c>
      <c r="F250" s="61">
        <v>131.45400000000001</v>
      </c>
      <c r="G250" s="51"/>
    </row>
    <row r="251" spans="1:7" x14ac:dyDescent="0.3">
      <c r="A251" s="52"/>
      <c r="B251" s="59" t="s">
        <v>664</v>
      </c>
      <c r="C251" s="61">
        <v>1346.21</v>
      </c>
      <c r="D251" s="61">
        <v>584.65000000000009</v>
      </c>
      <c r="E251" s="61">
        <v>633.07000000000016</v>
      </c>
      <c r="F251" s="61">
        <v>2563.9300000000003</v>
      </c>
      <c r="G251" s="51"/>
    </row>
    <row r="252" spans="1:7" x14ac:dyDescent="0.3">
      <c r="A252" s="52"/>
      <c r="B252" s="60" t="s">
        <v>665</v>
      </c>
      <c r="C252" s="61">
        <v>1346.21</v>
      </c>
      <c r="D252" s="61">
        <v>584.65000000000009</v>
      </c>
      <c r="E252" s="61">
        <v>633.07000000000016</v>
      </c>
      <c r="F252" s="61">
        <v>2563.9300000000003</v>
      </c>
      <c r="G252" s="51"/>
    </row>
    <row r="253" spans="1:7" x14ac:dyDescent="0.3">
      <c r="A253" s="52"/>
      <c r="B253" s="69" t="s">
        <v>489</v>
      </c>
      <c r="C253" s="61">
        <v>1346.21</v>
      </c>
      <c r="D253" s="61">
        <v>584.65000000000009</v>
      </c>
      <c r="E253" s="61">
        <v>633.07000000000016</v>
      </c>
      <c r="F253" s="61">
        <v>2563.9300000000003</v>
      </c>
      <c r="G253" s="51"/>
    </row>
    <row r="254" spans="1:7" x14ac:dyDescent="0.3">
      <c r="A254" s="52"/>
      <c r="B254" s="70" t="s">
        <v>560</v>
      </c>
      <c r="C254" s="61">
        <v>1346.21</v>
      </c>
      <c r="D254" s="61">
        <v>584.65000000000009</v>
      </c>
      <c r="E254" s="61">
        <v>633.07000000000016</v>
      </c>
      <c r="F254" s="61">
        <v>2563.9300000000003</v>
      </c>
      <c r="G254" s="51"/>
    </row>
    <row r="255" spans="1:7" x14ac:dyDescent="0.3">
      <c r="A255" s="52"/>
      <c r="B255" s="59" t="s">
        <v>666</v>
      </c>
      <c r="C255" s="61">
        <v>1346.21</v>
      </c>
      <c r="D255" s="61">
        <v>584.65000000000009</v>
      </c>
      <c r="E255" s="61">
        <v>633.07000000000016</v>
      </c>
      <c r="F255" s="61">
        <v>2563.9300000000003</v>
      </c>
      <c r="G255" s="51"/>
    </row>
    <row r="256" spans="1:7" x14ac:dyDescent="0.3">
      <c r="A256" s="52"/>
      <c r="B256" s="60" t="s">
        <v>576</v>
      </c>
      <c r="C256" s="61">
        <v>1346.21</v>
      </c>
      <c r="D256" s="61">
        <v>584.65000000000009</v>
      </c>
      <c r="E256" s="61">
        <v>633.07000000000016</v>
      </c>
      <c r="F256" s="61">
        <v>2563.9300000000003</v>
      </c>
      <c r="G256" s="51"/>
    </row>
    <row r="257" spans="1:7" x14ac:dyDescent="0.3">
      <c r="A257" s="52"/>
      <c r="B257" s="69" t="s">
        <v>489</v>
      </c>
      <c r="C257" s="61">
        <v>1346.21</v>
      </c>
      <c r="D257" s="61">
        <v>584.65000000000009</v>
      </c>
      <c r="E257" s="61">
        <v>633.07000000000016</v>
      </c>
      <c r="F257" s="61">
        <v>2563.9300000000003</v>
      </c>
      <c r="G257" s="51"/>
    </row>
    <row r="258" spans="1:7" x14ac:dyDescent="0.3">
      <c r="A258" s="52"/>
      <c r="B258" s="70" t="s">
        <v>560</v>
      </c>
      <c r="C258" s="61">
        <v>1346.21</v>
      </c>
      <c r="D258" s="61">
        <v>584.65000000000009</v>
      </c>
      <c r="E258" s="61">
        <v>633.07000000000016</v>
      </c>
      <c r="F258" s="61">
        <v>2563.9300000000003</v>
      </c>
      <c r="G258" s="51"/>
    </row>
    <row r="259" spans="1:7" x14ac:dyDescent="0.3">
      <c r="A259" s="52"/>
      <c r="B259" s="59" t="s">
        <v>583</v>
      </c>
      <c r="C259" s="61">
        <v>733.43869999999993</v>
      </c>
      <c r="D259" s="61">
        <v>758.53429999999992</v>
      </c>
      <c r="E259" s="61">
        <v>709.42399999999998</v>
      </c>
      <c r="F259" s="61">
        <v>2201.3969999999999</v>
      </c>
      <c r="G259" s="51"/>
    </row>
    <row r="260" spans="1:7" x14ac:dyDescent="0.3">
      <c r="A260" s="52"/>
      <c r="B260" s="60" t="s">
        <v>584</v>
      </c>
      <c r="C260" s="61">
        <v>463.58870000000002</v>
      </c>
      <c r="D260" s="61">
        <v>509.51929999999993</v>
      </c>
      <c r="E260" s="61">
        <v>412.07900000000001</v>
      </c>
      <c r="F260" s="61">
        <v>1385.1869999999999</v>
      </c>
      <c r="G260" s="51"/>
    </row>
    <row r="261" spans="1:7" x14ac:dyDescent="0.3">
      <c r="A261" s="52"/>
      <c r="B261" s="69" t="s">
        <v>581</v>
      </c>
      <c r="C261" s="61">
        <v>95.363699999999994</v>
      </c>
      <c r="D261" s="61">
        <v>65.639300000000006</v>
      </c>
      <c r="E261" s="61">
        <v>47.208999999999996</v>
      </c>
      <c r="F261" s="61">
        <v>208.21199999999999</v>
      </c>
      <c r="G261" s="51"/>
    </row>
    <row r="262" spans="1:7" x14ac:dyDescent="0.3">
      <c r="A262" s="52"/>
      <c r="B262" s="70" t="s">
        <v>560</v>
      </c>
      <c r="C262" s="61">
        <v>95.363699999999994</v>
      </c>
      <c r="D262" s="61">
        <v>65.639300000000006</v>
      </c>
      <c r="E262" s="61">
        <v>47.208999999999996</v>
      </c>
      <c r="F262" s="61">
        <v>208.21199999999999</v>
      </c>
      <c r="G262" s="51"/>
    </row>
    <row r="263" spans="1:7" x14ac:dyDescent="0.3">
      <c r="A263" s="52"/>
      <c r="B263" s="69" t="s">
        <v>603</v>
      </c>
      <c r="C263" s="61">
        <v>368.22500000000002</v>
      </c>
      <c r="D263" s="61">
        <v>443.87999999999994</v>
      </c>
      <c r="E263" s="61">
        <v>364.87</v>
      </c>
      <c r="F263" s="61">
        <v>1176.9749999999999</v>
      </c>
      <c r="G263" s="51"/>
    </row>
    <row r="264" spans="1:7" x14ac:dyDescent="0.3">
      <c r="A264" s="52"/>
      <c r="B264" s="70" t="s">
        <v>560</v>
      </c>
      <c r="C264" s="61">
        <v>368.22500000000002</v>
      </c>
      <c r="D264" s="61">
        <v>443.87999999999994</v>
      </c>
      <c r="E264" s="61">
        <v>364.87</v>
      </c>
      <c r="F264" s="61">
        <v>1176.9749999999999</v>
      </c>
      <c r="G264" s="51"/>
    </row>
    <row r="265" spans="1:7" x14ac:dyDescent="0.3">
      <c r="A265" s="52"/>
      <c r="B265" s="60" t="s">
        <v>611</v>
      </c>
      <c r="C265" s="61">
        <v>269.84999999999997</v>
      </c>
      <c r="D265" s="61">
        <v>249.01499999999999</v>
      </c>
      <c r="E265" s="61">
        <v>297.34500000000003</v>
      </c>
      <c r="F265" s="61">
        <v>816.21</v>
      </c>
      <c r="G265" s="51"/>
    </row>
    <row r="266" spans="1:7" x14ac:dyDescent="0.3">
      <c r="A266" s="52"/>
      <c r="B266" s="69" t="s">
        <v>608</v>
      </c>
      <c r="C266" s="61">
        <v>269.84999999999997</v>
      </c>
      <c r="D266" s="61">
        <v>249.01499999999999</v>
      </c>
      <c r="E266" s="61">
        <v>297.34500000000003</v>
      </c>
      <c r="F266" s="61">
        <v>816.21</v>
      </c>
      <c r="G266" s="51"/>
    </row>
    <row r="267" spans="1:7" x14ac:dyDescent="0.3">
      <c r="A267" s="52"/>
      <c r="B267" s="70" t="s">
        <v>560</v>
      </c>
      <c r="C267" s="61">
        <v>269.84999999999997</v>
      </c>
      <c r="D267" s="61">
        <v>249.01499999999999</v>
      </c>
      <c r="E267" s="61">
        <v>297.34500000000003</v>
      </c>
      <c r="F267" s="61">
        <v>816.21</v>
      </c>
      <c r="G267" s="51"/>
    </row>
    <row r="268" spans="1:7" x14ac:dyDescent="0.3">
      <c r="A268" s="52"/>
      <c r="B268" s="59" t="s">
        <v>678</v>
      </c>
      <c r="C268" s="61">
        <v>767.82499999999993</v>
      </c>
      <c r="D268" s="61">
        <v>609.65</v>
      </c>
      <c r="E268" s="61">
        <v>612.47499999999991</v>
      </c>
      <c r="F268" s="61">
        <v>1989.9499999999998</v>
      </c>
      <c r="G268" s="51"/>
    </row>
    <row r="269" spans="1:7" x14ac:dyDescent="0.3">
      <c r="A269" s="52"/>
      <c r="B269" s="60" t="s">
        <v>576</v>
      </c>
      <c r="C269" s="61">
        <v>767.82499999999993</v>
      </c>
      <c r="D269" s="61">
        <v>609.65</v>
      </c>
      <c r="E269" s="61">
        <v>612.47499999999991</v>
      </c>
      <c r="F269" s="61">
        <v>1989.9499999999998</v>
      </c>
      <c r="G269" s="51"/>
    </row>
    <row r="270" spans="1:7" x14ac:dyDescent="0.3">
      <c r="A270" s="52"/>
      <c r="B270" s="69" t="s">
        <v>675</v>
      </c>
      <c r="C270" s="61">
        <v>767.82499999999993</v>
      </c>
      <c r="D270" s="61">
        <v>609.65</v>
      </c>
      <c r="E270" s="61">
        <v>612.47499999999991</v>
      </c>
      <c r="F270" s="61">
        <v>1989.9499999999998</v>
      </c>
      <c r="G270" s="51"/>
    </row>
    <row r="271" spans="1:7" x14ac:dyDescent="0.3">
      <c r="A271" s="52"/>
      <c r="B271" s="70" t="s">
        <v>560</v>
      </c>
      <c r="C271" s="61">
        <v>767.82499999999993</v>
      </c>
      <c r="D271" s="61">
        <v>609.65</v>
      </c>
      <c r="E271" s="61">
        <v>612.47499999999991</v>
      </c>
      <c r="F271" s="61">
        <v>1989.9499999999998</v>
      </c>
      <c r="G271" s="51"/>
    </row>
    <row r="272" spans="1:7" x14ac:dyDescent="0.3">
      <c r="A272" s="52"/>
      <c r="B272" s="59" t="s">
        <v>679</v>
      </c>
      <c r="C272" s="61">
        <v>767.82499999999993</v>
      </c>
      <c r="D272" s="61">
        <v>609.65</v>
      </c>
      <c r="E272" s="61">
        <v>612.47499999999991</v>
      </c>
      <c r="F272" s="61">
        <v>1989.9499999999998</v>
      </c>
      <c r="G272" s="51"/>
    </row>
    <row r="273" spans="1:7" x14ac:dyDescent="0.3">
      <c r="A273" s="52"/>
      <c r="B273" s="60" t="s">
        <v>576</v>
      </c>
      <c r="C273" s="61">
        <v>767.82499999999993</v>
      </c>
      <c r="D273" s="61">
        <v>609.65</v>
      </c>
      <c r="E273" s="61">
        <v>612.47499999999991</v>
      </c>
      <c r="F273" s="61">
        <v>1989.9499999999998</v>
      </c>
      <c r="G273" s="51"/>
    </row>
    <row r="274" spans="1:7" x14ac:dyDescent="0.3">
      <c r="A274" s="52"/>
      <c r="B274" s="69" t="s">
        <v>675</v>
      </c>
      <c r="C274" s="61">
        <v>767.82499999999993</v>
      </c>
      <c r="D274" s="61">
        <v>609.65</v>
      </c>
      <c r="E274" s="61">
        <v>612.47499999999991</v>
      </c>
      <c r="F274" s="61">
        <v>1989.9499999999998</v>
      </c>
      <c r="G274" s="51"/>
    </row>
    <row r="275" spans="1:7" x14ac:dyDescent="0.3">
      <c r="A275" s="52"/>
      <c r="B275" s="70" t="s">
        <v>560</v>
      </c>
      <c r="C275" s="61">
        <v>767.82499999999993</v>
      </c>
      <c r="D275" s="61">
        <v>609.65</v>
      </c>
      <c r="E275" s="61">
        <v>612.47499999999991</v>
      </c>
      <c r="F275" s="61">
        <v>1989.9499999999998</v>
      </c>
      <c r="G275" s="51"/>
    </row>
    <row r="276" spans="1:7" x14ac:dyDescent="0.3">
      <c r="A276" s="52"/>
      <c r="B276" s="59" t="s">
        <v>578</v>
      </c>
      <c r="C276" s="61">
        <v>632.7340999999999</v>
      </c>
      <c r="D276" s="61">
        <v>343.5299</v>
      </c>
      <c r="E276" s="61">
        <v>553.86699999999996</v>
      </c>
      <c r="F276" s="61">
        <v>1530.1309999999999</v>
      </c>
      <c r="G276" s="51"/>
    </row>
    <row r="277" spans="1:7" x14ac:dyDescent="0.3">
      <c r="A277" s="52"/>
      <c r="B277" s="60" t="s">
        <v>579</v>
      </c>
      <c r="C277" s="61">
        <v>632.7340999999999</v>
      </c>
      <c r="D277" s="61">
        <v>343.5299</v>
      </c>
      <c r="E277" s="61">
        <v>553.86699999999996</v>
      </c>
      <c r="F277" s="61">
        <v>1530.1309999999999</v>
      </c>
      <c r="G277" s="51"/>
    </row>
    <row r="278" spans="1:7" x14ac:dyDescent="0.3">
      <c r="A278" s="52"/>
      <c r="B278" s="69" t="s">
        <v>266</v>
      </c>
      <c r="C278" s="61">
        <v>207.38000000000002</v>
      </c>
      <c r="D278" s="61">
        <v>89.22999999999999</v>
      </c>
      <c r="E278" s="61">
        <v>116.075</v>
      </c>
      <c r="F278" s="61">
        <v>412.685</v>
      </c>
      <c r="G278" s="51"/>
    </row>
    <row r="279" spans="1:7" x14ac:dyDescent="0.3">
      <c r="A279" s="52"/>
      <c r="B279" s="70" t="s">
        <v>560</v>
      </c>
      <c r="C279" s="61">
        <v>207.38000000000002</v>
      </c>
      <c r="D279" s="61">
        <v>89.22999999999999</v>
      </c>
      <c r="E279" s="61">
        <v>116.075</v>
      </c>
      <c r="F279" s="61">
        <v>412.685</v>
      </c>
      <c r="G279" s="51"/>
    </row>
    <row r="280" spans="1:7" x14ac:dyDescent="0.3">
      <c r="A280" s="52"/>
      <c r="B280" s="69" t="s">
        <v>581</v>
      </c>
      <c r="C280" s="61">
        <v>244.51409999999998</v>
      </c>
      <c r="D280" s="61">
        <v>166.69990000000001</v>
      </c>
      <c r="E280" s="61">
        <v>119.17699999999999</v>
      </c>
      <c r="F280" s="61">
        <v>530.39099999999996</v>
      </c>
      <c r="G280" s="51"/>
    </row>
    <row r="281" spans="1:7" x14ac:dyDescent="0.3">
      <c r="A281" s="52"/>
      <c r="B281" s="70" t="s">
        <v>560</v>
      </c>
      <c r="C281" s="61">
        <v>244.51409999999998</v>
      </c>
      <c r="D281" s="61">
        <v>166.69990000000001</v>
      </c>
      <c r="E281" s="61">
        <v>119.17699999999999</v>
      </c>
      <c r="F281" s="61">
        <v>530.39099999999996</v>
      </c>
      <c r="G281" s="51"/>
    </row>
    <row r="282" spans="1:7" x14ac:dyDescent="0.3">
      <c r="A282" s="52"/>
      <c r="B282" s="69" t="s">
        <v>612</v>
      </c>
      <c r="C282" s="61">
        <v>180.83999999999997</v>
      </c>
      <c r="D282" s="61">
        <v>87.6</v>
      </c>
      <c r="E282" s="61">
        <v>318.61500000000001</v>
      </c>
      <c r="F282" s="61">
        <v>587.05499999999995</v>
      </c>
      <c r="G282" s="51"/>
    </row>
    <row r="283" spans="1:7" x14ac:dyDescent="0.3">
      <c r="A283" s="52"/>
      <c r="B283" s="70" t="s">
        <v>560</v>
      </c>
      <c r="C283" s="61">
        <v>180.83999999999997</v>
      </c>
      <c r="D283" s="61">
        <v>87.6</v>
      </c>
      <c r="E283" s="61">
        <v>318.61500000000001</v>
      </c>
      <c r="F283" s="61">
        <v>587.05499999999995</v>
      </c>
      <c r="G283" s="51"/>
    </row>
    <row r="284" spans="1:7" x14ac:dyDescent="0.3">
      <c r="A284" s="52"/>
      <c r="B284" s="59" t="s">
        <v>660</v>
      </c>
      <c r="C284" s="61">
        <v>366.42500000000001</v>
      </c>
      <c r="D284" s="61">
        <v>458.07499999999999</v>
      </c>
      <c r="E284" s="61">
        <v>560.92499999999995</v>
      </c>
      <c r="F284" s="61">
        <v>1385.425</v>
      </c>
      <c r="G284" s="51"/>
    </row>
    <row r="285" spans="1:7" x14ac:dyDescent="0.3">
      <c r="A285" s="52"/>
      <c r="B285" s="60" t="s">
        <v>661</v>
      </c>
      <c r="C285" s="61">
        <v>107.375</v>
      </c>
      <c r="D285" s="61">
        <v>173.32499999999999</v>
      </c>
      <c r="E285" s="61">
        <v>316.82499999999999</v>
      </c>
      <c r="F285" s="61">
        <v>597.52499999999998</v>
      </c>
      <c r="G285" s="51"/>
    </row>
    <row r="286" spans="1:7" x14ac:dyDescent="0.3">
      <c r="A286" s="52"/>
      <c r="B286" s="69" t="s">
        <v>474</v>
      </c>
      <c r="C286" s="61">
        <v>107.375</v>
      </c>
      <c r="D286" s="61">
        <v>173.32499999999999</v>
      </c>
      <c r="E286" s="61">
        <v>316.82499999999999</v>
      </c>
      <c r="F286" s="61">
        <v>597.52499999999998</v>
      </c>
      <c r="G286" s="51"/>
    </row>
    <row r="287" spans="1:7" x14ac:dyDescent="0.3">
      <c r="A287" s="52"/>
      <c r="B287" s="70" t="s">
        <v>560</v>
      </c>
      <c r="C287" s="61">
        <v>107.375</v>
      </c>
      <c r="D287" s="61">
        <v>173.32499999999999</v>
      </c>
      <c r="E287" s="61">
        <v>316.82499999999999</v>
      </c>
      <c r="F287" s="61">
        <v>597.52499999999998</v>
      </c>
      <c r="G287" s="51"/>
    </row>
    <row r="288" spans="1:7" x14ac:dyDescent="0.3">
      <c r="A288" s="52"/>
      <c r="B288" s="60" t="s">
        <v>687</v>
      </c>
      <c r="C288" s="61">
        <v>259.05</v>
      </c>
      <c r="D288" s="61">
        <v>284.75</v>
      </c>
      <c r="E288" s="61">
        <v>244.1</v>
      </c>
      <c r="F288" s="61">
        <v>787.9</v>
      </c>
      <c r="G288" s="51"/>
    </row>
    <row r="289" spans="1:7" x14ac:dyDescent="0.3">
      <c r="A289" s="52"/>
      <c r="B289" s="69" t="s">
        <v>534</v>
      </c>
      <c r="C289" s="61">
        <v>259.05</v>
      </c>
      <c r="D289" s="61">
        <v>284.75</v>
      </c>
      <c r="E289" s="61">
        <v>244.1</v>
      </c>
      <c r="F289" s="61">
        <v>787.9</v>
      </c>
      <c r="G289" s="51"/>
    </row>
    <row r="290" spans="1:7" x14ac:dyDescent="0.3">
      <c r="A290" s="52"/>
      <c r="B290" s="70" t="s">
        <v>560</v>
      </c>
      <c r="C290" s="61">
        <v>259.05</v>
      </c>
      <c r="D290" s="61">
        <v>284.75</v>
      </c>
      <c r="E290" s="61">
        <v>244.1</v>
      </c>
      <c r="F290" s="61">
        <v>787.9</v>
      </c>
      <c r="G290" s="51"/>
    </row>
    <row r="291" spans="1:7" x14ac:dyDescent="0.3">
      <c r="A291" s="52"/>
      <c r="B291" s="59" t="s">
        <v>596</v>
      </c>
      <c r="C291" s="61">
        <v>329.435</v>
      </c>
      <c r="D291" s="61">
        <v>486.05500000000001</v>
      </c>
      <c r="E291" s="61">
        <v>538.30499999999995</v>
      </c>
      <c r="F291" s="61">
        <v>1353.7950000000001</v>
      </c>
      <c r="G291" s="51"/>
    </row>
    <row r="292" spans="1:7" x14ac:dyDescent="0.3">
      <c r="A292" s="52"/>
      <c r="B292" s="60" t="s">
        <v>576</v>
      </c>
      <c r="C292" s="61">
        <v>329.435</v>
      </c>
      <c r="D292" s="61">
        <v>486.05500000000001</v>
      </c>
      <c r="E292" s="61">
        <v>538.30499999999995</v>
      </c>
      <c r="F292" s="61">
        <v>1353.7950000000001</v>
      </c>
      <c r="G292" s="51"/>
    </row>
    <row r="293" spans="1:7" x14ac:dyDescent="0.3">
      <c r="A293" s="52"/>
      <c r="B293" s="69" t="s">
        <v>595</v>
      </c>
      <c r="C293" s="61">
        <v>156.80000000000001</v>
      </c>
      <c r="D293" s="61">
        <v>284.68</v>
      </c>
      <c r="E293" s="61">
        <v>276.45</v>
      </c>
      <c r="F293" s="61">
        <v>717.93000000000006</v>
      </c>
      <c r="G293" s="51"/>
    </row>
    <row r="294" spans="1:7" x14ac:dyDescent="0.3">
      <c r="A294" s="52"/>
      <c r="B294" s="70" t="s">
        <v>560</v>
      </c>
      <c r="C294" s="61">
        <v>156.80000000000001</v>
      </c>
      <c r="D294" s="61">
        <v>284.68</v>
      </c>
      <c r="E294" s="61">
        <v>276.45</v>
      </c>
      <c r="F294" s="61">
        <v>717.93000000000006</v>
      </c>
      <c r="G294" s="51"/>
    </row>
    <row r="295" spans="1:7" x14ac:dyDescent="0.3">
      <c r="A295" s="52"/>
      <c r="B295" s="69" t="s">
        <v>429</v>
      </c>
      <c r="C295" s="61">
        <v>108.21</v>
      </c>
      <c r="D295" s="61">
        <v>97.38000000000001</v>
      </c>
      <c r="E295" s="61">
        <v>71.759999999999991</v>
      </c>
      <c r="F295" s="61">
        <v>277.35000000000002</v>
      </c>
      <c r="G295" s="51"/>
    </row>
    <row r="296" spans="1:7" x14ac:dyDescent="0.3">
      <c r="A296" s="52"/>
      <c r="B296" s="70" t="s">
        <v>560</v>
      </c>
      <c r="C296" s="61">
        <v>108.21</v>
      </c>
      <c r="D296" s="61">
        <v>97.38000000000001</v>
      </c>
      <c r="E296" s="61">
        <v>71.759999999999991</v>
      </c>
      <c r="F296" s="61">
        <v>277.35000000000002</v>
      </c>
      <c r="G296" s="51"/>
    </row>
    <row r="297" spans="1:7" x14ac:dyDescent="0.3">
      <c r="A297" s="52"/>
      <c r="B297" s="69" t="s">
        <v>474</v>
      </c>
      <c r="C297" s="61">
        <v>64.424999999999997</v>
      </c>
      <c r="D297" s="61">
        <v>103.995</v>
      </c>
      <c r="E297" s="61">
        <v>190.095</v>
      </c>
      <c r="F297" s="61">
        <v>358.51499999999999</v>
      </c>
      <c r="G297" s="51"/>
    </row>
    <row r="298" spans="1:7" x14ac:dyDescent="0.3">
      <c r="A298" s="52"/>
      <c r="B298" s="70" t="s">
        <v>560</v>
      </c>
      <c r="C298" s="61">
        <v>64.424999999999997</v>
      </c>
      <c r="D298" s="61">
        <v>103.995</v>
      </c>
      <c r="E298" s="61">
        <v>190.095</v>
      </c>
      <c r="F298" s="61">
        <v>358.51499999999999</v>
      </c>
      <c r="G298" s="51"/>
    </row>
    <row r="299" spans="1:7" x14ac:dyDescent="0.3">
      <c r="A299" s="52"/>
      <c r="B299" s="59" t="s">
        <v>682</v>
      </c>
      <c r="C299" s="61">
        <v>460.69499999999999</v>
      </c>
      <c r="D299" s="61">
        <v>365.78999999999996</v>
      </c>
      <c r="E299" s="61">
        <v>367.48499999999996</v>
      </c>
      <c r="F299" s="61">
        <v>1193.9699999999998</v>
      </c>
      <c r="G299" s="51"/>
    </row>
    <row r="300" spans="1:7" x14ac:dyDescent="0.3">
      <c r="A300" s="52"/>
      <c r="B300" s="60" t="s">
        <v>576</v>
      </c>
      <c r="C300" s="61">
        <v>460.69499999999999</v>
      </c>
      <c r="D300" s="61">
        <v>365.78999999999996</v>
      </c>
      <c r="E300" s="61">
        <v>367.48499999999996</v>
      </c>
      <c r="F300" s="61">
        <v>1193.9699999999998</v>
      </c>
      <c r="G300" s="51"/>
    </row>
    <row r="301" spans="1:7" x14ac:dyDescent="0.3">
      <c r="A301" s="52"/>
      <c r="B301" s="69" t="s">
        <v>675</v>
      </c>
      <c r="C301" s="61">
        <v>460.69499999999999</v>
      </c>
      <c r="D301" s="61">
        <v>365.78999999999996</v>
      </c>
      <c r="E301" s="61">
        <v>367.48499999999996</v>
      </c>
      <c r="F301" s="61">
        <v>1193.9699999999998</v>
      </c>
      <c r="G301" s="51"/>
    </row>
    <row r="302" spans="1:7" x14ac:dyDescent="0.3">
      <c r="A302" s="52"/>
      <c r="B302" s="70" t="s">
        <v>560</v>
      </c>
      <c r="C302" s="61">
        <v>460.69499999999999</v>
      </c>
      <c r="D302" s="61">
        <v>365.78999999999996</v>
      </c>
      <c r="E302" s="61">
        <v>367.48499999999996</v>
      </c>
      <c r="F302" s="61">
        <v>1193.9699999999998</v>
      </c>
      <c r="G302" s="51"/>
    </row>
    <row r="303" spans="1:7" x14ac:dyDescent="0.3">
      <c r="A303" s="52"/>
      <c r="B303" s="59" t="s">
        <v>613</v>
      </c>
      <c r="C303" s="61">
        <v>180.35</v>
      </c>
      <c r="D303" s="61">
        <v>162.30000000000001</v>
      </c>
      <c r="E303" s="61">
        <v>493.92900000000003</v>
      </c>
      <c r="F303" s="61">
        <v>836.57900000000006</v>
      </c>
      <c r="G303" s="51"/>
    </row>
    <row r="304" spans="1:7" x14ac:dyDescent="0.3">
      <c r="A304" s="52"/>
      <c r="B304" s="60" t="s">
        <v>576</v>
      </c>
      <c r="C304" s="61">
        <v>180.35</v>
      </c>
      <c r="D304" s="61">
        <v>162.30000000000001</v>
      </c>
      <c r="E304" s="61">
        <v>163.41800000000001</v>
      </c>
      <c r="F304" s="61">
        <v>506.06799999999998</v>
      </c>
      <c r="G304" s="51"/>
    </row>
    <row r="305" spans="1:7" x14ac:dyDescent="0.3">
      <c r="A305" s="52"/>
      <c r="B305" s="69" t="s">
        <v>429</v>
      </c>
      <c r="C305" s="61">
        <v>180.35</v>
      </c>
      <c r="D305" s="61">
        <v>162.30000000000001</v>
      </c>
      <c r="E305" s="61">
        <v>119.6</v>
      </c>
      <c r="F305" s="61">
        <v>462.25</v>
      </c>
      <c r="G305" s="51"/>
    </row>
    <row r="306" spans="1:7" x14ac:dyDescent="0.3">
      <c r="A306" s="52"/>
      <c r="B306" s="70" t="s">
        <v>560</v>
      </c>
      <c r="C306" s="61">
        <v>180.35</v>
      </c>
      <c r="D306" s="61">
        <v>162.30000000000001</v>
      </c>
      <c r="E306" s="61">
        <v>119.6</v>
      </c>
      <c r="F306" s="61">
        <v>462.25</v>
      </c>
      <c r="G306" s="51"/>
    </row>
    <row r="307" spans="1:7" x14ac:dyDescent="0.3">
      <c r="A307" s="52"/>
      <c r="B307" s="69" t="s">
        <v>698</v>
      </c>
      <c r="C307" s="61"/>
      <c r="D307" s="61"/>
      <c r="E307" s="61">
        <v>43.818000000000005</v>
      </c>
      <c r="F307" s="61">
        <v>43.818000000000005</v>
      </c>
      <c r="G307" s="51"/>
    </row>
    <row r="308" spans="1:7" x14ac:dyDescent="0.3">
      <c r="A308" s="52"/>
      <c r="B308" s="70" t="s">
        <v>691</v>
      </c>
      <c r="C308" s="61"/>
      <c r="D308" s="61"/>
      <c r="E308" s="61">
        <v>43.818000000000005</v>
      </c>
      <c r="F308" s="61">
        <v>43.818000000000005</v>
      </c>
      <c r="G308" s="51"/>
    </row>
    <row r="309" spans="1:7" x14ac:dyDescent="0.3">
      <c r="A309" s="52"/>
      <c r="B309" s="60" t="s">
        <v>694</v>
      </c>
      <c r="C309" s="61"/>
      <c r="D309" s="61"/>
      <c r="E309" s="61">
        <v>220.29600000000002</v>
      </c>
      <c r="F309" s="61">
        <v>220.29600000000002</v>
      </c>
      <c r="G309" s="51"/>
    </row>
    <row r="310" spans="1:7" x14ac:dyDescent="0.3">
      <c r="A310" s="52"/>
      <c r="B310" s="69" t="s">
        <v>690</v>
      </c>
      <c r="C310" s="61"/>
      <c r="D310" s="61"/>
      <c r="E310" s="61">
        <v>220.29600000000002</v>
      </c>
      <c r="F310" s="61">
        <v>220.29600000000002</v>
      </c>
      <c r="G310" s="51"/>
    </row>
    <row r="311" spans="1:7" x14ac:dyDescent="0.3">
      <c r="A311" s="52"/>
      <c r="B311" s="70" t="s">
        <v>691</v>
      </c>
      <c r="C311" s="61"/>
      <c r="D311" s="61"/>
      <c r="E311" s="61">
        <v>220.29600000000002</v>
      </c>
      <c r="F311" s="61">
        <v>220.29600000000002</v>
      </c>
      <c r="G311" s="51"/>
    </row>
    <row r="312" spans="1:7" x14ac:dyDescent="0.3">
      <c r="A312" s="52"/>
      <c r="B312" s="60" t="s">
        <v>712</v>
      </c>
      <c r="C312" s="61"/>
      <c r="D312" s="61"/>
      <c r="E312" s="61">
        <v>110.215</v>
      </c>
      <c r="F312" s="61">
        <v>110.215</v>
      </c>
      <c r="G312" s="51"/>
    </row>
    <row r="313" spans="1:7" x14ac:dyDescent="0.3">
      <c r="A313" s="52"/>
      <c r="B313" s="69" t="s">
        <v>706</v>
      </c>
      <c r="C313" s="61"/>
      <c r="D313" s="61"/>
      <c r="E313" s="61">
        <v>36.933749999999996</v>
      </c>
      <c r="F313" s="61">
        <v>36.933749999999996</v>
      </c>
      <c r="G313" s="51"/>
    </row>
    <row r="314" spans="1:7" x14ac:dyDescent="0.3">
      <c r="A314" s="52"/>
      <c r="B314" s="70" t="s">
        <v>691</v>
      </c>
      <c r="C314" s="61"/>
      <c r="D314" s="61"/>
      <c r="E314" s="61">
        <v>36.933749999999996</v>
      </c>
      <c r="F314" s="61">
        <v>36.933749999999996</v>
      </c>
      <c r="G314" s="51"/>
    </row>
    <row r="315" spans="1:7" x14ac:dyDescent="0.3">
      <c r="A315" s="52"/>
      <c r="B315" s="69" t="s">
        <v>714</v>
      </c>
      <c r="C315" s="61"/>
      <c r="D315" s="61"/>
      <c r="E315" s="61">
        <v>57.100749999999998</v>
      </c>
      <c r="F315" s="61">
        <v>57.100749999999998</v>
      </c>
      <c r="G315" s="51"/>
    </row>
    <row r="316" spans="1:7" x14ac:dyDescent="0.3">
      <c r="A316" s="52"/>
      <c r="B316" s="70" t="s">
        <v>691</v>
      </c>
      <c r="C316" s="61"/>
      <c r="D316" s="61"/>
      <c r="E316" s="61">
        <v>57.100749999999998</v>
      </c>
      <c r="F316" s="61">
        <v>57.100749999999998</v>
      </c>
      <c r="G316" s="51"/>
    </row>
    <row r="317" spans="1:7" x14ac:dyDescent="0.3">
      <c r="A317" s="52"/>
      <c r="B317" s="69" t="s">
        <v>715</v>
      </c>
      <c r="C317" s="61"/>
      <c r="D317" s="61"/>
      <c r="E317" s="61">
        <v>16.180500000000002</v>
      </c>
      <c r="F317" s="61">
        <v>16.180500000000002</v>
      </c>
      <c r="G317" s="51"/>
    </row>
    <row r="318" spans="1:7" x14ac:dyDescent="0.3">
      <c r="A318" s="52"/>
      <c r="B318" s="70" t="s">
        <v>691</v>
      </c>
      <c r="C318" s="61"/>
      <c r="D318" s="61"/>
      <c r="E318" s="61">
        <v>16.180500000000002</v>
      </c>
      <c r="F318" s="61">
        <v>16.180500000000002</v>
      </c>
      <c r="G318" s="51"/>
    </row>
    <row r="319" spans="1:7" x14ac:dyDescent="0.3">
      <c r="A319" s="52"/>
      <c r="B319" s="59" t="s">
        <v>680</v>
      </c>
      <c r="C319" s="61">
        <v>307.13</v>
      </c>
      <c r="D319" s="61">
        <v>243.86</v>
      </c>
      <c r="E319" s="61">
        <v>244.99</v>
      </c>
      <c r="F319" s="61">
        <v>795.98</v>
      </c>
      <c r="G319" s="51"/>
    </row>
    <row r="320" spans="1:7" x14ac:dyDescent="0.3">
      <c r="A320" s="52"/>
      <c r="B320" s="60" t="s">
        <v>576</v>
      </c>
      <c r="C320" s="61">
        <v>307.13</v>
      </c>
      <c r="D320" s="61">
        <v>243.86</v>
      </c>
      <c r="E320" s="61">
        <v>244.99</v>
      </c>
      <c r="F320" s="61">
        <v>795.98</v>
      </c>
      <c r="G320" s="51"/>
    </row>
    <row r="321" spans="1:7" x14ac:dyDescent="0.3">
      <c r="A321" s="52"/>
      <c r="B321" s="69" t="s">
        <v>675</v>
      </c>
      <c r="C321" s="61">
        <v>307.13</v>
      </c>
      <c r="D321" s="61">
        <v>243.86</v>
      </c>
      <c r="E321" s="61">
        <v>244.99</v>
      </c>
      <c r="F321" s="61">
        <v>795.98</v>
      </c>
      <c r="G321" s="51"/>
    </row>
    <row r="322" spans="1:7" x14ac:dyDescent="0.3">
      <c r="A322" s="52"/>
      <c r="B322" s="70" t="s">
        <v>560</v>
      </c>
      <c r="C322" s="61">
        <v>307.13</v>
      </c>
      <c r="D322" s="61">
        <v>243.86</v>
      </c>
      <c r="E322" s="61">
        <v>244.99</v>
      </c>
      <c r="F322" s="61">
        <v>795.98</v>
      </c>
      <c r="G322" s="51"/>
    </row>
    <row r="323" spans="1:7" x14ac:dyDescent="0.3">
      <c r="A323" s="52"/>
      <c r="B323" s="59" t="s">
        <v>697</v>
      </c>
      <c r="C323" s="61"/>
      <c r="D323" s="61"/>
      <c r="E323" s="61">
        <v>663.30000000000007</v>
      </c>
      <c r="F323" s="61">
        <v>663.30000000000007</v>
      </c>
      <c r="G323" s="51"/>
    </row>
    <row r="324" spans="1:7" x14ac:dyDescent="0.3">
      <c r="A324" s="52"/>
      <c r="B324" s="60" t="s">
        <v>576</v>
      </c>
      <c r="C324" s="61"/>
      <c r="D324" s="61"/>
      <c r="E324" s="61">
        <v>275.50400000000002</v>
      </c>
      <c r="F324" s="61">
        <v>275.50400000000002</v>
      </c>
      <c r="G324" s="51"/>
    </row>
    <row r="325" spans="1:7" x14ac:dyDescent="0.3">
      <c r="A325" s="52"/>
      <c r="B325" s="69" t="s">
        <v>696</v>
      </c>
      <c r="C325" s="61"/>
      <c r="D325" s="61"/>
      <c r="E325" s="61">
        <v>161.87200000000001</v>
      </c>
      <c r="F325" s="61">
        <v>161.87200000000001</v>
      </c>
      <c r="G325" s="51"/>
    </row>
    <row r="326" spans="1:7" x14ac:dyDescent="0.3">
      <c r="A326" s="52"/>
      <c r="B326" s="70" t="s">
        <v>691</v>
      </c>
      <c r="C326" s="61"/>
      <c r="D326" s="61"/>
      <c r="E326" s="61">
        <v>161.87200000000001</v>
      </c>
      <c r="F326" s="61">
        <v>161.87200000000001</v>
      </c>
      <c r="G326" s="51"/>
    </row>
    <row r="327" spans="1:7" x14ac:dyDescent="0.3">
      <c r="A327" s="52"/>
      <c r="B327" s="69" t="s">
        <v>698</v>
      </c>
      <c r="C327" s="61"/>
      <c r="D327" s="61"/>
      <c r="E327" s="61">
        <v>87.63600000000001</v>
      </c>
      <c r="F327" s="61">
        <v>87.63600000000001</v>
      </c>
      <c r="G327" s="51"/>
    </row>
    <row r="328" spans="1:7" x14ac:dyDescent="0.3">
      <c r="A328" s="52"/>
      <c r="B328" s="70" t="s">
        <v>691</v>
      </c>
      <c r="C328" s="61"/>
      <c r="D328" s="61"/>
      <c r="E328" s="61">
        <v>87.63600000000001</v>
      </c>
      <c r="F328" s="61">
        <v>87.63600000000001</v>
      </c>
      <c r="G328" s="51"/>
    </row>
    <row r="329" spans="1:7" x14ac:dyDescent="0.3">
      <c r="A329" s="52"/>
      <c r="B329" s="69" t="s">
        <v>704</v>
      </c>
      <c r="C329" s="61"/>
      <c r="D329" s="61"/>
      <c r="E329" s="61">
        <v>25.996000000000006</v>
      </c>
      <c r="F329" s="61">
        <v>25.996000000000006</v>
      </c>
      <c r="G329" s="51"/>
    </row>
    <row r="330" spans="1:7" x14ac:dyDescent="0.3">
      <c r="A330" s="52"/>
      <c r="B330" s="70" t="s">
        <v>691</v>
      </c>
      <c r="C330" s="61"/>
      <c r="D330" s="61"/>
      <c r="E330" s="61">
        <v>25.996000000000006</v>
      </c>
      <c r="F330" s="61">
        <v>25.996000000000006</v>
      </c>
      <c r="G330" s="51"/>
    </row>
    <row r="331" spans="1:7" x14ac:dyDescent="0.3">
      <c r="A331" s="52"/>
      <c r="B331" s="60" t="s">
        <v>711</v>
      </c>
      <c r="C331" s="61"/>
      <c r="D331" s="61"/>
      <c r="E331" s="61">
        <v>387.79600000000005</v>
      </c>
      <c r="F331" s="61">
        <v>387.79600000000005</v>
      </c>
      <c r="G331" s="51"/>
    </row>
    <row r="332" spans="1:7" x14ac:dyDescent="0.3">
      <c r="A332" s="52"/>
      <c r="B332" s="69" t="s">
        <v>269</v>
      </c>
      <c r="C332" s="61"/>
      <c r="D332" s="61"/>
      <c r="E332" s="61">
        <v>77.384999999999991</v>
      </c>
      <c r="F332" s="61">
        <v>77.384999999999991</v>
      </c>
      <c r="G332" s="51"/>
    </row>
    <row r="333" spans="1:7" x14ac:dyDescent="0.3">
      <c r="A333" s="52"/>
      <c r="B333" s="70" t="s">
        <v>691</v>
      </c>
      <c r="C333" s="61"/>
      <c r="D333" s="61"/>
      <c r="E333" s="61">
        <v>77.384999999999991</v>
      </c>
      <c r="F333" s="61">
        <v>77.384999999999991</v>
      </c>
      <c r="G333" s="51"/>
    </row>
    <row r="334" spans="1:7" x14ac:dyDescent="0.3">
      <c r="A334" s="52"/>
      <c r="B334" s="69" t="s">
        <v>706</v>
      </c>
      <c r="C334" s="61"/>
      <c r="D334" s="61"/>
      <c r="E334" s="61">
        <v>79.143750000000011</v>
      </c>
      <c r="F334" s="61">
        <v>79.143750000000011</v>
      </c>
      <c r="G334" s="51"/>
    </row>
    <row r="335" spans="1:7" x14ac:dyDescent="0.3">
      <c r="A335" s="52"/>
      <c r="B335" s="70" t="s">
        <v>691</v>
      </c>
      <c r="C335" s="61"/>
      <c r="D335" s="61"/>
      <c r="E335" s="61">
        <v>79.143750000000011</v>
      </c>
      <c r="F335" s="61">
        <v>79.143750000000011</v>
      </c>
      <c r="G335" s="51"/>
    </row>
    <row r="336" spans="1:7" x14ac:dyDescent="0.3">
      <c r="A336" s="52"/>
      <c r="B336" s="69" t="s">
        <v>714</v>
      </c>
      <c r="C336" s="61"/>
      <c r="D336" s="61"/>
      <c r="E336" s="61">
        <v>122.35875000000001</v>
      </c>
      <c r="F336" s="61">
        <v>122.35875000000001</v>
      </c>
      <c r="G336" s="51"/>
    </row>
    <row r="337" spans="1:7" x14ac:dyDescent="0.3">
      <c r="A337" s="52"/>
      <c r="B337" s="70" t="s">
        <v>691</v>
      </c>
      <c r="C337" s="61"/>
      <c r="D337" s="61"/>
      <c r="E337" s="61">
        <v>122.35875000000001</v>
      </c>
      <c r="F337" s="61">
        <v>122.35875000000001</v>
      </c>
      <c r="G337" s="51"/>
    </row>
    <row r="338" spans="1:7" x14ac:dyDescent="0.3">
      <c r="A338" s="52"/>
      <c r="B338" s="69" t="s">
        <v>715</v>
      </c>
      <c r="C338" s="61"/>
      <c r="D338" s="61"/>
      <c r="E338" s="61">
        <v>34.672499999999999</v>
      </c>
      <c r="F338" s="61">
        <v>34.672499999999999</v>
      </c>
      <c r="G338" s="51"/>
    </row>
    <row r="339" spans="1:7" x14ac:dyDescent="0.3">
      <c r="A339" s="52"/>
      <c r="B339" s="70" t="s">
        <v>691</v>
      </c>
      <c r="C339" s="61"/>
      <c r="D339" s="61"/>
      <c r="E339" s="61">
        <v>34.672499999999999</v>
      </c>
      <c r="F339" s="61">
        <v>34.672499999999999</v>
      </c>
      <c r="G339" s="51"/>
    </row>
    <row r="340" spans="1:7" x14ac:dyDescent="0.3">
      <c r="A340" s="52"/>
      <c r="B340" s="69" t="s">
        <v>719</v>
      </c>
      <c r="C340" s="61"/>
      <c r="D340" s="61"/>
      <c r="E340" s="61">
        <v>74.236000000000004</v>
      </c>
      <c r="F340" s="61">
        <v>74.236000000000004</v>
      </c>
      <c r="G340" s="51"/>
    </row>
    <row r="341" spans="1:7" x14ac:dyDescent="0.3">
      <c r="A341" s="52"/>
      <c r="B341" s="70" t="s">
        <v>691</v>
      </c>
      <c r="C341" s="61"/>
      <c r="D341" s="61"/>
      <c r="E341" s="61">
        <v>74.236000000000004</v>
      </c>
      <c r="F341" s="61">
        <v>74.236000000000004</v>
      </c>
      <c r="G341" s="51"/>
    </row>
    <row r="342" spans="1:7" x14ac:dyDescent="0.3">
      <c r="A342" s="52"/>
      <c r="B342" s="59" t="s">
        <v>681</v>
      </c>
      <c r="C342" s="61">
        <v>153.565</v>
      </c>
      <c r="D342" s="61">
        <v>121.93</v>
      </c>
      <c r="E342" s="61">
        <v>122.495</v>
      </c>
      <c r="F342" s="61">
        <v>397.99</v>
      </c>
      <c r="G342" s="51"/>
    </row>
    <row r="343" spans="1:7" x14ac:dyDescent="0.3">
      <c r="A343" s="52"/>
      <c r="B343" s="60" t="s">
        <v>576</v>
      </c>
      <c r="C343" s="61">
        <v>153.565</v>
      </c>
      <c r="D343" s="61">
        <v>121.93</v>
      </c>
      <c r="E343" s="61">
        <v>122.495</v>
      </c>
      <c r="F343" s="61">
        <v>397.99</v>
      </c>
      <c r="G343" s="51"/>
    </row>
    <row r="344" spans="1:7" x14ac:dyDescent="0.3">
      <c r="A344" s="52"/>
      <c r="B344" s="69" t="s">
        <v>675</v>
      </c>
      <c r="C344" s="61">
        <v>153.565</v>
      </c>
      <c r="D344" s="61">
        <v>121.93</v>
      </c>
      <c r="E344" s="61">
        <v>122.495</v>
      </c>
      <c r="F344" s="61">
        <v>397.99</v>
      </c>
      <c r="G344" s="51"/>
    </row>
    <row r="345" spans="1:7" x14ac:dyDescent="0.3">
      <c r="A345" s="52"/>
      <c r="B345" s="70" t="s">
        <v>560</v>
      </c>
      <c r="C345" s="61">
        <v>153.565</v>
      </c>
      <c r="D345" s="61">
        <v>121.93</v>
      </c>
      <c r="E345" s="61">
        <v>122.495</v>
      </c>
      <c r="F345" s="61">
        <v>397.99</v>
      </c>
      <c r="G345" s="51"/>
    </row>
    <row r="346" spans="1:7" x14ac:dyDescent="0.3">
      <c r="A346" s="52"/>
      <c r="B346" s="59" t="s">
        <v>707</v>
      </c>
      <c r="C346" s="61"/>
      <c r="D346" s="61"/>
      <c r="E346" s="61">
        <v>330.64500000000004</v>
      </c>
      <c r="F346" s="61">
        <v>330.64500000000004</v>
      </c>
      <c r="G346" s="51"/>
    </row>
    <row r="347" spans="1:7" x14ac:dyDescent="0.3">
      <c r="A347" s="52"/>
      <c r="B347" s="60" t="s">
        <v>710</v>
      </c>
      <c r="C347" s="61"/>
      <c r="D347" s="61"/>
      <c r="E347" s="61">
        <v>282.10350000000005</v>
      </c>
      <c r="F347" s="61">
        <v>282.10350000000005</v>
      </c>
      <c r="G347" s="51"/>
    </row>
    <row r="348" spans="1:7" x14ac:dyDescent="0.3">
      <c r="A348" s="52"/>
      <c r="B348" s="69" t="s">
        <v>706</v>
      </c>
      <c r="C348" s="61"/>
      <c r="D348" s="61"/>
      <c r="E348" s="61">
        <v>110.80125000000001</v>
      </c>
      <c r="F348" s="61">
        <v>110.80125000000001</v>
      </c>
      <c r="G348" s="51"/>
    </row>
    <row r="349" spans="1:7" x14ac:dyDescent="0.3">
      <c r="A349" s="52"/>
      <c r="B349" s="70" t="s">
        <v>691</v>
      </c>
      <c r="C349" s="61"/>
      <c r="D349" s="61"/>
      <c r="E349" s="61">
        <v>110.80125000000001</v>
      </c>
      <c r="F349" s="61">
        <v>110.80125000000001</v>
      </c>
      <c r="G349" s="51"/>
    </row>
    <row r="350" spans="1:7" x14ac:dyDescent="0.3">
      <c r="A350" s="52"/>
      <c r="B350" s="69" t="s">
        <v>714</v>
      </c>
      <c r="C350" s="61"/>
      <c r="D350" s="61"/>
      <c r="E350" s="61">
        <v>171.30225000000002</v>
      </c>
      <c r="F350" s="61">
        <v>171.30225000000002</v>
      </c>
      <c r="G350" s="51"/>
    </row>
    <row r="351" spans="1:7" x14ac:dyDescent="0.3">
      <c r="A351" s="52"/>
      <c r="B351" s="70" t="s">
        <v>691</v>
      </c>
      <c r="C351" s="61"/>
      <c r="D351" s="61"/>
      <c r="E351" s="61">
        <v>171.30225000000002</v>
      </c>
      <c r="F351" s="61">
        <v>171.30225000000002</v>
      </c>
      <c r="G351" s="51"/>
    </row>
    <row r="352" spans="1:7" x14ac:dyDescent="0.3">
      <c r="A352" s="52"/>
      <c r="B352" s="60" t="s">
        <v>716</v>
      </c>
      <c r="C352" s="61"/>
      <c r="D352" s="61"/>
      <c r="E352" s="61">
        <v>48.541500000000006</v>
      </c>
      <c r="F352" s="61">
        <v>48.541500000000006</v>
      </c>
      <c r="G352" s="51"/>
    </row>
    <row r="353" spans="1:7" x14ac:dyDescent="0.3">
      <c r="A353" s="52"/>
      <c r="B353" s="69" t="s">
        <v>715</v>
      </c>
      <c r="C353" s="61"/>
      <c r="D353" s="61"/>
      <c r="E353" s="61">
        <v>48.541500000000006</v>
      </c>
      <c r="F353" s="61">
        <v>48.541500000000006</v>
      </c>
      <c r="G353" s="51"/>
    </row>
    <row r="354" spans="1:7" x14ac:dyDescent="0.3">
      <c r="A354" s="52"/>
      <c r="B354" s="70" t="s">
        <v>691</v>
      </c>
      <c r="C354" s="61"/>
      <c r="D354" s="61"/>
      <c r="E354" s="61">
        <v>48.541500000000006</v>
      </c>
      <c r="F354" s="61">
        <v>48.541500000000006</v>
      </c>
      <c r="G354" s="51"/>
    </row>
    <row r="355" spans="1:7" x14ac:dyDescent="0.3">
      <c r="A355" s="52"/>
      <c r="B355" s="59" t="s">
        <v>686</v>
      </c>
      <c r="C355" s="61">
        <v>103.62</v>
      </c>
      <c r="D355" s="61">
        <v>113.9</v>
      </c>
      <c r="E355" s="61">
        <v>97.640000000000015</v>
      </c>
      <c r="F355" s="61">
        <v>315.16000000000003</v>
      </c>
      <c r="G355" s="51"/>
    </row>
    <row r="356" spans="1:7" x14ac:dyDescent="0.3">
      <c r="A356" s="52"/>
      <c r="B356" s="60" t="s">
        <v>576</v>
      </c>
      <c r="C356" s="61">
        <v>103.62</v>
      </c>
      <c r="D356" s="61">
        <v>113.9</v>
      </c>
      <c r="E356" s="61">
        <v>97.640000000000015</v>
      </c>
      <c r="F356" s="61">
        <v>315.16000000000003</v>
      </c>
      <c r="G356" s="51"/>
    </row>
    <row r="357" spans="1:7" x14ac:dyDescent="0.3">
      <c r="A357" s="52"/>
      <c r="B357" s="69" t="s">
        <v>534</v>
      </c>
      <c r="C357" s="61">
        <v>103.62</v>
      </c>
      <c r="D357" s="61">
        <v>113.9</v>
      </c>
      <c r="E357" s="61">
        <v>97.640000000000015</v>
      </c>
      <c r="F357" s="61">
        <v>315.16000000000003</v>
      </c>
      <c r="G357" s="51"/>
    </row>
    <row r="358" spans="1:7" x14ac:dyDescent="0.3">
      <c r="A358" s="52"/>
      <c r="B358" s="70" t="s">
        <v>560</v>
      </c>
      <c r="C358" s="61">
        <v>103.62</v>
      </c>
      <c r="D358" s="61">
        <v>113.9</v>
      </c>
      <c r="E358" s="61">
        <v>97.640000000000015</v>
      </c>
      <c r="F358" s="61">
        <v>315.16000000000003</v>
      </c>
      <c r="G358" s="51"/>
    </row>
    <row r="359" spans="1:7" x14ac:dyDescent="0.3">
      <c r="A359" s="52"/>
      <c r="B359" s="59" t="s">
        <v>586</v>
      </c>
      <c r="C359" s="61">
        <v>91.636599999999987</v>
      </c>
      <c r="D359" s="61">
        <v>60.3474</v>
      </c>
      <c r="E359" s="61">
        <v>42.182000000000002</v>
      </c>
      <c r="F359" s="61">
        <v>194.166</v>
      </c>
      <c r="G359" s="51"/>
    </row>
    <row r="360" spans="1:7" x14ac:dyDescent="0.3">
      <c r="A360" s="52"/>
      <c r="B360" s="60" t="s">
        <v>587</v>
      </c>
      <c r="C360" s="61">
        <v>91.636599999999987</v>
      </c>
      <c r="D360" s="61">
        <v>60.3474</v>
      </c>
      <c r="E360" s="61">
        <v>42.182000000000002</v>
      </c>
      <c r="F360" s="61">
        <v>194.166</v>
      </c>
      <c r="G360" s="51"/>
    </row>
    <row r="361" spans="1:7" x14ac:dyDescent="0.3">
      <c r="A361" s="52"/>
      <c r="B361" s="69" t="s">
        <v>581</v>
      </c>
      <c r="C361" s="61">
        <v>91.636599999999987</v>
      </c>
      <c r="D361" s="61">
        <v>60.3474</v>
      </c>
      <c r="E361" s="61">
        <v>42.182000000000002</v>
      </c>
      <c r="F361" s="61">
        <v>194.166</v>
      </c>
      <c r="G361" s="51"/>
    </row>
    <row r="362" spans="1:7" x14ac:dyDescent="0.3">
      <c r="A362" s="52"/>
      <c r="B362" s="70" t="s">
        <v>560</v>
      </c>
      <c r="C362" s="61">
        <v>91.636599999999987</v>
      </c>
      <c r="D362" s="61">
        <v>60.3474</v>
      </c>
      <c r="E362" s="61">
        <v>42.182000000000002</v>
      </c>
      <c r="F362" s="61">
        <v>194.166</v>
      </c>
      <c r="G362" s="51"/>
    </row>
    <row r="363" spans="1:7" x14ac:dyDescent="0.3">
      <c r="B363" s="59" t="s">
        <v>718</v>
      </c>
      <c r="C363" s="61"/>
      <c r="D363" s="61"/>
      <c r="E363" s="61">
        <v>181.83800000000002</v>
      </c>
      <c r="F363" s="61">
        <v>181.83800000000002</v>
      </c>
    </row>
    <row r="364" spans="1:7" x14ac:dyDescent="0.3">
      <c r="B364" s="60" t="s">
        <v>576</v>
      </c>
      <c r="C364" s="61"/>
      <c r="D364" s="61"/>
      <c r="E364" s="61">
        <v>181.83800000000002</v>
      </c>
      <c r="F364" s="61">
        <v>181.83800000000002</v>
      </c>
    </row>
    <row r="365" spans="1:7" x14ac:dyDescent="0.3">
      <c r="B365" s="69" t="s">
        <v>721</v>
      </c>
      <c r="C365" s="61"/>
      <c r="D365" s="61"/>
      <c r="E365" s="61">
        <v>181.83800000000002</v>
      </c>
      <c r="F365" s="61">
        <v>181.83800000000002</v>
      </c>
    </row>
    <row r="366" spans="1:7" x14ac:dyDescent="0.3">
      <c r="B366" s="70" t="s">
        <v>691</v>
      </c>
      <c r="C366" s="61"/>
      <c r="D366" s="61"/>
      <c r="E366" s="61">
        <v>181.83800000000002</v>
      </c>
      <c r="F366" s="61">
        <v>181.83800000000002</v>
      </c>
    </row>
    <row r="367" spans="1:7" x14ac:dyDescent="0.3">
      <c r="B367" s="59" t="s">
        <v>695</v>
      </c>
      <c r="C367" s="61"/>
      <c r="D367" s="61"/>
      <c r="E367" s="61">
        <v>110.14800000000001</v>
      </c>
      <c r="F367" s="61">
        <v>110.14800000000001</v>
      </c>
    </row>
    <row r="368" spans="1:7" x14ac:dyDescent="0.3">
      <c r="B368" s="60" t="s">
        <v>576</v>
      </c>
      <c r="C368" s="61"/>
      <c r="D368" s="61"/>
      <c r="E368" s="61">
        <v>110.14800000000001</v>
      </c>
      <c r="F368" s="61">
        <v>110.14800000000001</v>
      </c>
    </row>
    <row r="369" spans="2:6" x14ac:dyDescent="0.3">
      <c r="B369" s="69" t="s">
        <v>690</v>
      </c>
      <c r="C369" s="61"/>
      <c r="D369" s="61"/>
      <c r="E369" s="61">
        <v>110.14800000000001</v>
      </c>
      <c r="F369" s="61">
        <v>110.14800000000001</v>
      </c>
    </row>
    <row r="370" spans="2:6" x14ac:dyDescent="0.3">
      <c r="B370" s="70" t="s">
        <v>691</v>
      </c>
      <c r="C370" s="61"/>
      <c r="D370" s="61"/>
      <c r="E370" s="61">
        <v>110.14800000000001</v>
      </c>
      <c r="F370" s="61">
        <v>110.14800000000001</v>
      </c>
    </row>
    <row r="371" spans="2:6" x14ac:dyDescent="0.3">
      <c r="B371" s="59" t="s">
        <v>720</v>
      </c>
      <c r="C371" s="61"/>
      <c r="D371" s="61"/>
      <c r="E371" s="61">
        <v>62.913000000000004</v>
      </c>
      <c r="F371" s="61">
        <v>62.913000000000004</v>
      </c>
    </row>
    <row r="372" spans="2:6" x14ac:dyDescent="0.3">
      <c r="B372" s="60" t="s">
        <v>576</v>
      </c>
      <c r="C372" s="61"/>
      <c r="D372" s="61"/>
      <c r="E372" s="61">
        <v>62.913000000000004</v>
      </c>
      <c r="F372" s="61">
        <v>62.913000000000004</v>
      </c>
    </row>
    <row r="373" spans="2:6" x14ac:dyDescent="0.3">
      <c r="B373" s="69" t="s">
        <v>269</v>
      </c>
      <c r="C373" s="61"/>
      <c r="D373" s="61"/>
      <c r="E373" s="61">
        <v>25.795000000000002</v>
      </c>
      <c r="F373" s="61">
        <v>25.795000000000002</v>
      </c>
    </row>
    <row r="374" spans="2:6" x14ac:dyDescent="0.3">
      <c r="B374" s="70" t="s">
        <v>691</v>
      </c>
      <c r="C374" s="61"/>
      <c r="D374" s="61"/>
      <c r="E374" s="61">
        <v>25.795000000000002</v>
      </c>
      <c r="F374" s="61">
        <v>25.795000000000002</v>
      </c>
    </row>
    <row r="375" spans="2:6" x14ac:dyDescent="0.3">
      <c r="B375" s="69" t="s">
        <v>719</v>
      </c>
      <c r="C375" s="61"/>
      <c r="D375" s="61"/>
      <c r="E375" s="61">
        <v>37.118000000000002</v>
      </c>
      <c r="F375" s="61">
        <v>37.118000000000002</v>
      </c>
    </row>
    <row r="376" spans="2:6" x14ac:dyDescent="0.3">
      <c r="B376" s="70" t="s">
        <v>691</v>
      </c>
      <c r="C376" s="61"/>
      <c r="D376" s="61"/>
      <c r="E376" s="61">
        <v>37.118000000000002</v>
      </c>
      <c r="F376" s="61">
        <v>37.118000000000002</v>
      </c>
    </row>
    <row r="377" spans="2:6" x14ac:dyDescent="0.3">
      <c r="B377" s="59" t="s">
        <v>705</v>
      </c>
      <c r="C377" s="61"/>
      <c r="D377" s="61"/>
      <c r="E377" s="61">
        <v>25.996000000000006</v>
      </c>
      <c r="F377" s="61">
        <v>25.996000000000006</v>
      </c>
    </row>
    <row r="378" spans="2:6" x14ac:dyDescent="0.3">
      <c r="B378" s="60" t="s">
        <v>576</v>
      </c>
      <c r="C378" s="61"/>
      <c r="D378" s="61"/>
      <c r="E378" s="61">
        <v>25.996000000000006</v>
      </c>
      <c r="F378" s="61">
        <v>25.996000000000006</v>
      </c>
    </row>
    <row r="379" spans="2:6" x14ac:dyDescent="0.3">
      <c r="B379" s="69" t="s">
        <v>704</v>
      </c>
      <c r="C379" s="61"/>
      <c r="D379" s="61"/>
      <c r="E379" s="61">
        <v>25.996000000000006</v>
      </c>
      <c r="F379" s="61">
        <v>25.996000000000006</v>
      </c>
    </row>
    <row r="380" spans="2:6" x14ac:dyDescent="0.3">
      <c r="B380" s="70" t="s">
        <v>691</v>
      </c>
      <c r="C380" s="61"/>
      <c r="D380" s="61"/>
      <c r="E380" s="61">
        <v>25.996000000000006</v>
      </c>
      <c r="F380" s="61">
        <v>25.996000000000006</v>
      </c>
    </row>
    <row r="381" spans="2:6" x14ac:dyDescent="0.3">
      <c r="B381" s="59" t="s">
        <v>568</v>
      </c>
      <c r="C381" s="61">
        <v>104034.95000000007</v>
      </c>
      <c r="D381" s="61">
        <v>83143.27099999995</v>
      </c>
      <c r="E381" s="61">
        <v>120659.31300000005</v>
      </c>
      <c r="F381" s="61">
        <v>307837.53399999981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6EDFE-D5B4-4FEE-82EE-D202F100CC3A}">
  <dimension ref="B3:E18"/>
  <sheetViews>
    <sheetView workbookViewId="0">
      <selection activeCell="C19" sqref="C19"/>
    </sheetView>
  </sheetViews>
  <sheetFormatPr defaultRowHeight="14.4" customHeight="1" x14ac:dyDescent="0.3"/>
  <cols>
    <col min="1" max="1" width="8.88671875" style="46"/>
    <col min="2" max="2" width="17.88671875" style="46" bestFit="1" customWidth="1"/>
    <col min="3" max="3" width="68.88671875" style="46" bestFit="1" customWidth="1"/>
    <col min="4" max="4" width="37.88671875" style="46" bestFit="1" customWidth="1"/>
    <col min="5" max="5" width="40.77734375" style="46" bestFit="1" customWidth="1"/>
    <col min="6" max="16384" width="8.88671875" style="46"/>
  </cols>
  <sheetData>
    <row r="3" spans="2:5" ht="14.4" customHeight="1" x14ac:dyDescent="0.3">
      <c r="B3" s="63" t="s">
        <v>0</v>
      </c>
      <c r="C3" s="63" t="s">
        <v>618</v>
      </c>
      <c r="D3" s="63" t="s">
        <v>619</v>
      </c>
      <c r="E3" s="63" t="s">
        <v>557</v>
      </c>
    </row>
    <row r="4" spans="2:5" ht="14.4" customHeight="1" x14ac:dyDescent="0.3">
      <c r="B4" s="64" t="s">
        <v>325</v>
      </c>
      <c r="C4" s="65" t="s">
        <v>563</v>
      </c>
      <c r="D4" s="65" t="s">
        <v>620</v>
      </c>
      <c r="E4" s="65" t="s">
        <v>621</v>
      </c>
    </row>
    <row r="5" spans="2:5" ht="14.4" customHeight="1" x14ac:dyDescent="0.3">
      <c r="B5" s="65"/>
      <c r="C5" s="65" t="s">
        <v>23</v>
      </c>
      <c r="D5" s="65" t="s">
        <v>622</v>
      </c>
      <c r="E5" s="65" t="s">
        <v>623</v>
      </c>
    </row>
    <row r="6" spans="2:5" ht="14.4" customHeight="1" x14ac:dyDescent="0.3">
      <c r="B6" s="65"/>
      <c r="C6" s="65" t="s">
        <v>592</v>
      </c>
      <c r="D6" s="65" t="s">
        <v>624</v>
      </c>
      <c r="E6" s="65" t="s">
        <v>625</v>
      </c>
    </row>
    <row r="7" spans="2:5" ht="14.4" customHeight="1" x14ac:dyDescent="0.3">
      <c r="B7" s="64" t="s">
        <v>24</v>
      </c>
      <c r="C7" s="65" t="s">
        <v>626</v>
      </c>
      <c r="D7" s="65" t="s">
        <v>627</v>
      </c>
      <c r="E7" s="65" t="s">
        <v>628</v>
      </c>
    </row>
    <row r="8" spans="2:5" ht="14.4" customHeight="1" x14ac:dyDescent="0.3">
      <c r="B8" s="64" t="s">
        <v>29</v>
      </c>
      <c r="C8" s="65" t="s">
        <v>629</v>
      </c>
      <c r="D8" s="65" t="s">
        <v>553</v>
      </c>
      <c r="E8" s="65" t="s">
        <v>630</v>
      </c>
    </row>
    <row r="9" spans="2:5" ht="14.4" customHeight="1" x14ac:dyDescent="0.3">
      <c r="B9" s="64" t="s">
        <v>25</v>
      </c>
      <c r="C9" s="65" t="s">
        <v>631</v>
      </c>
      <c r="D9" s="65" t="s">
        <v>632</v>
      </c>
      <c r="E9" s="65" t="s">
        <v>633</v>
      </c>
    </row>
    <row r="10" spans="2:5" ht="14.4" customHeight="1" x14ac:dyDescent="0.3">
      <c r="B10" s="64" t="s">
        <v>70</v>
      </c>
      <c r="C10" s="65" t="s">
        <v>634</v>
      </c>
      <c r="D10" s="65" t="s">
        <v>577</v>
      </c>
      <c r="E10" s="65" t="s">
        <v>635</v>
      </c>
    </row>
    <row r="11" spans="2:5" ht="14.4" customHeight="1" x14ac:dyDescent="0.3">
      <c r="B11" s="64" t="s">
        <v>609</v>
      </c>
      <c r="C11" s="65" t="s">
        <v>636</v>
      </c>
      <c r="D11" s="65" t="s">
        <v>649</v>
      </c>
      <c r="E11" s="65" t="s">
        <v>637</v>
      </c>
    </row>
    <row r="12" spans="2:5" ht="14.4" customHeight="1" x14ac:dyDescent="0.3">
      <c r="B12" s="64" t="s">
        <v>638</v>
      </c>
      <c r="C12" s="65" t="s">
        <v>579</v>
      </c>
      <c r="D12" s="65" t="s">
        <v>639</v>
      </c>
      <c r="E12" s="65" t="s">
        <v>640</v>
      </c>
    </row>
    <row r="13" spans="2:5" ht="14.4" customHeight="1" x14ac:dyDescent="0.3">
      <c r="B13" s="64" t="s">
        <v>27</v>
      </c>
      <c r="C13" s="65" t="s">
        <v>641</v>
      </c>
      <c r="D13" s="65" t="s">
        <v>642</v>
      </c>
      <c r="E13" s="65" t="s">
        <v>643</v>
      </c>
    </row>
    <row r="14" spans="2:5" ht="14.4" customHeight="1" x14ac:dyDescent="0.3">
      <c r="B14" s="64" t="s">
        <v>31</v>
      </c>
      <c r="C14" s="65" t="s">
        <v>644</v>
      </c>
      <c r="D14" s="65" t="s">
        <v>587</v>
      </c>
      <c r="E14" s="65" t="s">
        <v>645</v>
      </c>
    </row>
    <row r="15" spans="2:5" ht="14.4" customHeight="1" x14ac:dyDescent="0.3">
      <c r="B15" s="64" t="s">
        <v>86</v>
      </c>
      <c r="C15" s="65" t="s">
        <v>646</v>
      </c>
      <c r="D15" s="65" t="s">
        <v>647</v>
      </c>
      <c r="E15" s="65" t="s">
        <v>648</v>
      </c>
    </row>
    <row r="18" spans="3:3" ht="14.4" customHeight="1" x14ac:dyDescent="0.3">
      <c r="C18" s="46" t="s">
        <v>703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C4F73-7B57-4A90-A291-23952F8520FC}">
  <dimension ref="B2:I15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2" sqref="D1:D1048576"/>
    </sheetView>
  </sheetViews>
  <sheetFormatPr defaultRowHeight="14.4" x14ac:dyDescent="0.3"/>
  <cols>
    <col min="1" max="16384" width="8.88671875" style="46"/>
  </cols>
  <sheetData>
    <row r="2" spans="2:9" x14ac:dyDescent="0.3">
      <c r="B2" s="50" t="s">
        <v>541</v>
      </c>
      <c r="C2" s="46" t="s">
        <v>176</v>
      </c>
      <c r="D2" s="46" t="s">
        <v>554</v>
      </c>
      <c r="E2" s="46" t="s">
        <v>0</v>
      </c>
      <c r="F2" s="46" t="s">
        <v>20</v>
      </c>
      <c r="G2" s="46" t="s">
        <v>555</v>
      </c>
      <c r="H2" s="46" t="s">
        <v>556</v>
      </c>
      <c r="I2" s="46" t="s">
        <v>557</v>
      </c>
    </row>
    <row r="3" spans="2:9" x14ac:dyDescent="0.3">
      <c r="B3" s="46" t="s">
        <v>485</v>
      </c>
      <c r="C3" s="46" t="s">
        <v>548</v>
      </c>
      <c r="E3" s="46" t="s">
        <v>325</v>
      </c>
      <c r="F3" s="46" t="s">
        <v>23</v>
      </c>
      <c r="G3" s="46" t="s">
        <v>551</v>
      </c>
      <c r="H3" s="46">
        <v>1</v>
      </c>
    </row>
    <row r="4" spans="2:9" x14ac:dyDescent="0.3">
      <c r="B4" s="46" t="s">
        <v>485</v>
      </c>
      <c r="C4" s="46" t="s">
        <v>548</v>
      </c>
      <c r="E4" s="46" t="s">
        <v>325</v>
      </c>
      <c r="F4" s="46" t="s">
        <v>23</v>
      </c>
      <c r="G4" s="46" t="s">
        <v>551</v>
      </c>
      <c r="H4" s="46">
        <v>1</v>
      </c>
    </row>
    <row r="5" spans="2:9" x14ac:dyDescent="0.3">
      <c r="B5" s="46" t="s">
        <v>485</v>
      </c>
      <c r="C5" s="46" t="s">
        <v>548</v>
      </c>
      <c r="E5" s="46" t="s">
        <v>325</v>
      </c>
      <c r="F5" s="46" t="s">
        <v>23</v>
      </c>
      <c r="G5" s="46" t="s">
        <v>551</v>
      </c>
      <c r="H5" s="46">
        <v>1</v>
      </c>
    </row>
    <row r="6" spans="2:9" x14ac:dyDescent="0.3">
      <c r="B6" s="46" t="s">
        <v>485</v>
      </c>
      <c r="C6" s="46" t="s">
        <v>548</v>
      </c>
      <c r="E6" s="46" t="s">
        <v>325</v>
      </c>
      <c r="F6" s="46" t="s">
        <v>23</v>
      </c>
      <c r="G6" s="46" t="s">
        <v>551</v>
      </c>
      <c r="H6" s="46">
        <v>1</v>
      </c>
    </row>
    <row r="7" spans="2:9" x14ac:dyDescent="0.3">
      <c r="B7" s="46" t="s">
        <v>485</v>
      </c>
      <c r="C7" s="46" t="s">
        <v>548</v>
      </c>
      <c r="E7" s="46" t="s">
        <v>325</v>
      </c>
      <c r="F7" s="46" t="s">
        <v>23</v>
      </c>
      <c r="G7" s="46" t="s">
        <v>551</v>
      </c>
      <c r="H7" s="46">
        <v>1</v>
      </c>
    </row>
    <row r="8" spans="2:9" x14ac:dyDescent="0.3">
      <c r="B8" s="46" t="s">
        <v>485</v>
      </c>
      <c r="C8" s="46" t="s">
        <v>548</v>
      </c>
      <c r="E8" s="46" t="s">
        <v>325</v>
      </c>
      <c r="F8" s="46" t="s">
        <v>23</v>
      </c>
      <c r="G8" s="46" t="s">
        <v>551</v>
      </c>
      <c r="H8" s="46">
        <v>1</v>
      </c>
    </row>
    <row r="9" spans="2:9" x14ac:dyDescent="0.3">
      <c r="B9" s="46" t="s">
        <v>485</v>
      </c>
      <c r="C9" s="46" t="s">
        <v>549</v>
      </c>
      <c r="E9" s="46" t="s">
        <v>325</v>
      </c>
      <c r="F9" s="46" t="s">
        <v>23</v>
      </c>
      <c r="G9" s="46" t="s">
        <v>551</v>
      </c>
      <c r="H9" s="46">
        <v>1</v>
      </c>
    </row>
    <row r="10" spans="2:9" x14ac:dyDescent="0.3">
      <c r="B10" s="46" t="s">
        <v>485</v>
      </c>
      <c r="C10" s="46" t="s">
        <v>549</v>
      </c>
      <c r="E10" s="46" t="s">
        <v>325</v>
      </c>
      <c r="F10" s="46" t="s">
        <v>23</v>
      </c>
      <c r="G10" s="46" t="s">
        <v>551</v>
      </c>
      <c r="H10" s="46">
        <v>1</v>
      </c>
    </row>
    <row r="11" spans="2:9" x14ac:dyDescent="0.3">
      <c r="B11" s="46" t="s">
        <v>485</v>
      </c>
      <c r="C11" s="46" t="s">
        <v>549</v>
      </c>
      <c r="E11" s="46" t="s">
        <v>325</v>
      </c>
      <c r="F11" s="46" t="s">
        <v>23</v>
      </c>
      <c r="G11" s="46" t="s">
        <v>551</v>
      </c>
      <c r="H11" s="46">
        <v>1</v>
      </c>
    </row>
    <row r="12" spans="2:9" x14ac:dyDescent="0.3">
      <c r="B12" s="46" t="s">
        <v>485</v>
      </c>
      <c r="C12" s="46" t="s">
        <v>549</v>
      </c>
      <c r="E12" s="46" t="s">
        <v>325</v>
      </c>
      <c r="F12" s="46" t="s">
        <v>23</v>
      </c>
      <c r="G12" s="46" t="s">
        <v>551</v>
      </c>
      <c r="H12" s="46">
        <v>1</v>
      </c>
    </row>
    <row r="13" spans="2:9" x14ac:dyDescent="0.3">
      <c r="B13" s="46" t="s">
        <v>485</v>
      </c>
      <c r="C13" s="46" t="s">
        <v>549</v>
      </c>
      <c r="E13" s="46" t="s">
        <v>325</v>
      </c>
      <c r="F13" s="46" t="s">
        <v>23</v>
      </c>
      <c r="G13" s="46" t="s">
        <v>551</v>
      </c>
      <c r="H13" s="46">
        <v>1</v>
      </c>
    </row>
    <row r="14" spans="2:9" x14ac:dyDescent="0.3">
      <c r="B14" s="46" t="s">
        <v>485</v>
      </c>
      <c r="C14" s="46" t="s">
        <v>549</v>
      </c>
      <c r="E14" s="46" t="s">
        <v>325</v>
      </c>
      <c r="F14" s="46" t="s">
        <v>23</v>
      </c>
      <c r="G14" s="46" t="s">
        <v>551</v>
      </c>
      <c r="H14" s="46">
        <v>1</v>
      </c>
    </row>
    <row r="15" spans="2:9" x14ac:dyDescent="0.3">
      <c r="B15" s="46" t="s">
        <v>552</v>
      </c>
      <c r="E15" s="46" t="s">
        <v>326</v>
      </c>
      <c r="F15" s="46" t="s">
        <v>553</v>
      </c>
      <c r="H15" s="46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67DA3-D8E5-4FD1-B932-2639BC6C2A2C}">
  <dimension ref="B2:G15"/>
  <sheetViews>
    <sheetView workbookViewId="0">
      <selection activeCell="D5" sqref="D5"/>
    </sheetView>
  </sheetViews>
  <sheetFormatPr defaultRowHeight="14.4" x14ac:dyDescent="0.3"/>
  <cols>
    <col min="1" max="1" width="8.88671875" style="46"/>
    <col min="2" max="7" width="20.77734375" style="46" customWidth="1"/>
    <col min="8" max="16384" width="8.88671875" style="46"/>
  </cols>
  <sheetData>
    <row r="2" spans="2:7" x14ac:dyDescent="0.3">
      <c r="C2" s="46" t="s">
        <v>741</v>
      </c>
    </row>
    <row r="4" spans="2:7" x14ac:dyDescent="0.3">
      <c r="B4" s="50" t="s">
        <v>723</v>
      </c>
      <c r="C4" s="46" t="s">
        <v>743</v>
      </c>
      <c r="D4" s="46" t="s">
        <v>742</v>
      </c>
      <c r="E4" s="46" t="s">
        <v>729</v>
      </c>
      <c r="F4" s="46" t="s">
        <v>722</v>
      </c>
      <c r="G4" s="46" t="s">
        <v>740</v>
      </c>
    </row>
    <row r="5" spans="2:7" x14ac:dyDescent="0.3">
      <c r="B5" s="46" t="s">
        <v>724</v>
      </c>
    </row>
    <row r="6" spans="2:7" x14ac:dyDescent="0.3">
      <c r="B6" s="66" t="s">
        <v>725</v>
      </c>
      <c r="F6" s="46" t="s">
        <v>734</v>
      </c>
    </row>
    <row r="7" spans="2:7" x14ac:dyDescent="0.3">
      <c r="B7" s="67" t="s">
        <v>726</v>
      </c>
      <c r="F7" s="46" t="s">
        <v>733</v>
      </c>
    </row>
    <row r="8" spans="2:7" x14ac:dyDescent="0.3">
      <c r="B8" s="67" t="s">
        <v>727</v>
      </c>
      <c r="F8" s="46" t="s">
        <v>735</v>
      </c>
    </row>
    <row r="9" spans="2:7" x14ac:dyDescent="0.3">
      <c r="B9" s="46" t="s">
        <v>728</v>
      </c>
    </row>
    <row r="10" spans="2:7" x14ac:dyDescent="0.3">
      <c r="B10" s="46" t="s">
        <v>730</v>
      </c>
    </row>
    <row r="11" spans="2:7" x14ac:dyDescent="0.3">
      <c r="B11" s="46" t="s">
        <v>731</v>
      </c>
    </row>
    <row r="12" spans="2:7" x14ac:dyDescent="0.3">
      <c r="B12" s="46" t="s">
        <v>732</v>
      </c>
    </row>
    <row r="13" spans="2:7" x14ac:dyDescent="0.3">
      <c r="B13" s="46" t="s">
        <v>736</v>
      </c>
    </row>
    <row r="14" spans="2:7" x14ac:dyDescent="0.3">
      <c r="B14" s="46" t="s">
        <v>737</v>
      </c>
    </row>
    <row r="15" spans="2:7" x14ac:dyDescent="0.3">
      <c r="B15" s="46" t="s">
        <v>738</v>
      </c>
      <c r="F15" s="46" t="s">
        <v>739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EEF536-3A50-49F0-9B0A-9F45EBE42A0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FY2026 DoD Budget Materials</vt:lpstr>
      <vt:lpstr>DoD Products</vt:lpstr>
      <vt:lpstr>Future Products</vt:lpstr>
      <vt:lpstr>RawData</vt:lpstr>
      <vt:lpstr>PivotTable</vt:lpstr>
      <vt:lpstr>Subsidiaries</vt:lpstr>
      <vt:lpstr>ProgramBreakdown</vt:lpstr>
      <vt:lpstr>Wargaming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2024-09-29T12:49:46Z</dcterms:created>
  <dcterms:modified xsi:type="dcterms:W3CDTF">2025-11-06T15:20:36Z</dcterms:modified>
</cp:coreProperties>
</file>