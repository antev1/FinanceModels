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D2CAE64F-5439-4E3D-AF55-E1025C0378D6}" xr6:coauthVersionLast="47" xr6:coauthVersionMax="47" xr10:uidLastSave="{00000000-0000-0000-0000-000000000000}"/>
  <bookViews>
    <workbookView xWindow="-108" yWindow="-108" windowWidth="23256" windowHeight="12576" activeTab="1" xr2:uid="{C6AEFCEA-ADAE-4BFE-85FB-A83490FE9071}"/>
  </bookViews>
  <sheets>
    <sheet name="Main" sheetId="1" r:id="rId1"/>
    <sheet name="FY2026 DoD Budget Materials" sheetId="2" r:id="rId2"/>
    <sheet name="DoD Products" sheetId="3" r:id="rId3"/>
    <sheet name="Future Products" sheetId="4" r:id="rId4"/>
    <sheet name="Global Revenue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0" i="3" l="1"/>
  <c r="L118" i="3"/>
  <c r="K118" i="3"/>
  <c r="L97" i="3"/>
  <c r="K97" i="3"/>
  <c r="L111" i="3"/>
  <c r="K111" i="3"/>
  <c r="L50" i="3"/>
  <c r="L88" i="3"/>
  <c r="K88" i="3"/>
  <c r="K69" i="3"/>
  <c r="J69" i="3"/>
  <c r="L69" i="3"/>
  <c r="M9" i="3"/>
  <c r="M10" i="3" s="1"/>
  <c r="D70" i="2"/>
  <c r="C66" i="2" s="1"/>
  <c r="D65" i="2"/>
  <c r="D60" i="2"/>
  <c r="C55" i="2" s="1"/>
  <c r="D54" i="2"/>
  <c r="C50" i="2" s="1"/>
  <c r="D49" i="2"/>
  <c r="D41" i="2"/>
  <c r="D34" i="2"/>
  <c r="D27" i="2"/>
  <c r="D28" i="2" s="1"/>
  <c r="E14" i="2"/>
  <c r="C71" i="2" s="1"/>
  <c r="D14" i="2"/>
  <c r="C14" i="2"/>
  <c r="D72" i="2" l="1"/>
  <c r="D73" i="2" s="1"/>
  <c r="Y27" i="1"/>
  <c r="X27" i="1"/>
  <c r="Y23" i="1" l="1"/>
  <c r="X23" i="1"/>
  <c r="Y22" i="1" l="1"/>
  <c r="X22" i="1"/>
  <c r="Y21" i="1" l="1"/>
  <c r="X21" i="1"/>
  <c r="AA21" i="1"/>
  <c r="Y20" i="1" l="1"/>
  <c r="X20" i="1"/>
  <c r="AJ14" i="1" l="1"/>
  <c r="AI14" i="1"/>
  <c r="AH14" i="1"/>
  <c r="AG14" i="1"/>
  <c r="AF14" i="1"/>
  <c r="AD14" i="1"/>
  <c r="AG18" i="1" l="1"/>
  <c r="AF18" i="1"/>
  <c r="AD18" i="1"/>
  <c r="AI18" i="1"/>
  <c r="AH18" i="1"/>
  <c r="AJ18" i="1"/>
  <c r="Y19" i="1"/>
  <c r="X19" i="1"/>
  <c r="Y18" i="1" l="1"/>
  <c r="X18" i="1"/>
  <c r="Y16" i="1" l="1"/>
  <c r="X16" i="1"/>
  <c r="Y15" i="1" l="1"/>
  <c r="X15" i="1"/>
  <c r="AA14" i="1" l="1"/>
  <c r="AB14" i="1" s="1"/>
  <c r="Y14" i="1"/>
  <c r="X14" i="1"/>
  <c r="AI13" i="1" l="1"/>
  <c r="AH13" i="1"/>
  <c r="AG13" i="1"/>
  <c r="AF13" i="1"/>
  <c r="AD13" i="1"/>
  <c r="AJ13" i="1" l="1"/>
  <c r="Y13" i="1" l="1"/>
  <c r="X13" i="1"/>
  <c r="Y12" i="1" l="1"/>
  <c r="X12" i="1"/>
  <c r="AJ11" i="1"/>
  <c r="AI11" i="1"/>
  <c r="AH11" i="1"/>
  <c r="AG11" i="1"/>
  <c r="AF11" i="1"/>
  <c r="AJ4" i="1"/>
  <c r="AJ3" i="1" l="1"/>
  <c r="AJ12" i="1"/>
  <c r="AD11" i="1"/>
  <c r="AD10" i="1" l="1"/>
  <c r="AD9" i="1" l="1"/>
  <c r="AD8" i="1" l="1"/>
  <c r="AA12" i="1" l="1"/>
  <c r="Y11" i="1" l="1"/>
  <c r="X11" i="1"/>
  <c r="Y10" i="1" l="1"/>
  <c r="X10" i="1"/>
  <c r="Y9" i="1" l="1"/>
  <c r="X9" i="1"/>
  <c r="Y8" i="1" l="1"/>
  <c r="X8" i="1"/>
  <c r="AA5" i="1" l="1"/>
  <c r="Y7" i="1" l="1"/>
  <c r="X7" i="1"/>
  <c r="Y29" i="1" l="1"/>
  <c r="X29" i="1"/>
  <c r="Y28" i="1" l="1"/>
  <c r="X28" i="1"/>
  <c r="Y24" i="1" l="1"/>
  <c r="X24" i="1"/>
  <c r="Y25" i="1" l="1"/>
  <c r="X25" i="1"/>
  <c r="Y6" i="1" l="1"/>
  <c r="X6" i="1"/>
  <c r="Y4" i="1" l="1"/>
  <c r="Y5" i="1" l="1"/>
  <c r="X5" i="1"/>
  <c r="X4" i="1" l="1"/>
  <c r="Y3" i="1" l="1"/>
  <c r="X3" i="1"/>
  <c r="AR12" i="1" l="1"/>
  <c r="AQ12" i="1"/>
  <c r="AM12" i="1"/>
  <c r="AL12" i="1"/>
  <c r="Z12" i="1" s="1"/>
  <c r="AK12" i="1"/>
  <c r="AI12" i="1"/>
  <c r="AH12" i="1"/>
  <c r="AG12" i="1"/>
  <c r="AF12" i="1"/>
  <c r="AD12" i="1"/>
  <c r="AB12" i="1" s="1"/>
  <c r="Q12" i="1"/>
  <c r="P12" i="1"/>
  <c r="O12" i="1"/>
  <c r="N12" i="1"/>
  <c r="M12" i="1"/>
  <c r="L12" i="1"/>
  <c r="K12" i="1"/>
  <c r="J12" i="1"/>
  <c r="I12" i="1"/>
  <c r="G12" i="1"/>
  <c r="W12" i="1" s="1"/>
  <c r="F12" i="1"/>
  <c r="E12" i="1"/>
  <c r="D12" i="1"/>
  <c r="AC12" i="1" l="1"/>
  <c r="AI21" i="1"/>
  <c r="AH21" i="1"/>
  <c r="AG21" i="1"/>
  <c r="AD21" i="1"/>
  <c r="AB21" i="1" s="1"/>
  <c r="N21" i="1"/>
  <c r="M21" i="1"/>
  <c r="G21" i="1"/>
  <c r="F21" i="1"/>
  <c r="E21" i="1"/>
  <c r="D21" i="1"/>
  <c r="R21" i="1" l="1"/>
  <c r="AE21" i="1"/>
  <c r="S21" i="1"/>
  <c r="AQ25" i="1"/>
  <c r="AR25" i="1"/>
  <c r="AM25" i="1"/>
  <c r="AL25" i="1"/>
  <c r="Z25" i="1" s="1"/>
  <c r="AK25" i="1"/>
  <c r="AI25" i="1"/>
  <c r="AH25" i="1"/>
  <c r="AG25" i="1"/>
  <c r="AF25" i="1"/>
  <c r="AD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V25" i="1" l="1"/>
  <c r="AE25" i="1"/>
  <c r="R25" i="1"/>
  <c r="S25" i="1"/>
  <c r="T25" i="1"/>
  <c r="W25" i="1"/>
  <c r="U25" i="1"/>
  <c r="AM28" i="1"/>
  <c r="AK28" i="1"/>
  <c r="AI28" i="1"/>
  <c r="AH28" i="1"/>
  <c r="AD28" i="1"/>
  <c r="O28" i="1"/>
  <c r="N28" i="1"/>
  <c r="G28" i="1"/>
  <c r="F28" i="1"/>
  <c r="E28" i="1"/>
  <c r="D28" i="1"/>
  <c r="AE28" i="1" l="1"/>
  <c r="T28" i="1"/>
  <c r="S28" i="1"/>
  <c r="P28" i="1" l="1"/>
  <c r="U28" i="1" s="1"/>
  <c r="Q28" i="1" l="1"/>
  <c r="V28" i="1" s="1"/>
  <c r="AL28" i="1" l="1"/>
  <c r="Z28" i="1" s="1"/>
  <c r="W28" i="1"/>
  <c r="AI5" i="1" l="1"/>
  <c r="AH5" i="1"/>
  <c r="AG5" i="1"/>
  <c r="AF5" i="1"/>
  <c r="AD5" i="1"/>
  <c r="AB5" i="1" s="1"/>
  <c r="AI6" i="1" l="1"/>
  <c r="AH6" i="1"/>
  <c r="AG6" i="1"/>
  <c r="AF6" i="1"/>
  <c r="AD6" i="1"/>
  <c r="AI4" i="1" l="1"/>
  <c r="AH4" i="1"/>
  <c r="AG4" i="1"/>
  <c r="AF4" i="1"/>
  <c r="AD4" i="1"/>
  <c r="AI7" i="1" l="1"/>
  <c r="AH7" i="1"/>
  <c r="AG7" i="1"/>
  <c r="AF7" i="1"/>
  <c r="AD7" i="1"/>
  <c r="AI27" i="1" l="1"/>
  <c r="AH27" i="1"/>
  <c r="AG27" i="1"/>
  <c r="AF27" i="1"/>
  <c r="AD27" i="1"/>
  <c r="AI24" i="1" l="1"/>
  <c r="AH24" i="1"/>
  <c r="AG24" i="1"/>
  <c r="AF24" i="1"/>
  <c r="AD24" i="1"/>
  <c r="AR23" i="1" l="1"/>
  <c r="AQ23" i="1"/>
  <c r="AM23" i="1"/>
  <c r="AL23" i="1"/>
  <c r="Z23" i="1" s="1"/>
  <c r="AK23" i="1"/>
  <c r="AI23" i="1"/>
  <c r="AH23" i="1"/>
  <c r="AG23" i="1"/>
  <c r="AF23" i="1"/>
  <c r="AD23" i="1"/>
  <c r="Q23" i="1"/>
  <c r="P23" i="1"/>
  <c r="O23" i="1"/>
  <c r="N23" i="1"/>
  <c r="M23" i="1"/>
  <c r="L23" i="1"/>
  <c r="K23" i="1"/>
  <c r="J23" i="1"/>
  <c r="I23" i="1"/>
  <c r="H23" i="1"/>
  <c r="G23" i="1"/>
  <c r="W23" i="1" s="1"/>
  <c r="F23" i="1"/>
  <c r="E23" i="1"/>
  <c r="D23" i="1"/>
  <c r="R23" i="1" l="1"/>
  <c r="AE23" i="1"/>
  <c r="S23" i="1"/>
  <c r="T23" i="1"/>
  <c r="U23" i="1"/>
  <c r="V23" i="1"/>
  <c r="AR24" i="1"/>
  <c r="AQ24" i="1"/>
  <c r="AM24" i="1"/>
  <c r="AL24" i="1"/>
  <c r="Z24" i="1" s="1"/>
  <c r="AK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S24" i="1" l="1"/>
  <c r="R24" i="1"/>
  <c r="AE24" i="1"/>
  <c r="T24" i="1"/>
  <c r="U24" i="1"/>
  <c r="V24" i="1"/>
  <c r="W24" i="1"/>
  <c r="AR27" i="1"/>
  <c r="AQ27" i="1"/>
  <c r="AM27" i="1"/>
  <c r="AK27" i="1"/>
  <c r="Q27" i="1"/>
  <c r="P27" i="1"/>
  <c r="O27" i="1"/>
  <c r="N27" i="1"/>
  <c r="M27" i="1"/>
  <c r="L27" i="1"/>
  <c r="K27" i="1"/>
  <c r="G27" i="1"/>
  <c r="W27" i="1" s="1"/>
  <c r="F27" i="1"/>
  <c r="E27" i="1"/>
  <c r="D27" i="1"/>
  <c r="AR20" i="1"/>
  <c r="AQ20" i="1"/>
  <c r="AM20" i="1"/>
  <c r="AK20" i="1"/>
  <c r="AI20" i="1"/>
  <c r="AH20" i="1"/>
  <c r="AG20" i="1"/>
  <c r="AF20" i="1"/>
  <c r="AD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R18" i="1"/>
  <c r="AQ18" i="1"/>
  <c r="AM18" i="1"/>
  <c r="AL18" i="1"/>
  <c r="Z18" i="1" s="1"/>
  <c r="AK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R27" i="1" l="1"/>
  <c r="S27" i="1"/>
  <c r="T27" i="1"/>
  <c r="U27" i="1"/>
  <c r="V27" i="1"/>
  <c r="AE27" i="1"/>
  <c r="S20" i="1"/>
  <c r="AE18" i="1"/>
  <c r="U18" i="1"/>
  <c r="U20" i="1"/>
  <c r="T20" i="1"/>
  <c r="V20" i="1"/>
  <c r="R18" i="1"/>
  <c r="S18" i="1"/>
  <c r="R20" i="1"/>
  <c r="AE20" i="1"/>
  <c r="T18" i="1"/>
  <c r="V18" i="1"/>
  <c r="W18" i="1"/>
  <c r="AR16" i="1"/>
  <c r="AQ16" i="1"/>
  <c r="AM16" i="1"/>
  <c r="AL16" i="1"/>
  <c r="Z16" i="1" s="1"/>
  <c r="AK16" i="1"/>
  <c r="AI16" i="1"/>
  <c r="AH16" i="1"/>
  <c r="AG16" i="1"/>
  <c r="AF16" i="1"/>
  <c r="AD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U16" i="1" l="1"/>
  <c r="V16" i="1"/>
  <c r="W16" i="1"/>
  <c r="AE16" i="1"/>
  <c r="R16" i="1"/>
  <c r="S16" i="1"/>
  <c r="T16" i="1"/>
  <c r="AR22" i="1"/>
  <c r="AQ22" i="1"/>
  <c r="AM22" i="1"/>
  <c r="AL22" i="1"/>
  <c r="Z22" i="1" s="1"/>
  <c r="AK22" i="1"/>
  <c r="AI22" i="1"/>
  <c r="AH22" i="1"/>
  <c r="G22" i="1"/>
  <c r="F22" i="1"/>
  <c r="E22" i="1"/>
  <c r="D22" i="1"/>
  <c r="AD22" i="1"/>
  <c r="AE22" i="1" l="1"/>
  <c r="AF22" i="1"/>
  <c r="AG22" i="1"/>
  <c r="AL20" i="1" l="1"/>
  <c r="Z20" i="1" s="1"/>
  <c r="W20" i="1"/>
  <c r="K22" i="1"/>
  <c r="J22" i="1" l="1"/>
  <c r="H22" i="1" l="1"/>
  <c r="I22" i="1"/>
  <c r="M22" i="1"/>
  <c r="R22" i="1" s="1"/>
  <c r="L22" i="1"/>
  <c r="N22" i="1" l="1"/>
  <c r="S22" i="1" s="1"/>
  <c r="O22" i="1" l="1"/>
  <c r="T22" i="1" s="1"/>
  <c r="P22" i="1"/>
  <c r="U22" i="1" s="1"/>
  <c r="Q22" i="1" l="1"/>
  <c r="V22" i="1" s="1"/>
  <c r="AR13" i="1" l="1"/>
  <c r="AQ13" i="1"/>
  <c r="AM13" i="1"/>
  <c r="AL13" i="1"/>
  <c r="Z13" i="1" s="1"/>
  <c r="AK13" i="1"/>
  <c r="Q13" i="1"/>
  <c r="P13" i="1"/>
  <c r="O13" i="1"/>
  <c r="N13" i="1"/>
  <c r="M13" i="1"/>
  <c r="L13" i="1"/>
  <c r="K13" i="1"/>
  <c r="J13" i="1"/>
  <c r="I13" i="1"/>
  <c r="H13" i="1"/>
  <c r="G13" i="1"/>
  <c r="W13" i="1" s="1"/>
  <c r="F13" i="1"/>
  <c r="E13" i="1"/>
  <c r="D13" i="1"/>
  <c r="AR14" i="1"/>
  <c r="AQ14" i="1"/>
  <c r="AM14" i="1"/>
  <c r="AL14" i="1"/>
  <c r="AK14" i="1"/>
  <c r="G14" i="1"/>
  <c r="W14" i="1" s="1"/>
  <c r="F14" i="1"/>
  <c r="E14" i="1"/>
  <c r="D14" i="1"/>
  <c r="Z14" i="1" l="1"/>
  <c r="AC14" i="1"/>
  <c r="T13" i="1"/>
  <c r="U13" i="1"/>
  <c r="V13" i="1"/>
  <c r="S13" i="1"/>
  <c r="R13" i="1"/>
  <c r="AE13" i="1"/>
  <c r="W22" i="1" l="1"/>
  <c r="AL27" i="1" l="1"/>
  <c r="Z27" i="1" s="1"/>
  <c r="AR9" i="1"/>
  <c r="AQ9" i="1"/>
  <c r="AM9" i="1"/>
  <c r="AL9" i="1"/>
  <c r="Z9" i="1" s="1"/>
  <c r="AK9" i="1"/>
  <c r="AI9" i="1"/>
  <c r="AH9" i="1"/>
  <c r="AG9" i="1"/>
  <c r="AF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E9" i="1" l="1"/>
  <c r="U9" i="1"/>
  <c r="W9" i="1"/>
  <c r="O14" i="1"/>
  <c r="T14" i="1" s="1"/>
  <c r="AE14" i="1"/>
  <c r="R9" i="1"/>
  <c r="S9" i="1"/>
  <c r="T9" i="1"/>
  <c r="V9" i="1"/>
  <c r="AM5" i="1"/>
  <c r="AK5" i="1"/>
  <c r="M5" i="1"/>
  <c r="L5" i="1"/>
  <c r="K5" i="1"/>
  <c r="J5" i="1"/>
  <c r="I5" i="1"/>
  <c r="H5" i="1"/>
  <c r="P14" i="1" l="1"/>
  <c r="U14" i="1" s="1"/>
  <c r="N14" i="1"/>
  <c r="S14" i="1" s="1"/>
  <c r="O5" i="1"/>
  <c r="Q14" i="1" l="1"/>
  <c r="V14" i="1" s="1"/>
  <c r="N5" i="1"/>
  <c r="P5" i="1"/>
  <c r="K14" i="1" l="1"/>
  <c r="L14" i="1"/>
  <c r="Q5" i="1"/>
  <c r="M14" i="1" l="1"/>
  <c r="R14" i="1" s="1"/>
  <c r="J14" i="1"/>
  <c r="AL5" i="1"/>
  <c r="Z5" i="1" l="1"/>
  <c r="AC5" i="1"/>
  <c r="AM6" i="1"/>
  <c r="AL6" i="1"/>
  <c r="Z6" i="1" s="1"/>
  <c r="AK6" i="1"/>
  <c r="AM15" i="1" l="1"/>
  <c r="AL15" i="1"/>
  <c r="Z15" i="1" s="1"/>
  <c r="AK15" i="1"/>
  <c r="AM11" i="1" l="1"/>
  <c r="AL11" i="1"/>
  <c r="Z11" i="1" s="1"/>
  <c r="AK11" i="1"/>
  <c r="AM10" i="1" l="1"/>
  <c r="AL10" i="1"/>
  <c r="Z10" i="1" s="1"/>
  <c r="AK10" i="1"/>
  <c r="AM8" i="1" l="1"/>
  <c r="AL8" i="1"/>
  <c r="Z8" i="1" s="1"/>
  <c r="AK8" i="1"/>
  <c r="AM7" i="1" l="1"/>
  <c r="AL7" i="1"/>
  <c r="Z7" i="1" s="1"/>
  <c r="AK7" i="1"/>
  <c r="AM4" i="1" l="1"/>
  <c r="AL4" i="1"/>
  <c r="Z4" i="1" s="1"/>
  <c r="AK4" i="1"/>
  <c r="AR7" i="1" l="1"/>
  <c r="AQ7" i="1"/>
  <c r="N7" i="1"/>
  <c r="M7" i="1"/>
  <c r="L7" i="1"/>
  <c r="K7" i="1"/>
  <c r="J7" i="1"/>
  <c r="I7" i="1"/>
  <c r="H7" i="1"/>
  <c r="G7" i="1"/>
  <c r="F7" i="1"/>
  <c r="E7" i="1"/>
  <c r="D7" i="1"/>
  <c r="W7" i="1" l="1"/>
  <c r="S7" i="1"/>
  <c r="O7" i="1"/>
  <c r="T7" i="1" s="1"/>
  <c r="R7" i="1"/>
  <c r="AE7" i="1"/>
  <c r="AQ15" i="1"/>
  <c r="AR15" i="1"/>
  <c r="AI15" i="1"/>
  <c r="AH15" i="1"/>
  <c r="AG15" i="1"/>
  <c r="AF15" i="1"/>
  <c r="Q7" i="1" l="1"/>
  <c r="V7" i="1" s="1"/>
  <c r="P7" i="1"/>
  <c r="U7" i="1" s="1"/>
  <c r="AD15" i="1"/>
  <c r="Q15" i="1"/>
  <c r="P15" i="1"/>
  <c r="O15" i="1"/>
  <c r="N15" i="1"/>
  <c r="M15" i="1"/>
  <c r="L15" i="1"/>
  <c r="K15" i="1"/>
  <c r="J15" i="1"/>
  <c r="I15" i="1"/>
  <c r="G15" i="1"/>
  <c r="F15" i="1"/>
  <c r="E15" i="1"/>
  <c r="D15" i="1"/>
  <c r="Q11" i="1"/>
  <c r="P11" i="1"/>
  <c r="O11" i="1"/>
  <c r="N11" i="1"/>
  <c r="Q10" i="1"/>
  <c r="P10" i="1"/>
  <c r="O10" i="1"/>
  <c r="N10" i="1"/>
  <c r="Q6" i="1"/>
  <c r="P6" i="1"/>
  <c r="O6" i="1"/>
  <c r="N6" i="1"/>
  <c r="AR10" i="1"/>
  <c r="AQ10" i="1"/>
  <c r="AI10" i="1"/>
  <c r="AH10" i="1"/>
  <c r="AG10" i="1"/>
  <c r="AF10" i="1"/>
  <c r="M10" i="1"/>
  <c r="L10" i="1"/>
  <c r="K10" i="1"/>
  <c r="J10" i="1"/>
  <c r="I10" i="1"/>
  <c r="H10" i="1"/>
  <c r="G10" i="1"/>
  <c r="W10" i="1" s="1"/>
  <c r="F10" i="1"/>
  <c r="E10" i="1"/>
  <c r="D10" i="1"/>
  <c r="V15" i="1" l="1"/>
  <c r="W15" i="1"/>
  <c r="U15" i="1"/>
  <c r="T15" i="1"/>
  <c r="S15" i="1"/>
  <c r="S10" i="1"/>
  <c r="V10" i="1"/>
  <c r="U10" i="1"/>
  <c r="T10" i="1"/>
  <c r="R10" i="1"/>
  <c r="AE10" i="1"/>
  <c r="AE15" i="1"/>
  <c r="R15" i="1"/>
  <c r="AR11" i="1"/>
  <c r="AQ11" i="1"/>
  <c r="M11" i="1"/>
  <c r="L11" i="1"/>
  <c r="K11" i="1"/>
  <c r="J11" i="1"/>
  <c r="I11" i="1"/>
  <c r="H11" i="1"/>
  <c r="G11" i="1"/>
  <c r="F11" i="1"/>
  <c r="E11" i="1"/>
  <c r="D11" i="1"/>
  <c r="U11" i="1" l="1"/>
  <c r="S11" i="1"/>
  <c r="W11" i="1"/>
  <c r="T11" i="1"/>
  <c r="V11" i="1"/>
  <c r="AE11" i="1"/>
  <c r="R11" i="1"/>
  <c r="AR6" i="1"/>
  <c r="AQ6" i="1"/>
  <c r="G6" i="1" l="1"/>
  <c r="F6" i="1"/>
  <c r="E6" i="1"/>
  <c r="D6" i="1"/>
  <c r="AE6" i="1" l="1"/>
  <c r="S6" i="1"/>
  <c r="U6" i="1"/>
  <c r="W6" i="1"/>
  <c r="V6" i="1"/>
  <c r="T6" i="1"/>
  <c r="AR8" i="1"/>
  <c r="AQ8" i="1"/>
  <c r="AR4" i="1" l="1"/>
  <c r="AQ4" i="1"/>
  <c r="AR5" i="1" l="1"/>
  <c r="AQ5" i="1"/>
  <c r="G5" i="1"/>
  <c r="W5" i="1" s="1"/>
  <c r="F5" i="1"/>
  <c r="E5" i="1"/>
  <c r="D5" i="1"/>
  <c r="AL19" i="1"/>
  <c r="Z19" i="1" s="1"/>
  <c r="AR19" i="1"/>
  <c r="AQ19" i="1"/>
  <c r="AM19" i="1"/>
  <c r="AM3" i="1" s="1"/>
  <c r="AK19" i="1"/>
  <c r="AE5" i="1" l="1"/>
  <c r="V5" i="1"/>
  <c r="U5" i="1"/>
  <c r="H6" i="1"/>
  <c r="J6" i="1"/>
  <c r="I6" i="1"/>
  <c r="L6" i="1"/>
  <c r="M6" i="1"/>
  <c r="R6" i="1" s="1"/>
  <c r="K6" i="1"/>
  <c r="R5" i="1"/>
  <c r="AI19" i="1"/>
  <c r="AH19" i="1"/>
  <c r="AG19" i="1"/>
  <c r="AF19" i="1"/>
  <c r="AD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N4" i="1"/>
  <c r="O4" i="1"/>
  <c r="P4" i="1"/>
  <c r="Q4" i="1"/>
  <c r="N8" i="1"/>
  <c r="O8" i="1"/>
  <c r="P8" i="1"/>
  <c r="Q8" i="1"/>
  <c r="AR29" i="1"/>
  <c r="AQ29" i="1"/>
  <c r="AM29" i="1"/>
  <c r="AK29" i="1"/>
  <c r="AI29" i="1"/>
  <c r="AH29" i="1"/>
  <c r="AD29" i="1"/>
  <c r="Q29" i="1"/>
  <c r="P29" i="1"/>
  <c r="O29" i="1"/>
  <c r="M29" i="1"/>
  <c r="L29" i="1"/>
  <c r="G29" i="1"/>
  <c r="F29" i="1"/>
  <c r="E29" i="1"/>
  <c r="D29" i="1"/>
  <c r="AI8" i="1"/>
  <c r="AH8" i="1"/>
  <c r="AG8" i="1"/>
  <c r="AF8" i="1"/>
  <c r="AE19" i="1" l="1"/>
  <c r="W29" i="1"/>
  <c r="AE29" i="1"/>
  <c r="V19" i="1"/>
  <c r="U19" i="1"/>
  <c r="W19" i="1"/>
  <c r="R19" i="1"/>
  <c r="S19" i="1"/>
  <c r="T19" i="1"/>
  <c r="M8" i="1"/>
  <c r="L8" i="1"/>
  <c r="K8" i="1"/>
  <c r="J8" i="1"/>
  <c r="I8" i="1"/>
  <c r="H8" i="1"/>
  <c r="G8" i="1"/>
  <c r="F8" i="1"/>
  <c r="E8" i="1"/>
  <c r="D8" i="1"/>
  <c r="AE8" i="1" l="1"/>
  <c r="W8" i="1"/>
  <c r="V8" i="1"/>
  <c r="U8" i="1"/>
  <c r="T8" i="1"/>
  <c r="S8" i="1"/>
  <c r="R8" i="1"/>
  <c r="I4" i="1" l="1"/>
  <c r="K4" i="1"/>
  <c r="J4" i="1"/>
  <c r="H4" i="1"/>
  <c r="L4" i="1"/>
  <c r="M4" i="1"/>
  <c r="AE12" i="1" l="1"/>
  <c r="R12" i="1" l="1"/>
  <c r="G4" i="1"/>
  <c r="F4" i="1"/>
  <c r="E4" i="1"/>
  <c r="D4" i="1"/>
  <c r="AE4" i="1" l="1"/>
  <c r="AE3" i="1" s="1"/>
  <c r="W4" i="1"/>
  <c r="V4" i="1"/>
  <c r="U4" i="1"/>
  <c r="T4" i="1"/>
  <c r="S4" i="1"/>
  <c r="R4" i="1"/>
  <c r="R3" i="1" s="1"/>
  <c r="AK3" i="1"/>
  <c r="AI3" i="1"/>
  <c r="AH3" i="1"/>
  <c r="AG3" i="1"/>
  <c r="AF3" i="1"/>
  <c r="S12" i="1" l="1"/>
  <c r="S3" i="1" s="1"/>
  <c r="T12" i="1" l="1"/>
  <c r="T3" i="1" s="1"/>
  <c r="U12" i="1" l="1"/>
  <c r="U3" i="1" s="1"/>
  <c r="V12" i="1" l="1"/>
  <c r="V3" i="1" s="1"/>
  <c r="W3" i="1" l="1"/>
  <c r="N29" i="1" l="1"/>
  <c r="AL29" i="1"/>
  <c r="AL3" i="1" l="1"/>
  <c r="Z29" i="1"/>
  <c r="Z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AC2" authorId="0" shapeId="0" xr:uid="{FA31A116-56BA-42D9-A8CD-62CA8EBD51AA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need to think about this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B4" authorId="0" shapeId="0" xr:uid="{A86F8EF5-FB5D-4BC2-B1EC-FDA77AF60FD8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in future, compare this and budgets etc. to other largest defence spending countries</t>
        </r>
      </text>
    </comment>
    <comment ref="B12" authorId="0" shapeId="0" xr:uid="{F47928AD-C7E0-418C-B2EA-DCCA6CA2D98F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In addition to discretionary resources, the Administration assumes at least $150 billion for defense will be enacted in a mandatory
reconciliation bill later this fiscal year with approximately $113.3 billion spent in FY 2026 for DoD activities</t>
        </r>
      </text>
    </comment>
    <comment ref="B13" authorId="0" shapeId="0" xr:uid="{9ACA2389-0B8A-46E2-8B15-E57F05938349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2 FY 2024 includes supplemental funding for Ukraine ($48.4 billion), Israel ($13 billion), and Indo-Pacific/U.S. Submarine Industrial
Base (SIB) ($5.9 billion). FY 2025 includes supplemental funding for Virginia-class cost increases and SIB ($5.7 billion), National
Security System risk reduction ($913 million), and Natural Disasters ($5.2 billion).</t>
        </r>
      </text>
    </comment>
    <comment ref="D56" authorId="0" shapeId="0" xr:uid="{4CD0B0BD-5AFB-431E-A320-0433DC08277D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find this</t>
        </r>
      </text>
    </comment>
    <comment ref="B86" authorId="0" shapeId="0" xr:uid="{AC4923BF-4E60-49D5-AAA7-D79F636CF441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what does this entail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B2" authorId="0" shapeId="0" xr:uid="{0F089520-C5A9-49EF-99E7-4D161BE84A9A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check for double-counting</t>
        </r>
      </text>
    </comment>
    <comment ref="R57" authorId="0" shapeId="0" xr:uid="{23B9F9C8-7634-49C1-9E56-041E0381DBBE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compare current budget and unit cost to amount still needed?</t>
        </r>
      </text>
    </comment>
  </commentList>
</comments>
</file>

<file path=xl/sharedStrings.xml><?xml version="1.0" encoding="utf-8"?>
<sst xmlns="http://schemas.openxmlformats.org/spreadsheetml/2006/main" count="481" uniqueCount="428">
  <si>
    <t>Company</t>
  </si>
  <si>
    <t>Ticker</t>
  </si>
  <si>
    <t>Price</t>
  </si>
  <si>
    <t>MC</t>
  </si>
  <si>
    <t>Net Cash</t>
  </si>
  <si>
    <t>EV</t>
  </si>
  <si>
    <t>2023 E</t>
  </si>
  <si>
    <t>2024 E</t>
  </si>
  <si>
    <t>2025 E</t>
  </si>
  <si>
    <t>2026 E</t>
  </si>
  <si>
    <t>2027 E</t>
  </si>
  <si>
    <t>2028 E</t>
  </si>
  <si>
    <t>2024 EV/E</t>
  </si>
  <si>
    <t>2025 EV/E</t>
  </si>
  <si>
    <t>2026 EV/E</t>
  </si>
  <si>
    <t>2027 EV/E</t>
  </si>
  <si>
    <t>2028 EV/E</t>
  </si>
  <si>
    <t>Discount</t>
  </si>
  <si>
    <t>Variance</t>
  </si>
  <si>
    <t>Consensus</t>
  </si>
  <si>
    <t>Segment</t>
  </si>
  <si>
    <t>Founded</t>
  </si>
  <si>
    <t>Industry Average</t>
  </si>
  <si>
    <t>Raytheon</t>
  </si>
  <si>
    <t>Lockheed Martin</t>
  </si>
  <si>
    <t>Northrop Grumman</t>
  </si>
  <si>
    <t>BAE</t>
  </si>
  <si>
    <t>L3Harris</t>
  </si>
  <si>
    <t>Rheinmetall</t>
  </si>
  <si>
    <t>Boeing</t>
  </si>
  <si>
    <t>General Dynamics</t>
  </si>
  <si>
    <t>Honeywell</t>
  </si>
  <si>
    <t>Airbus</t>
  </si>
  <si>
    <t>Safran</t>
  </si>
  <si>
    <t>Rolls Royce</t>
  </si>
  <si>
    <t>Thales</t>
  </si>
  <si>
    <t>Dassault</t>
  </si>
  <si>
    <t>Norinco</t>
  </si>
  <si>
    <t>Leonardo</t>
  </si>
  <si>
    <t>RTX US</t>
  </si>
  <si>
    <t>RHM DE</t>
  </si>
  <si>
    <t>Updated</t>
  </si>
  <si>
    <t>Earnings Call</t>
  </si>
  <si>
    <t>Red Cat</t>
  </si>
  <si>
    <t>LMT US</t>
  </si>
  <si>
    <t>2019 E</t>
  </si>
  <si>
    <t>2020 E</t>
  </si>
  <si>
    <t>2021 E</t>
  </si>
  <si>
    <t>2022 E</t>
  </si>
  <si>
    <t>2035 EV/E</t>
  </si>
  <si>
    <t>2024 RevG</t>
  </si>
  <si>
    <t>Unusual Machines</t>
  </si>
  <si>
    <t>UMAC US</t>
  </si>
  <si>
    <t>LDO IT</t>
  </si>
  <si>
    <t>BA UK</t>
  </si>
  <si>
    <t>NOC US</t>
  </si>
  <si>
    <t>HON US</t>
  </si>
  <si>
    <t>AIR FR</t>
  </si>
  <si>
    <t>SAF FR</t>
  </si>
  <si>
    <t>BA US</t>
  </si>
  <si>
    <t>GD US</t>
  </si>
  <si>
    <t>LHX US</t>
  </si>
  <si>
    <t>RR UK</t>
  </si>
  <si>
    <t>HO FR</t>
  </si>
  <si>
    <t>AM FR</t>
  </si>
  <si>
    <t>000065 CH</t>
  </si>
  <si>
    <t>RCAT US</t>
  </si>
  <si>
    <t>Embraer</t>
  </si>
  <si>
    <t>Kratos</t>
  </si>
  <si>
    <t>Bombardier</t>
  </si>
  <si>
    <t>Textron</t>
  </si>
  <si>
    <t>TXT US</t>
  </si>
  <si>
    <t>Renk</t>
  </si>
  <si>
    <t>Hensoldt</t>
  </si>
  <si>
    <t>Leidos</t>
  </si>
  <si>
    <t>LDOS US</t>
  </si>
  <si>
    <t>R3NK DE</t>
  </si>
  <si>
    <t>HAG DE</t>
  </si>
  <si>
    <t>ERJ US</t>
  </si>
  <si>
    <t>2025 Rev</t>
  </si>
  <si>
    <t>2025 RevG</t>
  </si>
  <si>
    <t>2025 GM%</t>
  </si>
  <si>
    <t>2025 OM%</t>
  </si>
  <si>
    <t>2025 EV/R</t>
  </si>
  <si>
    <t>KTOS US</t>
  </si>
  <si>
    <t>BBD.A CA</t>
  </si>
  <si>
    <t>Anduril</t>
  </si>
  <si>
    <t>ADUI US</t>
  </si>
  <si>
    <t>2025 EV/B</t>
  </si>
  <si>
    <t>2025 B/EV</t>
  </si>
  <si>
    <t>IS/BS Var</t>
  </si>
  <si>
    <t>Backlog</t>
  </si>
  <si>
    <t>2025 NM%</t>
  </si>
  <si>
    <t>SAAB</t>
  </si>
  <si>
    <t>2025 BL/R</t>
  </si>
  <si>
    <t>3 Way Var</t>
  </si>
  <si>
    <t>The estimated cost of this report or study for the Department of Defense is approximately $42,000 for the 2025 Fiscal Year. This includes $11,000 in expenses and $31,000 in DoD labor.</t>
  </si>
  <si>
    <t>U.S. Threats:</t>
  </si>
  <si>
    <t>Unsecured borders</t>
  </si>
  <si>
    <t>Minor threats e.g. Russia, NK, Iran, terrorist orgs</t>
  </si>
  <si>
    <t>Increasingly capable air and missile threats (ergo Golden Dome)</t>
  </si>
  <si>
    <t xml:space="preserve">China military buildup (shipbuilding, space, F-47) </t>
  </si>
  <si>
    <t>Discretionary</t>
  </si>
  <si>
    <t>Mandatory</t>
  </si>
  <si>
    <t>Supplemental</t>
  </si>
  <si>
    <t>Total</t>
  </si>
  <si>
    <t>2024</t>
  </si>
  <si>
    <t>2025</t>
  </si>
  <si>
    <t>2026</t>
  </si>
  <si>
    <t>DoD Budget ($B)</t>
  </si>
  <si>
    <t>Budgeted</t>
  </si>
  <si>
    <t>including</t>
  </si>
  <si>
    <t>Border control</t>
  </si>
  <si>
    <t>Golden Dome</t>
  </si>
  <si>
    <t>Nuclear triad</t>
  </si>
  <si>
    <t>Nuclear triad - the entire military infrastructure that supports, delivers, and controls nuclear warheads, across land, sea and air.</t>
  </si>
  <si>
    <t>Contractors</t>
  </si>
  <si>
    <t>Columbia-class ballistic missile submarine</t>
  </si>
  <si>
    <t>B-21</t>
  </si>
  <si>
    <t>Sentinel/Ground Based Launched Cruise Missile (GBSD)</t>
  </si>
  <si>
    <t>Nuclear Sea Launched Cruise Missile (SLCM-N)</t>
  </si>
  <si>
    <t>Long Range Stand-Off Weapon (LRSO)</t>
  </si>
  <si>
    <t>unaccounted</t>
  </si>
  <si>
    <t>China</t>
  </si>
  <si>
    <t>Desc</t>
  </si>
  <si>
    <t>100% operational control of the Southern Border</t>
  </si>
  <si>
    <t>Next-gen missile defence system to protect U.S. from nuclear, hypersonic and conventional weapons</t>
  </si>
  <si>
    <t>Combat credible forces and capabilities in Western Pacific</t>
  </si>
  <si>
    <t>Taiwan</t>
  </si>
  <si>
    <t>Taiwan Security Cooperation Initiative (TSCI)</t>
  </si>
  <si>
    <t>Replace U.S. stocks of equipment and services for Taiwan</t>
  </si>
  <si>
    <t>Indo-Pacific Command-led training, and Modular Mission Environment (MME)</t>
  </si>
  <si>
    <t>21 F-15 EXs, 47 F-35s, [number] F-47s, B-21, mobility aircraft, KC-46A tankers, unmanned aircraft systems, others?</t>
  </si>
  <si>
    <t>Air power</t>
  </si>
  <si>
    <t>Sea power</t>
  </si>
  <si>
    <t>19 battle force fleet (?) ships, including Columbia-class ballistic missile submarine (are they double-counting?), two Virginia-class attack submarines; two DDG-51 Arleigh Burke-class destroyers; one America-class amphibious assault ship; one LPD-17 San Antonio-class amphibious transport dock; nine McClung-class medium landing ships; two T-AO replenishment oilers; and one T-AGOS 25-class ocean surveillance ship</t>
  </si>
  <si>
    <t>Land power</t>
  </si>
  <si>
    <t>Amphibious Combat Vehicle (ACV), M1E3 Abrams development, XM30 MICV development, others</t>
  </si>
  <si>
    <t>Long-Range</t>
  </si>
  <si>
    <t>ARRW, HACM, LRHW, CPS, SM-6 IB, others?</t>
  </si>
  <si>
    <t>JASSM-ER, LRASM, Joint Strike Missile, Tomahawk, SM-6 IA, others?</t>
  </si>
  <si>
    <t>Space</t>
  </si>
  <si>
    <t>Vital space capabilities, resilient architectures, enhanced space command and control</t>
  </si>
  <si>
    <t>Cyberspace</t>
  </si>
  <si>
    <t>Defend and disrupt the efforts of advanced and persistent cyber adversaries, Zero Trust cybersecurity architecture (?), increase defence of U.S. critical infrastructure and partners against cyber attacks</t>
  </si>
  <si>
    <t>R&amp;D</t>
  </si>
  <si>
    <t>"Science &amp; Technology (S&amp;T)"</t>
  </si>
  <si>
    <t>Autonomous and remotely operated systems across air, land and above and below the sea</t>
  </si>
  <si>
    <t>Strategic Capabilities Office (SCO)</t>
  </si>
  <si>
    <t>Supply of defence</t>
  </si>
  <si>
    <t>Submarine Industrial Base (SIB)</t>
  </si>
  <si>
    <t>Industrial Base Analysis and Sustainment (IBAS) and Defence Protection Act Title III to mitigate cross-cutting supply chain risks in DIB including strategic materials, critical minerals etc.</t>
  </si>
  <si>
    <t>Office of Strategic Capital</t>
  </si>
  <si>
    <t>Soldiers</t>
  </si>
  <si>
    <t>QoL improvements for soldiers</t>
  </si>
  <si>
    <t>3.8% increase on FY 2025</t>
  </si>
  <si>
    <t>Military pay raise</t>
  </si>
  <si>
    <t>Defense Health Program</t>
  </si>
  <si>
    <t>Defense Innovation Unit (DIU) for rapidly prototyping and fielding dual-use technologies</t>
  </si>
  <si>
    <t>Defense Industrial Base (DIB) investments</t>
  </si>
  <si>
    <t>Medical facility improvements, clinical care, staffing increases at casualty locations</t>
  </si>
  <si>
    <t>Support programs for soldiers' families</t>
  </si>
  <si>
    <t>Ops and maintenance</t>
  </si>
  <si>
    <t>Readiness operations, training, and maintenance is a historic high and a 7.8% increase over FY 2025, with increases across each of the military departments</t>
  </si>
  <si>
    <t>Facilities</t>
  </si>
  <si>
    <t>Military construction and family housing programs</t>
  </si>
  <si>
    <t>Facilities sustainment, restoration and modernization (FSRM)</t>
  </si>
  <si>
    <t>Moral support</t>
  </si>
  <si>
    <t>Anti-vaxxers</t>
  </si>
  <si>
    <t>Suicide prevention programs</t>
  </si>
  <si>
    <t>Assault prevention programs</t>
  </si>
  <si>
    <t>Definitions and others:</t>
  </si>
  <si>
    <t>Golden Dome - shield and defence citizens and critical infrastructure against ballistic and hypersonic weapons, advanced cruise missiles, and other next-gen aerial attacks (?); project accountable to Deputy Secretary of Defense (track him?)</t>
  </si>
  <si>
    <t>Products</t>
  </si>
  <si>
    <t>Aircraft</t>
  </si>
  <si>
    <t>F-47</t>
  </si>
  <si>
    <t>Type</t>
  </si>
  <si>
    <t>Units produced</t>
  </si>
  <si>
    <t>Subcontractors</t>
  </si>
  <si>
    <t>J-19</t>
  </si>
  <si>
    <t>Design year</t>
  </si>
  <si>
    <t>Anti-ballistic</t>
  </si>
  <si>
    <t>Decommissioned year</t>
  </si>
  <si>
    <t>Commissioned (planned) year</t>
  </si>
  <si>
    <t>Anti-hypersonic (???)</t>
  </si>
  <si>
    <t>Anti-advanced cruise missiles</t>
  </si>
  <si>
    <t>Anti next-gen aerial attacks</t>
  </si>
  <si>
    <t>Space-based sensing, warning</t>
  </si>
  <si>
    <t>Interceptors</t>
  </si>
  <si>
    <t>C&amp;C</t>
  </si>
  <si>
    <t>Budget used</t>
  </si>
  <si>
    <t>Missile Defeat and Defense (MDD)</t>
  </si>
  <si>
    <t>includes</t>
  </si>
  <si>
    <t>regional and strategic missile defence capabilities outside of MDA</t>
  </si>
  <si>
    <t>advanced technology missile defeat efforts and other left-of-launch activities</t>
  </si>
  <si>
    <t>Next Generation Interceptor (NGI) testing?</t>
  </si>
  <si>
    <t>Ground-Based Midcourse Defense (GMD)</t>
  </si>
  <si>
    <t xml:space="preserve"> Ground-Based Interceptors (GBI)</t>
  </si>
  <si>
    <t xml:space="preserve"> Missile Defense Agency (MDA)</t>
  </si>
  <si>
    <t xml:space="preserve"> Other missile defence</t>
  </si>
  <si>
    <t xml:space="preserve"> Other</t>
  </si>
  <si>
    <t xml:space="preserve">  accounted for</t>
  </si>
  <si>
    <t xml:space="preserve">  unaccounted</t>
  </si>
  <si>
    <t xml:space="preserve"> accounted for</t>
  </si>
  <si>
    <t xml:space="preserve"> unaccounted</t>
  </si>
  <si>
    <t>Desc/comments</t>
  </si>
  <si>
    <t>Long-Range Discrimination Radar (LRDR)</t>
  </si>
  <si>
    <t xml:space="preserve"> Next Generation Interceptors (NGI)</t>
  </si>
  <si>
    <t>Sea-Based Weapons System</t>
  </si>
  <si>
    <t>Aegis Ballistic Missile Defense (BMD)</t>
  </si>
  <si>
    <t xml:space="preserve"> Standard Missile-3 (SM-3) Block IIA</t>
  </si>
  <si>
    <t>designed to defeat midcourse and ICBM threats</t>
  </si>
  <si>
    <t>Systems against SRBM, MRBM, IRBM</t>
  </si>
  <si>
    <t>Units ordered</t>
  </si>
  <si>
    <t>Users</t>
  </si>
  <si>
    <t>Anti-air/missile defence?</t>
  </si>
  <si>
    <t>identify, test and develop new hypersonic tech, analyse and upgrade capabilties of defence against hypersonic threats</t>
  </si>
  <si>
    <t>Hypersonic defence budget</t>
  </si>
  <si>
    <t>Glide Phase Intercept (GPI)</t>
  </si>
  <si>
    <t>Glide Phase Intercept (GLI)</t>
  </si>
  <si>
    <t>hypersonic defense prototype development acceleration, supporting Golden Dome</t>
  </si>
  <si>
    <t xml:space="preserve">  on Aegis BMD ships</t>
  </si>
  <si>
    <t xml:space="preserve">  on Aegis ashore</t>
  </si>
  <si>
    <t xml:space="preserve">  integration of missiles into Aegis BMD Weapon Systems</t>
  </si>
  <si>
    <t>Terminal High Altitude Area Defense (THAAD)</t>
  </si>
  <si>
    <t>Israeli Cooperative BMD</t>
  </si>
  <si>
    <t xml:space="preserve"> Iron Dome</t>
  </si>
  <si>
    <t xml:space="preserve"> David's Sling</t>
  </si>
  <si>
    <t xml:space="preserve"> Arrow-3</t>
  </si>
  <si>
    <t>Product</t>
  </si>
  <si>
    <t>Other non-MDA missile defences</t>
  </si>
  <si>
    <t xml:space="preserve"> Integrated air and missile defence capabilities</t>
  </si>
  <si>
    <t xml:space="preserve">  PAC-3/MSE missiles</t>
  </si>
  <si>
    <t xml:space="preserve">  M-SHORAD</t>
  </si>
  <si>
    <t xml:space="preserve">  LTAMDS</t>
  </si>
  <si>
    <t xml:space="preserve">  IFPC Increment 2</t>
  </si>
  <si>
    <t xml:space="preserve"> Navy missile defence</t>
  </si>
  <si>
    <t xml:space="preserve">  Aegis BMD</t>
  </si>
  <si>
    <t xml:space="preserve">  Others (p. 2-4)</t>
  </si>
  <si>
    <t xml:space="preserve"> Air Force and Space Force</t>
  </si>
  <si>
    <t xml:space="preserve">  Wide Area Surveillance in National Capital region</t>
  </si>
  <si>
    <t xml:space="preserve">  Long-range radar improvements</t>
  </si>
  <si>
    <t xml:space="preserve">  Next Generation Overhead Persistent Infrared</t>
  </si>
  <si>
    <t xml:space="preserve">  Resilient Missile Warning</t>
  </si>
  <si>
    <t xml:space="preserve">  Missile Tracking Low Earth Orbit and Medium Earth Orbit</t>
  </si>
  <si>
    <t xml:space="preserve">  Upgraded Early Warning Radars</t>
  </si>
  <si>
    <t xml:space="preserve">  Upgrade of legacy early warning systems</t>
  </si>
  <si>
    <t xml:space="preserve">  Space Development Agency (SDA) missile defence</t>
  </si>
  <si>
    <t xml:space="preserve">   Hypersonic missile tracking layer</t>
  </si>
  <si>
    <t xml:space="preserve">   Data transport layer</t>
  </si>
  <si>
    <t>to enhance several mission areas, including missile defence</t>
  </si>
  <si>
    <t xml:space="preserve">  Hypersonic and Ballistic Tracking Space Sensor (HBTSS)</t>
  </si>
  <si>
    <t>Left-of-launch - defeat missile threats before they are launched</t>
  </si>
  <si>
    <t xml:space="preserve"> Left-of-launch capabilities</t>
  </si>
  <si>
    <t>Counter-unmanned systems (C-UXS)</t>
  </si>
  <si>
    <t>2024 Budget</t>
  </si>
  <si>
    <t>2025 Budget</t>
  </si>
  <si>
    <t>2026 Budget</t>
  </si>
  <si>
    <t>Biodefence</t>
  </si>
  <si>
    <t>Sentinel ICBM</t>
  </si>
  <si>
    <t>Long Range Stand-Off Weapon</t>
  </si>
  <si>
    <t>Columbia-Class Submarines</t>
  </si>
  <si>
    <t>Trident II Missile Mods</t>
  </si>
  <si>
    <t>Nuclear-Armed, Sea-Launched Cruise Missile</t>
  </si>
  <si>
    <t>F-35A</t>
  </si>
  <si>
    <t>E-4C (SAOC)</t>
  </si>
  <si>
    <t>Evolved Strategic Satellite Communication</t>
  </si>
  <si>
    <t>E-130J (TACAMO)</t>
  </si>
  <si>
    <t>Next Gen OPIR (GEO/Polar/Ground)</t>
  </si>
  <si>
    <t>Resilient Missile Warning and Tracking (LEO/MEO/Ground)</t>
  </si>
  <si>
    <t>modernise and replace Minuteman III ICBM of 400 operationally deployed and 450 launch facilities</t>
  </si>
  <si>
    <t>replace bomber-delivered AGM-86B ALCM</t>
  </si>
  <si>
    <t>replace Ohio-class SSBNs</t>
  </si>
  <si>
    <t>low-rate initial production began in FY2024</t>
  </si>
  <si>
    <t>replacing F-15E and other fourth-gen</t>
  </si>
  <si>
    <t>replacing E-4B, militarised version of Boeing 747-8i</t>
  </si>
  <si>
    <t>replacing E-6B</t>
  </si>
  <si>
    <t>SSBN</t>
  </si>
  <si>
    <t>SLCM-N</t>
  </si>
  <si>
    <t>F-35A/B/C</t>
  </si>
  <si>
    <t>F-15EX</t>
  </si>
  <si>
    <t>KC-46A</t>
  </si>
  <si>
    <t>F/A-18E/F</t>
  </si>
  <si>
    <t>CH-53K</t>
  </si>
  <si>
    <t>E-2D</t>
  </si>
  <si>
    <t>AH-64E</t>
  </si>
  <si>
    <t>UH-60</t>
  </si>
  <si>
    <t>V-22</t>
  </si>
  <si>
    <t>MV-75</t>
  </si>
  <si>
    <t>MQ-4C</t>
  </si>
  <si>
    <t>MQ-25A</t>
  </si>
  <si>
    <t>MQ-9</t>
  </si>
  <si>
    <t>E-7A</t>
  </si>
  <si>
    <t>OA-1K</t>
  </si>
  <si>
    <t xml:space="preserve">Joint Strike Fighter </t>
  </si>
  <si>
    <t xml:space="preserve">Eagle Il </t>
  </si>
  <si>
    <t xml:space="preserve">Next Generation Air Dominance </t>
  </si>
  <si>
    <t xml:space="preserve">Tanker </t>
  </si>
  <si>
    <t xml:space="preserve">Super Hornet </t>
  </si>
  <si>
    <t xml:space="preserve">King Stallion Helicopter </t>
  </si>
  <si>
    <t xml:space="preserve">Advanced Hawkeye (AHE) </t>
  </si>
  <si>
    <t xml:space="preserve">Apache Helicopter </t>
  </si>
  <si>
    <t xml:space="preserve">Black Hawk Helicopter </t>
  </si>
  <si>
    <t xml:space="preserve">Osprey </t>
  </si>
  <si>
    <t xml:space="preserve">Future Long-Range Assault Aircraft (FLRAA) </t>
  </si>
  <si>
    <t xml:space="preserve">Triton Unmanned Aerial Vehicle </t>
  </si>
  <si>
    <t xml:space="preserve">Stingray Unmanned Aerial Vehicle </t>
  </si>
  <si>
    <t xml:space="preserve">Reaper </t>
  </si>
  <si>
    <t xml:space="preserve">Wedgetail </t>
  </si>
  <si>
    <t xml:space="preserve">Skyraider Il </t>
  </si>
  <si>
    <t>2026 units</t>
  </si>
  <si>
    <t>2025 units</t>
  </si>
  <si>
    <t>Trident II</t>
  </si>
  <si>
    <t>LRSO</t>
  </si>
  <si>
    <t>LGM-35</t>
  </si>
  <si>
    <t xml:space="preserve">Raider </t>
  </si>
  <si>
    <t xml:space="preserve">Columbia-Class Submarine3 </t>
  </si>
  <si>
    <t xml:space="preserve">Nuclear-Armed Sea Launched Cruise Missile </t>
  </si>
  <si>
    <t xml:space="preserve">Trident Il Missile Mods </t>
  </si>
  <si>
    <t xml:space="preserve">Long Range Standoff Weapon </t>
  </si>
  <si>
    <t xml:space="preserve">Sentinel Intercontinental Ballistic Missile </t>
  </si>
  <si>
    <t xml:space="preserve">DDG 51 </t>
  </si>
  <si>
    <t xml:space="preserve">ARLEIGH BURKE Class Destroyer </t>
  </si>
  <si>
    <t xml:space="preserve">CONSTELLATION Class Frigate (FFG 62) </t>
  </si>
  <si>
    <t xml:space="preserve">FFG 62 </t>
  </si>
  <si>
    <t xml:space="preserve">LHA </t>
  </si>
  <si>
    <t xml:space="preserve">T-AGOS </t>
  </si>
  <si>
    <t xml:space="preserve">USV </t>
  </si>
  <si>
    <t xml:space="preserve">LSM </t>
  </si>
  <si>
    <t xml:space="preserve">AMERICA Class Amphibious Assault </t>
  </si>
  <si>
    <t xml:space="preserve">JOHN LEWIS Class Fleet Replenishment Oiler </t>
  </si>
  <si>
    <t xml:space="preserve">Auxiliary General Ocean Surveillance </t>
  </si>
  <si>
    <t xml:space="preserve">Unmanned Surface Vessels (Medium &amp; Large) </t>
  </si>
  <si>
    <t xml:space="preserve">Medium Landing Ship </t>
  </si>
  <si>
    <t xml:space="preserve">SSN 774 </t>
  </si>
  <si>
    <t xml:space="preserve">CVN 79/80/81 </t>
  </si>
  <si>
    <t xml:space="preserve">LPD Flight Il </t>
  </si>
  <si>
    <t xml:space="preserve">Virginia-class Submarine </t>
  </si>
  <si>
    <t xml:space="preserve">1 FORD Class Aircraft Carrier </t>
  </si>
  <si>
    <t xml:space="preserve">SAN ANTONIO Class Amphibious Transport </t>
  </si>
  <si>
    <t>Launch Enterprise</t>
  </si>
  <si>
    <t>PNT</t>
  </si>
  <si>
    <t>MW/MT</t>
  </si>
  <si>
    <t>SATCOM</t>
  </si>
  <si>
    <t>Position, Navigation and Timing</t>
  </si>
  <si>
    <t>Space-Based Missile Warning Systems</t>
  </si>
  <si>
    <t>Satellite Communication</t>
  </si>
  <si>
    <t>T-AO</t>
  </si>
  <si>
    <t>Ships (major programs)</t>
  </si>
  <si>
    <t>Space (major programs)</t>
  </si>
  <si>
    <t>Aircraft (major programs)</t>
  </si>
  <si>
    <t>Missile defence/nuclear (major programs)</t>
  </si>
  <si>
    <t>Army</t>
  </si>
  <si>
    <t>Navy</t>
  </si>
  <si>
    <t>Airforce</t>
  </si>
  <si>
    <t>National Guard</t>
  </si>
  <si>
    <t>Defense-Wide</t>
  </si>
  <si>
    <t>add confidence level later?</t>
  </si>
  <si>
    <t>NOC</t>
  </si>
  <si>
    <t>RTX</t>
  </si>
  <si>
    <t>LMT</t>
  </si>
  <si>
    <t>future product</t>
  </si>
  <si>
    <t>RTX (probable)</t>
  </si>
  <si>
    <t>NOC Aeronautics</t>
  </si>
  <si>
    <t>GD Electric Boat</t>
  </si>
  <si>
    <t>LMT Space</t>
  </si>
  <si>
    <t>LMT Aeronautics</t>
  </si>
  <si>
    <t>Boeing Defense</t>
  </si>
  <si>
    <t>LMT/NOC</t>
  </si>
  <si>
    <t>BA Defense</t>
  </si>
  <si>
    <t>LMT/LHX</t>
  </si>
  <si>
    <t>LMT SBIRS + NOC Polar</t>
  </si>
  <si>
    <t>BA</t>
  </si>
  <si>
    <t>LMT Sikorsky</t>
  </si>
  <si>
    <t>Textron Bell + BA JV</t>
  </si>
  <si>
    <t>Textron Bell?</t>
  </si>
  <si>
    <t>GA Aeronautical</t>
  </si>
  <si>
    <t>General Atomics</t>
  </si>
  <si>
    <t>AeroVironment</t>
  </si>
  <si>
    <t>Archer Aviation</t>
  </si>
  <si>
    <t>Sierra Nevada</t>
  </si>
  <si>
    <t>Sierra Nevada + ERJ (A-29)</t>
  </si>
  <si>
    <t>GD EB</t>
  </si>
  <si>
    <t>GD EB + HII NNS</t>
  </si>
  <si>
    <t>HII + GD Bath Iron Works</t>
  </si>
  <si>
    <t>HII Newport News</t>
  </si>
  <si>
    <t>Fincantieri</t>
  </si>
  <si>
    <t>HII</t>
  </si>
  <si>
    <t>GD NASSCO</t>
  </si>
  <si>
    <t>ASB + LDOS</t>
  </si>
  <si>
    <t>ASB + HII + LDOS</t>
  </si>
  <si>
    <t>ASB + HII</t>
  </si>
  <si>
    <t>SpaceX + LMT + BA (ULA)</t>
  </si>
  <si>
    <t>LHX/NOC</t>
  </si>
  <si>
    <t>BA/LMT/NOC</t>
  </si>
  <si>
    <t>LHX + NOC (SDA)</t>
  </si>
  <si>
    <t>LHX, RTX, HON, LMT</t>
  </si>
  <si>
    <t>NOC, LHX, HON</t>
  </si>
  <si>
    <t>HII, BAE, RTX, LHX</t>
  </si>
  <si>
    <t>LHX, BAE, HON</t>
  </si>
  <si>
    <t>tbd</t>
  </si>
  <si>
    <t>LHX, RTX, Spirit</t>
  </si>
  <si>
    <t>RTX, BAE</t>
  </si>
  <si>
    <t>RTX, BAE, NOC</t>
  </si>
  <si>
    <t>RTX, NOC, LHX</t>
  </si>
  <si>
    <t>RTX, BA, BAE</t>
  </si>
  <si>
    <t>RTX, NOC</t>
  </si>
  <si>
    <t>RTX, Ball, Aerojet</t>
  </si>
  <si>
    <t>York Space, Ball, RTX</t>
  </si>
  <si>
    <t>RTX, BAE, LHX</t>
  </si>
  <si>
    <t>RTX, Spirit, GE</t>
  </si>
  <si>
    <t>RTX, GE, BAE</t>
  </si>
  <si>
    <t>GE, RTX, HON</t>
  </si>
  <si>
    <t>RTX, GE, LMT</t>
  </si>
  <si>
    <t>GE, RTX</t>
  </si>
  <si>
    <t>RR., BA.</t>
  </si>
  <si>
    <t>LHX, RTX</t>
  </si>
  <si>
    <t>RTX, LHX</t>
  </si>
  <si>
    <t>LHX</t>
  </si>
  <si>
    <t>HII NNS, BA., RTX, LHX</t>
  </si>
  <si>
    <t>LHX, BA., HON</t>
  </si>
  <si>
    <t>NOC, LHX</t>
  </si>
  <si>
    <t>LHX, RTX, HON</t>
  </si>
  <si>
    <t>NOC, Aerojet</t>
  </si>
  <si>
    <t>RTX, LHX, Aerojet</t>
  </si>
  <si>
    <t>Ball, RTX</t>
  </si>
  <si>
    <t>RTX, BA.</t>
  </si>
  <si>
    <t>IDIQ - indefinite delivery, indefinite quantity type 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</si>
</sst>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409]#,##0"/>
    <numFmt numFmtId="165" formatCode="0\x"/>
    <numFmt numFmtId="166" formatCode="[$$-409]#,##0.00"/>
    <numFmt numFmtId="167" formatCode="[$€-2]\ #,##0.00"/>
    <numFmt numFmtId="168" formatCode="0.0\x"/>
    <numFmt numFmtId="169" formatCode="&quot;£&quot;#,##0.00"/>
    <numFmt numFmtId="170" formatCode="#,##0.0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/>
      <top style="thin">
        <color theme="2" tint="-0.74999237037263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/>
    <xf numFmtId="165" fontId="2" fillId="2" borderId="1" xfId="0" applyNumberFormat="1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1" xfId="1" applyFont="1" applyFill="1" applyBorder="1"/>
    <xf numFmtId="166" fontId="3" fillId="2" borderId="1" xfId="0" applyNumberFormat="1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167" fontId="3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1" fillId="2" borderId="1" xfId="1" applyFill="1" applyBorder="1"/>
    <xf numFmtId="168" fontId="3" fillId="2" borderId="1" xfId="0" applyNumberFormat="1" applyFont="1" applyFill="1" applyBorder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9" fontId="3" fillId="2" borderId="1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168" fontId="7" fillId="2" borderId="1" xfId="0" applyNumberFormat="1" applyFont="1" applyFill="1" applyBorder="1" applyAlignment="1">
      <alignment horizontal="center"/>
    </xf>
    <xf numFmtId="0" fontId="3" fillId="3" borderId="2" xfId="0" applyFont="1" applyFill="1" applyBorder="1"/>
    <xf numFmtId="0" fontId="6" fillId="3" borderId="2" xfId="0" applyFont="1" applyFill="1" applyBorder="1"/>
    <xf numFmtId="0" fontId="4" fillId="3" borderId="2" xfId="0" applyFont="1" applyFill="1" applyBorder="1"/>
    <xf numFmtId="0" fontId="2" fillId="3" borderId="2" xfId="0" applyFont="1" applyFill="1" applyBorder="1"/>
    <xf numFmtId="0" fontId="3" fillId="3" borderId="3" xfId="0" applyFont="1" applyFill="1" applyBorder="1"/>
    <xf numFmtId="0" fontId="4" fillId="3" borderId="5" xfId="0" applyFont="1" applyFill="1" applyBorder="1"/>
    <xf numFmtId="0" fontId="2" fillId="3" borderId="8" xfId="0" applyFont="1" applyFill="1" applyBorder="1"/>
    <xf numFmtId="3" fontId="3" fillId="3" borderId="2" xfId="0" applyNumberFormat="1" applyFont="1" applyFill="1" applyBorder="1"/>
    <xf numFmtId="3" fontId="3" fillId="3" borderId="4" xfId="0" applyNumberFormat="1" applyFont="1" applyFill="1" applyBorder="1"/>
    <xf numFmtId="3" fontId="2" fillId="3" borderId="9" xfId="0" applyNumberFormat="1" applyFont="1" applyFill="1" applyBorder="1"/>
    <xf numFmtId="3" fontId="2" fillId="3" borderId="10" xfId="0" applyNumberFormat="1" applyFont="1" applyFill="1" applyBorder="1"/>
    <xf numFmtId="0" fontId="6" fillId="3" borderId="6" xfId="0" applyFont="1" applyFill="1" applyBorder="1" applyAlignment="1">
      <alignment horizontal="right"/>
    </xf>
    <xf numFmtId="0" fontId="6" fillId="3" borderId="7" xfId="0" applyFont="1" applyFill="1" applyBorder="1" applyAlignment="1">
      <alignment horizontal="right"/>
    </xf>
    <xf numFmtId="0" fontId="7" fillId="3" borderId="2" xfId="0" applyFont="1" applyFill="1" applyBorder="1"/>
    <xf numFmtId="3" fontId="2" fillId="3" borderId="2" xfId="0" applyNumberFormat="1" applyFont="1" applyFill="1" applyBorder="1"/>
    <xf numFmtId="170" fontId="3" fillId="3" borderId="2" xfId="0" applyNumberFormat="1" applyFont="1" applyFill="1" applyBorder="1"/>
    <xf numFmtId="3" fontId="7" fillId="3" borderId="2" xfId="0" applyNumberFormat="1" applyFont="1" applyFill="1" applyBorder="1"/>
    <xf numFmtId="170" fontId="2" fillId="3" borderId="2" xfId="0" applyNumberFormat="1" applyFont="1" applyFill="1" applyBorder="1"/>
    <xf numFmtId="0" fontId="3" fillId="3" borderId="2" xfId="0" applyFont="1" applyFill="1" applyBorder="1" applyAlignment="1">
      <alignment vertical="center"/>
    </xf>
    <xf numFmtId="0" fontId="3" fillId="2" borderId="2" xfId="0" applyFont="1" applyFill="1" applyBorder="1"/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1" tint="4.9989318521683403E-2"/>
        </patternFill>
      </fill>
      <border diagonalUp="0" diagonalDown="0" outline="0">
        <left style="thin">
          <color theme="2" tint="-0.749992370372631"/>
        </left>
        <right/>
        <top style="thin">
          <color theme="2" tint="-0.74999237037263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1" tint="4.9989318521683403E-2"/>
        </patternFill>
      </fill>
      <border diagonalUp="0" diagonalDown="0">
        <left style="thin">
          <color theme="2" tint="-0.749992370372631"/>
        </left>
        <right/>
        <top style="thin">
          <color theme="2" tint="-0.749992370372631"/>
        </top>
        <bottom style="thin">
          <color theme="2" tint="-0.74999237037263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1" tint="4.9989318521683403E-2"/>
        </patternFill>
      </fill>
      <border diagonalUp="0" diagonalDown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border diagonalUp="0" diagonalDown="0"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theme="1" tint="4.9989318521683403E-2"/>
        </patternFill>
      </fill>
      <border diagonalUp="0" diagonalDown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border diagonalUp="0" diagonalDown="0" outline="0">
        <left/>
        <right style="thin">
          <color theme="2" tint="-0.749992370372631"/>
        </right>
        <top style="thin">
          <color theme="2" tint="-0.74999237037263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border diagonalUp="0" diagonalDown="0">
        <left/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  <vertical/>
        <horizontal/>
      </border>
    </dxf>
    <dxf>
      <border outline="0">
        <top style="thin">
          <color theme="2" tint="-0.749992370372631"/>
        </top>
      </border>
    </dxf>
    <dxf>
      <border outline="0">
        <left style="thin">
          <color theme="2" tint="-0.749992370372631"/>
        </left>
        <right style="thin">
          <color theme="2" tint="-0.749992370372631"/>
        </right>
        <top style="thin">
          <color theme="2" tint="-0.749992370372631"/>
        </top>
        <bottom style="thin">
          <color theme="2" tint="-0.749992370372631"/>
        </bottom>
      </border>
    </dxf>
    <dxf>
      <border outline="0">
        <bottom style="thin">
          <color theme="2" tint="-0.749992370372631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4.9989318521683403E-2"/>
        </patternFill>
      </fill>
      <border diagonalUp="0" diagonalDown="0" outline="0">
        <left style="thin">
          <color theme="2" tint="-0.749992370372631"/>
        </left>
        <right style="thin">
          <color theme="2" tint="-0.74999237037263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TX.xlsx" TargetMode="External"/><Relationship Id="rId1" Type="http://schemas.openxmlformats.org/officeDocument/2006/relationships/externalLinkPath" Target="RT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BA.xlsx" TargetMode="External"/><Relationship Id="rId1" Type="http://schemas.openxmlformats.org/officeDocument/2006/relationships/externalLinkPath" Target="B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HON.xlsx" TargetMode="External"/><Relationship Id="rId1" Type="http://schemas.openxmlformats.org/officeDocument/2006/relationships/externalLinkPath" Target="HO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IR.xlsx" TargetMode="External"/><Relationship Id="rId1" Type="http://schemas.openxmlformats.org/officeDocument/2006/relationships/externalLinkPath" Target="AI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MT.xlsx" TargetMode="External"/><Relationship Id="rId1" Type="http://schemas.openxmlformats.org/officeDocument/2006/relationships/externalLinkPath" Target="LM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SAF.xlsx" TargetMode="External"/><Relationship Id="rId1" Type="http://schemas.openxmlformats.org/officeDocument/2006/relationships/externalLinkPath" Target="SAF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NOC.xlsx" TargetMode="External"/><Relationship Id="rId1" Type="http://schemas.openxmlformats.org/officeDocument/2006/relationships/externalLinkPath" Target="NOC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GD.xlsx" TargetMode="External"/><Relationship Id="rId1" Type="http://schemas.openxmlformats.org/officeDocument/2006/relationships/externalLinkPath" Target="G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HM.xlsx" TargetMode="External"/><Relationship Id="rId1" Type="http://schemas.openxmlformats.org/officeDocument/2006/relationships/externalLinkPath" Target="RHM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R.xlsx" TargetMode="External"/><Relationship Id="rId1" Type="http://schemas.openxmlformats.org/officeDocument/2006/relationships/externalLinkPath" Target="R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BA.L.xlsx" TargetMode="External"/><Relationship Id="rId1" Type="http://schemas.openxmlformats.org/officeDocument/2006/relationships/externalLinkPath" Target="BA.L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HX.xlsx" TargetMode="External"/><Relationship Id="rId1" Type="http://schemas.openxmlformats.org/officeDocument/2006/relationships/externalLinkPath" Target="LHX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HO.xlsx" TargetMode="External"/><Relationship Id="rId1" Type="http://schemas.openxmlformats.org/officeDocument/2006/relationships/externalLinkPath" Target="HO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AM.xlsx" TargetMode="External"/><Relationship Id="rId1" Type="http://schemas.openxmlformats.org/officeDocument/2006/relationships/externalLinkPath" Target="AM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DO.xlsx" TargetMode="External"/><Relationship Id="rId1" Type="http://schemas.openxmlformats.org/officeDocument/2006/relationships/externalLinkPath" Target="LDO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LDOS.xlsx" TargetMode="External"/><Relationship Id="rId1" Type="http://schemas.openxmlformats.org/officeDocument/2006/relationships/externalLinkPath" Target="LDO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BBD.A.xlsx" TargetMode="External"/><Relationship Id="rId1" Type="http://schemas.openxmlformats.org/officeDocument/2006/relationships/externalLinkPath" Target="BBD.A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TXT.xlsx" TargetMode="External"/><Relationship Id="rId1" Type="http://schemas.openxmlformats.org/officeDocument/2006/relationships/externalLinkPath" Target="TXT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ERJ.xlsx" TargetMode="External"/><Relationship Id="rId1" Type="http://schemas.openxmlformats.org/officeDocument/2006/relationships/externalLinkPath" Target="ERJ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HAG.xlsx" TargetMode="External"/><Relationship Id="rId1" Type="http://schemas.openxmlformats.org/officeDocument/2006/relationships/externalLinkPath" Target="HAG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KTOS.xlsx" TargetMode="External"/><Relationship Id="rId1" Type="http://schemas.openxmlformats.org/officeDocument/2006/relationships/externalLinkPath" Target="KTO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3NK.xlsx" TargetMode="External"/><Relationship Id="rId1" Type="http://schemas.openxmlformats.org/officeDocument/2006/relationships/externalLinkPath" Target="R3N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RCAT.xlsx" TargetMode="External"/><Relationship Id="rId1" Type="http://schemas.openxmlformats.org/officeDocument/2006/relationships/externalLinkPath" Target="RCAT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s\Documents\GitHub\FinanceModels\Financial%20Analysis\UMAC.xlsx" TargetMode="External"/><Relationship Id="rId1" Type="http://schemas.openxmlformats.org/officeDocument/2006/relationships/externalLinkPath" Target="UM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Charts"/>
      <sheetName val="Products"/>
    </sheetNames>
    <sheetDataSet>
      <sheetData sheetId="0">
        <row r="3">
          <cell r="D3">
            <v>166.58</v>
          </cell>
          <cell r="E3">
            <v>45934</v>
          </cell>
          <cell r="G3">
            <v>45958</v>
          </cell>
        </row>
        <row r="5">
          <cell r="D5">
            <v>222967.33000000002</v>
          </cell>
        </row>
        <row r="8">
          <cell r="D8">
            <v>-37196</v>
          </cell>
        </row>
        <row r="9">
          <cell r="D9">
            <v>260163.33000000002</v>
          </cell>
        </row>
      </sheetData>
      <sheetData sheetId="1">
        <row r="28">
          <cell r="AA28">
            <v>87203.32</v>
          </cell>
        </row>
        <row r="42">
          <cell r="U42">
            <v>3510</v>
          </cell>
          <cell r="V42">
            <v>-3109</v>
          </cell>
          <cell r="W42">
            <v>3897</v>
          </cell>
          <cell r="X42">
            <v>5216</v>
          </cell>
          <cell r="Y42">
            <v>3195</v>
          </cell>
          <cell r="Z42">
            <v>4774</v>
          </cell>
          <cell r="AA42">
            <v>6597.7138400000167</v>
          </cell>
          <cell r="AB42">
            <v>7570.8374651199974</v>
          </cell>
          <cell r="AC42">
            <v>8157.0804411392028</v>
          </cell>
          <cell r="AD42">
            <v>8502.7527649675394</v>
          </cell>
          <cell r="AK42">
            <v>10539.84925860564</v>
          </cell>
        </row>
        <row r="48">
          <cell r="Z48">
            <v>0.17147417295414979</v>
          </cell>
          <cell r="AA48">
            <v>8.0077782456835722E-2</v>
          </cell>
        </row>
        <row r="49">
          <cell r="AO49">
            <v>0.06</v>
          </cell>
        </row>
        <row r="51">
          <cell r="AA51">
            <v>0.2026911899684555</v>
          </cell>
        </row>
        <row r="54">
          <cell r="AA54">
            <v>9.8853831482562993E-2</v>
          </cell>
        </row>
        <row r="55">
          <cell r="AO55">
            <v>-0.50596791605531888</v>
          </cell>
        </row>
        <row r="56">
          <cell r="AO56" t="str">
            <v>Heavily overvalued</v>
          </cell>
        </row>
        <row r="57">
          <cell r="AA57">
            <v>7.5658975369286591E-2</v>
          </cell>
        </row>
        <row r="62">
          <cell r="P62">
            <v>1.556568664405076</v>
          </cell>
        </row>
        <row r="63">
          <cell r="P63">
            <v>-0.35756126737768923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216.3</v>
          </cell>
          <cell r="E3">
            <v>45934</v>
          </cell>
          <cell r="G3">
            <v>45952</v>
          </cell>
        </row>
        <row r="5">
          <cell r="D5">
            <v>162960.42000000001</v>
          </cell>
        </row>
        <row r="8">
          <cell r="D8">
            <v>-29320</v>
          </cell>
        </row>
        <row r="9">
          <cell r="D9">
            <v>192280.42</v>
          </cell>
        </row>
      </sheetData>
      <sheetData sheetId="1">
        <row r="12">
          <cell r="AV12">
            <v>618538</v>
          </cell>
        </row>
        <row r="16">
          <cell r="AV16">
            <v>89475.77</v>
          </cell>
        </row>
        <row r="33">
          <cell r="AP33">
            <v>-636</v>
          </cell>
          <cell r="AQ33">
            <v>-11873</v>
          </cell>
          <cell r="AR33">
            <v>-4202</v>
          </cell>
          <cell r="AS33">
            <v>-4935</v>
          </cell>
          <cell r="AT33">
            <v>-2222</v>
          </cell>
          <cell r="AU33">
            <v>-11875</v>
          </cell>
          <cell r="AV33">
            <v>-1766.719874999995</v>
          </cell>
          <cell r="AW33">
            <v>2015.174950999997</v>
          </cell>
          <cell r="AX33">
            <v>3280.0064038900064</v>
          </cell>
          <cell r="AY33">
            <v>4389.198277423704</v>
          </cell>
          <cell r="BF33">
            <v>9869.8519171971639</v>
          </cell>
        </row>
        <row r="40">
          <cell r="AU40">
            <v>-0.14495976553461709</v>
          </cell>
          <cell r="AV40">
            <v>0.34515642617676701</v>
          </cell>
          <cell r="BI40">
            <v>0.06</v>
          </cell>
        </row>
        <row r="43">
          <cell r="AV43">
            <v>0.11339720798155752</v>
          </cell>
        </row>
        <row r="46">
          <cell r="AV46">
            <v>2.0289571131939408E-3</v>
          </cell>
          <cell r="BI46">
            <v>-0.4740935991448707</v>
          </cell>
        </row>
        <row r="47">
          <cell r="BI47" t="str">
            <v>Overvalued</v>
          </cell>
        </row>
        <row r="53">
          <cell r="X53">
            <v>1.2395591799896855</v>
          </cell>
        </row>
        <row r="54">
          <cell r="X54">
            <v>-0.19326159158587242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209.05</v>
          </cell>
          <cell r="E3">
            <v>45934</v>
          </cell>
          <cell r="G3">
            <v>45953</v>
          </cell>
        </row>
        <row r="5">
          <cell r="D5">
            <v>133269.375</v>
          </cell>
        </row>
        <row r="8">
          <cell r="D8">
            <v>-24408</v>
          </cell>
        </row>
        <row r="9">
          <cell r="D9">
            <v>157677.375</v>
          </cell>
        </row>
      </sheetData>
      <sheetData sheetId="1">
        <row r="5">
          <cell r="Z5">
            <v>41769.86</v>
          </cell>
        </row>
        <row r="21">
          <cell r="T21">
            <v>6143</v>
          </cell>
          <cell r="U21">
            <v>4779</v>
          </cell>
          <cell r="V21">
            <v>5542</v>
          </cell>
          <cell r="W21">
            <v>4966</v>
          </cell>
          <cell r="X21">
            <v>5658</v>
          </cell>
          <cell r="Y21">
            <v>5705</v>
          </cell>
          <cell r="Z21">
            <v>6242.2181160000009</v>
          </cell>
          <cell r="AA21">
            <v>6474.8637126400035</v>
          </cell>
          <cell r="AB21">
            <v>6915.614977584004</v>
          </cell>
          <cell r="AC21">
            <v>7358.4506706088232</v>
          </cell>
          <cell r="AJ21">
            <v>8514.6826348631621</v>
          </cell>
        </row>
        <row r="27">
          <cell r="Y27">
            <v>5.0079100976487823E-2</v>
          </cell>
          <cell r="Z27">
            <v>8.4987791573588156E-2</v>
          </cell>
          <cell r="AM27">
            <v>0.06</v>
          </cell>
        </row>
        <row r="30">
          <cell r="Z30">
            <v>0.3822494688754044</v>
          </cell>
        </row>
        <row r="33">
          <cell r="Z33">
            <v>0.19938196584810197</v>
          </cell>
          <cell r="AM33">
            <v>-0.26341023557212051</v>
          </cell>
        </row>
        <row r="34">
          <cell r="AM34" t="str">
            <v>Slightly overvalued</v>
          </cell>
        </row>
        <row r="41">
          <cell r="P41">
            <v>2.0107037197617923</v>
          </cell>
        </row>
        <row r="42">
          <cell r="P42">
            <v>-0.50266168497541264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203.55</v>
          </cell>
          <cell r="E3">
            <v>45934</v>
          </cell>
          <cell r="G3">
            <v>45959</v>
          </cell>
        </row>
        <row r="5">
          <cell r="D5">
            <v>160662.01500000001</v>
          </cell>
        </row>
        <row r="8">
          <cell r="D8">
            <v>14263</v>
          </cell>
        </row>
        <row r="9">
          <cell r="D9">
            <v>146399.01500000001</v>
          </cell>
        </row>
      </sheetData>
      <sheetData sheetId="1">
        <row r="3">
          <cell r="AA3">
            <v>73427.94</v>
          </cell>
        </row>
        <row r="22">
          <cell r="U22">
            <v>-1362</v>
          </cell>
          <cell r="V22">
            <v>-1133</v>
          </cell>
          <cell r="W22">
            <v>4213</v>
          </cell>
          <cell r="X22">
            <v>4247</v>
          </cell>
          <cell r="Y22">
            <v>3789</v>
          </cell>
          <cell r="Z22">
            <v>4232</v>
          </cell>
          <cell r="AA22">
            <v>5270.3283367999993</v>
          </cell>
          <cell r="AB22">
            <v>5759.7684619200008</v>
          </cell>
          <cell r="AC22">
            <v>6515.0674260704018</v>
          </cell>
          <cell r="AD22">
            <v>6668.5547838398097</v>
          </cell>
          <cell r="AK22">
            <v>7839.3378328649687</v>
          </cell>
        </row>
        <row r="26">
          <cell r="Z26">
            <v>5.7818659658344318E-2</v>
          </cell>
          <cell r="AA26">
            <v>6.063758486205395E-2</v>
          </cell>
        </row>
        <row r="27">
          <cell r="AA27">
            <v>0.16</v>
          </cell>
        </row>
        <row r="28">
          <cell r="AO28">
            <v>7.0000000000000007E-2</v>
          </cell>
        </row>
        <row r="31">
          <cell r="AA31">
            <v>8.4329038510408974E-2</v>
          </cell>
        </row>
        <row r="34">
          <cell r="AO34">
            <v>-0.31140694133583646</v>
          </cell>
        </row>
        <row r="35">
          <cell r="AO35" t="str">
            <v>Overvalued</v>
          </cell>
        </row>
        <row r="40">
          <cell r="P40">
            <v>1.1345242947923126</v>
          </cell>
        </row>
        <row r="41">
          <cell r="P41">
            <v>-0.11857330460864102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504.49</v>
          </cell>
          <cell r="E3">
            <v>45934</v>
          </cell>
          <cell r="G3">
            <v>45958</v>
          </cell>
        </row>
        <row r="5">
          <cell r="D5">
            <v>117798.41500000001</v>
          </cell>
        </row>
        <row r="8">
          <cell r="D8">
            <v>-17787</v>
          </cell>
        </row>
        <row r="9">
          <cell r="D9">
            <v>135585.41500000001</v>
          </cell>
        </row>
      </sheetData>
      <sheetData sheetId="1">
        <row r="5">
          <cell r="AD5">
            <v>72581.52</v>
          </cell>
        </row>
        <row r="21">
          <cell r="X21">
            <v>6230</v>
          </cell>
          <cell r="Y21">
            <v>6888</v>
          </cell>
          <cell r="Z21">
            <v>6315</v>
          </cell>
          <cell r="AA21">
            <v>5732</v>
          </cell>
          <cell r="AB21">
            <v>6920</v>
          </cell>
          <cell r="AC21">
            <v>5336</v>
          </cell>
          <cell r="AD21">
            <v>6890.479949999999</v>
          </cell>
          <cell r="AE21">
            <v>7039.1165736000012</v>
          </cell>
          <cell r="AF21">
            <v>7133.4030690119962</v>
          </cell>
          <cell r="AG21">
            <v>7229.3492892684044</v>
          </cell>
          <cell r="AN21">
            <v>7950.7788906259766</v>
          </cell>
        </row>
        <row r="27">
          <cell r="AB27">
            <v>2.4051285160038738E-2</v>
          </cell>
          <cell r="AC27">
            <v>5.1382989744120922E-2</v>
          </cell>
          <cell r="AQ27">
            <v>7.0000000000000007E-2</v>
          </cell>
        </row>
        <row r="30">
          <cell r="AC30">
            <v>8.4089917373984774E-2</v>
          </cell>
        </row>
        <row r="31">
          <cell r="AC31">
            <v>9.8714862829553926E-2</v>
          </cell>
        </row>
        <row r="33">
          <cell r="AQ33">
            <v>-0.28578271553854717</v>
          </cell>
        </row>
        <row r="34">
          <cell r="AQ34" t="str">
            <v>Slightly overvalued</v>
          </cell>
        </row>
        <row r="39">
          <cell r="T39">
            <v>2.3031325802615936</v>
          </cell>
        </row>
        <row r="40">
          <cell r="T40">
            <v>-0.56580875605241165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303.10000000000002</v>
          </cell>
          <cell r="E3">
            <v>45934</v>
          </cell>
          <cell r="G3">
            <v>46066</v>
          </cell>
        </row>
        <row r="5">
          <cell r="D5">
            <v>126665.49</v>
          </cell>
        </row>
        <row r="8">
          <cell r="D8">
            <v>3454</v>
          </cell>
        </row>
        <row r="9">
          <cell r="D9">
            <v>123211.49</v>
          </cell>
        </row>
      </sheetData>
      <sheetData sheetId="1">
        <row r="5">
          <cell r="R5">
            <v>31734.280000000002</v>
          </cell>
        </row>
        <row r="27">
          <cell r="L27">
            <v>2665</v>
          </cell>
          <cell r="M27">
            <v>844</v>
          </cell>
          <cell r="N27">
            <v>760</v>
          </cell>
          <cell r="O27">
            <v>1178</v>
          </cell>
          <cell r="P27">
            <v>3444</v>
          </cell>
          <cell r="Q27">
            <v>-667</v>
          </cell>
          <cell r="R27">
            <v>6723.0672399999985</v>
          </cell>
          <cell r="S27">
            <v>4958.320731400001</v>
          </cell>
          <cell r="T27">
            <v>5263.9838682340005</v>
          </cell>
          <cell r="U27">
            <v>5481.8804852950607</v>
          </cell>
          <cell r="AB27">
            <v>6414.0186126697317</v>
          </cell>
        </row>
        <row r="31">
          <cell r="P31">
            <v>0.23876765083440299</v>
          </cell>
          <cell r="Q31">
            <v>0.16700518134715026</v>
          </cell>
        </row>
        <row r="32">
          <cell r="Q32">
            <v>0.19116288982027421</v>
          </cell>
        </row>
        <row r="33">
          <cell r="Q33">
            <v>0.14889536122753427</v>
          </cell>
          <cell r="AF33">
            <v>7.0000000000000007E-2</v>
          </cell>
        </row>
        <row r="39">
          <cell r="AF39">
            <v>-0.32982198133996943</v>
          </cell>
        </row>
        <row r="40">
          <cell r="AF40" t="str">
            <v>Overvalued</v>
          </cell>
        </row>
        <row r="41">
          <cell r="I41">
            <v>2.2397202428561043</v>
          </cell>
        </row>
        <row r="42">
          <cell r="I42">
            <v>-0.55351566643662864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609.54</v>
          </cell>
          <cell r="E3">
            <v>45934</v>
          </cell>
          <cell r="G3">
            <v>45953</v>
          </cell>
        </row>
        <row r="5">
          <cell r="D5">
            <v>87286.127999999982</v>
          </cell>
        </row>
        <row r="8">
          <cell r="D8">
            <v>-13261</v>
          </cell>
        </row>
        <row r="9">
          <cell r="D9">
            <v>100547.12799999998</v>
          </cell>
        </row>
      </sheetData>
      <sheetData sheetId="1">
        <row r="5">
          <cell r="Z5">
            <v>42508.18</v>
          </cell>
        </row>
        <row r="18">
          <cell r="T18">
            <v>2248</v>
          </cell>
          <cell r="U18">
            <v>3189</v>
          </cell>
          <cell r="V18">
            <v>7005</v>
          </cell>
          <cell r="W18">
            <v>4896</v>
          </cell>
          <cell r="X18">
            <v>2056</v>
          </cell>
          <cell r="Y18">
            <v>4174</v>
          </cell>
          <cell r="Z18">
            <v>4444.976592</v>
          </cell>
          <cell r="AA18">
            <v>4619.4424550400017</v>
          </cell>
          <cell r="AB18">
            <v>4740.5026427807952</v>
          </cell>
          <cell r="AC18">
            <v>4864.2707476628157</v>
          </cell>
          <cell r="AJ18">
            <v>5342.3586043759151</v>
          </cell>
        </row>
        <row r="24">
          <cell r="X24">
            <v>7.3438609912026775E-2</v>
          </cell>
          <cell r="Y24">
            <v>4.4362433189106598E-2</v>
          </cell>
          <cell r="AM24">
            <v>0.08</v>
          </cell>
        </row>
        <row r="27">
          <cell r="Y27">
            <v>0.20378719567177639</v>
          </cell>
        </row>
        <row r="29">
          <cell r="Y29">
            <v>0.10649964662588648</v>
          </cell>
        </row>
        <row r="30">
          <cell r="AM30">
            <v>-0.46246420199305338</v>
          </cell>
        </row>
        <row r="31">
          <cell r="AM31" t="str">
            <v>Overvalued</v>
          </cell>
        </row>
        <row r="37">
          <cell r="P37">
            <v>2.0332678408930049</v>
          </cell>
        </row>
        <row r="38">
          <cell r="P38">
            <v>-0.50818088011424845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343.62</v>
          </cell>
          <cell r="E3">
            <v>45934</v>
          </cell>
          <cell r="G3">
            <v>45952</v>
          </cell>
        </row>
        <row r="5">
          <cell r="D5">
            <v>92433.78</v>
          </cell>
        </row>
        <row r="8">
          <cell r="D8">
            <v>-8367</v>
          </cell>
        </row>
        <row r="9">
          <cell r="D9">
            <v>100800.78</v>
          </cell>
        </row>
      </sheetData>
      <sheetData sheetId="1">
        <row r="5">
          <cell r="AC5">
            <v>52106.25</v>
          </cell>
        </row>
        <row r="16">
          <cell r="W16">
            <v>3484</v>
          </cell>
          <cell r="X16">
            <v>3167</v>
          </cell>
          <cell r="Y16">
            <v>3257</v>
          </cell>
          <cell r="Z16">
            <v>3390</v>
          </cell>
          <cell r="AA16">
            <v>3315</v>
          </cell>
          <cell r="AB16">
            <v>3782</v>
          </cell>
          <cell r="AC16">
            <v>4243.5310400000008</v>
          </cell>
          <cell r="AD16">
            <v>4623.3326656000045</v>
          </cell>
          <cell r="AE16">
            <v>4897.3993508480062</v>
          </cell>
          <cell r="AF16">
            <v>5139.2124562518457</v>
          </cell>
          <cell r="AM16">
            <v>5952.0470127677636</v>
          </cell>
        </row>
        <row r="22">
          <cell r="AB22">
            <v>0.12878501135503417</v>
          </cell>
          <cell r="AC22">
            <v>9.2007921871070542E-2</v>
          </cell>
          <cell r="AP22">
            <v>0.08</v>
          </cell>
        </row>
        <row r="25">
          <cell r="AC25">
            <v>0.15384503778337533</v>
          </cell>
        </row>
        <row r="27">
          <cell r="AC27">
            <v>0.10308260525368838</v>
          </cell>
        </row>
        <row r="28">
          <cell r="AP28">
            <v>-0.38489088558383555</v>
          </cell>
        </row>
        <row r="29">
          <cell r="AC29">
            <v>8.1439962384550812E-2</v>
          </cell>
          <cell r="AP29" t="str">
            <v>Overvalued</v>
          </cell>
        </row>
        <row r="34">
          <cell r="P34">
            <v>1.7719163971312051</v>
          </cell>
        </row>
        <row r="35">
          <cell r="P35">
            <v>-0.435639287711861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1744.5</v>
          </cell>
          <cell r="E3">
            <v>45906</v>
          </cell>
          <cell r="G3">
            <v>45967</v>
          </cell>
        </row>
        <row r="5">
          <cell r="D5">
            <v>76478.880000000005</v>
          </cell>
        </row>
        <row r="8">
          <cell r="D8">
            <v>-293</v>
          </cell>
        </row>
        <row r="9">
          <cell r="D9">
            <v>76771.88</v>
          </cell>
        </row>
      </sheetData>
      <sheetData sheetId="1">
        <row r="11">
          <cell r="T11">
            <v>63165</v>
          </cell>
        </row>
        <row r="18">
          <cell r="AE18">
            <v>12231.94</v>
          </cell>
        </row>
        <row r="37">
          <cell r="AA37">
            <v>291</v>
          </cell>
          <cell r="AB37">
            <v>476</v>
          </cell>
          <cell r="AC37">
            <v>534</v>
          </cell>
          <cell r="AD37">
            <v>717</v>
          </cell>
          <cell r="AE37">
            <v>1152.8015680000001</v>
          </cell>
          <cell r="AF37">
            <v>1264.6224175000007</v>
          </cell>
          <cell r="AG37">
            <v>1430.3841434999997</v>
          </cell>
          <cell r="AH37">
            <v>1527.5501896362498</v>
          </cell>
          <cell r="AI37">
            <v>1588.4162624936125</v>
          </cell>
          <cell r="AO37">
            <v>1804.5664601807241</v>
          </cell>
        </row>
        <row r="46">
          <cell r="AS46">
            <v>7.0000000000000007E-2</v>
          </cell>
        </row>
        <row r="49">
          <cell r="AD49">
            <v>0.35902439024390254</v>
          </cell>
          <cell r="AE49">
            <v>0.25442928930366127</v>
          </cell>
        </row>
        <row r="51">
          <cell r="AE51">
            <v>0.28072109575423032</v>
          </cell>
        </row>
        <row r="52">
          <cell r="AS52">
            <v>-0.71543396756112809</v>
          </cell>
        </row>
        <row r="53">
          <cell r="AS53" t="str">
            <v>Heavily overvalued</v>
          </cell>
        </row>
        <row r="56">
          <cell r="AE56">
            <v>0.16228117534912698</v>
          </cell>
        </row>
        <row r="59">
          <cell r="AE59">
            <v>9.4245194793303441E-2</v>
          </cell>
        </row>
        <row r="63">
          <cell r="T63">
            <v>5.2608702802713632</v>
          </cell>
        </row>
        <row r="64">
          <cell r="T64">
            <v>-0.80991738120780687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11.685</v>
          </cell>
          <cell r="E3">
            <v>45934</v>
          </cell>
          <cell r="G3">
            <v>46079</v>
          </cell>
        </row>
        <row r="5">
          <cell r="D5">
            <v>98504.55</v>
          </cell>
        </row>
        <row r="8">
          <cell r="D8">
            <v>2379</v>
          </cell>
        </row>
        <row r="9">
          <cell r="D9">
            <v>96125.55</v>
          </cell>
        </row>
      </sheetData>
      <sheetData sheetId="1">
        <row r="3">
          <cell r="R3">
            <v>21178.080000000002</v>
          </cell>
        </row>
        <row r="16">
          <cell r="L16">
            <v>-1315</v>
          </cell>
          <cell r="M16">
            <v>-3170</v>
          </cell>
          <cell r="N16">
            <v>120</v>
          </cell>
          <cell r="O16">
            <v>-1269</v>
          </cell>
          <cell r="P16">
            <v>2412</v>
          </cell>
          <cell r="Q16">
            <v>1971</v>
          </cell>
          <cell r="R16">
            <v>1904.7799599999998</v>
          </cell>
          <cell r="S16">
            <v>2166.5070368000002</v>
          </cell>
          <cell r="T16">
            <v>2390.7082868080001</v>
          </cell>
          <cell r="U16">
            <v>2597.5219971524007</v>
          </cell>
          <cell r="AB16">
            <v>3711.3030408541613</v>
          </cell>
        </row>
        <row r="20">
          <cell r="Q20">
            <v>0.14697318937280124</v>
          </cell>
          <cell r="R20">
            <v>0.12000000000000011</v>
          </cell>
        </row>
        <row r="21">
          <cell r="R21">
            <v>0.21999999999999997</v>
          </cell>
        </row>
        <row r="22">
          <cell r="AE22">
            <v>7.0000000000000007E-2</v>
          </cell>
        </row>
        <row r="24">
          <cell r="R24">
            <v>0.12645705370836258</v>
          </cell>
        </row>
        <row r="26">
          <cell r="R26">
            <v>8.994110703142115E-2</v>
          </cell>
        </row>
        <row r="28">
          <cell r="AE28">
            <v>-0.54430385996253983</v>
          </cell>
        </row>
        <row r="29">
          <cell r="AE29" t="str">
            <v>Heavily overvalued</v>
          </cell>
        </row>
        <row r="32">
          <cell r="I32">
            <v>2.5336201897733264</v>
          </cell>
        </row>
        <row r="33">
          <cell r="I33">
            <v>-0.60530784999409626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20.55</v>
          </cell>
          <cell r="E3">
            <v>45934</v>
          </cell>
          <cell r="G3">
            <v>46072</v>
          </cell>
        </row>
        <row r="5">
          <cell r="D5">
            <v>61650</v>
          </cell>
        </row>
        <row r="8">
          <cell r="D8">
            <v>-4907</v>
          </cell>
        </row>
        <row r="9">
          <cell r="D9">
            <v>66557</v>
          </cell>
        </row>
      </sheetData>
      <sheetData sheetId="1">
        <row r="10">
          <cell r="I10">
            <v>75400</v>
          </cell>
        </row>
        <row r="22">
          <cell r="R22">
            <v>28248.11</v>
          </cell>
        </row>
        <row r="41">
          <cell r="N41">
            <v>1758</v>
          </cell>
          <cell r="O41">
            <v>1591</v>
          </cell>
          <cell r="P41">
            <v>1857</v>
          </cell>
          <cell r="Q41">
            <v>1956</v>
          </cell>
          <cell r="R41">
            <v>2983.0295450000012</v>
          </cell>
          <cell r="S41">
            <v>3274.0576822999979</v>
          </cell>
          <cell r="T41">
            <v>3558.6704355280026</v>
          </cell>
          <cell r="U41">
            <v>3774.8694653950824</v>
          </cell>
          <cell r="AB41">
            <v>4907.2226055251313</v>
          </cell>
        </row>
        <row r="48">
          <cell r="AE48">
            <v>7.0000000000000007E-2</v>
          </cell>
        </row>
        <row r="50">
          <cell r="Q50">
            <v>0.14013346043851294</v>
          </cell>
          <cell r="R50">
            <v>7.3582775919732502E-2</v>
          </cell>
        </row>
        <row r="51">
          <cell r="R51">
            <v>0.65</v>
          </cell>
        </row>
        <row r="54">
          <cell r="R54">
            <v>0.12268047313607891</v>
          </cell>
          <cell r="AE54">
            <v>-0.12909995502690153</v>
          </cell>
        </row>
        <row r="55">
          <cell r="AE55" t="str">
            <v>Slightly overvalued</v>
          </cell>
        </row>
        <row r="56">
          <cell r="R56">
            <v>0.10560103118403324</v>
          </cell>
        </row>
        <row r="61">
          <cell r="I61">
            <v>1.8487542012721869</v>
          </cell>
        </row>
        <row r="62">
          <cell r="I62">
            <v>-0.45909521162312006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297.39</v>
          </cell>
          <cell r="E3">
            <v>45934</v>
          </cell>
          <cell r="G3">
            <v>45953</v>
          </cell>
        </row>
        <row r="5">
          <cell r="D5">
            <v>55641.668999999994</v>
          </cell>
        </row>
        <row r="8">
          <cell r="D8">
            <v>-11620</v>
          </cell>
        </row>
        <row r="9">
          <cell r="D9">
            <v>67261.668999999994</v>
          </cell>
        </row>
      </sheetData>
      <sheetData sheetId="1">
        <row r="5">
          <cell r="X5">
            <v>21325</v>
          </cell>
        </row>
        <row r="18">
          <cell r="T18">
            <v>1119</v>
          </cell>
          <cell r="U18">
            <v>1846</v>
          </cell>
          <cell r="V18">
            <v>1062</v>
          </cell>
          <cell r="W18">
            <v>1227</v>
          </cell>
          <cell r="X18">
            <v>1502</v>
          </cell>
          <cell r="Y18">
            <v>2244.6631800000009</v>
          </cell>
          <cell r="Z18">
            <v>2396.5053390000035</v>
          </cell>
          <cell r="AA18">
            <v>2530.2616968599991</v>
          </cell>
          <cell r="AB18">
            <v>2642.0492126718009</v>
          </cell>
          <cell r="AI18">
            <v>3415.6161640392561</v>
          </cell>
        </row>
        <row r="24">
          <cell r="W24">
            <v>0.13814324229281438</v>
          </cell>
          <cell r="X24">
            <v>9.815129512333276E-2</v>
          </cell>
          <cell r="AL24">
            <v>0.08</v>
          </cell>
        </row>
        <row r="27">
          <cell r="X27">
            <v>0.25903868698710436</v>
          </cell>
        </row>
        <row r="29">
          <cell r="X29">
            <v>8.9941383352872217E-2</v>
          </cell>
        </row>
        <row r="30">
          <cell r="AL30">
            <v>-0.56782003127583369</v>
          </cell>
        </row>
        <row r="31">
          <cell r="AL31" t="str">
            <v>Heavily overvalued</v>
          </cell>
        </row>
        <row r="36">
          <cell r="P36">
            <v>1.6309813045586807</v>
          </cell>
        </row>
        <row r="37">
          <cell r="P37">
            <v>-0.38687218718881322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271</v>
          </cell>
          <cell r="E3">
            <v>45934</v>
          </cell>
          <cell r="G3">
            <v>45953</v>
          </cell>
        </row>
        <row r="5">
          <cell r="D5">
            <v>55663.4</v>
          </cell>
        </row>
        <row r="8">
          <cell r="D8">
            <v>-1408.0999999999995</v>
          </cell>
        </row>
        <row r="9">
          <cell r="D9">
            <v>57071.5</v>
          </cell>
        </row>
      </sheetData>
      <sheetData sheetId="1">
        <row r="5">
          <cell r="P5">
            <v>20576.599999999999</v>
          </cell>
        </row>
        <row r="24">
          <cell r="K24">
            <v>1146.4000000000005</v>
          </cell>
          <cell r="L24">
            <v>491.90000000000072</v>
          </cell>
          <cell r="M24">
            <v>1016.7999999999997</v>
          </cell>
          <cell r="N24">
            <v>1121.8999999999996</v>
          </cell>
          <cell r="O24">
            <v>928.6000000000015</v>
          </cell>
          <cell r="P24">
            <v>932.29999999999723</v>
          </cell>
          <cell r="Q24">
            <v>1473.4199211999967</v>
          </cell>
          <cell r="R24">
            <v>1674.1472117759988</v>
          </cell>
          <cell r="S24">
            <v>1801.8286222247989</v>
          </cell>
          <cell r="T24">
            <v>1905.822140949791</v>
          </cell>
          <cell r="AA24">
            <v>2209.5151424104974</v>
          </cell>
        </row>
        <row r="29">
          <cell r="O29">
            <v>4.89276444606348E-2</v>
          </cell>
          <cell r="P29">
            <v>0.11657007662086771</v>
          </cell>
        </row>
        <row r="30">
          <cell r="P30">
            <v>0.26116559587103788</v>
          </cell>
        </row>
        <row r="32">
          <cell r="AD32">
            <v>0.08</v>
          </cell>
        </row>
        <row r="34">
          <cell r="P34">
            <v>6.1341523866916652E-2</v>
          </cell>
        </row>
        <row r="38">
          <cell r="AD38">
            <v>-0.59343933080112277</v>
          </cell>
        </row>
        <row r="39">
          <cell r="AD39" t="str">
            <v>Heavily overvalued</v>
          </cell>
        </row>
        <row r="42">
          <cell r="G42">
            <v>1.4676241417440277</v>
          </cell>
        </row>
        <row r="43">
          <cell r="G43">
            <v>-0.31862663501046928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28.96</v>
          </cell>
          <cell r="E3">
            <v>45934</v>
          </cell>
          <cell r="G3">
            <v>46079</v>
          </cell>
        </row>
        <row r="5">
          <cell r="D5">
            <v>38033.167999999998</v>
          </cell>
        </row>
        <row r="8">
          <cell r="D8">
            <v>1459</v>
          </cell>
        </row>
        <row r="9">
          <cell r="D9">
            <v>36574.167999999998</v>
          </cell>
        </row>
      </sheetData>
      <sheetData sheetId="1">
        <row r="7">
          <cell r="W7">
            <v>6448.74</v>
          </cell>
        </row>
        <row r="23">
          <cell r="Q23">
            <v>615.30000000000064</v>
          </cell>
          <cell r="R23">
            <v>491.20000000000067</v>
          </cell>
          <cell r="S23">
            <v>773.79999999999905</v>
          </cell>
          <cell r="T23">
            <v>931.79999999999984</v>
          </cell>
          <cell r="U23">
            <v>1050.8999999999996</v>
          </cell>
          <cell r="V23">
            <v>1200.3000000000002</v>
          </cell>
          <cell r="W23">
            <v>1113.4564026999999</v>
          </cell>
          <cell r="X23">
            <v>1422.1613657599992</v>
          </cell>
          <cell r="Y23">
            <v>1443.7923014975993</v>
          </cell>
          <cell r="Z23">
            <v>1456.7690142637746</v>
          </cell>
          <cell r="AG23">
            <v>1728.8659382205271</v>
          </cell>
        </row>
        <row r="29">
          <cell r="AJ29">
            <v>0.08</v>
          </cell>
        </row>
        <row r="30">
          <cell r="V30">
            <v>4.4056860570622192E-2</v>
          </cell>
          <cell r="W30">
            <v>3.7842796446504456E-2</v>
          </cell>
        </row>
        <row r="33">
          <cell r="W33">
            <v>0.8307891805220865</v>
          </cell>
        </row>
        <row r="35">
          <cell r="AJ35">
            <v>-0.46970507897832114</v>
          </cell>
        </row>
        <row r="36">
          <cell r="AJ36" t="str">
            <v>Overvalued</v>
          </cell>
        </row>
        <row r="37">
          <cell r="W37">
            <v>0.19589976801669784</v>
          </cell>
        </row>
        <row r="39">
          <cell r="W39">
            <v>0.17266262908723254</v>
          </cell>
        </row>
        <row r="44">
          <cell r="L44">
            <v>2.537177027186392</v>
          </cell>
        </row>
        <row r="45">
          <cell r="L45">
            <v>-0.60586116408717761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55.8</v>
          </cell>
          <cell r="E3">
            <v>45934</v>
          </cell>
          <cell r="G3">
            <v>45868</v>
          </cell>
        </row>
        <row r="5">
          <cell r="D5">
            <v>32163.119999999995</v>
          </cell>
        </row>
        <row r="8">
          <cell r="D8">
            <v>-267</v>
          </cell>
        </row>
        <row r="9">
          <cell r="D9">
            <v>32430.119999999995</v>
          </cell>
        </row>
      </sheetData>
      <sheetData sheetId="1">
        <row r="3">
          <cell r="Y3">
            <v>17763</v>
          </cell>
        </row>
        <row r="19">
          <cell r="T19">
            <v>823</v>
          </cell>
          <cell r="U19">
            <v>239</v>
          </cell>
          <cell r="V19">
            <v>586</v>
          </cell>
          <cell r="W19">
            <v>927</v>
          </cell>
          <cell r="X19">
            <v>658</v>
          </cell>
          <cell r="Y19">
            <v>1072</v>
          </cell>
          <cell r="Z19">
            <v>1017.2926499999999</v>
          </cell>
          <cell r="AA19">
            <v>1811.8731149999999</v>
          </cell>
          <cell r="AB19">
            <v>1919.0845944000002</v>
          </cell>
          <cell r="AC19">
            <v>1993.765444011</v>
          </cell>
          <cell r="AJ19">
            <v>2288.9705079177807</v>
          </cell>
        </row>
        <row r="23">
          <cell r="X23">
            <v>3.9284986066743688E-2</v>
          </cell>
          <cell r="Y23">
            <v>0.1616637237590739</v>
          </cell>
        </row>
        <row r="24">
          <cell r="Y24">
            <v>0.11349434217193041</v>
          </cell>
        </row>
        <row r="25">
          <cell r="AM25">
            <v>0.08</v>
          </cell>
        </row>
        <row r="26">
          <cell r="Y26">
            <v>6.6430220120475142E-2</v>
          </cell>
        </row>
        <row r="31">
          <cell r="AM31">
            <v>-0.24550696337640532</v>
          </cell>
        </row>
        <row r="32">
          <cell r="AM32" t="str">
            <v>Fairly valued</v>
          </cell>
        </row>
        <row r="33">
          <cell r="O33">
            <v>0.99186811842427192</v>
          </cell>
        </row>
        <row r="34">
          <cell r="O34">
            <v>8.1985512233690994E-3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195.58</v>
          </cell>
          <cell r="E3">
            <v>45934</v>
          </cell>
          <cell r="G3">
            <v>45965</v>
          </cell>
        </row>
        <row r="5">
          <cell r="D5">
            <v>25092.914000000004</v>
          </cell>
        </row>
        <row r="8">
          <cell r="D8">
            <v>-4174</v>
          </cell>
        </row>
        <row r="9">
          <cell r="D9">
            <v>29266.914000000004</v>
          </cell>
        </row>
      </sheetData>
      <sheetData sheetId="1">
        <row r="3">
          <cell r="U3">
            <v>16662</v>
          </cell>
        </row>
        <row r="18">
          <cell r="P18">
            <v>667</v>
          </cell>
          <cell r="Q18">
            <v>628</v>
          </cell>
          <cell r="R18">
            <v>753</v>
          </cell>
          <cell r="S18">
            <v>685</v>
          </cell>
          <cell r="T18">
            <v>199</v>
          </cell>
          <cell r="U18">
            <v>1254</v>
          </cell>
          <cell r="V18">
            <v>1488.4593099999986</v>
          </cell>
          <cell r="W18">
            <v>1825.4889705000001</v>
          </cell>
          <cell r="X18">
            <v>1915.7253039600007</v>
          </cell>
          <cell r="Y18">
            <v>1981.3585502100002</v>
          </cell>
          <cell r="AF18">
            <v>2147.6986846902682</v>
          </cell>
        </row>
        <row r="22">
          <cell r="T22">
            <v>7.2381217004723553E-2</v>
          </cell>
          <cell r="U22">
            <v>7.9284881461329171E-2</v>
          </cell>
        </row>
        <row r="23">
          <cell r="U23">
            <v>0.16792701956547834</v>
          </cell>
        </row>
        <row r="24">
          <cell r="AI24">
            <v>0.08</v>
          </cell>
        </row>
        <row r="26">
          <cell r="U26">
            <v>0.10731004681310767</v>
          </cell>
        </row>
        <row r="30">
          <cell r="AI30">
            <v>-0.21623833275215787</v>
          </cell>
        </row>
        <row r="31">
          <cell r="AI31" t="str">
            <v>Slightly overvalued</v>
          </cell>
        </row>
        <row r="34">
          <cell r="L34">
            <v>2.1600792678426455</v>
          </cell>
        </row>
        <row r="35">
          <cell r="L35">
            <v>-0.53705402626324061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194.63</v>
          </cell>
        </row>
        <row r="5">
          <cell r="D5">
            <v>19287.832999999999</v>
          </cell>
        </row>
        <row r="8">
          <cell r="D8">
            <v>-4448</v>
          </cell>
        </row>
        <row r="9">
          <cell r="D9">
            <v>23735.832999999999</v>
          </cell>
        </row>
      </sheetData>
      <sheetData sheetId="1">
        <row r="3">
          <cell r="L3">
            <v>16100</v>
          </cell>
        </row>
        <row r="8">
          <cell r="V8">
            <v>9401.5300000000007</v>
          </cell>
        </row>
        <row r="23">
          <cell r="U23">
            <v>370</v>
          </cell>
          <cell r="V23">
            <v>501.53600000000051</v>
          </cell>
        </row>
        <row r="31">
          <cell r="V31">
            <v>8.5000577034045177E-2</v>
          </cell>
        </row>
        <row r="32">
          <cell r="V32">
            <v>0.1980854180117492</v>
          </cell>
        </row>
        <row r="35">
          <cell r="V35">
            <v>0.11177712563806108</v>
          </cell>
        </row>
        <row r="42">
          <cell r="L42">
            <v>1.845136271766169</v>
          </cell>
        </row>
        <row r="43">
          <cell r="L43">
            <v>-0.45803460952897668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86.85</v>
          </cell>
          <cell r="E3">
            <v>45934</v>
          </cell>
          <cell r="G3">
            <v>45953</v>
          </cell>
        </row>
        <row r="5">
          <cell r="D5">
            <v>15476.669999999998</v>
          </cell>
        </row>
        <row r="8">
          <cell r="D8">
            <v>-2300</v>
          </cell>
        </row>
        <row r="9">
          <cell r="D9">
            <v>17776.669999999998</v>
          </cell>
        </row>
      </sheetData>
      <sheetData sheetId="1">
        <row r="13">
          <cell r="U13">
            <v>13702</v>
          </cell>
        </row>
        <row r="29">
          <cell r="P29">
            <v>815</v>
          </cell>
          <cell r="Q29">
            <v>309</v>
          </cell>
          <cell r="R29">
            <v>746</v>
          </cell>
          <cell r="S29">
            <v>861</v>
          </cell>
          <cell r="T29">
            <v>921</v>
          </cell>
          <cell r="U29">
            <v>824</v>
          </cell>
          <cell r="V29">
            <v>995.46496000000059</v>
          </cell>
          <cell r="W29">
            <v>1247.4273649599995</v>
          </cell>
          <cell r="X29">
            <v>1426.3027815039991</v>
          </cell>
          <cell r="Y29">
            <v>1482.6656240783984</v>
          </cell>
          <cell r="AF29">
            <v>1751.8186989261117</v>
          </cell>
        </row>
        <row r="42">
          <cell r="T42">
            <v>6.3252777993628051E-2</v>
          </cell>
          <cell r="U42">
            <v>1.3885843747716287E-3</v>
          </cell>
          <cell r="AJ42">
            <v>0.09</v>
          </cell>
        </row>
        <row r="45">
          <cell r="U45">
            <v>0.18260108013428697</v>
          </cell>
        </row>
        <row r="48">
          <cell r="U48">
            <v>6.23996496861772E-2</v>
          </cell>
          <cell r="AJ48">
            <v>-7.3710144095904817E-2</v>
          </cell>
        </row>
        <row r="49">
          <cell r="AJ49" t="str">
            <v>Fairly valued</v>
          </cell>
        </row>
        <row r="55">
          <cell r="L55">
            <v>1.0410324431951277</v>
          </cell>
        </row>
        <row r="56">
          <cell r="L56">
            <v>-3.9415143556132737E-2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57.35</v>
          </cell>
          <cell r="E3">
            <v>45934</v>
          </cell>
          <cell r="G3">
            <v>45965</v>
          </cell>
        </row>
        <row r="5">
          <cell r="D5">
            <v>10523.725</v>
          </cell>
        </row>
        <row r="8">
          <cell r="D8">
            <v>-600.00000000000023</v>
          </cell>
        </row>
        <row r="9">
          <cell r="D9">
            <v>11123.725</v>
          </cell>
        </row>
      </sheetData>
      <sheetData sheetId="1">
        <row r="3">
          <cell r="V3">
            <v>7743.8040000000001</v>
          </cell>
        </row>
        <row r="22">
          <cell r="P22">
            <v>-322.3</v>
          </cell>
          <cell r="Q22">
            <v>-731.9000000000002</v>
          </cell>
          <cell r="R22">
            <v>-44.700000000000145</v>
          </cell>
          <cell r="S22">
            <v>-185.59999999999982</v>
          </cell>
          <cell r="T22">
            <v>163.90000000000035</v>
          </cell>
          <cell r="U22">
            <v>228.2000000000003</v>
          </cell>
          <cell r="V22">
            <v>743.65658000000008</v>
          </cell>
          <cell r="W22">
            <v>719.25833086000011</v>
          </cell>
          <cell r="X22">
            <v>830.80143681460015</v>
          </cell>
          <cell r="Y22">
            <v>906.37830312002222</v>
          </cell>
          <cell r="AF22">
            <v>1080.8425329828647</v>
          </cell>
        </row>
        <row r="26">
          <cell r="T26">
            <v>0.16041143561957627</v>
          </cell>
          <cell r="U26">
            <v>0.21376103255195988</v>
          </cell>
        </row>
        <row r="27">
          <cell r="U27">
            <v>0.18032120349664568</v>
          </cell>
        </row>
        <row r="28">
          <cell r="AI28">
            <v>0.14000000000000001</v>
          </cell>
        </row>
        <row r="31">
          <cell r="U31">
            <v>8.4945345364129704E-2</v>
          </cell>
        </row>
        <row r="34">
          <cell r="AI34">
            <v>-0.43279466962284185</v>
          </cell>
        </row>
        <row r="35">
          <cell r="AI35" t="str">
            <v>Overvalued</v>
          </cell>
        </row>
        <row r="38">
          <cell r="L38">
            <v>0.92160107705053851</v>
          </cell>
        </row>
        <row r="39">
          <cell r="L39">
            <v>8.5068176352795399E-2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101.2</v>
          </cell>
          <cell r="E3">
            <v>45924</v>
          </cell>
          <cell r="G3">
            <v>45968</v>
          </cell>
        </row>
        <row r="5">
          <cell r="D5">
            <v>11739.2</v>
          </cell>
        </row>
        <row r="8">
          <cell r="D8">
            <v>-498</v>
          </cell>
        </row>
        <row r="9">
          <cell r="D9">
            <v>12237.2</v>
          </cell>
        </row>
      </sheetData>
      <sheetData sheetId="1">
        <row r="26">
          <cell r="V26">
            <v>2587.8199999999997</v>
          </cell>
        </row>
        <row r="43">
          <cell r="P43">
            <v>5.9000000000001167</v>
          </cell>
          <cell r="Q43">
            <v>-65.199999999999903</v>
          </cell>
          <cell r="R43">
            <v>63</v>
          </cell>
          <cell r="S43">
            <v>79</v>
          </cell>
          <cell r="T43">
            <v>58</v>
          </cell>
          <cell r="U43">
            <v>106</v>
          </cell>
          <cell r="V43">
            <v>105.74143999999995</v>
          </cell>
          <cell r="W43">
            <v>144.35987200000005</v>
          </cell>
          <cell r="X43">
            <v>169.88582975999995</v>
          </cell>
          <cell r="Y43">
            <v>189.70135618560002</v>
          </cell>
          <cell r="AF43">
            <v>347.10423159639549</v>
          </cell>
        </row>
        <row r="47">
          <cell r="U47">
            <v>0.21277747698971305</v>
          </cell>
          <cell r="V47">
            <v>0.1552767857142856</v>
          </cell>
        </row>
        <row r="48">
          <cell r="V48">
            <v>0.22716788648360398</v>
          </cell>
        </row>
        <row r="49">
          <cell r="AI49">
            <v>0.09</v>
          </cell>
        </row>
        <row r="52">
          <cell r="V52">
            <v>9.599848521149075E-2</v>
          </cell>
        </row>
        <row r="55">
          <cell r="AI55">
            <v>-0.80686738144951742</v>
          </cell>
        </row>
        <row r="56">
          <cell r="AI56" t="str">
            <v>Heavily overvalued</v>
          </cell>
        </row>
        <row r="59">
          <cell r="L59">
            <v>2.6322219832221987</v>
          </cell>
        </row>
        <row r="60">
          <cell r="L60">
            <v>-0.62009283169352469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Forecasts"/>
    </sheetNames>
    <sheetDataSet>
      <sheetData sheetId="0">
        <row r="3">
          <cell r="D3">
            <v>107.54</v>
          </cell>
          <cell r="E3">
            <v>45939</v>
          </cell>
          <cell r="G3">
            <v>45960</v>
          </cell>
        </row>
        <row r="5">
          <cell r="D5">
            <v>18152.752000000004</v>
          </cell>
        </row>
        <row r="8">
          <cell r="D8">
            <v>613.79999999999995</v>
          </cell>
        </row>
        <row r="9">
          <cell r="D9">
            <v>17538.952000000005</v>
          </cell>
        </row>
      </sheetData>
      <sheetData sheetId="1">
        <row r="7">
          <cell r="V7">
            <v>1297.6099999999999</v>
          </cell>
        </row>
        <row r="22">
          <cell r="P22">
            <v>10.89999999999997</v>
          </cell>
          <cell r="Q22">
            <v>80.300000000000068</v>
          </cell>
          <cell r="R22">
            <v>0.50000000000003597</v>
          </cell>
          <cell r="S22">
            <v>-33.20000000000001</v>
          </cell>
          <cell r="T22">
            <v>2.3999999999998813</v>
          </cell>
          <cell r="U22">
            <v>16.299999999999944</v>
          </cell>
          <cell r="V22">
            <v>19.969807999999741</v>
          </cell>
          <cell r="W22">
            <v>47.220326400000076</v>
          </cell>
          <cell r="X22">
            <v>70.794515788799941</v>
          </cell>
          <cell r="Y22">
            <v>85.495337030527935</v>
          </cell>
          <cell r="AF22">
            <v>184.91617130028354</v>
          </cell>
        </row>
        <row r="28">
          <cell r="U28">
            <v>9.5651335454633113E-2</v>
          </cell>
          <cell r="V28">
            <v>0.14196074980198881</v>
          </cell>
        </row>
        <row r="29">
          <cell r="AI29">
            <v>0.09</v>
          </cell>
        </row>
        <row r="31">
          <cell r="V31">
            <v>0.23128695062460972</v>
          </cell>
        </row>
        <row r="34">
          <cell r="V34">
            <v>2.1587580243678565E-2</v>
          </cell>
        </row>
        <row r="35">
          <cell r="AI35">
            <v>-0.89146488331653073</v>
          </cell>
        </row>
        <row r="36">
          <cell r="AI36" t="str">
            <v>Heavily overvalued</v>
          </cell>
        </row>
        <row r="45">
          <cell r="L45">
            <v>6.7830575859535163</v>
          </cell>
        </row>
        <row r="46">
          <cell r="L46">
            <v>-0.85257385960118948</v>
          </cell>
        </row>
      </sheetData>
      <sheetData sheetId="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66.63</v>
          </cell>
          <cell r="E3">
            <v>45903</v>
          </cell>
          <cell r="G3">
            <v>45974</v>
          </cell>
        </row>
        <row r="5">
          <cell r="D5">
            <v>6663</v>
          </cell>
        </row>
        <row r="8">
          <cell r="D8">
            <v>-438.4</v>
          </cell>
        </row>
        <row r="9">
          <cell r="D9">
            <v>7101.4</v>
          </cell>
        </row>
      </sheetData>
      <sheetData sheetId="1">
        <row r="24">
          <cell r="V24">
            <v>1358.33</v>
          </cell>
        </row>
        <row r="39">
          <cell r="S39">
            <v>16.199999999999942</v>
          </cell>
          <cell r="T39">
            <v>32.30000000000004</v>
          </cell>
          <cell r="U39">
            <v>53.500000000000057</v>
          </cell>
          <cell r="V39">
            <v>96.823239999999927</v>
          </cell>
          <cell r="W39">
            <v>143.50169249999999</v>
          </cell>
          <cell r="X39">
            <v>179.7296860125</v>
          </cell>
          <cell r="Y39">
            <v>200.07653520599999</v>
          </cell>
          <cell r="AF39">
            <v>315.1137772693595</v>
          </cell>
        </row>
        <row r="43">
          <cell r="U43">
            <v>0.23230686115613186</v>
          </cell>
          <cell r="V43">
            <v>0.19099517755370443</v>
          </cell>
        </row>
        <row r="44">
          <cell r="V44">
            <v>0.25505171791832615</v>
          </cell>
        </row>
        <row r="45">
          <cell r="AI45">
            <v>0.09</v>
          </cell>
        </row>
        <row r="47">
          <cell r="V47">
            <v>0.1261351806998299</v>
          </cell>
        </row>
        <row r="51">
          <cell r="AI51">
            <v>-0.67267594474014047</v>
          </cell>
        </row>
        <row r="52">
          <cell r="AI52" t="str">
            <v>Heavily overvalued</v>
          </cell>
        </row>
        <row r="54">
          <cell r="L54">
            <v>4.3835802469135796</v>
          </cell>
        </row>
        <row r="55">
          <cell r="L55">
            <v>-0.77187596811896242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11.52</v>
          </cell>
        </row>
        <row r="5">
          <cell r="D5">
            <v>1357.0559999999998</v>
          </cell>
        </row>
        <row r="8">
          <cell r="D8">
            <v>46.100000000000009</v>
          </cell>
        </row>
        <row r="9">
          <cell r="D9">
            <v>1310.9559999999999</v>
          </cell>
        </row>
      </sheetData>
      <sheetData sheetId="1">
        <row r="3">
          <cell r="O3">
            <v>12.3</v>
          </cell>
        </row>
        <row r="15">
          <cell r="O15">
            <v>-69.325000000000003</v>
          </cell>
          <cell r="P15">
            <v>-91.1815</v>
          </cell>
          <cell r="Q15">
            <v>-110.42588000000001</v>
          </cell>
          <cell r="R15">
            <v>-123.67537759999999</v>
          </cell>
          <cell r="Y15">
            <v>146.02827505986298</v>
          </cell>
        </row>
        <row r="20">
          <cell r="O20">
            <v>5.08130081300813E-2</v>
          </cell>
        </row>
        <row r="21">
          <cell r="AB21">
            <v>0.11</v>
          </cell>
        </row>
        <row r="24">
          <cell r="O24">
            <v>-4.23780487804878</v>
          </cell>
        </row>
        <row r="27">
          <cell r="AB27">
            <v>-0.87354587724162402</v>
          </cell>
        </row>
        <row r="28">
          <cell r="AB28" t="str">
            <v>Heavily overvalued</v>
          </cell>
        </row>
        <row r="31">
          <cell r="H31">
            <v>10.798649093904446</v>
          </cell>
        </row>
        <row r="32">
          <cell r="H32">
            <v>-0.90739582411614117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>
        <row r="3">
          <cell r="D3">
            <v>14.97</v>
          </cell>
          <cell r="E3">
            <v>45933</v>
          </cell>
          <cell r="G3">
            <v>45974</v>
          </cell>
        </row>
        <row r="5">
          <cell r="D5">
            <v>455.08800000000002</v>
          </cell>
        </row>
        <row r="8">
          <cell r="D8">
            <v>5</v>
          </cell>
        </row>
        <row r="9">
          <cell r="D9">
            <v>450.08800000000002</v>
          </cell>
        </row>
      </sheetData>
      <sheetData sheetId="1">
        <row r="3">
          <cell r="Q3">
            <v>5.6</v>
          </cell>
        </row>
        <row r="20">
          <cell r="P20">
            <v>-1.4</v>
          </cell>
          <cell r="Q20">
            <v>-32</v>
          </cell>
          <cell r="R20">
            <v>-27.428000000000001</v>
          </cell>
          <cell r="S20">
            <v>-36.489999999999995</v>
          </cell>
          <cell r="T20">
            <v>-44.738199999999992</v>
          </cell>
          <cell r="U20">
            <v>-36.238919999999993</v>
          </cell>
          <cell r="AB20">
            <v>68.08531453375997</v>
          </cell>
        </row>
        <row r="26">
          <cell r="Q26">
            <v>0.28571428571428564</v>
          </cell>
        </row>
        <row r="27">
          <cell r="AF27">
            <v>0.12</v>
          </cell>
        </row>
        <row r="30">
          <cell r="Q30">
            <v>-3.0535714285714288</v>
          </cell>
        </row>
        <row r="33">
          <cell r="AF33">
            <v>-0.86720896478205278</v>
          </cell>
        </row>
        <row r="34">
          <cell r="AF34" t="str">
            <v>Heavily overvalued</v>
          </cell>
        </row>
        <row r="35">
          <cell r="L35">
            <v>8.5894656488549632</v>
          </cell>
        </row>
        <row r="36">
          <cell r="L36">
            <v>-0.88357832246138535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7AAE5-7064-458D-AFDD-A2725076DED6}" name="Table1" displayName="Table1" ref="B10:E14" headerRowDxfId="11" headerRowBorderDxfId="10" tableBorderDxfId="9" totalsRowBorderDxfId="8">
  <autoFilter ref="B10:E14" xr:uid="{7337AAE5-7064-458D-AFDD-A2725076DED6}">
    <filterColumn colId="0" hiddenButton="1"/>
    <filterColumn colId="1" hiddenButton="1"/>
    <filterColumn colId="2" hiddenButton="1"/>
    <filterColumn colId="3" hiddenButton="1"/>
  </autoFilter>
  <tableColumns count="4">
    <tableColumn id="1" xr3:uid="{C977E06F-DFD4-4D39-82B1-8C27888035FD}" name="DoD Budget ($B)" totalsRowLabel="Total" dataDxfId="7" totalsRowDxfId="6"/>
    <tableColumn id="2" xr3:uid="{140B34F1-1E1E-40D8-B0B8-17CC11C52BA6}" name="2024" dataDxfId="5" totalsRowDxfId="4"/>
    <tableColumn id="3" xr3:uid="{8483D97F-115F-4E5D-AA66-3FEA52C9D63E}" name="2025" dataDxfId="3" totalsRowDxfId="2"/>
    <tableColumn id="4" xr3:uid="{D85534AD-A969-4B09-B951-4030B4B7E18C}" name="2026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GD.xlsx" TargetMode="External"/><Relationship Id="rId13" Type="http://schemas.openxmlformats.org/officeDocument/2006/relationships/hyperlink" Target="BA.L.xlsx" TargetMode="External"/><Relationship Id="rId18" Type="http://schemas.openxmlformats.org/officeDocument/2006/relationships/hyperlink" Target="LDOS.xlsx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lmt.xlsx" TargetMode="External"/><Relationship Id="rId21" Type="http://schemas.openxmlformats.org/officeDocument/2006/relationships/hyperlink" Target="erj.xlsx" TargetMode="External"/><Relationship Id="rId7" Type="http://schemas.openxmlformats.org/officeDocument/2006/relationships/hyperlink" Target="HON.xlsx" TargetMode="External"/><Relationship Id="rId12" Type="http://schemas.openxmlformats.org/officeDocument/2006/relationships/hyperlink" Target="SAF.xlsx" TargetMode="External"/><Relationship Id="rId17" Type="http://schemas.openxmlformats.org/officeDocument/2006/relationships/hyperlink" Target="AM.xlsx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rhm.xlsx" TargetMode="External"/><Relationship Id="rId16" Type="http://schemas.openxmlformats.org/officeDocument/2006/relationships/hyperlink" Target="HO.xlsx" TargetMode="External"/><Relationship Id="rId20" Type="http://schemas.openxmlformats.org/officeDocument/2006/relationships/hyperlink" Target="hag.xlsx" TargetMode="External"/><Relationship Id="rId1" Type="http://schemas.openxmlformats.org/officeDocument/2006/relationships/hyperlink" Target="rtx.xlsx" TargetMode="External"/><Relationship Id="rId6" Type="http://schemas.openxmlformats.org/officeDocument/2006/relationships/hyperlink" Target="ba.xlsx" TargetMode="External"/><Relationship Id="rId11" Type="http://schemas.openxmlformats.org/officeDocument/2006/relationships/hyperlink" Target="AIR.xlsx" TargetMode="External"/><Relationship Id="rId24" Type="http://schemas.openxmlformats.org/officeDocument/2006/relationships/hyperlink" Target="bbd.a.xlsx" TargetMode="External"/><Relationship Id="rId5" Type="http://schemas.openxmlformats.org/officeDocument/2006/relationships/hyperlink" Target="ldo.xlsx" TargetMode="External"/><Relationship Id="rId15" Type="http://schemas.openxmlformats.org/officeDocument/2006/relationships/hyperlink" Target="TXT.xlsx" TargetMode="External"/><Relationship Id="rId23" Type="http://schemas.openxmlformats.org/officeDocument/2006/relationships/hyperlink" Target="ktos.xlsx" TargetMode="External"/><Relationship Id="rId10" Type="http://schemas.openxmlformats.org/officeDocument/2006/relationships/hyperlink" Target="LHX.xlsx" TargetMode="External"/><Relationship Id="rId19" Type="http://schemas.openxmlformats.org/officeDocument/2006/relationships/hyperlink" Target="r3nk.xlsx" TargetMode="External"/><Relationship Id="rId4" Type="http://schemas.openxmlformats.org/officeDocument/2006/relationships/hyperlink" Target="umac.xlsx" TargetMode="External"/><Relationship Id="rId9" Type="http://schemas.openxmlformats.org/officeDocument/2006/relationships/hyperlink" Target="NOC.xlsx" TargetMode="External"/><Relationship Id="rId14" Type="http://schemas.openxmlformats.org/officeDocument/2006/relationships/hyperlink" Target="RR.xlsx" TargetMode="External"/><Relationship Id="rId22" Type="http://schemas.openxmlformats.org/officeDocument/2006/relationships/hyperlink" Target="rcat.xlsx" TargetMode="External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B355-3143-44BC-BC97-6E84672F8EDE}">
  <dimension ref="B1:AR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4" sqref="C14"/>
    </sheetView>
  </sheetViews>
  <sheetFormatPr defaultRowHeight="14.4" x14ac:dyDescent="0.3"/>
  <cols>
    <col min="1" max="1" width="8.88671875" style="5"/>
    <col min="2" max="2" width="17.21875" style="5" bestFit="1" customWidth="1"/>
    <col min="3" max="3" width="9.77734375" style="11" bestFit="1" customWidth="1"/>
    <col min="4" max="4" width="9.44140625" style="11" bestFit="1" customWidth="1"/>
    <col min="5" max="23" width="8.88671875" style="11"/>
    <col min="24" max="24" width="8.88671875" style="20"/>
    <col min="25" max="26" width="8.88671875" style="16"/>
    <col min="27" max="29" width="8.88671875" style="14"/>
    <col min="30" max="31" width="8.88671875" style="11"/>
    <col min="32" max="33" width="9.77734375" style="11" bestFit="1" customWidth="1"/>
    <col min="34" max="34" width="9.88671875" style="11" bestFit="1" customWidth="1"/>
    <col min="35" max="35" width="10" style="11" bestFit="1" customWidth="1"/>
    <col min="36" max="36" width="10" style="11" customWidth="1"/>
    <col min="37" max="38" width="8.33203125" style="11" bestFit="1" customWidth="1"/>
    <col min="39" max="39" width="17.33203125" style="11" customWidth="1"/>
    <col min="40" max="41" width="8.44140625" style="11" bestFit="1" customWidth="1"/>
    <col min="42" max="42" width="8.88671875" style="5"/>
    <col min="43" max="43" width="10.5546875" style="11" bestFit="1" customWidth="1"/>
    <col min="44" max="44" width="11.5546875" style="11" bestFit="1" customWidth="1"/>
    <col min="45" max="16384" width="8.88671875" style="5"/>
  </cols>
  <sheetData>
    <row r="1" spans="2:44" x14ac:dyDescent="0.3">
      <c r="X1" s="11"/>
      <c r="Y1" s="11"/>
      <c r="Z1" s="11"/>
      <c r="AA1" s="11"/>
      <c r="AB1" s="11"/>
      <c r="AC1" s="11"/>
    </row>
    <row r="2" spans="2:44" x14ac:dyDescent="0.3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  <c r="V2" s="2" t="s">
        <v>16</v>
      </c>
      <c r="W2" s="2" t="s">
        <v>49</v>
      </c>
      <c r="X2" s="2" t="s">
        <v>88</v>
      </c>
      <c r="Y2" s="2" t="s">
        <v>89</v>
      </c>
      <c r="Z2" s="2" t="s">
        <v>90</v>
      </c>
      <c r="AA2" s="2" t="s">
        <v>91</v>
      </c>
      <c r="AB2" s="2" t="s">
        <v>94</v>
      </c>
      <c r="AC2" s="2" t="s">
        <v>95</v>
      </c>
      <c r="AD2" s="4" t="s">
        <v>79</v>
      </c>
      <c r="AE2" s="4" t="s">
        <v>83</v>
      </c>
      <c r="AF2" s="2" t="s">
        <v>50</v>
      </c>
      <c r="AG2" s="2" t="s">
        <v>80</v>
      </c>
      <c r="AH2" s="2" t="s">
        <v>81</v>
      </c>
      <c r="AI2" s="2" t="s">
        <v>82</v>
      </c>
      <c r="AJ2" s="2" t="s">
        <v>92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Q2" s="2" t="s">
        <v>41</v>
      </c>
      <c r="AR2" s="2" t="s">
        <v>42</v>
      </c>
    </row>
    <row r="3" spans="2:44" x14ac:dyDescent="0.3">
      <c r="B3" s="6" t="s">
        <v>22</v>
      </c>
      <c r="C3" s="2"/>
      <c r="D3" s="2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7">
        <f>TRIMMEAN(R4:R1048576,80%)</f>
        <v>37.145030304683814</v>
      </c>
      <c r="S3" s="7">
        <f>TRIMMEAN(S4:S1048576,80%)</f>
        <v>28.580534120694068</v>
      </c>
      <c r="T3" s="7">
        <f>TRIMMEAN(T4:T1048576,80%)</f>
        <v>24.427824579001424</v>
      </c>
      <c r="U3" s="7">
        <f>TRIMMEAN(U4:U1048576,80%)</f>
        <v>23.633778698262194</v>
      </c>
      <c r="V3" s="7">
        <f>TRIMMEAN(V4:V1048576,80%)</f>
        <v>22.848814495815787</v>
      </c>
      <c r="W3" s="7">
        <f>TRIMMEAN(W4:W1048576,80%)</f>
        <v>18.941051843429769</v>
      </c>
      <c r="X3" s="21">
        <f>TRIMMEAN(X4:X1048576,80%)</f>
        <v>2.0229435907319835</v>
      </c>
      <c r="Y3" s="9">
        <f>TRIMMEAN(Y4:Y1048576,80%)</f>
        <v>-0.50309034649027118</v>
      </c>
      <c r="Z3" s="9">
        <f>TRIMMEAN(Z4:Z1048576,80%)</f>
        <v>-0.44652164870768035</v>
      </c>
      <c r="AA3" s="9"/>
      <c r="AB3" s="9"/>
      <c r="AC3" s="9"/>
      <c r="AD3" s="8"/>
      <c r="AE3" s="21">
        <f>TRIMMEAN(AE4:AE1048576,80%)</f>
        <v>2.9293484226775894</v>
      </c>
      <c r="AF3" s="9">
        <f>TRIMMEAN(AF4:AF1048576,80%)</f>
        <v>0.1016798832038464</v>
      </c>
      <c r="AG3" s="9">
        <f>TRIMMEAN(AG4:AG1048576,80%)</f>
        <v>9.9452943703817409E-2</v>
      </c>
      <c r="AH3" s="9">
        <f>TRIMMEAN(AH4:AH1048576,80%)</f>
        <v>0.20714909665930989</v>
      </c>
      <c r="AI3" s="9">
        <f>TRIMMEAN(AI4:AI1048576,80%)</f>
        <v>9.8848469126009128E-2</v>
      </c>
      <c r="AJ3" s="9">
        <f>TRIMMEAN(AJ4:AJ1048576,80%)</f>
        <v>9.2093150912362295E-2</v>
      </c>
      <c r="AK3" s="9">
        <f>TRIMMEAN(AK4:AK1048576,80%)</f>
        <v>0.08</v>
      </c>
      <c r="AL3" s="9">
        <f>TRIMMEAN(AL4:AL1048576,80%)</f>
        <v>-0.46900509315888117</v>
      </c>
      <c r="AM3" s="10" t="e">
        <f>INDEX(AM4:AM24,MODE(MATCH(AM4:AM24,AM4:AM24,0)))</f>
        <v>#N/A</v>
      </c>
      <c r="AN3" s="2"/>
    </row>
    <row r="4" spans="2:44" x14ac:dyDescent="0.3">
      <c r="B4" s="19" t="s">
        <v>23</v>
      </c>
      <c r="C4" s="11" t="s">
        <v>39</v>
      </c>
      <c r="D4" s="13">
        <f>[1]Main!$D$3</f>
        <v>166.58</v>
      </c>
      <c r="E4" s="14">
        <f>[1]Main!$D$5</f>
        <v>222967.33000000002</v>
      </c>
      <c r="F4" s="14">
        <f>[1]Main!$D$8</f>
        <v>-37196</v>
      </c>
      <c r="G4" s="14">
        <f>[1]Main!$D$9</f>
        <v>260163.33000000002</v>
      </c>
      <c r="H4" s="14">
        <f>[1]Model!U$42</f>
        <v>3510</v>
      </c>
      <c r="I4" s="14">
        <f>[1]Model!V$42</f>
        <v>-3109</v>
      </c>
      <c r="J4" s="14">
        <f>[1]Model!W$42</f>
        <v>3897</v>
      </c>
      <c r="K4" s="14">
        <f>[1]Model!X$42</f>
        <v>5216</v>
      </c>
      <c r="L4" s="14">
        <f>[1]Model!Y$42</f>
        <v>3195</v>
      </c>
      <c r="M4" s="14">
        <f>[1]Model!Z$42</f>
        <v>4774</v>
      </c>
      <c r="N4" s="14">
        <f>[1]Model!AA$42</f>
        <v>6597.7138400000167</v>
      </c>
      <c r="O4" s="14">
        <f>[1]Model!AB$42</f>
        <v>7570.8374651199974</v>
      </c>
      <c r="P4" s="14">
        <f>[1]Model!AC$42</f>
        <v>8157.0804411392028</v>
      </c>
      <c r="Q4" s="14">
        <f>[1]Model!AD$42</f>
        <v>8502.7527649675394</v>
      </c>
      <c r="R4" s="15">
        <f t="shared" ref="R4" si="0">$G4/M4</f>
        <v>54.495879765395898</v>
      </c>
      <c r="S4" s="15">
        <f t="shared" ref="S4" si="1">$G4/N4</f>
        <v>39.432345250063065</v>
      </c>
      <c r="T4" s="15">
        <f t="shared" ref="T4" si="2">$G4/O4</f>
        <v>34.3638773383542</v>
      </c>
      <c r="U4" s="15">
        <f t="shared" ref="U4" si="3">$G4/P4</f>
        <v>31.894172415892726</v>
      </c>
      <c r="V4" s="15">
        <f t="shared" ref="V4" si="4">$G4/Q4</f>
        <v>30.597541430571425</v>
      </c>
      <c r="W4" s="15">
        <f>G4/[1]Model!$AK$42</f>
        <v>24.683780917225196</v>
      </c>
      <c r="X4" s="20">
        <f>[1]Model!$P$62</f>
        <v>1.556568664405076</v>
      </c>
      <c r="Y4" s="16">
        <f>[1]Model!$P$63</f>
        <v>-0.35756126737768923</v>
      </c>
      <c r="Z4" s="16">
        <f t="shared" ref="Z4:Z16" si="5">AVERAGE(Y4,AL4)</f>
        <v>-0.43176459171650405</v>
      </c>
      <c r="AD4" s="14">
        <f>[1]Model!$AA$28</f>
        <v>87203.32</v>
      </c>
      <c r="AE4" s="20">
        <f>G4/AD4</f>
        <v>2.9834108380277264</v>
      </c>
      <c r="AF4" s="16">
        <f>[1]Model!Z$48</f>
        <v>0.17147417295414979</v>
      </c>
      <c r="AG4" s="16">
        <f>[1]Model!AA$48</f>
        <v>8.0077782456835722E-2</v>
      </c>
      <c r="AH4" s="16">
        <f>[1]Model!$AA$51</f>
        <v>0.2026911899684555</v>
      </c>
      <c r="AI4" s="16">
        <f>[1]Model!$AA$54</f>
        <v>9.8853831482562993E-2</v>
      </c>
      <c r="AJ4" s="16">
        <f>[1]Model!$AA$57</f>
        <v>7.5658975369286591E-2</v>
      </c>
      <c r="AK4" s="16">
        <f>[1]Model!$AO$49</f>
        <v>0.06</v>
      </c>
      <c r="AL4" s="16">
        <f>[1]Model!$AO$55</f>
        <v>-0.50596791605531888</v>
      </c>
      <c r="AM4" s="11" t="str">
        <f>[1]Model!$AO$56</f>
        <v>Heavily overvalued</v>
      </c>
      <c r="AO4" s="11">
        <v>1922</v>
      </c>
      <c r="AQ4" s="18">
        <f>[1]Main!$E$3</f>
        <v>45934</v>
      </c>
      <c r="AR4" s="18">
        <f>[1]Main!$G$3</f>
        <v>45958</v>
      </c>
    </row>
    <row r="5" spans="2:44" x14ac:dyDescent="0.3">
      <c r="B5" s="19" t="s">
        <v>29</v>
      </c>
      <c r="C5" s="11" t="s">
        <v>59</v>
      </c>
      <c r="D5" s="13">
        <f>[2]Main!$D$3</f>
        <v>216.3</v>
      </c>
      <c r="E5" s="14">
        <f>[2]Main!$D$5</f>
        <v>162960.42000000001</v>
      </c>
      <c r="F5" s="14">
        <f>[2]Main!$D$8</f>
        <v>-29320</v>
      </c>
      <c r="G5" s="14">
        <f>[2]Main!$D$9</f>
        <v>192280.42</v>
      </c>
      <c r="H5" s="14">
        <f>[2]Model!AP$33</f>
        <v>-636</v>
      </c>
      <c r="I5" s="14">
        <f>[2]Model!AQ$33</f>
        <v>-11873</v>
      </c>
      <c r="J5" s="14">
        <f>[2]Model!AR$33</f>
        <v>-4202</v>
      </c>
      <c r="K5" s="14">
        <f>[2]Model!AS$33</f>
        <v>-4935</v>
      </c>
      <c r="L5" s="14">
        <f>[2]Model!AT$33</f>
        <v>-2222</v>
      </c>
      <c r="M5" s="14">
        <f>[2]Model!AU$33</f>
        <v>-11875</v>
      </c>
      <c r="N5" s="14">
        <f>[2]Model!AV$33</f>
        <v>-1766.719874999995</v>
      </c>
      <c r="O5" s="14">
        <f>[2]Model!AW$33</f>
        <v>2015.174950999997</v>
      </c>
      <c r="P5" s="14">
        <f>[2]Model!AX$33</f>
        <v>3280.0064038900064</v>
      </c>
      <c r="Q5" s="14">
        <f>[2]Model!AY$33</f>
        <v>4389.198277423704</v>
      </c>
      <c r="R5" s="15">
        <f>$G5/M5</f>
        <v>-16.192035368421053</v>
      </c>
      <c r="U5" s="15">
        <f t="shared" ref="U5:V6" si="6">$G5/P5</f>
        <v>58.621964814446763</v>
      </c>
      <c r="V5" s="15">
        <f t="shared" si="6"/>
        <v>43.807640449740965</v>
      </c>
      <c r="W5" s="15">
        <f>G5/[2]Model!$BF$33</f>
        <v>19.48159117412612</v>
      </c>
      <c r="X5" s="20">
        <f>[2]Model!$X$53</f>
        <v>1.2395591799896855</v>
      </c>
      <c r="Y5" s="16">
        <f>[2]Model!$X$54</f>
        <v>-0.19326159158587242</v>
      </c>
      <c r="Z5" s="16">
        <f t="shared" si="5"/>
        <v>-0.33367759536537156</v>
      </c>
      <c r="AA5" s="14">
        <f>[2]Model!$AV$12</f>
        <v>618538</v>
      </c>
      <c r="AB5" s="20">
        <f>AA5/AD5</f>
        <v>6.9129106125602489</v>
      </c>
      <c r="AC5" s="20">
        <f>AVERAGE(Y5,AB5,AL5)</f>
        <v>2.081851807276502</v>
      </c>
      <c r="AD5" s="14">
        <f>[2]Model!$AV$16</f>
        <v>89475.77</v>
      </c>
      <c r="AE5" s="20">
        <f t="shared" ref="AE5:AE8" si="7">G5/AD5</f>
        <v>2.1489663626253233</v>
      </c>
      <c r="AF5" s="16">
        <f>[2]Model!AU$40</f>
        <v>-0.14495976553461709</v>
      </c>
      <c r="AG5" s="16">
        <f>[2]Model!AV$40</f>
        <v>0.34515642617676701</v>
      </c>
      <c r="AH5" s="16">
        <f>[2]Model!$AV$43</f>
        <v>0.11339720798155752</v>
      </c>
      <c r="AI5" s="16">
        <f>[2]Model!$AV$46</f>
        <v>2.0289571131939408E-3</v>
      </c>
      <c r="AJ5" s="16"/>
      <c r="AK5" s="16">
        <f>[2]Model!$BI$40</f>
        <v>0.06</v>
      </c>
      <c r="AL5" s="16">
        <f>[2]Model!$BI$46</f>
        <v>-0.4740935991448707</v>
      </c>
      <c r="AM5" s="11" t="str">
        <f>[2]Model!$BI$47</f>
        <v>Overvalued</v>
      </c>
      <c r="AO5" s="11">
        <v>1916</v>
      </c>
      <c r="AQ5" s="18">
        <f>[2]Main!$E$3</f>
        <v>45934</v>
      </c>
      <c r="AR5" s="18">
        <f>[2]Main!$G$3</f>
        <v>45952</v>
      </c>
    </row>
    <row r="6" spans="2:44" x14ac:dyDescent="0.3">
      <c r="B6" s="19" t="s">
        <v>31</v>
      </c>
      <c r="C6" s="11" t="s">
        <v>56</v>
      </c>
      <c r="D6" s="13">
        <f>[3]Main!$D$3</f>
        <v>209.05</v>
      </c>
      <c r="E6" s="14">
        <f>[3]Main!$D$5</f>
        <v>133269.375</v>
      </c>
      <c r="F6" s="14">
        <f>[3]Main!$D$8</f>
        <v>-24408</v>
      </c>
      <c r="G6" s="14">
        <f>[3]Main!$D$9</f>
        <v>157677.375</v>
      </c>
      <c r="H6" s="14">
        <f>[3]Model!T$21</f>
        <v>6143</v>
      </c>
      <c r="I6" s="14">
        <f>[3]Model!U$21</f>
        <v>4779</v>
      </c>
      <c r="J6" s="14">
        <f>[3]Model!V$21</f>
        <v>5542</v>
      </c>
      <c r="K6" s="14">
        <f>[3]Model!W$21</f>
        <v>4966</v>
      </c>
      <c r="L6" s="14">
        <f>[3]Model!X$21</f>
        <v>5658</v>
      </c>
      <c r="M6" s="14">
        <f>[3]Model!Y$21</f>
        <v>5705</v>
      </c>
      <c r="N6" s="14">
        <f>[3]Model!Z$21</f>
        <v>6242.2181160000009</v>
      </c>
      <c r="O6" s="14">
        <f>[3]Model!AA$21</f>
        <v>6474.8637126400035</v>
      </c>
      <c r="P6" s="14">
        <f>[3]Model!AB$21</f>
        <v>6915.614977584004</v>
      </c>
      <c r="Q6" s="14">
        <f>[3]Model!AC$21</f>
        <v>7358.4506706088232</v>
      </c>
      <c r="R6" s="15">
        <f>$G6/M6</f>
        <v>27.638453111305871</v>
      </c>
      <c r="S6" s="15">
        <f t="shared" ref="S6:T6" si="8">$G6/N6</f>
        <v>25.25983105201702</v>
      </c>
      <c r="T6" s="15">
        <f t="shared" si="8"/>
        <v>24.352230718337395</v>
      </c>
      <c r="U6" s="15">
        <f t="shared" si="6"/>
        <v>22.800195718108814</v>
      </c>
      <c r="V6" s="15">
        <f t="shared" si="6"/>
        <v>21.428067137800639</v>
      </c>
      <c r="W6" s="15">
        <f>G6/[3]Model!$AJ$21</f>
        <v>18.518291492673349</v>
      </c>
      <c r="X6" s="20">
        <f>[3]Model!$P$41</f>
        <v>2.0107037197617923</v>
      </c>
      <c r="Y6" s="16">
        <f>[3]Model!$P$42</f>
        <v>-0.50266168497541264</v>
      </c>
      <c r="Z6" s="16">
        <f t="shared" si="5"/>
        <v>-0.38303596027376657</v>
      </c>
      <c r="AD6" s="14">
        <f>[3]Model!$Z$5</f>
        <v>41769.86</v>
      </c>
      <c r="AE6" s="20">
        <f t="shared" si="7"/>
        <v>3.7749079120686542</v>
      </c>
      <c r="AF6" s="25">
        <f>[3]Model!Y$27</f>
        <v>5.0079100976487823E-2</v>
      </c>
      <c r="AG6" s="25">
        <f>[3]Model!Z$27</f>
        <v>8.4987791573588156E-2</v>
      </c>
      <c r="AH6" s="16">
        <f>[3]Model!$Z$30</f>
        <v>0.3822494688754044</v>
      </c>
      <c r="AI6" s="16">
        <f>[3]Model!$Z$33</f>
        <v>0.19938196584810197</v>
      </c>
      <c r="AJ6" s="16"/>
      <c r="AK6" s="16">
        <f>[3]Model!$AM$27</f>
        <v>0.06</v>
      </c>
      <c r="AL6" s="16">
        <f>[3]Model!$AM$33</f>
        <v>-0.26341023557212051</v>
      </c>
      <c r="AM6" s="11" t="str">
        <f>[3]Model!$AM$34</f>
        <v>Slightly overvalued</v>
      </c>
      <c r="AO6" s="11">
        <v>1906</v>
      </c>
      <c r="AQ6" s="18">
        <f>[3]Main!$E$3</f>
        <v>45934</v>
      </c>
      <c r="AR6" s="18">
        <f>[3]Main!$G$3</f>
        <v>45953</v>
      </c>
    </row>
    <row r="7" spans="2:44" x14ac:dyDescent="0.3">
      <c r="B7" s="19" t="s">
        <v>32</v>
      </c>
      <c r="C7" s="11" t="s">
        <v>57</v>
      </c>
      <c r="D7" s="17">
        <f>[4]Main!$D$3</f>
        <v>203.55</v>
      </c>
      <c r="E7" s="14">
        <f>[4]Main!$D$5</f>
        <v>160662.01500000001</v>
      </c>
      <c r="F7" s="14">
        <f>[4]Main!$D$8</f>
        <v>14263</v>
      </c>
      <c r="G7" s="14">
        <f>[4]Main!$D$9</f>
        <v>146399.01500000001</v>
      </c>
      <c r="H7" s="14">
        <f>[4]Model!U$22</f>
        <v>-1362</v>
      </c>
      <c r="I7" s="14">
        <f>[4]Model!V$22</f>
        <v>-1133</v>
      </c>
      <c r="J7" s="14">
        <f>[4]Model!W$22</f>
        <v>4213</v>
      </c>
      <c r="K7" s="14">
        <f>[4]Model!X$22</f>
        <v>4247</v>
      </c>
      <c r="L7" s="14">
        <f>[4]Model!Y$22</f>
        <v>3789</v>
      </c>
      <c r="M7" s="14">
        <f>[4]Model!Z$22</f>
        <v>4232</v>
      </c>
      <c r="N7" s="14">
        <f>[4]Model!AA$22</f>
        <v>5270.3283367999993</v>
      </c>
      <c r="O7" s="14">
        <f>[4]Model!AB$22</f>
        <v>5759.7684619200008</v>
      </c>
      <c r="P7" s="14">
        <f>[4]Model!AC$22</f>
        <v>6515.0674260704018</v>
      </c>
      <c r="Q7" s="14">
        <f>[4]Model!AD$22</f>
        <v>6668.5547838398097</v>
      </c>
      <c r="R7" s="15">
        <f>$G7/M7</f>
        <v>34.593340028355392</v>
      </c>
      <c r="S7" s="15">
        <f>$G7/N7</f>
        <v>27.777968590262354</v>
      </c>
      <c r="T7" s="15">
        <f>$G7/O7</f>
        <v>25.41751738249533</v>
      </c>
      <c r="U7" s="15">
        <f>$G7/P7</f>
        <v>22.470836512631671</v>
      </c>
      <c r="V7" s="15">
        <f>$G7/Q7</f>
        <v>21.953634594826291</v>
      </c>
      <c r="W7" s="15">
        <f>G7/[4]Model!$AK$22</f>
        <v>18.674921035581516</v>
      </c>
      <c r="X7" s="20">
        <f>[4]Model!$P$40</f>
        <v>1.1345242947923126</v>
      </c>
      <c r="Y7" s="16">
        <f>[4]Model!$P$41</f>
        <v>-0.11857330460864102</v>
      </c>
      <c r="Z7" s="16">
        <f t="shared" si="5"/>
        <v>-0.21499012297223874</v>
      </c>
      <c r="AD7" s="14">
        <f>[4]Model!$AA$3</f>
        <v>73427.94</v>
      </c>
      <c r="AE7" s="20">
        <f>G7/AD7</f>
        <v>1.9937780496089093</v>
      </c>
      <c r="AF7" s="16">
        <f>[4]Model!Z$26</f>
        <v>5.7818659658344318E-2</v>
      </c>
      <c r="AG7" s="16">
        <f>[4]Model!AA$26</f>
        <v>6.063758486205395E-2</v>
      </c>
      <c r="AH7" s="16">
        <f>[4]Model!$AA$27</f>
        <v>0.16</v>
      </c>
      <c r="AI7" s="16">
        <f>[4]Model!$AA$31</f>
        <v>8.4329038510408974E-2</v>
      </c>
      <c r="AJ7" s="16"/>
      <c r="AK7" s="16">
        <f>[4]Model!$AO$28</f>
        <v>7.0000000000000007E-2</v>
      </c>
      <c r="AL7" s="16">
        <f>[4]Model!$AO$34</f>
        <v>-0.31140694133583646</v>
      </c>
      <c r="AM7" s="11" t="str">
        <f>[4]Model!$AO$35</f>
        <v>Overvalued</v>
      </c>
      <c r="AO7" s="11">
        <v>1998</v>
      </c>
      <c r="AQ7" s="18">
        <f>[4]Main!$E$3</f>
        <v>45934</v>
      </c>
      <c r="AR7" s="18">
        <f>[4]Main!$G$3</f>
        <v>45959</v>
      </c>
    </row>
    <row r="8" spans="2:44" x14ac:dyDescent="0.3">
      <c r="B8" s="19" t="s">
        <v>24</v>
      </c>
      <c r="C8" s="11" t="s">
        <v>44</v>
      </c>
      <c r="D8" s="13">
        <f>[5]Main!$D$3</f>
        <v>504.49</v>
      </c>
      <c r="E8" s="14">
        <f>[5]Main!$D$5</f>
        <v>117798.41500000001</v>
      </c>
      <c r="F8" s="14">
        <f>[5]Main!$D$8</f>
        <v>-17787</v>
      </c>
      <c r="G8" s="14">
        <f>[5]Main!$D$9</f>
        <v>135585.41500000001</v>
      </c>
      <c r="H8" s="14">
        <f>[5]Model!X$21</f>
        <v>6230</v>
      </c>
      <c r="I8" s="14">
        <f>[5]Model!Y$21</f>
        <v>6888</v>
      </c>
      <c r="J8" s="14">
        <f>[5]Model!Z$21</f>
        <v>6315</v>
      </c>
      <c r="K8" s="14">
        <f>[5]Model!AA$21</f>
        <v>5732</v>
      </c>
      <c r="L8" s="14">
        <f>[5]Model!AB$21</f>
        <v>6920</v>
      </c>
      <c r="M8" s="14">
        <f>[5]Model!AC$21</f>
        <v>5336</v>
      </c>
      <c r="N8" s="14">
        <f>[5]Model!AD$21</f>
        <v>6890.479949999999</v>
      </c>
      <c r="O8" s="14">
        <f>[5]Model!AE$21</f>
        <v>7039.1165736000012</v>
      </c>
      <c r="P8" s="14">
        <f>[5]Model!AF$21</f>
        <v>7133.4030690119962</v>
      </c>
      <c r="Q8" s="14">
        <f>[5]Model!AG$21</f>
        <v>7229.3492892684044</v>
      </c>
      <c r="R8" s="15">
        <f t="shared" ref="R8" si="9">$G8/M8</f>
        <v>25.409560532233886</v>
      </c>
      <c r="S8" s="15">
        <f t="shared" ref="S8" si="10">$G8/N8</f>
        <v>19.677209132580092</v>
      </c>
      <c r="T8" s="15">
        <f t="shared" ref="T8" si="11">$G8/O8</f>
        <v>19.261708991794382</v>
      </c>
      <c r="U8" s="15">
        <f t="shared" ref="U8" si="12">$G8/P8</f>
        <v>19.007115354099724</v>
      </c>
      <c r="V8" s="15">
        <f t="shared" ref="V8" si="13">$G8/Q8</f>
        <v>18.754857397922322</v>
      </c>
      <c r="W8" s="15">
        <f>G8/[5]Model!$AN$21</f>
        <v>17.053098427860466</v>
      </c>
      <c r="X8" s="20">
        <f>[5]Model!$T$39</f>
        <v>2.3031325802615936</v>
      </c>
      <c r="Y8" s="16">
        <f>[5]Model!$T$40</f>
        <v>-0.56580875605241165</v>
      </c>
      <c r="Z8" s="16">
        <f t="shared" si="5"/>
        <v>-0.42579573579547941</v>
      </c>
      <c r="AD8" s="14">
        <f>[5]Model!$AD$5</f>
        <v>72581.52</v>
      </c>
      <c r="AE8" s="20">
        <f t="shared" si="7"/>
        <v>1.8680432016303874</v>
      </c>
      <c r="AF8" s="25">
        <f>[5]Model!$AB$27</f>
        <v>2.4051285160038738E-2</v>
      </c>
      <c r="AG8" s="25">
        <f>[5]Model!$AC$27</f>
        <v>5.1382989744120922E-2</v>
      </c>
      <c r="AH8" s="25">
        <f>[5]Model!$AC$30</f>
        <v>8.4089917373984774E-2</v>
      </c>
      <c r="AI8" s="25">
        <f>[5]Model!$AC$31</f>
        <v>9.8714862829553926E-2</v>
      </c>
      <c r="AJ8" s="25"/>
      <c r="AK8" s="16">
        <f>[5]Model!$AQ$27</f>
        <v>7.0000000000000007E-2</v>
      </c>
      <c r="AL8" s="16">
        <f>[5]Model!$AQ$33</f>
        <v>-0.28578271553854717</v>
      </c>
      <c r="AM8" s="11" t="str">
        <f>[5]Model!$AQ$34</f>
        <v>Slightly overvalued</v>
      </c>
      <c r="AO8" s="11">
        <v>1912</v>
      </c>
      <c r="AQ8" s="18">
        <f>[5]Main!$E$3</f>
        <v>45934</v>
      </c>
      <c r="AR8" s="18">
        <f>[5]Main!$G$3</f>
        <v>45958</v>
      </c>
    </row>
    <row r="9" spans="2:44" x14ac:dyDescent="0.3">
      <c r="B9" s="19" t="s">
        <v>33</v>
      </c>
      <c r="C9" s="11" t="s">
        <v>58</v>
      </c>
      <c r="D9" s="17">
        <f>[6]Main!$D$3</f>
        <v>303.10000000000002</v>
      </c>
      <c r="E9" s="14">
        <f>[6]Main!$D$5</f>
        <v>126665.49</v>
      </c>
      <c r="F9" s="14">
        <f>[6]Main!$D$8</f>
        <v>3454</v>
      </c>
      <c r="G9" s="14">
        <f>[6]Main!$D$9</f>
        <v>123211.49</v>
      </c>
      <c r="H9" s="14">
        <f>[6]Model!L$27</f>
        <v>2665</v>
      </c>
      <c r="I9" s="14">
        <f>[6]Model!M$27</f>
        <v>844</v>
      </c>
      <c r="J9" s="14">
        <f>[6]Model!N$27</f>
        <v>760</v>
      </c>
      <c r="K9" s="14">
        <f>[6]Model!O$27</f>
        <v>1178</v>
      </c>
      <c r="L9" s="14">
        <f>[6]Model!P$27</f>
        <v>3444</v>
      </c>
      <c r="M9" s="14">
        <f>[6]Model!Q$27</f>
        <v>-667</v>
      </c>
      <c r="N9" s="14">
        <f>[6]Model!R$27</f>
        <v>6723.0672399999985</v>
      </c>
      <c r="O9" s="14">
        <f>[6]Model!S$27</f>
        <v>4958.320731400001</v>
      </c>
      <c r="P9" s="14">
        <f>[6]Model!T$27</f>
        <v>5263.9838682340005</v>
      </c>
      <c r="Q9" s="14">
        <f>[6]Model!U$27</f>
        <v>5481.8804852950607</v>
      </c>
      <c r="R9" s="15">
        <f t="shared" ref="R9" si="14">$G9/M9</f>
        <v>-184.72487256371815</v>
      </c>
      <c r="S9" s="15">
        <f t="shared" ref="S9" si="15">$G9/N9</f>
        <v>18.326678226112765</v>
      </c>
      <c r="T9" s="15">
        <f t="shared" ref="T9" si="16">$G9/O9</f>
        <v>24.849439290953406</v>
      </c>
      <c r="U9" s="15">
        <f t="shared" ref="U9" si="17">$G9/P9</f>
        <v>23.406509800216369</v>
      </c>
      <c r="V9" s="15">
        <f t="shared" ref="V9" si="18">$G9/Q9</f>
        <v>22.476135758616085</v>
      </c>
      <c r="W9" s="15">
        <f>G9/[6]Model!$AB$27</f>
        <v>19.209718187692506</v>
      </c>
      <c r="X9" s="20">
        <f>[6]Model!$I$41</f>
        <v>2.2397202428561043</v>
      </c>
      <c r="Y9" s="16">
        <f>[6]Model!$I$42</f>
        <v>-0.55351566643662864</v>
      </c>
      <c r="Z9" s="16">
        <f t="shared" si="5"/>
        <v>-0.44166882388829903</v>
      </c>
      <c r="AD9" s="14">
        <f>[6]Model!$R$5</f>
        <v>31734.280000000002</v>
      </c>
      <c r="AE9" s="20">
        <f t="shared" ref="AE9" si="19">G9/AD9</f>
        <v>3.8825991955702159</v>
      </c>
      <c r="AF9" s="25">
        <f>[6]Model!P$31</f>
        <v>0.23876765083440299</v>
      </c>
      <c r="AG9" s="25">
        <f>[6]Model!Q$31</f>
        <v>0.16700518134715026</v>
      </c>
      <c r="AH9" s="25">
        <f>[6]Model!$Q$32</f>
        <v>0.19116288982027421</v>
      </c>
      <c r="AI9" s="25">
        <f>[6]Model!$Q$33</f>
        <v>0.14889536122753427</v>
      </c>
      <c r="AJ9" s="25"/>
      <c r="AK9" s="16">
        <f>[6]Model!$AF$33</f>
        <v>7.0000000000000007E-2</v>
      </c>
      <c r="AL9" s="16">
        <f>[6]Model!$AF$39</f>
        <v>-0.32982198133996943</v>
      </c>
      <c r="AM9" s="11" t="str">
        <f>[6]Model!$AF$40</f>
        <v>Overvalued</v>
      </c>
      <c r="AO9" s="11">
        <v>1924</v>
      </c>
      <c r="AQ9" s="18">
        <f>[6]Main!$E$3</f>
        <v>45934</v>
      </c>
      <c r="AR9" s="18">
        <f>[6]Main!$G$3</f>
        <v>46066</v>
      </c>
    </row>
    <row r="10" spans="2:44" x14ac:dyDescent="0.3">
      <c r="B10" s="19" t="s">
        <v>25</v>
      </c>
      <c r="C10" s="11" t="s">
        <v>55</v>
      </c>
      <c r="D10" s="13">
        <f>[7]Main!$D$3</f>
        <v>609.54</v>
      </c>
      <c r="E10" s="14">
        <f>[7]Main!$D$5</f>
        <v>87286.127999999982</v>
      </c>
      <c r="F10" s="14">
        <f>[7]Main!$D$8</f>
        <v>-13261</v>
      </c>
      <c r="G10" s="14">
        <f>[7]Main!$D$9</f>
        <v>100547.12799999998</v>
      </c>
      <c r="H10" s="14">
        <f>[7]Model!T$18</f>
        <v>2248</v>
      </c>
      <c r="I10" s="14">
        <f>[7]Model!U$18</f>
        <v>3189</v>
      </c>
      <c r="J10" s="14">
        <f>[7]Model!V$18</f>
        <v>7005</v>
      </c>
      <c r="K10" s="14">
        <f>[7]Model!W$18</f>
        <v>4896</v>
      </c>
      <c r="L10" s="14">
        <f>[7]Model!X$18</f>
        <v>2056</v>
      </c>
      <c r="M10" s="14">
        <f>[7]Model!Y$18</f>
        <v>4174</v>
      </c>
      <c r="N10" s="14">
        <f>[7]Model!Z$18</f>
        <v>4444.976592</v>
      </c>
      <c r="O10" s="14">
        <f>[7]Model!AA$18</f>
        <v>4619.4424550400017</v>
      </c>
      <c r="P10" s="14">
        <f>[7]Model!AB$18</f>
        <v>4740.5026427807952</v>
      </c>
      <c r="Q10" s="14">
        <f>[7]Model!AC$18</f>
        <v>4864.2707476628157</v>
      </c>
      <c r="R10" s="15">
        <f>$G10/M10</f>
        <v>24.088914230953517</v>
      </c>
      <c r="S10" s="15">
        <f t="shared" ref="S10:V14" si="20">$G10/N10</f>
        <v>22.620395387674964</v>
      </c>
      <c r="T10" s="15">
        <f t="shared" si="20"/>
        <v>21.766074364731814</v>
      </c>
      <c r="U10" s="15">
        <f t="shared" si="20"/>
        <v>21.210225070356397</v>
      </c>
      <c r="V10" s="15">
        <f t="shared" si="20"/>
        <v>20.670545127100677</v>
      </c>
      <c r="W10" s="15">
        <f>G10/[7]Model!$AJ$18</f>
        <v>18.820737327075356</v>
      </c>
      <c r="X10" s="20">
        <f>[7]Model!$P$37</f>
        <v>2.0332678408930049</v>
      </c>
      <c r="Y10" s="16">
        <f>[7]Model!$P$38</f>
        <v>-0.50818088011424845</v>
      </c>
      <c r="Z10" s="16">
        <f t="shared" si="5"/>
        <v>-0.48532254105365091</v>
      </c>
      <c r="AD10" s="14">
        <f>[7]Model!$Z$5</f>
        <v>42508.18</v>
      </c>
      <c r="AE10" s="20">
        <f t="shared" ref="AE10:AE14" si="21">G10/AD10</f>
        <v>2.365359514333476</v>
      </c>
      <c r="AF10" s="25">
        <f>[7]Model!X$24</f>
        <v>7.3438609912026775E-2</v>
      </c>
      <c r="AG10" s="25">
        <f>[7]Model!Y$24</f>
        <v>4.4362433189106598E-2</v>
      </c>
      <c r="AH10" s="25">
        <f>[7]Model!$Y$27</f>
        <v>0.20378719567177639</v>
      </c>
      <c r="AI10" s="25">
        <f>[7]Model!$Y$29</f>
        <v>0.10649964662588648</v>
      </c>
      <c r="AJ10" s="25"/>
      <c r="AK10" s="16">
        <f>[7]Model!$AM$24</f>
        <v>0.08</v>
      </c>
      <c r="AL10" s="16">
        <f>[7]Model!$AM$30</f>
        <v>-0.46246420199305338</v>
      </c>
      <c r="AM10" s="11" t="str">
        <f>[7]Model!$AM$31</f>
        <v>Overvalued</v>
      </c>
      <c r="AO10" s="11">
        <v>1939</v>
      </c>
      <c r="AQ10" s="18">
        <f>[7]Main!$E$3</f>
        <v>45934</v>
      </c>
      <c r="AR10" s="18">
        <f>[7]Main!$G$3</f>
        <v>45953</v>
      </c>
    </row>
    <row r="11" spans="2:44" x14ac:dyDescent="0.3">
      <c r="B11" s="19" t="s">
        <v>30</v>
      </c>
      <c r="C11" s="11" t="s">
        <v>60</v>
      </c>
      <c r="D11" s="13">
        <f>[8]Main!$D$3</f>
        <v>343.62</v>
      </c>
      <c r="E11" s="14">
        <f>[8]Main!$D$5</f>
        <v>92433.78</v>
      </c>
      <c r="F11" s="14">
        <f>[8]Main!$D$8</f>
        <v>-8367</v>
      </c>
      <c r="G11" s="14">
        <f>[8]Main!$D$9</f>
        <v>100800.78</v>
      </c>
      <c r="H11" s="14">
        <f>[8]Model!W$16</f>
        <v>3484</v>
      </c>
      <c r="I11" s="14">
        <f>[8]Model!X$16</f>
        <v>3167</v>
      </c>
      <c r="J11" s="14">
        <f>[8]Model!Y$16</f>
        <v>3257</v>
      </c>
      <c r="K11" s="14">
        <f>[8]Model!Z$16</f>
        <v>3390</v>
      </c>
      <c r="L11" s="14">
        <f>[8]Model!AA$16</f>
        <v>3315</v>
      </c>
      <c r="M11" s="14">
        <f>[8]Model!AB$16</f>
        <v>3782</v>
      </c>
      <c r="N11" s="14">
        <f>[8]Model!AC$16</f>
        <v>4243.5310400000008</v>
      </c>
      <c r="O11" s="14">
        <f>[8]Model!AD$16</f>
        <v>4623.3326656000045</v>
      </c>
      <c r="P11" s="14">
        <f>[8]Model!AE$16</f>
        <v>4897.3993508480062</v>
      </c>
      <c r="Q11" s="14">
        <f>[8]Model!AF$16</f>
        <v>5139.2124562518457</v>
      </c>
      <c r="R11" s="15">
        <f t="shared" ref="R11" si="22">$G11/M11</f>
        <v>26.652771020624009</v>
      </c>
      <c r="S11" s="15">
        <f t="shared" si="20"/>
        <v>23.753986727053604</v>
      </c>
      <c r="T11" s="15">
        <f t="shared" si="20"/>
        <v>21.802623192142356</v>
      </c>
      <c r="U11" s="15">
        <f t="shared" si="20"/>
        <v>20.582511814672802</v>
      </c>
      <c r="V11" s="15">
        <f t="shared" si="20"/>
        <v>19.614051930734245</v>
      </c>
      <c r="W11" s="15">
        <f>G11/[8]Model!$AM$16</f>
        <v>16.935481151908206</v>
      </c>
      <c r="X11" s="20">
        <f>[8]Model!$P$34</f>
        <v>1.7719163971312051</v>
      </c>
      <c r="Y11" s="16">
        <f>[8]Model!$P$35</f>
        <v>-0.435639287711861</v>
      </c>
      <c r="Z11" s="16">
        <f t="shared" si="5"/>
        <v>-0.41026508664784828</v>
      </c>
      <c r="AD11" s="14">
        <f>[8]Model!$AC$5</f>
        <v>52106.25</v>
      </c>
      <c r="AE11" s="20">
        <f t="shared" si="21"/>
        <v>1.9345237855343649</v>
      </c>
      <c r="AF11" s="16">
        <f>[8]Model!AB$22</f>
        <v>0.12878501135503417</v>
      </c>
      <c r="AG11" s="16">
        <f>[8]Model!AC$22</f>
        <v>9.2007921871070542E-2</v>
      </c>
      <c r="AH11" s="16">
        <f>[8]Model!$AC$25</f>
        <v>0.15384503778337533</v>
      </c>
      <c r="AI11" s="16">
        <f>[8]Model!$AC$27</f>
        <v>0.10308260525368838</v>
      </c>
      <c r="AJ11" s="16">
        <f>[8]Model!$AC$29</f>
        <v>8.1439962384550812E-2</v>
      </c>
      <c r="AK11" s="16">
        <f>[8]Model!$AP$22</f>
        <v>0.08</v>
      </c>
      <c r="AL11" s="16">
        <f>[8]Model!$AP$28</f>
        <v>-0.38489088558383555</v>
      </c>
      <c r="AM11" s="11" t="str">
        <f>[8]Model!$AP$29</f>
        <v>Overvalued</v>
      </c>
      <c r="AO11" s="11">
        <v>1952</v>
      </c>
      <c r="AQ11" s="18">
        <f>[8]Main!$E$3</f>
        <v>45934</v>
      </c>
      <c r="AR11" s="18">
        <f>[8]Main!$G$3</f>
        <v>45952</v>
      </c>
    </row>
    <row r="12" spans="2:44" x14ac:dyDescent="0.3">
      <c r="B12" s="19" t="s">
        <v>28</v>
      </c>
      <c r="C12" s="11" t="s">
        <v>40</v>
      </c>
      <c r="D12" s="17">
        <f>[9]Main!$D$3</f>
        <v>1744.5</v>
      </c>
      <c r="E12" s="14">
        <f>[9]Main!$D$5</f>
        <v>76478.880000000005</v>
      </c>
      <c r="F12" s="14">
        <f>[9]Main!$D$8</f>
        <v>-293</v>
      </c>
      <c r="G12" s="14">
        <f>[9]Main!$D$9</f>
        <v>76771.88</v>
      </c>
      <c r="H12" s="14"/>
      <c r="I12" s="14">
        <f>[9]Model!AA$37</f>
        <v>291</v>
      </c>
      <c r="J12" s="14">
        <f>[9]Model!AB$37</f>
        <v>476</v>
      </c>
      <c r="K12" s="14">
        <f>[9]Model!AC$37</f>
        <v>534</v>
      </c>
      <c r="L12" s="14">
        <f>[9]Model!AD$37</f>
        <v>717</v>
      </c>
      <c r="M12" s="14">
        <f>[9]Model!AE$37</f>
        <v>1152.8015680000001</v>
      </c>
      <c r="N12" s="14">
        <f>[9]Model!AF$37</f>
        <v>1264.6224175000007</v>
      </c>
      <c r="O12" s="14">
        <f>[9]Model!AG$37</f>
        <v>1430.3841434999997</v>
      </c>
      <c r="P12" s="14">
        <f>[9]Model!AH$37</f>
        <v>1527.5501896362498</v>
      </c>
      <c r="Q12" s="14">
        <f>[9]Model!AI$37</f>
        <v>1588.4162624936125</v>
      </c>
      <c r="R12" s="15">
        <f t="shared" ref="R12:V13" si="23">$G12/M12</f>
        <v>66.59591913393372</v>
      </c>
      <c r="S12" s="15">
        <f t="shared" si="23"/>
        <v>60.707353386766897</v>
      </c>
      <c r="T12" s="15">
        <f t="shared" si="23"/>
        <v>53.672211306920168</v>
      </c>
      <c r="U12" s="15">
        <f t="shared" si="23"/>
        <v>50.258171889122295</v>
      </c>
      <c r="V12" s="15">
        <f t="shared" si="23"/>
        <v>48.332343235694317</v>
      </c>
      <c r="W12" s="15">
        <f>G12/[9]Model!$AO$37</f>
        <v>42.54311586413472</v>
      </c>
      <c r="X12" s="20">
        <f>[9]Model!$T$63</f>
        <v>5.2608702802713632</v>
      </c>
      <c r="Y12" s="16">
        <f>[9]Model!$T$64</f>
        <v>-0.80991738120780687</v>
      </c>
      <c r="Z12" s="16">
        <f t="shared" si="5"/>
        <v>-0.76267567438446748</v>
      </c>
      <c r="AA12" s="14">
        <f>[9]Model!$T$11</f>
        <v>63165</v>
      </c>
      <c r="AB12" s="20">
        <f>AA12/AD12</f>
        <v>5.1639396530722026</v>
      </c>
      <c r="AC12" s="20">
        <f>AVERAGE(Y12,AB12,AL12)</f>
        <v>1.2128627681010891</v>
      </c>
      <c r="AD12" s="14">
        <f>[9]Model!$AE$18</f>
        <v>12231.94</v>
      </c>
      <c r="AE12" s="20">
        <f>G12/AD12</f>
        <v>6.2763453712166672</v>
      </c>
      <c r="AF12" s="16">
        <f>[9]Model!AD$49</f>
        <v>0.35902439024390254</v>
      </c>
      <c r="AG12" s="16">
        <f>[9]Model!AE$49</f>
        <v>0.25442928930366127</v>
      </c>
      <c r="AH12" s="16">
        <f>[9]Model!$AE$51</f>
        <v>0.28072109575423032</v>
      </c>
      <c r="AI12" s="16">
        <f>[9]Model!$AE$56</f>
        <v>0.16228117534912698</v>
      </c>
      <c r="AJ12" s="16">
        <f>[9]Model!$AE$59</f>
        <v>9.4245194793303441E-2</v>
      </c>
      <c r="AK12" s="16">
        <f>[9]Model!$AS$46</f>
        <v>7.0000000000000007E-2</v>
      </c>
      <c r="AL12" s="16">
        <f>[9]Model!$AS$52</f>
        <v>-0.71543396756112809</v>
      </c>
      <c r="AM12" s="11" t="str">
        <f>[9]Model!$AS$53</f>
        <v>Heavily overvalued</v>
      </c>
      <c r="AO12" s="11">
        <v>1927</v>
      </c>
      <c r="AQ12" s="18">
        <f>[9]Main!$E$3</f>
        <v>45906</v>
      </c>
      <c r="AR12" s="18">
        <f>[9]Main!$G$3</f>
        <v>45967</v>
      </c>
    </row>
    <row r="13" spans="2:44" x14ac:dyDescent="0.3">
      <c r="B13" s="19" t="s">
        <v>34</v>
      </c>
      <c r="C13" s="11" t="s">
        <v>62</v>
      </c>
      <c r="D13" s="22">
        <f>[10]Main!$D$3</f>
        <v>11.685</v>
      </c>
      <c r="E13" s="14">
        <f>[10]Main!$D$5</f>
        <v>98504.55</v>
      </c>
      <c r="F13" s="14">
        <f>[10]Main!$D$8</f>
        <v>2379</v>
      </c>
      <c r="G13" s="14">
        <f>[10]Main!$D$9</f>
        <v>96125.55</v>
      </c>
      <c r="H13" s="14">
        <f>[10]Model!L$16</f>
        <v>-1315</v>
      </c>
      <c r="I13" s="14">
        <f>[10]Model!M$16</f>
        <v>-3170</v>
      </c>
      <c r="J13" s="14">
        <f>[10]Model!N$16</f>
        <v>120</v>
      </c>
      <c r="K13" s="14">
        <f>[10]Model!O$16</f>
        <v>-1269</v>
      </c>
      <c r="L13" s="14">
        <f>[10]Model!P$16</f>
        <v>2412</v>
      </c>
      <c r="M13" s="14">
        <f>[10]Model!Q$16</f>
        <v>1971</v>
      </c>
      <c r="N13" s="14">
        <f>[10]Model!R$16</f>
        <v>1904.7799599999998</v>
      </c>
      <c r="O13" s="14">
        <f>[10]Model!S$16</f>
        <v>2166.5070368000002</v>
      </c>
      <c r="P13" s="14">
        <f>[10]Model!T$16</f>
        <v>2390.7082868080001</v>
      </c>
      <c r="Q13" s="14">
        <f>[10]Model!U$16</f>
        <v>2597.5219971524007</v>
      </c>
      <c r="R13" s="15">
        <f t="shared" si="23"/>
        <v>48.769939117199392</v>
      </c>
      <c r="S13" s="15">
        <f t="shared" si="23"/>
        <v>50.465435388137962</v>
      </c>
      <c r="T13" s="15">
        <f t="shared" si="23"/>
        <v>44.368907355122417</v>
      </c>
      <c r="U13" s="15">
        <f t="shared" si="23"/>
        <v>40.207979589322406</v>
      </c>
      <c r="V13" s="15">
        <f t="shared" si="23"/>
        <v>37.006635595532998</v>
      </c>
      <c r="W13" s="15">
        <f>G13/[10]Model!$AB$16</f>
        <v>25.900754786619792</v>
      </c>
      <c r="X13" s="20">
        <f>[10]Model!$I$32</f>
        <v>2.5336201897733264</v>
      </c>
      <c r="Y13" s="16">
        <f>[10]Model!$I$33</f>
        <v>-0.60530784999409626</v>
      </c>
      <c r="Z13" s="16">
        <f t="shared" si="5"/>
        <v>-0.57480585497831804</v>
      </c>
      <c r="AD13" s="14">
        <f>[10]Model!$R$3</f>
        <v>21178.080000000002</v>
      </c>
      <c r="AE13" s="20">
        <f>G13/AD13</f>
        <v>4.5389171256317855</v>
      </c>
      <c r="AF13" s="16">
        <f>[10]Model!Q$20</f>
        <v>0.14697318937280124</v>
      </c>
      <c r="AG13" s="16">
        <f>[10]Model!R$20</f>
        <v>0.12000000000000011</v>
      </c>
      <c r="AH13" s="16">
        <f>[10]Model!$R$21</f>
        <v>0.21999999999999997</v>
      </c>
      <c r="AI13" s="16">
        <f>[10]Model!$R$24</f>
        <v>0.12645705370836258</v>
      </c>
      <c r="AJ13" s="16">
        <f>[10]Model!$R$26</f>
        <v>8.994110703142115E-2</v>
      </c>
      <c r="AK13" s="16">
        <f>[10]Model!$AE$22</f>
        <v>7.0000000000000007E-2</v>
      </c>
      <c r="AL13" s="16">
        <f>[10]Model!$AE$28</f>
        <v>-0.54430385996253983</v>
      </c>
      <c r="AM13" s="11" t="str">
        <f>[10]Model!$AE$29</f>
        <v>Heavily overvalued</v>
      </c>
      <c r="AO13" s="11">
        <v>1906</v>
      </c>
      <c r="AQ13" s="18">
        <f>[10]Main!$E$3</f>
        <v>45934</v>
      </c>
      <c r="AR13" s="18">
        <f>[10]Main!$G$3</f>
        <v>46079</v>
      </c>
    </row>
    <row r="14" spans="2:44" x14ac:dyDescent="0.3">
      <c r="B14" s="19" t="s">
        <v>26</v>
      </c>
      <c r="C14" s="11" t="s">
        <v>54</v>
      </c>
      <c r="D14" s="22">
        <f>[11]Main!$D$3</f>
        <v>20.55</v>
      </c>
      <c r="E14" s="14">
        <f>[11]Main!$D$5</f>
        <v>61650</v>
      </c>
      <c r="F14" s="14">
        <f>[11]Main!$D$8</f>
        <v>-4907</v>
      </c>
      <c r="G14" s="14">
        <f>[11]Main!$D$9</f>
        <v>66557</v>
      </c>
      <c r="H14" s="14"/>
      <c r="I14" s="14"/>
      <c r="J14" s="14">
        <f>[11]Model!N$41</f>
        <v>1758</v>
      </c>
      <c r="K14" s="14">
        <f>[11]Model!O$41</f>
        <v>1591</v>
      </c>
      <c r="L14" s="14">
        <f>[11]Model!P$41</f>
        <v>1857</v>
      </c>
      <c r="M14" s="14">
        <f>[11]Model!Q$41</f>
        <v>1956</v>
      </c>
      <c r="N14" s="14">
        <f>[11]Model!R$41</f>
        <v>2983.0295450000012</v>
      </c>
      <c r="O14" s="14">
        <f>[11]Model!S$41</f>
        <v>3274.0576822999979</v>
      </c>
      <c r="P14" s="14">
        <f>[11]Model!T$41</f>
        <v>3558.6704355280026</v>
      </c>
      <c r="Q14" s="14">
        <f>[11]Model!U$41</f>
        <v>3774.8694653950824</v>
      </c>
      <c r="R14" s="15">
        <f t="shared" ref="R14" si="24">$G14/M14</f>
        <v>34.027096114519431</v>
      </c>
      <c r="S14" s="15">
        <f t="shared" si="20"/>
        <v>22.311880923727148</v>
      </c>
      <c r="T14" s="15">
        <f t="shared" si="20"/>
        <v>20.328597250994147</v>
      </c>
      <c r="U14" s="15">
        <f t="shared" si="20"/>
        <v>18.702771500144515</v>
      </c>
      <c r="V14" s="15">
        <f t="shared" si="20"/>
        <v>17.631603055454015</v>
      </c>
      <c r="W14" s="15">
        <f>G14/[11]Model!$AB$41</f>
        <v>13.563069245129061</v>
      </c>
      <c r="X14" s="20">
        <f>[11]Model!$I$61</f>
        <v>1.8487542012721869</v>
      </c>
      <c r="Y14" s="16">
        <f>[11]Model!$I$62</f>
        <v>-0.45909521162312006</v>
      </c>
      <c r="Z14" s="16">
        <f t="shared" si="5"/>
        <v>-0.29409758332501079</v>
      </c>
      <c r="AA14" s="14">
        <f>[11]Model!$I$10</f>
        <v>75400</v>
      </c>
      <c r="AB14" s="20">
        <f>AA14/AD14</f>
        <v>2.6692051255818532</v>
      </c>
      <c r="AC14" s="20">
        <f>AVERAGE(Y14,AB14,AL14)</f>
        <v>0.6936699863106105</v>
      </c>
      <c r="AD14" s="14">
        <f>[11]Model!$R$22</f>
        <v>28248.11</v>
      </c>
      <c r="AE14" s="20">
        <f t="shared" si="21"/>
        <v>2.3561576332009468</v>
      </c>
      <c r="AF14" s="16">
        <f>[11]Model!Q$50</f>
        <v>0.14013346043851294</v>
      </c>
      <c r="AG14" s="16">
        <f>[11]Model!R$50</f>
        <v>7.3582775919732502E-2</v>
      </c>
      <c r="AH14" s="16">
        <f>[11]Model!$R$51</f>
        <v>0.65</v>
      </c>
      <c r="AI14" s="16">
        <f>[11]Model!$R$54</f>
        <v>0.12268047313607891</v>
      </c>
      <c r="AJ14" s="16">
        <f>[11]Model!$R$56</f>
        <v>0.10560103118403324</v>
      </c>
      <c r="AK14" s="16">
        <f>[11]Model!$AE$48</f>
        <v>7.0000000000000007E-2</v>
      </c>
      <c r="AL14" s="16">
        <f>[11]Model!$AE$54</f>
        <v>-0.12909995502690153</v>
      </c>
      <c r="AM14" s="11" t="str">
        <f>[11]Model!$AE$55</f>
        <v>Slightly overvalued</v>
      </c>
      <c r="AO14" s="11">
        <v>1953</v>
      </c>
      <c r="AQ14" s="18">
        <f>[11]Main!$E$3</f>
        <v>45934</v>
      </c>
      <c r="AR14" s="18">
        <f>[11]Main!$G$3</f>
        <v>46072</v>
      </c>
    </row>
    <row r="15" spans="2:44" x14ac:dyDescent="0.3">
      <c r="B15" s="19" t="s">
        <v>27</v>
      </c>
      <c r="C15" s="11" t="s">
        <v>61</v>
      </c>
      <c r="D15" s="13">
        <f>[12]Main!$D$3</f>
        <v>297.39</v>
      </c>
      <c r="E15" s="14">
        <f>[12]Main!$D$5</f>
        <v>55641.668999999994</v>
      </c>
      <c r="F15" s="14">
        <f>[12]Main!$D$8</f>
        <v>-11620</v>
      </c>
      <c r="G15" s="14">
        <f>[12]Main!$D$9</f>
        <v>67261.668999999994</v>
      </c>
      <c r="I15" s="14">
        <f>[12]Model!T$18</f>
        <v>1119</v>
      </c>
      <c r="J15" s="14">
        <f>[12]Model!U$18</f>
        <v>1846</v>
      </c>
      <c r="K15" s="14">
        <f>[12]Model!V$18</f>
        <v>1062</v>
      </c>
      <c r="L15" s="14">
        <f>[12]Model!W$18</f>
        <v>1227</v>
      </c>
      <c r="M15" s="14">
        <f>[12]Model!X$18</f>
        <v>1502</v>
      </c>
      <c r="N15" s="14">
        <f>[12]Model!Y$18</f>
        <v>2244.6631800000009</v>
      </c>
      <c r="O15" s="14">
        <f>[12]Model!Z$18</f>
        <v>2396.5053390000035</v>
      </c>
      <c r="P15" s="14">
        <f>[12]Model!AA$18</f>
        <v>2530.2616968599991</v>
      </c>
      <c r="Q15" s="14">
        <f>[12]Model!AB$18</f>
        <v>2642.0492126718009</v>
      </c>
      <c r="R15" s="15">
        <f>$G15/M15</f>
        <v>44.781404127829553</v>
      </c>
      <c r="S15" s="15">
        <f t="shared" ref="S15:V18" si="25">$G15/N15</f>
        <v>29.965150049817257</v>
      </c>
      <c r="T15" s="15">
        <f t="shared" si="25"/>
        <v>28.066563385194236</v>
      </c>
      <c r="U15" s="15">
        <f t="shared" si="25"/>
        <v>26.582890253395643</v>
      </c>
      <c r="V15" s="15">
        <f t="shared" si="25"/>
        <v>25.458143882180341</v>
      </c>
      <c r="W15" s="15">
        <f>G15/[12]Model!$AI$18</f>
        <v>19.692396853063652</v>
      </c>
      <c r="X15" s="20">
        <f>[12]Model!$P$36</f>
        <v>1.6309813045586807</v>
      </c>
      <c r="Y15" s="16">
        <f>[12]Model!$P$37</f>
        <v>-0.38687218718881322</v>
      </c>
      <c r="Z15" s="16">
        <f t="shared" si="5"/>
        <v>-0.47734610923232346</v>
      </c>
      <c r="AD15" s="23">
        <f>[12]Model!$X$5</f>
        <v>21325</v>
      </c>
      <c r="AE15" s="26">
        <f t="shared" ref="AE15:AE18" si="26">G15/AD15</f>
        <v>3.154122813599062</v>
      </c>
      <c r="AF15" s="25">
        <f>[12]Model!$W$24</f>
        <v>0.13814324229281438</v>
      </c>
      <c r="AG15" s="25">
        <f>[12]Model!$X$24</f>
        <v>9.815129512333276E-2</v>
      </c>
      <c r="AH15" s="25">
        <f>[12]Model!$X$27</f>
        <v>0.25903868698710436</v>
      </c>
      <c r="AI15" s="25">
        <f>[12]Model!$X$29</f>
        <v>8.9941383352872217E-2</v>
      </c>
      <c r="AJ15" s="25"/>
      <c r="AK15" s="16">
        <f>[12]Model!$AL$24</f>
        <v>0.08</v>
      </c>
      <c r="AL15" s="16">
        <f>[12]Model!$AL$30</f>
        <v>-0.56782003127583369</v>
      </c>
      <c r="AM15" s="11" t="str">
        <f>[12]Model!$AL$31</f>
        <v>Heavily overvalued</v>
      </c>
      <c r="AO15" s="11">
        <v>1890</v>
      </c>
      <c r="AQ15" s="18">
        <f>[12]Main!$E$3</f>
        <v>45934</v>
      </c>
      <c r="AR15" s="18">
        <f>[12]Main!$G$3</f>
        <v>45953</v>
      </c>
    </row>
    <row r="16" spans="2:44" x14ac:dyDescent="0.3">
      <c r="B16" s="19" t="s">
        <v>35</v>
      </c>
      <c r="C16" s="11" t="s">
        <v>63</v>
      </c>
      <c r="D16" s="17">
        <f>[13]Main!$D$3</f>
        <v>271</v>
      </c>
      <c r="E16" s="14">
        <f>[13]Main!$D$5</f>
        <v>55663.4</v>
      </c>
      <c r="F16" s="14">
        <f>[13]Main!$D$8</f>
        <v>-1408.0999999999995</v>
      </c>
      <c r="G16" s="14">
        <f>[13]Main!$D$9</f>
        <v>57071.5</v>
      </c>
      <c r="H16" s="14">
        <f>[13]Model!K$24</f>
        <v>1146.4000000000005</v>
      </c>
      <c r="I16" s="14">
        <f>[13]Model!L$24</f>
        <v>491.90000000000072</v>
      </c>
      <c r="J16" s="14">
        <f>[13]Model!M$24</f>
        <v>1016.7999999999997</v>
      </c>
      <c r="K16" s="14">
        <f>[13]Model!N$24</f>
        <v>1121.8999999999996</v>
      </c>
      <c r="L16" s="14">
        <f>[13]Model!O$24</f>
        <v>928.6000000000015</v>
      </c>
      <c r="M16" s="14">
        <f>[13]Model!P$24</f>
        <v>932.29999999999723</v>
      </c>
      <c r="N16" s="14">
        <f>[13]Model!Q$24</f>
        <v>1473.4199211999967</v>
      </c>
      <c r="O16" s="14">
        <f>[13]Model!R$24</f>
        <v>1674.1472117759988</v>
      </c>
      <c r="P16" s="14">
        <f>[13]Model!S$24</f>
        <v>1801.8286222247989</v>
      </c>
      <c r="Q16" s="14">
        <f>[13]Model!T$24</f>
        <v>1905.822140949791</v>
      </c>
      <c r="R16" s="15">
        <f t="shared" ref="R16" si="27">$G16/M16</f>
        <v>61.21581036147181</v>
      </c>
      <c r="S16" s="15">
        <f t="shared" si="25"/>
        <v>38.734035816157068</v>
      </c>
      <c r="T16" s="15">
        <f t="shared" si="25"/>
        <v>34.089893408750115</v>
      </c>
      <c r="U16" s="15">
        <f t="shared" si="25"/>
        <v>31.674211018765618</v>
      </c>
      <c r="V16" s="15">
        <f t="shared" si="25"/>
        <v>29.945868910704167</v>
      </c>
      <c r="W16" s="15">
        <f>G16/[13]Model!$AA$24</f>
        <v>25.82987502757603</v>
      </c>
      <c r="X16" s="20">
        <f>[13]Model!$G$42</f>
        <v>1.4676241417440277</v>
      </c>
      <c r="Y16" s="16">
        <f>[13]Model!$G$43</f>
        <v>-0.31862663501046928</v>
      </c>
      <c r="Z16" s="16">
        <f t="shared" si="5"/>
        <v>-0.45603298290579602</v>
      </c>
      <c r="AD16" s="23">
        <f>[13]Model!$P$5</f>
        <v>20576.599999999999</v>
      </c>
      <c r="AE16" s="26">
        <f t="shared" si="26"/>
        <v>2.7736117725960558</v>
      </c>
      <c r="AF16" s="25">
        <f>[13]Model!O$29</f>
        <v>4.89276444606348E-2</v>
      </c>
      <c r="AG16" s="25">
        <f>[13]Model!P$29</f>
        <v>0.11657007662086771</v>
      </c>
      <c r="AH16" s="25">
        <f>[13]Model!$P$30</f>
        <v>0.26116559587103788</v>
      </c>
      <c r="AI16" s="25">
        <f>[13]Model!$P$34</f>
        <v>6.1341523866916652E-2</v>
      </c>
      <c r="AJ16" s="25"/>
      <c r="AK16" s="16">
        <f>[13]Model!$AD$32</f>
        <v>0.08</v>
      </c>
      <c r="AL16" s="16">
        <f>[13]Model!$AD$38</f>
        <v>-0.59343933080112277</v>
      </c>
      <c r="AM16" s="11" t="str">
        <f>[13]Model!$AD$39</f>
        <v>Heavily overvalued</v>
      </c>
      <c r="AO16" s="11">
        <v>1949</v>
      </c>
      <c r="AQ16" s="18">
        <f>[13]Main!$E$3</f>
        <v>45934</v>
      </c>
      <c r="AR16" s="18">
        <f>[13]Main!$G$3</f>
        <v>45953</v>
      </c>
    </row>
    <row r="17" spans="2:44" x14ac:dyDescent="0.3">
      <c r="B17" s="19" t="s">
        <v>86</v>
      </c>
      <c r="C17" s="11" t="s">
        <v>87</v>
      </c>
      <c r="D17" s="13">
        <v>75.61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5"/>
      <c r="S17" s="15"/>
      <c r="T17" s="15"/>
      <c r="U17" s="15"/>
      <c r="V17" s="15"/>
      <c r="W17" s="15"/>
      <c r="AD17" s="23"/>
      <c r="AE17" s="26"/>
      <c r="AF17" s="25"/>
      <c r="AG17" s="25"/>
      <c r="AH17" s="25"/>
      <c r="AI17" s="25"/>
      <c r="AJ17" s="25"/>
      <c r="AK17" s="16"/>
      <c r="AL17" s="16"/>
      <c r="AQ17" s="18">
        <v>45930</v>
      </c>
      <c r="AR17" s="18"/>
    </row>
    <row r="18" spans="2:44" x14ac:dyDescent="0.3">
      <c r="B18" s="19" t="s">
        <v>36</v>
      </c>
      <c r="C18" s="11" t="s">
        <v>64</v>
      </c>
      <c r="D18" s="17">
        <f>[14]Main!$D$3</f>
        <v>28.96</v>
      </c>
      <c r="E18" s="14">
        <f>[14]Main!$D$5</f>
        <v>38033.167999999998</v>
      </c>
      <c r="F18" s="14">
        <f>[14]Main!$D$8</f>
        <v>1459</v>
      </c>
      <c r="G18" s="14">
        <f>[14]Main!$D$9</f>
        <v>36574.167999999998</v>
      </c>
      <c r="H18" s="14">
        <f>[14]Model!Q$23</f>
        <v>615.30000000000064</v>
      </c>
      <c r="I18" s="14">
        <f>[14]Model!R$23</f>
        <v>491.20000000000067</v>
      </c>
      <c r="J18" s="14">
        <f>[14]Model!S$23</f>
        <v>773.79999999999905</v>
      </c>
      <c r="K18" s="14">
        <f>[14]Model!T$23</f>
        <v>931.79999999999984</v>
      </c>
      <c r="L18" s="14">
        <f>[14]Model!U$23</f>
        <v>1050.8999999999996</v>
      </c>
      <c r="M18" s="14">
        <f>[14]Model!V$23</f>
        <v>1200.3000000000002</v>
      </c>
      <c r="N18" s="14">
        <f>[14]Model!W$23</f>
        <v>1113.4564026999999</v>
      </c>
      <c r="O18" s="14">
        <f>[14]Model!X$23</f>
        <v>1422.1613657599992</v>
      </c>
      <c r="P18" s="14">
        <f>[14]Model!Y$23</f>
        <v>1443.7923014975993</v>
      </c>
      <c r="Q18" s="14">
        <f>[14]Model!Z$23</f>
        <v>1456.7690142637746</v>
      </c>
      <c r="R18" s="15">
        <f t="shared" ref="R18" si="28">$G18/M18</f>
        <v>30.47085561942847</v>
      </c>
      <c r="S18" s="15">
        <f t="shared" si="25"/>
        <v>32.847418103943696</v>
      </c>
      <c r="T18" s="15">
        <f t="shared" si="25"/>
        <v>25.717312311078611</v>
      </c>
      <c r="U18" s="15">
        <f t="shared" si="25"/>
        <v>25.33201483486426</v>
      </c>
      <c r="V18" s="15">
        <f t="shared" si="25"/>
        <v>25.1063604743707</v>
      </c>
      <c r="W18" s="15">
        <f>G18/[14]Model!$AG$23</f>
        <v>21.155005250230538</v>
      </c>
      <c r="X18" s="20">
        <f>[14]Model!$L$44</f>
        <v>2.537177027186392</v>
      </c>
      <c r="Y18" s="16">
        <f>[14]Model!$L$45</f>
        <v>-0.60586116408717761</v>
      </c>
      <c r="Z18" s="16">
        <f>AVERAGE(Y18,AL18)</f>
        <v>-0.53778312153274932</v>
      </c>
      <c r="AD18" s="14">
        <f>[14]Model!$W$7</f>
        <v>6448.74</v>
      </c>
      <c r="AE18" s="20">
        <f t="shared" si="26"/>
        <v>5.6715215685544775</v>
      </c>
      <c r="AF18" s="16">
        <f>[14]Model!V$30</f>
        <v>4.4056860570622192E-2</v>
      </c>
      <c r="AG18" s="16">
        <f>[14]Model!W$30</f>
        <v>3.7842796446504456E-2</v>
      </c>
      <c r="AH18" s="16">
        <f>[14]Model!$W$33</f>
        <v>0.8307891805220865</v>
      </c>
      <c r="AI18" s="16">
        <f>[14]Model!$W$37</f>
        <v>0.19589976801669784</v>
      </c>
      <c r="AJ18" s="16">
        <f>[14]Model!$W$39</f>
        <v>0.17266262908723254</v>
      </c>
      <c r="AK18" s="16">
        <f>[14]Model!$AJ$29</f>
        <v>0.08</v>
      </c>
      <c r="AL18" s="16">
        <f>[14]Model!$AJ$35</f>
        <v>-0.46970507897832114</v>
      </c>
      <c r="AM18" s="11" t="str">
        <f>[14]Model!$AJ$36</f>
        <v>Overvalued</v>
      </c>
      <c r="AO18" s="11">
        <v>1971</v>
      </c>
      <c r="AQ18" s="18">
        <f>[14]Main!$E$3</f>
        <v>45934</v>
      </c>
      <c r="AR18" s="18">
        <f>[14]Main!$G$3</f>
        <v>46079</v>
      </c>
    </row>
    <row r="19" spans="2:44" x14ac:dyDescent="0.3">
      <c r="B19" s="19" t="s">
        <v>38</v>
      </c>
      <c r="C19" s="11" t="s">
        <v>53</v>
      </c>
      <c r="D19" s="17">
        <f>[15]Main!$D$3</f>
        <v>55.8</v>
      </c>
      <c r="E19" s="14">
        <f>[15]Main!$D$5</f>
        <v>32163.119999999995</v>
      </c>
      <c r="F19" s="14">
        <f>[15]Main!$D$8</f>
        <v>-267</v>
      </c>
      <c r="G19" s="14">
        <f>[15]Main!$D$9</f>
        <v>32430.119999999995</v>
      </c>
      <c r="H19" s="14">
        <f>[15]Model!T$19</f>
        <v>823</v>
      </c>
      <c r="I19" s="14">
        <f>[15]Model!U$19</f>
        <v>239</v>
      </c>
      <c r="J19" s="14">
        <f>[15]Model!V$19</f>
        <v>586</v>
      </c>
      <c r="K19" s="14">
        <f>[15]Model!W$19</f>
        <v>927</v>
      </c>
      <c r="L19" s="14">
        <f>[15]Model!X$19</f>
        <v>658</v>
      </c>
      <c r="M19" s="14">
        <f>[15]Model!Y$19</f>
        <v>1072</v>
      </c>
      <c r="N19" s="14">
        <f>[15]Model!Z$19</f>
        <v>1017.2926499999999</v>
      </c>
      <c r="O19" s="14">
        <f>[15]Model!AA$19</f>
        <v>1811.8731149999999</v>
      </c>
      <c r="P19" s="14">
        <f>[15]Model!AB$19</f>
        <v>1919.0845944000002</v>
      </c>
      <c r="Q19" s="14">
        <f>[15]Model!AC$19</f>
        <v>1993.765444011</v>
      </c>
      <c r="R19" s="15">
        <f t="shared" ref="R19:V19" si="29">$G19/M19</f>
        <v>30.251977611940294</v>
      </c>
      <c r="S19" s="15">
        <f t="shared" si="29"/>
        <v>31.87885020107046</v>
      </c>
      <c r="T19" s="15">
        <f t="shared" si="29"/>
        <v>17.898670569986351</v>
      </c>
      <c r="U19" s="15">
        <f t="shared" si="29"/>
        <v>16.898744377727255</v>
      </c>
      <c r="V19" s="15">
        <f t="shared" si="29"/>
        <v>16.265764911020835</v>
      </c>
      <c r="W19" s="15">
        <f>G19/[15]Model!$AJ$19</f>
        <v>14.167993815482081</v>
      </c>
      <c r="X19" s="20">
        <f>[15]Model!$O$33</f>
        <v>0.99186811842427192</v>
      </c>
      <c r="Y19" s="16">
        <f>[15]Model!$O$34</f>
        <v>8.1985512233690994E-3</v>
      </c>
      <c r="Z19" s="16">
        <f>AVERAGE(Y19,AL19)</f>
        <v>-0.11865420607651811</v>
      </c>
      <c r="AD19" s="23">
        <f>[15]Model!$Y$3</f>
        <v>17763</v>
      </c>
      <c r="AE19" s="26">
        <f t="shared" ref="AE19:AE25" si="30">G19/AD19</f>
        <v>1.8257118729944264</v>
      </c>
      <c r="AF19" s="25">
        <f>[15]Model!$X$23</f>
        <v>3.9284986066743688E-2</v>
      </c>
      <c r="AG19" s="25">
        <f>[15]Model!$Y$23</f>
        <v>0.1616637237590739</v>
      </c>
      <c r="AH19" s="25">
        <f>[15]Model!$Y$24</f>
        <v>0.11349434217193041</v>
      </c>
      <c r="AI19" s="25">
        <f>[15]Model!$Y$26</f>
        <v>6.6430220120475142E-2</v>
      </c>
      <c r="AJ19" s="25"/>
      <c r="AK19" s="16">
        <f>[15]Model!$AM$25</f>
        <v>0.08</v>
      </c>
      <c r="AL19" s="16">
        <f>[15]Model!$AM$31</f>
        <v>-0.24550696337640532</v>
      </c>
      <c r="AM19" s="11" t="str">
        <f>[15]Model!$AM$32</f>
        <v>Fairly valued</v>
      </c>
      <c r="AO19" s="11">
        <v>1996</v>
      </c>
      <c r="AQ19" s="18">
        <f>[15]Main!$E$3</f>
        <v>45934</v>
      </c>
      <c r="AR19" s="18">
        <f>[15]Main!$G$3</f>
        <v>45868</v>
      </c>
    </row>
    <row r="20" spans="2:44" x14ac:dyDescent="0.3">
      <c r="B20" s="19" t="s">
        <v>74</v>
      </c>
      <c r="C20" s="11" t="s">
        <v>75</v>
      </c>
      <c r="D20" s="17">
        <f>[16]Main!$D$3</f>
        <v>195.58</v>
      </c>
      <c r="E20" s="14">
        <f>[16]Main!$D$5</f>
        <v>25092.914000000004</v>
      </c>
      <c r="F20" s="14">
        <f>[16]Main!$D$8</f>
        <v>-4174</v>
      </c>
      <c r="G20" s="14">
        <f>[16]Main!$D$9</f>
        <v>29266.914000000004</v>
      </c>
      <c r="H20" s="14">
        <f>[16]Model!P$18</f>
        <v>667</v>
      </c>
      <c r="I20" s="14">
        <f>[16]Model!Q$18</f>
        <v>628</v>
      </c>
      <c r="J20" s="14">
        <f>[16]Model!R$18</f>
        <v>753</v>
      </c>
      <c r="K20" s="14">
        <f>[16]Model!S$18</f>
        <v>685</v>
      </c>
      <c r="L20" s="14">
        <f>[16]Model!T$18</f>
        <v>199</v>
      </c>
      <c r="M20" s="14">
        <f>[16]Model!U$18</f>
        <v>1254</v>
      </c>
      <c r="N20" s="14">
        <f>[16]Model!V$18</f>
        <v>1488.4593099999986</v>
      </c>
      <c r="O20" s="14">
        <f>[16]Model!W$18</f>
        <v>1825.4889705000001</v>
      </c>
      <c r="P20" s="14">
        <f>[16]Model!X$18</f>
        <v>1915.7253039600007</v>
      </c>
      <c r="Q20" s="14">
        <f>[16]Model!Y$18</f>
        <v>1981.3585502100002</v>
      </c>
      <c r="R20" s="15">
        <f t="shared" ref="R20" si="31">$G20/M20</f>
        <v>23.338846889952155</v>
      </c>
      <c r="S20" s="15">
        <f t="shared" ref="S20:S25" si="32">$G20/N20</f>
        <v>19.662555639495466</v>
      </c>
      <c r="T20" s="15">
        <f t="shared" ref="T20:T25" si="33">$G20/O20</f>
        <v>16.032369668047799</v>
      </c>
      <c r="U20" s="15">
        <f t="shared" ref="U20:U25" si="34">$G20/P20</f>
        <v>15.277197591691403</v>
      </c>
      <c r="V20" s="15">
        <f t="shared" ref="V20:V25" si="35">$G20/Q20</f>
        <v>14.771134682765046</v>
      </c>
      <c r="W20" s="15">
        <f>G20/[16]Model!$AF$18</f>
        <v>13.627104308731628</v>
      </c>
      <c r="X20" s="20">
        <f>[16]Model!$L$34</f>
        <v>2.1600792678426455</v>
      </c>
      <c r="Y20" s="16">
        <f>[16]Model!$L$35</f>
        <v>-0.53705402626324061</v>
      </c>
      <c r="Z20" s="16">
        <f>AVERAGE(Y20,AL20)</f>
        <v>-0.37664617950769924</v>
      </c>
      <c r="AD20" s="23">
        <f>[16]Model!$U$3</f>
        <v>16662</v>
      </c>
      <c r="AE20" s="26">
        <f t="shared" si="30"/>
        <v>1.7565066618653224</v>
      </c>
      <c r="AF20" s="25">
        <f>[16]Model!T$22</f>
        <v>7.2381217004723553E-2</v>
      </c>
      <c r="AG20" s="25">
        <f>[16]Model!U$22</f>
        <v>7.9284881461329171E-2</v>
      </c>
      <c r="AH20" s="25">
        <f>[16]Model!$U$23</f>
        <v>0.16792701956547834</v>
      </c>
      <c r="AI20" s="25">
        <f>[16]Model!$U$26</f>
        <v>0.10731004681310767</v>
      </c>
      <c r="AJ20" s="25"/>
      <c r="AK20" s="16">
        <f>[16]Model!$AI$24</f>
        <v>0.08</v>
      </c>
      <c r="AL20" s="16">
        <f>[16]Model!$AI$30</f>
        <v>-0.21623833275215787</v>
      </c>
      <c r="AM20" s="11" t="str">
        <f>[16]Model!$AI$31</f>
        <v>Slightly overvalued</v>
      </c>
      <c r="AO20" s="11">
        <v>1969</v>
      </c>
      <c r="AQ20" s="18">
        <f>[16]Main!$E$3</f>
        <v>45934</v>
      </c>
      <c r="AR20" s="18">
        <f>[16]Main!$G$3</f>
        <v>45965</v>
      </c>
    </row>
    <row r="21" spans="2:44" x14ac:dyDescent="0.3">
      <c r="B21" s="19" t="s">
        <v>69</v>
      </c>
      <c r="C21" s="11" t="s">
        <v>85</v>
      </c>
      <c r="D21" s="17">
        <f>[17]Main!$D$3</f>
        <v>194.63</v>
      </c>
      <c r="E21" s="14">
        <f>[17]Main!$D$5</f>
        <v>19287.832999999999</v>
      </c>
      <c r="F21" s="14">
        <f>[17]Main!$D$8</f>
        <v>-4448</v>
      </c>
      <c r="G21" s="14">
        <f>[17]Main!$D$9</f>
        <v>23735.832999999999</v>
      </c>
      <c r="H21" s="14"/>
      <c r="I21" s="14"/>
      <c r="J21" s="14"/>
      <c r="K21" s="14"/>
      <c r="L21" s="14"/>
      <c r="M21" s="14">
        <f>[17]Model!U$23</f>
        <v>370</v>
      </c>
      <c r="N21" s="14">
        <f>[17]Model!V$23</f>
        <v>501.53600000000051</v>
      </c>
      <c r="O21" s="14"/>
      <c r="P21" s="14"/>
      <c r="Q21" s="14"/>
      <c r="R21" s="15">
        <f t="shared" ref="R21" si="36">$G21/M21</f>
        <v>64.150899999999993</v>
      </c>
      <c r="S21" s="15">
        <f t="shared" si="32"/>
        <v>47.326279668857218</v>
      </c>
      <c r="T21" s="15"/>
      <c r="U21" s="15"/>
      <c r="V21" s="15"/>
      <c r="W21" s="15"/>
      <c r="X21" s="20">
        <f>[17]Model!$L$42</f>
        <v>1.845136271766169</v>
      </c>
      <c r="Y21" s="16">
        <f>[17]Model!$L$43</f>
        <v>-0.45803460952897668</v>
      </c>
      <c r="AA21" s="14">
        <f>[17]Model!$L$3</f>
        <v>16100</v>
      </c>
      <c r="AB21" s="20">
        <f>AA21/AD21</f>
        <v>1.7124872228243699</v>
      </c>
      <c r="AC21" s="20"/>
      <c r="AD21" s="14">
        <f>[17]Model!$V$8</f>
        <v>9401.5300000000007</v>
      </c>
      <c r="AE21" s="20">
        <f t="shared" si="30"/>
        <v>2.5246776854405608</v>
      </c>
      <c r="AF21" s="25"/>
      <c r="AG21" s="16">
        <f>[17]Model!$V$31</f>
        <v>8.5000577034045177E-2</v>
      </c>
      <c r="AH21" s="16">
        <f>[17]Model!$V$32</f>
        <v>0.1980854180117492</v>
      </c>
      <c r="AI21" s="16">
        <f>[17]Model!$V$35</f>
        <v>0.11177712563806108</v>
      </c>
      <c r="AJ21" s="16"/>
      <c r="AK21" s="16"/>
      <c r="AL21" s="16"/>
      <c r="AQ21" s="18"/>
      <c r="AR21" s="18"/>
    </row>
    <row r="22" spans="2:44" x14ac:dyDescent="0.3">
      <c r="B22" s="19" t="s">
        <v>70</v>
      </c>
      <c r="C22" s="11" t="s">
        <v>71</v>
      </c>
      <c r="D22" s="13">
        <f>[18]Main!$D$3</f>
        <v>86.85</v>
      </c>
      <c r="E22" s="14">
        <f>[18]Main!$D$5</f>
        <v>15476.669999999998</v>
      </c>
      <c r="F22" s="14">
        <f>[18]Main!$D$8</f>
        <v>-2300</v>
      </c>
      <c r="G22" s="14">
        <f>[18]Main!$D$9</f>
        <v>17776.669999999998</v>
      </c>
      <c r="H22" s="14">
        <f>[18]Model!P$29</f>
        <v>815</v>
      </c>
      <c r="I22" s="14">
        <f>[18]Model!Q$29</f>
        <v>309</v>
      </c>
      <c r="J22" s="14">
        <f>[18]Model!R$29</f>
        <v>746</v>
      </c>
      <c r="K22" s="14">
        <f>[18]Model!S$29</f>
        <v>861</v>
      </c>
      <c r="L22" s="14">
        <f>[18]Model!T$29</f>
        <v>921</v>
      </c>
      <c r="M22" s="14">
        <f>[18]Model!U$29</f>
        <v>824</v>
      </c>
      <c r="N22" s="14">
        <f>[18]Model!V$29</f>
        <v>995.46496000000059</v>
      </c>
      <c r="O22" s="14">
        <f>[18]Model!W$29</f>
        <v>1247.4273649599995</v>
      </c>
      <c r="P22" s="14">
        <f>[18]Model!X$29</f>
        <v>1426.3027815039991</v>
      </c>
      <c r="Q22" s="14">
        <f>[18]Model!Y$29</f>
        <v>1482.6656240783984</v>
      </c>
      <c r="R22" s="15">
        <f>$G22/M22</f>
        <v>21.573628640776697</v>
      </c>
      <c r="S22" s="15">
        <f>$G22/N22</f>
        <v>17.85765518054999</v>
      </c>
      <c r="T22" s="15">
        <f>$G22/O22</f>
        <v>14.250665408939486</v>
      </c>
      <c r="U22" s="15">
        <f>$G22/P22</f>
        <v>12.463461636984935</v>
      </c>
      <c r="V22" s="15">
        <f>$G22/Q22</f>
        <v>11.989668952532501</v>
      </c>
      <c r="W22" s="15">
        <f>G22/[18]Model!$AF$29</f>
        <v>10.147551233981767</v>
      </c>
      <c r="X22" s="20">
        <f>[18]Model!$L$55</f>
        <v>1.0410324431951277</v>
      </c>
      <c r="Y22" s="16">
        <f>[18]Model!$L$56</f>
        <v>-3.9415143556132737E-2</v>
      </c>
      <c r="Z22" s="16">
        <f>AVERAGE(Y22,AL22)</f>
        <v>-5.6562643826018777E-2</v>
      </c>
      <c r="AC22" s="20"/>
      <c r="AD22" s="23">
        <f>[18]Model!$U$13</f>
        <v>13702</v>
      </c>
      <c r="AE22" s="26">
        <f t="shared" si="30"/>
        <v>1.2973777550722521</v>
      </c>
      <c r="AF22" s="25">
        <f>[18]Model!T$42</f>
        <v>6.3252777993628051E-2</v>
      </c>
      <c r="AG22" s="25">
        <f>[18]Model!U$42</f>
        <v>1.3885843747716287E-3</v>
      </c>
      <c r="AH22" s="25">
        <f>[18]Model!$U$45</f>
        <v>0.18260108013428697</v>
      </c>
      <c r="AI22" s="25">
        <f>[18]Model!$U$48</f>
        <v>6.23996496861772E-2</v>
      </c>
      <c r="AJ22" s="25"/>
      <c r="AK22" s="16">
        <f>[18]Model!$AJ$42</f>
        <v>0.09</v>
      </c>
      <c r="AL22" s="16">
        <f>[18]Model!$AJ$48</f>
        <v>-7.3710144095904817E-2</v>
      </c>
      <c r="AM22" s="11" t="str">
        <f>[18]Model!$AJ$49</f>
        <v>Fairly valued</v>
      </c>
      <c r="AO22" s="11">
        <v>1923</v>
      </c>
      <c r="AQ22" s="18">
        <f>[18]Main!$E$3</f>
        <v>45934</v>
      </c>
      <c r="AR22" s="18">
        <f>[18]Main!$G$3</f>
        <v>45953</v>
      </c>
    </row>
    <row r="23" spans="2:44" x14ac:dyDescent="0.3">
      <c r="B23" s="19" t="s">
        <v>67</v>
      </c>
      <c r="C23" s="11" t="s">
        <v>78</v>
      </c>
      <c r="D23" s="13">
        <f>[19]Main!$D$3</f>
        <v>57.35</v>
      </c>
      <c r="E23" s="14">
        <f>[19]Main!$D$5</f>
        <v>10523.725</v>
      </c>
      <c r="F23" s="14">
        <f>[19]Main!$D$8</f>
        <v>-600.00000000000023</v>
      </c>
      <c r="G23" s="14">
        <f>[19]Main!$D$9</f>
        <v>11123.725</v>
      </c>
      <c r="H23" s="14">
        <f>[19]Model!P$22</f>
        <v>-322.3</v>
      </c>
      <c r="I23" s="14">
        <f>[19]Model!Q$22</f>
        <v>-731.9000000000002</v>
      </c>
      <c r="J23" s="14">
        <f>[19]Model!R$22</f>
        <v>-44.700000000000145</v>
      </c>
      <c r="K23" s="14">
        <f>[19]Model!S$22</f>
        <v>-185.59999999999982</v>
      </c>
      <c r="L23" s="14">
        <f>[19]Model!T$22</f>
        <v>163.90000000000035</v>
      </c>
      <c r="M23" s="14">
        <f>[19]Model!U$22</f>
        <v>228.2000000000003</v>
      </c>
      <c r="N23" s="14">
        <f>[19]Model!V$22</f>
        <v>743.65658000000008</v>
      </c>
      <c r="O23" s="14">
        <f>[19]Model!W$22</f>
        <v>719.25833086000011</v>
      </c>
      <c r="P23" s="14">
        <f>[19]Model!X$22</f>
        <v>830.80143681460015</v>
      </c>
      <c r="Q23" s="14">
        <f>[19]Model!Y$22</f>
        <v>906.37830312002222</v>
      </c>
      <c r="R23" s="15">
        <f t="shared" ref="R23:V23" si="37">$G23/M23</f>
        <v>48.745508326029736</v>
      </c>
      <c r="S23" s="15">
        <f t="shared" si="37"/>
        <v>14.958147751479586</v>
      </c>
      <c r="T23" s="15">
        <f t="shared" si="37"/>
        <v>15.465549056205754</v>
      </c>
      <c r="U23" s="15">
        <f t="shared" si="37"/>
        <v>13.38914993051745</v>
      </c>
      <c r="V23" s="15">
        <f t="shared" si="37"/>
        <v>12.272717651899708</v>
      </c>
      <c r="W23" s="15">
        <f>G23/[19]Model!$AF$22</f>
        <v>10.291716564207741</v>
      </c>
      <c r="X23" s="20">
        <f>[19]Model!$L$38</f>
        <v>0.92160107705053851</v>
      </c>
      <c r="Y23" s="16">
        <f>[19]Model!$L$39</f>
        <v>8.5068176352795399E-2</v>
      </c>
      <c r="Z23" s="16">
        <f>AVERAGE(Y23,AL23)</f>
        <v>-0.17386324663502323</v>
      </c>
      <c r="AD23" s="23">
        <f>[19]Model!$V$3</f>
        <v>7743.8040000000001</v>
      </c>
      <c r="AE23" s="26">
        <f t="shared" si="30"/>
        <v>1.4364677876661134</v>
      </c>
      <c r="AF23" s="25">
        <f>[19]Model!T$26</f>
        <v>0.16041143561957627</v>
      </c>
      <c r="AG23" s="25">
        <f>[19]Model!U$26</f>
        <v>0.21376103255195988</v>
      </c>
      <c r="AH23" s="25">
        <f>[19]Model!$U$27</f>
        <v>0.18032120349664568</v>
      </c>
      <c r="AI23" s="25">
        <f>[19]Model!$U$31</f>
        <v>8.4945345364129704E-2</v>
      </c>
      <c r="AJ23" s="25"/>
      <c r="AK23" s="16">
        <f>[19]Model!$AI$28</f>
        <v>0.14000000000000001</v>
      </c>
      <c r="AL23" s="16">
        <f>[19]Model!$AI$34</f>
        <v>-0.43279466962284185</v>
      </c>
      <c r="AM23" s="11" t="str">
        <f>[19]Model!$AI$35</f>
        <v>Overvalued</v>
      </c>
      <c r="AO23" s="11">
        <v>1969</v>
      </c>
      <c r="AQ23" s="18">
        <f>[19]Main!$E$3</f>
        <v>45934</v>
      </c>
      <c r="AR23" s="18">
        <f>[19]Main!$G$3</f>
        <v>45965</v>
      </c>
    </row>
    <row r="24" spans="2:44" x14ac:dyDescent="0.3">
      <c r="B24" s="19" t="s">
        <v>73</v>
      </c>
      <c r="C24" s="11" t="s">
        <v>77</v>
      </c>
      <c r="D24" s="17">
        <f>[20]Main!$D$3</f>
        <v>101.2</v>
      </c>
      <c r="E24" s="14">
        <f>[20]Main!$D$5</f>
        <v>11739.2</v>
      </c>
      <c r="F24" s="14">
        <f>[20]Main!$D$8</f>
        <v>-498</v>
      </c>
      <c r="G24" s="14">
        <f>[20]Main!$D$9</f>
        <v>12237.2</v>
      </c>
      <c r="H24" s="14">
        <f>[20]Model!P$43</f>
        <v>5.9000000000001167</v>
      </c>
      <c r="I24" s="14">
        <f>[20]Model!Q$43</f>
        <v>-65.199999999999903</v>
      </c>
      <c r="J24" s="14">
        <f>[20]Model!R$43</f>
        <v>63</v>
      </c>
      <c r="K24" s="14">
        <f>[20]Model!S$43</f>
        <v>79</v>
      </c>
      <c r="L24" s="14">
        <f>[20]Model!T$43</f>
        <v>58</v>
      </c>
      <c r="M24" s="14">
        <f>[20]Model!U$43</f>
        <v>106</v>
      </c>
      <c r="N24" s="14">
        <f>[20]Model!V$43</f>
        <v>105.74143999999995</v>
      </c>
      <c r="O24" s="14">
        <f>[20]Model!W$43</f>
        <v>144.35987200000005</v>
      </c>
      <c r="P24" s="14">
        <f>[20]Model!X$43</f>
        <v>169.88582975999995</v>
      </c>
      <c r="Q24" s="14">
        <f>[20]Model!Y$43</f>
        <v>189.70135618560002</v>
      </c>
      <c r="R24" s="15">
        <f t="shared" ref="R24" si="38">$G24/M24</f>
        <v>115.44528301886793</v>
      </c>
      <c r="S24" s="15">
        <f t="shared" si="32"/>
        <v>115.72757095042404</v>
      </c>
      <c r="T24" s="15">
        <f t="shared" si="33"/>
        <v>84.768709132687491</v>
      </c>
      <c r="U24" s="15">
        <f t="shared" si="34"/>
        <v>72.031905293617854</v>
      </c>
      <c r="V24" s="15">
        <f t="shared" si="35"/>
        <v>64.50770962347454</v>
      </c>
      <c r="W24" s="15">
        <f>G24/[20]Model!$AF$43</f>
        <v>35.255116146867159</v>
      </c>
      <c r="X24" s="20">
        <f>[20]Model!$L$59</f>
        <v>2.6322219832221987</v>
      </c>
      <c r="Y24" s="16">
        <f>[20]Model!$L$60</f>
        <v>-0.62009283169352469</v>
      </c>
      <c r="Z24" s="16">
        <f>AVERAGE(Y24,AL24)</f>
        <v>-0.71348010657152106</v>
      </c>
      <c r="AD24" s="14">
        <f>[20]Model!$V$26</f>
        <v>2587.8199999999997</v>
      </c>
      <c r="AE24" s="20">
        <f t="shared" si="30"/>
        <v>4.7287678432039328</v>
      </c>
      <c r="AF24" s="16">
        <f>[20]Model!U$47</f>
        <v>0.21277747698971305</v>
      </c>
      <c r="AG24" s="16">
        <f>[20]Model!V$47</f>
        <v>0.1552767857142856</v>
      </c>
      <c r="AH24" s="16">
        <f>[20]Model!$V$48</f>
        <v>0.22716788648360398</v>
      </c>
      <c r="AI24" s="16">
        <f>[20]Model!$V$52</f>
        <v>9.599848521149075E-2</v>
      </c>
      <c r="AJ24" s="16"/>
      <c r="AK24" s="16">
        <f>[20]Model!$AI$49</f>
        <v>0.09</v>
      </c>
      <c r="AL24" s="16">
        <f>[20]Model!$AI$55</f>
        <v>-0.80686738144951742</v>
      </c>
      <c r="AM24" s="11" t="str">
        <f>[20]Model!$AI$56</f>
        <v>Heavily overvalued</v>
      </c>
      <c r="AO24" s="11">
        <v>1892</v>
      </c>
      <c r="AQ24" s="18">
        <f>[20]Main!$E$3</f>
        <v>45924</v>
      </c>
      <c r="AR24" s="18">
        <f>[20]Main!$G$3</f>
        <v>45968</v>
      </c>
    </row>
    <row r="25" spans="2:44" x14ac:dyDescent="0.3">
      <c r="B25" s="19" t="s">
        <v>68</v>
      </c>
      <c r="C25" s="11" t="s">
        <v>84</v>
      </c>
      <c r="D25" s="13">
        <f>[21]Main!$D$3</f>
        <v>107.54</v>
      </c>
      <c r="E25" s="14">
        <f>[21]Main!$D$5</f>
        <v>18152.752000000004</v>
      </c>
      <c r="F25" s="14">
        <f>[21]Main!$D$8</f>
        <v>613.79999999999995</v>
      </c>
      <c r="G25" s="14">
        <f>[21]Main!$D$9</f>
        <v>17538.952000000005</v>
      </c>
      <c r="H25" s="14">
        <f>[21]Model!P$22</f>
        <v>10.89999999999997</v>
      </c>
      <c r="I25" s="14">
        <f>[21]Model!Q$22</f>
        <v>80.300000000000068</v>
      </c>
      <c r="J25" s="14">
        <f>[21]Model!R$22</f>
        <v>0.50000000000003597</v>
      </c>
      <c r="K25" s="14">
        <f>[21]Model!S$22</f>
        <v>-33.20000000000001</v>
      </c>
      <c r="L25" s="14">
        <f>[21]Model!T$22</f>
        <v>2.3999999999998813</v>
      </c>
      <c r="M25" s="14">
        <f>[21]Model!U$22</f>
        <v>16.299999999999944</v>
      </c>
      <c r="N25" s="14">
        <f>[21]Model!V$22</f>
        <v>19.969807999999741</v>
      </c>
      <c r="O25" s="14">
        <f>[21]Model!W$22</f>
        <v>47.220326400000076</v>
      </c>
      <c r="P25" s="14">
        <f>[21]Model!X$22</f>
        <v>70.794515788799941</v>
      </c>
      <c r="Q25" s="14">
        <f>[21]Model!Y$22</f>
        <v>85.495337030527935</v>
      </c>
      <c r="R25" s="15">
        <f t="shared" ref="R25" si="39">$G25/M25</f>
        <v>1076.0093251533783</v>
      </c>
      <c r="S25" s="15">
        <f t="shared" si="32"/>
        <v>878.27344158743199</v>
      </c>
      <c r="T25" s="15">
        <f t="shared" si="33"/>
        <v>371.42801283135509</v>
      </c>
      <c r="U25" s="15">
        <f t="shared" si="34"/>
        <v>247.74450117469067</v>
      </c>
      <c r="V25" s="15">
        <f t="shared" si="35"/>
        <v>205.1451296547009</v>
      </c>
      <c r="W25" s="15">
        <f>G25/[21]Model!$AF$22</f>
        <v>94.848124296920872</v>
      </c>
      <c r="X25" s="20">
        <f>[21]Model!$L$45</f>
        <v>6.7830575859535163</v>
      </c>
      <c r="Y25" s="16">
        <f>[21]Model!$L$46</f>
        <v>-0.85257385960118948</v>
      </c>
      <c r="Z25" s="16">
        <f>AVERAGE(Y25,AL25)</f>
        <v>-0.8720193714588601</v>
      </c>
      <c r="AD25" s="14">
        <f>[21]Model!$V$7</f>
        <v>1297.6099999999999</v>
      </c>
      <c r="AE25" s="20">
        <f t="shared" si="30"/>
        <v>13.51635082960212</v>
      </c>
      <c r="AF25" s="16">
        <f>[21]Model!U$28</f>
        <v>9.5651335454633113E-2</v>
      </c>
      <c r="AG25" s="16">
        <f>[21]Model!V$28</f>
        <v>0.14196074980198881</v>
      </c>
      <c r="AH25" s="16">
        <f>[21]Model!$V$31</f>
        <v>0.23128695062460972</v>
      </c>
      <c r="AI25" s="16">
        <f>[21]Model!$V$34</f>
        <v>2.1587580243678565E-2</v>
      </c>
      <c r="AJ25" s="16"/>
      <c r="AK25" s="16">
        <f>[21]Model!$AI$29</f>
        <v>0.09</v>
      </c>
      <c r="AL25" s="16">
        <f>[21]Model!$AI$35</f>
        <v>-0.89146488331653073</v>
      </c>
      <c r="AM25" s="11" t="str">
        <f>[21]Model!$AI$36</f>
        <v>Heavily overvalued</v>
      </c>
      <c r="AO25" s="11">
        <v>1994</v>
      </c>
      <c r="AQ25" s="18">
        <f>[21]Main!$E$3</f>
        <v>45939</v>
      </c>
      <c r="AR25" s="18">
        <f>[21]Main!$G$3</f>
        <v>45960</v>
      </c>
    </row>
    <row r="26" spans="2:44" x14ac:dyDescent="0.3">
      <c r="B26" s="5" t="s">
        <v>37</v>
      </c>
      <c r="C26" s="11" t="s">
        <v>65</v>
      </c>
      <c r="AD26" s="24"/>
      <c r="AE26" s="24"/>
      <c r="AF26" s="24"/>
      <c r="AG26" s="24"/>
      <c r="AH26" s="24"/>
      <c r="AI26" s="24"/>
      <c r="AJ26" s="24"/>
    </row>
    <row r="27" spans="2:44" x14ac:dyDescent="0.3">
      <c r="B27" s="19" t="s">
        <v>72</v>
      </c>
      <c r="C27" s="11" t="s">
        <v>76</v>
      </c>
      <c r="D27" s="17">
        <f>[22]Main!$D$3</f>
        <v>66.63</v>
      </c>
      <c r="E27" s="14">
        <f>[22]Main!$D$5</f>
        <v>6663</v>
      </c>
      <c r="F27" s="14">
        <f>[22]Main!$D$8</f>
        <v>-438.4</v>
      </c>
      <c r="G27" s="14">
        <f>[22]Main!$D$9</f>
        <v>7101.4</v>
      </c>
      <c r="K27" s="14">
        <f>[22]Model!S$39</f>
        <v>16.199999999999942</v>
      </c>
      <c r="L27" s="14">
        <f>[22]Model!T$39</f>
        <v>32.30000000000004</v>
      </c>
      <c r="M27" s="14">
        <f>[22]Model!U$39</f>
        <v>53.500000000000057</v>
      </c>
      <c r="N27" s="14">
        <f>[22]Model!V$39</f>
        <v>96.823239999999927</v>
      </c>
      <c r="O27" s="14">
        <f>[22]Model!W$39</f>
        <v>143.50169249999999</v>
      </c>
      <c r="P27" s="14">
        <f>[22]Model!X$39</f>
        <v>179.7296860125</v>
      </c>
      <c r="Q27" s="14">
        <f>[22]Model!Y$39</f>
        <v>200.07653520599999</v>
      </c>
      <c r="R27" s="15">
        <f t="shared" ref="R27" si="40">$G27/M27</f>
        <v>132.73644859813069</v>
      </c>
      <c r="S27" s="15">
        <f t="shared" ref="S27" si="41">$G27/N27</f>
        <v>73.343961635656939</v>
      </c>
      <c r="T27" s="15">
        <f t="shared" ref="T27:T28" si="42">$G27/O27</f>
        <v>49.486524348833029</v>
      </c>
      <c r="U27" s="15">
        <f t="shared" ref="U27:U28" si="43">$G27/P27</f>
        <v>39.51155848292143</v>
      </c>
      <c r="V27" s="15">
        <f t="shared" ref="V27:V28" si="44">$G27/Q27</f>
        <v>35.493417519892354</v>
      </c>
      <c r="W27" s="15">
        <f>G27/[22]Model!$AF$39</f>
        <v>22.535987037880979</v>
      </c>
      <c r="X27" s="20">
        <f>[22]Model!$L$54</f>
        <v>4.3835802469135796</v>
      </c>
      <c r="Y27" s="16">
        <f>[22]Model!$L$55</f>
        <v>-0.77187596811896242</v>
      </c>
      <c r="Z27" s="16">
        <f>AVERAGE(Y27,AL27)</f>
        <v>-0.72227595642955145</v>
      </c>
      <c r="AD27" s="14">
        <f>[22]Model!$V$24</f>
        <v>1358.33</v>
      </c>
      <c r="AE27" s="20">
        <f>G27/AD27</f>
        <v>5.2280373694168576</v>
      </c>
      <c r="AF27" s="16">
        <f>[22]Model!U$43</f>
        <v>0.23230686115613186</v>
      </c>
      <c r="AG27" s="16">
        <f>[22]Model!V$43</f>
        <v>0.19099517755370443</v>
      </c>
      <c r="AH27" s="16">
        <f>[22]Model!$V$44</f>
        <v>0.25505171791832615</v>
      </c>
      <c r="AI27" s="16">
        <f>[22]Model!$V$47</f>
        <v>0.1261351806998299</v>
      </c>
      <c r="AJ27" s="16"/>
      <c r="AK27" s="16">
        <f>[22]Model!$AI$45</f>
        <v>0.09</v>
      </c>
      <c r="AL27" s="16">
        <f>[22]Model!$AI$51</f>
        <v>-0.67267594474014047</v>
      </c>
      <c r="AM27" s="11" t="str">
        <f>[22]Model!$AI$52</f>
        <v>Heavily overvalued</v>
      </c>
      <c r="AO27" s="11">
        <v>1873</v>
      </c>
      <c r="AQ27" s="18">
        <f>[22]Main!$E$3</f>
        <v>45903</v>
      </c>
      <c r="AR27" s="18">
        <f>[22]Main!$G$3</f>
        <v>45974</v>
      </c>
    </row>
    <row r="28" spans="2:44" x14ac:dyDescent="0.3">
      <c r="B28" s="19" t="s">
        <v>43</v>
      </c>
      <c r="C28" s="11" t="s">
        <v>66</v>
      </c>
      <c r="D28" s="13">
        <f>[23]Main!$D$3</f>
        <v>11.52</v>
      </c>
      <c r="E28" s="14">
        <f>[23]Main!$D$5</f>
        <v>1357.0559999999998</v>
      </c>
      <c r="F28" s="14">
        <f>[23]Main!$D$8</f>
        <v>46.100000000000009</v>
      </c>
      <c r="G28" s="14">
        <f>[23]Main!$D$9</f>
        <v>1310.9559999999999</v>
      </c>
      <c r="N28" s="14">
        <f>[23]Model!O$15</f>
        <v>-69.325000000000003</v>
      </c>
      <c r="O28" s="14">
        <f>[23]Model!P$15</f>
        <v>-91.1815</v>
      </c>
      <c r="P28" s="14">
        <f>[23]Model!Q$15</f>
        <v>-110.42588000000001</v>
      </c>
      <c r="Q28" s="14">
        <f>[23]Model!R$15</f>
        <v>-123.67537759999999</v>
      </c>
      <c r="S28" s="15">
        <f t="shared" ref="S28" si="45">$G28/N28</f>
        <v>-18.910292102416154</v>
      </c>
      <c r="T28" s="15">
        <f t="shared" si="42"/>
        <v>-14.377434018962179</v>
      </c>
      <c r="U28" s="15">
        <f t="shared" si="43"/>
        <v>-11.871818454152232</v>
      </c>
      <c r="V28" s="15">
        <f t="shared" si="44"/>
        <v>-10.59997572224918</v>
      </c>
      <c r="W28" s="15">
        <f>G28/[23]Model!$Y$15</f>
        <v>8.9774120762748542</v>
      </c>
      <c r="X28" s="20">
        <f>[23]Model!$H$31</f>
        <v>10.798649093904446</v>
      </c>
      <c r="Y28" s="16">
        <f>[23]Model!$H$32</f>
        <v>-0.90739582411614117</v>
      </c>
      <c r="Z28" s="16">
        <f>AVERAGE(Y28,AL28)</f>
        <v>-0.89047085067888254</v>
      </c>
      <c r="AD28" s="14">
        <f>[23]Model!$O$3</f>
        <v>12.3</v>
      </c>
      <c r="AE28" s="20">
        <f>G28/AD28</f>
        <v>106.58178861788616</v>
      </c>
      <c r="AH28" s="16">
        <f>[23]Model!$O$20</f>
        <v>5.08130081300813E-2</v>
      </c>
      <c r="AI28" s="16">
        <f>[23]Model!$O$24</f>
        <v>-4.23780487804878</v>
      </c>
      <c r="AJ28" s="16"/>
      <c r="AK28" s="16">
        <f>[23]Model!$AB$21</f>
        <v>0.11</v>
      </c>
      <c r="AL28" s="16">
        <f>[23]Model!$AB$27</f>
        <v>-0.87354587724162402</v>
      </c>
      <c r="AM28" s="11" t="str">
        <f>[23]Model!$AB$28</f>
        <v>Heavily overvalued</v>
      </c>
    </row>
    <row r="29" spans="2:44" x14ac:dyDescent="0.3">
      <c r="B29" s="19" t="s">
        <v>51</v>
      </c>
      <c r="C29" s="11" t="s">
        <v>52</v>
      </c>
      <c r="D29" s="13">
        <f>[24]Main!$D$3</f>
        <v>14.97</v>
      </c>
      <c r="E29" s="14">
        <f>[24]Main!$D$5</f>
        <v>455.08800000000002</v>
      </c>
      <c r="F29" s="14">
        <f>[24]Main!$D$8</f>
        <v>5</v>
      </c>
      <c r="G29" s="14">
        <f>[24]Main!$D$9</f>
        <v>450.08800000000002</v>
      </c>
      <c r="L29" s="14">
        <f>[24]Model!$P$20</f>
        <v>-1.4</v>
      </c>
      <c r="M29" s="14">
        <f>[24]Model!Q$20</f>
        <v>-32</v>
      </c>
      <c r="N29" s="14">
        <f>[24]Model!R$20</f>
        <v>-27.428000000000001</v>
      </c>
      <c r="O29" s="14">
        <f>[24]Model!S$20</f>
        <v>-36.489999999999995</v>
      </c>
      <c r="P29" s="14">
        <f>[24]Model!T$20</f>
        <v>-44.738199999999992</v>
      </c>
      <c r="Q29" s="14">
        <f>[24]Model!U$20</f>
        <v>-36.238919999999993</v>
      </c>
      <c r="W29" s="15">
        <f>G29/[24]Model!$AB$20</f>
        <v>6.6106472898325936</v>
      </c>
      <c r="X29" s="20">
        <f>[24]Model!$L$35</f>
        <v>8.5894656488549632</v>
      </c>
      <c r="Y29" s="16">
        <f>[24]Model!$L$36</f>
        <v>-0.88357832246138535</v>
      </c>
      <c r="Z29" s="16">
        <f>AVERAGE(Y29,AL29)</f>
        <v>-0.87539364362171912</v>
      </c>
      <c r="AD29" s="23">
        <f>[24]Model!$Q$3</f>
        <v>5.6</v>
      </c>
      <c r="AE29" s="20">
        <f>G29/AD29</f>
        <v>80.372857142857157</v>
      </c>
      <c r="AH29" s="25">
        <f>[24]Model!$Q$26</f>
        <v>0.28571428571428564</v>
      </c>
      <c r="AI29" s="25">
        <f>[24]Model!$Q$30</f>
        <v>-3.0535714285714288</v>
      </c>
      <c r="AJ29" s="25"/>
      <c r="AK29" s="16">
        <f>[24]Model!$AF$27</f>
        <v>0.12</v>
      </c>
      <c r="AL29" s="16">
        <f>[24]Model!$AF$33</f>
        <v>-0.86720896478205278</v>
      </c>
      <c r="AM29" s="11" t="str">
        <f>[24]Model!$AF$34</f>
        <v>Heavily overvalued</v>
      </c>
      <c r="AO29" s="11">
        <v>2019</v>
      </c>
      <c r="AQ29" s="18">
        <f>[24]Main!$E$3</f>
        <v>45933</v>
      </c>
      <c r="AR29" s="18">
        <f>[24]Main!$G$3</f>
        <v>45974</v>
      </c>
    </row>
    <row r="30" spans="2:44" x14ac:dyDescent="0.3">
      <c r="B30" s="12"/>
      <c r="D30" s="13"/>
      <c r="E30" s="14"/>
      <c r="F30" s="14"/>
      <c r="G30" s="14"/>
      <c r="L30" s="14"/>
      <c r="M30" s="14"/>
      <c r="N30" s="14"/>
      <c r="O30" s="14"/>
      <c r="P30" s="14"/>
      <c r="Q30" s="14"/>
      <c r="W30" s="15"/>
      <c r="AD30" s="14"/>
      <c r="AE30" s="20"/>
      <c r="AH30" s="16"/>
      <c r="AI30" s="16"/>
      <c r="AJ30" s="16"/>
      <c r="AK30" s="16"/>
      <c r="AL30" s="16"/>
      <c r="AQ30" s="18"/>
      <c r="AR30" s="18"/>
    </row>
    <row r="31" spans="2:44" x14ac:dyDescent="0.3">
      <c r="B31" s="5" t="s">
        <v>93</v>
      </c>
      <c r="D31" s="13"/>
      <c r="E31" s="14"/>
      <c r="F31" s="14"/>
      <c r="G31" s="14"/>
      <c r="L31" s="14"/>
      <c r="M31" s="14"/>
      <c r="N31" s="14"/>
      <c r="O31" s="14"/>
      <c r="P31" s="14"/>
      <c r="Q31" s="14"/>
      <c r="W31" s="15"/>
      <c r="AD31" s="14"/>
      <c r="AE31" s="20"/>
      <c r="AH31" s="16"/>
      <c r="AI31" s="16"/>
      <c r="AJ31" s="16"/>
      <c r="AK31" s="16"/>
      <c r="AL31" s="16"/>
      <c r="AQ31" s="18"/>
      <c r="AR31" s="18"/>
    </row>
    <row r="32" spans="2:44" x14ac:dyDescent="0.3">
      <c r="B32" s="5" t="s">
        <v>377</v>
      </c>
    </row>
    <row r="33" spans="2:2" x14ac:dyDescent="0.3">
      <c r="B33" s="5" t="s">
        <v>378</v>
      </c>
    </row>
    <row r="34" spans="2:2" x14ac:dyDescent="0.3">
      <c r="B34" s="5" t="s">
        <v>379</v>
      </c>
    </row>
    <row r="35" spans="2:2" x14ac:dyDescent="0.3">
      <c r="B35" s="5" t="s">
        <v>380</v>
      </c>
    </row>
  </sheetData>
  <hyperlinks>
    <hyperlink ref="B4" r:id="rId1" xr:uid="{9EBE5D6A-1C1D-4975-961D-8BDF60D469F0}"/>
    <hyperlink ref="B12" r:id="rId2" xr:uid="{1C2D10B8-C1F0-4011-9894-9CA25208770D}"/>
    <hyperlink ref="B8" r:id="rId3" xr:uid="{959B55A2-9FD4-4C66-8ED7-2CA35BBDDBEB}"/>
    <hyperlink ref="B29" r:id="rId4" xr:uid="{585D8E65-116D-4674-B4B3-00498D6A7848}"/>
    <hyperlink ref="B19" r:id="rId5" xr:uid="{CFD2CC9C-5B8B-4286-BE47-40E920DADED7}"/>
    <hyperlink ref="B5" r:id="rId6" xr:uid="{A17201AA-5063-4DAA-B4C5-DF50CA314C77}"/>
    <hyperlink ref="B6" r:id="rId7" xr:uid="{66D11DBA-CC4F-47C4-B72D-A167C22CF998}"/>
    <hyperlink ref="B11" r:id="rId8" xr:uid="{68839818-3059-4F3D-A939-24E347A3D924}"/>
    <hyperlink ref="B10" r:id="rId9" xr:uid="{2C804FE1-0AB3-4453-B597-E9A1557EBD6D}"/>
    <hyperlink ref="B15" r:id="rId10" xr:uid="{60BDF6DB-8BEB-4FB3-8DBA-58358D39164E}"/>
    <hyperlink ref="B7" r:id="rId11" xr:uid="{2E581798-4486-4631-A533-55B5B7275DFA}"/>
    <hyperlink ref="B9" r:id="rId12" xr:uid="{A83CC09C-04CF-4224-A8E1-DC20AD3A36C8}"/>
    <hyperlink ref="B14" r:id="rId13" xr:uid="{4D3F764E-9CCB-403D-8E1B-4BE47BABAA33}"/>
    <hyperlink ref="B13" r:id="rId14" xr:uid="{93CF4EC5-904A-41E3-804E-56C12BA230AB}"/>
    <hyperlink ref="B22" r:id="rId15" display="txt" xr:uid="{AB07EC75-74EE-4F00-A39A-32F20CF1BEB8}"/>
    <hyperlink ref="B16" r:id="rId16" xr:uid="{9426D752-2EF5-4AFB-99DA-A8A7D85B06E3}"/>
    <hyperlink ref="B18" r:id="rId17" xr:uid="{EB265B06-930A-4273-8DCC-B8FC215B734E}"/>
    <hyperlink ref="B20" r:id="rId18" xr:uid="{CC2544BA-50C9-47A6-B396-2DAF4864B854}"/>
    <hyperlink ref="B27" r:id="rId19" xr:uid="{356138DD-BE1A-4731-B7CC-280B73272B33}"/>
    <hyperlink ref="B24" r:id="rId20" xr:uid="{84017ED8-7373-4D92-B4EF-D5CF532C2353}"/>
    <hyperlink ref="B23" r:id="rId21" xr:uid="{88DB7B22-BB4A-404B-95A6-1AA9663BF5FE}"/>
    <hyperlink ref="B28" r:id="rId22" xr:uid="{C624A8B5-778E-4C36-8210-19EE1248D3F5}"/>
    <hyperlink ref="B25" r:id="rId23" xr:uid="{BAFD510F-4A1A-4765-B090-822E93B04792}"/>
    <hyperlink ref="B21" r:id="rId24" xr:uid="{A503C2A2-F761-40EE-A283-D47A823C22F9}"/>
  </hyperlinks>
  <pageMargins left="0.7" right="0.7" top="0.75" bottom="0.75" header="0.3" footer="0.3"/>
  <pageSetup paperSize="9" orientation="portrait" r:id="rId25"/>
  <legacy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61A3-0296-4EF3-A3C7-6AA855DB950E}">
  <dimension ref="B2:K86"/>
  <sheetViews>
    <sheetView tabSelected="1" workbookViewId="0">
      <selection activeCell="K9" sqref="K9"/>
    </sheetView>
  </sheetViews>
  <sheetFormatPr defaultRowHeight="14.4" x14ac:dyDescent="0.3"/>
  <cols>
    <col min="1" max="1" width="8.88671875" style="27"/>
    <col min="2" max="2" width="18.88671875" style="27" bestFit="1" customWidth="1"/>
    <col min="3" max="4" width="8.88671875" style="27"/>
    <col min="5" max="5" width="10.6640625" style="27" bestFit="1" customWidth="1"/>
    <col min="6" max="16384" width="8.88671875" style="27"/>
  </cols>
  <sheetData>
    <row r="2" spans="2:11" x14ac:dyDescent="0.3">
      <c r="B2" s="27" t="s">
        <v>96</v>
      </c>
    </row>
    <row r="4" spans="2:11" x14ac:dyDescent="0.3">
      <c r="B4" s="27" t="s">
        <v>97</v>
      </c>
      <c r="K4" s="27" t="s">
        <v>171</v>
      </c>
    </row>
    <row r="5" spans="2:11" x14ac:dyDescent="0.3">
      <c r="B5" s="27" t="s">
        <v>98</v>
      </c>
      <c r="K5" s="27" t="s">
        <v>115</v>
      </c>
    </row>
    <row r="6" spans="2:11" x14ac:dyDescent="0.3">
      <c r="B6" s="27" t="s">
        <v>100</v>
      </c>
      <c r="K6" s="27" t="s">
        <v>172</v>
      </c>
    </row>
    <row r="7" spans="2:11" x14ac:dyDescent="0.3">
      <c r="B7" s="27" t="s">
        <v>101</v>
      </c>
      <c r="K7" s="27" t="s">
        <v>252</v>
      </c>
    </row>
    <row r="8" spans="2:11" x14ac:dyDescent="0.3">
      <c r="B8" s="27" t="s">
        <v>99</v>
      </c>
      <c r="K8" s="27" t="s">
        <v>427</v>
      </c>
    </row>
    <row r="10" spans="2:11" x14ac:dyDescent="0.3">
      <c r="B10" s="32" t="s">
        <v>109</v>
      </c>
      <c r="C10" s="38" t="s">
        <v>106</v>
      </c>
      <c r="D10" s="38" t="s">
        <v>107</v>
      </c>
      <c r="E10" s="39" t="s">
        <v>108</v>
      </c>
    </row>
    <row r="11" spans="2:11" x14ac:dyDescent="0.3">
      <c r="B11" s="31" t="s">
        <v>102</v>
      </c>
      <c r="C11" s="34">
        <v>842.3</v>
      </c>
      <c r="D11" s="34">
        <v>848.3</v>
      </c>
      <c r="E11" s="35">
        <v>848.3</v>
      </c>
    </row>
    <row r="12" spans="2:11" x14ac:dyDescent="0.3">
      <c r="B12" s="31" t="s">
        <v>103</v>
      </c>
      <c r="C12" s="34">
        <v>0</v>
      </c>
      <c r="D12" s="34">
        <v>0</v>
      </c>
      <c r="E12" s="35">
        <v>113.3</v>
      </c>
    </row>
    <row r="13" spans="2:11" x14ac:dyDescent="0.3">
      <c r="B13" s="31" t="s">
        <v>104</v>
      </c>
      <c r="C13" s="34">
        <v>67.3</v>
      </c>
      <c r="D13" s="34">
        <v>11.8</v>
      </c>
      <c r="E13" s="35">
        <v>0</v>
      </c>
    </row>
    <row r="14" spans="2:11" x14ac:dyDescent="0.3">
      <c r="B14" s="33" t="s">
        <v>105</v>
      </c>
      <c r="C14" s="36">
        <f>SUM(C11:C13)</f>
        <v>909.59999999999991</v>
      </c>
      <c r="D14" s="36">
        <f>SUM(D11:D13)</f>
        <v>860.09999999999991</v>
      </c>
      <c r="E14" s="37">
        <f>SUM(E11:E13)</f>
        <v>961.59999999999991</v>
      </c>
    </row>
    <row r="16" spans="2:11" x14ac:dyDescent="0.3">
      <c r="B16" s="27" t="s">
        <v>357</v>
      </c>
    </row>
    <row r="18" spans="2:7" x14ac:dyDescent="0.3">
      <c r="C18" s="28" t="s">
        <v>110</v>
      </c>
      <c r="D18" s="28" t="s">
        <v>111</v>
      </c>
      <c r="E18" s="28" t="s">
        <v>116</v>
      </c>
      <c r="F18" s="28" t="s">
        <v>173</v>
      </c>
      <c r="G18" s="28" t="s">
        <v>124</v>
      </c>
    </row>
    <row r="19" spans="2:7" x14ac:dyDescent="0.3">
      <c r="B19" s="27" t="s">
        <v>112</v>
      </c>
      <c r="C19" s="34">
        <v>5</v>
      </c>
      <c r="D19" s="34"/>
      <c r="G19" s="27" t="s">
        <v>125</v>
      </c>
    </row>
    <row r="20" spans="2:7" x14ac:dyDescent="0.3">
      <c r="B20" s="27" t="s">
        <v>113</v>
      </c>
      <c r="C20" s="34">
        <v>25</v>
      </c>
      <c r="D20" s="34"/>
      <c r="G20" s="27" t="s">
        <v>126</v>
      </c>
    </row>
    <row r="21" spans="2:7" x14ac:dyDescent="0.3">
      <c r="B21" s="27" t="s">
        <v>114</v>
      </c>
      <c r="C21" s="34">
        <v>60</v>
      </c>
      <c r="D21" s="34"/>
    </row>
    <row r="22" spans="2:7" x14ac:dyDescent="0.3">
      <c r="C22" s="34"/>
      <c r="D22" s="34">
        <v>11.5</v>
      </c>
      <c r="F22" s="27" t="s">
        <v>117</v>
      </c>
    </row>
    <row r="23" spans="2:7" x14ac:dyDescent="0.3">
      <c r="C23" s="34"/>
      <c r="D23" s="34">
        <v>10.3</v>
      </c>
      <c r="F23" s="27" t="s">
        <v>118</v>
      </c>
    </row>
    <row r="24" spans="2:7" x14ac:dyDescent="0.3">
      <c r="C24" s="34"/>
      <c r="D24" s="34">
        <v>4.2</v>
      </c>
      <c r="F24" s="27" t="s">
        <v>119</v>
      </c>
    </row>
    <row r="25" spans="2:7" x14ac:dyDescent="0.3">
      <c r="C25" s="34"/>
      <c r="D25" s="34">
        <v>2</v>
      </c>
      <c r="F25" s="27" t="s">
        <v>120</v>
      </c>
    </row>
    <row r="26" spans="2:7" x14ac:dyDescent="0.3">
      <c r="C26" s="34"/>
      <c r="D26" s="34">
        <v>1.1000000000000001</v>
      </c>
      <c r="F26" s="27" t="s">
        <v>121</v>
      </c>
    </row>
    <row r="27" spans="2:7" x14ac:dyDescent="0.3">
      <c r="B27" s="27" t="s">
        <v>203</v>
      </c>
      <c r="C27" s="34"/>
      <c r="D27" s="34">
        <f>SUM(D22:D26)</f>
        <v>29.1</v>
      </c>
    </row>
    <row r="28" spans="2:7" x14ac:dyDescent="0.3">
      <c r="B28" s="27" t="s">
        <v>204</v>
      </c>
      <c r="C28" s="34"/>
      <c r="D28" s="34">
        <f>C21-D27</f>
        <v>30.9</v>
      </c>
    </row>
    <row r="29" spans="2:7" x14ac:dyDescent="0.3">
      <c r="B29" s="27" t="s">
        <v>123</v>
      </c>
      <c r="C29" s="34">
        <v>10</v>
      </c>
      <c r="D29" s="34"/>
      <c r="G29" s="27" t="s">
        <v>127</v>
      </c>
    </row>
    <row r="30" spans="2:7" x14ac:dyDescent="0.3">
      <c r="B30" s="27" t="s">
        <v>128</v>
      </c>
      <c r="C30" s="34">
        <v>2.4</v>
      </c>
      <c r="D30" s="34"/>
    </row>
    <row r="31" spans="2:7" x14ac:dyDescent="0.3">
      <c r="C31" s="34"/>
      <c r="D31" s="34">
        <v>1</v>
      </c>
      <c r="G31" s="27" t="s">
        <v>129</v>
      </c>
    </row>
    <row r="32" spans="2:7" x14ac:dyDescent="0.3">
      <c r="C32" s="34"/>
      <c r="D32" s="34">
        <v>1</v>
      </c>
      <c r="G32" s="27" t="s">
        <v>130</v>
      </c>
    </row>
    <row r="33" spans="2:7" x14ac:dyDescent="0.3">
      <c r="C33" s="34"/>
      <c r="D33" s="34">
        <v>0.4</v>
      </c>
      <c r="G33" s="27" t="s">
        <v>131</v>
      </c>
    </row>
    <row r="34" spans="2:7" x14ac:dyDescent="0.3">
      <c r="B34" s="27" t="s">
        <v>203</v>
      </c>
      <c r="C34" s="34"/>
      <c r="D34" s="34">
        <f>SUM(D31:D33)</f>
        <v>2.4</v>
      </c>
    </row>
    <row r="35" spans="2:7" x14ac:dyDescent="0.3">
      <c r="B35" s="27" t="s">
        <v>133</v>
      </c>
      <c r="C35" s="34">
        <v>68.3</v>
      </c>
      <c r="D35" s="34"/>
      <c r="F35" s="27" t="s">
        <v>132</v>
      </c>
    </row>
    <row r="36" spans="2:7" x14ac:dyDescent="0.3">
      <c r="B36" s="27" t="s">
        <v>134</v>
      </c>
      <c r="C36" s="34">
        <v>65</v>
      </c>
      <c r="D36" s="34"/>
      <c r="F36" s="27" t="s">
        <v>135</v>
      </c>
    </row>
    <row r="37" spans="2:7" x14ac:dyDescent="0.3">
      <c r="B37" s="27" t="s">
        <v>136</v>
      </c>
      <c r="C37" s="34">
        <v>11.6</v>
      </c>
      <c r="D37" s="34"/>
      <c r="F37" s="27" t="s">
        <v>137</v>
      </c>
    </row>
    <row r="38" spans="2:7" x14ac:dyDescent="0.3">
      <c r="B38" s="27" t="s">
        <v>138</v>
      </c>
      <c r="C38" s="34">
        <v>10.4</v>
      </c>
      <c r="D38" s="34"/>
    </row>
    <row r="39" spans="2:7" x14ac:dyDescent="0.3">
      <c r="C39" s="34"/>
      <c r="D39" s="34">
        <v>6.5</v>
      </c>
      <c r="F39" s="27" t="s">
        <v>140</v>
      </c>
    </row>
    <row r="40" spans="2:7" x14ac:dyDescent="0.3">
      <c r="C40" s="34"/>
      <c r="D40" s="34">
        <v>3.9</v>
      </c>
      <c r="F40" s="27" t="s">
        <v>139</v>
      </c>
    </row>
    <row r="41" spans="2:7" x14ac:dyDescent="0.3">
      <c r="B41" s="27" t="s">
        <v>203</v>
      </c>
      <c r="C41" s="34"/>
      <c r="D41" s="34">
        <f>SUM(D39:D40)</f>
        <v>10.4</v>
      </c>
    </row>
    <row r="42" spans="2:7" x14ac:dyDescent="0.3">
      <c r="B42" s="27" t="s">
        <v>141</v>
      </c>
      <c r="C42" s="34"/>
      <c r="D42" s="34">
        <v>34</v>
      </c>
      <c r="G42" s="27" t="s">
        <v>142</v>
      </c>
    </row>
    <row r="43" spans="2:7" x14ac:dyDescent="0.3">
      <c r="B43" s="27" t="s">
        <v>143</v>
      </c>
      <c r="C43" s="34"/>
      <c r="D43" s="34">
        <v>15.1</v>
      </c>
      <c r="G43" s="27" t="s">
        <v>144</v>
      </c>
    </row>
    <row r="44" spans="2:7" x14ac:dyDescent="0.3">
      <c r="B44" s="27" t="s">
        <v>145</v>
      </c>
      <c r="C44" s="43">
        <v>35.9</v>
      </c>
      <c r="D44" s="34"/>
    </row>
    <row r="45" spans="2:7" x14ac:dyDescent="0.3">
      <c r="C45" s="34"/>
      <c r="D45" s="34">
        <v>20.3</v>
      </c>
      <c r="G45" s="27" t="s">
        <v>146</v>
      </c>
    </row>
    <row r="46" spans="2:7" x14ac:dyDescent="0.3">
      <c r="C46" s="34"/>
      <c r="D46" s="34">
        <v>13.4</v>
      </c>
      <c r="G46" s="27" t="s">
        <v>147</v>
      </c>
    </row>
    <row r="47" spans="2:7" x14ac:dyDescent="0.3">
      <c r="C47" s="34"/>
      <c r="D47" s="34">
        <v>1</v>
      </c>
      <c r="G47" s="27" t="s">
        <v>158</v>
      </c>
    </row>
    <row r="48" spans="2:7" x14ac:dyDescent="0.3">
      <c r="C48" s="34"/>
      <c r="D48" s="34">
        <v>1.2</v>
      </c>
      <c r="G48" s="27" t="s">
        <v>148</v>
      </c>
    </row>
    <row r="49" spans="2:7" x14ac:dyDescent="0.3">
      <c r="B49" s="27" t="s">
        <v>203</v>
      </c>
      <c r="C49" s="34"/>
      <c r="D49" s="34">
        <f>SUM(D45:D48)</f>
        <v>35.900000000000006</v>
      </c>
    </row>
    <row r="50" spans="2:7" x14ac:dyDescent="0.3">
      <c r="B50" s="27" t="s">
        <v>149</v>
      </c>
      <c r="C50" s="43">
        <f>D54</f>
        <v>8.6000000000000014</v>
      </c>
      <c r="D50" s="34"/>
      <c r="G50" s="27" t="s">
        <v>159</v>
      </c>
    </row>
    <row r="51" spans="2:7" x14ac:dyDescent="0.3">
      <c r="C51" s="34"/>
      <c r="D51" s="34">
        <v>5.7</v>
      </c>
      <c r="G51" s="27" t="s">
        <v>150</v>
      </c>
    </row>
    <row r="52" spans="2:7" x14ac:dyDescent="0.3">
      <c r="C52" s="34"/>
      <c r="D52" s="34">
        <v>2.6</v>
      </c>
      <c r="G52" s="27" t="s">
        <v>151</v>
      </c>
    </row>
    <row r="53" spans="2:7" x14ac:dyDescent="0.3">
      <c r="C53" s="34"/>
      <c r="D53" s="34">
        <v>0.3</v>
      </c>
      <c r="G53" s="27" t="s">
        <v>152</v>
      </c>
    </row>
    <row r="54" spans="2:7" x14ac:dyDescent="0.3">
      <c r="C54" s="34"/>
      <c r="D54" s="34">
        <f>SUM(D51:D53)</f>
        <v>8.6000000000000014</v>
      </c>
    </row>
    <row r="55" spans="2:7" x14ac:dyDescent="0.3">
      <c r="B55" s="27" t="s">
        <v>153</v>
      </c>
      <c r="C55" s="43">
        <f>D60</f>
        <v>55.1</v>
      </c>
      <c r="D55" s="34"/>
      <c r="G55" s="27" t="s">
        <v>154</v>
      </c>
    </row>
    <row r="56" spans="2:7" x14ac:dyDescent="0.3">
      <c r="C56" s="34"/>
      <c r="D56" s="34" t="s">
        <v>155</v>
      </c>
      <c r="G56" s="27" t="s">
        <v>156</v>
      </c>
    </row>
    <row r="57" spans="2:7" x14ac:dyDescent="0.3">
      <c r="C57" s="34"/>
      <c r="D57" s="34">
        <v>42.5</v>
      </c>
      <c r="G57" s="27" t="s">
        <v>157</v>
      </c>
    </row>
    <row r="58" spans="2:7" x14ac:dyDescent="0.3">
      <c r="C58" s="34"/>
      <c r="D58" s="34">
        <v>2.1</v>
      </c>
      <c r="G58" s="27" t="s">
        <v>160</v>
      </c>
    </row>
    <row r="59" spans="2:7" x14ac:dyDescent="0.3">
      <c r="C59" s="34"/>
      <c r="D59" s="34">
        <v>10.5</v>
      </c>
      <c r="G59" s="27" t="s">
        <v>161</v>
      </c>
    </row>
    <row r="60" spans="2:7" x14ac:dyDescent="0.3">
      <c r="C60" s="34"/>
      <c r="D60" s="34">
        <f>SUM(D57:D59)</f>
        <v>55.1</v>
      </c>
    </row>
    <row r="61" spans="2:7" x14ac:dyDescent="0.3">
      <c r="B61" s="27" t="s">
        <v>162</v>
      </c>
      <c r="C61" s="34">
        <v>159.69999999999999</v>
      </c>
      <c r="D61" s="34"/>
      <c r="G61" s="27" t="s">
        <v>163</v>
      </c>
    </row>
    <row r="62" spans="2:7" x14ac:dyDescent="0.3">
      <c r="B62" s="27" t="s">
        <v>164</v>
      </c>
      <c r="C62" s="34">
        <v>47.1</v>
      </c>
      <c r="D62" s="34"/>
    </row>
    <row r="63" spans="2:7" x14ac:dyDescent="0.3">
      <c r="C63" s="34"/>
      <c r="D63" s="34">
        <v>19.8</v>
      </c>
      <c r="G63" s="27" t="s">
        <v>165</v>
      </c>
    </row>
    <row r="64" spans="2:7" x14ac:dyDescent="0.3">
      <c r="C64" s="34"/>
      <c r="D64" s="34">
        <v>27.3</v>
      </c>
      <c r="G64" s="27" t="s">
        <v>166</v>
      </c>
    </row>
    <row r="65" spans="2:7" x14ac:dyDescent="0.3">
      <c r="C65" s="34"/>
      <c r="D65" s="34">
        <f>SUM(D63:D64)</f>
        <v>47.1</v>
      </c>
    </row>
    <row r="66" spans="2:7" x14ac:dyDescent="0.3">
      <c r="B66" s="27" t="s">
        <v>167</v>
      </c>
      <c r="C66" s="43">
        <f>D70</f>
        <v>1.8</v>
      </c>
      <c r="D66" s="34"/>
    </row>
    <row r="67" spans="2:7" x14ac:dyDescent="0.3">
      <c r="C67" s="34"/>
      <c r="D67" s="34">
        <v>1.1000000000000001</v>
      </c>
      <c r="G67" s="27" t="s">
        <v>170</v>
      </c>
    </row>
    <row r="68" spans="2:7" x14ac:dyDescent="0.3">
      <c r="C68" s="34"/>
      <c r="D68" s="34">
        <v>0.5</v>
      </c>
      <c r="G68" s="27" t="s">
        <v>169</v>
      </c>
    </row>
    <row r="69" spans="2:7" x14ac:dyDescent="0.3">
      <c r="C69" s="34"/>
      <c r="D69" s="34">
        <v>0.2</v>
      </c>
      <c r="G69" s="27" t="s">
        <v>168</v>
      </c>
    </row>
    <row r="70" spans="2:7" x14ac:dyDescent="0.3">
      <c r="C70" s="34"/>
      <c r="D70" s="34">
        <f>SUM(D67:D69)</f>
        <v>1.8</v>
      </c>
    </row>
    <row r="71" spans="2:7" x14ac:dyDescent="0.3">
      <c r="B71" s="30" t="s">
        <v>105</v>
      </c>
      <c r="C71" s="41">
        <f>E14</f>
        <v>961.59999999999991</v>
      </c>
      <c r="D71" s="41"/>
    </row>
    <row r="72" spans="2:7" x14ac:dyDescent="0.3">
      <c r="B72" s="27" t="s">
        <v>203</v>
      </c>
      <c r="C72" s="34"/>
      <c r="D72" s="34">
        <f>SUM(C19:C70)</f>
        <v>565.9</v>
      </c>
    </row>
    <row r="73" spans="2:7" x14ac:dyDescent="0.3">
      <c r="B73" s="27" t="s">
        <v>204</v>
      </c>
      <c r="C73" s="34"/>
      <c r="D73" s="34">
        <f>C71-D72</f>
        <v>395.69999999999993</v>
      </c>
    </row>
    <row r="78" spans="2:7" x14ac:dyDescent="0.3">
      <c r="B78" s="29" t="s">
        <v>352</v>
      </c>
      <c r="C78" s="27">
        <v>197.40899999999999</v>
      </c>
    </row>
    <row r="80" spans="2:7" x14ac:dyDescent="0.3">
      <c r="B80" s="29" t="s">
        <v>353</v>
      </c>
      <c r="C80" s="27">
        <v>292.233</v>
      </c>
    </row>
    <row r="82" spans="2:3" x14ac:dyDescent="0.3">
      <c r="B82" s="29" t="s">
        <v>354</v>
      </c>
      <c r="C82" s="27">
        <v>301.07799999999997</v>
      </c>
    </row>
    <row r="84" spans="2:3" x14ac:dyDescent="0.3">
      <c r="B84" s="29" t="s">
        <v>355</v>
      </c>
      <c r="C84" s="27">
        <v>36.5</v>
      </c>
    </row>
    <row r="86" spans="2:3" x14ac:dyDescent="0.3">
      <c r="B86" s="29" t="s">
        <v>356</v>
      </c>
      <c r="C86" s="27">
        <v>170.876</v>
      </c>
    </row>
  </sheetData>
  <phoneticPr fontId="10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8D2B-9AD1-40AD-A926-C5ADF567E1FB}">
  <dimension ref="B2:R118"/>
  <sheetViews>
    <sheetView workbookViewId="0">
      <pane xSplit="2" ySplit="2" topLeftCell="C93" activePane="bottomRight" state="frozen"/>
      <selection pane="topRight" activeCell="C1" sqref="C1"/>
      <selection pane="bottomLeft" activeCell="A3" sqref="A3"/>
      <selection pane="bottomRight" activeCell="E59" sqref="E59"/>
    </sheetView>
  </sheetViews>
  <sheetFormatPr defaultRowHeight="14.4" x14ac:dyDescent="0.3"/>
  <cols>
    <col min="1" max="1" width="8.88671875" style="27"/>
    <col min="2" max="2" width="48.77734375" style="27" bestFit="1" customWidth="1"/>
    <col min="3" max="3" width="8.88671875" style="27"/>
    <col min="4" max="4" width="22.6640625" style="27" bestFit="1" customWidth="1"/>
    <col min="5" max="16384" width="8.88671875" style="27"/>
  </cols>
  <sheetData>
    <row r="2" spans="2:18" x14ac:dyDescent="0.3">
      <c r="B2" s="27" t="s">
        <v>229</v>
      </c>
      <c r="C2" s="27" t="s">
        <v>176</v>
      </c>
      <c r="D2" s="27" t="s">
        <v>116</v>
      </c>
      <c r="E2" s="27" t="s">
        <v>178</v>
      </c>
      <c r="F2" s="27" t="s">
        <v>214</v>
      </c>
      <c r="G2" s="27" t="s">
        <v>311</v>
      </c>
      <c r="H2" s="27" t="s">
        <v>310</v>
      </c>
      <c r="I2" s="27" t="s">
        <v>177</v>
      </c>
      <c r="J2" s="27" t="s">
        <v>255</v>
      </c>
      <c r="K2" s="27" t="s">
        <v>256</v>
      </c>
      <c r="L2" s="27" t="s">
        <v>257</v>
      </c>
      <c r="M2" s="27" t="s">
        <v>192</v>
      </c>
      <c r="N2" s="27" t="s">
        <v>190</v>
      </c>
      <c r="O2" s="27" t="s">
        <v>180</v>
      </c>
      <c r="P2" s="27" t="s">
        <v>183</v>
      </c>
      <c r="Q2" s="27" t="s">
        <v>182</v>
      </c>
      <c r="R2" s="27" t="s">
        <v>205</v>
      </c>
    </row>
    <row r="3" spans="2:18" x14ac:dyDescent="0.3">
      <c r="J3" s="42"/>
      <c r="K3" s="42"/>
      <c r="L3" s="42"/>
      <c r="M3" s="42"/>
    </row>
    <row r="4" spans="2:18" x14ac:dyDescent="0.3">
      <c r="B4" s="29" t="s">
        <v>215</v>
      </c>
      <c r="J4" s="42"/>
      <c r="K4" s="42"/>
      <c r="L4" s="42"/>
      <c r="M4" s="42"/>
    </row>
    <row r="5" spans="2:18" x14ac:dyDescent="0.3">
      <c r="B5" s="27" t="s">
        <v>191</v>
      </c>
      <c r="J5" s="42"/>
      <c r="K5" s="42">
        <v>27.6</v>
      </c>
      <c r="L5" s="42">
        <v>43.3</v>
      </c>
      <c r="M5" s="42"/>
    </row>
    <row r="6" spans="2:18" x14ac:dyDescent="0.3">
      <c r="B6" s="27" t="s">
        <v>198</v>
      </c>
      <c r="J6" s="42"/>
      <c r="K6" s="42"/>
      <c r="L6" s="42"/>
      <c r="M6" s="42">
        <v>13.1</v>
      </c>
      <c r="R6" s="27" t="s">
        <v>206</v>
      </c>
    </row>
    <row r="7" spans="2:18" x14ac:dyDescent="0.3">
      <c r="B7" s="27" t="s">
        <v>199</v>
      </c>
      <c r="J7" s="42"/>
      <c r="K7" s="42"/>
      <c r="L7" s="42"/>
      <c r="M7" s="42">
        <v>15.2</v>
      </c>
      <c r="R7" s="27" t="s">
        <v>193</v>
      </c>
    </row>
    <row r="8" spans="2:18" x14ac:dyDescent="0.3">
      <c r="B8" s="27" t="s">
        <v>200</v>
      </c>
      <c r="J8" s="42"/>
      <c r="K8" s="42"/>
      <c r="L8" s="42"/>
      <c r="M8" s="42">
        <v>14.9</v>
      </c>
      <c r="R8" s="27" t="s">
        <v>194</v>
      </c>
    </row>
    <row r="9" spans="2:18" x14ac:dyDescent="0.3">
      <c r="B9" s="27" t="s">
        <v>201</v>
      </c>
      <c r="J9" s="42"/>
      <c r="K9" s="42"/>
      <c r="L9" s="42"/>
      <c r="M9" s="42">
        <f>SUM(M6:M8)</f>
        <v>43.199999999999996</v>
      </c>
    </row>
    <row r="10" spans="2:18" x14ac:dyDescent="0.3">
      <c r="B10" s="27" t="s">
        <v>202</v>
      </c>
      <c r="J10" s="42"/>
      <c r="K10" s="42"/>
      <c r="L10" s="42"/>
      <c r="M10" s="42">
        <f>L5-M9</f>
        <v>0.10000000000000142</v>
      </c>
    </row>
    <row r="11" spans="2:18" x14ac:dyDescent="0.3">
      <c r="B11" s="27" t="s">
        <v>196</v>
      </c>
      <c r="H11" s="27">
        <v>64</v>
      </c>
      <c r="J11" s="42"/>
      <c r="K11" s="42"/>
      <c r="L11" s="42"/>
      <c r="M11" s="42"/>
    </row>
    <row r="12" spans="2:18" x14ac:dyDescent="0.3">
      <c r="B12" s="27" t="s">
        <v>197</v>
      </c>
      <c r="H12" s="27">
        <v>44</v>
      </c>
      <c r="J12" s="42"/>
      <c r="K12" s="42"/>
      <c r="L12" s="42"/>
      <c r="M12" s="42"/>
    </row>
    <row r="13" spans="2:18" x14ac:dyDescent="0.3">
      <c r="B13" s="27" t="s">
        <v>207</v>
      </c>
      <c r="H13" s="27">
        <v>20</v>
      </c>
      <c r="J13" s="42"/>
      <c r="K13" s="42"/>
      <c r="L13" s="42"/>
      <c r="M13" s="42"/>
    </row>
    <row r="14" spans="2:18" x14ac:dyDescent="0.3">
      <c r="B14" s="27" t="s">
        <v>208</v>
      </c>
      <c r="J14" s="42"/>
      <c r="K14" s="42"/>
      <c r="L14" s="42"/>
      <c r="M14" s="42"/>
    </row>
    <row r="15" spans="2:18" x14ac:dyDescent="0.3">
      <c r="B15" s="27" t="s">
        <v>209</v>
      </c>
      <c r="J15" s="42"/>
      <c r="K15" s="42"/>
      <c r="L15" s="42"/>
      <c r="M15" s="42"/>
    </row>
    <row r="16" spans="2:18" x14ac:dyDescent="0.3">
      <c r="B16" s="27" t="s">
        <v>210</v>
      </c>
      <c r="J16" s="42"/>
      <c r="K16" s="42"/>
      <c r="L16" s="42"/>
      <c r="M16" s="42"/>
      <c r="R16" s="27" t="s">
        <v>211</v>
      </c>
    </row>
    <row r="17" spans="2:18" x14ac:dyDescent="0.3">
      <c r="B17" s="27" t="s">
        <v>221</v>
      </c>
      <c r="J17" s="42"/>
      <c r="K17" s="42"/>
      <c r="L17" s="42"/>
      <c r="M17" s="42"/>
    </row>
    <row r="18" spans="2:18" x14ac:dyDescent="0.3">
      <c r="B18" s="27" t="s">
        <v>222</v>
      </c>
      <c r="J18" s="42"/>
      <c r="K18" s="42"/>
      <c r="L18" s="42"/>
      <c r="M18" s="42"/>
    </row>
    <row r="19" spans="2:18" x14ac:dyDescent="0.3">
      <c r="B19" s="27" t="s">
        <v>223</v>
      </c>
      <c r="J19" s="42"/>
      <c r="K19" s="42"/>
      <c r="L19" s="42"/>
      <c r="M19" s="42"/>
    </row>
    <row r="20" spans="2:18" x14ac:dyDescent="0.3">
      <c r="B20" s="27" t="s">
        <v>212</v>
      </c>
      <c r="J20" s="42"/>
      <c r="K20" s="42"/>
      <c r="L20" s="42"/>
      <c r="M20" s="42"/>
    </row>
    <row r="21" spans="2:18" x14ac:dyDescent="0.3">
      <c r="B21" s="27" t="s">
        <v>217</v>
      </c>
      <c r="J21" s="42"/>
      <c r="K21" s="42"/>
      <c r="L21" s="42"/>
      <c r="M21" s="42"/>
      <c r="R21" s="27" t="s">
        <v>216</v>
      </c>
    </row>
    <row r="22" spans="2:18" x14ac:dyDescent="0.3">
      <c r="B22" s="27" t="s">
        <v>218</v>
      </c>
      <c r="J22" s="42"/>
      <c r="K22" s="42"/>
      <c r="L22" s="42"/>
      <c r="M22" s="42"/>
      <c r="R22" s="27" t="s">
        <v>220</v>
      </c>
    </row>
    <row r="23" spans="2:18" x14ac:dyDescent="0.3">
      <c r="B23" s="27" t="s">
        <v>224</v>
      </c>
      <c r="J23" s="42"/>
      <c r="K23" s="42"/>
      <c r="L23" s="42"/>
      <c r="M23" s="42"/>
    </row>
    <row r="24" spans="2:18" x14ac:dyDescent="0.3">
      <c r="B24" s="27" t="s">
        <v>225</v>
      </c>
      <c r="J24" s="42"/>
      <c r="K24" s="42"/>
      <c r="L24" s="42"/>
      <c r="M24" s="42"/>
    </row>
    <row r="25" spans="2:18" x14ac:dyDescent="0.3">
      <c r="B25" s="27" t="s">
        <v>226</v>
      </c>
      <c r="J25" s="42"/>
      <c r="K25" s="42"/>
      <c r="L25" s="42"/>
      <c r="M25" s="42"/>
    </row>
    <row r="26" spans="2:18" x14ac:dyDescent="0.3">
      <c r="B26" s="27" t="s">
        <v>227</v>
      </c>
      <c r="J26" s="42"/>
      <c r="K26" s="42"/>
      <c r="L26" s="42"/>
      <c r="M26" s="42"/>
    </row>
    <row r="27" spans="2:18" x14ac:dyDescent="0.3">
      <c r="B27" s="27" t="s">
        <v>228</v>
      </c>
      <c r="J27" s="42"/>
      <c r="K27" s="42"/>
      <c r="L27" s="42"/>
      <c r="M27" s="42"/>
    </row>
    <row r="28" spans="2:18" x14ac:dyDescent="0.3">
      <c r="B28" s="27" t="s">
        <v>230</v>
      </c>
      <c r="J28" s="42"/>
      <c r="K28" s="42"/>
      <c r="L28" s="42">
        <v>15.2</v>
      </c>
      <c r="M28" s="42"/>
    </row>
    <row r="29" spans="2:18" x14ac:dyDescent="0.3">
      <c r="B29" s="27" t="s">
        <v>231</v>
      </c>
      <c r="J29" s="42"/>
      <c r="K29" s="42"/>
      <c r="L29" s="42"/>
      <c r="M29" s="42">
        <v>7.4</v>
      </c>
    </row>
    <row r="30" spans="2:18" x14ac:dyDescent="0.3">
      <c r="B30" s="27" t="s">
        <v>232</v>
      </c>
      <c r="J30" s="42"/>
      <c r="K30" s="42"/>
      <c r="L30" s="42"/>
      <c r="M30" s="42"/>
    </row>
    <row r="31" spans="2:18" x14ac:dyDescent="0.3">
      <c r="B31" s="27" t="s">
        <v>233</v>
      </c>
      <c r="J31" s="42"/>
      <c r="K31" s="42"/>
      <c r="L31" s="42"/>
      <c r="M31" s="42"/>
    </row>
    <row r="32" spans="2:18" x14ac:dyDescent="0.3">
      <c r="B32" s="27" t="s">
        <v>234</v>
      </c>
      <c r="J32" s="42"/>
      <c r="K32" s="42"/>
      <c r="L32" s="42"/>
      <c r="M32" s="42"/>
    </row>
    <row r="33" spans="2:18" x14ac:dyDescent="0.3">
      <c r="B33" s="27" t="s">
        <v>235</v>
      </c>
      <c r="J33" s="42"/>
      <c r="K33" s="42"/>
      <c r="L33" s="42"/>
      <c r="M33" s="42"/>
    </row>
    <row r="34" spans="2:18" x14ac:dyDescent="0.3">
      <c r="B34" s="27" t="s">
        <v>236</v>
      </c>
      <c r="J34" s="42"/>
      <c r="K34" s="42"/>
      <c r="L34" s="42"/>
      <c r="M34" s="42">
        <v>2.9</v>
      </c>
    </row>
    <row r="35" spans="2:18" x14ac:dyDescent="0.3">
      <c r="B35" s="27" t="s">
        <v>237</v>
      </c>
      <c r="J35" s="42"/>
      <c r="K35" s="42"/>
      <c r="L35" s="42"/>
      <c r="M35" s="42"/>
    </row>
    <row r="36" spans="2:18" x14ac:dyDescent="0.3">
      <c r="B36" s="27" t="s">
        <v>238</v>
      </c>
      <c r="J36" s="42"/>
      <c r="K36" s="42"/>
      <c r="L36" s="42"/>
      <c r="M36" s="42"/>
    </row>
    <row r="37" spans="2:18" x14ac:dyDescent="0.3">
      <c r="B37" s="27" t="s">
        <v>239</v>
      </c>
      <c r="J37" s="42"/>
      <c r="K37" s="42"/>
      <c r="L37" s="42"/>
      <c r="M37" s="42">
        <v>4</v>
      </c>
    </row>
    <row r="38" spans="2:18" x14ac:dyDescent="0.3">
      <c r="B38" s="27" t="s">
        <v>240</v>
      </c>
      <c r="J38" s="42"/>
      <c r="K38" s="42"/>
      <c r="L38" s="42"/>
      <c r="M38" s="42"/>
    </row>
    <row r="39" spans="2:18" x14ac:dyDescent="0.3">
      <c r="B39" s="27" t="s">
        <v>241</v>
      </c>
      <c r="J39" s="42"/>
      <c r="K39" s="42"/>
      <c r="L39" s="42"/>
      <c r="M39" s="42"/>
    </row>
    <row r="40" spans="2:18" x14ac:dyDescent="0.3">
      <c r="B40" s="27" t="s">
        <v>242</v>
      </c>
      <c r="J40" s="42"/>
      <c r="K40" s="42"/>
      <c r="L40" s="42"/>
      <c r="M40" s="42"/>
    </row>
    <row r="41" spans="2:18" x14ac:dyDescent="0.3">
      <c r="B41" s="27" t="s">
        <v>243</v>
      </c>
      <c r="J41" s="42"/>
      <c r="K41" s="42"/>
      <c r="L41" s="42"/>
      <c r="M41" s="42"/>
    </row>
    <row r="42" spans="2:18" x14ac:dyDescent="0.3">
      <c r="B42" s="27" t="s">
        <v>244</v>
      </c>
      <c r="J42" s="42"/>
      <c r="K42" s="42"/>
      <c r="L42" s="42"/>
      <c r="M42" s="42"/>
    </row>
    <row r="43" spans="2:18" x14ac:dyDescent="0.3">
      <c r="B43" s="27" t="s">
        <v>245</v>
      </c>
      <c r="J43" s="42"/>
      <c r="K43" s="42"/>
      <c r="L43" s="42"/>
      <c r="M43" s="42"/>
    </row>
    <row r="44" spans="2:18" x14ac:dyDescent="0.3">
      <c r="B44" s="27" t="s">
        <v>246</v>
      </c>
      <c r="J44" s="42"/>
      <c r="K44" s="42"/>
      <c r="L44" s="42"/>
      <c r="M44" s="42"/>
    </row>
    <row r="45" spans="2:18" x14ac:dyDescent="0.3">
      <c r="B45" s="27" t="s">
        <v>247</v>
      </c>
      <c r="J45" s="42"/>
      <c r="K45" s="42"/>
      <c r="L45" s="42"/>
      <c r="M45" s="42"/>
    </row>
    <row r="46" spans="2:18" x14ac:dyDescent="0.3">
      <c r="B46" s="27" t="s">
        <v>248</v>
      </c>
      <c r="J46" s="42"/>
      <c r="K46" s="42"/>
      <c r="L46" s="42"/>
      <c r="M46" s="42"/>
    </row>
    <row r="47" spans="2:18" x14ac:dyDescent="0.3">
      <c r="B47" s="27" t="s">
        <v>249</v>
      </c>
      <c r="J47" s="42"/>
      <c r="K47" s="42"/>
      <c r="L47" s="42"/>
      <c r="M47" s="42"/>
      <c r="R47" s="27" t="s">
        <v>250</v>
      </c>
    </row>
    <row r="48" spans="2:18" x14ac:dyDescent="0.3">
      <c r="B48" s="27" t="s">
        <v>251</v>
      </c>
      <c r="J48" s="42"/>
      <c r="K48" s="42"/>
      <c r="L48" s="42"/>
      <c r="M48" s="42"/>
    </row>
    <row r="49" spans="2:18" x14ac:dyDescent="0.3">
      <c r="B49" s="27" t="s">
        <v>253</v>
      </c>
      <c r="J49" s="42"/>
      <c r="K49" s="42"/>
      <c r="L49" s="42"/>
      <c r="M49" s="42"/>
    </row>
    <row r="50" spans="2:18" x14ac:dyDescent="0.3">
      <c r="B50" s="30" t="s">
        <v>105</v>
      </c>
      <c r="J50" s="42"/>
      <c r="K50" s="42"/>
      <c r="L50" s="42">
        <f>SUM(L5:L49)</f>
        <v>58.5</v>
      </c>
      <c r="M50" s="42"/>
    </row>
    <row r="51" spans="2:18" x14ac:dyDescent="0.3">
      <c r="J51" s="42"/>
      <c r="K51" s="42"/>
      <c r="L51" s="42"/>
      <c r="M51" s="42"/>
    </row>
    <row r="52" spans="2:18" x14ac:dyDescent="0.3">
      <c r="B52" s="29" t="s">
        <v>254</v>
      </c>
      <c r="J52" s="42">
        <v>2.681</v>
      </c>
      <c r="K52" s="42">
        <v>2.2469999999999999</v>
      </c>
      <c r="L52" s="42">
        <v>3.1869999999999998</v>
      </c>
      <c r="M52" s="42"/>
    </row>
    <row r="53" spans="2:18" x14ac:dyDescent="0.3">
      <c r="J53" s="42"/>
      <c r="K53" s="42"/>
      <c r="L53" s="42"/>
      <c r="M53" s="42"/>
    </row>
    <row r="54" spans="2:18" x14ac:dyDescent="0.3">
      <c r="B54" s="29" t="s">
        <v>258</v>
      </c>
      <c r="J54" s="42"/>
      <c r="K54" s="42"/>
      <c r="L54" s="42"/>
      <c r="M54" s="42"/>
    </row>
    <row r="55" spans="2:18" x14ac:dyDescent="0.3">
      <c r="J55" s="42"/>
      <c r="K55" s="42"/>
      <c r="L55" s="42"/>
      <c r="M55" s="42"/>
    </row>
    <row r="56" spans="2:18" x14ac:dyDescent="0.3">
      <c r="B56" s="29" t="s">
        <v>114</v>
      </c>
      <c r="J56" s="42"/>
      <c r="K56" s="42"/>
      <c r="L56" s="42"/>
      <c r="M56" s="42"/>
    </row>
    <row r="57" spans="2:18" x14ac:dyDescent="0.3">
      <c r="B57" s="27" t="s">
        <v>259</v>
      </c>
      <c r="D57" s="27" t="s">
        <v>358</v>
      </c>
      <c r="E57" s="27" t="s">
        <v>396</v>
      </c>
      <c r="J57" s="42">
        <v>4.3360000000000003</v>
      </c>
      <c r="K57" s="42">
        <v>2.0219999999999998</v>
      </c>
      <c r="L57" s="42">
        <v>4.1580000000000004</v>
      </c>
      <c r="M57" s="42"/>
      <c r="R57" s="27" t="s">
        <v>270</v>
      </c>
    </row>
    <row r="58" spans="2:18" x14ac:dyDescent="0.3">
      <c r="B58" s="27" t="s">
        <v>260</v>
      </c>
      <c r="D58" s="27" t="s">
        <v>359</v>
      </c>
      <c r="E58" s="27" t="s">
        <v>397</v>
      </c>
      <c r="J58" s="42">
        <v>0.92400000000000004</v>
      </c>
      <c r="K58" s="42">
        <v>0.80400000000000005</v>
      </c>
      <c r="L58" s="42">
        <v>1.0509999999999999</v>
      </c>
      <c r="M58" s="42"/>
      <c r="R58" s="27" t="s">
        <v>271</v>
      </c>
    </row>
    <row r="59" spans="2:18" x14ac:dyDescent="0.3">
      <c r="B59" s="27" t="s">
        <v>261</v>
      </c>
      <c r="D59" s="27" t="s">
        <v>364</v>
      </c>
      <c r="E59" s="27" t="s">
        <v>398</v>
      </c>
      <c r="J59" s="42">
        <v>8.1950000000000003</v>
      </c>
      <c r="K59" s="42">
        <v>9.9049999999999994</v>
      </c>
      <c r="L59" s="42">
        <v>11.48</v>
      </c>
      <c r="M59" s="42"/>
      <c r="R59" s="27" t="s">
        <v>272</v>
      </c>
    </row>
    <row r="60" spans="2:18" x14ac:dyDescent="0.3">
      <c r="B60" s="27" t="s">
        <v>262</v>
      </c>
      <c r="D60" s="27" t="s">
        <v>365</v>
      </c>
      <c r="E60" s="27" t="s">
        <v>399</v>
      </c>
      <c r="J60" s="42">
        <v>1.8720000000000001</v>
      </c>
      <c r="K60" s="42">
        <v>2.3929999999999998</v>
      </c>
      <c r="L60" s="42">
        <v>3.742</v>
      </c>
      <c r="M60" s="42"/>
    </row>
    <row r="61" spans="2:18" x14ac:dyDescent="0.3">
      <c r="B61" s="27" t="s">
        <v>263</v>
      </c>
      <c r="D61" s="27" t="s">
        <v>362</v>
      </c>
      <c r="E61" s="27" t="s">
        <v>400</v>
      </c>
      <c r="J61" s="42">
        <v>0.13400000000000001</v>
      </c>
      <c r="K61" s="42">
        <v>0.126</v>
      </c>
      <c r="L61" s="42">
        <v>1.9319999999999999</v>
      </c>
      <c r="M61" s="42"/>
      <c r="R61" s="27" t="s">
        <v>361</v>
      </c>
    </row>
    <row r="62" spans="2:18" x14ac:dyDescent="0.3">
      <c r="B62" s="27" t="s">
        <v>118</v>
      </c>
      <c r="D62" s="27" t="s">
        <v>363</v>
      </c>
      <c r="E62" s="27" t="s">
        <v>401</v>
      </c>
      <c r="J62" s="42">
        <v>6.2169999999999996</v>
      </c>
      <c r="K62" s="42">
        <v>5.2610000000000001</v>
      </c>
      <c r="L62" s="42">
        <v>10.292999999999999</v>
      </c>
      <c r="M62" s="42"/>
      <c r="R62" s="27" t="s">
        <v>273</v>
      </c>
    </row>
    <row r="63" spans="2:18" x14ac:dyDescent="0.3">
      <c r="B63" s="27" t="s">
        <v>264</v>
      </c>
      <c r="D63" s="27" t="s">
        <v>366</v>
      </c>
      <c r="E63" s="27" t="s">
        <v>403</v>
      </c>
      <c r="J63" s="42">
        <v>2.1000000000000001E-2</v>
      </c>
      <c r="K63" s="42">
        <v>2.1999999999999999E-2</v>
      </c>
      <c r="L63" s="42">
        <v>2.1999999999999999E-2</v>
      </c>
      <c r="M63" s="42"/>
      <c r="R63" s="27" t="s">
        <v>274</v>
      </c>
    </row>
    <row r="64" spans="2:18" x14ac:dyDescent="0.3">
      <c r="B64" s="27" t="s">
        <v>265</v>
      </c>
      <c r="D64" s="27" t="s">
        <v>369</v>
      </c>
      <c r="E64" s="27" t="s">
        <v>404</v>
      </c>
      <c r="J64" s="42">
        <v>0.71799999999999997</v>
      </c>
      <c r="K64" s="42">
        <v>1.617</v>
      </c>
      <c r="L64" s="42">
        <v>1.8340000000000001</v>
      </c>
      <c r="M64" s="42"/>
      <c r="R64" s="27" t="s">
        <v>275</v>
      </c>
    </row>
    <row r="65" spans="2:18" x14ac:dyDescent="0.3">
      <c r="B65" s="27" t="s">
        <v>266</v>
      </c>
      <c r="D65" s="27" t="s">
        <v>368</v>
      </c>
      <c r="E65" s="27" t="s">
        <v>405</v>
      </c>
      <c r="J65" s="42">
        <v>0.47399999999999998</v>
      </c>
      <c r="K65" s="42">
        <v>0.91900000000000004</v>
      </c>
      <c r="L65" s="42">
        <v>1.2949999999999999</v>
      </c>
      <c r="M65" s="42"/>
    </row>
    <row r="66" spans="2:18" x14ac:dyDescent="0.3">
      <c r="B66" s="27" t="s">
        <v>267</v>
      </c>
      <c r="D66" s="27" t="s">
        <v>370</v>
      </c>
      <c r="E66" s="27" t="s">
        <v>406</v>
      </c>
      <c r="J66" s="42">
        <v>0.2</v>
      </c>
      <c r="K66" s="42">
        <v>0.755</v>
      </c>
      <c r="L66" s="42">
        <v>1.244</v>
      </c>
      <c r="M66" s="42"/>
      <c r="R66" s="27" t="s">
        <v>276</v>
      </c>
    </row>
    <row r="67" spans="2:18" x14ac:dyDescent="0.3">
      <c r="B67" s="27" t="s">
        <v>268</v>
      </c>
      <c r="D67" s="27" t="s">
        <v>371</v>
      </c>
      <c r="E67" s="27" t="s">
        <v>407</v>
      </c>
      <c r="J67" s="42">
        <v>2.331</v>
      </c>
      <c r="K67" s="42">
        <v>1.92</v>
      </c>
      <c r="L67" s="42">
        <v>1.8979999999999999</v>
      </c>
      <c r="M67" s="42"/>
    </row>
    <row r="68" spans="2:18" x14ac:dyDescent="0.3">
      <c r="B68" s="27" t="s">
        <v>269</v>
      </c>
      <c r="D68" s="27" t="s">
        <v>395</v>
      </c>
      <c r="E68" s="27" t="s">
        <v>408</v>
      </c>
      <c r="J68" s="42">
        <v>2.181</v>
      </c>
      <c r="K68" s="42">
        <v>2.4540000000000002</v>
      </c>
      <c r="L68" s="42">
        <v>3.544</v>
      </c>
      <c r="M68" s="42"/>
    </row>
    <row r="69" spans="2:18" x14ac:dyDescent="0.3">
      <c r="B69" s="30" t="s">
        <v>105</v>
      </c>
      <c r="J69" s="44">
        <f t="shared" ref="J69:K69" si="0">SUM(J57:J68)</f>
        <v>27.603000000000002</v>
      </c>
      <c r="K69" s="44">
        <f t="shared" si="0"/>
        <v>28.198</v>
      </c>
      <c r="L69" s="44">
        <f>SUM(L57:L68)</f>
        <v>42.493000000000002</v>
      </c>
      <c r="M69" s="42"/>
    </row>
    <row r="71" spans="2:18" x14ac:dyDescent="0.3">
      <c r="B71" s="29" t="s">
        <v>350</v>
      </c>
    </row>
    <row r="72" spans="2:18" x14ac:dyDescent="0.3">
      <c r="B72" s="27" t="s">
        <v>279</v>
      </c>
      <c r="D72" s="27" t="s">
        <v>360</v>
      </c>
      <c r="E72" s="27" t="s">
        <v>403</v>
      </c>
      <c r="G72" s="27">
        <v>74</v>
      </c>
      <c r="H72" s="27">
        <v>47</v>
      </c>
      <c r="K72" s="27">
        <v>13.3</v>
      </c>
      <c r="L72" s="27">
        <v>13.1</v>
      </c>
      <c r="R72" s="45" t="s">
        <v>294</v>
      </c>
    </row>
    <row r="73" spans="2:18" x14ac:dyDescent="0.3">
      <c r="B73" s="27" t="s">
        <v>280</v>
      </c>
      <c r="D73" s="27" t="s">
        <v>369</v>
      </c>
      <c r="E73" s="27" t="s">
        <v>409</v>
      </c>
      <c r="G73" s="27">
        <v>18</v>
      </c>
      <c r="H73" s="27">
        <v>21</v>
      </c>
      <c r="K73" s="27">
        <v>1.9</v>
      </c>
      <c r="L73" s="27">
        <v>3.1</v>
      </c>
      <c r="R73" s="45" t="s">
        <v>295</v>
      </c>
    </row>
    <row r="74" spans="2:18" x14ac:dyDescent="0.3">
      <c r="B74" s="27" t="s">
        <v>175</v>
      </c>
      <c r="D74" s="27" t="s">
        <v>369</v>
      </c>
      <c r="E74" s="27" t="s">
        <v>400</v>
      </c>
      <c r="K74" s="27">
        <v>2.4</v>
      </c>
      <c r="L74" s="27">
        <v>3.5</v>
      </c>
      <c r="R74" s="45" t="s">
        <v>296</v>
      </c>
    </row>
    <row r="75" spans="2:18" x14ac:dyDescent="0.3">
      <c r="B75" s="27" t="s">
        <v>281</v>
      </c>
      <c r="D75" s="27" t="s">
        <v>372</v>
      </c>
      <c r="E75" s="27" t="s">
        <v>410</v>
      </c>
      <c r="G75" s="27">
        <v>15</v>
      </c>
      <c r="H75" s="27">
        <v>15</v>
      </c>
      <c r="K75" s="27">
        <v>3.1</v>
      </c>
      <c r="L75" s="27">
        <v>3.3</v>
      </c>
      <c r="R75" s="45" t="s">
        <v>297</v>
      </c>
    </row>
    <row r="76" spans="2:18" x14ac:dyDescent="0.3">
      <c r="B76" s="27" t="s">
        <v>282</v>
      </c>
      <c r="D76" s="27" t="s">
        <v>372</v>
      </c>
      <c r="E76" s="27" t="s">
        <v>411</v>
      </c>
      <c r="K76" s="27">
        <v>1.7</v>
      </c>
      <c r="L76" s="27">
        <v>2</v>
      </c>
      <c r="R76" s="45" t="s">
        <v>298</v>
      </c>
    </row>
    <row r="77" spans="2:18" x14ac:dyDescent="0.3">
      <c r="B77" s="27" t="s">
        <v>283</v>
      </c>
      <c r="D77" s="27" t="s">
        <v>373</v>
      </c>
      <c r="E77" s="27" t="s">
        <v>412</v>
      </c>
      <c r="G77" s="27">
        <v>20</v>
      </c>
      <c r="H77" s="27">
        <v>12</v>
      </c>
      <c r="K77" s="27">
        <v>3</v>
      </c>
      <c r="L77" s="27">
        <v>2.5</v>
      </c>
      <c r="R77" s="45" t="s">
        <v>299</v>
      </c>
    </row>
    <row r="78" spans="2:18" x14ac:dyDescent="0.3">
      <c r="B78" s="27" t="s">
        <v>284</v>
      </c>
      <c r="D78" s="27" t="s">
        <v>358</v>
      </c>
      <c r="E78" s="27" t="s">
        <v>402</v>
      </c>
      <c r="H78" s="27">
        <v>4</v>
      </c>
      <c r="K78" s="27">
        <v>0.6</v>
      </c>
      <c r="L78" s="27">
        <v>2.1</v>
      </c>
      <c r="R78" s="45" t="s">
        <v>300</v>
      </c>
    </row>
    <row r="79" spans="2:18" x14ac:dyDescent="0.3">
      <c r="B79" s="27" t="s">
        <v>285</v>
      </c>
      <c r="D79" s="27" t="s">
        <v>372</v>
      </c>
      <c r="E79" s="27" t="s">
        <v>413</v>
      </c>
      <c r="G79" s="27">
        <v>31</v>
      </c>
      <c r="K79" s="27">
        <v>0.7</v>
      </c>
      <c r="L79" s="27">
        <v>0.2</v>
      </c>
      <c r="R79" s="45" t="s">
        <v>301</v>
      </c>
    </row>
    <row r="80" spans="2:18" x14ac:dyDescent="0.3">
      <c r="B80" s="27" t="s">
        <v>286</v>
      </c>
      <c r="D80" s="27" t="s">
        <v>373</v>
      </c>
      <c r="E80" s="27" t="s">
        <v>414</v>
      </c>
      <c r="G80" s="27">
        <v>26</v>
      </c>
      <c r="H80" s="27">
        <v>24</v>
      </c>
      <c r="K80" s="27">
        <v>1</v>
      </c>
      <c r="L80" s="27">
        <v>0.8</v>
      </c>
      <c r="R80" s="45" t="s">
        <v>302</v>
      </c>
    </row>
    <row r="81" spans="2:18" x14ac:dyDescent="0.3">
      <c r="B81" s="27" t="s">
        <v>287</v>
      </c>
      <c r="D81" s="27" t="s">
        <v>374</v>
      </c>
      <c r="E81" s="27" t="s">
        <v>415</v>
      </c>
      <c r="K81" s="27">
        <v>0.6</v>
      </c>
      <c r="L81" s="27">
        <v>0.8</v>
      </c>
      <c r="R81" s="45" t="s">
        <v>303</v>
      </c>
    </row>
    <row r="82" spans="2:18" x14ac:dyDescent="0.3">
      <c r="B82" s="27" t="s">
        <v>288</v>
      </c>
      <c r="D82" s="27" t="s">
        <v>375</v>
      </c>
      <c r="E82" s="27" t="s">
        <v>400</v>
      </c>
      <c r="K82" s="27">
        <v>1.3</v>
      </c>
      <c r="L82" s="27">
        <v>1.2</v>
      </c>
      <c r="R82" s="45" t="s">
        <v>304</v>
      </c>
    </row>
    <row r="83" spans="2:18" x14ac:dyDescent="0.3">
      <c r="B83" s="27" t="s">
        <v>289</v>
      </c>
      <c r="D83" s="27" t="s">
        <v>358</v>
      </c>
      <c r="E83" s="27" t="s">
        <v>417</v>
      </c>
      <c r="K83" s="27">
        <v>0.7</v>
      </c>
      <c r="L83" s="27">
        <v>0.7</v>
      </c>
      <c r="R83" s="45" t="s">
        <v>305</v>
      </c>
    </row>
    <row r="84" spans="2:18" x14ac:dyDescent="0.3">
      <c r="B84" s="27" t="s">
        <v>290</v>
      </c>
      <c r="D84" s="27" t="s">
        <v>372</v>
      </c>
      <c r="E84" s="27" t="s">
        <v>411</v>
      </c>
      <c r="H84" s="27">
        <v>3</v>
      </c>
      <c r="K84" s="27">
        <v>0.4</v>
      </c>
      <c r="L84" s="27">
        <v>1.1000000000000001</v>
      </c>
      <c r="R84" s="45" t="s">
        <v>306</v>
      </c>
    </row>
    <row r="85" spans="2:18" x14ac:dyDescent="0.3">
      <c r="B85" s="27" t="s">
        <v>291</v>
      </c>
      <c r="D85" s="27" t="s">
        <v>376</v>
      </c>
      <c r="E85" s="27" t="s">
        <v>416</v>
      </c>
      <c r="K85" s="27">
        <v>0.3</v>
      </c>
      <c r="L85" s="27">
        <v>0.3</v>
      </c>
      <c r="R85" s="45" t="s">
        <v>307</v>
      </c>
    </row>
    <row r="86" spans="2:18" x14ac:dyDescent="0.3">
      <c r="B86" s="27" t="s">
        <v>292</v>
      </c>
      <c r="D86" s="27" t="s">
        <v>367</v>
      </c>
      <c r="E86" s="27" t="s">
        <v>417</v>
      </c>
      <c r="K86" s="27">
        <v>0.8</v>
      </c>
      <c r="L86" s="27">
        <v>0.2</v>
      </c>
      <c r="R86" s="45" t="s">
        <v>308</v>
      </c>
    </row>
    <row r="87" spans="2:18" x14ac:dyDescent="0.3">
      <c r="B87" s="27" t="s">
        <v>293</v>
      </c>
      <c r="D87" s="27" t="s">
        <v>381</v>
      </c>
      <c r="E87" s="27" t="s">
        <v>418</v>
      </c>
      <c r="G87" s="27">
        <v>12</v>
      </c>
      <c r="H87" s="27">
        <v>6</v>
      </c>
      <c r="K87" s="27">
        <v>0.3</v>
      </c>
      <c r="L87" s="27">
        <v>0.2</v>
      </c>
      <c r="R87" s="45" t="s">
        <v>309</v>
      </c>
    </row>
    <row r="88" spans="2:18" x14ac:dyDescent="0.3">
      <c r="B88" s="30" t="s">
        <v>105</v>
      </c>
      <c r="K88" s="30">
        <f>SUM(K72:K87)</f>
        <v>32.1</v>
      </c>
      <c r="L88" s="30">
        <f>SUM(L72:L87)</f>
        <v>35.100000000000009</v>
      </c>
    </row>
    <row r="89" spans="2:18" x14ac:dyDescent="0.3">
      <c r="B89" s="30"/>
      <c r="K89" s="30"/>
      <c r="L89" s="30"/>
    </row>
    <row r="90" spans="2:18" x14ac:dyDescent="0.3">
      <c r="B90" s="29" t="s">
        <v>351</v>
      </c>
      <c r="K90" s="30"/>
      <c r="L90" s="30"/>
    </row>
    <row r="91" spans="2:18" x14ac:dyDescent="0.3">
      <c r="B91" s="27" t="s">
        <v>118</v>
      </c>
      <c r="D91" s="27" t="s">
        <v>358</v>
      </c>
      <c r="E91" s="27" t="s">
        <v>401</v>
      </c>
      <c r="J91" s="42"/>
      <c r="K91" s="42">
        <v>5.3</v>
      </c>
      <c r="L91" s="42">
        <v>10.3</v>
      </c>
      <c r="M91" s="42"/>
      <c r="R91" s="45" t="s">
        <v>315</v>
      </c>
    </row>
    <row r="92" spans="2:18" x14ac:dyDescent="0.3">
      <c r="B92" s="27" t="s">
        <v>277</v>
      </c>
      <c r="D92" s="27" t="s">
        <v>382</v>
      </c>
      <c r="E92" s="27" t="s">
        <v>419</v>
      </c>
      <c r="H92" s="27">
        <v>1</v>
      </c>
      <c r="J92" s="42"/>
      <c r="K92" s="42">
        <v>9.9</v>
      </c>
      <c r="L92" s="42">
        <v>11.5</v>
      </c>
      <c r="M92" s="42"/>
      <c r="R92" s="45" t="s">
        <v>316</v>
      </c>
    </row>
    <row r="93" spans="2:18" x14ac:dyDescent="0.3">
      <c r="B93" s="27" t="s">
        <v>278</v>
      </c>
      <c r="D93" s="27" t="s">
        <v>359</v>
      </c>
      <c r="E93" s="27" t="s">
        <v>400</v>
      </c>
      <c r="J93" s="42"/>
      <c r="K93" s="42">
        <v>0.1</v>
      </c>
      <c r="L93" s="42">
        <v>2</v>
      </c>
      <c r="M93" s="42"/>
      <c r="R93" s="45" t="s">
        <v>317</v>
      </c>
    </row>
    <row r="94" spans="2:18" x14ac:dyDescent="0.3">
      <c r="B94" s="27" t="s">
        <v>312</v>
      </c>
      <c r="D94" s="27" t="s">
        <v>365</v>
      </c>
      <c r="E94" s="27" t="s">
        <v>420</v>
      </c>
      <c r="J94" s="42"/>
      <c r="K94" s="42">
        <v>2.4</v>
      </c>
      <c r="L94" s="42">
        <v>3.7</v>
      </c>
      <c r="M94" s="42"/>
      <c r="R94" s="45" t="s">
        <v>318</v>
      </c>
    </row>
    <row r="95" spans="2:18" x14ac:dyDescent="0.3">
      <c r="B95" s="27" t="s">
        <v>313</v>
      </c>
      <c r="D95" s="27" t="s">
        <v>359</v>
      </c>
      <c r="E95" s="27" t="s">
        <v>421</v>
      </c>
      <c r="J95" s="42"/>
      <c r="K95" s="42">
        <v>0.8</v>
      </c>
      <c r="L95" s="42">
        <v>1.1000000000000001</v>
      </c>
      <c r="M95" s="42"/>
      <c r="R95" s="45" t="s">
        <v>319</v>
      </c>
    </row>
    <row r="96" spans="2:18" x14ac:dyDescent="0.3">
      <c r="B96" s="27" t="s">
        <v>314</v>
      </c>
      <c r="D96" s="27" t="s">
        <v>358</v>
      </c>
      <c r="E96" s="27" t="s">
        <v>422</v>
      </c>
      <c r="J96" s="42"/>
      <c r="K96" s="42">
        <v>2</v>
      </c>
      <c r="L96" s="42">
        <v>4.2</v>
      </c>
      <c r="M96" s="42"/>
      <c r="R96" s="45" t="s">
        <v>320</v>
      </c>
    </row>
    <row r="97" spans="2:18" x14ac:dyDescent="0.3">
      <c r="B97" s="30" t="s">
        <v>105</v>
      </c>
      <c r="J97" s="42"/>
      <c r="K97" s="44">
        <f>SUM(K91:K96)</f>
        <v>20.5</v>
      </c>
      <c r="L97" s="44">
        <f>SUM(L91:L96)</f>
        <v>32.800000000000004</v>
      </c>
      <c r="M97" s="42"/>
      <c r="R97" s="45"/>
    </row>
    <row r="99" spans="2:18" x14ac:dyDescent="0.3">
      <c r="B99" s="29" t="s">
        <v>348</v>
      </c>
      <c r="L99" s="27">
        <v>65</v>
      </c>
    </row>
    <row r="100" spans="2:18" x14ac:dyDescent="0.3">
      <c r="B100" s="45" t="s">
        <v>334</v>
      </c>
      <c r="D100" s="27" t="s">
        <v>383</v>
      </c>
      <c r="G100" s="27">
        <v>1</v>
      </c>
      <c r="H100" s="27">
        <v>2</v>
      </c>
      <c r="K100" s="27">
        <v>13.9</v>
      </c>
      <c r="L100" s="27">
        <v>12.2</v>
      </c>
      <c r="R100" s="45" t="s">
        <v>337</v>
      </c>
    </row>
    <row r="101" spans="2:18" x14ac:dyDescent="0.3">
      <c r="B101" s="45" t="s">
        <v>321</v>
      </c>
      <c r="D101" s="27" t="s">
        <v>384</v>
      </c>
      <c r="G101" s="27">
        <v>3</v>
      </c>
      <c r="H101" s="27">
        <v>2</v>
      </c>
      <c r="K101" s="27">
        <v>8.6</v>
      </c>
      <c r="L101" s="27">
        <v>5.9</v>
      </c>
      <c r="R101" s="45" t="s">
        <v>322</v>
      </c>
    </row>
    <row r="102" spans="2:18" x14ac:dyDescent="0.3">
      <c r="B102" s="45" t="s">
        <v>335</v>
      </c>
      <c r="D102" s="27" t="s">
        <v>385</v>
      </c>
      <c r="K102" s="27">
        <v>2.2000000000000002</v>
      </c>
      <c r="L102" s="27">
        <v>3.6</v>
      </c>
      <c r="R102" s="45" t="s">
        <v>338</v>
      </c>
    </row>
    <row r="103" spans="2:18" x14ac:dyDescent="0.3">
      <c r="B103" s="45" t="s">
        <v>324</v>
      </c>
      <c r="D103" s="27" t="s">
        <v>386</v>
      </c>
      <c r="K103" s="27">
        <v>0.7</v>
      </c>
      <c r="L103" s="27">
        <v>0.1</v>
      </c>
      <c r="R103" s="45" t="s">
        <v>323</v>
      </c>
    </row>
    <row r="104" spans="2:18" x14ac:dyDescent="0.3">
      <c r="B104" s="45" t="s">
        <v>336</v>
      </c>
      <c r="D104" s="27" t="s">
        <v>387</v>
      </c>
      <c r="G104" s="27">
        <v>1</v>
      </c>
      <c r="H104" s="27">
        <v>1</v>
      </c>
      <c r="K104" s="27">
        <v>1.6</v>
      </c>
      <c r="L104" s="27">
        <v>2.8</v>
      </c>
      <c r="R104" s="45" t="s">
        <v>339</v>
      </c>
    </row>
    <row r="105" spans="2:18" x14ac:dyDescent="0.3">
      <c r="B105" s="45" t="s">
        <v>325</v>
      </c>
      <c r="D105" s="27" t="s">
        <v>387</v>
      </c>
      <c r="H105" s="27">
        <v>1</v>
      </c>
      <c r="K105" s="27">
        <v>0.2</v>
      </c>
      <c r="L105" s="27">
        <v>4</v>
      </c>
      <c r="R105" s="45" t="s">
        <v>329</v>
      </c>
    </row>
    <row r="106" spans="2:18" x14ac:dyDescent="0.3">
      <c r="B106" s="45" t="s">
        <v>347</v>
      </c>
      <c r="D106" s="27" t="s">
        <v>388</v>
      </c>
      <c r="H106" s="27">
        <v>2</v>
      </c>
      <c r="K106" s="27">
        <v>0.3</v>
      </c>
      <c r="L106" s="27">
        <v>2</v>
      </c>
      <c r="R106" s="45" t="s">
        <v>330</v>
      </c>
    </row>
    <row r="107" spans="2:18" x14ac:dyDescent="0.3">
      <c r="B107" s="45" t="s">
        <v>326</v>
      </c>
      <c r="D107" s="27" t="s">
        <v>389</v>
      </c>
      <c r="H107" s="27">
        <v>1</v>
      </c>
      <c r="K107" s="27">
        <v>0</v>
      </c>
      <c r="L107" s="27">
        <v>0.6</v>
      </c>
      <c r="R107" s="45" t="s">
        <v>331</v>
      </c>
    </row>
    <row r="108" spans="2:18" x14ac:dyDescent="0.3">
      <c r="B108" s="45" t="s">
        <v>327</v>
      </c>
      <c r="D108" s="27" t="s">
        <v>390</v>
      </c>
      <c r="K108" s="27">
        <v>0.2</v>
      </c>
      <c r="L108" s="27">
        <v>0.1</v>
      </c>
      <c r="R108" s="45" t="s">
        <v>332</v>
      </c>
    </row>
    <row r="109" spans="2:18" x14ac:dyDescent="0.3">
      <c r="B109" s="45" t="s">
        <v>328</v>
      </c>
      <c r="D109" s="27" t="s">
        <v>391</v>
      </c>
      <c r="H109" s="27">
        <v>9</v>
      </c>
      <c r="K109" s="27">
        <v>0.1</v>
      </c>
      <c r="L109" s="27">
        <v>2</v>
      </c>
      <c r="R109" s="45" t="s">
        <v>333</v>
      </c>
    </row>
    <row r="110" spans="2:18" x14ac:dyDescent="0.3">
      <c r="B110" s="45" t="s">
        <v>122</v>
      </c>
      <c r="L110" s="27">
        <f>L99-L111</f>
        <v>31.699999999999989</v>
      </c>
      <c r="R110" s="45"/>
    </row>
    <row r="111" spans="2:18" x14ac:dyDescent="0.3">
      <c r="B111" s="30" t="s">
        <v>105</v>
      </c>
      <c r="K111" s="30">
        <f>SUM(K100:K109)</f>
        <v>27.8</v>
      </c>
      <c r="L111" s="30">
        <f>SUM(L100:L109)</f>
        <v>33.300000000000011</v>
      </c>
    </row>
    <row r="113" spans="2:18" x14ac:dyDescent="0.3">
      <c r="B113" s="29" t="s">
        <v>349</v>
      </c>
    </row>
    <row r="114" spans="2:18" x14ac:dyDescent="0.3">
      <c r="B114" s="27" t="s">
        <v>340</v>
      </c>
      <c r="D114" s="27" t="s">
        <v>392</v>
      </c>
      <c r="E114" s="27" t="s">
        <v>423</v>
      </c>
      <c r="K114" s="27">
        <v>2.4</v>
      </c>
      <c r="L114" s="27">
        <v>2.4</v>
      </c>
    </row>
    <row r="115" spans="2:18" x14ac:dyDescent="0.3">
      <c r="B115" s="27" t="s">
        <v>341</v>
      </c>
      <c r="D115" s="27" t="s">
        <v>365</v>
      </c>
      <c r="E115" s="27" t="s">
        <v>424</v>
      </c>
      <c r="K115" s="27">
        <v>1.5</v>
      </c>
      <c r="L115" s="27">
        <v>0.7</v>
      </c>
      <c r="R115" s="27" t="s">
        <v>344</v>
      </c>
    </row>
    <row r="116" spans="2:18" x14ac:dyDescent="0.3">
      <c r="B116" s="27" t="s">
        <v>342</v>
      </c>
      <c r="D116" s="27" t="s">
        <v>393</v>
      </c>
      <c r="E116" s="27" t="s">
        <v>425</v>
      </c>
      <c r="K116" s="27">
        <v>4.7</v>
      </c>
      <c r="L116" s="27">
        <v>13</v>
      </c>
      <c r="R116" s="27" t="s">
        <v>345</v>
      </c>
    </row>
    <row r="117" spans="2:18" x14ac:dyDescent="0.3">
      <c r="B117" s="27" t="s">
        <v>343</v>
      </c>
      <c r="D117" s="27" t="s">
        <v>394</v>
      </c>
      <c r="E117" s="27" t="s">
        <v>426</v>
      </c>
      <c r="K117" s="27">
        <v>4.5</v>
      </c>
      <c r="L117" s="27">
        <v>5.9</v>
      </c>
      <c r="R117" s="27" t="s">
        <v>346</v>
      </c>
    </row>
    <row r="118" spans="2:18" x14ac:dyDescent="0.3">
      <c r="B118" s="30" t="s">
        <v>105</v>
      </c>
      <c r="K118" s="30">
        <f>SUM(K114:K117)</f>
        <v>13.1</v>
      </c>
      <c r="L118" s="30">
        <f>SUM(L114:L117)</f>
        <v>22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2F9B-23BA-47F6-BE77-A5D7BD460F62}">
  <dimension ref="B3:P27"/>
  <sheetViews>
    <sheetView workbookViewId="0">
      <selection activeCell="H21" sqref="H21"/>
    </sheetView>
  </sheetViews>
  <sheetFormatPr defaultRowHeight="14.4" x14ac:dyDescent="0.3"/>
  <cols>
    <col min="1" max="3" width="8.88671875" style="27"/>
    <col min="4" max="4" width="10.6640625" style="27" bestFit="1" customWidth="1"/>
    <col min="5" max="5" width="13.44140625" style="27" bestFit="1" customWidth="1"/>
    <col min="6" max="6" width="8.88671875" style="27" customWidth="1"/>
    <col min="7" max="7" width="12.109375" style="27" bestFit="1" customWidth="1"/>
    <col min="8" max="8" width="13.44140625" style="27" bestFit="1" customWidth="1"/>
    <col min="9" max="9" width="14.77734375" style="27" bestFit="1" customWidth="1"/>
    <col min="10" max="11" width="14.77734375" style="27" customWidth="1"/>
    <col min="12" max="12" width="8.88671875" style="27" customWidth="1"/>
    <col min="13" max="13" width="10.88671875" style="27" bestFit="1" customWidth="1"/>
    <col min="14" max="14" width="10.33203125" style="27" bestFit="1" customWidth="1"/>
    <col min="15" max="15" width="25.21875" style="27" bestFit="1" customWidth="1"/>
    <col min="16" max="16" width="14.33203125" style="27" bestFit="1" customWidth="1"/>
    <col min="17" max="16384" width="8.88671875" style="27"/>
  </cols>
  <sheetData>
    <row r="3" spans="2:16" x14ac:dyDescent="0.3">
      <c r="B3" s="27" t="s">
        <v>174</v>
      </c>
      <c r="C3" s="27" t="s">
        <v>176</v>
      </c>
      <c r="D3" s="27" t="s">
        <v>116</v>
      </c>
      <c r="E3" s="27" t="s">
        <v>178</v>
      </c>
      <c r="F3" s="27" t="s">
        <v>214</v>
      </c>
      <c r="G3" s="27" t="s">
        <v>213</v>
      </c>
      <c r="H3" s="27" t="s">
        <v>177</v>
      </c>
      <c r="I3" s="27" t="s">
        <v>255</v>
      </c>
      <c r="J3" s="27" t="s">
        <v>256</v>
      </c>
      <c r="K3" s="27" t="s">
        <v>257</v>
      </c>
      <c r="L3" s="27" t="s">
        <v>192</v>
      </c>
      <c r="M3" s="27" t="s">
        <v>190</v>
      </c>
      <c r="N3" s="27" t="s">
        <v>180</v>
      </c>
      <c r="O3" s="27" t="s">
        <v>183</v>
      </c>
      <c r="P3" s="27" t="s">
        <v>205</v>
      </c>
    </row>
    <row r="4" spans="2:16" x14ac:dyDescent="0.3">
      <c r="B4" s="27" t="s">
        <v>175</v>
      </c>
    </row>
    <row r="5" spans="2:16" x14ac:dyDescent="0.3">
      <c r="B5" s="27" t="s">
        <v>179</v>
      </c>
    </row>
    <row r="19" spans="2:14" x14ac:dyDescent="0.3">
      <c r="B19" s="27" t="s">
        <v>113</v>
      </c>
      <c r="K19" s="27">
        <v>25</v>
      </c>
    </row>
    <row r="20" spans="2:14" x14ac:dyDescent="0.3">
      <c r="B20" s="27" t="s">
        <v>219</v>
      </c>
    </row>
    <row r="21" spans="2:14" x14ac:dyDescent="0.3">
      <c r="B21" s="40" t="s">
        <v>181</v>
      </c>
    </row>
    <row r="22" spans="2:14" x14ac:dyDescent="0.3">
      <c r="B22" s="40" t="s">
        <v>184</v>
      </c>
    </row>
    <row r="23" spans="2:14" x14ac:dyDescent="0.3">
      <c r="B23" s="40" t="s">
        <v>185</v>
      </c>
    </row>
    <row r="24" spans="2:14" x14ac:dyDescent="0.3">
      <c r="B24" s="40" t="s">
        <v>186</v>
      </c>
    </row>
    <row r="25" spans="2:14" x14ac:dyDescent="0.3">
      <c r="B25" s="40" t="s">
        <v>187</v>
      </c>
    </row>
    <row r="26" spans="2:14" x14ac:dyDescent="0.3">
      <c r="B26" s="40" t="s">
        <v>188</v>
      </c>
      <c r="N26" s="27" t="s">
        <v>195</v>
      </c>
    </row>
    <row r="27" spans="2:14" x14ac:dyDescent="0.3">
      <c r="B27" s="40" t="s">
        <v>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C3DB-AA8F-45A3-B21B-CABA85CCB0AF}">
  <dimension ref="A1"/>
  <sheetViews>
    <sheetView workbookViewId="0">
      <selection activeCell="B3" sqref="B3"/>
    </sheetView>
  </sheetViews>
  <sheetFormatPr defaultRowHeight="14.4" x14ac:dyDescent="0.3"/>
  <cols>
    <col min="1" max="16384" width="8.88671875" style="46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FY2026 DoD Budget Materials</vt:lpstr>
      <vt:lpstr>DoD Products</vt:lpstr>
      <vt:lpstr>Future Products</vt:lpstr>
      <vt:lpstr>Global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2024-09-29T12:49:46Z</dcterms:created>
  <dcterms:modified xsi:type="dcterms:W3CDTF">2025-10-10T14:00:37Z</dcterms:modified>
</cp:coreProperties>
</file>