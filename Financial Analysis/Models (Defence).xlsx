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722360A-2C0B-4F1E-8593-26E9EEF83AD4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2" i="1" l="1"/>
  <c r="AJ12" i="1"/>
  <c r="AF12" i="1"/>
  <c r="AE12" i="1"/>
  <c r="AD12" i="1"/>
  <c r="AC12" i="1"/>
  <c r="AB12" i="1"/>
  <c r="AA12" i="1"/>
  <c r="Z12" i="1"/>
  <c r="X12" i="1"/>
  <c r="Q12" i="1"/>
  <c r="P12" i="1"/>
  <c r="O12" i="1"/>
  <c r="N12" i="1"/>
  <c r="M12" i="1"/>
  <c r="L12" i="1"/>
  <c r="K12" i="1"/>
  <c r="J12" i="1"/>
  <c r="I12" i="1"/>
  <c r="G12" i="1"/>
  <c r="W12" i="1" s="1"/>
  <c r="F12" i="1"/>
  <c r="E12" i="1"/>
  <c r="D12" i="1"/>
  <c r="AC21" i="1" l="1"/>
  <c r="AB21" i="1"/>
  <c r="AA21" i="1"/>
  <c r="X21" i="1"/>
  <c r="Y21" i="1" s="1"/>
  <c r="N21" i="1"/>
  <c r="S21" i="1" s="1"/>
  <c r="M21" i="1"/>
  <c r="G21" i="1"/>
  <c r="R21" i="1" s="1"/>
  <c r="F21" i="1"/>
  <c r="E21" i="1"/>
  <c r="D21" i="1"/>
  <c r="AJ25" i="1" l="1"/>
  <c r="AK25" i="1"/>
  <c r="AF25" i="1"/>
  <c r="AE25" i="1"/>
  <c r="AD25" i="1"/>
  <c r="AC25" i="1"/>
  <c r="AB25" i="1"/>
  <c r="AA25" i="1"/>
  <c r="Z25" i="1"/>
  <c r="X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V25" i="1" l="1"/>
  <c r="Y25" i="1"/>
  <c r="R25" i="1"/>
  <c r="S25" i="1"/>
  <c r="T25" i="1"/>
  <c r="W25" i="1"/>
  <c r="U25" i="1"/>
  <c r="AF28" i="1"/>
  <c r="AD28" i="1"/>
  <c r="AC28" i="1"/>
  <c r="AB28" i="1"/>
  <c r="X28" i="1"/>
  <c r="O28" i="1"/>
  <c r="N28" i="1"/>
  <c r="G28" i="1"/>
  <c r="Y28" i="1" s="1"/>
  <c r="F28" i="1"/>
  <c r="E28" i="1"/>
  <c r="D28" i="1"/>
  <c r="T28" i="1" l="1"/>
  <c r="S28" i="1"/>
  <c r="P28" i="1" l="1"/>
  <c r="U28" i="1" s="1"/>
  <c r="Q28" i="1" l="1"/>
  <c r="V28" i="1" s="1"/>
  <c r="AE28" i="1" l="1"/>
  <c r="W28" i="1"/>
  <c r="AC5" i="1" l="1"/>
  <c r="AB5" i="1"/>
  <c r="AA5" i="1"/>
  <c r="Z5" i="1"/>
  <c r="X5" i="1"/>
  <c r="AC6" i="1" l="1"/>
  <c r="AB6" i="1"/>
  <c r="AA6" i="1"/>
  <c r="Z6" i="1"/>
  <c r="X6" i="1"/>
  <c r="AC4" i="1" l="1"/>
  <c r="AB4" i="1"/>
  <c r="AA4" i="1"/>
  <c r="Z4" i="1"/>
  <c r="X4" i="1"/>
  <c r="AC7" i="1" l="1"/>
  <c r="AB7" i="1"/>
  <c r="AA7" i="1"/>
  <c r="Z7" i="1"/>
  <c r="X7" i="1"/>
  <c r="AC27" i="1" l="1"/>
  <c r="AB27" i="1"/>
  <c r="AA27" i="1"/>
  <c r="Z27" i="1"/>
  <c r="X27" i="1"/>
  <c r="AC24" i="1" l="1"/>
  <c r="AB24" i="1"/>
  <c r="AA24" i="1"/>
  <c r="Z24" i="1"/>
  <c r="X24" i="1"/>
  <c r="AK23" i="1" l="1"/>
  <c r="AJ23" i="1"/>
  <c r="AF23" i="1"/>
  <c r="AE23" i="1"/>
  <c r="AD23" i="1"/>
  <c r="AC23" i="1"/>
  <c r="AB23" i="1"/>
  <c r="AA23" i="1"/>
  <c r="Z23" i="1"/>
  <c r="X23" i="1"/>
  <c r="Q23" i="1"/>
  <c r="P23" i="1"/>
  <c r="O23" i="1"/>
  <c r="N23" i="1"/>
  <c r="M23" i="1"/>
  <c r="L23" i="1"/>
  <c r="K23" i="1"/>
  <c r="J23" i="1"/>
  <c r="I23" i="1"/>
  <c r="H23" i="1"/>
  <c r="G23" i="1"/>
  <c r="W23" i="1" s="1"/>
  <c r="F23" i="1"/>
  <c r="E23" i="1"/>
  <c r="D23" i="1"/>
  <c r="R23" i="1" l="1"/>
  <c r="Y23" i="1"/>
  <c r="S23" i="1"/>
  <c r="T23" i="1"/>
  <c r="U23" i="1"/>
  <c r="V23" i="1"/>
  <c r="AK24" i="1"/>
  <c r="AJ24" i="1"/>
  <c r="AF24" i="1"/>
  <c r="AE24" i="1"/>
  <c r="AD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S24" i="1" l="1"/>
  <c r="R24" i="1"/>
  <c r="Y24" i="1"/>
  <c r="T24" i="1"/>
  <c r="U24" i="1"/>
  <c r="V24" i="1"/>
  <c r="W24" i="1"/>
  <c r="AK27" i="1"/>
  <c r="AJ27" i="1"/>
  <c r="AF27" i="1"/>
  <c r="AD27" i="1"/>
  <c r="Q27" i="1"/>
  <c r="P27" i="1"/>
  <c r="O27" i="1"/>
  <c r="N27" i="1"/>
  <c r="M27" i="1"/>
  <c r="L27" i="1"/>
  <c r="K27" i="1"/>
  <c r="G27" i="1"/>
  <c r="W27" i="1" s="1"/>
  <c r="F27" i="1"/>
  <c r="E27" i="1"/>
  <c r="D27" i="1"/>
  <c r="AK20" i="1"/>
  <c r="AJ20" i="1"/>
  <c r="AF20" i="1"/>
  <c r="AD20" i="1"/>
  <c r="AC20" i="1"/>
  <c r="AB20" i="1"/>
  <c r="AA20" i="1"/>
  <c r="Z20" i="1"/>
  <c r="X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K18" i="1"/>
  <c r="AJ18" i="1"/>
  <c r="AF18" i="1"/>
  <c r="AE18" i="1"/>
  <c r="AD18" i="1"/>
  <c r="AC18" i="1"/>
  <c r="AB18" i="1"/>
  <c r="AA18" i="1"/>
  <c r="Z18" i="1"/>
  <c r="X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R27" i="1" l="1"/>
  <c r="S27" i="1"/>
  <c r="T27" i="1"/>
  <c r="U27" i="1"/>
  <c r="V27" i="1"/>
  <c r="Y27" i="1"/>
  <c r="S20" i="1"/>
  <c r="Y18" i="1"/>
  <c r="U18" i="1"/>
  <c r="U20" i="1"/>
  <c r="T20" i="1"/>
  <c r="V20" i="1"/>
  <c r="R18" i="1"/>
  <c r="S18" i="1"/>
  <c r="R20" i="1"/>
  <c r="Y20" i="1"/>
  <c r="T18" i="1"/>
  <c r="V18" i="1"/>
  <c r="W18" i="1"/>
  <c r="AK16" i="1"/>
  <c r="AJ16" i="1"/>
  <c r="AF16" i="1"/>
  <c r="AE16" i="1"/>
  <c r="AD16" i="1"/>
  <c r="AC16" i="1"/>
  <c r="AB16" i="1"/>
  <c r="AA16" i="1"/>
  <c r="Z16" i="1"/>
  <c r="X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6" i="1" l="1"/>
  <c r="V16" i="1"/>
  <c r="W16" i="1"/>
  <c r="Y16" i="1"/>
  <c r="R16" i="1"/>
  <c r="S16" i="1"/>
  <c r="T16" i="1"/>
  <c r="AK22" i="1"/>
  <c r="AJ22" i="1"/>
  <c r="AF22" i="1"/>
  <c r="AE22" i="1"/>
  <c r="AD22" i="1"/>
  <c r="AC22" i="1"/>
  <c r="AB22" i="1"/>
  <c r="G22" i="1"/>
  <c r="F22" i="1"/>
  <c r="E22" i="1"/>
  <c r="D22" i="1"/>
  <c r="X22" i="1"/>
  <c r="Y22" i="1" l="1"/>
  <c r="Z22" i="1"/>
  <c r="AA22" i="1"/>
  <c r="AE20" i="1" l="1"/>
  <c r="W20" i="1"/>
  <c r="K22" i="1"/>
  <c r="J22" i="1" l="1"/>
  <c r="H22" i="1" l="1"/>
  <c r="I22" i="1"/>
  <c r="M22" i="1"/>
  <c r="R22" i="1" s="1"/>
  <c r="L22" i="1"/>
  <c r="N22" i="1" l="1"/>
  <c r="S22" i="1" s="1"/>
  <c r="O22" i="1" l="1"/>
  <c r="T22" i="1" s="1"/>
  <c r="P22" i="1"/>
  <c r="U22" i="1" s="1"/>
  <c r="Q22" i="1" l="1"/>
  <c r="V22" i="1" s="1"/>
  <c r="AK13" i="1" l="1"/>
  <c r="AJ13" i="1"/>
  <c r="AF13" i="1"/>
  <c r="AE13" i="1"/>
  <c r="AD13" i="1"/>
  <c r="AC13" i="1"/>
  <c r="AB13" i="1"/>
  <c r="AA13" i="1"/>
  <c r="Z13" i="1"/>
  <c r="X13" i="1"/>
  <c r="Q13" i="1"/>
  <c r="P13" i="1"/>
  <c r="O13" i="1"/>
  <c r="N13" i="1"/>
  <c r="M13" i="1"/>
  <c r="L13" i="1"/>
  <c r="K13" i="1"/>
  <c r="J13" i="1"/>
  <c r="I13" i="1"/>
  <c r="H13" i="1"/>
  <c r="G13" i="1"/>
  <c r="W13" i="1" s="1"/>
  <c r="F13" i="1"/>
  <c r="E13" i="1"/>
  <c r="D13" i="1"/>
  <c r="AK14" i="1"/>
  <c r="AJ14" i="1"/>
  <c r="AF14" i="1"/>
  <c r="AE14" i="1"/>
  <c r="AD14" i="1"/>
  <c r="AC14" i="1"/>
  <c r="AB14" i="1"/>
  <c r="AA14" i="1"/>
  <c r="Z14" i="1"/>
  <c r="G14" i="1"/>
  <c r="W14" i="1" s="1"/>
  <c r="F14" i="1"/>
  <c r="E14" i="1"/>
  <c r="D14" i="1"/>
  <c r="T13" i="1" l="1"/>
  <c r="U13" i="1"/>
  <c r="V13" i="1"/>
  <c r="S13" i="1"/>
  <c r="R13" i="1"/>
  <c r="Y13" i="1"/>
  <c r="W22" i="1" l="1"/>
  <c r="AE27" i="1" l="1"/>
  <c r="AK9" i="1"/>
  <c r="AJ9" i="1"/>
  <c r="AF9" i="1"/>
  <c r="AE9" i="1"/>
  <c r="AD9" i="1"/>
  <c r="AC9" i="1"/>
  <c r="AB9" i="1"/>
  <c r="AA9" i="1"/>
  <c r="Z9" i="1"/>
  <c r="X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Y9" i="1" l="1"/>
  <c r="U9" i="1"/>
  <c r="W9" i="1"/>
  <c r="O14" i="1"/>
  <c r="T14" i="1" s="1"/>
  <c r="X14" i="1"/>
  <c r="Y14" i="1" s="1"/>
  <c r="R9" i="1"/>
  <c r="S9" i="1"/>
  <c r="T9" i="1"/>
  <c r="V9" i="1"/>
  <c r="AF5" i="1"/>
  <c r="AD5" i="1"/>
  <c r="M5" i="1"/>
  <c r="L5" i="1"/>
  <c r="K5" i="1"/>
  <c r="J5" i="1"/>
  <c r="I5" i="1"/>
  <c r="H5" i="1"/>
  <c r="P14" i="1" l="1"/>
  <c r="U14" i="1" s="1"/>
  <c r="N14" i="1"/>
  <c r="S14" i="1" s="1"/>
  <c r="O5" i="1"/>
  <c r="Q14" i="1" l="1"/>
  <c r="V14" i="1" s="1"/>
  <c r="N5" i="1"/>
  <c r="P5" i="1"/>
  <c r="K14" i="1" l="1"/>
  <c r="L14" i="1"/>
  <c r="Q5" i="1"/>
  <c r="M14" i="1" l="1"/>
  <c r="R14" i="1" s="1"/>
  <c r="J14" i="1"/>
  <c r="AE5" i="1"/>
  <c r="AF6" i="1" l="1"/>
  <c r="AE6" i="1"/>
  <c r="AD6" i="1"/>
  <c r="AF15" i="1" l="1"/>
  <c r="AE15" i="1"/>
  <c r="AD15" i="1"/>
  <c r="AF11" i="1" l="1"/>
  <c r="AE11" i="1"/>
  <c r="AD11" i="1"/>
  <c r="AF10" i="1" l="1"/>
  <c r="AE10" i="1"/>
  <c r="AD10" i="1"/>
  <c r="AF8" i="1" l="1"/>
  <c r="AE8" i="1"/>
  <c r="AD8" i="1"/>
  <c r="AF7" i="1" l="1"/>
  <c r="AE7" i="1"/>
  <c r="AD7" i="1"/>
  <c r="AF4" i="1" l="1"/>
  <c r="AE4" i="1"/>
  <c r="AD4" i="1"/>
  <c r="AK7" i="1" l="1"/>
  <c r="AJ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Y7" i="1"/>
  <c r="AJ15" i="1"/>
  <c r="AK15" i="1"/>
  <c r="AC15" i="1"/>
  <c r="AB15" i="1"/>
  <c r="AA15" i="1"/>
  <c r="Z15" i="1"/>
  <c r="Q7" i="1" l="1"/>
  <c r="V7" i="1" s="1"/>
  <c r="P7" i="1"/>
  <c r="U7" i="1" s="1"/>
  <c r="X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Q11" i="1"/>
  <c r="P11" i="1"/>
  <c r="O11" i="1"/>
  <c r="N11" i="1"/>
  <c r="Q10" i="1"/>
  <c r="P10" i="1"/>
  <c r="O10" i="1"/>
  <c r="N10" i="1"/>
  <c r="Q6" i="1"/>
  <c r="P6" i="1"/>
  <c r="O6" i="1"/>
  <c r="N6" i="1"/>
  <c r="AK10" i="1"/>
  <c r="AJ10" i="1"/>
  <c r="AC10" i="1"/>
  <c r="AB10" i="1"/>
  <c r="AA10" i="1"/>
  <c r="Z10" i="1"/>
  <c r="X10" i="1"/>
  <c r="M10" i="1"/>
  <c r="L10" i="1"/>
  <c r="K10" i="1"/>
  <c r="J10" i="1"/>
  <c r="I10" i="1"/>
  <c r="H10" i="1"/>
  <c r="G10" i="1"/>
  <c r="W10" i="1" s="1"/>
  <c r="F10" i="1"/>
  <c r="E10" i="1"/>
  <c r="D10" i="1"/>
  <c r="V15" i="1" l="1"/>
  <c r="W15" i="1"/>
  <c r="U15" i="1"/>
  <c r="T15" i="1"/>
  <c r="S15" i="1"/>
  <c r="S10" i="1"/>
  <c r="V10" i="1"/>
  <c r="U10" i="1"/>
  <c r="T10" i="1"/>
  <c r="R10" i="1"/>
  <c r="Y10" i="1"/>
  <c r="Y15" i="1"/>
  <c r="R15" i="1"/>
  <c r="AK11" i="1"/>
  <c r="AJ11" i="1"/>
  <c r="AC11" i="1"/>
  <c r="AB11" i="1"/>
  <c r="AA11" i="1"/>
  <c r="Z11" i="1"/>
  <c r="X11" i="1"/>
  <c r="M11" i="1"/>
  <c r="L11" i="1"/>
  <c r="K11" i="1"/>
  <c r="J11" i="1"/>
  <c r="I11" i="1"/>
  <c r="H11" i="1"/>
  <c r="G11" i="1"/>
  <c r="F11" i="1"/>
  <c r="E11" i="1"/>
  <c r="D11" i="1"/>
  <c r="U11" i="1" l="1"/>
  <c r="S11" i="1"/>
  <c r="W11" i="1"/>
  <c r="T11" i="1"/>
  <c r="V11" i="1"/>
  <c r="Y11" i="1"/>
  <c r="R11" i="1"/>
  <c r="AK6" i="1"/>
  <c r="AJ6" i="1"/>
  <c r="G6" i="1" l="1"/>
  <c r="F6" i="1"/>
  <c r="E6" i="1"/>
  <c r="D6" i="1"/>
  <c r="Y6" i="1" l="1"/>
  <c r="S6" i="1"/>
  <c r="U6" i="1"/>
  <c r="W6" i="1"/>
  <c r="V6" i="1"/>
  <c r="T6" i="1"/>
  <c r="X8" i="1"/>
  <c r="AK8" i="1"/>
  <c r="AJ8" i="1"/>
  <c r="AK4" i="1" l="1"/>
  <c r="AJ4" i="1"/>
  <c r="AK5" i="1" l="1"/>
  <c r="AJ5" i="1"/>
  <c r="G5" i="1"/>
  <c r="W5" i="1" s="1"/>
  <c r="F5" i="1"/>
  <c r="E5" i="1"/>
  <c r="D5" i="1"/>
  <c r="AE19" i="1"/>
  <c r="AK19" i="1"/>
  <c r="AJ19" i="1"/>
  <c r="AF19" i="1"/>
  <c r="AF3" i="1" s="1"/>
  <c r="AD19" i="1"/>
  <c r="Y5" i="1" l="1"/>
  <c r="V5" i="1"/>
  <c r="U5" i="1"/>
  <c r="H6" i="1"/>
  <c r="J6" i="1"/>
  <c r="I6" i="1"/>
  <c r="L6" i="1"/>
  <c r="M6" i="1"/>
  <c r="R6" i="1" s="1"/>
  <c r="K6" i="1"/>
  <c r="R5" i="1"/>
  <c r="AC19" i="1"/>
  <c r="AB19" i="1"/>
  <c r="AA19" i="1"/>
  <c r="Z19" i="1"/>
  <c r="X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N4" i="1"/>
  <c r="O4" i="1"/>
  <c r="P4" i="1"/>
  <c r="Q4" i="1"/>
  <c r="N8" i="1"/>
  <c r="O8" i="1"/>
  <c r="P8" i="1"/>
  <c r="Q8" i="1"/>
  <c r="AK29" i="1"/>
  <c r="AJ29" i="1"/>
  <c r="AF29" i="1"/>
  <c r="AD29" i="1"/>
  <c r="AC29" i="1"/>
  <c r="AB29" i="1"/>
  <c r="X29" i="1"/>
  <c r="Q29" i="1"/>
  <c r="P29" i="1"/>
  <c r="O29" i="1"/>
  <c r="M29" i="1"/>
  <c r="L29" i="1"/>
  <c r="G29" i="1"/>
  <c r="F29" i="1"/>
  <c r="E29" i="1"/>
  <c r="D29" i="1"/>
  <c r="AC8" i="1"/>
  <c r="AB8" i="1"/>
  <c r="AA8" i="1"/>
  <c r="Z8" i="1"/>
  <c r="Y19" i="1" l="1"/>
  <c r="W29" i="1"/>
  <c r="Y29" i="1"/>
  <c r="V19" i="1"/>
  <c r="U19" i="1"/>
  <c r="W19" i="1"/>
  <c r="R19" i="1"/>
  <c r="S19" i="1"/>
  <c r="T19" i="1"/>
  <c r="M8" i="1"/>
  <c r="L8" i="1"/>
  <c r="K8" i="1"/>
  <c r="J8" i="1"/>
  <c r="I8" i="1"/>
  <c r="H8" i="1"/>
  <c r="G8" i="1"/>
  <c r="F8" i="1"/>
  <c r="E8" i="1"/>
  <c r="D8" i="1"/>
  <c r="Y8" i="1" l="1"/>
  <c r="W8" i="1"/>
  <c r="V8" i="1"/>
  <c r="U8" i="1"/>
  <c r="T8" i="1"/>
  <c r="S8" i="1"/>
  <c r="R8" i="1"/>
  <c r="I4" i="1" l="1"/>
  <c r="K4" i="1"/>
  <c r="J4" i="1"/>
  <c r="H4" i="1"/>
  <c r="L4" i="1"/>
  <c r="M4" i="1"/>
  <c r="Y12" i="1" l="1"/>
  <c r="R12" i="1" l="1"/>
  <c r="G4" i="1"/>
  <c r="F4" i="1"/>
  <c r="E4" i="1"/>
  <c r="D4" i="1"/>
  <c r="Y4" i="1" l="1"/>
  <c r="Y3" i="1" s="1"/>
  <c r="W4" i="1"/>
  <c r="V4" i="1"/>
  <c r="U4" i="1"/>
  <c r="T4" i="1"/>
  <c r="S4" i="1"/>
  <c r="R4" i="1"/>
  <c r="R3" i="1" s="1"/>
  <c r="AD3" i="1"/>
  <c r="AC3" i="1"/>
  <c r="AB3" i="1"/>
  <c r="AA3" i="1"/>
  <c r="Z3" i="1"/>
  <c r="S12" i="1" l="1"/>
  <c r="S3" i="1" s="1"/>
  <c r="T12" i="1" l="1"/>
  <c r="T3" i="1" s="1"/>
  <c r="U12" i="1" l="1"/>
  <c r="U3" i="1" s="1"/>
  <c r="V12" i="1" l="1"/>
  <c r="V3" i="1" s="1"/>
  <c r="W3" i="1" l="1"/>
  <c r="N29" i="1" l="1"/>
  <c r="AE29" i="1"/>
  <c r="AE3" i="1" s="1"/>
</calcChain>
</file>

<file path=xl/sharedStrings.xml><?xml version="1.0" encoding="utf-8"?>
<sst xmlns="http://schemas.openxmlformats.org/spreadsheetml/2006/main" count="88" uniqueCount="88">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</sst>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sharedStrings" Target="sharedString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</sheetNames>
    <sheetDataSet>
      <sheetData sheetId="0">
        <row r="3">
          <cell r="D3">
            <v>157.52000000000001</v>
          </cell>
          <cell r="E3">
            <v>45906</v>
          </cell>
          <cell r="G3">
            <v>45958</v>
          </cell>
        </row>
        <row r="5">
          <cell r="D5">
            <v>210840.52000000002</v>
          </cell>
        </row>
        <row r="8">
          <cell r="D8">
            <v>-37196</v>
          </cell>
        </row>
        <row r="9">
          <cell r="D9">
            <v>248036.52000000002</v>
          </cell>
        </row>
      </sheetData>
      <sheetData sheetId="1">
        <row r="5">
          <cell r="AA5">
            <v>87203.32</v>
          </cell>
        </row>
        <row r="19">
          <cell r="U19">
            <v>3510</v>
          </cell>
          <cell r="V19">
            <v>-3109</v>
          </cell>
          <cell r="W19">
            <v>3897</v>
          </cell>
          <cell r="X19">
            <v>5216</v>
          </cell>
          <cell r="Y19">
            <v>3195</v>
          </cell>
          <cell r="Z19">
            <v>4774</v>
          </cell>
          <cell r="AA19">
            <v>6597.7138400000167</v>
          </cell>
          <cell r="AB19">
            <v>7570.8374651199974</v>
          </cell>
          <cell r="AC19">
            <v>8157.0804411392028</v>
          </cell>
          <cell r="AD19">
            <v>8502.7527649675394</v>
          </cell>
          <cell r="AK19">
            <v>10539.84925860564</v>
          </cell>
        </row>
        <row r="25">
          <cell r="Z25">
            <v>0.17147417295414979</v>
          </cell>
          <cell r="AA25">
            <v>8.0077782456835722E-2</v>
          </cell>
        </row>
        <row r="26">
          <cell r="AO26">
            <v>0.06</v>
          </cell>
        </row>
        <row r="28">
          <cell r="AA28">
            <v>0.2026911899684555</v>
          </cell>
        </row>
        <row r="31">
          <cell r="AA31">
            <v>9.8853831482562993E-2</v>
          </cell>
        </row>
        <row r="32">
          <cell r="AO32">
            <v>-0.47755291681370626</v>
          </cell>
        </row>
        <row r="33">
          <cell r="AO33" t="str">
            <v>Overvalued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231.01</v>
          </cell>
          <cell r="E3">
            <v>45867</v>
          </cell>
          <cell r="G3">
            <v>45952</v>
          </cell>
        </row>
        <row r="5">
          <cell r="D5">
            <v>174042.93399999998</v>
          </cell>
        </row>
        <row r="8">
          <cell r="D8">
            <v>-29320</v>
          </cell>
        </row>
        <row r="9">
          <cell r="D9">
            <v>203362.93399999998</v>
          </cell>
        </row>
      </sheetData>
      <sheetData sheetId="1">
        <row r="16">
          <cell r="AV16">
            <v>89475.77</v>
          </cell>
        </row>
        <row r="33">
          <cell r="AP33">
            <v>-636</v>
          </cell>
          <cell r="AQ33">
            <v>-11873</v>
          </cell>
          <cell r="AR33">
            <v>-4202</v>
          </cell>
          <cell r="AS33">
            <v>-4935</v>
          </cell>
          <cell r="AT33">
            <v>-2222</v>
          </cell>
          <cell r="AU33">
            <v>-11875</v>
          </cell>
          <cell r="AV33">
            <v>-1766.719874999995</v>
          </cell>
          <cell r="AW33">
            <v>2015.174950999997</v>
          </cell>
          <cell r="AX33">
            <v>3280.0064038900064</v>
          </cell>
          <cell r="AY33">
            <v>4389.198277423704</v>
          </cell>
          <cell r="BF33">
            <v>9869.8519171971639</v>
          </cell>
        </row>
        <row r="40">
          <cell r="AU40">
            <v>-0.14495976553461709</v>
          </cell>
          <cell r="AV40">
            <v>0.34515642617676701</v>
          </cell>
          <cell r="BI40">
            <v>0.06</v>
          </cell>
        </row>
        <row r="43">
          <cell r="AV43">
            <v>0.11339720798155752</v>
          </cell>
        </row>
        <row r="46">
          <cell r="AV46">
            <v>2.0289571131939408E-3</v>
          </cell>
          <cell r="BI46">
            <v>-0.50758168691846905</v>
          </cell>
        </row>
        <row r="47">
          <cell r="BI47" t="str">
            <v>Heavily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214.25</v>
          </cell>
          <cell r="E3">
            <v>45906</v>
          </cell>
          <cell r="G3">
            <v>45953</v>
          </cell>
        </row>
        <row r="5">
          <cell r="D5">
            <v>136584.375</v>
          </cell>
        </row>
        <row r="8">
          <cell r="D8">
            <v>-24408</v>
          </cell>
        </row>
        <row r="9">
          <cell r="D9">
            <v>160992.375</v>
          </cell>
        </row>
      </sheetData>
      <sheetData sheetId="1">
        <row r="5">
          <cell r="Z5">
            <v>41769.86</v>
          </cell>
        </row>
        <row r="21">
          <cell r="T21">
            <v>6143</v>
          </cell>
          <cell r="U21">
            <v>4779</v>
          </cell>
          <cell r="V21">
            <v>5542</v>
          </cell>
          <cell r="W21">
            <v>4966</v>
          </cell>
          <cell r="X21">
            <v>5658</v>
          </cell>
          <cell r="Y21">
            <v>5705</v>
          </cell>
          <cell r="Z21">
            <v>6242.2181160000009</v>
          </cell>
          <cell r="AA21">
            <v>6474.8637126400035</v>
          </cell>
          <cell r="AB21">
            <v>6915.614977584004</v>
          </cell>
          <cell r="AC21">
            <v>7358.4506706088232</v>
          </cell>
          <cell r="AJ21">
            <v>8514.6826348631621</v>
          </cell>
        </row>
        <row r="27">
          <cell r="Y27">
            <v>5.0079100976487823E-2</v>
          </cell>
          <cell r="Z27">
            <v>8.4987791573588156E-2</v>
          </cell>
          <cell r="AM27">
            <v>0.06</v>
          </cell>
        </row>
        <row r="30">
          <cell r="Z30">
            <v>0.3822494688754044</v>
          </cell>
        </row>
        <row r="33">
          <cell r="Z33">
            <v>0.19938196584810197</v>
          </cell>
          <cell r="AM33">
            <v>-0.28128779344854971</v>
          </cell>
        </row>
        <row r="34">
          <cell r="AM34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183.84</v>
          </cell>
          <cell r="E3">
            <v>45906</v>
          </cell>
          <cell r="G3">
            <v>45959</v>
          </cell>
        </row>
        <row r="5">
          <cell r="D5">
            <v>145104.91199999998</v>
          </cell>
        </row>
        <row r="8">
          <cell r="D8">
            <v>14263</v>
          </cell>
        </row>
        <row r="9">
          <cell r="D9">
            <v>130841.91199999998</v>
          </cell>
        </row>
      </sheetData>
      <sheetData sheetId="1">
        <row r="3">
          <cell r="AA3">
            <v>73427.94</v>
          </cell>
        </row>
        <row r="22">
          <cell r="U22">
            <v>-1362</v>
          </cell>
          <cell r="V22">
            <v>-1133</v>
          </cell>
          <cell r="W22">
            <v>4213</v>
          </cell>
          <cell r="X22">
            <v>4247</v>
          </cell>
          <cell r="Y22">
            <v>3789</v>
          </cell>
          <cell r="Z22">
            <v>4232</v>
          </cell>
          <cell r="AA22">
            <v>5270.3283367999993</v>
          </cell>
          <cell r="AB22">
            <v>5759.7684619200008</v>
          </cell>
          <cell r="AC22">
            <v>6515.0674260704018</v>
          </cell>
          <cell r="AD22">
            <v>6668.5547838398097</v>
          </cell>
          <cell r="AK22">
            <v>7839.3378328649687</v>
          </cell>
        </row>
        <row r="26">
          <cell r="Z26">
            <v>5.7818659658344318E-2</v>
          </cell>
          <cell r="AA26">
            <v>6.063758486205395E-2</v>
          </cell>
        </row>
        <row r="27">
          <cell r="AA27">
            <v>0.16</v>
          </cell>
        </row>
        <row r="28">
          <cell r="AO28">
            <v>7.0000000000000007E-2</v>
          </cell>
        </row>
        <row r="31">
          <cell r="AA31">
            <v>8.4329038510408974E-2</v>
          </cell>
        </row>
        <row r="34">
          <cell r="AO34">
            <v>-0.2375809557708306</v>
          </cell>
        </row>
        <row r="35">
          <cell r="AO35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421.42</v>
          </cell>
          <cell r="E3">
            <v>45862</v>
          </cell>
          <cell r="G3">
            <v>45958</v>
          </cell>
        </row>
        <row r="5">
          <cell r="D5">
            <v>98401.57</v>
          </cell>
        </row>
        <row r="8">
          <cell r="D8">
            <v>-17787</v>
          </cell>
        </row>
        <row r="9">
          <cell r="D9">
            <v>116188.57</v>
          </cell>
        </row>
      </sheetData>
      <sheetData sheetId="1">
        <row r="5">
          <cell r="AC5">
            <v>71043</v>
          </cell>
        </row>
        <row r="21">
          <cell r="X21">
            <v>6230</v>
          </cell>
          <cell r="Y21">
            <v>6888</v>
          </cell>
          <cell r="Z21">
            <v>6315</v>
          </cell>
          <cell r="AA21">
            <v>5732</v>
          </cell>
          <cell r="AB21">
            <v>6920</v>
          </cell>
          <cell r="AC21">
            <v>5336</v>
          </cell>
          <cell r="AD21">
            <v>6890.479949999999</v>
          </cell>
          <cell r="AE21">
            <v>7039.1165736000012</v>
          </cell>
          <cell r="AF21">
            <v>7133.4030690119962</v>
          </cell>
          <cell r="AG21">
            <v>7229.3492892684044</v>
          </cell>
          <cell r="AN21">
            <v>7950.7788906259766</v>
          </cell>
        </row>
        <row r="27">
          <cell r="AB27">
            <v>2.4051285160038738E-2</v>
          </cell>
          <cell r="AC27">
            <v>5.1382989744120922E-2</v>
          </cell>
          <cell r="AQ27">
            <v>7.0000000000000007E-2</v>
          </cell>
        </row>
        <row r="30">
          <cell r="AC30">
            <v>8.4089917373984774E-2</v>
          </cell>
        </row>
        <row r="31">
          <cell r="AC31">
            <v>9.8714862829553926E-2</v>
          </cell>
        </row>
        <row r="33">
          <cell r="AQ33">
            <v>-0.14499673048749862</v>
          </cell>
        </row>
        <row r="34">
          <cell r="AQ34" t="str">
            <v>Slightly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284.89999999999998</v>
          </cell>
          <cell r="E3">
            <v>45898</v>
          </cell>
          <cell r="G3">
            <v>46066</v>
          </cell>
        </row>
        <row r="5">
          <cell r="D5">
            <v>119059.70999999998</v>
          </cell>
        </row>
        <row r="8">
          <cell r="D8">
            <v>3454</v>
          </cell>
        </row>
        <row r="9">
          <cell r="D9">
            <v>115605.70999999998</v>
          </cell>
        </row>
      </sheetData>
      <sheetData sheetId="1">
        <row r="5">
          <cell r="Q5">
            <v>28154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7.0000000000000007E-2</v>
          </cell>
        </row>
        <row r="39">
          <cell r="AF39">
            <v>-0.28700962633957428</v>
          </cell>
        </row>
        <row r="40">
          <cell r="AF40" t="str">
            <v>Slightly overvalued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568.5</v>
          </cell>
          <cell r="E3">
            <v>45862</v>
          </cell>
          <cell r="G3">
            <v>45953</v>
          </cell>
        </row>
        <row r="5">
          <cell r="D5">
            <v>81409.2</v>
          </cell>
        </row>
        <row r="8">
          <cell r="D8">
            <v>-13261</v>
          </cell>
        </row>
        <row r="9">
          <cell r="D9">
            <v>94670.2</v>
          </cell>
        </row>
      </sheetData>
      <sheetData sheetId="1">
        <row r="5">
          <cell r="Y5">
            <v>41033</v>
          </cell>
        </row>
        <row r="18">
          <cell r="T18">
            <v>2248</v>
          </cell>
          <cell r="U18">
            <v>3189</v>
          </cell>
          <cell r="V18">
            <v>7005</v>
          </cell>
          <cell r="W18">
            <v>4896</v>
          </cell>
          <cell r="X18">
            <v>2056</v>
          </cell>
          <cell r="Y18">
            <v>4174</v>
          </cell>
          <cell r="Z18">
            <v>4444.976592</v>
          </cell>
          <cell r="AA18">
            <v>4619.4424550400017</v>
          </cell>
          <cell r="AB18">
            <v>4740.5026427807952</v>
          </cell>
          <cell r="AC18">
            <v>4864.2707476628157</v>
          </cell>
          <cell r="AJ18">
            <v>5342.3586043759151</v>
          </cell>
        </row>
        <row r="24">
          <cell r="X24">
            <v>7.3438609912026775E-2</v>
          </cell>
          <cell r="Y24">
            <v>4.4362433189106598E-2</v>
          </cell>
          <cell r="AM24">
            <v>0.08</v>
          </cell>
        </row>
        <row r="27">
          <cell r="Y27">
            <v>0.20378719567177639</v>
          </cell>
        </row>
        <row r="29">
          <cell r="Y29">
            <v>0.10649964662588648</v>
          </cell>
        </row>
        <row r="30">
          <cell r="AM30">
            <v>-0.42365950691793453</v>
          </cell>
        </row>
        <row r="31">
          <cell r="AM31" t="str">
            <v>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317.10000000000002</v>
          </cell>
          <cell r="E3">
            <v>45862</v>
          </cell>
          <cell r="G3">
            <v>45952</v>
          </cell>
        </row>
        <row r="5">
          <cell r="D5">
            <v>85299.900000000009</v>
          </cell>
        </row>
        <row r="8">
          <cell r="D8">
            <v>-8367</v>
          </cell>
        </row>
        <row r="9">
          <cell r="D9">
            <v>93666.900000000009</v>
          </cell>
        </row>
      </sheetData>
      <sheetData sheetId="1">
        <row r="5">
          <cell r="AB5">
            <v>47716</v>
          </cell>
        </row>
        <row r="16">
          <cell r="W16">
            <v>3484</v>
          </cell>
          <cell r="X16">
            <v>3167</v>
          </cell>
          <cell r="Y16">
            <v>3257</v>
          </cell>
          <cell r="Z16">
            <v>3390</v>
          </cell>
          <cell r="AA16">
            <v>3315</v>
          </cell>
          <cell r="AB16">
            <v>3782</v>
          </cell>
          <cell r="AC16">
            <v>4243.5310400000008</v>
          </cell>
          <cell r="AD16">
            <v>4623.3326656000045</v>
          </cell>
          <cell r="AE16">
            <v>4897.3993508480062</v>
          </cell>
          <cell r="AF16">
            <v>5139.2124562518457</v>
          </cell>
          <cell r="AM16">
            <v>5952.0470127677636</v>
          </cell>
        </row>
        <row r="22">
          <cell r="AA22">
            <v>7.2702819296064147E-2</v>
          </cell>
          <cell r="AB22">
            <v>0.12878501135503417</v>
          </cell>
          <cell r="AP22">
            <v>0.08</v>
          </cell>
        </row>
        <row r="25">
          <cell r="AB25">
            <v>0.15432978455863861</v>
          </cell>
        </row>
        <row r="27">
          <cell r="AB27">
            <v>0.10051135887333389</v>
          </cell>
        </row>
        <row r="28">
          <cell r="AP28">
            <v>-0.33344751215489621</v>
          </cell>
        </row>
        <row r="29">
          <cell r="AP29" t="str">
            <v>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1744.5</v>
          </cell>
          <cell r="E3">
            <v>45906</v>
          </cell>
          <cell r="G3">
            <v>45967</v>
          </cell>
        </row>
        <row r="5">
          <cell r="D5">
            <v>76478.880000000005</v>
          </cell>
        </row>
        <row r="8">
          <cell r="D8">
            <v>-293</v>
          </cell>
        </row>
        <row r="9">
          <cell r="D9">
            <v>76771.88</v>
          </cell>
        </row>
      </sheetData>
      <sheetData sheetId="1">
        <row r="18">
          <cell r="AE18">
            <v>12231.94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1152.8015680000001</v>
          </cell>
          <cell r="AF37">
            <v>1264.6224175000007</v>
          </cell>
          <cell r="AG37">
            <v>1430.3841434999997</v>
          </cell>
          <cell r="AH37">
            <v>1527.5501896362498</v>
          </cell>
          <cell r="AI37">
            <v>1588.4162624936125</v>
          </cell>
          <cell r="AO37">
            <v>1804.5664601807241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0.25442928930366127</v>
          </cell>
        </row>
        <row r="51">
          <cell r="AE51">
            <v>0.28072109575423032</v>
          </cell>
        </row>
        <row r="52">
          <cell r="AS52">
            <v>-0.71543396756112809</v>
          </cell>
        </row>
        <row r="53">
          <cell r="AS53" t="str">
            <v>Heavily overvalued</v>
          </cell>
        </row>
        <row r="56">
          <cell r="AE56">
            <v>0.16228117534912698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10.7</v>
          </cell>
          <cell r="E3">
            <v>45898</v>
          </cell>
          <cell r="G3">
            <v>46079</v>
          </cell>
        </row>
        <row r="5">
          <cell r="D5">
            <v>90201</v>
          </cell>
        </row>
        <row r="8">
          <cell r="D8">
            <v>2379</v>
          </cell>
        </row>
        <row r="9">
          <cell r="D9">
            <v>87822</v>
          </cell>
        </row>
      </sheetData>
      <sheetData sheetId="1">
        <row r="3">
          <cell r="Q3">
            <v>18909</v>
          </cell>
        </row>
        <row r="16">
          <cell r="L16">
            <v>-1315</v>
          </cell>
          <cell r="M16">
            <v>-3170</v>
          </cell>
          <cell r="N16">
            <v>120</v>
          </cell>
          <cell r="O16">
            <v>-1269</v>
          </cell>
          <cell r="P16">
            <v>2412</v>
          </cell>
          <cell r="Q16">
            <v>1971</v>
          </cell>
          <cell r="R16">
            <v>1792.7340799999997</v>
          </cell>
          <cell r="S16">
            <v>2039.0654464000004</v>
          </cell>
          <cell r="T16">
            <v>2250.0783875840002</v>
          </cell>
          <cell r="U16">
            <v>2444.7265855552005</v>
          </cell>
          <cell r="AB16">
            <v>3492.9910972745047</v>
          </cell>
        </row>
        <row r="20">
          <cell r="P20">
            <v>0.21937869822485201</v>
          </cell>
          <cell r="Q20">
            <v>0.14697318937280124</v>
          </cell>
        </row>
        <row r="21">
          <cell r="Q21">
            <v>0.22322703474535935</v>
          </cell>
        </row>
        <row r="22">
          <cell r="AE22">
            <v>7.0000000000000007E-2</v>
          </cell>
        </row>
        <row r="24">
          <cell r="Q24">
            <v>0.12459675286900418</v>
          </cell>
        </row>
        <row r="28">
          <cell r="AE28">
            <v>-0.53007610364432378</v>
          </cell>
        </row>
        <row r="29">
          <cell r="AE29" t="str">
            <v>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19.254999999999999</v>
          </cell>
          <cell r="E3">
            <v>45868</v>
          </cell>
          <cell r="G3">
            <v>46072</v>
          </cell>
        </row>
        <row r="5">
          <cell r="D5">
            <v>57765</v>
          </cell>
        </row>
        <row r="8">
          <cell r="D8">
            <v>-4907</v>
          </cell>
        </row>
        <row r="9">
          <cell r="D9">
            <v>62672</v>
          </cell>
        </row>
      </sheetData>
      <sheetData sheetId="1">
        <row r="13">
          <cell r="Q13">
            <v>26312</v>
          </cell>
        </row>
        <row r="32">
          <cell r="N32">
            <v>1758</v>
          </cell>
          <cell r="O32">
            <v>1591</v>
          </cell>
          <cell r="P32">
            <v>1857</v>
          </cell>
          <cell r="Q32">
            <v>1956</v>
          </cell>
          <cell r="R32">
            <v>2983.0295450000012</v>
          </cell>
          <cell r="S32">
            <v>3274.0576822999979</v>
          </cell>
          <cell r="T32">
            <v>3558.6704355280026</v>
          </cell>
          <cell r="U32">
            <v>3774.8694653950824</v>
          </cell>
          <cell r="AB32">
            <v>4907.2226055251313</v>
          </cell>
        </row>
        <row r="39">
          <cell r="AE39">
            <v>7.0000000000000007E-2</v>
          </cell>
        </row>
        <row r="41">
          <cell r="P41">
            <v>8.5614827359111967E-2</v>
          </cell>
          <cell r="Q41">
            <v>0.14013346043851294</v>
          </cell>
        </row>
        <row r="42">
          <cell r="Q42">
            <v>0.65472027972027969</v>
          </cell>
        </row>
        <row r="45">
          <cell r="Q45">
            <v>8.3840072970507759E-2</v>
          </cell>
          <cell r="AE45">
            <v>-7.0527347483917202E-2</v>
          </cell>
        </row>
        <row r="46">
          <cell r="AE46" t="str">
            <v>Fairly 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277.22000000000003</v>
          </cell>
          <cell r="E3">
            <v>45898</v>
          </cell>
          <cell r="G3">
            <v>45953</v>
          </cell>
        </row>
        <row r="5">
          <cell r="D5">
            <v>51867.862000000001</v>
          </cell>
        </row>
        <row r="8">
          <cell r="D8">
            <v>-11620</v>
          </cell>
        </row>
        <row r="9">
          <cell r="D9">
            <v>63487.862000000001</v>
          </cell>
        </row>
      </sheetData>
      <sheetData sheetId="1">
        <row r="5">
          <cell r="X5">
            <v>21325</v>
          </cell>
        </row>
        <row r="18">
          <cell r="T18">
            <v>1119</v>
          </cell>
          <cell r="U18">
            <v>1846</v>
          </cell>
          <cell r="V18">
            <v>1062</v>
          </cell>
          <cell r="W18">
            <v>1227</v>
          </cell>
          <cell r="X18">
            <v>1502</v>
          </cell>
          <cell r="Y18">
            <v>2244.6631800000009</v>
          </cell>
          <cell r="Z18">
            <v>2396.5053390000035</v>
          </cell>
          <cell r="AA18">
            <v>2530.2616968599991</v>
          </cell>
          <cell r="AB18">
            <v>2642.0492126718009</v>
          </cell>
          <cell r="AI18">
            <v>3415.6161640392561</v>
          </cell>
        </row>
        <row r="24">
          <cell r="W24">
            <v>0.13814324229281438</v>
          </cell>
          <cell r="X24">
            <v>9.815129512333276E-2</v>
          </cell>
          <cell r="AL24">
            <v>0.08</v>
          </cell>
        </row>
        <row r="27">
          <cell r="X27">
            <v>0.25903868698710436</v>
          </cell>
        </row>
        <row r="29">
          <cell r="X29">
            <v>8.9941383352872217E-2</v>
          </cell>
        </row>
        <row r="30">
          <cell r="AL30">
            <v>-0.5363754386448315</v>
          </cell>
        </row>
        <row r="31">
          <cell r="AL31" t="str">
            <v>Heavily 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235.1</v>
          </cell>
          <cell r="E3">
            <v>45868</v>
          </cell>
          <cell r="G3">
            <v>46079</v>
          </cell>
        </row>
        <row r="5">
          <cell r="D5">
            <v>48289.54</v>
          </cell>
        </row>
        <row r="8">
          <cell r="D8">
            <v>-1408.0999999999995</v>
          </cell>
        </row>
        <row r="9">
          <cell r="D9">
            <v>49697.64</v>
          </cell>
        </row>
      </sheetData>
      <sheetData sheetId="1">
        <row r="3">
          <cell r="P3">
            <v>20576.599999999999</v>
          </cell>
        </row>
        <row r="22">
          <cell r="K22">
            <v>1146.4000000000005</v>
          </cell>
          <cell r="L22">
            <v>491.90000000000072</v>
          </cell>
          <cell r="M22">
            <v>1016.7999999999997</v>
          </cell>
          <cell r="N22">
            <v>1121.8999999999996</v>
          </cell>
          <cell r="O22">
            <v>928.6000000000015</v>
          </cell>
          <cell r="P22">
            <v>932.29999999999723</v>
          </cell>
          <cell r="Q22">
            <v>1473.4199211999967</v>
          </cell>
          <cell r="R22">
            <v>1674.1472117759988</v>
          </cell>
          <cell r="S22">
            <v>1801.8286222247989</v>
          </cell>
          <cell r="T22">
            <v>1905.822140949791</v>
          </cell>
          <cell r="AA22">
            <v>2209.5151424104974</v>
          </cell>
        </row>
        <row r="26">
          <cell r="O26">
            <v>4.89276444606348E-2</v>
          </cell>
          <cell r="P26">
            <v>0.11657007662086771</v>
          </cell>
        </row>
        <row r="27">
          <cell r="P27">
            <v>0.26116559587103788</v>
          </cell>
        </row>
        <row r="29">
          <cell r="AD29">
            <v>0.08</v>
          </cell>
        </row>
        <row r="31">
          <cell r="P31">
            <v>6.1341523866916652E-2</v>
          </cell>
        </row>
        <row r="35">
          <cell r="AD35">
            <v>-0.53135711887326365</v>
          </cell>
        </row>
        <row r="36">
          <cell r="AD36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27.18</v>
          </cell>
          <cell r="E3">
            <v>45868</v>
          </cell>
          <cell r="G3">
            <v>46079</v>
          </cell>
        </row>
        <row r="5">
          <cell r="D5">
            <v>35695.493999999999</v>
          </cell>
        </row>
        <row r="8">
          <cell r="D8">
            <v>1459</v>
          </cell>
        </row>
        <row r="9">
          <cell r="D9">
            <v>34236.493999999999</v>
          </cell>
        </row>
      </sheetData>
      <sheetData sheetId="1">
        <row r="7">
          <cell r="V7">
            <v>6213.6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U30">
            <v>5.0500414805923599E-2</v>
          </cell>
          <cell r="V30">
            <v>4.4056860570622192E-2</v>
          </cell>
        </row>
        <row r="33">
          <cell r="V33">
            <v>0.83643942320072096</v>
          </cell>
        </row>
        <row r="35">
          <cell r="AJ35">
            <v>-0.43497641969139733</v>
          </cell>
        </row>
        <row r="36">
          <cell r="AJ36" t="str">
            <v>Overvalued</v>
          </cell>
        </row>
        <row r="37">
          <cell r="V37">
            <v>0.2188264452169435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47.27</v>
          </cell>
          <cell r="E3">
            <v>45904</v>
          </cell>
          <cell r="G3">
            <v>45868</v>
          </cell>
        </row>
        <row r="5">
          <cell r="D5">
            <v>27246.428</v>
          </cell>
        </row>
        <row r="8">
          <cell r="D8">
            <v>-267</v>
          </cell>
        </row>
        <row r="9">
          <cell r="D9">
            <v>27513.428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-0.10935664388414268</v>
          </cell>
        </row>
        <row r="32">
          <cell r="AM32" t="str">
            <v>Fairly 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180.62</v>
          </cell>
          <cell r="E3">
            <v>45898</v>
          </cell>
          <cell r="G3">
            <v>45965</v>
          </cell>
        </row>
        <row r="5">
          <cell r="D5">
            <v>23173.546000000002</v>
          </cell>
        </row>
        <row r="8">
          <cell r="D8">
            <v>-4174</v>
          </cell>
        </row>
        <row r="9">
          <cell r="D9">
            <v>27347.546000000002</v>
          </cell>
        </row>
      </sheetData>
      <sheetData sheetId="1">
        <row r="3">
          <cell r="U3">
            <v>16662</v>
          </cell>
        </row>
        <row r="18">
          <cell r="P18">
            <v>667</v>
          </cell>
          <cell r="Q18">
            <v>628</v>
          </cell>
          <cell r="R18">
            <v>753</v>
          </cell>
          <cell r="S18">
            <v>685</v>
          </cell>
          <cell r="T18">
            <v>199</v>
          </cell>
          <cell r="U18">
            <v>1254</v>
          </cell>
          <cell r="V18">
            <v>1488.4593099999986</v>
          </cell>
          <cell r="W18">
            <v>1825.4889705000001</v>
          </cell>
          <cell r="X18">
            <v>1915.7253039600007</v>
          </cell>
          <cell r="Y18">
            <v>1981.3585502100002</v>
          </cell>
          <cell r="AF18">
            <v>2147.6986846902682</v>
          </cell>
        </row>
        <row r="22">
          <cell r="T22">
            <v>7.2381217004723553E-2</v>
          </cell>
          <cell r="U22">
            <v>7.9284881461329171E-2</v>
          </cell>
        </row>
        <row r="23">
          <cell r="U23">
            <v>0.16792701956547834</v>
          </cell>
        </row>
        <row r="24">
          <cell r="AI24">
            <v>0.08</v>
          </cell>
        </row>
        <row r="26">
          <cell r="U26">
            <v>0.10731004681310767</v>
          </cell>
        </row>
        <row r="30">
          <cell r="AI30">
            <v>-0.15132262827852416</v>
          </cell>
        </row>
        <row r="31">
          <cell r="AI31" t="str">
            <v>Slightly 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194.63</v>
          </cell>
        </row>
        <row r="5">
          <cell r="D5">
            <v>19287.832999999999</v>
          </cell>
        </row>
        <row r="8">
          <cell r="D8">
            <v>-4448</v>
          </cell>
        </row>
        <row r="9">
          <cell r="D9">
            <v>23735.832999999999</v>
          </cell>
        </row>
      </sheetData>
      <sheetData sheetId="1">
        <row r="8">
          <cell r="V8">
            <v>9401.5300000000007</v>
          </cell>
        </row>
        <row r="23">
          <cell r="U23">
            <v>370</v>
          </cell>
          <cell r="V23">
            <v>501.53600000000051</v>
          </cell>
        </row>
        <row r="31">
          <cell r="V31">
            <v>8.5000577034045177E-2</v>
          </cell>
        </row>
        <row r="32">
          <cell r="V32">
            <v>0.1980854180117492</v>
          </cell>
        </row>
        <row r="35">
          <cell r="V35">
            <v>0.11177712563806108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78.45</v>
          </cell>
          <cell r="E3">
            <v>45867</v>
          </cell>
          <cell r="G3">
            <v>45953</v>
          </cell>
        </row>
        <row r="5">
          <cell r="D5">
            <v>13979.789999999999</v>
          </cell>
        </row>
        <row r="8">
          <cell r="D8">
            <v>-2300</v>
          </cell>
        </row>
        <row r="9">
          <cell r="D9">
            <v>16279.789999999999</v>
          </cell>
        </row>
      </sheetData>
      <sheetData sheetId="1">
        <row r="6">
          <cell r="U6">
            <v>13702</v>
          </cell>
        </row>
        <row r="22">
          <cell r="P22">
            <v>815</v>
          </cell>
          <cell r="Q22">
            <v>309</v>
          </cell>
          <cell r="R22">
            <v>746</v>
          </cell>
          <cell r="S22">
            <v>861</v>
          </cell>
          <cell r="T22">
            <v>921</v>
          </cell>
          <cell r="U22">
            <v>824</v>
          </cell>
          <cell r="V22">
            <v>1009.4089999999989</v>
          </cell>
          <cell r="W22">
            <v>1260.3274750399985</v>
          </cell>
          <cell r="X22">
            <v>1438.1055164480015</v>
          </cell>
          <cell r="Y22">
            <v>1494.4098756374406</v>
          </cell>
          <cell r="AF22">
            <v>1765.1366695542943</v>
          </cell>
        </row>
        <row r="29">
          <cell r="T29">
            <v>6.3252777993628051E-2</v>
          </cell>
          <cell r="U29">
            <v>1.3885843747716287E-3</v>
          </cell>
          <cell r="AJ29">
            <v>0.09</v>
          </cell>
        </row>
        <row r="32">
          <cell r="U32">
            <v>0.18260108013428697</v>
          </cell>
        </row>
        <row r="35">
          <cell r="U35">
            <v>6.23996496861772E-2</v>
          </cell>
          <cell r="AJ35">
            <v>3.5247218209492504E-2</v>
          </cell>
        </row>
        <row r="36">
          <cell r="AJ36" t="str">
            <v>Fairly 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57.19</v>
          </cell>
          <cell r="E3">
            <v>45903</v>
          </cell>
          <cell r="G3">
            <v>45965</v>
          </cell>
        </row>
        <row r="5">
          <cell r="D5">
            <v>10494.365</v>
          </cell>
        </row>
        <row r="8">
          <cell r="D8">
            <v>-600.00000000000023</v>
          </cell>
        </row>
        <row r="9">
          <cell r="D9">
            <v>11094.365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-0.43120780386203839</v>
          </cell>
        </row>
        <row r="35">
          <cell r="AI35" t="str">
            <v>Overvalued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101.2</v>
          </cell>
          <cell r="E3">
            <v>45924</v>
          </cell>
          <cell r="G3">
            <v>45968</v>
          </cell>
        </row>
        <row r="5">
          <cell r="D5">
            <v>11739.2</v>
          </cell>
        </row>
        <row r="8">
          <cell r="D8">
            <v>-498</v>
          </cell>
        </row>
        <row r="9">
          <cell r="D9">
            <v>12237.2</v>
          </cell>
        </row>
      </sheetData>
      <sheetData sheetId="1">
        <row r="26">
          <cell r="V26">
            <v>2587.8199999999997</v>
          </cell>
        </row>
        <row r="43">
          <cell r="P43">
            <v>5.9000000000001167</v>
          </cell>
          <cell r="Q43">
            <v>-65.199999999999903</v>
          </cell>
          <cell r="R43">
            <v>63</v>
          </cell>
          <cell r="S43">
            <v>79</v>
          </cell>
          <cell r="T43">
            <v>58</v>
          </cell>
          <cell r="U43">
            <v>106</v>
          </cell>
          <cell r="V43">
            <v>105.74143999999995</v>
          </cell>
          <cell r="W43">
            <v>144.35987200000005</v>
          </cell>
          <cell r="X43">
            <v>169.88582975999995</v>
          </cell>
          <cell r="Y43">
            <v>189.70135618560002</v>
          </cell>
          <cell r="AF43">
            <v>347.10423159639549</v>
          </cell>
        </row>
        <row r="47">
          <cell r="U47">
            <v>0.21277747698971305</v>
          </cell>
          <cell r="V47">
            <v>0.1552767857142856</v>
          </cell>
        </row>
        <row r="48">
          <cell r="V48">
            <v>0.22716788648360398</v>
          </cell>
        </row>
        <row r="49">
          <cell r="AI49">
            <v>0.09</v>
          </cell>
        </row>
        <row r="52">
          <cell r="V52">
            <v>9.599848521149075E-2</v>
          </cell>
        </row>
        <row r="55">
          <cell r="AI55">
            <v>-0.80686738144951742</v>
          </cell>
        </row>
        <row r="56">
          <cell r="AI56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90.08</v>
          </cell>
          <cell r="E3">
            <v>45930</v>
          </cell>
          <cell r="G3">
            <v>45960</v>
          </cell>
        </row>
        <row r="5">
          <cell r="D5">
            <v>15205.504000000001</v>
          </cell>
        </row>
        <row r="8">
          <cell r="D8">
            <v>613.79999999999995</v>
          </cell>
        </row>
        <row r="9">
          <cell r="D9">
            <v>14591.704000000002</v>
          </cell>
        </row>
      </sheetData>
      <sheetData sheetId="1">
        <row r="7">
          <cell r="V7">
            <v>1297.6099999999999</v>
          </cell>
        </row>
        <row r="22">
          <cell r="P22">
            <v>10.89999999999997</v>
          </cell>
          <cell r="Q22">
            <v>80.300000000000068</v>
          </cell>
          <cell r="R22">
            <v>0.50000000000003597</v>
          </cell>
          <cell r="S22">
            <v>-33.20000000000001</v>
          </cell>
          <cell r="T22">
            <v>2.3999999999998813</v>
          </cell>
          <cell r="U22">
            <v>16.299999999999944</v>
          </cell>
          <cell r="V22">
            <v>19.969807999999741</v>
          </cell>
          <cell r="W22">
            <v>47.220326400000076</v>
          </cell>
          <cell r="X22">
            <v>70.794515788799941</v>
          </cell>
          <cell r="Y22">
            <v>85.495337030527935</v>
          </cell>
          <cell r="AF22">
            <v>184.91617130028354</v>
          </cell>
        </row>
        <row r="28">
          <cell r="U28">
            <v>9.5651335454633113E-2</v>
          </cell>
          <cell r="V28">
            <v>0.14196074980198881</v>
          </cell>
        </row>
        <row r="29">
          <cell r="AI29">
            <v>0.09</v>
          </cell>
        </row>
        <row r="31">
          <cell r="V31">
            <v>0.23128695062460972</v>
          </cell>
        </row>
        <row r="34">
          <cell r="V34">
            <v>2.1587580243678565E-2</v>
          </cell>
        </row>
        <row r="35">
          <cell r="AI35">
            <v>-0.87042777033592045</v>
          </cell>
        </row>
        <row r="36">
          <cell r="AI36" t="str">
            <v>Heavily overvalued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66.63</v>
          </cell>
          <cell r="E3">
            <v>45903</v>
          </cell>
          <cell r="G3">
            <v>45974</v>
          </cell>
        </row>
        <row r="5">
          <cell r="D5">
            <v>6663</v>
          </cell>
        </row>
        <row r="8">
          <cell r="D8">
            <v>-438.4</v>
          </cell>
        </row>
        <row r="9">
          <cell r="D9">
            <v>7101.4</v>
          </cell>
        </row>
      </sheetData>
      <sheetData sheetId="1">
        <row r="24">
          <cell r="V24">
            <v>1358.33</v>
          </cell>
        </row>
        <row r="39">
          <cell r="S39">
            <v>16.199999999999942</v>
          </cell>
          <cell r="T39">
            <v>32.30000000000004</v>
          </cell>
          <cell r="U39">
            <v>53.500000000000057</v>
          </cell>
          <cell r="V39">
            <v>96.823239999999927</v>
          </cell>
          <cell r="W39">
            <v>143.50169249999999</v>
          </cell>
          <cell r="X39">
            <v>179.7296860125</v>
          </cell>
          <cell r="Y39">
            <v>200.07653520599999</v>
          </cell>
          <cell r="AF39">
            <v>315.1137772693595</v>
          </cell>
        </row>
        <row r="43">
          <cell r="U43">
            <v>0.23230686115613186</v>
          </cell>
          <cell r="V43">
            <v>0.19099517755370443</v>
          </cell>
        </row>
        <row r="44">
          <cell r="V44">
            <v>0.25505171791832615</v>
          </cell>
        </row>
        <row r="45">
          <cell r="AI45">
            <v>0.09</v>
          </cell>
        </row>
        <row r="47">
          <cell r="V47">
            <v>0.1261351806998299</v>
          </cell>
        </row>
        <row r="51">
          <cell r="AI51">
            <v>-0.67267594474014047</v>
          </cell>
        </row>
        <row r="52">
          <cell r="AI52" t="str">
            <v>Heavily overvalued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</v>
          </cell>
        </row>
        <row r="5">
          <cell r="D5">
            <v>1178</v>
          </cell>
        </row>
        <row r="8">
          <cell r="D8">
            <v>46.100000000000009</v>
          </cell>
        </row>
        <row r="9">
          <cell r="D9">
            <v>1131.9000000000001</v>
          </cell>
        </row>
      </sheetData>
      <sheetData sheetId="1">
        <row r="3">
          <cell r="O3">
            <v>12.3</v>
          </cell>
        </row>
        <row r="15">
          <cell r="O15">
            <v>-69.325000000000003</v>
          </cell>
          <cell r="P15">
            <v>-91.1815</v>
          </cell>
          <cell r="Q15">
            <v>-110.42588000000001</v>
          </cell>
          <cell r="R15">
            <v>-123.67537759999999</v>
          </cell>
          <cell r="Y15">
            <v>146.02827505986298</v>
          </cell>
        </row>
        <row r="20">
          <cell r="O20">
            <v>5.08130081300813E-2</v>
          </cell>
        </row>
        <row r="21">
          <cell r="AB21">
            <v>0.11</v>
          </cell>
        </row>
        <row r="24">
          <cell r="O24">
            <v>-4.23780487804878</v>
          </cell>
        </row>
        <row r="27">
          <cell r="AB27">
            <v>-0.85432485058235097</v>
          </cell>
        </row>
        <row r="28">
          <cell r="AB28" t="str">
            <v>Heavily overvalued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9.0399999999999991</v>
          </cell>
          <cell r="E3">
            <v>45903</v>
          </cell>
          <cell r="G3">
            <v>45974</v>
          </cell>
        </row>
        <row r="5">
          <cell r="D5">
            <v>274.81599999999997</v>
          </cell>
        </row>
        <row r="8">
          <cell r="D8">
            <v>5</v>
          </cell>
        </row>
        <row r="9">
          <cell r="D9">
            <v>269.81599999999997</v>
          </cell>
        </row>
      </sheetData>
      <sheetData sheetId="1">
        <row r="3">
          <cell r="Q3">
            <v>5.6</v>
          </cell>
        </row>
        <row r="20">
          <cell r="P20">
            <v>-1.4</v>
          </cell>
          <cell r="Q20">
            <v>-32</v>
          </cell>
          <cell r="R20">
            <v>-27.428000000000001</v>
          </cell>
          <cell r="S20">
            <v>-36.489999999999995</v>
          </cell>
          <cell r="T20">
            <v>-44.738199999999992</v>
          </cell>
          <cell r="U20">
            <v>-36.238919999999993</v>
          </cell>
          <cell r="AB20">
            <v>68.08531453375997</v>
          </cell>
        </row>
        <row r="26">
          <cell r="Q26">
            <v>0.28571428571428564</v>
          </cell>
        </row>
        <row r="27">
          <cell r="AF27">
            <v>0.12</v>
          </cell>
        </row>
        <row r="30">
          <cell r="Q30">
            <v>-3.0535714285714288</v>
          </cell>
        </row>
        <row r="33">
          <cell r="AF33">
            <v>-0.78010157110479306</v>
          </cell>
        </row>
        <row r="34">
          <cell r="AF34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2:AK31"/>
  <sheetViews>
    <sheetView tabSelected="1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AE5" sqref="AE5"/>
    </sheetView>
  </sheetViews>
  <sheetFormatPr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5" width="8.88671875" style="11"/>
    <col min="26" max="27" width="9.77734375" style="11" bestFit="1" customWidth="1"/>
    <col min="28" max="28" width="9.88671875" style="11" bestFit="1" customWidth="1"/>
    <col min="29" max="29" width="10" style="11" bestFit="1" customWidth="1"/>
    <col min="30" max="31" width="8.33203125" style="11" bestFit="1" customWidth="1"/>
    <col min="32" max="32" width="17.33203125" style="11" customWidth="1"/>
    <col min="33" max="34" width="8.44140625" style="11" bestFit="1" customWidth="1"/>
    <col min="35" max="35" width="8.88671875" style="5"/>
    <col min="36" max="36" width="10.5546875" style="11" bestFit="1" customWidth="1"/>
    <col min="37" max="37" width="11.5546875" style="11" bestFit="1" customWidth="1"/>
    <col min="38" max="16384" width="8.88671875" style="5"/>
  </cols>
  <sheetData>
    <row r="2" spans="2:37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4" t="s">
        <v>79</v>
      </c>
      <c r="Y2" s="4" t="s">
        <v>83</v>
      </c>
      <c r="Z2" s="2" t="s">
        <v>50</v>
      </c>
      <c r="AA2" s="2" t="s">
        <v>80</v>
      </c>
      <c r="AB2" s="2" t="s">
        <v>81</v>
      </c>
      <c r="AC2" s="2" t="s">
        <v>82</v>
      </c>
      <c r="AD2" s="2" t="s">
        <v>17</v>
      </c>
      <c r="AE2" s="2" t="s">
        <v>18</v>
      </c>
      <c r="AF2" s="2" t="s">
        <v>19</v>
      </c>
      <c r="AG2" s="2" t="s">
        <v>20</v>
      </c>
      <c r="AH2" s="2" t="s">
        <v>21</v>
      </c>
      <c r="AJ2" s="2" t="s">
        <v>41</v>
      </c>
      <c r="AK2" s="2" t="s">
        <v>42</v>
      </c>
    </row>
    <row r="3" spans="2:37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W3" si="0">TRIMMEAN(R4:R1048576,80%)</f>
        <v>34.421156571947499</v>
      </c>
      <c r="S3" s="7">
        <f t="shared" si="0"/>
        <v>26.461248999924155</v>
      </c>
      <c r="T3" s="7">
        <f t="shared" si="0"/>
        <v>23.092730697287529</v>
      </c>
      <c r="U3" s="7">
        <f t="shared" si="0"/>
        <v>22.349828165413104</v>
      </c>
      <c r="V3" s="7">
        <f t="shared" si="0"/>
        <v>21.596966763334482</v>
      </c>
      <c r="W3" s="7">
        <f t="shared" si="0"/>
        <v>17.986032733432616</v>
      </c>
      <c r="X3" s="8"/>
      <c r="Y3" s="21">
        <f t="shared" ref="Y3:AE3" si="1">TRIMMEAN(Y4:Y1048576,80%)</f>
        <v>2.8329303433229946</v>
      </c>
      <c r="Z3" s="9">
        <f t="shared" si="1"/>
        <v>7.9957761805311917E-2</v>
      </c>
      <c r="AA3" s="9">
        <f t="shared" si="1"/>
        <v>0.11843352839563026</v>
      </c>
      <c r="AB3" s="9">
        <f t="shared" si="1"/>
        <v>0.20768693578353645</v>
      </c>
      <c r="AC3" s="9">
        <f t="shared" si="1"/>
        <v>9.48275445189906E-2</v>
      </c>
      <c r="AD3" s="9">
        <f t="shared" si="1"/>
        <v>0.08</v>
      </c>
      <c r="AE3" s="9">
        <f t="shared" si="1"/>
        <v>-0.45499566684070913</v>
      </c>
      <c r="AF3" s="10" t="e">
        <f>INDEX(AF4:AF24,MODE(MATCH(AF4:AF24,AF4:AF24,0)))</f>
        <v>#N/A</v>
      </c>
      <c r="AG3" s="2"/>
    </row>
    <row r="4" spans="2:37" x14ac:dyDescent="0.3">
      <c r="B4" s="19" t="s">
        <v>23</v>
      </c>
      <c r="C4" s="11" t="s">
        <v>39</v>
      </c>
      <c r="D4" s="13">
        <f>[1]Main!$D$3</f>
        <v>157.52000000000001</v>
      </c>
      <c r="E4" s="14">
        <f>[1]Main!$D$5</f>
        <v>210840.52000000002</v>
      </c>
      <c r="F4" s="14">
        <f>[1]Main!$D$8</f>
        <v>-37196</v>
      </c>
      <c r="G4" s="14">
        <f>[1]Main!$D$9</f>
        <v>248036.52000000002</v>
      </c>
      <c r="H4" s="14">
        <f>[1]Model!U$19</f>
        <v>3510</v>
      </c>
      <c r="I4" s="14">
        <f>[1]Model!V$19</f>
        <v>-3109</v>
      </c>
      <c r="J4" s="14">
        <f>[1]Model!W$19</f>
        <v>3897</v>
      </c>
      <c r="K4" s="14">
        <f>[1]Model!X$19</f>
        <v>5216</v>
      </c>
      <c r="L4" s="14">
        <f>[1]Model!Y$19</f>
        <v>3195</v>
      </c>
      <c r="M4" s="14">
        <f>[1]Model!Z$19</f>
        <v>4774</v>
      </c>
      <c r="N4" s="14">
        <f>[1]Model!AA$19</f>
        <v>6597.7138400000167</v>
      </c>
      <c r="O4" s="14">
        <f>[1]Model!AB$19</f>
        <v>7570.8374651199974</v>
      </c>
      <c r="P4" s="14">
        <f>[1]Model!AC$19</f>
        <v>8157.0804411392028</v>
      </c>
      <c r="Q4" s="14">
        <f>[1]Model!AD$19</f>
        <v>8502.7527649675394</v>
      </c>
      <c r="R4" s="15">
        <f t="shared" ref="R4" si="2">$G4/M4</f>
        <v>51.955701717637204</v>
      </c>
      <c r="S4" s="15">
        <f t="shared" ref="S4" si="3">$G4/N4</f>
        <v>37.59431312346814</v>
      </c>
      <c r="T4" s="15">
        <f t="shared" ref="T4" si="4">$G4/O4</f>
        <v>32.762098135476037</v>
      </c>
      <c r="U4" s="15">
        <f t="shared" ref="U4" si="5">$G4/P4</f>
        <v>30.407511828504134</v>
      </c>
      <c r="V4" s="15">
        <f t="shared" ref="V4" si="6">$G4/Q4</f>
        <v>29.171319789744228</v>
      </c>
      <c r="W4" s="15">
        <f>G4/[1]Model!$AK$19</f>
        <v>23.533213228593535</v>
      </c>
      <c r="X4" s="14">
        <f>[1]Model!$AA$5</f>
        <v>87203.32</v>
      </c>
      <c r="Y4" s="20">
        <f>G4/X4</f>
        <v>2.8443472106337238</v>
      </c>
      <c r="Z4" s="16">
        <f>[1]Model!Z$25</f>
        <v>0.17147417295414979</v>
      </c>
      <c r="AA4" s="16">
        <f>[1]Model!AA$25</f>
        <v>8.0077782456835722E-2</v>
      </c>
      <c r="AB4" s="16">
        <f>[1]Model!$AA$28</f>
        <v>0.2026911899684555</v>
      </c>
      <c r="AC4" s="16">
        <f>[1]Model!$AA$31</f>
        <v>9.8853831482562993E-2</v>
      </c>
      <c r="AD4" s="16">
        <f>[1]Model!$AO$26</f>
        <v>0.06</v>
      </c>
      <c r="AE4" s="16">
        <f>[1]Model!$AO$32</f>
        <v>-0.47755291681370626</v>
      </c>
      <c r="AF4" s="11" t="str">
        <f>[1]Model!$AO$33</f>
        <v>Overvalued</v>
      </c>
      <c r="AH4" s="11">
        <v>1922</v>
      </c>
      <c r="AJ4" s="18">
        <f>[1]Main!$E$3</f>
        <v>45906</v>
      </c>
      <c r="AK4" s="18">
        <f>[1]Main!$G$3</f>
        <v>45958</v>
      </c>
    </row>
    <row r="5" spans="2:37" x14ac:dyDescent="0.3">
      <c r="B5" s="19" t="s">
        <v>29</v>
      </c>
      <c r="C5" s="11" t="s">
        <v>59</v>
      </c>
      <c r="D5" s="13">
        <f>[2]Main!$D$3</f>
        <v>231.01</v>
      </c>
      <c r="E5" s="14">
        <f>[2]Main!$D$5</f>
        <v>174042.93399999998</v>
      </c>
      <c r="F5" s="14">
        <f>[2]Main!$D$8</f>
        <v>-29320</v>
      </c>
      <c r="G5" s="14">
        <f>[2]Main!$D$9</f>
        <v>203362.93399999998</v>
      </c>
      <c r="H5" s="14">
        <f>[2]Model!AP$33</f>
        <v>-636</v>
      </c>
      <c r="I5" s="14">
        <f>[2]Model!AQ$33</f>
        <v>-11873</v>
      </c>
      <c r="J5" s="14">
        <f>[2]Model!AR$33</f>
        <v>-4202</v>
      </c>
      <c r="K5" s="14">
        <f>[2]Model!AS$33</f>
        <v>-4935</v>
      </c>
      <c r="L5" s="14">
        <f>[2]Model!AT$33</f>
        <v>-2222</v>
      </c>
      <c r="M5" s="14">
        <f>[2]Model!AU$33</f>
        <v>-11875</v>
      </c>
      <c r="N5" s="14">
        <f>[2]Model!AV$33</f>
        <v>-1766.719874999995</v>
      </c>
      <c r="O5" s="14">
        <f>[2]Model!AW$33</f>
        <v>2015.174950999997</v>
      </c>
      <c r="P5" s="14">
        <f>[2]Model!AX$33</f>
        <v>3280.0064038900064</v>
      </c>
      <c r="Q5" s="14">
        <f>[2]Model!AY$33</f>
        <v>4389.198277423704</v>
      </c>
      <c r="R5" s="15">
        <f>$G5/M5</f>
        <v>-17.125299705263156</v>
      </c>
      <c r="U5" s="15">
        <f t="shared" ref="U5:V6" si="7">$G5/P5</f>
        <v>62.00077346154464</v>
      </c>
      <c r="V5" s="15">
        <f t="shared" si="7"/>
        <v>46.332592228976829</v>
      </c>
      <c r="W5" s="15">
        <f>G5/[2]Model!$BF$33</f>
        <v>20.60445645042169</v>
      </c>
      <c r="X5" s="14">
        <f>[2]Model!$AV$16</f>
        <v>89475.77</v>
      </c>
      <c r="Y5" s="20">
        <f t="shared" ref="Y5:Y8" si="8">G5/X5</f>
        <v>2.2728268669830944</v>
      </c>
      <c r="Z5" s="16">
        <f>[2]Model!AU$40</f>
        <v>-0.14495976553461709</v>
      </c>
      <c r="AA5" s="16">
        <f>[2]Model!AV$40</f>
        <v>0.34515642617676701</v>
      </c>
      <c r="AB5" s="16">
        <f>[2]Model!$AV$43</f>
        <v>0.11339720798155752</v>
      </c>
      <c r="AC5" s="16">
        <f>[2]Model!$AV$46</f>
        <v>2.0289571131939408E-3</v>
      </c>
      <c r="AD5" s="16">
        <f>[2]Model!$BI$40</f>
        <v>0.06</v>
      </c>
      <c r="AE5" s="16">
        <f>[2]Model!$BI$46</f>
        <v>-0.50758168691846905</v>
      </c>
      <c r="AF5" s="11" t="str">
        <f>[2]Model!$BI$47</f>
        <v>Heavily overvalued</v>
      </c>
      <c r="AH5" s="11">
        <v>1916</v>
      </c>
      <c r="AJ5" s="18">
        <f>[2]Main!$E$3</f>
        <v>45867</v>
      </c>
      <c r="AK5" s="18">
        <f>[2]Main!$G$3</f>
        <v>45952</v>
      </c>
    </row>
    <row r="6" spans="2:37" x14ac:dyDescent="0.3">
      <c r="B6" s="19" t="s">
        <v>31</v>
      </c>
      <c r="C6" s="11" t="s">
        <v>56</v>
      </c>
      <c r="D6" s="13">
        <f>[3]Main!$D$3</f>
        <v>214.25</v>
      </c>
      <c r="E6" s="14">
        <f>[3]Main!$D$5</f>
        <v>136584.375</v>
      </c>
      <c r="F6" s="14">
        <f>[3]Main!$D$8</f>
        <v>-24408</v>
      </c>
      <c r="G6" s="14">
        <f>[3]Main!$D$9</f>
        <v>160992.375</v>
      </c>
      <c r="H6" s="14">
        <f>[3]Model!T$21</f>
        <v>6143</v>
      </c>
      <c r="I6" s="14">
        <f>[3]Model!U$21</f>
        <v>4779</v>
      </c>
      <c r="J6" s="14">
        <f>[3]Model!V$21</f>
        <v>5542</v>
      </c>
      <c r="K6" s="14">
        <f>[3]Model!W$21</f>
        <v>4966</v>
      </c>
      <c r="L6" s="14">
        <f>[3]Model!X$21</f>
        <v>5658</v>
      </c>
      <c r="M6" s="14">
        <f>[3]Model!Y$21</f>
        <v>5705</v>
      </c>
      <c r="N6" s="14">
        <f>[3]Model!Z$21</f>
        <v>6242.2181160000009</v>
      </c>
      <c r="O6" s="14">
        <f>[3]Model!AA$21</f>
        <v>6474.8637126400035</v>
      </c>
      <c r="P6" s="14">
        <f>[3]Model!AB$21</f>
        <v>6915.614977584004</v>
      </c>
      <c r="Q6" s="14">
        <f>[3]Model!AC$21</f>
        <v>7358.4506706088232</v>
      </c>
      <c r="R6" s="15">
        <f>$G6/M6</f>
        <v>28.219522348816827</v>
      </c>
      <c r="S6" s="15">
        <f t="shared" ref="S6:T6" si="9">$G6/N6</f>
        <v>25.790892277113116</v>
      </c>
      <c r="T6" s="15">
        <f t="shared" si="9"/>
        <v>24.864210606582542</v>
      </c>
      <c r="U6" s="15">
        <f t="shared" si="7"/>
        <v>23.279545712396395</v>
      </c>
      <c r="V6" s="15">
        <f t="shared" si="7"/>
        <v>21.878569580283646</v>
      </c>
      <c r="W6" s="15">
        <f>G6/[3]Model!$AJ$21</f>
        <v>18.907618980514979</v>
      </c>
      <c r="X6" s="14">
        <f>[3]Model!$Z$5</f>
        <v>41769.86</v>
      </c>
      <c r="Y6" s="20">
        <f t="shared" si="8"/>
        <v>3.854271357385445</v>
      </c>
      <c r="Z6" s="25">
        <f>[3]Model!Y$27</f>
        <v>5.0079100976487823E-2</v>
      </c>
      <c r="AA6" s="25">
        <f>[3]Model!Z$27</f>
        <v>8.4987791573588156E-2</v>
      </c>
      <c r="AB6" s="16">
        <f>[3]Model!$Z$30</f>
        <v>0.3822494688754044</v>
      </c>
      <c r="AC6" s="16">
        <f>[3]Model!$Z$33</f>
        <v>0.19938196584810197</v>
      </c>
      <c r="AD6" s="16">
        <f>[3]Model!$AM$27</f>
        <v>0.06</v>
      </c>
      <c r="AE6" s="16">
        <f>[3]Model!$AM$33</f>
        <v>-0.28128779344854971</v>
      </c>
      <c r="AF6" s="11" t="str">
        <f>[3]Model!$AM$34</f>
        <v>Slightly overvalued</v>
      </c>
      <c r="AH6" s="11">
        <v>1906</v>
      </c>
      <c r="AJ6" s="18">
        <f>[3]Main!$E$3</f>
        <v>45906</v>
      </c>
      <c r="AK6" s="18">
        <f>[3]Main!$G$3</f>
        <v>45953</v>
      </c>
    </row>
    <row r="7" spans="2:37" x14ac:dyDescent="0.3">
      <c r="B7" s="19" t="s">
        <v>32</v>
      </c>
      <c r="C7" s="11" t="s">
        <v>57</v>
      </c>
      <c r="D7" s="17">
        <f>[4]Main!$D$3</f>
        <v>183.84</v>
      </c>
      <c r="E7" s="14">
        <f>[4]Main!$D$5</f>
        <v>145104.91199999998</v>
      </c>
      <c r="F7" s="14">
        <f>[4]Main!$D$8</f>
        <v>14263</v>
      </c>
      <c r="G7" s="14">
        <f>[4]Main!$D$9</f>
        <v>130841.91199999998</v>
      </c>
      <c r="H7" s="14">
        <f>[4]Model!U$22</f>
        <v>-1362</v>
      </c>
      <c r="I7" s="14">
        <f>[4]Model!V$22</f>
        <v>-1133</v>
      </c>
      <c r="J7" s="14">
        <f>[4]Model!W$22</f>
        <v>4213</v>
      </c>
      <c r="K7" s="14">
        <f>[4]Model!X$22</f>
        <v>4247</v>
      </c>
      <c r="L7" s="14">
        <f>[4]Model!Y$22</f>
        <v>3789</v>
      </c>
      <c r="M7" s="14">
        <f>[4]Model!Z$22</f>
        <v>4232</v>
      </c>
      <c r="N7" s="14">
        <f>[4]Model!AA$22</f>
        <v>5270.3283367999993</v>
      </c>
      <c r="O7" s="14">
        <f>[4]Model!AB$22</f>
        <v>5759.7684619200008</v>
      </c>
      <c r="P7" s="14">
        <f>[4]Model!AC$22</f>
        <v>6515.0674260704018</v>
      </c>
      <c r="Q7" s="14">
        <f>[4]Model!AD$22</f>
        <v>6668.5547838398097</v>
      </c>
      <c r="R7" s="15">
        <f>$G7/M7</f>
        <v>30.917275992438558</v>
      </c>
      <c r="S7" s="15">
        <f>$G7/N7</f>
        <v>24.826140543540337</v>
      </c>
      <c r="T7" s="15">
        <f>$G7/O7</f>
        <v>22.71652287154339</v>
      </c>
      <c r="U7" s="15">
        <f>$G7/P7</f>
        <v>20.082971279227113</v>
      </c>
      <c r="V7" s="15">
        <f>$G7/Q7</f>
        <v>19.620729864448997</v>
      </c>
      <c r="W7" s="15">
        <f>G7/[4]Model!$AK$22</f>
        <v>16.69042906295855</v>
      </c>
      <c r="X7" s="14">
        <f>[4]Model!$AA$3</f>
        <v>73427.94</v>
      </c>
      <c r="Y7" s="20">
        <f>G7/X7</f>
        <v>1.781909066221931</v>
      </c>
      <c r="Z7" s="16">
        <f>[4]Model!Z$26</f>
        <v>5.7818659658344318E-2</v>
      </c>
      <c r="AA7" s="16">
        <f>[4]Model!AA$26</f>
        <v>6.063758486205395E-2</v>
      </c>
      <c r="AB7" s="16">
        <f>[4]Model!$AA$27</f>
        <v>0.16</v>
      </c>
      <c r="AC7" s="16">
        <f>[4]Model!$AA$31</f>
        <v>8.4329038510408974E-2</v>
      </c>
      <c r="AD7" s="16">
        <f>[4]Model!$AO$28</f>
        <v>7.0000000000000007E-2</v>
      </c>
      <c r="AE7" s="16">
        <f>[4]Model!$AO$34</f>
        <v>-0.2375809557708306</v>
      </c>
      <c r="AF7" s="11" t="str">
        <f>[4]Model!$AO$35</f>
        <v>Slightly overvalued</v>
      </c>
      <c r="AH7" s="11">
        <v>1998</v>
      </c>
      <c r="AJ7" s="18">
        <f>[4]Main!$E$3</f>
        <v>45906</v>
      </c>
      <c r="AK7" s="18">
        <f>[4]Main!$G$3</f>
        <v>45959</v>
      </c>
    </row>
    <row r="8" spans="2:37" x14ac:dyDescent="0.3">
      <c r="B8" s="19" t="s">
        <v>24</v>
      </c>
      <c r="C8" s="11" t="s">
        <v>44</v>
      </c>
      <c r="D8" s="13">
        <f>[5]Main!$D$3</f>
        <v>421.42</v>
      </c>
      <c r="E8" s="14">
        <f>[5]Main!$D$5</f>
        <v>98401.57</v>
      </c>
      <c r="F8" s="14">
        <f>[5]Main!$D$8</f>
        <v>-17787</v>
      </c>
      <c r="G8" s="14">
        <f>[5]Main!$D$9</f>
        <v>116188.57</v>
      </c>
      <c r="H8" s="14">
        <f>[5]Model!X$21</f>
        <v>6230</v>
      </c>
      <c r="I8" s="14">
        <f>[5]Model!Y$21</f>
        <v>6888</v>
      </c>
      <c r="J8" s="14">
        <f>[5]Model!Z$21</f>
        <v>6315</v>
      </c>
      <c r="K8" s="14">
        <f>[5]Model!AA$21</f>
        <v>5732</v>
      </c>
      <c r="L8" s="14">
        <f>[5]Model!AB$21</f>
        <v>6920</v>
      </c>
      <c r="M8" s="14">
        <f>[5]Model!AC$21</f>
        <v>5336</v>
      </c>
      <c r="N8" s="14">
        <f>[5]Model!AD$21</f>
        <v>6890.479949999999</v>
      </c>
      <c r="O8" s="14">
        <f>[5]Model!AE$21</f>
        <v>7039.1165736000012</v>
      </c>
      <c r="P8" s="14">
        <f>[5]Model!AF$21</f>
        <v>7133.4030690119962</v>
      </c>
      <c r="Q8" s="14">
        <f>[5]Model!AG$21</f>
        <v>7229.3492892684044</v>
      </c>
      <c r="R8" s="15">
        <f t="shared" ref="R8" si="10">$G8/M8</f>
        <v>21.774469640179912</v>
      </c>
      <c r="S8" s="15">
        <f t="shared" ref="S8" si="11">$G8/N8</f>
        <v>16.862188242779812</v>
      </c>
      <c r="T8" s="15">
        <f t="shared" ref="T8" si="12">$G8/O8</f>
        <v>16.506129538436941</v>
      </c>
      <c r="U8" s="15">
        <f t="shared" ref="U8" si="13">$G8/P8</f>
        <v>16.287958058157589</v>
      </c>
      <c r="V8" s="15">
        <f t="shared" ref="V8" si="14">$G8/Q8</f>
        <v>16.071788116874632</v>
      </c>
      <c r="W8" s="15">
        <f>G8/[5]Model!$AN$21</f>
        <v>14.613482728967238</v>
      </c>
      <c r="X8" s="23">
        <f>[5]Model!$AC$5</f>
        <v>71043</v>
      </c>
      <c r="Y8" s="26">
        <f t="shared" si="8"/>
        <v>1.6354682375462748</v>
      </c>
      <c r="Z8" s="25">
        <f>[5]Model!$AB$27</f>
        <v>2.4051285160038738E-2</v>
      </c>
      <c r="AA8" s="25">
        <f>[5]Model!$AC$27</f>
        <v>5.1382989744120922E-2</v>
      </c>
      <c r="AB8" s="25">
        <f>[5]Model!$AC$30</f>
        <v>8.4089917373984774E-2</v>
      </c>
      <c r="AC8" s="25">
        <f>[5]Model!$AC$31</f>
        <v>9.8714862829553926E-2</v>
      </c>
      <c r="AD8" s="16">
        <f>[5]Model!$AQ$27</f>
        <v>7.0000000000000007E-2</v>
      </c>
      <c r="AE8" s="16">
        <f>[5]Model!$AQ$33</f>
        <v>-0.14499673048749862</v>
      </c>
      <c r="AF8" s="11" t="str">
        <f>[5]Model!$AQ$34</f>
        <v>Slightly overvalued</v>
      </c>
      <c r="AH8" s="11">
        <v>1912</v>
      </c>
      <c r="AJ8" s="18">
        <f>[5]Main!$E$3</f>
        <v>45862</v>
      </c>
      <c r="AK8" s="18">
        <f>[5]Main!$G$3</f>
        <v>45958</v>
      </c>
    </row>
    <row r="9" spans="2:37" x14ac:dyDescent="0.3">
      <c r="B9" s="19" t="s">
        <v>33</v>
      </c>
      <c r="C9" s="11" t="s">
        <v>58</v>
      </c>
      <c r="D9" s="17">
        <f>[6]Main!$D$3</f>
        <v>284.89999999999998</v>
      </c>
      <c r="E9" s="14">
        <f>[6]Main!$D$5</f>
        <v>119059.70999999998</v>
      </c>
      <c r="F9" s="14">
        <f>[6]Main!$D$8</f>
        <v>3454</v>
      </c>
      <c r="G9" s="14">
        <f>[6]Main!$D$9</f>
        <v>115605.70999999998</v>
      </c>
      <c r="H9" s="14">
        <f>[6]Model!L$27</f>
        <v>2665</v>
      </c>
      <c r="I9" s="14">
        <f>[6]Model!M$27</f>
        <v>844</v>
      </c>
      <c r="J9" s="14">
        <f>[6]Model!N$27</f>
        <v>760</v>
      </c>
      <c r="K9" s="14">
        <f>[6]Model!O$27</f>
        <v>1178</v>
      </c>
      <c r="L9" s="14">
        <f>[6]Model!P$27</f>
        <v>3444</v>
      </c>
      <c r="M9" s="14">
        <f>[6]Model!Q$27</f>
        <v>-667</v>
      </c>
      <c r="N9" s="14">
        <f>[6]Model!R$27</f>
        <v>6723.0672399999985</v>
      </c>
      <c r="O9" s="14">
        <f>[6]Model!S$27</f>
        <v>4958.320731400001</v>
      </c>
      <c r="P9" s="14">
        <f>[6]Model!T$27</f>
        <v>5263.9838682340005</v>
      </c>
      <c r="Q9" s="14">
        <f>[6]Model!U$27</f>
        <v>5481.8804852950607</v>
      </c>
      <c r="R9" s="15">
        <f t="shared" ref="R9" si="15">$G9/M9</f>
        <v>-173.32190404797598</v>
      </c>
      <c r="S9" s="15">
        <f t="shared" ref="S9" si="16">$G9/N9</f>
        <v>17.195382088726515</v>
      </c>
      <c r="T9" s="15">
        <f t="shared" ref="T9" si="17">$G9/O9</f>
        <v>23.315496568806726</v>
      </c>
      <c r="U9" s="15">
        <f t="shared" ref="U9" si="18">$G9/P9</f>
        <v>21.961638351065886</v>
      </c>
      <c r="V9" s="15">
        <f t="shared" ref="V9" si="19">$G9/Q9</f>
        <v>21.088695806139512</v>
      </c>
      <c r="W9" s="15">
        <f>G9/[6]Model!$AB$27</f>
        <v>18.023912461314321</v>
      </c>
      <c r="X9" s="23">
        <f>[6]Model!$Q$5</f>
        <v>28154</v>
      </c>
      <c r="Y9" s="26">
        <f t="shared" ref="Y9" si="20">G9/X9</f>
        <v>4.1061913049655461</v>
      </c>
      <c r="Z9" s="25">
        <f>[6]Model!P$31</f>
        <v>0.23876765083440299</v>
      </c>
      <c r="AA9" s="25">
        <f>[6]Model!Q$31</f>
        <v>0.16700518134715026</v>
      </c>
      <c r="AB9" s="25">
        <f>[6]Model!$Q$32</f>
        <v>0.19116288982027421</v>
      </c>
      <c r="AC9" s="25">
        <f>[6]Model!$Q$33</f>
        <v>0.14889536122753427</v>
      </c>
      <c r="AD9" s="16">
        <f>[6]Model!$AF$33</f>
        <v>7.0000000000000007E-2</v>
      </c>
      <c r="AE9" s="16">
        <f>[6]Model!$AF$39</f>
        <v>-0.28700962633957428</v>
      </c>
      <c r="AF9" s="11" t="str">
        <f>[6]Model!$AF$40</f>
        <v>Slightly overvalued</v>
      </c>
      <c r="AH9" s="11">
        <v>1924</v>
      </c>
      <c r="AJ9" s="18">
        <f>[6]Main!$E$3</f>
        <v>45898</v>
      </c>
      <c r="AK9" s="18">
        <f>[6]Main!$G$3</f>
        <v>46066</v>
      </c>
    </row>
    <row r="10" spans="2:37" x14ac:dyDescent="0.3">
      <c r="B10" s="19" t="s">
        <v>25</v>
      </c>
      <c r="C10" s="11" t="s">
        <v>55</v>
      </c>
      <c r="D10" s="13">
        <f>[7]Main!$D$3</f>
        <v>568.5</v>
      </c>
      <c r="E10" s="14">
        <f>[7]Main!$D$5</f>
        <v>81409.2</v>
      </c>
      <c r="F10" s="14">
        <f>[7]Main!$D$8</f>
        <v>-13261</v>
      </c>
      <c r="G10" s="14">
        <f>[7]Main!$D$9</f>
        <v>94670.2</v>
      </c>
      <c r="H10" s="14">
        <f>[7]Model!T$18</f>
        <v>2248</v>
      </c>
      <c r="I10" s="14">
        <f>[7]Model!U$18</f>
        <v>3189</v>
      </c>
      <c r="J10" s="14">
        <f>[7]Model!V$18</f>
        <v>7005</v>
      </c>
      <c r="K10" s="14">
        <f>[7]Model!W$18</f>
        <v>4896</v>
      </c>
      <c r="L10" s="14">
        <f>[7]Model!X$18</f>
        <v>2056</v>
      </c>
      <c r="M10" s="14">
        <f>[7]Model!Y$18</f>
        <v>4174</v>
      </c>
      <c r="N10" s="14">
        <f>[7]Model!Z$18</f>
        <v>4444.976592</v>
      </c>
      <c r="O10" s="14">
        <f>[7]Model!AA$18</f>
        <v>4619.4424550400017</v>
      </c>
      <c r="P10" s="14">
        <f>[7]Model!AB$18</f>
        <v>4740.5026427807952</v>
      </c>
      <c r="Q10" s="14">
        <f>[7]Model!AC$18</f>
        <v>4864.2707476628157</v>
      </c>
      <c r="R10" s="15">
        <f>$G10/M10</f>
        <v>22.680929563967418</v>
      </c>
      <c r="S10" s="15">
        <f t="shared" ref="S10:V14" si="21">$G10/N10</f>
        <v>21.298244892984577</v>
      </c>
      <c r="T10" s="15">
        <f t="shared" si="21"/>
        <v>20.49385849513309</v>
      </c>
      <c r="U10" s="15">
        <f t="shared" si="21"/>
        <v>19.97049830658171</v>
      </c>
      <c r="V10" s="15">
        <f t="shared" si="21"/>
        <v>19.462362378880147</v>
      </c>
      <c r="W10" s="15">
        <f>G10/[7]Model!$AJ$18</f>
        <v>17.720674894878048</v>
      </c>
      <c r="X10" s="23">
        <f>[7]Model!$Y$5</f>
        <v>41033</v>
      </c>
      <c r="Y10" s="26">
        <f t="shared" ref="Y10:Y14" si="22">G10/X10</f>
        <v>2.3071722759729973</v>
      </c>
      <c r="Z10" s="25">
        <f>[7]Model!X$24</f>
        <v>7.3438609912026775E-2</v>
      </c>
      <c r="AA10" s="25">
        <f>[7]Model!Y$24</f>
        <v>4.4362433189106598E-2</v>
      </c>
      <c r="AB10" s="25">
        <f>[7]Model!$Y$27</f>
        <v>0.20378719567177639</v>
      </c>
      <c r="AC10" s="25">
        <f>[7]Model!$Y$29</f>
        <v>0.10649964662588648</v>
      </c>
      <c r="AD10" s="16">
        <f>[7]Model!$AM$24</f>
        <v>0.08</v>
      </c>
      <c r="AE10" s="16">
        <f>[7]Model!$AM$30</f>
        <v>-0.42365950691793453</v>
      </c>
      <c r="AF10" s="11" t="str">
        <f>[7]Model!$AM$31</f>
        <v>Overvalued</v>
      </c>
      <c r="AH10" s="11">
        <v>1939</v>
      </c>
      <c r="AJ10" s="18">
        <f>[7]Main!$E$3</f>
        <v>45862</v>
      </c>
      <c r="AK10" s="18">
        <f>[7]Main!$G$3</f>
        <v>45953</v>
      </c>
    </row>
    <row r="11" spans="2:37" x14ac:dyDescent="0.3">
      <c r="B11" s="19" t="s">
        <v>30</v>
      </c>
      <c r="C11" s="11" t="s">
        <v>60</v>
      </c>
      <c r="D11" s="13">
        <f>[8]Main!$D$3</f>
        <v>317.10000000000002</v>
      </c>
      <c r="E11" s="14">
        <f>[8]Main!$D$5</f>
        <v>85299.900000000009</v>
      </c>
      <c r="F11" s="14">
        <f>[8]Main!$D$8</f>
        <v>-8367</v>
      </c>
      <c r="G11" s="14">
        <f>[8]Main!$D$9</f>
        <v>93666.900000000009</v>
      </c>
      <c r="H11" s="14">
        <f>[8]Model!W$16</f>
        <v>3484</v>
      </c>
      <c r="I11" s="14">
        <f>[8]Model!X$16</f>
        <v>3167</v>
      </c>
      <c r="J11" s="14">
        <f>[8]Model!Y$16</f>
        <v>3257</v>
      </c>
      <c r="K11" s="14">
        <f>[8]Model!Z$16</f>
        <v>3390</v>
      </c>
      <c r="L11" s="14">
        <f>[8]Model!AA$16</f>
        <v>3315</v>
      </c>
      <c r="M11" s="14">
        <f>[8]Model!AB$16</f>
        <v>3782</v>
      </c>
      <c r="N11" s="14">
        <f>[8]Model!AC$16</f>
        <v>4243.5310400000008</v>
      </c>
      <c r="O11" s="14">
        <f>[8]Model!AD$16</f>
        <v>4623.3326656000045</v>
      </c>
      <c r="P11" s="14">
        <f>[8]Model!AE$16</f>
        <v>4897.3993508480062</v>
      </c>
      <c r="Q11" s="14">
        <f>[8]Model!AF$16</f>
        <v>5139.2124562518457</v>
      </c>
      <c r="R11" s="15">
        <f t="shared" ref="R11" si="23">$G11/M11</f>
        <v>24.766499206768909</v>
      </c>
      <c r="S11" s="15">
        <f t="shared" si="21"/>
        <v>22.07286788221537</v>
      </c>
      <c r="T11" s="15">
        <f t="shared" si="21"/>
        <v>20.259606386737079</v>
      </c>
      <c r="U11" s="15">
        <f t="shared" si="21"/>
        <v>19.125844818797791</v>
      </c>
      <c r="V11" s="15">
        <f t="shared" si="21"/>
        <v>18.225924846919753</v>
      </c>
      <c r="W11" s="15">
        <f>G11/[8]Model!$AM$16</f>
        <v>15.736922070520395</v>
      </c>
      <c r="X11" s="23">
        <f>[8]Model!$AB$5</f>
        <v>47716</v>
      </c>
      <c r="Y11" s="26">
        <f t="shared" si="22"/>
        <v>1.9630082152737029</v>
      </c>
      <c r="Z11" s="25">
        <f>[8]Model!$AA$22</f>
        <v>7.2702819296064147E-2</v>
      </c>
      <c r="AA11" s="25">
        <f>[8]Model!$AB$22</f>
        <v>0.12878501135503417</v>
      </c>
      <c r="AB11" s="25">
        <f>[8]Model!$AB$25</f>
        <v>0.15432978455863861</v>
      </c>
      <c r="AC11" s="25">
        <f>[8]Model!$AB$27</f>
        <v>0.10051135887333389</v>
      </c>
      <c r="AD11" s="16">
        <f>[8]Model!$AP$22</f>
        <v>0.08</v>
      </c>
      <c r="AE11" s="16">
        <f>[8]Model!$AP$28</f>
        <v>-0.33344751215489621</v>
      </c>
      <c r="AF11" s="11" t="str">
        <f>[8]Model!$AP$29</f>
        <v>Overvalued</v>
      </c>
      <c r="AH11" s="11">
        <v>1952</v>
      </c>
      <c r="AJ11" s="18">
        <f>[8]Main!$E$3</f>
        <v>45862</v>
      </c>
      <c r="AK11" s="18">
        <f>[8]Main!$G$3</f>
        <v>45952</v>
      </c>
    </row>
    <row r="12" spans="2:37" x14ac:dyDescent="0.3">
      <c r="B12" s="19" t="s">
        <v>28</v>
      </c>
      <c r="C12" s="11" t="s">
        <v>40</v>
      </c>
      <c r="D12" s="17">
        <f>[9]Main!$D$3</f>
        <v>1744.5</v>
      </c>
      <c r="E12" s="14">
        <f>[9]Main!$D$5</f>
        <v>76478.880000000005</v>
      </c>
      <c r="F12" s="14">
        <f>[9]Main!$D$8</f>
        <v>-293</v>
      </c>
      <c r="G12" s="14">
        <f>[9]Main!$D$9</f>
        <v>76771.88</v>
      </c>
      <c r="H12" s="14"/>
      <c r="I12" s="14">
        <f>[9]Model!AA$37</f>
        <v>291</v>
      </c>
      <c r="J12" s="14">
        <f>[9]Model!AB$37</f>
        <v>476</v>
      </c>
      <c r="K12" s="14">
        <f>[9]Model!AC$37</f>
        <v>534</v>
      </c>
      <c r="L12" s="14">
        <f>[9]Model!AD$37</f>
        <v>717</v>
      </c>
      <c r="M12" s="14">
        <f>[9]Model!AE$37</f>
        <v>1152.8015680000001</v>
      </c>
      <c r="N12" s="14">
        <f>[9]Model!AF$37</f>
        <v>1264.6224175000007</v>
      </c>
      <c r="O12" s="14">
        <f>[9]Model!AG$37</f>
        <v>1430.3841434999997</v>
      </c>
      <c r="P12" s="14">
        <f>[9]Model!AH$37</f>
        <v>1527.5501896362498</v>
      </c>
      <c r="Q12" s="14">
        <f>[9]Model!AI$37</f>
        <v>1588.4162624936125</v>
      </c>
      <c r="R12" s="15">
        <f t="shared" ref="R12:V13" si="24">$G12/M12</f>
        <v>66.59591913393372</v>
      </c>
      <c r="S12" s="15">
        <f t="shared" si="24"/>
        <v>60.707353386766897</v>
      </c>
      <c r="T12" s="15">
        <f t="shared" si="24"/>
        <v>53.672211306920168</v>
      </c>
      <c r="U12" s="15">
        <f t="shared" si="24"/>
        <v>50.258171889122295</v>
      </c>
      <c r="V12" s="15">
        <f t="shared" si="24"/>
        <v>48.332343235694317</v>
      </c>
      <c r="W12" s="15">
        <f>G12/[9]Model!$AO$37</f>
        <v>42.54311586413472</v>
      </c>
      <c r="X12" s="14">
        <f>[9]Model!$AE$18</f>
        <v>12231.94</v>
      </c>
      <c r="Y12" s="20">
        <f>G12/X12</f>
        <v>6.2763453712166672</v>
      </c>
      <c r="Z12" s="16">
        <f>[9]Model!AD$49</f>
        <v>0.35902439024390254</v>
      </c>
      <c r="AA12" s="16">
        <f>[9]Model!AE$49</f>
        <v>0.25442928930366127</v>
      </c>
      <c r="AB12" s="16">
        <f>[9]Model!$AE$51</f>
        <v>0.28072109575423032</v>
      </c>
      <c r="AC12" s="16">
        <f>[9]Model!$AE$56</f>
        <v>0.16228117534912698</v>
      </c>
      <c r="AD12" s="16">
        <f>[9]Model!$AS$46</f>
        <v>7.0000000000000007E-2</v>
      </c>
      <c r="AE12" s="16">
        <f>[9]Model!$AS$52</f>
        <v>-0.71543396756112809</v>
      </c>
      <c r="AF12" s="11" t="str">
        <f>[9]Model!$AS$53</f>
        <v>Heavily overvalued</v>
      </c>
      <c r="AH12" s="11">
        <v>1927</v>
      </c>
      <c r="AJ12" s="18">
        <f>[9]Main!$E$3</f>
        <v>45906</v>
      </c>
      <c r="AK12" s="18">
        <f>[9]Main!$G$3</f>
        <v>45967</v>
      </c>
    </row>
    <row r="13" spans="2:37" x14ac:dyDescent="0.3">
      <c r="B13" s="19" t="s">
        <v>34</v>
      </c>
      <c r="C13" s="11" t="s">
        <v>62</v>
      </c>
      <c r="D13" s="22">
        <f>[10]Main!$D$3</f>
        <v>10.7</v>
      </c>
      <c r="E13" s="14">
        <f>[10]Main!$D$5</f>
        <v>90201</v>
      </c>
      <c r="F13" s="14">
        <f>[10]Main!$D$8</f>
        <v>2379</v>
      </c>
      <c r="G13" s="14">
        <f>[10]Main!$D$9</f>
        <v>87822</v>
      </c>
      <c r="H13" s="14">
        <f>[10]Model!L$16</f>
        <v>-1315</v>
      </c>
      <c r="I13" s="14">
        <f>[10]Model!M$16</f>
        <v>-3170</v>
      </c>
      <c r="J13" s="14">
        <f>[10]Model!N$16</f>
        <v>120</v>
      </c>
      <c r="K13" s="14">
        <f>[10]Model!O$16</f>
        <v>-1269</v>
      </c>
      <c r="L13" s="14">
        <f>[10]Model!P$16</f>
        <v>2412</v>
      </c>
      <c r="M13" s="14">
        <f>[10]Model!Q$16</f>
        <v>1971</v>
      </c>
      <c r="N13" s="14">
        <f>[10]Model!R$16</f>
        <v>1792.7340799999997</v>
      </c>
      <c r="O13" s="14">
        <f>[10]Model!S$16</f>
        <v>2039.0654464000004</v>
      </c>
      <c r="P13" s="14">
        <f>[10]Model!T$16</f>
        <v>2250.0783875840002</v>
      </c>
      <c r="Q13" s="14">
        <f>[10]Model!U$16</f>
        <v>2444.7265855552005</v>
      </c>
      <c r="R13" s="15">
        <f t="shared" si="24"/>
        <v>44.557077625570777</v>
      </c>
      <c r="S13" s="15">
        <f t="shared" si="24"/>
        <v>48.987745020164958</v>
      </c>
      <c r="T13" s="15">
        <f t="shared" si="24"/>
        <v>43.069730868644271</v>
      </c>
      <c r="U13" s="15">
        <f t="shared" si="24"/>
        <v>39.03064021440516</v>
      </c>
      <c r="V13" s="15">
        <f t="shared" si="24"/>
        <v>35.923035532439926</v>
      </c>
      <c r="W13" s="15">
        <f>G13/[10]Model!$AB$16</f>
        <v>25.142348650280088</v>
      </c>
      <c r="X13" s="23">
        <f>[10]Model!$Q$3</f>
        <v>18909</v>
      </c>
      <c r="Y13" s="26">
        <f>G13/X13</f>
        <v>4.6444550214183726</v>
      </c>
      <c r="Z13" s="25">
        <f>[10]Model!P$20</f>
        <v>0.21937869822485201</v>
      </c>
      <c r="AA13" s="25">
        <f>[10]Model!Q$20</f>
        <v>0.14697318937280124</v>
      </c>
      <c r="AB13" s="25">
        <f>[10]Model!$Q$21</f>
        <v>0.22322703474535935</v>
      </c>
      <c r="AC13" s="25">
        <f>[10]Model!$Q$24</f>
        <v>0.12459675286900418</v>
      </c>
      <c r="AD13" s="16">
        <f>[10]Model!$AE$22</f>
        <v>7.0000000000000007E-2</v>
      </c>
      <c r="AE13" s="16">
        <f>[10]Model!$AE$28</f>
        <v>-0.53007610364432378</v>
      </c>
      <c r="AF13" s="11" t="str">
        <f>[10]Model!$AE$29</f>
        <v>Overvalued</v>
      </c>
      <c r="AH13" s="11">
        <v>1906</v>
      </c>
      <c r="AJ13" s="18">
        <f>[10]Main!$E$3</f>
        <v>45898</v>
      </c>
      <c r="AK13" s="18">
        <f>[10]Main!$G$3</f>
        <v>46079</v>
      </c>
    </row>
    <row r="14" spans="2:37" x14ac:dyDescent="0.3">
      <c r="B14" s="19" t="s">
        <v>26</v>
      </c>
      <c r="C14" s="11" t="s">
        <v>54</v>
      </c>
      <c r="D14" s="22">
        <f>[11]Main!$D$3</f>
        <v>19.254999999999999</v>
      </c>
      <c r="E14" s="14">
        <f>[11]Main!$D$5</f>
        <v>57765</v>
      </c>
      <c r="F14" s="14">
        <f>[11]Main!$D$8</f>
        <v>-4907</v>
      </c>
      <c r="G14" s="14">
        <f>[11]Main!$D$9</f>
        <v>62672</v>
      </c>
      <c r="H14" s="14"/>
      <c r="I14" s="14"/>
      <c r="J14" s="14">
        <f>[11]Model!N$32</f>
        <v>1758</v>
      </c>
      <c r="K14" s="14">
        <f>[11]Model!O$32</f>
        <v>1591</v>
      </c>
      <c r="L14" s="14">
        <f>[11]Model!P$32</f>
        <v>1857</v>
      </c>
      <c r="M14" s="14">
        <f>[11]Model!Q$32</f>
        <v>1956</v>
      </c>
      <c r="N14" s="14">
        <f>[11]Model!R$32</f>
        <v>2983.0295450000012</v>
      </c>
      <c r="O14" s="14">
        <f>[11]Model!S$32</f>
        <v>3274.0576822999979</v>
      </c>
      <c r="P14" s="14">
        <f>[11]Model!T$32</f>
        <v>3558.6704355280026</v>
      </c>
      <c r="Q14" s="14">
        <f>[11]Model!U$32</f>
        <v>3774.8694653950824</v>
      </c>
      <c r="R14" s="15">
        <f t="shared" ref="R14" si="25">$G14/M14</f>
        <v>32.040899795501019</v>
      </c>
      <c r="S14" s="15">
        <f t="shared" si="21"/>
        <v>21.00951366876253</v>
      </c>
      <c r="T14" s="15">
        <f t="shared" si="21"/>
        <v>19.141996287607689</v>
      </c>
      <c r="U14" s="15">
        <f t="shared" si="21"/>
        <v>17.611071644711409</v>
      </c>
      <c r="V14" s="15">
        <f t="shared" si="21"/>
        <v>16.60242839508112</v>
      </c>
      <c r="W14" s="15">
        <f>G14/[11]Model!$AB$32</f>
        <v>12.771379054505589</v>
      </c>
      <c r="X14" s="23">
        <f>[11]Model!$Q$13</f>
        <v>26312</v>
      </c>
      <c r="Y14" s="26">
        <f t="shared" si="22"/>
        <v>2.3818789905746427</v>
      </c>
      <c r="Z14" s="25">
        <f>[11]Model!P$41</f>
        <v>8.5614827359111967E-2</v>
      </c>
      <c r="AA14" s="25">
        <f>[11]Model!Q$41</f>
        <v>0.14013346043851294</v>
      </c>
      <c r="AB14" s="25">
        <f>[11]Model!$Q$42</f>
        <v>0.65472027972027969</v>
      </c>
      <c r="AC14" s="25">
        <f>[11]Model!$Q$45</f>
        <v>8.3840072970507759E-2</v>
      </c>
      <c r="AD14" s="16">
        <f>[11]Model!$AE$39</f>
        <v>7.0000000000000007E-2</v>
      </c>
      <c r="AE14" s="16">
        <f>[11]Model!$AE$45</f>
        <v>-7.0527347483917202E-2</v>
      </c>
      <c r="AF14" s="11" t="str">
        <f>[11]Model!$AE$46</f>
        <v>Fairly valued</v>
      </c>
      <c r="AH14" s="11">
        <v>1953</v>
      </c>
      <c r="AJ14" s="18">
        <f>[11]Main!$E$3</f>
        <v>45868</v>
      </c>
      <c r="AK14" s="18">
        <f>[11]Main!$G$3</f>
        <v>46072</v>
      </c>
    </row>
    <row r="15" spans="2:37" x14ac:dyDescent="0.3">
      <c r="B15" s="19" t="s">
        <v>27</v>
      </c>
      <c r="C15" s="11" t="s">
        <v>61</v>
      </c>
      <c r="D15" s="13">
        <f>[12]Main!$D$3</f>
        <v>277.22000000000003</v>
      </c>
      <c r="E15" s="14">
        <f>[12]Main!$D$5</f>
        <v>51867.862000000001</v>
      </c>
      <c r="F15" s="14">
        <f>[12]Main!$D$8</f>
        <v>-11620</v>
      </c>
      <c r="G15" s="14">
        <f>[12]Main!$D$9</f>
        <v>63487.862000000001</v>
      </c>
      <c r="I15" s="14">
        <f>[12]Model!T$18</f>
        <v>1119</v>
      </c>
      <c r="J15" s="14">
        <f>[12]Model!U$18</f>
        <v>1846</v>
      </c>
      <c r="K15" s="14">
        <f>[12]Model!V$18</f>
        <v>1062</v>
      </c>
      <c r="L15" s="14">
        <f>[12]Model!W$18</f>
        <v>1227</v>
      </c>
      <c r="M15" s="14">
        <f>[12]Model!X$18</f>
        <v>1502</v>
      </c>
      <c r="N15" s="14">
        <f>[12]Model!Y$18</f>
        <v>2244.6631800000009</v>
      </c>
      <c r="O15" s="14">
        <f>[12]Model!Z$18</f>
        <v>2396.5053390000035</v>
      </c>
      <c r="P15" s="14">
        <f>[12]Model!AA$18</f>
        <v>2530.2616968599991</v>
      </c>
      <c r="Q15" s="14">
        <f>[12]Model!AB$18</f>
        <v>2642.0492126718009</v>
      </c>
      <c r="R15" s="15">
        <f>$G15/M15</f>
        <v>42.268882822902796</v>
      </c>
      <c r="S15" s="15">
        <f t="shared" ref="S15:V18" si="26">$G15/N15</f>
        <v>28.283914738602331</v>
      </c>
      <c r="T15" s="15">
        <f t="shared" si="26"/>
        <v>26.49185084915845</v>
      </c>
      <c r="U15" s="15">
        <f t="shared" si="26"/>
        <v>25.091421207058183</v>
      </c>
      <c r="V15" s="15">
        <f t="shared" si="26"/>
        <v>24.029780253713447</v>
      </c>
      <c r="W15" s="15">
        <f>G15/[12]Model!$AI$18</f>
        <v>18.587528267497191</v>
      </c>
      <c r="X15" s="23">
        <f>[12]Model!$X$5</f>
        <v>21325</v>
      </c>
      <c r="Y15" s="26">
        <f t="shared" ref="Y15:Y18" si="27">G15/X15</f>
        <v>2.9771564830011723</v>
      </c>
      <c r="Z15" s="25">
        <f>[12]Model!$W$24</f>
        <v>0.13814324229281438</v>
      </c>
      <c r="AA15" s="25">
        <f>[12]Model!$X$24</f>
        <v>9.815129512333276E-2</v>
      </c>
      <c r="AB15" s="25">
        <f>[12]Model!$X$27</f>
        <v>0.25903868698710436</v>
      </c>
      <c r="AC15" s="25">
        <f>[12]Model!$X$29</f>
        <v>8.9941383352872217E-2</v>
      </c>
      <c r="AD15" s="16">
        <f>[12]Model!$AL$24</f>
        <v>0.08</v>
      </c>
      <c r="AE15" s="16">
        <f>[12]Model!$AL$30</f>
        <v>-0.5363754386448315</v>
      </c>
      <c r="AF15" s="11" t="str">
        <f>[12]Model!$AL$31</f>
        <v>Heavily overvalued</v>
      </c>
      <c r="AH15" s="11">
        <v>1890</v>
      </c>
      <c r="AJ15" s="18">
        <f>[12]Main!$E$3</f>
        <v>45898</v>
      </c>
      <c r="AK15" s="18">
        <f>[12]Main!$G$3</f>
        <v>45953</v>
      </c>
    </row>
    <row r="16" spans="2:37" x14ac:dyDescent="0.3">
      <c r="B16" s="19" t="s">
        <v>35</v>
      </c>
      <c r="C16" s="11" t="s">
        <v>63</v>
      </c>
      <c r="D16" s="17">
        <f>[13]Main!$D$3</f>
        <v>235.1</v>
      </c>
      <c r="E16" s="14">
        <f>[13]Main!$D$5</f>
        <v>48289.54</v>
      </c>
      <c r="F16" s="14">
        <f>[13]Main!$D$8</f>
        <v>-1408.0999999999995</v>
      </c>
      <c r="G16" s="14">
        <f>[13]Main!$D$9</f>
        <v>49697.64</v>
      </c>
      <c r="H16" s="14">
        <f>[13]Model!K$22</f>
        <v>1146.4000000000005</v>
      </c>
      <c r="I16" s="14">
        <f>[13]Model!L$22</f>
        <v>491.90000000000072</v>
      </c>
      <c r="J16" s="14">
        <f>[13]Model!M$22</f>
        <v>1016.7999999999997</v>
      </c>
      <c r="K16" s="14">
        <f>[13]Model!N$22</f>
        <v>1121.8999999999996</v>
      </c>
      <c r="L16" s="14">
        <f>[13]Model!O$22</f>
        <v>928.6000000000015</v>
      </c>
      <c r="M16" s="14">
        <f>[13]Model!P$22</f>
        <v>932.29999999999723</v>
      </c>
      <c r="N16" s="14">
        <f>[13]Model!Q$22</f>
        <v>1473.4199211999967</v>
      </c>
      <c r="O16" s="14">
        <f>[13]Model!R$22</f>
        <v>1674.1472117759988</v>
      </c>
      <c r="P16" s="14">
        <f>[13]Model!S$22</f>
        <v>1801.8286222247989</v>
      </c>
      <c r="Q16" s="14">
        <f>[13]Model!T$22</f>
        <v>1905.822140949791</v>
      </c>
      <c r="R16" s="15">
        <f t="shared" ref="R16" si="28">$G16/M16</f>
        <v>53.306489327469855</v>
      </c>
      <c r="S16" s="15">
        <f t="shared" si="26"/>
        <v>33.729447583092792</v>
      </c>
      <c r="T16" s="15">
        <f t="shared" si="26"/>
        <v>29.685346456049619</v>
      </c>
      <c r="U16" s="15">
        <f t="shared" si="26"/>
        <v>27.581779635976748</v>
      </c>
      <c r="V16" s="15">
        <f t="shared" si="26"/>
        <v>26.076746057338038</v>
      </c>
      <c r="W16" s="15">
        <f>G16/[13]Model!$AA$22</f>
        <v>22.492554608963555</v>
      </c>
      <c r="X16" s="23">
        <f>[13]Model!$P$3</f>
        <v>20576.599999999999</v>
      </c>
      <c r="Y16" s="26">
        <f t="shared" si="27"/>
        <v>2.4152503329024233</v>
      </c>
      <c r="Z16" s="25">
        <f>[13]Model!O$26</f>
        <v>4.89276444606348E-2</v>
      </c>
      <c r="AA16" s="25">
        <f>[13]Model!P$26</f>
        <v>0.11657007662086771</v>
      </c>
      <c r="AB16" s="25">
        <f>[13]Model!$P$27</f>
        <v>0.26116559587103788</v>
      </c>
      <c r="AC16" s="25">
        <f>[13]Model!$P$31</f>
        <v>6.1341523866916652E-2</v>
      </c>
      <c r="AD16" s="16">
        <f>[13]Model!$AD$29</f>
        <v>0.08</v>
      </c>
      <c r="AE16" s="16">
        <f>[13]Model!$AD$35</f>
        <v>-0.53135711887326365</v>
      </c>
      <c r="AF16" s="11" t="str">
        <f>[13]Model!$AD$36</f>
        <v>Heavily overvalued</v>
      </c>
      <c r="AH16" s="11">
        <v>1949</v>
      </c>
      <c r="AJ16" s="18">
        <f>[13]Main!$E$3</f>
        <v>45868</v>
      </c>
      <c r="AK16" s="18">
        <f>[13]Main!$G$3</f>
        <v>46079</v>
      </c>
    </row>
    <row r="17" spans="2:37" x14ac:dyDescent="0.3">
      <c r="B17" s="19" t="s">
        <v>86</v>
      </c>
      <c r="C17" s="11" t="s">
        <v>87</v>
      </c>
      <c r="D17" s="13">
        <v>75.61</v>
      </c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5"/>
      <c r="S17" s="15"/>
      <c r="T17" s="15"/>
      <c r="U17" s="15"/>
      <c r="V17" s="15"/>
      <c r="W17" s="15"/>
      <c r="X17" s="23"/>
      <c r="Y17" s="26"/>
      <c r="Z17" s="25"/>
      <c r="AA17" s="25"/>
      <c r="AB17" s="25"/>
      <c r="AC17" s="25"/>
      <c r="AD17" s="16"/>
      <c r="AE17" s="16"/>
      <c r="AJ17" s="18">
        <v>45930</v>
      </c>
      <c r="AK17" s="18"/>
    </row>
    <row r="18" spans="2:37" x14ac:dyDescent="0.3">
      <c r="B18" s="19" t="s">
        <v>36</v>
      </c>
      <c r="C18" s="11" t="s">
        <v>64</v>
      </c>
      <c r="D18" s="17">
        <f>[14]Main!$D$3</f>
        <v>27.18</v>
      </c>
      <c r="E18" s="14">
        <f>[14]Main!$D$5</f>
        <v>35695.493999999999</v>
      </c>
      <c r="F18" s="14">
        <f>[14]Main!$D$8</f>
        <v>1459</v>
      </c>
      <c r="G18" s="14">
        <f>[14]Main!$D$9</f>
        <v>34236.493999999999</v>
      </c>
      <c r="H18" s="14">
        <f>[14]Model!Q$23</f>
        <v>615.30000000000064</v>
      </c>
      <c r="I18" s="14">
        <f>[14]Model!R$23</f>
        <v>491.20000000000067</v>
      </c>
      <c r="J18" s="14">
        <f>[14]Model!S$23</f>
        <v>773.79999999999905</v>
      </c>
      <c r="K18" s="14">
        <f>[14]Model!T$23</f>
        <v>931.79999999999984</v>
      </c>
      <c r="L18" s="14">
        <f>[14]Model!U$23</f>
        <v>1050.8999999999996</v>
      </c>
      <c r="M18" s="14">
        <f>[14]Model!V$23</f>
        <v>1200.3000000000002</v>
      </c>
      <c r="N18" s="14">
        <f>[14]Model!W$23</f>
        <v>1113.4564026999999</v>
      </c>
      <c r="O18" s="14">
        <f>[14]Model!X$23</f>
        <v>1422.1613657599992</v>
      </c>
      <c r="P18" s="14">
        <f>[14]Model!Y$23</f>
        <v>1443.7923014975993</v>
      </c>
      <c r="Q18" s="14">
        <f>[14]Model!Z$23</f>
        <v>1456.7690142637746</v>
      </c>
      <c r="R18" s="15">
        <f t="shared" ref="R18" si="29">$G18/M18</f>
        <v>28.523280846455048</v>
      </c>
      <c r="S18" s="15">
        <f t="shared" si="26"/>
        <v>30.747942997121896</v>
      </c>
      <c r="T18" s="15">
        <f t="shared" si="26"/>
        <v>24.073564944371913</v>
      </c>
      <c r="U18" s="15">
        <f t="shared" si="26"/>
        <v>23.712894136149352</v>
      </c>
      <c r="V18" s="15">
        <f t="shared" si="26"/>
        <v>23.501662696541167</v>
      </c>
      <c r="W18" s="15">
        <f>G18/[14]Model!$AG$23</f>
        <v>19.802862236524049</v>
      </c>
      <c r="X18" s="23">
        <f>[14]Model!$V$7</f>
        <v>6213.6</v>
      </c>
      <c r="Y18" s="26">
        <f t="shared" si="27"/>
        <v>5.5099288657139169</v>
      </c>
      <c r="Z18" s="25">
        <f>[14]Model!U$30</f>
        <v>5.0500414805923599E-2</v>
      </c>
      <c r="AA18" s="25">
        <f>[14]Model!V$30</f>
        <v>4.4056860570622192E-2</v>
      </c>
      <c r="AB18" s="25">
        <f>[14]Model!$V$33</f>
        <v>0.83643942320072096</v>
      </c>
      <c r="AC18" s="25">
        <f>[14]Model!$V$37</f>
        <v>0.2188264452169435</v>
      </c>
      <c r="AD18" s="16">
        <f>[14]Model!$AJ$29</f>
        <v>0.08</v>
      </c>
      <c r="AE18" s="16">
        <f>[14]Model!$AJ$35</f>
        <v>-0.43497641969139733</v>
      </c>
      <c r="AF18" s="11" t="str">
        <f>[14]Model!$AJ$36</f>
        <v>Overvalued</v>
      </c>
      <c r="AH18" s="11">
        <v>1971</v>
      </c>
      <c r="AJ18" s="18">
        <f>[14]Main!$E$3</f>
        <v>45868</v>
      </c>
      <c r="AK18" s="18">
        <f>[14]Main!$G$3</f>
        <v>46079</v>
      </c>
    </row>
    <row r="19" spans="2:37" x14ac:dyDescent="0.3">
      <c r="B19" s="19" t="s">
        <v>38</v>
      </c>
      <c r="C19" s="11" t="s">
        <v>53</v>
      </c>
      <c r="D19" s="17">
        <f>[15]Main!$D$3</f>
        <v>47.27</v>
      </c>
      <c r="E19" s="14">
        <f>[15]Main!$D$5</f>
        <v>27246.428</v>
      </c>
      <c r="F19" s="14">
        <f>[15]Main!$D$8</f>
        <v>-267</v>
      </c>
      <c r="G19" s="14">
        <f>[15]Main!$D$9</f>
        <v>27513.428</v>
      </c>
      <c r="H19" s="14">
        <f>[15]Model!T$19</f>
        <v>823</v>
      </c>
      <c r="I19" s="14">
        <f>[15]Model!U$19</f>
        <v>239</v>
      </c>
      <c r="J19" s="14">
        <f>[15]Model!V$19</f>
        <v>586</v>
      </c>
      <c r="K19" s="14">
        <f>[15]Model!W$19</f>
        <v>927</v>
      </c>
      <c r="L19" s="14">
        <f>[15]Model!X$19</f>
        <v>658</v>
      </c>
      <c r="M19" s="14">
        <f>[15]Model!Y$19</f>
        <v>1072</v>
      </c>
      <c r="N19" s="14">
        <f>[15]Model!Z$19</f>
        <v>1017.2926499999999</v>
      </c>
      <c r="O19" s="14">
        <f>[15]Model!AA$19</f>
        <v>1811.8731149999999</v>
      </c>
      <c r="P19" s="14">
        <f>[15]Model!AB$19</f>
        <v>1919.0845944000002</v>
      </c>
      <c r="Q19" s="14">
        <f>[15]Model!AC$19</f>
        <v>1993.765444011</v>
      </c>
      <c r="R19" s="15">
        <f t="shared" ref="R19:V19" si="30">$G19/M19</f>
        <v>25.66551119402985</v>
      </c>
      <c r="S19" s="15">
        <f t="shared" si="30"/>
        <v>27.045735560951908</v>
      </c>
      <c r="T19" s="15">
        <f t="shared" si="30"/>
        <v>15.185074369846259</v>
      </c>
      <c r="U19" s="15">
        <f t="shared" si="30"/>
        <v>14.336745800724874</v>
      </c>
      <c r="V19" s="15">
        <f t="shared" si="30"/>
        <v>13.799731599645581</v>
      </c>
      <c r="W19" s="15">
        <f>G19/[15]Model!$AJ$19</f>
        <v>12.020001089934652</v>
      </c>
      <c r="X19" s="23">
        <f>[15]Model!$Y$3</f>
        <v>17763</v>
      </c>
      <c r="Y19" s="26">
        <f t="shared" ref="Y19:Y25" si="31">G19/X19</f>
        <v>1.5489178629735969</v>
      </c>
      <c r="Z19" s="25">
        <f>[15]Model!$X$23</f>
        <v>3.9284986066743688E-2</v>
      </c>
      <c r="AA19" s="25">
        <f>[15]Model!$Y$23</f>
        <v>0.1616637237590739</v>
      </c>
      <c r="AB19" s="25">
        <f>[15]Model!$Y$24</f>
        <v>0.11349434217193041</v>
      </c>
      <c r="AC19" s="25">
        <f>[15]Model!$Y$26</f>
        <v>6.6430220120475142E-2</v>
      </c>
      <c r="AD19" s="16">
        <f>[15]Model!$AM$25</f>
        <v>0.08</v>
      </c>
      <c r="AE19" s="16">
        <f>[15]Model!$AM$31</f>
        <v>-0.10935664388414268</v>
      </c>
      <c r="AF19" s="11" t="str">
        <f>[15]Model!$AM$32</f>
        <v>Fairly valued</v>
      </c>
      <c r="AH19" s="11">
        <v>1996</v>
      </c>
      <c r="AJ19" s="18">
        <f>[15]Main!$E$3</f>
        <v>45904</v>
      </c>
      <c r="AK19" s="18">
        <f>[15]Main!$G$3</f>
        <v>45868</v>
      </c>
    </row>
    <row r="20" spans="2:37" x14ac:dyDescent="0.3">
      <c r="B20" s="19" t="s">
        <v>74</v>
      </c>
      <c r="C20" s="11" t="s">
        <v>75</v>
      </c>
      <c r="D20" s="17">
        <f>[16]Main!$D$3</f>
        <v>180.62</v>
      </c>
      <c r="E20" s="14">
        <f>[16]Main!$D$5</f>
        <v>23173.546000000002</v>
      </c>
      <c r="F20" s="14">
        <f>[16]Main!$D$8</f>
        <v>-4174</v>
      </c>
      <c r="G20" s="14">
        <f>[16]Main!$D$9</f>
        <v>27347.546000000002</v>
      </c>
      <c r="H20" s="14">
        <f>[16]Model!P$18</f>
        <v>667</v>
      </c>
      <c r="I20" s="14">
        <f>[16]Model!Q$18</f>
        <v>628</v>
      </c>
      <c r="J20" s="14">
        <f>[16]Model!R$18</f>
        <v>753</v>
      </c>
      <c r="K20" s="14">
        <f>[16]Model!S$18</f>
        <v>685</v>
      </c>
      <c r="L20" s="14">
        <f>[16]Model!T$18</f>
        <v>199</v>
      </c>
      <c r="M20" s="14">
        <f>[16]Model!U$18</f>
        <v>1254</v>
      </c>
      <c r="N20" s="14">
        <f>[16]Model!V$18</f>
        <v>1488.4593099999986</v>
      </c>
      <c r="O20" s="14">
        <f>[16]Model!W$18</f>
        <v>1825.4889705000001</v>
      </c>
      <c r="P20" s="14">
        <f>[16]Model!X$18</f>
        <v>1915.7253039600007</v>
      </c>
      <c r="Q20" s="14">
        <f>[16]Model!Y$18</f>
        <v>1981.3585502100002</v>
      </c>
      <c r="R20" s="15">
        <f t="shared" ref="R20" si="32">$G20/M20</f>
        <v>21.808250398724084</v>
      </c>
      <c r="S20" s="15">
        <f t="shared" ref="S20:S25" si="33">$G20/N20</f>
        <v>18.373055827774042</v>
      </c>
      <c r="T20" s="15">
        <f t="shared" ref="T20:T25" si="34">$G20/O20</f>
        <v>14.980942882667502</v>
      </c>
      <c r="U20" s="15">
        <f t="shared" ref="U20:U25" si="35">$G20/P20</f>
        <v>14.275296120727653</v>
      </c>
      <c r="V20" s="15">
        <f t="shared" ref="V20:V25" si="36">$G20/Q20</f>
        <v>13.802421574379604</v>
      </c>
      <c r="W20" s="15">
        <f>G20/[16]Model!$AF$18</f>
        <v>12.733418423610921</v>
      </c>
      <c r="X20" s="23">
        <f>[16]Model!$U$3</f>
        <v>16662</v>
      </c>
      <c r="Y20" s="26">
        <f t="shared" si="31"/>
        <v>1.6413123274516865</v>
      </c>
      <c r="Z20" s="25">
        <f>[16]Model!T$22</f>
        <v>7.2381217004723553E-2</v>
      </c>
      <c r="AA20" s="25">
        <f>[16]Model!U$22</f>
        <v>7.9284881461329171E-2</v>
      </c>
      <c r="AB20" s="25">
        <f>[16]Model!$U$23</f>
        <v>0.16792701956547834</v>
      </c>
      <c r="AC20" s="25">
        <f>[16]Model!$U$26</f>
        <v>0.10731004681310767</v>
      </c>
      <c r="AD20" s="16">
        <f>[16]Model!$AI$24</f>
        <v>0.08</v>
      </c>
      <c r="AE20" s="16">
        <f>[16]Model!$AI$30</f>
        <v>-0.15132262827852416</v>
      </c>
      <c r="AF20" s="11" t="str">
        <f>[16]Model!$AI$31</f>
        <v>Slightly overvalued</v>
      </c>
      <c r="AH20" s="11">
        <v>1969</v>
      </c>
      <c r="AJ20" s="18">
        <f>[16]Main!$E$3</f>
        <v>45898</v>
      </c>
      <c r="AK20" s="18">
        <f>[16]Main!$G$3</f>
        <v>45965</v>
      </c>
    </row>
    <row r="21" spans="2:37" x14ac:dyDescent="0.3">
      <c r="B21" s="19" t="s">
        <v>69</v>
      </c>
      <c r="C21" s="11" t="s">
        <v>85</v>
      </c>
      <c r="D21" s="17">
        <f>[17]Main!$D$3</f>
        <v>194.63</v>
      </c>
      <c r="E21" s="14">
        <f>[17]Main!$D$5</f>
        <v>19287.832999999999</v>
      </c>
      <c r="F21" s="14">
        <f>[17]Main!$D$8</f>
        <v>-4448</v>
      </c>
      <c r="G21" s="14">
        <f>[17]Main!$D$9</f>
        <v>23735.832999999999</v>
      </c>
      <c r="H21" s="14"/>
      <c r="I21" s="14"/>
      <c r="J21" s="14"/>
      <c r="K21" s="14"/>
      <c r="L21" s="14"/>
      <c r="M21" s="14">
        <f>[17]Model!U$23</f>
        <v>370</v>
      </c>
      <c r="N21" s="14">
        <f>[17]Model!V$23</f>
        <v>501.53600000000051</v>
      </c>
      <c r="O21" s="14"/>
      <c r="P21" s="14"/>
      <c r="Q21" s="14"/>
      <c r="R21" s="15">
        <f t="shared" ref="R21" si="37">$G21/M21</f>
        <v>64.150899999999993</v>
      </c>
      <c r="S21" s="15">
        <f t="shared" si="33"/>
        <v>47.326279668857218</v>
      </c>
      <c r="T21" s="15"/>
      <c r="U21" s="15"/>
      <c r="V21" s="15"/>
      <c r="W21" s="15"/>
      <c r="X21" s="14">
        <f>[17]Model!$V$8</f>
        <v>9401.5300000000007</v>
      </c>
      <c r="Y21" s="20">
        <f t="shared" si="31"/>
        <v>2.5246776854405608</v>
      </c>
      <c r="Z21" s="25"/>
      <c r="AA21" s="16">
        <f>[17]Model!$V$31</f>
        <v>8.5000577034045177E-2</v>
      </c>
      <c r="AB21" s="16">
        <f>[17]Model!$V$32</f>
        <v>0.1980854180117492</v>
      </c>
      <c r="AC21" s="16">
        <f>[17]Model!$V$35</f>
        <v>0.11177712563806108</v>
      </c>
      <c r="AD21" s="16"/>
      <c r="AE21" s="16"/>
      <c r="AJ21" s="18"/>
      <c r="AK21" s="18"/>
    </row>
    <row r="22" spans="2:37" x14ac:dyDescent="0.3">
      <c r="B22" s="19" t="s">
        <v>70</v>
      </c>
      <c r="C22" s="11" t="s">
        <v>71</v>
      </c>
      <c r="D22" s="13">
        <f>[18]Main!$D$3</f>
        <v>78.45</v>
      </c>
      <c r="E22" s="14">
        <f>[18]Main!$D$5</f>
        <v>13979.789999999999</v>
      </c>
      <c r="F22" s="14">
        <f>[18]Main!$D$8</f>
        <v>-2300</v>
      </c>
      <c r="G22" s="14">
        <f>[18]Main!$D$9</f>
        <v>16279.789999999999</v>
      </c>
      <c r="H22" s="14">
        <f>[18]Model!P$22</f>
        <v>815</v>
      </c>
      <c r="I22" s="14">
        <f>[18]Model!Q$22</f>
        <v>309</v>
      </c>
      <c r="J22" s="14">
        <f>[18]Model!R$22</f>
        <v>746</v>
      </c>
      <c r="K22" s="14">
        <f>[18]Model!S$22</f>
        <v>861</v>
      </c>
      <c r="L22" s="14">
        <f>[18]Model!T$22</f>
        <v>921</v>
      </c>
      <c r="M22" s="14">
        <f>[18]Model!U$22</f>
        <v>824</v>
      </c>
      <c r="N22" s="14">
        <f>[18]Model!V$22</f>
        <v>1009.4089999999989</v>
      </c>
      <c r="O22" s="14">
        <f>[18]Model!W$22</f>
        <v>1260.3274750399985</v>
      </c>
      <c r="P22" s="14">
        <f>[18]Model!X$22</f>
        <v>1438.1055164480015</v>
      </c>
      <c r="Q22" s="14">
        <f>[18]Model!Y$22</f>
        <v>1494.4098756374406</v>
      </c>
      <c r="R22" s="15">
        <f>$G22/M22</f>
        <v>19.757026699029126</v>
      </c>
      <c r="S22" s="15">
        <f>$G22/N22</f>
        <v>16.128041259786684</v>
      </c>
      <c r="T22" s="15">
        <f>$G22/O22</f>
        <v>12.91711108613524</v>
      </c>
      <c r="U22" s="15">
        <f>$G22/P22</f>
        <v>11.320302866377773</v>
      </c>
      <c r="V22" s="15">
        <f>$G22/Q22</f>
        <v>10.893791767172212</v>
      </c>
      <c r="W22" s="15">
        <f>G22/[18]Model!$AF$22</f>
        <v>9.2229628905226502</v>
      </c>
      <c r="X22" s="23">
        <f>[18]Model!$U$6</f>
        <v>13702</v>
      </c>
      <c r="Y22" s="26">
        <f t="shared" si="31"/>
        <v>1.1881323894321996</v>
      </c>
      <c r="Z22" s="25">
        <f>[18]Model!T$29</f>
        <v>6.3252777993628051E-2</v>
      </c>
      <c r="AA22" s="25">
        <f>[18]Model!U$29</f>
        <v>1.3885843747716287E-3</v>
      </c>
      <c r="AB22" s="25">
        <f>[18]Model!$U$32</f>
        <v>0.18260108013428697</v>
      </c>
      <c r="AC22" s="25">
        <f>[18]Model!$U$35</f>
        <v>6.23996496861772E-2</v>
      </c>
      <c r="AD22" s="16">
        <f>[18]Model!$AJ$29</f>
        <v>0.09</v>
      </c>
      <c r="AE22" s="16">
        <f>[18]Model!$AJ$35</f>
        <v>3.5247218209492504E-2</v>
      </c>
      <c r="AF22" s="11" t="str">
        <f>[18]Model!$AJ$36</f>
        <v>Fairly valued</v>
      </c>
      <c r="AH22" s="11">
        <v>1923</v>
      </c>
      <c r="AJ22" s="18">
        <f>[18]Main!$E$3</f>
        <v>45867</v>
      </c>
      <c r="AK22" s="18">
        <f>[18]Main!$G$3</f>
        <v>45953</v>
      </c>
    </row>
    <row r="23" spans="2:37" x14ac:dyDescent="0.3">
      <c r="B23" s="19" t="s">
        <v>67</v>
      </c>
      <c r="C23" s="11" t="s">
        <v>78</v>
      </c>
      <c r="D23" s="13">
        <f>[19]Main!$D$3</f>
        <v>57.19</v>
      </c>
      <c r="E23" s="14">
        <f>[19]Main!$D$5</f>
        <v>10494.365</v>
      </c>
      <c r="F23" s="14">
        <f>[19]Main!$D$8</f>
        <v>-600.00000000000023</v>
      </c>
      <c r="G23" s="14">
        <f>[19]Main!$D$9</f>
        <v>11094.365</v>
      </c>
      <c r="H23" s="14">
        <f>[19]Model!P$22</f>
        <v>-322.3</v>
      </c>
      <c r="I23" s="14">
        <f>[19]Model!Q$22</f>
        <v>-731.9000000000002</v>
      </c>
      <c r="J23" s="14">
        <f>[19]Model!R$22</f>
        <v>-44.700000000000145</v>
      </c>
      <c r="K23" s="14">
        <f>[19]Model!S$22</f>
        <v>-185.59999999999982</v>
      </c>
      <c r="L23" s="14">
        <f>[19]Model!T$22</f>
        <v>163.90000000000035</v>
      </c>
      <c r="M23" s="14">
        <f>[19]Model!U$22</f>
        <v>228.2000000000003</v>
      </c>
      <c r="N23" s="14">
        <f>[19]Model!V$22</f>
        <v>743.65658000000008</v>
      </c>
      <c r="O23" s="14">
        <f>[19]Model!W$22</f>
        <v>719.25833086000011</v>
      </c>
      <c r="P23" s="14">
        <f>[19]Model!X$22</f>
        <v>830.80143681460015</v>
      </c>
      <c r="Q23" s="14">
        <f>[19]Model!Y$22</f>
        <v>906.37830312002222</v>
      </c>
      <c r="R23" s="15">
        <f t="shared" ref="R23:V23" si="38">$G23/M23</f>
        <v>48.616849255039376</v>
      </c>
      <c r="S23" s="15">
        <f t="shared" si="38"/>
        <v>14.918667162200055</v>
      </c>
      <c r="T23" s="15">
        <f t="shared" si="38"/>
        <v>15.424729230087236</v>
      </c>
      <c r="U23" s="15">
        <f t="shared" si="38"/>
        <v>13.353810559761699</v>
      </c>
      <c r="V23" s="15">
        <f t="shared" si="38"/>
        <v>12.240324996538327</v>
      </c>
      <c r="W23" s="15">
        <f>G23/[19]Model!$AF$22</f>
        <v>10.264552570282582</v>
      </c>
      <c r="X23" s="23">
        <f>[19]Model!$V$3</f>
        <v>7743.8040000000001</v>
      </c>
      <c r="Y23" s="26">
        <f t="shared" si="31"/>
        <v>1.4326763693915807</v>
      </c>
      <c r="Z23" s="25">
        <f>[19]Model!T$26</f>
        <v>0.16041143561957627</v>
      </c>
      <c r="AA23" s="25">
        <f>[19]Model!U$26</f>
        <v>0.21376103255195988</v>
      </c>
      <c r="AB23" s="25">
        <f>[19]Model!$U$27</f>
        <v>0.18032120349664568</v>
      </c>
      <c r="AC23" s="25">
        <f>[19]Model!$U$31</f>
        <v>8.4945345364129704E-2</v>
      </c>
      <c r="AD23" s="16">
        <f>[19]Model!$AI$28</f>
        <v>0.14000000000000001</v>
      </c>
      <c r="AE23" s="16">
        <f>[19]Model!$AI$34</f>
        <v>-0.43120780386203839</v>
      </c>
      <c r="AF23" s="11" t="str">
        <f>[19]Model!$AI$35</f>
        <v>Overvalued</v>
      </c>
      <c r="AH23" s="11">
        <v>1969</v>
      </c>
      <c r="AJ23" s="18">
        <f>[19]Main!$E$3</f>
        <v>45903</v>
      </c>
      <c r="AK23" s="18">
        <f>[19]Main!$G$3</f>
        <v>45965</v>
      </c>
    </row>
    <row r="24" spans="2:37" x14ac:dyDescent="0.3">
      <c r="B24" s="19" t="s">
        <v>73</v>
      </c>
      <c r="C24" s="11" t="s">
        <v>77</v>
      </c>
      <c r="D24" s="17">
        <f>[20]Main!$D$3</f>
        <v>101.2</v>
      </c>
      <c r="E24" s="14">
        <f>[20]Main!$D$5</f>
        <v>11739.2</v>
      </c>
      <c r="F24" s="14">
        <f>[20]Main!$D$8</f>
        <v>-498</v>
      </c>
      <c r="G24" s="14">
        <f>[20]Main!$D$9</f>
        <v>12237.2</v>
      </c>
      <c r="H24" s="14">
        <f>[20]Model!P$43</f>
        <v>5.9000000000001167</v>
      </c>
      <c r="I24" s="14">
        <f>[20]Model!Q$43</f>
        <v>-65.199999999999903</v>
      </c>
      <c r="J24" s="14">
        <f>[20]Model!R$43</f>
        <v>63</v>
      </c>
      <c r="K24" s="14">
        <f>[20]Model!S$43</f>
        <v>79</v>
      </c>
      <c r="L24" s="14">
        <f>[20]Model!T$43</f>
        <v>58</v>
      </c>
      <c r="M24" s="14">
        <f>[20]Model!U$43</f>
        <v>106</v>
      </c>
      <c r="N24" s="14">
        <f>[20]Model!V$43</f>
        <v>105.74143999999995</v>
      </c>
      <c r="O24" s="14">
        <f>[20]Model!W$43</f>
        <v>144.35987200000005</v>
      </c>
      <c r="P24" s="14">
        <f>[20]Model!X$43</f>
        <v>169.88582975999995</v>
      </c>
      <c r="Q24" s="14">
        <f>[20]Model!Y$43</f>
        <v>189.70135618560002</v>
      </c>
      <c r="R24" s="15">
        <f t="shared" ref="R24" si="39">$G24/M24</f>
        <v>115.44528301886793</v>
      </c>
      <c r="S24" s="15">
        <f t="shared" si="33"/>
        <v>115.72757095042404</v>
      </c>
      <c r="T24" s="15">
        <f t="shared" si="34"/>
        <v>84.768709132687491</v>
      </c>
      <c r="U24" s="15">
        <f t="shared" si="35"/>
        <v>72.031905293617854</v>
      </c>
      <c r="V24" s="15">
        <f t="shared" si="36"/>
        <v>64.50770962347454</v>
      </c>
      <c r="W24" s="15">
        <f>G24/[20]Model!$AF$43</f>
        <v>35.255116146867159</v>
      </c>
      <c r="X24" s="14">
        <f>[20]Model!$V$26</f>
        <v>2587.8199999999997</v>
      </c>
      <c r="Y24" s="20">
        <f t="shared" si="31"/>
        <v>4.7287678432039328</v>
      </c>
      <c r="Z24" s="16">
        <f>[20]Model!U$47</f>
        <v>0.21277747698971305</v>
      </c>
      <c r="AA24" s="16">
        <f>[20]Model!V$47</f>
        <v>0.1552767857142856</v>
      </c>
      <c r="AB24" s="16">
        <f>[20]Model!$V$48</f>
        <v>0.22716788648360398</v>
      </c>
      <c r="AC24" s="16">
        <f>[20]Model!$V$52</f>
        <v>9.599848521149075E-2</v>
      </c>
      <c r="AD24" s="16">
        <f>[20]Model!$AI$49</f>
        <v>0.09</v>
      </c>
      <c r="AE24" s="16">
        <f>[20]Model!$AI$55</f>
        <v>-0.80686738144951742</v>
      </c>
      <c r="AF24" s="11" t="str">
        <f>[20]Model!$AI$56</f>
        <v>Heavily overvalued</v>
      </c>
      <c r="AH24" s="11">
        <v>1892</v>
      </c>
      <c r="AJ24" s="18">
        <f>[20]Main!$E$3</f>
        <v>45924</v>
      </c>
      <c r="AK24" s="18">
        <f>[20]Main!$G$3</f>
        <v>45968</v>
      </c>
    </row>
    <row r="25" spans="2:37" x14ac:dyDescent="0.3">
      <c r="B25" s="19" t="s">
        <v>68</v>
      </c>
      <c r="C25" s="11" t="s">
        <v>84</v>
      </c>
      <c r="D25" s="13">
        <f>[21]Main!$D$3</f>
        <v>90.08</v>
      </c>
      <c r="E25" s="14">
        <f>[21]Main!$D$5</f>
        <v>15205.504000000001</v>
      </c>
      <c r="F25" s="14">
        <f>[21]Main!$D$8</f>
        <v>613.79999999999995</v>
      </c>
      <c r="G25" s="14">
        <f>[21]Main!$D$9</f>
        <v>14591.704000000002</v>
      </c>
      <c r="H25" s="14">
        <f>[21]Model!P$22</f>
        <v>10.89999999999997</v>
      </c>
      <c r="I25" s="14">
        <f>[21]Model!Q$22</f>
        <v>80.300000000000068</v>
      </c>
      <c r="J25" s="14">
        <f>[21]Model!R$22</f>
        <v>0.50000000000003597</v>
      </c>
      <c r="K25" s="14">
        <f>[21]Model!S$22</f>
        <v>-33.20000000000001</v>
      </c>
      <c r="L25" s="14">
        <f>[21]Model!T$22</f>
        <v>2.3999999999998813</v>
      </c>
      <c r="M25" s="14">
        <f>[21]Model!U$22</f>
        <v>16.299999999999944</v>
      </c>
      <c r="N25" s="14">
        <f>[21]Model!V$22</f>
        <v>19.969807999999741</v>
      </c>
      <c r="O25" s="14">
        <f>[21]Model!W$22</f>
        <v>47.220326400000076</v>
      </c>
      <c r="P25" s="14">
        <f>[21]Model!X$22</f>
        <v>70.794515788799941</v>
      </c>
      <c r="Q25" s="14">
        <f>[21]Model!Y$22</f>
        <v>85.495337030527935</v>
      </c>
      <c r="R25" s="15">
        <f t="shared" ref="R25" si="40">$G25/M25</f>
        <v>895.19656441718109</v>
      </c>
      <c r="S25" s="15">
        <f t="shared" si="33"/>
        <v>730.68824697764694</v>
      </c>
      <c r="T25" s="15">
        <f t="shared" si="34"/>
        <v>309.01319648650241</v>
      </c>
      <c r="U25" s="15">
        <f t="shared" si="35"/>
        <v>206.11347980020346</v>
      </c>
      <c r="V25" s="15">
        <f t="shared" si="36"/>
        <v>170.67251275692055</v>
      </c>
      <c r="W25" s="15">
        <f>G25/[21]Model!$AF$22</f>
        <v>78.909831938412125</v>
      </c>
      <c r="X25" s="14">
        <f>[21]Model!$V$7</f>
        <v>1297.6099999999999</v>
      </c>
      <c r="Y25" s="20">
        <f t="shared" si="31"/>
        <v>11.245061305014605</v>
      </c>
      <c r="Z25" s="16">
        <f>[21]Model!U$28</f>
        <v>9.5651335454633113E-2</v>
      </c>
      <c r="AA25" s="16">
        <f>[21]Model!V$28</f>
        <v>0.14196074980198881</v>
      </c>
      <c r="AB25" s="16">
        <f>[21]Model!$V$31</f>
        <v>0.23128695062460972</v>
      </c>
      <c r="AC25" s="16">
        <f>[21]Model!$V$34</f>
        <v>2.1587580243678565E-2</v>
      </c>
      <c r="AD25" s="16">
        <f>[21]Model!$AI$29</f>
        <v>0.09</v>
      </c>
      <c r="AE25" s="16">
        <f>[21]Model!$AI$35</f>
        <v>-0.87042777033592045</v>
      </c>
      <c r="AF25" s="11" t="str">
        <f>[21]Model!$AI$36</f>
        <v>Heavily overvalued</v>
      </c>
      <c r="AH25" s="11">
        <v>1994</v>
      </c>
      <c r="AJ25" s="18">
        <f>[21]Main!$E$3</f>
        <v>45930</v>
      </c>
      <c r="AK25" s="18">
        <f>[21]Main!$G$3</f>
        <v>45960</v>
      </c>
    </row>
    <row r="26" spans="2:37" x14ac:dyDescent="0.3">
      <c r="B26" s="5" t="s">
        <v>37</v>
      </c>
      <c r="C26" s="11" t="s">
        <v>65</v>
      </c>
      <c r="X26" s="24"/>
      <c r="Y26" s="24"/>
      <c r="Z26" s="24"/>
      <c r="AA26" s="24"/>
      <c r="AB26" s="24"/>
      <c r="AC26" s="24"/>
    </row>
    <row r="27" spans="2:37" x14ac:dyDescent="0.3">
      <c r="B27" s="19" t="s">
        <v>72</v>
      </c>
      <c r="C27" s="11" t="s">
        <v>76</v>
      </c>
      <c r="D27" s="17">
        <f>[22]Main!$D$3</f>
        <v>66.63</v>
      </c>
      <c r="E27" s="14">
        <f>[22]Main!$D$5</f>
        <v>6663</v>
      </c>
      <c r="F27" s="14">
        <f>[22]Main!$D$8</f>
        <v>-438.4</v>
      </c>
      <c r="G27" s="14">
        <f>[22]Main!$D$9</f>
        <v>7101.4</v>
      </c>
      <c r="K27" s="14">
        <f>[22]Model!S$39</f>
        <v>16.199999999999942</v>
      </c>
      <c r="L27" s="14">
        <f>[22]Model!T$39</f>
        <v>32.30000000000004</v>
      </c>
      <c r="M27" s="14">
        <f>[22]Model!U$39</f>
        <v>53.500000000000057</v>
      </c>
      <c r="N27" s="14">
        <f>[22]Model!V$39</f>
        <v>96.823239999999927</v>
      </c>
      <c r="O27" s="14">
        <f>[22]Model!W$39</f>
        <v>143.50169249999999</v>
      </c>
      <c r="P27" s="14">
        <f>[22]Model!X$39</f>
        <v>179.7296860125</v>
      </c>
      <c r="Q27" s="14">
        <f>[22]Model!Y$39</f>
        <v>200.07653520599999</v>
      </c>
      <c r="R27" s="15">
        <f t="shared" ref="R27" si="41">$G27/M27</f>
        <v>132.73644859813069</v>
      </c>
      <c r="S27" s="15">
        <f t="shared" ref="S27" si="42">$G27/N27</f>
        <v>73.343961635656939</v>
      </c>
      <c r="T27" s="15">
        <f t="shared" ref="T27:T28" si="43">$G27/O27</f>
        <v>49.486524348833029</v>
      </c>
      <c r="U27" s="15">
        <f t="shared" ref="U27:U28" si="44">$G27/P27</f>
        <v>39.51155848292143</v>
      </c>
      <c r="V27" s="15">
        <f t="shared" ref="V27:V28" si="45">$G27/Q27</f>
        <v>35.493417519892354</v>
      </c>
      <c r="W27" s="15">
        <f>G27/[22]Model!$AF$39</f>
        <v>22.535987037880979</v>
      </c>
      <c r="X27" s="14">
        <f>[22]Model!$V$24</f>
        <v>1358.33</v>
      </c>
      <c r="Y27" s="20">
        <f>G27/X27</f>
        <v>5.2280373694168576</v>
      </c>
      <c r="Z27" s="16">
        <f>[22]Model!U$43</f>
        <v>0.23230686115613186</v>
      </c>
      <c r="AA27" s="16">
        <f>[22]Model!V$43</f>
        <v>0.19099517755370443</v>
      </c>
      <c r="AB27" s="16">
        <f>[22]Model!$V$44</f>
        <v>0.25505171791832615</v>
      </c>
      <c r="AC27" s="16">
        <f>[22]Model!$V$47</f>
        <v>0.1261351806998299</v>
      </c>
      <c r="AD27" s="16">
        <f>[22]Model!$AI$45</f>
        <v>0.09</v>
      </c>
      <c r="AE27" s="16">
        <f>[22]Model!$AI$51</f>
        <v>-0.67267594474014047</v>
      </c>
      <c r="AF27" s="11" t="str">
        <f>[22]Model!$AI$52</f>
        <v>Heavily overvalued</v>
      </c>
      <c r="AH27" s="11">
        <v>1873</v>
      </c>
      <c r="AJ27" s="18">
        <f>[22]Main!$E$3</f>
        <v>45903</v>
      </c>
      <c r="AK27" s="18">
        <f>[22]Main!$G$3</f>
        <v>45974</v>
      </c>
    </row>
    <row r="28" spans="2:37" x14ac:dyDescent="0.3">
      <c r="B28" s="19" t="s">
        <v>43</v>
      </c>
      <c r="C28" s="11" t="s">
        <v>66</v>
      </c>
      <c r="D28" s="13">
        <f>[23]Main!$D$3</f>
        <v>10</v>
      </c>
      <c r="E28" s="14">
        <f>[23]Main!$D$5</f>
        <v>1178</v>
      </c>
      <c r="F28" s="14">
        <f>[23]Main!$D$8</f>
        <v>46.100000000000009</v>
      </c>
      <c r="G28" s="14">
        <f>[23]Main!$D$9</f>
        <v>1131.9000000000001</v>
      </c>
      <c r="N28" s="14">
        <f>[23]Model!O$15</f>
        <v>-69.325000000000003</v>
      </c>
      <c r="O28" s="14">
        <f>[23]Model!P$15</f>
        <v>-91.1815</v>
      </c>
      <c r="P28" s="14">
        <f>[23]Model!Q$15</f>
        <v>-110.42588000000001</v>
      </c>
      <c r="Q28" s="14">
        <f>[23]Model!R$15</f>
        <v>-123.67537759999999</v>
      </c>
      <c r="S28" s="15">
        <f t="shared" ref="S28" si="46">$G28/N28</f>
        <v>-16.327443202307972</v>
      </c>
      <c r="T28" s="15">
        <f t="shared" si="43"/>
        <v>-12.413702340935387</v>
      </c>
      <c r="U28" s="15">
        <f t="shared" si="44"/>
        <v>-10.2503145096059</v>
      </c>
      <c r="V28" s="15">
        <f t="shared" si="45"/>
        <v>-9.1521855195855917</v>
      </c>
      <c r="W28" s="15">
        <f>G28/[23]Model!$Y$15</f>
        <v>7.7512385840070213</v>
      </c>
      <c r="X28" s="14">
        <f>[23]Model!$O$3</f>
        <v>12.3</v>
      </c>
      <c r="Y28" s="20">
        <f>G28/X28</f>
        <v>92.024390243902445</v>
      </c>
      <c r="AB28" s="16">
        <f>[23]Model!$O$20</f>
        <v>5.08130081300813E-2</v>
      </c>
      <c r="AC28" s="16">
        <f>[23]Model!$O$24</f>
        <v>-4.23780487804878</v>
      </c>
      <c r="AD28" s="16">
        <f>[23]Model!$AB$21</f>
        <v>0.11</v>
      </c>
      <c r="AE28" s="16">
        <f>[23]Model!$AB$27</f>
        <v>-0.85432485058235097</v>
      </c>
      <c r="AF28" s="11" t="str">
        <f>[23]Model!$AB$28</f>
        <v>Heavily overvalued</v>
      </c>
    </row>
    <row r="29" spans="2:37" x14ac:dyDescent="0.3">
      <c r="B29" s="19" t="s">
        <v>51</v>
      </c>
      <c r="C29" s="11" t="s">
        <v>52</v>
      </c>
      <c r="D29" s="13">
        <f>[24]Main!$D$3</f>
        <v>9.0399999999999991</v>
      </c>
      <c r="E29" s="14">
        <f>[24]Main!$D$5</f>
        <v>274.81599999999997</v>
      </c>
      <c r="F29" s="14">
        <f>[24]Main!$D$8</f>
        <v>5</v>
      </c>
      <c r="G29" s="14">
        <f>[24]Main!$D$9</f>
        <v>269.81599999999997</v>
      </c>
      <c r="L29" s="14">
        <f>[24]Model!$P$20</f>
        <v>-1.4</v>
      </c>
      <c r="M29" s="14">
        <f>[24]Model!Q$20</f>
        <v>-32</v>
      </c>
      <c r="N29" s="14">
        <f>[24]Model!R$20</f>
        <v>-27.428000000000001</v>
      </c>
      <c r="O29" s="14">
        <f>[24]Model!S$20</f>
        <v>-36.489999999999995</v>
      </c>
      <c r="P29" s="14">
        <f>[24]Model!T$20</f>
        <v>-44.738199999999992</v>
      </c>
      <c r="Q29" s="14">
        <f>[24]Model!U$20</f>
        <v>-36.238919999999993</v>
      </c>
      <c r="W29" s="15">
        <f>G29/[24]Model!$AB$20</f>
        <v>3.9629103845325151</v>
      </c>
      <c r="X29" s="23">
        <f>[24]Model!$Q$3</f>
        <v>5.6</v>
      </c>
      <c r="Y29" s="20">
        <f>G29/X29</f>
        <v>48.181428571428569</v>
      </c>
      <c r="AB29" s="25">
        <f>[24]Model!$Q$26</f>
        <v>0.28571428571428564</v>
      </c>
      <c r="AC29" s="25">
        <f>[24]Model!$Q$30</f>
        <v>-3.0535714285714288</v>
      </c>
      <c r="AD29" s="16">
        <f>[24]Model!$AF$27</f>
        <v>0.12</v>
      </c>
      <c r="AE29" s="16">
        <f>[24]Model!$AF$33</f>
        <v>-0.78010157110479306</v>
      </c>
      <c r="AF29" s="11" t="str">
        <f>[24]Model!$AF$34</f>
        <v>Heavily overvalued</v>
      </c>
      <c r="AH29" s="11">
        <v>2019</v>
      </c>
      <c r="AJ29" s="18">
        <f>[24]Main!$E$3</f>
        <v>45903</v>
      </c>
      <c r="AK29" s="18">
        <f>[24]Main!$G$3</f>
        <v>45974</v>
      </c>
    </row>
    <row r="30" spans="2:37" x14ac:dyDescent="0.3">
      <c r="B30" s="12"/>
      <c r="D30" s="13"/>
      <c r="E30" s="14"/>
      <c r="F30" s="14"/>
      <c r="G30" s="14"/>
      <c r="L30" s="14"/>
      <c r="M30" s="14"/>
      <c r="N30" s="14"/>
      <c r="O30" s="14"/>
      <c r="P30" s="14"/>
      <c r="Q30" s="14"/>
      <c r="W30" s="15"/>
      <c r="X30" s="14"/>
      <c r="Y30" s="20"/>
      <c r="AB30" s="16"/>
      <c r="AC30" s="16"/>
      <c r="AD30" s="16"/>
      <c r="AE30" s="16"/>
      <c r="AJ30" s="18"/>
      <c r="AK30" s="18"/>
    </row>
    <row r="31" spans="2:37" x14ac:dyDescent="0.3">
      <c r="D31" s="13"/>
      <c r="E31" s="14"/>
      <c r="F31" s="14"/>
      <c r="G31" s="14"/>
      <c r="L31" s="14"/>
      <c r="M31" s="14"/>
      <c r="N31" s="14"/>
      <c r="O31" s="14"/>
      <c r="P31" s="14"/>
      <c r="Q31" s="14"/>
      <c r="W31" s="15"/>
      <c r="X31" s="14"/>
      <c r="Y31" s="20"/>
      <c r="AB31" s="16"/>
      <c r="AC31" s="16"/>
      <c r="AD31" s="16"/>
      <c r="AE31" s="16"/>
      <c r="AJ31" s="18"/>
      <c r="AK31" s="18"/>
    </row>
  </sheetData>
  <hyperlinks>
    <hyperlink ref="B4" r:id="rId1" xr:uid="{9EBE5D6A-1C1D-4975-961D-8BDF60D469F0}"/>
    <hyperlink ref="B12" r:id="rId2" xr:uid="{1C2D10B8-C1F0-4011-9894-9CA25208770D}"/>
    <hyperlink ref="B8" r:id="rId3" xr:uid="{959B55A2-9FD4-4C66-8ED7-2CA35BBDDBEB}"/>
    <hyperlink ref="B29" r:id="rId4" xr:uid="{585D8E65-116D-4674-B4B3-00498D6A7848}"/>
    <hyperlink ref="B19" r:id="rId5" xr:uid="{CFD2CC9C-5B8B-4286-BE47-40E920DADED7}"/>
    <hyperlink ref="B5" r:id="rId6" xr:uid="{A17201AA-5063-4DAA-B4C5-DF50CA314C77}"/>
    <hyperlink ref="B6" r:id="rId7" xr:uid="{66D11DBA-CC4F-47C4-B72D-A167C22CF998}"/>
    <hyperlink ref="B11" r:id="rId8" xr:uid="{68839818-3059-4F3D-A939-24E347A3D924}"/>
    <hyperlink ref="B10" r:id="rId9" xr:uid="{2C804FE1-0AB3-4453-B597-E9A1557EBD6D}"/>
    <hyperlink ref="B15" r:id="rId10" xr:uid="{60BDF6DB-8BEB-4FB3-8DBA-58358D39164E}"/>
    <hyperlink ref="B7" r:id="rId11" xr:uid="{2E581798-4486-4631-A533-55B5B7275DFA}"/>
    <hyperlink ref="B9" r:id="rId12" xr:uid="{A83CC09C-04CF-4224-A8E1-DC20AD3A36C8}"/>
    <hyperlink ref="B14" r:id="rId13" xr:uid="{4D3F764E-9CCB-403D-8E1B-4BE47BABAA33}"/>
    <hyperlink ref="B13" r:id="rId14" xr:uid="{93CF4EC5-904A-41E3-804E-56C12BA230AB}"/>
    <hyperlink ref="B22" r:id="rId15" display="txt" xr:uid="{AB07EC75-74EE-4F00-A39A-32F20CF1BEB8}"/>
    <hyperlink ref="B16" r:id="rId16" xr:uid="{9426D752-2EF5-4AFB-99DA-A8A7D85B06E3}"/>
    <hyperlink ref="B18" r:id="rId17" xr:uid="{EB265B06-930A-4273-8DCC-B8FC215B734E}"/>
    <hyperlink ref="B20" r:id="rId18" xr:uid="{CC2544BA-50C9-47A6-B396-2DAF4864B854}"/>
    <hyperlink ref="B27" r:id="rId19" xr:uid="{356138DD-BE1A-4731-B7CC-280B73272B33}"/>
    <hyperlink ref="B24" r:id="rId20" xr:uid="{84017ED8-7373-4D92-B4EF-D5CF532C2353}"/>
    <hyperlink ref="B23" r:id="rId21" xr:uid="{88DB7B22-BB4A-404B-95A6-1AA9663BF5FE}"/>
    <hyperlink ref="B28" r:id="rId22" xr:uid="{C624A8B5-778E-4C36-8210-19EE1248D3F5}"/>
    <hyperlink ref="B25" r:id="rId23" xr:uid="{BAFD510F-4A1A-4765-B090-822E93B04792}"/>
    <hyperlink ref="B21" r:id="rId24" xr:uid="{A503C2A2-F761-40EE-A283-D47A823C22F9}"/>
  </hyperlinks>
  <pageMargins left="0.7" right="0.7" top="0.75" bottom="0.75" header="0.3" footer="0.3"/>
  <pageSetup paperSize="9"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2025-09-30T18:29:01Z</dcterms:modified>
</cp:coreProperties>
</file>