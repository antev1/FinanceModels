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s\Documents\GitHub\FinanceModels\Financial Analysis\"/>
    </mc:Choice>
  </mc:AlternateContent>
  <xr:revisionPtr revIDLastSave="0" documentId="13_ncr:1_{030B7B74-265F-4F4C-A97C-5322941629C0}" xr6:coauthVersionLast="47" xr6:coauthVersionMax="47" xr10:uidLastSave="{00000000-0000-0000-0000-000000000000}"/>
  <bookViews>
    <workbookView xWindow="-108" yWindow="-108" windowWidth="23256" windowHeight="12576" xr2:uid="{26DC2385-0FD0-4A26-A38A-609A05E20FB8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I34" i="2" l="1"/>
  <c r="AI32" i="2"/>
  <c r="AI33" i="2"/>
  <c r="AI30" i="2"/>
  <c r="AI29" i="2"/>
  <c r="AI31" i="2" s="1"/>
  <c r="AI22" i="2"/>
  <c r="AJ22" i="2" s="1"/>
  <c r="AK22" i="2" s="1"/>
  <c r="AL22" i="2" s="1"/>
  <c r="AM22" i="2" s="1"/>
  <c r="AN22" i="2" s="1"/>
  <c r="AO22" i="2" s="1"/>
  <c r="AP22" i="2" s="1"/>
  <c r="AQ22" i="2" s="1"/>
  <c r="AR22" i="2" s="1"/>
  <c r="AS22" i="2" s="1"/>
  <c r="AT22" i="2" s="1"/>
  <c r="AU22" i="2" s="1"/>
  <c r="AV22" i="2" s="1"/>
  <c r="AW22" i="2" s="1"/>
  <c r="AX22" i="2" s="1"/>
  <c r="AY22" i="2" s="1"/>
  <c r="AZ22" i="2" s="1"/>
  <c r="BA22" i="2" s="1"/>
  <c r="BB22" i="2" s="1"/>
  <c r="BC22" i="2" s="1"/>
  <c r="BD22" i="2" s="1"/>
  <c r="BE22" i="2" s="1"/>
  <c r="BF22" i="2" s="1"/>
  <c r="BG22" i="2" s="1"/>
  <c r="BH22" i="2" s="1"/>
  <c r="BI22" i="2" s="1"/>
  <c r="BJ22" i="2" s="1"/>
  <c r="BK22" i="2" s="1"/>
  <c r="BL22" i="2" s="1"/>
  <c r="BM22" i="2" s="1"/>
  <c r="BN22" i="2" s="1"/>
  <c r="BO22" i="2" s="1"/>
  <c r="BP22" i="2" s="1"/>
  <c r="BQ22" i="2" s="1"/>
  <c r="BR22" i="2" s="1"/>
  <c r="BS22" i="2" s="1"/>
  <c r="BT22" i="2" s="1"/>
  <c r="BU22" i="2" s="1"/>
  <c r="BV22" i="2" s="1"/>
  <c r="BW22" i="2" s="1"/>
  <c r="BX22" i="2" s="1"/>
  <c r="BY22" i="2" s="1"/>
  <c r="BZ22" i="2" s="1"/>
  <c r="CA22" i="2" s="1"/>
  <c r="CB22" i="2" s="1"/>
  <c r="CC22" i="2" s="1"/>
  <c r="CD22" i="2" s="1"/>
  <c r="CE22" i="2" s="1"/>
  <c r="CF22" i="2" s="1"/>
  <c r="CG22" i="2" s="1"/>
  <c r="CH22" i="2" s="1"/>
  <c r="CI22" i="2" s="1"/>
  <c r="CJ22" i="2" s="1"/>
  <c r="CK22" i="2" s="1"/>
  <c r="CL22" i="2" s="1"/>
  <c r="CM22" i="2" s="1"/>
  <c r="CN22" i="2" s="1"/>
  <c r="CO22" i="2" s="1"/>
  <c r="CP22" i="2" s="1"/>
  <c r="CQ22" i="2" s="1"/>
  <c r="CR22" i="2" s="1"/>
  <c r="CS22" i="2" s="1"/>
  <c r="CT22" i="2" s="1"/>
  <c r="CU22" i="2" s="1"/>
  <c r="CV22" i="2" s="1"/>
  <c r="CW22" i="2" s="1"/>
  <c r="CX22" i="2" s="1"/>
  <c r="CY22" i="2" s="1"/>
  <c r="CZ22" i="2" s="1"/>
  <c r="DA22" i="2" s="1"/>
  <c r="DB22" i="2" s="1"/>
  <c r="DC22" i="2" s="1"/>
  <c r="DD22" i="2" s="1"/>
  <c r="DE22" i="2" s="1"/>
  <c r="DF22" i="2" s="1"/>
  <c r="DG22" i="2" s="1"/>
  <c r="DH22" i="2" s="1"/>
  <c r="DI22" i="2" s="1"/>
  <c r="DJ22" i="2" s="1"/>
  <c r="DK22" i="2" s="1"/>
  <c r="DL22" i="2" s="1"/>
  <c r="DM22" i="2" s="1"/>
  <c r="DN22" i="2" s="1"/>
  <c r="DO22" i="2" s="1"/>
  <c r="DP22" i="2" s="1"/>
  <c r="DQ22" i="2" s="1"/>
  <c r="DR22" i="2" s="1"/>
  <c r="DS22" i="2" s="1"/>
  <c r="DT22" i="2" s="1"/>
  <c r="DU22" i="2" s="1"/>
  <c r="DV22" i="2" s="1"/>
  <c r="DW22" i="2" s="1"/>
  <c r="DX22" i="2" s="1"/>
  <c r="DY22" i="2" s="1"/>
  <c r="DZ22" i="2" s="1"/>
  <c r="EA22" i="2" s="1"/>
  <c r="EB22" i="2" s="1"/>
  <c r="EC22" i="2" s="1"/>
  <c r="ED22" i="2" s="1"/>
  <c r="EE22" i="2" s="1"/>
  <c r="EF22" i="2" s="1"/>
  <c r="EG22" i="2" s="1"/>
  <c r="EH22" i="2" s="1"/>
  <c r="EI22" i="2" s="1"/>
  <c r="EJ22" i="2" s="1"/>
  <c r="AH22" i="2"/>
  <c r="AG22" i="2"/>
  <c r="AF23" i="2"/>
  <c r="AE23" i="2"/>
  <c r="AD23" i="2"/>
  <c r="AC23" i="2"/>
  <c r="AB23" i="2"/>
  <c r="AA23" i="2"/>
  <c r="Z23" i="2"/>
  <c r="Y23" i="2"/>
  <c r="X23" i="2"/>
  <c r="X17" i="2"/>
  <c r="Y17" i="2" s="1"/>
  <c r="Z17" i="2" s="1"/>
  <c r="AA17" i="2" s="1"/>
  <c r="AB17" i="2" s="1"/>
  <c r="AC17" i="2" s="1"/>
  <c r="AD17" i="2" s="1"/>
  <c r="AE17" i="2" s="1"/>
  <c r="AF17" i="2" s="1"/>
  <c r="X16" i="2"/>
  <c r="Y16" i="2" s="1"/>
  <c r="Z16" i="2" s="1"/>
  <c r="AA16" i="2" s="1"/>
  <c r="AB16" i="2" s="1"/>
  <c r="AC16" i="2" s="1"/>
  <c r="AD16" i="2" s="1"/>
  <c r="AE16" i="2" s="1"/>
  <c r="AF16" i="2" s="1"/>
  <c r="X9" i="2"/>
  <c r="Y9" i="2" s="1"/>
  <c r="AF7" i="2"/>
  <c r="AE7" i="2"/>
  <c r="AD7" i="2"/>
  <c r="AC7" i="2"/>
  <c r="AB7" i="2"/>
  <c r="AA7" i="2"/>
  <c r="Z7" i="2"/>
  <c r="Y7" i="2"/>
  <c r="X7" i="2"/>
  <c r="X6" i="2"/>
  <c r="X14" i="2" s="1"/>
  <c r="X15" i="2" s="1"/>
  <c r="X19" i="2" s="1"/>
  <c r="W23" i="2"/>
  <c r="W17" i="2"/>
  <c r="W16" i="2"/>
  <c r="W14" i="2"/>
  <c r="W15" i="2" s="1"/>
  <c r="W31" i="2" s="1"/>
  <c r="W6" i="2"/>
  <c r="W9" i="2"/>
  <c r="N9" i="2"/>
  <c r="M9" i="2"/>
  <c r="W7" i="2"/>
  <c r="W29" i="2" s="1"/>
  <c r="N7" i="2"/>
  <c r="N29" i="2" s="1"/>
  <c r="M7" i="2"/>
  <c r="M29" i="2"/>
  <c r="N6" i="2"/>
  <c r="M6" i="2"/>
  <c r="M28" i="2" s="1"/>
  <c r="AF5" i="2"/>
  <c r="AE5" i="2"/>
  <c r="AD5" i="2"/>
  <c r="AC5" i="2"/>
  <c r="AB5" i="2"/>
  <c r="AA5" i="2"/>
  <c r="Z5" i="2"/>
  <c r="Z4" i="2" s="1"/>
  <c r="Y5" i="2"/>
  <c r="Y4" i="2" s="1"/>
  <c r="X5" i="2"/>
  <c r="W5" i="2"/>
  <c r="AF4" i="2"/>
  <c r="AE4" i="2"/>
  <c r="AD4" i="2"/>
  <c r="AC4" i="2"/>
  <c r="AB4" i="2"/>
  <c r="AA4" i="2"/>
  <c r="X4" i="2"/>
  <c r="W3" i="2"/>
  <c r="W4" i="2" s="1"/>
  <c r="X3" i="2"/>
  <c r="X30" i="2"/>
  <c r="X28" i="2"/>
  <c r="W27" i="2"/>
  <c r="V27" i="2"/>
  <c r="W26" i="2"/>
  <c r="V26" i="2"/>
  <c r="V21" i="2"/>
  <c r="V20" i="2"/>
  <c r="V18" i="2"/>
  <c r="V17" i="2"/>
  <c r="V16" i="2"/>
  <c r="V13" i="2"/>
  <c r="V12" i="2"/>
  <c r="V11" i="2"/>
  <c r="V10" i="2"/>
  <c r="V9" i="2"/>
  <c r="W30" i="2" s="1"/>
  <c r="V8" i="2"/>
  <c r="V6" i="2"/>
  <c r="V4" i="2"/>
  <c r="V3" i="2"/>
  <c r="V23" i="2"/>
  <c r="V5" i="2"/>
  <c r="N5" i="2"/>
  <c r="N4" i="2" s="1"/>
  <c r="M5" i="2"/>
  <c r="M27" i="2" s="1"/>
  <c r="M4" i="2"/>
  <c r="N33" i="2"/>
  <c r="M33" i="2"/>
  <c r="N32" i="2"/>
  <c r="M32" i="2"/>
  <c r="N31" i="2"/>
  <c r="M31" i="2"/>
  <c r="N30" i="2"/>
  <c r="M30" i="2"/>
  <c r="N28" i="2"/>
  <c r="N27" i="2"/>
  <c r="N26" i="2"/>
  <c r="M26" i="2"/>
  <c r="N3" i="2"/>
  <c r="M3" i="2"/>
  <c r="T33" i="2"/>
  <c r="S33" i="2"/>
  <c r="R33" i="2"/>
  <c r="Q33" i="2"/>
  <c r="P33" i="2"/>
  <c r="T32" i="2"/>
  <c r="S32" i="2"/>
  <c r="R32" i="2"/>
  <c r="Q32" i="2"/>
  <c r="P32" i="2"/>
  <c r="T31" i="2"/>
  <c r="S31" i="2"/>
  <c r="R31" i="2"/>
  <c r="Q31" i="2"/>
  <c r="P31" i="2"/>
  <c r="T30" i="2"/>
  <c r="S30" i="2"/>
  <c r="R30" i="2"/>
  <c r="Q30" i="2"/>
  <c r="T29" i="2"/>
  <c r="S29" i="2"/>
  <c r="R29" i="2"/>
  <c r="Q29" i="2"/>
  <c r="P29" i="2"/>
  <c r="T28" i="2"/>
  <c r="S28" i="2"/>
  <c r="R28" i="2"/>
  <c r="Q28" i="2"/>
  <c r="T27" i="2"/>
  <c r="S27" i="2"/>
  <c r="R27" i="2"/>
  <c r="Q27" i="2"/>
  <c r="P27" i="2"/>
  <c r="T26" i="2"/>
  <c r="S26" i="2"/>
  <c r="R26" i="2"/>
  <c r="Q26" i="2"/>
  <c r="U30" i="2"/>
  <c r="U28" i="2"/>
  <c r="U26" i="2"/>
  <c r="U33" i="2"/>
  <c r="U32" i="2"/>
  <c r="U31" i="2"/>
  <c r="U29" i="2"/>
  <c r="U27" i="2"/>
  <c r="K29" i="2"/>
  <c r="J29" i="2"/>
  <c r="I29" i="2"/>
  <c r="H29" i="2"/>
  <c r="G29" i="2"/>
  <c r="F29" i="2"/>
  <c r="E29" i="2"/>
  <c r="D29" i="2"/>
  <c r="C29" i="2"/>
  <c r="L29" i="2"/>
  <c r="K33" i="2"/>
  <c r="J33" i="2"/>
  <c r="I33" i="2"/>
  <c r="H33" i="2"/>
  <c r="G33" i="2"/>
  <c r="F33" i="2"/>
  <c r="E33" i="2"/>
  <c r="D33" i="2"/>
  <c r="C33" i="2"/>
  <c r="K32" i="2"/>
  <c r="J32" i="2"/>
  <c r="I32" i="2"/>
  <c r="H32" i="2"/>
  <c r="G32" i="2"/>
  <c r="F32" i="2"/>
  <c r="E32" i="2"/>
  <c r="D32" i="2"/>
  <c r="C32" i="2"/>
  <c r="K31" i="2"/>
  <c r="J31" i="2"/>
  <c r="I31" i="2"/>
  <c r="H31" i="2"/>
  <c r="G31" i="2"/>
  <c r="F31" i="2"/>
  <c r="E31" i="2"/>
  <c r="D31" i="2"/>
  <c r="C31" i="2"/>
  <c r="K30" i="2"/>
  <c r="J30" i="2"/>
  <c r="I30" i="2"/>
  <c r="H30" i="2"/>
  <c r="G30" i="2"/>
  <c r="K28" i="2"/>
  <c r="J28" i="2"/>
  <c r="I28" i="2"/>
  <c r="H28" i="2"/>
  <c r="G28" i="2"/>
  <c r="K27" i="2"/>
  <c r="J27" i="2"/>
  <c r="I27" i="2"/>
  <c r="H27" i="2"/>
  <c r="G27" i="2"/>
  <c r="F27" i="2"/>
  <c r="E27" i="2"/>
  <c r="D27" i="2"/>
  <c r="C27" i="2"/>
  <c r="K26" i="2"/>
  <c r="J26" i="2"/>
  <c r="I26" i="2"/>
  <c r="H26" i="2"/>
  <c r="G26" i="2"/>
  <c r="L33" i="2"/>
  <c r="L32" i="2"/>
  <c r="L31" i="2"/>
  <c r="L30" i="2"/>
  <c r="L28" i="2"/>
  <c r="L27" i="2"/>
  <c r="L26" i="2"/>
  <c r="P23" i="2"/>
  <c r="P14" i="2"/>
  <c r="P5" i="2"/>
  <c r="Q23" i="2"/>
  <c r="Q14" i="2"/>
  <c r="Q5" i="2"/>
  <c r="R23" i="2"/>
  <c r="R14" i="2"/>
  <c r="R5" i="2"/>
  <c r="S14" i="2"/>
  <c r="S23" i="2"/>
  <c r="S5" i="2"/>
  <c r="U14" i="2"/>
  <c r="T14" i="2"/>
  <c r="C14" i="2"/>
  <c r="T12" i="2"/>
  <c r="U12" i="2"/>
  <c r="L14" i="2"/>
  <c r="K14" i="2"/>
  <c r="J14" i="2"/>
  <c r="I14" i="2"/>
  <c r="H14" i="2"/>
  <c r="G14" i="2"/>
  <c r="F14" i="2"/>
  <c r="E14" i="2"/>
  <c r="D14" i="2"/>
  <c r="L12" i="2"/>
  <c r="K12" i="2"/>
  <c r="J12" i="2"/>
  <c r="I12" i="2"/>
  <c r="H12" i="2"/>
  <c r="G12" i="2"/>
  <c r="F12" i="2"/>
  <c r="E12" i="2"/>
  <c r="D12" i="2"/>
  <c r="T21" i="2"/>
  <c r="T20" i="2"/>
  <c r="T18" i="2"/>
  <c r="T17" i="2"/>
  <c r="T16" i="2"/>
  <c r="T13" i="2"/>
  <c r="T11" i="2"/>
  <c r="T10" i="2"/>
  <c r="T9" i="2"/>
  <c r="T8" i="2"/>
  <c r="T7" i="2"/>
  <c r="T6" i="2"/>
  <c r="T4" i="2"/>
  <c r="T3" i="2"/>
  <c r="T23" i="2"/>
  <c r="C23" i="2"/>
  <c r="C5" i="2"/>
  <c r="D23" i="2"/>
  <c r="D5" i="2"/>
  <c r="E23" i="2"/>
  <c r="E5" i="2"/>
  <c r="U21" i="2"/>
  <c r="U20" i="2"/>
  <c r="U18" i="2"/>
  <c r="U17" i="2"/>
  <c r="U16" i="2"/>
  <c r="U13" i="2"/>
  <c r="U11" i="2"/>
  <c r="U10" i="2"/>
  <c r="U9" i="2"/>
  <c r="U8" i="2"/>
  <c r="U7" i="2"/>
  <c r="U6" i="2"/>
  <c r="U4" i="2"/>
  <c r="U3" i="2"/>
  <c r="U23" i="2"/>
  <c r="G23" i="2"/>
  <c r="G5" i="2"/>
  <c r="F23" i="2"/>
  <c r="F5" i="2"/>
  <c r="I23" i="2"/>
  <c r="I5" i="2"/>
  <c r="J23" i="2"/>
  <c r="J5" i="2"/>
  <c r="K23" i="2"/>
  <c r="K5" i="2"/>
  <c r="H23" i="2"/>
  <c r="H5" i="2"/>
  <c r="L23" i="2"/>
  <c r="L15" i="2"/>
  <c r="L19" i="2" s="1"/>
  <c r="L22" i="2" s="1"/>
  <c r="L24" i="2" s="1"/>
  <c r="L5" i="2"/>
  <c r="D9" i="1"/>
  <c r="D8" i="1"/>
  <c r="D7" i="1"/>
  <c r="D6" i="1"/>
  <c r="D4" i="1"/>
  <c r="D5" i="1" s="1"/>
  <c r="F3" i="1"/>
  <c r="X20" i="2" l="1"/>
  <c r="X32" i="2" s="1"/>
  <c r="Y30" i="2"/>
  <c r="Z9" i="2"/>
  <c r="W19" i="2"/>
  <c r="Y6" i="2"/>
  <c r="V30" i="2"/>
  <c r="X29" i="2"/>
  <c r="V7" i="2"/>
  <c r="V29" i="2" s="1"/>
  <c r="V28" i="2"/>
  <c r="W28" i="2"/>
  <c r="Y3" i="2"/>
  <c r="Z3" i="2" s="1"/>
  <c r="AA3" i="2" s="1"/>
  <c r="AB3" i="2" s="1"/>
  <c r="AC3" i="2" s="1"/>
  <c r="AD3" i="2" s="1"/>
  <c r="AE3" i="2" s="1"/>
  <c r="AF3" i="2" s="1"/>
  <c r="X27" i="2"/>
  <c r="X26" i="2"/>
  <c r="X31" i="2"/>
  <c r="P15" i="2"/>
  <c r="P19" i="2" s="1"/>
  <c r="P22" i="2" s="1"/>
  <c r="P24" i="2" s="1"/>
  <c r="Q15" i="2"/>
  <c r="Q19" i="2" s="1"/>
  <c r="Q22" i="2" s="1"/>
  <c r="Q24" i="2" s="1"/>
  <c r="R15" i="2"/>
  <c r="R19" i="2" s="1"/>
  <c r="R22" i="2" s="1"/>
  <c r="R24" i="2" s="1"/>
  <c r="S15" i="2"/>
  <c r="S19" i="2" s="1"/>
  <c r="S22" i="2" s="1"/>
  <c r="S24" i="2" s="1"/>
  <c r="C15" i="2"/>
  <c r="C19" i="2" s="1"/>
  <c r="C22" i="2" s="1"/>
  <c r="C24" i="2" s="1"/>
  <c r="T5" i="2"/>
  <c r="T15" i="2" s="1"/>
  <c r="T19" i="2" s="1"/>
  <c r="T22" i="2" s="1"/>
  <c r="T24" i="2" s="1"/>
  <c r="D15" i="2"/>
  <c r="D19" i="2" s="1"/>
  <c r="D22" i="2" s="1"/>
  <c r="D24" i="2" s="1"/>
  <c r="E15" i="2"/>
  <c r="E19" i="2" s="1"/>
  <c r="E22" i="2" s="1"/>
  <c r="E24" i="2" s="1"/>
  <c r="U5" i="2"/>
  <c r="U15" i="2" s="1"/>
  <c r="U19" i="2" s="1"/>
  <c r="U22" i="2" s="1"/>
  <c r="U24" i="2" s="1"/>
  <c r="G15" i="2"/>
  <c r="G19" i="2" s="1"/>
  <c r="G22" i="2" s="1"/>
  <c r="G24" i="2" s="1"/>
  <c r="F15" i="2"/>
  <c r="F19" i="2" s="1"/>
  <c r="F22" i="2" s="1"/>
  <c r="F24" i="2" s="1"/>
  <c r="I15" i="2"/>
  <c r="I19" i="2" s="1"/>
  <c r="I22" i="2" s="1"/>
  <c r="I24" i="2" s="1"/>
  <c r="J15" i="2"/>
  <c r="J19" i="2" s="1"/>
  <c r="J22" i="2" s="1"/>
  <c r="J24" i="2" s="1"/>
  <c r="K15" i="2"/>
  <c r="K19" i="2" s="1"/>
  <c r="K22" i="2" s="1"/>
  <c r="K24" i="2" s="1"/>
  <c r="H15" i="2"/>
  <c r="H19" i="2" s="1"/>
  <c r="H22" i="2" s="1"/>
  <c r="H24" i="2" s="1"/>
  <c r="W20" i="2" l="1"/>
  <c r="W32" i="2" s="1"/>
  <c r="AA9" i="2"/>
  <c r="Z30" i="2"/>
  <c r="Z6" i="2"/>
  <c r="Y28" i="2"/>
  <c r="Y14" i="2"/>
  <c r="Y15" i="2" s="1"/>
  <c r="Y19" i="2" s="1"/>
  <c r="X22" i="2"/>
  <c r="V14" i="2"/>
  <c r="V15" i="2" s="1"/>
  <c r="V31" i="2" s="1"/>
  <c r="Y27" i="2"/>
  <c r="Y26" i="2"/>
  <c r="Y29" i="2"/>
  <c r="Y22" i="2" l="1"/>
  <c r="Y20" i="2"/>
  <c r="Y32" i="2" s="1"/>
  <c r="AA6" i="2"/>
  <c r="Z28" i="2"/>
  <c r="Z14" i="2"/>
  <c r="Z15" i="2" s="1"/>
  <c r="Z19" i="2" s="1"/>
  <c r="X24" i="2"/>
  <c r="X33" i="2"/>
  <c r="AA30" i="2"/>
  <c r="AB9" i="2"/>
  <c r="Y31" i="2"/>
  <c r="W22" i="2"/>
  <c r="V19" i="2"/>
  <c r="V22" i="2" s="1"/>
  <c r="Z27" i="2"/>
  <c r="Z26" i="2"/>
  <c r="Z29" i="2"/>
  <c r="Z31" i="2"/>
  <c r="Z22" i="2" l="1"/>
  <c r="Z20" i="2"/>
  <c r="Z32" i="2" s="1"/>
  <c r="AC9" i="2"/>
  <c r="AB30" i="2"/>
  <c r="AA14" i="2"/>
  <c r="AA15" i="2" s="1"/>
  <c r="AA19" i="2" s="1"/>
  <c r="AB6" i="2"/>
  <c r="AA28" i="2"/>
  <c r="Y24" i="2"/>
  <c r="Y33" i="2"/>
  <c r="W33" i="2"/>
  <c r="W24" i="2"/>
  <c r="V32" i="2"/>
  <c r="V24" i="2"/>
  <c r="V33" i="2"/>
  <c r="AA31" i="2"/>
  <c r="AA26" i="2"/>
  <c r="AA29" i="2"/>
  <c r="AA27" i="2"/>
  <c r="AB14" i="2" l="1"/>
  <c r="AB15" i="2" s="1"/>
  <c r="AB19" i="2" s="1"/>
  <c r="AC6" i="2"/>
  <c r="AB28" i="2"/>
  <c r="AD9" i="2"/>
  <c r="AC30" i="2"/>
  <c r="Z24" i="2"/>
  <c r="Z33" i="2"/>
  <c r="AA20" i="2"/>
  <c r="AA32" i="2" s="1"/>
  <c r="AB27" i="2"/>
  <c r="AB26" i="2"/>
  <c r="AB29" i="2"/>
  <c r="AE9" i="2" l="1"/>
  <c r="AD30" i="2"/>
  <c r="AB31" i="2"/>
  <c r="AC14" i="2"/>
  <c r="AC15" i="2" s="1"/>
  <c r="AC19" i="2" s="1"/>
  <c r="AD6" i="2"/>
  <c r="AC28" i="2"/>
  <c r="AA22" i="2"/>
  <c r="AB22" i="2"/>
  <c r="AB20" i="2"/>
  <c r="AB32" i="2" s="1"/>
  <c r="AC29" i="2"/>
  <c r="AC26" i="2"/>
  <c r="AC27" i="2"/>
  <c r="AD14" i="2" l="1"/>
  <c r="AD15" i="2" s="1"/>
  <c r="AD19" i="2" s="1"/>
  <c r="AE6" i="2"/>
  <c r="AD28" i="2"/>
  <c r="AC20" i="2"/>
  <c r="AC32" i="2" s="1"/>
  <c r="AC22" i="2"/>
  <c r="AA24" i="2"/>
  <c r="AA33" i="2"/>
  <c r="AB24" i="2"/>
  <c r="AB33" i="2"/>
  <c r="AC31" i="2"/>
  <c r="AF9" i="2"/>
  <c r="AF30" i="2" s="1"/>
  <c r="AE30" i="2"/>
  <c r="AD27" i="2"/>
  <c r="AD29" i="2"/>
  <c r="AD26" i="2"/>
  <c r="AD31" i="2" l="1"/>
  <c r="AD20" i="2"/>
  <c r="AD32" i="2" s="1"/>
  <c r="AC24" i="2"/>
  <c r="AC33" i="2"/>
  <c r="AE14" i="2"/>
  <c r="AE15" i="2" s="1"/>
  <c r="AE19" i="2" s="1"/>
  <c r="AF6" i="2"/>
  <c r="AE28" i="2"/>
  <c r="AE26" i="2"/>
  <c r="AE29" i="2"/>
  <c r="AE27" i="2"/>
  <c r="AF14" i="2" l="1"/>
  <c r="AF15" i="2" s="1"/>
  <c r="AF19" i="2" s="1"/>
  <c r="AF28" i="2"/>
  <c r="AE31" i="2"/>
  <c r="AE22" i="2"/>
  <c r="AE20" i="2"/>
  <c r="AE32" i="2" s="1"/>
  <c r="AD22" i="2"/>
  <c r="AF27" i="2"/>
  <c r="AF29" i="2"/>
  <c r="AF26" i="2"/>
  <c r="AF31" i="2"/>
  <c r="AE24" i="2" l="1"/>
  <c r="AE33" i="2"/>
  <c r="AF20" i="2"/>
  <c r="AF32" i="2" s="1"/>
  <c r="AD24" i="2"/>
  <c r="AD33" i="2"/>
  <c r="AF22" i="2" l="1"/>
  <c r="AF24" i="2" l="1"/>
  <c r="AF3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Anton Mniszek</author>
  </authors>
  <commentList>
    <comment ref="Q16" authorId="0" shapeId="0" xr:uid="{A2654D3C-0870-41CA-A4C2-D0B3321891F0}">
      <text>
        <r>
          <rPr>
            <b/>
            <sz val="9"/>
            <color indexed="81"/>
            <rFont val="Tahoma"/>
            <family val="2"/>
          </rPr>
          <t>Anton Mniszek:</t>
        </r>
        <r>
          <rPr>
            <sz val="9"/>
            <color indexed="81"/>
            <rFont val="Tahoma"/>
            <family val="2"/>
          </rPr>
          <t xml:space="preserve">
only net finance expense listed</t>
        </r>
      </text>
    </comment>
  </commentList>
</comments>
</file>

<file path=xl/sharedStrings.xml><?xml version="1.0" encoding="utf-8"?>
<sst xmlns="http://schemas.openxmlformats.org/spreadsheetml/2006/main" count="66" uniqueCount="61">
  <si>
    <t>ERJ</t>
  </si>
  <si>
    <t>Price</t>
  </si>
  <si>
    <t>Shares</t>
  </si>
  <si>
    <t>MC</t>
  </si>
  <si>
    <t>Cash</t>
  </si>
  <si>
    <t>Debt</t>
  </si>
  <si>
    <t>Net Cash</t>
  </si>
  <si>
    <t>EV</t>
  </si>
  <si>
    <t>Last checked</t>
  </si>
  <si>
    <t>Today</t>
  </si>
  <si>
    <t>Earnings</t>
  </si>
  <si>
    <t>Q225</t>
  </si>
  <si>
    <t>Revenue</t>
  </si>
  <si>
    <t>Q123</t>
  </si>
  <si>
    <t>Q223</t>
  </si>
  <si>
    <t>Q323</t>
  </si>
  <si>
    <t>Q423</t>
  </si>
  <si>
    <t>Q124</t>
  </si>
  <si>
    <t>Q224</t>
  </si>
  <si>
    <t>Q324</t>
  </si>
  <si>
    <t>Q424</t>
  </si>
  <si>
    <t>Q125</t>
  </si>
  <si>
    <t>Q325</t>
  </si>
  <si>
    <t>Q425</t>
  </si>
  <si>
    <t>Cost of sales</t>
  </si>
  <si>
    <t>Gross profit</t>
  </si>
  <si>
    <t>G&amp;A</t>
  </si>
  <si>
    <t>S&amp;M</t>
  </si>
  <si>
    <t>Credit expense</t>
  </si>
  <si>
    <t>R&amp;D</t>
  </si>
  <si>
    <t>Other income</t>
  </si>
  <si>
    <t>Other expenses</t>
  </si>
  <si>
    <t>Total opex</t>
  </si>
  <si>
    <t>Operating profit</t>
  </si>
  <si>
    <t>Finance income</t>
  </si>
  <si>
    <t>Finance expense</t>
  </si>
  <si>
    <t>Hedging expense</t>
  </si>
  <si>
    <t>Pretax profit</t>
  </si>
  <si>
    <t>Taxes</t>
  </si>
  <si>
    <t>MI</t>
  </si>
  <si>
    <t>Net profit</t>
  </si>
  <si>
    <t>EPS</t>
  </si>
  <si>
    <t>Investments</t>
  </si>
  <si>
    <t>Net other expense</t>
  </si>
  <si>
    <t>Revenue y/y</t>
  </si>
  <si>
    <t>Gross Margin</t>
  </si>
  <si>
    <t>G&amp;A y/y</t>
  </si>
  <si>
    <t>S&amp;M Margin</t>
  </si>
  <si>
    <t>R&amp;D y/y</t>
  </si>
  <si>
    <t>Operating Margin</t>
  </si>
  <si>
    <t>Net Margin</t>
  </si>
  <si>
    <t>Maturity</t>
  </si>
  <si>
    <t>Discount rate</t>
  </si>
  <si>
    <t>NPV</t>
  </si>
  <si>
    <t>Net cash</t>
  </si>
  <si>
    <t>Value</t>
  </si>
  <si>
    <t>Per share</t>
  </si>
  <si>
    <t>Current price</t>
  </si>
  <si>
    <t>Consensus</t>
  </si>
  <si>
    <t>Variance</t>
  </si>
  <si>
    <t>Overvalued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</si>
</sst>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/>
    <xf numFmtId="0" fontId="1" fillId="2" borderId="1" xfId="0" applyFont="1" applyFill="1" applyBorder="1"/>
    <xf numFmtId="0" fontId="3" fillId="2" borderId="1" xfId="0" applyFont="1" applyFill="1" applyBorder="1" applyAlignment="1">
      <alignment horizontal="right"/>
    </xf>
    <xf numFmtId="14" fontId="3" fillId="2" borderId="1" xfId="0" applyNumberFormat="1" applyFont="1" applyFill="1" applyBorder="1" applyAlignment="1">
      <alignment horizontal="right"/>
    </xf>
    <xf numFmtId="164" fontId="2" fillId="2" borderId="1" xfId="0" applyNumberFormat="1" applyFont="1" applyFill="1" applyBorder="1"/>
    <xf numFmtId="3" fontId="2" fillId="2" borderId="1" xfId="0" applyNumberFormat="1" applyFont="1" applyFill="1" applyBorder="1"/>
    <xf numFmtId="0" fontId="2" fillId="2" borderId="1" xfId="0" applyFont="1" applyFill="1" applyBorder="1" applyAlignment="1">
      <alignment horizontal="right"/>
    </xf>
    <xf numFmtId="4" fontId="2" fillId="2" borderId="1" xfId="0" applyNumberFormat="1" applyFont="1" applyFill="1" applyBorder="1"/>
    <xf numFmtId="3" fontId="1" fillId="2" borderId="1" xfId="0" applyNumberFormat="1" applyFont="1" applyFill="1" applyBorder="1"/>
    <xf numFmtId="9" fontId="2" fillId="2" borderId="1" xfId="0" applyNumberFormat="1" applyFont="1" applyFill="1" applyBorder="1"/>
    <xf numFmtId="9" fontId="1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22860</xdr:colOff>
      <xdr:row>0</xdr:row>
      <xdr:rowOff>7620</xdr:rowOff>
    </xdr:from>
    <xdr:to>
      <xdr:col>21</xdr:col>
      <xdr:colOff>22860</xdr:colOff>
      <xdr:row>34</xdr:row>
      <xdr:rowOff>106680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55DBA83F-B6CF-6D9B-13F1-56606E853185}"/>
            </a:ext>
          </a:extLst>
        </xdr:cNvPr>
        <xdr:cNvCxnSpPr/>
      </xdr:nvCxnSpPr>
      <xdr:spPr>
        <a:xfrm>
          <a:off x="13296900" y="7620"/>
          <a:ext cx="0" cy="61341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22860</xdr:colOff>
      <xdr:row>0</xdr:row>
      <xdr:rowOff>22860</xdr:rowOff>
    </xdr:from>
    <xdr:to>
      <xdr:col>12</xdr:col>
      <xdr:colOff>22860</xdr:colOff>
      <xdr:row>34</xdr:row>
      <xdr:rowOff>99060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D0265D6E-3A24-B799-C8EF-EA00D48B5250}"/>
            </a:ext>
          </a:extLst>
        </xdr:cNvPr>
        <xdr:cNvCxnSpPr/>
      </xdr:nvCxnSpPr>
      <xdr:spPr>
        <a:xfrm>
          <a:off x="7810500" y="22860"/>
          <a:ext cx="0" cy="611124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A774E-60B5-4CC4-A300-4632A88E4E14}">
  <dimension ref="B2:G9"/>
  <sheetViews>
    <sheetView tabSelected="1" workbookViewId="0">
      <selection activeCell="D4" sqref="D4"/>
    </sheetView>
  </sheetViews>
  <sheetFormatPr defaultRowHeight="14.4" x14ac:dyDescent="0.3"/>
  <cols>
    <col min="1" max="4" width="8.88671875" style="1"/>
    <col min="5" max="5" width="11.88671875" style="3" bestFit="1" customWidth="1"/>
    <col min="6" max="7" width="11.21875" style="3" bestFit="1" customWidth="1"/>
    <col min="8" max="16384" width="8.88671875" style="1"/>
  </cols>
  <sheetData>
    <row r="2" spans="2:7" x14ac:dyDescent="0.3">
      <c r="E2" s="3" t="s">
        <v>8</v>
      </c>
      <c r="F2" s="3" t="s">
        <v>9</v>
      </c>
      <c r="G2" s="3" t="s">
        <v>10</v>
      </c>
    </row>
    <row r="3" spans="2:7" x14ac:dyDescent="0.3">
      <c r="B3" s="2" t="s">
        <v>0</v>
      </c>
      <c r="C3" s="1" t="s">
        <v>1</v>
      </c>
      <c r="D3" s="5">
        <v>57.19</v>
      </c>
      <c r="E3" s="4">
        <v>45903</v>
      </c>
      <c r="F3" s="4">
        <f ca="1">TODAY()</f>
        <v>45903</v>
      </c>
      <c r="G3" s="4">
        <v>45965</v>
      </c>
    </row>
    <row r="4" spans="2:7" x14ac:dyDescent="0.3">
      <c r="C4" s="1" t="s">
        <v>2</v>
      </c>
      <c r="D4" s="6">
        <f>734/4</f>
        <v>183.5</v>
      </c>
      <c r="E4" s="3" t="s">
        <v>11</v>
      </c>
    </row>
    <row r="5" spans="2:7" x14ac:dyDescent="0.3">
      <c r="C5" s="1" t="s">
        <v>3</v>
      </c>
      <c r="D5" s="6">
        <f>D3*D4</f>
        <v>10494.365</v>
      </c>
    </row>
    <row r="6" spans="2:7" x14ac:dyDescent="0.3">
      <c r="C6" s="1" t="s">
        <v>4</v>
      </c>
      <c r="D6" s="6">
        <f>654+603.6+347.7</f>
        <v>1605.3</v>
      </c>
      <c r="E6" s="3" t="s">
        <v>11</v>
      </c>
    </row>
    <row r="7" spans="2:7" x14ac:dyDescent="0.3">
      <c r="C7" s="1" t="s">
        <v>5</v>
      </c>
      <c r="D7" s="6">
        <f>121.8+2083.5</f>
        <v>2205.3000000000002</v>
      </c>
      <c r="E7" s="3" t="s">
        <v>11</v>
      </c>
    </row>
    <row r="8" spans="2:7" x14ac:dyDescent="0.3">
      <c r="C8" s="1" t="s">
        <v>6</v>
      </c>
      <c r="D8" s="6">
        <f>D6-D7</f>
        <v>-600.00000000000023</v>
      </c>
    </row>
    <row r="9" spans="2:7" x14ac:dyDescent="0.3">
      <c r="C9" s="1" t="s">
        <v>7</v>
      </c>
      <c r="D9" s="6">
        <f>D5-D8</f>
        <v>11094.365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AC1A7-EE29-4764-83A3-E8C5C7FED37C}">
  <dimension ref="B2:EJ35"/>
  <sheetViews>
    <sheetView workbookViewId="0">
      <pane xSplit="2" ySplit="2" topLeftCell="P12" activePane="bottomRight" state="frozen"/>
      <selection pane="topRight" activeCell="C1" sqref="C1"/>
      <selection pane="bottomLeft" activeCell="A3" sqref="A3"/>
      <selection pane="bottomRight" activeCell="M8" sqref="M8"/>
    </sheetView>
  </sheetViews>
  <sheetFormatPr defaultRowHeight="14.4" x14ac:dyDescent="0.3"/>
  <cols>
    <col min="1" max="1" width="8.88671875" style="1"/>
    <col min="2" max="2" width="17" style="1" customWidth="1"/>
    <col min="3" max="33" width="8.88671875" style="1"/>
    <col min="34" max="34" width="13.5546875" style="1" customWidth="1"/>
    <col min="35" max="35" width="14.44140625" style="1" customWidth="1"/>
    <col min="36" max="16384" width="8.88671875" style="1"/>
  </cols>
  <sheetData>
    <row r="2" spans="2:32" x14ac:dyDescent="0.3">
      <c r="C2" s="7" t="s">
        <v>13</v>
      </c>
      <c r="D2" s="7" t="s">
        <v>14</v>
      </c>
      <c r="E2" s="7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  <c r="L2" s="7" t="s">
        <v>11</v>
      </c>
      <c r="M2" s="7" t="s">
        <v>22</v>
      </c>
      <c r="N2" s="7" t="s">
        <v>23</v>
      </c>
      <c r="P2" s="1">
        <v>2019</v>
      </c>
      <c r="Q2" s="1">
        <v>2020</v>
      </c>
      <c r="R2" s="1">
        <v>2021</v>
      </c>
      <c r="S2" s="1">
        <v>2022</v>
      </c>
      <c r="T2" s="1">
        <v>2023</v>
      </c>
      <c r="U2" s="1">
        <v>2024</v>
      </c>
      <c r="V2" s="1">
        <v>2025</v>
      </c>
      <c r="W2" s="1">
        <v>2026</v>
      </c>
      <c r="X2" s="1">
        <v>2027</v>
      </c>
      <c r="Y2" s="1">
        <v>2028</v>
      </c>
      <c r="Z2" s="1">
        <v>2029</v>
      </c>
      <c r="AA2" s="1">
        <v>2030</v>
      </c>
      <c r="AB2" s="1">
        <v>2031</v>
      </c>
      <c r="AC2" s="1">
        <v>2032</v>
      </c>
      <c r="AD2" s="1">
        <v>2033</v>
      </c>
      <c r="AE2" s="1">
        <v>2034</v>
      </c>
      <c r="AF2" s="1">
        <v>2035</v>
      </c>
    </row>
    <row r="3" spans="2:32" s="2" customFormat="1" x14ac:dyDescent="0.3">
      <c r="B3" s="2" t="s">
        <v>12</v>
      </c>
      <c r="C3" s="9">
        <v>716.7</v>
      </c>
      <c r="D3" s="9">
        <v>1292.3</v>
      </c>
      <c r="E3" s="9">
        <v>1284.4000000000001</v>
      </c>
      <c r="F3" s="9">
        <v>1975.1</v>
      </c>
      <c r="G3" s="9">
        <v>896.6</v>
      </c>
      <c r="H3" s="9">
        <v>1494.2</v>
      </c>
      <c r="I3" s="9">
        <v>1692.4</v>
      </c>
      <c r="J3" s="9">
        <v>2311.5</v>
      </c>
      <c r="K3" s="9">
        <v>1103</v>
      </c>
      <c r="L3" s="9">
        <v>1819.2</v>
      </c>
      <c r="M3" s="9">
        <f>I3*1.21</f>
        <v>2047.8040000000001</v>
      </c>
      <c r="N3" s="9">
        <f>J3*1.2</f>
        <v>2773.7999999999997</v>
      </c>
      <c r="P3" s="9">
        <v>5462.6</v>
      </c>
      <c r="Q3" s="9">
        <v>3771.1</v>
      </c>
      <c r="R3" s="9">
        <v>4197.2</v>
      </c>
      <c r="S3" s="9">
        <v>4540.2</v>
      </c>
      <c r="T3" s="9">
        <f>SUM(C3:F3)</f>
        <v>5268.5</v>
      </c>
      <c r="U3" s="9">
        <f>SUM(G3:J3)</f>
        <v>6394.7000000000007</v>
      </c>
      <c r="V3" s="9">
        <f>SUM(K3:N3)</f>
        <v>7743.8040000000001</v>
      </c>
      <c r="W3" s="9">
        <f>V3*1.15</f>
        <v>8905.3745999999992</v>
      </c>
      <c r="X3" s="9">
        <f>W3*1.11</f>
        <v>9884.9658060000002</v>
      </c>
      <c r="Y3" s="9">
        <f>X3*1.07</f>
        <v>10576.913412420001</v>
      </c>
      <c r="Z3" s="9">
        <f>Y3*1.05</f>
        <v>11105.759083041001</v>
      </c>
      <c r="AA3" s="9">
        <f>Z3*1.03</f>
        <v>11438.931855532232</v>
      </c>
      <c r="AB3" s="9">
        <f>AA3*1.02</f>
        <v>11667.710492642876</v>
      </c>
      <c r="AC3" s="9">
        <f t="shared" ref="AC3:AF3" si="0">AB3*1.02</f>
        <v>11901.064702495734</v>
      </c>
      <c r="AD3" s="9">
        <f t="shared" si="0"/>
        <v>12139.085996545649</v>
      </c>
      <c r="AE3" s="9">
        <f t="shared" si="0"/>
        <v>12381.867716476563</v>
      </c>
      <c r="AF3" s="9">
        <f t="shared" si="0"/>
        <v>12629.505070806095</v>
      </c>
    </row>
    <row r="4" spans="2:32" x14ac:dyDescent="0.3">
      <c r="B4" s="1" t="s">
        <v>24</v>
      </c>
      <c r="C4" s="6">
        <v>603</v>
      </c>
      <c r="D4" s="6">
        <v>1069</v>
      </c>
      <c r="E4" s="6">
        <v>1051.3</v>
      </c>
      <c r="F4" s="6">
        <v>1635.6</v>
      </c>
      <c r="G4" s="6">
        <v>727.9</v>
      </c>
      <c r="H4" s="6">
        <v>1254.2</v>
      </c>
      <c r="I4" s="6">
        <v>1377.6</v>
      </c>
      <c r="J4" s="6">
        <v>1881.9</v>
      </c>
      <c r="K4" s="6">
        <v>913.9</v>
      </c>
      <c r="L4" s="6">
        <v>1466.3</v>
      </c>
      <c r="M4" s="6">
        <f>M3-M5</f>
        <v>1658.7212400000001</v>
      </c>
      <c r="N4" s="6">
        <f>N3-N5</f>
        <v>2246.7779999999998</v>
      </c>
      <c r="P4" s="6">
        <v>4667.1000000000004</v>
      </c>
      <c r="Q4" s="6">
        <v>3293.5</v>
      </c>
      <c r="R4" s="6">
        <v>3537.6</v>
      </c>
      <c r="S4" s="6">
        <v>3628.2</v>
      </c>
      <c r="T4" s="6">
        <f>SUM(C4:F4)</f>
        <v>4358.8999999999996</v>
      </c>
      <c r="U4" s="6">
        <f>SUM(G4:J4)</f>
        <v>5241.6000000000004</v>
      </c>
      <c r="V4" s="6">
        <f>SUM(K4:N4)</f>
        <v>6285.6992399999999</v>
      </c>
      <c r="W4" s="6">
        <f>W3-W5</f>
        <v>7213.3534259999997</v>
      </c>
      <c r="X4" s="6">
        <f t="shared" ref="X4:AF4" si="1">X3-X5</f>
        <v>8006.8223028600005</v>
      </c>
      <c r="Y4" s="6">
        <f t="shared" si="1"/>
        <v>8567.2998640602</v>
      </c>
      <c r="Z4" s="6">
        <f t="shared" si="1"/>
        <v>8995.6648572632112</v>
      </c>
      <c r="AA4" s="6">
        <f t="shared" si="1"/>
        <v>9265.5348029811066</v>
      </c>
      <c r="AB4" s="6">
        <f t="shared" si="1"/>
        <v>9450.8454990407299</v>
      </c>
      <c r="AC4" s="6">
        <f t="shared" si="1"/>
        <v>9639.8624090215453</v>
      </c>
      <c r="AD4" s="6">
        <f t="shared" si="1"/>
        <v>9832.6596572019753</v>
      </c>
      <c r="AE4" s="6">
        <f t="shared" si="1"/>
        <v>10029.312850346016</v>
      </c>
      <c r="AF4" s="6">
        <f t="shared" si="1"/>
        <v>10229.899107352938</v>
      </c>
    </row>
    <row r="5" spans="2:32" s="2" customFormat="1" x14ac:dyDescent="0.3">
      <c r="B5" s="2" t="s">
        <v>25</v>
      </c>
      <c r="C5" s="9">
        <f>C3-C4</f>
        <v>113.70000000000005</v>
      </c>
      <c r="D5" s="9">
        <f>D3-D4</f>
        <v>223.29999999999995</v>
      </c>
      <c r="E5" s="9">
        <f>E3-E4</f>
        <v>233.10000000000014</v>
      </c>
      <c r="F5" s="9">
        <f>F3-F4</f>
        <v>339.5</v>
      </c>
      <c r="G5" s="9">
        <f>G3-G4</f>
        <v>168.70000000000005</v>
      </c>
      <c r="H5" s="9">
        <f>H3-H4</f>
        <v>240</v>
      </c>
      <c r="I5" s="9">
        <f>I3-I4</f>
        <v>314.80000000000018</v>
      </c>
      <c r="J5" s="9">
        <f>J3-J4</f>
        <v>429.59999999999991</v>
      </c>
      <c r="K5" s="9">
        <f>K3-K4</f>
        <v>189.10000000000002</v>
      </c>
      <c r="L5" s="9">
        <f>L3-L4</f>
        <v>352.90000000000009</v>
      </c>
      <c r="M5" s="9">
        <f>M3*0.19</f>
        <v>389.08276000000001</v>
      </c>
      <c r="N5" s="9">
        <f>N3*0.19</f>
        <v>527.02199999999993</v>
      </c>
      <c r="P5" s="9">
        <f>P3-P4</f>
        <v>795.5</v>
      </c>
      <c r="Q5" s="9">
        <f>Q3-Q4</f>
        <v>477.59999999999991</v>
      </c>
      <c r="R5" s="9">
        <f>R3-R4</f>
        <v>659.59999999999991</v>
      </c>
      <c r="S5" s="9">
        <f>S3-S4</f>
        <v>912</v>
      </c>
      <c r="T5" s="9">
        <f>T3-T4</f>
        <v>909.60000000000036</v>
      </c>
      <c r="U5" s="9">
        <f>U3-U4</f>
        <v>1153.1000000000004</v>
      </c>
      <c r="V5" s="9">
        <f>V3-V4</f>
        <v>1458.1047600000002</v>
      </c>
      <c r="W5" s="9">
        <f>W3*0.19</f>
        <v>1692.021174</v>
      </c>
      <c r="X5" s="9">
        <f t="shared" ref="X5:AF5" si="2">X3*0.19</f>
        <v>1878.1435031400001</v>
      </c>
      <c r="Y5" s="9">
        <f t="shared" si="2"/>
        <v>2009.6135483598002</v>
      </c>
      <c r="Z5" s="9">
        <f t="shared" si="2"/>
        <v>2110.0942257777901</v>
      </c>
      <c r="AA5" s="9">
        <f t="shared" si="2"/>
        <v>2173.397052551124</v>
      </c>
      <c r="AB5" s="9">
        <f t="shared" si="2"/>
        <v>2216.8649936021466</v>
      </c>
      <c r="AC5" s="9">
        <f t="shared" si="2"/>
        <v>2261.2022934741894</v>
      </c>
      <c r="AD5" s="9">
        <f t="shared" si="2"/>
        <v>2306.4263393436736</v>
      </c>
      <c r="AE5" s="9">
        <f t="shared" si="2"/>
        <v>2352.554866130547</v>
      </c>
      <c r="AF5" s="9">
        <f t="shared" si="2"/>
        <v>2399.605963453158</v>
      </c>
    </row>
    <row r="6" spans="2:32" x14ac:dyDescent="0.3">
      <c r="B6" s="1" t="s">
        <v>26</v>
      </c>
      <c r="C6" s="6">
        <v>50.1</v>
      </c>
      <c r="D6" s="6">
        <v>51.3</v>
      </c>
      <c r="E6" s="6">
        <v>51.4</v>
      </c>
      <c r="F6" s="6">
        <v>52.1</v>
      </c>
      <c r="G6" s="6">
        <v>49.8</v>
      </c>
      <c r="H6" s="6">
        <v>47.3</v>
      </c>
      <c r="I6" s="6">
        <v>48</v>
      </c>
      <c r="J6" s="6">
        <v>53.8</v>
      </c>
      <c r="K6" s="6">
        <v>49.2</v>
      </c>
      <c r="L6" s="6">
        <v>52.7</v>
      </c>
      <c r="M6" s="6">
        <f>I6*1.03</f>
        <v>49.44</v>
      </c>
      <c r="N6" s="6">
        <f>J6*1.03</f>
        <v>55.414000000000001</v>
      </c>
      <c r="P6" s="6">
        <v>190.2</v>
      </c>
      <c r="Q6" s="6">
        <v>143.4</v>
      </c>
      <c r="R6" s="6">
        <v>153.19999999999999</v>
      </c>
      <c r="S6" s="6">
        <v>184.9</v>
      </c>
      <c r="T6" s="6">
        <f t="shared" ref="S6:V13" si="3">SUM(C6:F6)</f>
        <v>204.9</v>
      </c>
      <c r="U6" s="6">
        <f t="shared" ref="U6:V13" si="4">SUM(G6:J6)</f>
        <v>198.89999999999998</v>
      </c>
      <c r="V6" s="6">
        <f t="shared" ref="V6:V13" si="5">SUM(K6:N6)</f>
        <v>206.75400000000002</v>
      </c>
      <c r="W6" s="6">
        <f>V6*1.03</f>
        <v>212.95662000000002</v>
      </c>
      <c r="X6" s="6">
        <f t="shared" ref="X6:AF6" si="6">W6*1.03</f>
        <v>219.34531860000001</v>
      </c>
      <c r="Y6" s="6">
        <f t="shared" si="6"/>
        <v>225.92567815800001</v>
      </c>
      <c r="Z6" s="6">
        <f t="shared" si="6"/>
        <v>232.70344850274003</v>
      </c>
      <c r="AA6" s="6">
        <f t="shared" si="6"/>
        <v>239.68455195782224</v>
      </c>
      <c r="AB6" s="6">
        <f t="shared" si="6"/>
        <v>246.8750885165569</v>
      </c>
      <c r="AC6" s="6">
        <f t="shared" si="6"/>
        <v>254.2813411720536</v>
      </c>
      <c r="AD6" s="6">
        <f t="shared" si="6"/>
        <v>261.90978140721523</v>
      </c>
      <c r="AE6" s="6">
        <f t="shared" si="6"/>
        <v>269.76707484943171</v>
      </c>
      <c r="AF6" s="6">
        <f t="shared" si="6"/>
        <v>277.86008709491466</v>
      </c>
    </row>
    <row r="7" spans="2:32" x14ac:dyDescent="0.3">
      <c r="B7" s="1" t="s">
        <v>27</v>
      </c>
      <c r="C7" s="6">
        <v>68.3</v>
      </c>
      <c r="D7" s="6">
        <v>82.8</v>
      </c>
      <c r="E7" s="6">
        <v>72.599999999999994</v>
      </c>
      <c r="F7" s="6">
        <v>91</v>
      </c>
      <c r="G7" s="6">
        <v>76.900000000000006</v>
      </c>
      <c r="H7" s="6">
        <v>76</v>
      </c>
      <c r="I7" s="6">
        <v>77.900000000000006</v>
      </c>
      <c r="J7" s="6">
        <v>78.900000000000006</v>
      </c>
      <c r="K7" s="6">
        <v>71</v>
      </c>
      <c r="L7" s="6">
        <v>88.9</v>
      </c>
      <c r="M7" s="6">
        <f>M3*0.045</f>
        <v>92.151179999999997</v>
      </c>
      <c r="N7" s="6">
        <f>N3*0.035</f>
        <v>97.082999999999998</v>
      </c>
      <c r="P7" s="6">
        <v>286.5</v>
      </c>
      <c r="Q7" s="6">
        <v>194</v>
      </c>
      <c r="R7" s="6">
        <v>226.4</v>
      </c>
      <c r="S7" s="6">
        <v>274.39999999999998</v>
      </c>
      <c r="T7" s="6">
        <f t="shared" si="3"/>
        <v>314.7</v>
      </c>
      <c r="U7" s="6">
        <f t="shared" si="4"/>
        <v>309.70000000000005</v>
      </c>
      <c r="V7" s="6">
        <f t="shared" si="5"/>
        <v>349.13418000000001</v>
      </c>
      <c r="W7" s="6">
        <f>W3*0.044</f>
        <v>391.83648239999997</v>
      </c>
      <c r="X7" s="6">
        <f t="shared" ref="X7:AF7" si="7">X3*0.044</f>
        <v>434.93849546399997</v>
      </c>
      <c r="Y7" s="6">
        <f t="shared" si="7"/>
        <v>465.38419014648002</v>
      </c>
      <c r="Z7" s="6">
        <f t="shared" si="7"/>
        <v>488.653399653804</v>
      </c>
      <c r="AA7" s="6">
        <f t="shared" si="7"/>
        <v>503.31300164341815</v>
      </c>
      <c r="AB7" s="6">
        <f t="shared" si="7"/>
        <v>513.37926167628655</v>
      </c>
      <c r="AC7" s="6">
        <f t="shared" si="7"/>
        <v>523.64684690981233</v>
      </c>
      <c r="AD7" s="6">
        <f t="shared" si="7"/>
        <v>534.11978384800852</v>
      </c>
      <c r="AE7" s="6">
        <f t="shared" si="7"/>
        <v>544.80217952496878</v>
      </c>
      <c r="AF7" s="6">
        <f t="shared" si="7"/>
        <v>555.69822311546818</v>
      </c>
    </row>
    <row r="8" spans="2:32" x14ac:dyDescent="0.3">
      <c r="B8" s="1" t="s">
        <v>28</v>
      </c>
      <c r="C8" s="6">
        <v>1</v>
      </c>
      <c r="D8" s="6">
        <v>-14.2</v>
      </c>
      <c r="E8" s="6">
        <v>4.7</v>
      </c>
      <c r="F8" s="6">
        <v>-1.7</v>
      </c>
      <c r="G8" s="6">
        <v>3.3</v>
      </c>
      <c r="H8" s="6">
        <v>0.1</v>
      </c>
      <c r="I8" s="6">
        <v>-0.5</v>
      </c>
      <c r="J8" s="6">
        <v>18.2</v>
      </c>
      <c r="K8" s="6">
        <v>-3.2</v>
      </c>
      <c r="L8" s="6">
        <v>9.1</v>
      </c>
      <c r="M8" s="6">
        <v>0</v>
      </c>
      <c r="N8" s="6">
        <v>0</v>
      </c>
      <c r="P8" s="6">
        <v>-0.6</v>
      </c>
      <c r="Q8" s="6">
        <v>61.8</v>
      </c>
      <c r="R8" s="6">
        <v>-13</v>
      </c>
      <c r="S8" s="6">
        <v>17.399999999999999</v>
      </c>
      <c r="T8" s="6">
        <f t="shared" si="3"/>
        <v>-10.199999999999999</v>
      </c>
      <c r="U8" s="6">
        <f t="shared" si="4"/>
        <v>21.099999999999998</v>
      </c>
      <c r="V8" s="6">
        <f t="shared" si="5"/>
        <v>5.8999999999999995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</row>
    <row r="9" spans="2:32" x14ac:dyDescent="0.3">
      <c r="B9" s="1" t="s">
        <v>29</v>
      </c>
      <c r="C9" s="6">
        <v>31.8</v>
      </c>
      <c r="D9" s="6">
        <v>23.8</v>
      </c>
      <c r="E9" s="6">
        <v>17</v>
      </c>
      <c r="F9" s="6">
        <v>17.7</v>
      </c>
      <c r="G9" s="6">
        <v>12.1</v>
      </c>
      <c r="H9" s="6">
        <v>15.3</v>
      </c>
      <c r="I9" s="6">
        <v>9.6</v>
      </c>
      <c r="J9" s="6">
        <v>18</v>
      </c>
      <c r="K9" s="6">
        <v>14.2</v>
      </c>
      <c r="L9" s="6">
        <v>12.1</v>
      </c>
      <c r="M9" s="6">
        <f>I9*1.1</f>
        <v>10.56</v>
      </c>
      <c r="N9" s="6">
        <f>J9*1.1</f>
        <v>19.8</v>
      </c>
      <c r="P9" s="6">
        <v>49.4</v>
      </c>
      <c r="Q9" s="6">
        <v>29.8</v>
      </c>
      <c r="R9" s="6">
        <v>43</v>
      </c>
      <c r="S9" s="6">
        <v>110</v>
      </c>
      <c r="T9" s="6">
        <f t="shared" si="3"/>
        <v>90.3</v>
      </c>
      <c r="U9" s="6">
        <f t="shared" si="4"/>
        <v>55</v>
      </c>
      <c r="V9" s="6">
        <f t="shared" si="5"/>
        <v>56.66</v>
      </c>
      <c r="W9" s="6">
        <f>V9*1.03</f>
        <v>58.3598</v>
      </c>
      <c r="X9" s="6">
        <f t="shared" ref="X9:AF9" si="8">W9*1.03</f>
        <v>60.110593999999999</v>
      </c>
      <c r="Y9" s="6">
        <f t="shared" si="8"/>
        <v>61.913911820000003</v>
      </c>
      <c r="Z9" s="6">
        <f t="shared" si="8"/>
        <v>63.771329174600005</v>
      </c>
      <c r="AA9" s="6">
        <f t="shared" si="8"/>
        <v>65.684469049838</v>
      </c>
      <c r="AB9" s="6">
        <f t="shared" si="8"/>
        <v>67.655003121333138</v>
      </c>
      <c r="AC9" s="6">
        <f t="shared" si="8"/>
        <v>69.684653214973139</v>
      </c>
      <c r="AD9" s="6">
        <f t="shared" si="8"/>
        <v>71.775192811422329</v>
      </c>
      <c r="AE9" s="6">
        <f t="shared" si="8"/>
        <v>73.928448595765005</v>
      </c>
      <c r="AF9" s="6">
        <f t="shared" si="8"/>
        <v>76.146302053637953</v>
      </c>
    </row>
    <row r="10" spans="2:32" x14ac:dyDescent="0.3">
      <c r="B10" s="1" t="s">
        <v>30</v>
      </c>
      <c r="C10" s="6"/>
      <c r="D10" s="6">
        <v>-26.7</v>
      </c>
      <c r="E10" s="6">
        <v>-37.9</v>
      </c>
      <c r="F10" s="6">
        <v>-90.9</v>
      </c>
      <c r="G10" s="6">
        <v>-9.6</v>
      </c>
      <c r="H10" s="6">
        <v>-66</v>
      </c>
      <c r="I10" s="6">
        <v>-174.6</v>
      </c>
      <c r="J10" s="6">
        <v>-28.2</v>
      </c>
      <c r="K10" s="6">
        <v>-24.7</v>
      </c>
      <c r="L10" s="6">
        <v>-17</v>
      </c>
      <c r="M10" s="6"/>
      <c r="N10" s="6"/>
      <c r="P10" s="6"/>
      <c r="Q10" s="6"/>
      <c r="R10" s="6"/>
      <c r="S10" s="6"/>
      <c r="T10" s="6">
        <f t="shared" si="3"/>
        <v>-155.5</v>
      </c>
      <c r="U10" s="6">
        <f t="shared" si="4"/>
        <v>-278.39999999999998</v>
      </c>
      <c r="V10" s="6">
        <f t="shared" si="5"/>
        <v>-41.7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</row>
    <row r="11" spans="2:32" x14ac:dyDescent="0.3">
      <c r="B11" s="1" t="s">
        <v>31</v>
      </c>
      <c r="C11" s="6"/>
      <c r="D11" s="6">
        <v>35.200000000000003</v>
      </c>
      <c r="E11" s="6">
        <v>47.2</v>
      </c>
      <c r="F11" s="6">
        <v>63.8</v>
      </c>
      <c r="G11" s="6">
        <v>39.799999999999997</v>
      </c>
      <c r="H11" s="6">
        <v>38.700000000000003</v>
      </c>
      <c r="I11" s="6">
        <v>66.599999999999994</v>
      </c>
      <c r="J11" s="6">
        <v>29.9</v>
      </c>
      <c r="K11" s="6">
        <v>28.9</v>
      </c>
      <c r="L11" s="6">
        <v>26.5</v>
      </c>
      <c r="M11" s="6"/>
      <c r="N11" s="6"/>
      <c r="P11" s="6"/>
      <c r="Q11" s="6"/>
      <c r="R11" s="6"/>
      <c r="S11" s="6"/>
      <c r="T11" s="6">
        <f t="shared" si="3"/>
        <v>146.19999999999999</v>
      </c>
      <c r="U11" s="6">
        <f t="shared" si="4"/>
        <v>175</v>
      </c>
      <c r="V11" s="6">
        <f t="shared" si="5"/>
        <v>55.4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</row>
    <row r="12" spans="2:32" x14ac:dyDescent="0.3">
      <c r="B12" s="1" t="s">
        <v>43</v>
      </c>
      <c r="C12" s="6">
        <v>15</v>
      </c>
      <c r="D12" s="6">
        <f t="shared" ref="D12:L12" si="9">SUM(D10:D11)</f>
        <v>8.5000000000000036</v>
      </c>
      <c r="E12" s="6">
        <f t="shared" si="9"/>
        <v>9.3000000000000043</v>
      </c>
      <c r="F12" s="6">
        <f t="shared" si="9"/>
        <v>-27.100000000000009</v>
      </c>
      <c r="G12" s="6">
        <f t="shared" si="9"/>
        <v>30.199999999999996</v>
      </c>
      <c r="H12" s="6">
        <f t="shared" si="9"/>
        <v>-27.299999999999997</v>
      </c>
      <c r="I12" s="6">
        <f t="shared" si="9"/>
        <v>-108</v>
      </c>
      <c r="J12" s="6">
        <f t="shared" si="9"/>
        <v>1.6999999999999993</v>
      </c>
      <c r="K12" s="6">
        <f t="shared" si="9"/>
        <v>4.1999999999999993</v>
      </c>
      <c r="L12" s="6">
        <f t="shared" si="9"/>
        <v>9.5</v>
      </c>
      <c r="M12" s="6"/>
      <c r="N12" s="6"/>
      <c r="P12" s="6">
        <v>346.8</v>
      </c>
      <c r="Q12" s="6">
        <v>374.7</v>
      </c>
      <c r="R12" s="6">
        <v>49.8</v>
      </c>
      <c r="S12" s="6">
        <v>444.5</v>
      </c>
      <c r="T12" s="6">
        <f t="shared" si="3"/>
        <v>5.7000000000000028</v>
      </c>
      <c r="U12" s="6">
        <f t="shared" si="3"/>
        <v>20.899999999999995</v>
      </c>
      <c r="V12" s="6">
        <f t="shared" si="5"/>
        <v>13.7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</row>
    <row r="13" spans="2:32" x14ac:dyDescent="0.3">
      <c r="B13" s="1" t="s">
        <v>42</v>
      </c>
      <c r="C13" s="6">
        <v>-0.2</v>
      </c>
      <c r="D13" s="6">
        <v>-2.1</v>
      </c>
      <c r="E13" s="6">
        <v>-6.3</v>
      </c>
      <c r="F13" s="6">
        <v>-1.6</v>
      </c>
      <c r="G13" s="6">
        <v>0.3</v>
      </c>
      <c r="H13" s="6">
        <v>0.7</v>
      </c>
      <c r="I13" s="6">
        <v>2.6</v>
      </c>
      <c r="J13" s="6">
        <v>0.7</v>
      </c>
      <c r="K13" s="6">
        <v>2.5</v>
      </c>
      <c r="L13" s="6">
        <v>1.1000000000000001</v>
      </c>
      <c r="M13" s="6"/>
      <c r="N13" s="6"/>
      <c r="P13" s="6">
        <v>0.2</v>
      </c>
      <c r="Q13" s="6">
        <v>-2.7</v>
      </c>
      <c r="R13" s="6">
        <v>-1.1000000000000001</v>
      </c>
      <c r="S13" s="6">
        <v>-8.5</v>
      </c>
      <c r="T13" s="6">
        <f t="shared" si="3"/>
        <v>-10.199999999999999</v>
      </c>
      <c r="U13" s="6">
        <f t="shared" si="4"/>
        <v>4.3</v>
      </c>
      <c r="V13" s="6">
        <f t="shared" si="5"/>
        <v>3.6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</row>
    <row r="14" spans="2:32" x14ac:dyDescent="0.3">
      <c r="B14" s="1" t="s">
        <v>32</v>
      </c>
      <c r="C14" s="6">
        <f>SUM(C6:C13)</f>
        <v>166.00000000000003</v>
      </c>
      <c r="D14" s="6">
        <f t="shared" ref="D14:L14" si="10">SUM(D6:D13)-D12</f>
        <v>150.1</v>
      </c>
      <c r="E14" s="6">
        <f t="shared" si="10"/>
        <v>148.69999999999999</v>
      </c>
      <c r="F14" s="6">
        <f t="shared" si="10"/>
        <v>130.4</v>
      </c>
      <c r="G14" s="6">
        <f t="shared" si="10"/>
        <v>172.60000000000002</v>
      </c>
      <c r="H14" s="6">
        <f t="shared" si="10"/>
        <v>112.1</v>
      </c>
      <c r="I14" s="6">
        <f t="shared" si="10"/>
        <v>29.599999999999994</v>
      </c>
      <c r="J14" s="6">
        <f t="shared" si="10"/>
        <v>171.29999999999998</v>
      </c>
      <c r="K14" s="6">
        <f t="shared" si="10"/>
        <v>137.89999999999998</v>
      </c>
      <c r="L14" s="6">
        <f t="shared" si="10"/>
        <v>173.4</v>
      </c>
      <c r="M14" s="6"/>
      <c r="N14" s="6"/>
      <c r="P14" s="6">
        <f>SUM(P6:P13)</f>
        <v>872.5</v>
      </c>
      <c r="Q14" s="6">
        <f>SUM(Q6:Q13)</f>
        <v>801</v>
      </c>
      <c r="R14" s="6">
        <f>SUM(R6:R13)</f>
        <v>458.3</v>
      </c>
      <c r="S14" s="6">
        <f>SUM(S6:S13)</f>
        <v>1022.6999999999998</v>
      </c>
      <c r="T14" s="6">
        <f>SUM(T6:T13)-T10-T11</f>
        <v>595.20000000000005</v>
      </c>
      <c r="U14" s="6">
        <f>SUM(U6:U13)-U10-U11</f>
        <v>609.90000000000009</v>
      </c>
      <c r="V14" s="6">
        <f>SUM(V6:V13)-V10-V11</f>
        <v>635.74818000000005</v>
      </c>
      <c r="W14" s="6">
        <f>SUM(W6:W13)-W10-W11</f>
        <v>663.1529023999999</v>
      </c>
      <c r="X14" s="6">
        <f t="shared" ref="X14:AF14" si="11">SUM(X6:X13)-X10-X11</f>
        <v>714.394408064</v>
      </c>
      <c r="Y14" s="6">
        <f t="shared" si="11"/>
        <v>753.22378012447996</v>
      </c>
      <c r="Z14" s="6">
        <f t="shared" si="11"/>
        <v>785.12817733114412</v>
      </c>
      <c r="AA14" s="6">
        <f t="shared" si="11"/>
        <v>808.68202265107834</v>
      </c>
      <c r="AB14" s="6">
        <f t="shared" si="11"/>
        <v>827.90935331417666</v>
      </c>
      <c r="AC14" s="6">
        <f t="shared" si="11"/>
        <v>847.61284129683918</v>
      </c>
      <c r="AD14" s="6">
        <f t="shared" si="11"/>
        <v>867.80475806664617</v>
      </c>
      <c r="AE14" s="6">
        <f t="shared" si="11"/>
        <v>888.49770297016551</v>
      </c>
      <c r="AF14" s="6">
        <f t="shared" si="11"/>
        <v>909.70461226402085</v>
      </c>
    </row>
    <row r="15" spans="2:32" s="2" customFormat="1" x14ac:dyDescent="0.3">
      <c r="B15" s="2" t="s">
        <v>33</v>
      </c>
      <c r="C15" s="9">
        <f>C5-C14</f>
        <v>-52.299999999999983</v>
      </c>
      <c r="D15" s="9">
        <f>D5-D14</f>
        <v>73.19999999999996</v>
      </c>
      <c r="E15" s="9">
        <f>E5-E14</f>
        <v>84.400000000000148</v>
      </c>
      <c r="F15" s="9">
        <f>F5-F14</f>
        <v>209.1</v>
      </c>
      <c r="G15" s="9">
        <f>G5-G14</f>
        <v>-3.8999999999999773</v>
      </c>
      <c r="H15" s="9">
        <f>H5-H14</f>
        <v>127.9</v>
      </c>
      <c r="I15" s="9">
        <f>I5-I14</f>
        <v>285.20000000000016</v>
      </c>
      <c r="J15" s="9">
        <f>J5-J14</f>
        <v>258.29999999999995</v>
      </c>
      <c r="K15" s="9">
        <f>K5-K14</f>
        <v>51.200000000000045</v>
      </c>
      <c r="L15" s="9">
        <f>L5-L14</f>
        <v>179.50000000000009</v>
      </c>
      <c r="M15" s="9"/>
      <c r="N15" s="9"/>
      <c r="P15" s="9">
        <f>P5-P14</f>
        <v>-77</v>
      </c>
      <c r="Q15" s="9">
        <f>Q5-Q14</f>
        <v>-323.40000000000009</v>
      </c>
      <c r="R15" s="9">
        <f>R5-R14</f>
        <v>201.2999999999999</v>
      </c>
      <c r="S15" s="9">
        <f>S5-S14</f>
        <v>-110.69999999999982</v>
      </c>
      <c r="T15" s="9">
        <f>T5-T14</f>
        <v>314.40000000000032</v>
      </c>
      <c r="U15" s="9">
        <f>U5-U14</f>
        <v>543.20000000000027</v>
      </c>
      <c r="V15" s="9">
        <f>V5-V14</f>
        <v>822.35658000000012</v>
      </c>
      <c r="W15" s="9">
        <f>W5-W14</f>
        <v>1028.8682716000001</v>
      </c>
      <c r="X15" s="9">
        <f t="shared" ref="X15:AF15" si="12">X5-X14</f>
        <v>1163.7490950760002</v>
      </c>
      <c r="Y15" s="9">
        <f t="shared" si="12"/>
        <v>1256.3897682353204</v>
      </c>
      <c r="Z15" s="9">
        <f t="shared" si="12"/>
        <v>1324.966048446646</v>
      </c>
      <c r="AA15" s="9">
        <f t="shared" si="12"/>
        <v>1364.7150299000457</v>
      </c>
      <c r="AB15" s="9">
        <f t="shared" si="12"/>
        <v>1388.9556402879698</v>
      </c>
      <c r="AC15" s="9">
        <f t="shared" si="12"/>
        <v>1413.5894521773503</v>
      </c>
      <c r="AD15" s="9">
        <f t="shared" si="12"/>
        <v>1438.6215812770274</v>
      </c>
      <c r="AE15" s="9">
        <f t="shared" si="12"/>
        <v>1464.0571631603816</v>
      </c>
      <c r="AF15" s="9">
        <f t="shared" si="12"/>
        <v>1489.9013511891371</v>
      </c>
    </row>
    <row r="16" spans="2:32" x14ac:dyDescent="0.3">
      <c r="B16" s="1" t="s">
        <v>34</v>
      </c>
      <c r="C16" s="6">
        <v>-26.7</v>
      </c>
      <c r="D16" s="6">
        <v>-35.700000000000003</v>
      </c>
      <c r="E16" s="6">
        <v>-37.5</v>
      </c>
      <c r="F16" s="6">
        <v>-28.7</v>
      </c>
      <c r="G16" s="6">
        <v>-106.7</v>
      </c>
      <c r="H16" s="6">
        <v>-77.900000000000006</v>
      </c>
      <c r="I16" s="6">
        <v>-99</v>
      </c>
      <c r="J16" s="6">
        <v>-27.5</v>
      </c>
      <c r="K16" s="6">
        <v>-96.3</v>
      </c>
      <c r="L16" s="6">
        <v>-20.100000000000001</v>
      </c>
      <c r="M16" s="6"/>
      <c r="N16" s="6"/>
      <c r="P16" s="6">
        <v>0</v>
      </c>
      <c r="Q16" s="6">
        <v>0</v>
      </c>
      <c r="R16" s="6">
        <v>-74.599999999999994</v>
      </c>
      <c r="S16" s="6">
        <v>-121.9</v>
      </c>
      <c r="T16" s="6">
        <f t="shared" ref="S16:T18" si="13">SUM(C16:F16)</f>
        <v>-128.6</v>
      </c>
      <c r="U16" s="6">
        <f t="shared" ref="U16:V18" si="14">SUM(G16:J16)</f>
        <v>-311.10000000000002</v>
      </c>
      <c r="V16" s="6">
        <f t="shared" ref="V16:V18" si="15">SUM(K16:N16)</f>
        <v>-116.4</v>
      </c>
      <c r="W16" s="6">
        <f>V16*1.02</f>
        <v>-118.72800000000001</v>
      </c>
      <c r="X16" s="6">
        <f t="shared" ref="X16:AF16" si="16">W16*1.02</f>
        <v>-121.10256000000001</v>
      </c>
      <c r="Y16" s="6">
        <f t="shared" si="16"/>
        <v>-123.52461120000001</v>
      </c>
      <c r="Z16" s="6">
        <f t="shared" si="16"/>
        <v>-125.99510342400001</v>
      </c>
      <c r="AA16" s="6">
        <f t="shared" si="16"/>
        <v>-128.51500549248001</v>
      </c>
      <c r="AB16" s="6">
        <f t="shared" si="16"/>
        <v>-131.08530560232961</v>
      </c>
      <c r="AC16" s="6">
        <f t="shared" si="16"/>
        <v>-133.70701171437619</v>
      </c>
      <c r="AD16" s="6">
        <f t="shared" si="16"/>
        <v>-136.38115194866373</v>
      </c>
      <c r="AE16" s="6">
        <f t="shared" si="16"/>
        <v>-139.10877498763699</v>
      </c>
      <c r="AF16" s="6">
        <f t="shared" si="16"/>
        <v>-141.89095048738974</v>
      </c>
    </row>
    <row r="17" spans="2:140" x14ac:dyDescent="0.3">
      <c r="B17" s="1" t="s">
        <v>35</v>
      </c>
      <c r="C17" s="6">
        <v>79.599999999999994</v>
      </c>
      <c r="D17" s="6">
        <v>112.6</v>
      </c>
      <c r="E17" s="6">
        <v>58.1</v>
      </c>
      <c r="F17" s="6">
        <v>71.599999999999994</v>
      </c>
      <c r="G17" s="6">
        <v>82.3</v>
      </c>
      <c r="H17" s="6">
        <v>78.7</v>
      </c>
      <c r="I17" s="6">
        <v>123.8</v>
      </c>
      <c r="J17" s="6">
        <v>130.80000000000001</v>
      </c>
      <c r="K17" s="6">
        <v>161.9</v>
      </c>
      <c r="L17" s="6">
        <v>133.6</v>
      </c>
      <c r="M17" s="6"/>
      <c r="N17" s="6"/>
      <c r="P17" s="6">
        <v>116.1</v>
      </c>
      <c r="Q17" s="6">
        <v>232.7</v>
      </c>
      <c r="R17" s="6">
        <v>274</v>
      </c>
      <c r="S17" s="6">
        <v>245.4</v>
      </c>
      <c r="T17" s="6">
        <f t="shared" si="13"/>
        <v>321.89999999999998</v>
      </c>
      <c r="U17" s="6">
        <f t="shared" si="14"/>
        <v>415.6</v>
      </c>
      <c r="V17" s="6">
        <f t="shared" si="15"/>
        <v>295.5</v>
      </c>
      <c r="W17" s="6">
        <f>V17*1.02</f>
        <v>301.41000000000003</v>
      </c>
      <c r="X17" s="6">
        <f t="shared" ref="X17:AF17" si="17">W17*1.02</f>
        <v>307.43820000000005</v>
      </c>
      <c r="Y17" s="6">
        <f t="shared" si="17"/>
        <v>313.58696400000008</v>
      </c>
      <c r="Z17" s="6">
        <f t="shared" si="17"/>
        <v>319.8587032800001</v>
      </c>
      <c r="AA17" s="6">
        <f t="shared" si="17"/>
        <v>326.25587734560008</v>
      </c>
      <c r="AB17" s="6">
        <f t="shared" si="17"/>
        <v>332.78099489251207</v>
      </c>
      <c r="AC17" s="6">
        <f t="shared" si="17"/>
        <v>339.43661479036234</v>
      </c>
      <c r="AD17" s="6">
        <f t="shared" si="17"/>
        <v>346.22534708616962</v>
      </c>
      <c r="AE17" s="6">
        <f t="shared" si="17"/>
        <v>353.14985402789301</v>
      </c>
      <c r="AF17" s="6">
        <f t="shared" si="17"/>
        <v>360.21285110845088</v>
      </c>
    </row>
    <row r="18" spans="2:140" x14ac:dyDescent="0.3">
      <c r="B18" s="1" t="s">
        <v>36</v>
      </c>
      <c r="C18" s="6">
        <v>-1.8</v>
      </c>
      <c r="D18" s="6">
        <v>-2.9</v>
      </c>
      <c r="E18" s="6">
        <v>6.6</v>
      </c>
      <c r="F18" s="6">
        <v>-1.4</v>
      </c>
      <c r="G18" s="6">
        <v>-12.5</v>
      </c>
      <c r="H18" s="6">
        <v>15.7</v>
      </c>
      <c r="I18" s="6">
        <v>16.399999999999999</v>
      </c>
      <c r="J18" s="6">
        <v>-13.6</v>
      </c>
      <c r="K18" s="6">
        <v>9.6999999999999993</v>
      </c>
      <c r="L18" s="6">
        <v>18.8</v>
      </c>
      <c r="M18" s="6"/>
      <c r="N18" s="6"/>
      <c r="P18" s="6">
        <v>-6.9</v>
      </c>
      <c r="Q18" s="6">
        <v>79.099999999999994</v>
      </c>
      <c r="R18" s="6">
        <v>-25.5</v>
      </c>
      <c r="S18" s="6">
        <v>-28.2</v>
      </c>
      <c r="T18" s="6">
        <f t="shared" si="13"/>
        <v>0.49999999999999956</v>
      </c>
      <c r="U18" s="6">
        <f t="shared" si="14"/>
        <v>5.9999999999999982</v>
      </c>
      <c r="V18" s="6">
        <f t="shared" si="15"/>
        <v>28.5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</row>
    <row r="19" spans="2:140" s="2" customFormat="1" x14ac:dyDescent="0.3">
      <c r="B19" s="2" t="s">
        <v>37</v>
      </c>
      <c r="C19" s="9">
        <f>C15-C16-C17-C18</f>
        <v>-103.39999999999998</v>
      </c>
      <c r="D19" s="9">
        <f>D15-D16-D17-D18</f>
        <v>-0.80000000000003135</v>
      </c>
      <c r="E19" s="9">
        <f>E15-E16-E17-E18</f>
        <v>57.200000000000145</v>
      </c>
      <c r="F19" s="9">
        <f>F15-F16-F17-F18</f>
        <v>167.6</v>
      </c>
      <c r="G19" s="9">
        <f>G15-G16-G17-G18</f>
        <v>33.000000000000028</v>
      </c>
      <c r="H19" s="9">
        <f>H15-H16-H17-H18</f>
        <v>111.4</v>
      </c>
      <c r="I19" s="9">
        <f>I15-I16-I17-I18</f>
        <v>244.00000000000014</v>
      </c>
      <c r="J19" s="9">
        <f>J15-J16-J17-J18</f>
        <v>168.59999999999994</v>
      </c>
      <c r="K19" s="9">
        <f>K15-K16-K17-K18</f>
        <v>-24.099999999999948</v>
      </c>
      <c r="L19" s="9">
        <f>L15-L16-L17-L18</f>
        <v>47.200000000000088</v>
      </c>
      <c r="M19" s="9"/>
      <c r="N19" s="9"/>
      <c r="P19" s="9">
        <f>P15-P16-P17-P18</f>
        <v>-186.2</v>
      </c>
      <c r="Q19" s="9">
        <f>Q15-Q16-Q17-Q18</f>
        <v>-635.20000000000016</v>
      </c>
      <c r="R19" s="9">
        <f>R15-R16-R17-R18</f>
        <v>27.399999999999864</v>
      </c>
      <c r="S19" s="9">
        <f>S15-S16-S17-S18</f>
        <v>-205.99999999999983</v>
      </c>
      <c r="T19" s="9">
        <f>T15-T16-T17-T18</f>
        <v>120.60000000000036</v>
      </c>
      <c r="U19" s="9">
        <f>U15-U16-U17-U18</f>
        <v>432.70000000000027</v>
      </c>
      <c r="V19" s="9">
        <f>V15-V16-V17-V18</f>
        <v>614.7565800000001</v>
      </c>
      <c r="W19" s="9">
        <f>W15-W16-W17-W18</f>
        <v>846.18627160000005</v>
      </c>
      <c r="X19" s="9">
        <f t="shared" ref="X19:AF19" si="18">X15-X16-X17-X18</f>
        <v>977.41345507600022</v>
      </c>
      <c r="Y19" s="9">
        <f t="shared" si="18"/>
        <v>1066.3274154353203</v>
      </c>
      <c r="Z19" s="9">
        <f t="shared" si="18"/>
        <v>1131.102448590646</v>
      </c>
      <c r="AA19" s="9">
        <f t="shared" si="18"/>
        <v>1166.9741580469256</v>
      </c>
      <c r="AB19" s="9">
        <f t="shared" si="18"/>
        <v>1187.2599509977872</v>
      </c>
      <c r="AC19" s="9">
        <f t="shared" si="18"/>
        <v>1207.859849101364</v>
      </c>
      <c r="AD19" s="9">
        <f t="shared" si="18"/>
        <v>1228.7773861395215</v>
      </c>
      <c r="AE19" s="9">
        <f t="shared" si="18"/>
        <v>1250.0160841201255</v>
      </c>
      <c r="AF19" s="9">
        <f t="shared" si="18"/>
        <v>1271.579450568076</v>
      </c>
    </row>
    <row r="20" spans="2:140" x14ac:dyDescent="0.3">
      <c r="B20" s="1" t="s">
        <v>38</v>
      </c>
      <c r="C20" s="6">
        <v>-30.5</v>
      </c>
      <c r="D20" s="6">
        <v>25.3</v>
      </c>
      <c r="E20" s="6">
        <v>-7.1</v>
      </c>
      <c r="F20" s="6">
        <v>-31.3</v>
      </c>
      <c r="G20" s="6">
        <v>0.6</v>
      </c>
      <c r="H20" s="6">
        <v>8.9</v>
      </c>
      <c r="I20" s="6">
        <v>62.3</v>
      </c>
      <c r="J20" s="6">
        <v>130.6</v>
      </c>
      <c r="K20" s="6">
        <v>-103.9</v>
      </c>
      <c r="L20" s="6">
        <v>-22.1</v>
      </c>
      <c r="M20" s="6"/>
      <c r="N20" s="6"/>
      <c r="P20" s="6">
        <v>130.30000000000001</v>
      </c>
      <c r="Q20" s="6">
        <v>93.1</v>
      </c>
      <c r="R20" s="6">
        <v>70.900000000000006</v>
      </c>
      <c r="S20" s="6">
        <v>-2.2999999999999998</v>
      </c>
      <c r="T20" s="6">
        <f t="shared" ref="S20:T21" si="19">SUM(C20:F20)</f>
        <v>-43.6</v>
      </c>
      <c r="U20" s="6">
        <f t="shared" ref="U20:V21" si="20">SUM(G20:J20)</f>
        <v>202.39999999999998</v>
      </c>
      <c r="V20" s="6">
        <f t="shared" ref="V20:V21" si="21">SUM(K20:N20)</f>
        <v>-126</v>
      </c>
      <c r="W20" s="6">
        <f>W19*0.15</f>
        <v>126.92794074</v>
      </c>
      <c r="X20" s="6">
        <f t="shared" ref="X20:AF20" si="22">X19*0.15</f>
        <v>146.61201826140004</v>
      </c>
      <c r="Y20" s="6">
        <f t="shared" si="22"/>
        <v>159.94911231529804</v>
      </c>
      <c r="Z20" s="6">
        <f t="shared" si="22"/>
        <v>169.66536728859688</v>
      </c>
      <c r="AA20" s="6">
        <f t="shared" si="22"/>
        <v>175.04612370703884</v>
      </c>
      <c r="AB20" s="6">
        <f t="shared" si="22"/>
        <v>178.08899264966809</v>
      </c>
      <c r="AC20" s="6">
        <f t="shared" si="22"/>
        <v>181.17897736520459</v>
      </c>
      <c r="AD20" s="6">
        <f t="shared" si="22"/>
        <v>184.31660792092822</v>
      </c>
      <c r="AE20" s="6">
        <f t="shared" si="22"/>
        <v>187.50241261801881</v>
      </c>
      <c r="AF20" s="6">
        <f t="shared" si="22"/>
        <v>190.73691758521139</v>
      </c>
    </row>
    <row r="21" spans="2:140" x14ac:dyDescent="0.3">
      <c r="B21" s="1" t="s">
        <v>39</v>
      </c>
      <c r="C21" s="6">
        <v>-1.9</v>
      </c>
      <c r="D21" s="6">
        <v>-7.3</v>
      </c>
      <c r="E21" s="6">
        <v>3.3</v>
      </c>
      <c r="F21" s="6">
        <v>6.2</v>
      </c>
      <c r="G21" s="6">
        <v>3.7</v>
      </c>
      <c r="H21" s="6">
        <v>3.1</v>
      </c>
      <c r="I21" s="6">
        <v>2.9</v>
      </c>
      <c r="J21" s="6">
        <v>-7.6</v>
      </c>
      <c r="K21" s="6">
        <v>6.4</v>
      </c>
      <c r="L21" s="6">
        <v>-9.3000000000000007</v>
      </c>
      <c r="M21" s="6"/>
      <c r="N21" s="6"/>
      <c r="P21" s="6">
        <v>5.8</v>
      </c>
      <c r="Q21" s="6">
        <v>3.6</v>
      </c>
      <c r="R21" s="6">
        <v>1.2</v>
      </c>
      <c r="S21" s="6">
        <v>-18.100000000000001</v>
      </c>
      <c r="T21" s="6">
        <f t="shared" si="19"/>
        <v>0.30000000000000071</v>
      </c>
      <c r="U21" s="6">
        <f t="shared" si="20"/>
        <v>2.1000000000000014</v>
      </c>
      <c r="V21" s="6">
        <f t="shared" si="21"/>
        <v>-2.9000000000000004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</row>
    <row r="22" spans="2:140" s="2" customFormat="1" x14ac:dyDescent="0.3">
      <c r="B22" s="2" t="s">
        <v>40</v>
      </c>
      <c r="C22" s="9">
        <f>C19-C20-C21</f>
        <v>-70.999999999999972</v>
      </c>
      <c r="D22" s="9">
        <f>D19-D20-D21</f>
        <v>-18.800000000000033</v>
      </c>
      <c r="E22" s="9">
        <f>E19-E20-E21</f>
        <v>61.000000000000142</v>
      </c>
      <c r="F22" s="9">
        <f>F19-F20-F21</f>
        <v>192.70000000000002</v>
      </c>
      <c r="G22" s="9">
        <f>G19-G20-G21</f>
        <v>28.700000000000028</v>
      </c>
      <c r="H22" s="9">
        <f>H19-H20-H21</f>
        <v>99.4</v>
      </c>
      <c r="I22" s="9">
        <f>I19-I20-I21</f>
        <v>178.80000000000015</v>
      </c>
      <c r="J22" s="9">
        <f>J19-J20-J21</f>
        <v>45.599999999999945</v>
      </c>
      <c r="K22" s="9">
        <f>K19-K20-K21</f>
        <v>73.400000000000048</v>
      </c>
      <c r="L22" s="9">
        <f>L19-L20-L21</f>
        <v>78.600000000000094</v>
      </c>
      <c r="M22" s="9"/>
      <c r="N22" s="9"/>
      <c r="P22" s="9">
        <f>P19-P20-P21</f>
        <v>-322.3</v>
      </c>
      <c r="Q22" s="9">
        <f>Q19-Q20-Q21</f>
        <v>-731.9000000000002</v>
      </c>
      <c r="R22" s="9">
        <f>R19-R20-R21</f>
        <v>-44.700000000000145</v>
      </c>
      <c r="S22" s="9">
        <f>S19-S20-S21</f>
        <v>-185.59999999999982</v>
      </c>
      <c r="T22" s="9">
        <f>T19-T20-T21</f>
        <v>163.90000000000035</v>
      </c>
      <c r="U22" s="9">
        <f>U19-U20-U21</f>
        <v>228.2000000000003</v>
      </c>
      <c r="V22" s="9">
        <f>V19-V20-V21</f>
        <v>743.65658000000008</v>
      </c>
      <c r="W22" s="9">
        <f>W19-W20-W21</f>
        <v>719.25833086000011</v>
      </c>
      <c r="X22" s="9">
        <f t="shared" ref="X22:AF22" si="23">X19-X20-X21</f>
        <v>830.80143681460015</v>
      </c>
      <c r="Y22" s="9">
        <f t="shared" si="23"/>
        <v>906.37830312002222</v>
      </c>
      <c r="Z22" s="9">
        <f t="shared" si="23"/>
        <v>961.43708130204914</v>
      </c>
      <c r="AA22" s="9">
        <f t="shared" si="23"/>
        <v>991.92803433988672</v>
      </c>
      <c r="AB22" s="9">
        <f t="shared" si="23"/>
        <v>1009.1709583481191</v>
      </c>
      <c r="AC22" s="9">
        <f t="shared" si="23"/>
        <v>1026.6808717361594</v>
      </c>
      <c r="AD22" s="9">
        <f t="shared" si="23"/>
        <v>1044.4607782185933</v>
      </c>
      <c r="AE22" s="9">
        <f t="shared" si="23"/>
        <v>1062.5136715021067</v>
      </c>
      <c r="AF22" s="9">
        <f t="shared" si="23"/>
        <v>1080.8425329828647</v>
      </c>
      <c r="AG22" s="2">
        <f>AF22*(1+$AI$27)</f>
        <v>1070.034107653036</v>
      </c>
      <c r="AH22" s="2">
        <f t="shared" ref="AH22:CS22" si="24">AG22*(1+$AI$27)</f>
        <v>1059.3337665765057</v>
      </c>
      <c r="AI22" s="2">
        <f t="shared" si="24"/>
        <v>1048.7404289107405</v>
      </c>
      <c r="AJ22" s="2">
        <f t="shared" si="24"/>
        <v>1038.2530246216331</v>
      </c>
      <c r="AK22" s="2">
        <f t="shared" si="24"/>
        <v>1027.8704943754167</v>
      </c>
      <c r="AL22" s="2">
        <f t="shared" si="24"/>
        <v>1017.5917894316625</v>
      </c>
      <c r="AM22" s="2">
        <f t="shared" si="24"/>
        <v>1007.4158715373459</v>
      </c>
      <c r="AN22" s="2">
        <f t="shared" si="24"/>
        <v>997.34171282197246</v>
      </c>
      <c r="AO22" s="2">
        <f t="shared" si="24"/>
        <v>987.36829569375277</v>
      </c>
      <c r="AP22" s="2">
        <f t="shared" si="24"/>
        <v>977.49461273681527</v>
      </c>
      <c r="AQ22" s="2">
        <f t="shared" si="24"/>
        <v>967.71966660944713</v>
      </c>
      <c r="AR22" s="2">
        <f t="shared" si="24"/>
        <v>958.04246994335267</v>
      </c>
      <c r="AS22" s="2">
        <f t="shared" si="24"/>
        <v>948.46204524391919</v>
      </c>
      <c r="AT22" s="2">
        <f t="shared" si="24"/>
        <v>938.97742479147996</v>
      </c>
      <c r="AU22" s="2">
        <f t="shared" si="24"/>
        <v>929.58765054356513</v>
      </c>
      <c r="AV22" s="2">
        <f t="shared" si="24"/>
        <v>920.29177403812946</v>
      </c>
      <c r="AW22" s="2">
        <f t="shared" si="24"/>
        <v>911.08885629774818</v>
      </c>
      <c r="AX22" s="2">
        <f t="shared" si="24"/>
        <v>901.97796773477069</v>
      </c>
      <c r="AY22" s="2">
        <f t="shared" si="24"/>
        <v>892.95818805742294</v>
      </c>
      <c r="AZ22" s="2">
        <f t="shared" si="24"/>
        <v>884.02860617684871</v>
      </c>
      <c r="BA22" s="2">
        <f t="shared" si="24"/>
        <v>875.18832011508027</v>
      </c>
      <c r="BB22" s="2">
        <f t="shared" si="24"/>
        <v>866.43643691392947</v>
      </c>
      <c r="BC22" s="2">
        <f t="shared" si="24"/>
        <v>857.77207254479015</v>
      </c>
      <c r="BD22" s="2">
        <f t="shared" si="24"/>
        <v>849.19435181934227</v>
      </c>
      <c r="BE22" s="2">
        <f t="shared" si="24"/>
        <v>840.70240830114881</v>
      </c>
      <c r="BF22" s="2">
        <f t="shared" si="24"/>
        <v>832.29538421813731</v>
      </c>
      <c r="BG22" s="2">
        <f t="shared" si="24"/>
        <v>823.97243037595592</v>
      </c>
      <c r="BH22" s="2">
        <f t="shared" si="24"/>
        <v>815.73270607219638</v>
      </c>
      <c r="BI22" s="2">
        <f t="shared" si="24"/>
        <v>807.57537901147441</v>
      </c>
      <c r="BJ22" s="2">
        <f t="shared" si="24"/>
        <v>799.49962522135968</v>
      </c>
      <c r="BK22" s="2">
        <f t="shared" si="24"/>
        <v>791.5046289691461</v>
      </c>
      <c r="BL22" s="2">
        <f t="shared" si="24"/>
        <v>783.58958267945468</v>
      </c>
      <c r="BM22" s="2">
        <f t="shared" si="24"/>
        <v>775.75368685266017</v>
      </c>
      <c r="BN22" s="2">
        <f t="shared" si="24"/>
        <v>767.99614998413358</v>
      </c>
      <c r="BO22" s="2">
        <f t="shared" si="24"/>
        <v>760.31618848429218</v>
      </c>
      <c r="BP22" s="2">
        <f t="shared" si="24"/>
        <v>752.71302659944922</v>
      </c>
      <c r="BQ22" s="2">
        <f t="shared" si="24"/>
        <v>745.18589633345471</v>
      </c>
      <c r="BR22" s="2">
        <f t="shared" si="24"/>
        <v>737.73403737012018</v>
      </c>
      <c r="BS22" s="2">
        <f t="shared" si="24"/>
        <v>730.35669699641892</v>
      </c>
      <c r="BT22" s="2">
        <f t="shared" si="24"/>
        <v>723.05313002645471</v>
      </c>
      <c r="BU22" s="2">
        <f t="shared" si="24"/>
        <v>715.82259872619011</v>
      </c>
      <c r="BV22" s="2">
        <f t="shared" si="24"/>
        <v>708.66437273892825</v>
      </c>
      <c r="BW22" s="2">
        <f t="shared" si="24"/>
        <v>701.57772901153896</v>
      </c>
      <c r="BX22" s="2">
        <f t="shared" si="24"/>
        <v>694.56195172142361</v>
      </c>
      <c r="BY22" s="2">
        <f t="shared" si="24"/>
        <v>687.61633220420936</v>
      </c>
      <c r="BZ22" s="2">
        <f t="shared" si="24"/>
        <v>680.74016888216727</v>
      </c>
      <c r="CA22" s="2">
        <f t="shared" si="24"/>
        <v>673.93276719334563</v>
      </c>
      <c r="CB22" s="2">
        <f t="shared" si="24"/>
        <v>667.19343952141219</v>
      </c>
      <c r="CC22" s="2">
        <f t="shared" si="24"/>
        <v>660.52150512619801</v>
      </c>
      <c r="CD22" s="2">
        <f t="shared" si="24"/>
        <v>653.916290074936</v>
      </c>
      <c r="CE22" s="2">
        <f t="shared" si="24"/>
        <v>647.37712717418663</v>
      </c>
      <c r="CF22" s="2">
        <f t="shared" si="24"/>
        <v>640.90335590244479</v>
      </c>
      <c r="CG22" s="2">
        <f t="shared" si="24"/>
        <v>634.49432234342032</v>
      </c>
      <c r="CH22" s="2">
        <f t="shared" si="24"/>
        <v>628.14937911998607</v>
      </c>
      <c r="CI22" s="2">
        <f t="shared" si="24"/>
        <v>621.8678853287862</v>
      </c>
      <c r="CJ22" s="2">
        <f t="shared" si="24"/>
        <v>615.64920647549832</v>
      </c>
      <c r="CK22" s="2">
        <f t="shared" si="24"/>
        <v>609.49271441074336</v>
      </c>
      <c r="CL22" s="2">
        <f t="shared" si="24"/>
        <v>603.39778726663587</v>
      </c>
      <c r="CM22" s="2">
        <f t="shared" si="24"/>
        <v>597.36380939396952</v>
      </c>
      <c r="CN22" s="2">
        <f t="shared" si="24"/>
        <v>591.39017130002981</v>
      </c>
      <c r="CO22" s="2">
        <f t="shared" si="24"/>
        <v>585.47626958702949</v>
      </c>
      <c r="CP22" s="2">
        <f t="shared" si="24"/>
        <v>579.62150689115924</v>
      </c>
      <c r="CQ22" s="2">
        <f t="shared" si="24"/>
        <v>573.82529182224766</v>
      </c>
      <c r="CR22" s="2">
        <f t="shared" si="24"/>
        <v>568.08703890402523</v>
      </c>
      <c r="CS22" s="2">
        <f t="shared" si="24"/>
        <v>562.40616851498498</v>
      </c>
      <c r="CT22" s="2">
        <f t="shared" ref="CT22:EJ22" si="25">CS22*(1+$AI$27)</f>
        <v>556.78210682983513</v>
      </c>
      <c r="CU22" s="2">
        <f t="shared" si="25"/>
        <v>551.21428576153676</v>
      </c>
      <c r="CV22" s="2">
        <f t="shared" si="25"/>
        <v>545.70214290392141</v>
      </c>
      <c r="CW22" s="2">
        <f t="shared" si="25"/>
        <v>540.24512147488224</v>
      </c>
      <c r="CX22" s="2">
        <f t="shared" si="25"/>
        <v>534.84267026013345</v>
      </c>
      <c r="CY22" s="2">
        <f t="shared" si="25"/>
        <v>529.49424355753206</v>
      </c>
      <c r="CZ22" s="2">
        <f t="shared" si="25"/>
        <v>524.19930112195675</v>
      </c>
      <c r="DA22" s="2">
        <f t="shared" si="25"/>
        <v>518.95730811073713</v>
      </c>
      <c r="DB22" s="2">
        <f t="shared" si="25"/>
        <v>513.76773502962976</v>
      </c>
      <c r="DC22" s="2">
        <f t="shared" si="25"/>
        <v>508.63005767933345</v>
      </c>
      <c r="DD22" s="2">
        <f t="shared" si="25"/>
        <v>503.5437571025401</v>
      </c>
      <c r="DE22" s="2">
        <f t="shared" si="25"/>
        <v>498.5083195315147</v>
      </c>
      <c r="DF22" s="2">
        <f t="shared" si="25"/>
        <v>493.52323633619955</v>
      </c>
      <c r="DG22" s="2">
        <f t="shared" si="25"/>
        <v>488.58800397283756</v>
      </c>
      <c r="DH22" s="2">
        <f t="shared" si="25"/>
        <v>483.70212393310919</v>
      </c>
      <c r="DI22" s="2">
        <f t="shared" si="25"/>
        <v>478.86510269377811</v>
      </c>
      <c r="DJ22" s="2">
        <f t="shared" si="25"/>
        <v>474.07645166684034</v>
      </c>
      <c r="DK22" s="2">
        <f t="shared" si="25"/>
        <v>469.33568715017191</v>
      </c>
      <c r="DL22" s="2">
        <f t="shared" si="25"/>
        <v>464.64233027867016</v>
      </c>
      <c r="DM22" s="2">
        <f t="shared" si="25"/>
        <v>459.99590697588343</v>
      </c>
      <c r="DN22" s="2">
        <f t="shared" si="25"/>
        <v>455.3959479061246</v>
      </c>
      <c r="DO22" s="2">
        <f t="shared" si="25"/>
        <v>450.84198842706337</v>
      </c>
      <c r="DP22" s="2">
        <f t="shared" si="25"/>
        <v>446.3335685427927</v>
      </c>
      <c r="DQ22" s="2">
        <f t="shared" si="25"/>
        <v>441.87023285736478</v>
      </c>
      <c r="DR22" s="2">
        <f t="shared" si="25"/>
        <v>437.45153052879112</v>
      </c>
      <c r="DS22" s="2">
        <f t="shared" si="25"/>
        <v>433.07701522350322</v>
      </c>
      <c r="DT22" s="2">
        <f t="shared" si="25"/>
        <v>428.74624507126816</v>
      </c>
      <c r="DU22" s="2">
        <f t="shared" si="25"/>
        <v>424.4587826205555</v>
      </c>
      <c r="DV22" s="2">
        <f t="shared" si="25"/>
        <v>420.21419479434996</v>
      </c>
      <c r="DW22" s="2">
        <f t="shared" si="25"/>
        <v>416.01205284640645</v>
      </c>
      <c r="DX22" s="2">
        <f t="shared" si="25"/>
        <v>411.85193231794238</v>
      </c>
      <c r="DY22" s="2">
        <f t="shared" si="25"/>
        <v>407.73341299476294</v>
      </c>
      <c r="DZ22" s="2">
        <f t="shared" si="25"/>
        <v>403.6560788648153</v>
      </c>
      <c r="EA22" s="2">
        <f t="shared" si="25"/>
        <v>399.61951807616714</v>
      </c>
      <c r="EB22" s="2">
        <f t="shared" si="25"/>
        <v>395.62332289540547</v>
      </c>
      <c r="EC22" s="2">
        <f t="shared" si="25"/>
        <v>391.66708966645143</v>
      </c>
      <c r="ED22" s="2">
        <f t="shared" si="25"/>
        <v>387.7504187697869</v>
      </c>
      <c r="EE22" s="2">
        <f t="shared" si="25"/>
        <v>383.87291458208904</v>
      </c>
      <c r="EF22" s="2">
        <f t="shared" si="25"/>
        <v>380.03418543626816</v>
      </c>
      <c r="EG22" s="2">
        <f t="shared" si="25"/>
        <v>376.23384358190549</v>
      </c>
      <c r="EH22" s="2">
        <f t="shared" si="25"/>
        <v>372.47150514608643</v>
      </c>
      <c r="EI22" s="2">
        <f t="shared" si="25"/>
        <v>368.74679009462557</v>
      </c>
      <c r="EJ22" s="2">
        <f t="shared" si="25"/>
        <v>365.05932219367929</v>
      </c>
    </row>
    <row r="23" spans="2:140" x14ac:dyDescent="0.3">
      <c r="B23" s="1" t="s">
        <v>2</v>
      </c>
      <c r="C23" s="6">
        <f>734/4</f>
        <v>183.5</v>
      </c>
      <c r="D23" s="6">
        <f>734/4</f>
        <v>183.5</v>
      </c>
      <c r="E23" s="6">
        <f>734/4</f>
        <v>183.5</v>
      </c>
      <c r="F23" s="6">
        <f>734/4</f>
        <v>183.5</v>
      </c>
      <c r="G23" s="6">
        <f>734/4</f>
        <v>183.5</v>
      </c>
      <c r="H23" s="6">
        <f>734/4</f>
        <v>183.5</v>
      </c>
      <c r="I23" s="6">
        <f>734/4</f>
        <v>183.5</v>
      </c>
      <c r="J23" s="6">
        <f>734/4</f>
        <v>183.5</v>
      </c>
      <c r="K23" s="6">
        <f>734/4</f>
        <v>183.5</v>
      </c>
      <c r="L23" s="6">
        <f>734/4</f>
        <v>183.5</v>
      </c>
      <c r="M23" s="6"/>
      <c r="N23" s="6"/>
      <c r="P23" s="6">
        <f>734/4</f>
        <v>183.5</v>
      </c>
      <c r="Q23" s="6">
        <f>734/4</f>
        <v>183.5</v>
      </c>
      <c r="R23" s="6">
        <f>734/4</f>
        <v>183.5</v>
      </c>
      <c r="S23" s="6">
        <f>734/4</f>
        <v>183.5</v>
      </c>
      <c r="T23" s="6">
        <f>734/4</f>
        <v>183.5</v>
      </c>
      <c r="U23" s="6">
        <f>734/4</f>
        <v>183.5</v>
      </c>
      <c r="V23" s="6">
        <f>734/4</f>
        <v>183.5</v>
      </c>
      <c r="W23" s="6">
        <f>734/4</f>
        <v>183.5</v>
      </c>
      <c r="X23" s="6">
        <f t="shared" ref="X23:AF23" si="26">734/4</f>
        <v>183.5</v>
      </c>
      <c r="Y23" s="6">
        <f t="shared" si="26"/>
        <v>183.5</v>
      </c>
      <c r="Z23" s="6">
        <f t="shared" si="26"/>
        <v>183.5</v>
      </c>
      <c r="AA23" s="6">
        <f t="shared" si="26"/>
        <v>183.5</v>
      </c>
      <c r="AB23" s="6">
        <f t="shared" si="26"/>
        <v>183.5</v>
      </c>
      <c r="AC23" s="6">
        <f t="shared" si="26"/>
        <v>183.5</v>
      </c>
      <c r="AD23" s="6">
        <f t="shared" si="26"/>
        <v>183.5</v>
      </c>
      <c r="AE23" s="6">
        <f t="shared" si="26"/>
        <v>183.5</v>
      </c>
      <c r="AF23" s="6">
        <f t="shared" si="26"/>
        <v>183.5</v>
      </c>
    </row>
    <row r="24" spans="2:140" x14ac:dyDescent="0.3">
      <c r="B24" s="1" t="s">
        <v>41</v>
      </c>
      <c r="C24" s="8">
        <f>C22/C23</f>
        <v>-0.38692098092643035</v>
      </c>
      <c r="D24" s="8">
        <f>D22/D23</f>
        <v>-0.10245231607629446</v>
      </c>
      <c r="E24" s="8">
        <f>E22/E23</f>
        <v>0.33242506811989181</v>
      </c>
      <c r="F24" s="8">
        <f>F22/F23</f>
        <v>1.0501362397820164</v>
      </c>
      <c r="G24" s="8">
        <f>G22/G23</f>
        <v>0.15640326975476854</v>
      </c>
      <c r="H24" s="8">
        <f>H22/H23</f>
        <v>0.54168937329700273</v>
      </c>
      <c r="I24" s="8">
        <f>I22/I23</f>
        <v>0.97438692098092727</v>
      </c>
      <c r="J24" s="8">
        <f>J22/J23</f>
        <v>0.24850136239781986</v>
      </c>
      <c r="K24" s="8">
        <f>K22/K23</f>
        <v>0.40000000000000024</v>
      </c>
      <c r="L24" s="8">
        <f>L22/L23</f>
        <v>0.42833787465940104</v>
      </c>
      <c r="P24" s="8">
        <f>P22/P23</f>
        <v>-1.7564032697547685</v>
      </c>
      <c r="Q24" s="8">
        <f>Q22/Q23</f>
        <v>-3.9885558583106278</v>
      </c>
      <c r="R24" s="8">
        <f>R22/R23</f>
        <v>-0.2435967302452324</v>
      </c>
      <c r="S24" s="8">
        <f>S22/S23</f>
        <v>-1.0114441416893722</v>
      </c>
      <c r="T24" s="8">
        <f>T22/T23</f>
        <v>0.89318801089918443</v>
      </c>
      <c r="U24" s="8">
        <f>U22/U23</f>
        <v>1.2435967302452333</v>
      </c>
      <c r="V24" s="8">
        <f>V22/V23</f>
        <v>4.052624414168938</v>
      </c>
      <c r="W24" s="8">
        <f>W22/W23</f>
        <v>3.9196639283923713</v>
      </c>
      <c r="X24" s="8">
        <f t="shared" ref="X24:AF24" si="27">X22/X23</f>
        <v>4.527528266019619</v>
      </c>
      <c r="Y24" s="8">
        <f t="shared" si="27"/>
        <v>4.9393912976567966</v>
      </c>
      <c r="Z24" s="8">
        <f t="shared" si="27"/>
        <v>5.2394391351610308</v>
      </c>
      <c r="AA24" s="8">
        <f t="shared" si="27"/>
        <v>5.4056023669748594</v>
      </c>
      <c r="AB24" s="8">
        <f t="shared" si="27"/>
        <v>5.4995692553031015</v>
      </c>
      <c r="AC24" s="8">
        <f t="shared" si="27"/>
        <v>5.5949911266275718</v>
      </c>
      <c r="AD24" s="8">
        <f t="shared" si="27"/>
        <v>5.6918843499650862</v>
      </c>
      <c r="AE24" s="8">
        <f t="shared" si="27"/>
        <v>5.7902652397934968</v>
      </c>
      <c r="AF24" s="8">
        <f t="shared" si="27"/>
        <v>5.8901500435033496</v>
      </c>
    </row>
    <row r="26" spans="2:140" x14ac:dyDescent="0.3">
      <c r="B26" s="1" t="s">
        <v>44</v>
      </c>
      <c r="C26" s="10"/>
      <c r="D26" s="10"/>
      <c r="E26" s="10"/>
      <c r="F26" s="10"/>
      <c r="G26" s="10">
        <f t="shared" ref="E26:K26" si="28">G3/C3-1</f>
        <v>0.25101158085670439</v>
      </c>
      <c r="H26" s="10">
        <f t="shared" si="28"/>
        <v>0.15623307281590959</v>
      </c>
      <c r="I26" s="10">
        <f t="shared" si="28"/>
        <v>0.31765805045157269</v>
      </c>
      <c r="J26" s="10">
        <f t="shared" si="28"/>
        <v>0.17032049010176697</v>
      </c>
      <c r="K26" s="10">
        <f t="shared" si="28"/>
        <v>0.2302029890698194</v>
      </c>
      <c r="L26" s="10">
        <f>L3/H3-1</f>
        <v>0.21750769642618129</v>
      </c>
      <c r="M26" s="10">
        <f t="shared" ref="M26:N26" si="29">M3/I3-1</f>
        <v>0.20999999999999996</v>
      </c>
      <c r="N26" s="10">
        <f t="shared" si="29"/>
        <v>0.19999999999999996</v>
      </c>
      <c r="P26" s="10"/>
      <c r="Q26" s="10">
        <f t="shared" ref="P26:U26" si="30">Q3/P3-1</f>
        <v>-0.30965108190239088</v>
      </c>
      <c r="R26" s="10">
        <f t="shared" si="30"/>
        <v>0.11299090451062033</v>
      </c>
      <c r="S26" s="10">
        <f t="shared" si="30"/>
        <v>8.1721147431621066E-2</v>
      </c>
      <c r="T26" s="10">
        <f t="shared" si="30"/>
        <v>0.16041143561957627</v>
      </c>
      <c r="U26" s="10">
        <f>U3/T3-1</f>
        <v>0.21376103255195988</v>
      </c>
      <c r="V26" s="10">
        <f t="shared" ref="V26:AF26" si="31">V3/U3-1</f>
        <v>0.21097221136253452</v>
      </c>
      <c r="W26" s="10">
        <f t="shared" si="31"/>
        <v>0.14999999999999991</v>
      </c>
      <c r="X26" s="10">
        <f t="shared" si="31"/>
        <v>0.1100000000000001</v>
      </c>
      <c r="Y26" s="10">
        <f t="shared" si="31"/>
        <v>7.0000000000000062E-2</v>
      </c>
      <c r="Z26" s="10">
        <f t="shared" si="31"/>
        <v>5.0000000000000044E-2</v>
      </c>
      <c r="AA26" s="10">
        <f t="shared" si="31"/>
        <v>3.0000000000000027E-2</v>
      </c>
      <c r="AB26" s="10">
        <f t="shared" si="31"/>
        <v>2.0000000000000018E-2</v>
      </c>
      <c r="AC26" s="10">
        <f t="shared" si="31"/>
        <v>2.0000000000000018E-2</v>
      </c>
      <c r="AD26" s="10">
        <f t="shared" si="31"/>
        <v>2.0000000000000018E-2</v>
      </c>
      <c r="AE26" s="10">
        <f t="shared" si="31"/>
        <v>2.0000000000000018E-2</v>
      </c>
      <c r="AF26" s="10">
        <f t="shared" si="31"/>
        <v>2.0000000000000018E-2</v>
      </c>
    </row>
    <row r="27" spans="2:140" x14ac:dyDescent="0.3">
      <c r="B27" s="1" t="s">
        <v>45</v>
      </c>
      <c r="C27" s="10">
        <f t="shared" ref="C27:L27" si="32">C5/C3</f>
        <v>0.15864378401004608</v>
      </c>
      <c r="D27" s="10">
        <f t="shared" si="32"/>
        <v>0.17279269519461424</v>
      </c>
      <c r="E27" s="10">
        <f t="shared" si="32"/>
        <v>0.18148551853005304</v>
      </c>
      <c r="F27" s="10">
        <f t="shared" si="32"/>
        <v>0.17189003088451218</v>
      </c>
      <c r="G27" s="10">
        <f t="shared" si="32"/>
        <v>0.18815525317867504</v>
      </c>
      <c r="H27" s="10">
        <f t="shared" si="32"/>
        <v>0.16062106813010307</v>
      </c>
      <c r="I27" s="10">
        <f t="shared" si="32"/>
        <v>0.18600803592531326</v>
      </c>
      <c r="J27" s="10">
        <f t="shared" si="32"/>
        <v>0.18585334198572351</v>
      </c>
      <c r="K27" s="10">
        <f t="shared" si="32"/>
        <v>0.17144152311876701</v>
      </c>
      <c r="L27" s="10">
        <f>L5/L3</f>
        <v>0.19398636763412494</v>
      </c>
      <c r="M27" s="10">
        <f t="shared" ref="M27:N27" si="33">M5/M3</f>
        <v>0.19</v>
      </c>
      <c r="N27" s="10">
        <f t="shared" si="33"/>
        <v>0.19</v>
      </c>
      <c r="P27" s="10">
        <f t="shared" ref="P27:U27" si="34">P5/P3</f>
        <v>0.1456266246842163</v>
      </c>
      <c r="Q27" s="10">
        <f t="shared" si="34"/>
        <v>0.12664739731112937</v>
      </c>
      <c r="R27" s="10">
        <f t="shared" si="34"/>
        <v>0.15715238730582293</v>
      </c>
      <c r="S27" s="10">
        <f t="shared" si="34"/>
        <v>0.20087220827276334</v>
      </c>
      <c r="T27" s="10">
        <f t="shared" si="34"/>
        <v>0.1726487615070704</v>
      </c>
      <c r="U27" s="10">
        <f>U5/U3</f>
        <v>0.18032120349664568</v>
      </c>
      <c r="V27" s="10">
        <f t="shared" ref="V27:AF27" si="35">V5/V3</f>
        <v>0.18829308696346139</v>
      </c>
      <c r="W27" s="10">
        <f t="shared" si="35"/>
        <v>0.19</v>
      </c>
      <c r="X27" s="10">
        <f t="shared" si="35"/>
        <v>0.19</v>
      </c>
      <c r="Y27" s="10">
        <f t="shared" si="35"/>
        <v>0.19</v>
      </c>
      <c r="Z27" s="10">
        <f t="shared" si="35"/>
        <v>0.19</v>
      </c>
      <c r="AA27" s="10">
        <f t="shared" si="35"/>
        <v>0.19</v>
      </c>
      <c r="AB27" s="10">
        <f t="shared" si="35"/>
        <v>0.19</v>
      </c>
      <c r="AC27" s="10">
        <f t="shared" si="35"/>
        <v>0.19</v>
      </c>
      <c r="AD27" s="10">
        <f t="shared" si="35"/>
        <v>0.19000000000000003</v>
      </c>
      <c r="AE27" s="10">
        <f t="shared" si="35"/>
        <v>0.19</v>
      </c>
      <c r="AF27" s="10">
        <f t="shared" si="35"/>
        <v>0.19</v>
      </c>
      <c r="AH27" s="1" t="s">
        <v>51</v>
      </c>
      <c r="AI27" s="10">
        <v>-0.01</v>
      </c>
    </row>
    <row r="28" spans="2:140" x14ac:dyDescent="0.3">
      <c r="B28" s="1" t="s">
        <v>46</v>
      </c>
      <c r="C28" s="10"/>
      <c r="D28" s="10"/>
      <c r="E28" s="10"/>
      <c r="F28" s="10"/>
      <c r="G28" s="10">
        <f t="shared" ref="E28:K28" si="36">G6/C6-1</f>
        <v>-5.9880239520958556E-3</v>
      </c>
      <c r="H28" s="10">
        <f t="shared" si="36"/>
        <v>-7.7972709551656916E-2</v>
      </c>
      <c r="I28" s="10">
        <f t="shared" si="36"/>
        <v>-6.6147859922178975E-2</v>
      </c>
      <c r="J28" s="10">
        <f t="shared" si="36"/>
        <v>3.2629558541266812E-2</v>
      </c>
      <c r="K28" s="10">
        <f t="shared" si="36"/>
        <v>-1.2048192771084265E-2</v>
      </c>
      <c r="L28" s="10">
        <f>L6/H6-1</f>
        <v>0.11416490486257946</v>
      </c>
      <c r="M28" s="10">
        <f t="shared" ref="M28:N28" si="37">M6/I6-1</f>
        <v>3.0000000000000027E-2</v>
      </c>
      <c r="N28" s="10">
        <f t="shared" si="37"/>
        <v>3.0000000000000027E-2</v>
      </c>
      <c r="P28" s="10"/>
      <c r="Q28" s="10">
        <f t="shared" ref="P28:U28" si="38">Q6/P6-1</f>
        <v>-0.24605678233438477</v>
      </c>
      <c r="R28" s="10">
        <f t="shared" si="38"/>
        <v>6.8340306834030473E-2</v>
      </c>
      <c r="S28" s="10">
        <f t="shared" si="38"/>
        <v>0.20691906005221949</v>
      </c>
      <c r="T28" s="10">
        <f t="shared" si="38"/>
        <v>0.108166576527853</v>
      </c>
      <c r="U28" s="10">
        <f>U6/T6-1</f>
        <v>-2.9282576866764387E-2</v>
      </c>
      <c r="V28" s="10">
        <f t="shared" ref="V28:AF28" si="39">V6/U6-1</f>
        <v>3.9487179487179613E-2</v>
      </c>
      <c r="W28" s="10">
        <f t="shared" si="39"/>
        <v>3.0000000000000027E-2</v>
      </c>
      <c r="X28" s="10">
        <f t="shared" si="39"/>
        <v>3.0000000000000027E-2</v>
      </c>
      <c r="Y28" s="10">
        <f t="shared" si="39"/>
        <v>3.0000000000000027E-2</v>
      </c>
      <c r="Z28" s="10">
        <f t="shared" si="39"/>
        <v>3.0000000000000027E-2</v>
      </c>
      <c r="AA28" s="10">
        <f t="shared" si="39"/>
        <v>3.0000000000000027E-2</v>
      </c>
      <c r="AB28" s="10">
        <f t="shared" si="39"/>
        <v>3.0000000000000027E-2</v>
      </c>
      <c r="AC28" s="10">
        <f t="shared" si="39"/>
        <v>3.0000000000000027E-2</v>
      </c>
      <c r="AD28" s="10">
        <f t="shared" si="39"/>
        <v>3.0000000000000027E-2</v>
      </c>
      <c r="AE28" s="10">
        <f t="shared" si="39"/>
        <v>3.0000000000000027E-2</v>
      </c>
      <c r="AF28" s="10">
        <f t="shared" si="39"/>
        <v>3.0000000000000027E-2</v>
      </c>
      <c r="AH28" s="1" t="s">
        <v>52</v>
      </c>
      <c r="AI28" s="10">
        <v>0.14000000000000001</v>
      </c>
    </row>
    <row r="29" spans="2:140" x14ac:dyDescent="0.3">
      <c r="B29" s="1" t="s">
        <v>47</v>
      </c>
      <c r="C29" s="10">
        <f t="shared" ref="C29:L29" si="40">C7/C3</f>
        <v>9.5297893121250171E-2</v>
      </c>
      <c r="D29" s="10">
        <f t="shared" si="40"/>
        <v>6.4071809951249711E-2</v>
      </c>
      <c r="E29" s="10">
        <f t="shared" si="40"/>
        <v>5.6524447212706316E-2</v>
      </c>
      <c r="F29" s="10">
        <f t="shared" si="40"/>
        <v>4.6073616525745535E-2</v>
      </c>
      <c r="G29" s="10">
        <f t="shared" si="40"/>
        <v>8.5768458621458848E-2</v>
      </c>
      <c r="H29" s="10">
        <f t="shared" si="40"/>
        <v>5.0863338241199305E-2</v>
      </c>
      <c r="I29" s="10">
        <f t="shared" si="40"/>
        <v>4.6029307492318601E-2</v>
      </c>
      <c r="J29" s="10">
        <f t="shared" si="40"/>
        <v>3.413367942894225E-2</v>
      </c>
      <c r="K29" s="10">
        <f t="shared" si="40"/>
        <v>6.4369900271985497E-2</v>
      </c>
      <c r="L29" s="10">
        <f>L7/L3</f>
        <v>4.8867634124890064E-2</v>
      </c>
      <c r="M29" s="10">
        <f t="shared" ref="M29:N29" si="41">M7/M3</f>
        <v>4.4999999999999998E-2</v>
      </c>
      <c r="N29" s="10">
        <f t="shared" si="41"/>
        <v>3.5000000000000003E-2</v>
      </c>
      <c r="P29" s="10">
        <f t="shared" ref="P29:U29" si="42">P7/P3</f>
        <v>5.2447552447552441E-2</v>
      </c>
      <c r="Q29" s="10">
        <f t="shared" si="42"/>
        <v>5.1443875792209173E-2</v>
      </c>
      <c r="R29" s="10">
        <f t="shared" si="42"/>
        <v>5.3940722386352807E-2</v>
      </c>
      <c r="S29" s="10">
        <f t="shared" si="42"/>
        <v>6.0437866173296328E-2</v>
      </c>
      <c r="T29" s="10">
        <f t="shared" si="42"/>
        <v>5.9732371642782577E-2</v>
      </c>
      <c r="U29" s="10">
        <f>U7/U3</f>
        <v>4.8430731699688805E-2</v>
      </c>
      <c r="V29" s="10">
        <f t="shared" ref="V29:AF29" si="43">V7/V3</f>
        <v>4.5085616836376539E-2</v>
      </c>
      <c r="W29" s="10">
        <f t="shared" si="43"/>
        <v>4.3999999999999997E-2</v>
      </c>
      <c r="X29" s="10">
        <f t="shared" si="43"/>
        <v>4.3999999999999997E-2</v>
      </c>
      <c r="Y29" s="10">
        <f t="shared" si="43"/>
        <v>4.3999999999999997E-2</v>
      </c>
      <c r="Z29" s="10">
        <f t="shared" si="43"/>
        <v>4.3999999999999997E-2</v>
      </c>
      <c r="AA29" s="10">
        <f t="shared" si="43"/>
        <v>4.3999999999999997E-2</v>
      </c>
      <c r="AB29" s="10">
        <f t="shared" si="43"/>
        <v>4.3999999999999997E-2</v>
      </c>
      <c r="AC29" s="10">
        <f t="shared" si="43"/>
        <v>4.4000000000000004E-2</v>
      </c>
      <c r="AD29" s="10">
        <f t="shared" si="43"/>
        <v>4.3999999999999997E-2</v>
      </c>
      <c r="AE29" s="10">
        <f t="shared" si="43"/>
        <v>4.3999999999999997E-2</v>
      </c>
      <c r="AF29" s="10">
        <f t="shared" si="43"/>
        <v>4.3999999999999997E-2</v>
      </c>
      <c r="AH29" s="1" t="s">
        <v>53</v>
      </c>
      <c r="AI29" s="6">
        <f>NPV(AI28,V22:EJ22)</f>
        <v>6569.1129154233595</v>
      </c>
    </row>
    <row r="30" spans="2:140" x14ac:dyDescent="0.3">
      <c r="B30" s="1" t="s">
        <v>48</v>
      </c>
      <c r="C30" s="10"/>
      <c r="D30" s="10"/>
      <c r="E30" s="10"/>
      <c r="F30" s="10"/>
      <c r="G30" s="10">
        <f t="shared" ref="E30:K30" si="44">G9/C9-1</f>
        <v>-0.61949685534591192</v>
      </c>
      <c r="H30" s="10">
        <f t="shared" si="44"/>
        <v>-0.3571428571428571</v>
      </c>
      <c r="I30" s="10">
        <f t="shared" si="44"/>
        <v>-0.43529411764705883</v>
      </c>
      <c r="J30" s="10">
        <f t="shared" si="44"/>
        <v>1.6949152542372836E-2</v>
      </c>
      <c r="K30" s="10">
        <f t="shared" si="44"/>
        <v>0.17355371900826433</v>
      </c>
      <c r="L30" s="10">
        <f>L9/H9-1</f>
        <v>-0.20915032679738566</v>
      </c>
      <c r="M30" s="10">
        <f t="shared" ref="M30:N30" si="45">M9/I9-1</f>
        <v>0.10000000000000009</v>
      </c>
      <c r="N30" s="10">
        <f t="shared" si="45"/>
        <v>0.10000000000000009</v>
      </c>
      <c r="P30" s="10"/>
      <c r="Q30" s="10">
        <f t="shared" ref="P30:U30" si="46">Q9/P9-1</f>
        <v>-0.39676113360323884</v>
      </c>
      <c r="R30" s="10">
        <f t="shared" si="46"/>
        <v>0.44295302013422821</v>
      </c>
      <c r="S30" s="10">
        <f t="shared" si="46"/>
        <v>1.558139534883721</v>
      </c>
      <c r="T30" s="10">
        <f t="shared" si="46"/>
        <v>-0.17909090909090908</v>
      </c>
      <c r="U30" s="10">
        <f>U9/T9-1</f>
        <v>-0.39091915836101876</v>
      </c>
      <c r="V30" s="10">
        <f t="shared" ref="V30:AF30" si="47">V9/U9-1</f>
        <v>3.0181818181818088E-2</v>
      </c>
      <c r="W30" s="10">
        <f t="shared" si="47"/>
        <v>3.0000000000000027E-2</v>
      </c>
      <c r="X30" s="10">
        <f t="shared" si="47"/>
        <v>3.0000000000000027E-2</v>
      </c>
      <c r="Y30" s="10">
        <f t="shared" si="47"/>
        <v>3.0000000000000027E-2</v>
      </c>
      <c r="Z30" s="10">
        <f t="shared" si="47"/>
        <v>3.0000000000000027E-2</v>
      </c>
      <c r="AA30" s="10">
        <f t="shared" si="47"/>
        <v>3.0000000000000027E-2</v>
      </c>
      <c r="AB30" s="10">
        <f t="shared" si="47"/>
        <v>3.0000000000000027E-2</v>
      </c>
      <c r="AC30" s="10">
        <f t="shared" si="47"/>
        <v>3.0000000000000027E-2</v>
      </c>
      <c r="AD30" s="10">
        <f t="shared" si="47"/>
        <v>3.0000000000000027E-2</v>
      </c>
      <c r="AE30" s="10">
        <f t="shared" si="47"/>
        <v>3.0000000000000027E-2</v>
      </c>
      <c r="AF30" s="10">
        <f t="shared" si="47"/>
        <v>3.0000000000000027E-2</v>
      </c>
      <c r="AH30" s="1" t="s">
        <v>54</v>
      </c>
      <c r="AI30" s="6">
        <f>Main!D8</f>
        <v>-600.00000000000023</v>
      </c>
    </row>
    <row r="31" spans="2:140" x14ac:dyDescent="0.3">
      <c r="B31" s="1" t="s">
        <v>49</v>
      </c>
      <c r="C31" s="10">
        <f t="shared" ref="C31:L31" si="48">C15/C3</f>
        <v>-7.2973350076740592E-2</v>
      </c>
      <c r="D31" s="10">
        <f t="shared" si="48"/>
        <v>5.6643194304727973E-2</v>
      </c>
      <c r="E31" s="10">
        <f t="shared" si="48"/>
        <v>6.5711616318903876E-2</v>
      </c>
      <c r="F31" s="10">
        <f t="shared" si="48"/>
        <v>0.10586805731355374</v>
      </c>
      <c r="G31" s="10">
        <f t="shared" si="48"/>
        <v>-4.3497657818424903E-3</v>
      </c>
      <c r="H31" s="10">
        <f t="shared" si="48"/>
        <v>8.5597644224334093E-2</v>
      </c>
      <c r="I31" s="10">
        <f t="shared" si="48"/>
        <v>0.16851808083195471</v>
      </c>
      <c r="J31" s="10">
        <f t="shared" si="48"/>
        <v>0.11174561972744969</v>
      </c>
      <c r="K31" s="10">
        <f t="shared" si="48"/>
        <v>4.6418857660924795E-2</v>
      </c>
      <c r="L31" s="10">
        <f>L15/L3</f>
        <v>9.8669744942832052E-2</v>
      </c>
      <c r="M31" s="10">
        <f t="shared" ref="M31:N31" si="49">M15/M3</f>
        <v>0</v>
      </c>
      <c r="N31" s="10">
        <f t="shared" si="49"/>
        <v>0</v>
      </c>
      <c r="P31" s="10">
        <f t="shared" ref="P31:U31" si="50">P15/P3</f>
        <v>-1.4095851792186869E-2</v>
      </c>
      <c r="Q31" s="10">
        <f t="shared" si="50"/>
        <v>-8.575747129484769E-2</v>
      </c>
      <c r="R31" s="10">
        <f t="shared" si="50"/>
        <v>4.7960545125321621E-2</v>
      </c>
      <c r="S31" s="10">
        <f t="shared" si="50"/>
        <v>-2.4382185806792613E-2</v>
      </c>
      <c r="T31" s="10">
        <f t="shared" si="50"/>
        <v>5.9675429439119354E-2</v>
      </c>
      <c r="U31" s="10">
        <f>U15/U3</f>
        <v>8.4945345364129704E-2</v>
      </c>
      <c r="V31" s="10">
        <f t="shared" ref="V31:AF31" si="51">V15/V3</f>
        <v>0.10619542798345621</v>
      </c>
      <c r="W31" s="10">
        <f t="shared" si="51"/>
        <v>0.11553340738748936</v>
      </c>
      <c r="X31" s="10">
        <f t="shared" si="51"/>
        <v>0.1177291978460487</v>
      </c>
      <c r="Y31" s="10">
        <f t="shared" si="51"/>
        <v>0.11878605026301885</v>
      </c>
      <c r="Z31" s="10">
        <f t="shared" si="51"/>
        <v>0.11930441121038989</v>
      </c>
      <c r="AA31" s="10">
        <f t="shared" si="51"/>
        <v>0.1193044112103899</v>
      </c>
      <c r="AB31" s="10">
        <f t="shared" si="51"/>
        <v>0.11904268975166821</v>
      </c>
      <c r="AC31" s="10">
        <f t="shared" si="51"/>
        <v>0.11877840239629241</v>
      </c>
      <c r="AD31" s="10">
        <f t="shared" si="51"/>
        <v>0.11851152398841294</v>
      </c>
      <c r="AE31" s="10">
        <f t="shared" si="51"/>
        <v>0.11824202912555425</v>
      </c>
      <c r="AF31" s="10">
        <f t="shared" si="51"/>
        <v>0.11796989215619691</v>
      </c>
      <c r="AH31" s="1" t="s">
        <v>55</v>
      </c>
      <c r="AI31" s="6">
        <f>AI29+AI30</f>
        <v>5969.1129154233595</v>
      </c>
    </row>
    <row r="32" spans="2:140" x14ac:dyDescent="0.3">
      <c r="B32" s="1" t="s">
        <v>38</v>
      </c>
      <c r="C32" s="10">
        <f t="shared" ref="C32:L32" si="52">C20/C19</f>
        <v>0.29497098646034825</v>
      </c>
      <c r="D32" s="10">
        <f t="shared" si="52"/>
        <v>-31.62499999999876</v>
      </c>
      <c r="E32" s="10">
        <f t="shared" si="52"/>
        <v>-0.12412587412587381</v>
      </c>
      <c r="F32" s="10">
        <f t="shared" si="52"/>
        <v>-0.18675417661097854</v>
      </c>
      <c r="G32" s="10">
        <f t="shared" si="52"/>
        <v>1.8181818181818167E-2</v>
      </c>
      <c r="H32" s="10">
        <f t="shared" si="52"/>
        <v>7.9892280071813288E-2</v>
      </c>
      <c r="I32" s="10">
        <f t="shared" si="52"/>
        <v>0.25532786885245884</v>
      </c>
      <c r="J32" s="10">
        <f t="shared" si="52"/>
        <v>0.7746144721233692</v>
      </c>
      <c r="K32" s="10">
        <f t="shared" si="52"/>
        <v>4.3112033195020842</v>
      </c>
      <c r="L32" s="10">
        <f>L20/L19</f>
        <v>-0.46822033898304999</v>
      </c>
      <c r="M32" s="10" t="e">
        <f t="shared" ref="M32:N32" si="53">M20/M19</f>
        <v>#DIV/0!</v>
      </c>
      <c r="N32" s="10" t="e">
        <f t="shared" si="53"/>
        <v>#DIV/0!</v>
      </c>
      <c r="P32" s="10">
        <f t="shared" ref="P32:U32" si="54">P20/P19</f>
        <v>-0.6997851772287863</v>
      </c>
      <c r="Q32" s="10">
        <f t="shared" si="54"/>
        <v>-0.14656801007556672</v>
      </c>
      <c r="R32" s="10">
        <f t="shared" si="54"/>
        <v>2.5875912408759256</v>
      </c>
      <c r="S32" s="10">
        <f t="shared" si="54"/>
        <v>1.1165048543689328E-2</v>
      </c>
      <c r="T32" s="10">
        <f t="shared" si="54"/>
        <v>-0.36152570480928581</v>
      </c>
      <c r="U32" s="10">
        <f>U20/U19</f>
        <v>0.46776057314536595</v>
      </c>
      <c r="V32" s="10">
        <f t="shared" ref="V32:AF32" si="55">V20/V19</f>
        <v>-0.20495917262081192</v>
      </c>
      <c r="W32" s="10">
        <f t="shared" si="55"/>
        <v>0.15</v>
      </c>
      <c r="X32" s="10">
        <f t="shared" si="55"/>
        <v>0.15</v>
      </c>
      <c r="Y32" s="10">
        <f t="shared" si="55"/>
        <v>0.15</v>
      </c>
      <c r="Z32" s="10">
        <f t="shared" si="55"/>
        <v>0.15</v>
      </c>
      <c r="AA32" s="10">
        <f t="shared" si="55"/>
        <v>0.15</v>
      </c>
      <c r="AB32" s="10">
        <f t="shared" si="55"/>
        <v>0.15</v>
      </c>
      <c r="AC32" s="10">
        <f t="shared" si="55"/>
        <v>0.15</v>
      </c>
      <c r="AD32" s="10">
        <f t="shared" si="55"/>
        <v>0.15</v>
      </c>
      <c r="AE32" s="10">
        <f t="shared" si="55"/>
        <v>0.15</v>
      </c>
      <c r="AF32" s="10">
        <f t="shared" si="55"/>
        <v>0.15</v>
      </c>
      <c r="AH32" s="1" t="s">
        <v>56</v>
      </c>
      <c r="AI32" s="5">
        <f>AI31/AF23</f>
        <v>32.529225697130023</v>
      </c>
    </row>
    <row r="33" spans="2:35" x14ac:dyDescent="0.3">
      <c r="B33" s="1" t="s">
        <v>50</v>
      </c>
      <c r="C33" s="10">
        <f t="shared" ref="C33:L33" si="56">C22/C3</f>
        <v>-9.9065159760011109E-2</v>
      </c>
      <c r="D33" s="10">
        <f t="shared" si="56"/>
        <v>-1.4547705641105033E-2</v>
      </c>
      <c r="E33" s="10">
        <f t="shared" si="56"/>
        <v>4.7492992837122501E-2</v>
      </c>
      <c r="F33" s="10">
        <f t="shared" si="56"/>
        <v>9.7564680269353457E-2</v>
      </c>
      <c r="G33" s="10">
        <f t="shared" si="56"/>
        <v>3.2009814856123163E-2</v>
      </c>
      <c r="H33" s="10">
        <f t="shared" si="56"/>
        <v>6.6523892383884356E-2</v>
      </c>
      <c r="I33" s="10">
        <f t="shared" si="56"/>
        <v>0.10564878279366588</v>
      </c>
      <c r="J33" s="10">
        <f t="shared" si="56"/>
        <v>1.9727449707981806E-2</v>
      </c>
      <c r="K33" s="10">
        <f t="shared" si="56"/>
        <v>6.6545784224841392E-2</v>
      </c>
      <c r="L33" s="10">
        <f>L22/L3</f>
        <v>4.3205804749340417E-2</v>
      </c>
      <c r="M33" s="10">
        <f t="shared" ref="M33:N33" si="57">M22/M3</f>
        <v>0</v>
      </c>
      <c r="N33" s="10">
        <f t="shared" si="57"/>
        <v>0</v>
      </c>
      <c r="P33" s="10">
        <f t="shared" ref="P33:U33" si="58">P22/P3</f>
        <v>-5.9001208215867899E-2</v>
      </c>
      <c r="Q33" s="10">
        <f t="shared" si="58"/>
        <v>-0.19408130253772116</v>
      </c>
      <c r="R33" s="10">
        <f t="shared" si="58"/>
        <v>-1.064995711426669E-2</v>
      </c>
      <c r="S33" s="10">
        <f t="shared" si="58"/>
        <v>-4.0879256420421971E-2</v>
      </c>
      <c r="T33" s="10">
        <f t="shared" si="58"/>
        <v>3.1109423934706337E-2</v>
      </c>
      <c r="U33" s="10">
        <f>U22/U3</f>
        <v>3.5685802305033897E-2</v>
      </c>
      <c r="V33" s="10">
        <f t="shared" ref="V33:AF33" si="59">V22/V3</f>
        <v>9.6032464148111202E-2</v>
      </c>
      <c r="W33" s="10">
        <f t="shared" si="59"/>
        <v>8.0766768739857414E-2</v>
      </c>
      <c r="X33" s="10">
        <f t="shared" si="59"/>
        <v>8.4046971240944332E-2</v>
      </c>
      <c r="Y33" s="10">
        <f t="shared" si="59"/>
        <v>8.5694026960237979E-2</v>
      </c>
      <c r="Z33" s="10">
        <f t="shared" si="59"/>
        <v>8.6571037073027032E-2</v>
      </c>
      <c r="AA33" s="10">
        <f t="shared" si="59"/>
        <v>8.6715092533763E-2</v>
      </c>
      <c r="AB33" s="10">
        <f t="shared" si="59"/>
        <v>8.6492629293849557E-2</v>
      </c>
      <c r="AC33" s="10">
        <f t="shared" si="59"/>
        <v>8.6267985041780113E-2</v>
      </c>
      <c r="AD33" s="10">
        <f t="shared" si="59"/>
        <v>8.6041138395082595E-2</v>
      </c>
      <c r="AE33" s="10">
        <f t="shared" si="59"/>
        <v>8.5812067761652691E-2</v>
      </c>
      <c r="AF33" s="10">
        <f t="shared" si="59"/>
        <v>8.5580751337698976E-2</v>
      </c>
      <c r="AH33" s="1" t="s">
        <v>57</v>
      </c>
      <c r="AI33" s="5">
        <f>Main!D3</f>
        <v>57.19</v>
      </c>
    </row>
    <row r="34" spans="2:35" x14ac:dyDescent="0.3">
      <c r="AH34" s="2" t="s">
        <v>59</v>
      </c>
      <c r="AI34" s="11">
        <f>AI32/AI33-1</f>
        <v>-0.43120780386203839</v>
      </c>
    </row>
    <row r="35" spans="2:35" x14ac:dyDescent="0.3">
      <c r="AH35" s="1" t="s">
        <v>58</v>
      </c>
      <c r="AI35" s="7" t="s">
        <v>60</v>
      </c>
    </row>
  </sheetData>
  <phoneticPr fontId="4" type="noConversion"/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 Mniszek</dc:creator>
  <cp:lastModifiedBy>Anton Mniszek</cp:lastModifiedBy>
  <dcterms:created xsi:type="dcterms:W3CDTF">2025-09-03T17:25:58Z</dcterms:created>
  <dcterms:modified xsi:type="dcterms:W3CDTF">2025-09-03T18:13:06Z</dcterms:modified>
</cp:coreProperties>
</file>