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50B4762-AF5B-4957-9AD5-3A9246616DC2}" xr6:coauthVersionLast="47" xr6:coauthVersionMax="47" xr10:uidLastSave="{00000000-0000-0000-0000-000000000000}"/>
  <bookViews>
    <workbookView xWindow="-108" yWindow="-108" windowWidth="23256" windowHeight="12576" activeTab="1" xr2:uid="{BC02690B-70EA-46CB-8D56-DD95DADEB9E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90" i="2" l="1"/>
  <c r="AL82" i="2"/>
  <c r="AA65" i="2"/>
  <c r="AB8" i="2"/>
  <c r="AA8" i="2"/>
  <c r="AA6" i="2"/>
  <c r="AA3" i="2"/>
  <c r="D7" i="1"/>
  <c r="D6" i="1"/>
  <c r="Z5" i="2"/>
  <c r="AB65" i="2"/>
  <c r="AA7" i="2"/>
  <c r="AB7" i="2"/>
  <c r="Y17" i="2"/>
  <c r="Y5" i="2"/>
  <c r="AK81" i="2" l="1"/>
  <c r="AK80" i="2"/>
  <c r="AK78" i="2"/>
  <c r="AK77" i="2"/>
  <c r="AK76" i="2"/>
  <c r="AK75" i="2"/>
  <c r="AK74" i="2"/>
  <c r="AK73" i="2"/>
  <c r="AK72" i="2"/>
  <c r="AK71" i="2"/>
  <c r="AK70" i="2"/>
  <c r="AK68" i="2"/>
  <c r="AK67" i="2"/>
  <c r="AK66" i="2"/>
  <c r="AK65" i="2"/>
  <c r="AK64" i="2"/>
  <c r="AK63" i="2"/>
  <c r="AK62" i="2"/>
  <c r="AJ61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X56" i="2"/>
  <c r="W56" i="2"/>
  <c r="T56" i="2"/>
  <c r="X55" i="2"/>
  <c r="X50" i="2"/>
  <c r="X58" i="2" s="1"/>
  <c r="X44" i="2"/>
  <c r="X36" i="2"/>
  <c r="X30" i="2"/>
  <c r="AK14" i="2"/>
  <c r="AK12" i="2"/>
  <c r="AK11" i="2"/>
  <c r="AB10" i="2"/>
  <c r="AA10" i="2"/>
  <c r="AK10" i="2" s="1"/>
  <c r="AB25" i="2"/>
  <c r="AA25" i="2"/>
  <c r="Z25" i="2"/>
  <c r="Y25" i="2"/>
  <c r="AB24" i="2"/>
  <c r="AA24" i="2"/>
  <c r="Z24" i="2"/>
  <c r="Y24" i="2"/>
  <c r="AB3" i="2"/>
  <c r="Y21" i="2"/>
  <c r="AA5" i="2"/>
  <c r="AA4" i="2" s="1"/>
  <c r="AJ17" i="2"/>
  <c r="X17" i="2"/>
  <c r="X5" i="2"/>
  <c r="AB20" i="2" l="1"/>
  <c r="AB6" i="2"/>
  <c r="AK85" i="2"/>
  <c r="AK3" i="2"/>
  <c r="AA9" i="2"/>
  <c r="AA13" i="2" s="1"/>
  <c r="AA26" i="2" s="1"/>
  <c r="AK7" i="2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K8" i="2"/>
  <c r="AL8" i="2" s="1"/>
  <c r="X45" i="2"/>
  <c r="AB5" i="2"/>
  <c r="AB21" i="2" s="1"/>
  <c r="Z21" i="2"/>
  <c r="Z23" i="2"/>
  <c r="Y9" i="2"/>
  <c r="Y13" i="2" s="1"/>
  <c r="Y20" i="2"/>
  <c r="AA23" i="2"/>
  <c r="AA21" i="2"/>
  <c r="AB23" i="2"/>
  <c r="AA20" i="2"/>
  <c r="Z20" i="2"/>
  <c r="AU67" i="2"/>
  <c r="AT67" i="2"/>
  <c r="AS67" i="2"/>
  <c r="AR67" i="2"/>
  <c r="AQ67" i="2"/>
  <c r="AP67" i="2"/>
  <c r="AO67" i="2"/>
  <c r="AN67" i="2"/>
  <c r="AM67" i="2"/>
  <c r="AL67" i="2"/>
  <c r="AI66" i="2"/>
  <c r="AJ78" i="2"/>
  <c r="AJ72" i="2"/>
  <c r="AJ81" i="2"/>
  <c r="AJ80" i="2"/>
  <c r="AJ77" i="2"/>
  <c r="AM77" i="2" s="1"/>
  <c r="AN77" i="2" s="1"/>
  <c r="AO77" i="2" s="1"/>
  <c r="AP77" i="2" s="1"/>
  <c r="AQ77" i="2" s="1"/>
  <c r="AR77" i="2" s="1"/>
  <c r="AS77" i="2" s="1"/>
  <c r="AT77" i="2" s="1"/>
  <c r="AU77" i="2" s="1"/>
  <c r="AJ76" i="2"/>
  <c r="AJ75" i="2"/>
  <c r="AJ74" i="2"/>
  <c r="AJ73" i="2"/>
  <c r="AJ71" i="2"/>
  <c r="AJ70" i="2"/>
  <c r="AJ68" i="2"/>
  <c r="AL68" i="2" s="1"/>
  <c r="AM68" i="2" s="1"/>
  <c r="AN68" i="2" s="1"/>
  <c r="AO68" i="2" s="1"/>
  <c r="AP68" i="2" s="1"/>
  <c r="AQ68" i="2" s="1"/>
  <c r="AR68" i="2" s="1"/>
  <c r="AS68" i="2" s="1"/>
  <c r="AT68" i="2" s="1"/>
  <c r="AU68" i="2" s="1"/>
  <c r="AJ67" i="2"/>
  <c r="AJ66" i="2"/>
  <c r="AL66" i="2" s="1"/>
  <c r="AM66" i="2" s="1"/>
  <c r="AN66" i="2" s="1"/>
  <c r="AO66" i="2" s="1"/>
  <c r="AP66" i="2" s="1"/>
  <c r="AQ66" i="2" s="1"/>
  <c r="AR66" i="2" s="1"/>
  <c r="AS66" i="2" s="1"/>
  <c r="AT66" i="2" s="1"/>
  <c r="AU66" i="2" s="1"/>
  <c r="AJ65" i="2"/>
  <c r="AL65" i="2" s="1"/>
  <c r="AM65" i="2" s="1"/>
  <c r="AN65" i="2" s="1"/>
  <c r="AO65" i="2" s="1"/>
  <c r="AP65" i="2" s="1"/>
  <c r="AQ65" i="2" s="1"/>
  <c r="AR65" i="2" s="1"/>
  <c r="AS65" i="2" s="1"/>
  <c r="AT65" i="2" s="1"/>
  <c r="AU65" i="2" s="1"/>
  <c r="AJ64" i="2"/>
  <c r="AL64" i="2" s="1"/>
  <c r="AM64" i="2" s="1"/>
  <c r="AN64" i="2" s="1"/>
  <c r="AO64" i="2" s="1"/>
  <c r="AP64" i="2" s="1"/>
  <c r="AQ64" i="2" s="1"/>
  <c r="AR64" i="2" s="1"/>
  <c r="AS64" i="2" s="1"/>
  <c r="AT64" i="2" s="1"/>
  <c r="AU64" i="2" s="1"/>
  <c r="AJ63" i="2"/>
  <c r="AL63" i="2" s="1"/>
  <c r="AM63" i="2" s="1"/>
  <c r="AN63" i="2" s="1"/>
  <c r="AO63" i="2" s="1"/>
  <c r="AP63" i="2" s="1"/>
  <c r="AQ63" i="2" s="1"/>
  <c r="AR63" i="2" s="1"/>
  <c r="AS63" i="2" s="1"/>
  <c r="AT63" i="2" s="1"/>
  <c r="AU63" i="2" s="1"/>
  <c r="AJ62" i="2"/>
  <c r="AI81" i="2"/>
  <c r="AI80" i="2"/>
  <c r="AI82" i="2" s="1"/>
  <c r="AI78" i="2"/>
  <c r="AI77" i="2"/>
  <c r="AI76" i="2"/>
  <c r="AI75" i="2"/>
  <c r="AI74" i="2"/>
  <c r="AI73" i="2"/>
  <c r="AI72" i="2"/>
  <c r="AI71" i="2"/>
  <c r="AI70" i="2"/>
  <c r="AI68" i="2"/>
  <c r="AI67" i="2"/>
  <c r="AI65" i="2"/>
  <c r="AI64" i="2"/>
  <c r="AI63" i="2"/>
  <c r="AI62" i="2"/>
  <c r="AI61" i="2"/>
  <c r="T55" i="2"/>
  <c r="T50" i="2"/>
  <c r="T58" i="2" s="1"/>
  <c r="T44" i="2"/>
  <c r="T36" i="2"/>
  <c r="T30" i="2"/>
  <c r="W55" i="2"/>
  <c r="W50" i="2"/>
  <c r="W58" i="2" s="1"/>
  <c r="W44" i="2"/>
  <c r="W36" i="2"/>
  <c r="W30" i="2"/>
  <c r="AL62" i="2" l="1"/>
  <c r="AJ85" i="2"/>
  <c r="AA22" i="2"/>
  <c r="AM62" i="2"/>
  <c r="AL85" i="2"/>
  <c r="AJ82" i="2"/>
  <c r="Y26" i="2"/>
  <c r="Y23" i="2"/>
  <c r="AK6" i="2"/>
  <c r="Z9" i="2"/>
  <c r="AA15" i="2"/>
  <c r="AA16" i="2" s="1"/>
  <c r="Y22" i="2"/>
  <c r="AB4" i="2"/>
  <c r="AK4" i="2" s="1"/>
  <c r="AK5" i="2" s="1"/>
  <c r="AB9" i="2"/>
  <c r="W45" i="2"/>
  <c r="T45" i="2"/>
  <c r="AJ15" i="2"/>
  <c r="AJ14" i="2"/>
  <c r="AJ12" i="2"/>
  <c r="AJ11" i="2"/>
  <c r="AJ10" i="2"/>
  <c r="AJ8" i="2"/>
  <c r="X25" i="2"/>
  <c r="AJ7" i="2"/>
  <c r="AJ6" i="2"/>
  <c r="AI15" i="2"/>
  <c r="AI14" i="2"/>
  <c r="AI11" i="2"/>
  <c r="AI12" i="2"/>
  <c r="AI10" i="2"/>
  <c r="AI8" i="2"/>
  <c r="AI7" i="2"/>
  <c r="AI6" i="2"/>
  <c r="AI4" i="2"/>
  <c r="AI3" i="2"/>
  <c r="AH15" i="2"/>
  <c r="AH14" i="2"/>
  <c r="AH12" i="2"/>
  <c r="AH10" i="2"/>
  <c r="AH8" i="2"/>
  <c r="AH7" i="2"/>
  <c r="AH6" i="2"/>
  <c r="AH4" i="2"/>
  <c r="AH3" i="2"/>
  <c r="W25" i="2"/>
  <c r="V25" i="2"/>
  <c r="U25" i="2"/>
  <c r="T25" i="2"/>
  <c r="S25" i="2"/>
  <c r="R25" i="2"/>
  <c r="Q25" i="2"/>
  <c r="P25" i="2"/>
  <c r="O25" i="2"/>
  <c r="N25" i="2"/>
  <c r="M25" i="2"/>
  <c r="W24" i="2"/>
  <c r="V24" i="2"/>
  <c r="U24" i="2"/>
  <c r="T24" i="2"/>
  <c r="S24" i="2"/>
  <c r="R24" i="2"/>
  <c r="Q24" i="2"/>
  <c r="P24" i="2"/>
  <c r="O24" i="2"/>
  <c r="N24" i="2"/>
  <c r="M24" i="2"/>
  <c r="W23" i="2"/>
  <c r="V23" i="2"/>
  <c r="U23" i="2"/>
  <c r="T23" i="2"/>
  <c r="S23" i="2"/>
  <c r="R23" i="2"/>
  <c r="Q23" i="2"/>
  <c r="P23" i="2"/>
  <c r="O23" i="2"/>
  <c r="N23" i="2"/>
  <c r="M23" i="2"/>
  <c r="W20" i="2"/>
  <c r="V20" i="2"/>
  <c r="U20" i="2"/>
  <c r="T20" i="2"/>
  <c r="S20" i="2"/>
  <c r="R20" i="2"/>
  <c r="Q20" i="2"/>
  <c r="P20" i="2"/>
  <c r="O20" i="2"/>
  <c r="N20" i="2"/>
  <c r="M20" i="2"/>
  <c r="L5" i="2"/>
  <c r="L9" i="2" s="1"/>
  <c r="L13" i="2" s="1"/>
  <c r="L16" i="2" s="1"/>
  <c r="I5" i="2"/>
  <c r="I9" i="2" s="1"/>
  <c r="I13" i="2" s="1"/>
  <c r="I16" i="2" s="1"/>
  <c r="M5" i="2"/>
  <c r="M9" i="2" s="1"/>
  <c r="M13" i="2" s="1"/>
  <c r="M16" i="2" s="1"/>
  <c r="J5" i="2"/>
  <c r="J9" i="2" s="1"/>
  <c r="J13" i="2" s="1"/>
  <c r="J16" i="2" s="1"/>
  <c r="N5" i="2"/>
  <c r="N9" i="2" s="1"/>
  <c r="N13" i="2" s="1"/>
  <c r="N16" i="2" s="1"/>
  <c r="K5" i="2"/>
  <c r="K9" i="2" s="1"/>
  <c r="K13" i="2" s="1"/>
  <c r="K16" i="2" s="1"/>
  <c r="O5" i="2"/>
  <c r="O9" i="2" s="1"/>
  <c r="O13" i="2" s="1"/>
  <c r="O16" i="2" s="1"/>
  <c r="P5" i="2"/>
  <c r="P9" i="2" s="1"/>
  <c r="P13" i="2" s="1"/>
  <c r="P16" i="2" s="1"/>
  <c r="P60" i="2" s="1"/>
  <c r="P79" i="2" s="1"/>
  <c r="P83" i="2" s="1"/>
  <c r="T5" i="2"/>
  <c r="T9" i="2" s="1"/>
  <c r="T13" i="2" s="1"/>
  <c r="T16" i="2" s="1"/>
  <c r="T60" i="2" s="1"/>
  <c r="T79" i="2" s="1"/>
  <c r="T83" i="2" s="1"/>
  <c r="Q5" i="2"/>
  <c r="Q9" i="2" s="1"/>
  <c r="Q13" i="2" s="1"/>
  <c r="Q16" i="2" s="1"/>
  <c r="Q60" i="2" s="1"/>
  <c r="Q79" i="2" s="1"/>
  <c r="Q83" i="2" s="1"/>
  <c r="U5" i="2"/>
  <c r="U9" i="2" s="1"/>
  <c r="U13" i="2" s="1"/>
  <c r="U16" i="2" s="1"/>
  <c r="U60" i="2" s="1"/>
  <c r="U79" i="2" s="1"/>
  <c r="U83" i="2" s="1"/>
  <c r="R5" i="2"/>
  <c r="R9" i="2" s="1"/>
  <c r="R13" i="2" s="1"/>
  <c r="R16" i="2" s="1"/>
  <c r="R60" i="2" s="1"/>
  <c r="R79" i="2" s="1"/>
  <c r="R83" i="2" s="1"/>
  <c r="V5" i="2"/>
  <c r="V9" i="2" s="1"/>
  <c r="V13" i="2" s="1"/>
  <c r="V16" i="2" s="1"/>
  <c r="V60" i="2" s="1"/>
  <c r="V79" i="2" s="1"/>
  <c r="V83" i="2" s="1"/>
  <c r="W17" i="2"/>
  <c r="S5" i="2"/>
  <c r="S9" i="2" s="1"/>
  <c r="S13" i="2" s="1"/>
  <c r="S16" i="2" s="1"/>
  <c r="S60" i="2" s="1"/>
  <c r="S79" i="2" s="1"/>
  <c r="S83" i="2" s="1"/>
  <c r="W5" i="2"/>
  <c r="W9" i="2" s="1"/>
  <c r="W13" i="2" s="1"/>
  <c r="W16" i="2" s="1"/>
  <c r="D8" i="1"/>
  <c r="D5" i="1"/>
  <c r="AX28" i="2"/>
  <c r="L20" i="2"/>
  <c r="I23" i="2"/>
  <c r="AG14" i="2"/>
  <c r="AG12" i="2"/>
  <c r="AG10" i="2"/>
  <c r="L25" i="2"/>
  <c r="K25" i="2"/>
  <c r="L24" i="2"/>
  <c r="K24" i="2"/>
  <c r="F3" i="2"/>
  <c r="AF25" i="2"/>
  <c r="AE25" i="2"/>
  <c r="AF24" i="2"/>
  <c r="AE24" i="2"/>
  <c r="AF20" i="2"/>
  <c r="AE20" i="2"/>
  <c r="AF23" i="2"/>
  <c r="AE23" i="2"/>
  <c r="AD23" i="2"/>
  <c r="D23" i="2"/>
  <c r="C23" i="2"/>
  <c r="AF5" i="2"/>
  <c r="AF9" i="2" s="1"/>
  <c r="AF13" i="2" s="1"/>
  <c r="AF16" i="2" s="1"/>
  <c r="AF27" i="2" s="1"/>
  <c r="J25" i="2"/>
  <c r="I25" i="2"/>
  <c r="H25" i="2"/>
  <c r="J24" i="2"/>
  <c r="I24" i="2"/>
  <c r="H24" i="2"/>
  <c r="H23" i="2"/>
  <c r="I20" i="2"/>
  <c r="H20" i="2"/>
  <c r="G25" i="2"/>
  <c r="G24" i="2"/>
  <c r="G23" i="2"/>
  <c r="G20" i="2"/>
  <c r="AE5" i="2"/>
  <c r="AE9" i="2" s="1"/>
  <c r="AD5" i="2"/>
  <c r="AD9" i="2" s="1"/>
  <c r="AD13" i="2" s="1"/>
  <c r="AD16" i="2" s="1"/>
  <c r="AD27" i="2" s="1"/>
  <c r="C5" i="2"/>
  <c r="C9" i="2" s="1"/>
  <c r="C13" i="2" s="1"/>
  <c r="C16" i="2" s="1"/>
  <c r="G5" i="2"/>
  <c r="G9" i="2" s="1"/>
  <c r="G13" i="2" s="1"/>
  <c r="G16" i="2" s="1"/>
  <c r="D5" i="2"/>
  <c r="D9" i="2" s="1"/>
  <c r="D13" i="2" s="1"/>
  <c r="D16" i="2" s="1"/>
  <c r="H5" i="2"/>
  <c r="H9" i="2" s="1"/>
  <c r="H13" i="2" s="1"/>
  <c r="H16" i="2" s="1"/>
  <c r="F3" i="1"/>
  <c r="AH5" i="2" l="1"/>
  <c r="AN62" i="2"/>
  <c r="AM85" i="2"/>
  <c r="AK82" i="2"/>
  <c r="AM82" i="2" s="1"/>
  <c r="AN82" i="2" s="1"/>
  <c r="AO82" i="2" s="1"/>
  <c r="AP82" i="2" s="1"/>
  <c r="AQ82" i="2" s="1"/>
  <c r="AR82" i="2" s="1"/>
  <c r="AS82" i="2" s="1"/>
  <c r="AT82" i="2" s="1"/>
  <c r="AU82" i="2" s="1"/>
  <c r="AJ86" i="2"/>
  <c r="AA18" i="2"/>
  <c r="AA60" i="2"/>
  <c r="AA79" i="2" s="1"/>
  <c r="AA83" i="2" s="1"/>
  <c r="AA27" i="2"/>
  <c r="Z13" i="2"/>
  <c r="Z22" i="2"/>
  <c r="AB13" i="2"/>
  <c r="AB22" i="2"/>
  <c r="Y16" i="2"/>
  <c r="M21" i="2"/>
  <c r="X24" i="2"/>
  <c r="AI5" i="2"/>
  <c r="U21" i="2"/>
  <c r="V21" i="2"/>
  <c r="O26" i="2"/>
  <c r="AX25" i="2"/>
  <c r="AX87" i="2"/>
  <c r="AJ3" i="2"/>
  <c r="P22" i="2"/>
  <c r="AJ4" i="2"/>
  <c r="W26" i="2"/>
  <c r="N21" i="2"/>
  <c r="Q21" i="2"/>
  <c r="W60" i="2"/>
  <c r="W79" i="2" s="1"/>
  <c r="W83" i="2" s="1"/>
  <c r="W27" i="2"/>
  <c r="R18" i="2"/>
  <c r="R27" i="2"/>
  <c r="AD18" i="2"/>
  <c r="U18" i="2"/>
  <c r="U27" i="2"/>
  <c r="M18" i="2"/>
  <c r="M27" i="2"/>
  <c r="O21" i="2"/>
  <c r="W21" i="2"/>
  <c r="T22" i="2"/>
  <c r="P26" i="2"/>
  <c r="J18" i="2"/>
  <c r="J27" i="2"/>
  <c r="S22" i="2"/>
  <c r="Q18" i="2"/>
  <c r="Q27" i="2"/>
  <c r="I18" i="2"/>
  <c r="I27" i="2"/>
  <c r="P21" i="2"/>
  <c r="M22" i="2"/>
  <c r="U22" i="2"/>
  <c r="Q26" i="2"/>
  <c r="T18" i="2"/>
  <c r="T27" i="2"/>
  <c r="L18" i="2"/>
  <c r="L27" i="2"/>
  <c r="N22" i="2"/>
  <c r="V22" i="2"/>
  <c r="R26" i="2"/>
  <c r="G18" i="2"/>
  <c r="G27" i="2"/>
  <c r="S18" i="2"/>
  <c r="S27" i="2"/>
  <c r="P18" i="2"/>
  <c r="P27" i="2"/>
  <c r="R21" i="2"/>
  <c r="O22" i="2"/>
  <c r="W22" i="2"/>
  <c r="S26" i="2"/>
  <c r="O18" i="2"/>
  <c r="O27" i="2"/>
  <c r="S21" i="2"/>
  <c r="T26" i="2"/>
  <c r="X9" i="2"/>
  <c r="X13" i="2" s="1"/>
  <c r="X16" i="2" s="1"/>
  <c r="C18" i="2"/>
  <c r="C27" i="2"/>
  <c r="H18" i="2"/>
  <c r="H27" i="2"/>
  <c r="D18" i="2"/>
  <c r="D27" i="2"/>
  <c r="AE13" i="2"/>
  <c r="AE16" i="2" s="1"/>
  <c r="AE27" i="2" s="1"/>
  <c r="K18" i="2"/>
  <c r="K27" i="2"/>
  <c r="T21" i="2"/>
  <c r="Q22" i="2"/>
  <c r="M26" i="2"/>
  <c r="U26" i="2"/>
  <c r="V18" i="2"/>
  <c r="V27" i="2"/>
  <c r="N18" i="2"/>
  <c r="N27" i="2"/>
  <c r="R22" i="2"/>
  <c r="N26" i="2"/>
  <c r="V26" i="2"/>
  <c r="X20" i="2"/>
  <c r="X23" i="2"/>
  <c r="X21" i="2"/>
  <c r="AL10" i="2"/>
  <c r="AM10" i="2" s="1"/>
  <c r="AN10" i="2" s="1"/>
  <c r="AO10" i="2" s="1"/>
  <c r="AP10" i="2" s="1"/>
  <c r="AQ10" i="2" s="1"/>
  <c r="AR10" i="2" s="1"/>
  <c r="AS10" i="2" s="1"/>
  <c r="AT10" i="2" s="1"/>
  <c r="AU10" i="2" s="1"/>
  <c r="I21" i="2"/>
  <c r="AF18" i="2"/>
  <c r="W18" i="2"/>
  <c r="AG7" i="2"/>
  <c r="AG24" i="2" s="1"/>
  <c r="AG8" i="2"/>
  <c r="AI25" i="2" s="1"/>
  <c r="D22" i="2"/>
  <c r="D21" i="2"/>
  <c r="G26" i="2"/>
  <c r="D26" i="2"/>
  <c r="G21" i="2"/>
  <c r="H21" i="2"/>
  <c r="AF21" i="2"/>
  <c r="G22" i="2"/>
  <c r="AD22" i="2"/>
  <c r="AE21" i="2"/>
  <c r="J21" i="2"/>
  <c r="C22" i="2"/>
  <c r="D9" i="1"/>
  <c r="H22" i="2"/>
  <c r="AE22" i="2"/>
  <c r="H26" i="2"/>
  <c r="C26" i="2"/>
  <c r="C21" i="2"/>
  <c r="AD21" i="2"/>
  <c r="AD26" i="2"/>
  <c r="L21" i="2"/>
  <c r="L23" i="2"/>
  <c r="J23" i="2"/>
  <c r="AF22" i="2"/>
  <c r="AF26" i="2"/>
  <c r="AG3" i="2"/>
  <c r="J20" i="2"/>
  <c r="K23" i="2"/>
  <c r="K20" i="2"/>
  <c r="AL86" i="2" l="1"/>
  <c r="AO62" i="2"/>
  <c r="AN85" i="2"/>
  <c r="AK86" i="2"/>
  <c r="Y18" i="2"/>
  <c r="Y60" i="2"/>
  <c r="Y79" i="2" s="1"/>
  <c r="Y83" i="2" s="1"/>
  <c r="Y27" i="2"/>
  <c r="AB15" i="2"/>
  <c r="AB16" i="2" s="1"/>
  <c r="AB26" i="2"/>
  <c r="Z26" i="2"/>
  <c r="AJ5" i="2"/>
  <c r="X27" i="2"/>
  <c r="X60" i="2"/>
  <c r="X79" i="2" s="1"/>
  <c r="X83" i="2" s="1"/>
  <c r="AE26" i="2"/>
  <c r="X26" i="2"/>
  <c r="AE18" i="2"/>
  <c r="X18" i="2"/>
  <c r="X22" i="2"/>
  <c r="K21" i="2"/>
  <c r="AH24" i="2"/>
  <c r="AH25" i="2"/>
  <c r="AM8" i="2"/>
  <c r="AN8" i="2" s="1"/>
  <c r="AO8" i="2" s="1"/>
  <c r="AP8" i="2" s="1"/>
  <c r="AQ8" i="2" s="1"/>
  <c r="AR8" i="2" s="1"/>
  <c r="AG25" i="2"/>
  <c r="J26" i="2"/>
  <c r="AG6" i="2"/>
  <c r="AG23" i="2" s="1"/>
  <c r="I22" i="2"/>
  <c r="AG20" i="2"/>
  <c r="AK15" i="2" l="1"/>
  <c r="AM86" i="2"/>
  <c r="AP62" i="2"/>
  <c r="AO85" i="2"/>
  <c r="Z16" i="2"/>
  <c r="AB18" i="2"/>
  <c r="AB60" i="2"/>
  <c r="AB79" i="2" s="1"/>
  <c r="AB83" i="2" s="1"/>
  <c r="AB27" i="2"/>
  <c r="AL3" i="2"/>
  <c r="AS8" i="2"/>
  <c r="AR25" i="2"/>
  <c r="K26" i="2"/>
  <c r="K22" i="2"/>
  <c r="AG4" i="2"/>
  <c r="AG5" i="2" s="1"/>
  <c r="AG21" i="2" s="1"/>
  <c r="AL25" i="2"/>
  <c r="AJ25" i="2"/>
  <c r="AK25" i="2"/>
  <c r="J22" i="2"/>
  <c r="L22" i="2"/>
  <c r="AH23" i="2"/>
  <c r="AH20" i="2"/>
  <c r="I26" i="2"/>
  <c r="AM25" i="2"/>
  <c r="AL5" i="2" l="1"/>
  <c r="AL6" i="2"/>
  <c r="AN86" i="2"/>
  <c r="AQ62" i="2"/>
  <c r="AP85" i="2"/>
  <c r="AM3" i="2"/>
  <c r="Z18" i="2"/>
  <c r="Z60" i="2"/>
  <c r="Z79" i="2" s="1"/>
  <c r="Z83" i="2" s="1"/>
  <c r="Z27" i="2"/>
  <c r="AT8" i="2"/>
  <c r="AS25" i="2"/>
  <c r="AG9" i="2"/>
  <c r="AG13" i="2" s="1"/>
  <c r="AG16" i="2" s="1"/>
  <c r="AG27" i="2" s="1"/>
  <c r="AI24" i="2"/>
  <c r="AJ24" i="2"/>
  <c r="L26" i="2"/>
  <c r="AH9" i="2"/>
  <c r="AH13" i="2" s="1"/>
  <c r="AH16" i="2" s="1"/>
  <c r="AH27" i="2" s="1"/>
  <c r="AH21" i="2"/>
  <c r="AI23" i="2"/>
  <c r="AI20" i="2"/>
  <c r="AN25" i="2"/>
  <c r="AM5" i="2" l="1"/>
  <c r="AM6" i="2"/>
  <c r="AO86" i="2"/>
  <c r="AN3" i="2"/>
  <c r="AR62" i="2"/>
  <c r="AQ85" i="2"/>
  <c r="AO3" i="2"/>
  <c r="AT25" i="2"/>
  <c r="AU8" i="2"/>
  <c r="AU25" i="2" s="1"/>
  <c r="AG26" i="2"/>
  <c r="AG22" i="2"/>
  <c r="AH22" i="2"/>
  <c r="AG18" i="2"/>
  <c r="AK24" i="2"/>
  <c r="AI21" i="2"/>
  <c r="AI9" i="2"/>
  <c r="AI13" i="2" s="1"/>
  <c r="AI16" i="2" s="1"/>
  <c r="AJ23" i="2"/>
  <c r="AJ20" i="2"/>
  <c r="AO25" i="2"/>
  <c r="AN5" i="2" l="1"/>
  <c r="AN6" i="2"/>
  <c r="AO5" i="2"/>
  <c r="AO6" i="2"/>
  <c r="AP86" i="2"/>
  <c r="AS62" i="2"/>
  <c r="AR85" i="2"/>
  <c r="AI27" i="2"/>
  <c r="AI60" i="2"/>
  <c r="AI79" i="2" s="1"/>
  <c r="AI83" i="2" s="1"/>
  <c r="AP3" i="2"/>
  <c r="AL24" i="2"/>
  <c r="AI22" i="2"/>
  <c r="AH26" i="2"/>
  <c r="AJ9" i="2"/>
  <c r="AJ13" i="2" s="1"/>
  <c r="AJ16" i="2" s="1"/>
  <c r="AJ60" i="2" s="1"/>
  <c r="AJ79" i="2" s="1"/>
  <c r="AJ83" i="2" s="1"/>
  <c r="AJ21" i="2"/>
  <c r="AK23" i="2"/>
  <c r="AK20" i="2"/>
  <c r="AQ25" i="2"/>
  <c r="AP25" i="2"/>
  <c r="AP5" i="2" l="1"/>
  <c r="AP6" i="2"/>
  <c r="AQ86" i="2"/>
  <c r="AT62" i="2"/>
  <c r="AS85" i="2"/>
  <c r="AJ27" i="2"/>
  <c r="AQ3" i="2"/>
  <c r="AQ5" i="2" s="1"/>
  <c r="AH18" i="2"/>
  <c r="AI26" i="2"/>
  <c r="AI18" i="2"/>
  <c r="AJ22" i="2"/>
  <c r="AM24" i="2"/>
  <c r="AK9" i="2"/>
  <c r="AK13" i="2" s="1"/>
  <c r="AK21" i="2"/>
  <c r="AL23" i="2"/>
  <c r="AL20" i="2"/>
  <c r="AR86" i="2" l="1"/>
  <c r="AU62" i="2"/>
  <c r="AU85" i="2" s="1"/>
  <c r="AT85" i="2"/>
  <c r="AR3" i="2"/>
  <c r="AQ6" i="2"/>
  <c r="AK16" i="2"/>
  <c r="AK60" i="2" s="1"/>
  <c r="AK79" i="2" s="1"/>
  <c r="AK83" i="2" s="1"/>
  <c r="AN24" i="2"/>
  <c r="AK22" i="2"/>
  <c r="AJ18" i="2"/>
  <c r="AJ26" i="2"/>
  <c r="AL9" i="2"/>
  <c r="AL13" i="2" s="1"/>
  <c r="AL21" i="2"/>
  <c r="AL4" i="2"/>
  <c r="AM23" i="2"/>
  <c r="AM4" i="2"/>
  <c r="AM20" i="2"/>
  <c r="AS86" i="2" l="1"/>
  <c r="AR5" i="2"/>
  <c r="AR21" i="2" s="1"/>
  <c r="AS3" i="2"/>
  <c r="AS6" i="2" s="1"/>
  <c r="AK27" i="2"/>
  <c r="AR6" i="2"/>
  <c r="AR23" i="2" s="1"/>
  <c r="AL15" i="2"/>
  <c r="AL16" i="2" s="1"/>
  <c r="AR20" i="2"/>
  <c r="AK26" i="2"/>
  <c r="AL22" i="2"/>
  <c r="AO24" i="2"/>
  <c r="AM21" i="2"/>
  <c r="AM9" i="2"/>
  <c r="AM13" i="2" s="1"/>
  <c r="AN23" i="2"/>
  <c r="AN20" i="2"/>
  <c r="AU86" i="2" l="1"/>
  <c r="AT86" i="2"/>
  <c r="AS5" i="2"/>
  <c r="AT3" i="2"/>
  <c r="AL27" i="2"/>
  <c r="AL60" i="2"/>
  <c r="AL79" i="2" s="1"/>
  <c r="AL83" i="2" s="1"/>
  <c r="AS23" i="2"/>
  <c r="AR4" i="2"/>
  <c r="AM14" i="2"/>
  <c r="AM15" i="2"/>
  <c r="AS21" i="2"/>
  <c r="AS20" i="2"/>
  <c r="AK18" i="2"/>
  <c r="AP24" i="2"/>
  <c r="AL18" i="2"/>
  <c r="AL26" i="2"/>
  <c r="AM22" i="2"/>
  <c r="AN4" i="2"/>
  <c r="AN9" i="2"/>
  <c r="AN22" i="2" s="1"/>
  <c r="AN21" i="2"/>
  <c r="AO20" i="2"/>
  <c r="AO23" i="2"/>
  <c r="AU3" i="2" l="1"/>
  <c r="AT5" i="2"/>
  <c r="AT6" i="2"/>
  <c r="AT23" i="2" s="1"/>
  <c r="AS4" i="2"/>
  <c r="AT21" i="2"/>
  <c r="AT20" i="2"/>
  <c r="AQ24" i="2"/>
  <c r="AO4" i="2"/>
  <c r="AO21" i="2"/>
  <c r="AO9" i="2"/>
  <c r="AP23" i="2"/>
  <c r="AP20" i="2"/>
  <c r="AU5" i="2" l="1"/>
  <c r="AU6" i="2"/>
  <c r="AT4" i="2"/>
  <c r="AU21" i="2"/>
  <c r="AU20" i="2"/>
  <c r="AU23" i="2"/>
  <c r="AM26" i="2"/>
  <c r="AM16" i="2"/>
  <c r="AM60" i="2" s="1"/>
  <c r="AM79" i="2" s="1"/>
  <c r="AM83" i="2" s="1"/>
  <c r="AR24" i="2"/>
  <c r="AR9" i="2"/>
  <c r="AR22" i="2" s="1"/>
  <c r="AO22" i="2"/>
  <c r="AQ20" i="2"/>
  <c r="AQ23" i="2"/>
  <c r="AP4" i="2"/>
  <c r="AP21" i="2"/>
  <c r="AP9" i="2"/>
  <c r="AM18" i="2" l="1"/>
  <c r="AM27" i="2"/>
  <c r="AU4" i="2"/>
  <c r="AS24" i="2"/>
  <c r="AS9" i="2"/>
  <c r="AS22" i="2" s="1"/>
  <c r="AP22" i="2"/>
  <c r="AQ4" i="2"/>
  <c r="AQ9" i="2"/>
  <c r="AQ21" i="2"/>
  <c r="AT24" i="2" l="1"/>
  <c r="AT9" i="2"/>
  <c r="AT22" i="2" s="1"/>
  <c r="AN13" i="2"/>
  <c r="AQ22" i="2"/>
  <c r="AN15" i="2" l="1"/>
  <c r="AN14" i="2"/>
  <c r="AN26" i="2" s="1"/>
  <c r="AU24" i="2"/>
  <c r="AU9" i="2"/>
  <c r="AU22" i="2" s="1"/>
  <c r="AN16" i="2" l="1"/>
  <c r="AN60" i="2" s="1"/>
  <c r="AN79" i="2" s="1"/>
  <c r="AN83" i="2" s="1"/>
  <c r="AN27" i="2" l="1"/>
  <c r="AO13" i="2"/>
  <c r="AN18" i="2"/>
  <c r="AO15" i="2" l="1"/>
  <c r="AO14" i="2"/>
  <c r="AO26" i="2" s="1"/>
  <c r="AO16" i="2" l="1"/>
  <c r="AO60" i="2" s="1"/>
  <c r="AO79" i="2" s="1"/>
  <c r="AO83" i="2" s="1"/>
  <c r="AP13" i="2" l="1"/>
  <c r="AP14" i="2" s="1"/>
  <c r="AP26" i="2" s="1"/>
  <c r="AO27" i="2"/>
  <c r="AO18" i="2"/>
  <c r="AP15" i="2" l="1"/>
  <c r="AP16" i="2" s="1"/>
  <c r="AP60" i="2" s="1"/>
  <c r="AP79" i="2" s="1"/>
  <c r="AP83" i="2" s="1"/>
  <c r="AQ13" i="2" l="1"/>
  <c r="AQ14" i="2" s="1"/>
  <c r="AQ26" i="2" s="1"/>
  <c r="AP27" i="2"/>
  <c r="AP18" i="2"/>
  <c r="AQ15" i="2" l="1"/>
  <c r="AQ16" i="2" s="1"/>
  <c r="AQ27" i="2" l="1"/>
  <c r="AQ60" i="2"/>
  <c r="AQ79" i="2" s="1"/>
  <c r="AQ83" i="2" s="1"/>
  <c r="AQ18" i="2"/>
  <c r="AR13" i="2"/>
  <c r="AR15" i="2" s="1"/>
  <c r="AR14" i="2" l="1"/>
  <c r="AR26" i="2" s="1"/>
  <c r="AR16" i="2" l="1"/>
  <c r="AR60" i="2" s="1"/>
  <c r="AR79" i="2" s="1"/>
  <c r="AR83" i="2" s="1"/>
  <c r="AS13" i="2" l="1"/>
  <c r="AS15" i="2" s="1"/>
  <c r="AR27" i="2"/>
  <c r="AR18" i="2"/>
  <c r="AS14" i="2" l="1"/>
  <c r="AS26" i="2" s="1"/>
  <c r="AS16" i="2" l="1"/>
  <c r="AS18" i="2" s="1"/>
  <c r="AT13" i="2"/>
  <c r="AT15" i="2" s="1"/>
  <c r="AS60" i="2" l="1"/>
  <c r="AS79" i="2" s="1"/>
  <c r="AS83" i="2" s="1"/>
  <c r="AS27" i="2"/>
  <c r="AT14" i="2"/>
  <c r="AT26" i="2" s="1"/>
  <c r="AT16" i="2" l="1"/>
  <c r="AT60" i="2" s="1"/>
  <c r="AT79" i="2" s="1"/>
  <c r="AT83" i="2" s="1"/>
  <c r="AU13" i="2" l="1"/>
  <c r="AU15" i="2" s="1"/>
  <c r="AT27" i="2"/>
  <c r="AT18" i="2"/>
  <c r="AU14" i="2" l="1"/>
  <c r="AU26" i="2" s="1"/>
  <c r="AU16" i="2" l="1"/>
  <c r="AU60" i="2" s="1"/>
  <c r="AU79" i="2" s="1"/>
  <c r="AU83" i="2" l="1"/>
  <c r="AV83" i="2" s="1"/>
  <c r="AW83" i="2" s="1"/>
  <c r="AX83" i="2" s="1"/>
  <c r="AY83" i="2" s="1"/>
  <c r="AZ83" i="2" s="1"/>
  <c r="BA83" i="2" s="1"/>
  <c r="BB83" i="2" s="1"/>
  <c r="BC83" i="2" s="1"/>
  <c r="BD83" i="2" s="1"/>
  <c r="BE83" i="2" s="1"/>
  <c r="BF83" i="2" s="1"/>
  <c r="BG83" i="2" s="1"/>
  <c r="BH83" i="2" s="1"/>
  <c r="BI83" i="2" s="1"/>
  <c r="BJ83" i="2" s="1"/>
  <c r="BK83" i="2" s="1"/>
  <c r="BL83" i="2" s="1"/>
  <c r="BM83" i="2" s="1"/>
  <c r="BN83" i="2" s="1"/>
  <c r="BO83" i="2" s="1"/>
  <c r="BP83" i="2" s="1"/>
  <c r="BQ83" i="2" s="1"/>
  <c r="BR83" i="2" s="1"/>
  <c r="BS83" i="2" s="1"/>
  <c r="BT83" i="2" s="1"/>
  <c r="BU83" i="2" s="1"/>
  <c r="BV83" i="2" s="1"/>
  <c r="BW83" i="2" s="1"/>
  <c r="BX83" i="2" s="1"/>
  <c r="BY83" i="2" s="1"/>
  <c r="BZ83" i="2" s="1"/>
  <c r="CA83" i="2" s="1"/>
  <c r="CB83" i="2" s="1"/>
  <c r="CC83" i="2" s="1"/>
  <c r="CD83" i="2" s="1"/>
  <c r="CE83" i="2" s="1"/>
  <c r="CF83" i="2" s="1"/>
  <c r="CG83" i="2" s="1"/>
  <c r="CH83" i="2" s="1"/>
  <c r="CI83" i="2" s="1"/>
  <c r="CJ83" i="2" s="1"/>
  <c r="CK83" i="2" s="1"/>
  <c r="CL83" i="2" s="1"/>
  <c r="CM83" i="2" s="1"/>
  <c r="CN83" i="2" s="1"/>
  <c r="CO83" i="2" s="1"/>
  <c r="CP83" i="2" s="1"/>
  <c r="CQ83" i="2" s="1"/>
  <c r="CR83" i="2" s="1"/>
  <c r="CS83" i="2" s="1"/>
  <c r="CT83" i="2" s="1"/>
  <c r="CU83" i="2" s="1"/>
  <c r="CV83" i="2" s="1"/>
  <c r="CW83" i="2" s="1"/>
  <c r="CX83" i="2" s="1"/>
  <c r="CY83" i="2" s="1"/>
  <c r="CZ83" i="2" s="1"/>
  <c r="DA83" i="2" s="1"/>
  <c r="DB83" i="2" s="1"/>
  <c r="DC83" i="2" s="1"/>
  <c r="DD83" i="2" s="1"/>
  <c r="DE83" i="2" s="1"/>
  <c r="DF83" i="2" s="1"/>
  <c r="DG83" i="2" s="1"/>
  <c r="DH83" i="2" s="1"/>
  <c r="DI83" i="2" s="1"/>
  <c r="DJ83" i="2" s="1"/>
  <c r="DK83" i="2" s="1"/>
  <c r="DL83" i="2" s="1"/>
  <c r="DM83" i="2" s="1"/>
  <c r="DN83" i="2" s="1"/>
  <c r="DO83" i="2" s="1"/>
  <c r="DP83" i="2" s="1"/>
  <c r="DQ83" i="2" s="1"/>
  <c r="DR83" i="2" s="1"/>
  <c r="DS83" i="2" s="1"/>
  <c r="DT83" i="2" s="1"/>
  <c r="DU83" i="2" s="1"/>
  <c r="DV83" i="2" s="1"/>
  <c r="DW83" i="2" s="1"/>
  <c r="DX83" i="2" s="1"/>
  <c r="DY83" i="2" s="1"/>
  <c r="DZ83" i="2" s="1"/>
  <c r="EA83" i="2" s="1"/>
  <c r="EB83" i="2" s="1"/>
  <c r="EC83" i="2" s="1"/>
  <c r="ED83" i="2" s="1"/>
  <c r="EE83" i="2" s="1"/>
  <c r="EF83" i="2" s="1"/>
  <c r="EG83" i="2" s="1"/>
  <c r="EH83" i="2" s="1"/>
  <c r="EI83" i="2" s="1"/>
  <c r="EJ83" i="2" s="1"/>
  <c r="EK83" i="2" s="1"/>
  <c r="EL83" i="2" s="1"/>
  <c r="EM83" i="2" s="1"/>
  <c r="EN83" i="2" s="1"/>
  <c r="EO83" i="2" s="1"/>
  <c r="EP83" i="2" s="1"/>
  <c r="EQ83" i="2" s="1"/>
  <c r="ER83" i="2" s="1"/>
  <c r="ES83" i="2" s="1"/>
  <c r="ET83" i="2" s="1"/>
  <c r="EU83" i="2" s="1"/>
  <c r="EV83" i="2" s="1"/>
  <c r="EW83" i="2" s="1"/>
  <c r="EX83" i="2" s="1"/>
  <c r="EY83" i="2" s="1"/>
  <c r="EZ83" i="2" s="1"/>
  <c r="FA83" i="2" s="1"/>
  <c r="FB83" i="2" s="1"/>
  <c r="FC83" i="2" s="1"/>
  <c r="AX86" i="2" s="1"/>
  <c r="AX88" i="2" s="1"/>
  <c r="AX89" i="2" s="1"/>
  <c r="AX91" i="2" s="1"/>
  <c r="AV16" i="2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AU27" i="2"/>
  <c r="AU18" i="2"/>
  <c r="AX24" i="2" l="1"/>
  <c r="AX26" i="2" s="1"/>
  <c r="AX27" i="2" s="1"/>
  <c r="AX29" i="2" s="1"/>
</calcChain>
</file>

<file path=xl/sharedStrings.xml><?xml version="1.0" encoding="utf-8"?>
<sst xmlns="http://schemas.openxmlformats.org/spreadsheetml/2006/main" count="135" uniqueCount="105">
  <si>
    <t>SNOW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</si>
  <si>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</si>
  <si>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</si>
  <si>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</si>
  <si>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</si>
  <si>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</si>
  <si>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</si>
  <si>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</si>
  <si>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</si>
  <si>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</si>
  <si>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</si>
  <si>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Revenue</t>
  </si>
  <si>
    <t>Q320</t>
  </si>
  <si>
    <t>Q420</t>
  </si>
  <si>
    <t>Q121</t>
  </si>
  <si>
    <t>Q221</t>
  </si>
  <si>
    <t>Q321</t>
  </si>
  <si>
    <t>Q421</t>
  </si>
  <si>
    <t>Cost of sales</t>
  </si>
  <si>
    <t>Gross profit</t>
  </si>
  <si>
    <t>S&amp;M</t>
  </si>
  <si>
    <t>R&amp;D</t>
  </si>
  <si>
    <t>G&amp;A</t>
  </si>
  <si>
    <t>Operating profit</t>
  </si>
  <si>
    <t>Interest income</t>
  </si>
  <si>
    <t>Other income</t>
  </si>
  <si>
    <t>Pretax profit</t>
  </si>
  <si>
    <t>Taxes</t>
  </si>
  <si>
    <t>Net profit</t>
  </si>
  <si>
    <t>EPS</t>
  </si>
  <si>
    <t>Revenue y/y</t>
  </si>
  <si>
    <t>Gross Margin</t>
  </si>
  <si>
    <t>Operating Margin</t>
  </si>
  <si>
    <t>S&amp;M Margin</t>
  </si>
  <si>
    <t>R&amp;D y/y</t>
  </si>
  <si>
    <t>G&amp;A y/y</t>
  </si>
  <si>
    <t>Q122</t>
  </si>
  <si>
    <t>Q222</t>
  </si>
  <si>
    <t>Q322</t>
  </si>
  <si>
    <t>Q422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</si>
  <si>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</si>
  <si>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</si>
  <si>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</si>
  <si>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</si>
  <si>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</si>
  <si>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</si>
  <si>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</si>
  <si>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</si>
  <si>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</si>
  <si>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</si>
  <si>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</si>
  <si>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</si>
  <si>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</si>
  <si>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</si>
  <si>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</si>
  <si>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</si>
  <si>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</si>
  <si>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</si>
  <si>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</si>
  <si>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</si>
  <si>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</si>
  <si>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</si>
  <si>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Interest expense</t>
  </si>
  <si>
    <t>MI</t>
  </si>
  <si>
    <t>Net Margin</t>
  </si>
  <si>
    <t>Investments</t>
  </si>
  <si>
    <t>A/R</t>
  </si>
  <si>
    <t>D/R</t>
  </si>
  <si>
    <t>Prepaids</t>
  </si>
  <si>
    <t>Current assets</t>
  </si>
  <si>
    <t>PP&amp;E</t>
  </si>
  <si>
    <t>Leases</t>
  </si>
  <si>
    <t>Goodwill</t>
  </si>
  <si>
    <t>Intangibles</t>
  </si>
  <si>
    <t>ONCA</t>
  </si>
  <si>
    <t>Prepaids &amp; OCA</t>
  </si>
  <si>
    <t>Non-current assets</t>
  </si>
  <si>
    <t>Total assets</t>
  </si>
  <si>
    <t>A/P</t>
  </si>
  <si>
    <t>A/L</t>
  </si>
  <si>
    <t>Current liabilties</t>
  </si>
  <si>
    <t>ONCL</t>
  </si>
  <si>
    <t>Non-current liabilities</t>
  </si>
  <si>
    <t>S/E</t>
  </si>
  <si>
    <t>L+S/E</t>
  </si>
  <si>
    <t>Model net profit</t>
  </si>
  <si>
    <t>CF net profit</t>
  </si>
  <si>
    <t>D&amp;A</t>
  </si>
  <si>
    <t>Amortisation</t>
  </si>
  <si>
    <t>SBC</t>
  </si>
  <si>
    <t>Investment loss</t>
  </si>
  <si>
    <t>Investment income</t>
  </si>
  <si>
    <t>Other</t>
  </si>
  <si>
    <t>CFFO</t>
  </si>
  <si>
    <t>FCF</t>
  </si>
  <si>
    <t>NPV (FCF)</t>
  </si>
  <si>
    <t>Q126</t>
  </si>
  <si>
    <t>Q226</t>
  </si>
  <si>
    <t>Q326</t>
  </si>
  <si>
    <t>Q426</t>
  </si>
  <si>
    <t>Total CapEx</t>
  </si>
  <si>
    <t>D&amp;A y/y</t>
  </si>
  <si>
    <t>CapEx y/y</t>
  </si>
  <si>
    <t>Q226 8K</t>
  </si>
  <si>
    <t>Impairment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</si>
</sst>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22860</xdr:colOff>
      <xdr:row>0</xdr:row>
      <xdr:rowOff>0</xdr:rowOff>
    </xdr:from>
    <xdr:to>
      <xdr:col>26</xdr:col>
      <xdr:colOff>22860</xdr:colOff>
      <xdr:row>87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A5DFB0-C286-40B2-BE19-53F72CD03832}"/>
            </a:ext>
          </a:extLst>
        </xdr:cNvPr>
        <xdr:cNvCxnSpPr/>
      </xdr:nvCxnSpPr>
      <xdr:spPr>
        <a:xfrm>
          <a:off x="19324320" y="0"/>
          <a:ext cx="0" cy="15819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</xdr:colOff>
      <xdr:row>0</xdr:row>
      <xdr:rowOff>15240</xdr:rowOff>
    </xdr:from>
    <xdr:to>
      <xdr:col>36</xdr:col>
      <xdr:colOff>15240</xdr:colOff>
      <xdr:row>93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25ABEA9-B74F-E686-BBA4-3537FBD01ADA}"/>
            </a:ext>
          </a:extLst>
        </xdr:cNvPr>
        <xdr:cNvCxnSpPr/>
      </xdr:nvCxnSpPr>
      <xdr:spPr>
        <a:xfrm>
          <a:off x="26441400" y="15240"/>
          <a:ext cx="0" cy="16550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9F79-1F66-466B-A57F-CDED06B86581}">
  <dimension ref="B2:G9"/>
  <sheetViews>
    <sheetView workbookViewId="0">
      <selection activeCell="E3" sqref="E3"/>
    </sheetView>
  </sheetViews>
  <sheetFormatPr defaultRowHeight="14.4" x14ac:dyDescent="0.3"/>
  <cols>
    <col min="4" max="4" width="10" bestFit="1" customWidth="1"/>
    <col min="5" max="7" width="15.77734375" style="3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1" t="s">
        <v>0</v>
      </c>
      <c r="C3" t="s">
        <v>1</v>
      </c>
      <c r="D3" s="5">
        <v>225.31</v>
      </c>
      <c r="E3" s="4">
        <v>45912</v>
      </c>
      <c r="F3" s="4">
        <f ca="1">TODAY()</f>
        <v>45912</v>
      </c>
      <c r="G3" s="4">
        <v>45987</v>
      </c>
    </row>
    <row r="4" spans="2:7" x14ac:dyDescent="0.3">
      <c r="C4" t="s">
        <v>2</v>
      </c>
      <c r="D4" s="6">
        <v>335.2</v>
      </c>
      <c r="E4" s="3" t="s">
        <v>103</v>
      </c>
    </row>
    <row r="5" spans="2:7" x14ac:dyDescent="0.3">
      <c r="C5" t="s">
        <v>3</v>
      </c>
      <c r="D5" s="6">
        <f>D3*D4</f>
        <v>75523.911999999997</v>
      </c>
    </row>
    <row r="6" spans="2:7" x14ac:dyDescent="0.3">
      <c r="C6" t="s">
        <v>4</v>
      </c>
      <c r="D6" s="6">
        <f>1880.7+1706+1012.9</f>
        <v>4599.5999999999995</v>
      </c>
      <c r="E6" s="3" t="s">
        <v>97</v>
      </c>
    </row>
    <row r="7" spans="2:7" x14ac:dyDescent="0.3">
      <c r="C7" t="s">
        <v>5</v>
      </c>
      <c r="D7" s="6">
        <f>2275.7</f>
        <v>2275.6999999999998</v>
      </c>
      <c r="E7" s="3" t="s">
        <v>97</v>
      </c>
    </row>
    <row r="8" spans="2:7" x14ac:dyDescent="0.3">
      <c r="C8" t="s">
        <v>6</v>
      </c>
      <c r="D8" s="6">
        <f>D6-D7</f>
        <v>2323.8999999999996</v>
      </c>
    </row>
    <row r="9" spans="2:7" x14ac:dyDescent="0.3">
      <c r="C9" t="s">
        <v>7</v>
      </c>
      <c r="D9" s="6">
        <f>D5-D8</f>
        <v>73200.012000000002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B002-5468-451A-8BA5-9AE8409D3CEE}">
  <dimension ref="B1:FD91"/>
  <sheetViews>
    <sheetView tabSelected="1" workbookViewId="0">
      <pane xSplit="2" ySplit="2" topLeftCell="AJ3" activePane="bottomRight" state="frozen"/>
      <selection pane="topRight" activeCell="C1" sqref="C1"/>
      <selection pane="bottomLeft" activeCell="A3" sqref="A3"/>
      <selection pane="bottomRight" activeCell="AM15" sqref="AM15"/>
    </sheetView>
  </sheetViews>
  <sheetFormatPr defaultRowHeight="14.4" x14ac:dyDescent="0.3"/>
  <cols>
    <col min="2" max="2" width="19.21875" bestFit="1" customWidth="1"/>
    <col min="3" max="28" width="10.5546875" customWidth="1"/>
    <col min="30" max="47" width="10.5546875" bestFit="1" customWidth="1"/>
    <col min="49" max="49" width="11.88671875" bestFit="1" customWidth="1"/>
    <col min="50" max="50" width="16.44140625" bestFit="1" customWidth="1"/>
  </cols>
  <sheetData>
    <row r="1" spans="2:160" x14ac:dyDescent="0.3">
      <c r="C1" s="2">
        <v>43769</v>
      </c>
      <c r="D1" s="2">
        <v>43861</v>
      </c>
      <c r="E1" s="2">
        <v>43951</v>
      </c>
      <c r="F1" s="2">
        <v>44043</v>
      </c>
      <c r="G1" s="2">
        <v>44135</v>
      </c>
      <c r="H1" s="2">
        <v>44227</v>
      </c>
      <c r="I1" s="2">
        <v>44316</v>
      </c>
      <c r="J1" s="2">
        <v>44408</v>
      </c>
      <c r="K1" s="2">
        <v>44500</v>
      </c>
      <c r="L1" s="2">
        <v>44592</v>
      </c>
      <c r="M1" s="2">
        <v>44681</v>
      </c>
      <c r="N1" s="2">
        <v>44773</v>
      </c>
      <c r="O1" s="2">
        <v>44865</v>
      </c>
      <c r="P1" s="2">
        <v>44957</v>
      </c>
      <c r="Q1" s="2">
        <v>45046</v>
      </c>
      <c r="R1" s="2">
        <v>45138</v>
      </c>
      <c r="S1" s="2">
        <v>45230</v>
      </c>
      <c r="T1" s="2">
        <v>45322</v>
      </c>
      <c r="U1" s="2">
        <v>45412</v>
      </c>
      <c r="V1" s="2">
        <v>45504</v>
      </c>
      <c r="W1" s="2">
        <v>45596</v>
      </c>
      <c r="X1" s="2">
        <v>45688</v>
      </c>
      <c r="Y1" s="2">
        <v>45777</v>
      </c>
      <c r="Z1" s="2">
        <v>45869</v>
      </c>
      <c r="AA1" s="2">
        <v>45961</v>
      </c>
      <c r="AB1" s="2">
        <v>46053</v>
      </c>
      <c r="AD1" s="2">
        <v>43496</v>
      </c>
      <c r="AE1" s="2">
        <v>43861</v>
      </c>
      <c r="AF1" s="2">
        <v>44227</v>
      </c>
      <c r="AG1" s="2">
        <v>44592</v>
      </c>
      <c r="AH1" s="2">
        <v>44957</v>
      </c>
      <c r="AI1" s="2">
        <v>45322</v>
      </c>
      <c r="AJ1" s="2">
        <v>45688</v>
      </c>
      <c r="AK1" s="2">
        <v>46053</v>
      </c>
      <c r="AL1" s="2">
        <v>46418</v>
      </c>
      <c r="AM1" s="2">
        <v>46783</v>
      </c>
      <c r="AN1" s="2">
        <v>47149</v>
      </c>
      <c r="AO1" s="2">
        <v>47514</v>
      </c>
      <c r="AP1" s="2">
        <v>47879</v>
      </c>
      <c r="AQ1" s="2">
        <v>48244</v>
      </c>
      <c r="AR1" s="2">
        <v>48610</v>
      </c>
      <c r="AS1" s="2">
        <v>48975</v>
      </c>
      <c r="AT1" s="2">
        <v>49340</v>
      </c>
      <c r="AU1" s="2">
        <v>49705</v>
      </c>
    </row>
    <row r="2" spans="2:160" x14ac:dyDescent="0.3"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36</v>
      </c>
      <c r="J2" s="7" t="s">
        <v>37</v>
      </c>
      <c r="K2" s="7" t="s">
        <v>38</v>
      </c>
      <c r="L2" s="7" t="s">
        <v>39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55</v>
      </c>
      <c r="S2" s="7" t="s">
        <v>56</v>
      </c>
      <c r="T2" s="7" t="s">
        <v>57</v>
      </c>
      <c r="U2" s="7" t="s">
        <v>58</v>
      </c>
      <c r="V2" s="7" t="s">
        <v>59</v>
      </c>
      <c r="W2" s="7" t="s">
        <v>60</v>
      </c>
      <c r="X2" s="7" t="s">
        <v>61</v>
      </c>
      <c r="Y2" s="7" t="s">
        <v>96</v>
      </c>
      <c r="Z2" s="7" t="s">
        <v>97</v>
      </c>
      <c r="AA2" s="7" t="s">
        <v>98</v>
      </c>
      <c r="AB2" s="7" t="s">
        <v>99</v>
      </c>
      <c r="AD2">
        <v>2019</v>
      </c>
      <c r="AE2">
        <v>2020</v>
      </c>
      <c r="AF2">
        <v>2021</v>
      </c>
      <c r="AG2">
        <v>2022</v>
      </c>
      <c r="AH2">
        <v>2023</v>
      </c>
      <c r="AI2">
        <v>2024</v>
      </c>
      <c r="AJ2">
        <v>2025</v>
      </c>
      <c r="AK2">
        <v>2026</v>
      </c>
      <c r="AL2">
        <v>2027</v>
      </c>
      <c r="AM2">
        <v>2028</v>
      </c>
      <c r="AN2">
        <v>2029</v>
      </c>
      <c r="AO2">
        <v>2030</v>
      </c>
      <c r="AP2">
        <v>2031</v>
      </c>
      <c r="AQ2">
        <v>2032</v>
      </c>
      <c r="AR2">
        <v>2033</v>
      </c>
      <c r="AS2">
        <v>2034</v>
      </c>
      <c r="AT2">
        <v>2035</v>
      </c>
      <c r="AU2">
        <v>2036</v>
      </c>
    </row>
    <row r="3" spans="2:160" s="1" customFormat="1" x14ac:dyDescent="0.3">
      <c r="B3" s="1" t="s">
        <v>11</v>
      </c>
      <c r="C3" s="9">
        <v>73</v>
      </c>
      <c r="D3" s="9">
        <v>87.7</v>
      </c>
      <c r="E3" s="9">
        <v>107</v>
      </c>
      <c r="F3" s="9">
        <f>AF3-E3-H3-G3</f>
        <v>134.9</v>
      </c>
      <c r="G3" s="9">
        <v>159.6</v>
      </c>
      <c r="H3" s="9">
        <v>190.5</v>
      </c>
      <c r="I3" s="9">
        <v>228.9</v>
      </c>
      <c r="J3" s="9">
        <v>272.2</v>
      </c>
      <c r="K3" s="9">
        <v>334.4</v>
      </c>
      <c r="L3" s="9">
        <v>383.8</v>
      </c>
      <c r="M3" s="9">
        <v>422.4</v>
      </c>
      <c r="N3" s="9">
        <v>497.2</v>
      </c>
      <c r="O3" s="9">
        <v>557</v>
      </c>
      <c r="P3" s="9">
        <v>589</v>
      </c>
      <c r="Q3" s="9">
        <v>623.6</v>
      </c>
      <c r="R3" s="9">
        <v>674</v>
      </c>
      <c r="S3" s="9">
        <v>734.2</v>
      </c>
      <c r="T3" s="9">
        <v>774.7</v>
      </c>
      <c r="U3" s="9">
        <v>828.7</v>
      </c>
      <c r="V3" s="9">
        <v>868.8</v>
      </c>
      <c r="W3" s="9">
        <v>942.1</v>
      </c>
      <c r="X3" s="9">
        <v>986.8</v>
      </c>
      <c r="Y3" s="9">
        <v>1042.0999999999999</v>
      </c>
      <c r="Z3" s="9">
        <v>1145</v>
      </c>
      <c r="AA3" s="9">
        <f>W3*1.24</f>
        <v>1168.204</v>
      </c>
      <c r="AB3" s="9">
        <f t="shared" ref="AB3" si="0">X3*1.2</f>
        <v>1184.1599999999999</v>
      </c>
      <c r="AD3" s="9">
        <v>96.7</v>
      </c>
      <c r="AE3" s="9">
        <v>264.8</v>
      </c>
      <c r="AF3" s="9">
        <v>592</v>
      </c>
      <c r="AG3" s="9">
        <f>SUM(I3:L3)</f>
        <v>1219.3</v>
      </c>
      <c r="AH3" s="9">
        <f>SUM(M3:P3)</f>
        <v>2065.6</v>
      </c>
      <c r="AI3" s="9">
        <f>SUM(Q3:T3)</f>
        <v>2806.5</v>
      </c>
      <c r="AJ3" s="9">
        <f>SUM(U3:X3)</f>
        <v>3626.3999999999996</v>
      </c>
      <c r="AK3" s="9">
        <f>SUM(Y3:AB3)</f>
        <v>4539.4639999999999</v>
      </c>
      <c r="AL3" s="9">
        <f>AK3*1.24</f>
        <v>5628.9353599999995</v>
      </c>
      <c r="AM3" s="9">
        <f>AL3*1.2</f>
        <v>6754.7224319999996</v>
      </c>
      <c r="AN3" s="9">
        <f>AM3*1.14</f>
        <v>7700.3835724799992</v>
      </c>
      <c r="AO3" s="9">
        <f>AN3*1.11</f>
        <v>8547.4257654527992</v>
      </c>
      <c r="AP3" s="9">
        <f>AO3*1.09</f>
        <v>9316.6940843435514</v>
      </c>
      <c r="AQ3" s="9">
        <f>AP3*1.07</f>
        <v>9968.8626702476013</v>
      </c>
      <c r="AR3" s="9">
        <f>AQ3*1.05</f>
        <v>10467.305803759982</v>
      </c>
      <c r="AS3" s="9">
        <f t="shared" ref="AS3:AU3" si="1">AR3*1.05</f>
        <v>10990.671093947982</v>
      </c>
      <c r="AT3" s="9">
        <f t="shared" si="1"/>
        <v>11540.204648645382</v>
      </c>
      <c r="AU3" s="9">
        <f t="shared" si="1"/>
        <v>12117.214881077651</v>
      </c>
      <c r="AV3" s="9"/>
    </row>
    <row r="4" spans="2:160" x14ac:dyDescent="0.3">
      <c r="B4" t="s">
        <v>18</v>
      </c>
      <c r="C4" s="6">
        <v>29.5</v>
      </c>
      <c r="D4" s="6">
        <v>34.5</v>
      </c>
      <c r="E4" s="6"/>
      <c r="F4" s="6"/>
      <c r="G4" s="6">
        <v>66.7</v>
      </c>
      <c r="H4" s="6">
        <v>82.9</v>
      </c>
      <c r="I4" s="6">
        <v>97.3</v>
      </c>
      <c r="J4" s="6">
        <v>106.1</v>
      </c>
      <c r="K4" s="6">
        <v>120.8</v>
      </c>
      <c r="L4" s="6">
        <v>134.19999999999999</v>
      </c>
      <c r="M4" s="6">
        <v>147.9</v>
      </c>
      <c r="N4" s="6">
        <v>173.2</v>
      </c>
      <c r="O4" s="6">
        <v>190.7</v>
      </c>
      <c r="P4" s="6">
        <v>205.7</v>
      </c>
      <c r="Q4" s="6">
        <v>209.4</v>
      </c>
      <c r="R4" s="6">
        <v>218.4</v>
      </c>
      <c r="S4" s="6">
        <v>228.9</v>
      </c>
      <c r="T4" s="6">
        <v>241.8</v>
      </c>
      <c r="U4" s="6">
        <v>272.5</v>
      </c>
      <c r="V4" s="6">
        <v>288.10000000000002</v>
      </c>
      <c r="W4" s="6">
        <v>320.89999999999998</v>
      </c>
      <c r="X4" s="6">
        <v>333.2</v>
      </c>
      <c r="Y4" s="6">
        <v>348.8</v>
      </c>
      <c r="Z4" s="6">
        <v>371.8</v>
      </c>
      <c r="AA4" s="6">
        <f t="shared" ref="AA4:AB4" si="2">AA3-AA5</f>
        <v>385.50731999999994</v>
      </c>
      <c r="AB4" s="6">
        <f t="shared" si="2"/>
        <v>390.77279999999996</v>
      </c>
      <c r="AD4" s="6">
        <v>51.7</v>
      </c>
      <c r="AE4" s="6">
        <v>116.6</v>
      </c>
      <c r="AF4" s="6">
        <v>242.6</v>
      </c>
      <c r="AG4" s="6">
        <f>SUM(I4:L4)</f>
        <v>458.4</v>
      </c>
      <c r="AH4" s="6">
        <f>SUM(M4:P4)</f>
        <v>717.5</v>
      </c>
      <c r="AI4" s="6">
        <f>SUM(Q4:T4)</f>
        <v>898.5</v>
      </c>
      <c r="AJ4" s="6">
        <f>SUM(U4:X4)</f>
        <v>1214.7</v>
      </c>
      <c r="AK4" s="6">
        <f>SUM(Y4:AB4)</f>
        <v>1496.88012</v>
      </c>
      <c r="AL4" s="6">
        <f t="shared" ref="AL4:AQ4" si="3">AL3-AL5</f>
        <v>1801.2593151999995</v>
      </c>
      <c r="AM4" s="6">
        <f t="shared" si="3"/>
        <v>2093.9639539200007</v>
      </c>
      <c r="AN4" s="6">
        <f t="shared" si="3"/>
        <v>2310.1150717440005</v>
      </c>
      <c r="AO4" s="6">
        <f t="shared" si="3"/>
        <v>2564.2277296358398</v>
      </c>
      <c r="AP4" s="6">
        <f t="shared" si="3"/>
        <v>2795.008225303066</v>
      </c>
      <c r="AQ4" s="6">
        <f t="shared" si="3"/>
        <v>2990.6588010742807</v>
      </c>
      <c r="AR4" s="6">
        <f t="shared" ref="AR4:AU4" si="4">AR3-AR5</f>
        <v>3140.1917411279956</v>
      </c>
      <c r="AS4" s="6">
        <f t="shared" si="4"/>
        <v>3297.2013281843947</v>
      </c>
      <c r="AT4" s="6">
        <f t="shared" si="4"/>
        <v>3462.0613945936148</v>
      </c>
      <c r="AU4" s="6">
        <f t="shared" si="4"/>
        <v>3635.1644643232958</v>
      </c>
    </row>
    <row r="5" spans="2:160" s="1" customFormat="1" x14ac:dyDescent="0.3">
      <c r="B5" s="1" t="s">
        <v>19</v>
      </c>
      <c r="C5" s="9">
        <f>C3-C4</f>
        <v>43.5</v>
      </c>
      <c r="D5" s="9">
        <f>D3-D4</f>
        <v>53.2</v>
      </c>
      <c r="E5" s="9"/>
      <c r="F5" s="9"/>
      <c r="G5" s="9">
        <f t="shared" ref="G5:Z5" si="5">G3-G4</f>
        <v>92.899999999999991</v>
      </c>
      <c r="H5" s="9">
        <f t="shared" si="5"/>
        <v>107.6</v>
      </c>
      <c r="I5" s="9">
        <f t="shared" si="5"/>
        <v>131.60000000000002</v>
      </c>
      <c r="J5" s="9">
        <f t="shared" si="5"/>
        <v>166.1</v>
      </c>
      <c r="K5" s="9">
        <f t="shared" si="5"/>
        <v>213.59999999999997</v>
      </c>
      <c r="L5" s="9">
        <f t="shared" si="5"/>
        <v>249.60000000000002</v>
      </c>
      <c r="M5" s="9">
        <f t="shared" si="5"/>
        <v>274.5</v>
      </c>
      <c r="N5" s="9">
        <f t="shared" si="5"/>
        <v>324</v>
      </c>
      <c r="O5" s="9">
        <f t="shared" si="5"/>
        <v>366.3</v>
      </c>
      <c r="P5" s="9">
        <f t="shared" si="5"/>
        <v>383.3</v>
      </c>
      <c r="Q5" s="9">
        <f t="shared" si="5"/>
        <v>414.20000000000005</v>
      </c>
      <c r="R5" s="9">
        <f t="shared" si="5"/>
        <v>455.6</v>
      </c>
      <c r="S5" s="9">
        <f t="shared" si="5"/>
        <v>505.30000000000007</v>
      </c>
      <c r="T5" s="9">
        <f t="shared" si="5"/>
        <v>532.90000000000009</v>
      </c>
      <c r="U5" s="9">
        <f t="shared" si="5"/>
        <v>556.20000000000005</v>
      </c>
      <c r="V5" s="9">
        <f t="shared" si="5"/>
        <v>580.69999999999993</v>
      </c>
      <c r="W5" s="9">
        <f t="shared" si="5"/>
        <v>621.20000000000005</v>
      </c>
      <c r="X5" s="9">
        <f t="shared" si="5"/>
        <v>653.59999999999991</v>
      </c>
      <c r="Y5" s="9">
        <f t="shared" si="5"/>
        <v>693.3</v>
      </c>
      <c r="Z5" s="9">
        <f t="shared" si="5"/>
        <v>773.2</v>
      </c>
      <c r="AA5" s="9">
        <f t="shared" ref="AA5:AB5" si="6">AA3*0.67</f>
        <v>782.69668000000001</v>
      </c>
      <c r="AB5" s="9">
        <f t="shared" si="6"/>
        <v>793.38719999999989</v>
      </c>
      <c r="AD5" s="9">
        <f>AD3-AD4</f>
        <v>45</v>
      </c>
      <c r="AE5" s="9">
        <f>AE3-AE4</f>
        <v>148.20000000000002</v>
      </c>
      <c r="AF5" s="9">
        <f>AF3-AF4</f>
        <v>349.4</v>
      </c>
      <c r="AG5" s="9">
        <f t="shared" ref="AG5:AK5" si="7">AG3-AG4</f>
        <v>760.9</v>
      </c>
      <c r="AH5" s="9">
        <f t="shared" si="7"/>
        <v>1348.1</v>
      </c>
      <c r="AI5" s="9">
        <f t="shared" si="7"/>
        <v>1908</v>
      </c>
      <c r="AJ5" s="9">
        <f t="shared" si="7"/>
        <v>2411.6999999999998</v>
      </c>
      <c r="AK5" s="9">
        <f t="shared" si="7"/>
        <v>3042.5838800000001</v>
      </c>
      <c r="AL5" s="9">
        <f>AL3*0.68</f>
        <v>3827.6760448</v>
      </c>
      <c r="AM5" s="9">
        <f>AM3*0.69</f>
        <v>4660.7584780799989</v>
      </c>
      <c r="AN5" s="9">
        <f>AN3*0.7</f>
        <v>5390.2685007359987</v>
      </c>
      <c r="AO5" s="9">
        <f>AO3*0.7</f>
        <v>5983.1980358169594</v>
      </c>
      <c r="AP5" s="9">
        <f t="shared" ref="AP5:AU5" si="8">AP3*0.7</f>
        <v>6521.6858590404854</v>
      </c>
      <c r="AQ5" s="9">
        <f t="shared" si="8"/>
        <v>6978.2038691733205</v>
      </c>
      <c r="AR5" s="9">
        <f t="shared" si="8"/>
        <v>7327.1140626319866</v>
      </c>
      <c r="AS5" s="9">
        <f t="shared" si="8"/>
        <v>7693.469765763587</v>
      </c>
      <c r="AT5" s="9">
        <f t="shared" si="8"/>
        <v>8078.1432540517671</v>
      </c>
      <c r="AU5" s="9">
        <f t="shared" si="8"/>
        <v>8482.050416754355</v>
      </c>
    </row>
    <row r="6" spans="2:160" x14ac:dyDescent="0.3">
      <c r="B6" t="s">
        <v>20</v>
      </c>
      <c r="C6" s="6">
        <v>75.7</v>
      </c>
      <c r="D6" s="6">
        <v>80.400000000000006</v>
      </c>
      <c r="E6" s="6"/>
      <c r="F6" s="6"/>
      <c r="G6" s="6">
        <v>134.69999999999999</v>
      </c>
      <c r="H6" s="6">
        <v>154.1</v>
      </c>
      <c r="I6" s="6">
        <v>166.8</v>
      </c>
      <c r="J6" s="6">
        <v>182.9</v>
      </c>
      <c r="K6" s="6">
        <v>191</v>
      </c>
      <c r="L6" s="6">
        <v>203.3</v>
      </c>
      <c r="M6" s="6">
        <v>243.9</v>
      </c>
      <c r="N6" s="6">
        <v>274.60000000000002</v>
      </c>
      <c r="O6" s="6">
        <v>284.5</v>
      </c>
      <c r="P6" s="6">
        <v>303.5</v>
      </c>
      <c r="Q6" s="6">
        <v>331.6</v>
      </c>
      <c r="R6" s="6">
        <v>343.3</v>
      </c>
      <c r="S6" s="6">
        <v>355.1</v>
      </c>
      <c r="T6" s="6">
        <v>361.8</v>
      </c>
      <c r="U6" s="6">
        <v>400.8</v>
      </c>
      <c r="V6" s="6">
        <v>400.6</v>
      </c>
      <c r="W6" s="6">
        <v>438</v>
      </c>
      <c r="X6" s="6">
        <v>432.7</v>
      </c>
      <c r="Y6" s="6">
        <v>458.6</v>
      </c>
      <c r="Z6" s="6">
        <v>502</v>
      </c>
      <c r="AA6" s="6">
        <f>AA3*0.44</f>
        <v>514.00976000000003</v>
      </c>
      <c r="AB6" s="6">
        <f>AB3*0.44</f>
        <v>521.03039999999999</v>
      </c>
      <c r="AD6" s="6">
        <v>125.6</v>
      </c>
      <c r="AE6" s="6">
        <v>293.60000000000002</v>
      </c>
      <c r="AF6" s="6">
        <v>479.3</v>
      </c>
      <c r="AG6" s="6">
        <f>SUM(I6:L6)</f>
        <v>744</v>
      </c>
      <c r="AH6" s="6">
        <f>SUM(M6:P6)</f>
        <v>1106.5</v>
      </c>
      <c r="AI6" s="6">
        <f>SUM(Q6:T6)</f>
        <v>1391.8</v>
      </c>
      <c r="AJ6" s="6">
        <f>SUM(U6:X6)</f>
        <v>1672.1000000000001</v>
      </c>
      <c r="AK6" s="6">
        <f>SUM(Y6:AB6)</f>
        <v>1995.6401599999999</v>
      </c>
      <c r="AL6" s="6">
        <f>AL3*0.37</f>
        <v>2082.7060831999997</v>
      </c>
      <c r="AM6" s="6">
        <f>AM3*0.32</f>
        <v>2161.5111782399999</v>
      </c>
      <c r="AN6" s="6">
        <f>AN3*0.29</f>
        <v>2233.1112360191996</v>
      </c>
      <c r="AO6" s="6">
        <f>AO3*0.27</f>
        <v>2307.8049566722561</v>
      </c>
      <c r="AP6" s="6">
        <f>AP3*0.25</f>
        <v>2329.1735210858878</v>
      </c>
      <c r="AQ6" s="6">
        <f>AQ3*0.24</f>
        <v>2392.5270408594242</v>
      </c>
      <c r="AR6" s="6">
        <f>AR3*0.23</f>
        <v>2407.4803348647961</v>
      </c>
      <c r="AS6" s="6">
        <f t="shared" ref="AS6:AU6" si="9">AS3*0.23</f>
        <v>2527.8543516080358</v>
      </c>
      <c r="AT6" s="6">
        <f t="shared" si="9"/>
        <v>2654.2470691884378</v>
      </c>
      <c r="AU6" s="6">
        <f t="shared" si="9"/>
        <v>2786.9594226478598</v>
      </c>
    </row>
    <row r="7" spans="2:160" x14ac:dyDescent="0.3">
      <c r="B7" t="s">
        <v>21</v>
      </c>
      <c r="C7" s="6">
        <v>27.7</v>
      </c>
      <c r="D7" s="6">
        <v>29.7</v>
      </c>
      <c r="E7" s="6"/>
      <c r="F7" s="6"/>
      <c r="G7" s="6">
        <v>74.099999999999994</v>
      </c>
      <c r="H7" s="6">
        <v>94</v>
      </c>
      <c r="I7" s="6">
        <v>109.8</v>
      </c>
      <c r="J7" s="6">
        <v>118.1</v>
      </c>
      <c r="K7" s="6">
        <v>115.9</v>
      </c>
      <c r="L7" s="6">
        <v>123.1</v>
      </c>
      <c r="M7" s="6">
        <v>150.80000000000001</v>
      </c>
      <c r="N7" s="6">
        <v>183.7</v>
      </c>
      <c r="O7" s="6">
        <v>211.4</v>
      </c>
      <c r="P7" s="6">
        <v>242.1</v>
      </c>
      <c r="Q7" s="6">
        <v>277.39999999999998</v>
      </c>
      <c r="R7" s="6">
        <v>314</v>
      </c>
      <c r="S7" s="6">
        <v>332.1</v>
      </c>
      <c r="T7" s="6">
        <v>364.5</v>
      </c>
      <c r="U7" s="6">
        <v>410.8</v>
      </c>
      <c r="V7" s="6">
        <v>437.7</v>
      </c>
      <c r="W7" s="6">
        <v>442.4</v>
      </c>
      <c r="X7" s="6">
        <v>492.5</v>
      </c>
      <c r="Y7" s="6">
        <v>472.4</v>
      </c>
      <c r="Z7" s="6">
        <v>492</v>
      </c>
      <c r="AA7" s="6">
        <f>W7*1.17</f>
        <v>517.60799999999995</v>
      </c>
      <c r="AB7" s="6">
        <f>X7*1.15</f>
        <v>566.375</v>
      </c>
      <c r="AD7" s="6">
        <v>68.7</v>
      </c>
      <c r="AE7" s="6">
        <v>105.2</v>
      </c>
      <c r="AF7" s="6">
        <v>237.9</v>
      </c>
      <c r="AG7" s="6">
        <f>SUM(I7:L7)</f>
        <v>466.9</v>
      </c>
      <c r="AH7" s="6">
        <f>SUM(M7:P7)</f>
        <v>788</v>
      </c>
      <c r="AI7" s="6">
        <f>SUM(Q7:T7)</f>
        <v>1288</v>
      </c>
      <c r="AJ7" s="6">
        <f>SUM(U7:X7)</f>
        <v>1783.4</v>
      </c>
      <c r="AK7" s="6">
        <f>SUM(Y7:AB7)</f>
        <v>2048.3829999999998</v>
      </c>
      <c r="AL7" s="6">
        <f>AK7*1.07</f>
        <v>2191.7698099999998</v>
      </c>
      <c r="AM7" s="6">
        <f>AL7*1.04</f>
        <v>2279.4406024</v>
      </c>
      <c r="AN7" s="6">
        <f>AM7*1.03</f>
        <v>2347.8238204720001</v>
      </c>
      <c r="AO7" s="6">
        <f>AN7*1.02</f>
        <v>2394.7802968814403</v>
      </c>
      <c r="AP7" s="6">
        <f t="shared" ref="AP7:AU7" si="10">AO7*1.02</f>
        <v>2442.6759028190691</v>
      </c>
      <c r="AQ7" s="6">
        <f t="shared" si="10"/>
        <v>2491.5294208754503</v>
      </c>
      <c r="AR7" s="6">
        <f t="shared" si="10"/>
        <v>2541.3600092929596</v>
      </c>
      <c r="AS7" s="6">
        <f t="shared" si="10"/>
        <v>2592.1872094788187</v>
      </c>
      <c r="AT7" s="6">
        <f t="shared" si="10"/>
        <v>2644.0309536683949</v>
      </c>
      <c r="AU7" s="6">
        <f t="shared" si="10"/>
        <v>2696.9115727417629</v>
      </c>
    </row>
    <row r="8" spans="2:160" x14ac:dyDescent="0.3">
      <c r="B8" t="s">
        <v>22</v>
      </c>
      <c r="C8" s="6">
        <v>30.3</v>
      </c>
      <c r="D8" s="6">
        <v>28.1</v>
      </c>
      <c r="E8" s="6"/>
      <c r="F8" s="6"/>
      <c r="G8" s="6">
        <v>53.5</v>
      </c>
      <c r="H8" s="6">
        <v>59.9</v>
      </c>
      <c r="I8" s="6">
        <v>60.6</v>
      </c>
      <c r="J8" s="6">
        <v>65.2</v>
      </c>
      <c r="K8" s="6">
        <v>64.099999999999994</v>
      </c>
      <c r="L8" s="6">
        <v>75.2</v>
      </c>
      <c r="M8" s="6">
        <v>68.5</v>
      </c>
      <c r="N8" s="6">
        <v>73.400000000000006</v>
      </c>
      <c r="O8" s="6">
        <v>76.5</v>
      </c>
      <c r="P8" s="6">
        <v>77.5</v>
      </c>
      <c r="Q8" s="6">
        <v>78.5</v>
      </c>
      <c r="R8" s="6">
        <v>83.7</v>
      </c>
      <c r="S8" s="6">
        <v>78.7</v>
      </c>
      <c r="T8" s="6">
        <v>82.1</v>
      </c>
      <c r="U8" s="6">
        <v>93.1</v>
      </c>
      <c r="V8" s="6">
        <v>97.8</v>
      </c>
      <c r="W8" s="6">
        <v>106.3</v>
      </c>
      <c r="X8" s="6">
        <v>115.1</v>
      </c>
      <c r="Y8" s="6">
        <v>209.6</v>
      </c>
      <c r="Z8" s="6">
        <v>119.5</v>
      </c>
      <c r="AA8" s="6">
        <f>W8*1.2</f>
        <v>127.55999999999999</v>
      </c>
      <c r="AB8" s="6">
        <f>X8*1.2</f>
        <v>138.11999999999998</v>
      </c>
      <c r="AD8" s="6">
        <v>36.1</v>
      </c>
      <c r="AE8" s="6">
        <v>107.5</v>
      </c>
      <c r="AF8" s="6">
        <v>176.1</v>
      </c>
      <c r="AG8" s="6">
        <f>SUM(I8:L8)</f>
        <v>265.10000000000002</v>
      </c>
      <c r="AH8" s="6">
        <f>SUM(M8:P8)</f>
        <v>295.89999999999998</v>
      </c>
      <c r="AI8" s="6">
        <f>SUM(Q8:T8)</f>
        <v>323</v>
      </c>
      <c r="AJ8" s="6">
        <f>SUM(U8:X8)</f>
        <v>412.29999999999995</v>
      </c>
      <c r="AK8" s="6">
        <f>SUM(Y8:AB8)</f>
        <v>594.78</v>
      </c>
      <c r="AL8" s="6">
        <f>AK8*1.05</f>
        <v>624.51900000000001</v>
      </c>
      <c r="AM8" s="6">
        <f>AL8*1.05</f>
        <v>655.74495000000002</v>
      </c>
      <c r="AN8" s="6">
        <f>AM8*1.04</f>
        <v>681.97474800000009</v>
      </c>
      <c r="AO8" s="6">
        <f>AN8*1.03</f>
        <v>702.43399044000012</v>
      </c>
      <c r="AP8" s="6">
        <f>AO8*1.02</f>
        <v>716.4826702488001</v>
      </c>
      <c r="AQ8" s="6">
        <f>AP8*1.02</f>
        <v>730.81232365377616</v>
      </c>
      <c r="AR8" s="6">
        <f t="shared" ref="AR8:AU8" si="11">AQ8*1.02</f>
        <v>745.4285701268517</v>
      </c>
      <c r="AS8" s="6">
        <f t="shared" si="11"/>
        <v>760.33714152938876</v>
      </c>
      <c r="AT8" s="6">
        <f t="shared" si="11"/>
        <v>775.54388435997657</v>
      </c>
      <c r="AU8" s="6">
        <f t="shared" si="11"/>
        <v>791.05476204717615</v>
      </c>
    </row>
    <row r="9" spans="2:160" s="1" customFormat="1" x14ac:dyDescent="0.3">
      <c r="B9" s="1" t="s">
        <v>23</v>
      </c>
      <c r="C9" s="9">
        <f>C5-C6-C7-C8</f>
        <v>-90.2</v>
      </c>
      <c r="D9" s="9">
        <f>D5-D6-D7-D8</f>
        <v>-85</v>
      </c>
      <c r="E9" s="9"/>
      <c r="F9" s="9"/>
      <c r="G9" s="9">
        <f t="shared" ref="G9:AB9" si="12">G5-G6-G7-G8</f>
        <v>-169.39999999999998</v>
      </c>
      <c r="H9" s="9">
        <f t="shared" si="12"/>
        <v>-200.4</v>
      </c>
      <c r="I9" s="9">
        <f t="shared" si="12"/>
        <v>-205.6</v>
      </c>
      <c r="J9" s="9">
        <f t="shared" si="12"/>
        <v>-200.10000000000002</v>
      </c>
      <c r="K9" s="9">
        <f t="shared" si="12"/>
        <v>-157.40000000000003</v>
      </c>
      <c r="L9" s="9">
        <f t="shared" si="12"/>
        <v>-152</v>
      </c>
      <c r="M9" s="9">
        <f t="shared" si="12"/>
        <v>-188.70000000000002</v>
      </c>
      <c r="N9" s="9">
        <f t="shared" si="12"/>
        <v>-207.70000000000002</v>
      </c>
      <c r="O9" s="9">
        <f t="shared" si="12"/>
        <v>-206.1</v>
      </c>
      <c r="P9" s="9">
        <f t="shared" si="12"/>
        <v>-239.79999999999998</v>
      </c>
      <c r="Q9" s="9">
        <f t="shared" si="12"/>
        <v>-273.29999999999995</v>
      </c>
      <c r="R9" s="9">
        <f t="shared" si="12"/>
        <v>-285.39999999999998</v>
      </c>
      <c r="S9" s="9">
        <f t="shared" si="12"/>
        <v>-260.59999999999997</v>
      </c>
      <c r="T9" s="9">
        <f t="shared" si="12"/>
        <v>-275.49999999999989</v>
      </c>
      <c r="U9" s="9">
        <f t="shared" si="12"/>
        <v>-348.5</v>
      </c>
      <c r="V9" s="9">
        <f t="shared" si="12"/>
        <v>-355.40000000000009</v>
      </c>
      <c r="W9" s="9">
        <f t="shared" si="12"/>
        <v>-365.49999999999994</v>
      </c>
      <c r="X9" s="9">
        <f t="shared" si="12"/>
        <v>-386.70000000000005</v>
      </c>
      <c r="Y9" s="9">
        <f t="shared" si="12"/>
        <v>-447.30000000000007</v>
      </c>
      <c r="Z9" s="9">
        <f t="shared" si="12"/>
        <v>-340.29999999999995</v>
      </c>
      <c r="AA9" s="9">
        <f t="shared" si="12"/>
        <v>-376.48107999999996</v>
      </c>
      <c r="AB9" s="9">
        <f t="shared" si="12"/>
        <v>-432.1382000000001</v>
      </c>
      <c r="AD9" s="9">
        <f>AD5-AD6-AD7-AD8</f>
        <v>-185.4</v>
      </c>
      <c r="AE9" s="9">
        <f>AE5-AE6-AE7-AE8</f>
        <v>-358.1</v>
      </c>
      <c r="AF9" s="9">
        <f>AF5-AF6-AF7-AF8</f>
        <v>-543.90000000000009</v>
      </c>
      <c r="AG9" s="9">
        <f t="shared" ref="AG9" si="13">AG5-AG6-AG7-AG8</f>
        <v>-715.1</v>
      </c>
      <c r="AH9" s="9">
        <f t="shared" ref="AH9" si="14">AH5-AH6-AH7-AH8</f>
        <v>-842.30000000000007</v>
      </c>
      <c r="AI9" s="9">
        <f t="shared" ref="AI9" si="15">AI5-AI6-AI7-AI8</f>
        <v>-1094.8</v>
      </c>
      <c r="AJ9" s="9">
        <f t="shared" ref="AJ9" si="16">AJ5-AJ6-AJ7-AJ8</f>
        <v>-1456.1000000000004</v>
      </c>
      <c r="AK9" s="9">
        <f t="shared" ref="AK9" si="17">AK5-AK6-AK7-AK8</f>
        <v>-1596.2192799999996</v>
      </c>
      <c r="AL9" s="9">
        <f t="shared" ref="AL9" si="18">AL5-AL6-AL7-AL8</f>
        <v>-1071.3188483999995</v>
      </c>
      <c r="AM9" s="9">
        <f t="shared" ref="AM9" si="19">AM5-AM6-AM7-AM8</f>
        <v>-435.93825256000105</v>
      </c>
      <c r="AN9" s="9">
        <f t="shared" ref="AN9" si="20">AN5-AN6-AN7-AN8</f>
        <v>127.35869624479892</v>
      </c>
      <c r="AO9" s="9">
        <f t="shared" ref="AO9" si="21">AO5-AO6-AO7-AO8</f>
        <v>578.17879182326283</v>
      </c>
      <c r="AP9" s="9">
        <f t="shared" ref="AP9" si="22">AP5-AP6-AP7-AP8</f>
        <v>1033.3537648867284</v>
      </c>
      <c r="AQ9" s="9">
        <f t="shared" ref="AQ9:AU9" si="23">AQ5-AQ6-AQ7-AQ8</f>
        <v>1363.3350837846697</v>
      </c>
      <c r="AR9" s="9">
        <f t="shared" si="23"/>
        <v>1632.8451483473787</v>
      </c>
      <c r="AS9" s="9">
        <f t="shared" si="23"/>
        <v>1813.0910631473434</v>
      </c>
      <c r="AT9" s="9">
        <f t="shared" si="23"/>
        <v>2004.3213468349584</v>
      </c>
      <c r="AU9" s="9">
        <f t="shared" si="23"/>
        <v>2207.1246593175556</v>
      </c>
    </row>
    <row r="10" spans="2:160" x14ac:dyDescent="0.3">
      <c r="B10" t="s">
        <v>24</v>
      </c>
      <c r="C10" s="6">
        <v>-2.5</v>
      </c>
      <c r="D10" s="6">
        <v>-2.2999999999999998</v>
      </c>
      <c r="E10" s="6"/>
      <c r="F10" s="6"/>
      <c r="G10" s="6">
        <v>-1.5</v>
      </c>
      <c r="H10" s="6">
        <v>-1.9</v>
      </c>
      <c r="I10" s="6">
        <v>-2.6</v>
      </c>
      <c r="J10" s="6">
        <v>-2.2000000000000002</v>
      </c>
      <c r="K10" s="6">
        <v>-2</v>
      </c>
      <c r="L10" s="6">
        <v>-2.2999999999999998</v>
      </c>
      <c r="M10" s="6">
        <v>-4.8</v>
      </c>
      <c r="N10" s="6">
        <v>-11.7</v>
      </c>
      <c r="O10" s="6">
        <v>-21.9</v>
      </c>
      <c r="P10" s="6">
        <v>-35.5</v>
      </c>
      <c r="Q10" s="6">
        <v>-43.1</v>
      </c>
      <c r="R10" s="6">
        <v>-50.3</v>
      </c>
      <c r="S10" s="6">
        <v>-53.5</v>
      </c>
      <c r="T10" s="6">
        <v>-53.8</v>
      </c>
      <c r="U10" s="6">
        <v>-54.8</v>
      </c>
      <c r="V10" s="6">
        <v>-49.3</v>
      </c>
      <c r="W10" s="6">
        <v>-48.7</v>
      </c>
      <c r="X10" s="6">
        <v>-56.3</v>
      </c>
      <c r="Y10" s="6">
        <v>-53.2</v>
      </c>
      <c r="Z10" s="6">
        <v>-49.5</v>
      </c>
      <c r="AA10" s="6">
        <f t="shared" ref="AA10:AB10" si="24">W10*1.05</f>
        <v>-51.135000000000005</v>
      </c>
      <c r="AB10" s="6">
        <f t="shared" si="24"/>
        <v>-59.115000000000002</v>
      </c>
      <c r="AD10" s="6">
        <v>-8.8000000000000007</v>
      </c>
      <c r="AE10" s="6">
        <v>-11.6</v>
      </c>
      <c r="AF10" s="6">
        <v>-7.5</v>
      </c>
      <c r="AG10" s="6">
        <f>SUM(I10:L10)</f>
        <v>-9.1000000000000014</v>
      </c>
      <c r="AH10" s="6">
        <f>SUM(M10:P10)</f>
        <v>-73.900000000000006</v>
      </c>
      <c r="AI10" s="6">
        <f>SUM(Q10:T10)</f>
        <v>-200.7</v>
      </c>
      <c r="AJ10" s="6">
        <f>SUM(U10:X10)</f>
        <v>-209.10000000000002</v>
      </c>
      <c r="AK10" s="6">
        <f>SUM(Y10:AB10)</f>
        <v>-212.95000000000002</v>
      </c>
      <c r="AL10" s="6">
        <f t="shared" ref="AL10" si="25">AK10*1.02</f>
        <v>-217.20900000000003</v>
      </c>
      <c r="AM10" s="6">
        <f t="shared" ref="AM10" si="26">AL10*1.02</f>
        <v>-221.55318000000003</v>
      </c>
      <c r="AN10" s="6">
        <f t="shared" ref="AN10" si="27">AM10*1.02</f>
        <v>-225.98424360000004</v>
      </c>
      <c r="AO10" s="6">
        <f t="shared" ref="AO10" si="28">AN10*1.02</f>
        <v>-230.50392847200004</v>
      </c>
      <c r="AP10" s="6">
        <f t="shared" ref="AP10" si="29">AO10*1.02</f>
        <v>-235.11400704144003</v>
      </c>
      <c r="AQ10" s="6">
        <f t="shared" ref="AQ10" si="30">AP10*1.02</f>
        <v>-239.81628718226884</v>
      </c>
      <c r="AR10" s="6">
        <f t="shared" ref="AR10" si="31">AQ10*1.02</f>
        <v>-244.61261292591422</v>
      </c>
      <c r="AS10" s="6">
        <f t="shared" ref="AS10" si="32">AR10*1.02</f>
        <v>-249.5048651844325</v>
      </c>
      <c r="AT10" s="6">
        <f t="shared" ref="AT10" si="33">AS10*1.02</f>
        <v>-254.49496248812116</v>
      </c>
      <c r="AU10" s="6">
        <f t="shared" ref="AU10" si="34">AT10*1.02</f>
        <v>-259.58486173788361</v>
      </c>
    </row>
    <row r="11" spans="2:160" x14ac:dyDescent="0.3">
      <c r="B11" t="s">
        <v>62</v>
      </c>
      <c r="C11" s="6"/>
      <c r="D11" s="6"/>
      <c r="E11" s="6"/>
      <c r="F11" s="6"/>
      <c r="G11" s="6"/>
      <c r="H11" s="6"/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0.7</v>
      </c>
      <c r="X11" s="6">
        <v>2.1</v>
      </c>
      <c r="Y11" s="6">
        <v>2.1</v>
      </c>
      <c r="Z11" s="6">
        <v>2.1</v>
      </c>
      <c r="AA11" s="6">
        <v>0</v>
      </c>
      <c r="AB11" s="6">
        <v>0</v>
      </c>
      <c r="AD11" s="6"/>
      <c r="AE11" s="6"/>
      <c r="AF11" s="6"/>
      <c r="AG11" s="6"/>
      <c r="AH11" s="6"/>
      <c r="AI11" s="6">
        <f>SUM(Q11:T11)</f>
        <v>0</v>
      </c>
      <c r="AJ11" s="6">
        <f>SUM(U11:X11)</f>
        <v>2.8</v>
      </c>
      <c r="AK11" s="6">
        <f>SUM(Y11:AB11)</f>
        <v>4.2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2:160" x14ac:dyDescent="0.3">
      <c r="B12" t="s">
        <v>25</v>
      </c>
      <c r="C12" s="6">
        <v>0</v>
      </c>
      <c r="D12" s="6">
        <v>0.2</v>
      </c>
      <c r="E12" s="6"/>
      <c r="F12" s="6"/>
      <c r="G12" s="6">
        <v>0.5</v>
      </c>
      <c r="H12" s="6">
        <v>-1</v>
      </c>
      <c r="I12" s="6">
        <v>0.5</v>
      </c>
      <c r="J12" s="6">
        <v>-8.6999999999999993</v>
      </c>
      <c r="K12" s="6">
        <v>-1.6</v>
      </c>
      <c r="L12" s="6">
        <v>-19.100000000000001</v>
      </c>
      <c r="M12" s="6">
        <v>8.5</v>
      </c>
      <c r="N12" s="6">
        <v>22.9</v>
      </c>
      <c r="O12" s="6">
        <v>13.3</v>
      </c>
      <c r="P12" s="6">
        <v>2.9</v>
      </c>
      <c r="Q12" s="6">
        <v>2.6</v>
      </c>
      <c r="R12" s="6">
        <v>-4.0999999999999996</v>
      </c>
      <c r="S12" s="6">
        <v>4.2</v>
      </c>
      <c r="T12" s="6">
        <v>-47.5</v>
      </c>
      <c r="U12" s="6">
        <v>21.3</v>
      </c>
      <c r="V12" s="6">
        <v>7.9</v>
      </c>
      <c r="W12" s="6">
        <v>8.5</v>
      </c>
      <c r="X12" s="6">
        <v>-2.4</v>
      </c>
      <c r="Y12" s="6">
        <v>28.1</v>
      </c>
      <c r="Z12" s="6">
        <v>5</v>
      </c>
      <c r="AA12" s="6">
        <v>0</v>
      </c>
      <c r="AB12" s="6">
        <v>0</v>
      </c>
      <c r="AD12" s="6">
        <v>0.5</v>
      </c>
      <c r="AE12" s="6">
        <v>1</v>
      </c>
      <c r="AF12" s="6">
        <v>0.6</v>
      </c>
      <c r="AG12" s="6">
        <f>SUM(I12:L12)</f>
        <v>-28.9</v>
      </c>
      <c r="AH12" s="6">
        <f>SUM(M12:P12)</f>
        <v>47.6</v>
      </c>
      <c r="AI12" s="6">
        <f>SUM(Q12:T12)</f>
        <v>-44.8</v>
      </c>
      <c r="AJ12" s="6">
        <f>SUM(U12:X12)</f>
        <v>35.300000000000004</v>
      </c>
      <c r="AK12" s="6">
        <f>SUM(Y12:AB12)</f>
        <v>33.1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</row>
    <row r="13" spans="2:160" s="1" customFormat="1" x14ac:dyDescent="0.3">
      <c r="B13" s="1" t="s">
        <v>26</v>
      </c>
      <c r="C13" s="9">
        <f>C9-C10-C12</f>
        <v>-87.7</v>
      </c>
      <c r="D13" s="9">
        <f>D9-D10-D12</f>
        <v>-82.9</v>
      </c>
      <c r="E13" s="9"/>
      <c r="F13" s="9"/>
      <c r="G13" s="9">
        <f>G9-G10-G12</f>
        <v>-168.39999999999998</v>
      </c>
      <c r="H13" s="9">
        <f>H9-H10-H12</f>
        <v>-197.5</v>
      </c>
      <c r="I13" s="9">
        <f t="shared" ref="I13:AB13" si="35">I9-SUM(I10:I12)</f>
        <v>-203.5</v>
      </c>
      <c r="J13" s="9">
        <f t="shared" si="35"/>
        <v>-189.20000000000002</v>
      </c>
      <c r="K13" s="9">
        <f t="shared" si="35"/>
        <v>-153.80000000000004</v>
      </c>
      <c r="L13" s="9">
        <f t="shared" si="35"/>
        <v>-130.6</v>
      </c>
      <c r="M13" s="9">
        <f t="shared" si="35"/>
        <v>-192.4</v>
      </c>
      <c r="N13" s="9">
        <f t="shared" si="35"/>
        <v>-218.9</v>
      </c>
      <c r="O13" s="9">
        <f t="shared" si="35"/>
        <v>-197.5</v>
      </c>
      <c r="P13" s="9">
        <f t="shared" si="35"/>
        <v>-207.2</v>
      </c>
      <c r="Q13" s="9">
        <f t="shared" si="35"/>
        <v>-232.79999999999995</v>
      </c>
      <c r="R13" s="9">
        <f t="shared" si="35"/>
        <v>-230.99999999999997</v>
      </c>
      <c r="S13" s="9">
        <f t="shared" si="35"/>
        <v>-211.29999999999995</v>
      </c>
      <c r="T13" s="9">
        <f t="shared" si="35"/>
        <v>-174.19999999999987</v>
      </c>
      <c r="U13" s="9">
        <f t="shared" si="35"/>
        <v>-315</v>
      </c>
      <c r="V13" s="9">
        <f t="shared" si="35"/>
        <v>-314.00000000000011</v>
      </c>
      <c r="W13" s="9">
        <f t="shared" si="35"/>
        <v>-325.99999999999994</v>
      </c>
      <c r="X13" s="9">
        <f t="shared" si="35"/>
        <v>-330.1</v>
      </c>
      <c r="Y13" s="9">
        <f t="shared" si="35"/>
        <v>-424.30000000000007</v>
      </c>
      <c r="Z13" s="9">
        <f t="shared" si="35"/>
        <v>-297.89999999999998</v>
      </c>
      <c r="AA13" s="9">
        <f t="shared" si="35"/>
        <v>-325.34607999999997</v>
      </c>
      <c r="AB13" s="9">
        <f t="shared" si="35"/>
        <v>-373.02320000000009</v>
      </c>
      <c r="AD13" s="9">
        <f t="shared" ref="AD13:AQ13" si="36">AD9-SUM(AD10:AD12)</f>
        <v>-177.1</v>
      </c>
      <c r="AE13" s="9">
        <f t="shared" si="36"/>
        <v>-347.5</v>
      </c>
      <c r="AF13" s="9">
        <f t="shared" si="36"/>
        <v>-537.00000000000011</v>
      </c>
      <c r="AG13" s="9">
        <f t="shared" si="36"/>
        <v>-677.1</v>
      </c>
      <c r="AH13" s="9">
        <f t="shared" si="36"/>
        <v>-816.00000000000011</v>
      </c>
      <c r="AI13" s="9">
        <f t="shared" si="36"/>
        <v>-849.3</v>
      </c>
      <c r="AJ13" s="9">
        <f t="shared" si="36"/>
        <v>-1285.1000000000004</v>
      </c>
      <c r="AK13" s="9">
        <f t="shared" si="36"/>
        <v>-1420.5692799999995</v>
      </c>
      <c r="AL13" s="9">
        <f t="shared" si="36"/>
        <v>-854.10984839999946</v>
      </c>
      <c r="AM13" s="9">
        <f t="shared" si="36"/>
        <v>-214.38507256000102</v>
      </c>
      <c r="AN13" s="9">
        <f t="shared" si="36"/>
        <v>353.34293984479893</v>
      </c>
      <c r="AO13" s="9">
        <f t="shared" si="36"/>
        <v>808.68272029526292</v>
      </c>
      <c r="AP13" s="9">
        <f t="shared" si="36"/>
        <v>1268.4677719281685</v>
      </c>
      <c r="AQ13" s="9">
        <f t="shared" si="36"/>
        <v>1603.1513709669384</v>
      </c>
      <c r="AR13" s="9">
        <f t="shared" ref="AR13" si="37">AR9-SUM(AR10:AR12)</f>
        <v>1877.4577612732928</v>
      </c>
      <c r="AS13" s="9">
        <f t="shared" ref="AS13" si="38">AS9-SUM(AS10:AS12)</f>
        <v>2062.5959283317761</v>
      </c>
      <c r="AT13" s="9">
        <f t="shared" ref="AT13" si="39">AT9-SUM(AT10:AT12)</f>
        <v>2258.8163093230796</v>
      </c>
      <c r="AU13" s="9">
        <f t="shared" ref="AU13" si="40">AU9-SUM(AU10:AU12)</f>
        <v>2466.7095210554394</v>
      </c>
    </row>
    <row r="14" spans="2:160" x14ac:dyDescent="0.3">
      <c r="B14" t="s">
        <v>27</v>
      </c>
      <c r="C14" s="6">
        <v>0.4</v>
      </c>
      <c r="D14" s="6">
        <v>-0.3</v>
      </c>
      <c r="E14" s="6"/>
      <c r="F14" s="6"/>
      <c r="G14" s="6">
        <v>0.4</v>
      </c>
      <c r="H14" s="6">
        <v>1.3</v>
      </c>
      <c r="I14" s="6">
        <v>-0.3</v>
      </c>
      <c r="J14" s="6">
        <v>0.5</v>
      </c>
      <c r="K14" s="6">
        <v>1.2</v>
      </c>
      <c r="L14" s="6">
        <v>1.5</v>
      </c>
      <c r="M14" s="6">
        <v>-26.7</v>
      </c>
      <c r="N14" s="6">
        <v>3.8</v>
      </c>
      <c r="O14" s="6">
        <v>4</v>
      </c>
      <c r="P14" s="6">
        <v>0.4</v>
      </c>
      <c r="Q14" s="6">
        <v>-6.6</v>
      </c>
      <c r="R14" s="6">
        <v>-3.7</v>
      </c>
      <c r="S14" s="6">
        <v>3.4</v>
      </c>
      <c r="T14" s="6">
        <v>-4.3</v>
      </c>
      <c r="U14" s="6">
        <v>2.7</v>
      </c>
      <c r="V14" s="6">
        <v>3.8</v>
      </c>
      <c r="W14" s="6">
        <v>1.9</v>
      </c>
      <c r="X14" s="6">
        <v>-4.3</v>
      </c>
      <c r="Y14" s="6">
        <v>5.7</v>
      </c>
      <c r="Z14" s="6">
        <v>0.1</v>
      </c>
      <c r="AA14" s="6">
        <v>0</v>
      </c>
      <c r="AB14" s="6">
        <v>0</v>
      </c>
      <c r="AD14" s="6">
        <v>0.8</v>
      </c>
      <c r="AE14" s="6">
        <v>1</v>
      </c>
      <c r="AF14" s="6">
        <v>2.1</v>
      </c>
      <c r="AG14" s="6">
        <f>SUM(I14:L14)</f>
        <v>2.9</v>
      </c>
      <c r="AH14" s="6">
        <f>SUM(M14:P14)</f>
        <v>-18.5</v>
      </c>
      <c r="AI14" s="6">
        <f>SUM(Q14:T14)</f>
        <v>-11.2</v>
      </c>
      <c r="AJ14" s="6">
        <f>SUM(U14:X14)</f>
        <v>4.1000000000000005</v>
      </c>
      <c r="AK14" s="6">
        <f>SUM(Y14:AB14)</f>
        <v>5.8</v>
      </c>
      <c r="AL14" s="6">
        <v>0</v>
      </c>
      <c r="AM14" s="6">
        <f>AM13*0.05</f>
        <v>-10.719253628000052</v>
      </c>
      <c r="AN14" s="6">
        <f>AN13*0.05</f>
        <v>17.667146992239946</v>
      </c>
      <c r="AO14" s="6">
        <f>AO13*0.1</f>
        <v>80.868272029526295</v>
      </c>
      <c r="AP14" s="6">
        <f>AP13*0.1</f>
        <v>126.84677719281686</v>
      </c>
      <c r="AQ14" s="6">
        <f>AQ13*0.11</f>
        <v>176.34665080636321</v>
      </c>
      <c r="AR14" s="6">
        <f t="shared" ref="AR14:AU14" si="41">AR13*0.15</f>
        <v>281.61866419099391</v>
      </c>
      <c r="AS14" s="6">
        <f t="shared" si="41"/>
        <v>309.3893892497664</v>
      </c>
      <c r="AT14" s="6">
        <f t="shared" si="41"/>
        <v>338.82244639846192</v>
      </c>
      <c r="AU14" s="6">
        <f t="shared" si="41"/>
        <v>370.00642815831588</v>
      </c>
    </row>
    <row r="15" spans="2:160" x14ac:dyDescent="0.3">
      <c r="B15" t="s">
        <v>63</v>
      </c>
      <c r="C15" s="6"/>
      <c r="D15" s="6"/>
      <c r="E15" s="6"/>
      <c r="F15" s="6"/>
      <c r="G15" s="6"/>
      <c r="H15" s="6"/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-0.5</v>
      </c>
      <c r="P15" s="6">
        <v>-0.3</v>
      </c>
      <c r="Q15" s="6">
        <v>-0.4</v>
      </c>
      <c r="R15" s="6">
        <v>-0.5</v>
      </c>
      <c r="S15" s="6">
        <v>-0.4</v>
      </c>
      <c r="T15" s="6">
        <v>-0.6</v>
      </c>
      <c r="U15" s="6">
        <v>-0.8</v>
      </c>
      <c r="V15" s="6">
        <v>-0.9</v>
      </c>
      <c r="W15" s="6">
        <v>-3.6</v>
      </c>
      <c r="X15" s="6">
        <v>1.8</v>
      </c>
      <c r="Y15" s="6">
        <v>0.1</v>
      </c>
      <c r="Z15" s="6">
        <v>0.1</v>
      </c>
      <c r="AA15" s="6">
        <f t="shared" ref="AA15:AB15" si="42">AA13*0.005</f>
        <v>-1.6267303999999998</v>
      </c>
      <c r="AB15" s="6">
        <f t="shared" si="42"/>
        <v>-1.8651160000000004</v>
      </c>
      <c r="AD15" s="6"/>
      <c r="AE15" s="6"/>
      <c r="AF15" s="6"/>
      <c r="AG15" s="6"/>
      <c r="AH15" s="6">
        <f>SUM(M15:P15)</f>
        <v>-0.8</v>
      </c>
      <c r="AI15" s="6">
        <f>SUM(Q15:T15)</f>
        <v>-1.9</v>
      </c>
      <c r="AJ15" s="6">
        <f>SUM(U15:X15)</f>
        <v>-3.5000000000000009</v>
      </c>
      <c r="AK15" s="6">
        <f>SUM(Y15:AB15)</f>
        <v>-3.2918464000000003</v>
      </c>
      <c r="AL15" s="6">
        <f t="shared" ref="AL15:AU15" si="43">AL13*0.01</f>
        <v>-8.5410984839999955</v>
      </c>
      <c r="AM15" s="6">
        <f t="shared" si="43"/>
        <v>-2.1438507256000103</v>
      </c>
      <c r="AN15" s="6">
        <f t="shared" si="43"/>
        <v>3.5334293984479892</v>
      </c>
      <c r="AO15" s="6">
        <f t="shared" si="43"/>
        <v>8.0868272029526302</v>
      </c>
      <c r="AP15" s="6">
        <f t="shared" si="43"/>
        <v>12.684677719281686</v>
      </c>
      <c r="AQ15" s="6">
        <f t="shared" si="43"/>
        <v>16.031513709669383</v>
      </c>
      <c r="AR15" s="6">
        <f t="shared" si="43"/>
        <v>18.77457761273293</v>
      </c>
      <c r="AS15" s="6">
        <f t="shared" si="43"/>
        <v>20.625959283317762</v>
      </c>
      <c r="AT15" s="6">
        <f t="shared" si="43"/>
        <v>22.588163093230797</v>
      </c>
      <c r="AU15" s="6">
        <f t="shared" si="43"/>
        <v>24.667095210554393</v>
      </c>
    </row>
    <row r="16" spans="2:160" s="1" customFormat="1" x14ac:dyDescent="0.3">
      <c r="B16" s="1" t="s">
        <v>28</v>
      </c>
      <c r="C16" s="9">
        <f>C13-C14</f>
        <v>-88.100000000000009</v>
      </c>
      <c r="D16" s="9">
        <f>D13-D14</f>
        <v>-82.600000000000009</v>
      </c>
      <c r="E16" s="9"/>
      <c r="F16" s="9"/>
      <c r="G16" s="9">
        <f>G13-G14</f>
        <v>-168.79999999999998</v>
      </c>
      <c r="H16" s="9">
        <f>H13-H14</f>
        <v>-198.8</v>
      </c>
      <c r="I16" s="9">
        <f t="shared" ref="I16:X16" si="44">I13-I14-I15</f>
        <v>-203.2</v>
      </c>
      <c r="J16" s="9">
        <f t="shared" si="44"/>
        <v>-189.70000000000002</v>
      </c>
      <c r="K16" s="9">
        <f t="shared" si="44"/>
        <v>-155.00000000000003</v>
      </c>
      <c r="L16" s="9">
        <f t="shared" si="44"/>
        <v>-132.1</v>
      </c>
      <c r="M16" s="9">
        <f t="shared" si="44"/>
        <v>-165.70000000000002</v>
      </c>
      <c r="N16" s="9">
        <f t="shared" si="44"/>
        <v>-222.70000000000002</v>
      </c>
      <c r="O16" s="9">
        <f t="shared" si="44"/>
        <v>-201</v>
      </c>
      <c r="P16" s="9">
        <f t="shared" si="44"/>
        <v>-207.29999999999998</v>
      </c>
      <c r="Q16" s="9">
        <f t="shared" si="44"/>
        <v>-225.79999999999995</v>
      </c>
      <c r="R16" s="9">
        <f t="shared" si="44"/>
        <v>-226.79999999999998</v>
      </c>
      <c r="S16" s="9">
        <f t="shared" si="44"/>
        <v>-214.29999999999995</v>
      </c>
      <c r="T16" s="9">
        <f t="shared" si="44"/>
        <v>-169.29999999999987</v>
      </c>
      <c r="U16" s="9">
        <f t="shared" si="44"/>
        <v>-316.89999999999998</v>
      </c>
      <c r="V16" s="9">
        <f t="shared" si="44"/>
        <v>-316.90000000000015</v>
      </c>
      <c r="W16" s="9">
        <f t="shared" si="44"/>
        <v>-324.2999999999999</v>
      </c>
      <c r="X16" s="9">
        <f t="shared" si="44"/>
        <v>-327.60000000000002</v>
      </c>
      <c r="Y16" s="9">
        <f t="shared" ref="Y16:AB16" si="45">Y13-Y14-Y15</f>
        <v>-430.10000000000008</v>
      </c>
      <c r="Z16" s="9">
        <f t="shared" si="45"/>
        <v>-298.10000000000002</v>
      </c>
      <c r="AA16" s="9">
        <f t="shared" si="45"/>
        <v>-323.71934959999999</v>
      </c>
      <c r="AB16" s="9">
        <f t="shared" si="45"/>
        <v>-371.15808400000009</v>
      </c>
      <c r="AD16" s="9">
        <f t="shared" ref="AD16:AQ16" si="46">AD13-AD14-AD15</f>
        <v>-177.9</v>
      </c>
      <c r="AE16" s="9">
        <f t="shared" si="46"/>
        <v>-348.5</v>
      </c>
      <c r="AF16" s="9">
        <f t="shared" si="46"/>
        <v>-539.10000000000014</v>
      </c>
      <c r="AG16" s="9">
        <f t="shared" si="46"/>
        <v>-680</v>
      </c>
      <c r="AH16" s="9">
        <f t="shared" si="46"/>
        <v>-796.70000000000016</v>
      </c>
      <c r="AI16" s="9">
        <f t="shared" si="46"/>
        <v>-836.19999999999993</v>
      </c>
      <c r="AJ16" s="9">
        <f t="shared" si="46"/>
        <v>-1285.7000000000003</v>
      </c>
      <c r="AK16" s="9">
        <f t="shared" si="46"/>
        <v>-1423.0774335999995</v>
      </c>
      <c r="AL16" s="9">
        <f t="shared" si="46"/>
        <v>-845.56874991599943</v>
      </c>
      <c r="AM16" s="9">
        <f t="shared" si="46"/>
        <v>-201.52196820640097</v>
      </c>
      <c r="AN16" s="9">
        <f t="shared" si="46"/>
        <v>332.14236345411098</v>
      </c>
      <c r="AO16" s="9">
        <f t="shared" si="46"/>
        <v>719.72762106278401</v>
      </c>
      <c r="AP16" s="9">
        <f t="shared" si="46"/>
        <v>1128.93631701607</v>
      </c>
      <c r="AQ16" s="9">
        <f t="shared" si="46"/>
        <v>1410.7732064509059</v>
      </c>
      <c r="AR16" s="9">
        <f t="shared" ref="AR16" si="47">AR13-AR14-AR15</f>
        <v>1577.064519469566</v>
      </c>
      <c r="AS16" s="9">
        <f t="shared" ref="AS16" si="48">AS13-AS14-AS15</f>
        <v>1732.580579798692</v>
      </c>
      <c r="AT16" s="9">
        <f t="shared" ref="AT16" si="49">AT13-AT14-AT15</f>
        <v>1897.4056998313868</v>
      </c>
      <c r="AU16" s="9">
        <f t="shared" ref="AU16" si="50">AU13-AU14-AU15</f>
        <v>2072.0359976865693</v>
      </c>
      <c r="AV16" s="1">
        <f>AU16*(1+$AX$22)</f>
        <v>2051.3156377097034</v>
      </c>
      <c r="AW16" s="1">
        <f t="shared" ref="AW16:DH16" si="51">AV16*(1+$AX$22)</f>
        <v>2030.8024813326065</v>
      </c>
      <c r="AX16" s="1">
        <f t="shared" si="51"/>
        <v>2010.4944565192804</v>
      </c>
      <c r="AY16" s="1">
        <f t="shared" si="51"/>
        <v>1990.3895119540875</v>
      </c>
      <c r="AZ16" s="1">
        <f t="shared" si="51"/>
        <v>1970.4856168345466</v>
      </c>
      <c r="BA16" s="1">
        <f t="shared" si="51"/>
        <v>1950.7807606662011</v>
      </c>
      <c r="BB16" s="1">
        <f t="shared" si="51"/>
        <v>1931.2729530595391</v>
      </c>
      <c r="BC16" s="1">
        <f t="shared" si="51"/>
        <v>1911.9602235289437</v>
      </c>
      <c r="BD16" s="1">
        <f t="shared" si="51"/>
        <v>1892.8406212936543</v>
      </c>
      <c r="BE16" s="1">
        <f t="shared" si="51"/>
        <v>1873.9122150807177</v>
      </c>
      <c r="BF16" s="1">
        <f t="shared" si="51"/>
        <v>1855.1730929299106</v>
      </c>
      <c r="BG16" s="1">
        <f t="shared" si="51"/>
        <v>1836.6213620006115</v>
      </c>
      <c r="BH16" s="1">
        <f t="shared" si="51"/>
        <v>1818.2551483806053</v>
      </c>
      <c r="BI16" s="1">
        <f t="shared" si="51"/>
        <v>1800.0725968967993</v>
      </c>
      <c r="BJ16" s="1">
        <f t="shared" si="51"/>
        <v>1782.0718709278312</v>
      </c>
      <c r="BK16" s="1">
        <f t="shared" si="51"/>
        <v>1764.251152218553</v>
      </c>
      <c r="BL16" s="1">
        <f t="shared" si="51"/>
        <v>1746.6086406963675</v>
      </c>
      <c r="BM16" s="1">
        <f t="shared" si="51"/>
        <v>1729.1425542894037</v>
      </c>
      <c r="BN16" s="1">
        <f t="shared" si="51"/>
        <v>1711.8511287465096</v>
      </c>
      <c r="BO16" s="1">
        <f t="shared" si="51"/>
        <v>1694.7326174590446</v>
      </c>
      <c r="BP16" s="1">
        <f t="shared" si="51"/>
        <v>1677.7852912844542</v>
      </c>
      <c r="BQ16" s="1">
        <f t="shared" si="51"/>
        <v>1661.0074383716096</v>
      </c>
      <c r="BR16" s="1">
        <f t="shared" si="51"/>
        <v>1644.3973639878934</v>
      </c>
      <c r="BS16" s="1">
        <f t="shared" si="51"/>
        <v>1627.9533903480144</v>
      </c>
      <c r="BT16" s="1">
        <f t="shared" si="51"/>
        <v>1611.6738564445343</v>
      </c>
      <c r="BU16" s="1">
        <f t="shared" si="51"/>
        <v>1595.557117880089</v>
      </c>
      <c r="BV16" s="1">
        <f t="shared" si="51"/>
        <v>1579.601546701288</v>
      </c>
      <c r="BW16" s="1">
        <f t="shared" si="51"/>
        <v>1563.8055312342751</v>
      </c>
      <c r="BX16" s="1">
        <f t="shared" si="51"/>
        <v>1548.1674759219325</v>
      </c>
      <c r="BY16" s="1">
        <f t="shared" si="51"/>
        <v>1532.6858011627132</v>
      </c>
      <c r="BZ16" s="1">
        <f t="shared" si="51"/>
        <v>1517.3589431510861</v>
      </c>
      <c r="CA16" s="1">
        <f t="shared" si="51"/>
        <v>1502.1853537195752</v>
      </c>
      <c r="CB16" s="1">
        <f t="shared" si="51"/>
        <v>1487.1635001823795</v>
      </c>
      <c r="CC16" s="1">
        <f t="shared" si="51"/>
        <v>1472.2918651805558</v>
      </c>
      <c r="CD16" s="1">
        <f t="shared" si="51"/>
        <v>1457.5689465287503</v>
      </c>
      <c r="CE16" s="1">
        <f t="shared" si="51"/>
        <v>1442.9932570634628</v>
      </c>
      <c r="CF16" s="1">
        <f t="shared" si="51"/>
        <v>1428.5633244928281</v>
      </c>
      <c r="CG16" s="1">
        <f t="shared" si="51"/>
        <v>1414.2776912478998</v>
      </c>
      <c r="CH16" s="1">
        <f t="shared" si="51"/>
        <v>1400.1349143354207</v>
      </c>
      <c r="CI16" s="1">
        <f t="shared" si="51"/>
        <v>1386.1335651920665</v>
      </c>
      <c r="CJ16" s="1">
        <f t="shared" si="51"/>
        <v>1372.2722295401459</v>
      </c>
      <c r="CK16" s="1">
        <f t="shared" si="51"/>
        <v>1358.5495072447443</v>
      </c>
      <c r="CL16" s="1">
        <f t="shared" si="51"/>
        <v>1344.9640121722969</v>
      </c>
      <c r="CM16" s="1">
        <f t="shared" si="51"/>
        <v>1331.5143720505739</v>
      </c>
      <c r="CN16" s="1">
        <f t="shared" si="51"/>
        <v>1318.1992283300681</v>
      </c>
      <c r="CO16" s="1">
        <f t="shared" si="51"/>
        <v>1305.0172360467675</v>
      </c>
      <c r="CP16" s="1">
        <f t="shared" si="51"/>
        <v>1291.9670636862998</v>
      </c>
      <c r="CQ16" s="1">
        <f t="shared" si="51"/>
        <v>1279.0473930494368</v>
      </c>
      <c r="CR16" s="1">
        <f t="shared" si="51"/>
        <v>1266.2569191189425</v>
      </c>
      <c r="CS16" s="1">
        <f t="shared" si="51"/>
        <v>1253.594349927753</v>
      </c>
      <c r="CT16" s="1">
        <f t="shared" si="51"/>
        <v>1241.0584064284756</v>
      </c>
      <c r="CU16" s="1">
        <f t="shared" si="51"/>
        <v>1228.6478223641907</v>
      </c>
      <c r="CV16" s="1">
        <f t="shared" si="51"/>
        <v>1216.3613441405487</v>
      </c>
      <c r="CW16" s="1">
        <f t="shared" si="51"/>
        <v>1204.1977306991432</v>
      </c>
      <c r="CX16" s="1">
        <f t="shared" si="51"/>
        <v>1192.1557533921518</v>
      </c>
      <c r="CY16" s="1">
        <f t="shared" si="51"/>
        <v>1180.2341958582304</v>
      </c>
      <c r="CZ16" s="1">
        <f t="shared" si="51"/>
        <v>1168.4318538996481</v>
      </c>
      <c r="DA16" s="1">
        <f t="shared" si="51"/>
        <v>1156.7475353606517</v>
      </c>
      <c r="DB16" s="1">
        <f t="shared" si="51"/>
        <v>1145.1800600070451</v>
      </c>
      <c r="DC16" s="1">
        <f t="shared" si="51"/>
        <v>1133.7282594069745</v>
      </c>
      <c r="DD16" s="1">
        <f t="shared" si="51"/>
        <v>1122.3909768129047</v>
      </c>
      <c r="DE16" s="1">
        <f t="shared" si="51"/>
        <v>1111.1670670447756</v>
      </c>
      <c r="DF16" s="1">
        <f t="shared" si="51"/>
        <v>1100.055396374328</v>
      </c>
      <c r="DG16" s="1">
        <f t="shared" si="51"/>
        <v>1089.0548424105848</v>
      </c>
      <c r="DH16" s="1">
        <f t="shared" si="51"/>
        <v>1078.1642939864789</v>
      </c>
      <c r="DI16" s="1">
        <f t="shared" ref="DI16:FD16" si="52">DH16*(1+$AX$22)</f>
        <v>1067.3826510466142</v>
      </c>
      <c r="DJ16" s="1">
        <f t="shared" si="52"/>
        <v>1056.7088245361481</v>
      </c>
      <c r="DK16" s="1">
        <f t="shared" si="52"/>
        <v>1046.1417362907866</v>
      </c>
      <c r="DL16" s="1">
        <f t="shared" si="52"/>
        <v>1035.6803189278787</v>
      </c>
      <c r="DM16" s="1">
        <f t="shared" si="52"/>
        <v>1025.3235157386</v>
      </c>
      <c r="DN16" s="1">
        <f t="shared" si="52"/>
        <v>1015.070280581214</v>
      </c>
      <c r="DO16" s="1">
        <f t="shared" si="52"/>
        <v>1004.9195777754019</v>
      </c>
      <c r="DP16" s="1">
        <f t="shared" si="52"/>
        <v>994.87038199764788</v>
      </c>
      <c r="DQ16" s="1">
        <f t="shared" si="52"/>
        <v>984.92167817767142</v>
      </c>
      <c r="DR16" s="1">
        <f t="shared" si="52"/>
        <v>975.07246139589472</v>
      </c>
      <c r="DS16" s="1">
        <f t="shared" si="52"/>
        <v>965.32173678193578</v>
      </c>
      <c r="DT16" s="1">
        <f t="shared" si="52"/>
        <v>955.66851941411642</v>
      </c>
      <c r="DU16" s="1">
        <f t="shared" si="52"/>
        <v>946.11183421997521</v>
      </c>
      <c r="DV16" s="1">
        <f t="shared" si="52"/>
        <v>936.6507158777755</v>
      </c>
      <c r="DW16" s="1">
        <f t="shared" si="52"/>
        <v>927.28420871899777</v>
      </c>
      <c r="DX16" s="1">
        <f t="shared" si="52"/>
        <v>918.01136663180773</v>
      </c>
      <c r="DY16" s="1">
        <f t="shared" si="52"/>
        <v>908.83125296548963</v>
      </c>
      <c r="DZ16" s="1">
        <f t="shared" si="52"/>
        <v>899.74294043583473</v>
      </c>
      <c r="EA16" s="1">
        <f t="shared" si="52"/>
        <v>890.74551103147633</v>
      </c>
      <c r="EB16" s="1">
        <f t="shared" si="52"/>
        <v>881.83805592116153</v>
      </c>
      <c r="EC16" s="1">
        <f t="shared" si="52"/>
        <v>873.01967536194991</v>
      </c>
      <c r="ED16" s="1">
        <f t="shared" si="52"/>
        <v>864.28947860833046</v>
      </c>
      <c r="EE16" s="1">
        <f t="shared" si="52"/>
        <v>855.64658382224718</v>
      </c>
      <c r="EF16" s="1">
        <f t="shared" si="52"/>
        <v>847.09011798402469</v>
      </c>
      <c r="EG16" s="1">
        <f t="shared" si="52"/>
        <v>838.61921680418448</v>
      </c>
      <c r="EH16" s="1">
        <f t="shared" si="52"/>
        <v>830.23302463614266</v>
      </c>
      <c r="EI16" s="1">
        <f t="shared" si="52"/>
        <v>821.93069438978125</v>
      </c>
      <c r="EJ16" s="1">
        <f t="shared" si="52"/>
        <v>813.71138744588347</v>
      </c>
      <c r="EK16" s="1">
        <f t="shared" si="52"/>
        <v>805.57427357142467</v>
      </c>
      <c r="EL16" s="1">
        <f t="shared" si="52"/>
        <v>797.51853083571041</v>
      </c>
      <c r="EM16" s="1">
        <f t="shared" si="52"/>
        <v>789.54334552735327</v>
      </c>
      <c r="EN16" s="1">
        <f t="shared" si="52"/>
        <v>781.64791207207975</v>
      </c>
      <c r="EO16" s="1">
        <f t="shared" si="52"/>
        <v>773.83143295135892</v>
      </c>
      <c r="EP16" s="1">
        <f t="shared" si="52"/>
        <v>766.09311862184529</v>
      </c>
      <c r="EQ16" s="1">
        <f t="shared" si="52"/>
        <v>758.43218743562682</v>
      </c>
      <c r="ER16" s="1">
        <f t="shared" si="52"/>
        <v>750.84786556127051</v>
      </c>
      <c r="ES16" s="1">
        <f t="shared" si="52"/>
        <v>743.33938690565776</v>
      </c>
      <c r="ET16" s="1">
        <f t="shared" si="52"/>
        <v>735.90599303660122</v>
      </c>
      <c r="EU16" s="1">
        <f t="shared" si="52"/>
        <v>728.5469331062352</v>
      </c>
      <c r="EV16" s="1">
        <f t="shared" si="52"/>
        <v>721.26146377517284</v>
      </c>
      <c r="EW16" s="1">
        <f t="shared" si="52"/>
        <v>714.04884913742114</v>
      </c>
      <c r="EX16" s="1">
        <f t="shared" si="52"/>
        <v>706.90836064604696</v>
      </c>
      <c r="EY16" s="1">
        <f t="shared" si="52"/>
        <v>699.83927703958648</v>
      </c>
      <c r="EZ16" s="1">
        <f t="shared" si="52"/>
        <v>692.84088426919061</v>
      </c>
      <c r="FA16" s="1">
        <f t="shared" si="52"/>
        <v>685.91247542649864</v>
      </c>
      <c r="FB16" s="1">
        <f t="shared" si="52"/>
        <v>679.05335067223371</v>
      </c>
      <c r="FC16" s="1">
        <f t="shared" si="52"/>
        <v>672.26281716551136</v>
      </c>
      <c r="FD16" s="1">
        <f t="shared" si="52"/>
        <v>665.54018899385619</v>
      </c>
    </row>
    <row r="17" spans="2:50" x14ac:dyDescent="0.3">
      <c r="B17" t="s">
        <v>2</v>
      </c>
      <c r="C17" s="6">
        <v>284.10000000000002</v>
      </c>
      <c r="D17" s="6">
        <v>284.10000000000002</v>
      </c>
      <c r="E17" s="6"/>
      <c r="F17" s="6"/>
      <c r="G17" s="6">
        <v>284.10000000000002</v>
      </c>
      <c r="H17" s="6">
        <v>284.10000000000002</v>
      </c>
      <c r="I17" s="6">
        <v>284.10000000000002</v>
      </c>
      <c r="J17" s="6">
        <v>284.10000000000002</v>
      </c>
      <c r="K17" s="6">
        <v>284.10000000000002</v>
      </c>
      <c r="L17" s="6">
        <v>284.10000000000002</v>
      </c>
      <c r="M17" s="6">
        <v>284.10000000000002</v>
      </c>
      <c r="N17" s="6">
        <v>284.10000000000002</v>
      </c>
      <c r="O17" s="6">
        <v>284.10000000000002</v>
      </c>
      <c r="P17" s="6">
        <v>284.10000000000002</v>
      </c>
      <c r="Q17" s="6">
        <v>284.10000000000002</v>
      </c>
      <c r="R17" s="6">
        <v>284.10000000000002</v>
      </c>
      <c r="S17" s="6">
        <v>284.10000000000002</v>
      </c>
      <c r="T17" s="6">
        <v>284.10000000000002</v>
      </c>
      <c r="U17" s="6">
        <v>284.10000000000002</v>
      </c>
      <c r="V17" s="6">
        <v>284.10000000000002</v>
      </c>
      <c r="W17" s="6">
        <f>330.1</f>
        <v>330.1</v>
      </c>
      <c r="X17" s="6">
        <f>331.4</f>
        <v>331.4</v>
      </c>
      <c r="Y17" s="6">
        <f>332.7</f>
        <v>332.7</v>
      </c>
      <c r="Z17" s="6">
        <v>335.2</v>
      </c>
      <c r="AA17" s="6">
        <v>335.2</v>
      </c>
      <c r="AB17" s="6">
        <v>335.2</v>
      </c>
      <c r="AD17" s="6">
        <v>284.10000000000002</v>
      </c>
      <c r="AE17" s="6">
        <v>284.10000000000002</v>
      </c>
      <c r="AF17" s="6">
        <v>284.10000000000002</v>
      </c>
      <c r="AG17" s="6">
        <v>289</v>
      </c>
      <c r="AH17" s="6">
        <v>289</v>
      </c>
      <c r="AI17" s="6">
        <v>289</v>
      </c>
      <c r="AJ17" s="6">
        <f t="shared" ref="AJ17" si="53">331.4</f>
        <v>331.4</v>
      </c>
      <c r="AK17" s="6">
        <v>335.2</v>
      </c>
      <c r="AL17" s="6">
        <v>335.2</v>
      </c>
      <c r="AM17" s="6">
        <v>335.2</v>
      </c>
      <c r="AN17" s="6">
        <v>335.2</v>
      </c>
      <c r="AO17" s="6">
        <v>335.2</v>
      </c>
      <c r="AP17" s="6">
        <v>335.2</v>
      </c>
      <c r="AQ17" s="6">
        <v>335.2</v>
      </c>
      <c r="AR17" s="6">
        <v>335.2</v>
      </c>
      <c r="AS17" s="6">
        <v>335.2</v>
      </c>
      <c r="AT17" s="6">
        <v>335.2</v>
      </c>
      <c r="AU17" s="6">
        <v>335.2</v>
      </c>
    </row>
    <row r="18" spans="2:50" s="1" customFormat="1" x14ac:dyDescent="0.3">
      <c r="B18" s="1" t="s">
        <v>29</v>
      </c>
      <c r="C18" s="8">
        <f>C16/C17</f>
        <v>-0.31010207673354451</v>
      </c>
      <c r="D18" s="8">
        <f>D16/D17</f>
        <v>-0.29074269623372051</v>
      </c>
      <c r="G18" s="8">
        <f t="shared" ref="G18:X18" si="54">G16/G17</f>
        <v>-0.59415698697641661</v>
      </c>
      <c r="H18" s="8">
        <f t="shared" si="54"/>
        <v>-0.69975360788454766</v>
      </c>
      <c r="I18" s="8">
        <f t="shared" si="54"/>
        <v>-0.71524111228440679</v>
      </c>
      <c r="J18" s="8">
        <f t="shared" si="54"/>
        <v>-0.66772263287574796</v>
      </c>
      <c r="K18" s="8">
        <f t="shared" si="54"/>
        <v>-0.54558254135867656</v>
      </c>
      <c r="L18" s="8">
        <f t="shared" si="54"/>
        <v>-0.46497712073213654</v>
      </c>
      <c r="M18" s="8">
        <f t="shared" si="54"/>
        <v>-0.58324533614924323</v>
      </c>
      <c r="N18" s="8">
        <f t="shared" si="54"/>
        <v>-0.78387891587469205</v>
      </c>
      <c r="O18" s="8">
        <f t="shared" si="54"/>
        <v>-0.70749736008447728</v>
      </c>
      <c r="P18" s="8">
        <f t="shared" si="54"/>
        <v>-0.7296726504751847</v>
      </c>
      <c r="Q18" s="8">
        <f t="shared" si="54"/>
        <v>-0.79479056670186532</v>
      </c>
      <c r="R18" s="8">
        <f t="shared" si="54"/>
        <v>-0.79831045406546974</v>
      </c>
      <c r="S18" s="8">
        <f t="shared" si="54"/>
        <v>-0.75431186202041511</v>
      </c>
      <c r="T18" s="8">
        <f t="shared" si="54"/>
        <v>-0.59591693065821838</v>
      </c>
      <c r="U18" s="8">
        <f t="shared" si="54"/>
        <v>-1.1154523055262231</v>
      </c>
      <c r="V18" s="8">
        <f t="shared" si="54"/>
        <v>-1.1154523055262235</v>
      </c>
      <c r="W18" s="8">
        <f t="shared" si="54"/>
        <v>-0.98242956679793969</v>
      </c>
      <c r="X18" s="8">
        <f t="shared" si="54"/>
        <v>-0.9885334942667473</v>
      </c>
      <c r="Y18" s="8">
        <f t="shared" ref="Y18:AB18" si="55">Y16/Y17</f>
        <v>-1.2927562368500154</v>
      </c>
      <c r="Z18" s="8">
        <f t="shared" si="55"/>
        <v>-0.88931980906921249</v>
      </c>
      <c r="AA18" s="8">
        <f t="shared" si="55"/>
        <v>-0.96574984964200472</v>
      </c>
      <c r="AB18" s="8">
        <f t="shared" si="55"/>
        <v>-1.1072735202863966</v>
      </c>
      <c r="AD18" s="8">
        <f>AD16/AD17</f>
        <v>-0.62618796198521642</v>
      </c>
      <c r="AE18" s="8">
        <f>AE16/AE17</f>
        <v>-1.2266807462161209</v>
      </c>
      <c r="AF18" s="8">
        <f>AF16/AF17</f>
        <v>-1.8975712777191134</v>
      </c>
      <c r="AG18" s="8">
        <f>AG16/AG17</f>
        <v>-2.3529411764705883</v>
      </c>
      <c r="AH18" s="8">
        <f t="shared" ref="AH18:AQ18" si="56">AH16/AH17</f>
        <v>-2.7567474048442913</v>
      </c>
      <c r="AI18" s="8">
        <f t="shared" si="56"/>
        <v>-2.8934256055363319</v>
      </c>
      <c r="AJ18" s="8">
        <f t="shared" si="56"/>
        <v>-3.8796016898008459</v>
      </c>
      <c r="AK18" s="8">
        <f t="shared" si="56"/>
        <v>-4.2454577374701659</v>
      </c>
      <c r="AL18" s="8">
        <f t="shared" si="56"/>
        <v>-2.522579802852027</v>
      </c>
      <c r="AM18" s="8">
        <f t="shared" si="56"/>
        <v>-0.60119918915990744</v>
      </c>
      <c r="AN18" s="8">
        <f t="shared" si="56"/>
        <v>0.99087817259579647</v>
      </c>
      <c r="AO18" s="8">
        <f t="shared" si="56"/>
        <v>2.1471587740536515</v>
      </c>
      <c r="AP18" s="8">
        <f t="shared" si="56"/>
        <v>3.3679484397854118</v>
      </c>
      <c r="AQ18" s="8">
        <f t="shared" si="56"/>
        <v>4.2087506159036572</v>
      </c>
      <c r="AR18" s="8">
        <f t="shared" ref="AR18:AU18" si="57">AR16/AR17</f>
        <v>4.7048464184652925</v>
      </c>
      <c r="AS18" s="8">
        <f t="shared" si="57"/>
        <v>5.168796479113043</v>
      </c>
      <c r="AT18" s="8">
        <f t="shared" si="57"/>
        <v>5.6605181975876695</v>
      </c>
      <c r="AU18" s="8">
        <f t="shared" si="57"/>
        <v>6.1814916398764002</v>
      </c>
    </row>
    <row r="20" spans="2:50" x14ac:dyDescent="0.3">
      <c r="B20" s="1" t="s">
        <v>30</v>
      </c>
      <c r="G20" s="10">
        <f t="shared" ref="G20:L20" si="58">G3/C3-1</f>
        <v>1.1863013698630138</v>
      </c>
      <c r="H20" s="10">
        <f t="shared" si="58"/>
        <v>1.1721778791334092</v>
      </c>
      <c r="I20" s="10">
        <f t="shared" si="58"/>
        <v>1.1392523364485982</v>
      </c>
      <c r="J20" s="10">
        <f t="shared" si="58"/>
        <v>1.0177909562638989</v>
      </c>
      <c r="K20" s="10">
        <f t="shared" si="58"/>
        <v>1.0952380952380953</v>
      </c>
      <c r="L20" s="10">
        <f t="shared" si="58"/>
        <v>1.0146981627296587</v>
      </c>
      <c r="M20" s="10">
        <f t="shared" ref="M20:X20" si="59">M3/I3-1</f>
        <v>0.84534731323722134</v>
      </c>
      <c r="N20" s="10">
        <f t="shared" si="59"/>
        <v>0.82659808963997072</v>
      </c>
      <c r="O20" s="10">
        <f t="shared" si="59"/>
        <v>0.66566985645933019</v>
      </c>
      <c r="P20" s="10">
        <f t="shared" si="59"/>
        <v>0.53465346534653468</v>
      </c>
      <c r="Q20" s="10">
        <f t="shared" si="59"/>
        <v>0.47632575757575779</v>
      </c>
      <c r="R20" s="10">
        <f t="shared" si="59"/>
        <v>0.35559131134352384</v>
      </c>
      <c r="S20" s="10">
        <f t="shared" si="59"/>
        <v>0.31813285457809704</v>
      </c>
      <c r="T20" s="10">
        <f t="shared" si="59"/>
        <v>0.31528013582342962</v>
      </c>
      <c r="U20" s="10">
        <f t="shared" si="59"/>
        <v>0.32889672867222575</v>
      </c>
      <c r="V20" s="10">
        <f t="shared" si="59"/>
        <v>0.28902077151335304</v>
      </c>
      <c r="W20" s="10">
        <f t="shared" si="59"/>
        <v>0.28316535004086085</v>
      </c>
      <c r="X20" s="10">
        <f t="shared" si="59"/>
        <v>0.27378340002581636</v>
      </c>
      <c r="Y20" s="10">
        <f t="shared" ref="Y20" si="60">Y3/U3-1</f>
        <v>0.25751176541571108</v>
      </c>
      <c r="Z20" s="10">
        <f t="shared" ref="Z20" si="61">Z3/V3-1</f>
        <v>0.31790976058931864</v>
      </c>
      <c r="AA20" s="10">
        <f t="shared" ref="AA20" si="62">AA3/W3-1</f>
        <v>0.24</v>
      </c>
      <c r="AB20" s="10">
        <f t="shared" ref="AB20" si="63">AB3/X3-1</f>
        <v>0.19999999999999996</v>
      </c>
      <c r="AD20" s="10"/>
      <c r="AE20" s="10">
        <f t="shared" ref="AE20:AQ20" si="64">AE3/AD3-1</f>
        <v>1.7383660806618408</v>
      </c>
      <c r="AF20" s="10">
        <f t="shared" si="64"/>
        <v>1.2356495468277946</v>
      </c>
      <c r="AG20" s="10">
        <f t="shared" si="64"/>
        <v>1.0596283783783784</v>
      </c>
      <c r="AH20" s="10">
        <f t="shared" si="64"/>
        <v>0.69408677109817107</v>
      </c>
      <c r="AI20" s="10">
        <f t="shared" si="64"/>
        <v>0.35868512780790085</v>
      </c>
      <c r="AJ20" s="10">
        <f t="shared" si="64"/>
        <v>0.29214323890967386</v>
      </c>
      <c r="AK20" s="10">
        <f t="shared" si="64"/>
        <v>0.25178248400617709</v>
      </c>
      <c r="AL20" s="10">
        <f t="shared" si="64"/>
        <v>0.24</v>
      </c>
      <c r="AM20" s="10">
        <f t="shared" si="64"/>
        <v>0.19999999999999996</v>
      </c>
      <c r="AN20" s="10">
        <f t="shared" si="64"/>
        <v>0.1399999999999999</v>
      </c>
      <c r="AO20" s="10">
        <f t="shared" si="64"/>
        <v>0.1100000000000001</v>
      </c>
      <c r="AP20" s="10">
        <f t="shared" si="64"/>
        <v>9.000000000000008E-2</v>
      </c>
      <c r="AQ20" s="10">
        <f t="shared" si="64"/>
        <v>7.0000000000000062E-2</v>
      </c>
      <c r="AR20" s="10">
        <f t="shared" ref="AR20:AU20" si="65">AR3/AQ3-1</f>
        <v>5.0000000000000044E-2</v>
      </c>
      <c r="AS20" s="10">
        <f t="shared" si="65"/>
        <v>5.0000000000000044E-2</v>
      </c>
      <c r="AT20" s="10">
        <f t="shared" si="65"/>
        <v>5.0000000000000044E-2</v>
      </c>
      <c r="AU20" s="10">
        <f t="shared" si="65"/>
        <v>5.0000000000000044E-2</v>
      </c>
    </row>
    <row r="21" spans="2:50" x14ac:dyDescent="0.3">
      <c r="B21" s="1" t="s">
        <v>31</v>
      </c>
      <c r="C21" s="10">
        <f>C5/C3</f>
        <v>0.59589041095890416</v>
      </c>
      <c r="D21" s="10">
        <f>D5/D3</f>
        <v>0.60661345496009123</v>
      </c>
      <c r="G21" s="10">
        <f t="shared" ref="G21:L21" si="66">G5/G3</f>
        <v>0.58208020050125309</v>
      </c>
      <c r="H21" s="10">
        <f t="shared" si="66"/>
        <v>0.56482939632545925</v>
      </c>
      <c r="I21" s="10">
        <f t="shared" si="66"/>
        <v>0.57492354740061169</v>
      </c>
      <c r="J21" s="10">
        <f t="shared" si="66"/>
        <v>0.61021307861866281</v>
      </c>
      <c r="K21" s="10">
        <f t="shared" si="66"/>
        <v>0.63875598086124397</v>
      </c>
      <c r="L21" s="10">
        <f t="shared" si="66"/>
        <v>0.65033871808233457</v>
      </c>
      <c r="M21" s="10">
        <f t="shared" ref="M21:X21" si="67">M5/M3</f>
        <v>0.64985795454545459</v>
      </c>
      <c r="N21" s="10">
        <f t="shared" si="67"/>
        <v>0.65164923572003219</v>
      </c>
      <c r="O21" s="10">
        <f t="shared" si="67"/>
        <v>0.65763016157989229</v>
      </c>
      <c r="P21" s="10">
        <f t="shared" si="67"/>
        <v>0.65076400679117152</v>
      </c>
      <c r="Q21" s="10">
        <f t="shared" si="67"/>
        <v>0.66420782552918545</v>
      </c>
      <c r="R21" s="10">
        <f t="shared" si="67"/>
        <v>0.67596439169139466</v>
      </c>
      <c r="S21" s="10">
        <f t="shared" si="67"/>
        <v>0.6882320893489513</v>
      </c>
      <c r="T21" s="10">
        <f t="shared" si="67"/>
        <v>0.68787917903704665</v>
      </c>
      <c r="U21" s="10">
        <f t="shared" si="67"/>
        <v>0.67117171473392057</v>
      </c>
      <c r="V21" s="10">
        <f t="shared" si="67"/>
        <v>0.66839318600368325</v>
      </c>
      <c r="W21" s="10">
        <f t="shared" si="67"/>
        <v>0.65937798535187353</v>
      </c>
      <c r="X21" s="10">
        <f t="shared" si="67"/>
        <v>0.66234292663153627</v>
      </c>
      <c r="Y21" s="10">
        <f t="shared" ref="Y21:AB21" si="68">Y5/Y3</f>
        <v>0.6652912388446407</v>
      </c>
      <c r="Z21" s="10">
        <f t="shared" si="68"/>
        <v>0.67528384279475984</v>
      </c>
      <c r="AA21" s="10">
        <f t="shared" si="68"/>
        <v>0.67</v>
      </c>
      <c r="AB21" s="10">
        <f t="shared" si="68"/>
        <v>0.67</v>
      </c>
      <c r="AD21" s="10">
        <f t="shared" ref="AD21:AQ21" si="69">AD5/AD3</f>
        <v>0.46535677352637023</v>
      </c>
      <c r="AE21" s="10">
        <f t="shared" si="69"/>
        <v>0.55966767371601212</v>
      </c>
      <c r="AF21" s="10">
        <f t="shared" si="69"/>
        <v>0.5902027027027027</v>
      </c>
      <c r="AG21" s="10">
        <f t="shared" si="69"/>
        <v>0.62404658410563441</v>
      </c>
      <c r="AH21" s="10">
        <f t="shared" si="69"/>
        <v>0.65264329976762203</v>
      </c>
      <c r="AI21" s="10">
        <f t="shared" si="69"/>
        <v>0.67985034740780337</v>
      </c>
      <c r="AJ21" s="10">
        <f t="shared" si="69"/>
        <v>0.66503970880211782</v>
      </c>
      <c r="AK21" s="10">
        <f t="shared" si="69"/>
        <v>0.67025179184150374</v>
      </c>
      <c r="AL21" s="10">
        <f t="shared" si="69"/>
        <v>0.68</v>
      </c>
      <c r="AM21" s="10">
        <f t="shared" si="69"/>
        <v>0.68999999999999984</v>
      </c>
      <c r="AN21" s="10">
        <f t="shared" si="69"/>
        <v>0.7</v>
      </c>
      <c r="AO21" s="10">
        <f t="shared" si="69"/>
        <v>0.7</v>
      </c>
      <c r="AP21" s="10">
        <f t="shared" si="69"/>
        <v>0.7</v>
      </c>
      <c r="AQ21" s="10">
        <f t="shared" si="69"/>
        <v>0.7</v>
      </c>
      <c r="AR21" s="10">
        <f t="shared" ref="AR21:AU21" si="70">AR5/AR3</f>
        <v>0.7</v>
      </c>
      <c r="AS21" s="10">
        <f t="shared" si="70"/>
        <v>0.7</v>
      </c>
      <c r="AT21" s="10">
        <f t="shared" si="70"/>
        <v>0.7</v>
      </c>
      <c r="AU21" s="10">
        <f t="shared" si="70"/>
        <v>0.7</v>
      </c>
    </row>
    <row r="22" spans="2:50" x14ac:dyDescent="0.3">
      <c r="B22" t="s">
        <v>32</v>
      </c>
      <c r="C22" s="10">
        <f>C9/C3</f>
        <v>-1.2356164383561645</v>
      </c>
      <c r="D22" s="10">
        <f>D9/D3</f>
        <v>-0.96921322690992018</v>
      </c>
      <c r="G22" s="10">
        <f t="shared" ref="G22:L22" si="71">G9/G3</f>
        <v>-1.0614035087719298</v>
      </c>
      <c r="H22" s="10">
        <f t="shared" si="71"/>
        <v>-1.0519685039370079</v>
      </c>
      <c r="I22" s="10">
        <f t="shared" si="71"/>
        <v>-0.8982088248143294</v>
      </c>
      <c r="J22" s="10">
        <f t="shared" si="71"/>
        <v>-0.73512123438648069</v>
      </c>
      <c r="K22" s="10">
        <f t="shared" si="71"/>
        <v>-0.47069377990430633</v>
      </c>
      <c r="L22" s="10">
        <f t="shared" si="71"/>
        <v>-0.396039603960396</v>
      </c>
      <c r="M22" s="10">
        <f t="shared" ref="M22:X22" si="72">M9/M3</f>
        <v>-0.44673295454545459</v>
      </c>
      <c r="N22" s="10">
        <f t="shared" si="72"/>
        <v>-0.41773934030571203</v>
      </c>
      <c r="O22" s="10">
        <f t="shared" si="72"/>
        <v>-0.37001795332136445</v>
      </c>
      <c r="P22" s="10">
        <f t="shared" si="72"/>
        <v>-0.40713073005093375</v>
      </c>
      <c r="Q22" s="10">
        <f t="shared" si="72"/>
        <v>-0.43826170622193705</v>
      </c>
      <c r="R22" s="10">
        <f t="shared" si="72"/>
        <v>-0.42344213649851631</v>
      </c>
      <c r="S22" s="10">
        <f t="shared" si="72"/>
        <v>-0.35494415690547526</v>
      </c>
      <c r="T22" s="10">
        <f t="shared" si="72"/>
        <v>-0.35562153091519283</v>
      </c>
      <c r="U22" s="10">
        <f t="shared" si="72"/>
        <v>-0.42053819234946299</v>
      </c>
      <c r="V22" s="10">
        <f t="shared" si="72"/>
        <v>-0.40906998158379387</v>
      </c>
      <c r="W22" s="10">
        <f t="shared" si="72"/>
        <v>-0.38796306124615215</v>
      </c>
      <c r="X22" s="10">
        <f t="shared" si="72"/>
        <v>-0.39187271990271594</v>
      </c>
      <c r="Y22" s="10">
        <f t="shared" ref="Y22:AB22" si="73">Y9/Y3</f>
        <v>-0.42922944055273016</v>
      </c>
      <c r="Z22" s="10">
        <f t="shared" si="73"/>
        <v>-0.29720524017467242</v>
      </c>
      <c r="AA22" s="10">
        <f t="shared" si="73"/>
        <v>-0.32227340430267315</v>
      </c>
      <c r="AB22" s="10">
        <f t="shared" si="73"/>
        <v>-0.36493227266585609</v>
      </c>
      <c r="AD22" s="10">
        <f t="shared" ref="AD22:AQ22" si="74">AD9/AD3</f>
        <v>-1.9172699069286454</v>
      </c>
      <c r="AE22" s="10">
        <f t="shared" si="74"/>
        <v>-1.3523413897280967</v>
      </c>
      <c r="AF22" s="10">
        <f t="shared" si="74"/>
        <v>-0.91875000000000018</v>
      </c>
      <c r="AG22" s="10">
        <f t="shared" si="74"/>
        <v>-0.58648404822439104</v>
      </c>
      <c r="AH22" s="10">
        <f t="shared" si="74"/>
        <v>-0.4077749806351666</v>
      </c>
      <c r="AI22" s="10">
        <f t="shared" si="74"/>
        <v>-0.3900944236593622</v>
      </c>
      <c r="AJ22" s="10">
        <f t="shared" si="74"/>
        <v>-0.40152768585925452</v>
      </c>
      <c r="AK22" s="10">
        <f t="shared" si="74"/>
        <v>-0.35163166400262225</v>
      </c>
      <c r="AL22" s="10">
        <f t="shared" si="74"/>
        <v>-0.19032353009646208</v>
      </c>
      <c r="AM22" s="10">
        <f t="shared" si="74"/>
        <v>-6.4538292572138223E-2</v>
      </c>
      <c r="AN22" s="10">
        <f t="shared" si="74"/>
        <v>1.6539266524327381E-2</v>
      </c>
      <c r="AO22" s="10">
        <f t="shared" si="74"/>
        <v>6.7643616650074984E-2</v>
      </c>
      <c r="AP22" s="10">
        <f t="shared" si="74"/>
        <v>0.11091421007621695</v>
      </c>
      <c r="AQ22" s="10">
        <f t="shared" si="74"/>
        <v>0.13675934044648724</v>
      </c>
      <c r="AR22" s="10">
        <f t="shared" ref="AR22:AU22" si="75">AR9/AR3</f>
        <v>0.15599478786230178</v>
      </c>
      <c r="AS22" s="10">
        <f t="shared" si="75"/>
        <v>0.16496636535195042</v>
      </c>
      <c r="AT22" s="10">
        <f t="shared" si="75"/>
        <v>0.17368161205618055</v>
      </c>
      <c r="AU22" s="10">
        <f t="shared" si="75"/>
        <v>0.18214785171171807</v>
      </c>
      <c r="AW22" t="s">
        <v>40</v>
      </c>
      <c r="AX22" s="10">
        <v>-0.01</v>
      </c>
    </row>
    <row r="23" spans="2:50" x14ac:dyDescent="0.3">
      <c r="B23" t="s">
        <v>33</v>
      </c>
      <c r="C23" s="10">
        <f>C6/C3</f>
        <v>1.036986301369863</v>
      </c>
      <c r="D23" s="10">
        <f>D6/D3</f>
        <v>0.91676168757126575</v>
      </c>
      <c r="G23" s="10">
        <f t="shared" ref="G23:L23" si="76">G6/G3</f>
        <v>0.84398496240601495</v>
      </c>
      <c r="H23" s="10">
        <f t="shared" si="76"/>
        <v>0.80892388451443564</v>
      </c>
      <c r="I23" s="10">
        <f t="shared" si="76"/>
        <v>0.72870249017038013</v>
      </c>
      <c r="J23" s="10">
        <f t="shared" si="76"/>
        <v>0.67193240264511389</v>
      </c>
      <c r="K23" s="10">
        <f t="shared" si="76"/>
        <v>0.57117224880382778</v>
      </c>
      <c r="L23" s="10">
        <f t="shared" si="76"/>
        <v>0.52970297029702973</v>
      </c>
      <c r="M23" s="10">
        <f t="shared" ref="M23:X23" si="77">M6/M3</f>
        <v>0.57741477272727282</v>
      </c>
      <c r="N23" s="10">
        <f t="shared" si="77"/>
        <v>0.55229283990345945</v>
      </c>
      <c r="O23" s="10">
        <f t="shared" si="77"/>
        <v>0.51077199281867147</v>
      </c>
      <c r="P23" s="10">
        <f t="shared" si="77"/>
        <v>0.51528013582342957</v>
      </c>
      <c r="Q23" s="10">
        <f t="shared" si="77"/>
        <v>0.53175112251443235</v>
      </c>
      <c r="R23" s="10">
        <f t="shared" si="77"/>
        <v>0.50934718100890208</v>
      </c>
      <c r="S23" s="10">
        <f t="shared" si="77"/>
        <v>0.48365567965132117</v>
      </c>
      <c r="T23" s="10">
        <f t="shared" si="77"/>
        <v>0.467019491416032</v>
      </c>
      <c r="U23" s="10">
        <f t="shared" si="77"/>
        <v>0.48364908893447567</v>
      </c>
      <c r="V23" s="10">
        <f t="shared" si="77"/>
        <v>0.46109576427255988</v>
      </c>
      <c r="W23" s="10">
        <f t="shared" si="77"/>
        <v>0.46491879842904149</v>
      </c>
      <c r="X23" s="10">
        <f t="shared" si="77"/>
        <v>0.43848804215646536</v>
      </c>
      <c r="Y23" s="10">
        <f t="shared" ref="Y23:AB23" si="78">Y6/Y3</f>
        <v>0.44007292966126099</v>
      </c>
      <c r="Z23" s="10">
        <f t="shared" si="78"/>
        <v>0.43842794759825326</v>
      </c>
      <c r="AA23" s="10">
        <f t="shared" si="78"/>
        <v>0.44000000000000006</v>
      </c>
      <c r="AB23" s="10">
        <f t="shared" si="78"/>
        <v>0.44000000000000006</v>
      </c>
      <c r="AD23" s="10">
        <f t="shared" ref="AD23:AQ23" si="79">AD6/AD3</f>
        <v>1.2988624612202688</v>
      </c>
      <c r="AE23" s="10">
        <f t="shared" si="79"/>
        <v>1.1087613293051359</v>
      </c>
      <c r="AF23" s="10">
        <f t="shared" si="79"/>
        <v>0.80962837837837842</v>
      </c>
      <c r="AG23" s="10">
        <f t="shared" si="79"/>
        <v>0.61018617239399653</v>
      </c>
      <c r="AH23" s="10">
        <f t="shared" si="79"/>
        <v>0.53567970565453138</v>
      </c>
      <c r="AI23" s="10">
        <f t="shared" si="79"/>
        <v>0.49592018528416176</v>
      </c>
      <c r="AJ23" s="10">
        <f t="shared" si="79"/>
        <v>0.46109088903595863</v>
      </c>
      <c r="AK23" s="10">
        <f t="shared" si="79"/>
        <v>0.43962021947965663</v>
      </c>
      <c r="AL23" s="10">
        <f t="shared" si="79"/>
        <v>0.37</v>
      </c>
      <c r="AM23" s="10">
        <f t="shared" si="79"/>
        <v>0.32</v>
      </c>
      <c r="AN23" s="10">
        <f t="shared" si="79"/>
        <v>0.28999999999999998</v>
      </c>
      <c r="AO23" s="10">
        <f t="shared" si="79"/>
        <v>0.27</v>
      </c>
      <c r="AP23" s="10">
        <f t="shared" si="79"/>
        <v>0.25</v>
      </c>
      <c r="AQ23" s="10">
        <f t="shared" si="79"/>
        <v>0.24</v>
      </c>
      <c r="AR23" s="10">
        <f t="shared" ref="AR23:AU23" si="80">AR6/AR3</f>
        <v>0.23</v>
      </c>
      <c r="AS23" s="10">
        <f t="shared" si="80"/>
        <v>0.23</v>
      </c>
      <c r="AT23" s="10">
        <f t="shared" si="80"/>
        <v>0.22999999999999998</v>
      </c>
      <c r="AU23" s="10">
        <f t="shared" si="80"/>
        <v>0.23</v>
      </c>
      <c r="AW23" t="s">
        <v>41</v>
      </c>
      <c r="AX23" s="10">
        <v>7.0000000000000007E-2</v>
      </c>
    </row>
    <row r="24" spans="2:50" x14ac:dyDescent="0.3">
      <c r="B24" t="s">
        <v>34</v>
      </c>
      <c r="C24" s="10"/>
      <c r="D24" s="10"/>
      <c r="G24" s="10">
        <f t="shared" ref="G24:L25" si="81">G7/C7-1</f>
        <v>1.6750902527075811</v>
      </c>
      <c r="H24" s="10">
        <f t="shared" si="81"/>
        <v>2.1649831649831652</v>
      </c>
      <c r="I24" s="10" t="e">
        <f t="shared" si="81"/>
        <v>#DIV/0!</v>
      </c>
      <c r="J24" s="10" t="e">
        <f t="shared" si="81"/>
        <v>#DIV/0!</v>
      </c>
      <c r="K24" s="10">
        <f t="shared" si="81"/>
        <v>0.56410256410256432</v>
      </c>
      <c r="L24" s="10">
        <f t="shared" si="81"/>
        <v>0.30957446808510625</v>
      </c>
      <c r="M24" s="10">
        <f t="shared" ref="M24:X24" si="82">M7/I7-1</f>
        <v>0.37340619307832434</v>
      </c>
      <c r="N24" s="10">
        <f t="shared" si="82"/>
        <v>0.55546147332768836</v>
      </c>
      <c r="O24" s="10">
        <f t="shared" si="82"/>
        <v>0.82398619499568593</v>
      </c>
      <c r="P24" s="10">
        <f t="shared" si="82"/>
        <v>0.966693744922827</v>
      </c>
      <c r="Q24" s="10">
        <f t="shared" si="82"/>
        <v>0.83952254641909785</v>
      </c>
      <c r="R24" s="10">
        <f t="shared" si="82"/>
        <v>0.70930865541644006</v>
      </c>
      <c r="S24" s="10">
        <f t="shared" si="82"/>
        <v>0.57095553453169345</v>
      </c>
      <c r="T24" s="10">
        <f t="shared" si="82"/>
        <v>0.50557620817843874</v>
      </c>
      <c r="U24" s="10">
        <f t="shared" si="82"/>
        <v>0.48089401586157199</v>
      </c>
      <c r="V24" s="10">
        <f t="shared" si="82"/>
        <v>0.39394904458598723</v>
      </c>
      <c r="W24" s="10">
        <f t="shared" si="82"/>
        <v>0.33212887684432379</v>
      </c>
      <c r="X24" s="10">
        <f t="shared" si="82"/>
        <v>0.35116598079561046</v>
      </c>
      <c r="Y24" s="10">
        <f t="shared" ref="Y24:Y25" si="83">Y7/U7-1</f>
        <v>0.14995131450827648</v>
      </c>
      <c r="Z24" s="10">
        <f t="shared" ref="Z24:Z25" si="84">Z7/V7-1</f>
        <v>0.12405757368060311</v>
      </c>
      <c r="AA24" s="10">
        <f t="shared" ref="AA24:AA25" si="85">AA7/W7-1</f>
        <v>0.16999999999999993</v>
      </c>
      <c r="AB24" s="10">
        <f t="shared" ref="AB24:AB25" si="86">AB7/X7-1</f>
        <v>0.14999999999999991</v>
      </c>
      <c r="AD24" s="10"/>
      <c r="AE24" s="10">
        <f t="shared" ref="AE24:AQ24" si="87">AE7/AD7-1</f>
        <v>0.53129548762736523</v>
      </c>
      <c r="AF24" s="10">
        <f t="shared" si="87"/>
        <v>1.2614068441064639</v>
      </c>
      <c r="AG24" s="10">
        <f t="shared" si="87"/>
        <v>0.96258932324506086</v>
      </c>
      <c r="AH24" s="10">
        <f t="shared" si="87"/>
        <v>0.68772756478903418</v>
      </c>
      <c r="AI24" s="10">
        <f t="shared" si="87"/>
        <v>0.63451776649746194</v>
      </c>
      <c r="AJ24" s="10">
        <f t="shared" si="87"/>
        <v>0.38462732919254661</v>
      </c>
      <c r="AK24" s="10">
        <f t="shared" si="87"/>
        <v>0.14858304362453723</v>
      </c>
      <c r="AL24" s="10">
        <f t="shared" si="87"/>
        <v>7.0000000000000062E-2</v>
      </c>
      <c r="AM24" s="10">
        <f t="shared" si="87"/>
        <v>4.0000000000000036E-2</v>
      </c>
      <c r="AN24" s="10">
        <f t="shared" si="87"/>
        <v>3.0000000000000027E-2</v>
      </c>
      <c r="AO24" s="10">
        <f t="shared" si="87"/>
        <v>2.0000000000000018E-2</v>
      </c>
      <c r="AP24" s="10">
        <f t="shared" si="87"/>
        <v>2.0000000000000018E-2</v>
      </c>
      <c r="AQ24" s="10">
        <f t="shared" si="87"/>
        <v>2.0000000000000018E-2</v>
      </c>
      <c r="AR24" s="10">
        <f t="shared" ref="AR24:AU24" si="88">AR7/AQ7-1</f>
        <v>2.0000000000000018E-2</v>
      </c>
      <c r="AS24" s="10">
        <f t="shared" si="88"/>
        <v>2.0000000000000018E-2</v>
      </c>
      <c r="AT24" s="10">
        <f t="shared" si="88"/>
        <v>2.0000000000000018E-2</v>
      </c>
      <c r="AU24" s="10">
        <f t="shared" si="88"/>
        <v>2.0000000000000018E-2</v>
      </c>
      <c r="AW24" t="s">
        <v>42</v>
      </c>
      <c r="AX24" s="6">
        <f>NPV(AX23,AJ16:FD16)</f>
        <v>13895.376493316469</v>
      </c>
    </row>
    <row r="25" spans="2:50" x14ac:dyDescent="0.3">
      <c r="B25" t="s">
        <v>35</v>
      </c>
      <c r="C25" s="10"/>
      <c r="D25" s="10"/>
      <c r="G25" s="10">
        <f t="shared" si="81"/>
        <v>0.76567656765676562</v>
      </c>
      <c r="H25" s="10">
        <f t="shared" si="81"/>
        <v>1.1316725978647684</v>
      </c>
      <c r="I25" s="10" t="e">
        <f t="shared" si="81"/>
        <v>#DIV/0!</v>
      </c>
      <c r="J25" s="10" t="e">
        <f t="shared" si="81"/>
        <v>#DIV/0!</v>
      </c>
      <c r="K25" s="10">
        <f t="shared" si="81"/>
        <v>0.19813084112149526</v>
      </c>
      <c r="L25" s="10">
        <f t="shared" si="81"/>
        <v>0.25542570951585986</v>
      </c>
      <c r="M25" s="10">
        <f t="shared" ref="M25:X25" si="89">M8/I8-1</f>
        <v>0.13036303630363033</v>
      </c>
      <c r="N25" s="10">
        <f t="shared" si="89"/>
        <v>0.12576687116564411</v>
      </c>
      <c r="O25" s="10">
        <f t="shared" si="89"/>
        <v>0.19344773790951653</v>
      </c>
      <c r="P25" s="10">
        <f t="shared" si="89"/>
        <v>3.0585106382978733E-2</v>
      </c>
      <c r="Q25" s="10">
        <f t="shared" si="89"/>
        <v>0.14598540145985406</v>
      </c>
      <c r="R25" s="10">
        <f t="shared" si="89"/>
        <v>0.14032697547683926</v>
      </c>
      <c r="S25" s="10">
        <f t="shared" si="89"/>
        <v>2.8758169934640643E-2</v>
      </c>
      <c r="T25" s="10">
        <f t="shared" si="89"/>
        <v>5.9354838709677393E-2</v>
      </c>
      <c r="U25" s="10">
        <f t="shared" si="89"/>
        <v>0.18598726114649677</v>
      </c>
      <c r="V25" s="10">
        <f t="shared" si="89"/>
        <v>0.16845878136200709</v>
      </c>
      <c r="W25" s="10">
        <f t="shared" si="89"/>
        <v>0.35069885641677256</v>
      </c>
      <c r="X25" s="10">
        <f t="shared" si="89"/>
        <v>0.40194884287454324</v>
      </c>
      <c r="Y25" s="10">
        <f t="shared" si="83"/>
        <v>1.2513426423200862</v>
      </c>
      <c r="Z25" s="10">
        <f t="shared" si="84"/>
        <v>0.22188139059304701</v>
      </c>
      <c r="AA25" s="10">
        <f t="shared" si="85"/>
        <v>0.19999999999999996</v>
      </c>
      <c r="AB25" s="10">
        <f t="shared" si="86"/>
        <v>0.19999999999999996</v>
      </c>
      <c r="AD25" s="10"/>
      <c r="AE25" s="10">
        <f t="shared" ref="AE25:AQ25" si="90">AE8/AD8-1</f>
        <v>1.9778393351800552</v>
      </c>
      <c r="AF25" s="10">
        <f t="shared" si="90"/>
        <v>0.63813953488372088</v>
      </c>
      <c r="AG25" s="10">
        <f t="shared" si="90"/>
        <v>0.50539466212379347</v>
      </c>
      <c r="AH25" s="10">
        <f t="shared" si="90"/>
        <v>0.11618257261410769</v>
      </c>
      <c r="AI25" s="10">
        <f t="shared" si="90"/>
        <v>9.1584994930719921E-2</v>
      </c>
      <c r="AJ25" s="10">
        <f t="shared" si="90"/>
        <v>0.27647058823529402</v>
      </c>
      <c r="AK25" s="10">
        <f t="shared" si="90"/>
        <v>0.44259034683482912</v>
      </c>
      <c r="AL25" s="10">
        <f t="shared" si="90"/>
        <v>5.0000000000000044E-2</v>
      </c>
      <c r="AM25" s="10">
        <f t="shared" si="90"/>
        <v>5.0000000000000044E-2</v>
      </c>
      <c r="AN25" s="10">
        <f t="shared" si="90"/>
        <v>4.0000000000000036E-2</v>
      </c>
      <c r="AO25" s="10">
        <f t="shared" si="90"/>
        <v>3.0000000000000027E-2</v>
      </c>
      <c r="AP25" s="10">
        <f t="shared" si="90"/>
        <v>2.0000000000000018E-2</v>
      </c>
      <c r="AQ25" s="10">
        <f t="shared" si="90"/>
        <v>2.0000000000000018E-2</v>
      </c>
      <c r="AR25" s="10">
        <f t="shared" ref="AR25:AU25" si="91">AR8/AQ8-1</f>
        <v>2.0000000000000018E-2</v>
      </c>
      <c r="AS25" s="10">
        <f t="shared" si="91"/>
        <v>2.0000000000000018E-2</v>
      </c>
      <c r="AT25" s="10">
        <f t="shared" si="91"/>
        <v>2.0000000000000018E-2</v>
      </c>
      <c r="AU25" s="10">
        <f t="shared" si="91"/>
        <v>2.0000000000000018E-2</v>
      </c>
      <c r="AW25" t="s">
        <v>43</v>
      </c>
      <c r="AX25" s="6">
        <f>Main!D8</f>
        <v>2323.8999999999996</v>
      </c>
    </row>
    <row r="26" spans="2:50" x14ac:dyDescent="0.3">
      <c r="B26" t="s">
        <v>27</v>
      </c>
      <c r="C26" s="10">
        <f>C14/C13</f>
        <v>-4.5610034207525657E-3</v>
      </c>
      <c r="D26" s="10">
        <f t="shared" ref="D26" si="92">D14/D13</f>
        <v>3.6188178528347402E-3</v>
      </c>
      <c r="G26" s="10">
        <f>G14/G13</f>
        <v>-2.3752969121140148E-3</v>
      </c>
      <c r="H26" s="10">
        <f t="shared" ref="H26:L26" si="93">H14/H13</f>
        <v>-6.5822784810126581E-3</v>
      </c>
      <c r="I26" s="10">
        <f t="shared" si="93"/>
        <v>1.4742014742014742E-3</v>
      </c>
      <c r="J26" s="10">
        <f t="shared" si="93"/>
        <v>-2.6427061310782237E-3</v>
      </c>
      <c r="K26" s="10">
        <f t="shared" si="93"/>
        <v>-7.8023407022106608E-3</v>
      </c>
      <c r="L26" s="10">
        <f t="shared" si="93"/>
        <v>-1.1485451761102604E-2</v>
      </c>
      <c r="M26" s="10">
        <f t="shared" ref="M26:X26" si="94">M14/M13</f>
        <v>0.13877338877338877</v>
      </c>
      <c r="N26" s="10">
        <f t="shared" si="94"/>
        <v>-1.735952489721334E-2</v>
      </c>
      <c r="O26" s="10">
        <f t="shared" si="94"/>
        <v>-2.0253164556962026E-2</v>
      </c>
      <c r="P26" s="10">
        <f t="shared" si="94"/>
        <v>-1.9305019305019308E-3</v>
      </c>
      <c r="Q26" s="10">
        <f t="shared" si="94"/>
        <v>2.8350515463917529E-2</v>
      </c>
      <c r="R26" s="10">
        <f t="shared" si="94"/>
        <v>1.601731601731602E-2</v>
      </c>
      <c r="S26" s="10">
        <f t="shared" si="94"/>
        <v>-1.6090866067203034E-2</v>
      </c>
      <c r="T26" s="10">
        <f t="shared" si="94"/>
        <v>2.4684270952927686E-2</v>
      </c>
      <c r="U26" s="10">
        <f t="shared" si="94"/>
        <v>-8.5714285714285719E-3</v>
      </c>
      <c r="V26" s="10">
        <f t="shared" si="94"/>
        <v>-1.2101910828025473E-2</v>
      </c>
      <c r="W26" s="10">
        <f t="shared" si="94"/>
        <v>-5.8282208588957066E-3</v>
      </c>
      <c r="X26" s="10">
        <f t="shared" si="94"/>
        <v>1.3026355649803088E-2</v>
      </c>
      <c r="Y26" s="10">
        <f t="shared" ref="Y26:AB26" si="95">Y14/Y13</f>
        <v>-1.3433891114777278E-2</v>
      </c>
      <c r="Z26" s="10">
        <f t="shared" si="95"/>
        <v>-3.3568311513930855E-4</v>
      </c>
      <c r="AA26" s="10">
        <f t="shared" si="95"/>
        <v>0</v>
      </c>
      <c r="AB26" s="10">
        <f t="shared" si="95"/>
        <v>0</v>
      </c>
      <c r="AD26" s="10">
        <f t="shared" ref="AD26:AQ26" si="96">AD14/AD13</f>
        <v>-4.5172219085262569E-3</v>
      </c>
      <c r="AE26" s="10">
        <f t="shared" si="96"/>
        <v>-2.8776978417266188E-3</v>
      </c>
      <c r="AF26" s="10">
        <f t="shared" si="96"/>
        <v>-3.9106145251396641E-3</v>
      </c>
      <c r="AG26" s="10">
        <f t="shared" si="96"/>
        <v>-4.2829714960862502E-3</v>
      </c>
      <c r="AH26" s="10">
        <f t="shared" si="96"/>
        <v>2.2671568627450976E-2</v>
      </c>
      <c r="AI26" s="10">
        <f t="shared" si="96"/>
        <v>1.3187330742964794E-2</v>
      </c>
      <c r="AJ26" s="10">
        <f t="shared" si="96"/>
        <v>-3.1904131974165428E-3</v>
      </c>
      <c r="AK26" s="10">
        <f t="shared" si="96"/>
        <v>-4.0828702138342747E-3</v>
      </c>
      <c r="AL26" s="10">
        <f t="shared" si="96"/>
        <v>0</v>
      </c>
      <c r="AM26" s="10">
        <f t="shared" si="96"/>
        <v>0.05</v>
      </c>
      <c r="AN26" s="10">
        <f t="shared" si="96"/>
        <v>4.9999999999999996E-2</v>
      </c>
      <c r="AO26" s="10">
        <f t="shared" si="96"/>
        <v>0.1</v>
      </c>
      <c r="AP26" s="10">
        <f t="shared" si="96"/>
        <v>0.1</v>
      </c>
      <c r="AQ26" s="10">
        <f t="shared" si="96"/>
        <v>0.10999999999999999</v>
      </c>
      <c r="AR26" s="10">
        <f t="shared" ref="AR26:AU26" si="97">AR14/AR13</f>
        <v>0.15</v>
      </c>
      <c r="AS26" s="10">
        <f t="shared" si="97"/>
        <v>0.15</v>
      </c>
      <c r="AT26" s="10">
        <f t="shared" si="97"/>
        <v>0.15</v>
      </c>
      <c r="AU26" s="10">
        <f t="shared" si="97"/>
        <v>0.15</v>
      </c>
      <c r="AW26" t="s">
        <v>44</v>
      </c>
      <c r="AX26" s="6">
        <f>AX24+AX25</f>
        <v>16219.276493316469</v>
      </c>
    </row>
    <row r="27" spans="2:50" x14ac:dyDescent="0.3">
      <c r="B27" t="s">
        <v>64</v>
      </c>
      <c r="C27" s="10">
        <f>C16/C3</f>
        <v>-1.2068493150684934</v>
      </c>
      <c r="D27" s="10">
        <f>D16/D3</f>
        <v>-0.94184720638540487</v>
      </c>
      <c r="G27" s="10">
        <f t="shared" ref="G27:X27" si="98">G16/G3</f>
        <v>-1.0576441102756891</v>
      </c>
      <c r="H27" s="10">
        <f t="shared" si="98"/>
        <v>-1.0435695538057743</v>
      </c>
      <c r="I27" s="10">
        <f t="shared" si="98"/>
        <v>-0.88772389689820874</v>
      </c>
      <c r="J27" s="10">
        <f t="shared" si="98"/>
        <v>-0.69691403379867756</v>
      </c>
      <c r="K27" s="10">
        <f t="shared" si="98"/>
        <v>-0.46351674641148338</v>
      </c>
      <c r="L27" s="10">
        <f t="shared" si="98"/>
        <v>-0.34418968212610734</v>
      </c>
      <c r="M27" s="10">
        <f t="shared" si="98"/>
        <v>-0.39228219696969702</v>
      </c>
      <c r="N27" s="10">
        <f t="shared" si="98"/>
        <v>-0.44790828640386166</v>
      </c>
      <c r="O27" s="10">
        <f t="shared" si="98"/>
        <v>-0.3608617594254937</v>
      </c>
      <c r="P27" s="10">
        <f t="shared" si="98"/>
        <v>-0.35195246179966039</v>
      </c>
      <c r="Q27" s="10">
        <f t="shared" si="98"/>
        <v>-0.36209108402822315</v>
      </c>
      <c r="R27" s="10">
        <f t="shared" si="98"/>
        <v>-0.33649851632047473</v>
      </c>
      <c r="S27" s="10">
        <f t="shared" si="98"/>
        <v>-0.29188232089348942</v>
      </c>
      <c r="T27" s="10">
        <f t="shared" si="98"/>
        <v>-0.21853620756421824</v>
      </c>
      <c r="U27" s="10">
        <f t="shared" si="98"/>
        <v>-0.38240617835163504</v>
      </c>
      <c r="V27" s="10">
        <f t="shared" si="98"/>
        <v>-0.36475598526703518</v>
      </c>
      <c r="W27" s="10">
        <f t="shared" si="98"/>
        <v>-0.34423097335739294</v>
      </c>
      <c r="X27" s="10">
        <f t="shared" si="98"/>
        <v>-0.33198216457235513</v>
      </c>
      <c r="Y27" s="10">
        <f t="shared" ref="Y27:AB27" si="99">Y16/Y3</f>
        <v>-0.41272430668841775</v>
      </c>
      <c r="Z27" s="10">
        <f t="shared" si="99"/>
        <v>-0.26034934497816598</v>
      </c>
      <c r="AA27" s="10">
        <f t="shared" si="99"/>
        <v>-0.27710857829625646</v>
      </c>
      <c r="AB27" s="10">
        <f t="shared" si="99"/>
        <v>-0.3134357553033375</v>
      </c>
      <c r="AD27" s="10">
        <f t="shared" ref="AD27:AU27" si="100">AD16/AD3</f>
        <v>-1.8397104446742503</v>
      </c>
      <c r="AE27" s="10">
        <f t="shared" si="100"/>
        <v>-1.3160876132930512</v>
      </c>
      <c r="AF27" s="10">
        <f t="shared" si="100"/>
        <v>-0.91064189189189215</v>
      </c>
      <c r="AG27" s="10">
        <f t="shared" si="100"/>
        <v>-0.55769703928483561</v>
      </c>
      <c r="AH27" s="10">
        <f t="shared" si="100"/>
        <v>-0.3856990704879939</v>
      </c>
      <c r="AI27" s="10">
        <f t="shared" si="100"/>
        <v>-0.29795118474968818</v>
      </c>
      <c r="AJ27" s="10">
        <f t="shared" si="100"/>
        <v>-0.3545389366865212</v>
      </c>
      <c r="AK27" s="10">
        <f t="shared" si="100"/>
        <v>-0.3134901903837104</v>
      </c>
      <c r="AL27" s="10">
        <f t="shared" si="100"/>
        <v>-0.1502182377017027</v>
      </c>
      <c r="AM27" s="10">
        <f t="shared" si="100"/>
        <v>-2.9834233787565497E-2</v>
      </c>
      <c r="AN27" s="10">
        <f t="shared" si="100"/>
        <v>4.3133223212560128E-2</v>
      </c>
      <c r="AO27" s="10">
        <f t="shared" si="100"/>
        <v>8.4204021282266908E-2</v>
      </c>
      <c r="AP27" s="10">
        <f t="shared" si="100"/>
        <v>0.12117348780542408</v>
      </c>
      <c r="AQ27" s="10">
        <f t="shared" si="100"/>
        <v>0.14151796981429035</v>
      </c>
      <c r="AR27" s="10">
        <f t="shared" si="100"/>
        <v>0.1506657538277964</v>
      </c>
      <c r="AS27" s="10">
        <f t="shared" si="100"/>
        <v>0.15764101800414521</v>
      </c>
      <c r="AT27" s="10">
        <f t="shared" si="100"/>
        <v>0.16441698891831255</v>
      </c>
      <c r="AU27" s="10">
        <f t="shared" si="100"/>
        <v>0.17099936066350355</v>
      </c>
      <c r="AW27" t="s">
        <v>45</v>
      </c>
      <c r="AX27" s="5">
        <f>AX26/AQ17</f>
        <v>48.386863046886845</v>
      </c>
    </row>
    <row r="28" spans="2:50" x14ac:dyDescent="0.3">
      <c r="AW28" t="s">
        <v>46</v>
      </c>
      <c r="AX28" s="5">
        <f>Main!D3</f>
        <v>225.31</v>
      </c>
    </row>
    <row r="29" spans="2:50" x14ac:dyDescent="0.3">
      <c r="AW29" s="1" t="s">
        <v>47</v>
      </c>
      <c r="AX29" s="11">
        <f>AX27/AX28-1</f>
        <v>-0.78524316254544035</v>
      </c>
    </row>
    <row r="30" spans="2:50" s="1" customFormat="1" x14ac:dyDescent="0.3">
      <c r="B30" s="1" t="s">
        <v>43</v>
      </c>
      <c r="T30" s="9">
        <f>T31+T32+T37-T51</f>
        <v>4762.5</v>
      </c>
      <c r="W30" s="9">
        <f>W31+W32+W37-W51</f>
        <v>2780.3</v>
      </c>
      <c r="X30" s="9">
        <f>X31+X32+X37-X51</f>
        <v>3022.7000000000007</v>
      </c>
      <c r="AW30" t="s">
        <v>48</v>
      </c>
      <c r="AX30" s="7" t="s">
        <v>49</v>
      </c>
    </row>
    <row r="31" spans="2:50" x14ac:dyDescent="0.3">
      <c r="B31" t="s">
        <v>4</v>
      </c>
      <c r="T31" s="6">
        <v>1762.7</v>
      </c>
      <c r="W31" s="6">
        <v>2148.9</v>
      </c>
      <c r="X31" s="6">
        <v>2628.8</v>
      </c>
    </row>
    <row r="32" spans="2:50" x14ac:dyDescent="0.3">
      <c r="B32" t="s">
        <v>65</v>
      </c>
      <c r="T32" s="6">
        <v>2083.5</v>
      </c>
      <c r="W32" s="6">
        <v>2008.1</v>
      </c>
      <c r="X32" s="6">
        <v>2008.9</v>
      </c>
    </row>
    <row r="33" spans="2:24" x14ac:dyDescent="0.3">
      <c r="B33" t="s">
        <v>66</v>
      </c>
      <c r="T33" s="6">
        <v>926.9</v>
      </c>
      <c r="W33" s="6">
        <v>596.4</v>
      </c>
      <c r="X33" s="6">
        <v>922.8</v>
      </c>
    </row>
    <row r="34" spans="2:24" x14ac:dyDescent="0.3">
      <c r="B34" t="s">
        <v>67</v>
      </c>
      <c r="T34" s="6">
        <v>86.1</v>
      </c>
      <c r="W34" s="6">
        <v>89.8</v>
      </c>
      <c r="X34" s="6">
        <v>97.7</v>
      </c>
    </row>
    <row r="35" spans="2:24" x14ac:dyDescent="0.3">
      <c r="B35" t="s">
        <v>75</v>
      </c>
      <c r="T35" s="6">
        <v>180</v>
      </c>
      <c r="W35" s="6">
        <v>140.9</v>
      </c>
      <c r="X35" s="6">
        <v>211.2</v>
      </c>
    </row>
    <row r="36" spans="2:24" s="1" customFormat="1" x14ac:dyDescent="0.3">
      <c r="B36" s="1" t="s">
        <v>69</v>
      </c>
      <c r="T36" s="9">
        <f>SUM(T31:T35)</f>
        <v>5039.2</v>
      </c>
      <c r="W36" s="9">
        <f>SUM(W31:W35)</f>
        <v>4984.0999999999995</v>
      </c>
      <c r="X36" s="9">
        <f>SUM(X31:X35)</f>
        <v>5869.4000000000005</v>
      </c>
    </row>
    <row r="37" spans="2:24" x14ac:dyDescent="0.3">
      <c r="B37" t="s">
        <v>65</v>
      </c>
      <c r="T37" s="6">
        <v>916.3</v>
      </c>
      <c r="W37" s="6">
        <v>892.8</v>
      </c>
      <c r="X37" s="6">
        <v>656.5</v>
      </c>
    </row>
    <row r="38" spans="2:24" x14ac:dyDescent="0.3">
      <c r="B38" t="s">
        <v>70</v>
      </c>
      <c r="T38" s="6">
        <v>247.5</v>
      </c>
      <c r="W38" s="6">
        <v>278.39999999999998</v>
      </c>
      <c r="X38" s="6">
        <v>296.39999999999998</v>
      </c>
    </row>
    <row r="39" spans="2:24" x14ac:dyDescent="0.3">
      <c r="B39" t="s">
        <v>71</v>
      </c>
      <c r="T39" s="6">
        <v>252.1</v>
      </c>
      <c r="W39" s="6">
        <v>280.7</v>
      </c>
      <c r="X39" s="6">
        <v>359.4</v>
      </c>
    </row>
    <row r="40" spans="2:24" x14ac:dyDescent="0.3">
      <c r="B40" t="s">
        <v>72</v>
      </c>
      <c r="T40" s="6">
        <v>975.9</v>
      </c>
      <c r="W40" s="6">
        <v>990.7</v>
      </c>
      <c r="X40" s="6">
        <v>1056.5999999999999</v>
      </c>
    </row>
    <row r="41" spans="2:24" x14ac:dyDescent="0.3">
      <c r="B41" t="s">
        <v>73</v>
      </c>
      <c r="T41" s="6">
        <v>331.4</v>
      </c>
      <c r="W41" s="6">
        <v>268.5</v>
      </c>
      <c r="X41" s="6">
        <v>278</v>
      </c>
    </row>
    <row r="42" spans="2:24" x14ac:dyDescent="0.3">
      <c r="B42" t="s">
        <v>67</v>
      </c>
      <c r="T42" s="6">
        <v>187.1</v>
      </c>
      <c r="W42" s="6">
        <v>177.3</v>
      </c>
      <c r="X42" s="6">
        <v>184</v>
      </c>
    </row>
    <row r="43" spans="2:24" x14ac:dyDescent="0.3">
      <c r="B43" t="s">
        <v>74</v>
      </c>
      <c r="T43" s="6">
        <v>273.8</v>
      </c>
      <c r="W43" s="6">
        <v>329.8</v>
      </c>
      <c r="X43" s="6">
        <v>333.7</v>
      </c>
    </row>
    <row r="44" spans="2:24" s="1" customFormat="1" x14ac:dyDescent="0.3">
      <c r="B44" s="1" t="s">
        <v>76</v>
      </c>
      <c r="T44" s="9">
        <f>SUM(T37:T43)</f>
        <v>3184.1</v>
      </c>
      <c r="W44" s="9">
        <f>SUM(W37:W43)</f>
        <v>3218.2000000000003</v>
      </c>
      <c r="X44" s="9">
        <f>SUM(X37:X43)</f>
        <v>3164.5999999999995</v>
      </c>
    </row>
    <row r="45" spans="2:24" s="1" customFormat="1" x14ac:dyDescent="0.3">
      <c r="B45" s="1" t="s">
        <v>77</v>
      </c>
      <c r="T45" s="12">
        <f>T36+T44</f>
        <v>8223.2999999999993</v>
      </c>
      <c r="W45" s="12">
        <f>W36+W44</f>
        <v>8202.2999999999993</v>
      </c>
      <c r="X45" s="12">
        <f>X36+X44</f>
        <v>9034</v>
      </c>
    </row>
    <row r="46" spans="2:24" x14ac:dyDescent="0.3">
      <c r="B46" t="s">
        <v>78</v>
      </c>
      <c r="T46" s="6">
        <v>51.7</v>
      </c>
      <c r="W46" s="6">
        <v>148.9</v>
      </c>
      <c r="X46" s="6">
        <v>169.8</v>
      </c>
    </row>
    <row r="47" spans="2:24" x14ac:dyDescent="0.3">
      <c r="B47" t="s">
        <v>79</v>
      </c>
      <c r="T47" s="6">
        <v>446.9</v>
      </c>
      <c r="W47" s="6">
        <v>485.1</v>
      </c>
      <c r="X47" s="6">
        <v>515.5</v>
      </c>
    </row>
    <row r="48" spans="2:24" x14ac:dyDescent="0.3">
      <c r="B48" t="s">
        <v>71</v>
      </c>
      <c r="T48" s="6">
        <v>33.9</v>
      </c>
      <c r="W48" s="6">
        <v>38.299999999999997</v>
      </c>
      <c r="X48" s="6">
        <v>35.9</v>
      </c>
    </row>
    <row r="49" spans="2:47" x14ac:dyDescent="0.3">
      <c r="B49" t="s">
        <v>67</v>
      </c>
      <c r="T49" s="6">
        <v>2198.6999999999998</v>
      </c>
      <c r="W49" s="6">
        <v>1974.9</v>
      </c>
      <c r="X49" s="6">
        <v>2580</v>
      </c>
    </row>
    <row r="50" spans="2:47" s="1" customFormat="1" x14ac:dyDescent="0.3">
      <c r="B50" s="1" t="s">
        <v>80</v>
      </c>
      <c r="T50" s="9">
        <f>SUM(T46:T49)</f>
        <v>2731.2</v>
      </c>
      <c r="W50" s="9">
        <f>SUM(W46:W49)</f>
        <v>2647.2</v>
      </c>
      <c r="X50" s="9">
        <f>SUM(X46:X49)</f>
        <v>3301.2</v>
      </c>
    </row>
    <row r="51" spans="2:47" x14ac:dyDescent="0.3">
      <c r="B51" t="s">
        <v>5</v>
      </c>
      <c r="T51" s="6">
        <v>0</v>
      </c>
      <c r="W51" s="6">
        <v>2269.5</v>
      </c>
      <c r="X51" s="6">
        <v>2271.5</v>
      </c>
    </row>
    <row r="52" spans="2:47" x14ac:dyDescent="0.3">
      <c r="B52" t="s">
        <v>71</v>
      </c>
      <c r="T52" s="6">
        <v>254</v>
      </c>
      <c r="W52" s="6">
        <v>287.89999999999998</v>
      </c>
      <c r="X52" s="6">
        <v>377.8</v>
      </c>
    </row>
    <row r="53" spans="2:47" x14ac:dyDescent="0.3">
      <c r="B53" t="s">
        <v>67</v>
      </c>
      <c r="T53" s="6">
        <v>14.4</v>
      </c>
      <c r="W53" s="6">
        <v>12</v>
      </c>
      <c r="X53" s="6">
        <v>15.5</v>
      </c>
    </row>
    <row r="54" spans="2:47" x14ac:dyDescent="0.3">
      <c r="B54" t="s">
        <v>81</v>
      </c>
      <c r="T54" s="6">
        <v>33.1</v>
      </c>
      <c r="W54" s="6">
        <v>51.3</v>
      </c>
      <c r="X54" s="6">
        <v>61.3</v>
      </c>
    </row>
    <row r="55" spans="2:47" s="1" customFormat="1" x14ac:dyDescent="0.3">
      <c r="B55" s="1" t="s">
        <v>82</v>
      </c>
      <c r="T55" s="9">
        <f>SUM(T51:T54)</f>
        <v>301.5</v>
      </c>
      <c r="W55" s="9">
        <f>SUM(W51:W54)</f>
        <v>2620.7000000000003</v>
      </c>
      <c r="X55" s="9">
        <f>SUM(X51:X54)</f>
        <v>2726.1000000000004</v>
      </c>
    </row>
    <row r="56" spans="2:47" s="1" customFormat="1" x14ac:dyDescent="0.3">
      <c r="B56" s="1" t="s">
        <v>83</v>
      </c>
      <c r="T56" s="9">
        <f>5180.3</f>
        <v>5180.3</v>
      </c>
      <c r="W56" s="9">
        <f>2929.4</f>
        <v>2929.4</v>
      </c>
      <c r="X56" s="9">
        <f>2999.9</f>
        <v>2999.9</v>
      </c>
    </row>
    <row r="57" spans="2:47" s="1" customFormat="1" x14ac:dyDescent="0.3">
      <c r="B57" s="1" t="s">
        <v>63</v>
      </c>
      <c r="T57" s="9">
        <v>10.3</v>
      </c>
      <c r="W57" s="9">
        <v>5</v>
      </c>
      <c r="X57" s="9">
        <v>6.7</v>
      </c>
    </row>
    <row r="58" spans="2:47" s="1" customFormat="1" x14ac:dyDescent="0.3">
      <c r="B58" s="1" t="s">
        <v>84</v>
      </c>
      <c r="T58" s="12">
        <f>T50+T55+T56+T57</f>
        <v>8223.2999999999993</v>
      </c>
      <c r="W58" s="12">
        <f t="shared" ref="W58" si="101">W50+W55+W56+W57</f>
        <v>8202.2999999999993</v>
      </c>
      <c r="X58" s="12">
        <f>X50+X55+X56+X57</f>
        <v>9033.9000000000015</v>
      </c>
    </row>
    <row r="60" spans="2:47" s="1" customFormat="1" x14ac:dyDescent="0.3">
      <c r="B60" s="1" t="s">
        <v>85</v>
      </c>
      <c r="P60" s="9">
        <f t="shared" ref="P60:AB60" si="102">P16</f>
        <v>-207.29999999999998</v>
      </c>
      <c r="Q60" s="9">
        <f t="shared" si="102"/>
        <v>-225.79999999999995</v>
      </c>
      <c r="R60" s="9">
        <f t="shared" si="102"/>
        <v>-226.79999999999998</v>
      </c>
      <c r="S60" s="9">
        <f t="shared" si="102"/>
        <v>-214.29999999999995</v>
      </c>
      <c r="T60" s="9">
        <f t="shared" si="102"/>
        <v>-169.29999999999987</v>
      </c>
      <c r="U60" s="9">
        <f t="shared" si="102"/>
        <v>-316.89999999999998</v>
      </c>
      <c r="V60" s="9">
        <f t="shared" si="102"/>
        <v>-316.90000000000015</v>
      </c>
      <c r="W60" s="9">
        <f t="shared" si="102"/>
        <v>-324.2999999999999</v>
      </c>
      <c r="X60" s="9">
        <f t="shared" si="102"/>
        <v>-327.60000000000002</v>
      </c>
      <c r="Y60" s="9">
        <f t="shared" si="102"/>
        <v>-430.10000000000008</v>
      </c>
      <c r="Z60" s="9">
        <f t="shared" si="102"/>
        <v>-298.10000000000002</v>
      </c>
      <c r="AA60" s="9">
        <f t="shared" si="102"/>
        <v>-323.71934959999999</v>
      </c>
      <c r="AB60" s="9">
        <f t="shared" si="102"/>
        <v>-371.15808400000009</v>
      </c>
      <c r="AI60" s="9">
        <f>AI16</f>
        <v>-836.19999999999993</v>
      </c>
      <c r="AJ60" s="9">
        <f>AJ16</f>
        <v>-1285.7000000000003</v>
      </c>
      <c r="AK60" s="9">
        <f t="shared" ref="AK60:AU60" si="103">AK16</f>
        <v>-1423.0774335999995</v>
      </c>
      <c r="AL60" s="9">
        <f t="shared" si="103"/>
        <v>-845.56874991599943</v>
      </c>
      <c r="AM60" s="9">
        <f t="shared" si="103"/>
        <v>-201.52196820640097</v>
      </c>
      <c r="AN60" s="9">
        <f t="shared" si="103"/>
        <v>332.14236345411098</v>
      </c>
      <c r="AO60" s="9">
        <f t="shared" si="103"/>
        <v>719.72762106278401</v>
      </c>
      <c r="AP60" s="9">
        <f t="shared" si="103"/>
        <v>1128.93631701607</v>
      </c>
      <c r="AQ60" s="9">
        <f t="shared" si="103"/>
        <v>1410.7732064509059</v>
      </c>
      <c r="AR60" s="9">
        <f t="shared" si="103"/>
        <v>1577.064519469566</v>
      </c>
      <c r="AS60" s="9">
        <f t="shared" si="103"/>
        <v>1732.580579798692</v>
      </c>
      <c r="AT60" s="9">
        <f t="shared" si="103"/>
        <v>1897.4056998313868</v>
      </c>
      <c r="AU60" s="9">
        <f t="shared" si="103"/>
        <v>2072.0359976865693</v>
      </c>
    </row>
    <row r="61" spans="2:47" s="1" customFormat="1" x14ac:dyDescent="0.3">
      <c r="B61" s="1" t="s">
        <v>86</v>
      </c>
      <c r="P61" s="9">
        <v>207.5</v>
      </c>
      <c r="Q61" s="9">
        <v>-226.1</v>
      </c>
      <c r="R61" s="9">
        <v>-227.3</v>
      </c>
      <c r="S61" s="9">
        <v>-214.7</v>
      </c>
      <c r="T61" s="9">
        <v>-169.9</v>
      </c>
      <c r="U61" s="9">
        <v>-317.8</v>
      </c>
      <c r="V61" s="9">
        <v>-317.8</v>
      </c>
      <c r="W61" s="9">
        <v>-327.9</v>
      </c>
      <c r="X61" s="9">
        <v>-325.7</v>
      </c>
      <c r="Y61" s="9">
        <v>-325.7</v>
      </c>
      <c r="Z61" s="9">
        <v>-297.89999999999998</v>
      </c>
      <c r="AI61" s="9">
        <f>SUM(Q61:T61)</f>
        <v>-837.99999999999989</v>
      </c>
      <c r="AJ61" s="9">
        <f>SUM(U61:X61)</f>
        <v>-1289.2</v>
      </c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2:47" x14ac:dyDescent="0.3">
      <c r="B62" t="s">
        <v>87</v>
      </c>
      <c r="P62" s="6">
        <v>19.7</v>
      </c>
      <c r="Q62" s="6">
        <v>23.2</v>
      </c>
      <c r="R62" s="6">
        <v>29.3</v>
      </c>
      <c r="S62" s="6">
        <v>32.5</v>
      </c>
      <c r="T62" s="6">
        <v>35</v>
      </c>
      <c r="U62" s="6">
        <v>40.200000000000003</v>
      </c>
      <c r="V62" s="6">
        <v>45.1</v>
      </c>
      <c r="W62" s="6">
        <v>47</v>
      </c>
      <c r="X62" s="6">
        <v>50.1</v>
      </c>
      <c r="Y62" s="6">
        <v>48.8</v>
      </c>
      <c r="Z62" s="6">
        <v>54.8</v>
      </c>
      <c r="AA62" s="6">
        <v>60</v>
      </c>
      <c r="AB62" s="6">
        <v>63</v>
      </c>
      <c r="AI62" s="6">
        <f>SUM(Q62:T62)</f>
        <v>120</v>
      </c>
      <c r="AJ62" s="6">
        <f>SUM(U62:X62)</f>
        <v>182.4</v>
      </c>
      <c r="AK62" s="6">
        <f>SUM(Y62:AB62)</f>
        <v>226.6</v>
      </c>
      <c r="AL62" s="6">
        <f t="shared" ref="AL62:AU62" si="104">AK62*1.03</f>
        <v>233.398</v>
      </c>
      <c r="AM62" s="6">
        <f t="shared" si="104"/>
        <v>240.39994000000002</v>
      </c>
      <c r="AN62" s="6">
        <f t="shared" si="104"/>
        <v>247.61193820000003</v>
      </c>
      <c r="AO62" s="6">
        <f t="shared" si="104"/>
        <v>255.04029634600002</v>
      </c>
      <c r="AP62" s="6">
        <f t="shared" si="104"/>
        <v>262.69150523638001</v>
      </c>
      <c r="AQ62" s="6">
        <f t="shared" si="104"/>
        <v>270.57225039347139</v>
      </c>
      <c r="AR62" s="6">
        <f t="shared" si="104"/>
        <v>278.68941790527555</v>
      </c>
      <c r="AS62" s="6">
        <f t="shared" si="104"/>
        <v>287.0501004424338</v>
      </c>
      <c r="AT62" s="6">
        <f t="shared" si="104"/>
        <v>295.66160345570682</v>
      </c>
      <c r="AU62" s="6">
        <f t="shared" si="104"/>
        <v>304.53145155937801</v>
      </c>
    </row>
    <row r="63" spans="2:47" x14ac:dyDescent="0.3">
      <c r="B63" t="s">
        <v>71</v>
      </c>
      <c r="P63" s="6">
        <v>12.7</v>
      </c>
      <c r="Q63" s="6">
        <v>12.9</v>
      </c>
      <c r="R63" s="6">
        <v>12.8</v>
      </c>
      <c r="S63" s="6">
        <v>13.5</v>
      </c>
      <c r="T63" s="6">
        <v>13.8</v>
      </c>
      <c r="U63" s="6">
        <v>13.7</v>
      </c>
      <c r="V63" s="6">
        <v>13.8</v>
      </c>
      <c r="W63" s="6">
        <v>14.8</v>
      </c>
      <c r="X63" s="6">
        <v>17.600000000000001</v>
      </c>
      <c r="Y63" s="6">
        <v>17.8</v>
      </c>
      <c r="Z63" s="6">
        <v>16.2</v>
      </c>
      <c r="AA63" s="6">
        <v>18</v>
      </c>
      <c r="AB63" s="6">
        <v>18</v>
      </c>
      <c r="AI63" s="6">
        <f t="shared" ref="AI63:AI78" si="105">SUM(Q63:T63)</f>
        <v>53</v>
      </c>
      <c r="AJ63" s="6">
        <f t="shared" ref="AJ63:AJ78" si="106">SUM(U63:X63)</f>
        <v>59.9</v>
      </c>
      <c r="AK63" s="6">
        <f t="shared" ref="AK63:AK78" si="107">SUM(Y63:AB63)</f>
        <v>70</v>
      </c>
      <c r="AL63" s="6">
        <f t="shared" ref="AL63:AU63" si="108">AK63*1.03</f>
        <v>72.100000000000009</v>
      </c>
      <c r="AM63" s="6">
        <f t="shared" si="108"/>
        <v>74.263000000000005</v>
      </c>
      <c r="AN63" s="6">
        <f t="shared" si="108"/>
        <v>76.490890000000007</v>
      </c>
      <c r="AO63" s="6">
        <f t="shared" si="108"/>
        <v>78.785616700000006</v>
      </c>
      <c r="AP63" s="6">
        <f t="shared" si="108"/>
        <v>81.149185201000009</v>
      </c>
      <c r="AQ63" s="6">
        <f t="shared" si="108"/>
        <v>83.583660757030017</v>
      </c>
      <c r="AR63" s="6">
        <f t="shared" si="108"/>
        <v>86.091170579740918</v>
      </c>
      <c r="AS63" s="6">
        <f t="shared" si="108"/>
        <v>88.673905697133151</v>
      </c>
      <c r="AT63" s="6">
        <f t="shared" si="108"/>
        <v>91.334122868047146</v>
      </c>
      <c r="AU63" s="6">
        <f t="shared" si="108"/>
        <v>94.074146554088557</v>
      </c>
    </row>
    <row r="64" spans="2:47" x14ac:dyDescent="0.3">
      <c r="B64" t="s">
        <v>88</v>
      </c>
      <c r="P64" s="6">
        <v>15.9</v>
      </c>
      <c r="Q64" s="6">
        <v>17.7</v>
      </c>
      <c r="R64" s="6">
        <v>18.2</v>
      </c>
      <c r="S64" s="6">
        <v>18.899999999999999</v>
      </c>
      <c r="T64" s="6">
        <v>20.100000000000001</v>
      </c>
      <c r="U64" s="6">
        <v>22.8</v>
      </c>
      <c r="V64" s="6">
        <v>22.8</v>
      </c>
      <c r="W64" s="6">
        <v>23.2</v>
      </c>
      <c r="X64" s="6">
        <v>24.3</v>
      </c>
      <c r="Y64" s="6">
        <v>25.8</v>
      </c>
      <c r="Z64" s="6">
        <v>33.200000000000003</v>
      </c>
      <c r="AA64" s="6">
        <v>33</v>
      </c>
      <c r="AB64" s="6">
        <v>33</v>
      </c>
      <c r="AI64" s="6">
        <f t="shared" si="105"/>
        <v>74.900000000000006</v>
      </c>
      <c r="AJ64" s="6">
        <f t="shared" si="106"/>
        <v>93.1</v>
      </c>
      <c r="AK64" s="6">
        <f t="shared" si="107"/>
        <v>125</v>
      </c>
      <c r="AL64" s="6">
        <f t="shared" ref="AL64:AU64" si="109">AK64*1.01</f>
        <v>126.25</v>
      </c>
      <c r="AM64" s="6">
        <f t="shared" si="109"/>
        <v>127.5125</v>
      </c>
      <c r="AN64" s="6">
        <f t="shared" si="109"/>
        <v>128.78762499999999</v>
      </c>
      <c r="AO64" s="6">
        <f t="shared" si="109"/>
        <v>130.07550125</v>
      </c>
      <c r="AP64" s="6">
        <f t="shared" si="109"/>
        <v>131.37625626249999</v>
      </c>
      <c r="AQ64" s="6">
        <f t="shared" si="109"/>
        <v>132.69001882512498</v>
      </c>
      <c r="AR64" s="6">
        <f t="shared" si="109"/>
        <v>134.01691901337622</v>
      </c>
      <c r="AS64" s="6">
        <f t="shared" si="109"/>
        <v>135.35708820350999</v>
      </c>
      <c r="AT64" s="6">
        <f t="shared" si="109"/>
        <v>136.7106590855451</v>
      </c>
      <c r="AU64" s="6">
        <f t="shared" si="109"/>
        <v>138.07776567640056</v>
      </c>
    </row>
    <row r="65" spans="2:47" x14ac:dyDescent="0.3">
      <c r="B65" t="s">
        <v>89</v>
      </c>
      <c r="P65" s="6">
        <v>250.7</v>
      </c>
      <c r="Q65" s="6">
        <v>264.5</v>
      </c>
      <c r="R65" s="6">
        <v>299.7</v>
      </c>
      <c r="S65" s="6">
        <v>298.3</v>
      </c>
      <c r="T65" s="6">
        <v>305.5</v>
      </c>
      <c r="U65" s="6">
        <v>331.9</v>
      </c>
      <c r="V65" s="6">
        <v>356</v>
      </c>
      <c r="W65" s="6">
        <v>363.3</v>
      </c>
      <c r="X65" s="6">
        <v>428.1</v>
      </c>
      <c r="Y65" s="6">
        <v>379.5</v>
      </c>
      <c r="Z65" s="6">
        <v>404.2</v>
      </c>
      <c r="AA65" s="6">
        <f>W65*1.12</f>
        <v>406.89600000000007</v>
      </c>
      <c r="AB65" s="6">
        <f>X65*1.1</f>
        <v>470.91000000000008</v>
      </c>
      <c r="AI65" s="6">
        <f t="shared" si="105"/>
        <v>1168</v>
      </c>
      <c r="AJ65" s="6">
        <f t="shared" si="106"/>
        <v>1479.3000000000002</v>
      </c>
      <c r="AK65" s="6">
        <f t="shared" si="107"/>
        <v>1661.5060000000001</v>
      </c>
      <c r="AL65" s="6">
        <f>AK65*1.05</f>
        <v>1744.5813000000001</v>
      </c>
      <c r="AM65" s="6">
        <f>AL65*0.9</f>
        <v>1570.1231700000001</v>
      </c>
      <c r="AN65" s="6">
        <f t="shared" ref="AN65:AU65" si="110">AM65*0.9</f>
        <v>1413.1108530000001</v>
      </c>
      <c r="AO65" s="6">
        <f t="shared" si="110"/>
        <v>1271.7997677000001</v>
      </c>
      <c r="AP65" s="6">
        <f t="shared" si="110"/>
        <v>1144.6197909300001</v>
      </c>
      <c r="AQ65" s="6">
        <f t="shared" si="110"/>
        <v>1030.1578118370001</v>
      </c>
      <c r="AR65" s="6">
        <f t="shared" si="110"/>
        <v>927.14203065330003</v>
      </c>
      <c r="AS65" s="6">
        <f t="shared" si="110"/>
        <v>834.42782758797</v>
      </c>
      <c r="AT65" s="6">
        <f t="shared" si="110"/>
        <v>750.98504482917303</v>
      </c>
      <c r="AU65" s="6">
        <f t="shared" si="110"/>
        <v>675.88654034625574</v>
      </c>
    </row>
    <row r="66" spans="2:47" x14ac:dyDescent="0.3">
      <c r="B66" t="s">
        <v>90</v>
      </c>
      <c r="P66" s="6">
        <v>-8.8000000000000007</v>
      </c>
      <c r="Q66" s="6">
        <v>-15.3</v>
      </c>
      <c r="R66" s="6">
        <v>-17.7</v>
      </c>
      <c r="S66" s="6">
        <v>-16.2</v>
      </c>
      <c r="T66" s="6">
        <v>-12.3</v>
      </c>
      <c r="U66" s="6">
        <v>-12</v>
      </c>
      <c r="V66" s="6">
        <v>-12.8</v>
      </c>
      <c r="W66" s="6">
        <v>-9.1</v>
      </c>
      <c r="X66" s="6">
        <v>-9.6</v>
      </c>
      <c r="Y66" s="6">
        <v>-7.7</v>
      </c>
      <c r="Z66" s="6">
        <v>-5.7</v>
      </c>
      <c r="AA66" s="6">
        <v>-10</v>
      </c>
      <c r="AB66" s="6">
        <v>-10</v>
      </c>
      <c r="AI66" s="6">
        <f t="shared" si="105"/>
        <v>-61.5</v>
      </c>
      <c r="AJ66" s="6">
        <f t="shared" si="106"/>
        <v>-43.5</v>
      </c>
      <c r="AK66" s="6">
        <f t="shared" si="107"/>
        <v>-33.4</v>
      </c>
      <c r="AL66" s="6">
        <f>AK66*1.02</f>
        <v>-34.067999999999998</v>
      </c>
      <c r="AM66" s="6">
        <f t="shared" ref="AM66:AU66" si="111">AL66*1.02</f>
        <v>-34.749359999999996</v>
      </c>
      <c r="AN66" s="6">
        <f t="shared" si="111"/>
        <v>-35.444347199999996</v>
      </c>
      <c r="AO66" s="6">
        <f t="shared" si="111"/>
        <v>-36.153234143999995</v>
      </c>
      <c r="AP66" s="6">
        <f t="shared" si="111"/>
        <v>-36.876298826879996</v>
      </c>
      <c r="AQ66" s="6">
        <f t="shared" si="111"/>
        <v>-37.613824803417593</v>
      </c>
      <c r="AR66" s="6">
        <f t="shared" si="111"/>
        <v>-38.366101299485948</v>
      </c>
      <c r="AS66" s="6">
        <f t="shared" si="111"/>
        <v>-39.133423325475668</v>
      </c>
      <c r="AT66" s="6">
        <f t="shared" si="111"/>
        <v>-39.916091791985181</v>
      </c>
      <c r="AU66" s="6">
        <f t="shared" si="111"/>
        <v>-40.714413627824882</v>
      </c>
    </row>
    <row r="67" spans="2:47" x14ac:dyDescent="0.3">
      <c r="B67" t="s">
        <v>91</v>
      </c>
      <c r="P67" s="6">
        <v>1.3</v>
      </c>
      <c r="Q67" s="6">
        <v>2.4</v>
      </c>
      <c r="R67" s="6">
        <v>-5.3</v>
      </c>
      <c r="S67" s="6">
        <v>1.8</v>
      </c>
      <c r="T67" s="6">
        <v>-45.7</v>
      </c>
      <c r="U67" s="6">
        <v>20.7</v>
      </c>
      <c r="V67" s="6">
        <v>6.5</v>
      </c>
      <c r="W67" s="6">
        <v>8.6</v>
      </c>
      <c r="X67" s="6">
        <v>-4.4000000000000004</v>
      </c>
      <c r="Y67" s="6">
        <v>29.7</v>
      </c>
      <c r="Z67" s="6">
        <v>5.6</v>
      </c>
      <c r="AA67" s="6">
        <v>0</v>
      </c>
      <c r="AB67" s="6">
        <v>0</v>
      </c>
      <c r="AI67" s="6">
        <f t="shared" si="105"/>
        <v>-46.800000000000004</v>
      </c>
      <c r="AJ67" s="6">
        <f t="shared" si="106"/>
        <v>31.4</v>
      </c>
      <c r="AK67" s="6">
        <f t="shared" si="107"/>
        <v>35.299999999999997</v>
      </c>
      <c r="AL67" s="6">
        <f>0</f>
        <v>0</v>
      </c>
      <c r="AM67" s="6">
        <f>0</f>
        <v>0</v>
      </c>
      <c r="AN67" s="6">
        <f>0</f>
        <v>0</v>
      </c>
      <c r="AO67" s="6">
        <f>0</f>
        <v>0</v>
      </c>
      <c r="AP67" s="6">
        <f>0</f>
        <v>0</v>
      </c>
      <c r="AQ67" s="6">
        <f>0</f>
        <v>0</v>
      </c>
      <c r="AR67" s="6">
        <f>0</f>
        <v>0</v>
      </c>
      <c r="AS67" s="6">
        <f>0</f>
        <v>0</v>
      </c>
      <c r="AT67" s="6">
        <f>0</f>
        <v>0</v>
      </c>
      <c r="AU67" s="6">
        <f>0</f>
        <v>0</v>
      </c>
    </row>
    <row r="68" spans="2:47" x14ac:dyDescent="0.3">
      <c r="B68" t="s">
        <v>88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0.7</v>
      </c>
      <c r="X68" s="6">
        <v>2.1</v>
      </c>
      <c r="Y68" s="6">
        <v>2.1</v>
      </c>
      <c r="Z68" s="6">
        <v>2.1</v>
      </c>
      <c r="AA68" s="6">
        <v>0</v>
      </c>
      <c r="AB68" s="6">
        <v>0</v>
      </c>
      <c r="AI68" s="6">
        <f t="shared" si="105"/>
        <v>0</v>
      </c>
      <c r="AJ68" s="6">
        <f t="shared" si="106"/>
        <v>2.8</v>
      </c>
      <c r="AK68" s="6">
        <f t="shared" si="107"/>
        <v>4.2</v>
      </c>
      <c r="AL68" s="6">
        <f t="shared" ref="AL68:AU68" si="112">AK68*1.2</f>
        <v>5.04</v>
      </c>
      <c r="AM68" s="6">
        <f t="shared" si="112"/>
        <v>6.048</v>
      </c>
      <c r="AN68" s="6">
        <f t="shared" si="112"/>
        <v>7.2576000000000001</v>
      </c>
      <c r="AO68" s="6">
        <f t="shared" si="112"/>
        <v>8.7091200000000004</v>
      </c>
      <c r="AP68" s="6">
        <f t="shared" si="112"/>
        <v>10.450944</v>
      </c>
      <c r="AQ68" s="6">
        <f t="shared" si="112"/>
        <v>12.5411328</v>
      </c>
      <c r="AR68" s="6">
        <f t="shared" si="112"/>
        <v>15.049359359999999</v>
      </c>
      <c r="AS68" s="6">
        <f t="shared" si="112"/>
        <v>18.059231231999998</v>
      </c>
      <c r="AT68" s="6">
        <f t="shared" si="112"/>
        <v>21.671077478399997</v>
      </c>
      <c r="AU68" s="6">
        <f t="shared" si="112"/>
        <v>26.005292974079996</v>
      </c>
    </row>
    <row r="69" spans="2:47" x14ac:dyDescent="0.3">
      <c r="B69" t="s">
        <v>104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>
        <v>2.1</v>
      </c>
      <c r="AA69" s="6"/>
      <c r="AB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2:47" x14ac:dyDescent="0.3">
      <c r="B70" t="s">
        <v>27</v>
      </c>
      <c r="P70" s="6">
        <v>-1.4</v>
      </c>
      <c r="Q70" s="6">
        <v>-8.9</v>
      </c>
      <c r="R70" s="6">
        <v>-4</v>
      </c>
      <c r="S70" s="6">
        <v>-0.2</v>
      </c>
      <c r="T70" s="6">
        <v>-13.7</v>
      </c>
      <c r="U70" s="6">
        <v>0</v>
      </c>
      <c r="V70" s="6">
        <v>0.1</v>
      </c>
      <c r="W70" s="6">
        <v>-0.6</v>
      </c>
      <c r="X70" s="6">
        <v>-7.1</v>
      </c>
      <c r="Y70" s="6">
        <v>106.5</v>
      </c>
      <c r="Z70" s="6">
        <v>-3.4</v>
      </c>
      <c r="AA70" s="6">
        <v>0</v>
      </c>
      <c r="AB70" s="6">
        <v>0</v>
      </c>
      <c r="AI70" s="6">
        <f t="shared" si="105"/>
        <v>-26.799999999999997</v>
      </c>
      <c r="AJ70" s="6">
        <f t="shared" si="106"/>
        <v>-7.6</v>
      </c>
      <c r="AK70" s="6">
        <f t="shared" si="107"/>
        <v>103.1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</row>
    <row r="71" spans="2:47" x14ac:dyDescent="0.3">
      <c r="B71" t="s">
        <v>92</v>
      </c>
      <c r="P71" s="6">
        <v>0.9</v>
      </c>
      <c r="Q71" s="6">
        <v>10</v>
      </c>
      <c r="R71" s="6">
        <v>1.8</v>
      </c>
      <c r="S71" s="6">
        <v>2.5</v>
      </c>
      <c r="T71" s="6">
        <v>0.6</v>
      </c>
      <c r="U71" s="6">
        <v>0.7</v>
      </c>
      <c r="V71" s="6">
        <v>1.2</v>
      </c>
      <c r="W71" s="6">
        <v>3</v>
      </c>
      <c r="X71" s="6">
        <v>2.5</v>
      </c>
      <c r="Y71" s="6">
        <v>-5.2</v>
      </c>
      <c r="Z71" s="6">
        <v>1.7</v>
      </c>
      <c r="AA71" s="6">
        <v>0</v>
      </c>
      <c r="AB71" s="6">
        <v>0</v>
      </c>
      <c r="AI71" s="6">
        <f t="shared" si="105"/>
        <v>14.9</v>
      </c>
      <c r="AJ71" s="6">
        <f t="shared" si="106"/>
        <v>7.4</v>
      </c>
      <c r="AK71" s="6">
        <f t="shared" si="107"/>
        <v>-3.5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</row>
    <row r="72" spans="2:47" x14ac:dyDescent="0.3">
      <c r="B72" t="s">
        <v>66</v>
      </c>
      <c r="P72" s="6">
        <v>-317.7</v>
      </c>
      <c r="Q72" s="6">
        <v>362.9</v>
      </c>
      <c r="R72" s="6">
        <v>-53.1</v>
      </c>
      <c r="S72" s="6">
        <v>-104.7</v>
      </c>
      <c r="T72" s="6">
        <v>-417.2</v>
      </c>
      <c r="U72" s="6">
        <v>579.29999999999995</v>
      </c>
      <c r="V72" s="6">
        <v>-87.1</v>
      </c>
      <c r="W72" s="6">
        <v>-163.5</v>
      </c>
      <c r="X72" s="6">
        <v>-328.2</v>
      </c>
      <c r="Y72" s="6">
        <v>393.7</v>
      </c>
      <c r="Z72" s="6">
        <v>-117.6</v>
      </c>
      <c r="AA72" s="6">
        <v>0</v>
      </c>
      <c r="AB72" s="6">
        <v>0</v>
      </c>
      <c r="AI72" s="6">
        <f t="shared" si="105"/>
        <v>-212.10000000000002</v>
      </c>
      <c r="AJ72" s="6">
        <f t="shared" si="106"/>
        <v>0.49999999999994316</v>
      </c>
      <c r="AK72" s="6">
        <f t="shared" si="107"/>
        <v>276.10000000000002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</row>
    <row r="73" spans="2:47" x14ac:dyDescent="0.3">
      <c r="B73" t="s">
        <v>67</v>
      </c>
      <c r="P73" s="6">
        <v>-31.5</v>
      </c>
      <c r="Q73" s="6">
        <v>-16.399999999999999</v>
      </c>
      <c r="R73" s="6">
        <v>-24.6</v>
      </c>
      <c r="S73" s="6">
        <v>-25.5</v>
      </c>
      <c r="T73" s="6">
        <v>-68.3</v>
      </c>
      <c r="U73" s="6">
        <v>-14.9</v>
      </c>
      <c r="V73" s="6">
        <v>-21.8</v>
      </c>
      <c r="W73" s="6">
        <v>-26</v>
      </c>
      <c r="X73" s="6">
        <v>-38.799999999999997</v>
      </c>
      <c r="Y73" s="6">
        <v>-31.1</v>
      </c>
      <c r="Z73" s="6">
        <v>-53.8</v>
      </c>
      <c r="AA73" s="6">
        <v>0</v>
      </c>
      <c r="AB73" s="6">
        <v>0</v>
      </c>
      <c r="AI73" s="6">
        <f t="shared" si="105"/>
        <v>-134.80000000000001</v>
      </c>
      <c r="AJ73" s="6">
        <f t="shared" si="106"/>
        <v>-101.5</v>
      </c>
      <c r="AK73" s="6">
        <f t="shared" si="107"/>
        <v>-84.9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</row>
    <row r="74" spans="2:47" x14ac:dyDescent="0.3">
      <c r="B74" t="s">
        <v>68</v>
      </c>
      <c r="P74" s="6">
        <v>-16.100000000000001</v>
      </c>
      <c r="Q74" s="6">
        <v>5.5</v>
      </c>
      <c r="R74" s="6">
        <v>41.4</v>
      </c>
      <c r="S74" s="6">
        <v>4.7</v>
      </c>
      <c r="T74" s="6">
        <v>8.1999999999999993</v>
      </c>
      <c r="U74" s="6">
        <v>-1.1000000000000001</v>
      </c>
      <c r="V74" s="6">
        <v>34.5</v>
      </c>
      <c r="W74" s="6">
        <v>9.1</v>
      </c>
      <c r="X74" s="6">
        <v>-12.6</v>
      </c>
      <c r="Y74" s="6">
        <v>-17.899999999999999</v>
      </c>
      <c r="Z74" s="6">
        <v>-4.5</v>
      </c>
      <c r="AA74" s="6">
        <v>0</v>
      </c>
      <c r="AB74" s="6">
        <v>0</v>
      </c>
      <c r="AI74" s="6">
        <f t="shared" si="105"/>
        <v>59.8</v>
      </c>
      <c r="AJ74" s="6">
        <f t="shared" si="106"/>
        <v>29.9</v>
      </c>
      <c r="AK74" s="6">
        <f t="shared" si="107"/>
        <v>-22.4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</row>
    <row r="75" spans="2:47" x14ac:dyDescent="0.3">
      <c r="B75" t="s">
        <v>78</v>
      </c>
      <c r="P75" s="6">
        <v>-2.2999999999999998</v>
      </c>
      <c r="Q75" s="6">
        <v>-3.1</v>
      </c>
      <c r="R75" s="6">
        <v>20.6</v>
      </c>
      <c r="S75" s="6">
        <v>34.200000000000003</v>
      </c>
      <c r="T75" s="6">
        <v>-32.5</v>
      </c>
      <c r="U75" s="6">
        <v>21.2</v>
      </c>
      <c r="V75" s="6">
        <v>70.2</v>
      </c>
      <c r="W75" s="6">
        <v>11.3</v>
      </c>
      <c r="X75" s="6">
        <v>6.1</v>
      </c>
      <c r="Y75" s="6">
        <v>-4.4000000000000004</v>
      </c>
      <c r="Z75" s="6">
        <v>11.8</v>
      </c>
      <c r="AA75" s="6">
        <v>0</v>
      </c>
      <c r="AB75" s="6">
        <v>0</v>
      </c>
      <c r="AI75" s="6">
        <f t="shared" si="105"/>
        <v>19.200000000000003</v>
      </c>
      <c r="AJ75" s="6">
        <f t="shared" si="106"/>
        <v>108.8</v>
      </c>
      <c r="AK75" s="6">
        <f t="shared" si="107"/>
        <v>7.4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</row>
    <row r="76" spans="2:47" x14ac:dyDescent="0.3">
      <c r="B76" t="s">
        <v>79</v>
      </c>
      <c r="P76" s="6">
        <v>46.8</v>
      </c>
      <c r="Q76" s="6">
        <v>-8.5</v>
      </c>
      <c r="R76" s="6">
        <v>35.6</v>
      </c>
      <c r="S76" s="6">
        <v>6.6</v>
      </c>
      <c r="T76" s="6">
        <v>137.30000000000001</v>
      </c>
      <c r="U76" s="6">
        <v>-54.7</v>
      </c>
      <c r="V76" s="6">
        <v>59.3</v>
      </c>
      <c r="W76" s="6">
        <v>34.1</v>
      </c>
      <c r="X76" s="6">
        <v>32.200000000000003</v>
      </c>
      <c r="Y76" s="6">
        <v>3.9</v>
      </c>
      <c r="Z76" s="6">
        <v>93.3</v>
      </c>
      <c r="AA76" s="6">
        <v>0</v>
      </c>
      <c r="AB76" s="6">
        <v>0</v>
      </c>
      <c r="AI76" s="6">
        <f t="shared" si="105"/>
        <v>171</v>
      </c>
      <c r="AJ76" s="6">
        <f t="shared" si="106"/>
        <v>70.900000000000006</v>
      </c>
      <c r="AK76" s="6">
        <f t="shared" si="107"/>
        <v>97.2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</row>
    <row r="77" spans="2:47" x14ac:dyDescent="0.3">
      <c r="B77" t="s">
        <v>71</v>
      </c>
      <c r="P77" s="6">
        <v>-13.2</v>
      </c>
      <c r="Q77" s="6">
        <v>-10.8</v>
      </c>
      <c r="R77" s="6">
        <v>-5.3</v>
      </c>
      <c r="S77" s="6">
        <v>-12.7</v>
      </c>
      <c r="T77" s="6">
        <v>-11.8</v>
      </c>
      <c r="U77" s="6">
        <v>-13.4</v>
      </c>
      <c r="V77" s="6">
        <v>-11.9</v>
      </c>
      <c r="W77" s="6">
        <v>-9.1</v>
      </c>
      <c r="X77" s="6">
        <v>-12.4</v>
      </c>
      <c r="Y77" s="6">
        <v>-11.8</v>
      </c>
      <c r="Z77" s="6">
        <v>-14.6</v>
      </c>
      <c r="AA77" s="6">
        <v>0</v>
      </c>
      <c r="AB77" s="6">
        <v>0</v>
      </c>
      <c r="AI77" s="6">
        <f t="shared" si="105"/>
        <v>-40.6</v>
      </c>
      <c r="AJ77" s="6">
        <f t="shared" si="106"/>
        <v>-46.8</v>
      </c>
      <c r="AK77" s="6">
        <f t="shared" si="107"/>
        <v>-26.4</v>
      </c>
      <c r="AL77" s="6">
        <v>0</v>
      </c>
      <c r="AM77" s="6">
        <f t="shared" ref="AM77:AU77" si="113">AL77*1.05</f>
        <v>0</v>
      </c>
      <c r="AN77" s="6">
        <f t="shared" si="113"/>
        <v>0</v>
      </c>
      <c r="AO77" s="6">
        <f t="shared" si="113"/>
        <v>0</v>
      </c>
      <c r="AP77" s="6">
        <f t="shared" si="113"/>
        <v>0</v>
      </c>
      <c r="AQ77" s="6">
        <f t="shared" si="113"/>
        <v>0</v>
      </c>
      <c r="AR77" s="6">
        <f t="shared" si="113"/>
        <v>0</v>
      </c>
      <c r="AS77" s="6">
        <f t="shared" si="113"/>
        <v>0</v>
      </c>
      <c r="AT77" s="6">
        <f t="shared" si="113"/>
        <v>0</v>
      </c>
      <c r="AU77" s="6">
        <f t="shared" si="113"/>
        <v>0</v>
      </c>
    </row>
    <row r="78" spans="2:47" x14ac:dyDescent="0.3">
      <c r="B78" t="s">
        <v>67</v>
      </c>
      <c r="P78" s="6">
        <v>467.4</v>
      </c>
      <c r="Q78" s="6">
        <v>-110.5</v>
      </c>
      <c r="R78" s="6">
        <v>-39</v>
      </c>
      <c r="S78" s="6">
        <v>82.1</v>
      </c>
      <c r="T78" s="6">
        <v>595.4</v>
      </c>
      <c r="U78" s="6">
        <v>-261.2</v>
      </c>
      <c r="V78" s="6">
        <v>-88.3</v>
      </c>
      <c r="W78" s="6">
        <v>122.8</v>
      </c>
      <c r="X78" s="6">
        <v>609.4</v>
      </c>
      <c r="Y78" s="6">
        <v>-271.39999999999998</v>
      </c>
      <c r="Z78" s="6">
        <v>-52.5</v>
      </c>
      <c r="AA78" s="6">
        <v>0</v>
      </c>
      <c r="AB78" s="6">
        <v>0</v>
      </c>
      <c r="AI78" s="6">
        <f t="shared" si="105"/>
        <v>528</v>
      </c>
      <c r="AJ78" s="6">
        <f t="shared" si="106"/>
        <v>382.7</v>
      </c>
      <c r="AK78" s="6">
        <f t="shared" si="107"/>
        <v>-323.89999999999998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</row>
    <row r="79" spans="2:47" s="1" customFormat="1" x14ac:dyDescent="0.3">
      <c r="B79" s="1" t="s">
        <v>93</v>
      </c>
      <c r="P79" s="9">
        <f t="shared" ref="P79:X79" si="114">P60+SUM(P62:P78)</f>
        <v>217.1</v>
      </c>
      <c r="Q79" s="9">
        <f t="shared" si="114"/>
        <v>299.80000000000007</v>
      </c>
      <c r="R79" s="9">
        <f t="shared" si="114"/>
        <v>83.6</v>
      </c>
      <c r="S79" s="9">
        <f t="shared" si="114"/>
        <v>121.50000000000011</v>
      </c>
      <c r="T79" s="9">
        <f t="shared" si="114"/>
        <v>345.10000000000014</v>
      </c>
      <c r="U79" s="9">
        <f t="shared" si="114"/>
        <v>356.30000000000007</v>
      </c>
      <c r="V79" s="9">
        <f t="shared" si="114"/>
        <v>70.699999999999875</v>
      </c>
      <c r="W79" s="9">
        <f t="shared" si="114"/>
        <v>105.30000000000013</v>
      </c>
      <c r="X79" s="9">
        <f t="shared" si="114"/>
        <v>431.69999999999993</v>
      </c>
      <c r="Y79" s="9">
        <f t="shared" ref="Y79:AB79" si="115">Y60+SUM(Y62:Y78)</f>
        <v>228.2</v>
      </c>
      <c r="Z79" s="9">
        <f t="shared" si="115"/>
        <v>74.800000000000011</v>
      </c>
      <c r="AA79" s="9">
        <f t="shared" si="115"/>
        <v>184.17665040000009</v>
      </c>
      <c r="AB79" s="9">
        <f t="shared" si="115"/>
        <v>203.75191599999999</v>
      </c>
      <c r="AI79" s="9">
        <f>AI60+SUM(AI62:AI78)</f>
        <v>850.00000000000057</v>
      </c>
      <c r="AJ79" s="9">
        <f>AJ60+SUM(AJ62:AJ78)</f>
        <v>964.00000000000045</v>
      </c>
      <c r="AK79" s="9">
        <f t="shared" ref="AK79:AU79" si="116">AK60+SUM(AK62:AK78)</f>
        <v>688.8285664</v>
      </c>
      <c r="AL79" s="9">
        <f t="shared" si="116"/>
        <v>1301.7325500840002</v>
      </c>
      <c r="AM79" s="9">
        <f t="shared" si="116"/>
        <v>1782.0752817935991</v>
      </c>
      <c r="AN79" s="9">
        <f t="shared" si="116"/>
        <v>2169.956922454111</v>
      </c>
      <c r="AO79" s="9">
        <f t="shared" si="116"/>
        <v>2427.9846889147839</v>
      </c>
      <c r="AP79" s="9">
        <f t="shared" si="116"/>
        <v>2722.3476998190699</v>
      </c>
      <c r="AQ79" s="9">
        <f t="shared" si="116"/>
        <v>2902.7042562601146</v>
      </c>
      <c r="AR79" s="9">
        <f t="shared" si="116"/>
        <v>2979.6873156817728</v>
      </c>
      <c r="AS79" s="9">
        <f t="shared" si="116"/>
        <v>3057.0153096362633</v>
      </c>
      <c r="AT79" s="9">
        <f t="shared" si="116"/>
        <v>3153.8521157562736</v>
      </c>
      <c r="AU79" s="9">
        <f t="shared" si="116"/>
        <v>3269.8967811689472</v>
      </c>
    </row>
    <row r="80" spans="2:47" x14ac:dyDescent="0.3">
      <c r="B80" t="s">
        <v>70</v>
      </c>
      <c r="P80" s="6">
        <v>5.4</v>
      </c>
      <c r="Q80" s="6">
        <v>7</v>
      </c>
      <c r="R80" s="6">
        <v>6.3</v>
      </c>
      <c r="S80" s="6">
        <v>8.6999999999999993</v>
      </c>
      <c r="T80" s="6">
        <v>13.1</v>
      </c>
      <c r="U80" s="6">
        <v>16.5</v>
      </c>
      <c r="V80" s="6">
        <v>5</v>
      </c>
      <c r="W80" s="6">
        <v>13.4</v>
      </c>
      <c r="X80" s="6">
        <v>11.3</v>
      </c>
      <c r="Y80" s="6">
        <v>45</v>
      </c>
      <c r="Z80" s="6">
        <v>16.7</v>
      </c>
      <c r="AA80" s="6">
        <v>20</v>
      </c>
      <c r="AB80" s="6">
        <v>25</v>
      </c>
      <c r="AI80" s="6">
        <f t="shared" ref="AI80:AI81" si="117">SUM(Q80:T80)</f>
        <v>35.1</v>
      </c>
      <c r="AJ80" s="6">
        <f t="shared" ref="AJ80:AJ81" si="118">SUM(U80:X80)</f>
        <v>46.2</v>
      </c>
      <c r="AK80" s="6">
        <f t="shared" ref="AK80:AK81" si="119">SUM(Y80:AB80)</f>
        <v>106.7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2:159" x14ac:dyDescent="0.3">
      <c r="B81" t="s">
        <v>73</v>
      </c>
      <c r="P81" s="6">
        <v>6.7</v>
      </c>
      <c r="Q81" s="6">
        <v>9.3000000000000007</v>
      </c>
      <c r="R81" s="6">
        <v>7.9</v>
      </c>
      <c r="S81" s="6">
        <v>9.9</v>
      </c>
      <c r="T81" s="6">
        <v>7</v>
      </c>
      <c r="U81" s="6">
        <v>7.4</v>
      </c>
      <c r="V81" s="6">
        <v>6</v>
      </c>
      <c r="W81" s="6">
        <v>10</v>
      </c>
      <c r="X81" s="6">
        <v>6</v>
      </c>
      <c r="Y81" s="6">
        <v>0</v>
      </c>
      <c r="Z81" s="6">
        <v>0</v>
      </c>
      <c r="AA81" s="6">
        <v>0</v>
      </c>
      <c r="AB81" s="6">
        <v>0</v>
      </c>
      <c r="AI81" s="6">
        <f t="shared" si="117"/>
        <v>34.1</v>
      </c>
      <c r="AJ81" s="6">
        <f t="shared" si="118"/>
        <v>29.4</v>
      </c>
      <c r="AK81" s="6">
        <f t="shared" si="119"/>
        <v>0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2:159" x14ac:dyDescent="0.3">
      <c r="B82" t="s">
        <v>100</v>
      </c>
      <c r="P82" s="6">
        <f>P80+P81</f>
        <v>12.100000000000001</v>
      </c>
      <c r="Q82" s="6">
        <f t="shared" ref="Q82:X82" si="120">Q80+Q81</f>
        <v>16.3</v>
      </c>
      <c r="R82" s="6">
        <f t="shared" si="120"/>
        <v>14.2</v>
      </c>
      <c r="S82" s="6">
        <f t="shared" si="120"/>
        <v>18.600000000000001</v>
      </c>
      <c r="T82" s="6">
        <f t="shared" si="120"/>
        <v>20.100000000000001</v>
      </c>
      <c r="U82" s="6">
        <f t="shared" si="120"/>
        <v>23.9</v>
      </c>
      <c r="V82" s="6">
        <f t="shared" si="120"/>
        <v>11</v>
      </c>
      <c r="W82" s="6">
        <f t="shared" si="120"/>
        <v>23.4</v>
      </c>
      <c r="X82" s="6">
        <f t="shared" si="120"/>
        <v>17.3</v>
      </c>
      <c r="Y82" s="6">
        <f t="shared" ref="Y82" si="121">Y80+Y81</f>
        <v>45</v>
      </c>
      <c r="Z82" s="6">
        <f t="shared" ref="Z82" si="122">Z80+Z81</f>
        <v>16.7</v>
      </c>
      <c r="AA82" s="6">
        <f t="shared" ref="AA82" si="123">AA80+AA81</f>
        <v>20</v>
      </c>
      <c r="AB82" s="6">
        <f t="shared" ref="AB82" si="124">AB80+AB81</f>
        <v>25</v>
      </c>
      <c r="AI82" s="6">
        <f t="shared" ref="AI82" si="125">AI80+AI81</f>
        <v>69.2</v>
      </c>
      <c r="AJ82" s="6">
        <f t="shared" ref="AJ82" si="126">AJ80+AJ81</f>
        <v>75.599999999999994</v>
      </c>
      <c r="AK82" s="6">
        <f t="shared" ref="AK82" si="127">AK80+AK81</f>
        <v>106.7</v>
      </c>
      <c r="AL82" s="6">
        <f>AK82*1.3</f>
        <v>138.71</v>
      </c>
      <c r="AM82" s="6">
        <f>AL82*1.02</f>
        <v>141.48420000000002</v>
      </c>
      <c r="AN82" s="6">
        <f t="shared" ref="AN82:AU82" si="128">AM82*1.02</f>
        <v>144.31388400000003</v>
      </c>
      <c r="AO82" s="6">
        <f t="shared" si="128"/>
        <v>147.20016168000004</v>
      </c>
      <c r="AP82" s="6">
        <f t="shared" si="128"/>
        <v>150.14416491360004</v>
      </c>
      <c r="AQ82" s="6">
        <f t="shared" si="128"/>
        <v>153.14704821187203</v>
      </c>
      <c r="AR82" s="6">
        <f t="shared" si="128"/>
        <v>156.20998917610947</v>
      </c>
      <c r="AS82" s="6">
        <f t="shared" si="128"/>
        <v>159.33418895963166</v>
      </c>
      <c r="AT82" s="6">
        <f t="shared" si="128"/>
        <v>162.52087273882429</v>
      </c>
      <c r="AU82" s="6">
        <f t="shared" si="128"/>
        <v>165.77129019360078</v>
      </c>
    </row>
    <row r="83" spans="2:159" s="1" customFormat="1" x14ac:dyDescent="0.3">
      <c r="B83" s="1" t="s">
        <v>94</v>
      </c>
      <c r="P83" s="9">
        <f>P79-P82</f>
        <v>205</v>
      </c>
      <c r="Q83" s="9">
        <f t="shared" ref="Q83:X83" si="129">Q79-Q82</f>
        <v>283.50000000000006</v>
      </c>
      <c r="R83" s="9">
        <f t="shared" si="129"/>
        <v>69.399999999999991</v>
      </c>
      <c r="S83" s="9">
        <f t="shared" si="129"/>
        <v>102.90000000000012</v>
      </c>
      <c r="T83" s="9">
        <f t="shared" si="129"/>
        <v>325.00000000000011</v>
      </c>
      <c r="U83" s="9">
        <f t="shared" si="129"/>
        <v>332.40000000000009</v>
      </c>
      <c r="V83" s="9">
        <f t="shared" si="129"/>
        <v>59.699999999999875</v>
      </c>
      <c r="W83" s="9">
        <f t="shared" si="129"/>
        <v>81.900000000000119</v>
      </c>
      <c r="X83" s="9">
        <f t="shared" si="129"/>
        <v>414.39999999999992</v>
      </c>
      <c r="Y83" s="9">
        <f t="shared" ref="Y83" si="130">Y79-Y82</f>
        <v>183.2</v>
      </c>
      <c r="Z83" s="9">
        <f t="shared" ref="Z83" si="131">Z79-Z82</f>
        <v>58.100000000000009</v>
      </c>
      <c r="AA83" s="9">
        <f t="shared" ref="AA83" si="132">AA79-AA82</f>
        <v>164.17665040000009</v>
      </c>
      <c r="AB83" s="9">
        <f t="shared" ref="AB83" si="133">AB79-AB82</f>
        <v>178.75191599999999</v>
      </c>
      <c r="AI83" s="9">
        <f t="shared" ref="AI83" si="134">AI79-AI82</f>
        <v>780.80000000000052</v>
      </c>
      <c r="AJ83" s="9">
        <f t="shared" ref="AJ83" si="135">AJ79-AJ82</f>
        <v>888.40000000000043</v>
      </c>
      <c r="AK83" s="9">
        <f t="shared" ref="AK83" si="136">AK79-AK82</f>
        <v>582.12856639999995</v>
      </c>
      <c r="AL83" s="9">
        <f t="shared" ref="AL83" si="137">AL79-AL82</f>
        <v>1163.0225500840002</v>
      </c>
      <c r="AM83" s="9">
        <f t="shared" ref="AM83" si="138">AM79-AM82</f>
        <v>1640.591081793599</v>
      </c>
      <c r="AN83" s="9">
        <f t="shared" ref="AN83" si="139">AN79-AN82</f>
        <v>2025.6430384541109</v>
      </c>
      <c r="AO83" s="9">
        <f t="shared" ref="AO83" si="140">AO79-AO82</f>
        <v>2280.784527234784</v>
      </c>
      <c r="AP83" s="9">
        <f t="shared" ref="AP83" si="141">AP79-AP82</f>
        <v>2572.20353490547</v>
      </c>
      <c r="AQ83" s="9">
        <f t="shared" ref="AQ83" si="142">AQ79-AQ82</f>
        <v>2749.5572080482425</v>
      </c>
      <c r="AR83" s="9">
        <f t="shared" ref="AR83" si="143">AR79-AR82</f>
        <v>2823.4773265056633</v>
      </c>
      <c r="AS83" s="9">
        <f t="shared" ref="AS83" si="144">AS79-AS82</f>
        <v>2897.6811206766315</v>
      </c>
      <c r="AT83" s="9">
        <f t="shared" ref="AT83" si="145">AT79-AT82</f>
        <v>2991.3312430174492</v>
      </c>
      <c r="AU83" s="9">
        <f t="shared" ref="AU83" si="146">AU79-AU82</f>
        <v>3104.1254909753466</v>
      </c>
      <c r="AV83" s="1">
        <f>AU83*(1+$AX$22)</f>
        <v>3073.0842360655929</v>
      </c>
      <c r="AW83" s="1">
        <f t="shared" ref="AW83:DH83" si="147">AV83*(1+$AX$22)</f>
        <v>3042.3533937049369</v>
      </c>
      <c r="AX83" s="1">
        <f t="shared" si="147"/>
        <v>3011.9298597678876</v>
      </c>
      <c r="AY83" s="1">
        <f t="shared" si="147"/>
        <v>2981.8105611702085</v>
      </c>
      <c r="AZ83" s="1">
        <f t="shared" si="147"/>
        <v>2951.9924555585062</v>
      </c>
      <c r="BA83" s="1">
        <f t="shared" si="147"/>
        <v>2922.4725310029212</v>
      </c>
      <c r="BB83" s="1">
        <f t="shared" si="147"/>
        <v>2893.2478056928921</v>
      </c>
      <c r="BC83" s="1">
        <f t="shared" si="147"/>
        <v>2864.3153276359631</v>
      </c>
      <c r="BD83" s="1">
        <f t="shared" si="147"/>
        <v>2835.6721743596036</v>
      </c>
      <c r="BE83" s="1">
        <f t="shared" si="147"/>
        <v>2807.3154526160074</v>
      </c>
      <c r="BF83" s="1">
        <f t="shared" si="147"/>
        <v>2779.2422980898473</v>
      </c>
      <c r="BG83" s="1">
        <f t="shared" si="147"/>
        <v>2751.4498751089486</v>
      </c>
      <c r="BH83" s="1">
        <f t="shared" si="147"/>
        <v>2723.9353763578592</v>
      </c>
      <c r="BI83" s="1">
        <f t="shared" si="147"/>
        <v>2696.6960225942807</v>
      </c>
      <c r="BJ83" s="1">
        <f t="shared" si="147"/>
        <v>2669.729062368338</v>
      </c>
      <c r="BK83" s="1">
        <f t="shared" si="147"/>
        <v>2643.0317717446546</v>
      </c>
      <c r="BL83" s="1">
        <f t="shared" si="147"/>
        <v>2616.6014540272081</v>
      </c>
      <c r="BM83" s="1">
        <f t="shared" si="147"/>
        <v>2590.435439486936</v>
      </c>
      <c r="BN83" s="1">
        <f t="shared" si="147"/>
        <v>2564.5310850920669</v>
      </c>
      <c r="BO83" s="1">
        <f t="shared" si="147"/>
        <v>2538.885774241146</v>
      </c>
      <c r="BP83" s="1">
        <f t="shared" si="147"/>
        <v>2513.4969164987347</v>
      </c>
      <c r="BQ83" s="1">
        <f t="shared" si="147"/>
        <v>2488.3619473337471</v>
      </c>
      <c r="BR83" s="1">
        <f t="shared" si="147"/>
        <v>2463.4783278604095</v>
      </c>
      <c r="BS83" s="1">
        <f t="shared" si="147"/>
        <v>2438.8435445818054</v>
      </c>
      <c r="BT83" s="1">
        <f t="shared" si="147"/>
        <v>2414.4551091359872</v>
      </c>
      <c r="BU83" s="1">
        <f t="shared" si="147"/>
        <v>2390.3105580446272</v>
      </c>
      <c r="BV83" s="1">
        <f t="shared" si="147"/>
        <v>2366.407452464181</v>
      </c>
      <c r="BW83" s="1">
        <f t="shared" si="147"/>
        <v>2342.7433779395392</v>
      </c>
      <c r="BX83" s="1">
        <f t="shared" si="147"/>
        <v>2319.3159441601438</v>
      </c>
      <c r="BY83" s="1">
        <f t="shared" si="147"/>
        <v>2296.1227847185423</v>
      </c>
      <c r="BZ83" s="1">
        <f t="shared" si="147"/>
        <v>2273.1615568713569</v>
      </c>
      <c r="CA83" s="1">
        <f t="shared" si="147"/>
        <v>2250.4299413026433</v>
      </c>
      <c r="CB83" s="1">
        <f t="shared" si="147"/>
        <v>2227.9256418896171</v>
      </c>
      <c r="CC83" s="1">
        <f t="shared" si="147"/>
        <v>2205.6463854707208</v>
      </c>
      <c r="CD83" s="1">
        <f t="shared" si="147"/>
        <v>2183.5899216160137</v>
      </c>
      <c r="CE83" s="1">
        <f t="shared" si="147"/>
        <v>2161.7540223998535</v>
      </c>
      <c r="CF83" s="1">
        <f t="shared" si="147"/>
        <v>2140.1364821758548</v>
      </c>
      <c r="CG83" s="1">
        <f t="shared" si="147"/>
        <v>2118.735117354096</v>
      </c>
      <c r="CH83" s="1">
        <f t="shared" si="147"/>
        <v>2097.5477661805548</v>
      </c>
      <c r="CI83" s="1">
        <f t="shared" si="147"/>
        <v>2076.5722885187492</v>
      </c>
      <c r="CJ83" s="1">
        <f t="shared" si="147"/>
        <v>2055.8065656335616</v>
      </c>
      <c r="CK83" s="1">
        <f t="shared" si="147"/>
        <v>2035.2484999772259</v>
      </c>
      <c r="CL83" s="1">
        <f t="shared" si="147"/>
        <v>2014.8960149774537</v>
      </c>
      <c r="CM83" s="1">
        <f t="shared" si="147"/>
        <v>1994.747054827679</v>
      </c>
      <c r="CN83" s="1">
        <f t="shared" si="147"/>
        <v>1974.7995842794021</v>
      </c>
      <c r="CO83" s="1">
        <f t="shared" si="147"/>
        <v>1955.051588436608</v>
      </c>
      <c r="CP83" s="1">
        <f t="shared" si="147"/>
        <v>1935.5010725522418</v>
      </c>
      <c r="CQ83" s="1">
        <f t="shared" si="147"/>
        <v>1916.1460618267195</v>
      </c>
      <c r="CR83" s="1">
        <f t="shared" si="147"/>
        <v>1896.9846012084522</v>
      </c>
      <c r="CS83" s="1">
        <f t="shared" si="147"/>
        <v>1878.0147551963676</v>
      </c>
      <c r="CT83" s="1">
        <f t="shared" si="147"/>
        <v>1859.2346076444039</v>
      </c>
      <c r="CU83" s="1">
        <f t="shared" si="147"/>
        <v>1840.6422615679598</v>
      </c>
      <c r="CV83" s="1">
        <f t="shared" si="147"/>
        <v>1822.2358389522803</v>
      </c>
      <c r="CW83" s="1">
        <f t="shared" si="147"/>
        <v>1804.0134805627574</v>
      </c>
      <c r="CX83" s="1">
        <f t="shared" si="147"/>
        <v>1785.9733457571299</v>
      </c>
      <c r="CY83" s="1">
        <f t="shared" si="147"/>
        <v>1768.1136122995586</v>
      </c>
      <c r="CZ83" s="1">
        <f t="shared" si="147"/>
        <v>1750.4324761765629</v>
      </c>
      <c r="DA83" s="1">
        <f t="shared" si="147"/>
        <v>1732.9281514147972</v>
      </c>
      <c r="DB83" s="1">
        <f t="shared" si="147"/>
        <v>1715.5988699006491</v>
      </c>
      <c r="DC83" s="1">
        <f t="shared" si="147"/>
        <v>1698.4428812016426</v>
      </c>
      <c r="DD83" s="1">
        <f t="shared" si="147"/>
        <v>1681.4584523896262</v>
      </c>
      <c r="DE83" s="1">
        <f t="shared" si="147"/>
        <v>1664.64386786573</v>
      </c>
      <c r="DF83" s="1">
        <f t="shared" si="147"/>
        <v>1647.9974291870728</v>
      </c>
      <c r="DG83" s="1">
        <f t="shared" si="147"/>
        <v>1631.517454895202</v>
      </c>
      <c r="DH83" s="1">
        <f t="shared" si="147"/>
        <v>1615.2022803462501</v>
      </c>
      <c r="DI83" s="1">
        <f t="shared" ref="DI83:FC83" si="148">DH83*(1+$AX$22)</f>
        <v>1599.0502575427874</v>
      </c>
      <c r="DJ83" s="1">
        <f t="shared" si="148"/>
        <v>1583.0597549673596</v>
      </c>
      <c r="DK83" s="1">
        <f t="shared" si="148"/>
        <v>1567.2291574176859</v>
      </c>
      <c r="DL83" s="1">
        <f t="shared" si="148"/>
        <v>1551.5568658435091</v>
      </c>
      <c r="DM83" s="1">
        <f t="shared" si="148"/>
        <v>1536.041297185074</v>
      </c>
      <c r="DN83" s="1">
        <f t="shared" si="148"/>
        <v>1520.6808842132232</v>
      </c>
      <c r="DO83" s="1">
        <f t="shared" si="148"/>
        <v>1505.474075371091</v>
      </c>
      <c r="DP83" s="1">
        <f t="shared" si="148"/>
        <v>1490.4193346173799</v>
      </c>
      <c r="DQ83" s="1">
        <f t="shared" si="148"/>
        <v>1475.5151412712062</v>
      </c>
      <c r="DR83" s="1">
        <f t="shared" si="148"/>
        <v>1460.759989858494</v>
      </c>
      <c r="DS83" s="1">
        <f t="shared" si="148"/>
        <v>1446.152389959909</v>
      </c>
      <c r="DT83" s="1">
        <f t="shared" si="148"/>
        <v>1431.6908660603099</v>
      </c>
      <c r="DU83" s="1">
        <f t="shared" si="148"/>
        <v>1417.3739573997068</v>
      </c>
      <c r="DV83" s="1">
        <f t="shared" si="148"/>
        <v>1403.2002178257096</v>
      </c>
      <c r="DW83" s="1">
        <f t="shared" si="148"/>
        <v>1389.1682156474526</v>
      </c>
      <c r="DX83" s="1">
        <f t="shared" si="148"/>
        <v>1375.276533490978</v>
      </c>
      <c r="DY83" s="1">
        <f t="shared" si="148"/>
        <v>1361.5237681560682</v>
      </c>
      <c r="DZ83" s="1">
        <f t="shared" si="148"/>
        <v>1347.9085304745074</v>
      </c>
      <c r="EA83" s="1">
        <f t="shared" si="148"/>
        <v>1334.4294451697624</v>
      </c>
      <c r="EB83" s="1">
        <f t="shared" si="148"/>
        <v>1321.0851507180648</v>
      </c>
      <c r="EC83" s="1">
        <f t="shared" si="148"/>
        <v>1307.8742992108841</v>
      </c>
      <c r="ED83" s="1">
        <f t="shared" si="148"/>
        <v>1294.7955562187753</v>
      </c>
      <c r="EE83" s="1">
        <f t="shared" si="148"/>
        <v>1281.8476006565875</v>
      </c>
      <c r="EF83" s="1">
        <f t="shared" si="148"/>
        <v>1269.0291246500217</v>
      </c>
      <c r="EG83" s="1">
        <f t="shared" si="148"/>
        <v>1256.3388334035214</v>
      </c>
      <c r="EH83" s="1">
        <f t="shared" si="148"/>
        <v>1243.7754450694863</v>
      </c>
      <c r="EI83" s="1">
        <f t="shared" si="148"/>
        <v>1231.3376906187914</v>
      </c>
      <c r="EJ83" s="1">
        <f t="shared" si="148"/>
        <v>1219.0243137126035</v>
      </c>
      <c r="EK83" s="1">
        <f t="shared" si="148"/>
        <v>1206.8340705754774</v>
      </c>
      <c r="EL83" s="1">
        <f t="shared" si="148"/>
        <v>1194.7657298697227</v>
      </c>
      <c r="EM83" s="1">
        <f t="shared" si="148"/>
        <v>1182.8180725710254</v>
      </c>
      <c r="EN83" s="1">
        <f t="shared" si="148"/>
        <v>1170.989891845315</v>
      </c>
      <c r="EO83" s="1">
        <f t="shared" si="148"/>
        <v>1159.279992926862</v>
      </c>
      <c r="EP83" s="1">
        <f t="shared" si="148"/>
        <v>1147.6871929975932</v>
      </c>
      <c r="EQ83" s="1">
        <f t="shared" si="148"/>
        <v>1136.2103210676173</v>
      </c>
      <c r="ER83" s="1">
        <f t="shared" si="148"/>
        <v>1124.8482178569411</v>
      </c>
      <c r="ES83" s="1">
        <f t="shared" si="148"/>
        <v>1113.5997356783716</v>
      </c>
      <c r="ET83" s="1">
        <f t="shared" si="148"/>
        <v>1102.4637383215879</v>
      </c>
      <c r="EU83" s="1">
        <f t="shared" si="148"/>
        <v>1091.4391009383721</v>
      </c>
      <c r="EV83" s="1">
        <f t="shared" si="148"/>
        <v>1080.5247099289884</v>
      </c>
      <c r="EW83" s="1">
        <f t="shared" si="148"/>
        <v>1069.7194628296984</v>
      </c>
      <c r="EX83" s="1">
        <f t="shared" si="148"/>
        <v>1059.0222682014014</v>
      </c>
      <c r="EY83" s="1">
        <f t="shared" si="148"/>
        <v>1048.4320455193874</v>
      </c>
      <c r="EZ83" s="1">
        <f t="shared" si="148"/>
        <v>1037.9477250641935</v>
      </c>
      <c r="FA83" s="1">
        <f t="shared" si="148"/>
        <v>1027.5682478135516</v>
      </c>
      <c r="FB83" s="1">
        <f t="shared" si="148"/>
        <v>1017.292565335416</v>
      </c>
      <c r="FC83" s="1">
        <f t="shared" si="148"/>
        <v>1007.1196396820619</v>
      </c>
    </row>
    <row r="85" spans="2:159" x14ac:dyDescent="0.3">
      <c r="B85" t="s">
        <v>101</v>
      </c>
      <c r="AJ85" s="10">
        <f>AJ62/AI62-1</f>
        <v>0.52</v>
      </c>
      <c r="AK85" s="10">
        <f t="shared" ref="AK85:AU85" si="149">AK62/AJ62-1</f>
        <v>0.24232456140350878</v>
      </c>
      <c r="AL85" s="10">
        <f t="shared" si="149"/>
        <v>3.0000000000000027E-2</v>
      </c>
      <c r="AM85" s="10">
        <f t="shared" si="149"/>
        <v>3.0000000000000027E-2</v>
      </c>
      <c r="AN85" s="10">
        <f t="shared" si="149"/>
        <v>3.0000000000000027E-2</v>
      </c>
      <c r="AO85" s="10">
        <f t="shared" si="149"/>
        <v>3.0000000000000027E-2</v>
      </c>
      <c r="AP85" s="10">
        <f t="shared" si="149"/>
        <v>3.0000000000000027E-2</v>
      </c>
      <c r="AQ85" s="10">
        <f t="shared" si="149"/>
        <v>3.0000000000000027E-2</v>
      </c>
      <c r="AR85" s="10">
        <f t="shared" si="149"/>
        <v>3.0000000000000027E-2</v>
      </c>
      <c r="AS85" s="10">
        <f t="shared" si="149"/>
        <v>3.0000000000000027E-2</v>
      </c>
      <c r="AT85" s="10">
        <f t="shared" si="149"/>
        <v>3.0000000000000027E-2</v>
      </c>
      <c r="AU85" s="10">
        <f t="shared" si="149"/>
        <v>3.0000000000000027E-2</v>
      </c>
    </row>
    <row r="86" spans="2:159" x14ac:dyDescent="0.3">
      <c r="B86" t="s">
        <v>102</v>
      </c>
      <c r="AJ86" s="10">
        <f>AJ82/AI82-1</f>
        <v>9.2485549132947931E-2</v>
      </c>
      <c r="AK86" s="10">
        <f t="shared" ref="AK86:AU86" si="150">AK82/AJ82-1</f>
        <v>0.41137566137566162</v>
      </c>
      <c r="AL86" s="10">
        <f t="shared" si="150"/>
        <v>0.30000000000000004</v>
      </c>
      <c r="AM86" s="10">
        <f t="shared" si="150"/>
        <v>2.0000000000000018E-2</v>
      </c>
      <c r="AN86" s="10">
        <f t="shared" si="150"/>
        <v>2.0000000000000018E-2</v>
      </c>
      <c r="AO86" s="10">
        <f t="shared" si="150"/>
        <v>2.0000000000000018E-2</v>
      </c>
      <c r="AP86" s="10">
        <f t="shared" si="150"/>
        <v>2.0000000000000018E-2</v>
      </c>
      <c r="AQ86" s="10">
        <f t="shared" si="150"/>
        <v>2.0000000000000018E-2</v>
      </c>
      <c r="AR86" s="10">
        <f t="shared" si="150"/>
        <v>2.0000000000000018E-2</v>
      </c>
      <c r="AS86" s="10">
        <f t="shared" si="150"/>
        <v>2.0000000000000018E-2</v>
      </c>
      <c r="AT86" s="10">
        <f t="shared" si="150"/>
        <v>2.0000000000000018E-2</v>
      </c>
      <c r="AU86" s="10">
        <f t="shared" si="150"/>
        <v>2.0000000000000018E-2</v>
      </c>
      <c r="AW86" t="s">
        <v>95</v>
      </c>
      <c r="AX86" s="6">
        <f>NPV(AX23,AJ83:FC83)</f>
        <v>32567.343639517119</v>
      </c>
    </row>
    <row r="87" spans="2:159" x14ac:dyDescent="0.3">
      <c r="AW87" t="s">
        <v>43</v>
      </c>
      <c r="AX87" s="6">
        <f>Main!D8</f>
        <v>2323.8999999999996</v>
      </c>
    </row>
    <row r="88" spans="2:159" x14ac:dyDescent="0.3">
      <c r="AW88" t="s">
        <v>44</v>
      </c>
      <c r="AX88" s="6">
        <f>AX86+AX87</f>
        <v>34891.243639517117</v>
      </c>
    </row>
    <row r="89" spans="2:159" x14ac:dyDescent="0.3">
      <c r="AW89" t="s">
        <v>45</v>
      </c>
      <c r="AX89" s="5">
        <f>AX88/AU17</f>
        <v>104.09082231359523</v>
      </c>
    </row>
    <row r="90" spans="2:159" x14ac:dyDescent="0.3">
      <c r="AW90" t="s">
        <v>46</v>
      </c>
      <c r="AX90" s="5">
        <f>Main!D3</f>
        <v>225.31</v>
      </c>
    </row>
    <row r="91" spans="2:159" x14ac:dyDescent="0.3">
      <c r="AW91" s="1" t="s">
        <v>47</v>
      </c>
      <c r="AX91" s="11">
        <f>AX89/AX90-1</f>
        <v>-0.53801064172209301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2021-03-05T14:29:28Z</dcterms:created>
  <dcterms:modified xsi:type="dcterms:W3CDTF">2025-09-12T10:44:07Z</dcterms:modified>
</cp:coreProperties>
</file>