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s\Documents\GitHub\FinanceModels\Financial Analysis\"/>
    </mc:Choice>
  </mc:AlternateContent>
  <xr:revisionPtr revIDLastSave="0" documentId="13_ncr:1_{A1FAD95E-F57E-4961-BA00-3B83644B0C52}" xr6:coauthVersionLast="47" xr6:coauthVersionMax="47" xr10:uidLastSave="{00000000-0000-0000-0000-000000000000}"/>
  <bookViews>
    <workbookView xWindow="-108" yWindow="-108" windowWidth="23256" windowHeight="12576" activeTab="1" xr2:uid="{7397855C-6173-4C21-9C59-A8371E1F4110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3" i="2" l="1"/>
  <c r="S3" i="2"/>
  <c r="AF3" i="2"/>
  <c r="AF5" i="2" s="1"/>
  <c r="AE13" i="2"/>
  <c r="AE10" i="2"/>
  <c r="AE9" i="2"/>
  <c r="AE6" i="2"/>
  <c r="AE3" i="2"/>
  <c r="S5" i="2"/>
  <c r="U24" i="2"/>
  <c r="T24" i="2"/>
  <c r="U23" i="2"/>
  <c r="T23" i="2"/>
  <c r="U22" i="2"/>
  <c r="T22" i="2"/>
  <c r="U21" i="2"/>
  <c r="T21" i="2"/>
  <c r="V20" i="2"/>
  <c r="U20" i="2"/>
  <c r="T20" i="2"/>
  <c r="S20" i="2"/>
  <c r="V19" i="2"/>
  <c r="U19" i="2"/>
  <c r="T19" i="2"/>
  <c r="V18" i="2"/>
  <c r="U18" i="2"/>
  <c r="T18" i="2"/>
  <c r="U16" i="2"/>
  <c r="V15" i="2"/>
  <c r="U15" i="2"/>
  <c r="T15" i="2"/>
  <c r="U14" i="2"/>
  <c r="T14" i="2"/>
  <c r="T16" i="2" s="1"/>
  <c r="S15" i="2"/>
  <c r="U12" i="2"/>
  <c r="T12" i="2"/>
  <c r="U11" i="2"/>
  <c r="T11" i="2"/>
  <c r="U8" i="2"/>
  <c r="T8" i="2"/>
  <c r="V6" i="2"/>
  <c r="U6" i="2"/>
  <c r="T6" i="2"/>
  <c r="S6" i="2"/>
  <c r="V5" i="2"/>
  <c r="V8" i="2" s="1"/>
  <c r="U5" i="2"/>
  <c r="U4" i="2" s="1"/>
  <c r="T5" i="2"/>
  <c r="V4" i="2"/>
  <c r="T4" i="2"/>
  <c r="U3" i="2"/>
  <c r="T3" i="2"/>
  <c r="D6" i="1"/>
  <c r="D8" i="1" s="1"/>
  <c r="AQ22" i="2" s="1"/>
  <c r="AD7" i="2"/>
  <c r="R5" i="2"/>
  <c r="R8" i="2" s="1"/>
  <c r="AN15" i="2"/>
  <c r="AM15" i="2"/>
  <c r="AL15" i="2"/>
  <c r="AK15" i="2"/>
  <c r="AJ15" i="2"/>
  <c r="AI15" i="2"/>
  <c r="AH15" i="2"/>
  <c r="AG15" i="2"/>
  <c r="AF15" i="2"/>
  <c r="AE15" i="2"/>
  <c r="AD15" i="2"/>
  <c r="R15" i="2"/>
  <c r="D4" i="1"/>
  <c r="D5" i="1" s="1"/>
  <c r="AQ25" i="2"/>
  <c r="AD6" i="2"/>
  <c r="AD4" i="2"/>
  <c r="AD13" i="2"/>
  <c r="AD10" i="2"/>
  <c r="AF10" i="2" s="1"/>
  <c r="AG10" i="2" s="1"/>
  <c r="AH10" i="2" s="1"/>
  <c r="AI10" i="2" s="1"/>
  <c r="AJ10" i="2" s="1"/>
  <c r="AK10" i="2" s="1"/>
  <c r="AL10" i="2" s="1"/>
  <c r="AM10" i="2" s="1"/>
  <c r="AN10" i="2" s="1"/>
  <c r="AD9" i="2"/>
  <c r="AF9" i="2" s="1"/>
  <c r="AD3" i="2"/>
  <c r="G20" i="2"/>
  <c r="G18" i="2"/>
  <c r="H20" i="2"/>
  <c r="H18" i="2"/>
  <c r="I20" i="2"/>
  <c r="I18" i="2"/>
  <c r="K20" i="2"/>
  <c r="K18" i="2"/>
  <c r="L20" i="2"/>
  <c r="L18" i="2"/>
  <c r="M20" i="2"/>
  <c r="M18" i="2"/>
  <c r="F13" i="2"/>
  <c r="F12" i="2"/>
  <c r="F10" i="2"/>
  <c r="F9" i="2"/>
  <c r="F6" i="2"/>
  <c r="F4" i="2"/>
  <c r="F3" i="2"/>
  <c r="J13" i="2"/>
  <c r="J12" i="2"/>
  <c r="J10" i="2"/>
  <c r="J9" i="2"/>
  <c r="J6" i="2"/>
  <c r="J4" i="2"/>
  <c r="J3" i="2"/>
  <c r="C5" i="2"/>
  <c r="C8" i="2" s="1"/>
  <c r="C11" i="2" s="1"/>
  <c r="C14" i="2" s="1"/>
  <c r="C16" i="2" s="1"/>
  <c r="G5" i="2"/>
  <c r="G8" i="2" s="1"/>
  <c r="G11" i="2" s="1"/>
  <c r="G14" i="2" s="1"/>
  <c r="G16" i="2" s="1"/>
  <c r="D5" i="2"/>
  <c r="D8" i="2" s="1"/>
  <c r="D11" i="2" s="1"/>
  <c r="D14" i="2" s="1"/>
  <c r="D16" i="2" s="1"/>
  <c r="H5" i="2"/>
  <c r="H8" i="2" s="1"/>
  <c r="H11" i="2" s="1"/>
  <c r="H14" i="2" s="1"/>
  <c r="H16" i="2" s="1"/>
  <c r="E5" i="2"/>
  <c r="E8" i="2" s="1"/>
  <c r="E11" i="2" s="1"/>
  <c r="E14" i="2" s="1"/>
  <c r="E16" i="2" s="1"/>
  <c r="I5" i="2"/>
  <c r="I8" i="2" s="1"/>
  <c r="I11" i="2" s="1"/>
  <c r="I14" i="2" s="1"/>
  <c r="I16" i="2" s="1"/>
  <c r="N13" i="2"/>
  <c r="N12" i="2"/>
  <c r="N10" i="2"/>
  <c r="N9" i="2"/>
  <c r="N6" i="2"/>
  <c r="R20" i="2" s="1"/>
  <c r="N4" i="2"/>
  <c r="N3" i="2"/>
  <c r="R18" i="2" s="1"/>
  <c r="O20" i="2"/>
  <c r="O18" i="2"/>
  <c r="K5" i="2"/>
  <c r="K8" i="2" s="1"/>
  <c r="K11" i="2" s="1"/>
  <c r="K14" i="2" s="1"/>
  <c r="K16" i="2" s="1"/>
  <c r="O5" i="2"/>
  <c r="O8" i="2" s="1"/>
  <c r="O11" i="2" s="1"/>
  <c r="O14" i="2" s="1"/>
  <c r="O16" i="2" s="1"/>
  <c r="AB20" i="2"/>
  <c r="AA20" i="2"/>
  <c r="Z20" i="2"/>
  <c r="Y20" i="2"/>
  <c r="AB18" i="2"/>
  <c r="AA18" i="2"/>
  <c r="Z18" i="2"/>
  <c r="Y18" i="2"/>
  <c r="AC20" i="2"/>
  <c r="AC18" i="2"/>
  <c r="P20" i="2"/>
  <c r="P18" i="2"/>
  <c r="Q20" i="2"/>
  <c r="Q18" i="2"/>
  <c r="X5" i="2"/>
  <c r="X8" i="2" s="1"/>
  <c r="X11" i="2" s="1"/>
  <c r="X14" i="2" s="1"/>
  <c r="X16" i="2" s="1"/>
  <c r="Y5" i="2"/>
  <c r="Y8" i="2" s="1"/>
  <c r="Y11" i="2" s="1"/>
  <c r="Y14" i="2" s="1"/>
  <c r="Y16" i="2" s="1"/>
  <c r="Z5" i="2"/>
  <c r="Z8" i="2" s="1"/>
  <c r="Z11" i="2" s="1"/>
  <c r="Z14" i="2" s="1"/>
  <c r="Z16" i="2" s="1"/>
  <c r="AA5" i="2"/>
  <c r="AA8" i="2" s="1"/>
  <c r="AA11" i="2" s="1"/>
  <c r="AA14" i="2" s="1"/>
  <c r="AA16" i="2" s="1"/>
  <c r="AB5" i="2"/>
  <c r="AB8" i="2" s="1"/>
  <c r="AB11" i="2" s="1"/>
  <c r="AB14" i="2" s="1"/>
  <c r="AB16" i="2" s="1"/>
  <c r="AC5" i="2"/>
  <c r="AC8" i="2" s="1"/>
  <c r="AC11" i="2" s="1"/>
  <c r="AC14" i="2" s="1"/>
  <c r="AC16" i="2" s="1"/>
  <c r="M5" i="2"/>
  <c r="M8" i="2" s="1"/>
  <c r="M11" i="2" s="1"/>
  <c r="M14" i="2" s="1"/>
  <c r="M16" i="2" s="1"/>
  <c r="Q5" i="2"/>
  <c r="Q8" i="2" s="1"/>
  <c r="Q11" i="2" s="1"/>
  <c r="Q14" i="2" s="1"/>
  <c r="Q16" i="2" s="1"/>
  <c r="L5" i="2"/>
  <c r="L8" i="2" s="1"/>
  <c r="L11" i="2" s="1"/>
  <c r="L14" i="2" s="1"/>
  <c r="L16" i="2" s="1"/>
  <c r="P5" i="2"/>
  <c r="P8" i="2" s="1"/>
  <c r="F3" i="1"/>
  <c r="V21" i="2" l="1"/>
  <c r="V11" i="2"/>
  <c r="AG3" i="2"/>
  <c r="AH3" i="2" s="1"/>
  <c r="AI3" i="2" s="1"/>
  <c r="AJ3" i="2" s="1"/>
  <c r="AF6" i="2"/>
  <c r="AG6" i="2" s="1"/>
  <c r="AH6" i="2" s="1"/>
  <c r="AI6" i="2" s="1"/>
  <c r="AJ6" i="2" s="1"/>
  <c r="AK6" i="2" s="1"/>
  <c r="AL6" i="2" s="1"/>
  <c r="AM6" i="2" s="1"/>
  <c r="AN6" i="2" s="1"/>
  <c r="S4" i="2"/>
  <c r="AE4" i="2" s="1"/>
  <c r="AE5" i="2" s="1"/>
  <c r="AE8" i="2" s="1"/>
  <c r="S19" i="2"/>
  <c r="S8" i="2"/>
  <c r="S18" i="2"/>
  <c r="J20" i="2"/>
  <c r="J18" i="2"/>
  <c r="O21" i="2"/>
  <c r="E24" i="2"/>
  <c r="Q23" i="2"/>
  <c r="Q24" i="2"/>
  <c r="X19" i="2"/>
  <c r="O19" i="2"/>
  <c r="AD18" i="2"/>
  <c r="AA21" i="2"/>
  <c r="AB21" i="2"/>
  <c r="K23" i="2"/>
  <c r="K22" i="2"/>
  <c r="AC23" i="2"/>
  <c r="AB19" i="2"/>
  <c r="AB24" i="2"/>
  <c r="O22" i="2"/>
  <c r="M21" i="2"/>
  <c r="D19" i="2"/>
  <c r="N20" i="2"/>
  <c r="G19" i="2"/>
  <c r="AC19" i="2"/>
  <c r="Y23" i="2"/>
  <c r="O24" i="2"/>
  <c r="I24" i="2"/>
  <c r="N18" i="2"/>
  <c r="P11" i="2"/>
  <c r="P21" i="2"/>
  <c r="L21" i="2"/>
  <c r="C22" i="2"/>
  <c r="AC21" i="2"/>
  <c r="X22" i="2"/>
  <c r="AA23" i="2"/>
  <c r="O23" i="2"/>
  <c r="M22" i="2"/>
  <c r="L23" i="2"/>
  <c r="K24" i="2"/>
  <c r="H19" i="2"/>
  <c r="D21" i="2"/>
  <c r="C24" i="2"/>
  <c r="Z23" i="2"/>
  <c r="L22" i="2"/>
  <c r="C23" i="2"/>
  <c r="P19" i="2"/>
  <c r="AC22" i="2"/>
  <c r="Y22" i="2"/>
  <c r="AB23" i="2"/>
  <c r="M23" i="2"/>
  <c r="L24" i="2"/>
  <c r="I19" i="2"/>
  <c r="G21" i="2"/>
  <c r="D22" i="2"/>
  <c r="Q19" i="2"/>
  <c r="Z22" i="2"/>
  <c r="X24" i="2"/>
  <c r="M24" i="2"/>
  <c r="H21" i="2"/>
  <c r="G22" i="2"/>
  <c r="E19" i="2"/>
  <c r="D23" i="2"/>
  <c r="AC24" i="2"/>
  <c r="Y19" i="2"/>
  <c r="X21" i="2"/>
  <c r="AA22" i="2"/>
  <c r="Y24" i="2"/>
  <c r="N5" i="2"/>
  <c r="N19" i="2" s="1"/>
  <c r="K19" i="2"/>
  <c r="I21" i="2"/>
  <c r="H22" i="2"/>
  <c r="G23" i="2"/>
  <c r="E21" i="2"/>
  <c r="D24" i="2"/>
  <c r="Q21" i="2"/>
  <c r="Z19" i="2"/>
  <c r="Y21" i="2"/>
  <c r="AB22" i="2"/>
  <c r="Z24" i="2"/>
  <c r="L19" i="2"/>
  <c r="I22" i="2"/>
  <c r="H23" i="2"/>
  <c r="G24" i="2"/>
  <c r="E22" i="2"/>
  <c r="C19" i="2"/>
  <c r="Q22" i="2"/>
  <c r="AA19" i="2"/>
  <c r="Z21" i="2"/>
  <c r="X23" i="2"/>
  <c r="AA24" i="2"/>
  <c r="M19" i="2"/>
  <c r="K21" i="2"/>
  <c r="I23" i="2"/>
  <c r="H24" i="2"/>
  <c r="E23" i="2"/>
  <c r="C21" i="2"/>
  <c r="AD5" i="2"/>
  <c r="AD8" i="2" s="1"/>
  <c r="R19" i="2"/>
  <c r="R11" i="2"/>
  <c r="R21" i="2"/>
  <c r="AE18" i="2"/>
  <c r="AG9" i="2"/>
  <c r="AE20" i="2"/>
  <c r="AD20" i="2"/>
  <c r="F5" i="2"/>
  <c r="J5" i="2"/>
  <c r="D9" i="1"/>
  <c r="V23" i="2" l="1"/>
  <c r="V14" i="2"/>
  <c r="V12" i="2"/>
  <c r="V22" i="2" s="1"/>
  <c r="AG5" i="2"/>
  <c r="AG20" i="2"/>
  <c r="AF20" i="2"/>
  <c r="S11" i="2"/>
  <c r="S21" i="2"/>
  <c r="N8" i="2"/>
  <c r="N11" i="2" s="1"/>
  <c r="AD21" i="2"/>
  <c r="J8" i="2"/>
  <c r="J21" i="2" s="1"/>
  <c r="J19" i="2"/>
  <c r="AD19" i="2"/>
  <c r="F8" i="2"/>
  <c r="F21" i="2" s="1"/>
  <c r="F19" i="2"/>
  <c r="P23" i="2"/>
  <c r="P14" i="2"/>
  <c r="P22" i="2"/>
  <c r="AF18" i="2"/>
  <c r="AF8" i="2"/>
  <c r="AE19" i="2"/>
  <c r="R23" i="2"/>
  <c r="AH9" i="2"/>
  <c r="AH20" i="2"/>
  <c r="AD11" i="2"/>
  <c r="V16" i="2" l="1"/>
  <c r="V24" i="2"/>
  <c r="AH5" i="2"/>
  <c r="AI5" i="2"/>
  <c r="S23" i="2"/>
  <c r="S12" i="2"/>
  <c r="J11" i="2"/>
  <c r="N21" i="2"/>
  <c r="F11" i="2"/>
  <c r="N14" i="2"/>
  <c r="N23" i="2"/>
  <c r="N22" i="2"/>
  <c r="J23" i="2"/>
  <c r="J22" i="2"/>
  <c r="P16" i="2"/>
  <c r="P24" i="2"/>
  <c r="AD12" i="2"/>
  <c r="AD14" i="2" s="1"/>
  <c r="AD16" i="2" s="1"/>
  <c r="R22" i="2"/>
  <c r="AE11" i="2"/>
  <c r="AE21" i="2"/>
  <c r="R14" i="2"/>
  <c r="AF19" i="2"/>
  <c r="AF4" i="2"/>
  <c r="AG8" i="2"/>
  <c r="AG18" i="2"/>
  <c r="AI9" i="2"/>
  <c r="AI20" i="2"/>
  <c r="AD23" i="2"/>
  <c r="J14" i="2"/>
  <c r="J24" i="2" s="1"/>
  <c r="S22" i="2" l="1"/>
  <c r="AE12" i="2"/>
  <c r="S14" i="2"/>
  <c r="S24" i="2" s="1"/>
  <c r="F22" i="2"/>
  <c r="F23" i="2"/>
  <c r="F14" i="2"/>
  <c r="F24" i="2" s="1"/>
  <c r="N16" i="2"/>
  <c r="N24" i="2"/>
  <c r="AD22" i="2"/>
  <c r="AF21" i="2"/>
  <c r="AF11" i="2"/>
  <c r="R16" i="2"/>
  <c r="R24" i="2"/>
  <c r="AH8" i="2"/>
  <c r="AH18" i="2"/>
  <c r="AE23" i="2"/>
  <c r="AD24" i="2"/>
  <c r="AG19" i="2"/>
  <c r="AG4" i="2"/>
  <c r="AJ9" i="2"/>
  <c r="AJ20" i="2"/>
  <c r="J16" i="2"/>
  <c r="S16" i="2" l="1"/>
  <c r="F16" i="2"/>
  <c r="AI8" i="2"/>
  <c r="AJ5" i="2"/>
  <c r="AI18" i="2"/>
  <c r="AE14" i="2"/>
  <c r="AE22" i="2"/>
  <c r="AH4" i="2"/>
  <c r="AH19" i="2"/>
  <c r="AG21" i="2"/>
  <c r="AG11" i="2"/>
  <c r="AF13" i="2"/>
  <c r="AF23" i="2" s="1"/>
  <c r="AF12" i="2"/>
  <c r="AF22" i="2" s="1"/>
  <c r="AK9" i="2"/>
  <c r="AK20" i="2"/>
  <c r="AI4" i="2" l="1"/>
  <c r="AH21" i="2"/>
  <c r="AH11" i="2"/>
  <c r="AF14" i="2"/>
  <c r="AG13" i="2"/>
  <c r="AG23" i="2" s="1"/>
  <c r="AG12" i="2"/>
  <c r="AG22" i="2" s="1"/>
  <c r="AE16" i="2"/>
  <c r="AE24" i="2"/>
  <c r="AK3" i="2"/>
  <c r="AK5" i="2" s="1"/>
  <c r="AJ8" i="2"/>
  <c r="AJ18" i="2"/>
  <c r="AI19" i="2"/>
  <c r="AL9" i="2"/>
  <c r="AL20" i="2"/>
  <c r="AG14" i="2" l="1"/>
  <c r="AI21" i="2"/>
  <c r="AI11" i="2"/>
  <c r="AF24" i="2"/>
  <c r="AF16" i="2"/>
  <c r="AJ4" i="2"/>
  <c r="AJ19" i="2"/>
  <c r="AL3" i="2"/>
  <c r="AL5" i="2" s="1"/>
  <c r="AK8" i="2"/>
  <c r="AK18" i="2"/>
  <c r="AH13" i="2"/>
  <c r="AH23" i="2" s="1"/>
  <c r="AH12" i="2"/>
  <c r="AH22" i="2" s="1"/>
  <c r="AM9" i="2"/>
  <c r="AM20" i="2"/>
  <c r="AN20" i="2"/>
  <c r="AG16" i="2" l="1"/>
  <c r="AG24" i="2"/>
  <c r="AJ21" i="2"/>
  <c r="AJ11" i="2"/>
  <c r="AH14" i="2"/>
  <c r="AI12" i="2"/>
  <c r="AI22" i="2" s="1"/>
  <c r="AI13" i="2"/>
  <c r="AI23" i="2" s="1"/>
  <c r="AM3" i="2"/>
  <c r="AM5" i="2" s="1"/>
  <c r="AL8" i="2"/>
  <c r="AL18" i="2"/>
  <c r="AK4" i="2"/>
  <c r="AK19" i="2"/>
  <c r="AN9" i="2"/>
  <c r="AL4" i="2" l="1"/>
  <c r="AI14" i="2"/>
  <c r="AI24" i="2" s="1"/>
  <c r="AH16" i="2"/>
  <c r="AH24" i="2"/>
  <c r="AK21" i="2"/>
  <c r="AK11" i="2"/>
  <c r="AJ13" i="2"/>
  <c r="AJ23" i="2" s="1"/>
  <c r="AJ12" i="2"/>
  <c r="AJ22" i="2" s="1"/>
  <c r="AL19" i="2"/>
  <c r="AN3" i="2"/>
  <c r="AN5" i="2" s="1"/>
  <c r="AM8" i="2"/>
  <c r="AM18" i="2"/>
  <c r="AI16" i="2" l="1"/>
  <c r="AM4" i="2"/>
  <c r="AM19" i="2"/>
  <c r="AK13" i="2"/>
  <c r="AK23" i="2" s="1"/>
  <c r="AK12" i="2"/>
  <c r="AK22" i="2" s="1"/>
  <c r="AN8" i="2"/>
  <c r="AN18" i="2"/>
  <c r="AL21" i="2"/>
  <c r="AL11" i="2"/>
  <c r="AJ14" i="2"/>
  <c r="AK14" i="2" l="1"/>
  <c r="AK16" i="2" s="1"/>
  <c r="AJ16" i="2"/>
  <c r="AJ24" i="2"/>
  <c r="AN4" i="2"/>
  <c r="AN19" i="2"/>
  <c r="AM21" i="2"/>
  <c r="AM11" i="2"/>
  <c r="AL13" i="2"/>
  <c r="AL23" i="2" s="1"/>
  <c r="AL12" i="2"/>
  <c r="AL22" i="2" s="1"/>
  <c r="AK24" i="2" l="1"/>
  <c r="AL14" i="2"/>
  <c r="AL16" i="2" s="1"/>
  <c r="AM13" i="2"/>
  <c r="AM23" i="2" s="1"/>
  <c r="AM12" i="2"/>
  <c r="AM22" i="2" s="1"/>
  <c r="AN21" i="2"/>
  <c r="AN11" i="2"/>
  <c r="AL24" i="2" l="1"/>
  <c r="AN12" i="2"/>
  <c r="AN22" i="2" s="1"/>
  <c r="AN13" i="2"/>
  <c r="AN23" i="2" s="1"/>
  <c r="AM14" i="2"/>
  <c r="AM24" i="2" l="1"/>
  <c r="AM16" i="2"/>
  <c r="AN14" i="2"/>
  <c r="AO14" i="2" l="1"/>
  <c r="AP14" i="2" s="1"/>
  <c r="AQ14" i="2" s="1"/>
  <c r="AR14" i="2" s="1"/>
  <c r="AS14" i="2" s="1"/>
  <c r="AT14" i="2" s="1"/>
  <c r="AU14" i="2" s="1"/>
  <c r="AV14" i="2" s="1"/>
  <c r="AW14" i="2" s="1"/>
  <c r="AX14" i="2" s="1"/>
  <c r="AY14" i="2" s="1"/>
  <c r="AZ14" i="2" s="1"/>
  <c r="BA14" i="2" s="1"/>
  <c r="BB14" i="2" s="1"/>
  <c r="BC14" i="2" s="1"/>
  <c r="BD14" i="2" s="1"/>
  <c r="BE14" i="2" s="1"/>
  <c r="BF14" i="2" s="1"/>
  <c r="BG14" i="2" s="1"/>
  <c r="BH14" i="2" s="1"/>
  <c r="BI14" i="2" s="1"/>
  <c r="BJ14" i="2" s="1"/>
  <c r="BK14" i="2" s="1"/>
  <c r="BL14" i="2" s="1"/>
  <c r="BM14" i="2" s="1"/>
  <c r="BN14" i="2" s="1"/>
  <c r="BO14" i="2" s="1"/>
  <c r="BP14" i="2" s="1"/>
  <c r="BQ14" i="2" s="1"/>
  <c r="BR14" i="2" s="1"/>
  <c r="BS14" i="2" s="1"/>
  <c r="BT14" i="2" s="1"/>
  <c r="BU14" i="2" s="1"/>
  <c r="BV14" i="2" s="1"/>
  <c r="BW14" i="2" s="1"/>
  <c r="BX14" i="2" s="1"/>
  <c r="BY14" i="2" s="1"/>
  <c r="BZ14" i="2" s="1"/>
  <c r="CA14" i="2" s="1"/>
  <c r="CB14" i="2" s="1"/>
  <c r="CC14" i="2" s="1"/>
  <c r="CD14" i="2" s="1"/>
  <c r="CE14" i="2" s="1"/>
  <c r="CF14" i="2" s="1"/>
  <c r="CG14" i="2" s="1"/>
  <c r="CH14" i="2" s="1"/>
  <c r="CI14" i="2" s="1"/>
  <c r="CJ14" i="2" s="1"/>
  <c r="CK14" i="2" s="1"/>
  <c r="CL14" i="2" s="1"/>
  <c r="CM14" i="2" s="1"/>
  <c r="CN14" i="2" s="1"/>
  <c r="CO14" i="2" s="1"/>
  <c r="CP14" i="2" s="1"/>
  <c r="CQ14" i="2" s="1"/>
  <c r="CR14" i="2" s="1"/>
  <c r="CS14" i="2" s="1"/>
  <c r="CT14" i="2" s="1"/>
  <c r="CU14" i="2" s="1"/>
  <c r="CV14" i="2" s="1"/>
  <c r="CW14" i="2" s="1"/>
  <c r="CX14" i="2" s="1"/>
  <c r="CY14" i="2" s="1"/>
  <c r="CZ14" i="2" s="1"/>
  <c r="DA14" i="2" s="1"/>
  <c r="DB14" i="2" s="1"/>
  <c r="DC14" i="2" s="1"/>
  <c r="DD14" i="2" s="1"/>
  <c r="DE14" i="2" s="1"/>
  <c r="DF14" i="2" s="1"/>
  <c r="DG14" i="2" s="1"/>
  <c r="DH14" i="2" s="1"/>
  <c r="DI14" i="2" s="1"/>
  <c r="DJ14" i="2" s="1"/>
  <c r="DK14" i="2" s="1"/>
  <c r="DL14" i="2" s="1"/>
  <c r="DM14" i="2" s="1"/>
  <c r="DN14" i="2" s="1"/>
  <c r="DO14" i="2" s="1"/>
  <c r="DP14" i="2" s="1"/>
  <c r="DQ14" i="2" s="1"/>
  <c r="DR14" i="2" s="1"/>
  <c r="DS14" i="2" s="1"/>
  <c r="DT14" i="2" s="1"/>
  <c r="DU14" i="2" s="1"/>
  <c r="DV14" i="2" s="1"/>
  <c r="DW14" i="2" s="1"/>
  <c r="DX14" i="2" s="1"/>
  <c r="DY14" i="2" s="1"/>
  <c r="DZ14" i="2" s="1"/>
  <c r="EA14" i="2" s="1"/>
  <c r="EB14" i="2" s="1"/>
  <c r="EC14" i="2" s="1"/>
  <c r="ED14" i="2" s="1"/>
  <c r="EE14" i="2" s="1"/>
  <c r="EF14" i="2" s="1"/>
  <c r="EG14" i="2" s="1"/>
  <c r="EH14" i="2" s="1"/>
  <c r="EI14" i="2" s="1"/>
  <c r="EJ14" i="2" s="1"/>
  <c r="EK14" i="2" s="1"/>
  <c r="EL14" i="2" s="1"/>
  <c r="EM14" i="2" s="1"/>
  <c r="EN14" i="2" s="1"/>
  <c r="EO14" i="2" s="1"/>
  <c r="EP14" i="2" s="1"/>
  <c r="EQ14" i="2" s="1"/>
  <c r="ER14" i="2" s="1"/>
  <c r="AN24" i="2"/>
  <c r="AN16" i="2"/>
  <c r="AQ21" i="2" l="1"/>
  <c r="AQ23" i="2" s="1"/>
  <c r="AQ24" i="2" s="1"/>
  <c r="AQ26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 Mniszek</author>
  </authors>
  <commentList>
    <comment ref="Z3" authorId="0" shapeId="0" xr:uid="{9042D7FB-CA5F-42E0-92AA-AC1491BB9B77}">
      <text>
        <r>
          <rPr>
            <b/>
            <sz val="9"/>
            <color indexed="81"/>
            <rFont val="Tahoma"/>
            <family val="2"/>
          </rPr>
          <t>Anton Mniszek:</t>
        </r>
        <r>
          <rPr>
            <sz val="9"/>
            <color indexed="81"/>
            <rFont val="Tahoma"/>
            <family val="2"/>
          </rPr>
          <t xml:space="preserve">
acquisition?</t>
        </r>
      </text>
    </comment>
  </commentList>
</comments>
</file>

<file path=xl/sharedStrings.xml><?xml version="1.0" encoding="utf-8"?>
<sst xmlns="http://schemas.openxmlformats.org/spreadsheetml/2006/main" count="65" uniqueCount="60">
  <si>
    <t>Price</t>
  </si>
  <si>
    <t>Shares</t>
  </si>
  <si>
    <t>MC</t>
  </si>
  <si>
    <t>Cash</t>
  </si>
  <si>
    <t>Debt</t>
  </si>
  <si>
    <t>Net Cash</t>
  </si>
  <si>
    <t>EV</t>
  </si>
  <si>
    <t>Last checked</t>
  </si>
  <si>
    <t>Today</t>
  </si>
  <si>
    <t>Earnings</t>
  </si>
  <si>
    <t>Q224</t>
  </si>
  <si>
    <t>LRN</t>
  </si>
  <si>
    <t>Revenue</t>
  </si>
  <si>
    <t>Cost of sales</t>
  </si>
  <si>
    <t>Gross profit</t>
  </si>
  <si>
    <t>SG&amp;A</t>
  </si>
  <si>
    <t>Operating profit</t>
  </si>
  <si>
    <t>Interest expense</t>
  </si>
  <si>
    <t>Other income</t>
  </si>
  <si>
    <t>Pretax profit</t>
  </si>
  <si>
    <t>Taxes</t>
  </si>
  <si>
    <t>MI</t>
  </si>
  <si>
    <t>Net profit</t>
  </si>
  <si>
    <t>EPS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</si>
  <si>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</si>
  <si>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</si>
  <si>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</si>
  <si>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</si>
  <si>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</si>
  <si>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</si>
  <si>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</si>
  <si>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</si>
  <si>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</si>
  <si>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Q324</t>
  </si>
  <si>
    <t>Q424</t>
  </si>
  <si>
    <t>Q125</t>
  </si>
  <si>
    <t>Q225</t>
  </si>
  <si>
    <t>Q325</t>
  </si>
  <si>
    <t>Q425</t>
  </si>
  <si>
    <t>Revenue y/y</t>
  </si>
  <si>
    <t>Gross Margin</t>
  </si>
  <si>
    <t>SG&amp;A y/y</t>
  </si>
  <si>
    <t>Operating Margin</t>
  </si>
  <si>
    <t>Net Margin</t>
  </si>
  <si>
    <t>Maturity</t>
  </si>
  <si>
    <t>Discount rate</t>
  </si>
  <si>
    <t>NPV</t>
  </si>
  <si>
    <t>Net cash</t>
  </si>
  <si>
    <t>Value</t>
  </si>
  <si>
    <t>Per share</t>
  </si>
  <si>
    <t>Current price</t>
  </si>
  <si>
    <t>Variance</t>
  </si>
  <si>
    <t>Consensus</t>
  </si>
  <si>
    <t>Impairment</t>
  </si>
  <si>
    <t>Q126</t>
  </si>
  <si>
    <t>Q226</t>
  </si>
  <si>
    <t>Q326</t>
  </si>
  <si>
    <t>Q426</t>
  </si>
  <si>
    <t>Q425 8K</t>
  </si>
  <si>
    <t>Undervalued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</si>
</sst>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14" fontId="2" fillId="0" borderId="0" xfId="0" applyNumberFormat="1" applyFont="1" applyAlignment="1">
      <alignment horizontal="right"/>
    </xf>
    <xf numFmtId="164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4" fontId="0" fillId="0" borderId="0" xfId="0" applyNumberFormat="1"/>
    <xf numFmtId="3" fontId="1" fillId="0" borderId="0" xfId="0" applyNumberFormat="1" applyFont="1"/>
    <xf numFmtId="14" fontId="0" fillId="0" borderId="0" xfId="0" applyNumberFormat="1"/>
    <xf numFmtId="9" fontId="0" fillId="0" borderId="0" xfId="0" applyNumberFormat="1"/>
    <xf numFmtId="3" fontId="2" fillId="0" borderId="0" xfId="0" applyNumberFormat="1" applyFont="1"/>
    <xf numFmtId="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15240</xdr:colOff>
      <xdr:row>0</xdr:row>
      <xdr:rowOff>7620</xdr:rowOff>
    </xdr:from>
    <xdr:to>
      <xdr:col>18</xdr:col>
      <xdr:colOff>15240</xdr:colOff>
      <xdr:row>34</xdr:row>
      <xdr:rowOff>106680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6F4C2538-6962-94CC-B07C-CE99CC863D76}"/>
            </a:ext>
          </a:extLst>
        </xdr:cNvPr>
        <xdr:cNvCxnSpPr/>
      </xdr:nvCxnSpPr>
      <xdr:spPr>
        <a:xfrm>
          <a:off x="13251180" y="7620"/>
          <a:ext cx="0" cy="631698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7620</xdr:colOff>
      <xdr:row>0</xdr:row>
      <xdr:rowOff>0</xdr:rowOff>
    </xdr:from>
    <xdr:to>
      <xdr:col>30</xdr:col>
      <xdr:colOff>7620</xdr:colOff>
      <xdr:row>34</xdr:row>
      <xdr:rowOff>68580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6BA40334-04E2-2A3B-6C02-A7F1CEE145E0}"/>
            </a:ext>
          </a:extLst>
        </xdr:cNvPr>
        <xdr:cNvCxnSpPr/>
      </xdr:nvCxnSpPr>
      <xdr:spPr>
        <a:xfrm>
          <a:off x="21816060" y="0"/>
          <a:ext cx="0" cy="6286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7D1DB-5788-4639-BC5A-F7DD46D09554}">
  <dimension ref="B2:G9"/>
  <sheetViews>
    <sheetView workbookViewId="0">
      <selection activeCell="D4" sqref="D4"/>
    </sheetView>
  </sheetViews>
  <sheetFormatPr defaultRowHeight="14.4" x14ac:dyDescent="0.3"/>
  <cols>
    <col min="5" max="7" width="13.5546875" style="2" customWidth="1"/>
  </cols>
  <sheetData>
    <row r="2" spans="2:7" x14ac:dyDescent="0.3">
      <c r="E2" s="2" t="s">
        <v>7</v>
      </c>
      <c r="F2" s="2" t="s">
        <v>8</v>
      </c>
      <c r="G2" s="2" t="s">
        <v>9</v>
      </c>
    </row>
    <row r="3" spans="2:7" x14ac:dyDescent="0.3">
      <c r="B3" s="1" t="s">
        <v>11</v>
      </c>
      <c r="C3" t="s">
        <v>0</v>
      </c>
      <c r="D3" s="4">
        <v>144.5</v>
      </c>
      <c r="E3" s="3">
        <v>45923</v>
      </c>
      <c r="F3" s="3">
        <f ca="1">TODAY()</f>
        <v>45923</v>
      </c>
      <c r="G3" s="3">
        <v>45967</v>
      </c>
    </row>
    <row r="4" spans="2:7" x14ac:dyDescent="0.3">
      <c r="C4" t="s">
        <v>1</v>
      </c>
      <c r="D4" s="5">
        <f>43.2</f>
        <v>43.2</v>
      </c>
      <c r="E4" s="2" t="s">
        <v>58</v>
      </c>
    </row>
    <row r="5" spans="2:7" x14ac:dyDescent="0.3">
      <c r="C5" t="s">
        <v>2</v>
      </c>
      <c r="D5" s="5">
        <f>D3*D4</f>
        <v>6242.4000000000005</v>
      </c>
    </row>
    <row r="6" spans="2:7" x14ac:dyDescent="0.3">
      <c r="C6" t="s">
        <v>3</v>
      </c>
      <c r="D6" s="5">
        <f>782.5+202.8</f>
        <v>985.3</v>
      </c>
      <c r="E6" s="2" t="s">
        <v>38</v>
      </c>
    </row>
    <row r="7" spans="2:7" x14ac:dyDescent="0.3">
      <c r="C7" t="s">
        <v>4</v>
      </c>
      <c r="D7" s="5">
        <v>416.3</v>
      </c>
      <c r="E7" s="2" t="s">
        <v>38</v>
      </c>
    </row>
    <row r="8" spans="2:7" x14ac:dyDescent="0.3">
      <c r="C8" t="s">
        <v>5</v>
      </c>
      <c r="D8" s="5">
        <f>D6-D7</f>
        <v>569</v>
      </c>
    </row>
    <row r="9" spans="2:7" x14ac:dyDescent="0.3">
      <c r="C9" t="s">
        <v>6</v>
      </c>
      <c r="D9" s="5">
        <f>D5-D8</f>
        <v>5673.4000000000005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36A5B-3953-46B2-B63C-0DC83568B8DF}">
  <dimension ref="B1:ER27"/>
  <sheetViews>
    <sheetView tabSelected="1" workbookViewId="0">
      <pane xSplit="2" ySplit="2" topLeftCell="AG3" activePane="bottomRight" state="frozen"/>
      <selection pane="topRight" activeCell="C1" sqref="C1"/>
      <selection pane="bottomLeft" activeCell="A3" sqref="A3"/>
      <selection pane="bottomRight" activeCell="AQ13" sqref="AQ13"/>
    </sheetView>
  </sheetViews>
  <sheetFormatPr defaultRowHeight="14.4" x14ac:dyDescent="0.3"/>
  <cols>
    <col min="2" max="2" width="15.21875" bestFit="1" customWidth="1"/>
    <col min="3" max="18" width="10.5546875" bestFit="1" customWidth="1"/>
    <col min="19" max="22" width="10.5546875" customWidth="1"/>
    <col min="24" max="40" width="10.5546875" bestFit="1" customWidth="1"/>
    <col min="42" max="42" width="12" bestFit="1" customWidth="1"/>
    <col min="43" max="43" width="17.5546875" customWidth="1"/>
  </cols>
  <sheetData>
    <row r="1" spans="2:148" x14ac:dyDescent="0.3">
      <c r="C1" s="9">
        <v>44469</v>
      </c>
      <c r="D1" s="9">
        <v>44561</v>
      </c>
      <c r="E1" s="9">
        <v>44651</v>
      </c>
      <c r="F1" s="9">
        <v>44742</v>
      </c>
      <c r="G1" s="9">
        <v>44834</v>
      </c>
      <c r="H1" s="9">
        <v>44926</v>
      </c>
      <c r="I1" s="9">
        <v>45016</v>
      </c>
      <c r="J1" s="9">
        <v>45107</v>
      </c>
      <c r="K1" s="9">
        <v>45199</v>
      </c>
      <c r="L1" s="9">
        <v>45291</v>
      </c>
      <c r="M1" s="9">
        <v>45382</v>
      </c>
      <c r="N1" s="9">
        <v>45473</v>
      </c>
      <c r="O1" s="9">
        <v>45565</v>
      </c>
      <c r="P1" s="9">
        <v>45657</v>
      </c>
      <c r="Q1" s="9">
        <v>45747</v>
      </c>
      <c r="R1" s="9">
        <v>45838</v>
      </c>
      <c r="S1" s="9">
        <v>45930</v>
      </c>
      <c r="T1" s="9">
        <v>46022</v>
      </c>
      <c r="U1" s="9">
        <v>46112</v>
      </c>
      <c r="V1" s="9">
        <v>46203</v>
      </c>
      <c r="X1" s="9">
        <v>43646</v>
      </c>
      <c r="Y1" s="9">
        <v>44012</v>
      </c>
      <c r="Z1" s="9">
        <v>44377</v>
      </c>
      <c r="AA1" s="9">
        <v>44742</v>
      </c>
      <c r="AB1" s="9">
        <v>45107</v>
      </c>
      <c r="AC1" s="9">
        <v>45473</v>
      </c>
      <c r="AD1" s="9">
        <v>45838</v>
      </c>
      <c r="AE1" s="9">
        <v>46203</v>
      </c>
      <c r="AF1" s="9">
        <v>46568</v>
      </c>
      <c r="AG1" s="9">
        <v>46934</v>
      </c>
      <c r="AH1" s="9">
        <v>47299</v>
      </c>
      <c r="AI1" s="9">
        <v>47664</v>
      </c>
      <c r="AJ1" s="9">
        <v>48029</v>
      </c>
      <c r="AK1" s="9">
        <v>48395</v>
      </c>
      <c r="AL1" s="9">
        <v>48760</v>
      </c>
      <c r="AM1" s="9">
        <v>49125</v>
      </c>
      <c r="AN1" s="9">
        <v>49490</v>
      </c>
    </row>
    <row r="2" spans="2:148" x14ac:dyDescent="0.3">
      <c r="C2" s="6" t="s">
        <v>24</v>
      </c>
      <c r="D2" s="6" t="s">
        <v>25</v>
      </c>
      <c r="E2" s="6" t="s">
        <v>26</v>
      </c>
      <c r="F2" s="6" t="s">
        <v>27</v>
      </c>
      <c r="G2" s="6" t="s">
        <v>28</v>
      </c>
      <c r="H2" s="6" t="s">
        <v>29</v>
      </c>
      <c r="I2" s="6" t="s">
        <v>30</v>
      </c>
      <c r="J2" s="6" t="s">
        <v>31</v>
      </c>
      <c r="K2" s="6" t="s">
        <v>32</v>
      </c>
      <c r="L2" s="6" t="s">
        <v>10</v>
      </c>
      <c r="M2" s="6" t="s">
        <v>33</v>
      </c>
      <c r="N2" s="6" t="s">
        <v>34</v>
      </c>
      <c r="O2" s="6" t="s">
        <v>35</v>
      </c>
      <c r="P2" s="6" t="s">
        <v>36</v>
      </c>
      <c r="Q2" s="6" t="s">
        <v>37</v>
      </c>
      <c r="R2" s="6" t="s">
        <v>38</v>
      </c>
      <c r="S2" s="6" t="s">
        <v>54</v>
      </c>
      <c r="T2" s="6" t="s">
        <v>55</v>
      </c>
      <c r="U2" s="6" t="s">
        <v>56</v>
      </c>
      <c r="V2" s="6" t="s">
        <v>57</v>
      </c>
      <c r="X2">
        <v>2019</v>
      </c>
      <c r="Y2">
        <v>2020</v>
      </c>
      <c r="Z2">
        <v>2021</v>
      </c>
      <c r="AA2">
        <v>2022</v>
      </c>
      <c r="AB2">
        <v>2023</v>
      </c>
      <c r="AC2">
        <v>2024</v>
      </c>
      <c r="AD2">
        <v>2025</v>
      </c>
      <c r="AE2">
        <v>2026</v>
      </c>
      <c r="AF2">
        <v>2027</v>
      </c>
      <c r="AG2">
        <v>2028</v>
      </c>
      <c r="AH2">
        <v>2029</v>
      </c>
      <c r="AI2">
        <v>2030</v>
      </c>
      <c r="AJ2">
        <v>2031</v>
      </c>
      <c r="AK2">
        <v>2032</v>
      </c>
      <c r="AL2">
        <v>2033</v>
      </c>
      <c r="AM2">
        <v>2034</v>
      </c>
      <c r="AN2">
        <v>2035</v>
      </c>
    </row>
    <row r="3" spans="2:148" s="1" customFormat="1" x14ac:dyDescent="0.3">
      <c r="B3" s="1" t="s">
        <v>12</v>
      </c>
      <c r="C3" s="8">
        <v>400.2</v>
      </c>
      <c r="D3" s="8">
        <v>409.5</v>
      </c>
      <c r="E3" s="8">
        <v>421.7</v>
      </c>
      <c r="F3" s="8">
        <f>AA3-E3-D3-C3</f>
        <v>455.3</v>
      </c>
      <c r="G3" s="8">
        <v>425.2</v>
      </c>
      <c r="H3" s="8">
        <v>458.4</v>
      </c>
      <c r="I3" s="8">
        <v>470.3</v>
      </c>
      <c r="J3" s="8">
        <f>AB3-I3-H3-G3</f>
        <v>483.50000000000017</v>
      </c>
      <c r="K3" s="8">
        <v>480.2</v>
      </c>
      <c r="L3" s="8">
        <v>504.9</v>
      </c>
      <c r="M3" s="8">
        <v>520.79999999999995</v>
      </c>
      <c r="N3" s="8">
        <f>AC3-M3-L3-K3</f>
        <v>534.20000000000005</v>
      </c>
      <c r="O3" s="8">
        <v>551.1</v>
      </c>
      <c r="P3" s="8">
        <v>587.20000000000005</v>
      </c>
      <c r="Q3" s="8">
        <v>613.4</v>
      </c>
      <c r="R3" s="8">
        <v>653.6</v>
      </c>
      <c r="S3" s="8">
        <f>O3*1.22</f>
        <v>672.34199999999998</v>
      </c>
      <c r="T3" s="8">
        <f>P3*1.2</f>
        <v>704.64</v>
      </c>
      <c r="U3" s="8">
        <f>Q3*1.18</f>
        <v>723.8119999999999</v>
      </c>
      <c r="V3" s="8">
        <f>R3*1.15</f>
        <v>751.64</v>
      </c>
      <c r="X3" s="8">
        <v>1015.8</v>
      </c>
      <c r="Y3" s="8">
        <v>1040.8</v>
      </c>
      <c r="Z3" s="8">
        <v>1536.8</v>
      </c>
      <c r="AA3" s="8">
        <v>1686.7</v>
      </c>
      <c r="AB3" s="8">
        <v>1837.4</v>
      </c>
      <c r="AC3" s="8">
        <v>2040.1</v>
      </c>
      <c r="AD3" s="8">
        <f>SUM(O3:R3)</f>
        <v>2405.3000000000002</v>
      </c>
      <c r="AE3" s="8">
        <f>SUM(S3:V3)</f>
        <v>2852.4339999999997</v>
      </c>
      <c r="AF3" s="8">
        <f>AE3*1.13</f>
        <v>3223.2504199999994</v>
      </c>
      <c r="AG3" s="8">
        <f>AF3*1.08</f>
        <v>3481.1104535999998</v>
      </c>
      <c r="AH3" s="8">
        <f>AG3*1.05</f>
        <v>3655.16597628</v>
      </c>
      <c r="AI3" s="8">
        <f>AH3*1.04</f>
        <v>3801.3726153312</v>
      </c>
      <c r="AJ3" s="8">
        <f>AI3*1.03</f>
        <v>3915.413793791136</v>
      </c>
      <c r="AK3" s="8">
        <f t="shared" ref="AK3:AN3" si="0">AJ3*1.02</f>
        <v>3993.7220696669588</v>
      </c>
      <c r="AL3" s="8">
        <f t="shared" si="0"/>
        <v>4073.5965110602979</v>
      </c>
      <c r="AM3" s="8">
        <f t="shared" si="0"/>
        <v>4155.0684412815035</v>
      </c>
      <c r="AN3" s="8">
        <f t="shared" si="0"/>
        <v>4238.1698101071333</v>
      </c>
    </row>
    <row r="4" spans="2:148" x14ac:dyDescent="0.3">
      <c r="B4" t="s">
        <v>13</v>
      </c>
      <c r="C4" s="5">
        <v>273.8</v>
      </c>
      <c r="D4" s="5">
        <v>262</v>
      </c>
      <c r="E4" s="5">
        <v>266.89999999999998</v>
      </c>
      <c r="F4" s="5">
        <f>AA4-E4-D4-C4</f>
        <v>287.50000000000006</v>
      </c>
      <c r="G4" s="5">
        <v>295.5</v>
      </c>
      <c r="H4" s="5">
        <v>288.3</v>
      </c>
      <c r="I4" s="5">
        <v>295</v>
      </c>
      <c r="J4" s="5">
        <f>AB4-I4-H4-G4</f>
        <v>311.5</v>
      </c>
      <c r="K4" s="5">
        <v>307.3</v>
      </c>
      <c r="L4" s="5">
        <v>303.7</v>
      </c>
      <c r="M4" s="5">
        <v>319.5</v>
      </c>
      <c r="N4" s="5">
        <f>AC4-M4-L4-K4</f>
        <v>345.99999999999994</v>
      </c>
      <c r="O4" s="5">
        <v>335.2</v>
      </c>
      <c r="P4" s="5">
        <v>347.4</v>
      </c>
      <c r="Q4" s="5">
        <v>364.1</v>
      </c>
      <c r="R4" s="5">
        <v>414.7</v>
      </c>
      <c r="S4" s="5">
        <f>S3-S5</f>
        <v>403.40519999999998</v>
      </c>
      <c r="T4" s="5">
        <f t="shared" ref="T4:V4" si="1">T3-T5</f>
        <v>422.78399999999999</v>
      </c>
      <c r="U4" s="5">
        <f t="shared" si="1"/>
        <v>434.28719999999993</v>
      </c>
      <c r="V4" s="5">
        <f t="shared" si="1"/>
        <v>450.98399999999998</v>
      </c>
      <c r="X4" s="5">
        <v>663.4</v>
      </c>
      <c r="Y4" s="5">
        <v>693.2</v>
      </c>
      <c r="Z4" s="5">
        <v>1001.9</v>
      </c>
      <c r="AA4" s="5">
        <v>1090.2</v>
      </c>
      <c r="AB4" s="5">
        <v>1190.3</v>
      </c>
      <c r="AC4" s="5">
        <v>1276.5</v>
      </c>
      <c r="AD4" s="5">
        <f>SUM(O4:R4)</f>
        <v>1461.3999999999999</v>
      </c>
      <c r="AE4" s="5">
        <f>SUM(S4:V4)</f>
        <v>1711.4603999999999</v>
      </c>
      <c r="AF4" s="5">
        <f t="shared" ref="AF4:AN4" si="2">AF3-AF5</f>
        <v>1901.7177477999996</v>
      </c>
      <c r="AG4" s="5">
        <f t="shared" si="2"/>
        <v>2053.8551676239999</v>
      </c>
      <c r="AH4" s="5">
        <f t="shared" si="2"/>
        <v>2156.5479260051998</v>
      </c>
      <c r="AI4" s="5">
        <f t="shared" si="2"/>
        <v>2242.8098430454083</v>
      </c>
      <c r="AJ4" s="5">
        <f t="shared" si="2"/>
        <v>2310.0941383367704</v>
      </c>
      <c r="AK4" s="5">
        <f t="shared" si="2"/>
        <v>2356.2960211035061</v>
      </c>
      <c r="AL4" s="5">
        <f t="shared" si="2"/>
        <v>2403.4219415255757</v>
      </c>
      <c r="AM4" s="5">
        <f t="shared" si="2"/>
        <v>2451.4903803560874</v>
      </c>
      <c r="AN4" s="5">
        <f t="shared" si="2"/>
        <v>2500.5201879632086</v>
      </c>
    </row>
    <row r="5" spans="2:148" s="1" customFormat="1" x14ac:dyDescent="0.3">
      <c r="B5" s="1" t="s">
        <v>14</v>
      </c>
      <c r="C5" s="8">
        <f t="shared" ref="C5:R5" si="3">C3-C4</f>
        <v>126.39999999999998</v>
      </c>
      <c r="D5" s="8">
        <f t="shared" si="3"/>
        <v>147.5</v>
      </c>
      <c r="E5" s="8">
        <f t="shared" si="3"/>
        <v>154.80000000000001</v>
      </c>
      <c r="F5" s="8">
        <f t="shared" si="3"/>
        <v>167.79999999999995</v>
      </c>
      <c r="G5" s="8">
        <f t="shared" si="3"/>
        <v>129.69999999999999</v>
      </c>
      <c r="H5" s="8">
        <f t="shared" si="3"/>
        <v>170.09999999999997</v>
      </c>
      <c r="I5" s="8">
        <f t="shared" si="3"/>
        <v>175.3</v>
      </c>
      <c r="J5" s="8">
        <f t="shared" si="3"/>
        <v>172.00000000000017</v>
      </c>
      <c r="K5" s="8">
        <f t="shared" si="3"/>
        <v>172.89999999999998</v>
      </c>
      <c r="L5" s="8">
        <f t="shared" si="3"/>
        <v>201.2</v>
      </c>
      <c r="M5" s="8">
        <f t="shared" si="3"/>
        <v>201.29999999999995</v>
      </c>
      <c r="N5" s="8">
        <f t="shared" si="3"/>
        <v>188.2000000000001</v>
      </c>
      <c r="O5" s="8">
        <f t="shared" si="3"/>
        <v>215.90000000000003</v>
      </c>
      <c r="P5" s="8">
        <f t="shared" si="3"/>
        <v>239.80000000000007</v>
      </c>
      <c r="Q5" s="8">
        <f t="shared" si="3"/>
        <v>249.29999999999995</v>
      </c>
      <c r="R5" s="8">
        <f t="shared" si="3"/>
        <v>238.90000000000003</v>
      </c>
      <c r="S5" s="8">
        <f>S3*0.4</f>
        <v>268.93680000000001</v>
      </c>
      <c r="T5" s="8">
        <f t="shared" ref="T5:V5" si="4">T3*0.4</f>
        <v>281.85599999999999</v>
      </c>
      <c r="U5" s="8">
        <f t="shared" si="4"/>
        <v>289.52479999999997</v>
      </c>
      <c r="V5" s="8">
        <f t="shared" si="4"/>
        <v>300.65600000000001</v>
      </c>
      <c r="X5" s="8">
        <f t="shared" ref="X5:AE5" si="5">X3-X4</f>
        <v>352.4</v>
      </c>
      <c r="Y5" s="8">
        <f t="shared" si="5"/>
        <v>347.59999999999991</v>
      </c>
      <c r="Z5" s="8">
        <f t="shared" si="5"/>
        <v>534.9</v>
      </c>
      <c r="AA5" s="8">
        <f t="shared" si="5"/>
        <v>596.5</v>
      </c>
      <c r="AB5" s="8">
        <f t="shared" si="5"/>
        <v>647.10000000000014</v>
      </c>
      <c r="AC5" s="8">
        <f t="shared" si="5"/>
        <v>763.59999999999991</v>
      </c>
      <c r="AD5" s="8">
        <f t="shared" si="5"/>
        <v>943.90000000000032</v>
      </c>
      <c r="AE5" s="8">
        <f t="shared" si="5"/>
        <v>1140.9735999999998</v>
      </c>
      <c r="AF5" s="8">
        <f>AF3*0.41</f>
        <v>1321.5326721999998</v>
      </c>
      <c r="AG5" s="8">
        <f t="shared" ref="AG5:AN5" si="6">AG3*0.41</f>
        <v>1427.2552859759999</v>
      </c>
      <c r="AH5" s="8">
        <f t="shared" si="6"/>
        <v>1498.6180502748</v>
      </c>
      <c r="AI5" s="8">
        <f t="shared" si="6"/>
        <v>1558.5627722857919</v>
      </c>
      <c r="AJ5" s="8">
        <f t="shared" si="6"/>
        <v>1605.3196554543656</v>
      </c>
      <c r="AK5" s="8">
        <f t="shared" si="6"/>
        <v>1637.4260485634529</v>
      </c>
      <c r="AL5" s="8">
        <f t="shared" si="6"/>
        <v>1670.174569534722</v>
      </c>
      <c r="AM5" s="8">
        <f t="shared" si="6"/>
        <v>1703.5780609254164</v>
      </c>
      <c r="AN5" s="8">
        <f t="shared" si="6"/>
        <v>1737.6496221439245</v>
      </c>
    </row>
    <row r="6" spans="2:148" x14ac:dyDescent="0.3">
      <c r="B6" t="s">
        <v>15</v>
      </c>
      <c r="C6" s="5">
        <v>133.4</v>
      </c>
      <c r="D6" s="5">
        <v>90.6</v>
      </c>
      <c r="E6" s="5">
        <v>94.2</v>
      </c>
      <c r="F6" s="5">
        <f>AA6-E6-D6-C6</f>
        <v>121.60000000000002</v>
      </c>
      <c r="G6" s="5">
        <v>158.4</v>
      </c>
      <c r="H6" s="5">
        <v>102</v>
      </c>
      <c r="I6" s="5">
        <v>175.3</v>
      </c>
      <c r="J6" s="5">
        <f>AB6-I6-H6-G6</f>
        <v>45.900000000000006</v>
      </c>
      <c r="K6" s="5">
        <v>169.6</v>
      </c>
      <c r="L6" s="5">
        <v>116.9</v>
      </c>
      <c r="M6" s="5">
        <v>113</v>
      </c>
      <c r="N6" s="5">
        <f>AC6-M6-L6-K6</f>
        <v>114.50000000000003</v>
      </c>
      <c r="O6" s="5">
        <v>168.5</v>
      </c>
      <c r="P6" s="5">
        <v>114.8</v>
      </c>
      <c r="Q6" s="5">
        <v>118.5</v>
      </c>
      <c r="R6" s="5">
        <v>122.6</v>
      </c>
      <c r="S6" s="5">
        <f>O6*1.05</f>
        <v>176.92500000000001</v>
      </c>
      <c r="T6" s="5">
        <f>P6*1.03</f>
        <v>118.244</v>
      </c>
      <c r="U6" s="5">
        <f>Q6*1.02</f>
        <v>120.87</v>
      </c>
      <c r="V6" s="5">
        <f>R6*1.02</f>
        <v>125.05199999999999</v>
      </c>
      <c r="X6" s="5">
        <v>306.8</v>
      </c>
      <c r="Y6" s="5">
        <v>315.10000000000002</v>
      </c>
      <c r="Z6" s="5">
        <v>424.4</v>
      </c>
      <c r="AA6" s="5">
        <v>439.8</v>
      </c>
      <c r="AB6" s="5">
        <v>481.6</v>
      </c>
      <c r="AC6" s="5">
        <v>514</v>
      </c>
      <c r="AD6" s="5">
        <f>SUM(O6:R6)</f>
        <v>524.4</v>
      </c>
      <c r="AE6" s="5">
        <f>SUM(S6:V6)</f>
        <v>541.09100000000001</v>
      </c>
      <c r="AF6" s="5">
        <f>AE6*1.02</f>
        <v>551.91282000000001</v>
      </c>
      <c r="AG6" s="5">
        <f>AF6*1.01</f>
        <v>557.43194819999997</v>
      </c>
      <c r="AH6" s="5">
        <f t="shared" ref="AH6:AN6" si="7">AG6*1.01</f>
        <v>563.00626768199993</v>
      </c>
      <c r="AI6" s="5">
        <f t="shared" si="7"/>
        <v>568.63633035881992</v>
      </c>
      <c r="AJ6" s="5">
        <f t="shared" si="7"/>
        <v>574.32269366240814</v>
      </c>
      <c r="AK6" s="5">
        <f t="shared" si="7"/>
        <v>580.06592059903221</v>
      </c>
      <c r="AL6" s="5">
        <f t="shared" si="7"/>
        <v>585.86657980502252</v>
      </c>
      <c r="AM6" s="5">
        <f t="shared" si="7"/>
        <v>591.72524560307272</v>
      </c>
      <c r="AN6" s="5">
        <f t="shared" si="7"/>
        <v>597.64249805910345</v>
      </c>
    </row>
    <row r="7" spans="2:148" x14ac:dyDescent="0.3">
      <c r="B7" t="s">
        <v>53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>
        <v>59.5</v>
      </c>
      <c r="S7" s="5"/>
      <c r="T7" s="5"/>
      <c r="U7" s="5"/>
      <c r="V7" s="5"/>
      <c r="X7" s="5"/>
      <c r="Y7" s="5"/>
      <c r="Z7" s="5"/>
      <c r="AA7" s="5"/>
      <c r="AB7" s="5"/>
      <c r="AC7" s="5"/>
      <c r="AD7" s="5">
        <f>SUM(O7:R7)</f>
        <v>59.5</v>
      </c>
      <c r="AE7" s="5"/>
      <c r="AF7" s="5"/>
      <c r="AG7" s="5"/>
      <c r="AH7" s="5"/>
      <c r="AI7" s="5"/>
      <c r="AJ7" s="5"/>
      <c r="AK7" s="5"/>
      <c r="AL7" s="5"/>
      <c r="AM7" s="5"/>
      <c r="AN7" s="5"/>
    </row>
    <row r="8" spans="2:148" s="1" customFormat="1" x14ac:dyDescent="0.3">
      <c r="B8" s="1" t="s">
        <v>16</v>
      </c>
      <c r="C8" s="8">
        <f t="shared" ref="C8:Q8" si="8">C5-C6</f>
        <v>-7.0000000000000284</v>
      </c>
      <c r="D8" s="8">
        <f t="shared" si="8"/>
        <v>56.900000000000006</v>
      </c>
      <c r="E8" s="8">
        <f t="shared" si="8"/>
        <v>60.600000000000009</v>
      </c>
      <c r="F8" s="8">
        <f t="shared" si="8"/>
        <v>46.199999999999932</v>
      </c>
      <c r="G8" s="8">
        <f t="shared" si="8"/>
        <v>-28.700000000000017</v>
      </c>
      <c r="H8" s="8">
        <f t="shared" si="8"/>
        <v>68.099999999999966</v>
      </c>
      <c r="I8" s="8">
        <f t="shared" si="8"/>
        <v>0</v>
      </c>
      <c r="J8" s="8">
        <f t="shared" si="8"/>
        <v>126.10000000000016</v>
      </c>
      <c r="K8" s="8">
        <f t="shared" si="8"/>
        <v>3.2999999999999829</v>
      </c>
      <c r="L8" s="8">
        <f t="shared" si="8"/>
        <v>84.299999999999983</v>
      </c>
      <c r="M8" s="8">
        <f t="shared" si="8"/>
        <v>88.299999999999955</v>
      </c>
      <c r="N8" s="8">
        <f t="shared" si="8"/>
        <v>73.700000000000074</v>
      </c>
      <c r="O8" s="8">
        <f t="shared" si="8"/>
        <v>47.400000000000034</v>
      </c>
      <c r="P8" s="8">
        <f t="shared" si="8"/>
        <v>125.00000000000007</v>
      </c>
      <c r="Q8" s="8">
        <f t="shared" si="8"/>
        <v>130.79999999999995</v>
      </c>
      <c r="R8" s="8">
        <f>R5-R6-R7</f>
        <v>56.80000000000004</v>
      </c>
      <c r="S8" s="8">
        <f t="shared" ref="S8:V8" si="9">S5-S6-S7</f>
        <v>92.011799999999994</v>
      </c>
      <c r="T8" s="8">
        <f t="shared" si="9"/>
        <v>163.61199999999999</v>
      </c>
      <c r="U8" s="8">
        <f t="shared" si="9"/>
        <v>168.65479999999997</v>
      </c>
      <c r="V8" s="8">
        <f t="shared" si="9"/>
        <v>175.60400000000001</v>
      </c>
      <c r="X8" s="8">
        <f t="shared" ref="X8:AC8" si="10">X5-X6</f>
        <v>45.599999999999966</v>
      </c>
      <c r="Y8" s="8">
        <f t="shared" si="10"/>
        <v>32.499999999999886</v>
      </c>
      <c r="Z8" s="8">
        <f t="shared" si="10"/>
        <v>110.5</v>
      </c>
      <c r="AA8" s="8">
        <f t="shared" si="10"/>
        <v>156.69999999999999</v>
      </c>
      <c r="AB8" s="8">
        <f t="shared" si="10"/>
        <v>165.50000000000011</v>
      </c>
      <c r="AC8" s="8">
        <f t="shared" si="10"/>
        <v>249.59999999999991</v>
      </c>
      <c r="AD8" s="8">
        <f>AD5-AD6-AD7</f>
        <v>360.00000000000034</v>
      </c>
      <c r="AE8" s="8">
        <f t="shared" ref="AE8:AN8" si="11">AE5-AE6</f>
        <v>599.8825999999998</v>
      </c>
      <c r="AF8" s="8">
        <f t="shared" si="11"/>
        <v>769.61985219999974</v>
      </c>
      <c r="AG8" s="8">
        <f t="shared" si="11"/>
        <v>869.8233377759999</v>
      </c>
      <c r="AH8" s="8">
        <f t="shared" si="11"/>
        <v>935.61178259280007</v>
      </c>
      <c r="AI8" s="8">
        <f t="shared" si="11"/>
        <v>989.92644192697196</v>
      </c>
      <c r="AJ8" s="8">
        <f t="shared" si="11"/>
        <v>1030.9969617919573</v>
      </c>
      <c r="AK8" s="8">
        <f t="shared" si="11"/>
        <v>1057.3601279644208</v>
      </c>
      <c r="AL8" s="8">
        <f t="shared" si="11"/>
        <v>1084.3079897296993</v>
      </c>
      <c r="AM8" s="8">
        <f t="shared" si="11"/>
        <v>1111.8528153223438</v>
      </c>
      <c r="AN8" s="8">
        <f t="shared" si="11"/>
        <v>1140.007124084821</v>
      </c>
    </row>
    <row r="9" spans="2:148" x14ac:dyDescent="0.3">
      <c r="B9" t="s">
        <v>17</v>
      </c>
      <c r="C9" s="5">
        <v>7</v>
      </c>
      <c r="D9" s="5">
        <v>1.9</v>
      </c>
      <c r="E9" s="5">
        <v>2.4</v>
      </c>
      <c r="F9" s="5">
        <f t="shared" ref="F9:F10" si="12">AA9-E9-D9-C9</f>
        <v>-3</v>
      </c>
      <c r="G9" s="5">
        <v>2</v>
      </c>
      <c r="H9" s="5">
        <v>2.1</v>
      </c>
      <c r="I9" s="5">
        <v>2.2000000000000002</v>
      </c>
      <c r="J9" s="5">
        <f t="shared" ref="J9:J10" si="13">AB9-I9-H9-G9</f>
        <v>2.0999999999999996</v>
      </c>
      <c r="K9" s="5">
        <v>2.1</v>
      </c>
      <c r="L9" s="5">
        <v>2</v>
      </c>
      <c r="M9" s="5">
        <v>2.4</v>
      </c>
      <c r="N9" s="5">
        <f>AC9-M9-L9-K9</f>
        <v>2.3000000000000003</v>
      </c>
      <c r="O9" s="5">
        <v>2.4</v>
      </c>
      <c r="P9" s="5">
        <v>2.7</v>
      </c>
      <c r="Q9" s="5">
        <v>2.8</v>
      </c>
      <c r="R9" s="5">
        <v>2.7</v>
      </c>
      <c r="S9" s="5">
        <v>3</v>
      </c>
      <c r="T9" s="5">
        <v>3</v>
      </c>
      <c r="U9" s="5">
        <v>3</v>
      </c>
      <c r="V9" s="5">
        <v>3</v>
      </c>
      <c r="X9" s="5">
        <v>-2.8</v>
      </c>
      <c r="Y9" s="5">
        <v>-0.7</v>
      </c>
      <c r="Z9" s="5">
        <v>18</v>
      </c>
      <c r="AA9" s="5">
        <v>8.3000000000000007</v>
      </c>
      <c r="AB9" s="5">
        <v>8.4</v>
      </c>
      <c r="AC9" s="5">
        <v>8.8000000000000007</v>
      </c>
      <c r="AD9" s="5">
        <f>SUM(O9:R9)</f>
        <v>10.6</v>
      </c>
      <c r="AE9" s="5">
        <f t="shared" ref="AE9:AE10" si="14">SUM(S9:V9)</f>
        <v>12</v>
      </c>
      <c r="AF9" s="5">
        <f t="shared" ref="AF9:AN9" si="15">AE9*1.03</f>
        <v>12.36</v>
      </c>
      <c r="AG9" s="5">
        <f t="shared" si="15"/>
        <v>12.7308</v>
      </c>
      <c r="AH9" s="5">
        <f t="shared" si="15"/>
        <v>13.112724</v>
      </c>
      <c r="AI9" s="5">
        <f t="shared" si="15"/>
        <v>13.506105720000001</v>
      </c>
      <c r="AJ9" s="5">
        <f t="shared" si="15"/>
        <v>13.911288891600002</v>
      </c>
      <c r="AK9" s="5">
        <f t="shared" si="15"/>
        <v>14.328627558348002</v>
      </c>
      <c r="AL9" s="5">
        <f t="shared" si="15"/>
        <v>14.758486385098442</v>
      </c>
      <c r="AM9" s="5">
        <f t="shared" si="15"/>
        <v>15.201240976651395</v>
      </c>
      <c r="AN9" s="5">
        <f t="shared" si="15"/>
        <v>15.657278205950936</v>
      </c>
    </row>
    <row r="10" spans="2:148" x14ac:dyDescent="0.3">
      <c r="B10" t="s">
        <v>18</v>
      </c>
      <c r="C10" s="5">
        <v>2</v>
      </c>
      <c r="D10" s="5">
        <v>-3.9</v>
      </c>
      <c r="E10" s="5">
        <v>-0.5</v>
      </c>
      <c r="F10" s="5">
        <f t="shared" si="12"/>
        <v>3.7</v>
      </c>
      <c r="G10" s="5">
        <v>-1</v>
      </c>
      <c r="H10" s="5">
        <v>-4</v>
      </c>
      <c r="I10" s="5">
        <v>-4.5999999999999996</v>
      </c>
      <c r="J10" s="5">
        <f t="shared" si="13"/>
        <v>-5.9</v>
      </c>
      <c r="K10" s="5">
        <v>-5.2</v>
      </c>
      <c r="L10" s="5">
        <v>-6.5</v>
      </c>
      <c r="M10" s="5">
        <v>-7.7</v>
      </c>
      <c r="N10" s="5">
        <f>AC10-M10-L10-K10</f>
        <v>-7.4999999999999991</v>
      </c>
      <c r="O10" s="5">
        <v>-8.8000000000000007</v>
      </c>
      <c r="P10" s="5">
        <v>-7.3</v>
      </c>
      <c r="Q10" s="5">
        <v>-7.4</v>
      </c>
      <c r="R10" s="5">
        <v>-10.199999999999999</v>
      </c>
      <c r="S10" s="5">
        <v>-10</v>
      </c>
      <c r="T10" s="5">
        <v>-10</v>
      </c>
      <c r="U10" s="5">
        <v>-10</v>
      </c>
      <c r="V10" s="5">
        <v>-10</v>
      </c>
      <c r="X10" s="5">
        <v>-0.1</v>
      </c>
      <c r="Y10" s="5">
        <v>-0.3</v>
      </c>
      <c r="Z10" s="5">
        <v>-2.8</v>
      </c>
      <c r="AA10" s="5">
        <v>1.3</v>
      </c>
      <c r="AB10" s="5">
        <v>-15.5</v>
      </c>
      <c r="AC10" s="5">
        <v>-26.9</v>
      </c>
      <c r="AD10" s="5">
        <f>SUM(O10:R10)</f>
        <v>-33.700000000000003</v>
      </c>
      <c r="AE10" s="5">
        <f t="shared" si="14"/>
        <v>-40</v>
      </c>
      <c r="AF10" s="5">
        <f t="shared" ref="AF10:AN10" si="16">AE10*1.03</f>
        <v>-41.2</v>
      </c>
      <c r="AG10" s="5">
        <f t="shared" si="16"/>
        <v>-42.436000000000007</v>
      </c>
      <c r="AH10" s="5">
        <f t="shared" si="16"/>
        <v>-43.709080000000007</v>
      </c>
      <c r="AI10" s="5">
        <f t="shared" si="16"/>
        <v>-45.020352400000007</v>
      </c>
      <c r="AJ10" s="5">
        <f t="shared" si="16"/>
        <v>-46.370962972000008</v>
      </c>
      <c r="AK10" s="5">
        <f t="shared" si="16"/>
        <v>-47.762091861160009</v>
      </c>
      <c r="AL10" s="5">
        <f t="shared" si="16"/>
        <v>-49.194954616994814</v>
      </c>
      <c r="AM10" s="5">
        <f t="shared" si="16"/>
        <v>-50.670803255504659</v>
      </c>
      <c r="AN10" s="5">
        <f t="shared" si="16"/>
        <v>-52.190927353169798</v>
      </c>
    </row>
    <row r="11" spans="2:148" s="1" customFormat="1" x14ac:dyDescent="0.3">
      <c r="B11" s="1" t="s">
        <v>19</v>
      </c>
      <c r="C11" s="8">
        <f t="shared" ref="C11:R11" si="17">C8-C9-C10</f>
        <v>-16.000000000000028</v>
      </c>
      <c r="D11" s="8">
        <f t="shared" si="17"/>
        <v>58.900000000000006</v>
      </c>
      <c r="E11" s="8">
        <f t="shared" si="17"/>
        <v>58.70000000000001</v>
      </c>
      <c r="F11" s="8">
        <f t="shared" si="17"/>
        <v>45.499999999999929</v>
      </c>
      <c r="G11" s="8">
        <f t="shared" si="17"/>
        <v>-29.700000000000017</v>
      </c>
      <c r="H11" s="8">
        <f t="shared" si="17"/>
        <v>69.999999999999972</v>
      </c>
      <c r="I11" s="8">
        <f t="shared" si="17"/>
        <v>2.3999999999999995</v>
      </c>
      <c r="J11" s="8">
        <f t="shared" si="17"/>
        <v>129.90000000000018</v>
      </c>
      <c r="K11" s="8">
        <f t="shared" si="17"/>
        <v>6.3999999999999826</v>
      </c>
      <c r="L11" s="8">
        <f t="shared" si="17"/>
        <v>88.799999999999983</v>
      </c>
      <c r="M11" s="8">
        <f t="shared" si="17"/>
        <v>93.599999999999952</v>
      </c>
      <c r="N11" s="8">
        <f t="shared" si="17"/>
        <v>78.900000000000077</v>
      </c>
      <c r="O11" s="8">
        <f t="shared" si="17"/>
        <v>53.80000000000004</v>
      </c>
      <c r="P11" s="8">
        <f t="shared" si="17"/>
        <v>129.60000000000008</v>
      </c>
      <c r="Q11" s="8">
        <f t="shared" si="17"/>
        <v>135.39999999999995</v>
      </c>
      <c r="R11" s="8">
        <f t="shared" si="17"/>
        <v>64.30000000000004</v>
      </c>
      <c r="S11" s="8">
        <f t="shared" ref="S11" si="18">S8-S9-S10</f>
        <v>99.011799999999994</v>
      </c>
      <c r="T11" s="8">
        <f t="shared" ref="T11" si="19">T8-T9-T10</f>
        <v>170.61199999999999</v>
      </c>
      <c r="U11" s="8">
        <f t="shared" ref="U11" si="20">U8-U9-U10</f>
        <v>175.65479999999997</v>
      </c>
      <c r="V11" s="8">
        <f t="shared" ref="V11" si="21">V8-V9-V10</f>
        <v>182.60400000000001</v>
      </c>
      <c r="X11" s="8">
        <f t="shared" ref="X11:AE11" si="22">X8-X9-X10</f>
        <v>48.499999999999964</v>
      </c>
      <c r="Y11" s="8">
        <f t="shared" si="22"/>
        <v>33.499999999999886</v>
      </c>
      <c r="Z11" s="8">
        <f t="shared" si="22"/>
        <v>95.3</v>
      </c>
      <c r="AA11" s="8">
        <f t="shared" si="22"/>
        <v>147.09999999999997</v>
      </c>
      <c r="AB11" s="8">
        <f t="shared" si="22"/>
        <v>172.60000000000011</v>
      </c>
      <c r="AC11" s="8">
        <f t="shared" si="22"/>
        <v>267.69999999999987</v>
      </c>
      <c r="AD11" s="8">
        <f t="shared" si="22"/>
        <v>383.10000000000031</v>
      </c>
      <c r="AE11" s="8">
        <f t="shared" si="22"/>
        <v>627.8825999999998</v>
      </c>
      <c r="AF11" s="8">
        <f t="shared" ref="AF11:AN11" si="23">AF8-AF9-AF10</f>
        <v>798.45985219999977</v>
      </c>
      <c r="AG11" s="8">
        <f t="shared" si="23"/>
        <v>899.52853777599989</v>
      </c>
      <c r="AH11" s="8">
        <f t="shared" si="23"/>
        <v>966.20813859280008</v>
      </c>
      <c r="AI11" s="8">
        <f t="shared" si="23"/>
        <v>1021.4406886069719</v>
      </c>
      <c r="AJ11" s="8">
        <f t="shared" si="23"/>
        <v>1063.4566358723573</v>
      </c>
      <c r="AK11" s="8">
        <f t="shared" si="23"/>
        <v>1090.793592267233</v>
      </c>
      <c r="AL11" s="8">
        <f t="shared" si="23"/>
        <v>1118.7444579615958</v>
      </c>
      <c r="AM11" s="8">
        <f t="shared" si="23"/>
        <v>1147.3223776011969</v>
      </c>
      <c r="AN11" s="8">
        <f t="shared" si="23"/>
        <v>1176.54077323204</v>
      </c>
    </row>
    <row r="12" spans="2:148" x14ac:dyDescent="0.3">
      <c r="B12" t="s">
        <v>20</v>
      </c>
      <c r="C12" s="5">
        <v>-2.9</v>
      </c>
      <c r="D12" s="5">
        <v>15.9</v>
      </c>
      <c r="E12" s="5">
        <v>16.7</v>
      </c>
      <c r="F12" s="5">
        <f t="shared" ref="F12:F13" si="24">AA12-E12-D12-C12</f>
        <v>10.400000000000002</v>
      </c>
      <c r="G12" s="5">
        <v>-7.5</v>
      </c>
      <c r="H12" s="5">
        <v>18.899999999999999</v>
      </c>
      <c r="I12" s="5">
        <v>19.5</v>
      </c>
      <c r="J12" s="5">
        <f t="shared" ref="J12:J13" si="25">AB12-I12-H12-G12</f>
        <v>14.399999999999999</v>
      </c>
      <c r="K12" s="5">
        <v>1.5</v>
      </c>
      <c r="L12" s="5">
        <v>22.2</v>
      </c>
      <c r="M12" s="5">
        <v>24.7</v>
      </c>
      <c r="N12" s="5">
        <f>AC12-M12-L12-K12</f>
        <v>16.099999999999998</v>
      </c>
      <c r="O12" s="5">
        <v>11.3</v>
      </c>
      <c r="P12" s="5">
        <v>33.4</v>
      </c>
      <c r="Q12" s="5">
        <v>35.5</v>
      </c>
      <c r="R12" s="5">
        <v>12.9</v>
      </c>
      <c r="S12" s="5">
        <f>S11*0.24</f>
        <v>23.762831999999996</v>
      </c>
      <c r="T12" s="5">
        <f t="shared" ref="T12:V12" si="26">T11*0.24</f>
        <v>40.94688</v>
      </c>
      <c r="U12" s="5">
        <f t="shared" si="26"/>
        <v>42.157151999999989</v>
      </c>
      <c r="V12" s="5">
        <f t="shared" si="26"/>
        <v>43.824960000000004</v>
      </c>
      <c r="X12" s="5">
        <v>10.5</v>
      </c>
      <c r="Y12" s="5">
        <v>8.5</v>
      </c>
      <c r="Z12" s="5">
        <v>24.5</v>
      </c>
      <c r="AA12" s="5">
        <v>40.1</v>
      </c>
      <c r="AB12" s="5">
        <v>45.3</v>
      </c>
      <c r="AC12" s="5">
        <v>64.5</v>
      </c>
      <c r="AD12" s="5">
        <f>SUM(O12:R12)</f>
        <v>93.100000000000009</v>
      </c>
      <c r="AE12" s="5">
        <f t="shared" ref="AE12:AE13" si="27">SUM(S12:V12)</f>
        <v>150.691824</v>
      </c>
      <c r="AF12" s="5">
        <f t="shared" ref="AF12:AN12" si="28">AF11*0.25</f>
        <v>199.61496304999994</v>
      </c>
      <c r="AG12" s="5">
        <f t="shared" si="28"/>
        <v>224.88213444399997</v>
      </c>
      <c r="AH12" s="5">
        <f t="shared" si="28"/>
        <v>241.55203464820002</v>
      </c>
      <c r="AI12" s="5">
        <f t="shared" si="28"/>
        <v>255.36017215174297</v>
      </c>
      <c r="AJ12" s="5">
        <f t="shared" si="28"/>
        <v>265.86415896808933</v>
      </c>
      <c r="AK12" s="5">
        <f t="shared" si="28"/>
        <v>272.69839806680824</v>
      </c>
      <c r="AL12" s="5">
        <f t="shared" si="28"/>
        <v>279.68611449039895</v>
      </c>
      <c r="AM12" s="5">
        <f t="shared" si="28"/>
        <v>286.83059440029922</v>
      </c>
      <c r="AN12" s="5">
        <f t="shared" si="28"/>
        <v>294.13519330801</v>
      </c>
    </row>
    <row r="13" spans="2:148" x14ac:dyDescent="0.3">
      <c r="B13" t="s">
        <v>21</v>
      </c>
      <c r="C13" s="5">
        <v>-0.3</v>
      </c>
      <c r="D13" s="5">
        <v>1</v>
      </c>
      <c r="E13" s="5">
        <v>-0.9</v>
      </c>
      <c r="F13" s="5">
        <f t="shared" si="24"/>
        <v>0.10000000000000003</v>
      </c>
      <c r="G13" s="5">
        <v>0.5</v>
      </c>
      <c r="H13" s="5">
        <v>0.4</v>
      </c>
      <c r="I13" s="5">
        <v>-0.4</v>
      </c>
      <c r="J13" s="5">
        <f t="shared" si="25"/>
        <v>-0.20000000000000007</v>
      </c>
      <c r="K13" s="5">
        <v>0</v>
      </c>
      <c r="L13" s="5">
        <v>-0.2</v>
      </c>
      <c r="M13" s="5">
        <v>-0.8</v>
      </c>
      <c r="N13" s="5">
        <f>AC13-M13-L13-K13</f>
        <v>5.5511151231257827E-17</v>
      </c>
      <c r="O13" s="5">
        <v>1.6</v>
      </c>
      <c r="P13" s="5">
        <v>0</v>
      </c>
      <c r="Q13" s="5">
        <v>0.6</v>
      </c>
      <c r="R13" s="5">
        <v>0.1</v>
      </c>
      <c r="S13" s="5">
        <v>0</v>
      </c>
      <c r="T13" s="5">
        <v>0</v>
      </c>
      <c r="U13" s="5">
        <v>0</v>
      </c>
      <c r="V13" s="5">
        <v>0</v>
      </c>
      <c r="X13" s="5">
        <v>0.6</v>
      </c>
      <c r="Y13" s="5">
        <v>0.4</v>
      </c>
      <c r="Z13" s="5">
        <v>-0.7</v>
      </c>
      <c r="AA13" s="5">
        <v>-0.1</v>
      </c>
      <c r="AB13" s="5">
        <v>0.3</v>
      </c>
      <c r="AC13" s="5">
        <v>-1</v>
      </c>
      <c r="AD13" s="5">
        <f>SUM(O13:R13)</f>
        <v>2.3000000000000003</v>
      </c>
      <c r="AE13" s="5">
        <f t="shared" si="27"/>
        <v>0</v>
      </c>
      <c r="AF13" s="5">
        <f t="shared" ref="AF13:AN13" si="29">AF11*0.01</f>
        <v>7.984598521999998</v>
      </c>
      <c r="AG13" s="5">
        <f t="shared" si="29"/>
        <v>8.9952853777599984</v>
      </c>
      <c r="AH13" s="5">
        <f t="shared" si="29"/>
        <v>9.6620813859280013</v>
      </c>
      <c r="AI13" s="5">
        <f t="shared" si="29"/>
        <v>10.214406886069719</v>
      </c>
      <c r="AJ13" s="5">
        <f t="shared" si="29"/>
        <v>10.634566358723573</v>
      </c>
      <c r="AK13" s="5">
        <f t="shared" si="29"/>
        <v>10.90793592267233</v>
      </c>
      <c r="AL13" s="5">
        <f t="shared" si="29"/>
        <v>11.187444579615958</v>
      </c>
      <c r="AM13" s="5">
        <f t="shared" si="29"/>
        <v>11.473223776011968</v>
      </c>
      <c r="AN13" s="5">
        <f t="shared" si="29"/>
        <v>11.7654077323204</v>
      </c>
    </row>
    <row r="14" spans="2:148" s="1" customFormat="1" x14ac:dyDescent="0.3">
      <c r="B14" s="1" t="s">
        <v>22</v>
      </c>
      <c r="C14" s="8">
        <f t="shared" ref="C14:S14" si="30">C11-C12-C13</f>
        <v>-12.800000000000027</v>
      </c>
      <c r="D14" s="8">
        <f t="shared" si="30"/>
        <v>42.000000000000007</v>
      </c>
      <c r="E14" s="8">
        <f t="shared" si="30"/>
        <v>42.900000000000013</v>
      </c>
      <c r="F14" s="8">
        <f t="shared" si="30"/>
        <v>34.999999999999922</v>
      </c>
      <c r="G14" s="8">
        <f t="shared" si="30"/>
        <v>-22.700000000000017</v>
      </c>
      <c r="H14" s="8">
        <f t="shared" si="30"/>
        <v>50.699999999999974</v>
      </c>
      <c r="I14" s="8">
        <f t="shared" si="30"/>
        <v>-16.700000000000003</v>
      </c>
      <c r="J14" s="8">
        <f t="shared" si="30"/>
        <v>115.70000000000017</v>
      </c>
      <c r="K14" s="8">
        <f t="shared" si="30"/>
        <v>4.8999999999999826</v>
      </c>
      <c r="L14" s="8">
        <f t="shared" si="30"/>
        <v>66.799999999999983</v>
      </c>
      <c r="M14" s="8">
        <f t="shared" si="30"/>
        <v>69.699999999999946</v>
      </c>
      <c r="N14" s="8">
        <f t="shared" si="30"/>
        <v>62.800000000000082</v>
      </c>
      <c r="O14" s="8">
        <f t="shared" si="30"/>
        <v>40.900000000000041</v>
      </c>
      <c r="P14" s="8">
        <f t="shared" si="30"/>
        <v>96.200000000000074</v>
      </c>
      <c r="Q14" s="8">
        <f t="shared" si="30"/>
        <v>99.299999999999955</v>
      </c>
      <c r="R14" s="8">
        <f t="shared" si="30"/>
        <v>51.30000000000004</v>
      </c>
      <c r="S14" s="8">
        <f t="shared" si="30"/>
        <v>75.248967999999991</v>
      </c>
      <c r="T14" s="8">
        <f t="shared" ref="T14" si="31">T11-T12-T13</f>
        <v>129.66512</v>
      </c>
      <c r="U14" s="8">
        <f t="shared" ref="U14" si="32">U11-U12-U13</f>
        <v>133.49764799999997</v>
      </c>
      <c r="V14" s="8">
        <f t="shared" ref="V14" si="33">V11-V12-V13</f>
        <v>138.77904000000001</v>
      </c>
      <c r="X14" s="8">
        <f t="shared" ref="X14:AE14" si="34">X11-X12-X13</f>
        <v>37.399999999999963</v>
      </c>
      <c r="Y14" s="8">
        <f t="shared" si="34"/>
        <v>24.599999999999888</v>
      </c>
      <c r="Z14" s="8">
        <f t="shared" si="34"/>
        <v>71.5</v>
      </c>
      <c r="AA14" s="8">
        <f t="shared" si="34"/>
        <v>107.09999999999997</v>
      </c>
      <c r="AB14" s="8">
        <f t="shared" si="34"/>
        <v>127.00000000000011</v>
      </c>
      <c r="AC14" s="8">
        <f t="shared" si="34"/>
        <v>204.19999999999987</v>
      </c>
      <c r="AD14" s="8">
        <f t="shared" si="34"/>
        <v>287.70000000000027</v>
      </c>
      <c r="AE14" s="8">
        <f t="shared" si="34"/>
        <v>477.1907759999998</v>
      </c>
      <c r="AF14" s="8">
        <f t="shared" ref="AF14:AN14" si="35">AF11-AF12-AF13</f>
        <v>590.86029062799992</v>
      </c>
      <c r="AG14" s="8">
        <f t="shared" si="35"/>
        <v>665.65111795423991</v>
      </c>
      <c r="AH14" s="8">
        <f t="shared" si="35"/>
        <v>714.9940225586721</v>
      </c>
      <c r="AI14" s="8">
        <f t="shared" si="35"/>
        <v>755.86610956915922</v>
      </c>
      <c r="AJ14" s="8">
        <f t="shared" si="35"/>
        <v>786.95791054554445</v>
      </c>
      <c r="AK14" s="8">
        <f t="shared" si="35"/>
        <v>807.18725827775233</v>
      </c>
      <c r="AL14" s="8">
        <f t="shared" si="35"/>
        <v>827.87089889158085</v>
      </c>
      <c r="AM14" s="8">
        <f t="shared" si="35"/>
        <v>849.01855942488567</v>
      </c>
      <c r="AN14" s="8">
        <f t="shared" si="35"/>
        <v>870.64017219170955</v>
      </c>
      <c r="AO14" s="1">
        <f>AN14*(1+$AQ$19)</f>
        <v>861.93377046979242</v>
      </c>
      <c r="AP14" s="1">
        <f t="shared" ref="AP14:DA14" si="36">AO14*(1+$AQ$19)</f>
        <v>853.31443276509447</v>
      </c>
      <c r="AQ14" s="1">
        <f t="shared" si="36"/>
        <v>844.78128843744355</v>
      </c>
      <c r="AR14" s="1">
        <f t="shared" si="36"/>
        <v>836.33347555306909</v>
      </c>
      <c r="AS14" s="1">
        <f t="shared" si="36"/>
        <v>827.97014079753842</v>
      </c>
      <c r="AT14" s="1">
        <f t="shared" si="36"/>
        <v>819.69043938956304</v>
      </c>
      <c r="AU14" s="1">
        <f t="shared" si="36"/>
        <v>811.49353499566735</v>
      </c>
      <c r="AV14" s="1">
        <f t="shared" si="36"/>
        <v>803.37859964571066</v>
      </c>
      <c r="AW14" s="1">
        <f t="shared" si="36"/>
        <v>795.34481364925352</v>
      </c>
      <c r="AX14" s="1">
        <f t="shared" si="36"/>
        <v>787.39136551276101</v>
      </c>
      <c r="AY14" s="1">
        <f t="shared" si="36"/>
        <v>779.51745185763343</v>
      </c>
      <c r="AZ14" s="1">
        <f t="shared" si="36"/>
        <v>771.72227733905709</v>
      </c>
      <c r="BA14" s="1">
        <f t="shared" si="36"/>
        <v>764.00505456566646</v>
      </c>
      <c r="BB14" s="1">
        <f t="shared" si="36"/>
        <v>756.36500402000979</v>
      </c>
      <c r="BC14" s="1">
        <f t="shared" si="36"/>
        <v>748.80135397980973</v>
      </c>
      <c r="BD14" s="1">
        <f t="shared" si="36"/>
        <v>741.31334044001164</v>
      </c>
      <c r="BE14" s="1">
        <f t="shared" si="36"/>
        <v>733.90020703561152</v>
      </c>
      <c r="BF14" s="1">
        <f t="shared" si="36"/>
        <v>726.56120496525534</v>
      </c>
      <c r="BG14" s="1">
        <f t="shared" si="36"/>
        <v>719.29559291560281</v>
      </c>
      <c r="BH14" s="1">
        <f t="shared" si="36"/>
        <v>712.10263698644678</v>
      </c>
      <c r="BI14" s="1">
        <f t="shared" si="36"/>
        <v>704.98161061658232</v>
      </c>
      <c r="BJ14" s="1">
        <f t="shared" si="36"/>
        <v>697.93179451041647</v>
      </c>
      <c r="BK14" s="1">
        <f t="shared" si="36"/>
        <v>690.95247656531228</v>
      </c>
      <c r="BL14" s="1">
        <f t="shared" si="36"/>
        <v>684.04295179965914</v>
      </c>
      <c r="BM14" s="1">
        <f t="shared" si="36"/>
        <v>677.20252228166248</v>
      </c>
      <c r="BN14" s="1">
        <f t="shared" si="36"/>
        <v>670.43049705884584</v>
      </c>
      <c r="BO14" s="1">
        <f t="shared" si="36"/>
        <v>663.72619208825733</v>
      </c>
      <c r="BP14" s="1">
        <f t="shared" si="36"/>
        <v>657.08893016737477</v>
      </c>
      <c r="BQ14" s="1">
        <f t="shared" si="36"/>
        <v>650.51804086570098</v>
      </c>
      <c r="BR14" s="1">
        <f t="shared" si="36"/>
        <v>644.01286045704398</v>
      </c>
      <c r="BS14" s="1">
        <f t="shared" si="36"/>
        <v>637.57273185247357</v>
      </c>
      <c r="BT14" s="1">
        <f t="shared" si="36"/>
        <v>631.19700453394887</v>
      </c>
      <c r="BU14" s="1">
        <f t="shared" si="36"/>
        <v>624.88503448860934</v>
      </c>
      <c r="BV14" s="1">
        <f t="shared" si="36"/>
        <v>618.6361841437232</v>
      </c>
      <c r="BW14" s="1">
        <f t="shared" si="36"/>
        <v>612.44982230228595</v>
      </c>
      <c r="BX14" s="1">
        <f t="shared" si="36"/>
        <v>606.32532407926305</v>
      </c>
      <c r="BY14" s="1">
        <f t="shared" si="36"/>
        <v>600.26207083847044</v>
      </c>
      <c r="BZ14" s="1">
        <f t="shared" si="36"/>
        <v>594.25945013008572</v>
      </c>
      <c r="CA14" s="1">
        <f t="shared" si="36"/>
        <v>588.31685562878488</v>
      </c>
      <c r="CB14" s="1">
        <f t="shared" si="36"/>
        <v>582.43368707249704</v>
      </c>
      <c r="CC14" s="1">
        <f t="shared" si="36"/>
        <v>576.60935020177203</v>
      </c>
      <c r="CD14" s="1">
        <f t="shared" si="36"/>
        <v>570.84325669975431</v>
      </c>
      <c r="CE14" s="1">
        <f t="shared" si="36"/>
        <v>565.13482413275676</v>
      </c>
      <c r="CF14" s="1">
        <f t="shared" si="36"/>
        <v>559.48347589142918</v>
      </c>
      <c r="CG14" s="1">
        <f t="shared" si="36"/>
        <v>553.88864113251486</v>
      </c>
      <c r="CH14" s="1">
        <f t="shared" si="36"/>
        <v>548.3497547211897</v>
      </c>
      <c r="CI14" s="1">
        <f t="shared" si="36"/>
        <v>542.86625717397783</v>
      </c>
      <c r="CJ14" s="1">
        <f t="shared" si="36"/>
        <v>537.43759460223805</v>
      </c>
      <c r="CK14" s="1">
        <f t="shared" si="36"/>
        <v>532.06321865621567</v>
      </c>
      <c r="CL14" s="1">
        <f t="shared" si="36"/>
        <v>526.74258646965347</v>
      </c>
      <c r="CM14" s="1">
        <f t="shared" si="36"/>
        <v>521.47516060495695</v>
      </c>
      <c r="CN14" s="1">
        <f t="shared" si="36"/>
        <v>516.26040899890734</v>
      </c>
      <c r="CO14" s="1">
        <f t="shared" si="36"/>
        <v>511.09780490891825</v>
      </c>
      <c r="CP14" s="1">
        <f t="shared" si="36"/>
        <v>505.98682685982908</v>
      </c>
      <c r="CQ14" s="1">
        <f t="shared" si="36"/>
        <v>500.9269585912308</v>
      </c>
      <c r="CR14" s="1">
        <f t="shared" si="36"/>
        <v>495.91768900531849</v>
      </c>
      <c r="CS14" s="1">
        <f t="shared" si="36"/>
        <v>490.95851211526531</v>
      </c>
      <c r="CT14" s="1">
        <f t="shared" si="36"/>
        <v>486.04892699411266</v>
      </c>
      <c r="CU14" s="1">
        <f t="shared" si="36"/>
        <v>481.18843772417154</v>
      </c>
      <c r="CV14" s="1">
        <f t="shared" si="36"/>
        <v>476.37655334692982</v>
      </c>
      <c r="CW14" s="1">
        <f t="shared" si="36"/>
        <v>471.6127878134605</v>
      </c>
      <c r="CX14" s="1">
        <f t="shared" si="36"/>
        <v>466.89665993532589</v>
      </c>
      <c r="CY14" s="1">
        <f t="shared" si="36"/>
        <v>462.22769333597262</v>
      </c>
      <c r="CZ14" s="1">
        <f t="shared" si="36"/>
        <v>457.60541640261289</v>
      </c>
      <c r="DA14" s="1">
        <f t="shared" si="36"/>
        <v>453.02936223858677</v>
      </c>
      <c r="DB14" s="1">
        <f t="shared" ref="DB14:ER14" si="37">DA14*(1+$AQ$19)</f>
        <v>448.49906861620087</v>
      </c>
      <c r="DC14" s="1">
        <f t="shared" si="37"/>
        <v>444.01407793003887</v>
      </c>
      <c r="DD14" s="1">
        <f t="shared" si="37"/>
        <v>439.57393715073846</v>
      </c>
      <c r="DE14" s="1">
        <f t="shared" si="37"/>
        <v>435.17819777923108</v>
      </c>
      <c r="DF14" s="1">
        <f t="shared" si="37"/>
        <v>430.82641580143877</v>
      </c>
      <c r="DG14" s="1">
        <f t="shared" si="37"/>
        <v>426.5181516434244</v>
      </c>
      <c r="DH14" s="1">
        <f t="shared" si="37"/>
        <v>422.25297012699014</v>
      </c>
      <c r="DI14" s="1">
        <f t="shared" si="37"/>
        <v>418.03044042572026</v>
      </c>
      <c r="DJ14" s="1">
        <f t="shared" si="37"/>
        <v>413.85013602146307</v>
      </c>
      <c r="DK14" s="1">
        <f t="shared" si="37"/>
        <v>409.71163466124841</v>
      </c>
      <c r="DL14" s="1">
        <f t="shared" si="37"/>
        <v>405.61451831463592</v>
      </c>
      <c r="DM14" s="1">
        <f t="shared" si="37"/>
        <v>401.55837313148953</v>
      </c>
      <c r="DN14" s="1">
        <f t="shared" si="37"/>
        <v>397.54278940017463</v>
      </c>
      <c r="DO14" s="1">
        <f t="shared" si="37"/>
        <v>393.56736150617286</v>
      </c>
      <c r="DP14" s="1">
        <f t="shared" si="37"/>
        <v>389.63168789111114</v>
      </c>
      <c r="DQ14" s="1">
        <f t="shared" si="37"/>
        <v>385.73537101220001</v>
      </c>
      <c r="DR14" s="1">
        <f t="shared" si="37"/>
        <v>381.87801730207798</v>
      </c>
      <c r="DS14" s="1">
        <f t="shared" si="37"/>
        <v>378.05923712905718</v>
      </c>
      <c r="DT14" s="1">
        <f t="shared" si="37"/>
        <v>374.27864475776659</v>
      </c>
      <c r="DU14" s="1">
        <f t="shared" si="37"/>
        <v>370.53585831018893</v>
      </c>
      <c r="DV14" s="1">
        <f t="shared" si="37"/>
        <v>366.83049972708704</v>
      </c>
      <c r="DW14" s="1">
        <f t="shared" si="37"/>
        <v>363.16219472981618</v>
      </c>
      <c r="DX14" s="1">
        <f t="shared" si="37"/>
        <v>359.53057278251799</v>
      </c>
      <c r="DY14" s="1">
        <f t="shared" si="37"/>
        <v>355.93526705469282</v>
      </c>
      <c r="DZ14" s="1">
        <f t="shared" si="37"/>
        <v>352.37591438414586</v>
      </c>
      <c r="EA14" s="1">
        <f t="shared" si="37"/>
        <v>348.8521552403044</v>
      </c>
      <c r="EB14" s="1">
        <f t="shared" si="37"/>
        <v>345.36363368790137</v>
      </c>
      <c r="EC14" s="1">
        <f t="shared" si="37"/>
        <v>341.90999735102235</v>
      </c>
      <c r="ED14" s="1">
        <f t="shared" si="37"/>
        <v>338.49089737751211</v>
      </c>
      <c r="EE14" s="1">
        <f t="shared" si="37"/>
        <v>335.105988403737</v>
      </c>
      <c r="EF14" s="1">
        <f t="shared" si="37"/>
        <v>331.7549285196996</v>
      </c>
      <c r="EG14" s="1">
        <f t="shared" si="37"/>
        <v>328.4373792345026</v>
      </c>
      <c r="EH14" s="1">
        <f t="shared" si="37"/>
        <v>325.15300544215756</v>
      </c>
      <c r="EI14" s="1">
        <f t="shared" si="37"/>
        <v>321.90147538773601</v>
      </c>
      <c r="EJ14" s="1">
        <f t="shared" si="37"/>
        <v>318.68246063385862</v>
      </c>
      <c r="EK14" s="1">
        <f t="shared" si="37"/>
        <v>315.49563602752005</v>
      </c>
      <c r="EL14" s="1">
        <f t="shared" si="37"/>
        <v>312.34067966724484</v>
      </c>
      <c r="EM14" s="1">
        <f t="shared" si="37"/>
        <v>309.2172728705724</v>
      </c>
      <c r="EN14" s="1">
        <f t="shared" si="37"/>
        <v>306.12510014186665</v>
      </c>
      <c r="EO14" s="1">
        <f t="shared" si="37"/>
        <v>303.06384914044799</v>
      </c>
      <c r="EP14" s="1">
        <f t="shared" si="37"/>
        <v>300.0332106490435</v>
      </c>
      <c r="EQ14" s="1">
        <f t="shared" si="37"/>
        <v>297.03287854255308</v>
      </c>
      <c r="ER14" s="1">
        <f t="shared" si="37"/>
        <v>294.06254975712756</v>
      </c>
    </row>
    <row r="15" spans="2:148" x14ac:dyDescent="0.3">
      <c r="B15" t="s">
        <v>1</v>
      </c>
      <c r="C15" s="5">
        <v>40.6</v>
      </c>
      <c r="D15" s="5">
        <v>41.5</v>
      </c>
      <c r="E15" s="5">
        <v>41.8</v>
      </c>
      <c r="F15" s="11">
        <v>41.8</v>
      </c>
      <c r="G15" s="5">
        <v>42.1</v>
      </c>
      <c r="H15" s="5">
        <v>42.3</v>
      </c>
      <c r="I15" s="5">
        <v>42.4</v>
      </c>
      <c r="J15" s="11">
        <v>42.5</v>
      </c>
      <c r="K15" s="5">
        <v>42.5</v>
      </c>
      <c r="L15" s="5">
        <v>42.6</v>
      </c>
      <c r="M15" s="5">
        <v>42.7</v>
      </c>
      <c r="N15" s="11">
        <v>42.7</v>
      </c>
      <c r="O15" s="5">
        <v>42.9</v>
      </c>
      <c r="P15" s="5">
        <v>43</v>
      </c>
      <c r="Q15" s="5">
        <v>43.1</v>
      </c>
      <c r="R15" s="5">
        <f>43.2</f>
        <v>43.2</v>
      </c>
      <c r="S15" s="5">
        <f>43.2</f>
        <v>43.2</v>
      </c>
      <c r="T15" s="5">
        <f t="shared" ref="T15:V15" si="38">43.2</f>
        <v>43.2</v>
      </c>
      <c r="U15" s="5">
        <f t="shared" si="38"/>
        <v>43.2</v>
      </c>
      <c r="V15" s="5">
        <f t="shared" si="38"/>
        <v>43.2</v>
      </c>
      <c r="X15" s="5">
        <v>38.799999999999997</v>
      </c>
      <c r="Y15" s="5">
        <v>39.5</v>
      </c>
      <c r="Z15" s="5">
        <v>40.200000000000003</v>
      </c>
      <c r="AA15" s="5">
        <v>41.5</v>
      </c>
      <c r="AB15" s="5">
        <v>42.3</v>
      </c>
      <c r="AC15" s="5">
        <v>42.6</v>
      </c>
      <c r="AD15" s="5">
        <f t="shared" ref="AD15:AN15" si="39">43.2</f>
        <v>43.2</v>
      </c>
      <c r="AE15" s="5">
        <f t="shared" si="39"/>
        <v>43.2</v>
      </c>
      <c r="AF15" s="5">
        <f t="shared" si="39"/>
        <v>43.2</v>
      </c>
      <c r="AG15" s="5">
        <f t="shared" si="39"/>
        <v>43.2</v>
      </c>
      <c r="AH15" s="5">
        <f t="shared" si="39"/>
        <v>43.2</v>
      </c>
      <c r="AI15" s="5">
        <f t="shared" si="39"/>
        <v>43.2</v>
      </c>
      <c r="AJ15" s="5">
        <f t="shared" si="39"/>
        <v>43.2</v>
      </c>
      <c r="AK15" s="5">
        <f t="shared" si="39"/>
        <v>43.2</v>
      </c>
      <c r="AL15" s="5">
        <f t="shared" si="39"/>
        <v>43.2</v>
      </c>
      <c r="AM15" s="5">
        <f t="shared" si="39"/>
        <v>43.2</v>
      </c>
      <c r="AN15" s="5">
        <f t="shared" si="39"/>
        <v>43.2</v>
      </c>
    </row>
    <row r="16" spans="2:148" x14ac:dyDescent="0.3">
      <c r="B16" t="s">
        <v>23</v>
      </c>
      <c r="C16" s="7">
        <f t="shared" ref="C16:S16" si="40">C14/C15</f>
        <v>-0.3152709359605918</v>
      </c>
      <c r="D16" s="7">
        <f t="shared" si="40"/>
        <v>1.0120481927710845</v>
      </c>
      <c r="E16" s="7">
        <f t="shared" si="40"/>
        <v>1.0263157894736845</v>
      </c>
      <c r="F16" s="7">
        <f t="shared" si="40"/>
        <v>0.83732057416267758</v>
      </c>
      <c r="G16" s="7">
        <f t="shared" si="40"/>
        <v>-0.53919239904988159</v>
      </c>
      <c r="H16" s="7">
        <f t="shared" si="40"/>
        <v>1.1985815602836873</v>
      </c>
      <c r="I16" s="7">
        <f t="shared" si="40"/>
        <v>-0.39386792452830199</v>
      </c>
      <c r="J16" s="7">
        <f t="shared" si="40"/>
        <v>2.7223529411764749</v>
      </c>
      <c r="K16" s="7">
        <f t="shared" si="40"/>
        <v>0.11529411764705841</v>
      </c>
      <c r="L16" s="7">
        <f t="shared" si="40"/>
        <v>1.5680751173708916</v>
      </c>
      <c r="M16" s="7">
        <f t="shared" si="40"/>
        <v>1.6323185011709589</v>
      </c>
      <c r="N16" s="7">
        <f t="shared" si="40"/>
        <v>1.4707259953161611</v>
      </c>
      <c r="O16" s="7">
        <f t="shared" si="40"/>
        <v>0.9533799533799544</v>
      </c>
      <c r="P16" s="7">
        <f t="shared" si="40"/>
        <v>2.2372093023255832</v>
      </c>
      <c r="Q16" s="7">
        <f t="shared" si="40"/>
        <v>2.3039443155452424</v>
      </c>
      <c r="R16" s="7">
        <f t="shared" si="40"/>
        <v>1.1875000000000009</v>
      </c>
      <c r="S16" s="7">
        <f t="shared" si="40"/>
        <v>1.7418742592592589</v>
      </c>
      <c r="T16" s="7">
        <f t="shared" ref="T16" si="41">T14/T15</f>
        <v>3.0015074074074071</v>
      </c>
      <c r="U16" s="7">
        <f t="shared" ref="U16" si="42">U14/U15</f>
        <v>3.0902233333333324</v>
      </c>
      <c r="V16" s="7">
        <f t="shared" ref="V16" si="43">V14/V15</f>
        <v>3.212477777777778</v>
      </c>
      <c r="X16" s="7">
        <f t="shared" ref="X16:AE16" si="44">X14/X15</f>
        <v>0.96391752577319501</v>
      </c>
      <c r="Y16" s="7">
        <f t="shared" si="44"/>
        <v>0.62278481012657949</v>
      </c>
      <c r="Z16" s="7">
        <f t="shared" si="44"/>
        <v>1.7786069651741292</v>
      </c>
      <c r="AA16" s="7">
        <f t="shared" si="44"/>
        <v>2.5807228915662641</v>
      </c>
      <c r="AB16" s="7">
        <f t="shared" si="44"/>
        <v>3.0023640661938562</v>
      </c>
      <c r="AC16" s="7">
        <f t="shared" si="44"/>
        <v>4.7934272300469454</v>
      </c>
      <c r="AD16" s="7">
        <f t="shared" si="44"/>
        <v>6.6597222222222285</v>
      </c>
      <c r="AE16" s="7">
        <f t="shared" si="44"/>
        <v>11.046082777777773</v>
      </c>
      <c r="AF16" s="7">
        <f t="shared" ref="AF16:AN16" si="45">AF14/AF15</f>
        <v>13.677321542314813</v>
      </c>
      <c r="AG16" s="7">
        <f t="shared" si="45"/>
        <v>15.408590693385182</v>
      </c>
      <c r="AH16" s="7">
        <f t="shared" si="45"/>
        <v>16.550787559228521</v>
      </c>
      <c r="AI16" s="7">
        <f t="shared" si="45"/>
        <v>17.496900684471278</v>
      </c>
      <c r="AJ16" s="7">
        <f t="shared" si="45"/>
        <v>18.216618299665381</v>
      </c>
      <c r="AK16" s="7">
        <f t="shared" si="45"/>
        <v>18.684890237910931</v>
      </c>
      <c r="AL16" s="7">
        <f t="shared" si="45"/>
        <v>19.163678215082889</v>
      </c>
      <c r="AM16" s="7">
        <f t="shared" si="45"/>
        <v>19.653207394094576</v>
      </c>
      <c r="AN16" s="7">
        <f t="shared" si="45"/>
        <v>20.153707689622905</v>
      </c>
    </row>
    <row r="18" spans="2:43" x14ac:dyDescent="0.3">
      <c r="B18" t="s">
        <v>39</v>
      </c>
      <c r="C18" s="10"/>
      <c r="D18" s="10"/>
      <c r="E18" s="10"/>
      <c r="F18" s="10"/>
      <c r="G18" s="10">
        <f t="shared" ref="G18:R18" si="46">G3/C3-1</f>
        <v>6.2468765617191391E-2</v>
      </c>
      <c r="H18" s="10">
        <f t="shared" si="46"/>
        <v>0.11941391941391943</v>
      </c>
      <c r="I18" s="10">
        <f t="shared" si="46"/>
        <v>0.11524780649751021</v>
      </c>
      <c r="J18" s="10">
        <f t="shared" si="46"/>
        <v>6.1937184274105439E-2</v>
      </c>
      <c r="K18" s="10">
        <f t="shared" si="46"/>
        <v>0.12935089369708375</v>
      </c>
      <c r="L18" s="10">
        <f t="shared" si="46"/>
        <v>0.10143979057591634</v>
      </c>
      <c r="M18" s="10">
        <f t="shared" si="46"/>
        <v>0.10737826918987858</v>
      </c>
      <c r="N18" s="10">
        <f t="shared" si="46"/>
        <v>0.1048603929679417</v>
      </c>
      <c r="O18" s="10">
        <f t="shared" si="46"/>
        <v>0.14764681382757194</v>
      </c>
      <c r="P18" s="10">
        <f t="shared" si="46"/>
        <v>0.16300257476728075</v>
      </c>
      <c r="Q18" s="10">
        <f t="shared" si="46"/>
        <v>0.17780337941628277</v>
      </c>
      <c r="R18" s="10">
        <f t="shared" si="46"/>
        <v>0.22351179333582927</v>
      </c>
      <c r="S18" s="10">
        <f t="shared" ref="S18:V18" si="47">S3/O3-1</f>
        <v>0.21999999999999997</v>
      </c>
      <c r="T18" s="10">
        <f t="shared" si="47"/>
        <v>0.19999999999999996</v>
      </c>
      <c r="U18" s="10">
        <f t="shared" si="47"/>
        <v>0.17999999999999994</v>
      </c>
      <c r="V18" s="10">
        <f t="shared" si="47"/>
        <v>0.14999999999999991</v>
      </c>
      <c r="X18" s="10"/>
      <c r="Y18" s="10">
        <f t="shared" ref="Y18:AN18" si="48">Y3/X3-1</f>
        <v>2.4611143925969747E-2</v>
      </c>
      <c r="Z18" s="10">
        <f t="shared" si="48"/>
        <v>0.47655649500384323</v>
      </c>
      <c r="AA18" s="10">
        <f t="shared" si="48"/>
        <v>9.7540343571056898E-2</v>
      </c>
      <c r="AB18" s="10">
        <f t="shared" si="48"/>
        <v>8.9346060354538404E-2</v>
      </c>
      <c r="AC18" s="10">
        <f t="shared" si="48"/>
        <v>0.1103189289213018</v>
      </c>
      <c r="AD18" s="10">
        <f t="shared" si="48"/>
        <v>0.17901083280231367</v>
      </c>
      <c r="AE18" s="10">
        <f t="shared" si="48"/>
        <v>0.18589531451378183</v>
      </c>
      <c r="AF18" s="10">
        <f t="shared" si="48"/>
        <v>0.12999999999999989</v>
      </c>
      <c r="AG18" s="10">
        <f t="shared" si="48"/>
        <v>8.0000000000000071E-2</v>
      </c>
      <c r="AH18" s="10">
        <f t="shared" si="48"/>
        <v>5.0000000000000044E-2</v>
      </c>
      <c r="AI18" s="10">
        <f t="shared" si="48"/>
        <v>4.0000000000000036E-2</v>
      </c>
      <c r="AJ18" s="10">
        <f t="shared" si="48"/>
        <v>3.0000000000000027E-2</v>
      </c>
      <c r="AK18" s="10">
        <f t="shared" si="48"/>
        <v>2.0000000000000018E-2</v>
      </c>
      <c r="AL18" s="10">
        <f t="shared" si="48"/>
        <v>2.0000000000000018E-2</v>
      </c>
      <c r="AM18" s="10">
        <f t="shared" si="48"/>
        <v>2.0000000000000018E-2</v>
      </c>
      <c r="AN18" s="10">
        <f t="shared" si="48"/>
        <v>2.0000000000000018E-2</v>
      </c>
    </row>
    <row r="19" spans="2:43" x14ac:dyDescent="0.3">
      <c r="B19" t="s">
        <v>40</v>
      </c>
      <c r="C19" s="10">
        <f t="shared" ref="C19:R19" si="49">C5/C3</f>
        <v>0.31584207896051969</v>
      </c>
      <c r="D19" s="10">
        <f t="shared" si="49"/>
        <v>0.36019536019536019</v>
      </c>
      <c r="E19" s="10">
        <f t="shared" si="49"/>
        <v>0.36708560588095807</v>
      </c>
      <c r="F19" s="10">
        <f t="shared" si="49"/>
        <v>0.36854820997144727</v>
      </c>
      <c r="G19" s="10">
        <f t="shared" si="49"/>
        <v>0.30503292568203194</v>
      </c>
      <c r="H19" s="10">
        <f t="shared" si="49"/>
        <v>0.3710732984293193</v>
      </c>
      <c r="I19" s="10">
        <f t="shared" si="49"/>
        <v>0.37274080374229218</v>
      </c>
      <c r="J19" s="10">
        <f t="shared" si="49"/>
        <v>0.35573940020682548</v>
      </c>
      <c r="K19" s="10">
        <f t="shared" si="49"/>
        <v>0.36005830903790081</v>
      </c>
      <c r="L19" s="10">
        <f t="shared" si="49"/>
        <v>0.39849475143592789</v>
      </c>
      <c r="M19" s="10">
        <f t="shared" si="49"/>
        <v>0.38652073732718889</v>
      </c>
      <c r="N19" s="10">
        <f t="shared" si="49"/>
        <v>0.35230250842381144</v>
      </c>
      <c r="O19" s="10">
        <f t="shared" si="49"/>
        <v>0.39176193068408643</v>
      </c>
      <c r="P19" s="10">
        <f t="shared" si="49"/>
        <v>0.40837874659400553</v>
      </c>
      <c r="Q19" s="10">
        <f t="shared" si="49"/>
        <v>0.40642321486794908</v>
      </c>
      <c r="R19" s="10">
        <f t="shared" si="49"/>
        <v>0.36551407588739293</v>
      </c>
      <c r="S19" s="10">
        <f t="shared" ref="S19:V19" si="50">S5/S3</f>
        <v>0.4</v>
      </c>
      <c r="T19" s="10">
        <f t="shared" si="50"/>
        <v>0.4</v>
      </c>
      <c r="U19" s="10">
        <f t="shared" si="50"/>
        <v>0.4</v>
      </c>
      <c r="V19" s="10">
        <f t="shared" si="50"/>
        <v>0.4</v>
      </c>
      <c r="X19" s="10">
        <f t="shared" ref="X19:AN19" si="51">X5/X3</f>
        <v>0.34691868478046861</v>
      </c>
      <c r="Y19" s="10">
        <f t="shared" si="51"/>
        <v>0.33397386625672554</v>
      </c>
      <c r="Z19" s="10">
        <f t="shared" si="51"/>
        <v>0.3480609057782405</v>
      </c>
      <c r="AA19" s="10">
        <f t="shared" si="51"/>
        <v>0.35364913736882669</v>
      </c>
      <c r="AB19" s="10">
        <f t="shared" si="51"/>
        <v>0.35218243169696317</v>
      </c>
      <c r="AC19" s="10">
        <f t="shared" si="51"/>
        <v>0.37429537767756482</v>
      </c>
      <c r="AD19" s="10">
        <f t="shared" si="51"/>
        <v>0.39242506132291199</v>
      </c>
      <c r="AE19" s="10">
        <f t="shared" si="51"/>
        <v>0.39999999999999997</v>
      </c>
      <c r="AF19" s="10">
        <f t="shared" si="51"/>
        <v>0.41</v>
      </c>
      <c r="AG19" s="10">
        <f t="shared" si="51"/>
        <v>0.41</v>
      </c>
      <c r="AH19" s="10">
        <f t="shared" si="51"/>
        <v>0.41</v>
      </c>
      <c r="AI19" s="10">
        <f t="shared" si="51"/>
        <v>0.41</v>
      </c>
      <c r="AJ19" s="10">
        <f t="shared" si="51"/>
        <v>0.41</v>
      </c>
      <c r="AK19" s="10">
        <f t="shared" si="51"/>
        <v>0.41</v>
      </c>
      <c r="AL19" s="10">
        <f t="shared" si="51"/>
        <v>0.41</v>
      </c>
      <c r="AM19" s="10">
        <f t="shared" si="51"/>
        <v>0.41</v>
      </c>
      <c r="AN19" s="10">
        <f t="shared" si="51"/>
        <v>0.41</v>
      </c>
      <c r="AP19" t="s">
        <v>44</v>
      </c>
      <c r="AQ19" s="10">
        <v>-0.01</v>
      </c>
    </row>
    <row r="20" spans="2:43" x14ac:dyDescent="0.3">
      <c r="B20" t="s">
        <v>41</v>
      </c>
      <c r="C20" s="10"/>
      <c r="D20" s="10"/>
      <c r="E20" s="10"/>
      <c r="F20" s="10"/>
      <c r="G20" s="10">
        <f t="shared" ref="G20:R20" si="52">G6/C6-1</f>
        <v>0.18740629685157417</v>
      </c>
      <c r="H20" s="10">
        <f t="shared" si="52"/>
        <v>0.1258278145695364</v>
      </c>
      <c r="I20" s="10">
        <f t="shared" si="52"/>
        <v>0.86093418259023369</v>
      </c>
      <c r="J20" s="10">
        <f t="shared" si="52"/>
        <v>-0.62253289473684215</v>
      </c>
      <c r="K20" s="10">
        <f t="shared" si="52"/>
        <v>7.0707070707070718E-2</v>
      </c>
      <c r="L20" s="10">
        <f t="shared" si="52"/>
        <v>0.14607843137254917</v>
      </c>
      <c r="M20" s="10">
        <f t="shared" si="52"/>
        <v>-0.35539075869937253</v>
      </c>
      <c r="N20" s="10">
        <f t="shared" si="52"/>
        <v>1.4945533769063184</v>
      </c>
      <c r="O20" s="10">
        <f t="shared" si="52"/>
        <v>-6.4858490566037652E-3</v>
      </c>
      <c r="P20" s="10">
        <f t="shared" si="52"/>
        <v>-1.7964071856287456E-2</v>
      </c>
      <c r="Q20" s="10">
        <f t="shared" si="52"/>
        <v>4.8672566371681381E-2</v>
      </c>
      <c r="R20" s="10">
        <f t="shared" si="52"/>
        <v>7.0742358078602408E-2</v>
      </c>
      <c r="S20" s="10">
        <f t="shared" ref="S20:V20" si="53">S6/O6-1</f>
        <v>5.0000000000000044E-2</v>
      </c>
      <c r="T20" s="10">
        <f t="shared" si="53"/>
        <v>3.0000000000000027E-2</v>
      </c>
      <c r="U20" s="10">
        <f t="shared" si="53"/>
        <v>2.0000000000000018E-2</v>
      </c>
      <c r="V20" s="10">
        <f t="shared" si="53"/>
        <v>2.0000000000000018E-2</v>
      </c>
      <c r="X20" s="10"/>
      <c r="Y20" s="10">
        <f t="shared" ref="Y20:AN20" si="54">Y6/X6-1</f>
        <v>2.7053455019556694E-2</v>
      </c>
      <c r="Z20" s="10">
        <f t="shared" si="54"/>
        <v>0.34687400825134862</v>
      </c>
      <c r="AA20" s="10">
        <f t="shared" si="54"/>
        <v>3.6286522148916145E-2</v>
      </c>
      <c r="AB20" s="10">
        <f t="shared" si="54"/>
        <v>9.5043201455206949E-2</v>
      </c>
      <c r="AC20" s="10">
        <f t="shared" si="54"/>
        <v>6.7275747508305672E-2</v>
      </c>
      <c r="AD20" s="10">
        <f t="shared" si="54"/>
        <v>2.0233463035019383E-2</v>
      </c>
      <c r="AE20" s="10">
        <f t="shared" si="54"/>
        <v>3.1828756674294523E-2</v>
      </c>
      <c r="AF20" s="10">
        <f t="shared" si="54"/>
        <v>2.0000000000000018E-2</v>
      </c>
      <c r="AG20" s="10">
        <f t="shared" si="54"/>
        <v>1.0000000000000009E-2</v>
      </c>
      <c r="AH20" s="10">
        <f t="shared" si="54"/>
        <v>1.0000000000000009E-2</v>
      </c>
      <c r="AI20" s="10">
        <f t="shared" si="54"/>
        <v>1.0000000000000009E-2</v>
      </c>
      <c r="AJ20" s="10">
        <f t="shared" si="54"/>
        <v>1.0000000000000009E-2</v>
      </c>
      <c r="AK20" s="10">
        <f t="shared" si="54"/>
        <v>1.0000000000000009E-2</v>
      </c>
      <c r="AL20" s="10">
        <f t="shared" si="54"/>
        <v>1.0000000000000009E-2</v>
      </c>
      <c r="AM20" s="10">
        <f t="shared" si="54"/>
        <v>1.0000000000000009E-2</v>
      </c>
      <c r="AN20" s="10">
        <f t="shared" si="54"/>
        <v>1.0000000000000009E-2</v>
      </c>
      <c r="AP20" t="s">
        <v>45</v>
      </c>
      <c r="AQ20" s="10">
        <v>0.09</v>
      </c>
    </row>
    <row r="21" spans="2:43" x14ac:dyDescent="0.3">
      <c r="B21" t="s">
        <v>42</v>
      </c>
      <c r="C21" s="10">
        <f t="shared" ref="C21:R21" si="55">C8/C3</f>
        <v>-1.7491254372813663E-2</v>
      </c>
      <c r="D21" s="10">
        <f t="shared" si="55"/>
        <v>0.13894993894993896</v>
      </c>
      <c r="E21" s="10">
        <f t="shared" si="55"/>
        <v>0.14370405501541383</v>
      </c>
      <c r="F21" s="10">
        <f t="shared" si="55"/>
        <v>0.10147155721502291</v>
      </c>
      <c r="G21" s="10">
        <f t="shared" si="55"/>
        <v>-6.7497648165569191E-2</v>
      </c>
      <c r="H21" s="10">
        <f t="shared" si="55"/>
        <v>0.14856020942408371</v>
      </c>
      <c r="I21" s="10">
        <f t="shared" si="55"/>
        <v>0</v>
      </c>
      <c r="J21" s="10">
        <f t="shared" si="55"/>
        <v>0.26080661840744596</v>
      </c>
      <c r="K21" s="10">
        <f t="shared" si="55"/>
        <v>6.872136609745904E-3</v>
      </c>
      <c r="L21" s="10">
        <f t="shared" si="55"/>
        <v>0.1669637551990493</v>
      </c>
      <c r="M21" s="10">
        <f t="shared" si="55"/>
        <v>0.16954685099846384</v>
      </c>
      <c r="N21" s="10">
        <f t="shared" si="55"/>
        <v>0.13796330962186459</v>
      </c>
      <c r="O21" s="10">
        <f t="shared" si="55"/>
        <v>8.6009798584648939E-2</v>
      </c>
      <c r="P21" s="10">
        <f t="shared" si="55"/>
        <v>0.21287465940054506</v>
      </c>
      <c r="Q21" s="10">
        <f t="shared" si="55"/>
        <v>0.21323769155526567</v>
      </c>
      <c r="R21" s="10">
        <f t="shared" si="55"/>
        <v>8.6903304773561868E-2</v>
      </c>
      <c r="S21" s="10">
        <f t="shared" ref="S21:V21" si="56">S8/S3</f>
        <v>0.13685267319310707</v>
      </c>
      <c r="T21" s="10">
        <f t="shared" si="56"/>
        <v>0.23219232515894642</v>
      </c>
      <c r="U21" s="10">
        <f t="shared" si="56"/>
        <v>0.233009123916155</v>
      </c>
      <c r="V21" s="10">
        <f t="shared" si="56"/>
        <v>0.23362780054281307</v>
      </c>
      <c r="X21" s="10">
        <f t="shared" ref="X21:AN21" si="57">X8/X3</f>
        <v>4.4890726520968663E-2</v>
      </c>
      <c r="Y21" s="10">
        <f t="shared" si="57"/>
        <v>3.1225980015372683E-2</v>
      </c>
      <c r="Z21" s="10">
        <f t="shared" si="57"/>
        <v>7.1902654867256638E-2</v>
      </c>
      <c r="AA21" s="10">
        <f t="shared" si="57"/>
        <v>9.2903302306278523E-2</v>
      </c>
      <c r="AB21" s="10">
        <f t="shared" si="57"/>
        <v>9.0072929139000821E-2</v>
      </c>
      <c r="AC21" s="10">
        <f t="shared" si="57"/>
        <v>0.12234694377726578</v>
      </c>
      <c r="AD21" s="10">
        <f t="shared" si="57"/>
        <v>0.14966947989855747</v>
      </c>
      <c r="AE21" s="10">
        <f t="shared" si="57"/>
        <v>0.21030551451847784</v>
      </c>
      <c r="AF21" s="10">
        <f t="shared" si="57"/>
        <v>0.23877134938836056</v>
      </c>
      <c r="AG21" s="10">
        <f t="shared" si="57"/>
        <v>0.24986950266874461</v>
      </c>
      <c r="AH21" s="10">
        <f t="shared" si="57"/>
        <v>0.2559697120908877</v>
      </c>
      <c r="AI21" s="10">
        <f t="shared" si="57"/>
        <v>0.26041289347288132</v>
      </c>
      <c r="AJ21" s="10">
        <f t="shared" si="57"/>
        <v>0.26331749748311656</v>
      </c>
      <c r="AK21" s="10">
        <f t="shared" si="57"/>
        <v>0.26475556123328214</v>
      </c>
      <c r="AL21" s="10">
        <f t="shared" si="57"/>
        <v>0.26617952631923031</v>
      </c>
      <c r="AM21" s="10">
        <f t="shared" si="57"/>
        <v>0.26758953096315952</v>
      </c>
      <c r="AN21" s="10">
        <f t="shared" si="57"/>
        <v>0.26898571203214805</v>
      </c>
      <c r="AP21" t="s">
        <v>46</v>
      </c>
      <c r="AQ21" s="5">
        <f>NPV(AQ20,AE14:ER14)</f>
        <v>8172.6368556960624</v>
      </c>
    </row>
    <row r="22" spans="2:43" x14ac:dyDescent="0.3">
      <c r="B22" t="s">
        <v>20</v>
      </c>
      <c r="C22" s="10">
        <f t="shared" ref="C22" si="58">C12/C11</f>
        <v>0.18124999999999966</v>
      </c>
      <c r="D22" s="10">
        <f t="shared" ref="D22:M22" si="59">D12/D11</f>
        <v>0.2699490662139219</v>
      </c>
      <c r="E22" s="10">
        <f t="shared" si="59"/>
        <v>0.28449744463373078</v>
      </c>
      <c r="F22" s="10">
        <f t="shared" si="59"/>
        <v>0.22857142857142898</v>
      </c>
      <c r="G22" s="10">
        <f t="shared" si="59"/>
        <v>0.25252525252525237</v>
      </c>
      <c r="H22" s="10">
        <f t="shared" si="59"/>
        <v>0.27000000000000007</v>
      </c>
      <c r="I22" s="10">
        <f t="shared" si="59"/>
        <v>8.1250000000000018</v>
      </c>
      <c r="J22" s="10">
        <f t="shared" si="59"/>
        <v>0.11085450346420307</v>
      </c>
      <c r="K22" s="10">
        <f t="shared" si="59"/>
        <v>0.23437500000000064</v>
      </c>
      <c r="L22" s="10">
        <f t="shared" si="59"/>
        <v>0.25000000000000006</v>
      </c>
      <c r="M22" s="10">
        <f t="shared" si="59"/>
        <v>0.26388888888888901</v>
      </c>
      <c r="N22" s="10">
        <f t="shared" ref="N22:O22" si="60">N12/N11</f>
        <v>0.20405576679340914</v>
      </c>
      <c r="O22" s="10">
        <f t="shared" si="60"/>
        <v>0.21003717472118946</v>
      </c>
      <c r="P22" s="10">
        <f t="shared" ref="P22" si="61">P12/P11</f>
        <v>0.25771604938271586</v>
      </c>
      <c r="Q22" s="10">
        <f>Q12/Q11</f>
        <v>0.26218611521418028</v>
      </c>
      <c r="R22" s="10">
        <f>R12/R11</f>
        <v>0.20062208398133735</v>
      </c>
      <c r="S22" s="10">
        <f t="shared" ref="S22:V22" si="62">S12/S11</f>
        <v>0.23999999999999996</v>
      </c>
      <c r="T22" s="10">
        <f t="shared" si="62"/>
        <v>0.24000000000000002</v>
      </c>
      <c r="U22" s="10">
        <f t="shared" si="62"/>
        <v>0.24</v>
      </c>
      <c r="V22" s="10">
        <f t="shared" si="62"/>
        <v>0.24000000000000002</v>
      </c>
      <c r="X22" s="10">
        <f t="shared" ref="X22:AB22" si="63">X12/X11</f>
        <v>0.21649484536082489</v>
      </c>
      <c r="Y22" s="10">
        <f t="shared" si="63"/>
        <v>0.25373134328358293</v>
      </c>
      <c r="Z22" s="10">
        <f t="shared" si="63"/>
        <v>0.25708289611752361</v>
      </c>
      <c r="AA22" s="10">
        <f t="shared" si="63"/>
        <v>0.2726036709721279</v>
      </c>
      <c r="AB22" s="10">
        <f t="shared" si="63"/>
        <v>0.26245654692931614</v>
      </c>
      <c r="AC22" s="10">
        <f>AC12/AC11</f>
        <v>0.24094135225999264</v>
      </c>
      <c r="AD22" s="10">
        <f t="shared" ref="AD22:AN22" si="64">AD12/AD11</f>
        <v>0.2430174889062906</v>
      </c>
      <c r="AE22" s="10">
        <f t="shared" si="64"/>
        <v>0.24000000000000007</v>
      </c>
      <c r="AF22" s="10">
        <f t="shared" si="64"/>
        <v>0.25</v>
      </c>
      <c r="AG22" s="10">
        <f t="shared" si="64"/>
        <v>0.25</v>
      </c>
      <c r="AH22" s="10">
        <f t="shared" si="64"/>
        <v>0.25</v>
      </c>
      <c r="AI22" s="10">
        <f t="shared" si="64"/>
        <v>0.25</v>
      </c>
      <c r="AJ22" s="10">
        <f t="shared" si="64"/>
        <v>0.25</v>
      </c>
      <c r="AK22" s="10">
        <f t="shared" si="64"/>
        <v>0.25</v>
      </c>
      <c r="AL22" s="10">
        <f t="shared" si="64"/>
        <v>0.25</v>
      </c>
      <c r="AM22" s="10">
        <f t="shared" si="64"/>
        <v>0.25</v>
      </c>
      <c r="AN22" s="10">
        <f t="shared" si="64"/>
        <v>0.25</v>
      </c>
      <c r="AP22" t="s">
        <v>47</v>
      </c>
      <c r="AQ22" s="5">
        <f>Main!D8</f>
        <v>569</v>
      </c>
    </row>
    <row r="23" spans="2:43" x14ac:dyDescent="0.3">
      <c r="B23" t="s">
        <v>21</v>
      </c>
      <c r="C23" s="10">
        <f t="shared" ref="C23" si="65">C13/C11</f>
        <v>1.8749999999999965E-2</v>
      </c>
      <c r="D23" s="10">
        <f t="shared" ref="D23:M23" si="66">D13/D11</f>
        <v>1.6977928692699488E-2</v>
      </c>
      <c r="E23" s="10">
        <f t="shared" si="66"/>
        <v>-1.533219761499148E-2</v>
      </c>
      <c r="F23" s="10">
        <f t="shared" si="66"/>
        <v>2.1978021978022021E-3</v>
      </c>
      <c r="G23" s="10">
        <f t="shared" si="66"/>
        <v>-1.6835016835016824E-2</v>
      </c>
      <c r="H23" s="10">
        <f t="shared" si="66"/>
        <v>5.7142857142857169E-3</v>
      </c>
      <c r="I23" s="10">
        <f t="shared" si="66"/>
        <v>-0.16666666666666671</v>
      </c>
      <c r="J23" s="10">
        <f t="shared" si="66"/>
        <v>-1.5396458814472655E-3</v>
      </c>
      <c r="K23" s="10">
        <f t="shared" si="66"/>
        <v>0</v>
      </c>
      <c r="L23" s="10">
        <f t="shared" si="66"/>
        <v>-2.2522522522522527E-3</v>
      </c>
      <c r="M23" s="10">
        <f t="shared" si="66"/>
        <v>-8.5470085470085513E-3</v>
      </c>
      <c r="N23" s="10">
        <f t="shared" ref="N23:O23" si="67">N13/N11</f>
        <v>7.0356338696144198E-19</v>
      </c>
      <c r="O23" s="10">
        <f t="shared" si="67"/>
        <v>2.9739776951672844E-2</v>
      </c>
      <c r="P23" s="10">
        <f t="shared" ref="P23" si="68">P13/P11</f>
        <v>0</v>
      </c>
      <c r="Q23" s="10">
        <f>Q13/Q11</f>
        <v>4.4313146233382582E-3</v>
      </c>
      <c r="R23" s="10">
        <f>R13/R11</f>
        <v>1.5552099533437005E-3</v>
      </c>
      <c r="S23" s="10">
        <f t="shared" ref="S23:V23" si="69">S13/S11</f>
        <v>0</v>
      </c>
      <c r="T23" s="10">
        <f t="shared" si="69"/>
        <v>0</v>
      </c>
      <c r="U23" s="10">
        <f t="shared" si="69"/>
        <v>0</v>
      </c>
      <c r="V23" s="10">
        <f t="shared" si="69"/>
        <v>0</v>
      </c>
      <c r="X23" s="10">
        <f t="shared" ref="X23:AB23" si="70">X13/X11</f>
        <v>1.2371134020618565E-2</v>
      </c>
      <c r="Y23" s="10">
        <f t="shared" si="70"/>
        <v>1.1940298507462728E-2</v>
      </c>
      <c r="Z23" s="10">
        <f t="shared" si="70"/>
        <v>-7.3452256033578172E-3</v>
      </c>
      <c r="AA23" s="10">
        <f t="shared" si="70"/>
        <v>-6.7980965329707699E-4</v>
      </c>
      <c r="AB23" s="10">
        <f t="shared" si="70"/>
        <v>1.7381228273464647E-3</v>
      </c>
      <c r="AC23" s="10">
        <f>AC13/AC11</f>
        <v>-3.735524841240196E-3</v>
      </c>
      <c r="AD23" s="10">
        <f t="shared" ref="AD23:AN23" si="71">AD13/AD11</f>
        <v>6.0036543983294135E-3</v>
      </c>
      <c r="AE23" s="10">
        <f t="shared" si="71"/>
        <v>0</v>
      </c>
      <c r="AF23" s="10">
        <f t="shared" si="71"/>
        <v>0.01</v>
      </c>
      <c r="AG23" s="10">
        <f t="shared" si="71"/>
        <v>0.01</v>
      </c>
      <c r="AH23" s="10">
        <f t="shared" si="71"/>
        <v>0.01</v>
      </c>
      <c r="AI23" s="10">
        <f t="shared" si="71"/>
        <v>0.01</v>
      </c>
      <c r="AJ23" s="10">
        <f t="shared" si="71"/>
        <v>0.01</v>
      </c>
      <c r="AK23" s="10">
        <f t="shared" si="71"/>
        <v>0.01</v>
      </c>
      <c r="AL23" s="10">
        <f t="shared" si="71"/>
        <v>0.01</v>
      </c>
      <c r="AM23" s="10">
        <f t="shared" si="71"/>
        <v>0.01</v>
      </c>
      <c r="AN23" s="10">
        <f t="shared" si="71"/>
        <v>0.01</v>
      </c>
      <c r="AP23" t="s">
        <v>48</v>
      </c>
      <c r="AQ23" s="5">
        <f>AQ21+AQ22</f>
        <v>8741.6368556960624</v>
      </c>
    </row>
    <row r="24" spans="2:43" x14ac:dyDescent="0.3">
      <c r="B24" t="s">
        <v>43</v>
      </c>
      <c r="C24" s="10">
        <f t="shared" ref="C24:R24" si="72">C14/C3</f>
        <v>-3.1984007996002067E-2</v>
      </c>
      <c r="D24" s="10">
        <f t="shared" si="72"/>
        <v>0.10256410256410259</v>
      </c>
      <c r="E24" s="10">
        <f t="shared" si="72"/>
        <v>0.10173108845150584</v>
      </c>
      <c r="F24" s="10">
        <f t="shared" si="72"/>
        <v>7.687239182956275E-2</v>
      </c>
      <c r="G24" s="10">
        <f t="shared" si="72"/>
        <v>-5.3386641580432777E-2</v>
      </c>
      <c r="H24" s="10">
        <f t="shared" si="72"/>
        <v>0.11060209424083764</v>
      </c>
      <c r="I24" s="10">
        <f t="shared" si="72"/>
        <v>-3.5509249415266855E-2</v>
      </c>
      <c r="J24" s="10">
        <f t="shared" si="72"/>
        <v>0.23929679420889377</v>
      </c>
      <c r="K24" s="10">
        <f t="shared" si="72"/>
        <v>1.0204081632653026E-2</v>
      </c>
      <c r="L24" s="10">
        <f t="shared" si="72"/>
        <v>0.13230342642107346</v>
      </c>
      <c r="M24" s="10">
        <f t="shared" si="72"/>
        <v>0.13383256528417808</v>
      </c>
      <c r="N24" s="10">
        <f t="shared" si="72"/>
        <v>0.11755896667914653</v>
      </c>
      <c r="O24" s="10">
        <f t="shared" si="72"/>
        <v>7.4215205951732963E-2</v>
      </c>
      <c r="P24" s="10">
        <f t="shared" si="72"/>
        <v>0.1638283378746595</v>
      </c>
      <c r="Q24" s="10">
        <f t="shared" si="72"/>
        <v>0.16188457776328652</v>
      </c>
      <c r="R24" s="10">
        <f t="shared" si="72"/>
        <v>7.8488372093023312E-2</v>
      </c>
      <c r="S24" s="10">
        <f t="shared" ref="S24:V24" si="73">S14/S3</f>
        <v>0.11192067132501017</v>
      </c>
      <c r="T24" s="10">
        <f t="shared" si="73"/>
        <v>0.18401612170753862</v>
      </c>
      <c r="U24" s="10">
        <f t="shared" si="73"/>
        <v>0.18443690903162699</v>
      </c>
      <c r="V24" s="10">
        <f t="shared" si="73"/>
        <v>0.18463498483316482</v>
      </c>
      <c r="X24" s="10">
        <f t="shared" ref="X24:AN24" si="74">X14/X3</f>
        <v>3.6818271313250606E-2</v>
      </c>
      <c r="Y24" s="10">
        <f t="shared" si="74"/>
        <v>2.3635664873174374E-2</v>
      </c>
      <c r="Z24" s="10">
        <f t="shared" si="74"/>
        <v>4.6525247267048417E-2</v>
      </c>
      <c r="AA24" s="10">
        <f t="shared" si="74"/>
        <v>6.349676883856048E-2</v>
      </c>
      <c r="AB24" s="10">
        <f t="shared" si="74"/>
        <v>6.9119407858931156E-2</v>
      </c>
      <c r="AC24" s="10">
        <f t="shared" si="74"/>
        <v>0.10009313268957398</v>
      </c>
      <c r="AD24" s="10">
        <f t="shared" si="74"/>
        <v>0.11961085935226386</v>
      </c>
      <c r="AE24" s="10">
        <f t="shared" si="74"/>
        <v>0.16729248634674801</v>
      </c>
      <c r="AF24" s="10">
        <f t="shared" si="74"/>
        <v>0.18331194094066078</v>
      </c>
      <c r="AG24" s="10">
        <f t="shared" si="74"/>
        <v>0.19121803999808595</v>
      </c>
      <c r="AH24" s="10">
        <f t="shared" si="74"/>
        <v>0.19561191672241063</v>
      </c>
      <c r="AI24" s="10">
        <f t="shared" si="74"/>
        <v>0.19884031008186323</v>
      </c>
      <c r="AJ24" s="10">
        <f t="shared" si="74"/>
        <v>0.20098971704943736</v>
      </c>
      <c r="AK24" s="10">
        <f t="shared" si="74"/>
        <v>0.20211402901781411</v>
      </c>
      <c r="AL24" s="10">
        <f t="shared" si="74"/>
        <v>0.20322849762950579</v>
      </c>
      <c r="AM24" s="10">
        <f t="shared" si="74"/>
        <v>0.20433323094986899</v>
      </c>
      <c r="AN24" s="10">
        <f t="shared" si="74"/>
        <v>0.20542833609814737</v>
      </c>
      <c r="AP24" t="s">
        <v>49</v>
      </c>
      <c r="AQ24" s="4">
        <f>AQ23/AN15</f>
        <v>202.35270499296439</v>
      </c>
    </row>
    <row r="25" spans="2:43" x14ac:dyDescent="0.3">
      <c r="AP25" t="s">
        <v>50</v>
      </c>
      <c r="AQ25" s="4">
        <f>Main!D3</f>
        <v>144.5</v>
      </c>
    </row>
    <row r="26" spans="2:43" x14ac:dyDescent="0.3">
      <c r="AP26" s="1" t="s">
        <v>51</v>
      </c>
      <c r="AQ26" s="12">
        <f>AQ24/AQ25-1</f>
        <v>0.40036474043573977</v>
      </c>
    </row>
    <row r="27" spans="2:43" x14ac:dyDescent="0.3">
      <c r="AP27" t="s">
        <v>52</v>
      </c>
      <c r="AQ27" s="6" t="s">
        <v>59</v>
      </c>
    </row>
  </sheetData>
  <phoneticPr fontId="3" type="noConversion"/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Mniszek</dc:creator>
  <cp:lastModifiedBy>Anton Mniszek</cp:lastModifiedBy>
  <dcterms:created xsi:type="dcterms:W3CDTF">2025-04-25T14:07:20Z</dcterms:created>
  <dcterms:modified xsi:type="dcterms:W3CDTF">2025-09-23T12:24:10Z</dcterms:modified>
</cp:coreProperties>
</file>