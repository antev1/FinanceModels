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1F910198-CC65-43E4-A55A-5FEF2AE40AE1}" xr6:coauthVersionLast="47" xr6:coauthVersionMax="47" xr10:uidLastSave="{00000000-0000-0000-0000-000000000000}"/>
  <bookViews>
    <workbookView xWindow="-108" yWindow="-108" windowWidth="23256" windowHeight="12576" activeTab="1" xr2:uid="{0E829F47-3703-4ED3-886F-B32F8228A06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1" i="2" l="1"/>
  <c r="I42" i="2" l="1"/>
  <c r="V5" i="2"/>
  <c r="U5" i="2"/>
  <c r="T5" i="2"/>
  <c r="S5" i="2"/>
  <c r="J3" i="2"/>
  <c r="I11" i="2"/>
  <c r="I10" i="2"/>
  <c r="D7" i="1"/>
  <c r="D6" i="1"/>
  <c r="AB28" i="2"/>
  <c r="AA28" i="2"/>
  <c r="Z28" i="2"/>
  <c r="Y28" i="2"/>
  <c r="X28" i="2"/>
  <c r="W28" i="2"/>
  <c r="V28" i="2"/>
  <c r="U28" i="2"/>
  <c r="T28" i="2"/>
  <c r="S28" i="2"/>
  <c r="R28" i="2"/>
  <c r="J28" i="2"/>
  <c r="I28" i="2"/>
  <c r="D4" i="1"/>
  <c r="AF38" i="2"/>
  <c r="Y10" i="2"/>
  <c r="X10" i="2"/>
  <c r="W10" i="2"/>
  <c r="V10" i="2"/>
  <c r="U10" i="2"/>
  <c r="T10" i="2"/>
  <c r="J31" i="2"/>
  <c r="H31" i="2"/>
  <c r="J23" i="2"/>
  <c r="I23" i="2"/>
  <c r="J18" i="2"/>
  <c r="I18" i="2"/>
  <c r="J13" i="2"/>
  <c r="J12" i="2"/>
  <c r="R12" i="2"/>
  <c r="S12" i="2" s="1"/>
  <c r="J5" i="2"/>
  <c r="J11" i="2" s="1"/>
  <c r="J32" i="2" s="1"/>
  <c r="R26" i="2"/>
  <c r="R22" i="2"/>
  <c r="R21" i="2"/>
  <c r="R20" i="2"/>
  <c r="S20" i="2" s="1"/>
  <c r="R17" i="2"/>
  <c r="R16" i="2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R15" i="2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R14" i="2"/>
  <c r="R9" i="2"/>
  <c r="R8" i="2"/>
  <c r="R7" i="2"/>
  <c r="R6" i="2"/>
  <c r="R4" i="2"/>
  <c r="I5" i="2"/>
  <c r="I31" i="2" s="1"/>
  <c r="P35" i="2"/>
  <c r="O35" i="2"/>
  <c r="N35" i="2"/>
  <c r="M35" i="2"/>
  <c r="L35" i="2"/>
  <c r="P34" i="2"/>
  <c r="O34" i="2"/>
  <c r="N34" i="2"/>
  <c r="M34" i="2"/>
  <c r="L34" i="2"/>
  <c r="P33" i="2"/>
  <c r="O33" i="2"/>
  <c r="N33" i="2"/>
  <c r="M33" i="2"/>
  <c r="L33" i="2"/>
  <c r="P32" i="2"/>
  <c r="O32" i="2"/>
  <c r="N32" i="2"/>
  <c r="M32" i="2"/>
  <c r="L32" i="2"/>
  <c r="P31" i="2"/>
  <c r="O31" i="2"/>
  <c r="N31" i="2"/>
  <c r="M31" i="2"/>
  <c r="L23" i="2"/>
  <c r="L18" i="2"/>
  <c r="L10" i="2"/>
  <c r="L5" i="2"/>
  <c r="M23" i="2"/>
  <c r="M18" i="2"/>
  <c r="M10" i="2"/>
  <c r="M5" i="2"/>
  <c r="M11" i="2" s="1"/>
  <c r="N23" i="2"/>
  <c r="N18" i="2"/>
  <c r="N10" i="2"/>
  <c r="N5" i="2"/>
  <c r="O23" i="2"/>
  <c r="O18" i="2"/>
  <c r="O10" i="2"/>
  <c r="O5" i="2"/>
  <c r="H28" i="2"/>
  <c r="Q31" i="2"/>
  <c r="Q35" i="2"/>
  <c r="Q34" i="2"/>
  <c r="Q33" i="2"/>
  <c r="Q32" i="2"/>
  <c r="G31" i="2"/>
  <c r="G35" i="2"/>
  <c r="F35" i="2"/>
  <c r="E35" i="2"/>
  <c r="G34" i="2"/>
  <c r="F34" i="2"/>
  <c r="E34" i="2"/>
  <c r="G33" i="2"/>
  <c r="F33" i="2"/>
  <c r="E33" i="2"/>
  <c r="G32" i="2"/>
  <c r="F32" i="2"/>
  <c r="E32" i="2"/>
  <c r="H26" i="2"/>
  <c r="H25" i="2"/>
  <c r="H22" i="2"/>
  <c r="H21" i="2"/>
  <c r="H20" i="2"/>
  <c r="H23" i="2" s="1"/>
  <c r="H17" i="2"/>
  <c r="H16" i="2"/>
  <c r="H15" i="2"/>
  <c r="H18" i="2" s="1"/>
  <c r="H14" i="2"/>
  <c r="H13" i="2"/>
  <c r="H12" i="2"/>
  <c r="H9" i="2"/>
  <c r="H8" i="2"/>
  <c r="H7" i="2"/>
  <c r="H6" i="2"/>
  <c r="H10" i="2" s="1"/>
  <c r="H4" i="2"/>
  <c r="H3" i="2"/>
  <c r="F26" i="2"/>
  <c r="F25" i="2"/>
  <c r="F22" i="2"/>
  <c r="F21" i="2"/>
  <c r="F23" i="2" s="1"/>
  <c r="F20" i="2"/>
  <c r="F17" i="2"/>
  <c r="F16" i="2"/>
  <c r="F15" i="2"/>
  <c r="F14" i="2"/>
  <c r="F13" i="2"/>
  <c r="F12" i="2"/>
  <c r="F9" i="2"/>
  <c r="F8" i="2"/>
  <c r="F7" i="2"/>
  <c r="F18" i="2" s="1"/>
  <c r="F6" i="2"/>
  <c r="F10" i="2" s="1"/>
  <c r="F4" i="2"/>
  <c r="F3" i="2"/>
  <c r="E23" i="2"/>
  <c r="E18" i="2"/>
  <c r="E10" i="2"/>
  <c r="E5" i="2"/>
  <c r="G23" i="2"/>
  <c r="G18" i="2"/>
  <c r="G10" i="2"/>
  <c r="G5" i="2"/>
  <c r="P23" i="2"/>
  <c r="P18" i="2"/>
  <c r="P10" i="2"/>
  <c r="P5" i="2"/>
  <c r="Q18" i="2"/>
  <c r="Q28" i="2"/>
  <c r="Q23" i="2"/>
  <c r="Q10" i="2"/>
  <c r="Q5" i="2"/>
  <c r="Q11" i="2" s="1"/>
  <c r="J19" i="2" l="1"/>
  <c r="J33" i="2" s="1"/>
  <c r="J24" i="2"/>
  <c r="T20" i="2"/>
  <c r="T23" i="2" s="1"/>
  <c r="S23" i="2"/>
  <c r="S18" i="2"/>
  <c r="T12" i="2"/>
  <c r="U12" i="2" s="1"/>
  <c r="I32" i="2"/>
  <c r="R23" i="2"/>
  <c r="R13" i="2"/>
  <c r="R18" i="2" s="1"/>
  <c r="R3" i="2"/>
  <c r="R5" i="2" s="1"/>
  <c r="L11" i="2"/>
  <c r="L19" i="2" s="1"/>
  <c r="L24" i="2" s="1"/>
  <c r="L27" i="2" s="1"/>
  <c r="L29" i="2" s="1"/>
  <c r="M19" i="2"/>
  <c r="M24" i="2" s="1"/>
  <c r="M27" i="2" s="1"/>
  <c r="M29" i="2" s="1"/>
  <c r="N11" i="2"/>
  <c r="N19" i="2" s="1"/>
  <c r="N24" i="2" s="1"/>
  <c r="N27" i="2" s="1"/>
  <c r="N29" i="2" s="1"/>
  <c r="O11" i="2"/>
  <c r="O19" i="2" s="1"/>
  <c r="O24" i="2" s="1"/>
  <c r="O27" i="2" s="1"/>
  <c r="O29" i="2" s="1"/>
  <c r="H5" i="2"/>
  <c r="H11" i="2" s="1"/>
  <c r="F5" i="2"/>
  <c r="F11" i="2" s="1"/>
  <c r="F19" i="2" s="1"/>
  <c r="F24" i="2" s="1"/>
  <c r="F27" i="2" s="1"/>
  <c r="F29" i="2" s="1"/>
  <c r="E11" i="2"/>
  <c r="E19" i="2" s="1"/>
  <c r="E24" i="2" s="1"/>
  <c r="E27" i="2" s="1"/>
  <c r="E29" i="2" s="1"/>
  <c r="G11" i="2"/>
  <c r="G19" i="2" s="1"/>
  <c r="G24" i="2" s="1"/>
  <c r="G27" i="2" s="1"/>
  <c r="G29" i="2" s="1"/>
  <c r="P11" i="2"/>
  <c r="P19" i="2" s="1"/>
  <c r="P24" i="2" s="1"/>
  <c r="P27" i="2" s="1"/>
  <c r="P29" i="2" s="1"/>
  <c r="Q19" i="2"/>
  <c r="Q24" i="2" s="1"/>
  <c r="Q27" i="2" s="1"/>
  <c r="Q29" i="2" s="1"/>
  <c r="D8" i="1"/>
  <c r="AF35" i="2" s="1"/>
  <c r="D5" i="1"/>
  <c r="F3" i="1"/>
  <c r="J25" i="2" l="1"/>
  <c r="J34" i="2" s="1"/>
  <c r="U20" i="2"/>
  <c r="U23" i="2" s="1"/>
  <c r="U18" i="2"/>
  <c r="V12" i="2"/>
  <c r="T18" i="2"/>
  <c r="I19" i="2"/>
  <c r="S11" i="2"/>
  <c r="S31" i="2"/>
  <c r="D9" i="1"/>
  <c r="V20" i="2"/>
  <c r="R31" i="2"/>
  <c r="H19" i="2"/>
  <c r="H32" i="2"/>
  <c r="J27" i="2" l="1"/>
  <c r="W12" i="2"/>
  <c r="V18" i="2"/>
  <c r="I33" i="2"/>
  <c r="I24" i="2"/>
  <c r="R25" i="2" s="1"/>
  <c r="S32" i="2"/>
  <c r="S19" i="2"/>
  <c r="T11" i="2"/>
  <c r="T31" i="2"/>
  <c r="V23" i="2"/>
  <c r="W20" i="2"/>
  <c r="H24" i="2"/>
  <c r="H33" i="2"/>
  <c r="J29" i="2" l="1"/>
  <c r="J35" i="2"/>
  <c r="W18" i="2"/>
  <c r="X12" i="2"/>
  <c r="I27" i="2"/>
  <c r="I35" i="2" s="1"/>
  <c r="I34" i="2"/>
  <c r="U11" i="2"/>
  <c r="U31" i="2"/>
  <c r="S33" i="2"/>
  <c r="S24" i="2"/>
  <c r="T32" i="2"/>
  <c r="T19" i="2"/>
  <c r="W23" i="2"/>
  <c r="X20" i="2"/>
  <c r="H27" i="2"/>
  <c r="H34" i="2"/>
  <c r="X18" i="2" l="1"/>
  <c r="Y12" i="2"/>
  <c r="I29" i="2"/>
  <c r="S26" i="2"/>
  <c r="S25" i="2"/>
  <c r="W5" i="2"/>
  <c r="V11" i="2"/>
  <c r="V31" i="2"/>
  <c r="U32" i="2"/>
  <c r="U19" i="2"/>
  <c r="T33" i="2"/>
  <c r="T24" i="2"/>
  <c r="X23" i="2"/>
  <c r="Y20" i="2"/>
  <c r="H29" i="2"/>
  <c r="H35" i="2"/>
  <c r="Y18" i="2" l="1"/>
  <c r="Z12" i="2"/>
  <c r="U33" i="2"/>
  <c r="U24" i="2"/>
  <c r="V32" i="2"/>
  <c r="V19" i="2"/>
  <c r="S27" i="2"/>
  <c r="S34" i="2"/>
  <c r="T25" i="2"/>
  <c r="T26" i="2"/>
  <c r="X5" i="2"/>
  <c r="W11" i="2"/>
  <c r="W31" i="2"/>
  <c r="Y23" i="2"/>
  <c r="Z20" i="2"/>
  <c r="Z18" i="2" l="1"/>
  <c r="AA12" i="2"/>
  <c r="U25" i="2"/>
  <c r="U26" i="2"/>
  <c r="T27" i="2"/>
  <c r="T34" i="2"/>
  <c r="W32" i="2"/>
  <c r="W19" i="2"/>
  <c r="S29" i="2"/>
  <c r="S35" i="2"/>
  <c r="Y5" i="2"/>
  <c r="X31" i="2"/>
  <c r="X11" i="2"/>
  <c r="V33" i="2"/>
  <c r="V24" i="2"/>
  <c r="Z23" i="2"/>
  <c r="AA20" i="2"/>
  <c r="AB12" i="2" l="1"/>
  <c r="AB18" i="2" s="1"/>
  <c r="AA18" i="2"/>
  <c r="U27" i="2"/>
  <c r="U34" i="2"/>
  <c r="X32" i="2"/>
  <c r="X19" i="2"/>
  <c r="W33" i="2"/>
  <c r="W24" i="2"/>
  <c r="V26" i="2"/>
  <c r="V25" i="2"/>
  <c r="T29" i="2"/>
  <c r="T35" i="2"/>
  <c r="Z5" i="2"/>
  <c r="Y31" i="2"/>
  <c r="Y11" i="2"/>
  <c r="AB20" i="2"/>
  <c r="AB23" i="2" s="1"/>
  <c r="AA23" i="2"/>
  <c r="W25" i="2" l="1"/>
  <c r="W34" i="2" s="1"/>
  <c r="W26" i="2"/>
  <c r="Y32" i="2"/>
  <c r="Y19" i="2"/>
  <c r="X33" i="2"/>
  <c r="X24" i="2"/>
  <c r="AA5" i="2"/>
  <c r="Z11" i="2"/>
  <c r="Z31" i="2"/>
  <c r="V27" i="2"/>
  <c r="V34" i="2"/>
  <c r="U29" i="2"/>
  <c r="U35" i="2"/>
  <c r="W27" i="2" l="1"/>
  <c r="W35" i="2" s="1"/>
  <c r="V29" i="2"/>
  <c r="V35" i="2"/>
  <c r="Z32" i="2"/>
  <c r="Z19" i="2"/>
  <c r="X26" i="2"/>
  <c r="X25" i="2"/>
  <c r="Y33" i="2"/>
  <c r="Y24" i="2"/>
  <c r="AB5" i="2"/>
  <c r="AA11" i="2"/>
  <c r="AA31" i="2"/>
  <c r="J10" i="2"/>
  <c r="S10" i="2" s="1"/>
  <c r="AB10" i="2" s="1"/>
  <c r="R10" i="2" l="1"/>
  <c r="W29" i="2"/>
  <c r="Y25" i="2"/>
  <c r="Y26" i="2"/>
  <c r="X27" i="2"/>
  <c r="X34" i="2"/>
  <c r="AA32" i="2"/>
  <c r="AA19" i="2"/>
  <c r="AA10" i="2"/>
  <c r="Z10" i="2"/>
  <c r="R11" i="2"/>
  <c r="Z33" i="2"/>
  <c r="Z24" i="2"/>
  <c r="AB11" i="2"/>
  <c r="AB31" i="2"/>
  <c r="AA33" i="2" l="1"/>
  <c r="AA24" i="2"/>
  <c r="AB32" i="2"/>
  <c r="AB19" i="2"/>
  <c r="X29" i="2"/>
  <c r="X35" i="2"/>
  <c r="Z25" i="2"/>
  <c r="Z34" i="2" s="1"/>
  <c r="Z26" i="2"/>
  <c r="R32" i="2"/>
  <c r="R19" i="2"/>
  <c r="Y27" i="2"/>
  <c r="Y34" i="2"/>
  <c r="Z27" i="2" l="1"/>
  <c r="Z29" i="2" s="1"/>
  <c r="Y29" i="2"/>
  <c r="Y35" i="2"/>
  <c r="AA25" i="2"/>
  <c r="AA26" i="2"/>
  <c r="AB33" i="2"/>
  <c r="AB24" i="2"/>
  <c r="R24" i="2"/>
  <c r="R33" i="2"/>
  <c r="Z35" i="2" l="1"/>
  <c r="AB26" i="2"/>
  <c r="AB25" i="2"/>
  <c r="AB34" i="2" s="1"/>
  <c r="AA27" i="2"/>
  <c r="AA34" i="2"/>
  <c r="R27" i="2"/>
  <c r="R34" i="2"/>
  <c r="AA29" i="2" l="1"/>
  <c r="AA35" i="2"/>
  <c r="R35" i="2"/>
  <c r="R29" i="2"/>
  <c r="AB27" i="2"/>
  <c r="AB29" i="2" l="1"/>
  <c r="AC27" i="2"/>
  <c r="AB35" i="2"/>
  <c r="AD27" i="2" l="1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Y27" i="2" s="1"/>
  <c r="AZ27" i="2" s="1"/>
  <c r="BA27" i="2" s="1"/>
  <c r="BB27" i="2" s="1"/>
  <c r="BC27" i="2" s="1"/>
  <c r="BD27" i="2" s="1"/>
  <c r="BE27" i="2" s="1"/>
  <c r="BF27" i="2" s="1"/>
  <c r="BG27" i="2" s="1"/>
  <c r="BH27" i="2" s="1"/>
  <c r="BI27" i="2" s="1"/>
  <c r="BJ27" i="2" s="1"/>
  <c r="BK27" i="2" s="1"/>
  <c r="BL27" i="2" s="1"/>
  <c r="BM27" i="2" s="1"/>
  <c r="BN27" i="2" s="1"/>
  <c r="BO27" i="2" s="1"/>
  <c r="BP27" i="2" s="1"/>
  <c r="BQ27" i="2" s="1"/>
  <c r="BR27" i="2" s="1"/>
  <c r="BS27" i="2" s="1"/>
  <c r="BT27" i="2" s="1"/>
  <c r="BU27" i="2" s="1"/>
  <c r="BV27" i="2" s="1"/>
  <c r="BW27" i="2" s="1"/>
  <c r="BX27" i="2" s="1"/>
  <c r="BY27" i="2" s="1"/>
  <c r="BZ27" i="2" s="1"/>
  <c r="CA27" i="2" s="1"/>
  <c r="CB27" i="2" s="1"/>
  <c r="CC27" i="2" s="1"/>
  <c r="CD27" i="2" s="1"/>
  <c r="CE27" i="2" s="1"/>
  <c r="CF27" i="2" s="1"/>
  <c r="CG27" i="2" s="1"/>
  <c r="CH27" i="2" s="1"/>
  <c r="CI27" i="2" s="1"/>
  <c r="CJ27" i="2" s="1"/>
  <c r="CK27" i="2" s="1"/>
  <c r="CL27" i="2" s="1"/>
  <c r="CM27" i="2" s="1"/>
  <c r="CN27" i="2" s="1"/>
  <c r="CO27" i="2" s="1"/>
  <c r="CP27" i="2" s="1"/>
  <c r="CQ27" i="2" s="1"/>
  <c r="CR27" i="2" s="1"/>
  <c r="CS27" i="2" s="1"/>
  <c r="CT27" i="2" s="1"/>
  <c r="CU27" i="2" s="1"/>
  <c r="CV27" i="2" s="1"/>
  <c r="CW27" i="2" s="1"/>
  <c r="CX27" i="2" s="1"/>
  <c r="CY27" i="2" s="1"/>
  <c r="CZ27" i="2" s="1"/>
  <c r="DA27" i="2" s="1"/>
  <c r="DB27" i="2" s="1"/>
  <c r="DC27" i="2" s="1"/>
  <c r="DD27" i="2" s="1"/>
  <c r="DE27" i="2" s="1"/>
  <c r="DF27" i="2" s="1"/>
  <c r="DG27" i="2" s="1"/>
  <c r="DH27" i="2" s="1"/>
  <c r="DI27" i="2" s="1"/>
  <c r="DJ27" i="2" s="1"/>
  <c r="DK27" i="2" s="1"/>
  <c r="DL27" i="2" s="1"/>
  <c r="DM27" i="2" s="1"/>
  <c r="DN27" i="2" s="1"/>
  <c r="DO27" i="2" s="1"/>
  <c r="DP27" i="2" s="1"/>
  <c r="DQ27" i="2" s="1"/>
  <c r="DR27" i="2" s="1"/>
  <c r="DS27" i="2" s="1"/>
  <c r="DT27" i="2" s="1"/>
  <c r="DU27" i="2" s="1"/>
  <c r="DV27" i="2" s="1"/>
  <c r="DW27" i="2" s="1"/>
  <c r="DX27" i="2" s="1"/>
  <c r="DY27" i="2" s="1"/>
  <c r="DZ27" i="2" s="1"/>
  <c r="EA27" i="2" s="1"/>
  <c r="EB27" i="2" s="1"/>
  <c r="EC27" i="2" s="1"/>
  <c r="ED27" i="2" s="1"/>
  <c r="EE27" i="2" s="1"/>
  <c r="EF27" i="2" s="1"/>
  <c r="EG27" i="2" s="1"/>
  <c r="EH27" i="2" s="1"/>
  <c r="AF34" i="2" l="1"/>
  <c r="AF36" i="2" s="1"/>
  <c r="AF37" i="2" s="1"/>
  <c r="AF39" i="2" s="1"/>
</calcChain>
</file>

<file path=xl/sharedStrings.xml><?xml version="1.0" encoding="utf-8"?>
<sst xmlns="http://schemas.openxmlformats.org/spreadsheetml/2006/main" count="67" uniqueCount="62">
  <si>
    <t>SAF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</si>
  <si>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</si>
  <si>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</si>
  <si>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</si>
  <si>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</si>
  <si>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</si>
  <si>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</si>
  <si>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</si>
  <si>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</si>
  <si>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</si>
  <si>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</si>
  <si>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H224</t>
  </si>
  <si>
    <t>Revenue</t>
  </si>
  <si>
    <t>Cost of sales</t>
  </si>
  <si>
    <t>Other income</t>
  </si>
  <si>
    <t>Inventory cost</t>
  </si>
  <si>
    <t>Other operating income</t>
  </si>
  <si>
    <t>Personnel costs</t>
  </si>
  <si>
    <t>Total cost of sales</t>
  </si>
  <si>
    <t>Operating taxes</t>
  </si>
  <si>
    <t>D&amp;A</t>
  </si>
  <si>
    <t>Impairment</t>
  </si>
  <si>
    <t>Other operating expenses</t>
  </si>
  <si>
    <t>Investment income</t>
  </si>
  <si>
    <t>Non-recurring expenses</t>
  </si>
  <si>
    <t>Interest expense</t>
  </si>
  <si>
    <t>Finance expense</t>
  </si>
  <si>
    <t>Other finance expense</t>
  </si>
  <si>
    <t>Net finance expense</t>
  </si>
  <si>
    <t>Pretax profit</t>
  </si>
  <si>
    <t>Taxes</t>
  </si>
  <si>
    <t>MI</t>
  </si>
  <si>
    <t>Net profit</t>
  </si>
  <si>
    <t>EPS</t>
  </si>
  <si>
    <t>Gross profit</t>
  </si>
  <si>
    <t>Operating profit</t>
  </si>
  <si>
    <t>Total operating expenses</t>
  </si>
  <si>
    <t>H122</t>
  </si>
  <si>
    <t>H222</t>
  </si>
  <si>
    <t>H123</t>
  </si>
  <si>
    <t>H223</t>
  </si>
  <si>
    <t>H124</t>
  </si>
  <si>
    <t>H125</t>
  </si>
  <si>
    <t>H225</t>
  </si>
  <si>
    <t>Total revenue</t>
  </si>
  <si>
    <t>Revenue y/y</t>
  </si>
  <si>
    <t>Gross Margin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</si>
  <si>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</si>
  <si>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</si>
  <si>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</si>
  <si>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</si>
  <si>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</si>
  <si>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</si>
  <si>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</si>
  <si>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</si>
  <si>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</si>
  <si>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</si>
  <si>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</si>
  <si>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Overvalued</t>
  </si>
  <si>
    <t>L+S/E</t>
  </si>
  <si>
    <t>EV/B</t>
  </si>
  <si>
    <t>B/EV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</si>
</sst>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0.0\x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1" fillId="2" borderId="1" xfId="0" applyFont="1" applyFill="1" applyBorder="1"/>
    <xf numFmtId="164" fontId="2" fillId="2" borderId="1" xfId="0" applyNumberFormat="1" applyFont="1" applyFill="1" applyBorder="1"/>
    <xf numFmtId="14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4" fillId="2" borderId="1" xfId="0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0</xdr:row>
      <xdr:rowOff>7620</xdr:rowOff>
    </xdr:from>
    <xdr:to>
      <xdr:col>9</xdr:col>
      <xdr:colOff>22860</xdr:colOff>
      <xdr:row>51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C07EF3A-A381-9573-5FDA-BAF713835010}"/>
            </a:ext>
          </a:extLst>
        </xdr:cNvPr>
        <xdr:cNvCxnSpPr/>
      </xdr:nvCxnSpPr>
      <xdr:spPr>
        <a:xfrm>
          <a:off x="6431280" y="7620"/>
          <a:ext cx="0" cy="94259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0</xdr:row>
      <xdr:rowOff>0</xdr:rowOff>
    </xdr:from>
    <xdr:to>
      <xdr:col>17</xdr:col>
      <xdr:colOff>15240</xdr:colOff>
      <xdr:row>49</xdr:row>
      <xdr:rowOff>15240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C3C913F-907C-5DEC-2C58-61CCE6CB0561}"/>
            </a:ext>
          </a:extLst>
        </xdr:cNvPr>
        <xdr:cNvCxnSpPr/>
      </xdr:nvCxnSpPr>
      <xdr:spPr>
        <a:xfrm>
          <a:off x="11300460" y="0"/>
          <a:ext cx="0" cy="89763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FBB4-32EF-4EE1-B541-615752BCAD21}">
  <dimension ref="B2:G9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7" width="12.6640625" style="2" customWidth="1"/>
    <col min="8" max="16384" width="8.88671875" style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3" t="s">
        <v>0</v>
      </c>
      <c r="C3" s="1" t="s">
        <v>1</v>
      </c>
      <c r="D3" s="4">
        <v>303.10000000000002</v>
      </c>
      <c r="E3" s="5">
        <v>45934</v>
      </c>
      <c r="F3" s="5">
        <f ca="1">TODAY()</f>
        <v>45934</v>
      </c>
      <c r="G3" s="5">
        <v>46066</v>
      </c>
    </row>
    <row r="4" spans="2:7" x14ac:dyDescent="0.3">
      <c r="C4" s="1" t="s">
        <v>2</v>
      </c>
      <c r="D4" s="6">
        <f>417.9</f>
        <v>417.9</v>
      </c>
      <c r="E4" s="2" t="s">
        <v>42</v>
      </c>
    </row>
    <row r="5" spans="2:7" x14ac:dyDescent="0.3">
      <c r="C5" s="1" t="s">
        <v>3</v>
      </c>
      <c r="D5" s="6">
        <f>D3*D4</f>
        <v>126665.49</v>
      </c>
    </row>
    <row r="6" spans="2:7" x14ac:dyDescent="0.3">
      <c r="C6" s="1" t="s">
        <v>4</v>
      </c>
      <c r="D6" s="6">
        <f>6707+1861</f>
        <v>8568</v>
      </c>
      <c r="E6" s="2" t="s">
        <v>42</v>
      </c>
    </row>
    <row r="7" spans="2:7" x14ac:dyDescent="0.3">
      <c r="C7" s="1" t="s">
        <v>5</v>
      </c>
      <c r="D7" s="6">
        <f>2427+2411+276</f>
        <v>5114</v>
      </c>
      <c r="E7" s="2" t="s">
        <v>42</v>
      </c>
    </row>
    <row r="8" spans="2:7" x14ac:dyDescent="0.3">
      <c r="C8" s="1" t="s">
        <v>6</v>
      </c>
      <c r="D8" s="6">
        <f>D6-D7</f>
        <v>3454</v>
      </c>
    </row>
    <row r="9" spans="2:7" x14ac:dyDescent="0.3">
      <c r="C9" s="1" t="s">
        <v>7</v>
      </c>
      <c r="D9" s="6">
        <f>D5-D8</f>
        <v>123211.49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A084-67EA-4632-BC66-83DBCE4959D5}">
  <dimension ref="B2:EH42"/>
  <sheetViews>
    <sheetView tabSelected="1" zoomScaleNormal="10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F41" sqref="AF41"/>
    </sheetView>
  </sheetViews>
  <sheetFormatPr defaultRowHeight="14.4" x14ac:dyDescent="0.3"/>
  <cols>
    <col min="1" max="1" width="8.88671875" style="1"/>
    <col min="2" max="2" width="22.33203125" style="1" bestFit="1" customWidth="1"/>
    <col min="3" max="30" width="8.88671875" style="1"/>
    <col min="31" max="31" width="12" style="1" bestFit="1" customWidth="1"/>
    <col min="32" max="32" width="16.5546875" style="1" customWidth="1"/>
    <col min="33" max="16384" width="8.88671875" style="1"/>
  </cols>
  <sheetData>
    <row r="2" spans="2:28" x14ac:dyDescent="0.3">
      <c r="C2" s="7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11</v>
      </c>
      <c r="I2" s="7" t="s">
        <v>42</v>
      </c>
      <c r="J2" s="7" t="s">
        <v>43</v>
      </c>
      <c r="L2" s="1">
        <v>2019</v>
      </c>
      <c r="M2" s="1">
        <v>2020</v>
      </c>
      <c r="N2" s="1">
        <v>2021</v>
      </c>
      <c r="O2" s="1">
        <v>2022</v>
      </c>
      <c r="P2" s="1">
        <v>2023</v>
      </c>
      <c r="Q2" s="1">
        <v>2024</v>
      </c>
      <c r="R2" s="1">
        <v>2025</v>
      </c>
      <c r="S2" s="1">
        <v>2026</v>
      </c>
      <c r="T2" s="1">
        <v>2027</v>
      </c>
      <c r="U2" s="1">
        <v>2028</v>
      </c>
      <c r="V2" s="1">
        <v>2029</v>
      </c>
      <c r="W2" s="1">
        <v>2030</v>
      </c>
      <c r="X2" s="1">
        <v>2031</v>
      </c>
      <c r="Y2" s="1">
        <v>2032</v>
      </c>
      <c r="Z2" s="1">
        <v>2033</v>
      </c>
      <c r="AA2" s="1">
        <v>2034</v>
      </c>
      <c r="AB2" s="1">
        <v>2035</v>
      </c>
    </row>
    <row r="3" spans="2:28" x14ac:dyDescent="0.3">
      <c r="B3" s="1" t="s">
        <v>12</v>
      </c>
      <c r="E3" s="6">
        <v>10945</v>
      </c>
      <c r="F3" s="6">
        <f>P3-E3</f>
        <v>12706</v>
      </c>
      <c r="G3" s="6">
        <v>13047</v>
      </c>
      <c r="H3" s="6">
        <f>Q3-G3</f>
        <v>14669</v>
      </c>
      <c r="I3" s="6">
        <v>14865</v>
      </c>
      <c r="J3" s="6">
        <f>H3*1.12</f>
        <v>16429.280000000002</v>
      </c>
      <c r="L3" s="6">
        <v>24640</v>
      </c>
      <c r="M3" s="6">
        <v>16498</v>
      </c>
      <c r="N3" s="6">
        <v>15257</v>
      </c>
      <c r="O3" s="6">
        <v>19035</v>
      </c>
      <c r="P3" s="6">
        <v>23651</v>
      </c>
      <c r="Q3" s="6">
        <v>27716</v>
      </c>
      <c r="R3" s="6">
        <f>SUM(I3:J3)</f>
        <v>31294.280000000002</v>
      </c>
      <c r="S3" s="6"/>
      <c r="T3" s="6"/>
      <c r="U3" s="6"/>
      <c r="V3" s="6"/>
      <c r="W3" s="6"/>
      <c r="X3" s="6"/>
      <c r="Y3" s="6"/>
      <c r="Z3" s="6"/>
      <c r="AA3" s="6"/>
      <c r="AB3" s="6"/>
    </row>
    <row r="4" spans="2:28" x14ac:dyDescent="0.3">
      <c r="B4" s="1" t="s">
        <v>14</v>
      </c>
      <c r="E4" s="6">
        <v>226</v>
      </c>
      <c r="F4" s="6">
        <f>P4-E4</f>
        <v>248</v>
      </c>
      <c r="G4" s="6">
        <v>208</v>
      </c>
      <c r="H4" s="6">
        <f>Q4-G4</f>
        <v>230</v>
      </c>
      <c r="I4" s="6">
        <v>210</v>
      </c>
      <c r="J4" s="6">
        <v>230</v>
      </c>
      <c r="L4" s="6">
        <v>297</v>
      </c>
      <c r="M4" s="6">
        <v>267</v>
      </c>
      <c r="N4" s="6">
        <v>373</v>
      </c>
      <c r="O4" s="6">
        <v>440</v>
      </c>
      <c r="P4" s="6">
        <v>474</v>
      </c>
      <c r="Q4" s="6">
        <v>438</v>
      </c>
      <c r="R4" s="6">
        <f>SUM(I4:J4)</f>
        <v>440</v>
      </c>
      <c r="S4" s="6"/>
      <c r="T4" s="6"/>
      <c r="U4" s="6"/>
      <c r="V4" s="6"/>
      <c r="W4" s="6"/>
      <c r="X4" s="6"/>
      <c r="Y4" s="6"/>
      <c r="Z4" s="6"/>
      <c r="AA4" s="6"/>
      <c r="AB4" s="6"/>
    </row>
    <row r="5" spans="2:28" s="3" customFormat="1" x14ac:dyDescent="0.3">
      <c r="B5" s="3" t="s">
        <v>44</v>
      </c>
      <c r="E5" s="9">
        <f>E3+E4</f>
        <v>11171</v>
      </c>
      <c r="F5" s="9">
        <f>F3+F4</f>
        <v>12954</v>
      </c>
      <c r="G5" s="9">
        <f>G3+G4</f>
        <v>13255</v>
      </c>
      <c r="H5" s="9">
        <f>H3+H4</f>
        <v>14899</v>
      </c>
      <c r="I5" s="9">
        <f t="shared" ref="I5:J5" si="0">I3+I4</f>
        <v>15075</v>
      </c>
      <c r="J5" s="9">
        <f t="shared" si="0"/>
        <v>16659.280000000002</v>
      </c>
      <c r="L5" s="9">
        <f t="shared" ref="L5:R5" si="1">L3+L4</f>
        <v>24937</v>
      </c>
      <c r="M5" s="9">
        <f t="shared" si="1"/>
        <v>16765</v>
      </c>
      <c r="N5" s="9">
        <f t="shared" si="1"/>
        <v>15630</v>
      </c>
      <c r="O5" s="9">
        <f t="shared" si="1"/>
        <v>19475</v>
      </c>
      <c r="P5" s="9">
        <f t="shared" si="1"/>
        <v>24125</v>
      </c>
      <c r="Q5" s="9">
        <f t="shared" si="1"/>
        <v>28154</v>
      </c>
      <c r="R5" s="9">
        <f t="shared" si="1"/>
        <v>31734.280000000002</v>
      </c>
      <c r="S5" s="9">
        <f>R5*1.08</f>
        <v>34273.022400000002</v>
      </c>
      <c r="T5" s="9">
        <f>S5*1.06</f>
        <v>36329.403744000003</v>
      </c>
      <c r="U5" s="9">
        <f>T5*1.04</f>
        <v>37782.579893760005</v>
      </c>
      <c r="V5" s="9">
        <f>U5*1.03</f>
        <v>38916.057290572804</v>
      </c>
      <c r="W5" s="9">
        <f t="shared" ref="W5:AB5" si="2">V5*1.02</f>
        <v>39694.378436384264</v>
      </c>
      <c r="X5" s="9">
        <f t="shared" si="2"/>
        <v>40488.266005111953</v>
      </c>
      <c r="Y5" s="9">
        <f t="shared" si="2"/>
        <v>41298.031325214193</v>
      </c>
      <c r="Z5" s="9">
        <f t="shared" si="2"/>
        <v>42123.991951718475</v>
      </c>
      <c r="AA5" s="9">
        <f t="shared" si="2"/>
        <v>42966.471790752847</v>
      </c>
      <c r="AB5" s="9">
        <f t="shared" si="2"/>
        <v>43825.801226567906</v>
      </c>
    </row>
    <row r="6" spans="2:28" x14ac:dyDescent="0.3">
      <c r="B6" s="1" t="s">
        <v>15</v>
      </c>
      <c r="E6" s="6">
        <v>-707</v>
      </c>
      <c r="F6" s="6">
        <f t="shared" ref="F6:F9" si="3">P6-E6</f>
        <v>-293</v>
      </c>
      <c r="G6" s="6">
        <v>-871</v>
      </c>
      <c r="H6" s="6">
        <f t="shared" ref="H6:H9" si="4">Q6-G6</f>
        <v>-118</v>
      </c>
      <c r="I6" s="6">
        <v>-761</v>
      </c>
      <c r="J6" s="6"/>
      <c r="L6" s="6">
        <v>-453</v>
      </c>
      <c r="M6" s="6">
        <v>865</v>
      </c>
      <c r="N6" s="6">
        <v>199</v>
      </c>
      <c r="O6" s="6">
        <v>-1210</v>
      </c>
      <c r="P6" s="6">
        <v>-1000</v>
      </c>
      <c r="Q6" s="6">
        <v>-989</v>
      </c>
      <c r="R6" s="6">
        <f t="shared" ref="R6:R9" si="5">SUM(I6:J6)</f>
        <v>-761</v>
      </c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x14ac:dyDescent="0.3">
      <c r="B7" s="1" t="s">
        <v>16</v>
      </c>
      <c r="E7" s="6">
        <v>-214</v>
      </c>
      <c r="F7" s="6">
        <f t="shared" si="3"/>
        <v>-266</v>
      </c>
      <c r="G7" s="6">
        <v>-235</v>
      </c>
      <c r="H7" s="6">
        <f t="shared" si="4"/>
        <v>-291</v>
      </c>
      <c r="I7" s="6">
        <v>-245</v>
      </c>
      <c r="J7" s="6"/>
      <c r="L7" s="6">
        <v>-438</v>
      </c>
      <c r="M7" s="6">
        <v>-329</v>
      </c>
      <c r="N7" s="6">
        <v>-372</v>
      </c>
      <c r="O7" s="6">
        <v>-382</v>
      </c>
      <c r="P7" s="6">
        <v>-480</v>
      </c>
      <c r="Q7" s="6">
        <v>-526</v>
      </c>
      <c r="R7" s="6">
        <f t="shared" si="5"/>
        <v>-245</v>
      </c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x14ac:dyDescent="0.3">
      <c r="B8" s="1" t="s">
        <v>13</v>
      </c>
      <c r="E8" s="6">
        <v>6696</v>
      </c>
      <c r="F8" s="6">
        <f t="shared" si="3"/>
        <v>7376</v>
      </c>
      <c r="G8" s="6">
        <v>7819</v>
      </c>
      <c r="H8" s="6">
        <f t="shared" si="4"/>
        <v>8141</v>
      </c>
      <c r="I8" s="6">
        <v>8320</v>
      </c>
      <c r="J8" s="6"/>
      <c r="L8" s="6">
        <v>14439</v>
      </c>
      <c r="M8" s="6">
        <v>8455</v>
      </c>
      <c r="N8" s="6">
        <v>7990</v>
      </c>
      <c r="O8" s="6">
        <v>11719</v>
      </c>
      <c r="P8" s="6">
        <v>14072</v>
      </c>
      <c r="Q8" s="6">
        <v>15960</v>
      </c>
      <c r="R8" s="6">
        <f t="shared" si="5"/>
        <v>8320</v>
      </c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x14ac:dyDescent="0.3">
      <c r="B9" s="1" t="s">
        <v>17</v>
      </c>
      <c r="E9" s="6">
        <v>3363</v>
      </c>
      <c r="F9" s="6">
        <f t="shared" si="3"/>
        <v>3404</v>
      </c>
      <c r="G9" s="6">
        <v>3939</v>
      </c>
      <c r="H9" s="6">
        <f t="shared" si="4"/>
        <v>3862</v>
      </c>
      <c r="I9" s="6">
        <v>4334</v>
      </c>
      <c r="J9" s="6"/>
      <c r="L9" s="6">
        <v>6349</v>
      </c>
      <c r="M9" s="6">
        <v>5024</v>
      </c>
      <c r="N9" s="6">
        <v>4916</v>
      </c>
      <c r="O9" s="6">
        <v>5787</v>
      </c>
      <c r="P9" s="6">
        <v>6767</v>
      </c>
      <c r="Q9" s="6">
        <v>7801</v>
      </c>
      <c r="R9" s="6">
        <f t="shared" si="5"/>
        <v>4334</v>
      </c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x14ac:dyDescent="0.3">
      <c r="B10" s="1" t="s">
        <v>18</v>
      </c>
      <c r="E10" s="6">
        <f>E6+E8+E9</f>
        <v>9352</v>
      </c>
      <c r="F10" s="6">
        <f>F6+F8+F9</f>
        <v>10487</v>
      </c>
      <c r="G10" s="6">
        <f>G6+G8+G9</f>
        <v>10887</v>
      </c>
      <c r="H10" s="6">
        <f>H6+H8+H9</f>
        <v>11885</v>
      </c>
      <c r="I10" s="6">
        <f>I6+I8+I9</f>
        <v>11893</v>
      </c>
      <c r="J10" s="6">
        <f>J5-J11</f>
        <v>13327.424000000003</v>
      </c>
      <c r="L10" s="6">
        <f t="shared" ref="L10:Q10" si="6">L6+L8+L9</f>
        <v>20335</v>
      </c>
      <c r="M10" s="6">
        <f t="shared" si="6"/>
        <v>14344</v>
      </c>
      <c r="N10" s="6">
        <f t="shared" si="6"/>
        <v>13105</v>
      </c>
      <c r="O10" s="6">
        <f t="shared" si="6"/>
        <v>16296</v>
      </c>
      <c r="P10" s="6">
        <f t="shared" si="6"/>
        <v>19839</v>
      </c>
      <c r="Q10" s="6">
        <f t="shared" si="6"/>
        <v>22772</v>
      </c>
      <c r="R10" s="6">
        <f>SUM(I10:J10)</f>
        <v>25220.424000000003</v>
      </c>
      <c r="S10" s="6">
        <f>SUM(J10:K10)</f>
        <v>13327.424000000003</v>
      </c>
      <c r="T10" s="6">
        <f t="shared" ref="T10:AB10" si="7">SUM(K10:L10)</f>
        <v>20335</v>
      </c>
      <c r="U10" s="6">
        <f t="shared" si="7"/>
        <v>34679</v>
      </c>
      <c r="V10" s="6">
        <f t="shared" si="7"/>
        <v>27449</v>
      </c>
      <c r="W10" s="6">
        <f t="shared" si="7"/>
        <v>29401</v>
      </c>
      <c r="X10" s="6">
        <f t="shared" si="7"/>
        <v>36135</v>
      </c>
      <c r="Y10" s="6">
        <f t="shared" si="7"/>
        <v>42611</v>
      </c>
      <c r="Z10" s="6">
        <f t="shared" si="7"/>
        <v>47992.423999999999</v>
      </c>
      <c r="AA10" s="6">
        <f t="shared" si="7"/>
        <v>38547.848000000005</v>
      </c>
      <c r="AB10" s="6">
        <f t="shared" si="7"/>
        <v>33662.423999999999</v>
      </c>
    </row>
    <row r="11" spans="2:28" s="3" customFormat="1" x14ac:dyDescent="0.3">
      <c r="B11" s="3" t="s">
        <v>34</v>
      </c>
      <c r="E11" s="9">
        <f>E5-E10</f>
        <v>1819</v>
      </c>
      <c r="F11" s="9">
        <f>F5-F10</f>
        <v>2467</v>
      </c>
      <c r="G11" s="9">
        <f>G5-G10</f>
        <v>2368</v>
      </c>
      <c r="H11" s="9">
        <f>H5-H10</f>
        <v>3014</v>
      </c>
      <c r="I11" s="9">
        <f>I5-I10</f>
        <v>3182</v>
      </c>
      <c r="J11" s="9">
        <f>J5*0.2</f>
        <v>3331.8560000000007</v>
      </c>
      <c r="L11" s="9">
        <f t="shared" ref="L11:R11" si="8">L5-L10</f>
        <v>4602</v>
      </c>
      <c r="M11" s="9">
        <f t="shared" si="8"/>
        <v>2421</v>
      </c>
      <c r="N11" s="9">
        <f t="shared" si="8"/>
        <v>2525</v>
      </c>
      <c r="O11" s="9">
        <f t="shared" si="8"/>
        <v>3179</v>
      </c>
      <c r="P11" s="9">
        <f t="shared" si="8"/>
        <v>4286</v>
      </c>
      <c r="Q11" s="9">
        <f t="shared" si="8"/>
        <v>5382</v>
      </c>
      <c r="R11" s="9">
        <f t="shared" si="8"/>
        <v>6513.8559999999998</v>
      </c>
      <c r="S11" s="9">
        <f>S5*0.2</f>
        <v>6854.6044800000009</v>
      </c>
      <c r="T11" s="9">
        <f t="shared" ref="T11:AB11" si="9">T5*0.2</f>
        <v>7265.8807488000011</v>
      </c>
      <c r="U11" s="9">
        <f t="shared" si="9"/>
        <v>7556.5159787520015</v>
      </c>
      <c r="V11" s="9">
        <f t="shared" si="9"/>
        <v>7783.2114581145615</v>
      </c>
      <c r="W11" s="9">
        <f t="shared" si="9"/>
        <v>7938.8756872768536</v>
      </c>
      <c r="X11" s="9">
        <f t="shared" si="9"/>
        <v>8097.6532010223909</v>
      </c>
      <c r="Y11" s="9">
        <f t="shared" si="9"/>
        <v>8259.6062650428394</v>
      </c>
      <c r="Z11" s="9">
        <f t="shared" si="9"/>
        <v>8424.7983903436962</v>
      </c>
      <c r="AA11" s="9">
        <f t="shared" si="9"/>
        <v>8593.2943581505697</v>
      </c>
      <c r="AB11" s="9">
        <f t="shared" si="9"/>
        <v>8765.160245313582</v>
      </c>
    </row>
    <row r="12" spans="2:28" x14ac:dyDescent="0.3">
      <c r="B12" s="1" t="s">
        <v>19</v>
      </c>
      <c r="E12" s="6">
        <v>173</v>
      </c>
      <c r="F12" s="6">
        <f t="shared" ref="F12:F17" si="10">P12-E12</f>
        <v>135</v>
      </c>
      <c r="G12" s="6">
        <v>194</v>
      </c>
      <c r="H12" s="6">
        <f t="shared" ref="H12:H17" si="11">Q12-G12</f>
        <v>143</v>
      </c>
      <c r="I12" s="6">
        <v>239</v>
      </c>
      <c r="J12" s="6">
        <f>H12*1.01</f>
        <v>144.43</v>
      </c>
      <c r="L12" s="6">
        <v>388</v>
      </c>
      <c r="M12" s="6">
        <v>326</v>
      </c>
      <c r="N12" s="6">
        <v>257</v>
      </c>
      <c r="O12" s="6">
        <v>290</v>
      </c>
      <c r="P12" s="6">
        <v>308</v>
      </c>
      <c r="Q12" s="6">
        <v>337</v>
      </c>
      <c r="R12" s="6">
        <f t="shared" ref="R12:R17" si="12">SUM(I12:J12)</f>
        <v>383.43</v>
      </c>
      <c r="S12" s="6">
        <f>R12*1.01</f>
        <v>387.26429999999999</v>
      </c>
      <c r="T12" s="6">
        <f t="shared" ref="T12:AB12" si="13">S12*1.01</f>
        <v>391.13694299999997</v>
      </c>
      <c r="U12" s="6">
        <f t="shared" si="13"/>
        <v>395.04831242999995</v>
      </c>
      <c r="V12" s="6">
        <f t="shared" si="13"/>
        <v>398.99879555429993</v>
      </c>
      <c r="W12" s="6">
        <f t="shared" si="13"/>
        <v>402.98878350984296</v>
      </c>
      <c r="X12" s="6">
        <f t="shared" si="13"/>
        <v>407.01867134494137</v>
      </c>
      <c r="Y12" s="6">
        <f t="shared" si="13"/>
        <v>411.08885805839077</v>
      </c>
      <c r="Z12" s="6">
        <f t="shared" si="13"/>
        <v>415.19974663897466</v>
      </c>
      <c r="AA12" s="6">
        <f t="shared" si="13"/>
        <v>419.35174410536439</v>
      </c>
      <c r="AB12" s="6">
        <f t="shared" si="13"/>
        <v>423.54526154641803</v>
      </c>
    </row>
    <row r="13" spans="2:28" x14ac:dyDescent="0.3">
      <c r="B13" s="1" t="s">
        <v>20</v>
      </c>
      <c r="E13" s="6">
        <v>460</v>
      </c>
      <c r="F13" s="6">
        <f t="shared" si="10"/>
        <v>822</v>
      </c>
      <c r="G13" s="6">
        <v>614</v>
      </c>
      <c r="H13" s="6">
        <f t="shared" si="11"/>
        <v>964</v>
      </c>
      <c r="I13" s="6">
        <v>652</v>
      </c>
      <c r="J13" s="6">
        <f>H13*1.05</f>
        <v>1012.2</v>
      </c>
      <c r="L13" s="6">
        <v>1194</v>
      </c>
      <c r="M13" s="6">
        <v>823</v>
      </c>
      <c r="N13" s="6">
        <v>1137</v>
      </c>
      <c r="O13" s="6">
        <v>811</v>
      </c>
      <c r="P13" s="6">
        <v>1282</v>
      </c>
      <c r="Q13" s="6">
        <v>1578</v>
      </c>
      <c r="R13" s="6">
        <f t="shared" si="12"/>
        <v>1664.2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2:28" x14ac:dyDescent="0.3">
      <c r="B14" s="1" t="s">
        <v>21</v>
      </c>
      <c r="E14" s="6">
        <v>104</v>
      </c>
      <c r="F14" s="6">
        <f t="shared" si="10"/>
        <v>-54</v>
      </c>
      <c r="G14" s="6">
        <v>-57</v>
      </c>
      <c r="H14" s="6">
        <f t="shared" si="11"/>
        <v>39</v>
      </c>
      <c r="I14" s="6">
        <v>145</v>
      </c>
      <c r="J14" s="6">
        <v>0</v>
      </c>
      <c r="L14" s="6">
        <v>-55</v>
      </c>
      <c r="M14" s="6">
        <v>147</v>
      </c>
      <c r="N14" s="6">
        <v>-77</v>
      </c>
      <c r="O14" s="6">
        <v>252</v>
      </c>
      <c r="P14" s="6">
        <v>50</v>
      </c>
      <c r="Q14" s="6">
        <v>-18</v>
      </c>
      <c r="R14" s="6">
        <f t="shared" si="12"/>
        <v>145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2:28" x14ac:dyDescent="0.3">
      <c r="B15" s="1" t="s">
        <v>22</v>
      </c>
      <c r="E15" s="6">
        <v>-40</v>
      </c>
      <c r="F15" s="6">
        <f t="shared" si="10"/>
        <v>-44</v>
      </c>
      <c r="G15" s="6">
        <v>-60</v>
      </c>
      <c r="H15" s="6">
        <f t="shared" si="11"/>
        <v>21</v>
      </c>
      <c r="I15" s="6">
        <v>-12</v>
      </c>
      <c r="J15" s="6">
        <v>-30</v>
      </c>
      <c r="L15" s="6">
        <v>-102</v>
      </c>
      <c r="M15" s="6">
        <v>-148</v>
      </c>
      <c r="N15" s="6">
        <v>-156</v>
      </c>
      <c r="O15" s="6">
        <v>-103</v>
      </c>
      <c r="P15" s="6">
        <v>-84</v>
      </c>
      <c r="Q15" s="6">
        <v>-39</v>
      </c>
      <c r="R15" s="6">
        <f t="shared" si="12"/>
        <v>-42</v>
      </c>
      <c r="S15" s="6">
        <f>R15*1.01</f>
        <v>-42.42</v>
      </c>
      <c r="T15" s="6">
        <f t="shared" ref="T15:AB15" si="14">S15*1.01</f>
        <v>-42.844200000000001</v>
      </c>
      <c r="U15" s="6">
        <f t="shared" si="14"/>
        <v>-43.272641999999998</v>
      </c>
      <c r="V15" s="6">
        <f t="shared" si="14"/>
        <v>-43.705368419999999</v>
      </c>
      <c r="W15" s="6">
        <f t="shared" si="14"/>
        <v>-44.142422104200001</v>
      </c>
      <c r="X15" s="6">
        <f t="shared" si="14"/>
        <v>-44.583846325242</v>
      </c>
      <c r="Y15" s="6">
        <f t="shared" si="14"/>
        <v>-45.029684788494421</v>
      </c>
      <c r="Z15" s="6">
        <f t="shared" si="14"/>
        <v>-45.479981636379364</v>
      </c>
      <c r="AA15" s="6">
        <f t="shared" si="14"/>
        <v>-45.934781452743159</v>
      </c>
      <c r="AB15" s="6">
        <f t="shared" si="14"/>
        <v>-46.394129267270593</v>
      </c>
    </row>
    <row r="16" spans="2:28" x14ac:dyDescent="0.3">
      <c r="B16" s="1" t="s">
        <v>23</v>
      </c>
      <c r="E16" s="6">
        <v>-61</v>
      </c>
      <c r="F16" s="6">
        <f t="shared" si="10"/>
        <v>-38</v>
      </c>
      <c r="G16" s="6">
        <v>-62</v>
      </c>
      <c r="H16" s="6">
        <f t="shared" si="11"/>
        <v>-74</v>
      </c>
      <c r="I16" s="6">
        <v>-65</v>
      </c>
      <c r="J16" s="6">
        <v>-50</v>
      </c>
      <c r="L16" s="6">
        <v>-205</v>
      </c>
      <c r="M16" s="6">
        <v>-84</v>
      </c>
      <c r="N16" s="6">
        <v>-69</v>
      </c>
      <c r="O16" s="6">
        <v>-97</v>
      </c>
      <c r="P16" s="6">
        <v>-99</v>
      </c>
      <c r="Q16" s="6">
        <v>-136</v>
      </c>
      <c r="R16" s="6">
        <f t="shared" si="12"/>
        <v>-115</v>
      </c>
      <c r="S16" s="6">
        <f>R16*1.05</f>
        <v>-120.75</v>
      </c>
      <c r="T16" s="6">
        <f t="shared" ref="T16:AB16" si="15">S16*1.05</f>
        <v>-126.78750000000001</v>
      </c>
      <c r="U16" s="6">
        <f t="shared" si="15"/>
        <v>-133.12687500000001</v>
      </c>
      <c r="V16" s="6">
        <f t="shared" si="15"/>
        <v>-139.78321875000003</v>
      </c>
      <c r="W16" s="6">
        <f t="shared" si="15"/>
        <v>-146.77237968750003</v>
      </c>
      <c r="X16" s="6">
        <f t="shared" si="15"/>
        <v>-154.11099867187505</v>
      </c>
      <c r="Y16" s="6">
        <f t="shared" si="15"/>
        <v>-161.81654860546882</v>
      </c>
      <c r="Z16" s="6">
        <f t="shared" si="15"/>
        <v>-169.90737603574226</v>
      </c>
      <c r="AA16" s="6">
        <f t="shared" si="15"/>
        <v>-178.40274483752938</v>
      </c>
      <c r="AB16" s="6">
        <f t="shared" si="15"/>
        <v>-187.32288207940587</v>
      </c>
    </row>
    <row r="17" spans="2:138" x14ac:dyDescent="0.3">
      <c r="B17" s="1" t="s">
        <v>24</v>
      </c>
      <c r="E17" s="6">
        <v>57</v>
      </c>
      <c r="F17" s="6">
        <f t="shared" si="10"/>
        <v>454</v>
      </c>
      <c r="G17" s="6">
        <v>24</v>
      </c>
      <c r="H17" s="6">
        <f t="shared" si="11"/>
        <v>-30</v>
      </c>
      <c r="I17" s="6">
        <v>37</v>
      </c>
      <c r="J17" s="6">
        <v>0</v>
      </c>
      <c r="L17" s="6">
        <v>-13</v>
      </c>
      <c r="M17" s="6">
        <v>466</v>
      </c>
      <c r="N17" s="6">
        <v>405</v>
      </c>
      <c r="O17" s="6">
        <v>450</v>
      </c>
      <c r="P17" s="6">
        <v>511</v>
      </c>
      <c r="Q17" s="6">
        <v>-6</v>
      </c>
      <c r="R17" s="6">
        <f t="shared" si="12"/>
        <v>37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2:138" x14ac:dyDescent="0.3">
      <c r="B18" s="1" t="s">
        <v>36</v>
      </c>
      <c r="E18" s="6">
        <f>E7+SUM(E12:E17)</f>
        <v>479</v>
      </c>
      <c r="F18" s="6">
        <f>F7+SUM(F12:F17)</f>
        <v>1009</v>
      </c>
      <c r="G18" s="6">
        <f>G7+SUM(G12:G17)</f>
        <v>418</v>
      </c>
      <c r="H18" s="6">
        <f>H7+SUM(H12:H17)</f>
        <v>772</v>
      </c>
      <c r="I18" s="6">
        <f t="shared" ref="I18:J18" si="16">I7+SUM(I12:I17)</f>
        <v>751</v>
      </c>
      <c r="J18" s="6">
        <f t="shared" si="16"/>
        <v>1076.6300000000001</v>
      </c>
      <c r="L18" s="6">
        <f t="shared" ref="L18:S18" si="17">L7+SUM(L12:L17)</f>
        <v>769</v>
      </c>
      <c r="M18" s="6">
        <f t="shared" si="17"/>
        <v>1201</v>
      </c>
      <c r="N18" s="6">
        <f t="shared" si="17"/>
        <v>1125</v>
      </c>
      <c r="O18" s="6">
        <f t="shared" si="17"/>
        <v>1221</v>
      </c>
      <c r="P18" s="6">
        <f t="shared" si="17"/>
        <v>1488</v>
      </c>
      <c r="Q18" s="6">
        <f t="shared" si="17"/>
        <v>1190</v>
      </c>
      <c r="R18" s="6">
        <f t="shared" si="17"/>
        <v>1827.63</v>
      </c>
      <c r="S18" s="6">
        <f t="shared" si="17"/>
        <v>224.09429999999998</v>
      </c>
      <c r="T18" s="6">
        <f t="shared" ref="T18:AB18" si="18">T7+SUM(T12:T17)</f>
        <v>221.50524299999995</v>
      </c>
      <c r="U18" s="6">
        <f t="shared" si="18"/>
        <v>218.64879542999992</v>
      </c>
      <c r="V18" s="6">
        <f t="shared" si="18"/>
        <v>215.51020838429989</v>
      </c>
      <c r="W18" s="6">
        <f t="shared" si="18"/>
        <v>212.0739817181429</v>
      </c>
      <c r="X18" s="6">
        <f t="shared" si="18"/>
        <v>208.32382634782431</v>
      </c>
      <c r="Y18" s="6">
        <f t="shared" si="18"/>
        <v>204.24262466442752</v>
      </c>
      <c r="Z18" s="6">
        <f t="shared" si="18"/>
        <v>199.81238896685304</v>
      </c>
      <c r="AA18" s="6">
        <f t="shared" si="18"/>
        <v>195.01421781509185</v>
      </c>
      <c r="AB18" s="6">
        <f t="shared" si="18"/>
        <v>189.82825019974155</v>
      </c>
    </row>
    <row r="19" spans="2:138" s="3" customFormat="1" x14ac:dyDescent="0.3">
      <c r="B19" s="3" t="s">
        <v>35</v>
      </c>
      <c r="E19" s="9">
        <f>E11-E18</f>
        <v>1340</v>
      </c>
      <c r="F19" s="9">
        <f>F11-F18</f>
        <v>1458</v>
      </c>
      <c r="G19" s="9">
        <f>G11-G18</f>
        <v>1950</v>
      </c>
      <c r="H19" s="9">
        <f>H11-H18</f>
        <v>2242</v>
      </c>
      <c r="I19" s="9">
        <f t="shared" ref="I19:J19" si="19">I11-I18</f>
        <v>2431</v>
      </c>
      <c r="J19" s="9">
        <f t="shared" si="19"/>
        <v>2255.2260000000006</v>
      </c>
      <c r="L19" s="9">
        <f t="shared" ref="L19:S19" si="20">L11-L18</f>
        <v>3833</v>
      </c>
      <c r="M19" s="9">
        <f t="shared" si="20"/>
        <v>1220</v>
      </c>
      <c r="N19" s="9">
        <f t="shared" si="20"/>
        <v>1400</v>
      </c>
      <c r="O19" s="9">
        <f t="shared" si="20"/>
        <v>1958</v>
      </c>
      <c r="P19" s="9">
        <f t="shared" si="20"/>
        <v>2798</v>
      </c>
      <c r="Q19" s="9">
        <f t="shared" si="20"/>
        <v>4192</v>
      </c>
      <c r="R19" s="9">
        <f t="shared" si="20"/>
        <v>4686.2259999999997</v>
      </c>
      <c r="S19" s="9">
        <f t="shared" si="20"/>
        <v>6630.5101800000011</v>
      </c>
      <c r="T19" s="9">
        <f t="shared" ref="T19:AB19" si="21">T11-T18</f>
        <v>7044.3755058000015</v>
      </c>
      <c r="U19" s="9">
        <f t="shared" si="21"/>
        <v>7337.8671833220014</v>
      </c>
      <c r="V19" s="9">
        <f t="shared" si="21"/>
        <v>7567.7012497302612</v>
      </c>
      <c r="W19" s="9">
        <f t="shared" si="21"/>
        <v>7726.8017055587106</v>
      </c>
      <c r="X19" s="9">
        <f t="shared" si="21"/>
        <v>7889.3293746745667</v>
      </c>
      <c r="Y19" s="9">
        <f t="shared" si="21"/>
        <v>8055.3636403784121</v>
      </c>
      <c r="Z19" s="9">
        <f t="shared" si="21"/>
        <v>8224.986001376843</v>
      </c>
      <c r="AA19" s="9">
        <f t="shared" si="21"/>
        <v>8398.280140335477</v>
      </c>
      <c r="AB19" s="9">
        <f t="shared" si="21"/>
        <v>8575.3319951138401</v>
      </c>
    </row>
    <row r="20" spans="2:138" x14ac:dyDescent="0.3">
      <c r="B20" s="1" t="s">
        <v>25</v>
      </c>
      <c r="E20" s="6">
        <v>-42</v>
      </c>
      <c r="F20" s="6">
        <f t="shared" ref="F20:F22" si="22">P20-E20</f>
        <v>-70</v>
      </c>
      <c r="G20" s="6">
        <v>-84</v>
      </c>
      <c r="H20" s="6">
        <f t="shared" ref="H20:H22" si="23">Q20-G20</f>
        <v>-73</v>
      </c>
      <c r="I20" s="6">
        <v>-77</v>
      </c>
      <c r="J20" s="6">
        <v>-80</v>
      </c>
      <c r="L20" s="6">
        <v>33</v>
      </c>
      <c r="M20" s="6">
        <v>58</v>
      </c>
      <c r="N20" s="6">
        <v>85</v>
      </c>
      <c r="O20" s="6">
        <v>56</v>
      </c>
      <c r="P20" s="6">
        <v>-112</v>
      </c>
      <c r="Q20" s="6">
        <v>-157</v>
      </c>
      <c r="R20" s="6">
        <f t="shared" ref="R20:R22" si="24">SUM(I20:J20)</f>
        <v>-157</v>
      </c>
      <c r="S20" s="6">
        <f>R20*1.03</f>
        <v>-161.71</v>
      </c>
      <c r="T20" s="6">
        <f t="shared" ref="T20:AB20" si="25">S20*1.03</f>
        <v>-166.56130000000002</v>
      </c>
      <c r="U20" s="6">
        <f t="shared" si="25"/>
        <v>-171.55813900000001</v>
      </c>
      <c r="V20" s="6">
        <f t="shared" si="25"/>
        <v>-176.70488317000002</v>
      </c>
      <c r="W20" s="6">
        <f t="shared" si="25"/>
        <v>-182.00602966510002</v>
      </c>
      <c r="X20" s="6">
        <f t="shared" si="25"/>
        <v>-187.46621055505301</v>
      </c>
      <c r="Y20" s="6">
        <f t="shared" si="25"/>
        <v>-193.09019687170459</v>
      </c>
      <c r="Z20" s="6">
        <f t="shared" si="25"/>
        <v>-198.88290277785575</v>
      </c>
      <c r="AA20" s="6">
        <f t="shared" si="25"/>
        <v>-204.84938986119141</v>
      </c>
      <c r="AB20" s="6">
        <f t="shared" si="25"/>
        <v>-210.99487155702715</v>
      </c>
    </row>
    <row r="21" spans="2:138" x14ac:dyDescent="0.3">
      <c r="B21" s="1" t="s">
        <v>26</v>
      </c>
      <c r="E21" s="6">
        <v>-21</v>
      </c>
      <c r="F21" s="6">
        <f t="shared" si="22"/>
        <v>-1829</v>
      </c>
      <c r="G21" s="6">
        <v>119</v>
      </c>
      <c r="H21" s="6">
        <f t="shared" si="23"/>
        <v>5061</v>
      </c>
      <c r="I21" s="6">
        <v>-4628</v>
      </c>
      <c r="J21" s="6">
        <v>0</v>
      </c>
      <c r="L21" s="6">
        <v>9</v>
      </c>
      <c r="M21" s="6">
        <v>-93</v>
      </c>
      <c r="N21" s="6">
        <v>105</v>
      </c>
      <c r="O21" s="6">
        <v>95</v>
      </c>
      <c r="P21" s="6">
        <v>-1850</v>
      </c>
      <c r="Q21" s="6">
        <v>5180</v>
      </c>
      <c r="R21" s="6">
        <f t="shared" si="24"/>
        <v>-4628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2:138" x14ac:dyDescent="0.3">
      <c r="B22" s="1" t="s">
        <v>27</v>
      </c>
      <c r="E22" s="6">
        <v>0</v>
      </c>
      <c r="F22" s="6">
        <f t="shared" si="22"/>
        <v>4</v>
      </c>
      <c r="G22" s="6">
        <v>-1</v>
      </c>
      <c r="H22" s="6">
        <f t="shared" si="23"/>
        <v>29</v>
      </c>
      <c r="I22" s="6">
        <v>-35</v>
      </c>
      <c r="J22" s="6">
        <v>0</v>
      </c>
      <c r="L22" s="6">
        <v>47</v>
      </c>
      <c r="M22" s="6">
        <v>42</v>
      </c>
      <c r="N22" s="6">
        <v>14</v>
      </c>
      <c r="O22" s="6">
        <v>35</v>
      </c>
      <c r="P22" s="6">
        <v>4</v>
      </c>
      <c r="Q22" s="6">
        <v>28</v>
      </c>
      <c r="R22" s="6">
        <f t="shared" si="24"/>
        <v>-35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2:138" x14ac:dyDescent="0.3">
      <c r="B23" s="1" t="s">
        <v>28</v>
      </c>
      <c r="E23" s="6">
        <f>SUM(E20:E22)</f>
        <v>-63</v>
      </c>
      <c r="F23" s="6">
        <f>SUM(F20:F22)</f>
        <v>-1895</v>
      </c>
      <c r="G23" s="6">
        <f>SUM(G20:G22)</f>
        <v>34</v>
      </c>
      <c r="H23" s="6">
        <f>SUM(H20:H22)</f>
        <v>5017</v>
      </c>
      <c r="I23" s="6">
        <f t="shared" ref="I23:J23" si="26">SUM(I20:I22)</f>
        <v>-4740</v>
      </c>
      <c r="J23" s="6">
        <f t="shared" si="26"/>
        <v>-80</v>
      </c>
      <c r="L23" s="6">
        <f t="shared" ref="L23:S23" si="27">SUM(L20:L22)</f>
        <v>89</v>
      </c>
      <c r="M23" s="6">
        <f t="shared" si="27"/>
        <v>7</v>
      </c>
      <c r="N23" s="6">
        <f t="shared" si="27"/>
        <v>204</v>
      </c>
      <c r="O23" s="6">
        <f t="shared" si="27"/>
        <v>186</v>
      </c>
      <c r="P23" s="6">
        <f t="shared" si="27"/>
        <v>-1958</v>
      </c>
      <c r="Q23" s="6">
        <f t="shared" si="27"/>
        <v>5051</v>
      </c>
      <c r="R23" s="6">
        <f t="shared" si="27"/>
        <v>-4820</v>
      </c>
      <c r="S23" s="6">
        <f t="shared" si="27"/>
        <v>-161.71</v>
      </c>
      <c r="T23" s="6">
        <f t="shared" ref="T23:AB23" si="28">SUM(T20:T22)</f>
        <v>-166.56130000000002</v>
      </c>
      <c r="U23" s="6">
        <f t="shared" si="28"/>
        <v>-171.55813900000001</v>
      </c>
      <c r="V23" s="6">
        <f t="shared" si="28"/>
        <v>-176.70488317000002</v>
      </c>
      <c r="W23" s="6">
        <f t="shared" si="28"/>
        <v>-182.00602966510002</v>
      </c>
      <c r="X23" s="6">
        <f t="shared" si="28"/>
        <v>-187.46621055505301</v>
      </c>
      <c r="Y23" s="6">
        <f t="shared" si="28"/>
        <v>-193.09019687170459</v>
      </c>
      <c r="Z23" s="6">
        <f t="shared" si="28"/>
        <v>-198.88290277785575</v>
      </c>
      <c r="AA23" s="6">
        <f t="shared" si="28"/>
        <v>-204.84938986119141</v>
      </c>
      <c r="AB23" s="6">
        <f t="shared" si="28"/>
        <v>-210.99487155702715</v>
      </c>
    </row>
    <row r="24" spans="2:138" s="3" customFormat="1" x14ac:dyDescent="0.3">
      <c r="B24" s="3" t="s">
        <v>29</v>
      </c>
      <c r="E24" s="9">
        <f>E19-E23</f>
        <v>1403</v>
      </c>
      <c r="F24" s="9">
        <f>F19-F23</f>
        <v>3353</v>
      </c>
      <c r="G24" s="9">
        <f>G19-G23</f>
        <v>1916</v>
      </c>
      <c r="H24" s="9">
        <f>H19-H23</f>
        <v>-2775</v>
      </c>
      <c r="I24" s="9">
        <f t="shared" ref="I24:J24" si="29">I19-I23</f>
        <v>7171</v>
      </c>
      <c r="J24" s="9">
        <f t="shared" si="29"/>
        <v>2335.2260000000006</v>
      </c>
      <c r="L24" s="9">
        <f t="shared" ref="L24:S24" si="30">L19-L23</f>
        <v>3744</v>
      </c>
      <c r="M24" s="9">
        <f t="shared" si="30"/>
        <v>1213</v>
      </c>
      <c r="N24" s="9">
        <f t="shared" si="30"/>
        <v>1196</v>
      </c>
      <c r="O24" s="9">
        <f t="shared" si="30"/>
        <v>1772</v>
      </c>
      <c r="P24" s="9">
        <f t="shared" si="30"/>
        <v>4756</v>
      </c>
      <c r="Q24" s="9">
        <f t="shared" si="30"/>
        <v>-859</v>
      </c>
      <c r="R24" s="9">
        <f t="shared" si="30"/>
        <v>9506.2259999999987</v>
      </c>
      <c r="S24" s="9">
        <f t="shared" si="30"/>
        <v>6792.2201800000012</v>
      </c>
      <c r="T24" s="9">
        <f t="shared" ref="T24:AB24" si="31">T19-T23</f>
        <v>7210.9368058000018</v>
      </c>
      <c r="U24" s="9">
        <f t="shared" si="31"/>
        <v>7509.4253223220012</v>
      </c>
      <c r="V24" s="9">
        <f t="shared" si="31"/>
        <v>7744.4061329002616</v>
      </c>
      <c r="W24" s="9">
        <f t="shared" si="31"/>
        <v>7908.8077352238106</v>
      </c>
      <c r="X24" s="9">
        <f t="shared" si="31"/>
        <v>8076.79558522962</v>
      </c>
      <c r="Y24" s="9">
        <f t="shared" si="31"/>
        <v>8248.4538372501174</v>
      </c>
      <c r="Z24" s="9">
        <f t="shared" si="31"/>
        <v>8423.8689041546986</v>
      </c>
      <c r="AA24" s="9">
        <f t="shared" si="31"/>
        <v>8603.1295301966675</v>
      </c>
      <c r="AB24" s="9">
        <f t="shared" si="31"/>
        <v>8786.3268666708664</v>
      </c>
    </row>
    <row r="25" spans="2:138" x14ac:dyDescent="0.3">
      <c r="B25" s="1" t="s">
        <v>30</v>
      </c>
      <c r="E25" s="6">
        <v>318</v>
      </c>
      <c r="F25" s="6">
        <f t="shared" ref="F25:F26" si="32">P25-E25</f>
        <v>918</v>
      </c>
      <c r="G25" s="6">
        <v>435</v>
      </c>
      <c r="H25" s="6">
        <f t="shared" ref="H25:H26" si="33">Q25-G25</f>
        <v>-719</v>
      </c>
      <c r="I25" s="6">
        <v>2059</v>
      </c>
      <c r="J25" s="6">
        <f>J24*0.26</f>
        <v>607.15876000000014</v>
      </c>
      <c r="L25" s="6">
        <v>1012</v>
      </c>
      <c r="M25" s="6">
        <v>334</v>
      </c>
      <c r="N25" s="6">
        <v>412</v>
      </c>
      <c r="O25" s="6">
        <v>557</v>
      </c>
      <c r="P25" s="6">
        <v>1236</v>
      </c>
      <c r="Q25" s="6">
        <v>-284</v>
      </c>
      <c r="R25" s="6">
        <f t="shared" ref="R25:R26" si="34">SUM(I25:J25)</f>
        <v>2666.1587600000003</v>
      </c>
      <c r="S25" s="6">
        <f>S24*0.25</f>
        <v>1698.0550450000003</v>
      </c>
      <c r="T25" s="6">
        <f t="shared" ref="T25:AB25" si="35">T24*0.25</f>
        <v>1802.7342014500005</v>
      </c>
      <c r="U25" s="6">
        <f t="shared" si="35"/>
        <v>1877.3563305805003</v>
      </c>
      <c r="V25" s="6">
        <f t="shared" si="35"/>
        <v>1936.1015332250654</v>
      </c>
      <c r="W25" s="6">
        <f t="shared" si="35"/>
        <v>1977.2019338059526</v>
      </c>
      <c r="X25" s="6">
        <f t="shared" si="35"/>
        <v>2019.198896307405</v>
      </c>
      <c r="Y25" s="6">
        <f t="shared" si="35"/>
        <v>2062.1134593125294</v>
      </c>
      <c r="Z25" s="6">
        <f t="shared" si="35"/>
        <v>2105.9672260386747</v>
      </c>
      <c r="AA25" s="6">
        <f t="shared" si="35"/>
        <v>2150.7823825491669</v>
      </c>
      <c r="AB25" s="6">
        <f t="shared" si="35"/>
        <v>2196.5817166677166</v>
      </c>
    </row>
    <row r="26" spans="2:138" x14ac:dyDescent="0.3">
      <c r="B26" s="1" t="s">
        <v>31</v>
      </c>
      <c r="E26" s="6">
        <v>42</v>
      </c>
      <c r="F26" s="6">
        <f t="shared" si="32"/>
        <v>34</v>
      </c>
      <c r="G26" s="6">
        <v>49</v>
      </c>
      <c r="H26" s="6">
        <f t="shared" si="33"/>
        <v>43</v>
      </c>
      <c r="I26" s="6">
        <v>67</v>
      </c>
      <c r="J26" s="6">
        <v>50</v>
      </c>
      <c r="L26" s="6">
        <v>67</v>
      </c>
      <c r="M26" s="6">
        <v>35</v>
      </c>
      <c r="N26" s="6">
        <v>24</v>
      </c>
      <c r="O26" s="6">
        <v>37</v>
      </c>
      <c r="P26" s="6">
        <v>76</v>
      </c>
      <c r="Q26" s="6">
        <v>92</v>
      </c>
      <c r="R26" s="6">
        <f t="shared" si="34"/>
        <v>117</v>
      </c>
      <c r="S26" s="6">
        <f>S24*0.02</f>
        <v>135.84440360000002</v>
      </c>
      <c r="T26" s="6">
        <f t="shared" ref="T26:AB26" si="36">T24*0.02</f>
        <v>144.21873611600003</v>
      </c>
      <c r="U26" s="6">
        <f t="shared" si="36"/>
        <v>150.18850644644002</v>
      </c>
      <c r="V26" s="6">
        <f t="shared" si="36"/>
        <v>154.88812265800524</v>
      </c>
      <c r="W26" s="6">
        <f t="shared" si="36"/>
        <v>158.1761547044762</v>
      </c>
      <c r="X26" s="6">
        <f t="shared" si="36"/>
        <v>161.53591170459239</v>
      </c>
      <c r="Y26" s="6">
        <f t="shared" si="36"/>
        <v>164.96907674500235</v>
      </c>
      <c r="Z26" s="6">
        <f t="shared" si="36"/>
        <v>168.47737808309398</v>
      </c>
      <c r="AA26" s="6">
        <f t="shared" si="36"/>
        <v>172.06259060393336</v>
      </c>
      <c r="AB26" s="6">
        <f t="shared" si="36"/>
        <v>175.72653733341733</v>
      </c>
    </row>
    <row r="27" spans="2:138" s="3" customFormat="1" x14ac:dyDescent="0.3">
      <c r="B27" s="3" t="s">
        <v>32</v>
      </c>
      <c r="E27" s="9">
        <f>E24-E25-E26</f>
        <v>1043</v>
      </c>
      <c r="F27" s="9">
        <f>F24-F25-F26</f>
        <v>2401</v>
      </c>
      <c r="G27" s="9">
        <f>G24-G25-G26</f>
        <v>1432</v>
      </c>
      <c r="H27" s="9">
        <f>H24-H25-H26</f>
        <v>-2099</v>
      </c>
      <c r="I27" s="9">
        <f t="shared" ref="I27:J27" si="37">I24-I25-I26</f>
        <v>5045</v>
      </c>
      <c r="J27" s="9">
        <f t="shared" si="37"/>
        <v>1678.0672400000003</v>
      </c>
      <c r="L27" s="9">
        <f t="shared" ref="L27:S27" si="38">L24-L25-L26</f>
        <v>2665</v>
      </c>
      <c r="M27" s="9">
        <f t="shared" si="38"/>
        <v>844</v>
      </c>
      <c r="N27" s="9">
        <f t="shared" si="38"/>
        <v>760</v>
      </c>
      <c r="O27" s="9">
        <f t="shared" si="38"/>
        <v>1178</v>
      </c>
      <c r="P27" s="9">
        <f t="shared" si="38"/>
        <v>3444</v>
      </c>
      <c r="Q27" s="9">
        <f t="shared" si="38"/>
        <v>-667</v>
      </c>
      <c r="R27" s="9">
        <f t="shared" si="38"/>
        <v>6723.0672399999985</v>
      </c>
      <c r="S27" s="9">
        <f t="shared" si="38"/>
        <v>4958.320731400001</v>
      </c>
      <c r="T27" s="9">
        <f t="shared" ref="T27:AB27" si="39">T24-T25-T26</f>
        <v>5263.9838682340005</v>
      </c>
      <c r="U27" s="9">
        <f t="shared" si="39"/>
        <v>5481.8804852950607</v>
      </c>
      <c r="V27" s="9">
        <f t="shared" si="39"/>
        <v>5653.416477017191</v>
      </c>
      <c r="W27" s="9">
        <f t="shared" si="39"/>
        <v>5773.4296467133818</v>
      </c>
      <c r="X27" s="9">
        <f t="shared" si="39"/>
        <v>5896.0607772176218</v>
      </c>
      <c r="Y27" s="9">
        <f t="shared" si="39"/>
        <v>6021.3713011925856</v>
      </c>
      <c r="Z27" s="9">
        <f t="shared" si="39"/>
        <v>6149.4243000329307</v>
      </c>
      <c r="AA27" s="9">
        <f t="shared" si="39"/>
        <v>6280.2845570435675</v>
      </c>
      <c r="AB27" s="9">
        <f t="shared" si="39"/>
        <v>6414.0186126697317</v>
      </c>
      <c r="AC27" s="3">
        <f>AB27*(1+$AF$32)</f>
        <v>6349.878426543034</v>
      </c>
      <c r="AD27" s="3">
        <f t="shared" ref="AD27:CO27" si="40">AC27*(1+$AF$32)</f>
        <v>6286.379642277604</v>
      </c>
      <c r="AE27" s="3">
        <f t="shared" si="40"/>
        <v>6223.5158458548276</v>
      </c>
      <c r="AF27" s="3">
        <f t="shared" si="40"/>
        <v>6161.2806873962791</v>
      </c>
      <c r="AG27" s="3">
        <f t="shared" si="40"/>
        <v>6099.6678805223164</v>
      </c>
      <c r="AH27" s="3">
        <f t="shared" si="40"/>
        <v>6038.671201717093</v>
      </c>
      <c r="AI27" s="3">
        <f t="shared" si="40"/>
        <v>5978.2844896999222</v>
      </c>
      <c r="AJ27" s="3">
        <f t="shared" si="40"/>
        <v>5918.5016448029228</v>
      </c>
      <c r="AK27" s="3">
        <f t="shared" si="40"/>
        <v>5859.3166283548935</v>
      </c>
      <c r="AL27" s="3">
        <f t="shared" si="40"/>
        <v>5800.7234620713443</v>
      </c>
      <c r="AM27" s="3">
        <f t="shared" si="40"/>
        <v>5742.7162274506309</v>
      </c>
      <c r="AN27" s="3">
        <f t="shared" si="40"/>
        <v>5685.2890651761245</v>
      </c>
      <c r="AO27" s="3">
        <f t="shared" si="40"/>
        <v>5628.4361745243632</v>
      </c>
      <c r="AP27" s="3">
        <f t="shared" si="40"/>
        <v>5572.1518127791196</v>
      </c>
      <c r="AQ27" s="3">
        <f t="shared" si="40"/>
        <v>5516.430294651328</v>
      </c>
      <c r="AR27" s="3">
        <f t="shared" si="40"/>
        <v>5461.265991704815</v>
      </c>
      <c r="AS27" s="3">
        <f t="shared" si="40"/>
        <v>5406.6533317877665</v>
      </c>
      <c r="AT27" s="3">
        <f t="shared" si="40"/>
        <v>5352.5867984698889</v>
      </c>
      <c r="AU27" s="3">
        <f t="shared" si="40"/>
        <v>5299.0609304851896</v>
      </c>
      <c r="AV27" s="3">
        <f t="shared" si="40"/>
        <v>5246.0703211803375</v>
      </c>
      <c r="AW27" s="3">
        <f t="shared" si="40"/>
        <v>5193.6096179685337</v>
      </c>
      <c r="AX27" s="3">
        <f t="shared" si="40"/>
        <v>5141.6735217888481</v>
      </c>
      <c r="AY27" s="3">
        <f t="shared" si="40"/>
        <v>5090.2567865709598</v>
      </c>
      <c r="AZ27" s="3">
        <f t="shared" si="40"/>
        <v>5039.3542187052499</v>
      </c>
      <c r="BA27" s="3">
        <f t="shared" si="40"/>
        <v>4988.960676518197</v>
      </c>
      <c r="BB27" s="3">
        <f t="shared" si="40"/>
        <v>4939.0710697530149</v>
      </c>
      <c r="BC27" s="3">
        <f t="shared" si="40"/>
        <v>4889.6803590554846</v>
      </c>
      <c r="BD27" s="3">
        <f t="shared" si="40"/>
        <v>4840.78355546493</v>
      </c>
      <c r="BE27" s="3">
        <f t="shared" si="40"/>
        <v>4792.3757199102811</v>
      </c>
      <c r="BF27" s="3">
        <f t="shared" si="40"/>
        <v>4744.4519627111786</v>
      </c>
      <c r="BG27" s="3">
        <f t="shared" si="40"/>
        <v>4697.0074430840668</v>
      </c>
      <c r="BH27" s="3">
        <f t="shared" si="40"/>
        <v>4650.0373686532257</v>
      </c>
      <c r="BI27" s="3">
        <f t="shared" si="40"/>
        <v>4603.5369949666938</v>
      </c>
      <c r="BJ27" s="3">
        <f t="shared" si="40"/>
        <v>4557.5016250170265</v>
      </c>
      <c r="BK27" s="3">
        <f t="shared" si="40"/>
        <v>4511.9266087668566</v>
      </c>
      <c r="BL27" s="3">
        <f t="shared" si="40"/>
        <v>4466.807342679188</v>
      </c>
      <c r="BM27" s="3">
        <f t="shared" si="40"/>
        <v>4422.1392692523959</v>
      </c>
      <c r="BN27" s="3">
        <f t="shared" si="40"/>
        <v>4377.9178765598717</v>
      </c>
      <c r="BO27" s="3">
        <f t="shared" si="40"/>
        <v>4334.138697794273</v>
      </c>
      <c r="BP27" s="3">
        <f t="shared" si="40"/>
        <v>4290.7973108163305</v>
      </c>
      <c r="BQ27" s="3">
        <f t="shared" si="40"/>
        <v>4247.8893377081667</v>
      </c>
      <c r="BR27" s="3">
        <f t="shared" si="40"/>
        <v>4205.4104443310853</v>
      </c>
      <c r="BS27" s="3">
        <f t="shared" si="40"/>
        <v>4163.3563398877741</v>
      </c>
      <c r="BT27" s="3">
        <f t="shared" si="40"/>
        <v>4121.7227764888967</v>
      </c>
      <c r="BU27" s="3">
        <f t="shared" si="40"/>
        <v>4080.5055487240074</v>
      </c>
      <c r="BV27" s="3">
        <f t="shared" si="40"/>
        <v>4039.7004932367672</v>
      </c>
      <c r="BW27" s="3">
        <f t="shared" si="40"/>
        <v>3999.3034883043997</v>
      </c>
      <c r="BX27" s="3">
        <f t="shared" si="40"/>
        <v>3959.3104534213558</v>
      </c>
      <c r="BY27" s="3">
        <f t="shared" si="40"/>
        <v>3919.7173488871422</v>
      </c>
      <c r="BZ27" s="3">
        <f t="shared" si="40"/>
        <v>3880.5201753982706</v>
      </c>
      <c r="CA27" s="3">
        <f t="shared" si="40"/>
        <v>3841.714973644288</v>
      </c>
      <c r="CB27" s="3">
        <f t="shared" si="40"/>
        <v>3803.2978239078452</v>
      </c>
      <c r="CC27" s="3">
        <f t="shared" si="40"/>
        <v>3765.2648456687666</v>
      </c>
      <c r="CD27" s="3">
        <f t="shared" si="40"/>
        <v>3727.6121972120791</v>
      </c>
      <c r="CE27" s="3">
        <f t="shared" si="40"/>
        <v>3690.3360752399581</v>
      </c>
      <c r="CF27" s="3">
        <f t="shared" si="40"/>
        <v>3653.4327144875583</v>
      </c>
      <c r="CG27" s="3">
        <f t="shared" si="40"/>
        <v>3616.8983873426828</v>
      </c>
      <c r="CH27" s="3">
        <f t="shared" si="40"/>
        <v>3580.7294034692559</v>
      </c>
      <c r="CI27" s="3">
        <f t="shared" si="40"/>
        <v>3544.9221094345635</v>
      </c>
      <c r="CJ27" s="3">
        <f t="shared" si="40"/>
        <v>3509.4728883402177</v>
      </c>
      <c r="CK27" s="3">
        <f t="shared" si="40"/>
        <v>3474.3781594568154</v>
      </c>
      <c r="CL27" s="3">
        <f t="shared" si="40"/>
        <v>3439.6343778622472</v>
      </c>
      <c r="CM27" s="3">
        <f t="shared" si="40"/>
        <v>3405.2380340836248</v>
      </c>
      <c r="CN27" s="3">
        <f t="shared" si="40"/>
        <v>3371.1856537427884</v>
      </c>
      <c r="CO27" s="3">
        <f t="shared" si="40"/>
        <v>3337.4737972053604</v>
      </c>
      <c r="CP27" s="3">
        <f t="shared" ref="CP27:EH27" si="41">CO27*(1+$AF$32)</f>
        <v>3304.0990592333069</v>
      </c>
      <c r="CQ27" s="3">
        <f t="shared" si="41"/>
        <v>3271.0580686409739</v>
      </c>
      <c r="CR27" s="3">
        <f t="shared" si="41"/>
        <v>3238.3474879545643</v>
      </c>
      <c r="CS27" s="3">
        <f t="shared" si="41"/>
        <v>3205.9640130750186</v>
      </c>
      <c r="CT27" s="3">
        <f t="shared" si="41"/>
        <v>3173.9043729442683</v>
      </c>
      <c r="CU27" s="3">
        <f t="shared" si="41"/>
        <v>3142.1653292148258</v>
      </c>
      <c r="CV27" s="3">
        <f t="shared" si="41"/>
        <v>3110.7436759226775</v>
      </c>
      <c r="CW27" s="3">
        <f t="shared" si="41"/>
        <v>3079.6362391634507</v>
      </c>
      <c r="CX27" s="3">
        <f t="shared" si="41"/>
        <v>3048.8398767718163</v>
      </c>
      <c r="CY27" s="3">
        <f t="shared" si="41"/>
        <v>3018.3514780040982</v>
      </c>
      <c r="CZ27" s="3">
        <f t="shared" si="41"/>
        <v>2988.1679632240571</v>
      </c>
      <c r="DA27" s="3">
        <f t="shared" si="41"/>
        <v>2958.2862835918163</v>
      </c>
      <c r="DB27" s="3">
        <f t="shared" si="41"/>
        <v>2928.7034207558982</v>
      </c>
      <c r="DC27" s="3">
        <f t="shared" si="41"/>
        <v>2899.4163865483392</v>
      </c>
      <c r="DD27" s="3">
        <f t="shared" si="41"/>
        <v>2870.4222226828556</v>
      </c>
      <c r="DE27" s="3">
        <f t="shared" si="41"/>
        <v>2841.7180004560269</v>
      </c>
      <c r="DF27" s="3">
        <f t="shared" si="41"/>
        <v>2813.3008204514667</v>
      </c>
      <c r="DG27" s="3">
        <f t="shared" si="41"/>
        <v>2785.1678122469521</v>
      </c>
      <c r="DH27" s="3">
        <f t="shared" si="41"/>
        <v>2757.3161341244827</v>
      </c>
      <c r="DI27" s="3">
        <f t="shared" si="41"/>
        <v>2729.7429727832377</v>
      </c>
      <c r="DJ27" s="3">
        <f t="shared" si="41"/>
        <v>2702.4455430554053</v>
      </c>
      <c r="DK27" s="3">
        <f t="shared" si="41"/>
        <v>2675.4210876248512</v>
      </c>
      <c r="DL27" s="3">
        <f t="shared" si="41"/>
        <v>2648.6668767486026</v>
      </c>
      <c r="DM27" s="3">
        <f t="shared" si="41"/>
        <v>2622.1802079811164</v>
      </c>
      <c r="DN27" s="3">
        <f t="shared" si="41"/>
        <v>2595.958405901305</v>
      </c>
      <c r="DO27" s="3">
        <f t="shared" si="41"/>
        <v>2569.9988218422918</v>
      </c>
      <c r="DP27" s="3">
        <f t="shared" si="41"/>
        <v>2544.2988336238691</v>
      </c>
      <c r="DQ27" s="3">
        <f t="shared" si="41"/>
        <v>2518.8558452876305</v>
      </c>
      <c r="DR27" s="3">
        <f t="shared" si="41"/>
        <v>2493.6672868347541</v>
      </c>
      <c r="DS27" s="3">
        <f t="shared" si="41"/>
        <v>2468.7306139664065</v>
      </c>
      <c r="DT27" s="3">
        <f t="shared" si="41"/>
        <v>2444.0433078267424</v>
      </c>
      <c r="DU27" s="3">
        <f t="shared" si="41"/>
        <v>2419.6028747484752</v>
      </c>
      <c r="DV27" s="3">
        <f t="shared" si="41"/>
        <v>2395.4068460009903</v>
      </c>
      <c r="DW27" s="3">
        <f t="shared" si="41"/>
        <v>2371.4527775409802</v>
      </c>
      <c r="DX27" s="3">
        <f t="shared" si="41"/>
        <v>2347.7382497655703</v>
      </c>
      <c r="DY27" s="3">
        <f t="shared" si="41"/>
        <v>2324.2608672679148</v>
      </c>
      <c r="DZ27" s="3">
        <f t="shared" si="41"/>
        <v>2301.0182585952357</v>
      </c>
      <c r="EA27" s="3">
        <f t="shared" si="41"/>
        <v>2278.0080760092833</v>
      </c>
      <c r="EB27" s="3">
        <f t="shared" si="41"/>
        <v>2255.2279952491904</v>
      </c>
      <c r="EC27" s="3">
        <f t="shared" si="41"/>
        <v>2232.6757152966984</v>
      </c>
      <c r="ED27" s="3">
        <f t="shared" si="41"/>
        <v>2210.3489581437316</v>
      </c>
      <c r="EE27" s="3">
        <f t="shared" si="41"/>
        <v>2188.2454685622943</v>
      </c>
      <c r="EF27" s="3">
        <f t="shared" si="41"/>
        <v>2166.3630138766712</v>
      </c>
      <c r="EG27" s="3">
        <f t="shared" si="41"/>
        <v>2144.6993837379046</v>
      </c>
      <c r="EH27" s="3">
        <f t="shared" si="41"/>
        <v>2123.2523899005255</v>
      </c>
    </row>
    <row r="28" spans="2:138" x14ac:dyDescent="0.3">
      <c r="B28" s="1" t="s">
        <v>2</v>
      </c>
      <c r="E28" s="6">
        <v>417.6</v>
      </c>
      <c r="F28" s="6">
        <v>417.8</v>
      </c>
      <c r="G28" s="6">
        <v>420.4</v>
      </c>
      <c r="H28" s="6">
        <f>416.1</f>
        <v>416.1</v>
      </c>
      <c r="I28" s="6">
        <f>417.9</f>
        <v>417.9</v>
      </c>
      <c r="J28" s="6">
        <f>417.9</f>
        <v>417.9</v>
      </c>
      <c r="L28" s="6">
        <v>424.7</v>
      </c>
      <c r="M28" s="6">
        <v>426.9</v>
      </c>
      <c r="N28" s="6">
        <v>426.8</v>
      </c>
      <c r="O28" s="6">
        <v>424.6</v>
      </c>
      <c r="P28" s="6">
        <v>417.8</v>
      </c>
      <c r="Q28" s="6">
        <f>416.1</f>
        <v>416.1</v>
      </c>
      <c r="R28" s="6">
        <f t="shared" ref="R28:AB28" si="42">417.9</f>
        <v>417.9</v>
      </c>
      <c r="S28" s="6">
        <f t="shared" si="42"/>
        <v>417.9</v>
      </c>
      <c r="T28" s="6">
        <f t="shared" si="42"/>
        <v>417.9</v>
      </c>
      <c r="U28" s="6">
        <f t="shared" si="42"/>
        <v>417.9</v>
      </c>
      <c r="V28" s="6">
        <f t="shared" si="42"/>
        <v>417.9</v>
      </c>
      <c r="W28" s="6">
        <f t="shared" si="42"/>
        <v>417.9</v>
      </c>
      <c r="X28" s="6">
        <f t="shared" si="42"/>
        <v>417.9</v>
      </c>
      <c r="Y28" s="6">
        <f t="shared" si="42"/>
        <v>417.9</v>
      </c>
      <c r="Z28" s="6">
        <f t="shared" si="42"/>
        <v>417.9</v>
      </c>
      <c r="AA28" s="6">
        <f t="shared" si="42"/>
        <v>417.9</v>
      </c>
      <c r="AB28" s="6">
        <f t="shared" si="42"/>
        <v>417.9</v>
      </c>
    </row>
    <row r="29" spans="2:138" x14ac:dyDescent="0.3">
      <c r="B29" s="1" t="s">
        <v>33</v>
      </c>
      <c r="E29" s="8">
        <f>E27/E28</f>
        <v>2.497605363984674</v>
      </c>
      <c r="F29" s="8">
        <f>F27/F28</f>
        <v>5.7467687888942072</v>
      </c>
      <c r="G29" s="8">
        <f>G27/G28</f>
        <v>3.40627973358706</v>
      </c>
      <c r="H29" s="8">
        <f>H27/H28</f>
        <v>-5.044460466234078</v>
      </c>
      <c r="I29" s="8">
        <f t="shared" ref="I29:J29" si="43">I27/I28</f>
        <v>12.072266092366595</v>
      </c>
      <c r="J29" s="8">
        <f t="shared" si="43"/>
        <v>4.0154755683177807</v>
      </c>
      <c r="L29" s="8">
        <f t="shared" ref="L29:S29" si="44">L27/L28</f>
        <v>6.2750176595243703</v>
      </c>
      <c r="M29" s="8">
        <f t="shared" si="44"/>
        <v>1.9770438041695948</v>
      </c>
      <c r="N29" s="8">
        <f t="shared" si="44"/>
        <v>1.7806935332708529</v>
      </c>
      <c r="O29" s="8">
        <f t="shared" si="44"/>
        <v>2.7743758831841734</v>
      </c>
      <c r="P29" s="8">
        <f t="shared" si="44"/>
        <v>8.243178554332216</v>
      </c>
      <c r="Q29" s="8">
        <f t="shared" si="44"/>
        <v>-1.6029800528719058</v>
      </c>
      <c r="R29" s="8">
        <f t="shared" si="44"/>
        <v>16.087741660684372</v>
      </c>
      <c r="S29" s="8">
        <f t="shared" si="44"/>
        <v>11.864849799952145</v>
      </c>
      <c r="T29" s="8">
        <f t="shared" ref="T29:AB29" si="45">T27/T28</f>
        <v>12.596276305896149</v>
      </c>
      <c r="U29" s="8">
        <f t="shared" si="45"/>
        <v>13.117684817647909</v>
      </c>
      <c r="V29" s="8">
        <f t="shared" si="45"/>
        <v>13.528156202481913</v>
      </c>
      <c r="W29" s="8">
        <f t="shared" si="45"/>
        <v>13.815337752365116</v>
      </c>
      <c r="X29" s="8">
        <f t="shared" si="45"/>
        <v>14.108783865081651</v>
      </c>
      <c r="Y29" s="8">
        <f t="shared" si="45"/>
        <v>14.408641543892285</v>
      </c>
      <c r="Z29" s="8">
        <f t="shared" si="45"/>
        <v>14.715061737336518</v>
      </c>
      <c r="AA29" s="8">
        <f t="shared" si="45"/>
        <v>15.028199466483771</v>
      </c>
      <c r="AB29" s="8">
        <f t="shared" si="45"/>
        <v>15.348213957094357</v>
      </c>
    </row>
    <row r="31" spans="2:138" x14ac:dyDescent="0.3">
      <c r="B31" s="1" t="s">
        <v>45</v>
      </c>
      <c r="E31" s="10"/>
      <c r="F31" s="10"/>
      <c r="G31" s="10">
        <f>G5/E5-1</f>
        <v>0.18655447139915848</v>
      </c>
      <c r="H31" s="10">
        <f>H5/F5-1</f>
        <v>0.15014667284236527</v>
      </c>
      <c r="I31" s="10">
        <f t="shared" ref="I31:J31" si="46">I5/G5-1</f>
        <v>0.1373066767257638</v>
      </c>
      <c r="J31" s="10">
        <f t="shared" si="46"/>
        <v>0.11814752667964301</v>
      </c>
      <c r="L31" s="10"/>
      <c r="M31" s="10">
        <f t="shared" ref="M31:P31" si="47">M5/L5-1</f>
        <v>-0.32770581866303083</v>
      </c>
      <c r="N31" s="10">
        <f t="shared" si="47"/>
        <v>-6.7700566656725303E-2</v>
      </c>
      <c r="O31" s="10">
        <f t="shared" si="47"/>
        <v>0.24600127959053109</v>
      </c>
      <c r="P31" s="10">
        <f t="shared" si="47"/>
        <v>0.23876765083440299</v>
      </c>
      <c r="Q31" s="10">
        <f>Q5/P5-1</f>
        <v>0.16700518134715026</v>
      </c>
      <c r="R31" s="10">
        <f>R5/Q5-1</f>
        <v>0.1271677203949706</v>
      </c>
      <c r="S31" s="10">
        <f t="shared" ref="S31:AB31" si="48">S5/R5-1</f>
        <v>8.0000000000000071E-2</v>
      </c>
      <c r="T31" s="10">
        <f t="shared" si="48"/>
        <v>6.0000000000000053E-2</v>
      </c>
      <c r="U31" s="10">
        <f t="shared" si="48"/>
        <v>4.0000000000000036E-2</v>
      </c>
      <c r="V31" s="10">
        <f t="shared" si="48"/>
        <v>3.0000000000000027E-2</v>
      </c>
      <c r="W31" s="10">
        <f t="shared" si="48"/>
        <v>2.0000000000000018E-2</v>
      </c>
      <c r="X31" s="10">
        <f t="shared" si="48"/>
        <v>2.0000000000000018E-2</v>
      </c>
      <c r="Y31" s="10">
        <f t="shared" si="48"/>
        <v>2.0000000000000018E-2</v>
      </c>
      <c r="Z31" s="10">
        <f t="shared" si="48"/>
        <v>2.0000000000000018E-2</v>
      </c>
      <c r="AA31" s="10">
        <f t="shared" si="48"/>
        <v>2.0000000000000018E-2</v>
      </c>
      <c r="AB31" s="10">
        <f t="shared" si="48"/>
        <v>2.0000000000000018E-2</v>
      </c>
    </row>
    <row r="32" spans="2:138" x14ac:dyDescent="0.3">
      <c r="B32" s="1" t="s">
        <v>46</v>
      </c>
      <c r="E32" s="10">
        <f t="shared" ref="E32:G32" si="49">E11/E5</f>
        <v>0.16283233372124251</v>
      </c>
      <c r="F32" s="10">
        <f t="shared" si="49"/>
        <v>0.19044310637640882</v>
      </c>
      <c r="G32" s="10">
        <f t="shared" si="49"/>
        <v>0.17864956620143344</v>
      </c>
      <c r="H32" s="10">
        <f>H11/H5</f>
        <v>0.20229545607087723</v>
      </c>
      <c r="I32" s="10">
        <f t="shared" ref="I32:J32" si="50">I11/I5</f>
        <v>0.21107794361525706</v>
      </c>
      <c r="J32" s="10">
        <f t="shared" si="50"/>
        <v>0.2</v>
      </c>
      <c r="L32" s="10">
        <f t="shared" ref="L32:P32" si="51">L11/L5</f>
        <v>0.18454505353490797</v>
      </c>
      <c r="M32" s="10">
        <f t="shared" si="51"/>
        <v>0.14440799284223083</v>
      </c>
      <c r="N32" s="10">
        <f t="shared" si="51"/>
        <v>0.16154830454254637</v>
      </c>
      <c r="O32" s="10">
        <f t="shared" si="51"/>
        <v>0.16323491655969191</v>
      </c>
      <c r="P32" s="10">
        <f t="shared" si="51"/>
        <v>0.1776580310880829</v>
      </c>
      <c r="Q32" s="10">
        <f>Q11/Q5</f>
        <v>0.19116288982027421</v>
      </c>
      <c r="R32" s="10">
        <f>R11/R5</f>
        <v>0.20526244805302024</v>
      </c>
      <c r="S32" s="10">
        <f t="shared" ref="S32:AB32" si="52">S11/S5</f>
        <v>0.2</v>
      </c>
      <c r="T32" s="10">
        <f t="shared" si="52"/>
        <v>0.2</v>
      </c>
      <c r="U32" s="10">
        <f t="shared" si="52"/>
        <v>0.2</v>
      </c>
      <c r="V32" s="10">
        <f t="shared" si="52"/>
        <v>0.2</v>
      </c>
      <c r="W32" s="10">
        <f t="shared" si="52"/>
        <v>0.2</v>
      </c>
      <c r="X32" s="10">
        <f t="shared" si="52"/>
        <v>0.2</v>
      </c>
      <c r="Y32" s="10">
        <f t="shared" si="52"/>
        <v>0.2</v>
      </c>
      <c r="Z32" s="10">
        <f t="shared" si="52"/>
        <v>0.20000000000000004</v>
      </c>
      <c r="AA32" s="10">
        <f t="shared" si="52"/>
        <v>0.2</v>
      </c>
      <c r="AB32" s="10">
        <f t="shared" si="52"/>
        <v>0.2</v>
      </c>
      <c r="AE32" s="1" t="s">
        <v>49</v>
      </c>
      <c r="AF32" s="10">
        <v>-0.01</v>
      </c>
    </row>
    <row r="33" spans="2:32" x14ac:dyDescent="0.3">
      <c r="B33" s="1" t="s">
        <v>47</v>
      </c>
      <c r="E33" s="10">
        <f t="shared" ref="E33:G33" si="53">E19/E5</f>
        <v>0.11995345089965088</v>
      </c>
      <c r="F33" s="10">
        <f t="shared" si="53"/>
        <v>0.11255210745715609</v>
      </c>
      <c r="G33" s="10">
        <f t="shared" si="53"/>
        <v>0.14711429649188984</v>
      </c>
      <c r="H33" s="10">
        <f>H19/H5</f>
        <v>0.15047989797973019</v>
      </c>
      <c r="I33" s="10">
        <f t="shared" ref="I33:J33" si="54">I19/I5</f>
        <v>0.1612603648424544</v>
      </c>
      <c r="J33" s="10">
        <f t="shared" si="54"/>
        <v>0.13537355756071093</v>
      </c>
      <c r="L33" s="10">
        <f t="shared" ref="L33:P33" si="55">L19/L5</f>
        <v>0.15370734250310783</v>
      </c>
      <c r="M33" s="10">
        <f t="shared" si="55"/>
        <v>7.2770653146436021E-2</v>
      </c>
      <c r="N33" s="10">
        <f t="shared" si="55"/>
        <v>8.9571337172104928E-2</v>
      </c>
      <c r="O33" s="10">
        <f t="shared" si="55"/>
        <v>0.10053915275994865</v>
      </c>
      <c r="P33" s="10">
        <f t="shared" si="55"/>
        <v>0.11597927461139897</v>
      </c>
      <c r="Q33" s="10">
        <f>Q19/Q5</f>
        <v>0.14889536122753427</v>
      </c>
      <c r="R33" s="10">
        <f>R19/R5</f>
        <v>0.14767078377073622</v>
      </c>
      <c r="S33" s="10">
        <f t="shared" ref="S33:AB33" si="56">S19/S5</f>
        <v>0.19346149582652508</v>
      </c>
      <c r="T33" s="10">
        <f t="shared" si="56"/>
        <v>0.19390286599359391</v>
      </c>
      <c r="U33" s="10">
        <f t="shared" si="56"/>
        <v>0.19421297338496171</v>
      </c>
      <c r="V33" s="10">
        <f t="shared" si="56"/>
        <v>0.19446217773873753</v>
      </c>
      <c r="W33" s="10">
        <f t="shared" si="56"/>
        <v>0.19465732957481574</v>
      </c>
      <c r="X33" s="10">
        <f t="shared" si="56"/>
        <v>0.19485471108292163</v>
      </c>
      <c r="Y33" s="10">
        <f t="shared" si="56"/>
        <v>0.19505442225427033</v>
      </c>
      <c r="Z33" s="10">
        <f t="shared" si="56"/>
        <v>0.1952565656836163</v>
      </c>
      <c r="AA33" s="10">
        <f t="shared" si="56"/>
        <v>0.19546124664913578</v>
      </c>
      <c r="AB33" s="10">
        <f t="shared" si="56"/>
        <v>0.19566857319462619</v>
      </c>
      <c r="AE33" s="1" t="s">
        <v>50</v>
      </c>
      <c r="AF33" s="10">
        <v>7.0000000000000007E-2</v>
      </c>
    </row>
    <row r="34" spans="2:32" x14ac:dyDescent="0.3">
      <c r="B34" s="1" t="s">
        <v>30</v>
      </c>
      <c r="E34" s="10">
        <f t="shared" ref="E34:G34" si="57">E25/E24</f>
        <v>0.22665716322166785</v>
      </c>
      <c r="F34" s="10">
        <f t="shared" si="57"/>
        <v>0.27378467044437815</v>
      </c>
      <c r="G34" s="10">
        <f t="shared" si="57"/>
        <v>0.22703549060542796</v>
      </c>
      <c r="H34" s="10">
        <f>H25/H24</f>
        <v>0.25909909909909912</v>
      </c>
      <c r="I34" s="10">
        <f t="shared" ref="I34:J34" si="58">I25/I24</f>
        <v>0.28712871287128711</v>
      </c>
      <c r="J34" s="10">
        <f t="shared" si="58"/>
        <v>0.26</v>
      </c>
      <c r="L34" s="10">
        <f t="shared" ref="L34:P34" si="59">L25/L24</f>
        <v>0.27029914529914528</v>
      </c>
      <c r="M34" s="10">
        <f t="shared" si="59"/>
        <v>0.27535037098103876</v>
      </c>
      <c r="N34" s="10">
        <f t="shared" si="59"/>
        <v>0.34448160535117056</v>
      </c>
      <c r="O34" s="10">
        <f t="shared" si="59"/>
        <v>0.31433408577878102</v>
      </c>
      <c r="P34" s="10">
        <f t="shared" si="59"/>
        <v>0.25988225399495374</v>
      </c>
      <c r="Q34" s="10">
        <f>Q25/Q24</f>
        <v>0.33061699650756693</v>
      </c>
      <c r="R34" s="10">
        <f>R25/R24</f>
        <v>0.28046448296095638</v>
      </c>
      <c r="S34" s="10">
        <f t="shared" ref="S34:AB34" si="60">S25/S24</f>
        <v>0.25</v>
      </c>
      <c r="T34" s="10">
        <f t="shared" si="60"/>
        <v>0.25</v>
      </c>
      <c r="U34" s="10">
        <f t="shared" si="60"/>
        <v>0.25</v>
      </c>
      <c r="V34" s="10">
        <f t="shared" si="60"/>
        <v>0.25</v>
      </c>
      <c r="W34" s="10">
        <f t="shared" si="60"/>
        <v>0.25</v>
      </c>
      <c r="X34" s="10">
        <f t="shared" si="60"/>
        <v>0.25</v>
      </c>
      <c r="Y34" s="10">
        <f t="shared" si="60"/>
        <v>0.25</v>
      </c>
      <c r="Z34" s="10">
        <f t="shared" si="60"/>
        <v>0.25</v>
      </c>
      <c r="AA34" s="10">
        <f t="shared" si="60"/>
        <v>0.25</v>
      </c>
      <c r="AB34" s="10">
        <f t="shared" si="60"/>
        <v>0.25</v>
      </c>
      <c r="AE34" s="1" t="s">
        <v>51</v>
      </c>
      <c r="AF34" s="6">
        <f>NPV(AF33,R27:EH27)</f>
        <v>81434.42712080192</v>
      </c>
    </row>
    <row r="35" spans="2:32" x14ac:dyDescent="0.3">
      <c r="B35" s="1" t="s">
        <v>48</v>
      </c>
      <c r="E35" s="10">
        <f t="shared" ref="E35:G35" si="61">E27/E5</f>
        <v>9.3366753200250646E-2</v>
      </c>
      <c r="F35" s="10">
        <f t="shared" si="61"/>
        <v>0.18534815501003551</v>
      </c>
      <c r="G35" s="10">
        <f t="shared" si="61"/>
        <v>0.10803470388532629</v>
      </c>
      <c r="H35" s="10">
        <f>H27/H5</f>
        <v>-0.14088193838512653</v>
      </c>
      <c r="I35" s="10">
        <f t="shared" ref="I35:J35" si="62">I27/I5</f>
        <v>0.33466003316749587</v>
      </c>
      <c r="J35" s="10">
        <f t="shared" si="62"/>
        <v>0.10072867734980144</v>
      </c>
      <c r="L35" s="10">
        <f t="shared" ref="L35:P35" si="63">L27/L5</f>
        <v>0.10686931066287043</v>
      </c>
      <c r="M35" s="10">
        <f t="shared" si="63"/>
        <v>5.034297643900984E-2</v>
      </c>
      <c r="N35" s="10">
        <f t="shared" si="63"/>
        <v>4.8624440179142678E-2</v>
      </c>
      <c r="O35" s="10">
        <f t="shared" si="63"/>
        <v>6.0487804878048779E-2</v>
      </c>
      <c r="P35" s="10">
        <f t="shared" si="63"/>
        <v>0.14275647668393782</v>
      </c>
      <c r="Q35" s="10">
        <f>Q27/Q5</f>
        <v>-2.3691127370888684E-2</v>
      </c>
      <c r="R35" s="10">
        <f>R27/R5</f>
        <v>0.21185504255965468</v>
      </c>
      <c r="S35" s="10">
        <f t="shared" ref="S35:AB35" si="64">S27/S5</f>
        <v>0.14467124239967821</v>
      </c>
      <c r="T35" s="10">
        <f t="shared" si="64"/>
        <v>0.14489596100523328</v>
      </c>
      <c r="U35" s="10">
        <f t="shared" si="64"/>
        <v>0.14509015796987496</v>
      </c>
      <c r="V35" s="10">
        <f t="shared" si="64"/>
        <v>0.14527207714813134</v>
      </c>
      <c r="W35" s="10">
        <f t="shared" si="64"/>
        <v>0.14544703492375127</v>
      </c>
      <c r="X35" s="10">
        <f t="shared" si="64"/>
        <v>0.14562393895735617</v>
      </c>
      <c r="Y35" s="10">
        <f t="shared" si="64"/>
        <v>0.14580286536603704</v>
      </c>
      <c r="Z35" s="10">
        <f t="shared" si="64"/>
        <v>0.14598389219809119</v>
      </c>
      <c r="AA35" s="10">
        <f t="shared" si="64"/>
        <v>0.14616709949163656</v>
      </c>
      <c r="AB35" s="10">
        <f t="shared" si="64"/>
        <v>0.14635256933492069</v>
      </c>
      <c r="AE35" s="1" t="s">
        <v>52</v>
      </c>
      <c r="AF35" s="6">
        <f>Main!D8</f>
        <v>3454</v>
      </c>
    </row>
    <row r="36" spans="2:32" x14ac:dyDescent="0.3">
      <c r="AE36" s="1" t="s">
        <v>53</v>
      </c>
      <c r="AF36" s="6">
        <f>AF34+AF35</f>
        <v>84888.42712080192</v>
      </c>
    </row>
    <row r="37" spans="2:32" x14ac:dyDescent="0.3">
      <c r="AE37" s="1" t="s">
        <v>54</v>
      </c>
      <c r="AF37" s="4">
        <f>AF36/AB28</f>
        <v>203.13095745585528</v>
      </c>
    </row>
    <row r="38" spans="2:32" x14ac:dyDescent="0.3">
      <c r="AE38" s="1" t="s">
        <v>55</v>
      </c>
      <c r="AF38" s="4">
        <f>Main!D3</f>
        <v>303.10000000000002</v>
      </c>
    </row>
    <row r="39" spans="2:32" s="12" customFormat="1" x14ac:dyDescent="0.3">
      <c r="B39" s="12" t="s">
        <v>59</v>
      </c>
      <c r="I39" s="12">
        <v>55012</v>
      </c>
      <c r="AE39" s="3" t="s">
        <v>56</v>
      </c>
      <c r="AF39" s="11">
        <f>AF37/AF38-1</f>
        <v>-0.32982198133996943</v>
      </c>
    </row>
    <row r="40" spans="2:32" x14ac:dyDescent="0.3">
      <c r="AE40" s="1" t="s">
        <v>57</v>
      </c>
      <c r="AF40" s="7" t="s">
        <v>58</v>
      </c>
    </row>
    <row r="41" spans="2:32" x14ac:dyDescent="0.3">
      <c r="B41" s="1" t="s">
        <v>60</v>
      </c>
      <c r="I41" s="13">
        <f>Main!D9/Model!I39</f>
        <v>2.2397202428561043</v>
      </c>
    </row>
    <row r="42" spans="2:32" x14ac:dyDescent="0.3">
      <c r="B42" s="1" t="s">
        <v>61</v>
      </c>
      <c r="I42" s="10">
        <f>I39/Main!D9-1</f>
        <v>-0.55351566643662864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2025-06-18T09:56:37Z</dcterms:created>
  <dcterms:modified xsi:type="dcterms:W3CDTF">2025-10-04T08:00:34Z</dcterms:modified>
</cp:coreProperties>
</file>