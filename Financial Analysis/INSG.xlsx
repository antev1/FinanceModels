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0A2E40F-35E9-4430-83A3-E9C5621DB011}" xr6:coauthVersionLast="47" xr6:coauthVersionMax="47" xr10:uidLastSave="{00000000-0000-0000-0000-000000000000}"/>
  <bookViews>
    <workbookView xWindow="-108" yWindow="-108" windowWidth="23256" windowHeight="12576" activeTab="1" xr2:uid="{34A2EE39-018E-4F29-BBB7-6210648CE1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I34" i="2" l="1"/>
  <c r="BF13" i="2"/>
  <c r="BE13" i="2"/>
  <c r="BD13" i="2"/>
  <c r="BC13" i="2"/>
  <c r="BB13" i="2"/>
  <c r="BA13" i="2"/>
  <c r="AZ13" i="2"/>
  <c r="AY13" i="2"/>
  <c r="AX13" i="2"/>
  <c r="AW13" i="2"/>
  <c r="BA6" i="2"/>
  <c r="AZ6" i="2"/>
  <c r="AY6" i="2"/>
  <c r="AX6" i="2"/>
  <c r="AW6" i="2"/>
  <c r="AL15" i="2"/>
  <c r="AK15" i="2"/>
  <c r="AJ15" i="2"/>
  <c r="AL9" i="2"/>
  <c r="AK9" i="2"/>
  <c r="D7" i="1"/>
  <c r="D6" i="1"/>
  <c r="AI15" i="2"/>
  <c r="AV22" i="2" l="1"/>
  <c r="AV21" i="2"/>
  <c r="AV19" i="2"/>
  <c r="AV18" i="2"/>
  <c r="AV15" i="2"/>
  <c r="AV14" i="2"/>
  <c r="AV12" i="2"/>
  <c r="AV9" i="2"/>
  <c r="AV6" i="2"/>
  <c r="AV3" i="2"/>
  <c r="AK38" i="2"/>
  <c r="AK36" i="2"/>
  <c r="AJ33" i="2"/>
  <c r="AI32" i="2"/>
  <c r="AL6" i="2"/>
  <c r="AK6" i="2"/>
  <c r="AL5" i="2"/>
  <c r="AL7" i="2" s="1"/>
  <c r="AL16" i="2" s="1"/>
  <c r="AK5" i="2"/>
  <c r="AK8" i="2" s="1"/>
  <c r="AJ5" i="2"/>
  <c r="AI5" i="2"/>
  <c r="AI29" i="2" s="1"/>
  <c r="AL28" i="2"/>
  <c r="AK28" i="2"/>
  <c r="AJ28" i="2"/>
  <c r="AI28" i="2"/>
  <c r="AL27" i="2"/>
  <c r="AK27" i="2"/>
  <c r="AJ27" i="2"/>
  <c r="AI27" i="2"/>
  <c r="AL38" i="2"/>
  <c r="AJ38" i="2"/>
  <c r="AI38" i="2"/>
  <c r="AL36" i="2"/>
  <c r="AJ36" i="2"/>
  <c r="AI36" i="2"/>
  <c r="AI30" i="2"/>
  <c r="AU24" i="2"/>
  <c r="AH24" i="2"/>
  <c r="AU12" i="2"/>
  <c r="AU6" i="2"/>
  <c r="AH27" i="2"/>
  <c r="AH28" i="2"/>
  <c r="AG28" i="2"/>
  <c r="AG27" i="2"/>
  <c r="AC5" i="2"/>
  <c r="AC29" i="2" s="1"/>
  <c r="AG22" i="2"/>
  <c r="AU22" i="2" s="1"/>
  <c r="AG19" i="2"/>
  <c r="AU19" i="2" s="1"/>
  <c r="AG15" i="2"/>
  <c r="AU15" i="2" s="1"/>
  <c r="AU4" i="2"/>
  <c r="AT28" i="2"/>
  <c r="AT27" i="2"/>
  <c r="AU21" i="2"/>
  <c r="AU18" i="2"/>
  <c r="AH38" i="2"/>
  <c r="AG38" i="2"/>
  <c r="AG30" i="2"/>
  <c r="AG5" i="2"/>
  <c r="AF28" i="2"/>
  <c r="AE28" i="2"/>
  <c r="AD28" i="2"/>
  <c r="AF27" i="2"/>
  <c r="AE27" i="2"/>
  <c r="AD27" i="2"/>
  <c r="AT22" i="2"/>
  <c r="AT21" i="2"/>
  <c r="AT19" i="2"/>
  <c r="AT18" i="2"/>
  <c r="AT14" i="2"/>
  <c r="AT13" i="2"/>
  <c r="AT12" i="2"/>
  <c r="AT9" i="2"/>
  <c r="AT8" i="2"/>
  <c r="AT6" i="2"/>
  <c r="AS22" i="2"/>
  <c r="AS21" i="2"/>
  <c r="AS19" i="2"/>
  <c r="AS14" i="2"/>
  <c r="AS13" i="2"/>
  <c r="AS12" i="2"/>
  <c r="AS9" i="2"/>
  <c r="AS8" i="2"/>
  <c r="AS6" i="2"/>
  <c r="AF38" i="2"/>
  <c r="AE38" i="2"/>
  <c r="AD38" i="2"/>
  <c r="AC38" i="2"/>
  <c r="AB38" i="2"/>
  <c r="AA38" i="2"/>
  <c r="Z38" i="2"/>
  <c r="Y38" i="2"/>
  <c r="X38" i="2"/>
  <c r="W38" i="2"/>
  <c r="AF36" i="2"/>
  <c r="AE36" i="2"/>
  <c r="AD36" i="2"/>
  <c r="AC36" i="2"/>
  <c r="AB36" i="2"/>
  <c r="AA36" i="2"/>
  <c r="Z36" i="2"/>
  <c r="Y36" i="2"/>
  <c r="X36" i="2"/>
  <c r="W36" i="2"/>
  <c r="AF33" i="2"/>
  <c r="AE33" i="2"/>
  <c r="AD33" i="2"/>
  <c r="AC33" i="2"/>
  <c r="AB33" i="2"/>
  <c r="AA33" i="2"/>
  <c r="Z33" i="2"/>
  <c r="Y33" i="2"/>
  <c r="X33" i="2"/>
  <c r="W33" i="2"/>
  <c r="Y32" i="2"/>
  <c r="X32" i="2"/>
  <c r="W32" i="2"/>
  <c r="AF30" i="2"/>
  <c r="AE30" i="2"/>
  <c r="AD30" i="2"/>
  <c r="AC30" i="2"/>
  <c r="AB30" i="2"/>
  <c r="AA30" i="2"/>
  <c r="Z30" i="2"/>
  <c r="Y30" i="2"/>
  <c r="X30" i="2"/>
  <c r="W30" i="2"/>
  <c r="Y29" i="2"/>
  <c r="X29" i="2"/>
  <c r="W29" i="2"/>
  <c r="T15" i="2"/>
  <c r="T16" i="2" s="1"/>
  <c r="T10" i="2"/>
  <c r="T7" i="2"/>
  <c r="U18" i="2"/>
  <c r="U16" i="2"/>
  <c r="U10" i="2"/>
  <c r="U7" i="2"/>
  <c r="V16" i="2"/>
  <c r="V10" i="2"/>
  <c r="V7" i="2"/>
  <c r="W18" i="2"/>
  <c r="AS18" i="2" s="1"/>
  <c r="W16" i="2"/>
  <c r="W10" i="2"/>
  <c r="W7" i="2"/>
  <c r="W37" i="2" s="1"/>
  <c r="X16" i="2"/>
  <c r="X10" i="2"/>
  <c r="X7" i="2"/>
  <c r="X37" i="2" s="1"/>
  <c r="Y16" i="2"/>
  <c r="Y10" i="2"/>
  <c r="Y7" i="2"/>
  <c r="Y37" i="2" s="1"/>
  <c r="AC15" i="2"/>
  <c r="AC16" i="2" s="1"/>
  <c r="AC10" i="2"/>
  <c r="Z15" i="2"/>
  <c r="Z16" i="2" s="1"/>
  <c r="Z10" i="2"/>
  <c r="Z5" i="2"/>
  <c r="Z7" i="2" s="1"/>
  <c r="Z37" i="2" s="1"/>
  <c r="AD15" i="2"/>
  <c r="AD16" i="2" s="1"/>
  <c r="AD10" i="2"/>
  <c r="AD5" i="2"/>
  <c r="AD7" i="2" s="1"/>
  <c r="AA16" i="2"/>
  <c r="AA10" i="2"/>
  <c r="AA5" i="2"/>
  <c r="AA7" i="2" s="1"/>
  <c r="AE16" i="2"/>
  <c r="AE10" i="2"/>
  <c r="AE5" i="2"/>
  <c r="AE7" i="2" s="1"/>
  <c r="AE37" i="2" s="1"/>
  <c r="AB16" i="2"/>
  <c r="AB10" i="2"/>
  <c r="AB5" i="2"/>
  <c r="AB7" i="2" s="1"/>
  <c r="AB37" i="2" s="1"/>
  <c r="AF5" i="2"/>
  <c r="AF7" i="2" s="1"/>
  <c r="AF37" i="2" s="1"/>
  <c r="AF16" i="2"/>
  <c r="AF10" i="2"/>
  <c r="T30" i="2"/>
  <c r="U30" i="2"/>
  <c r="V30" i="2"/>
  <c r="S18" i="2"/>
  <c r="AR22" i="2"/>
  <c r="AR19" i="2"/>
  <c r="V38" i="2"/>
  <c r="U38" i="2"/>
  <c r="T38" i="2"/>
  <c r="S38" i="2"/>
  <c r="V36" i="2"/>
  <c r="U36" i="2"/>
  <c r="S36" i="2"/>
  <c r="S32" i="2"/>
  <c r="S33" i="2"/>
  <c r="S30" i="2"/>
  <c r="S29" i="2"/>
  <c r="V29" i="2"/>
  <c r="U32" i="2"/>
  <c r="T32" i="2"/>
  <c r="R15" i="2"/>
  <c r="R38" i="2"/>
  <c r="Q38" i="2"/>
  <c r="P38" i="2"/>
  <c r="O38" i="2"/>
  <c r="N38" i="2"/>
  <c r="M38" i="2"/>
  <c r="L38" i="2"/>
  <c r="K38" i="2"/>
  <c r="J38" i="2"/>
  <c r="I38" i="2"/>
  <c r="H38" i="2"/>
  <c r="G38" i="2"/>
  <c r="Q36" i="2"/>
  <c r="P36" i="2"/>
  <c r="O36" i="2"/>
  <c r="N36" i="2"/>
  <c r="M36" i="2"/>
  <c r="L36" i="2"/>
  <c r="K36" i="2"/>
  <c r="J36" i="2"/>
  <c r="I36" i="2"/>
  <c r="H36" i="2"/>
  <c r="G36" i="2"/>
  <c r="AK7" i="2" l="1"/>
  <c r="AK31" i="2" s="1"/>
  <c r="AK32" i="2"/>
  <c r="AK10" i="2"/>
  <c r="AK29" i="2"/>
  <c r="AJ32" i="2"/>
  <c r="AJ10" i="2"/>
  <c r="AJ29" i="2"/>
  <c r="AJ7" i="2"/>
  <c r="AV4" i="2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AL8" i="2"/>
  <c r="AV8" i="2" s="1"/>
  <c r="AL29" i="2"/>
  <c r="AI10" i="2"/>
  <c r="AI7" i="2"/>
  <c r="AK33" i="2"/>
  <c r="AL33" i="2"/>
  <c r="AI33" i="2"/>
  <c r="AL37" i="2"/>
  <c r="AL30" i="2"/>
  <c r="AJ30" i="2"/>
  <c r="AK30" i="2"/>
  <c r="AD31" i="2"/>
  <c r="AC7" i="2"/>
  <c r="AC11" i="2" s="1"/>
  <c r="AH30" i="2"/>
  <c r="AF32" i="2"/>
  <c r="AB29" i="2"/>
  <c r="AU14" i="2"/>
  <c r="AA31" i="2"/>
  <c r="AA37" i="2"/>
  <c r="AD37" i="2"/>
  <c r="AU9" i="2"/>
  <c r="AH36" i="2"/>
  <c r="AH5" i="2"/>
  <c r="AU3" i="2"/>
  <c r="AC32" i="2"/>
  <c r="AG36" i="2"/>
  <c r="AU28" i="2"/>
  <c r="AG10" i="2"/>
  <c r="AG29" i="2"/>
  <c r="AG7" i="2"/>
  <c r="AG32" i="2"/>
  <c r="AG33" i="2"/>
  <c r="AD29" i="2"/>
  <c r="AS5" i="2"/>
  <c r="Z32" i="2"/>
  <c r="AA29" i="2"/>
  <c r="AE32" i="2"/>
  <c r="AB31" i="2"/>
  <c r="AT15" i="2"/>
  <c r="AE31" i="2"/>
  <c r="AF29" i="2"/>
  <c r="X31" i="2"/>
  <c r="AF31" i="2"/>
  <c r="AB32" i="2"/>
  <c r="AE29" i="2"/>
  <c r="AA32" i="2"/>
  <c r="Y31" i="2"/>
  <c r="AT5" i="2"/>
  <c r="Z29" i="2"/>
  <c r="Z31" i="2"/>
  <c r="AD32" i="2"/>
  <c r="AS15" i="2"/>
  <c r="AW19" i="2"/>
  <c r="AX19" i="2" s="1"/>
  <c r="AY19" i="2" s="1"/>
  <c r="AZ19" i="2" s="1"/>
  <c r="BA19" i="2" s="1"/>
  <c r="BB19" i="2" s="1"/>
  <c r="BC19" i="2" s="1"/>
  <c r="BD19" i="2" s="1"/>
  <c r="BE19" i="2" s="1"/>
  <c r="BF19" i="2" s="1"/>
  <c r="AR15" i="2"/>
  <c r="T11" i="2"/>
  <c r="T17" i="2" s="1"/>
  <c r="T20" i="2" s="1"/>
  <c r="T23" i="2" s="1"/>
  <c r="T25" i="2" s="1"/>
  <c r="AR18" i="2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U11" i="2"/>
  <c r="U17" i="2" s="1"/>
  <c r="U20" i="2" s="1"/>
  <c r="U23" i="2" s="1"/>
  <c r="U25" i="2" s="1"/>
  <c r="V11" i="2"/>
  <c r="V17" i="2" s="1"/>
  <c r="V20" i="2" s="1"/>
  <c r="V23" i="2" s="1"/>
  <c r="V25" i="2" s="1"/>
  <c r="W11" i="2"/>
  <c r="X11" i="2"/>
  <c r="Y11" i="2"/>
  <c r="Z11" i="2"/>
  <c r="AD11" i="2"/>
  <c r="AA11" i="2"/>
  <c r="AE11" i="2"/>
  <c r="AB11" i="2"/>
  <c r="AF11" i="2"/>
  <c r="U33" i="2"/>
  <c r="AR12" i="2"/>
  <c r="AW12" i="2" s="1"/>
  <c r="AX12" i="2" s="1"/>
  <c r="AY12" i="2" s="1"/>
  <c r="AZ12" i="2" s="1"/>
  <c r="BA12" i="2" s="1"/>
  <c r="BB12" i="2" s="1"/>
  <c r="V32" i="2"/>
  <c r="T29" i="2"/>
  <c r="T36" i="2"/>
  <c r="U37" i="2"/>
  <c r="U29" i="2"/>
  <c r="AR5" i="2"/>
  <c r="AR14" i="2"/>
  <c r="T37" i="2"/>
  <c r="AR6" i="2"/>
  <c r="S10" i="2"/>
  <c r="R36" i="2"/>
  <c r="AW22" i="2"/>
  <c r="AX22" i="2" s="1"/>
  <c r="AY22" i="2" s="1"/>
  <c r="AZ22" i="2" s="1"/>
  <c r="BA22" i="2" s="1"/>
  <c r="BB22" i="2" s="1"/>
  <c r="BC22" i="2" s="1"/>
  <c r="BD22" i="2" s="1"/>
  <c r="BE22" i="2" s="1"/>
  <c r="BF22" i="2" s="1"/>
  <c r="Q18" i="2"/>
  <c r="AQ18" i="2" s="1"/>
  <c r="AV28" i="2" l="1"/>
  <c r="AK11" i="2"/>
  <c r="AJ31" i="2"/>
  <c r="AJ11" i="2"/>
  <c r="AI11" i="2"/>
  <c r="AI34" i="2" s="1"/>
  <c r="AL32" i="2"/>
  <c r="AL10" i="2"/>
  <c r="AL11" i="2" s="1"/>
  <c r="AI31" i="2"/>
  <c r="AC37" i="2"/>
  <c r="AC31" i="2"/>
  <c r="AW3" i="2"/>
  <c r="AX3" i="2" s="1"/>
  <c r="AY3" i="2" s="1"/>
  <c r="AZ3" i="2" s="1"/>
  <c r="BA3" i="2" s="1"/>
  <c r="BB3" i="2" s="1"/>
  <c r="BC3" i="2" s="1"/>
  <c r="BD3" i="2" s="1"/>
  <c r="BE3" i="2" s="1"/>
  <c r="BF3" i="2" s="1"/>
  <c r="AH7" i="2"/>
  <c r="AL31" i="2" s="1"/>
  <c r="AH10" i="2"/>
  <c r="AH33" i="2"/>
  <c r="AX9" i="2"/>
  <c r="AW9" i="2"/>
  <c r="AU27" i="2"/>
  <c r="AU5" i="2"/>
  <c r="AH29" i="2"/>
  <c r="AH31" i="2"/>
  <c r="AW28" i="2"/>
  <c r="AG37" i="2"/>
  <c r="AG16" i="2"/>
  <c r="AG11" i="2"/>
  <c r="AG31" i="2"/>
  <c r="AA17" i="2"/>
  <c r="AA34" i="2"/>
  <c r="Z17" i="2"/>
  <c r="Z34" i="2"/>
  <c r="AC17" i="2"/>
  <c r="AC34" i="2"/>
  <c r="AE17" i="2"/>
  <c r="AE34" i="2"/>
  <c r="AD17" i="2"/>
  <c r="AD34" i="2"/>
  <c r="Y17" i="2"/>
  <c r="Y34" i="2"/>
  <c r="AF17" i="2"/>
  <c r="AF34" i="2"/>
  <c r="X17" i="2"/>
  <c r="X34" i="2"/>
  <c r="AB17" i="2"/>
  <c r="AB34" i="2"/>
  <c r="W17" i="2"/>
  <c r="W34" i="2"/>
  <c r="BC12" i="2"/>
  <c r="BB36" i="2"/>
  <c r="U34" i="2"/>
  <c r="V34" i="2"/>
  <c r="AR8" i="2"/>
  <c r="T34" i="2"/>
  <c r="T33" i="2"/>
  <c r="AR9" i="2"/>
  <c r="V33" i="2"/>
  <c r="BI38" i="2"/>
  <c r="Q7" i="2"/>
  <c r="U31" i="2" s="1"/>
  <c r="AQ12" i="2"/>
  <c r="R33" i="2"/>
  <c r="Q33" i="2"/>
  <c r="AQ22" i="2"/>
  <c r="AQ21" i="2"/>
  <c r="AQ15" i="2"/>
  <c r="AQ14" i="2"/>
  <c r="AQ9" i="2"/>
  <c r="AP22" i="2"/>
  <c r="AP21" i="2"/>
  <c r="AP19" i="2"/>
  <c r="AP18" i="2"/>
  <c r="AP15" i="2"/>
  <c r="AP14" i="2"/>
  <c r="AP13" i="2"/>
  <c r="AP12" i="2"/>
  <c r="AP9" i="2"/>
  <c r="AP8" i="2"/>
  <c r="AP6" i="2"/>
  <c r="AP5" i="2"/>
  <c r="AO22" i="2"/>
  <c r="AO21" i="2"/>
  <c r="AO19" i="2"/>
  <c r="AO18" i="2"/>
  <c r="AO14" i="2"/>
  <c r="AO13" i="2"/>
  <c r="AO12" i="2"/>
  <c r="AO9" i="2"/>
  <c r="AO8" i="2"/>
  <c r="AO6" i="2"/>
  <c r="AO5" i="2"/>
  <c r="AN22" i="2"/>
  <c r="AN21" i="2"/>
  <c r="AN19" i="2"/>
  <c r="AN18" i="2"/>
  <c r="AN14" i="2"/>
  <c r="AN13" i="2"/>
  <c r="AN12" i="2"/>
  <c r="AN8" i="2"/>
  <c r="AN6" i="2"/>
  <c r="AN5" i="2"/>
  <c r="Q30" i="2"/>
  <c r="P30" i="2"/>
  <c r="O30" i="2"/>
  <c r="N30" i="2"/>
  <c r="M30" i="2"/>
  <c r="L30" i="2"/>
  <c r="K30" i="2"/>
  <c r="J30" i="2"/>
  <c r="I30" i="2"/>
  <c r="H30" i="2"/>
  <c r="P29" i="2"/>
  <c r="O29" i="2"/>
  <c r="N29" i="2"/>
  <c r="M29" i="2"/>
  <c r="L29" i="2"/>
  <c r="K29" i="2"/>
  <c r="J29" i="2"/>
  <c r="I29" i="2"/>
  <c r="H29" i="2"/>
  <c r="G30" i="2"/>
  <c r="G29" i="2"/>
  <c r="P33" i="2"/>
  <c r="O33" i="2"/>
  <c r="N33" i="2"/>
  <c r="M33" i="2"/>
  <c r="L33" i="2"/>
  <c r="K33" i="2"/>
  <c r="J33" i="2"/>
  <c r="I33" i="2"/>
  <c r="H33" i="2"/>
  <c r="G33" i="2"/>
  <c r="D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3" i="2"/>
  <c r="C32" i="2"/>
  <c r="AK16" i="2" l="1"/>
  <c r="AK17" i="2" s="1"/>
  <c r="AK37" i="2"/>
  <c r="AK34" i="2"/>
  <c r="AJ34" i="2"/>
  <c r="AJ37" i="2"/>
  <c r="AJ16" i="2"/>
  <c r="AJ17" i="2" s="1"/>
  <c r="AL17" i="2"/>
  <c r="AL34" i="2"/>
  <c r="AV13" i="2"/>
  <c r="AI16" i="2"/>
  <c r="AI17" i="2" s="1"/>
  <c r="AI37" i="2"/>
  <c r="AH11" i="2"/>
  <c r="AH34" i="2" s="1"/>
  <c r="AW5" i="2"/>
  <c r="AW8" i="2" s="1"/>
  <c r="AV27" i="2"/>
  <c r="AV5" i="2"/>
  <c r="AH32" i="2"/>
  <c r="AW27" i="2"/>
  <c r="AX5" i="2"/>
  <c r="AX8" i="2" s="1"/>
  <c r="AU8" i="2"/>
  <c r="AY9" i="2"/>
  <c r="AX28" i="2"/>
  <c r="AG34" i="2"/>
  <c r="AG17" i="2"/>
  <c r="AX27" i="2"/>
  <c r="AA20" i="2"/>
  <c r="AA35" i="2"/>
  <c r="AE20" i="2"/>
  <c r="AE35" i="2"/>
  <c r="AB20" i="2"/>
  <c r="AB35" i="2"/>
  <c r="X20" i="2"/>
  <c r="X35" i="2"/>
  <c r="AF20" i="2"/>
  <c r="AF35" i="2"/>
  <c r="AC20" i="2"/>
  <c r="AC35" i="2"/>
  <c r="AD20" i="2"/>
  <c r="AD35" i="2"/>
  <c r="W20" i="2"/>
  <c r="W35" i="2"/>
  <c r="Y20" i="2"/>
  <c r="Y35" i="2"/>
  <c r="Z20" i="2"/>
  <c r="Z35" i="2"/>
  <c r="BC36" i="2"/>
  <c r="BD12" i="2"/>
  <c r="V37" i="2"/>
  <c r="AP38" i="2"/>
  <c r="AP36" i="2"/>
  <c r="AP32" i="2"/>
  <c r="AO30" i="2"/>
  <c r="AO33" i="2"/>
  <c r="AO36" i="2"/>
  <c r="AP30" i="2"/>
  <c r="AO38" i="2"/>
  <c r="AQ36" i="2"/>
  <c r="AO29" i="2"/>
  <c r="AQ38" i="2"/>
  <c r="AN32" i="2"/>
  <c r="AO32" i="2"/>
  <c r="AP33" i="2"/>
  <c r="AP29" i="2"/>
  <c r="AN7" i="2"/>
  <c r="AN37" i="2" s="1"/>
  <c r="Q29" i="2"/>
  <c r="Q10" i="2"/>
  <c r="Q11" i="2" s="1"/>
  <c r="Q34" i="2" s="1"/>
  <c r="Q16" i="2"/>
  <c r="Q37" i="2"/>
  <c r="R30" i="2"/>
  <c r="AQ6" i="2"/>
  <c r="AP16" i="2"/>
  <c r="AP10" i="2"/>
  <c r="AP7" i="2"/>
  <c r="AO10" i="2"/>
  <c r="AO7" i="2"/>
  <c r="Q32" i="2"/>
  <c r="E15" i="2"/>
  <c r="E16" i="2" s="1"/>
  <c r="E9" i="2"/>
  <c r="E7" i="2"/>
  <c r="E37" i="2" s="1"/>
  <c r="F15" i="2"/>
  <c r="F16" i="2" s="1"/>
  <c r="F9" i="2"/>
  <c r="F7" i="2"/>
  <c r="F37" i="2" s="1"/>
  <c r="C15" i="2"/>
  <c r="C10" i="2"/>
  <c r="C7" i="2"/>
  <c r="G15" i="2"/>
  <c r="G10" i="2"/>
  <c r="G7" i="2"/>
  <c r="G37" i="2" s="1"/>
  <c r="D15" i="2"/>
  <c r="D16" i="2" s="1"/>
  <c r="D10" i="2"/>
  <c r="D7" i="2"/>
  <c r="D37" i="2" s="1"/>
  <c r="H15" i="2"/>
  <c r="H16" i="2" s="1"/>
  <c r="H10" i="2"/>
  <c r="H7" i="2"/>
  <c r="H37" i="2" s="1"/>
  <c r="I15" i="2"/>
  <c r="I16" i="2" s="1"/>
  <c r="I10" i="2"/>
  <c r="I7" i="2"/>
  <c r="I37" i="2" s="1"/>
  <c r="M16" i="2"/>
  <c r="M10" i="2"/>
  <c r="M7" i="2"/>
  <c r="Q31" i="2" s="1"/>
  <c r="J16" i="2"/>
  <c r="J10" i="2"/>
  <c r="J7" i="2"/>
  <c r="J37" i="2" s="1"/>
  <c r="N16" i="2"/>
  <c r="N10" i="2"/>
  <c r="N7" i="2"/>
  <c r="K16" i="2"/>
  <c r="K10" i="2"/>
  <c r="K7" i="2"/>
  <c r="K37" i="2" s="1"/>
  <c r="O19" i="2"/>
  <c r="O16" i="2"/>
  <c r="O10" i="2"/>
  <c r="O7" i="2"/>
  <c r="O37" i="2" s="1"/>
  <c r="L16" i="2"/>
  <c r="L10" i="2"/>
  <c r="L7" i="2"/>
  <c r="P19" i="2"/>
  <c r="P16" i="2"/>
  <c r="P10" i="2"/>
  <c r="P7" i="2"/>
  <c r="D8" i="1"/>
  <c r="BI35" i="2" s="1"/>
  <c r="D5" i="1"/>
  <c r="F3" i="1"/>
  <c r="AK20" i="2" l="1"/>
  <c r="AK35" i="2"/>
  <c r="AJ35" i="2"/>
  <c r="AJ20" i="2"/>
  <c r="AL20" i="2"/>
  <c r="AL35" i="2"/>
  <c r="AI35" i="2"/>
  <c r="AI20" i="2"/>
  <c r="AU13" i="2"/>
  <c r="AH16" i="2"/>
  <c r="AH17" i="2" s="1"/>
  <c r="AH20" i="2" s="1"/>
  <c r="AH23" i="2" s="1"/>
  <c r="AH25" i="2" s="1"/>
  <c r="AH37" i="2"/>
  <c r="AZ9" i="2"/>
  <c r="AY28" i="2"/>
  <c r="AG20" i="2"/>
  <c r="AG35" i="2"/>
  <c r="AY27" i="2"/>
  <c r="AY5" i="2"/>
  <c r="AY8" i="2" s="1"/>
  <c r="W23" i="2"/>
  <c r="W25" i="2" s="1"/>
  <c r="W39" i="2"/>
  <c r="X23" i="2"/>
  <c r="X25" i="2" s="1"/>
  <c r="X39" i="2"/>
  <c r="AD23" i="2"/>
  <c r="AD25" i="2" s="1"/>
  <c r="AD39" i="2"/>
  <c r="Z23" i="2"/>
  <c r="Z25" i="2" s="1"/>
  <c r="Z39" i="2"/>
  <c r="AC23" i="2"/>
  <c r="AC25" i="2" s="1"/>
  <c r="AC39" i="2"/>
  <c r="AE23" i="2"/>
  <c r="AE25" i="2" s="1"/>
  <c r="AE39" i="2"/>
  <c r="AB23" i="2"/>
  <c r="AB25" i="2" s="1"/>
  <c r="AB39" i="2"/>
  <c r="Y23" i="2"/>
  <c r="Y25" i="2" s="1"/>
  <c r="Y39" i="2"/>
  <c r="AF23" i="2"/>
  <c r="AF25" i="2" s="1"/>
  <c r="AF39" i="2"/>
  <c r="AA23" i="2"/>
  <c r="AA25" i="2" s="1"/>
  <c r="AA39" i="2"/>
  <c r="BD36" i="2"/>
  <c r="BE12" i="2"/>
  <c r="U35" i="2"/>
  <c r="P37" i="2"/>
  <c r="T31" i="2"/>
  <c r="T35" i="2"/>
  <c r="T39" i="2"/>
  <c r="V35" i="2"/>
  <c r="U39" i="2"/>
  <c r="AR38" i="2"/>
  <c r="AR36" i="2"/>
  <c r="AS36" i="2"/>
  <c r="AQ19" i="2"/>
  <c r="F10" i="2"/>
  <c r="F11" i="2" s="1"/>
  <c r="F33" i="2"/>
  <c r="AO11" i="2"/>
  <c r="AO34" i="2" s="1"/>
  <c r="AO31" i="2"/>
  <c r="G16" i="2"/>
  <c r="AO15" i="2"/>
  <c r="AO16" i="2" s="1"/>
  <c r="E10" i="2"/>
  <c r="E11" i="2" s="1"/>
  <c r="E33" i="2"/>
  <c r="AN9" i="2"/>
  <c r="C11" i="2"/>
  <c r="C34" i="2" s="1"/>
  <c r="C16" i="2"/>
  <c r="AN15" i="2"/>
  <c r="AN16" i="2" s="1"/>
  <c r="AO37" i="2"/>
  <c r="AP11" i="2"/>
  <c r="AP34" i="2" s="1"/>
  <c r="AP31" i="2"/>
  <c r="AP37" i="2"/>
  <c r="D9" i="1"/>
  <c r="AQ30" i="2"/>
  <c r="AQ33" i="2"/>
  <c r="Q17" i="2"/>
  <c r="Q20" i="2" s="1"/>
  <c r="R29" i="2"/>
  <c r="R32" i="2"/>
  <c r="AQ5" i="2"/>
  <c r="R7" i="2"/>
  <c r="V31" i="2" s="1"/>
  <c r="G31" i="2"/>
  <c r="N31" i="2"/>
  <c r="H31" i="2"/>
  <c r="P31" i="2"/>
  <c r="O31" i="2"/>
  <c r="I31" i="2"/>
  <c r="J31" i="2"/>
  <c r="L11" i="2"/>
  <c r="L34" i="2" s="1"/>
  <c r="L37" i="2"/>
  <c r="M11" i="2"/>
  <c r="M34" i="2" s="1"/>
  <c r="M37" i="2"/>
  <c r="K31" i="2"/>
  <c r="P11" i="2"/>
  <c r="L31" i="2"/>
  <c r="N11" i="2"/>
  <c r="N37" i="2"/>
  <c r="M31" i="2"/>
  <c r="C37" i="2"/>
  <c r="G11" i="2"/>
  <c r="G34" i="2" s="1"/>
  <c r="D11" i="2"/>
  <c r="D34" i="2" s="1"/>
  <c r="H11" i="2"/>
  <c r="I11" i="2"/>
  <c r="J11" i="2"/>
  <c r="K11" i="2"/>
  <c r="O11" i="2"/>
  <c r="AK39" i="2" l="1"/>
  <c r="AK23" i="2"/>
  <c r="AK25" i="2" s="1"/>
  <c r="AJ39" i="2"/>
  <c r="AJ23" i="2"/>
  <c r="AJ25" i="2" s="1"/>
  <c r="AL39" i="2"/>
  <c r="AL23" i="2"/>
  <c r="AL25" i="2" s="1"/>
  <c r="AI39" i="2"/>
  <c r="AI23" i="2"/>
  <c r="AI25" i="2" s="1"/>
  <c r="AH39" i="2"/>
  <c r="AH35" i="2"/>
  <c r="BA9" i="2"/>
  <c r="AZ28" i="2"/>
  <c r="AG23" i="2"/>
  <c r="AG25" i="2" s="1"/>
  <c r="AG39" i="2"/>
  <c r="AZ27" i="2"/>
  <c r="AZ5" i="2"/>
  <c r="AZ8" i="2" s="1"/>
  <c r="BE36" i="2"/>
  <c r="BF12" i="2"/>
  <c r="BF36" i="2" s="1"/>
  <c r="G17" i="2"/>
  <c r="G35" i="2" s="1"/>
  <c r="V39" i="2"/>
  <c r="AO17" i="2"/>
  <c r="AO20" i="2" s="1"/>
  <c r="L17" i="2"/>
  <c r="L35" i="2" s="1"/>
  <c r="C17" i="2"/>
  <c r="C35" i="2" s="1"/>
  <c r="AS38" i="2"/>
  <c r="AT36" i="2"/>
  <c r="D17" i="2"/>
  <c r="D20" i="2" s="1"/>
  <c r="F34" i="2"/>
  <c r="F17" i="2"/>
  <c r="F35" i="2" s="1"/>
  <c r="AP17" i="2"/>
  <c r="AN33" i="2"/>
  <c r="AN10" i="2"/>
  <c r="AN11" i="2" s="1"/>
  <c r="AR30" i="2"/>
  <c r="AR33" i="2"/>
  <c r="Q35" i="2"/>
  <c r="AQ7" i="2"/>
  <c r="AQ31" i="2" s="1"/>
  <c r="AQ29" i="2"/>
  <c r="R31" i="2"/>
  <c r="R10" i="2"/>
  <c r="R11" i="2" s="1"/>
  <c r="R34" i="2" s="1"/>
  <c r="AQ8" i="2"/>
  <c r="Q39" i="2"/>
  <c r="Q23" i="2"/>
  <c r="Q25" i="2" s="1"/>
  <c r="R16" i="2"/>
  <c r="AQ13" i="2"/>
  <c r="R37" i="2"/>
  <c r="O17" i="2"/>
  <c r="O34" i="2"/>
  <c r="K17" i="2"/>
  <c r="K34" i="2"/>
  <c r="N17" i="2"/>
  <c r="N34" i="2"/>
  <c r="J17" i="2"/>
  <c r="J34" i="2"/>
  <c r="I17" i="2"/>
  <c r="I34" i="2"/>
  <c r="M17" i="2"/>
  <c r="P34" i="2"/>
  <c r="P17" i="2"/>
  <c r="H17" i="2"/>
  <c r="H34" i="2"/>
  <c r="E17" i="2"/>
  <c r="E34" i="2"/>
  <c r="BB6" i="2" l="1"/>
  <c r="BB9" i="2" s="1"/>
  <c r="BA28" i="2"/>
  <c r="BA27" i="2"/>
  <c r="BA5" i="2"/>
  <c r="BA8" i="2" s="1"/>
  <c r="D35" i="2"/>
  <c r="G20" i="2"/>
  <c r="G23" i="2" s="1"/>
  <c r="G25" i="2" s="1"/>
  <c r="L20" i="2"/>
  <c r="L23" i="2" s="1"/>
  <c r="L25" i="2" s="1"/>
  <c r="C20" i="2"/>
  <c r="C23" i="2" s="1"/>
  <c r="C25" i="2" s="1"/>
  <c r="AO35" i="2"/>
  <c r="F20" i="2"/>
  <c r="F23" i="2" s="1"/>
  <c r="F25" i="2" s="1"/>
  <c r="AW14" i="2"/>
  <c r="AX14" i="2" s="1"/>
  <c r="AY14" i="2" s="1"/>
  <c r="AZ14" i="2" s="1"/>
  <c r="BA14" i="2" s="1"/>
  <c r="BB14" i="2" s="1"/>
  <c r="AT38" i="2"/>
  <c r="AU36" i="2"/>
  <c r="AO23" i="2"/>
  <c r="AO25" i="2" s="1"/>
  <c r="AO39" i="2"/>
  <c r="AN34" i="2"/>
  <c r="AN17" i="2"/>
  <c r="AP20" i="2"/>
  <c r="AP35" i="2"/>
  <c r="AR32" i="2"/>
  <c r="AS33" i="2"/>
  <c r="AS30" i="2"/>
  <c r="R17" i="2"/>
  <c r="R35" i="2" s="1"/>
  <c r="AR7" i="2"/>
  <c r="AR29" i="2"/>
  <c r="AQ32" i="2"/>
  <c r="AQ10" i="2"/>
  <c r="AQ11" i="2" s="1"/>
  <c r="AQ34" i="2" s="1"/>
  <c r="AQ37" i="2"/>
  <c r="AQ16" i="2"/>
  <c r="P35" i="2"/>
  <c r="P20" i="2"/>
  <c r="N20" i="2"/>
  <c r="N35" i="2"/>
  <c r="H20" i="2"/>
  <c r="H35" i="2"/>
  <c r="I20" i="2"/>
  <c r="I35" i="2"/>
  <c r="J20" i="2"/>
  <c r="J35" i="2"/>
  <c r="M20" i="2"/>
  <c r="M35" i="2"/>
  <c r="E20" i="2"/>
  <c r="E35" i="2"/>
  <c r="K20" i="2"/>
  <c r="K35" i="2"/>
  <c r="D23" i="2"/>
  <c r="D25" i="2" s="1"/>
  <c r="D39" i="2"/>
  <c r="O20" i="2"/>
  <c r="O35" i="2"/>
  <c r="BC6" i="2" l="1"/>
  <c r="BC9" i="2" s="1"/>
  <c r="BB33" i="2"/>
  <c r="BB30" i="2"/>
  <c r="BB28" i="2"/>
  <c r="BB27" i="2"/>
  <c r="BB5" i="2"/>
  <c r="BB8" i="2" s="1"/>
  <c r="BC14" i="2"/>
  <c r="BB38" i="2"/>
  <c r="G39" i="2"/>
  <c r="L39" i="2"/>
  <c r="C39" i="2"/>
  <c r="F39" i="2"/>
  <c r="AU38" i="2"/>
  <c r="AV36" i="2"/>
  <c r="AP23" i="2"/>
  <c r="AP25" i="2" s="1"/>
  <c r="AP39" i="2"/>
  <c r="AN20" i="2"/>
  <c r="AN35" i="2"/>
  <c r="AR10" i="2"/>
  <c r="AR11" i="2" s="1"/>
  <c r="AR34" i="2" s="1"/>
  <c r="AS10" i="2"/>
  <c r="AR31" i="2"/>
  <c r="AT33" i="2"/>
  <c r="AT30" i="2"/>
  <c r="R20" i="2"/>
  <c r="R23" i="2" s="1"/>
  <c r="R25" i="2" s="1"/>
  <c r="AS7" i="2"/>
  <c r="AS29" i="2"/>
  <c r="AQ17" i="2"/>
  <c r="AQ20" i="2" s="1"/>
  <c r="AQ23" i="2" s="1"/>
  <c r="K23" i="2"/>
  <c r="K25" i="2" s="1"/>
  <c r="K39" i="2"/>
  <c r="O23" i="2"/>
  <c r="O25" i="2" s="1"/>
  <c r="O39" i="2"/>
  <c r="E23" i="2"/>
  <c r="E25" i="2" s="1"/>
  <c r="E39" i="2"/>
  <c r="N23" i="2"/>
  <c r="N25" i="2" s="1"/>
  <c r="N39" i="2"/>
  <c r="J23" i="2"/>
  <c r="J25" i="2" s="1"/>
  <c r="J39" i="2"/>
  <c r="P39" i="2"/>
  <c r="P23" i="2"/>
  <c r="P25" i="2" s="1"/>
  <c r="H23" i="2"/>
  <c r="H25" i="2" s="1"/>
  <c r="H39" i="2"/>
  <c r="M23" i="2"/>
  <c r="M25" i="2" s="1"/>
  <c r="M39" i="2"/>
  <c r="I23" i="2"/>
  <c r="I25" i="2" s="1"/>
  <c r="I39" i="2"/>
  <c r="BD6" i="2" l="1"/>
  <c r="BD9" i="2" s="1"/>
  <c r="BC33" i="2"/>
  <c r="BC30" i="2"/>
  <c r="BC28" i="2"/>
  <c r="BC27" i="2"/>
  <c r="BC5" i="2"/>
  <c r="BC8" i="2" s="1"/>
  <c r="BD14" i="2"/>
  <c r="BC38" i="2"/>
  <c r="AV38" i="2"/>
  <c r="AW36" i="2"/>
  <c r="AN23" i="2"/>
  <c r="AN25" i="2" s="1"/>
  <c r="AN39" i="2"/>
  <c r="R39" i="2"/>
  <c r="AT10" i="2"/>
  <c r="AS31" i="2"/>
  <c r="AS16" i="2"/>
  <c r="AS11" i="2"/>
  <c r="AS34" i="2" s="1"/>
  <c r="AU33" i="2"/>
  <c r="AU30" i="2"/>
  <c r="AT7" i="2"/>
  <c r="AT29" i="2"/>
  <c r="AQ25" i="2"/>
  <c r="AS32" i="2"/>
  <c r="AQ35" i="2"/>
  <c r="AQ39" i="2"/>
  <c r="BE6" i="2" l="1"/>
  <c r="BE9" i="2" s="1"/>
  <c r="BD33" i="2"/>
  <c r="BD30" i="2"/>
  <c r="BD28" i="2"/>
  <c r="BD5" i="2"/>
  <c r="BD8" i="2" s="1"/>
  <c r="BD27" i="2"/>
  <c r="BE14" i="2"/>
  <c r="BD38" i="2"/>
  <c r="AW38" i="2"/>
  <c r="AX36" i="2"/>
  <c r="AV33" i="2"/>
  <c r="AS37" i="2"/>
  <c r="AU10" i="2"/>
  <c r="AT31" i="2"/>
  <c r="AT37" i="2"/>
  <c r="AS17" i="2"/>
  <c r="AS20" i="2" s="1"/>
  <c r="AV30" i="2"/>
  <c r="AT32" i="2"/>
  <c r="AU7" i="2"/>
  <c r="AU29" i="2"/>
  <c r="AT11" i="2"/>
  <c r="BF6" i="2" l="1"/>
  <c r="BF9" i="2" s="1"/>
  <c r="BE33" i="2"/>
  <c r="BE30" i="2"/>
  <c r="BF28" i="2"/>
  <c r="BE28" i="2"/>
  <c r="BE5" i="2"/>
  <c r="BE8" i="2" s="1"/>
  <c r="BE27" i="2"/>
  <c r="BF14" i="2"/>
  <c r="BF38" i="2" s="1"/>
  <c r="BE38" i="2"/>
  <c r="AX38" i="2"/>
  <c r="AY36" i="2"/>
  <c r="AW33" i="2"/>
  <c r="AT16" i="2"/>
  <c r="AT17" i="2" s="1"/>
  <c r="AU16" i="2"/>
  <c r="AS35" i="2"/>
  <c r="AW30" i="2"/>
  <c r="AV29" i="2"/>
  <c r="AV10" i="2"/>
  <c r="AU11" i="2"/>
  <c r="AU34" i="2" s="1"/>
  <c r="AS39" i="2"/>
  <c r="AU37" i="2"/>
  <c r="AU31" i="2"/>
  <c r="AV7" i="2"/>
  <c r="AT34" i="2"/>
  <c r="AU32" i="2"/>
  <c r="BF33" i="2" l="1"/>
  <c r="BF30" i="2"/>
  <c r="BF5" i="2"/>
  <c r="BF8" i="2" s="1"/>
  <c r="BF27" i="2"/>
  <c r="AY38" i="2"/>
  <c r="AZ36" i="2"/>
  <c r="BA36" i="2"/>
  <c r="AX33" i="2"/>
  <c r="AX30" i="2"/>
  <c r="AU17" i="2"/>
  <c r="AU35" i="2" s="1"/>
  <c r="AS23" i="2"/>
  <c r="AS25" i="2" s="1"/>
  <c r="AV11" i="2"/>
  <c r="AV34" i="2" s="1"/>
  <c r="AV32" i="2"/>
  <c r="AT35" i="2"/>
  <c r="AT20" i="2"/>
  <c r="AW7" i="2"/>
  <c r="AW10" i="2"/>
  <c r="AW29" i="2"/>
  <c r="AV31" i="2"/>
  <c r="AV37" i="2"/>
  <c r="AV16" i="2"/>
  <c r="BA38" i="2" l="1"/>
  <c r="AZ38" i="2"/>
  <c r="AW31" i="2"/>
  <c r="AW37" i="2"/>
  <c r="AY33" i="2"/>
  <c r="AY30" i="2"/>
  <c r="AW11" i="2"/>
  <c r="AW34" i="2" s="1"/>
  <c r="AU20" i="2"/>
  <c r="AU23" i="2" s="1"/>
  <c r="AV17" i="2"/>
  <c r="AV20" i="2" s="1"/>
  <c r="AW32" i="2"/>
  <c r="AX10" i="2"/>
  <c r="AX7" i="2"/>
  <c r="AX29" i="2"/>
  <c r="AT39" i="2"/>
  <c r="AW16" i="2" l="1"/>
  <c r="AW17" i="2" s="1"/>
  <c r="AW35" i="2" s="1"/>
  <c r="AX31" i="2"/>
  <c r="AU39" i="2"/>
  <c r="AZ33" i="2"/>
  <c r="AZ30" i="2"/>
  <c r="AT23" i="2"/>
  <c r="AV35" i="2"/>
  <c r="AX11" i="2"/>
  <c r="AX34" i="2" s="1"/>
  <c r="AX32" i="2"/>
  <c r="AY10" i="2"/>
  <c r="AY7" i="2"/>
  <c r="AY29" i="2"/>
  <c r="AV39" i="2"/>
  <c r="AT25" i="2" l="1"/>
  <c r="AY31" i="2"/>
  <c r="AY37" i="2"/>
  <c r="AX16" i="2"/>
  <c r="AX17" i="2" s="1"/>
  <c r="AX20" i="2" s="1"/>
  <c r="AX21" i="2" s="1"/>
  <c r="AX37" i="2"/>
  <c r="BA33" i="2"/>
  <c r="BA30" i="2"/>
  <c r="AW20" i="2"/>
  <c r="AW21" i="2" s="1"/>
  <c r="AW39" i="2" s="1"/>
  <c r="AY32" i="2"/>
  <c r="AV23" i="2"/>
  <c r="AZ7" i="2"/>
  <c r="AZ10" i="2"/>
  <c r="AZ29" i="2"/>
  <c r="AY11" i="2"/>
  <c r="AY34" i="2" s="1"/>
  <c r="AU25" i="2" l="1"/>
  <c r="BA10" i="2"/>
  <c r="AY16" i="2"/>
  <c r="AY17" i="2" s="1"/>
  <c r="AZ31" i="2"/>
  <c r="AZ37" i="2"/>
  <c r="AW23" i="2"/>
  <c r="AW25" i="2" s="1"/>
  <c r="AX35" i="2"/>
  <c r="AZ11" i="2"/>
  <c r="AZ34" i="2" s="1"/>
  <c r="AV25" i="2"/>
  <c r="AX39" i="2"/>
  <c r="BA7" i="2"/>
  <c r="BA29" i="2"/>
  <c r="AZ32" i="2"/>
  <c r="BB7" i="2" l="1"/>
  <c r="BB10" i="2"/>
  <c r="BB29" i="2"/>
  <c r="BB32" i="2"/>
  <c r="AZ16" i="2"/>
  <c r="AZ17" i="2" s="1"/>
  <c r="AZ35" i="2" s="1"/>
  <c r="BA31" i="2"/>
  <c r="BA16" i="2"/>
  <c r="BA11" i="2"/>
  <c r="BA34" i="2" s="1"/>
  <c r="BA32" i="2"/>
  <c r="AY35" i="2"/>
  <c r="AY20" i="2"/>
  <c r="AY21" i="2" s="1"/>
  <c r="AX23" i="2"/>
  <c r="BB11" i="2" l="1"/>
  <c r="BB34" i="2" s="1"/>
  <c r="BB31" i="2"/>
  <c r="BC29" i="2"/>
  <c r="BC7" i="2"/>
  <c r="BC10" i="2"/>
  <c r="BA37" i="2"/>
  <c r="BA17" i="2"/>
  <c r="BA35" i="2" s="1"/>
  <c r="AZ20" i="2"/>
  <c r="AZ21" i="2" s="1"/>
  <c r="AZ39" i="2" s="1"/>
  <c r="AX25" i="2"/>
  <c r="AY39" i="2"/>
  <c r="BC32" i="2" l="1"/>
  <c r="BD29" i="2"/>
  <c r="BD10" i="2"/>
  <c r="BD7" i="2"/>
  <c r="BB16" i="2"/>
  <c r="BB17" i="2" s="1"/>
  <c r="BB37" i="2"/>
  <c r="BC31" i="2"/>
  <c r="BC11" i="2"/>
  <c r="BA20" i="2"/>
  <c r="BA21" i="2" s="1"/>
  <c r="BA39" i="2" s="1"/>
  <c r="AZ23" i="2"/>
  <c r="AZ25" i="2" s="1"/>
  <c r="AY23" i="2"/>
  <c r="AY25" i="2" l="1"/>
  <c r="BC34" i="2"/>
  <c r="BE29" i="2"/>
  <c r="BE7" i="2"/>
  <c r="BE10" i="2"/>
  <c r="BD31" i="2"/>
  <c r="BD11" i="2"/>
  <c r="BB20" i="2"/>
  <c r="BB35" i="2"/>
  <c r="BC16" i="2"/>
  <c r="BC17" i="2" s="1"/>
  <c r="BC37" i="2"/>
  <c r="BD32" i="2"/>
  <c r="BA23" i="2"/>
  <c r="BA25" i="2" s="1"/>
  <c r="BC20" i="2" l="1"/>
  <c r="BC21" i="2" s="1"/>
  <c r="BC35" i="2"/>
  <c r="BD16" i="2"/>
  <c r="BD17" i="2" s="1"/>
  <c r="BD37" i="2"/>
  <c r="BE11" i="2"/>
  <c r="BF29" i="2"/>
  <c r="BF7" i="2"/>
  <c r="BF10" i="2"/>
  <c r="BE31" i="2"/>
  <c r="BE32" i="2"/>
  <c r="BB21" i="2"/>
  <c r="BB39" i="2" s="1"/>
  <c r="BD34" i="2"/>
  <c r="S7" i="2"/>
  <c r="W31" i="2" s="1"/>
  <c r="BF31" i="2" l="1"/>
  <c r="BF11" i="2"/>
  <c r="BD20" i="2"/>
  <c r="BD21" i="2" s="1"/>
  <c r="BD35" i="2"/>
  <c r="BC23" i="2"/>
  <c r="BC25" i="2" s="1"/>
  <c r="BC39" i="2"/>
  <c r="BB23" i="2"/>
  <c r="BB25" i="2" s="1"/>
  <c r="BE34" i="2"/>
  <c r="BF32" i="2"/>
  <c r="BE16" i="2"/>
  <c r="BE17" i="2" s="1"/>
  <c r="BE37" i="2"/>
  <c r="S31" i="2"/>
  <c r="S11" i="2"/>
  <c r="BE20" i="2" l="1"/>
  <c r="BE35" i="2"/>
  <c r="BD23" i="2"/>
  <c r="BD25" i="2" s="1"/>
  <c r="BD39" i="2"/>
  <c r="BF34" i="2"/>
  <c r="BF16" i="2"/>
  <c r="BF17" i="2" s="1"/>
  <c r="BF37" i="2"/>
  <c r="S34" i="2"/>
  <c r="S37" i="2"/>
  <c r="AR13" i="2"/>
  <c r="S16" i="2"/>
  <c r="S17" i="2" s="1"/>
  <c r="BF20" i="2" l="1"/>
  <c r="BF21" i="2" s="1"/>
  <c r="BF35" i="2"/>
  <c r="BE21" i="2"/>
  <c r="BE39" i="2" s="1"/>
  <c r="S35" i="2"/>
  <c r="S20" i="2"/>
  <c r="AR16" i="2"/>
  <c r="AR17" i="2" s="1"/>
  <c r="AR37" i="2"/>
  <c r="BE23" i="2" l="1"/>
  <c r="BE25" i="2" s="1"/>
  <c r="BF23" i="2"/>
  <c r="BF25" i="2" s="1"/>
  <c r="BF39" i="2"/>
  <c r="AR35" i="2"/>
  <c r="AR20" i="2"/>
  <c r="S39" i="2" l="1"/>
  <c r="AR21" i="2"/>
  <c r="AR39" i="2" s="1"/>
  <c r="S23" i="2"/>
  <c r="S25" i="2" s="1"/>
  <c r="AR23" i="2" l="1"/>
  <c r="AR25" i="2" l="1"/>
  <c r="BG23" i="2" l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CO23" i="2" s="1"/>
  <c r="CP23" i="2" s="1"/>
  <c r="CQ23" i="2" s="1"/>
  <c r="CR23" i="2" s="1"/>
  <c r="CS23" i="2" s="1"/>
  <c r="CT23" i="2" s="1"/>
  <c r="CU23" i="2" s="1"/>
  <c r="CV23" i="2" s="1"/>
  <c r="CW23" i="2" s="1"/>
  <c r="CX23" i="2" s="1"/>
  <c r="CY23" i="2" s="1"/>
  <c r="CZ23" i="2" s="1"/>
  <c r="DA23" i="2" s="1"/>
  <c r="DB23" i="2" s="1"/>
  <c r="DC23" i="2" s="1"/>
  <c r="DD23" i="2" s="1"/>
  <c r="DE23" i="2" s="1"/>
  <c r="DF23" i="2" s="1"/>
  <c r="DG23" i="2" s="1"/>
  <c r="DH23" i="2" s="1"/>
  <c r="DI23" i="2" s="1"/>
  <c r="DJ23" i="2" s="1"/>
  <c r="DK23" i="2" s="1"/>
  <c r="DL23" i="2" s="1"/>
  <c r="DM23" i="2" s="1"/>
  <c r="DN23" i="2" s="1"/>
  <c r="DO23" i="2" s="1"/>
  <c r="DP23" i="2" s="1"/>
  <c r="DQ23" i="2" s="1"/>
  <c r="DR23" i="2" s="1"/>
  <c r="DS23" i="2" s="1"/>
  <c r="DT23" i="2" s="1"/>
  <c r="DU23" i="2" s="1"/>
  <c r="DV23" i="2" s="1"/>
  <c r="DW23" i="2" s="1"/>
  <c r="DX23" i="2" s="1"/>
  <c r="DY23" i="2" s="1"/>
  <c r="DZ23" i="2" s="1"/>
  <c r="EA23" i="2" s="1"/>
  <c r="EB23" i="2" s="1"/>
  <c r="EC23" i="2" s="1"/>
  <c r="ED23" i="2" s="1"/>
  <c r="EE23" i="2" s="1"/>
  <c r="EF23" i="2" s="1"/>
  <c r="EG23" i="2" s="1"/>
  <c r="EH23" i="2" s="1"/>
  <c r="EI23" i="2" s="1"/>
  <c r="EJ23" i="2" s="1"/>
  <c r="EK23" i="2" s="1"/>
  <c r="EL23" i="2" s="1"/>
  <c r="EM23" i="2" s="1"/>
  <c r="EN23" i="2" s="1"/>
  <c r="EO23" i="2" s="1"/>
  <c r="EP23" i="2" s="1"/>
  <c r="EQ23" i="2" s="1"/>
  <c r="ER23" i="2" s="1"/>
  <c r="ES23" i="2" s="1"/>
  <c r="ET23" i="2" s="1"/>
  <c r="EU23" i="2" s="1"/>
  <c r="EV23" i="2" s="1"/>
  <c r="EW23" i="2" s="1"/>
  <c r="EX23" i="2" s="1"/>
  <c r="EY23" i="2" s="1"/>
  <c r="EZ23" i="2" s="1"/>
  <c r="FA23" i="2" s="1"/>
  <c r="FB23" i="2" s="1"/>
  <c r="FC23" i="2" s="1"/>
  <c r="FD23" i="2" s="1"/>
  <c r="FE23" i="2" s="1"/>
  <c r="FF23" i="2" s="1"/>
  <c r="FG23" i="2" s="1"/>
  <c r="FH23" i="2" s="1"/>
  <c r="FI23" i="2" s="1"/>
  <c r="FJ23" i="2" s="1"/>
  <c r="FK23" i="2" s="1"/>
  <c r="FL23" i="2" s="1"/>
  <c r="BI36" i="2" l="1"/>
  <c r="BI37" i="2" s="1"/>
  <c r="BI3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I15" authorId="0" shapeId="0" xr:uid="{5842436E-E8DB-44A8-A26D-C15F1B2625E1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loss on acquisition-related liabilities</t>
        </r>
      </text>
    </comment>
    <comment ref="P18" authorId="0" shapeId="0" xr:uid="{DF81A817-59BB-462D-BD98-E76450411B74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loss on debt extinguishment</t>
        </r>
      </text>
    </comment>
  </commentList>
</comments>
</file>

<file path=xl/sharedStrings.xml><?xml version="1.0" encoding="utf-8"?>
<sst xmlns="http://schemas.openxmlformats.org/spreadsheetml/2006/main" count="96" uniqueCount="89">
  <si>
    <t>INSG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</si>
  <si>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</si>
  <si>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</si>
  <si>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</si>
  <si>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</si>
  <si>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</si>
  <si>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</si>
  <si>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</si>
  <si>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</si>
  <si>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</si>
  <si>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</si>
  <si>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</si>
  <si>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</si>
  <si>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</si>
  <si>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</si>
  <si>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</si>
  <si>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</si>
  <si>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</si>
  <si>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</si>
  <si>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</si>
  <si>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</si>
  <si>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</si>
  <si>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</si>
  <si>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</si>
  <si>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SaaS</t>
  </si>
  <si>
    <t>IoT &amp; Mobile</t>
  </si>
  <si>
    <t>Gross profit</t>
  </si>
  <si>
    <t>R&amp;D</t>
  </si>
  <si>
    <t>S&amp;M</t>
  </si>
  <si>
    <t>G&amp;A</t>
  </si>
  <si>
    <t>Operating costs</t>
  </si>
  <si>
    <t>Operating profit</t>
  </si>
  <si>
    <t>Finance expense</t>
  </si>
  <si>
    <t>Finance income</t>
  </si>
  <si>
    <t>Net profit</t>
  </si>
  <si>
    <t>Taxes</t>
  </si>
  <si>
    <t>Minority interest</t>
  </si>
  <si>
    <t>Pretax profit</t>
  </si>
  <si>
    <t>EPS</t>
  </si>
  <si>
    <t>Q217</t>
  </si>
  <si>
    <t>Q317</t>
  </si>
  <si>
    <t>Q417</t>
  </si>
  <si>
    <t>Q117</t>
  </si>
  <si>
    <t>Revenue y/y</t>
  </si>
  <si>
    <t>Gross Margin</t>
  </si>
  <si>
    <t>Operating Margin</t>
  </si>
  <si>
    <t>S&amp;M Margin</t>
  </si>
  <si>
    <t>Hardware Margin</t>
  </si>
  <si>
    <t>Software Margin</t>
  </si>
  <si>
    <t>Hardware Revenue y/y</t>
  </si>
  <si>
    <t>Software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</si>
  <si>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</si>
  <si>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</si>
  <si>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</si>
  <si>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</si>
  <si>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</si>
  <si>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</si>
  <si>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</si>
  <si>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</si>
  <si>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</si>
  <si>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</si>
  <si>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R&amp;D y/y</t>
  </si>
  <si>
    <t>G&amp;A y/y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</si>
  <si>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</si>
  <si>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</si>
  <si>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</si>
  <si>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</si>
  <si>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</si>
  <si>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</si>
  <si>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</si>
  <si>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</si>
  <si>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</si>
  <si>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</si>
  <si>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</si>
  <si>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</si>
  <si>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</si>
  <si>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</si>
  <si>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</si>
  <si>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</si>
  <si>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Mobile revenue</t>
  </si>
  <si>
    <t>Wireless revenue</t>
  </si>
  <si>
    <t>D&amp;A</t>
  </si>
  <si>
    <t>Mobile y/y</t>
  </si>
  <si>
    <t>Wireless y/y</t>
  </si>
  <si>
    <t>Q125</t>
  </si>
  <si>
    <t>Q225</t>
  </si>
  <si>
    <t>Q325</t>
  </si>
  <si>
    <t>Q425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</si>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</sst>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15240</xdr:colOff>
      <xdr:row>0</xdr:row>
      <xdr:rowOff>0</xdr:rowOff>
    </xdr:from>
    <xdr:to>
      <xdr:col>35</xdr:col>
      <xdr:colOff>15240</xdr:colOff>
      <xdr:row>39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A77D2A5-3BE7-44F5-B1E7-A314F81BCF68}"/>
            </a:ext>
          </a:extLst>
        </xdr:cNvPr>
        <xdr:cNvCxnSpPr/>
      </xdr:nvCxnSpPr>
      <xdr:spPr>
        <a:xfrm>
          <a:off x="22090380" y="0"/>
          <a:ext cx="0" cy="7216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15240</xdr:colOff>
      <xdr:row>0</xdr:row>
      <xdr:rowOff>0</xdr:rowOff>
    </xdr:from>
    <xdr:to>
      <xdr:col>47</xdr:col>
      <xdr:colOff>15240</xdr:colOff>
      <xdr:row>39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4C9C59F-6A52-4E8A-B9BD-95587330347F}"/>
            </a:ext>
          </a:extLst>
        </xdr:cNvPr>
        <xdr:cNvCxnSpPr/>
      </xdr:nvCxnSpPr>
      <xdr:spPr>
        <a:xfrm>
          <a:off x="29451300" y="0"/>
          <a:ext cx="0" cy="7200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62BF3-DBA0-4489-B920-56D21B3475A9}">
  <dimension ref="B2:G9"/>
  <sheetViews>
    <sheetView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60</v>
      </c>
    </row>
    <row r="3" spans="2:7" x14ac:dyDescent="0.3">
      <c r="B3" s="1" t="s">
        <v>0</v>
      </c>
      <c r="C3" t="s">
        <v>1</v>
      </c>
      <c r="D3" s="10">
        <v>12.28</v>
      </c>
      <c r="E3" s="3">
        <v>45898</v>
      </c>
      <c r="F3" s="3">
        <f ca="1">TODAY()</f>
        <v>45898</v>
      </c>
      <c r="G3" s="3">
        <v>45959</v>
      </c>
    </row>
    <row r="4" spans="2:7" x14ac:dyDescent="0.3">
      <c r="C4" t="s">
        <v>2</v>
      </c>
      <c r="D4" s="4">
        <v>15</v>
      </c>
      <c r="E4" s="2" t="s">
        <v>85</v>
      </c>
    </row>
    <row r="5" spans="2:7" x14ac:dyDescent="0.3">
      <c r="C5" t="s">
        <v>3</v>
      </c>
      <c r="D5" s="4">
        <f>D3*D4</f>
        <v>184.2</v>
      </c>
    </row>
    <row r="6" spans="2:7" x14ac:dyDescent="0.3">
      <c r="C6" t="s">
        <v>4</v>
      </c>
      <c r="D6" s="4">
        <f>35.1</f>
        <v>35.1</v>
      </c>
      <c r="E6" s="2" t="s">
        <v>85</v>
      </c>
    </row>
    <row r="7" spans="2:7" x14ac:dyDescent="0.3">
      <c r="C7" t="s">
        <v>5</v>
      </c>
      <c r="D7" s="4">
        <f>14.9+41.8</f>
        <v>56.699999999999996</v>
      </c>
      <c r="E7" s="2" t="s">
        <v>85</v>
      </c>
    </row>
    <row r="8" spans="2:7" x14ac:dyDescent="0.3">
      <c r="C8" t="s">
        <v>6</v>
      </c>
      <c r="D8" s="4">
        <f>D6-D7</f>
        <v>-21.599999999999994</v>
      </c>
    </row>
    <row r="9" spans="2:7" x14ac:dyDescent="0.3">
      <c r="C9" t="s">
        <v>7</v>
      </c>
      <c r="D9" s="4">
        <f>D5-D8</f>
        <v>205.79999999999998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EEC3F-7164-49F5-9551-4B51F05EFD96}">
  <dimension ref="B2:FL40"/>
  <sheetViews>
    <sheetView tabSelected="1" workbookViewId="0">
      <pane xSplit="2" ySplit="2" topLeftCell="AS3" activePane="bottomRight" state="frozen"/>
      <selection pane="topRight" activeCell="C1" sqref="C1"/>
      <selection pane="bottomLeft" activeCell="A3" sqref="A3"/>
      <selection pane="bottomRight" activeCell="BI1" sqref="BI1"/>
    </sheetView>
  </sheetViews>
  <sheetFormatPr defaultRowHeight="14.4" x14ac:dyDescent="0.3"/>
  <cols>
    <col min="2" max="2" width="19.6640625" bestFit="1" customWidth="1"/>
    <col min="3" max="6" width="8.88671875" customWidth="1"/>
    <col min="43" max="43" width="9.5546875" bestFit="1" customWidth="1"/>
    <col min="55" max="56" width="8.88671875" customWidth="1"/>
    <col min="60" max="60" width="12" bestFit="1" customWidth="1"/>
    <col min="61" max="61" width="17.5546875" bestFit="1" customWidth="1"/>
  </cols>
  <sheetData>
    <row r="2" spans="2:58" x14ac:dyDescent="0.3">
      <c r="C2" s="5" t="s">
        <v>42</v>
      </c>
      <c r="D2" s="5" t="s">
        <v>39</v>
      </c>
      <c r="E2" s="5" t="s">
        <v>40</v>
      </c>
      <c r="F2" s="5" t="s">
        <v>41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10</v>
      </c>
      <c r="Q2" s="5" t="s">
        <v>21</v>
      </c>
      <c r="R2" s="5" t="s">
        <v>22</v>
      </c>
      <c r="S2" s="5" t="s">
        <v>63</v>
      </c>
      <c r="T2" s="5" t="s">
        <v>64</v>
      </c>
      <c r="U2" s="5" t="s">
        <v>65</v>
      </c>
      <c r="V2" s="5" t="s">
        <v>66</v>
      </c>
      <c r="W2" s="5" t="s">
        <v>67</v>
      </c>
      <c r="X2" s="5" t="s">
        <v>68</v>
      </c>
      <c r="Y2" s="5" t="s">
        <v>69</v>
      </c>
      <c r="Z2" s="5" t="s">
        <v>70</v>
      </c>
      <c r="AA2" s="5" t="s">
        <v>71</v>
      </c>
      <c r="AB2" s="5" t="s">
        <v>72</v>
      </c>
      <c r="AC2" s="5" t="s">
        <v>73</v>
      </c>
      <c r="AD2" s="5" t="s">
        <v>74</v>
      </c>
      <c r="AE2" s="5" t="s">
        <v>75</v>
      </c>
      <c r="AF2" s="5" t="s">
        <v>76</v>
      </c>
      <c r="AG2" s="5" t="s">
        <v>77</v>
      </c>
      <c r="AH2" s="5" t="s">
        <v>78</v>
      </c>
      <c r="AI2" s="5" t="s">
        <v>84</v>
      </c>
      <c r="AJ2" s="5" t="s">
        <v>85</v>
      </c>
      <c r="AK2" s="5" t="s">
        <v>86</v>
      </c>
      <c r="AL2" s="5" t="s">
        <v>87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79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6">
        <v>21.5</v>
      </c>
      <c r="AA3" s="6">
        <v>23</v>
      </c>
      <c r="AB3" s="6">
        <v>18.899999999999999</v>
      </c>
      <c r="AC3" s="6">
        <v>22.5</v>
      </c>
      <c r="AD3" s="6">
        <v>16</v>
      </c>
      <c r="AE3" s="6">
        <v>15.3</v>
      </c>
      <c r="AF3" s="6">
        <v>25.9</v>
      </c>
      <c r="AG3" s="6">
        <v>32.299999999999997</v>
      </c>
      <c r="AH3" s="6">
        <v>25.5</v>
      </c>
      <c r="AI3" s="6">
        <v>17.8</v>
      </c>
      <c r="AJ3" s="6">
        <v>17.8</v>
      </c>
      <c r="AK3" s="6">
        <v>19</v>
      </c>
      <c r="AL3" s="6">
        <v>19</v>
      </c>
      <c r="AS3" s="4">
        <v>143.5</v>
      </c>
      <c r="AT3" s="4">
        <v>80.5</v>
      </c>
      <c r="AU3" s="4">
        <f>SUM(AE3:AH3)</f>
        <v>99</v>
      </c>
      <c r="AV3" s="4">
        <f>SUM(AI3:AL3)</f>
        <v>73.599999999999994</v>
      </c>
      <c r="AW3" s="4">
        <f>AV3*1.15</f>
        <v>84.639999999999986</v>
      </c>
      <c r="AX3" s="4">
        <f>AW3*1.1</f>
        <v>93.103999999999999</v>
      </c>
      <c r="AY3" s="4">
        <f>AX3*1.08</f>
        <v>100.55232000000001</v>
      </c>
      <c r="AZ3" s="4">
        <f>AY3*1.05</f>
        <v>105.57993600000002</v>
      </c>
      <c r="BA3" s="4">
        <f>AZ3*1.04</f>
        <v>109.80313344000002</v>
      </c>
      <c r="BB3" s="4">
        <f>BA3*1.03</f>
        <v>113.09722744320003</v>
      </c>
      <c r="BC3" s="4">
        <f>BB3*1.02</f>
        <v>115.35917199206403</v>
      </c>
      <c r="BD3" s="4">
        <f>BC3*1.02</f>
        <v>117.66635543190532</v>
      </c>
      <c r="BE3" s="4">
        <f>BD3*1.02</f>
        <v>120.01968254054343</v>
      </c>
      <c r="BF3" s="4">
        <f>BE3*1.02</f>
        <v>122.4200761913543</v>
      </c>
    </row>
    <row r="4" spans="2:58" x14ac:dyDescent="0.3">
      <c r="B4" t="s">
        <v>80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6">
        <v>16.5</v>
      </c>
      <c r="AA4" s="6">
        <v>11.9</v>
      </c>
      <c r="AB4" s="6">
        <v>19.5</v>
      </c>
      <c r="AC4" s="6">
        <v>11.1</v>
      </c>
      <c r="AD4" s="6">
        <v>12.4</v>
      </c>
      <c r="AE4" s="6">
        <v>14.2</v>
      </c>
      <c r="AF4" s="6">
        <v>13.3</v>
      </c>
      <c r="AG4" s="6">
        <v>9.6999999999999993</v>
      </c>
      <c r="AH4" s="6">
        <v>10.4</v>
      </c>
      <c r="AI4" s="6">
        <v>1.9</v>
      </c>
      <c r="AJ4" s="6">
        <v>1.9</v>
      </c>
      <c r="AK4" s="6">
        <v>2</v>
      </c>
      <c r="AL4" s="6">
        <v>2</v>
      </c>
      <c r="AS4" s="4">
        <v>43.6</v>
      </c>
      <c r="AT4" s="4">
        <v>54.9</v>
      </c>
      <c r="AU4" s="4">
        <f>SUM(AE4:AH4)</f>
        <v>47.6</v>
      </c>
      <c r="AV4" s="4">
        <f>SUM(AI4:AL4)</f>
        <v>7.8</v>
      </c>
      <c r="AW4" s="4">
        <f t="shared" ref="AW4:BF4" si="0">AV4*0.98</f>
        <v>7.6440000000000001</v>
      </c>
      <c r="AX4" s="4">
        <f t="shared" si="0"/>
        <v>7.4911199999999996</v>
      </c>
      <c r="AY4" s="4">
        <f t="shared" si="0"/>
        <v>7.3412975999999999</v>
      </c>
      <c r="AZ4" s="4">
        <f t="shared" si="0"/>
        <v>7.1944716479999995</v>
      </c>
      <c r="BA4" s="4">
        <f t="shared" si="0"/>
        <v>7.0505822150399995</v>
      </c>
      <c r="BB4" s="4">
        <f t="shared" si="0"/>
        <v>6.9095705707391994</v>
      </c>
      <c r="BC4" s="4">
        <f t="shared" si="0"/>
        <v>6.7713791593244155</v>
      </c>
      <c r="BD4" s="4">
        <f t="shared" si="0"/>
        <v>6.6359515761379271</v>
      </c>
      <c r="BE4" s="4">
        <f t="shared" si="0"/>
        <v>6.5032325446151686</v>
      </c>
      <c r="BF4" s="4">
        <f t="shared" si="0"/>
        <v>6.3731678937228651</v>
      </c>
    </row>
    <row r="5" spans="2:58" x14ac:dyDescent="0.3">
      <c r="B5" t="s">
        <v>25</v>
      </c>
      <c r="C5" s="6">
        <v>38.799999999999997</v>
      </c>
      <c r="D5" s="6">
        <v>43.2</v>
      </c>
      <c r="E5" s="6">
        <v>42.8</v>
      </c>
      <c r="F5" s="6">
        <v>31.8</v>
      </c>
      <c r="G5" s="6">
        <v>28.9</v>
      </c>
      <c r="H5" s="6">
        <v>31.7</v>
      </c>
      <c r="I5" s="6">
        <v>34.6</v>
      </c>
      <c r="J5" s="6">
        <v>40.1</v>
      </c>
      <c r="K5" s="6">
        <v>32.799999999999997</v>
      </c>
      <c r="L5" s="6">
        <v>40</v>
      </c>
      <c r="M5" s="6">
        <v>45.9</v>
      </c>
      <c r="N5" s="6">
        <v>35.5</v>
      </c>
      <c r="O5" s="6">
        <v>40.4</v>
      </c>
      <c r="P5" s="6">
        <v>66.2</v>
      </c>
      <c r="Q5" s="6">
        <v>77.3</v>
      </c>
      <c r="R5" s="6">
        <v>72.099999999999994</v>
      </c>
      <c r="S5" s="6">
        <v>43</v>
      </c>
      <c r="T5" s="6">
        <v>51.8</v>
      </c>
      <c r="U5" s="6">
        <v>57</v>
      </c>
      <c r="V5" s="6">
        <v>66.2</v>
      </c>
      <c r="W5" s="6">
        <v>54.5</v>
      </c>
      <c r="X5" s="6">
        <v>55</v>
      </c>
      <c r="Y5" s="6">
        <v>62.6</v>
      </c>
      <c r="Z5" s="6">
        <f t="shared" ref="Z5:AF5" si="1">Z3+Z4</f>
        <v>38</v>
      </c>
      <c r="AA5" s="6">
        <f t="shared" si="1"/>
        <v>34.9</v>
      </c>
      <c r="AB5" s="6">
        <f t="shared" si="1"/>
        <v>38.4</v>
      </c>
      <c r="AC5" s="6">
        <f t="shared" si="1"/>
        <v>33.6</v>
      </c>
      <c r="AD5" s="6">
        <f t="shared" si="1"/>
        <v>28.4</v>
      </c>
      <c r="AE5" s="6">
        <f t="shared" si="1"/>
        <v>29.5</v>
      </c>
      <c r="AF5" s="6">
        <f t="shared" si="1"/>
        <v>39.200000000000003</v>
      </c>
      <c r="AG5" s="6">
        <f t="shared" ref="AG5:AL5" si="2">AG3+AG4</f>
        <v>42</v>
      </c>
      <c r="AH5" s="6">
        <f t="shared" si="2"/>
        <v>35.9</v>
      </c>
      <c r="AI5" s="6">
        <f t="shared" si="2"/>
        <v>19.7</v>
      </c>
      <c r="AJ5" s="6">
        <f t="shared" si="2"/>
        <v>19.7</v>
      </c>
      <c r="AK5" s="6">
        <f t="shared" si="2"/>
        <v>21</v>
      </c>
      <c r="AL5" s="6">
        <f t="shared" si="2"/>
        <v>21</v>
      </c>
      <c r="AN5" s="4">
        <f>SUM(C5:F5)</f>
        <v>156.6</v>
      </c>
      <c r="AO5" s="4">
        <f>SUM(G5:J5)</f>
        <v>135.29999999999998</v>
      </c>
      <c r="AP5" s="4">
        <f>SUM(K5:N5)</f>
        <v>154.19999999999999</v>
      </c>
      <c r="AQ5" s="4">
        <f>SUM(O5:R5)</f>
        <v>255.99999999999997</v>
      </c>
      <c r="AR5" s="4">
        <f>SUM(S5:V5)</f>
        <v>218</v>
      </c>
      <c r="AS5" s="4">
        <f>SUM(W5:Z5)</f>
        <v>210.1</v>
      </c>
      <c r="AT5" s="4">
        <f>SUM(AA5:AD5)</f>
        <v>135.30000000000001</v>
      </c>
      <c r="AU5" s="4">
        <f>SUM(AE5:AH5)</f>
        <v>146.6</v>
      </c>
      <c r="AV5" s="4">
        <f>AV3+AV4</f>
        <v>81.399999999999991</v>
      </c>
      <c r="AW5" s="4">
        <f t="shared" ref="AW5:BF5" si="3">AW3+AW4</f>
        <v>92.283999999999992</v>
      </c>
      <c r="AX5" s="4">
        <f t="shared" si="3"/>
        <v>100.59511999999999</v>
      </c>
      <c r="AY5" s="4">
        <f t="shared" si="3"/>
        <v>107.89361760000001</v>
      </c>
      <c r="AZ5" s="4">
        <f t="shared" si="3"/>
        <v>112.77440764800002</v>
      </c>
      <c r="BA5" s="4">
        <f t="shared" si="3"/>
        <v>116.85371565504002</v>
      </c>
      <c r="BB5" s="4">
        <f t="shared" si="3"/>
        <v>120.00679801393923</v>
      </c>
      <c r="BC5" s="4">
        <f t="shared" si="3"/>
        <v>122.13055115138845</v>
      </c>
      <c r="BD5" s="4">
        <f t="shared" si="3"/>
        <v>124.30230700804324</v>
      </c>
      <c r="BE5" s="4">
        <f t="shared" si="3"/>
        <v>126.5229150851586</v>
      </c>
      <c r="BF5" s="4">
        <f t="shared" si="3"/>
        <v>128.79324408507716</v>
      </c>
    </row>
    <row r="6" spans="2:58" x14ac:dyDescent="0.3">
      <c r="B6" t="s">
        <v>24</v>
      </c>
      <c r="C6" s="6">
        <v>16.600000000000001</v>
      </c>
      <c r="D6" s="6">
        <v>16.7</v>
      </c>
      <c r="E6" s="6">
        <v>14.7</v>
      </c>
      <c r="F6" s="6">
        <v>14.8</v>
      </c>
      <c r="G6" s="6">
        <v>17.899999999999999</v>
      </c>
      <c r="H6" s="6">
        <v>17.3</v>
      </c>
      <c r="I6" s="6">
        <v>16</v>
      </c>
      <c r="J6" s="6">
        <v>16</v>
      </c>
      <c r="K6" s="6">
        <v>15.8</v>
      </c>
      <c r="L6" s="6">
        <v>16</v>
      </c>
      <c r="M6" s="6">
        <v>16.8</v>
      </c>
      <c r="N6" s="6">
        <v>16.899999999999999</v>
      </c>
      <c r="O6" s="6">
        <v>16.5</v>
      </c>
      <c r="P6" s="6">
        <v>14.4</v>
      </c>
      <c r="Q6" s="6">
        <v>12.9</v>
      </c>
      <c r="R6" s="6">
        <v>14</v>
      </c>
      <c r="S6" s="6">
        <v>14.6</v>
      </c>
      <c r="T6" s="6">
        <v>13.9</v>
      </c>
      <c r="U6" s="6">
        <v>9.1999999999999993</v>
      </c>
      <c r="V6" s="6">
        <v>6.7</v>
      </c>
      <c r="W6" s="6">
        <v>6.9</v>
      </c>
      <c r="X6" s="6">
        <v>6.7</v>
      </c>
      <c r="Y6" s="6">
        <v>6.5</v>
      </c>
      <c r="Z6" s="6">
        <v>15</v>
      </c>
      <c r="AA6" s="6">
        <v>15.9</v>
      </c>
      <c r="AB6" s="6">
        <v>15.2</v>
      </c>
      <c r="AC6" s="6">
        <v>7.2</v>
      </c>
      <c r="AD6" s="6">
        <v>14.3</v>
      </c>
      <c r="AE6" s="6">
        <v>15.6</v>
      </c>
      <c r="AF6" s="6">
        <v>20</v>
      </c>
      <c r="AG6" s="6">
        <v>12</v>
      </c>
      <c r="AH6" s="6">
        <v>12.2</v>
      </c>
      <c r="AI6" s="6">
        <v>12</v>
      </c>
      <c r="AJ6" s="6">
        <v>12</v>
      </c>
      <c r="AK6" s="6">
        <f>AG6*1.1</f>
        <v>13.200000000000001</v>
      </c>
      <c r="AL6" s="6">
        <f>AH6*1.1</f>
        <v>13.42</v>
      </c>
      <c r="AN6" s="4">
        <f>SUM(C6:F6)</f>
        <v>62.8</v>
      </c>
      <c r="AO6" s="4">
        <f>SUM(G6:J6)</f>
        <v>67.2</v>
      </c>
      <c r="AP6" s="4">
        <f>SUM(K6:N6)</f>
        <v>65.5</v>
      </c>
      <c r="AQ6" s="4">
        <f>SUM(O6:R6)</f>
        <v>57.8</v>
      </c>
      <c r="AR6" s="4">
        <f>SUM(S6:V6)</f>
        <v>44.400000000000006</v>
      </c>
      <c r="AS6" s="4">
        <f>SUM(W6:Z6)</f>
        <v>35.1</v>
      </c>
      <c r="AT6" s="4">
        <f>SUM(AA6:AD6)</f>
        <v>52.600000000000009</v>
      </c>
      <c r="AU6" s="4">
        <f>SUM(AE6:AH6)</f>
        <v>59.8</v>
      </c>
      <c r="AV6" s="4">
        <f>SUM(AI6:AL6)</f>
        <v>50.620000000000005</v>
      </c>
      <c r="AW6" s="4">
        <f>AV6*1.15</f>
        <v>58.213000000000001</v>
      </c>
      <c r="AX6" s="4">
        <f>AW6*1.09</f>
        <v>63.452170000000002</v>
      </c>
      <c r="AY6" s="4">
        <f>AX6*1.06</f>
        <v>67.259300200000013</v>
      </c>
      <c r="AZ6" s="4">
        <f>AY6*1.05</f>
        <v>70.622265210000023</v>
      </c>
      <c r="BA6" s="4">
        <f>AZ6*1.03</f>
        <v>72.740933166300024</v>
      </c>
      <c r="BB6" s="4">
        <f t="shared" ref="BB6:BF6" si="4">BA6*1.02</f>
        <v>74.195751829626033</v>
      </c>
      <c r="BC6" s="4">
        <f t="shared" si="4"/>
        <v>75.679666866218554</v>
      </c>
      <c r="BD6" s="4">
        <f t="shared" si="4"/>
        <v>77.19326020354292</v>
      </c>
      <c r="BE6" s="4">
        <f t="shared" si="4"/>
        <v>78.737125407613775</v>
      </c>
      <c r="BF6" s="4">
        <f t="shared" si="4"/>
        <v>80.311867915766058</v>
      </c>
    </row>
    <row r="7" spans="2:58" s="1" customFormat="1" x14ac:dyDescent="0.3">
      <c r="B7" s="1" t="s">
        <v>11</v>
      </c>
      <c r="C7" s="7">
        <f t="shared" ref="C7:P7" si="5">C5+C6</f>
        <v>55.4</v>
      </c>
      <c r="D7" s="7">
        <f t="shared" si="5"/>
        <v>59.900000000000006</v>
      </c>
      <c r="E7" s="7">
        <f t="shared" si="5"/>
        <v>57.5</v>
      </c>
      <c r="F7" s="7">
        <f t="shared" si="5"/>
        <v>46.6</v>
      </c>
      <c r="G7" s="7">
        <f t="shared" si="5"/>
        <v>46.8</v>
      </c>
      <c r="H7" s="7">
        <f t="shared" si="5"/>
        <v>49</v>
      </c>
      <c r="I7" s="7">
        <f t="shared" si="5"/>
        <v>50.6</v>
      </c>
      <c r="J7" s="7">
        <f t="shared" si="5"/>
        <v>56.1</v>
      </c>
      <c r="K7" s="7">
        <f t="shared" si="5"/>
        <v>48.599999999999994</v>
      </c>
      <c r="L7" s="7">
        <f t="shared" si="5"/>
        <v>56</v>
      </c>
      <c r="M7" s="7">
        <f t="shared" si="5"/>
        <v>62.7</v>
      </c>
      <c r="N7" s="7">
        <f t="shared" si="5"/>
        <v>52.4</v>
      </c>
      <c r="O7" s="7">
        <f t="shared" si="5"/>
        <v>56.9</v>
      </c>
      <c r="P7" s="7">
        <f t="shared" si="5"/>
        <v>80.600000000000009</v>
      </c>
      <c r="Q7" s="7">
        <f t="shared" ref="Q7:U7" si="6">Q5+Q6</f>
        <v>90.2</v>
      </c>
      <c r="R7" s="7">
        <f t="shared" si="6"/>
        <v>86.1</v>
      </c>
      <c r="S7" s="7">
        <f t="shared" si="6"/>
        <v>57.6</v>
      </c>
      <c r="T7" s="7">
        <f t="shared" ref="T7" si="7">T5+T6</f>
        <v>65.7</v>
      </c>
      <c r="U7" s="7">
        <f t="shared" si="6"/>
        <v>66.2</v>
      </c>
      <c r="V7" s="7">
        <f t="shared" ref="V7:W7" si="8">V5+V6</f>
        <v>72.900000000000006</v>
      </c>
      <c r="W7" s="7">
        <f t="shared" si="8"/>
        <v>61.4</v>
      </c>
      <c r="X7" s="7">
        <f t="shared" ref="X7:Y7" si="9">X5+X6</f>
        <v>61.7</v>
      </c>
      <c r="Y7" s="7">
        <f t="shared" si="9"/>
        <v>69.099999999999994</v>
      </c>
      <c r="Z7" s="7">
        <f t="shared" ref="Z7" si="10">Z5+Z6</f>
        <v>53</v>
      </c>
      <c r="AA7" s="7">
        <f t="shared" ref="AA7" si="11">AA5+AA6</f>
        <v>50.8</v>
      </c>
      <c r="AB7" s="7">
        <f t="shared" ref="AB7:AC7" si="12">AB5+AB6</f>
        <v>53.599999999999994</v>
      </c>
      <c r="AC7" s="7">
        <f t="shared" si="12"/>
        <v>40.800000000000004</v>
      </c>
      <c r="AD7" s="7">
        <f t="shared" ref="AD7" si="13">AD5+AD6</f>
        <v>42.7</v>
      </c>
      <c r="AE7" s="7">
        <f t="shared" ref="AE7" si="14">AE5+AE6</f>
        <v>45.1</v>
      </c>
      <c r="AF7" s="7">
        <f t="shared" ref="AF7:AL7" si="15">AF5+AF6</f>
        <v>59.2</v>
      </c>
      <c r="AG7" s="7">
        <f t="shared" si="15"/>
        <v>54</v>
      </c>
      <c r="AH7" s="7">
        <f t="shared" si="15"/>
        <v>48.099999999999994</v>
      </c>
      <c r="AI7" s="7">
        <f t="shared" si="15"/>
        <v>31.7</v>
      </c>
      <c r="AJ7" s="7">
        <f t="shared" si="15"/>
        <v>31.7</v>
      </c>
      <c r="AK7" s="7">
        <f t="shared" si="15"/>
        <v>34.200000000000003</v>
      </c>
      <c r="AL7" s="7">
        <f t="shared" si="15"/>
        <v>34.42</v>
      </c>
      <c r="AN7" s="7">
        <f>AN5+AN6</f>
        <v>219.39999999999998</v>
      </c>
      <c r="AO7" s="7">
        <f>AO5+AO6</f>
        <v>202.5</v>
      </c>
      <c r="AP7" s="7">
        <f>AP5+AP6</f>
        <v>219.7</v>
      </c>
      <c r="AQ7" s="7">
        <f>AQ5+AQ6</f>
        <v>313.79999999999995</v>
      </c>
      <c r="AR7" s="7">
        <f t="shared" ref="AR7:BA7" si="16">AR5+AR6</f>
        <v>262.39999999999998</v>
      </c>
      <c r="AS7" s="7">
        <f t="shared" si="16"/>
        <v>245.2</v>
      </c>
      <c r="AT7" s="7">
        <f t="shared" si="16"/>
        <v>187.90000000000003</v>
      </c>
      <c r="AU7" s="7">
        <f t="shared" si="16"/>
        <v>206.39999999999998</v>
      </c>
      <c r="AV7" s="7">
        <f t="shared" si="16"/>
        <v>132.01999999999998</v>
      </c>
      <c r="AW7" s="7">
        <f t="shared" si="16"/>
        <v>150.49699999999999</v>
      </c>
      <c r="AX7" s="7">
        <f t="shared" si="16"/>
        <v>164.04729</v>
      </c>
      <c r="AY7" s="7">
        <f t="shared" si="16"/>
        <v>175.15291780000001</v>
      </c>
      <c r="AZ7" s="7">
        <f t="shared" si="16"/>
        <v>183.39667285800004</v>
      </c>
      <c r="BA7" s="7">
        <f t="shared" si="16"/>
        <v>189.59464882134006</v>
      </c>
      <c r="BB7" s="7">
        <f t="shared" ref="BB7:BF7" si="17">BB5+BB6</f>
        <v>194.20254984356527</v>
      </c>
      <c r="BC7" s="7">
        <f t="shared" si="17"/>
        <v>197.81021801760699</v>
      </c>
      <c r="BD7" s="7">
        <f t="shared" si="17"/>
        <v>201.49556721158615</v>
      </c>
      <c r="BE7" s="7">
        <f t="shared" si="17"/>
        <v>205.26004049277236</v>
      </c>
      <c r="BF7" s="7">
        <f t="shared" si="17"/>
        <v>209.10511200084323</v>
      </c>
    </row>
    <row r="8" spans="2:58" x14ac:dyDescent="0.3">
      <c r="B8" t="s">
        <v>25</v>
      </c>
      <c r="C8" s="4">
        <v>32</v>
      </c>
      <c r="D8" s="4">
        <v>35.6</v>
      </c>
      <c r="E8" s="4">
        <v>37.299999999999997</v>
      </c>
      <c r="F8" s="4">
        <v>26.7</v>
      </c>
      <c r="G8" s="4">
        <v>23.8</v>
      </c>
      <c r="H8" s="4">
        <v>24.6</v>
      </c>
      <c r="I8" s="4">
        <v>26.8</v>
      </c>
      <c r="J8" s="4">
        <v>30.2</v>
      </c>
      <c r="K8" s="4">
        <v>27.6</v>
      </c>
      <c r="L8" s="4">
        <v>34</v>
      </c>
      <c r="M8" s="4">
        <v>37.9</v>
      </c>
      <c r="N8" s="4">
        <v>30.5</v>
      </c>
      <c r="O8" s="4">
        <v>32.9</v>
      </c>
      <c r="P8" s="4">
        <v>53.2</v>
      </c>
      <c r="Q8" s="4">
        <v>60.1</v>
      </c>
      <c r="R8" s="4">
        <v>54</v>
      </c>
      <c r="S8" s="4">
        <v>33.4</v>
      </c>
      <c r="T8" s="4">
        <v>39.700000000000003</v>
      </c>
      <c r="U8" s="4">
        <v>43.6</v>
      </c>
      <c r="V8" s="4">
        <v>51.8</v>
      </c>
      <c r="W8" s="4">
        <v>42.9</v>
      </c>
      <c r="X8" s="4">
        <v>40.700000000000003</v>
      </c>
      <c r="Y8" s="4">
        <v>48.2</v>
      </c>
      <c r="Z8" s="4">
        <v>33</v>
      </c>
      <c r="AA8" s="4">
        <v>28</v>
      </c>
      <c r="AB8" s="4">
        <v>30.6</v>
      </c>
      <c r="AC8" s="4">
        <v>43.6</v>
      </c>
      <c r="AD8" s="4">
        <v>26</v>
      </c>
      <c r="AE8" s="4">
        <v>22.7</v>
      </c>
      <c r="AF8" s="4">
        <v>30.5</v>
      </c>
      <c r="AG8" s="4">
        <v>33.6</v>
      </c>
      <c r="AH8" s="4">
        <v>28.6</v>
      </c>
      <c r="AI8" s="4">
        <v>15.4</v>
      </c>
      <c r="AJ8" s="4">
        <v>15.4</v>
      </c>
      <c r="AK8" s="4">
        <f>AK5*0.8</f>
        <v>16.8</v>
      </c>
      <c r="AL8" s="4">
        <f>AL5*0.8</f>
        <v>16.8</v>
      </c>
      <c r="AN8" s="4">
        <f>SUM(C8:F8)</f>
        <v>131.6</v>
      </c>
      <c r="AO8" s="4">
        <f>SUM(G8:J8)</f>
        <v>105.4</v>
      </c>
      <c r="AP8" s="4">
        <f>SUM(K8:N8)</f>
        <v>130</v>
      </c>
      <c r="AQ8" s="4">
        <f>SUM(O8:R8)</f>
        <v>200.2</v>
      </c>
      <c r="AR8" s="4">
        <f>SUM(S8:V8)</f>
        <v>168.5</v>
      </c>
      <c r="AS8" s="4">
        <f>SUM(W8:Z8)</f>
        <v>164.8</v>
      </c>
      <c r="AT8" s="4">
        <f>SUM(AA8:AD8)</f>
        <v>128.19999999999999</v>
      </c>
      <c r="AU8" s="4">
        <f>SUM(AE8:AH8)</f>
        <v>115.4</v>
      </c>
      <c r="AV8" s="4">
        <f>SUM(AI8:AL8)</f>
        <v>64.400000000000006</v>
      </c>
      <c r="AW8" s="4">
        <f t="shared" ref="AW8:BF8" si="18">AW5*0.79</f>
        <v>72.904359999999997</v>
      </c>
      <c r="AX8" s="4">
        <f t="shared" si="18"/>
        <v>79.4701448</v>
      </c>
      <c r="AY8" s="4">
        <f t="shared" si="18"/>
        <v>85.235957904000017</v>
      </c>
      <c r="AZ8" s="4">
        <f t="shared" si="18"/>
        <v>89.091782041920027</v>
      </c>
      <c r="BA8" s="4">
        <f t="shared" si="18"/>
        <v>92.314435367481622</v>
      </c>
      <c r="BB8" s="4">
        <f t="shared" si="18"/>
        <v>94.805370431011994</v>
      </c>
      <c r="BC8" s="4">
        <f t="shared" si="18"/>
        <v>96.483135409596869</v>
      </c>
      <c r="BD8" s="4">
        <f t="shared" si="18"/>
        <v>98.198822536354172</v>
      </c>
      <c r="BE8" s="4">
        <f t="shared" si="18"/>
        <v>99.953102917275302</v>
      </c>
      <c r="BF8" s="4">
        <f t="shared" si="18"/>
        <v>101.74666282721097</v>
      </c>
    </row>
    <row r="9" spans="2:58" x14ac:dyDescent="0.3">
      <c r="B9" t="s">
        <v>24</v>
      </c>
      <c r="C9" s="6">
        <v>7.2</v>
      </c>
      <c r="D9" s="6">
        <v>5.7</v>
      </c>
      <c r="E9" s="6">
        <f>3.7+0.1</f>
        <v>3.8000000000000003</v>
      </c>
      <c r="F9" s="6">
        <f>4-1.8</f>
        <v>2.2000000000000002</v>
      </c>
      <c r="G9" s="6">
        <v>6.9</v>
      </c>
      <c r="H9" s="6">
        <v>7</v>
      </c>
      <c r="I9" s="6">
        <v>6.2</v>
      </c>
      <c r="J9" s="6">
        <v>6.1</v>
      </c>
      <c r="K9" s="6">
        <v>6.2</v>
      </c>
      <c r="L9" s="6">
        <v>6.4</v>
      </c>
      <c r="M9" s="6">
        <v>6.2</v>
      </c>
      <c r="N9" s="6">
        <v>6.8</v>
      </c>
      <c r="O9" s="6">
        <v>6.8</v>
      </c>
      <c r="P9" s="6">
        <v>5.5</v>
      </c>
      <c r="Q9" s="4">
        <v>4.9000000000000004</v>
      </c>
      <c r="R9" s="4">
        <v>5.6</v>
      </c>
      <c r="S9" s="4">
        <v>5.7</v>
      </c>
      <c r="T9" s="4">
        <v>5.6</v>
      </c>
      <c r="U9" s="4">
        <v>3.7</v>
      </c>
      <c r="V9" s="4">
        <v>2.9</v>
      </c>
      <c r="W9" s="4">
        <v>3.2</v>
      </c>
      <c r="X9" s="4">
        <v>3.3</v>
      </c>
      <c r="Y9" s="4">
        <v>3</v>
      </c>
      <c r="Z9" s="4">
        <v>4.0999999999999996</v>
      </c>
      <c r="AA9" s="4">
        <v>4.5999999999999996</v>
      </c>
      <c r="AB9" s="4">
        <v>5</v>
      </c>
      <c r="AC9" s="4">
        <v>3.1</v>
      </c>
      <c r="AD9" s="4">
        <v>3.5</v>
      </c>
      <c r="AE9" s="4">
        <v>4.9000000000000004</v>
      </c>
      <c r="AF9" s="4">
        <v>5.6</v>
      </c>
      <c r="AG9" s="4">
        <v>1.6</v>
      </c>
      <c r="AH9" s="4">
        <v>1.6</v>
      </c>
      <c r="AI9" s="4">
        <v>1.3</v>
      </c>
      <c r="AJ9" s="4">
        <v>1.3</v>
      </c>
      <c r="AK9" s="4">
        <f>AK6*0.11</f>
        <v>1.4520000000000002</v>
      </c>
      <c r="AL9" s="4">
        <f>AL6*0.11</f>
        <v>1.4762</v>
      </c>
      <c r="AN9" s="4">
        <f>SUM(C9:F9)</f>
        <v>18.899999999999999</v>
      </c>
      <c r="AO9" s="4">
        <f>SUM(G9:J9)</f>
        <v>26.200000000000003</v>
      </c>
      <c r="AP9" s="4">
        <f>SUM(K9:N9)</f>
        <v>25.6</v>
      </c>
      <c r="AQ9" s="4">
        <f>SUM(O9:R9)</f>
        <v>22.800000000000004</v>
      </c>
      <c r="AR9" s="4">
        <f>SUM(S9:V9)</f>
        <v>17.899999999999999</v>
      </c>
      <c r="AS9" s="4">
        <f>SUM(W9:Z9)</f>
        <v>13.6</v>
      </c>
      <c r="AT9" s="4">
        <f>SUM(AA9:AD9)</f>
        <v>16.2</v>
      </c>
      <c r="AU9" s="4">
        <f>SUM(AE9:AH9)</f>
        <v>13.7</v>
      </c>
      <c r="AV9" s="4">
        <f>SUM(AI9:AL9)</f>
        <v>5.5282</v>
      </c>
      <c r="AW9" s="4">
        <f t="shared" ref="AW9:BF9" si="19">AW6*0.25</f>
        <v>14.55325</v>
      </c>
      <c r="AX9" s="4">
        <f t="shared" si="19"/>
        <v>15.863042500000001</v>
      </c>
      <c r="AY9" s="4">
        <f t="shared" si="19"/>
        <v>16.814825050000003</v>
      </c>
      <c r="AZ9" s="4">
        <f t="shared" si="19"/>
        <v>17.655566302500006</v>
      </c>
      <c r="BA9" s="4">
        <f t="shared" si="19"/>
        <v>18.185233291575006</v>
      </c>
      <c r="BB9" s="4">
        <f t="shared" si="19"/>
        <v>18.548937957406508</v>
      </c>
      <c r="BC9" s="4">
        <f t="shared" si="19"/>
        <v>18.919916716554638</v>
      </c>
      <c r="BD9" s="4">
        <f t="shared" si="19"/>
        <v>19.29831505088573</v>
      </c>
      <c r="BE9" s="4">
        <f t="shared" si="19"/>
        <v>19.684281351903444</v>
      </c>
      <c r="BF9" s="4">
        <f t="shared" si="19"/>
        <v>20.077966978941514</v>
      </c>
    </row>
    <row r="10" spans="2:58" x14ac:dyDescent="0.3">
      <c r="B10" t="s">
        <v>23</v>
      </c>
      <c r="C10" s="4">
        <f t="shared" ref="C10:P10" si="20">C8+C9</f>
        <v>39.200000000000003</v>
      </c>
      <c r="D10" s="4">
        <f t="shared" si="20"/>
        <v>41.300000000000004</v>
      </c>
      <c r="E10" s="4">
        <f t="shared" si="20"/>
        <v>41.099999999999994</v>
      </c>
      <c r="F10" s="4">
        <f t="shared" si="20"/>
        <v>28.9</v>
      </c>
      <c r="G10" s="4">
        <f t="shared" si="20"/>
        <v>30.700000000000003</v>
      </c>
      <c r="H10" s="4">
        <f t="shared" si="20"/>
        <v>31.6</v>
      </c>
      <c r="I10" s="4">
        <f t="shared" si="20"/>
        <v>33</v>
      </c>
      <c r="J10" s="4">
        <f t="shared" si="20"/>
        <v>36.299999999999997</v>
      </c>
      <c r="K10" s="4">
        <f t="shared" si="20"/>
        <v>33.800000000000004</v>
      </c>
      <c r="L10" s="4">
        <f t="shared" si="20"/>
        <v>40.4</v>
      </c>
      <c r="M10" s="4">
        <f t="shared" si="20"/>
        <v>44.1</v>
      </c>
      <c r="N10" s="4">
        <f t="shared" si="20"/>
        <v>37.299999999999997</v>
      </c>
      <c r="O10" s="4">
        <f t="shared" si="20"/>
        <v>39.699999999999996</v>
      </c>
      <c r="P10" s="4">
        <f t="shared" si="20"/>
        <v>58.7</v>
      </c>
      <c r="Q10" s="4">
        <f t="shared" ref="Q10:U10" si="21">Q8+Q9</f>
        <v>65</v>
      </c>
      <c r="R10" s="4">
        <f t="shared" si="21"/>
        <v>59.6</v>
      </c>
      <c r="S10" s="4">
        <f t="shared" si="21"/>
        <v>39.1</v>
      </c>
      <c r="T10" s="4">
        <f t="shared" ref="T10" si="22">T8+T9</f>
        <v>45.300000000000004</v>
      </c>
      <c r="U10" s="4">
        <f t="shared" si="21"/>
        <v>47.300000000000004</v>
      </c>
      <c r="V10" s="4">
        <f t="shared" ref="V10:W10" si="23">V8+V9</f>
        <v>54.699999999999996</v>
      </c>
      <c r="W10" s="4">
        <f t="shared" si="23"/>
        <v>46.1</v>
      </c>
      <c r="X10" s="4">
        <f t="shared" ref="X10:Y10" si="24">X8+X9</f>
        <v>44</v>
      </c>
      <c r="Y10" s="4">
        <f t="shared" si="24"/>
        <v>51.2</v>
      </c>
      <c r="Z10" s="4">
        <f t="shared" ref="Z10" si="25">Z8+Z9</f>
        <v>37.1</v>
      </c>
      <c r="AA10" s="4">
        <f t="shared" ref="AA10" si="26">AA8+AA9</f>
        <v>32.6</v>
      </c>
      <c r="AB10" s="4">
        <f t="shared" ref="AB10:AC10" si="27">AB8+AB9</f>
        <v>35.6</v>
      </c>
      <c r="AC10" s="4">
        <f t="shared" si="27"/>
        <v>46.7</v>
      </c>
      <c r="AD10" s="4">
        <f t="shared" ref="AD10" si="28">AD8+AD9</f>
        <v>29.5</v>
      </c>
      <c r="AE10" s="4">
        <f t="shared" ref="AE10" si="29">AE8+AE9</f>
        <v>27.6</v>
      </c>
      <c r="AF10" s="4">
        <f t="shared" ref="AF10:AH10" si="30">AF8+AF9</f>
        <v>36.1</v>
      </c>
      <c r="AG10" s="4">
        <f t="shared" si="30"/>
        <v>35.200000000000003</v>
      </c>
      <c r="AH10" s="4">
        <f t="shared" si="30"/>
        <v>30.200000000000003</v>
      </c>
      <c r="AI10" s="4">
        <f t="shared" ref="AI10:AL10" si="31">AI8+AI9</f>
        <v>16.7</v>
      </c>
      <c r="AJ10" s="4">
        <f t="shared" si="31"/>
        <v>16.7</v>
      </c>
      <c r="AK10" s="4">
        <f t="shared" si="31"/>
        <v>18.252000000000002</v>
      </c>
      <c r="AL10" s="4">
        <f t="shared" si="31"/>
        <v>18.276199999999999</v>
      </c>
      <c r="AN10" s="4">
        <f>AN8+AN9</f>
        <v>150.5</v>
      </c>
      <c r="AO10" s="4">
        <f>AO8+AO9</f>
        <v>131.60000000000002</v>
      </c>
      <c r="AP10" s="4">
        <f>AP8+AP9</f>
        <v>155.6</v>
      </c>
      <c r="AQ10" s="4">
        <f>AQ8+AQ9</f>
        <v>223</v>
      </c>
      <c r="AR10" s="4">
        <f t="shared" ref="AR10:BA10" si="32">AR8+AR9</f>
        <v>186.4</v>
      </c>
      <c r="AS10" s="4">
        <f t="shared" si="32"/>
        <v>178.4</v>
      </c>
      <c r="AT10" s="4">
        <f t="shared" si="32"/>
        <v>144.39999999999998</v>
      </c>
      <c r="AU10" s="4">
        <f t="shared" si="32"/>
        <v>129.1</v>
      </c>
      <c r="AV10" s="4">
        <f t="shared" si="32"/>
        <v>69.928200000000004</v>
      </c>
      <c r="AW10" s="4">
        <f t="shared" si="32"/>
        <v>87.457610000000003</v>
      </c>
      <c r="AX10" s="4">
        <f t="shared" si="32"/>
        <v>95.333187300000006</v>
      </c>
      <c r="AY10" s="4">
        <f t="shared" si="32"/>
        <v>102.05078295400003</v>
      </c>
      <c r="AZ10" s="4">
        <f t="shared" si="32"/>
        <v>106.74734834442003</v>
      </c>
      <c r="BA10" s="4">
        <f t="shared" si="32"/>
        <v>110.49966865905662</v>
      </c>
      <c r="BB10" s="4">
        <f t="shared" ref="BB10:BF10" si="33">BB8+BB9</f>
        <v>113.3543083884185</v>
      </c>
      <c r="BC10" s="4">
        <f t="shared" si="33"/>
        <v>115.40305212615151</v>
      </c>
      <c r="BD10" s="4">
        <f t="shared" si="33"/>
        <v>117.49713758723991</v>
      </c>
      <c r="BE10" s="4">
        <f t="shared" si="33"/>
        <v>119.63738426917874</v>
      </c>
      <c r="BF10" s="4">
        <f t="shared" si="33"/>
        <v>121.82462980615249</v>
      </c>
    </row>
    <row r="11" spans="2:58" s="1" customFormat="1" x14ac:dyDescent="0.3">
      <c r="B11" s="1" t="s">
        <v>26</v>
      </c>
      <c r="C11" s="7">
        <f t="shared" ref="C11:P11" si="34">C7-C10</f>
        <v>16.199999999999996</v>
      </c>
      <c r="D11" s="7">
        <f t="shared" si="34"/>
        <v>18.600000000000001</v>
      </c>
      <c r="E11" s="7">
        <f t="shared" si="34"/>
        <v>16.400000000000006</v>
      </c>
      <c r="F11" s="7">
        <f t="shared" si="34"/>
        <v>17.700000000000003</v>
      </c>
      <c r="G11" s="7">
        <f t="shared" si="34"/>
        <v>16.099999999999994</v>
      </c>
      <c r="H11" s="7">
        <f t="shared" si="34"/>
        <v>17.399999999999999</v>
      </c>
      <c r="I11" s="7">
        <f t="shared" si="34"/>
        <v>17.600000000000001</v>
      </c>
      <c r="J11" s="7">
        <f t="shared" si="34"/>
        <v>19.800000000000004</v>
      </c>
      <c r="K11" s="7">
        <f t="shared" si="34"/>
        <v>14.79999999999999</v>
      </c>
      <c r="L11" s="7">
        <f t="shared" si="34"/>
        <v>15.600000000000001</v>
      </c>
      <c r="M11" s="7">
        <f t="shared" si="34"/>
        <v>18.600000000000001</v>
      </c>
      <c r="N11" s="7">
        <f t="shared" si="34"/>
        <v>15.100000000000001</v>
      </c>
      <c r="O11" s="7">
        <f t="shared" si="34"/>
        <v>17.200000000000003</v>
      </c>
      <c r="P11" s="7">
        <f t="shared" si="34"/>
        <v>21.900000000000006</v>
      </c>
      <c r="Q11" s="7">
        <f t="shared" ref="Q11:U11" si="35">Q7-Q10</f>
        <v>25.200000000000003</v>
      </c>
      <c r="R11" s="7">
        <f t="shared" si="35"/>
        <v>26.499999999999993</v>
      </c>
      <c r="S11" s="7">
        <f t="shared" si="35"/>
        <v>18.5</v>
      </c>
      <c r="T11" s="7">
        <f t="shared" ref="T11" si="36">T7-T10</f>
        <v>20.399999999999999</v>
      </c>
      <c r="U11" s="7">
        <f t="shared" si="35"/>
        <v>18.899999999999999</v>
      </c>
      <c r="V11" s="7">
        <f t="shared" ref="V11:W11" si="37">V7-V10</f>
        <v>18.20000000000001</v>
      </c>
      <c r="W11" s="7">
        <f t="shared" si="37"/>
        <v>15.299999999999997</v>
      </c>
      <c r="X11" s="7">
        <f t="shared" ref="X11:Y11" si="38">X7-X10</f>
        <v>17.700000000000003</v>
      </c>
      <c r="Y11" s="7">
        <f t="shared" si="38"/>
        <v>17.899999999999991</v>
      </c>
      <c r="Z11" s="7">
        <f t="shared" ref="Z11" si="39">Z7-Z10</f>
        <v>15.899999999999999</v>
      </c>
      <c r="AA11" s="7">
        <f t="shared" ref="AA11" si="40">AA7-AA10</f>
        <v>18.199999999999996</v>
      </c>
      <c r="AB11" s="7">
        <f t="shared" ref="AB11:AC11" si="41">AB7-AB10</f>
        <v>17.999999999999993</v>
      </c>
      <c r="AC11" s="7">
        <f t="shared" si="41"/>
        <v>-5.8999999999999986</v>
      </c>
      <c r="AD11" s="7">
        <f t="shared" ref="AD11" si="42">AD7-AD10</f>
        <v>13.200000000000003</v>
      </c>
      <c r="AE11" s="7">
        <f t="shared" ref="AE11" si="43">AE7-AE10</f>
        <v>17.5</v>
      </c>
      <c r="AF11" s="7">
        <f t="shared" ref="AF11:AH11" si="44">AF7-AF10</f>
        <v>23.1</v>
      </c>
      <c r="AG11" s="7">
        <f t="shared" si="44"/>
        <v>18.799999999999997</v>
      </c>
      <c r="AH11" s="7">
        <f t="shared" si="44"/>
        <v>17.899999999999991</v>
      </c>
      <c r="AI11" s="7">
        <f t="shared" ref="AI11:AL11" si="45">AI7-AI10</f>
        <v>15</v>
      </c>
      <c r="AJ11" s="7">
        <f t="shared" si="45"/>
        <v>15</v>
      </c>
      <c r="AK11" s="7">
        <f t="shared" si="45"/>
        <v>15.948</v>
      </c>
      <c r="AL11" s="7">
        <f t="shared" si="45"/>
        <v>16.143800000000002</v>
      </c>
      <c r="AN11" s="7">
        <f>AN7-AN10</f>
        <v>68.899999999999977</v>
      </c>
      <c r="AO11" s="7">
        <f>AO7-AO10</f>
        <v>70.899999999999977</v>
      </c>
      <c r="AP11" s="7">
        <f>AP7-AP10</f>
        <v>64.099999999999994</v>
      </c>
      <c r="AQ11" s="7">
        <f>AQ7-AQ10</f>
        <v>90.799999999999955</v>
      </c>
      <c r="AR11" s="7">
        <f t="shared" ref="AR11:BA11" si="46">AR7-AR10</f>
        <v>75.999999999999972</v>
      </c>
      <c r="AS11" s="7">
        <f t="shared" si="46"/>
        <v>66.799999999999983</v>
      </c>
      <c r="AT11" s="7">
        <f t="shared" si="46"/>
        <v>43.500000000000057</v>
      </c>
      <c r="AU11" s="7">
        <f t="shared" si="46"/>
        <v>77.299999999999983</v>
      </c>
      <c r="AV11" s="7">
        <f t="shared" si="46"/>
        <v>62.091799999999978</v>
      </c>
      <c r="AW11" s="7">
        <f t="shared" si="46"/>
        <v>63.039389999999983</v>
      </c>
      <c r="AX11" s="7">
        <f t="shared" si="46"/>
        <v>68.714102699999998</v>
      </c>
      <c r="AY11" s="7">
        <f t="shared" si="46"/>
        <v>73.102134845999984</v>
      </c>
      <c r="AZ11" s="7">
        <f t="shared" si="46"/>
        <v>76.649324513580012</v>
      </c>
      <c r="BA11" s="7">
        <f t="shared" si="46"/>
        <v>79.094980162283434</v>
      </c>
      <c r="BB11" s="7">
        <f t="shared" ref="BB11:BF11" si="47">BB7-BB10</f>
        <v>80.848241455146763</v>
      </c>
      <c r="BC11" s="7">
        <f t="shared" si="47"/>
        <v>82.407165891455477</v>
      </c>
      <c r="BD11" s="7">
        <f t="shared" si="47"/>
        <v>83.998429624346244</v>
      </c>
      <c r="BE11" s="7">
        <f t="shared" si="47"/>
        <v>85.622656223593623</v>
      </c>
      <c r="BF11" s="7">
        <f t="shared" si="47"/>
        <v>87.280482194690748</v>
      </c>
    </row>
    <row r="12" spans="2:58" x14ac:dyDescent="0.3">
      <c r="B12" t="s">
        <v>27</v>
      </c>
      <c r="C12" s="4">
        <v>6.3</v>
      </c>
      <c r="D12" s="4">
        <v>5.4</v>
      </c>
      <c r="E12" s="4">
        <v>5.0999999999999996</v>
      </c>
      <c r="F12" s="4">
        <v>4.5999999999999996</v>
      </c>
      <c r="G12" s="4">
        <v>5</v>
      </c>
      <c r="H12" s="4">
        <v>5</v>
      </c>
      <c r="I12" s="4">
        <v>5.3</v>
      </c>
      <c r="J12" s="4">
        <v>5.3</v>
      </c>
      <c r="K12" s="4">
        <v>3.5</v>
      </c>
      <c r="L12" s="4">
        <v>5.2</v>
      </c>
      <c r="M12" s="4">
        <v>6.7</v>
      </c>
      <c r="N12" s="4">
        <v>8.5</v>
      </c>
      <c r="O12" s="4">
        <v>8.1999999999999993</v>
      </c>
      <c r="P12" s="4">
        <v>10.5</v>
      </c>
      <c r="Q12" s="4">
        <v>10.7</v>
      </c>
      <c r="R12" s="4">
        <v>15.5</v>
      </c>
      <c r="S12" s="4">
        <v>14.6</v>
      </c>
      <c r="T12" s="4">
        <v>11.8</v>
      </c>
      <c r="U12" s="4">
        <v>12.6</v>
      </c>
      <c r="V12" s="4">
        <v>13.7</v>
      </c>
      <c r="W12" s="4">
        <v>18.600000000000001</v>
      </c>
      <c r="X12" s="4">
        <v>13.6</v>
      </c>
      <c r="Y12" s="4">
        <v>15.4</v>
      </c>
      <c r="Z12" s="4">
        <v>6.7</v>
      </c>
      <c r="AA12" s="4">
        <v>3.8</v>
      </c>
      <c r="AB12" s="4">
        <v>6.3</v>
      </c>
      <c r="AC12" s="4">
        <v>9</v>
      </c>
      <c r="AD12" s="4">
        <v>5.8</v>
      </c>
      <c r="AE12" s="4">
        <v>5</v>
      </c>
      <c r="AF12" s="4">
        <v>5.5</v>
      </c>
      <c r="AG12" s="4">
        <v>5.2</v>
      </c>
      <c r="AH12" s="4">
        <v>5.6</v>
      </c>
      <c r="AI12" s="4">
        <v>4.5</v>
      </c>
      <c r="AJ12" s="4">
        <v>4.5</v>
      </c>
      <c r="AK12" s="4">
        <v>4.5</v>
      </c>
      <c r="AL12" s="4">
        <v>5</v>
      </c>
      <c r="AN12" s="4">
        <f>SUM(C12:F12)</f>
        <v>21.4</v>
      </c>
      <c r="AO12" s="4">
        <f>SUM(G12:J12)</f>
        <v>20.6</v>
      </c>
      <c r="AP12" s="4">
        <f>SUM(K12:N12)</f>
        <v>23.9</v>
      </c>
      <c r="AQ12" s="4">
        <f>SUM(O12:R12)</f>
        <v>44.9</v>
      </c>
      <c r="AR12" s="4">
        <f>SUM(S12:V12)</f>
        <v>52.7</v>
      </c>
      <c r="AS12" s="4">
        <f>SUM(W12:Z12)</f>
        <v>54.300000000000004</v>
      </c>
      <c r="AT12" s="4">
        <f>SUM(AA12:AD12)</f>
        <v>24.900000000000002</v>
      </c>
      <c r="AU12" s="4">
        <f>SUM(AE12:AH12)</f>
        <v>21.299999999999997</v>
      </c>
      <c r="AV12" s="4">
        <f>SUM(AI12:AL12)</f>
        <v>18.5</v>
      </c>
      <c r="AW12" s="4">
        <f>AV12*1.04</f>
        <v>19.240000000000002</v>
      </c>
      <c r="AX12" s="4">
        <f>AW12*1.03</f>
        <v>19.817200000000003</v>
      </c>
      <c r="AY12" s="4">
        <f>AX12*1.02</f>
        <v>20.213544000000002</v>
      </c>
      <c r="AZ12" s="4">
        <f>AY12*1.02</f>
        <v>20.617814880000005</v>
      </c>
      <c r="BA12" s="4">
        <f>AZ12*1.02</f>
        <v>21.030171177600003</v>
      </c>
      <c r="BB12" s="4">
        <f t="shared" ref="BB12:BF12" si="48">BA12*1.02</f>
        <v>21.450774601152006</v>
      </c>
      <c r="BC12" s="4">
        <f t="shared" si="48"/>
        <v>21.879790093175046</v>
      </c>
      <c r="BD12" s="4">
        <f t="shared" si="48"/>
        <v>22.317385895038548</v>
      </c>
      <c r="BE12" s="4">
        <f t="shared" si="48"/>
        <v>22.763733612939319</v>
      </c>
      <c r="BF12" s="4">
        <f t="shared" si="48"/>
        <v>23.219008285198107</v>
      </c>
    </row>
    <row r="13" spans="2:58" x14ac:dyDescent="0.3">
      <c r="B13" t="s">
        <v>28</v>
      </c>
      <c r="C13" s="4">
        <v>7.2</v>
      </c>
      <c r="D13" s="4">
        <v>7</v>
      </c>
      <c r="E13" s="4">
        <v>6.2</v>
      </c>
      <c r="F13" s="4">
        <v>4.7</v>
      </c>
      <c r="G13" s="4">
        <v>5.4</v>
      </c>
      <c r="H13" s="4">
        <v>5.6</v>
      </c>
      <c r="I13" s="4">
        <v>5.9</v>
      </c>
      <c r="J13" s="4">
        <v>6.1</v>
      </c>
      <c r="K13" s="4">
        <v>6.4</v>
      </c>
      <c r="L13" s="4">
        <v>7.2</v>
      </c>
      <c r="M13" s="4">
        <v>7.2</v>
      </c>
      <c r="N13" s="4">
        <v>8.1</v>
      </c>
      <c r="O13" s="4">
        <v>8.8000000000000007</v>
      </c>
      <c r="P13" s="4">
        <v>8.6</v>
      </c>
      <c r="Q13" s="4">
        <v>8.4</v>
      </c>
      <c r="R13" s="4">
        <v>9.9</v>
      </c>
      <c r="S13" s="4">
        <v>11</v>
      </c>
      <c r="T13" s="4">
        <v>9.8000000000000007</v>
      </c>
      <c r="U13" s="4">
        <v>9.1999999999999993</v>
      </c>
      <c r="V13" s="4">
        <v>8.1999999999999993</v>
      </c>
      <c r="W13" s="4">
        <v>9.8000000000000007</v>
      </c>
      <c r="X13" s="4">
        <v>7.7</v>
      </c>
      <c r="Y13" s="4">
        <v>8.3000000000000007</v>
      </c>
      <c r="Z13" s="4">
        <v>7.6</v>
      </c>
      <c r="AA13" s="4">
        <v>6.5</v>
      </c>
      <c r="AB13" s="4">
        <v>5.8</v>
      </c>
      <c r="AC13" s="4">
        <v>5.4</v>
      </c>
      <c r="AD13" s="4">
        <v>4.0999999999999996</v>
      </c>
      <c r="AE13" s="4">
        <v>5</v>
      </c>
      <c r="AF13" s="4">
        <v>5.4</v>
      </c>
      <c r="AG13" s="4">
        <v>4.0999999999999996</v>
      </c>
      <c r="AH13" s="4">
        <v>3.8</v>
      </c>
      <c r="AI13" s="4">
        <v>3.9</v>
      </c>
      <c r="AJ13" s="4">
        <v>3.9</v>
      </c>
      <c r="AK13" s="4">
        <v>3.9</v>
      </c>
      <c r="AL13" s="4">
        <v>3.9</v>
      </c>
      <c r="AN13" s="4">
        <f>SUM(C13:F13)</f>
        <v>25.099999999999998</v>
      </c>
      <c r="AO13" s="4">
        <f>SUM(G13:J13)</f>
        <v>23</v>
      </c>
      <c r="AP13" s="4">
        <f>SUM(K13:N13)</f>
        <v>28.9</v>
      </c>
      <c r="AQ13" s="4">
        <f>SUM(O13:R13)</f>
        <v>35.699999999999996</v>
      </c>
      <c r="AR13" s="4">
        <f>SUM(S13:V13)</f>
        <v>38.200000000000003</v>
      </c>
      <c r="AS13" s="4">
        <f>SUM(W13:Z13)</f>
        <v>33.4</v>
      </c>
      <c r="AT13" s="4">
        <f>SUM(AA13:AD13)</f>
        <v>21.800000000000004</v>
      </c>
      <c r="AU13" s="4">
        <f>SUM(AE13:AH13)</f>
        <v>18.3</v>
      </c>
      <c r="AV13" s="4">
        <f>SUM(AI13:AL13)</f>
        <v>15.6</v>
      </c>
      <c r="AW13" s="4">
        <f>AW7*0.09</f>
        <v>13.544729999999998</v>
      </c>
      <c r="AX13" s="4">
        <f t="shared" ref="AX13:BF13" si="49">AX7*0.09</f>
        <v>14.764256099999999</v>
      </c>
      <c r="AY13" s="4">
        <f t="shared" si="49"/>
        <v>15.763762602</v>
      </c>
      <c r="AZ13" s="4">
        <f t="shared" si="49"/>
        <v>16.505700557220003</v>
      </c>
      <c r="BA13" s="4">
        <f t="shared" si="49"/>
        <v>17.063518393920603</v>
      </c>
      <c r="BB13" s="4">
        <f t="shared" si="49"/>
        <v>17.478229485920874</v>
      </c>
      <c r="BC13" s="4">
        <f t="shared" si="49"/>
        <v>17.802919621584628</v>
      </c>
      <c r="BD13" s="4">
        <f t="shared" si="49"/>
        <v>18.134601049042754</v>
      </c>
      <c r="BE13" s="4">
        <f t="shared" si="49"/>
        <v>18.473403644349514</v>
      </c>
      <c r="BF13" s="4">
        <f t="shared" si="49"/>
        <v>18.819460080075892</v>
      </c>
    </row>
    <row r="14" spans="2:58" x14ac:dyDescent="0.3">
      <c r="B14" t="s">
        <v>29</v>
      </c>
      <c r="C14" s="4">
        <v>12</v>
      </c>
      <c r="D14" s="4">
        <v>8.1</v>
      </c>
      <c r="E14" s="4">
        <v>7.1</v>
      </c>
      <c r="F14" s="4">
        <v>7.2</v>
      </c>
      <c r="G14" s="4">
        <v>6.5</v>
      </c>
      <c r="H14" s="4">
        <v>6.3</v>
      </c>
      <c r="I14" s="4">
        <v>5.8</v>
      </c>
      <c r="J14" s="4">
        <v>6.7</v>
      </c>
      <c r="K14" s="4">
        <v>6.5</v>
      </c>
      <c r="L14" s="4">
        <v>7.5</v>
      </c>
      <c r="M14" s="4">
        <v>7.1</v>
      </c>
      <c r="N14" s="4">
        <v>6.2</v>
      </c>
      <c r="O14" s="4">
        <v>7.2</v>
      </c>
      <c r="P14" s="4">
        <v>7.4</v>
      </c>
      <c r="Q14" s="4">
        <v>8.6999999999999993</v>
      </c>
      <c r="R14" s="4">
        <v>7.4</v>
      </c>
      <c r="S14" s="4">
        <v>8.6</v>
      </c>
      <c r="T14" s="4">
        <v>7.4</v>
      </c>
      <c r="U14" s="4">
        <v>6.6</v>
      </c>
      <c r="V14" s="4">
        <v>5.6</v>
      </c>
      <c r="W14" s="4">
        <v>8.1999999999999993</v>
      </c>
      <c r="X14" s="4">
        <v>6.1</v>
      </c>
      <c r="Y14" s="4">
        <v>5.7</v>
      </c>
      <c r="Z14" s="4">
        <v>7.1</v>
      </c>
      <c r="AA14" s="4">
        <v>5.7</v>
      </c>
      <c r="AB14" s="4">
        <v>5.4</v>
      </c>
      <c r="AC14" s="4">
        <v>4.9000000000000004</v>
      </c>
      <c r="AD14" s="4">
        <v>5</v>
      </c>
      <c r="AE14" s="4">
        <v>5</v>
      </c>
      <c r="AF14" s="4">
        <v>5.8</v>
      </c>
      <c r="AG14" s="4">
        <v>4.8</v>
      </c>
      <c r="AH14" s="4">
        <v>4.5</v>
      </c>
      <c r="AI14" s="4">
        <v>4.5</v>
      </c>
      <c r="AJ14" s="4">
        <v>4.5</v>
      </c>
      <c r="AK14" s="4">
        <v>4.5</v>
      </c>
      <c r="AL14" s="4">
        <v>5</v>
      </c>
      <c r="AN14" s="4">
        <f>SUM(C14:F14)</f>
        <v>34.400000000000006</v>
      </c>
      <c r="AO14" s="4">
        <f>SUM(G14:J14)</f>
        <v>25.3</v>
      </c>
      <c r="AP14" s="4">
        <f>SUM(K14:N14)</f>
        <v>27.3</v>
      </c>
      <c r="AQ14" s="4">
        <f>SUM(O14:R14)</f>
        <v>30.700000000000003</v>
      </c>
      <c r="AR14" s="4">
        <f>SUM(S14:V14)</f>
        <v>28.200000000000003</v>
      </c>
      <c r="AS14" s="4">
        <f>SUM(W14:Z14)</f>
        <v>27.1</v>
      </c>
      <c r="AT14" s="4">
        <f>SUM(AA14:AD14)</f>
        <v>21</v>
      </c>
      <c r="AU14" s="4">
        <f>SUM(AE14:AH14)</f>
        <v>20.100000000000001</v>
      </c>
      <c r="AV14" s="4">
        <f>SUM(AI14:AL14)</f>
        <v>18.5</v>
      </c>
      <c r="AW14" s="4">
        <f>AV14*1.02</f>
        <v>18.87</v>
      </c>
      <c r="AX14" s="4">
        <f>AW14*1.01</f>
        <v>19.058700000000002</v>
      </c>
      <c r="AY14" s="4">
        <f>AX14*1.01</f>
        <v>19.249287000000002</v>
      </c>
      <c r="AZ14" s="4">
        <f>AY14*1.01</f>
        <v>19.441779870000001</v>
      </c>
      <c r="BA14" s="4">
        <f>AZ14*1.01</f>
        <v>19.636197668700003</v>
      </c>
      <c r="BB14" s="4">
        <f t="shared" ref="BB14:BF14" si="50">BA14*1.01</f>
        <v>19.832559645387004</v>
      </c>
      <c r="BC14" s="4">
        <f t="shared" si="50"/>
        <v>20.030885241840874</v>
      </c>
      <c r="BD14" s="4">
        <f t="shared" si="50"/>
        <v>20.231194094259283</v>
      </c>
      <c r="BE14" s="4">
        <f t="shared" si="50"/>
        <v>20.433506035201876</v>
      </c>
      <c r="BF14" s="4">
        <f t="shared" si="50"/>
        <v>20.637841095553895</v>
      </c>
    </row>
    <row r="15" spans="2:58" x14ac:dyDescent="0.3">
      <c r="B15" t="s">
        <v>81</v>
      </c>
      <c r="C15" s="4">
        <f>0.9+0.8</f>
        <v>1.7000000000000002</v>
      </c>
      <c r="D15" s="4">
        <f>0.9+1.4</f>
        <v>2.2999999999999998</v>
      </c>
      <c r="E15" s="4">
        <f>0.9+3.4</f>
        <v>4.3</v>
      </c>
      <c r="F15" s="4">
        <f>0.9-0.5</f>
        <v>0.4</v>
      </c>
      <c r="G15" s="4">
        <f>1+0.3</f>
        <v>1.3</v>
      </c>
      <c r="H15" s="4">
        <f>0.9+0.6</f>
        <v>1.5</v>
      </c>
      <c r="I15" s="4">
        <f>0.9+17.2+0.2</f>
        <v>18.299999999999997</v>
      </c>
      <c r="J15" s="4">
        <v>0.9</v>
      </c>
      <c r="K15" s="4">
        <v>0.9</v>
      </c>
      <c r="L15" s="4">
        <v>0.9</v>
      </c>
      <c r="M15" s="4">
        <v>0.9</v>
      </c>
      <c r="N15" s="4">
        <v>0.8</v>
      </c>
      <c r="O15" s="4">
        <v>0.8</v>
      </c>
      <c r="P15" s="4">
        <v>0.8</v>
      </c>
      <c r="Q15" s="4">
        <v>0.8</v>
      </c>
      <c r="R15" s="4">
        <f>0.8+1.4</f>
        <v>2.2000000000000002</v>
      </c>
      <c r="S15" s="4">
        <v>0.5</v>
      </c>
      <c r="T15" s="4">
        <f>0.7+1.2</f>
        <v>1.9</v>
      </c>
      <c r="U15" s="4">
        <v>0.5</v>
      </c>
      <c r="V15" s="4">
        <v>0.4</v>
      </c>
      <c r="W15" s="4">
        <v>0.4</v>
      </c>
      <c r="X15" s="4">
        <v>0.4</v>
      </c>
      <c r="Y15" s="4">
        <v>0.4</v>
      </c>
      <c r="Z15" s="4">
        <f>5.6+3</f>
        <v>8.6</v>
      </c>
      <c r="AA15" s="4">
        <v>5.3</v>
      </c>
      <c r="AB15" s="4">
        <v>4.7</v>
      </c>
      <c r="AC15" s="4">
        <f>0.4+0.6</f>
        <v>1</v>
      </c>
      <c r="AD15" s="4">
        <f>5.5+4.1</f>
        <v>9.6</v>
      </c>
      <c r="AE15" s="4">
        <v>3.6</v>
      </c>
      <c r="AF15" s="4">
        <v>4</v>
      </c>
      <c r="AG15" s="4">
        <f>3.2+0.5</f>
        <v>3.7</v>
      </c>
      <c r="AH15" s="4">
        <v>2.2999999999999998</v>
      </c>
      <c r="AI15" s="4">
        <f>2.1+0.4</f>
        <v>2.5</v>
      </c>
      <c r="AJ15" s="4">
        <f>2.1+0.4</f>
        <v>2.5</v>
      </c>
      <c r="AK15" s="4">
        <f t="shared" ref="AK15:AL15" si="51">2.1+0.4</f>
        <v>2.5</v>
      </c>
      <c r="AL15" s="4">
        <f t="shared" si="51"/>
        <v>2.5</v>
      </c>
      <c r="AN15" s="4">
        <f>SUM(C15:F15)</f>
        <v>8.7000000000000011</v>
      </c>
      <c r="AO15" s="4">
        <f>SUM(G15:J15)</f>
        <v>21.999999999999996</v>
      </c>
      <c r="AP15" s="4">
        <f>SUM(K15:N15)</f>
        <v>3.5</v>
      </c>
      <c r="AQ15" s="4">
        <f>SUM(O15:R15)</f>
        <v>4.6000000000000005</v>
      </c>
      <c r="AR15" s="4">
        <f>SUM(S15:V15)</f>
        <v>3.3</v>
      </c>
      <c r="AS15" s="4">
        <f>SUM(W15:Z15)</f>
        <v>9.8000000000000007</v>
      </c>
      <c r="AT15" s="4">
        <f>SUM(AA15:AD15)</f>
        <v>20.6</v>
      </c>
      <c r="AU15" s="4">
        <f>SUM(AE15:AH15)</f>
        <v>13.600000000000001</v>
      </c>
      <c r="AV15" s="4">
        <f>SUM(AI15:AL15)</f>
        <v>10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</row>
    <row r="16" spans="2:58" x14ac:dyDescent="0.3">
      <c r="B16" t="s">
        <v>30</v>
      </c>
      <c r="C16" s="4">
        <f t="shared" ref="C16:P16" si="52">C12+C13+C14+C15</f>
        <v>27.2</v>
      </c>
      <c r="D16" s="4">
        <f t="shared" si="52"/>
        <v>22.8</v>
      </c>
      <c r="E16" s="4">
        <f t="shared" si="52"/>
        <v>22.7</v>
      </c>
      <c r="F16" s="4">
        <f t="shared" si="52"/>
        <v>16.899999999999999</v>
      </c>
      <c r="G16" s="4">
        <f t="shared" si="52"/>
        <v>18.2</v>
      </c>
      <c r="H16" s="4">
        <f t="shared" si="52"/>
        <v>18.399999999999999</v>
      </c>
      <c r="I16" s="4">
        <f t="shared" si="52"/>
        <v>35.299999999999997</v>
      </c>
      <c r="J16" s="4">
        <f t="shared" si="52"/>
        <v>18.999999999999996</v>
      </c>
      <c r="K16" s="4">
        <f t="shared" si="52"/>
        <v>17.299999999999997</v>
      </c>
      <c r="L16" s="4">
        <f t="shared" si="52"/>
        <v>20.799999999999997</v>
      </c>
      <c r="M16" s="4">
        <f t="shared" si="52"/>
        <v>21.9</v>
      </c>
      <c r="N16" s="4">
        <f t="shared" si="52"/>
        <v>23.6</v>
      </c>
      <c r="O16" s="4">
        <f t="shared" si="52"/>
        <v>25</v>
      </c>
      <c r="P16" s="4">
        <f t="shared" si="52"/>
        <v>27.3</v>
      </c>
      <c r="Q16" s="4">
        <f t="shared" ref="Q16:U16" si="53">Q12+Q13+Q14+Q15</f>
        <v>28.6</v>
      </c>
      <c r="R16" s="4">
        <f t="shared" si="53"/>
        <v>35</v>
      </c>
      <c r="S16" s="4">
        <f t="shared" si="53"/>
        <v>34.700000000000003</v>
      </c>
      <c r="T16" s="4">
        <f t="shared" ref="T16" si="54">T12+T13+T14+T15</f>
        <v>30.9</v>
      </c>
      <c r="U16" s="4">
        <f t="shared" si="53"/>
        <v>28.9</v>
      </c>
      <c r="V16" s="4">
        <f t="shared" ref="V16:W16" si="55">V12+V13+V14+V15</f>
        <v>27.9</v>
      </c>
      <c r="W16" s="4">
        <f t="shared" si="55"/>
        <v>37</v>
      </c>
      <c r="X16" s="4">
        <f t="shared" ref="X16:Y16" si="56">X12+X13+X14+X15</f>
        <v>27.799999999999997</v>
      </c>
      <c r="Y16" s="4">
        <f t="shared" si="56"/>
        <v>29.8</v>
      </c>
      <c r="Z16" s="4">
        <f t="shared" ref="Z16" si="57">Z12+Z13+Z14+Z15</f>
        <v>30</v>
      </c>
      <c r="AA16" s="4">
        <f t="shared" ref="AA16" si="58">AA12+AA13+AA14+AA15</f>
        <v>21.3</v>
      </c>
      <c r="AB16" s="4">
        <f t="shared" ref="AB16:AC16" si="59">AB12+AB13+AB14+AB15</f>
        <v>22.2</v>
      </c>
      <c r="AC16" s="4">
        <f t="shared" si="59"/>
        <v>20.3</v>
      </c>
      <c r="AD16" s="4">
        <f t="shared" ref="AD16" si="60">AD12+AD13+AD14+AD15</f>
        <v>24.5</v>
      </c>
      <c r="AE16" s="4">
        <f t="shared" ref="AE16" si="61">AE12+AE13+AE14+AE15</f>
        <v>18.600000000000001</v>
      </c>
      <c r="AF16" s="4">
        <f t="shared" ref="AF16:AH16" si="62">AF12+AF13+AF14+AF15</f>
        <v>20.7</v>
      </c>
      <c r="AG16" s="4">
        <f t="shared" si="62"/>
        <v>17.8</v>
      </c>
      <c r="AH16" s="4">
        <f t="shared" si="62"/>
        <v>16.2</v>
      </c>
      <c r="AI16" s="4">
        <f t="shared" ref="AI16:AL16" si="63">AI12+AI13+AI14+AI15</f>
        <v>15.4</v>
      </c>
      <c r="AJ16" s="4">
        <f t="shared" si="63"/>
        <v>15.4</v>
      </c>
      <c r="AK16" s="4">
        <f t="shared" si="63"/>
        <v>15.4</v>
      </c>
      <c r="AL16" s="4">
        <f t="shared" si="63"/>
        <v>16.399999999999999</v>
      </c>
      <c r="AN16" s="4">
        <f>AN12+AN13+AN14+AN15</f>
        <v>89.600000000000009</v>
      </c>
      <c r="AO16" s="4">
        <f>AO12+AO13+AO14+AO15</f>
        <v>90.9</v>
      </c>
      <c r="AP16" s="4">
        <f>AP12+AP13+AP14+AP15</f>
        <v>83.6</v>
      </c>
      <c r="AQ16" s="4">
        <f>AQ12+AQ13+AQ14+AQ15</f>
        <v>115.89999999999999</v>
      </c>
      <c r="AR16" s="4">
        <f>AR12+AR13+AR14+AR15</f>
        <v>122.4</v>
      </c>
      <c r="AS16" s="4">
        <f t="shared" ref="AS16:BA16" si="64">AS12+AS13+AS14+AS15</f>
        <v>124.60000000000001</v>
      </c>
      <c r="AT16" s="4">
        <f t="shared" si="64"/>
        <v>88.300000000000011</v>
      </c>
      <c r="AU16" s="4">
        <f t="shared" si="64"/>
        <v>73.3</v>
      </c>
      <c r="AV16" s="4">
        <f t="shared" si="64"/>
        <v>62.6</v>
      </c>
      <c r="AW16" s="4">
        <f t="shared" si="64"/>
        <v>51.654730000000001</v>
      </c>
      <c r="AX16" s="4">
        <f t="shared" si="64"/>
        <v>53.640156100000006</v>
      </c>
      <c r="AY16" s="4">
        <f t="shared" si="64"/>
        <v>55.226593602000001</v>
      </c>
      <c r="AZ16" s="4">
        <f t="shared" si="64"/>
        <v>56.565295307220012</v>
      </c>
      <c r="BA16" s="4">
        <f t="shared" si="64"/>
        <v>57.729887240220606</v>
      </c>
      <c r="BB16" s="4">
        <f t="shared" ref="BB16:BF16" si="65">BB12+BB13+BB14+BB15</f>
        <v>58.761563732459891</v>
      </c>
      <c r="BC16" s="4">
        <f t="shared" si="65"/>
        <v>59.713594956600545</v>
      </c>
      <c r="BD16" s="4">
        <f t="shared" si="65"/>
        <v>60.683181038340578</v>
      </c>
      <c r="BE16" s="4">
        <f t="shared" si="65"/>
        <v>61.670643292490709</v>
      </c>
      <c r="BF16" s="4">
        <f t="shared" si="65"/>
        <v>62.676309460827895</v>
      </c>
    </row>
    <row r="17" spans="2:168" s="1" customFormat="1" x14ac:dyDescent="0.3">
      <c r="B17" s="1" t="s">
        <v>31</v>
      </c>
      <c r="C17" s="7">
        <f t="shared" ref="C17:P17" si="66">C11-C16</f>
        <v>-11.000000000000004</v>
      </c>
      <c r="D17" s="7">
        <f t="shared" si="66"/>
        <v>-4.1999999999999993</v>
      </c>
      <c r="E17" s="7">
        <f t="shared" si="66"/>
        <v>-6.2999999999999936</v>
      </c>
      <c r="F17" s="7">
        <f t="shared" si="66"/>
        <v>0.80000000000000426</v>
      </c>
      <c r="G17" s="7">
        <f t="shared" si="66"/>
        <v>-2.100000000000005</v>
      </c>
      <c r="H17" s="7">
        <f t="shared" si="66"/>
        <v>-1</v>
      </c>
      <c r="I17" s="7">
        <f t="shared" si="66"/>
        <v>-17.699999999999996</v>
      </c>
      <c r="J17" s="7">
        <f t="shared" si="66"/>
        <v>0.80000000000000782</v>
      </c>
      <c r="K17" s="7">
        <f t="shared" si="66"/>
        <v>-2.5000000000000071</v>
      </c>
      <c r="L17" s="7">
        <f t="shared" si="66"/>
        <v>-5.1999999999999957</v>
      </c>
      <c r="M17" s="7">
        <f t="shared" si="66"/>
        <v>-3.2999999999999972</v>
      </c>
      <c r="N17" s="7">
        <f t="shared" si="66"/>
        <v>-8.5</v>
      </c>
      <c r="O17" s="7">
        <f t="shared" si="66"/>
        <v>-7.7999999999999972</v>
      </c>
      <c r="P17" s="7">
        <f t="shared" si="66"/>
        <v>-5.399999999999995</v>
      </c>
      <c r="Q17" s="7">
        <f t="shared" ref="Q17:U17" si="67">Q11-Q16</f>
        <v>-3.3999999999999986</v>
      </c>
      <c r="R17" s="7">
        <f t="shared" si="67"/>
        <v>-8.5000000000000071</v>
      </c>
      <c r="S17" s="7">
        <f t="shared" si="67"/>
        <v>-16.200000000000003</v>
      </c>
      <c r="T17" s="7">
        <f t="shared" ref="T17" si="68">T11-T16</f>
        <v>-10.5</v>
      </c>
      <c r="U17" s="7">
        <f t="shared" si="67"/>
        <v>-10</v>
      </c>
      <c r="V17" s="7">
        <f t="shared" ref="V17:W17" si="69">V11-V16</f>
        <v>-9.6999999999999886</v>
      </c>
      <c r="W17" s="7">
        <f t="shared" si="69"/>
        <v>-21.700000000000003</v>
      </c>
      <c r="X17" s="7">
        <f t="shared" ref="X17:Y17" si="70">X11-X16</f>
        <v>-10.099999999999994</v>
      </c>
      <c r="Y17" s="7">
        <f t="shared" si="70"/>
        <v>-11.900000000000009</v>
      </c>
      <c r="Z17" s="7">
        <f t="shared" ref="Z17" si="71">Z11-Z16</f>
        <v>-14.100000000000001</v>
      </c>
      <c r="AA17" s="7">
        <f t="shared" ref="AA17" si="72">AA11-AA16</f>
        <v>-3.100000000000005</v>
      </c>
      <c r="AB17" s="7">
        <f t="shared" ref="AB17:AC17" si="73">AB11-AB16</f>
        <v>-4.2000000000000064</v>
      </c>
      <c r="AC17" s="7">
        <f t="shared" si="73"/>
        <v>-26.2</v>
      </c>
      <c r="AD17" s="7">
        <f t="shared" ref="AD17" si="74">AD11-AD16</f>
        <v>-11.299999999999997</v>
      </c>
      <c r="AE17" s="7">
        <f t="shared" ref="AE17" si="75">AE11-AE16</f>
        <v>-1.1000000000000014</v>
      </c>
      <c r="AF17" s="7">
        <f t="shared" ref="AF17:AH17" si="76">AF11-AF16</f>
        <v>2.4000000000000021</v>
      </c>
      <c r="AG17" s="7">
        <f t="shared" si="76"/>
        <v>0.99999999999999645</v>
      </c>
      <c r="AH17" s="7">
        <f t="shared" si="76"/>
        <v>1.6999999999999922</v>
      </c>
      <c r="AI17" s="7">
        <f t="shared" ref="AI17:AL17" si="77">AI11-AI16</f>
        <v>-0.40000000000000036</v>
      </c>
      <c r="AJ17" s="7">
        <f t="shared" si="77"/>
        <v>-0.40000000000000036</v>
      </c>
      <c r="AK17" s="7">
        <f t="shared" si="77"/>
        <v>0.54800000000000004</v>
      </c>
      <c r="AL17" s="7">
        <f t="shared" si="77"/>
        <v>-0.25619999999999621</v>
      </c>
      <c r="AN17" s="7">
        <f>AN11-AN16</f>
        <v>-20.700000000000031</v>
      </c>
      <c r="AO17" s="7">
        <f>AO11-AO16</f>
        <v>-20.000000000000028</v>
      </c>
      <c r="AP17" s="7">
        <f>AP11-AP16</f>
        <v>-19.5</v>
      </c>
      <c r="AQ17" s="7">
        <f>AQ11-AQ16</f>
        <v>-25.100000000000037</v>
      </c>
      <c r="AR17" s="7">
        <f>AR11-AR16</f>
        <v>-46.400000000000034</v>
      </c>
      <c r="AS17" s="7">
        <f t="shared" ref="AS17:BA17" si="78">AS11-AS16</f>
        <v>-57.800000000000026</v>
      </c>
      <c r="AT17" s="7">
        <f t="shared" si="78"/>
        <v>-44.799999999999955</v>
      </c>
      <c r="AU17" s="7">
        <f t="shared" si="78"/>
        <v>3.9999999999999858</v>
      </c>
      <c r="AV17" s="7">
        <f t="shared" si="78"/>
        <v>-0.50820000000002352</v>
      </c>
      <c r="AW17" s="7">
        <f t="shared" si="78"/>
        <v>11.384659999999982</v>
      </c>
      <c r="AX17" s="7">
        <f t="shared" si="78"/>
        <v>15.073946599999992</v>
      </c>
      <c r="AY17" s="7">
        <f t="shared" si="78"/>
        <v>17.875541243999983</v>
      </c>
      <c r="AZ17" s="7">
        <f t="shared" si="78"/>
        <v>20.08402920636</v>
      </c>
      <c r="BA17" s="7">
        <f t="shared" si="78"/>
        <v>21.365092922062829</v>
      </c>
      <c r="BB17" s="7">
        <f t="shared" ref="BB17:BF17" si="79">BB11-BB16</f>
        <v>22.086677722686872</v>
      </c>
      <c r="BC17" s="7">
        <f t="shared" si="79"/>
        <v>22.693570934854932</v>
      </c>
      <c r="BD17" s="7">
        <f t="shared" si="79"/>
        <v>23.315248586005666</v>
      </c>
      <c r="BE17" s="7">
        <f t="shared" si="79"/>
        <v>23.952012931102914</v>
      </c>
      <c r="BF17" s="7">
        <f t="shared" si="79"/>
        <v>24.604172733862853</v>
      </c>
    </row>
    <row r="18" spans="2:168" x14ac:dyDescent="0.3">
      <c r="B18" t="s">
        <v>32</v>
      </c>
      <c r="C18" s="4">
        <v>4.2</v>
      </c>
      <c r="D18" s="4">
        <v>4.9000000000000004</v>
      </c>
      <c r="E18" s="4">
        <v>5.2</v>
      </c>
      <c r="F18" s="4">
        <v>5.0999999999999996</v>
      </c>
      <c r="G18" s="4">
        <v>5.0999999999999996</v>
      </c>
      <c r="H18" s="4">
        <v>5.0999999999999996</v>
      </c>
      <c r="I18" s="4">
        <v>5.0999999999999996</v>
      </c>
      <c r="J18" s="4">
        <v>5.0999999999999996</v>
      </c>
      <c r="K18" s="4">
        <v>5.0999999999999996</v>
      </c>
      <c r="L18" s="4">
        <v>5.0999999999999996</v>
      </c>
      <c r="M18" s="4">
        <v>5.0999999999999996</v>
      </c>
      <c r="N18" s="4">
        <v>5</v>
      </c>
      <c r="O18" s="4">
        <v>7.9</v>
      </c>
      <c r="P18" s="4">
        <v>67.2</v>
      </c>
      <c r="Q18" s="4">
        <f>1.2+1.7</f>
        <v>2.9</v>
      </c>
      <c r="R18" s="4">
        <v>1.7</v>
      </c>
      <c r="S18" s="4">
        <f>0.4+1.8</f>
        <v>2.2000000000000002</v>
      </c>
      <c r="T18" s="4">
        <v>1.7</v>
      </c>
      <c r="U18" s="4">
        <f>-5.3+1.7</f>
        <v>-3.5999999999999996</v>
      </c>
      <c r="V18" s="4">
        <v>1.7</v>
      </c>
      <c r="W18" s="4">
        <f>0.5+2.9</f>
        <v>3.4</v>
      </c>
      <c r="X18" s="4">
        <v>1.7</v>
      </c>
      <c r="Y18" s="4">
        <v>2</v>
      </c>
      <c r="Z18" s="4">
        <v>2</v>
      </c>
      <c r="AA18" s="4">
        <v>2</v>
      </c>
      <c r="AB18" s="4">
        <v>2</v>
      </c>
      <c r="AC18" s="4">
        <v>2.9</v>
      </c>
      <c r="AD18" s="4">
        <v>2.2000000000000002</v>
      </c>
      <c r="AE18" s="4">
        <v>2.2000000000000002</v>
      </c>
      <c r="AF18" s="4">
        <v>1.8</v>
      </c>
      <c r="AG18" s="4">
        <v>5.7</v>
      </c>
      <c r="AH18" s="4">
        <v>16.5</v>
      </c>
      <c r="AI18" s="4">
        <v>1</v>
      </c>
      <c r="AJ18" s="4">
        <v>1</v>
      </c>
      <c r="AK18" s="4">
        <v>2</v>
      </c>
      <c r="AL18" s="4">
        <v>2</v>
      </c>
      <c r="AN18" s="4">
        <f>SUM(C18:F18)</f>
        <v>19.399999999999999</v>
      </c>
      <c r="AO18" s="4">
        <f>SUM(G18:J18)</f>
        <v>20.399999999999999</v>
      </c>
      <c r="AP18" s="4">
        <f>SUM(K18:N18)</f>
        <v>20.299999999999997</v>
      </c>
      <c r="AQ18" s="4">
        <f>SUM(O18:R18)</f>
        <v>79.700000000000017</v>
      </c>
      <c r="AR18" s="4">
        <f>SUM(S18:V18)</f>
        <v>2.0000000000000009</v>
      </c>
      <c r="AS18" s="4">
        <f>SUM(W18:Z18)</f>
        <v>9.1</v>
      </c>
      <c r="AT18" s="4">
        <f>SUM(AA18:AD18)</f>
        <v>9.1000000000000014</v>
      </c>
      <c r="AU18" s="4">
        <f>SUM(AE18:AH18)</f>
        <v>26.2</v>
      </c>
      <c r="AV18" s="4">
        <f>SUM(AI18:AL18)</f>
        <v>6</v>
      </c>
      <c r="AW18" s="4">
        <f t="shared" ref="AW18:BA18" si="80">AV18*0.8</f>
        <v>4.8000000000000007</v>
      </c>
      <c r="AX18" s="4">
        <f t="shared" si="80"/>
        <v>3.8400000000000007</v>
      </c>
      <c r="AY18" s="4">
        <f t="shared" si="80"/>
        <v>3.072000000000001</v>
      </c>
      <c r="AZ18" s="4">
        <f t="shared" si="80"/>
        <v>2.4576000000000011</v>
      </c>
      <c r="BA18" s="4">
        <f t="shared" si="80"/>
        <v>1.9660800000000009</v>
      </c>
      <c r="BB18" s="4">
        <f t="shared" ref="BB18:BB19" si="81">BA18*0.8</f>
        <v>1.5728640000000009</v>
      </c>
      <c r="BC18" s="4">
        <f t="shared" ref="BC18:BC19" si="82">BB18*0.8</f>
        <v>1.2582912000000008</v>
      </c>
      <c r="BD18" s="4">
        <f t="shared" ref="BD18:BD19" si="83">BC18*0.8</f>
        <v>1.0066329600000008</v>
      </c>
      <c r="BE18" s="4">
        <f t="shared" ref="BE18:BE19" si="84">BD18*0.8</f>
        <v>0.80530636800000066</v>
      </c>
      <c r="BF18" s="4">
        <f t="shared" ref="BF18:BF19" si="85">BE18*0.8</f>
        <v>0.64424509440000055</v>
      </c>
    </row>
    <row r="19" spans="2:168" x14ac:dyDescent="0.3">
      <c r="B19" t="s">
        <v>33</v>
      </c>
      <c r="C19" s="4">
        <v>0.6</v>
      </c>
      <c r="D19" s="4">
        <v>1</v>
      </c>
      <c r="E19" s="4">
        <v>1.8</v>
      </c>
      <c r="F19" s="4">
        <v>0.7</v>
      </c>
      <c r="G19" s="4">
        <v>0</v>
      </c>
      <c r="H19" s="4">
        <v>0.4</v>
      </c>
      <c r="I19" s="4">
        <v>0.2</v>
      </c>
      <c r="J19" s="4">
        <v>0.3</v>
      </c>
      <c r="K19" s="4">
        <v>0.3</v>
      </c>
      <c r="L19" s="4">
        <v>0</v>
      </c>
      <c r="M19" s="4">
        <v>0.3</v>
      </c>
      <c r="N19" s="4">
        <v>-0.4</v>
      </c>
      <c r="O19" s="4">
        <f>3.4-1</f>
        <v>2.4</v>
      </c>
      <c r="P19" s="4">
        <f>3.1-0.8</f>
        <v>2.2999999999999998</v>
      </c>
      <c r="Q19" s="4">
        <v>-1.1000000000000001</v>
      </c>
      <c r="R19" s="4">
        <v>1.8</v>
      </c>
      <c r="S19" s="4">
        <v>-1.7</v>
      </c>
      <c r="T19" s="4">
        <v>0.6</v>
      </c>
      <c r="U19" s="4">
        <v>0.8</v>
      </c>
      <c r="V19" s="4">
        <v>-0.6</v>
      </c>
      <c r="W19" s="4">
        <v>0.4</v>
      </c>
      <c r="X19" s="4">
        <v>1</v>
      </c>
      <c r="Y19" s="4">
        <v>1.8</v>
      </c>
      <c r="Z19" s="4">
        <v>-1.7</v>
      </c>
      <c r="AA19" s="4">
        <v>-0.8</v>
      </c>
      <c r="AB19" s="4">
        <v>-0.7</v>
      </c>
      <c r="AC19" s="4">
        <v>0.6</v>
      </c>
      <c r="AD19" s="4">
        <v>0.8</v>
      </c>
      <c r="AE19" s="4">
        <v>0.4</v>
      </c>
      <c r="AF19" s="4">
        <v>-0.4</v>
      </c>
      <c r="AG19" s="4">
        <f>-12.4+0.1</f>
        <v>-12.3</v>
      </c>
      <c r="AH19" s="4">
        <v>1.2</v>
      </c>
      <c r="AI19" s="4">
        <v>-0.3</v>
      </c>
      <c r="AJ19" s="4">
        <v>-0.3</v>
      </c>
      <c r="AK19" s="4">
        <v>-1</v>
      </c>
      <c r="AL19" s="4">
        <v>-1</v>
      </c>
      <c r="AN19" s="4">
        <f>SUM(C19:F19)</f>
        <v>4.1000000000000005</v>
      </c>
      <c r="AO19" s="4">
        <f>SUM(G19:J19)</f>
        <v>0.90000000000000013</v>
      </c>
      <c r="AP19" s="4">
        <f>SUM(K19:N19)</f>
        <v>0.19999999999999996</v>
      </c>
      <c r="AQ19" s="4">
        <f>SUM(O19:R19)</f>
        <v>5.3999999999999995</v>
      </c>
      <c r="AR19" s="4">
        <f>SUM(S19:V19)</f>
        <v>-0.9</v>
      </c>
      <c r="AS19" s="4">
        <f>SUM(W19:Z19)</f>
        <v>1.5000000000000002</v>
      </c>
      <c r="AT19" s="4">
        <f>SUM(AA19:AD19)</f>
        <v>-9.9999999999999978E-2</v>
      </c>
      <c r="AU19" s="4">
        <f>SUM(AE19:AH19)</f>
        <v>-11.100000000000001</v>
      </c>
      <c r="AV19" s="4">
        <f>SUM(AI19:AL19)</f>
        <v>-2.6</v>
      </c>
      <c r="AW19" s="4">
        <f t="shared" ref="AW19:BA19" si="86">AV19*0.8</f>
        <v>-2.08</v>
      </c>
      <c r="AX19" s="4">
        <f t="shared" si="86"/>
        <v>-1.6640000000000001</v>
      </c>
      <c r="AY19" s="4">
        <f t="shared" si="86"/>
        <v>-1.3312000000000002</v>
      </c>
      <c r="AZ19" s="4">
        <f t="shared" si="86"/>
        <v>-1.0649600000000001</v>
      </c>
      <c r="BA19" s="4">
        <f t="shared" si="86"/>
        <v>-0.85196800000000017</v>
      </c>
      <c r="BB19" s="4">
        <f t="shared" si="81"/>
        <v>-0.68157440000000014</v>
      </c>
      <c r="BC19" s="4">
        <f t="shared" si="82"/>
        <v>-0.54525952000000011</v>
      </c>
      <c r="BD19" s="4">
        <f t="shared" si="83"/>
        <v>-0.43620761600000013</v>
      </c>
      <c r="BE19" s="4">
        <f t="shared" si="84"/>
        <v>-0.34896609280000013</v>
      </c>
      <c r="BF19" s="4">
        <f t="shared" si="85"/>
        <v>-0.27917287424000009</v>
      </c>
    </row>
    <row r="20" spans="2:168" s="1" customFormat="1" x14ac:dyDescent="0.3">
      <c r="B20" s="1" t="s">
        <v>37</v>
      </c>
      <c r="C20" s="7">
        <f t="shared" ref="C20:P20" si="87">C17-C18-C19</f>
        <v>-15.800000000000002</v>
      </c>
      <c r="D20" s="7">
        <f t="shared" si="87"/>
        <v>-10.1</v>
      </c>
      <c r="E20" s="7">
        <f t="shared" si="87"/>
        <v>-13.299999999999994</v>
      </c>
      <c r="F20" s="7">
        <f t="shared" si="87"/>
        <v>-4.9999999999999956</v>
      </c>
      <c r="G20" s="7">
        <f t="shared" si="87"/>
        <v>-7.2000000000000046</v>
      </c>
      <c r="H20" s="7">
        <f t="shared" si="87"/>
        <v>-6.5</v>
      </c>
      <c r="I20" s="7">
        <f t="shared" si="87"/>
        <v>-22.999999999999996</v>
      </c>
      <c r="J20" s="7">
        <f t="shared" si="87"/>
        <v>-4.5999999999999917</v>
      </c>
      <c r="K20" s="7">
        <f t="shared" si="87"/>
        <v>-7.9000000000000066</v>
      </c>
      <c r="L20" s="7">
        <f t="shared" si="87"/>
        <v>-10.299999999999995</v>
      </c>
      <c r="M20" s="7">
        <f t="shared" si="87"/>
        <v>-8.6999999999999975</v>
      </c>
      <c r="N20" s="7">
        <f t="shared" si="87"/>
        <v>-13.1</v>
      </c>
      <c r="O20" s="7">
        <f t="shared" si="87"/>
        <v>-18.099999999999998</v>
      </c>
      <c r="P20" s="7">
        <f t="shared" si="87"/>
        <v>-74.899999999999991</v>
      </c>
      <c r="Q20" s="7">
        <f t="shared" ref="Q20:U20" si="88">Q17-Q18-Q19</f>
        <v>-5.1999999999999993</v>
      </c>
      <c r="R20" s="7">
        <f t="shared" si="88"/>
        <v>-12.000000000000007</v>
      </c>
      <c r="S20" s="7">
        <f t="shared" si="88"/>
        <v>-16.700000000000003</v>
      </c>
      <c r="T20" s="7">
        <f t="shared" ref="T20" si="89">T17-T18-T19</f>
        <v>-12.799999999999999</v>
      </c>
      <c r="U20" s="7">
        <f t="shared" si="88"/>
        <v>-7.2</v>
      </c>
      <c r="V20" s="7">
        <f t="shared" ref="V20:W20" si="90">V17-V18-V19</f>
        <v>-10.799999999999988</v>
      </c>
      <c r="W20" s="7">
        <f t="shared" si="90"/>
        <v>-25.5</v>
      </c>
      <c r="X20" s="7">
        <f t="shared" ref="X20:Y20" si="91">X17-X18-X19</f>
        <v>-12.799999999999994</v>
      </c>
      <c r="Y20" s="7">
        <f t="shared" si="91"/>
        <v>-15.70000000000001</v>
      </c>
      <c r="Z20" s="7">
        <f t="shared" ref="Z20" si="92">Z17-Z18-Z19</f>
        <v>-14.400000000000002</v>
      </c>
      <c r="AA20" s="7">
        <f t="shared" ref="AA20" si="93">AA17-AA18-AA19</f>
        <v>-4.3000000000000052</v>
      </c>
      <c r="AB20" s="7">
        <f t="shared" ref="AB20:AC20" si="94">AB17-AB18-AB19</f>
        <v>-5.5000000000000062</v>
      </c>
      <c r="AC20" s="7">
        <f t="shared" si="94"/>
        <v>-29.7</v>
      </c>
      <c r="AD20" s="7">
        <f t="shared" ref="AD20" si="95">AD17-AD18-AD19</f>
        <v>-14.299999999999997</v>
      </c>
      <c r="AE20" s="7">
        <f t="shared" ref="AE20" si="96">AE17-AE18-AE19</f>
        <v>-3.7000000000000015</v>
      </c>
      <c r="AF20" s="7">
        <f t="shared" ref="AF20:AL20" si="97">AF17-AF18-AF19</f>
        <v>1.0000000000000022</v>
      </c>
      <c r="AG20" s="7">
        <f t="shared" si="97"/>
        <v>7.599999999999997</v>
      </c>
      <c r="AH20" s="7">
        <f t="shared" si="97"/>
        <v>-16.000000000000007</v>
      </c>
      <c r="AI20" s="7">
        <f t="shared" si="97"/>
        <v>-1.1000000000000003</v>
      </c>
      <c r="AJ20" s="7">
        <f t="shared" si="97"/>
        <v>-1.1000000000000003</v>
      </c>
      <c r="AK20" s="7">
        <f t="shared" si="97"/>
        <v>-0.45199999999999996</v>
      </c>
      <c r="AL20" s="7">
        <f t="shared" si="97"/>
        <v>-1.2561999999999962</v>
      </c>
      <c r="AN20" s="7">
        <f>AN17-AN18-AN19</f>
        <v>-44.200000000000031</v>
      </c>
      <c r="AO20" s="7">
        <f>AO17-AO18-AO19</f>
        <v>-41.300000000000026</v>
      </c>
      <c r="AP20" s="7">
        <f>AP17-AP18-AP19</f>
        <v>-40</v>
      </c>
      <c r="AQ20" s="7">
        <f>AQ17-AQ18-AQ19</f>
        <v>-110.20000000000006</v>
      </c>
      <c r="AR20" s="7">
        <f t="shared" ref="AR20:BA20" si="98">AR17-AR18-AR19</f>
        <v>-47.500000000000036</v>
      </c>
      <c r="AS20" s="7">
        <f t="shared" si="98"/>
        <v>-68.40000000000002</v>
      </c>
      <c r="AT20" s="7">
        <f t="shared" si="98"/>
        <v>-53.799999999999955</v>
      </c>
      <c r="AU20" s="7">
        <f t="shared" si="98"/>
        <v>-11.100000000000012</v>
      </c>
      <c r="AV20" s="7">
        <f t="shared" si="98"/>
        <v>-3.9082000000000234</v>
      </c>
      <c r="AW20" s="7">
        <f t="shared" si="98"/>
        <v>8.6646599999999818</v>
      </c>
      <c r="AX20" s="7">
        <f t="shared" si="98"/>
        <v>12.897946599999992</v>
      </c>
      <c r="AY20" s="7">
        <f t="shared" si="98"/>
        <v>16.134741243999983</v>
      </c>
      <c r="AZ20" s="7">
        <f t="shared" si="98"/>
        <v>18.69138920636</v>
      </c>
      <c r="BA20" s="7">
        <f t="shared" si="98"/>
        <v>20.250980922062826</v>
      </c>
      <c r="BB20" s="7">
        <f t="shared" ref="BB20:BF20" si="99">BB17-BB18-BB19</f>
        <v>21.195388122686868</v>
      </c>
      <c r="BC20" s="7">
        <f t="shared" si="99"/>
        <v>21.980539254854932</v>
      </c>
      <c r="BD20" s="7">
        <f t="shared" si="99"/>
        <v>22.744823242005666</v>
      </c>
      <c r="BE20" s="7">
        <f t="shared" si="99"/>
        <v>23.495672655902915</v>
      </c>
      <c r="BF20" s="7">
        <f t="shared" si="99"/>
        <v>24.239100513702851</v>
      </c>
    </row>
    <row r="21" spans="2:168" x14ac:dyDescent="0.3">
      <c r="B21" t="s">
        <v>35</v>
      </c>
      <c r="C21" s="4">
        <v>0.3</v>
      </c>
      <c r="D21" s="4">
        <v>0.6</v>
      </c>
      <c r="E21" s="4">
        <v>0.4</v>
      </c>
      <c r="F21" s="4">
        <v>-1.1000000000000001</v>
      </c>
      <c r="G21" s="4">
        <v>0.4</v>
      </c>
      <c r="H21" s="4">
        <v>0.3</v>
      </c>
      <c r="I21" s="4">
        <v>0.5</v>
      </c>
      <c r="J21" s="4">
        <v>-0.4</v>
      </c>
      <c r="K21" s="4">
        <v>0.3</v>
      </c>
      <c r="L21" s="4">
        <v>0.3</v>
      </c>
      <c r="M21" s="4">
        <v>0.2</v>
      </c>
      <c r="N21" s="4">
        <v>-0.3</v>
      </c>
      <c r="O21" s="4">
        <v>0.1</v>
      </c>
      <c r="P21" s="4">
        <v>-0.1</v>
      </c>
      <c r="Q21" s="4">
        <v>0.2</v>
      </c>
      <c r="R21" s="4">
        <v>0.6</v>
      </c>
      <c r="S21" s="4">
        <v>0.2</v>
      </c>
      <c r="T21" s="4">
        <v>0.2</v>
      </c>
      <c r="U21" s="4">
        <v>0</v>
      </c>
      <c r="V21" s="4">
        <v>0</v>
      </c>
      <c r="W21" s="4">
        <v>-0.3</v>
      </c>
      <c r="X21" s="4">
        <v>-0.3</v>
      </c>
      <c r="Y21" s="4">
        <v>0</v>
      </c>
      <c r="Z21" s="4">
        <v>0.1</v>
      </c>
      <c r="AA21" s="4">
        <v>0.3</v>
      </c>
      <c r="AB21" s="4">
        <v>0.3</v>
      </c>
      <c r="AC21" s="4">
        <v>0</v>
      </c>
      <c r="AD21" s="4">
        <v>0.3</v>
      </c>
      <c r="AE21" s="4">
        <v>0.2</v>
      </c>
      <c r="AF21" s="4">
        <v>0.3</v>
      </c>
      <c r="AG21" s="4">
        <v>0</v>
      </c>
      <c r="AH21" s="4">
        <v>0.1</v>
      </c>
      <c r="AI21" s="4">
        <v>0</v>
      </c>
      <c r="AJ21" s="4">
        <v>0</v>
      </c>
      <c r="AK21" s="4">
        <v>0</v>
      </c>
      <c r="AL21" s="4">
        <v>0</v>
      </c>
      <c r="AN21" s="4">
        <f>SUM(C21:F21)</f>
        <v>0.19999999999999973</v>
      </c>
      <c r="AO21" s="4">
        <f>SUM(G21:J21)</f>
        <v>0.79999999999999993</v>
      </c>
      <c r="AP21" s="4">
        <f>SUM(K21:N21)</f>
        <v>0.5</v>
      </c>
      <c r="AQ21" s="4">
        <f>SUM(O21:R21)</f>
        <v>0.8</v>
      </c>
      <c r="AR21" s="4">
        <f>SUM(S21:V21)</f>
        <v>0.4</v>
      </c>
      <c r="AS21" s="4">
        <f>SUM(W21:Z21)</f>
        <v>-0.5</v>
      </c>
      <c r="AT21" s="4">
        <f>SUM(AA21:AD21)</f>
        <v>0.89999999999999991</v>
      </c>
      <c r="AU21" s="4">
        <f>SUM(AE21:AH21)</f>
        <v>0.6</v>
      </c>
      <c r="AV21" s="4">
        <f>SUM(AI21:AL21)</f>
        <v>0</v>
      </c>
      <c r="AW21" s="4">
        <f t="shared" ref="AW21:BA21" si="100">AW20*0.2</f>
        <v>1.7329319999999964</v>
      </c>
      <c r="AX21" s="4">
        <f t="shared" si="100"/>
        <v>2.5795893199999984</v>
      </c>
      <c r="AY21" s="4">
        <f t="shared" si="100"/>
        <v>3.2269482487999968</v>
      </c>
      <c r="AZ21" s="4">
        <f t="shared" si="100"/>
        <v>3.7382778412720001</v>
      </c>
      <c r="BA21" s="4">
        <f t="shared" si="100"/>
        <v>4.0501961844125658</v>
      </c>
      <c r="BB21" s="4">
        <f t="shared" ref="BB21:BF21" si="101">BB20*0.2</f>
        <v>4.2390776245373738</v>
      </c>
      <c r="BC21" s="4">
        <f t="shared" si="101"/>
        <v>4.3961078509709868</v>
      </c>
      <c r="BD21" s="4">
        <f t="shared" si="101"/>
        <v>4.5489646484011335</v>
      </c>
      <c r="BE21" s="4">
        <f t="shared" si="101"/>
        <v>4.699134531180583</v>
      </c>
      <c r="BF21" s="4">
        <f t="shared" si="101"/>
        <v>4.8478201027405703</v>
      </c>
    </row>
    <row r="22" spans="2:168" x14ac:dyDescent="0.3">
      <c r="B22" t="s">
        <v>36</v>
      </c>
      <c r="C22" s="4">
        <v>0</v>
      </c>
      <c r="D22" s="4">
        <v>0</v>
      </c>
      <c r="E22" s="4">
        <v>0</v>
      </c>
      <c r="F22" s="4">
        <v>-0.1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0.1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0.9</v>
      </c>
      <c r="T22" s="4">
        <v>0.9</v>
      </c>
      <c r="U22" s="4">
        <v>1.8</v>
      </c>
      <c r="V22" s="4">
        <v>0.6</v>
      </c>
      <c r="W22" s="4">
        <v>0.7</v>
      </c>
      <c r="X22" s="4">
        <v>0.7</v>
      </c>
      <c r="Y22" s="4">
        <v>0.7</v>
      </c>
      <c r="Z22" s="4">
        <v>0.7</v>
      </c>
      <c r="AA22" s="4">
        <v>0.7</v>
      </c>
      <c r="AB22" s="4">
        <v>0.7</v>
      </c>
      <c r="AC22" s="4">
        <v>0.8</v>
      </c>
      <c r="AD22" s="4">
        <v>0.8</v>
      </c>
      <c r="AE22" s="4">
        <v>0.8</v>
      </c>
      <c r="AF22" s="4">
        <v>0.8</v>
      </c>
      <c r="AG22" s="4">
        <f>-1.4+0.8</f>
        <v>-0.59999999999999987</v>
      </c>
      <c r="AH22" s="4">
        <v>-15.9</v>
      </c>
      <c r="AI22" s="4">
        <v>-0.4</v>
      </c>
      <c r="AJ22" s="4">
        <v>0</v>
      </c>
      <c r="AK22" s="4">
        <v>0</v>
      </c>
      <c r="AL22" s="4">
        <v>0</v>
      </c>
      <c r="AN22" s="4">
        <f>SUM(C22:F22)</f>
        <v>-0.1</v>
      </c>
      <c r="AO22" s="4">
        <f>SUM(G22:J22)</f>
        <v>0</v>
      </c>
      <c r="AP22" s="4">
        <f>SUM(K22:N22)</f>
        <v>0.1</v>
      </c>
      <c r="AQ22" s="4">
        <f>SUM(O22:R22)</f>
        <v>0</v>
      </c>
      <c r="AR22" s="4">
        <f>SUM(S22:V22)</f>
        <v>4.2</v>
      </c>
      <c r="AS22" s="4">
        <f>SUM(W22:Z22)</f>
        <v>2.8</v>
      </c>
      <c r="AT22" s="4">
        <f>SUM(AA22:AD22)</f>
        <v>3</v>
      </c>
      <c r="AU22" s="4">
        <f>SUM(AE22:AH22)</f>
        <v>-14.9</v>
      </c>
      <c r="AV22" s="4">
        <f>SUM(AI22:AL22)</f>
        <v>-0.4</v>
      </c>
      <c r="AW22" s="4">
        <f t="shared" ref="AW22:BA22" si="102">AV22*1.1</f>
        <v>-0.44000000000000006</v>
      </c>
      <c r="AX22" s="4">
        <f t="shared" si="102"/>
        <v>-0.4840000000000001</v>
      </c>
      <c r="AY22" s="4">
        <f t="shared" si="102"/>
        <v>-0.5324000000000001</v>
      </c>
      <c r="AZ22" s="4">
        <f t="shared" si="102"/>
        <v>-0.58564000000000016</v>
      </c>
      <c r="BA22" s="4">
        <f t="shared" si="102"/>
        <v>-0.64420400000000022</v>
      </c>
      <c r="BB22" s="4">
        <f t="shared" ref="BB22" si="103">BA22*1.1</f>
        <v>-0.70862440000000027</v>
      </c>
      <c r="BC22" s="4">
        <f t="shared" ref="BC22" si="104">BB22*1.1</f>
        <v>-0.77948684000000035</v>
      </c>
      <c r="BD22" s="4">
        <f t="shared" ref="BD22" si="105">BC22*1.1</f>
        <v>-0.85743552400000045</v>
      </c>
      <c r="BE22" s="4">
        <f t="shared" ref="BE22" si="106">BD22*1.1</f>
        <v>-0.94317907640000054</v>
      </c>
      <c r="BF22" s="4">
        <f t="shared" ref="BF22" si="107">BE22*1.1</f>
        <v>-1.0374969840400006</v>
      </c>
    </row>
    <row r="23" spans="2:168" s="1" customFormat="1" x14ac:dyDescent="0.3">
      <c r="B23" s="1" t="s">
        <v>34</v>
      </c>
      <c r="C23" s="7">
        <f t="shared" ref="C23:P23" si="108">C20-C21-C22</f>
        <v>-16.100000000000001</v>
      </c>
      <c r="D23" s="7">
        <f t="shared" si="108"/>
        <v>-10.7</v>
      </c>
      <c r="E23" s="7">
        <f t="shared" si="108"/>
        <v>-13.699999999999994</v>
      </c>
      <c r="F23" s="7">
        <f t="shared" si="108"/>
        <v>-3.7999999999999954</v>
      </c>
      <c r="G23" s="7">
        <f t="shared" si="108"/>
        <v>-7.600000000000005</v>
      </c>
      <c r="H23" s="7">
        <f t="shared" si="108"/>
        <v>-6.8</v>
      </c>
      <c r="I23" s="7">
        <f t="shared" si="108"/>
        <v>-23.499999999999996</v>
      </c>
      <c r="J23" s="7">
        <f t="shared" si="108"/>
        <v>-4.1999999999999913</v>
      </c>
      <c r="K23" s="7">
        <f t="shared" si="108"/>
        <v>-8.2000000000000064</v>
      </c>
      <c r="L23" s="7">
        <f t="shared" si="108"/>
        <v>-10.699999999999996</v>
      </c>
      <c r="M23" s="7">
        <f t="shared" si="108"/>
        <v>-8.8999999999999968</v>
      </c>
      <c r="N23" s="7">
        <f t="shared" si="108"/>
        <v>-12.799999999999999</v>
      </c>
      <c r="O23" s="7">
        <f t="shared" si="108"/>
        <v>-18.2</v>
      </c>
      <c r="P23" s="7">
        <f t="shared" si="108"/>
        <v>-74.8</v>
      </c>
      <c r="Q23" s="7">
        <f t="shared" ref="Q23:U23" si="109">Q20-Q21-Q22</f>
        <v>-5.3999999999999995</v>
      </c>
      <c r="R23" s="7">
        <f t="shared" si="109"/>
        <v>-12.600000000000007</v>
      </c>
      <c r="S23" s="7">
        <f t="shared" si="109"/>
        <v>-17.8</v>
      </c>
      <c r="T23" s="7">
        <f t="shared" ref="T23" si="110">T20-T21-T22</f>
        <v>-13.899999999999999</v>
      </c>
      <c r="U23" s="7">
        <f t="shared" si="109"/>
        <v>-9</v>
      </c>
      <c r="V23" s="7">
        <f t="shared" ref="V23:W23" si="111">V20-V21-V22</f>
        <v>-11.399999999999988</v>
      </c>
      <c r="W23" s="7">
        <f t="shared" si="111"/>
        <v>-25.9</v>
      </c>
      <c r="X23" s="7">
        <f t="shared" ref="X23:Y23" si="112">X20-X21-X22</f>
        <v>-13.199999999999992</v>
      </c>
      <c r="Y23" s="7">
        <f t="shared" si="112"/>
        <v>-16.400000000000009</v>
      </c>
      <c r="Z23" s="7">
        <f t="shared" ref="Z23" si="113">Z20-Z21-Z22</f>
        <v>-15.200000000000001</v>
      </c>
      <c r="AA23" s="7">
        <f t="shared" ref="AA23" si="114">AA20-AA21-AA22</f>
        <v>-5.3000000000000052</v>
      </c>
      <c r="AB23" s="7">
        <f t="shared" ref="AB23:AC23" si="115">AB20-AB21-AB22</f>
        <v>-6.5000000000000062</v>
      </c>
      <c r="AC23" s="7">
        <f t="shared" si="115"/>
        <v>-30.5</v>
      </c>
      <c r="AD23" s="7">
        <f t="shared" ref="AD23" si="116">AD20-AD21-AD22</f>
        <v>-15.399999999999999</v>
      </c>
      <c r="AE23" s="7">
        <f t="shared" ref="AE23" si="117">AE20-AE21-AE22</f>
        <v>-4.700000000000002</v>
      </c>
      <c r="AF23" s="7">
        <f t="shared" ref="AF23:AH23" si="118">AF20-AF21-AF22</f>
        <v>-9.9999999999997868E-2</v>
      </c>
      <c r="AG23" s="7">
        <f t="shared" si="118"/>
        <v>8.1999999999999975</v>
      </c>
      <c r="AH23" s="7">
        <f t="shared" si="118"/>
        <v>-0.20000000000000817</v>
      </c>
      <c r="AI23" s="7">
        <f t="shared" ref="AI23:AL23" si="119">AI20-AI21-AI22</f>
        <v>-0.70000000000000029</v>
      </c>
      <c r="AJ23" s="7">
        <f t="shared" si="119"/>
        <v>-1.1000000000000003</v>
      </c>
      <c r="AK23" s="7">
        <f t="shared" si="119"/>
        <v>-0.45199999999999996</v>
      </c>
      <c r="AL23" s="7">
        <f t="shared" si="119"/>
        <v>-1.2561999999999962</v>
      </c>
      <c r="AN23" s="7">
        <f>AN20-AN21-AN22</f>
        <v>-44.300000000000033</v>
      </c>
      <c r="AO23" s="7">
        <f>AO20-AO21-AO22</f>
        <v>-42.100000000000023</v>
      </c>
      <c r="AP23" s="7">
        <f>AP20-AP21-AP22</f>
        <v>-40.6</v>
      </c>
      <c r="AQ23" s="7">
        <f>AQ20-AQ21-AQ22</f>
        <v>-111.00000000000006</v>
      </c>
      <c r="AR23" s="7">
        <f t="shared" ref="AR23:BA23" si="120">AR20-AR21-AR22</f>
        <v>-52.100000000000037</v>
      </c>
      <c r="AS23" s="7">
        <f t="shared" si="120"/>
        <v>-70.700000000000017</v>
      </c>
      <c r="AT23" s="7">
        <f t="shared" si="120"/>
        <v>-57.699999999999953</v>
      </c>
      <c r="AU23" s="7">
        <f t="shared" si="120"/>
        <v>3.1999999999999886</v>
      </c>
      <c r="AV23" s="7">
        <f t="shared" si="120"/>
        <v>-3.5082000000000235</v>
      </c>
      <c r="AW23" s="7">
        <f t="shared" si="120"/>
        <v>7.3717279999999858</v>
      </c>
      <c r="AX23" s="7">
        <f t="shared" si="120"/>
        <v>10.802357279999994</v>
      </c>
      <c r="AY23" s="7">
        <f t="shared" si="120"/>
        <v>13.440192995199988</v>
      </c>
      <c r="AZ23" s="7">
        <f t="shared" si="120"/>
        <v>15.538751365088</v>
      </c>
      <c r="BA23" s="7">
        <f t="shared" si="120"/>
        <v>16.844988737650262</v>
      </c>
      <c r="BB23" s="7">
        <f t="shared" ref="BB23:BF23" si="121">BB20-BB21-BB22</f>
        <v>17.664934898149497</v>
      </c>
      <c r="BC23" s="7">
        <f t="shared" si="121"/>
        <v>18.363918243883948</v>
      </c>
      <c r="BD23" s="7">
        <f t="shared" si="121"/>
        <v>19.053294117604533</v>
      </c>
      <c r="BE23" s="7">
        <f t="shared" si="121"/>
        <v>19.739717201122332</v>
      </c>
      <c r="BF23" s="7">
        <f t="shared" si="121"/>
        <v>20.428777395002282</v>
      </c>
      <c r="BG23" s="1">
        <f>BF23*(1+$BI$32)</f>
        <v>20.22448962105226</v>
      </c>
      <c r="BH23" s="1">
        <f t="shared" ref="BH23:DS23" si="122">BG23*(1+$BI$32)</f>
        <v>20.022244724841737</v>
      </c>
      <c r="BI23" s="1">
        <f t="shared" si="122"/>
        <v>19.822022277593319</v>
      </c>
      <c r="BJ23" s="1">
        <f t="shared" si="122"/>
        <v>19.623802054817386</v>
      </c>
      <c r="BK23" s="1">
        <f t="shared" si="122"/>
        <v>19.42756403426921</v>
      </c>
      <c r="BL23" s="1">
        <f t="shared" si="122"/>
        <v>19.233288393926518</v>
      </c>
      <c r="BM23" s="1">
        <f t="shared" si="122"/>
        <v>19.040955509987253</v>
      </c>
      <c r="BN23" s="1">
        <f t="shared" si="122"/>
        <v>18.85054595488738</v>
      </c>
      <c r="BO23" s="1">
        <f t="shared" si="122"/>
        <v>18.662040495338506</v>
      </c>
      <c r="BP23" s="1">
        <f t="shared" si="122"/>
        <v>18.475420090385121</v>
      </c>
      <c r="BQ23" s="1">
        <f t="shared" si="122"/>
        <v>18.290665889481271</v>
      </c>
      <c r="BR23" s="1">
        <f t="shared" si="122"/>
        <v>18.10775923058646</v>
      </c>
      <c r="BS23" s="1">
        <f t="shared" si="122"/>
        <v>17.926681638280595</v>
      </c>
      <c r="BT23" s="1">
        <f t="shared" si="122"/>
        <v>17.747414821897788</v>
      </c>
      <c r="BU23" s="1">
        <f t="shared" si="122"/>
        <v>17.569940673678811</v>
      </c>
      <c r="BV23" s="1">
        <f t="shared" si="122"/>
        <v>17.394241266942021</v>
      </c>
      <c r="BW23" s="1">
        <f t="shared" si="122"/>
        <v>17.220298854272603</v>
      </c>
      <c r="BX23" s="1">
        <f t="shared" si="122"/>
        <v>17.048095865729877</v>
      </c>
      <c r="BY23" s="1">
        <f t="shared" si="122"/>
        <v>16.877614907072577</v>
      </c>
      <c r="BZ23" s="1">
        <f t="shared" si="122"/>
        <v>16.70883875800185</v>
      </c>
      <c r="CA23" s="1">
        <f t="shared" si="122"/>
        <v>16.54175037042183</v>
      </c>
      <c r="CB23" s="1">
        <f t="shared" si="122"/>
        <v>16.376332866717611</v>
      </c>
      <c r="CC23" s="1">
        <f t="shared" si="122"/>
        <v>16.212569538050435</v>
      </c>
      <c r="CD23" s="1">
        <f t="shared" si="122"/>
        <v>16.050443842669932</v>
      </c>
      <c r="CE23" s="1">
        <f t="shared" si="122"/>
        <v>15.889939404243233</v>
      </c>
      <c r="CF23" s="1">
        <f t="shared" si="122"/>
        <v>15.7310400102008</v>
      </c>
      <c r="CG23" s="1">
        <f t="shared" si="122"/>
        <v>15.573729610098793</v>
      </c>
      <c r="CH23" s="1">
        <f t="shared" si="122"/>
        <v>15.417992313997805</v>
      </c>
      <c r="CI23" s="1">
        <f t="shared" si="122"/>
        <v>15.263812390857828</v>
      </c>
      <c r="CJ23" s="1">
        <f t="shared" si="122"/>
        <v>15.111174266949249</v>
      </c>
      <c r="CK23" s="1">
        <f t="shared" si="122"/>
        <v>14.960062524279756</v>
      </c>
      <c r="CL23" s="1">
        <f t="shared" si="122"/>
        <v>14.810461899036959</v>
      </c>
      <c r="CM23" s="1">
        <f t="shared" si="122"/>
        <v>14.662357280046589</v>
      </c>
      <c r="CN23" s="1">
        <f t="shared" si="122"/>
        <v>14.515733707246122</v>
      </c>
      <c r="CO23" s="1">
        <f t="shared" si="122"/>
        <v>14.37057637017366</v>
      </c>
      <c r="CP23" s="1">
        <f t="shared" si="122"/>
        <v>14.226870606471923</v>
      </c>
      <c r="CQ23" s="1">
        <f t="shared" si="122"/>
        <v>14.084601900407204</v>
      </c>
      <c r="CR23" s="1">
        <f t="shared" si="122"/>
        <v>13.943755881403131</v>
      </c>
      <c r="CS23" s="1">
        <f t="shared" si="122"/>
        <v>13.804318322589101</v>
      </c>
      <c r="CT23" s="1">
        <f t="shared" si="122"/>
        <v>13.66627513936321</v>
      </c>
      <c r="CU23" s="1">
        <f t="shared" si="122"/>
        <v>13.529612387969577</v>
      </c>
      <c r="CV23" s="1">
        <f t="shared" si="122"/>
        <v>13.394316264089881</v>
      </c>
      <c r="CW23" s="1">
        <f t="shared" si="122"/>
        <v>13.260373101448982</v>
      </c>
      <c r="CX23" s="1">
        <f t="shared" si="122"/>
        <v>13.127769370434493</v>
      </c>
      <c r="CY23" s="1">
        <f t="shared" si="122"/>
        <v>12.996491676730148</v>
      </c>
      <c r="CZ23" s="1">
        <f t="shared" si="122"/>
        <v>12.866526759962847</v>
      </c>
      <c r="DA23" s="1">
        <f t="shared" si="122"/>
        <v>12.737861492363217</v>
      </c>
      <c r="DB23" s="1">
        <f t="shared" si="122"/>
        <v>12.610482877439585</v>
      </c>
      <c r="DC23" s="1">
        <f t="shared" si="122"/>
        <v>12.484378048665189</v>
      </c>
      <c r="DD23" s="1">
        <f t="shared" si="122"/>
        <v>12.359534268178537</v>
      </c>
      <c r="DE23" s="1">
        <f t="shared" si="122"/>
        <v>12.235938925496752</v>
      </c>
      <c r="DF23" s="1">
        <f t="shared" si="122"/>
        <v>12.113579536241785</v>
      </c>
      <c r="DG23" s="1">
        <f t="shared" si="122"/>
        <v>11.992443740879366</v>
      </c>
      <c r="DH23" s="1">
        <f t="shared" si="122"/>
        <v>11.872519303470572</v>
      </c>
      <c r="DI23" s="1">
        <f t="shared" si="122"/>
        <v>11.753794110435866</v>
      </c>
      <c r="DJ23" s="1">
        <f t="shared" si="122"/>
        <v>11.636256169331507</v>
      </c>
      <c r="DK23" s="1">
        <f t="shared" si="122"/>
        <v>11.519893607638192</v>
      </c>
      <c r="DL23" s="1">
        <f t="shared" si="122"/>
        <v>11.40469467156181</v>
      </c>
      <c r="DM23" s="1">
        <f t="shared" si="122"/>
        <v>11.290647724846192</v>
      </c>
      <c r="DN23" s="1">
        <f t="shared" si="122"/>
        <v>11.17774124759773</v>
      </c>
      <c r="DO23" s="1">
        <f t="shared" si="122"/>
        <v>11.065963835121753</v>
      </c>
      <c r="DP23" s="1">
        <f t="shared" si="122"/>
        <v>10.955304196770536</v>
      </c>
      <c r="DQ23" s="1">
        <f t="shared" si="122"/>
        <v>10.84575115480283</v>
      </c>
      <c r="DR23" s="1">
        <f t="shared" si="122"/>
        <v>10.737293643254802</v>
      </c>
      <c r="DS23" s="1">
        <f t="shared" si="122"/>
        <v>10.629920706822254</v>
      </c>
      <c r="DT23" s="1">
        <f t="shared" ref="DT23:FL23" si="123">DS23*(1+$BI$32)</f>
        <v>10.523621499754032</v>
      </c>
      <c r="DU23" s="1">
        <f t="shared" si="123"/>
        <v>10.418385284756491</v>
      </c>
      <c r="DV23" s="1">
        <f t="shared" si="123"/>
        <v>10.314201431908925</v>
      </c>
      <c r="DW23" s="1">
        <f t="shared" si="123"/>
        <v>10.211059417589835</v>
      </c>
      <c r="DX23" s="1">
        <f t="shared" si="123"/>
        <v>10.108948823413936</v>
      </c>
      <c r="DY23" s="1">
        <f t="shared" si="123"/>
        <v>10.007859335179797</v>
      </c>
      <c r="DZ23" s="1">
        <f t="shared" si="123"/>
        <v>9.9077807418279988</v>
      </c>
      <c r="EA23" s="1">
        <f t="shared" si="123"/>
        <v>9.8087029344097196</v>
      </c>
      <c r="EB23" s="1">
        <f t="shared" si="123"/>
        <v>9.7106159050656231</v>
      </c>
      <c r="EC23" s="1">
        <f t="shared" si="123"/>
        <v>9.6135097460149677</v>
      </c>
      <c r="ED23" s="1">
        <f t="shared" si="123"/>
        <v>9.5173746485548172</v>
      </c>
      <c r="EE23" s="1">
        <f t="shared" si="123"/>
        <v>9.4222009020692692</v>
      </c>
      <c r="EF23" s="1">
        <f t="shared" si="123"/>
        <v>9.3279788930485772</v>
      </c>
      <c r="EG23" s="1">
        <f t="shared" si="123"/>
        <v>9.234699104118091</v>
      </c>
      <c r="EH23" s="1">
        <f t="shared" si="123"/>
        <v>9.1423521130769103</v>
      </c>
      <c r="EI23" s="1">
        <f t="shared" si="123"/>
        <v>9.0509285919461409</v>
      </c>
      <c r="EJ23" s="1">
        <f t="shared" si="123"/>
        <v>8.9604193060266795</v>
      </c>
      <c r="EK23" s="1">
        <f t="shared" si="123"/>
        <v>8.8708151129664135</v>
      </c>
      <c r="EL23" s="1">
        <f t="shared" si="123"/>
        <v>8.7821069618367495</v>
      </c>
      <c r="EM23" s="1">
        <f t="shared" si="123"/>
        <v>8.6942858922183817</v>
      </c>
      <c r="EN23" s="1">
        <f t="shared" si="123"/>
        <v>8.607343033296198</v>
      </c>
      <c r="EO23" s="1">
        <f t="shared" si="123"/>
        <v>8.5212696029632351</v>
      </c>
      <c r="EP23" s="1">
        <f t="shared" si="123"/>
        <v>8.4360569069336027</v>
      </c>
      <c r="EQ23" s="1">
        <f t="shared" si="123"/>
        <v>8.3516963378642668</v>
      </c>
      <c r="ER23" s="1">
        <f t="shared" si="123"/>
        <v>8.2681793744856247</v>
      </c>
      <c r="ES23" s="1">
        <f t="shared" si="123"/>
        <v>8.1854975807407691</v>
      </c>
      <c r="ET23" s="1">
        <f t="shared" si="123"/>
        <v>8.103642604933361</v>
      </c>
      <c r="EU23" s="1">
        <f t="shared" si="123"/>
        <v>8.0226061788840273</v>
      </c>
      <c r="EV23" s="1">
        <f t="shared" si="123"/>
        <v>7.9423801170951869</v>
      </c>
      <c r="EW23" s="1">
        <f t="shared" si="123"/>
        <v>7.8629563159242348</v>
      </c>
      <c r="EX23" s="1">
        <f t="shared" si="123"/>
        <v>7.7843267527649926</v>
      </c>
      <c r="EY23" s="1">
        <f t="shared" si="123"/>
        <v>7.7064834852373423</v>
      </c>
      <c r="EZ23" s="1">
        <f t="shared" si="123"/>
        <v>7.6294186503849684</v>
      </c>
      <c r="FA23" s="1">
        <f t="shared" si="123"/>
        <v>7.5531244638811188</v>
      </c>
      <c r="FB23" s="1">
        <f t="shared" si="123"/>
        <v>7.4775932192423076</v>
      </c>
      <c r="FC23" s="1">
        <f t="shared" si="123"/>
        <v>7.4028172870498841</v>
      </c>
      <c r="FD23" s="1">
        <f t="shared" si="123"/>
        <v>7.3287891141793855</v>
      </c>
      <c r="FE23" s="1">
        <f t="shared" si="123"/>
        <v>7.2555012230375917</v>
      </c>
      <c r="FF23" s="1">
        <f t="shared" si="123"/>
        <v>7.1829462108072155</v>
      </c>
      <c r="FG23" s="1">
        <f t="shared" si="123"/>
        <v>7.1111167486991436</v>
      </c>
      <c r="FH23" s="1">
        <f t="shared" si="123"/>
        <v>7.040005581212152</v>
      </c>
      <c r="FI23" s="1">
        <f t="shared" si="123"/>
        <v>6.9696055254000306</v>
      </c>
      <c r="FJ23" s="1">
        <f t="shared" si="123"/>
        <v>6.8999094701460306</v>
      </c>
      <c r="FK23" s="1">
        <f t="shared" si="123"/>
        <v>6.8309103754445699</v>
      </c>
      <c r="FL23" s="1">
        <f t="shared" si="123"/>
        <v>6.7626012716901238</v>
      </c>
    </row>
    <row r="24" spans="2:168" x14ac:dyDescent="0.3">
      <c r="B24" t="s">
        <v>2</v>
      </c>
      <c r="C24" s="4">
        <v>97.16</v>
      </c>
      <c r="D24" s="4">
        <v>97.16</v>
      </c>
      <c r="E24" s="4">
        <v>97.16</v>
      </c>
      <c r="F24" s="4">
        <v>97.16</v>
      </c>
      <c r="G24" s="4">
        <v>97.16</v>
      </c>
      <c r="H24" s="4">
        <v>97.16</v>
      </c>
      <c r="I24" s="4">
        <v>97.16</v>
      </c>
      <c r="J24" s="4">
        <v>97.16</v>
      </c>
      <c r="K24" s="4">
        <v>97.16</v>
      </c>
      <c r="L24" s="4">
        <v>97.16</v>
      </c>
      <c r="M24" s="4">
        <v>97.16</v>
      </c>
      <c r="N24" s="4">
        <v>97.16</v>
      </c>
      <c r="O24" s="4">
        <v>97.16</v>
      </c>
      <c r="P24" s="4">
        <v>97.16</v>
      </c>
      <c r="Q24" s="4">
        <v>98.9</v>
      </c>
      <c r="R24" s="4">
        <v>98.9</v>
      </c>
      <c r="S24" s="4">
        <v>98.9</v>
      </c>
      <c r="T24" s="4">
        <v>12.3</v>
      </c>
      <c r="U24" s="4">
        <v>12.3</v>
      </c>
      <c r="V24" s="4">
        <v>12.3</v>
      </c>
      <c r="W24" s="4">
        <v>12.3</v>
      </c>
      <c r="X24" s="4">
        <v>12.3</v>
      </c>
      <c r="Y24" s="4">
        <v>12.3</v>
      </c>
      <c r="Z24" s="4">
        <v>12.3</v>
      </c>
      <c r="AA24" s="4">
        <v>12.3</v>
      </c>
      <c r="AB24" s="4">
        <v>12.3</v>
      </c>
      <c r="AC24" s="4">
        <v>12.3</v>
      </c>
      <c r="AD24" s="4">
        <v>12.3</v>
      </c>
      <c r="AE24" s="4">
        <v>12.3</v>
      </c>
      <c r="AF24" s="4">
        <v>12.3</v>
      </c>
      <c r="AG24" s="4">
        <v>14.95</v>
      </c>
      <c r="AH24" s="4">
        <f>14</f>
        <v>14</v>
      </c>
      <c r="AI24" s="4">
        <v>15</v>
      </c>
      <c r="AJ24" s="4">
        <v>15</v>
      </c>
      <c r="AK24" s="4">
        <v>15</v>
      </c>
      <c r="AL24" s="4">
        <v>15</v>
      </c>
      <c r="AN24" s="4">
        <v>97.16</v>
      </c>
      <c r="AO24" s="4">
        <v>97.16</v>
      </c>
      <c r="AP24" s="4">
        <v>97.16</v>
      </c>
      <c r="AQ24" s="4">
        <v>97.16</v>
      </c>
      <c r="AR24" s="4">
        <v>98.9</v>
      </c>
      <c r="AS24" s="4">
        <v>98.9</v>
      </c>
      <c r="AT24" s="4">
        <v>98.9</v>
      </c>
      <c r="AU24" s="4">
        <f>14</f>
        <v>14</v>
      </c>
      <c r="AV24" s="4">
        <v>15</v>
      </c>
      <c r="AW24" s="4">
        <v>15</v>
      </c>
      <c r="AX24" s="4">
        <v>15</v>
      </c>
      <c r="AY24" s="4">
        <v>15</v>
      </c>
      <c r="AZ24" s="4">
        <v>15</v>
      </c>
      <c r="BA24" s="4">
        <v>15</v>
      </c>
      <c r="BB24" s="4">
        <v>15</v>
      </c>
      <c r="BC24" s="4">
        <v>15</v>
      </c>
      <c r="BD24" s="4">
        <v>15</v>
      </c>
      <c r="BE24" s="4">
        <v>15</v>
      </c>
      <c r="BF24" s="4">
        <v>15</v>
      </c>
    </row>
    <row r="25" spans="2:168" s="1" customFormat="1" x14ac:dyDescent="0.3">
      <c r="B25" s="1" t="s">
        <v>38</v>
      </c>
      <c r="C25" s="8">
        <f t="shared" ref="C25:P25" si="124">C23/C24</f>
        <v>-0.16570605187319887</v>
      </c>
      <c r="D25" s="8">
        <f t="shared" si="124"/>
        <v>-0.11012762453684644</v>
      </c>
      <c r="E25" s="8">
        <f t="shared" si="124"/>
        <v>-0.14100452861259771</v>
      </c>
      <c r="F25" s="8">
        <f t="shared" si="124"/>
        <v>-3.9110745162618317E-2</v>
      </c>
      <c r="G25" s="8">
        <f t="shared" si="124"/>
        <v>-7.8221490325236773E-2</v>
      </c>
      <c r="H25" s="8">
        <f t="shared" si="124"/>
        <v>-6.9987649238369698E-2</v>
      </c>
      <c r="I25" s="8">
        <f t="shared" si="124"/>
        <v>-0.2418690819267188</v>
      </c>
      <c r="J25" s="8">
        <f t="shared" si="124"/>
        <v>-4.3227665706051785E-2</v>
      </c>
      <c r="K25" s="8">
        <f t="shared" si="124"/>
        <v>-8.4396871140387061E-2</v>
      </c>
      <c r="L25" s="8">
        <f t="shared" si="124"/>
        <v>-0.11012762453684639</v>
      </c>
      <c r="M25" s="8">
        <f t="shared" si="124"/>
        <v>-9.1601482091395611E-2</v>
      </c>
      <c r="N25" s="8">
        <f t="shared" si="124"/>
        <v>-0.13174145738987236</v>
      </c>
      <c r="O25" s="8">
        <f t="shared" si="124"/>
        <v>-0.18731988472622479</v>
      </c>
      <c r="P25" s="8">
        <f t="shared" si="124"/>
        <v>-0.76986414162206673</v>
      </c>
      <c r="Q25" s="8">
        <f t="shared" ref="Q25:U25" si="125">Q23/Q24</f>
        <v>-5.4600606673407472E-2</v>
      </c>
      <c r="R25" s="8">
        <f t="shared" si="125"/>
        <v>-0.12740141557128418</v>
      </c>
      <c r="S25" s="8">
        <f t="shared" si="125"/>
        <v>-0.17997977755308392</v>
      </c>
      <c r="T25" s="8">
        <f t="shared" ref="T25" si="126">T23/T24</f>
        <v>-1.1300813008130079</v>
      </c>
      <c r="U25" s="8">
        <f t="shared" si="125"/>
        <v>-0.73170731707317072</v>
      </c>
      <c r="V25" s="8">
        <f t="shared" ref="V25:W25" si="127">V23/V24</f>
        <v>-0.92682926829268186</v>
      </c>
      <c r="W25" s="8">
        <f t="shared" si="127"/>
        <v>-2.1056910569105689</v>
      </c>
      <c r="X25" s="8">
        <f t="shared" ref="X25:Y25" si="128">X23/X24</f>
        <v>-1.0731707317073165</v>
      </c>
      <c r="Y25" s="8">
        <f t="shared" si="128"/>
        <v>-1.3333333333333339</v>
      </c>
      <c r="Z25" s="8">
        <f t="shared" ref="Z25" si="129">Z23/Z24</f>
        <v>-1.2357723577235773</v>
      </c>
      <c r="AA25" s="8">
        <f t="shared" ref="AA25" si="130">AA23/AA24</f>
        <v>-0.43089430894308983</v>
      </c>
      <c r="AB25" s="8">
        <f t="shared" ref="AB25:AC25" si="131">AB23/AB24</f>
        <v>-0.52845528455284596</v>
      </c>
      <c r="AC25" s="8">
        <f t="shared" si="131"/>
        <v>-2.4796747967479673</v>
      </c>
      <c r="AD25" s="8">
        <f t="shared" ref="AD25" si="132">AD23/AD24</f>
        <v>-1.252032520325203</v>
      </c>
      <c r="AE25" s="8">
        <f t="shared" ref="AE25" si="133">AE23/AE24</f>
        <v>-0.38211382113821152</v>
      </c>
      <c r="AF25" s="8">
        <f t="shared" ref="AF25:AH25" si="134">AF23/AF24</f>
        <v>-8.1300813008128338E-3</v>
      </c>
      <c r="AG25" s="8">
        <f t="shared" si="134"/>
        <v>0.54849498327759183</v>
      </c>
      <c r="AH25" s="8">
        <f t="shared" si="134"/>
        <v>-1.428571428571487E-2</v>
      </c>
      <c r="AI25" s="8">
        <f t="shared" ref="AI25:AL25" si="135">AI23/AI24</f>
        <v>-4.6666666666666683E-2</v>
      </c>
      <c r="AJ25" s="8">
        <f t="shared" si="135"/>
        <v>-7.3333333333333348E-2</v>
      </c>
      <c r="AK25" s="8">
        <f t="shared" si="135"/>
        <v>-3.0133333333333331E-2</v>
      </c>
      <c r="AL25" s="8">
        <f t="shared" si="135"/>
        <v>-8.3746666666666414E-2</v>
      </c>
      <c r="AN25" s="8">
        <f>AN23/AN24</f>
        <v>-0.45594895018526177</v>
      </c>
      <c r="AO25" s="8">
        <f>AO23/AO24</f>
        <v>-0.43330588719637736</v>
      </c>
      <c r="AP25" s="8">
        <f>AP23/AP24</f>
        <v>-0.41786743515850144</v>
      </c>
      <c r="AQ25" s="8">
        <f>AQ23/AQ24</f>
        <v>-1.1424454508028001</v>
      </c>
      <c r="AR25" s="8">
        <f t="shared" ref="AR25:BA25" si="136">AR23/AR24</f>
        <v>-0.52679474216380218</v>
      </c>
      <c r="AS25" s="8">
        <f t="shared" si="136"/>
        <v>-0.71486349848331665</v>
      </c>
      <c r="AT25" s="8">
        <f t="shared" si="136"/>
        <v>-0.5834175935288165</v>
      </c>
      <c r="AU25" s="8">
        <f t="shared" si="136"/>
        <v>0.22857142857142776</v>
      </c>
      <c r="AV25" s="8">
        <f t="shared" si="136"/>
        <v>-0.23388000000000156</v>
      </c>
      <c r="AW25" s="8">
        <f t="shared" si="136"/>
        <v>0.49144853333333238</v>
      </c>
      <c r="AX25" s="8">
        <f t="shared" si="136"/>
        <v>0.72015715199999952</v>
      </c>
      <c r="AY25" s="8">
        <f t="shared" si="136"/>
        <v>0.89601286634666588</v>
      </c>
      <c r="AZ25" s="8">
        <f t="shared" si="136"/>
        <v>1.0359167576725334</v>
      </c>
      <c r="BA25" s="8">
        <f t="shared" si="136"/>
        <v>1.122999249176684</v>
      </c>
      <c r="BB25" s="8">
        <f t="shared" ref="BB25:BF25" si="137">BB23/BB24</f>
        <v>1.1776623265432997</v>
      </c>
      <c r="BC25" s="8">
        <f t="shared" si="137"/>
        <v>1.2242612162589299</v>
      </c>
      <c r="BD25" s="8">
        <f t="shared" si="137"/>
        <v>1.2702196078403023</v>
      </c>
      <c r="BE25" s="8">
        <f t="shared" si="137"/>
        <v>1.3159811467414888</v>
      </c>
      <c r="BF25" s="8">
        <f t="shared" si="137"/>
        <v>1.3619184930001522</v>
      </c>
    </row>
    <row r="27" spans="2:168" x14ac:dyDescent="0.3">
      <c r="B27" t="s">
        <v>82</v>
      </c>
      <c r="AD27" s="9">
        <f t="shared" ref="AD27:AD28" si="138">AD3/Z3-1</f>
        <v>-0.2558139534883721</v>
      </c>
      <c r="AE27" s="9">
        <f t="shared" ref="AE27:AE28" si="139">AE3/AA3-1</f>
        <v>-0.33478260869565213</v>
      </c>
      <c r="AF27" s="9">
        <f t="shared" ref="AF27:AH28" si="140">AF3/AB3-1</f>
        <v>0.37037037037037046</v>
      </c>
      <c r="AG27" s="9">
        <f t="shared" si="140"/>
        <v>0.43555555555555547</v>
      </c>
      <c r="AH27" s="9">
        <f t="shared" si="140"/>
        <v>0.59375</v>
      </c>
      <c r="AI27" s="9">
        <f t="shared" ref="AI27:AI31" si="141">AI3/AE3-1</f>
        <v>0.1633986928104576</v>
      </c>
      <c r="AJ27" s="9">
        <f t="shared" ref="AJ27:AJ31" si="142">AJ3/AF3-1</f>
        <v>-0.31274131274131267</v>
      </c>
      <c r="AK27" s="9">
        <f t="shared" ref="AK27:AK31" si="143">AK3/AG3-1</f>
        <v>-0.41176470588235292</v>
      </c>
      <c r="AL27" s="9">
        <f t="shared" ref="AL27:AL31" si="144">AL3/AH3-1</f>
        <v>-0.25490196078431371</v>
      </c>
      <c r="AT27" s="9">
        <f t="shared" ref="AO27:BA30" si="145">AT3/AS3-1</f>
        <v>-0.43902439024390238</v>
      </c>
      <c r="AU27" s="9">
        <f t="shared" ref="AU27:AU28" si="146">AU3/AT3-1</f>
        <v>0.22981366459627339</v>
      </c>
      <c r="AV27" s="9">
        <f t="shared" ref="AV27:AV28" si="147">AV3/AU3-1</f>
        <v>-0.25656565656565666</v>
      </c>
      <c r="AW27" s="9">
        <f t="shared" ref="AW27:AW28" si="148">AW3/AV3-1</f>
        <v>0.14999999999999991</v>
      </c>
      <c r="AX27" s="9">
        <f t="shared" ref="AX27:AX28" si="149">AX3/AW3-1</f>
        <v>0.10000000000000009</v>
      </c>
      <c r="AY27" s="9">
        <f t="shared" ref="AY27:AY28" si="150">AY3/AX3-1</f>
        <v>8.0000000000000071E-2</v>
      </c>
      <c r="AZ27" s="9">
        <f t="shared" ref="AZ27:AZ28" si="151">AZ3/AY3-1</f>
        <v>5.0000000000000044E-2</v>
      </c>
      <c r="BA27" s="9">
        <f t="shared" ref="BA27:BA28" si="152">BA3/AZ3-1</f>
        <v>4.0000000000000036E-2</v>
      </c>
      <c r="BB27" s="9">
        <f t="shared" ref="BB27:BB28" si="153">BB3/BA3-1</f>
        <v>3.0000000000000027E-2</v>
      </c>
      <c r="BC27" s="9">
        <f t="shared" ref="BC27:BC28" si="154">BC3/BB3-1</f>
        <v>2.0000000000000018E-2</v>
      </c>
      <c r="BD27" s="9">
        <f t="shared" ref="BD27:BD28" si="155">BD3/BC3-1</f>
        <v>2.0000000000000018E-2</v>
      </c>
      <c r="BE27" s="9">
        <f t="shared" ref="BE27:BE28" si="156">BE3/BD3-1</f>
        <v>2.0000000000000018E-2</v>
      </c>
      <c r="BF27" s="9">
        <f t="shared" ref="BF27:BF28" si="157">BF3/BE3-1</f>
        <v>2.0000000000000018E-2</v>
      </c>
    </row>
    <row r="28" spans="2:168" x14ac:dyDescent="0.3">
      <c r="B28" t="s">
        <v>83</v>
      </c>
      <c r="AD28" s="9">
        <f t="shared" si="138"/>
        <v>-0.24848484848484842</v>
      </c>
      <c r="AE28" s="9">
        <f t="shared" si="139"/>
        <v>0.19327731092436973</v>
      </c>
      <c r="AF28" s="9">
        <f t="shared" si="140"/>
        <v>-0.31794871794871793</v>
      </c>
      <c r="AG28" s="9">
        <f t="shared" si="140"/>
        <v>-0.12612612612612617</v>
      </c>
      <c r="AH28" s="9">
        <f t="shared" si="140"/>
        <v>-0.16129032258064513</v>
      </c>
      <c r="AI28" s="9">
        <f t="shared" si="141"/>
        <v>-0.86619718309859151</v>
      </c>
      <c r="AJ28" s="9">
        <f t="shared" si="142"/>
        <v>-0.85714285714285721</v>
      </c>
      <c r="AK28" s="9">
        <f t="shared" si="143"/>
        <v>-0.79381443298969068</v>
      </c>
      <c r="AL28" s="9">
        <f t="shared" si="144"/>
        <v>-0.80769230769230771</v>
      </c>
      <c r="AT28" s="9">
        <f t="shared" si="145"/>
        <v>0.25917431192660545</v>
      </c>
      <c r="AU28" s="9">
        <f t="shared" si="146"/>
        <v>-0.13296903460837883</v>
      </c>
      <c r="AV28" s="9">
        <f t="shared" si="147"/>
        <v>-0.83613445378151263</v>
      </c>
      <c r="AW28" s="9">
        <f t="shared" si="148"/>
        <v>-1.9999999999999907E-2</v>
      </c>
      <c r="AX28" s="9">
        <f t="shared" si="149"/>
        <v>-2.0000000000000129E-2</v>
      </c>
      <c r="AY28" s="9">
        <f t="shared" si="150"/>
        <v>-1.9999999999999907E-2</v>
      </c>
      <c r="AZ28" s="9">
        <f t="shared" si="151"/>
        <v>-2.0000000000000018E-2</v>
      </c>
      <c r="BA28" s="9">
        <f t="shared" si="152"/>
        <v>-2.0000000000000018E-2</v>
      </c>
      <c r="BB28" s="9">
        <f t="shared" si="153"/>
        <v>-2.0000000000000018E-2</v>
      </c>
      <c r="BC28" s="9">
        <f t="shared" si="154"/>
        <v>-2.0000000000000018E-2</v>
      </c>
      <c r="BD28" s="9">
        <f t="shared" si="155"/>
        <v>-2.0000000000000018E-2</v>
      </c>
      <c r="BE28" s="9">
        <f t="shared" si="156"/>
        <v>-2.0000000000000018E-2</v>
      </c>
      <c r="BF28" s="9">
        <f t="shared" si="157"/>
        <v>-2.0000000000000018E-2</v>
      </c>
    </row>
    <row r="29" spans="2:168" x14ac:dyDescent="0.3">
      <c r="B29" t="s">
        <v>49</v>
      </c>
      <c r="G29" s="9">
        <f>G5/C5-1</f>
        <v>-0.25515463917525771</v>
      </c>
      <c r="H29" s="9">
        <f t="shared" ref="H29:R29" si="158">H5/D5-1</f>
        <v>-0.26620370370370372</v>
      </c>
      <c r="I29" s="9">
        <f t="shared" si="158"/>
        <v>-0.19158878504672894</v>
      </c>
      <c r="J29" s="9">
        <f t="shared" si="158"/>
        <v>0.26100628930817615</v>
      </c>
      <c r="K29" s="9">
        <f t="shared" si="158"/>
        <v>0.134948096885813</v>
      </c>
      <c r="L29" s="9">
        <f t="shared" si="158"/>
        <v>0.26182965299684535</v>
      </c>
      <c r="M29" s="9">
        <f t="shared" si="158"/>
        <v>0.32658959537572252</v>
      </c>
      <c r="N29" s="9">
        <f t="shared" si="158"/>
        <v>-0.11471321695760606</v>
      </c>
      <c r="O29" s="9">
        <f t="shared" si="158"/>
        <v>0.23170731707317072</v>
      </c>
      <c r="P29" s="9">
        <f t="shared" si="158"/>
        <v>0.65500000000000003</v>
      </c>
      <c r="Q29" s="9">
        <f t="shared" si="158"/>
        <v>0.68409586056644889</v>
      </c>
      <c r="R29" s="9">
        <f t="shared" si="158"/>
        <v>1.0309859154929577</v>
      </c>
      <c r="S29" s="9">
        <f t="shared" ref="S29:V31" si="159">S5/O5-1</f>
        <v>6.4356435643564414E-2</v>
      </c>
      <c r="T29" s="9">
        <f t="shared" si="159"/>
        <v>-0.21752265861027198</v>
      </c>
      <c r="U29" s="9">
        <f t="shared" si="159"/>
        <v>-0.26261319534282013</v>
      </c>
      <c r="V29" s="9">
        <f t="shared" si="159"/>
        <v>-8.1830790568654499E-2</v>
      </c>
      <c r="W29" s="9">
        <f t="shared" ref="W29:W31" si="160">W5/S5-1</f>
        <v>0.26744186046511631</v>
      </c>
      <c r="X29" s="9">
        <f t="shared" ref="X29:X31" si="161">X5/T5-1</f>
        <v>6.1776061776061875E-2</v>
      </c>
      <c r="Y29" s="9">
        <f t="shared" ref="Y29:Y31" si="162">Y5/U5-1</f>
        <v>9.8245614035087803E-2</v>
      </c>
      <c r="Z29" s="9">
        <f t="shared" ref="Z29:Z31" si="163">Z5/V5-1</f>
        <v>-0.42598187311178248</v>
      </c>
      <c r="AA29" s="9">
        <f t="shared" ref="AA29:AA31" si="164">AA5/W5-1</f>
        <v>-0.3596330275229358</v>
      </c>
      <c r="AB29" s="9">
        <f t="shared" ref="AB29:AB31" si="165">AB5/X5-1</f>
        <v>-0.30181818181818187</v>
      </c>
      <c r="AC29" s="9">
        <f t="shared" ref="AC29:AC31" si="166">AC5/Y5-1</f>
        <v>-0.46325878594249204</v>
      </c>
      <c r="AD29" s="9">
        <f t="shared" ref="AD29:AD31" si="167">AD5/Z5-1</f>
        <v>-0.25263157894736843</v>
      </c>
      <c r="AE29" s="9">
        <f t="shared" ref="AE29:AE31" si="168">AE5/AA5-1</f>
        <v>-0.15472779369627498</v>
      </c>
      <c r="AF29" s="9">
        <f t="shared" ref="AF29:AF31" si="169">AF5/AB5-1</f>
        <v>2.0833333333333481E-2</v>
      </c>
      <c r="AG29" s="9">
        <f t="shared" ref="AG29:AG31" si="170">AG5/AC5-1</f>
        <v>0.25</v>
      </c>
      <c r="AH29" s="9">
        <f t="shared" ref="AH29:AH31" si="171">AH5/AD5-1</f>
        <v>0.2640845070422535</v>
      </c>
      <c r="AI29" s="9">
        <f t="shared" si="141"/>
        <v>-0.33220338983050846</v>
      </c>
      <c r="AJ29" s="9">
        <f t="shared" si="142"/>
        <v>-0.49744897959183676</v>
      </c>
      <c r="AK29" s="9">
        <f t="shared" si="143"/>
        <v>-0.5</v>
      </c>
      <c r="AL29" s="9">
        <f t="shared" si="144"/>
        <v>-0.41504178272980496</v>
      </c>
      <c r="AN29" s="9"/>
      <c r="AO29" s="9">
        <f t="shared" si="145"/>
        <v>-0.13601532567049812</v>
      </c>
      <c r="AP29" s="9">
        <f t="shared" si="145"/>
        <v>0.13968957871396892</v>
      </c>
      <c r="AQ29" s="9">
        <f t="shared" si="145"/>
        <v>0.66018158236057056</v>
      </c>
      <c r="AR29" s="9">
        <f t="shared" si="145"/>
        <v>-0.14843749999999989</v>
      </c>
      <c r="AS29" s="9">
        <f t="shared" si="145"/>
        <v>-3.6238532110091759E-2</v>
      </c>
      <c r="AT29" s="9">
        <f t="shared" si="145"/>
        <v>-0.35602094240837689</v>
      </c>
      <c r="AU29" s="9">
        <f t="shared" si="145"/>
        <v>8.3518107908351569E-2</v>
      </c>
      <c r="AV29" s="9">
        <f t="shared" si="145"/>
        <v>-0.44474761255115969</v>
      </c>
      <c r="AW29" s="9">
        <f t="shared" si="145"/>
        <v>0.13371007371007382</v>
      </c>
      <c r="AX29" s="9">
        <f t="shared" si="145"/>
        <v>9.0060248797191322E-2</v>
      </c>
      <c r="AY29" s="9">
        <f t="shared" si="145"/>
        <v>7.2553197411564518E-2</v>
      </c>
      <c r="AZ29" s="9">
        <f t="shared" si="145"/>
        <v>4.5237059953767034E-2</v>
      </c>
      <c r="BA29" s="9">
        <f t="shared" si="145"/>
        <v>3.6172284936957011E-2</v>
      </c>
      <c r="BB29" s="9">
        <f t="shared" ref="BB29:BB31" si="172">BB5/BA5-1</f>
        <v>2.6983158740174984E-2</v>
      </c>
      <c r="BC29" s="9">
        <f t="shared" ref="BC29:BC31" si="173">BC5/BB5-1</f>
        <v>1.7696940278354223E-2</v>
      </c>
      <c r="BD29" s="9">
        <f t="shared" ref="BD29:BD31" si="174">BD5/BC5-1</f>
        <v>1.7782248881877072E-2</v>
      </c>
      <c r="BE29" s="9">
        <f t="shared" ref="BE29:BE31" si="175">BE5/BD5-1</f>
        <v>1.7864576535749022E-2</v>
      </c>
      <c r="BF29" s="9">
        <f t="shared" ref="BF29:BF31" si="176">BF5/BE5-1</f>
        <v>1.7944014318595825E-2</v>
      </c>
    </row>
    <row r="30" spans="2:168" x14ac:dyDescent="0.3">
      <c r="B30" t="s">
        <v>50</v>
      </c>
      <c r="G30" s="9">
        <f>G6/C6-1</f>
        <v>7.8313253012048056E-2</v>
      </c>
      <c r="H30" s="9">
        <f t="shared" ref="H30:R30" si="177">H6/D6-1</f>
        <v>3.5928143712574911E-2</v>
      </c>
      <c r="I30" s="9">
        <f t="shared" si="177"/>
        <v>8.8435374149659962E-2</v>
      </c>
      <c r="J30" s="9">
        <f t="shared" si="177"/>
        <v>8.1081081081080919E-2</v>
      </c>
      <c r="K30" s="9">
        <f t="shared" si="177"/>
        <v>-0.11731843575418988</v>
      </c>
      <c r="L30" s="9">
        <f t="shared" si="177"/>
        <v>-7.5144508670520249E-2</v>
      </c>
      <c r="M30" s="9">
        <f t="shared" si="177"/>
        <v>5.0000000000000044E-2</v>
      </c>
      <c r="N30" s="9">
        <f t="shared" si="177"/>
        <v>5.6249999999999911E-2</v>
      </c>
      <c r="O30" s="9">
        <f t="shared" si="177"/>
        <v>4.4303797468354444E-2</v>
      </c>
      <c r="P30" s="9">
        <f t="shared" si="177"/>
        <v>-9.9999999999999978E-2</v>
      </c>
      <c r="Q30" s="9">
        <f t="shared" si="177"/>
        <v>-0.23214285714285721</v>
      </c>
      <c r="R30" s="9">
        <f t="shared" si="177"/>
        <v>-0.17159763313609455</v>
      </c>
      <c r="S30" s="9">
        <f t="shared" si="159"/>
        <v>-0.11515151515151523</v>
      </c>
      <c r="T30" s="9">
        <f t="shared" si="159"/>
        <v>-3.472222222222221E-2</v>
      </c>
      <c r="U30" s="9">
        <f t="shared" si="159"/>
        <v>-0.28682170542635665</v>
      </c>
      <c r="V30" s="9">
        <f t="shared" si="159"/>
        <v>-0.52142857142857135</v>
      </c>
      <c r="W30" s="9">
        <f t="shared" si="160"/>
        <v>-0.52739726027397249</v>
      </c>
      <c r="X30" s="9">
        <f t="shared" si="161"/>
        <v>-0.51798561151079137</v>
      </c>
      <c r="Y30" s="9">
        <f t="shared" si="162"/>
        <v>-0.29347826086956519</v>
      </c>
      <c r="Z30" s="9">
        <f t="shared" si="163"/>
        <v>1.2388059701492535</v>
      </c>
      <c r="AA30" s="9">
        <f t="shared" si="164"/>
        <v>1.3043478260869565</v>
      </c>
      <c r="AB30" s="9">
        <f t="shared" si="165"/>
        <v>1.2686567164179103</v>
      </c>
      <c r="AC30" s="9">
        <f t="shared" si="166"/>
        <v>0.10769230769230775</v>
      </c>
      <c r="AD30" s="9">
        <f t="shared" si="167"/>
        <v>-4.6666666666666634E-2</v>
      </c>
      <c r="AE30" s="9">
        <f t="shared" si="168"/>
        <v>-1.8867924528301883E-2</v>
      </c>
      <c r="AF30" s="9">
        <f t="shared" si="169"/>
        <v>0.31578947368421062</v>
      </c>
      <c r="AG30" s="9">
        <f t="shared" si="170"/>
        <v>0.66666666666666652</v>
      </c>
      <c r="AH30" s="9">
        <f t="shared" si="171"/>
        <v>-0.14685314685314699</v>
      </c>
      <c r="AI30" s="9">
        <f t="shared" si="141"/>
        <v>-0.23076923076923073</v>
      </c>
      <c r="AJ30" s="9">
        <f t="shared" si="142"/>
        <v>-0.4</v>
      </c>
      <c r="AK30" s="9">
        <f t="shared" si="143"/>
        <v>0.10000000000000009</v>
      </c>
      <c r="AL30" s="9">
        <f t="shared" si="144"/>
        <v>0.10000000000000009</v>
      </c>
      <c r="AN30" s="9"/>
      <c r="AO30" s="9">
        <f t="shared" si="145"/>
        <v>7.0063694267515908E-2</v>
      </c>
      <c r="AP30" s="9">
        <f t="shared" si="145"/>
        <v>-2.5297619047619069E-2</v>
      </c>
      <c r="AQ30" s="9">
        <f t="shared" si="145"/>
        <v>-0.11755725190839694</v>
      </c>
      <c r="AR30" s="9">
        <f t="shared" si="145"/>
        <v>-0.23183391003460196</v>
      </c>
      <c r="AS30" s="9">
        <f t="shared" si="145"/>
        <v>-0.20945945945945954</v>
      </c>
      <c r="AT30" s="9">
        <f t="shared" si="145"/>
        <v>0.49857549857549865</v>
      </c>
      <c r="AU30" s="9">
        <f t="shared" si="145"/>
        <v>0.13688212927756638</v>
      </c>
      <c r="AV30" s="9">
        <f t="shared" si="145"/>
        <v>-0.15351170568561856</v>
      </c>
      <c r="AW30" s="9">
        <f t="shared" si="145"/>
        <v>0.14999999999999991</v>
      </c>
      <c r="AX30" s="9">
        <f t="shared" si="145"/>
        <v>9.000000000000008E-2</v>
      </c>
      <c r="AY30" s="9">
        <f t="shared" si="145"/>
        <v>6.0000000000000053E-2</v>
      </c>
      <c r="AZ30" s="9">
        <f t="shared" si="145"/>
        <v>5.0000000000000044E-2</v>
      </c>
      <c r="BA30" s="9">
        <f t="shared" si="145"/>
        <v>3.0000000000000027E-2</v>
      </c>
      <c r="BB30" s="9">
        <f t="shared" si="172"/>
        <v>2.0000000000000018E-2</v>
      </c>
      <c r="BC30" s="9">
        <f t="shared" si="173"/>
        <v>2.0000000000000018E-2</v>
      </c>
      <c r="BD30" s="9">
        <f t="shared" si="174"/>
        <v>2.0000000000000018E-2</v>
      </c>
      <c r="BE30" s="9">
        <f t="shared" si="175"/>
        <v>2.0000000000000018E-2</v>
      </c>
      <c r="BF30" s="9">
        <f t="shared" si="176"/>
        <v>2.0000000000000018E-2</v>
      </c>
    </row>
    <row r="31" spans="2:168" x14ac:dyDescent="0.3">
      <c r="B31" s="1" t="s">
        <v>43</v>
      </c>
      <c r="G31" s="9">
        <f>G7/C7-1</f>
        <v>-0.15523465703971118</v>
      </c>
      <c r="H31" s="9">
        <f t="shared" ref="H31:R31" si="178">H7/D7-1</f>
        <v>-0.1819699499165276</v>
      </c>
      <c r="I31" s="9">
        <f t="shared" si="178"/>
        <v>-0.12</v>
      </c>
      <c r="J31" s="9">
        <f t="shared" si="178"/>
        <v>0.20386266094420602</v>
      </c>
      <c r="K31" s="9">
        <f t="shared" si="178"/>
        <v>3.8461538461538325E-2</v>
      </c>
      <c r="L31" s="9">
        <f t="shared" si="178"/>
        <v>0.14285714285714279</v>
      </c>
      <c r="M31" s="9">
        <f t="shared" si="178"/>
        <v>0.23913043478260865</v>
      </c>
      <c r="N31" s="9">
        <f t="shared" si="178"/>
        <v>-6.5953654188948385E-2</v>
      </c>
      <c r="O31" s="9">
        <f t="shared" si="178"/>
        <v>0.17078189300411539</v>
      </c>
      <c r="P31" s="9">
        <f t="shared" si="178"/>
        <v>0.4392857142857145</v>
      </c>
      <c r="Q31" s="9">
        <f t="shared" si="178"/>
        <v>0.43859649122807021</v>
      </c>
      <c r="R31" s="9">
        <f t="shared" si="178"/>
        <v>0.64312977099236646</v>
      </c>
      <c r="S31" s="9">
        <f t="shared" si="159"/>
        <v>1.2302284710017597E-2</v>
      </c>
      <c r="T31" s="9">
        <f t="shared" si="159"/>
        <v>-0.18486352357320102</v>
      </c>
      <c r="U31" s="9">
        <f t="shared" si="159"/>
        <v>-0.26607538802660757</v>
      </c>
      <c r="V31" s="9">
        <f t="shared" si="159"/>
        <v>-0.15331010452961658</v>
      </c>
      <c r="W31" s="9">
        <f t="shared" si="160"/>
        <v>6.5972222222222099E-2</v>
      </c>
      <c r="X31" s="9">
        <f t="shared" si="161"/>
        <v>-6.0882800608828003E-2</v>
      </c>
      <c r="Y31" s="9">
        <f t="shared" si="162"/>
        <v>4.3806646525679671E-2</v>
      </c>
      <c r="Z31" s="9">
        <f t="shared" si="163"/>
        <v>-0.27297668038408784</v>
      </c>
      <c r="AA31" s="9">
        <f t="shared" si="164"/>
        <v>-0.17263843648208477</v>
      </c>
      <c r="AB31" s="9">
        <f t="shared" si="165"/>
        <v>-0.13128038897893046</v>
      </c>
      <c r="AC31" s="9">
        <f t="shared" si="166"/>
        <v>-0.40955137481910264</v>
      </c>
      <c r="AD31" s="9">
        <f t="shared" si="167"/>
        <v>-0.19433962264150939</v>
      </c>
      <c r="AE31" s="9">
        <f t="shared" si="168"/>
        <v>-0.11220472440944873</v>
      </c>
      <c r="AF31" s="9">
        <f t="shared" si="169"/>
        <v>0.10447761194029859</v>
      </c>
      <c r="AG31" s="9">
        <f t="shared" si="170"/>
        <v>0.32352941176470584</v>
      </c>
      <c r="AH31" s="9">
        <f t="shared" si="171"/>
        <v>0.12646370023419173</v>
      </c>
      <c r="AI31" s="9">
        <f t="shared" si="141"/>
        <v>-0.29711751662971175</v>
      </c>
      <c r="AJ31" s="9">
        <f t="shared" si="142"/>
        <v>-0.46452702702702708</v>
      </c>
      <c r="AK31" s="9">
        <f t="shared" si="143"/>
        <v>-0.36666666666666659</v>
      </c>
      <c r="AL31" s="9">
        <f t="shared" si="144"/>
        <v>-0.28440748440748431</v>
      </c>
      <c r="AN31" s="9"/>
      <c r="AO31" s="9">
        <f>AO7/AN7-1</f>
        <v>-7.70282588878759E-2</v>
      </c>
      <c r="AP31" s="9">
        <f t="shared" ref="AP31:BA31" si="179">AP7/AO7-1</f>
        <v>8.4938271604938276E-2</v>
      </c>
      <c r="AQ31" s="9">
        <f t="shared" si="179"/>
        <v>0.4283113336367772</v>
      </c>
      <c r="AR31" s="9">
        <f t="shared" si="179"/>
        <v>-0.16379859783301465</v>
      </c>
      <c r="AS31" s="9">
        <f t="shared" si="179"/>
        <v>-6.5548780487804881E-2</v>
      </c>
      <c r="AT31" s="9">
        <f t="shared" si="179"/>
        <v>-0.23368678629690032</v>
      </c>
      <c r="AU31" s="9">
        <f t="shared" si="179"/>
        <v>9.8456625864821401E-2</v>
      </c>
      <c r="AV31" s="9">
        <f t="shared" si="179"/>
        <v>-0.36036821705426358</v>
      </c>
      <c r="AW31" s="9">
        <f t="shared" si="179"/>
        <v>0.13995606726253595</v>
      </c>
      <c r="AX31" s="9">
        <f t="shared" si="179"/>
        <v>9.0036944258025109E-2</v>
      </c>
      <c r="AY31" s="9">
        <f t="shared" si="179"/>
        <v>6.769772179717215E-2</v>
      </c>
      <c r="AZ31" s="9">
        <f t="shared" si="179"/>
        <v>4.7066044697087195E-2</v>
      </c>
      <c r="BA31" s="9">
        <f t="shared" si="179"/>
        <v>3.3795465679679948E-2</v>
      </c>
      <c r="BB31" s="9">
        <f t="shared" si="172"/>
        <v>2.4303961376923366E-2</v>
      </c>
      <c r="BC31" s="9">
        <f t="shared" si="173"/>
        <v>1.8576832162851442E-2</v>
      </c>
      <c r="BD31" s="9">
        <f t="shared" si="174"/>
        <v>1.8630732178107845E-2</v>
      </c>
      <c r="BE31" s="9">
        <f t="shared" si="175"/>
        <v>1.8682660533336781E-2</v>
      </c>
      <c r="BF31" s="9">
        <f t="shared" si="176"/>
        <v>1.8732684154401991E-2</v>
      </c>
    </row>
    <row r="32" spans="2:168" x14ac:dyDescent="0.3">
      <c r="B32" t="s">
        <v>47</v>
      </c>
      <c r="C32" s="9">
        <f>(C5-C8)/C5</f>
        <v>0.17525773195876282</v>
      </c>
      <c r="D32" s="9">
        <f t="shared" ref="D32:R32" si="180">(D5-D8)/D5</f>
        <v>0.17592592592592596</v>
      </c>
      <c r="E32" s="9">
        <f t="shared" si="180"/>
        <v>0.12850467289719628</v>
      </c>
      <c r="F32" s="9">
        <f t="shared" si="180"/>
        <v>0.16037735849056609</v>
      </c>
      <c r="G32" s="9">
        <f t="shared" si="180"/>
        <v>0.17647058823529405</v>
      </c>
      <c r="H32" s="9">
        <f t="shared" si="180"/>
        <v>0.22397476340694</v>
      </c>
      <c r="I32" s="9">
        <f t="shared" si="180"/>
        <v>0.22543352601156069</v>
      </c>
      <c r="J32" s="9">
        <f t="shared" si="180"/>
        <v>0.24688279301745641</v>
      </c>
      <c r="K32" s="9">
        <f t="shared" si="180"/>
        <v>0.15853658536585355</v>
      </c>
      <c r="L32" s="9">
        <f t="shared" si="180"/>
        <v>0.15</v>
      </c>
      <c r="M32" s="9">
        <f t="shared" si="180"/>
        <v>0.17429193899782136</v>
      </c>
      <c r="N32" s="9">
        <f t="shared" si="180"/>
        <v>0.14084507042253522</v>
      </c>
      <c r="O32" s="9">
        <f t="shared" si="180"/>
        <v>0.18564356435643564</v>
      </c>
      <c r="P32" s="9">
        <f t="shared" si="180"/>
        <v>0.19637462235649547</v>
      </c>
      <c r="Q32" s="9">
        <f t="shared" si="180"/>
        <v>0.22250970245795598</v>
      </c>
      <c r="R32" s="9">
        <f t="shared" si="180"/>
        <v>0.25104022191400827</v>
      </c>
      <c r="S32" s="9">
        <f t="shared" ref="S32:V33" si="181">(S5-S8)/S5</f>
        <v>0.2232558139534884</v>
      </c>
      <c r="T32" s="9">
        <f t="shared" si="181"/>
        <v>0.23359073359073348</v>
      </c>
      <c r="U32" s="9">
        <f t="shared" si="181"/>
        <v>0.2350877192982456</v>
      </c>
      <c r="V32" s="9">
        <f t="shared" si="181"/>
        <v>0.21752265861027198</v>
      </c>
      <c r="W32" s="9">
        <f t="shared" ref="W32:AH32" si="182">(W5-W8)/W5</f>
        <v>0.21284403669724775</v>
      </c>
      <c r="X32" s="9">
        <f t="shared" si="182"/>
        <v>0.25999999999999995</v>
      </c>
      <c r="Y32" s="9">
        <f t="shared" si="182"/>
        <v>0.2300319488817891</v>
      </c>
      <c r="Z32" s="9">
        <f t="shared" si="182"/>
        <v>0.13157894736842105</v>
      </c>
      <c r="AA32" s="9">
        <f t="shared" si="182"/>
        <v>0.19770773638968478</v>
      </c>
      <c r="AB32" s="9">
        <f t="shared" si="182"/>
        <v>0.20312499999999994</v>
      </c>
      <c r="AC32" s="9">
        <f t="shared" si="182"/>
        <v>-0.29761904761904762</v>
      </c>
      <c r="AD32" s="9">
        <f t="shared" si="182"/>
        <v>8.4507042253521084E-2</v>
      </c>
      <c r="AE32" s="9">
        <f t="shared" si="182"/>
        <v>0.23050847457627122</v>
      </c>
      <c r="AF32" s="9">
        <f t="shared" si="182"/>
        <v>0.22193877551020413</v>
      </c>
      <c r="AG32" s="9">
        <f t="shared" si="182"/>
        <v>0.19999999999999996</v>
      </c>
      <c r="AH32" s="9">
        <f t="shared" si="182"/>
        <v>0.20334261838440104</v>
      </c>
      <c r="AI32" s="9">
        <f t="shared" ref="AI32:AL32" si="183">(AI5-AI8)/AI5</f>
        <v>0.21827411167512686</v>
      </c>
      <c r="AJ32" s="9">
        <f t="shared" si="183"/>
        <v>0.21827411167512686</v>
      </c>
      <c r="AK32" s="9">
        <f t="shared" si="183"/>
        <v>0.19999999999999996</v>
      </c>
      <c r="AL32" s="9">
        <f t="shared" si="183"/>
        <v>0.19999999999999996</v>
      </c>
      <c r="AN32" s="9">
        <f t="shared" ref="AN32:BA32" si="184">(AN5-AN8)/AN5</f>
        <v>0.15964240102171137</v>
      </c>
      <c r="AO32" s="9">
        <f t="shared" si="184"/>
        <v>0.22099039172209889</v>
      </c>
      <c r="AP32" s="9">
        <f t="shared" si="184"/>
        <v>0.15693904020752264</v>
      </c>
      <c r="AQ32" s="9">
        <f t="shared" si="184"/>
        <v>0.21796874999999996</v>
      </c>
      <c r="AR32" s="9">
        <f t="shared" si="184"/>
        <v>0.22706422018348624</v>
      </c>
      <c r="AS32" s="9">
        <f t="shared" si="184"/>
        <v>0.2156116135173726</v>
      </c>
      <c r="AT32" s="9">
        <f t="shared" si="184"/>
        <v>5.2475979305247764E-2</v>
      </c>
      <c r="AU32" s="9">
        <f t="shared" si="184"/>
        <v>0.21282401091405176</v>
      </c>
      <c r="AV32" s="9">
        <f t="shared" si="184"/>
        <v>0.20884520884520869</v>
      </c>
      <c r="AW32" s="9">
        <f t="shared" si="184"/>
        <v>0.20999999999999996</v>
      </c>
      <c r="AX32" s="9">
        <f t="shared" si="184"/>
        <v>0.20999999999999996</v>
      </c>
      <c r="AY32" s="9">
        <f t="shared" si="184"/>
        <v>0.20999999999999994</v>
      </c>
      <c r="AZ32" s="9">
        <f t="shared" si="184"/>
        <v>0.20999999999999991</v>
      </c>
      <c r="BA32" s="9">
        <f t="shared" si="184"/>
        <v>0.20999999999999994</v>
      </c>
      <c r="BB32" s="9">
        <f t="shared" ref="BB32:BF32" si="185">(BB5-BB8)/BB5</f>
        <v>0.21</v>
      </c>
      <c r="BC32" s="9">
        <f t="shared" si="185"/>
        <v>0.21000000000000002</v>
      </c>
      <c r="BD32" s="9">
        <f t="shared" si="185"/>
        <v>0.20999999999999994</v>
      </c>
      <c r="BE32" s="9">
        <f t="shared" si="185"/>
        <v>0.20999999999999994</v>
      </c>
      <c r="BF32" s="9">
        <f t="shared" si="185"/>
        <v>0.20999999999999991</v>
      </c>
      <c r="BH32" t="s">
        <v>51</v>
      </c>
      <c r="BI32" s="9">
        <v>-0.01</v>
      </c>
    </row>
    <row r="33" spans="2:61" x14ac:dyDescent="0.3">
      <c r="B33" t="s">
        <v>48</v>
      </c>
      <c r="C33" s="9">
        <f>(C6-C9)/C6</f>
        <v>0.5662650602409639</v>
      </c>
      <c r="D33" s="9">
        <f t="shared" ref="D33:R33" si="186">(D6-D9)/D6</f>
        <v>0.6586826347305389</v>
      </c>
      <c r="E33" s="9">
        <f t="shared" si="186"/>
        <v>0.74149659863945572</v>
      </c>
      <c r="F33" s="9">
        <f t="shared" si="186"/>
        <v>0.85135135135135143</v>
      </c>
      <c r="G33" s="9">
        <f t="shared" si="186"/>
        <v>0.61452513966480438</v>
      </c>
      <c r="H33" s="9">
        <f t="shared" si="186"/>
        <v>0.59537572254335258</v>
      </c>
      <c r="I33" s="9">
        <f t="shared" si="186"/>
        <v>0.61250000000000004</v>
      </c>
      <c r="J33" s="9">
        <f t="shared" si="186"/>
        <v>0.61875000000000002</v>
      </c>
      <c r="K33" s="9">
        <f t="shared" si="186"/>
        <v>0.60759493670886078</v>
      </c>
      <c r="L33" s="9">
        <f t="shared" si="186"/>
        <v>0.6</v>
      </c>
      <c r="M33" s="9">
        <f t="shared" si="186"/>
        <v>0.63095238095238104</v>
      </c>
      <c r="N33" s="9">
        <f t="shared" si="186"/>
        <v>0.5976331360946745</v>
      </c>
      <c r="O33" s="9">
        <f t="shared" si="186"/>
        <v>0.58787878787878789</v>
      </c>
      <c r="P33" s="9">
        <f t="shared" si="186"/>
        <v>0.61805555555555558</v>
      </c>
      <c r="Q33" s="9">
        <f t="shared" si="186"/>
        <v>0.62015503875968991</v>
      </c>
      <c r="R33" s="9">
        <f t="shared" si="186"/>
        <v>0.6</v>
      </c>
      <c r="S33" s="9">
        <f t="shared" si="181"/>
        <v>0.60958904109589029</v>
      </c>
      <c r="T33" s="9">
        <f t="shared" si="181"/>
        <v>0.59712230215827344</v>
      </c>
      <c r="U33" s="9">
        <f t="shared" si="181"/>
        <v>0.59782608695652173</v>
      </c>
      <c r="V33" s="9">
        <f t="shared" si="181"/>
        <v>0.56716417910447758</v>
      </c>
      <c r="W33" s="9">
        <f t="shared" ref="W33:AH33" si="187">(W6-W9)/W6</f>
        <v>0.53623188405797106</v>
      </c>
      <c r="X33" s="9">
        <f t="shared" si="187"/>
        <v>0.5074626865671642</v>
      </c>
      <c r="Y33" s="9">
        <f t="shared" si="187"/>
        <v>0.53846153846153844</v>
      </c>
      <c r="Z33" s="9">
        <f t="shared" si="187"/>
        <v>0.72666666666666668</v>
      </c>
      <c r="AA33" s="9">
        <f t="shared" si="187"/>
        <v>0.71069182389937113</v>
      </c>
      <c r="AB33" s="9">
        <f t="shared" si="187"/>
        <v>0.67105263157894735</v>
      </c>
      <c r="AC33" s="9">
        <f t="shared" si="187"/>
        <v>0.56944444444444442</v>
      </c>
      <c r="AD33" s="9">
        <f t="shared" si="187"/>
        <v>0.75524475524475521</v>
      </c>
      <c r="AE33" s="9">
        <f t="shared" si="187"/>
        <v>0.6858974358974359</v>
      </c>
      <c r="AF33" s="9">
        <f t="shared" si="187"/>
        <v>0.72</v>
      </c>
      <c r="AG33" s="9">
        <f t="shared" si="187"/>
        <v>0.8666666666666667</v>
      </c>
      <c r="AH33" s="9">
        <f t="shared" si="187"/>
        <v>0.86885245901639352</v>
      </c>
      <c r="AI33" s="9">
        <f t="shared" ref="AI33:AL33" si="188">(AI6-AI9)/AI6</f>
        <v>0.89166666666666661</v>
      </c>
      <c r="AJ33" s="9">
        <f t="shared" si="188"/>
        <v>0.89166666666666661</v>
      </c>
      <c r="AK33" s="9">
        <f t="shared" si="188"/>
        <v>0.89</v>
      </c>
      <c r="AL33" s="9">
        <f t="shared" si="188"/>
        <v>0.89</v>
      </c>
      <c r="AN33" s="9">
        <f t="shared" ref="AN33:BA33" si="189">(AN6-AN9)/AN6</f>
        <v>0.69904458598726116</v>
      </c>
      <c r="AO33" s="9">
        <f t="shared" si="189"/>
        <v>0.61011904761904756</v>
      </c>
      <c r="AP33" s="9">
        <f t="shared" si="189"/>
        <v>0.6091603053435114</v>
      </c>
      <c r="AQ33" s="9">
        <f t="shared" si="189"/>
        <v>0.60553633217993075</v>
      </c>
      <c r="AR33" s="9">
        <f t="shared" si="189"/>
        <v>0.59684684684684697</v>
      </c>
      <c r="AS33" s="9">
        <f t="shared" si="189"/>
        <v>0.61253561253561251</v>
      </c>
      <c r="AT33" s="9">
        <f t="shared" si="189"/>
        <v>0.69201520912547532</v>
      </c>
      <c r="AU33" s="9">
        <f t="shared" si="189"/>
        <v>0.77090301003344475</v>
      </c>
      <c r="AV33" s="9">
        <f t="shared" si="189"/>
        <v>0.89079020150138288</v>
      </c>
      <c r="AW33" s="9">
        <f t="shared" si="189"/>
        <v>0.75</v>
      </c>
      <c r="AX33" s="9">
        <f t="shared" si="189"/>
        <v>0.75</v>
      </c>
      <c r="AY33" s="9">
        <f t="shared" si="189"/>
        <v>0.75</v>
      </c>
      <c r="AZ33" s="9">
        <f t="shared" si="189"/>
        <v>0.75</v>
      </c>
      <c r="BA33" s="9">
        <f t="shared" si="189"/>
        <v>0.75</v>
      </c>
      <c r="BB33" s="9">
        <f t="shared" ref="BB33:BF33" si="190">(BB6-BB9)/BB6</f>
        <v>0.75</v>
      </c>
      <c r="BC33" s="9">
        <f t="shared" si="190"/>
        <v>0.75</v>
      </c>
      <c r="BD33" s="9">
        <f t="shared" si="190"/>
        <v>0.75</v>
      </c>
      <c r="BE33" s="9">
        <f t="shared" si="190"/>
        <v>0.75</v>
      </c>
      <c r="BF33" s="9">
        <f t="shared" si="190"/>
        <v>0.75</v>
      </c>
      <c r="BH33" t="s">
        <v>52</v>
      </c>
      <c r="BI33" s="9">
        <v>0.12</v>
      </c>
    </row>
    <row r="34" spans="2:61" x14ac:dyDescent="0.3">
      <c r="B34" s="1" t="s">
        <v>44</v>
      </c>
      <c r="C34" s="9">
        <f>C11/C7</f>
        <v>0.29241877256317683</v>
      </c>
      <c r="D34" s="9">
        <f t="shared" ref="D34:R34" si="191">D11/D7</f>
        <v>0.31051752921535891</v>
      </c>
      <c r="E34" s="9">
        <f t="shared" si="191"/>
        <v>0.28521739130434792</v>
      </c>
      <c r="F34" s="9">
        <f t="shared" si="191"/>
        <v>0.37982832618025758</v>
      </c>
      <c r="G34" s="9">
        <f t="shared" si="191"/>
        <v>0.34401709401709391</v>
      </c>
      <c r="H34" s="9">
        <f t="shared" si="191"/>
        <v>0.35510204081632651</v>
      </c>
      <c r="I34" s="9">
        <f t="shared" si="191"/>
        <v>0.34782608695652178</v>
      </c>
      <c r="J34" s="9">
        <f t="shared" si="191"/>
        <v>0.35294117647058831</v>
      </c>
      <c r="K34" s="9">
        <f t="shared" si="191"/>
        <v>0.30452674897119325</v>
      </c>
      <c r="L34" s="9">
        <f t="shared" si="191"/>
        <v>0.27857142857142858</v>
      </c>
      <c r="M34" s="9">
        <f t="shared" si="191"/>
        <v>0.29665071770334928</v>
      </c>
      <c r="N34" s="9">
        <f t="shared" si="191"/>
        <v>0.28816793893129772</v>
      </c>
      <c r="O34" s="9">
        <f t="shared" si="191"/>
        <v>0.30228471001757473</v>
      </c>
      <c r="P34" s="9">
        <f t="shared" si="191"/>
        <v>0.27171215880893307</v>
      </c>
      <c r="Q34" s="9">
        <f t="shared" si="191"/>
        <v>0.27937915742793795</v>
      </c>
      <c r="R34" s="9">
        <f t="shared" si="191"/>
        <v>0.30778164924506379</v>
      </c>
      <c r="S34" s="9">
        <f>S11/S7</f>
        <v>0.32118055555555552</v>
      </c>
      <c r="T34" s="9">
        <f>T11/T7</f>
        <v>0.31050228310502281</v>
      </c>
      <c r="U34" s="9">
        <f>U11/U7</f>
        <v>0.28549848942598183</v>
      </c>
      <c r="V34" s="9">
        <f>V11/V7</f>
        <v>0.24965706447187941</v>
      </c>
      <c r="W34" s="9">
        <f t="shared" ref="W34:AH34" si="192">W11/W7</f>
        <v>0.24918566775244297</v>
      </c>
      <c r="X34" s="9">
        <f t="shared" si="192"/>
        <v>0.286871961102107</v>
      </c>
      <c r="Y34" s="9">
        <f t="shared" si="192"/>
        <v>0.25904486251808961</v>
      </c>
      <c r="Z34" s="9">
        <f t="shared" si="192"/>
        <v>0.3</v>
      </c>
      <c r="AA34" s="9">
        <f t="shared" si="192"/>
        <v>0.35826771653543299</v>
      </c>
      <c r="AB34" s="9">
        <f t="shared" si="192"/>
        <v>0.33582089552238797</v>
      </c>
      <c r="AC34" s="9">
        <f t="shared" si="192"/>
        <v>-0.14460784313725486</v>
      </c>
      <c r="AD34" s="9">
        <f t="shared" si="192"/>
        <v>0.30913348946135838</v>
      </c>
      <c r="AE34" s="9">
        <f t="shared" si="192"/>
        <v>0.38802660753880264</v>
      </c>
      <c r="AF34" s="9">
        <f t="shared" si="192"/>
        <v>0.39020270270270269</v>
      </c>
      <c r="AG34" s="9">
        <f t="shared" si="192"/>
        <v>0.3481481481481481</v>
      </c>
      <c r="AH34" s="9">
        <f t="shared" si="192"/>
        <v>0.372141372141372</v>
      </c>
      <c r="AI34" s="9">
        <f t="shared" ref="AI34:AL34" si="193">AI11/AI7</f>
        <v>0.47318611987381703</v>
      </c>
      <c r="AJ34" s="9">
        <f t="shared" si="193"/>
        <v>0.47318611987381703</v>
      </c>
      <c r="AK34" s="9">
        <f t="shared" si="193"/>
        <v>0.46631578947368418</v>
      </c>
      <c r="AL34" s="9">
        <f t="shared" si="193"/>
        <v>0.46902382335851256</v>
      </c>
      <c r="AN34" s="9">
        <f t="shared" ref="AN34:BA34" si="194">AN11/AN7</f>
        <v>0.31403828623518681</v>
      </c>
      <c r="AO34" s="9">
        <f t="shared" si="194"/>
        <v>0.35012345679012336</v>
      </c>
      <c r="AP34" s="9">
        <f t="shared" si="194"/>
        <v>0.29176149294492487</v>
      </c>
      <c r="AQ34" s="9">
        <f t="shared" si="194"/>
        <v>0.28935627788400242</v>
      </c>
      <c r="AR34" s="9">
        <f t="shared" si="194"/>
        <v>0.28963414634146334</v>
      </c>
      <c r="AS34" s="9">
        <f t="shared" si="194"/>
        <v>0.27243066884176176</v>
      </c>
      <c r="AT34" s="9">
        <f t="shared" si="194"/>
        <v>0.23150612027674322</v>
      </c>
      <c r="AU34" s="9">
        <f t="shared" si="194"/>
        <v>0.37451550387596894</v>
      </c>
      <c r="AV34" s="9">
        <f t="shared" si="194"/>
        <v>0.47032116346008168</v>
      </c>
      <c r="AW34" s="9">
        <f t="shared" si="194"/>
        <v>0.41887472839990159</v>
      </c>
      <c r="AX34" s="9">
        <f t="shared" si="194"/>
        <v>0.41886764907850654</v>
      </c>
      <c r="AY34" s="9">
        <f t="shared" si="194"/>
        <v>0.41736178742664359</v>
      </c>
      <c r="AZ34" s="9">
        <f t="shared" si="194"/>
        <v>0.41794283025476625</v>
      </c>
      <c r="BA34" s="9">
        <f t="shared" si="194"/>
        <v>0.41717939115895974</v>
      </c>
      <c r="BB34" s="9">
        <f t="shared" ref="BB34:BF34" si="195">BB11/BB7</f>
        <v>0.41630885650199717</v>
      </c>
      <c r="BC34" s="9">
        <f t="shared" si="195"/>
        <v>0.41659711372503749</v>
      </c>
      <c r="BD34" s="9">
        <f t="shared" si="195"/>
        <v>0.41687482651239322</v>
      </c>
      <c r="BE34" s="9">
        <f t="shared" si="195"/>
        <v>0.41714235278351014</v>
      </c>
      <c r="BF34" s="9">
        <f t="shared" si="195"/>
        <v>0.41740004038896372</v>
      </c>
      <c r="BH34" t="s">
        <v>53</v>
      </c>
      <c r="BI34" s="4">
        <f>NPV(BI33,AV23:FL23)</f>
        <v>115.55638041965513</v>
      </c>
    </row>
    <row r="35" spans="2:61" x14ac:dyDescent="0.3">
      <c r="B35" t="s">
        <v>45</v>
      </c>
      <c r="C35" s="9">
        <f>C17/C7</f>
        <v>-0.19855595667870043</v>
      </c>
      <c r="D35" s="9">
        <f t="shared" ref="D35:R35" si="196">D17/D7</f>
        <v>-7.0116861435726194E-2</v>
      </c>
      <c r="E35" s="9">
        <f t="shared" si="196"/>
        <v>-0.10956521739130423</v>
      </c>
      <c r="F35" s="9">
        <f t="shared" si="196"/>
        <v>1.7167381974249017E-2</v>
      </c>
      <c r="G35" s="9">
        <f t="shared" si="196"/>
        <v>-4.4871794871794983E-2</v>
      </c>
      <c r="H35" s="9">
        <f t="shared" si="196"/>
        <v>-2.0408163265306121E-2</v>
      </c>
      <c r="I35" s="9">
        <f t="shared" si="196"/>
        <v>-0.3498023715415019</v>
      </c>
      <c r="J35" s="9">
        <f t="shared" si="196"/>
        <v>1.4260249554367341E-2</v>
      </c>
      <c r="K35" s="9">
        <f t="shared" si="196"/>
        <v>-5.144032921810715E-2</v>
      </c>
      <c r="L35" s="9">
        <f t="shared" si="196"/>
        <v>-9.2857142857142777E-2</v>
      </c>
      <c r="M35" s="9">
        <f t="shared" si="196"/>
        <v>-5.2631578947368376E-2</v>
      </c>
      <c r="N35" s="9">
        <f t="shared" si="196"/>
        <v>-0.16221374045801526</v>
      </c>
      <c r="O35" s="9">
        <f t="shared" si="196"/>
        <v>-0.1370826010544815</v>
      </c>
      <c r="P35" s="9">
        <f t="shared" si="196"/>
        <v>-6.6997518610421761E-2</v>
      </c>
      <c r="Q35" s="9">
        <f t="shared" si="196"/>
        <v>-3.7694013303769383E-2</v>
      </c>
      <c r="R35" s="9">
        <f t="shared" si="196"/>
        <v>-9.8722415795586618E-2</v>
      </c>
      <c r="S35" s="9">
        <f>S17/S7</f>
        <v>-0.28125000000000006</v>
      </c>
      <c r="T35" s="9">
        <f>T17/T7</f>
        <v>-0.15981735159817351</v>
      </c>
      <c r="U35" s="9">
        <f>U17/U7</f>
        <v>-0.15105740181268881</v>
      </c>
      <c r="V35" s="9">
        <f>V17/V7</f>
        <v>-0.13305898491083659</v>
      </c>
      <c r="W35" s="9">
        <f t="shared" ref="W35:AH35" si="197">W17/W7</f>
        <v>-0.35342019543973946</v>
      </c>
      <c r="X35" s="9">
        <f t="shared" si="197"/>
        <v>-0.16369529983792536</v>
      </c>
      <c r="Y35" s="9">
        <f t="shared" si="197"/>
        <v>-0.17221418234442851</v>
      </c>
      <c r="Z35" s="9">
        <f t="shared" si="197"/>
        <v>-0.26603773584905666</v>
      </c>
      <c r="AA35" s="9">
        <f t="shared" si="197"/>
        <v>-6.1023622047244194E-2</v>
      </c>
      <c r="AB35" s="9">
        <f t="shared" si="197"/>
        <v>-7.835820895522401E-2</v>
      </c>
      <c r="AC35" s="9">
        <f t="shared" si="197"/>
        <v>-0.64215686274509798</v>
      </c>
      <c r="AD35" s="9">
        <f t="shared" si="197"/>
        <v>-0.26463700234192028</v>
      </c>
      <c r="AE35" s="9">
        <f t="shared" si="197"/>
        <v>-2.4390243902439056E-2</v>
      </c>
      <c r="AF35" s="9">
        <f t="shared" si="197"/>
        <v>4.0540540540540577E-2</v>
      </c>
      <c r="AG35" s="9">
        <f t="shared" si="197"/>
        <v>1.8518518518518452E-2</v>
      </c>
      <c r="AH35" s="9">
        <f t="shared" si="197"/>
        <v>3.5343035343035185E-2</v>
      </c>
      <c r="AI35" s="9">
        <f t="shared" ref="AI35:AL35" si="198">AI17/AI7</f>
        <v>-1.2618296529968466E-2</v>
      </c>
      <c r="AJ35" s="9">
        <f t="shared" si="198"/>
        <v>-1.2618296529968466E-2</v>
      </c>
      <c r="AK35" s="9">
        <f t="shared" si="198"/>
        <v>1.6023391812865499E-2</v>
      </c>
      <c r="AL35" s="9">
        <f t="shared" si="198"/>
        <v>-7.443346891342132E-3</v>
      </c>
      <c r="AN35" s="9">
        <f t="shared" ref="AN35:BA35" si="199">AN17/AN7</f>
        <v>-9.4348222424795042E-2</v>
      </c>
      <c r="AO35" s="9">
        <f t="shared" si="199"/>
        <v>-9.8765432098765579E-2</v>
      </c>
      <c r="AP35" s="9">
        <f t="shared" si="199"/>
        <v>-8.8757396449704151E-2</v>
      </c>
      <c r="AQ35" s="9">
        <f t="shared" si="199"/>
        <v>-7.9987253027406127E-2</v>
      </c>
      <c r="AR35" s="9">
        <f t="shared" si="199"/>
        <v>-0.17682926829268308</v>
      </c>
      <c r="AS35" s="9">
        <f t="shared" si="199"/>
        <v>-0.23572593800978806</v>
      </c>
      <c r="AT35" s="9">
        <f t="shared" si="199"/>
        <v>-0.23842469398616256</v>
      </c>
      <c r="AU35" s="9">
        <f t="shared" si="199"/>
        <v>1.9379844961240244E-2</v>
      </c>
      <c r="AV35" s="9">
        <f t="shared" si="199"/>
        <v>-3.8494167550372944E-3</v>
      </c>
      <c r="AW35" s="9">
        <f t="shared" si="199"/>
        <v>7.5647089310750273E-2</v>
      </c>
      <c r="AX35" s="9">
        <f t="shared" si="199"/>
        <v>9.188781234971935E-2</v>
      </c>
      <c r="AY35" s="9">
        <f t="shared" si="199"/>
        <v>0.10205677112619578</v>
      </c>
      <c r="AZ35" s="9">
        <f t="shared" si="199"/>
        <v>0.10951141530201378</v>
      </c>
      <c r="BA35" s="9">
        <f t="shared" si="199"/>
        <v>0.11268826971058507</v>
      </c>
      <c r="BB35" s="9">
        <f t="shared" ref="BB35:BF35" si="200">BB17/BB7</f>
        <v>0.11373011188822295</v>
      </c>
      <c r="BC35" s="9">
        <f t="shared" si="200"/>
        <v>0.11472395694359423</v>
      </c>
      <c r="BD35" s="9">
        <f t="shared" si="200"/>
        <v>0.11571097522717622</v>
      </c>
      <c r="BE35" s="9">
        <f t="shared" si="200"/>
        <v>0.11669106599414471</v>
      </c>
      <c r="BF35" s="9">
        <f t="shared" si="200"/>
        <v>0.11766413789904684</v>
      </c>
      <c r="BH35" t="s">
        <v>54</v>
      </c>
      <c r="BI35" s="4">
        <f>Main!D8</f>
        <v>-21.599999999999994</v>
      </c>
    </row>
    <row r="36" spans="2:61" x14ac:dyDescent="0.3">
      <c r="B36" t="s">
        <v>61</v>
      </c>
      <c r="C36" s="9"/>
      <c r="D36" s="9"/>
      <c r="E36" s="9"/>
      <c r="F36" s="9"/>
      <c r="G36" s="9">
        <f t="shared" ref="G36:R36" si="201">G12/C12-1</f>
        <v>-0.20634920634920628</v>
      </c>
      <c r="H36" s="9">
        <f t="shared" si="201"/>
        <v>-7.4074074074074181E-2</v>
      </c>
      <c r="I36" s="9">
        <f t="shared" si="201"/>
        <v>3.9215686274509887E-2</v>
      </c>
      <c r="J36" s="9">
        <f t="shared" si="201"/>
        <v>0.15217391304347827</v>
      </c>
      <c r="K36" s="9">
        <f t="shared" si="201"/>
        <v>-0.30000000000000004</v>
      </c>
      <c r="L36" s="9">
        <f t="shared" si="201"/>
        <v>4.0000000000000036E-2</v>
      </c>
      <c r="M36" s="9">
        <f t="shared" si="201"/>
        <v>0.26415094339622658</v>
      </c>
      <c r="N36" s="9">
        <f t="shared" si="201"/>
        <v>0.60377358490566047</v>
      </c>
      <c r="O36" s="9">
        <f t="shared" si="201"/>
        <v>1.3428571428571425</v>
      </c>
      <c r="P36" s="9">
        <f t="shared" si="201"/>
        <v>1.0192307692307692</v>
      </c>
      <c r="Q36" s="9">
        <f t="shared" si="201"/>
        <v>0.59701492537313428</v>
      </c>
      <c r="R36" s="9">
        <f t="shared" si="201"/>
        <v>0.82352941176470584</v>
      </c>
      <c r="S36" s="9">
        <f>S12/O12-1</f>
        <v>0.78048780487804881</v>
      </c>
      <c r="T36" s="9">
        <f>T12/P12-1</f>
        <v>0.12380952380952381</v>
      </c>
      <c r="U36" s="9">
        <f>U12/Q12-1</f>
        <v>0.17757009345794406</v>
      </c>
      <c r="V36" s="9">
        <f>V12/R12-1</f>
        <v>-0.11612903225806459</v>
      </c>
      <c r="W36" s="9">
        <f t="shared" ref="W36:AH36" si="202">W12/S12-1</f>
        <v>0.27397260273972623</v>
      </c>
      <c r="X36" s="9">
        <f t="shared" si="202"/>
        <v>0.15254237288135575</v>
      </c>
      <c r="Y36" s="9">
        <f t="shared" si="202"/>
        <v>0.22222222222222232</v>
      </c>
      <c r="Z36" s="9">
        <f t="shared" si="202"/>
        <v>-0.51094890510948909</v>
      </c>
      <c r="AA36" s="9">
        <f t="shared" si="202"/>
        <v>-0.79569892473118276</v>
      </c>
      <c r="AB36" s="9">
        <f t="shared" si="202"/>
        <v>-0.53676470588235292</v>
      </c>
      <c r="AC36" s="9">
        <f t="shared" si="202"/>
        <v>-0.41558441558441561</v>
      </c>
      <c r="AD36" s="9">
        <f t="shared" si="202"/>
        <v>-0.13432835820895528</v>
      </c>
      <c r="AE36" s="9">
        <f t="shared" si="202"/>
        <v>0.31578947368421062</v>
      </c>
      <c r="AF36" s="9">
        <f t="shared" si="202"/>
        <v>-0.12698412698412698</v>
      </c>
      <c r="AG36" s="9">
        <f t="shared" si="202"/>
        <v>-0.42222222222222217</v>
      </c>
      <c r="AH36" s="9">
        <f t="shared" si="202"/>
        <v>-3.4482758620689724E-2</v>
      </c>
      <c r="AI36" s="9">
        <f t="shared" ref="AI36" si="203">AI12/AE12-1</f>
        <v>-9.9999999999999978E-2</v>
      </c>
      <c r="AJ36" s="9">
        <f t="shared" ref="AJ36" si="204">AJ12/AF12-1</f>
        <v>-0.18181818181818177</v>
      </c>
      <c r="AK36" s="9">
        <f t="shared" ref="AK36" si="205">AK12/AG12-1</f>
        <v>-0.13461538461538469</v>
      </c>
      <c r="AL36" s="9">
        <f t="shared" ref="AL36" si="206">AL12/AH12-1</f>
        <v>-0.1071428571428571</v>
      </c>
      <c r="AN36" s="9"/>
      <c r="AO36" s="9">
        <f t="shared" ref="AO36:BA36" si="207">AO12/AN12-1</f>
        <v>-3.7383177570093351E-2</v>
      </c>
      <c r="AP36" s="9">
        <f t="shared" si="207"/>
        <v>0.16019417475728148</v>
      </c>
      <c r="AQ36" s="9">
        <f t="shared" si="207"/>
        <v>0.87866108786610875</v>
      </c>
      <c r="AR36" s="9">
        <f t="shared" si="207"/>
        <v>0.17371937639198221</v>
      </c>
      <c r="AS36" s="9">
        <f t="shared" si="207"/>
        <v>3.0360531309297834E-2</v>
      </c>
      <c r="AT36" s="9">
        <f t="shared" si="207"/>
        <v>-0.54143646408839774</v>
      </c>
      <c r="AU36" s="9">
        <f t="shared" si="207"/>
        <v>-0.14457831325301218</v>
      </c>
      <c r="AV36" s="9">
        <f t="shared" si="207"/>
        <v>-0.13145539906103276</v>
      </c>
      <c r="AW36" s="9">
        <f t="shared" si="207"/>
        <v>4.0000000000000036E-2</v>
      </c>
      <c r="AX36" s="9">
        <f t="shared" si="207"/>
        <v>3.0000000000000027E-2</v>
      </c>
      <c r="AY36" s="9">
        <f t="shared" si="207"/>
        <v>2.0000000000000018E-2</v>
      </c>
      <c r="AZ36" s="9">
        <f t="shared" si="207"/>
        <v>2.0000000000000018E-2</v>
      </c>
      <c r="BA36" s="9">
        <f t="shared" si="207"/>
        <v>2.0000000000000018E-2</v>
      </c>
      <c r="BB36" s="9">
        <f t="shared" ref="BB36" si="208">BB12/BA12-1</f>
        <v>2.0000000000000018E-2</v>
      </c>
      <c r="BC36" s="9">
        <f t="shared" ref="BC36" si="209">BC12/BB12-1</f>
        <v>2.0000000000000018E-2</v>
      </c>
      <c r="BD36" s="9">
        <f t="shared" ref="BD36" si="210">BD12/BC12-1</f>
        <v>2.0000000000000018E-2</v>
      </c>
      <c r="BE36" s="9">
        <f t="shared" ref="BE36" si="211">BE12/BD12-1</f>
        <v>2.0000000000000018E-2</v>
      </c>
      <c r="BF36" s="9">
        <f t="shared" ref="BF36" si="212">BF12/BE12-1</f>
        <v>2.0000000000000018E-2</v>
      </c>
      <c r="BH36" t="s">
        <v>55</v>
      </c>
      <c r="BI36" s="4">
        <f>BI34+BI35</f>
        <v>93.956380419655133</v>
      </c>
    </row>
    <row r="37" spans="2:61" x14ac:dyDescent="0.3">
      <c r="B37" t="s">
        <v>46</v>
      </c>
      <c r="C37" s="9">
        <f>C13/C7</f>
        <v>0.12996389891696752</v>
      </c>
      <c r="D37" s="9">
        <f t="shared" ref="D37:R37" si="213">D13/D7</f>
        <v>0.11686143572621034</v>
      </c>
      <c r="E37" s="9">
        <f t="shared" si="213"/>
        <v>0.10782608695652174</v>
      </c>
      <c r="F37" s="9">
        <f t="shared" si="213"/>
        <v>0.10085836909871244</v>
      </c>
      <c r="G37" s="9">
        <f t="shared" si="213"/>
        <v>0.1153846153846154</v>
      </c>
      <c r="H37" s="9">
        <f t="shared" si="213"/>
        <v>0.11428571428571428</v>
      </c>
      <c r="I37" s="9">
        <f t="shared" si="213"/>
        <v>0.116600790513834</v>
      </c>
      <c r="J37" s="9">
        <f t="shared" si="213"/>
        <v>0.1087344028520499</v>
      </c>
      <c r="K37" s="9">
        <f t="shared" si="213"/>
        <v>0.13168724279835392</v>
      </c>
      <c r="L37" s="9">
        <f t="shared" si="213"/>
        <v>0.12857142857142859</v>
      </c>
      <c r="M37" s="9">
        <f t="shared" si="213"/>
        <v>0.11483253588516747</v>
      </c>
      <c r="N37" s="9">
        <f t="shared" si="213"/>
        <v>0.15458015267175573</v>
      </c>
      <c r="O37" s="9">
        <f t="shared" si="213"/>
        <v>0.15465729349736382</v>
      </c>
      <c r="P37" s="9">
        <f t="shared" si="213"/>
        <v>0.10669975186104216</v>
      </c>
      <c r="Q37" s="9">
        <f t="shared" si="213"/>
        <v>9.3126385809312637E-2</v>
      </c>
      <c r="R37" s="9">
        <f t="shared" si="213"/>
        <v>0.11498257839721256</v>
      </c>
      <c r="S37" s="9">
        <f>S13/S7</f>
        <v>0.19097222222222221</v>
      </c>
      <c r="T37" s="9">
        <f>T13/T7</f>
        <v>0.14916286149162861</v>
      </c>
      <c r="U37" s="9">
        <f>U13/U7</f>
        <v>0.1389728096676737</v>
      </c>
      <c r="V37" s="9">
        <f>V13/V7</f>
        <v>0.11248285322359394</v>
      </c>
      <c r="W37" s="9">
        <f t="shared" ref="W37:AH37" si="214">W13/W7</f>
        <v>0.15960912052117265</v>
      </c>
      <c r="X37" s="9">
        <f t="shared" si="214"/>
        <v>0.12479740680713128</v>
      </c>
      <c r="Y37" s="9">
        <f t="shared" si="214"/>
        <v>0.12011577424023157</v>
      </c>
      <c r="Z37" s="9">
        <f t="shared" si="214"/>
        <v>0.14339622641509434</v>
      </c>
      <c r="AA37" s="9">
        <f t="shared" si="214"/>
        <v>0.12795275590551181</v>
      </c>
      <c r="AB37" s="9">
        <f t="shared" si="214"/>
        <v>0.1082089552238806</v>
      </c>
      <c r="AC37" s="9">
        <f t="shared" si="214"/>
        <v>0.13235294117647059</v>
      </c>
      <c r="AD37" s="9">
        <f t="shared" si="214"/>
        <v>9.601873536299764E-2</v>
      </c>
      <c r="AE37" s="9">
        <f t="shared" si="214"/>
        <v>0.11086474501108647</v>
      </c>
      <c r="AF37" s="9">
        <f t="shared" si="214"/>
        <v>9.1216216216216214E-2</v>
      </c>
      <c r="AG37" s="9">
        <f t="shared" si="214"/>
        <v>7.5925925925925924E-2</v>
      </c>
      <c r="AH37" s="9">
        <f t="shared" si="214"/>
        <v>7.9002079002079006E-2</v>
      </c>
      <c r="AI37" s="9">
        <f t="shared" ref="AI37:AL37" si="215">AI13/AI7</f>
        <v>0.12302839116719243</v>
      </c>
      <c r="AJ37" s="9">
        <f t="shared" si="215"/>
        <v>0.12302839116719243</v>
      </c>
      <c r="AK37" s="9">
        <f t="shared" si="215"/>
        <v>0.11403508771929824</v>
      </c>
      <c r="AL37" s="9">
        <f t="shared" si="215"/>
        <v>0.11330621731551423</v>
      </c>
      <c r="AN37" s="9">
        <f t="shared" ref="AN37:BA37" si="216">AN13/AN7</f>
        <v>0.11440291704649043</v>
      </c>
      <c r="AO37" s="9">
        <f t="shared" si="216"/>
        <v>0.11358024691358025</v>
      </c>
      <c r="AP37" s="9">
        <f t="shared" si="216"/>
        <v>0.13154301319981793</v>
      </c>
      <c r="AQ37" s="9">
        <f t="shared" si="216"/>
        <v>0.11376673040152964</v>
      </c>
      <c r="AR37" s="9">
        <f t="shared" si="216"/>
        <v>0.14557926829268295</v>
      </c>
      <c r="AS37" s="9">
        <f t="shared" si="216"/>
        <v>0.13621533442088091</v>
      </c>
      <c r="AT37" s="9">
        <f t="shared" si="216"/>
        <v>0.11601915912719532</v>
      </c>
      <c r="AU37" s="9">
        <f t="shared" si="216"/>
        <v>8.8662790697674437E-2</v>
      </c>
      <c r="AV37" s="9">
        <f t="shared" si="216"/>
        <v>0.11816391455840025</v>
      </c>
      <c r="AW37" s="9">
        <f t="shared" si="216"/>
        <v>0.09</v>
      </c>
      <c r="AX37" s="9">
        <f t="shared" si="216"/>
        <v>0.09</v>
      </c>
      <c r="AY37" s="9">
        <f t="shared" si="216"/>
        <v>0.09</v>
      </c>
      <c r="AZ37" s="9">
        <f t="shared" si="216"/>
        <v>0.09</v>
      </c>
      <c r="BA37" s="9">
        <f t="shared" si="216"/>
        <v>8.9999999999999983E-2</v>
      </c>
      <c r="BB37" s="9">
        <f t="shared" ref="BB37:BF37" si="217">BB13/BB7</f>
        <v>0.09</v>
      </c>
      <c r="BC37" s="9">
        <f t="shared" si="217"/>
        <v>0.09</v>
      </c>
      <c r="BD37" s="9">
        <f t="shared" si="217"/>
        <v>0.09</v>
      </c>
      <c r="BE37" s="9">
        <f t="shared" si="217"/>
        <v>9.0000000000000011E-2</v>
      </c>
      <c r="BF37" s="9">
        <f t="shared" si="217"/>
        <v>9.0000000000000011E-2</v>
      </c>
      <c r="BH37" t="s">
        <v>56</v>
      </c>
      <c r="BI37" s="10">
        <f>BI36/BA24</f>
        <v>6.2637586946436752</v>
      </c>
    </row>
    <row r="38" spans="2:61" x14ac:dyDescent="0.3">
      <c r="B38" t="s">
        <v>62</v>
      </c>
      <c r="C38" s="9"/>
      <c r="D38" s="9"/>
      <c r="E38" s="9"/>
      <c r="F38" s="9"/>
      <c r="G38" s="9">
        <f t="shared" ref="G38:R38" si="218">G14/C14-1</f>
        <v>-0.45833333333333337</v>
      </c>
      <c r="H38" s="9">
        <f t="shared" si="218"/>
        <v>-0.22222222222222221</v>
      </c>
      <c r="I38" s="9">
        <f t="shared" si="218"/>
        <v>-0.18309859154929575</v>
      </c>
      <c r="J38" s="9">
        <f t="shared" si="218"/>
        <v>-6.944444444444442E-2</v>
      </c>
      <c r="K38" s="9">
        <f t="shared" si="218"/>
        <v>0</v>
      </c>
      <c r="L38" s="9">
        <f t="shared" si="218"/>
        <v>0.19047619047619047</v>
      </c>
      <c r="M38" s="9">
        <f t="shared" si="218"/>
        <v>0.22413793103448265</v>
      </c>
      <c r="N38" s="9">
        <f t="shared" si="218"/>
        <v>-7.4626865671641784E-2</v>
      </c>
      <c r="O38" s="9">
        <f t="shared" si="218"/>
        <v>0.10769230769230775</v>
      </c>
      <c r="P38" s="9">
        <f t="shared" si="218"/>
        <v>-1.3333333333333308E-2</v>
      </c>
      <c r="Q38" s="9">
        <f t="shared" si="218"/>
        <v>0.22535211267605626</v>
      </c>
      <c r="R38" s="9">
        <f t="shared" si="218"/>
        <v>0.19354838709677424</v>
      </c>
      <c r="S38" s="9">
        <f>S14/O14-1</f>
        <v>0.19444444444444442</v>
      </c>
      <c r="T38" s="9">
        <f>T14/P14-1</f>
        <v>0</v>
      </c>
      <c r="U38" s="9">
        <f>U14/Q14-1</f>
        <v>-0.24137931034482751</v>
      </c>
      <c r="V38" s="9">
        <f>V14/R14-1</f>
        <v>-0.24324324324324331</v>
      </c>
      <c r="W38" s="9">
        <f t="shared" ref="W38:AH38" si="219">W14/S14-1</f>
        <v>-4.6511627906976827E-2</v>
      </c>
      <c r="X38" s="9">
        <f t="shared" si="219"/>
        <v>-0.17567567567567577</v>
      </c>
      <c r="Y38" s="9">
        <f t="shared" si="219"/>
        <v>-0.13636363636363624</v>
      </c>
      <c r="Z38" s="9">
        <f t="shared" si="219"/>
        <v>0.26785714285714279</v>
      </c>
      <c r="AA38" s="9">
        <f t="shared" si="219"/>
        <v>-0.30487804878048774</v>
      </c>
      <c r="AB38" s="9">
        <f t="shared" si="219"/>
        <v>-0.11475409836065564</v>
      </c>
      <c r="AC38" s="9">
        <f t="shared" si="219"/>
        <v>-0.14035087719298245</v>
      </c>
      <c r="AD38" s="9">
        <f t="shared" si="219"/>
        <v>-0.29577464788732388</v>
      </c>
      <c r="AE38" s="9">
        <f t="shared" si="219"/>
        <v>-0.1228070175438597</v>
      </c>
      <c r="AF38" s="9">
        <f t="shared" si="219"/>
        <v>7.4074074074073959E-2</v>
      </c>
      <c r="AG38" s="9">
        <f t="shared" si="219"/>
        <v>-2.0408163265306256E-2</v>
      </c>
      <c r="AH38" s="9">
        <f t="shared" si="219"/>
        <v>-9.9999999999999978E-2</v>
      </c>
      <c r="AI38" s="9">
        <f t="shared" ref="AI38" si="220">AI14/AE14-1</f>
        <v>-9.9999999999999978E-2</v>
      </c>
      <c r="AJ38" s="9">
        <f t="shared" ref="AJ38" si="221">AJ14/AF14-1</f>
        <v>-0.22413793103448276</v>
      </c>
      <c r="AK38" s="9">
        <f t="shared" ref="AK38" si="222">AK14/AG14-1</f>
        <v>-6.25E-2</v>
      </c>
      <c r="AL38" s="9">
        <f t="shared" ref="AL38" si="223">AL14/AH14-1</f>
        <v>0.11111111111111116</v>
      </c>
      <c r="AN38" s="9"/>
      <c r="AO38" s="9">
        <f t="shared" ref="AO38:BA38" si="224">AO14/AN14-1</f>
        <v>-0.26453488372093037</v>
      </c>
      <c r="AP38" s="9">
        <f t="shared" si="224"/>
        <v>7.9051383399209474E-2</v>
      </c>
      <c r="AQ38" s="9">
        <f t="shared" si="224"/>
        <v>0.12454212454212454</v>
      </c>
      <c r="AR38" s="9">
        <f t="shared" si="224"/>
        <v>-8.1433224755700362E-2</v>
      </c>
      <c r="AS38" s="9">
        <f t="shared" si="224"/>
        <v>-3.9007092198581561E-2</v>
      </c>
      <c r="AT38" s="9">
        <f t="shared" si="224"/>
        <v>-0.22509225092250928</v>
      </c>
      <c r="AU38" s="9">
        <f t="shared" si="224"/>
        <v>-4.2857142857142816E-2</v>
      </c>
      <c r="AV38" s="9">
        <f t="shared" si="224"/>
        <v>-7.9601990049751326E-2</v>
      </c>
      <c r="AW38" s="9">
        <f t="shared" si="224"/>
        <v>2.0000000000000018E-2</v>
      </c>
      <c r="AX38" s="9">
        <f t="shared" si="224"/>
        <v>1.0000000000000009E-2</v>
      </c>
      <c r="AY38" s="9">
        <f t="shared" si="224"/>
        <v>1.0000000000000009E-2</v>
      </c>
      <c r="AZ38" s="9">
        <f t="shared" si="224"/>
        <v>1.0000000000000009E-2</v>
      </c>
      <c r="BA38" s="9">
        <f t="shared" si="224"/>
        <v>1.0000000000000009E-2</v>
      </c>
      <c r="BB38" s="9">
        <f t="shared" ref="BB38" si="225">BB14/BA14-1</f>
        <v>1.0000000000000009E-2</v>
      </c>
      <c r="BC38" s="9">
        <f t="shared" ref="BC38" si="226">BC14/BB14-1</f>
        <v>1.0000000000000009E-2</v>
      </c>
      <c r="BD38" s="9">
        <f t="shared" ref="BD38" si="227">BD14/BC14-1</f>
        <v>1.0000000000000009E-2</v>
      </c>
      <c r="BE38" s="9">
        <f t="shared" ref="BE38" si="228">BE14/BD14-1</f>
        <v>1.0000000000000009E-2</v>
      </c>
      <c r="BF38" s="9">
        <f t="shared" ref="BF38" si="229">BF14/BE14-1</f>
        <v>1.0000000000000009E-2</v>
      </c>
      <c r="BH38" t="s">
        <v>57</v>
      </c>
      <c r="BI38" s="10">
        <f>Main!D3</f>
        <v>12.28</v>
      </c>
    </row>
    <row r="39" spans="2:61" x14ac:dyDescent="0.3">
      <c r="B39" t="s">
        <v>35</v>
      </c>
      <c r="C39" s="9">
        <f>C21/C20</f>
        <v>-1.8987341772151896E-2</v>
      </c>
      <c r="D39" s="9">
        <f t="shared" ref="D39:R39" si="230">D21/D20</f>
        <v>-5.9405940594059403E-2</v>
      </c>
      <c r="E39" s="9">
        <f t="shared" si="230"/>
        <v>-3.0075187969924828E-2</v>
      </c>
      <c r="F39" s="9">
        <f t="shared" si="230"/>
        <v>0.22000000000000022</v>
      </c>
      <c r="G39" s="9">
        <f t="shared" si="230"/>
        <v>-5.5555555555555525E-2</v>
      </c>
      <c r="H39" s="9">
        <f t="shared" si="230"/>
        <v>-4.6153846153846149E-2</v>
      </c>
      <c r="I39" s="9">
        <f t="shared" si="230"/>
        <v>-2.1739130434782612E-2</v>
      </c>
      <c r="J39" s="9">
        <f t="shared" si="230"/>
        <v>8.6956521739130599E-2</v>
      </c>
      <c r="K39" s="9">
        <f t="shared" si="230"/>
        <v>-3.7974683544303764E-2</v>
      </c>
      <c r="L39" s="9">
        <f t="shared" si="230"/>
        <v>-2.9126213592233021E-2</v>
      </c>
      <c r="M39" s="9">
        <f t="shared" si="230"/>
        <v>-2.2988505747126443E-2</v>
      </c>
      <c r="N39" s="9">
        <f t="shared" si="230"/>
        <v>2.2900763358778626E-2</v>
      </c>
      <c r="O39" s="9">
        <f t="shared" si="230"/>
        <v>-5.5248618784530393E-3</v>
      </c>
      <c r="P39" s="9">
        <f t="shared" si="230"/>
        <v>1.3351134846461951E-3</v>
      </c>
      <c r="Q39" s="9">
        <f t="shared" si="230"/>
        <v>-3.8461538461538471E-2</v>
      </c>
      <c r="R39" s="9">
        <f t="shared" si="230"/>
        <v>-4.9999999999999968E-2</v>
      </c>
      <c r="S39" s="9">
        <f>S21/S20</f>
        <v>-1.1976047904191616E-2</v>
      </c>
      <c r="T39" s="9">
        <f>T21/T20</f>
        <v>-1.5625000000000003E-2</v>
      </c>
      <c r="U39" s="9">
        <f>U21/U20</f>
        <v>0</v>
      </c>
      <c r="V39" s="9">
        <f>V21/V20</f>
        <v>0</v>
      </c>
      <c r="W39" s="9">
        <f t="shared" ref="W39:AH39" si="231">W21/W20</f>
        <v>1.1764705882352941E-2</v>
      </c>
      <c r="X39" s="9">
        <f t="shared" si="231"/>
        <v>2.343750000000001E-2</v>
      </c>
      <c r="Y39" s="9">
        <f t="shared" si="231"/>
        <v>0</v>
      </c>
      <c r="Z39" s="9">
        <f t="shared" si="231"/>
        <v>-6.9444444444444441E-3</v>
      </c>
      <c r="AA39" s="9">
        <f t="shared" si="231"/>
        <v>-6.9767441860465032E-2</v>
      </c>
      <c r="AB39" s="9">
        <f t="shared" si="231"/>
        <v>-5.454545454545448E-2</v>
      </c>
      <c r="AC39" s="9">
        <f t="shared" si="231"/>
        <v>0</v>
      </c>
      <c r="AD39" s="9">
        <f t="shared" si="231"/>
        <v>-2.0979020979020983E-2</v>
      </c>
      <c r="AE39" s="9">
        <f t="shared" si="231"/>
        <v>-5.4054054054054036E-2</v>
      </c>
      <c r="AF39" s="9">
        <f t="shared" si="231"/>
        <v>0.29999999999999932</v>
      </c>
      <c r="AG39" s="9">
        <f t="shared" si="231"/>
        <v>0</v>
      </c>
      <c r="AH39" s="9">
        <f t="shared" si="231"/>
        <v>-6.2499999999999977E-3</v>
      </c>
      <c r="AI39" s="9">
        <f t="shared" ref="AI39:AL39" si="232">AI21/AI20</f>
        <v>0</v>
      </c>
      <c r="AJ39" s="9">
        <f t="shared" si="232"/>
        <v>0</v>
      </c>
      <c r="AK39" s="9">
        <f t="shared" si="232"/>
        <v>0</v>
      </c>
      <c r="AL39" s="9">
        <f t="shared" si="232"/>
        <v>0</v>
      </c>
      <c r="AN39" s="9">
        <f t="shared" ref="AN39:BA39" si="233">AN21/AN20</f>
        <v>-4.5248868778280452E-3</v>
      </c>
      <c r="AO39" s="9">
        <f t="shared" si="233"/>
        <v>-1.9370460048426137E-2</v>
      </c>
      <c r="AP39" s="9">
        <f t="shared" si="233"/>
        <v>-1.2500000000000001E-2</v>
      </c>
      <c r="AQ39" s="9">
        <f t="shared" si="233"/>
        <v>-7.2595281306715026E-3</v>
      </c>
      <c r="AR39" s="9">
        <f t="shared" si="233"/>
        <v>-8.421052631578942E-3</v>
      </c>
      <c r="AS39" s="9">
        <f t="shared" si="233"/>
        <v>7.3099415204678341E-3</v>
      </c>
      <c r="AT39" s="9">
        <f t="shared" si="233"/>
        <v>-1.6728624535315997E-2</v>
      </c>
      <c r="AU39" s="9">
        <f t="shared" si="233"/>
        <v>-5.4054054054053995E-2</v>
      </c>
      <c r="AV39" s="9">
        <f t="shared" si="233"/>
        <v>0</v>
      </c>
      <c r="AW39" s="9">
        <f t="shared" si="233"/>
        <v>0.2</v>
      </c>
      <c r="AX39" s="9">
        <f t="shared" si="233"/>
        <v>0.2</v>
      </c>
      <c r="AY39" s="9">
        <f t="shared" si="233"/>
        <v>0.2</v>
      </c>
      <c r="AZ39" s="9">
        <f t="shared" si="233"/>
        <v>0.2</v>
      </c>
      <c r="BA39" s="9">
        <f t="shared" si="233"/>
        <v>0.20000000000000004</v>
      </c>
      <c r="BB39" s="9">
        <f t="shared" ref="BB39:BF39" si="234">BB21/BB20</f>
        <v>0.2</v>
      </c>
      <c r="BC39" s="9">
        <f t="shared" si="234"/>
        <v>0.2</v>
      </c>
      <c r="BD39" s="9">
        <f t="shared" si="234"/>
        <v>0.2</v>
      </c>
      <c r="BE39" s="9">
        <f t="shared" si="234"/>
        <v>0.2</v>
      </c>
      <c r="BF39" s="9">
        <f t="shared" si="234"/>
        <v>0.2</v>
      </c>
      <c r="BH39" s="1" t="s">
        <v>58</v>
      </c>
      <c r="BI39" s="11">
        <f>BI37/BI38-1</f>
        <v>-0.48992193040360954</v>
      </c>
    </row>
    <row r="40" spans="2:61" x14ac:dyDescent="0.3">
      <c r="BH40" t="s">
        <v>59</v>
      </c>
      <c r="BI40" s="5" t="s">
        <v>88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2020-10-19T08:18:36Z</dcterms:created>
  <dcterms:modified xsi:type="dcterms:W3CDTF">2025-08-29T13:07:44Z</dcterms:modified>
</cp:coreProperties>
</file>