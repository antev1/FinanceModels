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9FE8011-E1E9-4A6C-870E-C9ADA188D229}" xr6:coauthVersionLast="47" xr6:coauthVersionMax="47" xr10:uidLastSave="{00000000-0000-0000-0000-000000000000}"/>
  <bookViews>
    <workbookView xWindow="-108" yWindow="-108" windowWidth="23256" windowHeight="12576" activeTab="1" xr2:uid="{7403A8AC-99CC-4876-8521-54E7E6C7B5A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46" i="2" l="1"/>
  <c r="Z5" i="2"/>
  <c r="Y5" i="2"/>
  <c r="X5" i="2"/>
  <c r="Z4" i="2"/>
  <c r="Y4" i="2"/>
  <c r="Y6" i="2" s="1"/>
  <c r="X4" i="2"/>
  <c r="X34" i="2" s="1"/>
  <c r="Z3" i="2"/>
  <c r="Z6" i="2" s="1"/>
  <c r="Y3" i="2"/>
  <c r="X3" i="2"/>
  <c r="X6" i="2" s="1"/>
  <c r="W4" i="2"/>
  <c r="W34" i="2" s="1"/>
  <c r="W3" i="2"/>
  <c r="AG3" i="2"/>
  <c r="AH3" i="2" s="1"/>
  <c r="AI3" i="2" s="1"/>
  <c r="AG28" i="2"/>
  <c r="AG25" i="2"/>
  <c r="AG24" i="2"/>
  <c r="AG23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5" i="2"/>
  <c r="AH5" i="2" s="1"/>
  <c r="AI5" i="2" s="1"/>
  <c r="AJ5" i="2" s="1"/>
  <c r="AK5" i="2" s="1"/>
  <c r="AL5" i="2" s="1"/>
  <c r="AM5" i="2" s="1"/>
  <c r="AN5" i="2" s="1"/>
  <c r="AO5" i="2" s="1"/>
  <c r="AP5" i="2" s="1"/>
  <c r="Z30" i="2"/>
  <c r="Y30" i="2"/>
  <c r="X30" i="2"/>
  <c r="X27" i="2"/>
  <c r="Z26" i="2"/>
  <c r="Z27" i="2" s="1"/>
  <c r="Y26" i="2"/>
  <c r="Y27" i="2" s="1"/>
  <c r="X26" i="2"/>
  <c r="W30" i="2"/>
  <c r="W27" i="2"/>
  <c r="W26" i="2"/>
  <c r="Z21" i="2"/>
  <c r="Z22" i="2" s="1"/>
  <c r="Y21" i="2"/>
  <c r="Y22" i="2" s="1"/>
  <c r="X21" i="2"/>
  <c r="X22" i="2" s="1"/>
  <c r="W21" i="2"/>
  <c r="W22" i="2" s="1"/>
  <c r="W43" i="2" s="1"/>
  <c r="AF19" i="2"/>
  <c r="Z16" i="2"/>
  <c r="Y16" i="2"/>
  <c r="X16" i="2"/>
  <c r="W16" i="2"/>
  <c r="W42" i="2" s="1"/>
  <c r="AF15" i="2"/>
  <c r="Z11" i="2"/>
  <c r="Y11" i="2"/>
  <c r="Y39" i="2" s="1"/>
  <c r="X11" i="2"/>
  <c r="Z10" i="2"/>
  <c r="Y10" i="2"/>
  <c r="X10" i="2"/>
  <c r="Z9" i="2"/>
  <c r="Z12" i="2" s="1"/>
  <c r="Z13" i="2" s="1"/>
  <c r="Y9" i="2"/>
  <c r="Y12" i="2" s="1"/>
  <c r="Y13" i="2" s="1"/>
  <c r="Y40" i="2" s="1"/>
  <c r="X9" i="2"/>
  <c r="X12" i="2" s="1"/>
  <c r="X13" i="2" s="1"/>
  <c r="X40" i="2" s="1"/>
  <c r="Z14" i="2"/>
  <c r="Z41" i="2" s="1"/>
  <c r="Y14" i="2"/>
  <c r="Y41" i="2" s="1"/>
  <c r="X14" i="2"/>
  <c r="W14" i="2"/>
  <c r="W41" i="2" s="1"/>
  <c r="Z34" i="2"/>
  <c r="Z8" i="2"/>
  <c r="Y8" i="2"/>
  <c r="X8" i="2"/>
  <c r="Y42" i="2"/>
  <c r="X42" i="2"/>
  <c r="X41" i="2"/>
  <c r="W39" i="2"/>
  <c r="X38" i="2"/>
  <c r="W38" i="2"/>
  <c r="Y37" i="2"/>
  <c r="W37" i="2"/>
  <c r="Y36" i="2"/>
  <c r="X36" i="2"/>
  <c r="W36" i="2"/>
  <c r="Z35" i="2"/>
  <c r="Y35" i="2"/>
  <c r="X35" i="2"/>
  <c r="W35" i="2"/>
  <c r="X33" i="2"/>
  <c r="W12" i="2"/>
  <c r="W13" i="2" s="1"/>
  <c r="W40" i="2" s="1"/>
  <c r="W11" i="2"/>
  <c r="W10" i="2"/>
  <c r="W9" i="2"/>
  <c r="W5" i="2"/>
  <c r="V66" i="2"/>
  <c r="V23" i="2"/>
  <c r="D6" i="1"/>
  <c r="V33" i="2"/>
  <c r="V34" i="2"/>
  <c r="U66" i="2"/>
  <c r="V30" i="2"/>
  <c r="U30" i="2"/>
  <c r="T30" i="2"/>
  <c r="AP30" i="2"/>
  <c r="AO30" i="2"/>
  <c r="AN30" i="2"/>
  <c r="AM30" i="2"/>
  <c r="AL30" i="2"/>
  <c r="AK30" i="2"/>
  <c r="AJ30" i="2"/>
  <c r="AI30" i="2"/>
  <c r="AH30" i="2"/>
  <c r="AG30" i="2"/>
  <c r="AF30" i="2"/>
  <c r="U33" i="2"/>
  <c r="T34" i="2"/>
  <c r="V35" i="2"/>
  <c r="U35" i="2"/>
  <c r="T35" i="2"/>
  <c r="U34" i="2"/>
  <c r="T33" i="2"/>
  <c r="S35" i="2"/>
  <c r="S34" i="2"/>
  <c r="S33" i="2"/>
  <c r="S6" i="2"/>
  <c r="H6" i="2"/>
  <c r="G6" i="2"/>
  <c r="F6" i="2"/>
  <c r="Q6" i="2"/>
  <c r="P6" i="2"/>
  <c r="O6" i="2"/>
  <c r="N6" i="2"/>
  <c r="M6" i="2"/>
  <c r="L6" i="2"/>
  <c r="K6" i="2"/>
  <c r="J6" i="2"/>
  <c r="I6" i="2"/>
  <c r="R6" i="2"/>
  <c r="AB5" i="2"/>
  <c r="AB4" i="2"/>
  <c r="AB3" i="2"/>
  <c r="AC5" i="2"/>
  <c r="AC4" i="2"/>
  <c r="AC34" i="2" s="1"/>
  <c r="AC3" i="2"/>
  <c r="AD5" i="2"/>
  <c r="AD4" i="2"/>
  <c r="AD3" i="2"/>
  <c r="AE5" i="2"/>
  <c r="AE4" i="2"/>
  <c r="AE3" i="2"/>
  <c r="R35" i="2"/>
  <c r="Q35" i="2"/>
  <c r="P35" i="2"/>
  <c r="O35" i="2"/>
  <c r="N35" i="2"/>
  <c r="M35" i="2"/>
  <c r="L35" i="2"/>
  <c r="K35" i="2"/>
  <c r="J35" i="2"/>
  <c r="I35" i="2"/>
  <c r="H35" i="2"/>
  <c r="G35" i="2"/>
  <c r="R34" i="2"/>
  <c r="Q34" i="2"/>
  <c r="P34" i="2"/>
  <c r="O34" i="2"/>
  <c r="N34" i="2"/>
  <c r="M34" i="2"/>
  <c r="L34" i="2"/>
  <c r="K34" i="2"/>
  <c r="J34" i="2"/>
  <c r="I34" i="2"/>
  <c r="H34" i="2"/>
  <c r="G34" i="2"/>
  <c r="R33" i="2"/>
  <c r="Q33" i="2"/>
  <c r="P33" i="2"/>
  <c r="O33" i="2"/>
  <c r="N33" i="2"/>
  <c r="M33" i="2"/>
  <c r="L33" i="2"/>
  <c r="K33" i="2"/>
  <c r="J33" i="2"/>
  <c r="I33" i="2"/>
  <c r="H33" i="2"/>
  <c r="G33" i="2"/>
  <c r="AS74" i="2"/>
  <c r="AG63" i="2"/>
  <c r="AH63" i="2" s="1"/>
  <c r="AI63" i="2" s="1"/>
  <c r="AD65" i="2"/>
  <c r="AD64" i="2"/>
  <c r="AD63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E65" i="2"/>
  <c r="AF65" i="2" s="1"/>
  <c r="AG65" i="2" s="1"/>
  <c r="AH65" i="2" s="1"/>
  <c r="AI65" i="2" s="1"/>
  <c r="AJ65" i="2" s="1"/>
  <c r="AK65" i="2" s="1"/>
  <c r="AL65" i="2" s="1"/>
  <c r="AM65" i="2" s="1"/>
  <c r="AN65" i="2" s="1"/>
  <c r="AO65" i="2" s="1"/>
  <c r="AP65" i="2" s="1"/>
  <c r="AE64" i="2"/>
  <c r="AE63" i="2"/>
  <c r="AE61" i="2"/>
  <c r="AE60" i="2"/>
  <c r="AE59" i="2"/>
  <c r="AE58" i="2"/>
  <c r="AE57" i="2"/>
  <c r="AE56" i="2"/>
  <c r="AE55" i="2"/>
  <c r="AE54" i="2"/>
  <c r="AF54" i="2" s="1"/>
  <c r="AE53" i="2"/>
  <c r="AF53" i="2" s="1"/>
  <c r="AE52" i="2"/>
  <c r="AE51" i="2"/>
  <c r="AE50" i="2"/>
  <c r="AE49" i="2"/>
  <c r="K66" i="2"/>
  <c r="O66" i="2"/>
  <c r="L66" i="2"/>
  <c r="P66" i="2"/>
  <c r="M66" i="2"/>
  <c r="N66" i="2"/>
  <c r="Q66" i="2"/>
  <c r="R66" i="2"/>
  <c r="N23" i="2"/>
  <c r="Y34" i="2" l="1"/>
  <c r="AG4" i="2"/>
  <c r="AI35" i="2"/>
  <c r="AH35" i="2"/>
  <c r="Y28" i="2"/>
  <c r="Y44" i="2" s="1"/>
  <c r="Y29" i="2"/>
  <c r="Z28" i="2"/>
  <c r="Z44" i="2" s="1"/>
  <c r="Z29" i="2"/>
  <c r="Z31" i="2" s="1"/>
  <c r="W28" i="2"/>
  <c r="W29" i="2" s="1"/>
  <c r="X28" i="2"/>
  <c r="X44" i="2" s="1"/>
  <c r="W44" i="2"/>
  <c r="X37" i="2"/>
  <c r="Z40" i="2"/>
  <c r="Z33" i="2"/>
  <c r="Y33" i="2"/>
  <c r="W6" i="2"/>
  <c r="W33" i="2"/>
  <c r="Z36" i="2"/>
  <c r="Z43" i="2"/>
  <c r="AG8" i="2"/>
  <c r="Y43" i="2"/>
  <c r="Y38" i="2"/>
  <c r="Z42" i="2"/>
  <c r="Z38" i="2"/>
  <c r="X43" i="2"/>
  <c r="X39" i="2"/>
  <c r="Z39" i="2"/>
  <c r="Z45" i="2"/>
  <c r="Z37" i="2"/>
  <c r="AE33" i="2"/>
  <c r="AC35" i="2"/>
  <c r="AE34" i="2"/>
  <c r="AE35" i="2"/>
  <c r="AD33" i="2"/>
  <c r="AF4" i="2"/>
  <c r="AD34" i="2"/>
  <c r="T6" i="2"/>
  <c r="AD35" i="2"/>
  <c r="U6" i="2"/>
  <c r="AC33" i="2"/>
  <c r="V6" i="2"/>
  <c r="AF5" i="2"/>
  <c r="AG35" i="2" s="1"/>
  <c r="AF3" i="2"/>
  <c r="AG54" i="2"/>
  <c r="AH54" i="2" s="1"/>
  <c r="AI54" i="2" s="1"/>
  <c r="AJ54" i="2" s="1"/>
  <c r="AK54" i="2" s="1"/>
  <c r="AL54" i="2" s="1"/>
  <c r="AM54" i="2" s="1"/>
  <c r="AN54" i="2" s="1"/>
  <c r="AO54" i="2" s="1"/>
  <c r="AP54" i="2" s="1"/>
  <c r="AE66" i="2"/>
  <c r="AD66" i="2"/>
  <c r="AF66" i="2"/>
  <c r="AH66" i="2"/>
  <c r="AG66" i="2"/>
  <c r="AJ63" i="2"/>
  <c r="AJ35" i="2" l="1"/>
  <c r="W31" i="2"/>
  <c r="W45" i="2"/>
  <c r="Y31" i="2"/>
  <c r="Y45" i="2"/>
  <c r="X29" i="2"/>
  <c r="AG34" i="2"/>
  <c r="AF35" i="2"/>
  <c r="AF33" i="2"/>
  <c r="AF34" i="2"/>
  <c r="AI66" i="2"/>
  <c r="AK63" i="2"/>
  <c r="AJ66" i="2"/>
  <c r="AK35" i="2" l="1"/>
  <c r="X31" i="2"/>
  <c r="X45" i="2"/>
  <c r="AH4" i="2"/>
  <c r="AG6" i="2"/>
  <c r="AG33" i="2"/>
  <c r="AH33" i="2"/>
  <c r="AL63" i="2"/>
  <c r="AK66" i="2"/>
  <c r="AL35" i="2" l="1"/>
  <c r="AI4" i="2"/>
  <c r="AH34" i="2"/>
  <c r="AH6" i="2"/>
  <c r="AJ3" i="2"/>
  <c r="AM63" i="2"/>
  <c r="AL66" i="2"/>
  <c r="AM35" i="2" l="1"/>
  <c r="AJ4" i="2"/>
  <c r="AI34" i="2"/>
  <c r="AI33" i="2"/>
  <c r="AI6" i="2"/>
  <c r="AJ33" i="2"/>
  <c r="AK3" i="2"/>
  <c r="AN63" i="2"/>
  <c r="AM66" i="2"/>
  <c r="AN35" i="2" l="1"/>
  <c r="AK4" i="2"/>
  <c r="AJ34" i="2"/>
  <c r="AJ6" i="2"/>
  <c r="AL3" i="2"/>
  <c r="AK33" i="2"/>
  <c r="AO63" i="2"/>
  <c r="AN66" i="2"/>
  <c r="AP35" i="2" l="1"/>
  <c r="AO35" i="2"/>
  <c r="AL4" i="2"/>
  <c r="AL6" i="2" s="1"/>
  <c r="AK34" i="2"/>
  <c r="AK6" i="2"/>
  <c r="AM3" i="2"/>
  <c r="AL33" i="2"/>
  <c r="AP63" i="2"/>
  <c r="AP66" i="2" s="1"/>
  <c r="AO66" i="2"/>
  <c r="AM4" i="2" l="1"/>
  <c r="AM6" i="2" s="1"/>
  <c r="AL34" i="2"/>
  <c r="AN3" i="2"/>
  <c r="AM33" i="2"/>
  <c r="V26" i="2"/>
  <c r="U26" i="2"/>
  <c r="T26" i="2"/>
  <c r="S26" i="2"/>
  <c r="AF25" i="2"/>
  <c r="AH25" i="2" s="1"/>
  <c r="AI25" i="2" s="1"/>
  <c r="AJ25" i="2" s="1"/>
  <c r="AK25" i="2" s="1"/>
  <c r="AL25" i="2" s="1"/>
  <c r="AM25" i="2" s="1"/>
  <c r="AN25" i="2" s="1"/>
  <c r="AO25" i="2" s="1"/>
  <c r="AP25" i="2" s="1"/>
  <c r="AF24" i="2"/>
  <c r="AF23" i="2"/>
  <c r="AH23" i="2" s="1"/>
  <c r="AI23" i="2" s="1"/>
  <c r="AJ23" i="2" s="1"/>
  <c r="AK23" i="2" s="1"/>
  <c r="AL23" i="2" s="1"/>
  <c r="AM23" i="2" s="1"/>
  <c r="AN23" i="2" s="1"/>
  <c r="AO23" i="2" s="1"/>
  <c r="AP23" i="2" s="1"/>
  <c r="AF20" i="2"/>
  <c r="AF18" i="2"/>
  <c r="AF17" i="2"/>
  <c r="AF7" i="2"/>
  <c r="AE11" i="2"/>
  <c r="AE10" i="2"/>
  <c r="AE9" i="2"/>
  <c r="AN4" i="2" l="1"/>
  <c r="AN6" i="2" s="1"/>
  <c r="AM34" i="2"/>
  <c r="AO3" i="2"/>
  <c r="AN33" i="2"/>
  <c r="AF14" i="2"/>
  <c r="AH14" i="2" s="1"/>
  <c r="AI14" i="2" s="1"/>
  <c r="AJ14" i="2" s="1"/>
  <c r="AK14" i="2" s="1"/>
  <c r="U8" i="2"/>
  <c r="V41" i="2"/>
  <c r="U41" i="2"/>
  <c r="T41" i="2"/>
  <c r="S41" i="2"/>
  <c r="V8" i="2"/>
  <c r="T8" i="2"/>
  <c r="Q12" i="2"/>
  <c r="R23" i="2"/>
  <c r="R26" i="2" s="1"/>
  <c r="R20" i="2"/>
  <c r="AE20" i="2" s="1"/>
  <c r="AH20" i="2" s="1"/>
  <c r="AI20" i="2" s="1"/>
  <c r="AJ20" i="2" s="1"/>
  <c r="AK20" i="2" s="1"/>
  <c r="AL20" i="2" s="1"/>
  <c r="AM20" i="2" s="1"/>
  <c r="AN20" i="2" s="1"/>
  <c r="AO20" i="2" s="1"/>
  <c r="AP20" i="2" s="1"/>
  <c r="R12" i="2"/>
  <c r="AP26" i="2"/>
  <c r="AO26" i="2"/>
  <c r="AN26" i="2"/>
  <c r="AM26" i="2"/>
  <c r="AL26" i="2"/>
  <c r="AK26" i="2"/>
  <c r="AJ26" i="2"/>
  <c r="AI26" i="2"/>
  <c r="AH26" i="2"/>
  <c r="AG26" i="2"/>
  <c r="AF26" i="2"/>
  <c r="Q26" i="2"/>
  <c r="Q41" i="2"/>
  <c r="R8" i="2"/>
  <c r="R37" i="2" s="1"/>
  <c r="Q8" i="2"/>
  <c r="Q37" i="2" s="1"/>
  <c r="AC41" i="2"/>
  <c r="P41" i="2"/>
  <c r="O41" i="2"/>
  <c r="N41" i="2"/>
  <c r="M41" i="2"/>
  <c r="AE25" i="2"/>
  <c r="AE24" i="2"/>
  <c r="AE18" i="2"/>
  <c r="AE17" i="2"/>
  <c r="AE7" i="2"/>
  <c r="AD28" i="2"/>
  <c r="AD25" i="2"/>
  <c r="AD24" i="2"/>
  <c r="AD18" i="2"/>
  <c r="AD17" i="2"/>
  <c r="AD16" i="2"/>
  <c r="AD14" i="2"/>
  <c r="AD41" i="2" s="1"/>
  <c r="AD11" i="2"/>
  <c r="AD10" i="2"/>
  <c r="AD9" i="2"/>
  <c r="AD7" i="2"/>
  <c r="AD6" i="2"/>
  <c r="AC23" i="2"/>
  <c r="AC26" i="2" s="1"/>
  <c r="AC20" i="2"/>
  <c r="AC21" i="2" s="1"/>
  <c r="AC12" i="2"/>
  <c r="AC8" i="2"/>
  <c r="AB23" i="2"/>
  <c r="AB26" i="2" s="1"/>
  <c r="AB20" i="2"/>
  <c r="AB21" i="2" s="1"/>
  <c r="AB12" i="2"/>
  <c r="AB8" i="2"/>
  <c r="I26" i="2"/>
  <c r="I21" i="2"/>
  <c r="I12" i="2"/>
  <c r="I8" i="2"/>
  <c r="I42" i="2" s="1"/>
  <c r="M20" i="2"/>
  <c r="M21" i="2" s="1"/>
  <c r="M26" i="2"/>
  <c r="M12" i="2"/>
  <c r="M8" i="2"/>
  <c r="M38" i="2" s="1"/>
  <c r="J23" i="2"/>
  <c r="J26" i="2" s="1"/>
  <c r="J20" i="2"/>
  <c r="J21" i="2" s="1"/>
  <c r="J12" i="2"/>
  <c r="J8" i="2"/>
  <c r="J42" i="2" s="1"/>
  <c r="N26" i="2"/>
  <c r="N20" i="2"/>
  <c r="N21" i="2" s="1"/>
  <c r="N12" i="2"/>
  <c r="N8" i="2"/>
  <c r="N39" i="2" s="1"/>
  <c r="K26" i="2"/>
  <c r="K21" i="2"/>
  <c r="K12" i="2"/>
  <c r="K8" i="2"/>
  <c r="K42" i="2" s="1"/>
  <c r="O12" i="2"/>
  <c r="O26" i="2"/>
  <c r="O21" i="2"/>
  <c r="O8" i="2"/>
  <c r="O39" i="2" s="1"/>
  <c r="L26" i="2"/>
  <c r="L21" i="2"/>
  <c r="L12" i="2"/>
  <c r="L8" i="2"/>
  <c r="L42" i="2" s="1"/>
  <c r="P26" i="2"/>
  <c r="P21" i="2"/>
  <c r="P12" i="2"/>
  <c r="P8" i="2"/>
  <c r="P42" i="2" s="1"/>
  <c r="D8" i="1"/>
  <c r="AS43" i="2" s="1"/>
  <c r="AS71" i="2" s="1"/>
  <c r="D5" i="1"/>
  <c r="F3" i="1"/>
  <c r="AO4" i="2" l="1"/>
  <c r="AN34" i="2"/>
  <c r="V39" i="2"/>
  <c r="V21" i="2"/>
  <c r="U21" i="2"/>
  <c r="U39" i="2"/>
  <c r="T42" i="2"/>
  <c r="AP3" i="2"/>
  <c r="AO6" i="2"/>
  <c r="AO33" i="2"/>
  <c r="D9" i="1"/>
  <c r="O38" i="2"/>
  <c r="I39" i="2"/>
  <c r="T38" i="2"/>
  <c r="R38" i="2"/>
  <c r="P38" i="2"/>
  <c r="L37" i="2"/>
  <c r="U38" i="2"/>
  <c r="M37" i="2"/>
  <c r="Q39" i="2"/>
  <c r="J39" i="2"/>
  <c r="K37" i="2"/>
  <c r="R39" i="2"/>
  <c r="P39" i="2"/>
  <c r="N38" i="2"/>
  <c r="S8" i="2"/>
  <c r="AF6" i="2"/>
  <c r="N37" i="2"/>
  <c r="K39" i="2"/>
  <c r="I38" i="2"/>
  <c r="Q38" i="2"/>
  <c r="V38" i="2"/>
  <c r="AC42" i="2"/>
  <c r="AC38" i="2"/>
  <c r="AC39" i="2"/>
  <c r="AC37" i="2"/>
  <c r="O37" i="2"/>
  <c r="L39" i="2"/>
  <c r="J38" i="2"/>
  <c r="P37" i="2"/>
  <c r="M39" i="2"/>
  <c r="K38" i="2"/>
  <c r="T37" i="2"/>
  <c r="AB42" i="2"/>
  <c r="AB37" i="2"/>
  <c r="AB39" i="2"/>
  <c r="AB38" i="2"/>
  <c r="I37" i="2"/>
  <c r="L38" i="2"/>
  <c r="U37" i="2"/>
  <c r="J37" i="2"/>
  <c r="T21" i="2"/>
  <c r="R13" i="2"/>
  <c r="R40" i="2" s="1"/>
  <c r="T36" i="2"/>
  <c r="V36" i="2"/>
  <c r="Q13" i="2"/>
  <c r="Q40" i="2" s="1"/>
  <c r="U36" i="2"/>
  <c r="AE23" i="2"/>
  <c r="AE26" i="2" s="1"/>
  <c r="O36" i="2"/>
  <c r="M36" i="2"/>
  <c r="O42" i="2"/>
  <c r="N13" i="2"/>
  <c r="N40" i="2" s="1"/>
  <c r="AC36" i="2"/>
  <c r="M42" i="2"/>
  <c r="N36" i="2"/>
  <c r="N42" i="2"/>
  <c r="AE14" i="2"/>
  <c r="AE41" i="2" s="1"/>
  <c r="AD20" i="2"/>
  <c r="AD21" i="2" s="1"/>
  <c r="AD23" i="2"/>
  <c r="AD26" i="2" s="1"/>
  <c r="P36" i="2"/>
  <c r="AE6" i="2"/>
  <c r="AE8" i="2" s="1"/>
  <c r="Q36" i="2"/>
  <c r="Q21" i="2"/>
  <c r="R21" i="2"/>
  <c r="AE16" i="2"/>
  <c r="R41" i="2"/>
  <c r="R36" i="2"/>
  <c r="Q42" i="2"/>
  <c r="R42" i="2"/>
  <c r="AD12" i="2"/>
  <c r="AD8" i="2"/>
  <c r="AC13" i="2"/>
  <c r="AB13" i="2"/>
  <c r="I13" i="2"/>
  <c r="M13" i="2"/>
  <c r="J13" i="2"/>
  <c r="K13" i="2"/>
  <c r="O13" i="2"/>
  <c r="L13" i="2"/>
  <c r="P13" i="2"/>
  <c r="AP4" i="2" l="1"/>
  <c r="AP34" i="2" s="1"/>
  <c r="AO34" i="2"/>
  <c r="V42" i="2"/>
  <c r="U42" i="2"/>
  <c r="AP33" i="2"/>
  <c r="T12" i="2"/>
  <c r="T13" i="2" s="1"/>
  <c r="T40" i="2" s="1"/>
  <c r="U12" i="2"/>
  <c r="U13" i="2" s="1"/>
  <c r="U22" i="2" s="1"/>
  <c r="V12" i="2"/>
  <c r="V13" i="2" s="1"/>
  <c r="V22" i="2" s="1"/>
  <c r="T39" i="2"/>
  <c r="AD38" i="2"/>
  <c r="AD39" i="2"/>
  <c r="AD37" i="2"/>
  <c r="AF10" i="2"/>
  <c r="S36" i="2"/>
  <c r="AE39" i="2"/>
  <c r="AE37" i="2"/>
  <c r="AE38" i="2"/>
  <c r="V37" i="2"/>
  <c r="AF8" i="2"/>
  <c r="N22" i="2"/>
  <c r="N43" i="2" s="1"/>
  <c r="AE21" i="2"/>
  <c r="M22" i="2"/>
  <c r="M40" i="2"/>
  <c r="Q22" i="2"/>
  <c r="J22" i="2"/>
  <c r="J40" i="2"/>
  <c r="AB22" i="2"/>
  <c r="AB43" i="2" s="1"/>
  <c r="AB40" i="2"/>
  <c r="L22" i="2"/>
  <c r="L40" i="2"/>
  <c r="AC22" i="2"/>
  <c r="AC40" i="2"/>
  <c r="R22" i="2"/>
  <c r="O22" i="2"/>
  <c r="O40" i="2"/>
  <c r="AD13" i="2"/>
  <c r="AD40" i="2" s="1"/>
  <c r="AD36" i="2"/>
  <c r="AF41" i="2"/>
  <c r="AD42" i="2"/>
  <c r="I22" i="2"/>
  <c r="I40" i="2"/>
  <c r="K22" i="2"/>
  <c r="K40" i="2"/>
  <c r="P22" i="2"/>
  <c r="P40" i="2"/>
  <c r="AE42" i="2"/>
  <c r="AE36" i="2"/>
  <c r="AP6" i="2" l="1"/>
  <c r="AF36" i="2"/>
  <c r="T22" i="2"/>
  <c r="T27" i="2" s="1"/>
  <c r="S38" i="2"/>
  <c r="U40" i="2"/>
  <c r="V40" i="2"/>
  <c r="AF38" i="2"/>
  <c r="S21" i="2"/>
  <c r="AF16" i="2"/>
  <c r="AF42" i="2" s="1"/>
  <c r="S42" i="2"/>
  <c r="V27" i="2"/>
  <c r="V48" i="2" s="1"/>
  <c r="V62" i="2" s="1"/>
  <c r="V67" i="2" s="1"/>
  <c r="V43" i="2"/>
  <c r="AF9" i="2"/>
  <c r="AF37" i="2" s="1"/>
  <c r="S12" i="2"/>
  <c r="S13" i="2" s="1"/>
  <c r="S40" i="2" s="1"/>
  <c r="S37" i="2"/>
  <c r="S39" i="2"/>
  <c r="AF11" i="2"/>
  <c r="AF39" i="2" s="1"/>
  <c r="U27" i="2"/>
  <c r="U48" i="2" s="1"/>
  <c r="U62" i="2" s="1"/>
  <c r="U67" i="2" s="1"/>
  <c r="U43" i="2"/>
  <c r="N27" i="2"/>
  <c r="AE12" i="2"/>
  <c r="AE13" i="2" s="1"/>
  <c r="AE40" i="2" s="1"/>
  <c r="AD22" i="2"/>
  <c r="AD43" i="2" s="1"/>
  <c r="R27" i="2"/>
  <c r="R48" i="2" s="1"/>
  <c r="R62" i="2" s="1"/>
  <c r="R67" i="2" s="1"/>
  <c r="R43" i="2"/>
  <c r="J27" i="2"/>
  <c r="J43" i="2"/>
  <c r="AB27" i="2"/>
  <c r="AB29" i="2" s="1"/>
  <c r="Q27" i="2"/>
  <c r="Q48" i="2" s="1"/>
  <c r="Q62" i="2" s="1"/>
  <c r="Q67" i="2" s="1"/>
  <c r="Q43" i="2"/>
  <c r="K27" i="2"/>
  <c r="K48" i="2" s="1"/>
  <c r="K62" i="2" s="1"/>
  <c r="K67" i="2" s="1"/>
  <c r="K43" i="2"/>
  <c r="AC27" i="2"/>
  <c r="AC43" i="2"/>
  <c r="O27" i="2"/>
  <c r="O48" i="2" s="1"/>
  <c r="O62" i="2" s="1"/>
  <c r="O67" i="2" s="1"/>
  <c r="O43" i="2"/>
  <c r="I27" i="2"/>
  <c r="I43" i="2"/>
  <c r="L27" i="2"/>
  <c r="L48" i="2" s="1"/>
  <c r="L62" i="2" s="1"/>
  <c r="L67" i="2" s="1"/>
  <c r="L43" i="2"/>
  <c r="M27" i="2"/>
  <c r="M48" i="2" s="1"/>
  <c r="M62" i="2" s="1"/>
  <c r="M67" i="2" s="1"/>
  <c r="M43" i="2"/>
  <c r="P27" i="2"/>
  <c r="P48" i="2" s="1"/>
  <c r="P62" i="2" s="1"/>
  <c r="P67" i="2" s="1"/>
  <c r="P43" i="2"/>
  <c r="AG40" i="2" l="1"/>
  <c r="AG42" i="2"/>
  <c r="T43" i="2"/>
  <c r="N44" i="2"/>
  <c r="N48" i="2"/>
  <c r="N62" i="2" s="1"/>
  <c r="N67" i="2" s="1"/>
  <c r="AF12" i="2"/>
  <c r="AF13" i="2" s="1"/>
  <c r="AF40" i="2" s="1"/>
  <c r="V44" i="2"/>
  <c r="AH8" i="2"/>
  <c r="AH16" i="2" s="1"/>
  <c r="U44" i="2"/>
  <c r="T44" i="2"/>
  <c r="S22" i="2"/>
  <c r="AD27" i="2"/>
  <c r="N29" i="2"/>
  <c r="N31" i="2" s="1"/>
  <c r="AE22" i="2"/>
  <c r="AE43" i="2" s="1"/>
  <c r="AF21" i="2"/>
  <c r="Q44" i="2"/>
  <c r="AG41" i="2"/>
  <c r="I29" i="2"/>
  <c r="I44" i="2"/>
  <c r="J29" i="2"/>
  <c r="J44" i="2"/>
  <c r="R29" i="2"/>
  <c r="AG36" i="2"/>
  <c r="M29" i="2"/>
  <c r="M44" i="2"/>
  <c r="AC29" i="2"/>
  <c r="AC44" i="2"/>
  <c r="AB44" i="2"/>
  <c r="L29" i="2"/>
  <c r="L44" i="2"/>
  <c r="O29" i="2"/>
  <c r="O44" i="2"/>
  <c r="K29" i="2"/>
  <c r="K44" i="2"/>
  <c r="AB31" i="2"/>
  <c r="AB45" i="2"/>
  <c r="P29" i="2"/>
  <c r="P44" i="2"/>
  <c r="AH13" i="2" l="1"/>
  <c r="AH40" i="2" s="1"/>
  <c r="AH42" i="2"/>
  <c r="AD44" i="2"/>
  <c r="AD48" i="2"/>
  <c r="AD62" i="2" s="1"/>
  <c r="AD67" i="2" s="1"/>
  <c r="AD29" i="2"/>
  <c r="AF22" i="2"/>
  <c r="AF43" i="2" s="1"/>
  <c r="T29" i="2"/>
  <c r="T31" i="2" s="1"/>
  <c r="AI8" i="2"/>
  <c r="AI16" i="2" s="1"/>
  <c r="U29" i="2"/>
  <c r="S27" i="2"/>
  <c r="S43" i="2"/>
  <c r="V29" i="2"/>
  <c r="N45" i="2"/>
  <c r="AE27" i="2"/>
  <c r="AE48" i="2" s="1"/>
  <c r="AE62" i="2" s="1"/>
  <c r="AE67" i="2" s="1"/>
  <c r="R31" i="2"/>
  <c r="R45" i="2"/>
  <c r="M31" i="2"/>
  <c r="M45" i="2"/>
  <c r="O31" i="2"/>
  <c r="O45" i="2"/>
  <c r="AD31" i="2"/>
  <c r="AD45" i="2"/>
  <c r="J31" i="2"/>
  <c r="J45" i="2"/>
  <c r="AH41" i="2"/>
  <c r="I31" i="2"/>
  <c r="I45" i="2"/>
  <c r="L31" i="2"/>
  <c r="L45" i="2"/>
  <c r="Q29" i="2"/>
  <c r="AG21" i="2"/>
  <c r="AG22" i="2" s="1"/>
  <c r="AC31" i="2"/>
  <c r="AC45" i="2"/>
  <c r="AH36" i="2"/>
  <c r="K31" i="2"/>
  <c r="K45" i="2"/>
  <c r="AE28" i="2"/>
  <c r="R44" i="2"/>
  <c r="P31" i="2"/>
  <c r="P45" i="2"/>
  <c r="AI42" i="2" l="1"/>
  <c r="AI13" i="2"/>
  <c r="AI40" i="2" s="1"/>
  <c r="AF27" i="2"/>
  <c r="AF48" i="2" s="1"/>
  <c r="AF62" i="2" s="1"/>
  <c r="AF67" i="2" s="1"/>
  <c r="T45" i="2"/>
  <c r="AH12" i="2"/>
  <c r="V31" i="2"/>
  <c r="V45" i="2"/>
  <c r="S29" i="2"/>
  <c r="U31" i="2"/>
  <c r="U45" i="2"/>
  <c r="AJ8" i="2"/>
  <c r="AJ16" i="2" s="1"/>
  <c r="AE29" i="2"/>
  <c r="AE31" i="2" s="1"/>
  <c r="AE44" i="2"/>
  <c r="AH21" i="2"/>
  <c r="AH22" i="2" s="1"/>
  <c r="AG27" i="2"/>
  <c r="AG43" i="2"/>
  <c r="AI41" i="2"/>
  <c r="Q31" i="2"/>
  <c r="Q45" i="2"/>
  <c r="AI36" i="2"/>
  <c r="AG48" i="2" l="1"/>
  <c r="AG62" i="2" s="1"/>
  <c r="AG67" i="2" s="1"/>
  <c r="AG44" i="2"/>
  <c r="AJ42" i="2"/>
  <c r="AJ13" i="2"/>
  <c r="AJ40" i="2" s="1"/>
  <c r="AI12" i="2"/>
  <c r="S31" i="2"/>
  <c r="S45" i="2"/>
  <c r="AK8" i="2"/>
  <c r="AK16" i="2" s="1"/>
  <c r="AF28" i="2"/>
  <c r="AF44" i="2" s="1"/>
  <c r="S44" i="2"/>
  <c r="AE45" i="2"/>
  <c r="AJ36" i="2"/>
  <c r="AH43" i="2"/>
  <c r="AH27" i="2"/>
  <c r="AH28" i="2" s="1"/>
  <c r="AJ41" i="2"/>
  <c r="AI21" i="2"/>
  <c r="AI22" i="2" s="1"/>
  <c r="AH48" i="2" l="1"/>
  <c r="AH62" i="2" s="1"/>
  <c r="AH67" i="2" s="1"/>
  <c r="AK13" i="2"/>
  <c r="AK40" i="2" s="1"/>
  <c r="AK42" i="2"/>
  <c r="AL8" i="2"/>
  <c r="AL16" i="2" s="1"/>
  <c r="AF29" i="2"/>
  <c r="AF31" i="2" s="1"/>
  <c r="AJ12" i="2"/>
  <c r="AJ21" i="2"/>
  <c r="AJ22" i="2" s="1"/>
  <c r="AJ27" i="2" s="1"/>
  <c r="AJ28" i="2" s="1"/>
  <c r="AG29" i="2"/>
  <c r="AH44" i="2"/>
  <c r="AI27" i="2"/>
  <c r="AI28" i="2" s="1"/>
  <c r="AI43" i="2"/>
  <c r="AL14" i="2"/>
  <c r="AK41" i="2"/>
  <c r="AK36" i="2"/>
  <c r="AG31" i="2" l="1"/>
  <c r="AJ48" i="2"/>
  <c r="AJ62" i="2" s="1"/>
  <c r="AJ67" i="2" s="1"/>
  <c r="AI48" i="2"/>
  <c r="AI62" i="2" s="1"/>
  <c r="AI67" i="2" s="1"/>
  <c r="AL13" i="2"/>
  <c r="AL40" i="2" s="1"/>
  <c r="AL42" i="2"/>
  <c r="AF45" i="2"/>
  <c r="AM8" i="2"/>
  <c r="AM16" i="2" s="1"/>
  <c r="AH29" i="2"/>
  <c r="AH45" i="2" s="1"/>
  <c r="AK12" i="2"/>
  <c r="AK21" i="2"/>
  <c r="AK22" i="2" s="1"/>
  <c r="AK43" i="2" s="1"/>
  <c r="AJ43" i="2"/>
  <c r="AG45" i="2"/>
  <c r="AM14" i="2"/>
  <c r="AL41" i="2"/>
  <c r="AI44" i="2"/>
  <c r="AL36" i="2"/>
  <c r="AJ44" i="2"/>
  <c r="AM13" i="2" l="1"/>
  <c r="AM40" i="2" s="1"/>
  <c r="AM42" i="2"/>
  <c r="AN8" i="2"/>
  <c r="AN16" i="2" s="1"/>
  <c r="AL21" i="2"/>
  <c r="AL22" i="2" s="1"/>
  <c r="AL43" i="2" s="1"/>
  <c r="AH31" i="2"/>
  <c r="AK27" i="2"/>
  <c r="AK28" i="2" s="1"/>
  <c r="AI29" i="2"/>
  <c r="AJ29" i="2"/>
  <c r="AN14" i="2"/>
  <c r="AM41" i="2"/>
  <c r="AL12" i="2"/>
  <c r="AM36" i="2"/>
  <c r="AN13" i="2" l="1"/>
  <c r="AN40" i="2" s="1"/>
  <c r="AN42" i="2"/>
  <c r="AK44" i="2"/>
  <c r="AK48" i="2"/>
  <c r="AK62" i="2" s="1"/>
  <c r="AK67" i="2" s="1"/>
  <c r="AP8" i="2"/>
  <c r="AP16" i="2" s="1"/>
  <c r="AO8" i="2"/>
  <c r="AO16" i="2" s="1"/>
  <c r="AM21" i="2"/>
  <c r="AM22" i="2" s="1"/>
  <c r="AM27" i="2" s="1"/>
  <c r="AM28" i="2" s="1"/>
  <c r="AL27" i="2"/>
  <c r="AL28" i="2" s="1"/>
  <c r="AM12" i="2"/>
  <c r="AI45" i="2"/>
  <c r="AI31" i="2"/>
  <c r="AN41" i="2"/>
  <c r="AO14" i="2"/>
  <c r="AJ31" i="2"/>
  <c r="AJ45" i="2"/>
  <c r="AN36" i="2"/>
  <c r="AM48" i="2" l="1"/>
  <c r="AM62" i="2" s="1"/>
  <c r="AM67" i="2" s="1"/>
  <c r="AM44" i="2"/>
  <c r="AO13" i="2"/>
  <c r="AO40" i="2" s="1"/>
  <c r="AO42" i="2"/>
  <c r="AP13" i="2"/>
  <c r="AL44" i="2"/>
  <c r="AL48" i="2"/>
  <c r="AL62" i="2" s="1"/>
  <c r="AL67" i="2" s="1"/>
  <c r="AK29" i="2"/>
  <c r="AM43" i="2"/>
  <c r="AN12" i="2"/>
  <c r="AO41" i="2"/>
  <c r="AP14" i="2"/>
  <c r="AO36" i="2"/>
  <c r="AN21" i="2"/>
  <c r="AN22" i="2" s="1"/>
  <c r="AK45" i="2" l="1"/>
  <c r="AL29" i="2"/>
  <c r="AL31" i="2" s="1"/>
  <c r="AK31" i="2"/>
  <c r="AO21" i="2"/>
  <c r="AO22" i="2" s="1"/>
  <c r="AO27" i="2" s="1"/>
  <c r="AO28" i="2" s="1"/>
  <c r="AO12" i="2"/>
  <c r="AP41" i="2"/>
  <c r="AN43" i="2"/>
  <c r="AN27" i="2"/>
  <c r="AN28" i="2" s="1"/>
  <c r="AM29" i="2"/>
  <c r="AP42" i="2"/>
  <c r="AP40" i="2"/>
  <c r="AP36" i="2"/>
  <c r="AN48" i="2" l="1"/>
  <c r="AN62" i="2" s="1"/>
  <c r="AN67" i="2" s="1"/>
  <c r="AO48" i="2"/>
  <c r="AO62" i="2" s="1"/>
  <c r="AO67" i="2" s="1"/>
  <c r="AO44" i="2"/>
  <c r="AL45" i="2"/>
  <c r="AO43" i="2"/>
  <c r="AP12" i="2"/>
  <c r="AM31" i="2"/>
  <c r="AM45" i="2"/>
  <c r="AN44" i="2"/>
  <c r="AP21" i="2"/>
  <c r="AP22" i="2" s="1"/>
  <c r="AN29" i="2" l="1"/>
  <c r="AO29" i="2"/>
  <c r="AO31" i="2" s="1"/>
  <c r="AP27" i="2"/>
  <c r="AP28" i="2" s="1"/>
  <c r="AP43" i="2"/>
  <c r="AN31" i="2" l="1"/>
  <c r="AP48" i="2"/>
  <c r="AP62" i="2" s="1"/>
  <c r="AP67" i="2" s="1"/>
  <c r="AQ67" i="2" s="1"/>
  <c r="AR67" i="2" s="1"/>
  <c r="AS67" i="2" s="1"/>
  <c r="AT67" i="2" s="1"/>
  <c r="AU67" i="2" s="1"/>
  <c r="AV67" i="2" s="1"/>
  <c r="AW67" i="2" s="1"/>
  <c r="AX67" i="2" s="1"/>
  <c r="AY67" i="2" s="1"/>
  <c r="AZ67" i="2" s="1"/>
  <c r="BA67" i="2" s="1"/>
  <c r="BB67" i="2" s="1"/>
  <c r="BC67" i="2" s="1"/>
  <c r="BD67" i="2" s="1"/>
  <c r="BE67" i="2" s="1"/>
  <c r="BF67" i="2" s="1"/>
  <c r="BG67" i="2" s="1"/>
  <c r="BH67" i="2" s="1"/>
  <c r="BI67" i="2" s="1"/>
  <c r="BJ67" i="2" s="1"/>
  <c r="BK67" i="2" s="1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DF67" i="2" s="1"/>
  <c r="DG67" i="2" s="1"/>
  <c r="DH67" i="2" s="1"/>
  <c r="DI67" i="2" s="1"/>
  <c r="DJ67" i="2" s="1"/>
  <c r="DK67" i="2" s="1"/>
  <c r="DL67" i="2" s="1"/>
  <c r="DM67" i="2" s="1"/>
  <c r="DN67" i="2" s="1"/>
  <c r="DO67" i="2" s="1"/>
  <c r="DP67" i="2" s="1"/>
  <c r="DQ67" i="2" s="1"/>
  <c r="DR67" i="2" s="1"/>
  <c r="DS67" i="2" s="1"/>
  <c r="DT67" i="2" s="1"/>
  <c r="DU67" i="2" s="1"/>
  <c r="DV67" i="2" s="1"/>
  <c r="DW67" i="2" s="1"/>
  <c r="DX67" i="2" s="1"/>
  <c r="DY67" i="2" s="1"/>
  <c r="DZ67" i="2" s="1"/>
  <c r="EA67" i="2" s="1"/>
  <c r="EB67" i="2" s="1"/>
  <c r="EC67" i="2" s="1"/>
  <c r="ED67" i="2" s="1"/>
  <c r="EE67" i="2" s="1"/>
  <c r="EF67" i="2" s="1"/>
  <c r="EG67" i="2" s="1"/>
  <c r="EH67" i="2" s="1"/>
  <c r="EI67" i="2" s="1"/>
  <c r="EJ67" i="2" s="1"/>
  <c r="EK67" i="2" s="1"/>
  <c r="EL67" i="2" s="1"/>
  <c r="EM67" i="2" s="1"/>
  <c r="EN67" i="2" s="1"/>
  <c r="AS70" i="2" s="1"/>
  <c r="AS72" i="2" s="1"/>
  <c r="AS73" i="2" s="1"/>
  <c r="AS75" i="2" s="1"/>
  <c r="AP44" i="2"/>
  <c r="AN45" i="2"/>
  <c r="AO45" i="2"/>
  <c r="AP29" i="2" l="1"/>
  <c r="AP31" i="2" l="1"/>
  <c r="AQ29" i="2"/>
  <c r="AR29" i="2" s="1"/>
  <c r="AS29" i="2" s="1"/>
  <c r="AT29" i="2" s="1"/>
  <c r="AU29" i="2" s="1"/>
  <c r="AV29" i="2" s="1"/>
  <c r="AW29" i="2" s="1"/>
  <c r="AX29" i="2" s="1"/>
  <c r="AY29" i="2" s="1"/>
  <c r="AZ29" i="2" s="1"/>
  <c r="BA29" i="2" s="1"/>
  <c r="BB29" i="2" s="1"/>
  <c r="BC29" i="2" s="1"/>
  <c r="BD29" i="2" s="1"/>
  <c r="BE29" i="2" s="1"/>
  <c r="BF29" i="2" s="1"/>
  <c r="BG29" i="2" s="1"/>
  <c r="BH29" i="2" s="1"/>
  <c r="BI29" i="2" s="1"/>
  <c r="BJ29" i="2" s="1"/>
  <c r="BK29" i="2" s="1"/>
  <c r="BL29" i="2" s="1"/>
  <c r="BM29" i="2" s="1"/>
  <c r="BN29" i="2" s="1"/>
  <c r="BO29" i="2" s="1"/>
  <c r="BP29" i="2" s="1"/>
  <c r="BQ29" i="2" s="1"/>
  <c r="BR29" i="2" s="1"/>
  <c r="BS29" i="2" s="1"/>
  <c r="BT29" i="2" s="1"/>
  <c r="BU29" i="2" s="1"/>
  <c r="BV29" i="2" s="1"/>
  <c r="BW29" i="2" s="1"/>
  <c r="BX29" i="2" s="1"/>
  <c r="BY29" i="2" s="1"/>
  <c r="BZ29" i="2" s="1"/>
  <c r="CA29" i="2" s="1"/>
  <c r="CB29" i="2" s="1"/>
  <c r="CC29" i="2" s="1"/>
  <c r="CD29" i="2" s="1"/>
  <c r="CE29" i="2" s="1"/>
  <c r="CF29" i="2" s="1"/>
  <c r="CG29" i="2" s="1"/>
  <c r="CH29" i="2" s="1"/>
  <c r="CI29" i="2" s="1"/>
  <c r="CJ29" i="2" s="1"/>
  <c r="CK29" i="2" s="1"/>
  <c r="CL29" i="2" s="1"/>
  <c r="CM29" i="2" s="1"/>
  <c r="CN29" i="2" s="1"/>
  <c r="CO29" i="2" s="1"/>
  <c r="CP29" i="2" s="1"/>
  <c r="CQ29" i="2" s="1"/>
  <c r="CR29" i="2" s="1"/>
  <c r="CS29" i="2" s="1"/>
  <c r="CT29" i="2" s="1"/>
  <c r="CU29" i="2" s="1"/>
  <c r="CV29" i="2" s="1"/>
  <c r="CW29" i="2" s="1"/>
  <c r="CX29" i="2" s="1"/>
  <c r="CY29" i="2" s="1"/>
  <c r="CZ29" i="2" s="1"/>
  <c r="DA29" i="2" s="1"/>
  <c r="DB29" i="2" s="1"/>
  <c r="DC29" i="2" s="1"/>
  <c r="DD29" i="2" s="1"/>
  <c r="DE29" i="2" s="1"/>
  <c r="DF29" i="2" s="1"/>
  <c r="DG29" i="2" s="1"/>
  <c r="DH29" i="2" s="1"/>
  <c r="DI29" i="2" s="1"/>
  <c r="DJ29" i="2" s="1"/>
  <c r="DK29" i="2" s="1"/>
  <c r="DL29" i="2" s="1"/>
  <c r="DM29" i="2" s="1"/>
  <c r="DN29" i="2" s="1"/>
  <c r="DO29" i="2" s="1"/>
  <c r="DP29" i="2" s="1"/>
  <c r="DQ29" i="2" s="1"/>
  <c r="DR29" i="2" s="1"/>
  <c r="DS29" i="2" s="1"/>
  <c r="DT29" i="2" s="1"/>
  <c r="DU29" i="2" s="1"/>
  <c r="DV29" i="2" s="1"/>
  <c r="DW29" i="2" s="1"/>
  <c r="DX29" i="2" s="1"/>
  <c r="DY29" i="2" s="1"/>
  <c r="DZ29" i="2" s="1"/>
  <c r="EA29" i="2" s="1"/>
  <c r="EB29" i="2" s="1"/>
  <c r="EC29" i="2" s="1"/>
  <c r="ED29" i="2" s="1"/>
  <c r="EE29" i="2" s="1"/>
  <c r="EF29" i="2" s="1"/>
  <c r="EG29" i="2" s="1"/>
  <c r="EH29" i="2" s="1"/>
  <c r="EI29" i="2" s="1"/>
  <c r="EJ29" i="2" s="1"/>
  <c r="EK29" i="2" s="1"/>
  <c r="EL29" i="2" s="1"/>
  <c r="EM29" i="2" s="1"/>
  <c r="EN29" i="2" s="1"/>
  <c r="EO29" i="2" s="1"/>
  <c r="EP29" i="2" s="1"/>
  <c r="EQ29" i="2" s="1"/>
  <c r="ER29" i="2" s="1"/>
  <c r="AS42" i="2" s="1"/>
  <c r="AP45" i="2"/>
  <c r="AS44" i="2" l="1"/>
  <c r="AS45" i="2" s="1"/>
  <c r="AS4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G8" authorId="0" shapeId="0" xr:uid="{6BB7C260-325B-4947-8EAD-A7C27C790BE6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(Q425) 720-735m FY26 guidance</t>
        </r>
      </text>
    </comment>
    <comment ref="AH18" authorId="0" shapeId="0" xr:uid="{C764A576-1988-43EC-AB41-251AD31D56E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refine with proper forecast for then accurate and main FCF DCF value</t>
        </r>
      </text>
    </comment>
  </commentList>
</comments>
</file>

<file path=xl/sharedStrings.xml><?xml version="1.0" encoding="utf-8"?>
<sst xmlns="http://schemas.openxmlformats.org/spreadsheetml/2006/main" count="111" uniqueCount="101">
  <si>
    <t>OPRA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</si>
  <si>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</si>
  <si>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</si>
  <si>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</si>
  <si>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</si>
  <si>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</si>
  <si>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</si>
  <si>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</si>
  <si>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</si>
  <si>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</si>
  <si>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</si>
  <si>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</si>
  <si>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</si>
  <si>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</si>
  <si>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</si>
  <si>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</si>
  <si>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</si>
  <si>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</si>
  <si>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</si>
  <si>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</si>
  <si>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</si>
  <si>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</si>
  <si>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</si>
  <si>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</si>
  <si>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Other income</t>
  </si>
  <si>
    <t>Total revenue</t>
  </si>
  <si>
    <t>Technology cost</t>
  </si>
  <si>
    <t>Content cost</t>
  </si>
  <si>
    <t>Inventory cost</t>
  </si>
  <si>
    <t>Total cost of sales</t>
  </si>
  <si>
    <t>Gross profit</t>
  </si>
  <si>
    <t>G&amp;A</t>
  </si>
  <si>
    <t>S&amp;M</t>
  </si>
  <si>
    <t>D&amp;A</t>
  </si>
  <si>
    <t>Other operating expenses</t>
  </si>
  <si>
    <t>Credit loss expense</t>
  </si>
  <si>
    <t>Total operating expenses</t>
  </si>
  <si>
    <t>Operating profit</t>
  </si>
  <si>
    <t>Finance income</t>
  </si>
  <si>
    <t>Finance expense</t>
  </si>
  <si>
    <t>Other financial expense</t>
  </si>
  <si>
    <t>Net financial income</t>
  </si>
  <si>
    <t>Taxes</t>
  </si>
  <si>
    <t>Net profit</t>
  </si>
  <si>
    <t>EPS</t>
  </si>
  <si>
    <t>Pretax profit</t>
  </si>
  <si>
    <t>Revenue y/y</t>
  </si>
  <si>
    <t>Gross Margin</t>
  </si>
  <si>
    <t>G&amp;A y/y</t>
  </si>
  <si>
    <t>S&amp;M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</si>
  <si>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</si>
  <si>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</si>
  <si>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</si>
  <si>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</si>
  <si>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</si>
  <si>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</si>
  <si>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</si>
  <si>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</si>
  <si>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</si>
  <si>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</si>
  <si>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</si>
  <si>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</si>
  <si>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</si>
  <si>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</si>
  <si>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</si>
  <si>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Technology Margin</t>
  </si>
  <si>
    <t>Content Margin</t>
  </si>
  <si>
    <t>Inventory Margin</t>
  </si>
  <si>
    <t>Ad revenue</t>
  </si>
  <si>
    <t>Search revenue</t>
  </si>
  <si>
    <t>Licensing revenue</t>
  </si>
  <si>
    <t>Net finance expense</t>
  </si>
  <si>
    <t>Gain on investments</t>
  </si>
  <si>
    <t>Loss on equity</t>
  </si>
  <si>
    <t>Impairment</t>
  </si>
  <si>
    <t>SBC</t>
  </si>
  <si>
    <t>Other</t>
  </si>
  <si>
    <t>T/R</t>
  </si>
  <si>
    <t>OCA</t>
  </si>
  <si>
    <t>T/P</t>
  </si>
  <si>
    <t>D/R</t>
  </si>
  <si>
    <t>Other liabilities</t>
  </si>
  <si>
    <t>CFFO</t>
  </si>
  <si>
    <t>PP&amp;E</t>
  </si>
  <si>
    <t>Intangibles</t>
  </si>
  <si>
    <t>FCF</t>
  </si>
  <si>
    <t>Development</t>
  </si>
  <si>
    <t>Total CapEx</t>
  </si>
  <si>
    <t>Q121</t>
  </si>
  <si>
    <t>Q221</t>
  </si>
  <si>
    <t>Q321</t>
  </si>
  <si>
    <t>Q421</t>
  </si>
  <si>
    <t>Ad revenue y/y</t>
  </si>
  <si>
    <t>Search revenue y/y</t>
  </si>
  <si>
    <t>Licensing revenue y/y</t>
  </si>
  <si>
    <t>look at competitors, MAU, etc.</t>
  </si>
  <si>
    <t>Q126</t>
  </si>
  <si>
    <t>Q226</t>
  </si>
  <si>
    <t>Q326</t>
  </si>
  <si>
    <t>Q426</t>
  </si>
  <si>
    <t>Heavily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</si>
</sst>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30480</xdr:colOff>
      <xdr:row>0</xdr:row>
      <xdr:rowOff>0</xdr:rowOff>
    </xdr:from>
    <xdr:to>
      <xdr:col>22</xdr:col>
      <xdr:colOff>30480</xdr:colOff>
      <xdr:row>75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718106C-A8F0-0BDE-A0EA-F596A533D8C3}"/>
            </a:ext>
          </a:extLst>
        </xdr:cNvPr>
        <xdr:cNvCxnSpPr/>
      </xdr:nvCxnSpPr>
      <xdr:spPr>
        <a:xfrm>
          <a:off x="14424660" y="0"/>
          <a:ext cx="0" cy="138226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15240</xdr:colOff>
      <xdr:row>0</xdr:row>
      <xdr:rowOff>0</xdr:rowOff>
    </xdr:from>
    <xdr:to>
      <xdr:col>32</xdr:col>
      <xdr:colOff>15240</xdr:colOff>
      <xdr:row>72</xdr:row>
      <xdr:rowOff>83820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29DFEC9A-6055-2CE0-108D-89A61BDA9F9E}"/>
            </a:ext>
          </a:extLst>
        </xdr:cNvPr>
        <xdr:cNvCxnSpPr/>
      </xdr:nvCxnSpPr>
      <xdr:spPr>
        <a:xfrm>
          <a:off x="20505420" y="0"/>
          <a:ext cx="0" cy="13251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0F24F-0FF1-4D97-8831-8965AF24963A}">
  <dimension ref="B2:I12"/>
  <sheetViews>
    <sheetView workbookViewId="0">
      <selection activeCell="E7" sqref="E7"/>
    </sheetView>
  </sheetViews>
  <sheetFormatPr defaultRowHeight="14.4" x14ac:dyDescent="0.3"/>
  <cols>
    <col min="5" max="7" width="13.21875" style="4" customWidth="1"/>
    <col min="8" max="8" width="8.88671875" style="4" customWidth="1"/>
  </cols>
  <sheetData>
    <row r="2" spans="2:9" x14ac:dyDescent="0.3">
      <c r="E2" s="4" t="s">
        <v>8</v>
      </c>
      <c r="F2" s="4" t="s">
        <v>9</v>
      </c>
      <c r="G2" s="4" t="s">
        <v>10</v>
      </c>
    </row>
    <row r="3" spans="2:9" x14ac:dyDescent="0.3">
      <c r="B3" s="1" t="s">
        <v>0</v>
      </c>
      <c r="C3" t="s">
        <v>1</v>
      </c>
      <c r="D3" s="2">
        <v>14.31</v>
      </c>
      <c r="E3" s="5">
        <v>46079</v>
      </c>
      <c r="F3" s="5">
        <f ca="1">TODAY()</f>
        <v>46080</v>
      </c>
      <c r="G3" s="5">
        <v>46168</v>
      </c>
    </row>
    <row r="4" spans="2:9" x14ac:dyDescent="0.3">
      <c r="C4" t="s">
        <v>2</v>
      </c>
      <c r="D4" s="3">
        <v>89.6</v>
      </c>
      <c r="E4" s="4" t="s">
        <v>64</v>
      </c>
    </row>
    <row r="5" spans="2:9" x14ac:dyDescent="0.3">
      <c r="C5" t="s">
        <v>3</v>
      </c>
      <c r="D5" s="3">
        <f>D3*D4</f>
        <v>1282.1759999999999</v>
      </c>
    </row>
    <row r="6" spans="2:9" x14ac:dyDescent="0.3">
      <c r="C6" t="s">
        <v>4</v>
      </c>
      <c r="D6" s="3">
        <f>126.8+1.2</f>
        <v>128</v>
      </c>
      <c r="E6" s="4" t="s">
        <v>64</v>
      </c>
    </row>
    <row r="7" spans="2:9" x14ac:dyDescent="0.3">
      <c r="C7" t="s">
        <v>5</v>
      </c>
      <c r="D7" s="3">
        <v>0</v>
      </c>
      <c r="E7" s="4" t="s">
        <v>64</v>
      </c>
    </row>
    <row r="8" spans="2:9" x14ac:dyDescent="0.3">
      <c r="C8" t="s">
        <v>6</v>
      </c>
      <c r="D8" s="3">
        <f>D6-D7</f>
        <v>128</v>
      </c>
    </row>
    <row r="9" spans="2:9" x14ac:dyDescent="0.3">
      <c r="C9" t="s">
        <v>7</v>
      </c>
      <c r="D9" s="3">
        <f>D5-D8</f>
        <v>1154.1759999999999</v>
      </c>
    </row>
    <row r="12" spans="2:9" x14ac:dyDescent="0.3">
      <c r="I1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86974-423B-4A8A-B377-188B73E3D0FA}">
  <dimension ref="B2:ER75"/>
  <sheetViews>
    <sheetView tabSelected="1" workbookViewId="0">
      <pane xSplit="2" ySplit="2" topLeftCell="AB35" activePane="bottomRight" state="frozen"/>
      <selection pane="topRight" activeCell="C1" sqref="C1"/>
      <selection pane="bottomLeft" activeCell="A3" sqref="A3"/>
      <selection pane="bottomRight" activeCell="AS46" sqref="AS46"/>
    </sheetView>
  </sheetViews>
  <sheetFormatPr defaultRowHeight="14.4" x14ac:dyDescent="0.3"/>
  <cols>
    <col min="2" max="2" width="23.21875" customWidth="1"/>
    <col min="3" max="6" width="8.88671875" customWidth="1"/>
    <col min="44" max="44" width="12" bestFit="1" customWidth="1"/>
    <col min="45" max="45" width="18" customWidth="1"/>
  </cols>
  <sheetData>
    <row r="2" spans="2:42" x14ac:dyDescent="0.3">
      <c r="C2" s="6" t="s">
        <v>88</v>
      </c>
      <c r="D2" s="6" t="s">
        <v>89</v>
      </c>
      <c r="E2" s="6" t="s">
        <v>90</v>
      </c>
      <c r="F2" s="6" t="s">
        <v>91</v>
      </c>
      <c r="G2" s="6" t="s">
        <v>11</v>
      </c>
      <c r="H2" s="6" t="s">
        <v>12</v>
      </c>
      <c r="I2" s="6" t="s">
        <v>13</v>
      </c>
      <c r="J2" s="6" t="s">
        <v>14</v>
      </c>
      <c r="K2" s="6" t="s">
        <v>15</v>
      </c>
      <c r="L2" s="6" t="s">
        <v>16</v>
      </c>
      <c r="M2" s="6" t="s">
        <v>17</v>
      </c>
      <c r="N2" s="6" t="s">
        <v>18</v>
      </c>
      <c r="O2" s="6" t="s">
        <v>19</v>
      </c>
      <c r="P2" s="6" t="s">
        <v>20</v>
      </c>
      <c r="Q2" s="6" t="s">
        <v>21</v>
      </c>
      <c r="R2" s="6" t="s">
        <v>22</v>
      </c>
      <c r="S2" s="6" t="s">
        <v>61</v>
      </c>
      <c r="T2" s="6" t="s">
        <v>62</v>
      </c>
      <c r="U2" s="6" t="s">
        <v>63</v>
      </c>
      <c r="V2" s="6" t="s">
        <v>64</v>
      </c>
      <c r="W2" s="6" t="s">
        <v>96</v>
      </c>
      <c r="X2" s="6" t="s">
        <v>97</v>
      </c>
      <c r="Y2" s="6" t="s">
        <v>98</v>
      </c>
      <c r="Z2" s="6" t="s">
        <v>99</v>
      </c>
      <c r="AB2">
        <v>2021</v>
      </c>
      <c r="AC2">
        <v>2022</v>
      </c>
      <c r="AD2">
        <v>2023</v>
      </c>
      <c r="AE2">
        <v>2024</v>
      </c>
      <c r="AF2">
        <v>2025</v>
      </c>
      <c r="AG2">
        <v>2026</v>
      </c>
      <c r="AH2">
        <v>2027</v>
      </c>
      <c r="AI2">
        <v>2028</v>
      </c>
      <c r="AJ2">
        <v>2029</v>
      </c>
      <c r="AK2">
        <v>2030</v>
      </c>
      <c r="AL2">
        <v>2031</v>
      </c>
      <c r="AM2">
        <v>2032</v>
      </c>
      <c r="AN2">
        <v>2033</v>
      </c>
      <c r="AO2">
        <v>2034</v>
      </c>
      <c r="AP2">
        <v>2035</v>
      </c>
    </row>
    <row r="3" spans="2:42" x14ac:dyDescent="0.3">
      <c r="B3" t="s">
        <v>68</v>
      </c>
      <c r="C3" s="3">
        <v>26.7</v>
      </c>
      <c r="D3" s="3">
        <v>28.9</v>
      </c>
      <c r="E3" s="3">
        <v>34.9</v>
      </c>
      <c r="F3" s="3">
        <v>36.700000000000003</v>
      </c>
      <c r="G3" s="11">
        <v>38.5</v>
      </c>
      <c r="H3" s="11">
        <v>43.1</v>
      </c>
      <c r="I3" s="11">
        <v>49.1</v>
      </c>
      <c r="J3" s="11">
        <v>56.8</v>
      </c>
      <c r="K3" s="11">
        <v>48.5</v>
      </c>
      <c r="L3" s="11">
        <v>53.8</v>
      </c>
      <c r="M3" s="11">
        <v>60.8</v>
      </c>
      <c r="N3" s="11">
        <v>67.8</v>
      </c>
      <c r="O3" s="11">
        <v>58.6</v>
      </c>
      <c r="P3" s="11">
        <v>64.599999999999994</v>
      </c>
      <c r="Q3" s="3">
        <v>76.8</v>
      </c>
      <c r="R3" s="11">
        <v>93.3</v>
      </c>
      <c r="S3" s="11">
        <v>95.6</v>
      </c>
      <c r="T3" s="11">
        <v>92.9</v>
      </c>
      <c r="U3" s="11">
        <v>95.9</v>
      </c>
      <c r="V3" s="11">
        <v>114.4</v>
      </c>
      <c r="W3" s="11">
        <f>W8*0.67</f>
        <v>113.9</v>
      </c>
      <c r="X3" s="11">
        <f t="shared" ref="X3:Z3" si="0">X8*0.67</f>
        <v>114.97200000000001</v>
      </c>
      <c r="Y3" s="11">
        <f t="shared" si="0"/>
        <v>117.19305</v>
      </c>
      <c r="Z3" s="11">
        <f t="shared" si="0"/>
        <v>124.23810000000002</v>
      </c>
      <c r="AB3" s="3">
        <f>SUM(C3:F3)</f>
        <v>127.2</v>
      </c>
      <c r="AC3" s="3">
        <f>SUM(G3:J3)</f>
        <v>187.5</v>
      </c>
      <c r="AD3" s="3">
        <f t="shared" ref="AD3:AD5" si="1">SUM(K3:N3)</f>
        <v>230.89999999999998</v>
      </c>
      <c r="AE3" s="3">
        <f>SUM(O3:R3)</f>
        <v>293.3</v>
      </c>
      <c r="AF3" s="3">
        <f>SUM(S3:V3)</f>
        <v>398.79999999999995</v>
      </c>
      <c r="AG3" s="3">
        <f>SUM(W3:Z3)</f>
        <v>470.30315000000007</v>
      </c>
      <c r="AH3" s="3">
        <f>AG3*1.14</f>
        <v>536.14559100000008</v>
      </c>
      <c r="AI3" s="3">
        <f>AH3*1.07</f>
        <v>573.67578237000009</v>
      </c>
      <c r="AJ3" s="3">
        <f>AI3*1.04</f>
        <v>596.62281366480011</v>
      </c>
      <c r="AK3" s="3">
        <f>AJ3*1.03</f>
        <v>614.52149807474416</v>
      </c>
      <c r="AL3" s="3">
        <f>AK3*1.02</f>
        <v>626.81192803623901</v>
      </c>
      <c r="AM3" s="3">
        <f t="shared" ref="AM3:AP4" si="2">AL3*1.02</f>
        <v>639.34816659696378</v>
      </c>
      <c r="AN3" s="3">
        <f t="shared" si="2"/>
        <v>652.1351299289031</v>
      </c>
      <c r="AO3" s="3">
        <f t="shared" si="2"/>
        <v>665.1778325274812</v>
      </c>
      <c r="AP3" s="3">
        <f t="shared" si="2"/>
        <v>678.48138917803078</v>
      </c>
    </row>
    <row r="4" spans="2:42" x14ac:dyDescent="0.3">
      <c r="B4" t="s">
        <v>69</v>
      </c>
      <c r="C4" s="3">
        <v>23.4</v>
      </c>
      <c r="D4" s="3">
        <v>29.8</v>
      </c>
      <c r="E4" s="3">
        <v>30.7</v>
      </c>
      <c r="F4" s="3">
        <v>34.799999999999997</v>
      </c>
      <c r="G4" s="11">
        <v>32</v>
      </c>
      <c r="H4" s="11">
        <v>33.700000000000003</v>
      </c>
      <c r="I4" s="11">
        <v>35.4</v>
      </c>
      <c r="J4" s="11">
        <v>39</v>
      </c>
      <c r="K4" s="11">
        <v>37.799999999999997</v>
      </c>
      <c r="L4" s="11">
        <v>38.9</v>
      </c>
      <c r="M4" s="11">
        <v>40.799999999999997</v>
      </c>
      <c r="N4" s="11">
        <v>44.7</v>
      </c>
      <c r="O4" s="11">
        <v>43.1</v>
      </c>
      <c r="P4" s="11">
        <v>44.5</v>
      </c>
      <c r="Q4" s="3">
        <v>46.3</v>
      </c>
      <c r="R4" s="11">
        <v>52.3</v>
      </c>
      <c r="S4" s="11">
        <v>46.6</v>
      </c>
      <c r="T4" s="11">
        <v>49.6</v>
      </c>
      <c r="U4" s="11">
        <v>55.6</v>
      </c>
      <c r="V4" s="11">
        <v>62.3</v>
      </c>
      <c r="W4" s="11">
        <f>W8*0.325</f>
        <v>55.25</v>
      </c>
      <c r="X4" s="11">
        <f t="shared" ref="X4:Z4" si="3">X8*0.325</f>
        <v>55.77</v>
      </c>
      <c r="Y4" s="11">
        <f t="shared" si="3"/>
        <v>56.847375</v>
      </c>
      <c r="Z4" s="11">
        <f t="shared" si="3"/>
        <v>60.264750000000006</v>
      </c>
      <c r="AB4" s="3">
        <f>SUM(C4:F4)</f>
        <v>118.7</v>
      </c>
      <c r="AC4" s="3">
        <f t="shared" ref="AC4:AC5" si="4">SUM(G4:J4)</f>
        <v>140.1</v>
      </c>
      <c r="AD4" s="3">
        <f t="shared" si="1"/>
        <v>162.19999999999999</v>
      </c>
      <c r="AE4" s="3">
        <f t="shared" ref="AE4:AE5" si="5">SUM(O4:R4)</f>
        <v>186.2</v>
      </c>
      <c r="AF4" s="3">
        <f t="shared" ref="AF4:AF5" si="6">SUM(S4:V4)</f>
        <v>214.10000000000002</v>
      </c>
      <c r="AG4" s="3">
        <f>SUM(W4:Z4)</f>
        <v>228.13212500000003</v>
      </c>
      <c r="AH4" s="3">
        <f>AG4*1.04</f>
        <v>237.25741000000005</v>
      </c>
      <c r="AI4" s="3">
        <f>AH4*1.03</f>
        <v>244.37513230000005</v>
      </c>
      <c r="AJ4" s="3">
        <f>AI4*1.02</f>
        <v>249.26263494600005</v>
      </c>
      <c r="AK4" s="3">
        <f t="shared" ref="AK4:AL4" si="7">AJ4*1.02</f>
        <v>254.24788764492004</v>
      </c>
      <c r="AL4" s="3">
        <f t="shared" si="7"/>
        <v>259.33284539781846</v>
      </c>
      <c r="AM4" s="3">
        <f t="shared" si="2"/>
        <v>264.51950230577484</v>
      </c>
      <c r="AN4" s="3">
        <f t="shared" si="2"/>
        <v>269.80989235189031</v>
      </c>
      <c r="AO4" s="3">
        <f t="shared" si="2"/>
        <v>275.20609019892811</v>
      </c>
      <c r="AP4" s="3">
        <f t="shared" si="2"/>
        <v>280.7102120029067</v>
      </c>
    </row>
    <row r="5" spans="2:42" x14ac:dyDescent="0.3">
      <c r="B5" t="s">
        <v>70</v>
      </c>
      <c r="C5" s="3">
        <v>1.4</v>
      </c>
      <c r="D5" s="3">
        <v>1.4</v>
      </c>
      <c r="E5" s="3">
        <v>1</v>
      </c>
      <c r="F5" s="3">
        <v>1.2</v>
      </c>
      <c r="G5" s="11">
        <v>1.1000000000000001</v>
      </c>
      <c r="H5" s="11">
        <v>1</v>
      </c>
      <c r="I5" s="11">
        <v>0.8</v>
      </c>
      <c r="J5" s="11">
        <v>0.5</v>
      </c>
      <c r="K5" s="11">
        <v>0.7</v>
      </c>
      <c r="L5" s="11">
        <v>1.5</v>
      </c>
      <c r="M5" s="11">
        <v>1</v>
      </c>
      <c r="N5" s="11">
        <v>0.5</v>
      </c>
      <c r="O5" s="11">
        <v>0.1</v>
      </c>
      <c r="P5" s="11">
        <v>0.6</v>
      </c>
      <c r="Q5" s="3">
        <v>0.1</v>
      </c>
      <c r="R5" s="11">
        <v>0.2</v>
      </c>
      <c r="S5" s="11">
        <v>0.5</v>
      </c>
      <c r="T5" s="11">
        <v>0.5</v>
      </c>
      <c r="U5" s="11">
        <v>0.4</v>
      </c>
      <c r="V5" s="11">
        <v>0.5</v>
      </c>
      <c r="W5" s="11">
        <f>W8*0.005</f>
        <v>0.85</v>
      </c>
      <c r="X5" s="11">
        <f t="shared" ref="X5:Z5" si="8">X8*0.005</f>
        <v>0.85799999999999998</v>
      </c>
      <c r="Y5" s="11">
        <f t="shared" si="8"/>
        <v>0.87457499999999999</v>
      </c>
      <c r="Z5" s="11">
        <f t="shared" si="8"/>
        <v>0.92715000000000003</v>
      </c>
      <c r="AB5" s="3">
        <f>SUM(C5:F5)</f>
        <v>5</v>
      </c>
      <c r="AC5" s="3">
        <f t="shared" si="4"/>
        <v>3.4000000000000004</v>
      </c>
      <c r="AD5" s="3">
        <f t="shared" si="1"/>
        <v>3.7</v>
      </c>
      <c r="AE5" s="3">
        <f t="shared" si="5"/>
        <v>1</v>
      </c>
      <c r="AF5" s="3">
        <f t="shared" si="6"/>
        <v>1.9</v>
      </c>
      <c r="AG5" s="3">
        <f>SUM(W5:Z5)</f>
        <v>3.509725</v>
      </c>
      <c r="AH5" s="3">
        <f>AG5*1.2</f>
        <v>4.2116699999999998</v>
      </c>
      <c r="AI5" s="3">
        <f t="shared" ref="AI5:AP5" si="9">AH5*1.2</f>
        <v>5.0540039999999999</v>
      </c>
      <c r="AJ5" s="3">
        <f t="shared" si="9"/>
        <v>6.0648048000000001</v>
      </c>
      <c r="AK5" s="3">
        <f t="shared" si="9"/>
        <v>7.2777657599999994</v>
      </c>
      <c r="AL5" s="3">
        <f t="shared" si="9"/>
        <v>8.7333189119999997</v>
      </c>
      <c r="AM5" s="3">
        <f t="shared" si="9"/>
        <v>10.479982694399999</v>
      </c>
      <c r="AN5" s="3">
        <f t="shared" si="9"/>
        <v>12.575979233279998</v>
      </c>
      <c r="AO5" s="3">
        <f t="shared" si="9"/>
        <v>15.091175079935997</v>
      </c>
      <c r="AP5" s="3">
        <f t="shared" si="9"/>
        <v>18.109410095923195</v>
      </c>
    </row>
    <row r="6" spans="2:42" x14ac:dyDescent="0.3">
      <c r="B6" t="s">
        <v>23</v>
      </c>
      <c r="F6" s="3">
        <f t="shared" ref="F6" si="10">SUM(F3:F5)</f>
        <v>72.7</v>
      </c>
      <c r="G6" s="3">
        <f t="shared" ref="G6" si="11">SUM(G3:G5)</f>
        <v>71.599999999999994</v>
      </c>
      <c r="H6" s="3">
        <f t="shared" ref="H6" si="12">SUM(H3:H5)</f>
        <v>77.800000000000011</v>
      </c>
      <c r="I6" s="3">
        <f t="shared" ref="I6:Q6" si="13">SUM(I3:I5)</f>
        <v>85.3</v>
      </c>
      <c r="J6" s="3">
        <f t="shared" si="13"/>
        <v>96.3</v>
      </c>
      <c r="K6" s="3">
        <f t="shared" si="13"/>
        <v>87</v>
      </c>
      <c r="L6" s="3">
        <f t="shared" si="13"/>
        <v>94.199999999999989</v>
      </c>
      <c r="M6" s="3">
        <f t="shared" si="13"/>
        <v>102.6</v>
      </c>
      <c r="N6" s="3">
        <f t="shared" si="13"/>
        <v>113</v>
      </c>
      <c r="O6" s="3">
        <f t="shared" si="13"/>
        <v>101.8</v>
      </c>
      <c r="P6" s="3">
        <f t="shared" si="13"/>
        <v>109.69999999999999</v>
      </c>
      <c r="Q6" s="3">
        <f t="shared" si="13"/>
        <v>123.19999999999999</v>
      </c>
      <c r="R6" s="3">
        <f>SUM(R3:R5)</f>
        <v>145.79999999999998</v>
      </c>
      <c r="S6" s="3">
        <f t="shared" ref="S6:W6" si="14">SUM(S3:S5)</f>
        <v>142.69999999999999</v>
      </c>
      <c r="T6" s="3">
        <f t="shared" si="14"/>
        <v>143</v>
      </c>
      <c r="U6" s="3">
        <f t="shared" si="14"/>
        <v>151.9</v>
      </c>
      <c r="V6" s="3">
        <f t="shared" si="14"/>
        <v>177.2</v>
      </c>
      <c r="W6" s="3">
        <f t="shared" si="14"/>
        <v>170</v>
      </c>
      <c r="X6" s="3">
        <f t="shared" ref="X6:Z6" si="15">SUM(X3:X5)</f>
        <v>171.60000000000002</v>
      </c>
      <c r="Y6" s="3">
        <f t="shared" si="15"/>
        <v>174.91499999999999</v>
      </c>
      <c r="Z6" s="3">
        <f t="shared" si="15"/>
        <v>185.43000000000004</v>
      </c>
      <c r="AB6" s="3">
        <v>251</v>
      </c>
      <c r="AC6" s="3">
        <v>331</v>
      </c>
      <c r="AD6" s="3">
        <f>SUM(K6:N6)</f>
        <v>396.79999999999995</v>
      </c>
      <c r="AE6" s="3">
        <f>SUM(O6:R6)</f>
        <v>480.5</v>
      </c>
      <c r="AF6" s="3">
        <f>SUM(S6:V6)</f>
        <v>614.79999999999995</v>
      </c>
      <c r="AG6" s="3">
        <f>SUM(AG3:AG5)</f>
        <v>701.94500000000005</v>
      </c>
      <c r="AH6" s="3">
        <f t="shared" ref="AH6:AP6" si="16">SUM(AH3:AH5)</f>
        <v>777.61467100000016</v>
      </c>
      <c r="AI6" s="3">
        <f t="shared" si="16"/>
        <v>823.10491867000007</v>
      </c>
      <c r="AJ6" s="3">
        <f t="shared" si="16"/>
        <v>851.9502534108002</v>
      </c>
      <c r="AK6" s="3">
        <f t="shared" si="16"/>
        <v>876.04715147966419</v>
      </c>
      <c r="AL6" s="3">
        <f t="shared" si="16"/>
        <v>894.87809234605743</v>
      </c>
      <c r="AM6" s="3">
        <f t="shared" si="16"/>
        <v>914.34765159713857</v>
      </c>
      <c r="AN6" s="3">
        <f t="shared" si="16"/>
        <v>934.52100151407342</v>
      </c>
      <c r="AO6" s="3">
        <f t="shared" si="16"/>
        <v>955.47509780634527</v>
      </c>
      <c r="AP6" s="3">
        <f t="shared" si="16"/>
        <v>977.30101127686066</v>
      </c>
    </row>
    <row r="7" spans="2:42" x14ac:dyDescent="0.3">
      <c r="B7" t="s">
        <v>24</v>
      </c>
      <c r="I7" s="3">
        <v>0.1</v>
      </c>
      <c r="J7" s="3">
        <v>0.1</v>
      </c>
      <c r="K7" s="3">
        <v>0.1</v>
      </c>
      <c r="L7" s="3">
        <v>0.1</v>
      </c>
      <c r="M7" s="3">
        <v>0</v>
      </c>
      <c r="N7" s="3">
        <v>0.5</v>
      </c>
      <c r="O7" s="3">
        <v>0.3</v>
      </c>
      <c r="P7" s="3">
        <v>1.3</v>
      </c>
      <c r="Q7" s="3">
        <v>0.7</v>
      </c>
      <c r="R7" s="3">
        <v>0.1</v>
      </c>
      <c r="S7" s="3">
        <v>0</v>
      </c>
      <c r="T7" s="3">
        <v>0</v>
      </c>
      <c r="U7" s="3">
        <v>0.2</v>
      </c>
      <c r="V7" s="3">
        <v>-0.6</v>
      </c>
      <c r="W7" s="3">
        <v>0</v>
      </c>
      <c r="X7" s="3">
        <v>0</v>
      </c>
      <c r="Y7" s="3">
        <v>0</v>
      </c>
      <c r="Z7" s="3">
        <v>0</v>
      </c>
      <c r="AB7" s="3">
        <v>0.5</v>
      </c>
      <c r="AC7" s="3">
        <v>0.5</v>
      </c>
      <c r="AD7" s="3">
        <f>SUM(K7:N7)</f>
        <v>0.7</v>
      </c>
      <c r="AE7" s="3">
        <f>SUM(O7:R7)</f>
        <v>2.4</v>
      </c>
      <c r="AF7" s="3">
        <f>SUM(S7:V7)</f>
        <v>-0.39999999999999997</v>
      </c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2:42" s="1" customFormat="1" x14ac:dyDescent="0.3">
      <c r="B8" s="1" t="s">
        <v>25</v>
      </c>
      <c r="I8" s="8">
        <f t="shared" ref="I8:P8" si="17">I6+I7</f>
        <v>85.399999999999991</v>
      </c>
      <c r="J8" s="8">
        <f t="shared" si="17"/>
        <v>96.399999999999991</v>
      </c>
      <c r="K8" s="8">
        <f t="shared" si="17"/>
        <v>87.1</v>
      </c>
      <c r="L8" s="8">
        <f t="shared" si="17"/>
        <v>94.299999999999983</v>
      </c>
      <c r="M8" s="8">
        <f t="shared" si="17"/>
        <v>102.6</v>
      </c>
      <c r="N8" s="8">
        <f t="shared" si="17"/>
        <v>113.5</v>
      </c>
      <c r="O8" s="8">
        <f t="shared" si="17"/>
        <v>102.1</v>
      </c>
      <c r="P8" s="8">
        <f t="shared" si="17"/>
        <v>110.99999999999999</v>
      </c>
      <c r="Q8" s="8">
        <f t="shared" ref="Q8:V8" si="18">Q6+Q7</f>
        <v>123.89999999999999</v>
      </c>
      <c r="R8" s="8">
        <f t="shared" si="18"/>
        <v>145.89999999999998</v>
      </c>
      <c r="S8" s="8">
        <f t="shared" si="18"/>
        <v>142.69999999999999</v>
      </c>
      <c r="T8" s="8">
        <f t="shared" si="18"/>
        <v>143</v>
      </c>
      <c r="U8" s="8">
        <f t="shared" si="18"/>
        <v>152.1</v>
      </c>
      <c r="V8" s="8">
        <f t="shared" si="18"/>
        <v>176.6</v>
      </c>
      <c r="W8" s="8">
        <v>170</v>
      </c>
      <c r="X8" s="8">
        <f>T8*1.2</f>
        <v>171.6</v>
      </c>
      <c r="Y8" s="8">
        <f>U8*1.15</f>
        <v>174.91499999999999</v>
      </c>
      <c r="Z8" s="8">
        <f>V8*1.05</f>
        <v>185.43</v>
      </c>
      <c r="AB8" s="8">
        <f>AB6+AB7</f>
        <v>251.5</v>
      </c>
      <c r="AC8" s="8">
        <f>AC6+AC7</f>
        <v>331.5</v>
      </c>
      <c r="AD8" s="8">
        <f>AD6+AD7</f>
        <v>397.49999999999994</v>
      </c>
      <c r="AE8" s="8">
        <f>AE6+AE7</f>
        <v>482.9</v>
      </c>
      <c r="AF8" s="8">
        <f>AF6+AF7</f>
        <v>614.4</v>
      </c>
      <c r="AG8" s="8">
        <f>SUM(W8:Z8)</f>
        <v>701.94499999999994</v>
      </c>
      <c r="AH8" s="8">
        <f t="shared" ref="AH8:AP8" si="19">AH6+AH7</f>
        <v>777.61467100000016</v>
      </c>
      <c r="AI8" s="8">
        <f t="shared" si="19"/>
        <v>823.10491867000007</v>
      </c>
      <c r="AJ8" s="8">
        <f t="shared" si="19"/>
        <v>851.9502534108002</v>
      </c>
      <c r="AK8" s="8">
        <f t="shared" si="19"/>
        <v>876.04715147966419</v>
      </c>
      <c r="AL8" s="8">
        <f t="shared" si="19"/>
        <v>894.87809234605743</v>
      </c>
      <c r="AM8" s="8">
        <f t="shared" si="19"/>
        <v>914.34765159713857</v>
      </c>
      <c r="AN8" s="8">
        <f t="shared" si="19"/>
        <v>934.52100151407342</v>
      </c>
      <c r="AO8" s="8">
        <f t="shared" si="19"/>
        <v>955.47509780634527</v>
      </c>
      <c r="AP8" s="8">
        <f t="shared" si="19"/>
        <v>977.30101127686066</v>
      </c>
    </row>
    <row r="9" spans="2:42" x14ac:dyDescent="0.3">
      <c r="B9" t="s">
        <v>26</v>
      </c>
      <c r="I9" s="3">
        <v>1</v>
      </c>
      <c r="J9" s="3">
        <v>0.8</v>
      </c>
      <c r="K9" s="3">
        <v>0.8</v>
      </c>
      <c r="L9" s="3">
        <v>1.1000000000000001</v>
      </c>
      <c r="M9" s="3">
        <v>0.7</v>
      </c>
      <c r="N9" s="3">
        <v>0.5</v>
      </c>
      <c r="O9" s="3">
        <v>3.8</v>
      </c>
      <c r="P9" s="3">
        <v>1.9</v>
      </c>
      <c r="Q9" s="3">
        <v>1.8</v>
      </c>
      <c r="R9" s="3">
        <v>2.5</v>
      </c>
      <c r="S9" s="3">
        <v>2.2000000000000002</v>
      </c>
      <c r="T9" s="3">
        <v>2.2999999999999998</v>
      </c>
      <c r="U9" s="3">
        <v>2.2000000000000002</v>
      </c>
      <c r="V9" s="3">
        <v>2.6</v>
      </c>
      <c r="W9" s="3">
        <f>W8*0.01</f>
        <v>1.7</v>
      </c>
      <c r="X9" s="3">
        <f t="shared" ref="X9:Z9" si="20">X8*0.01</f>
        <v>1.716</v>
      </c>
      <c r="Y9" s="3">
        <f t="shared" si="20"/>
        <v>1.74915</v>
      </c>
      <c r="Z9" s="3">
        <f t="shared" si="20"/>
        <v>1.8543000000000001</v>
      </c>
      <c r="AB9" s="3">
        <v>4.5</v>
      </c>
      <c r="AC9" s="3">
        <v>4.0999999999999996</v>
      </c>
      <c r="AD9" s="3">
        <f>SUM(K9:N9)</f>
        <v>3.1</v>
      </c>
      <c r="AE9" s="3">
        <f t="shared" ref="AE9:AE11" si="21">SUM(O9:R9)</f>
        <v>10</v>
      </c>
      <c r="AF9" s="3">
        <f>SUM(S9:V9)</f>
        <v>9.3000000000000007</v>
      </c>
      <c r="AG9" s="3">
        <f>SUM(W9:Z9)</f>
        <v>7.01945</v>
      </c>
      <c r="AH9" s="3"/>
      <c r="AI9" s="3"/>
      <c r="AJ9" s="3"/>
      <c r="AK9" s="3"/>
      <c r="AL9" s="3"/>
      <c r="AM9" s="3"/>
      <c r="AN9" s="3"/>
      <c r="AO9" s="3"/>
      <c r="AP9" s="3"/>
    </row>
    <row r="10" spans="2:42" x14ac:dyDescent="0.3">
      <c r="B10" t="s">
        <v>27</v>
      </c>
      <c r="I10" s="3">
        <v>0.8</v>
      </c>
      <c r="J10" s="3">
        <v>0.9</v>
      </c>
      <c r="K10" s="3">
        <v>0.9</v>
      </c>
      <c r="L10" s="3">
        <v>1.1000000000000001</v>
      </c>
      <c r="M10" s="3">
        <v>1.2</v>
      </c>
      <c r="N10" s="3">
        <v>1.1000000000000001</v>
      </c>
      <c r="O10" s="3">
        <v>1</v>
      </c>
      <c r="P10" s="3">
        <v>0.9</v>
      </c>
      <c r="Q10" s="3">
        <v>0.9</v>
      </c>
      <c r="R10" s="3">
        <v>1.1000000000000001</v>
      </c>
      <c r="S10" s="3">
        <v>0.9</v>
      </c>
      <c r="T10" s="3">
        <v>1.5</v>
      </c>
      <c r="U10" s="3">
        <v>1.9</v>
      </c>
      <c r="V10" s="3">
        <v>1.7</v>
      </c>
      <c r="W10" s="3">
        <f>W8*0.01</f>
        <v>1.7</v>
      </c>
      <c r="X10" s="3">
        <f t="shared" ref="X10:Z10" si="22">X8*0.01</f>
        <v>1.716</v>
      </c>
      <c r="Y10" s="3">
        <f t="shared" si="22"/>
        <v>1.74915</v>
      </c>
      <c r="Z10" s="3">
        <f t="shared" si="22"/>
        <v>1.8543000000000001</v>
      </c>
      <c r="AB10" s="3">
        <v>3.7</v>
      </c>
      <c r="AC10" s="3">
        <v>3.8</v>
      </c>
      <c r="AD10" s="3">
        <f>SUM(K10:N10)</f>
        <v>4.3000000000000007</v>
      </c>
      <c r="AE10" s="3">
        <f t="shared" si="21"/>
        <v>3.9</v>
      </c>
      <c r="AF10" s="3">
        <f>SUM(S10:V10)</f>
        <v>6</v>
      </c>
      <c r="AG10" s="3">
        <f>SUM(W10:Z10)</f>
        <v>7.01945</v>
      </c>
      <c r="AH10" s="3"/>
      <c r="AI10" s="3"/>
      <c r="AJ10" s="3"/>
      <c r="AK10" s="3"/>
      <c r="AL10" s="3"/>
      <c r="AM10" s="3"/>
      <c r="AN10" s="3"/>
      <c r="AO10" s="3"/>
      <c r="AP10" s="3"/>
    </row>
    <row r="11" spans="2:42" x14ac:dyDescent="0.3">
      <c r="B11" t="s">
        <v>28</v>
      </c>
      <c r="I11" s="3">
        <v>13.9</v>
      </c>
      <c r="J11" s="3">
        <v>17.3</v>
      </c>
      <c r="K11" s="3">
        <v>15.2</v>
      </c>
      <c r="L11" s="3">
        <v>20.399999999999999</v>
      </c>
      <c r="M11" s="3">
        <v>23.3</v>
      </c>
      <c r="N11" s="3">
        <v>27</v>
      </c>
      <c r="O11" s="3">
        <v>19.3</v>
      </c>
      <c r="P11" s="3">
        <v>24.9</v>
      </c>
      <c r="Q11" s="3">
        <v>30.3</v>
      </c>
      <c r="R11" s="3">
        <v>44.1</v>
      </c>
      <c r="S11" s="3">
        <v>47.5</v>
      </c>
      <c r="T11" s="3">
        <v>47.1</v>
      </c>
      <c r="U11" s="3">
        <v>48.5</v>
      </c>
      <c r="V11" s="3">
        <v>62</v>
      </c>
      <c r="W11" s="3">
        <f>W8*0.35</f>
        <v>59.499999999999993</v>
      </c>
      <c r="X11" s="3">
        <f t="shared" ref="X11:Z11" si="23">X8*0.35</f>
        <v>60.059999999999995</v>
      </c>
      <c r="Y11" s="3">
        <f t="shared" si="23"/>
        <v>61.220249999999993</v>
      </c>
      <c r="Z11" s="3">
        <f t="shared" si="23"/>
        <v>64.900499999999994</v>
      </c>
      <c r="AB11" s="3">
        <v>5.5</v>
      </c>
      <c r="AC11" s="3">
        <v>46.7</v>
      </c>
      <c r="AD11" s="3">
        <f>SUM(K11:N11)</f>
        <v>85.899999999999991</v>
      </c>
      <c r="AE11" s="3">
        <f t="shared" si="21"/>
        <v>118.6</v>
      </c>
      <c r="AF11" s="3">
        <f>SUM(S11:V11)</f>
        <v>205.1</v>
      </c>
      <c r="AG11" s="3">
        <f>SUM(W11:Z11)</f>
        <v>245.68074999999996</v>
      </c>
      <c r="AH11" s="3"/>
      <c r="AI11" s="3"/>
      <c r="AJ11" s="3"/>
      <c r="AK11" s="3"/>
      <c r="AL11" s="3"/>
      <c r="AM11" s="3"/>
      <c r="AN11" s="3"/>
      <c r="AO11" s="3"/>
      <c r="AP11" s="3"/>
    </row>
    <row r="12" spans="2:42" x14ac:dyDescent="0.3">
      <c r="B12" t="s">
        <v>29</v>
      </c>
      <c r="I12" s="3">
        <f t="shared" ref="I12:S12" si="24">I9+I10+I11</f>
        <v>15.700000000000001</v>
      </c>
      <c r="J12" s="3">
        <f t="shared" si="24"/>
        <v>19</v>
      </c>
      <c r="K12" s="3">
        <f t="shared" si="24"/>
        <v>16.899999999999999</v>
      </c>
      <c r="L12" s="3">
        <f t="shared" si="24"/>
        <v>22.599999999999998</v>
      </c>
      <c r="M12" s="3">
        <f t="shared" si="24"/>
        <v>25.2</v>
      </c>
      <c r="N12" s="3">
        <f t="shared" si="24"/>
        <v>28.6</v>
      </c>
      <c r="O12" s="3">
        <f t="shared" si="24"/>
        <v>24.1</v>
      </c>
      <c r="P12" s="3">
        <f t="shared" si="24"/>
        <v>27.7</v>
      </c>
      <c r="Q12" s="3">
        <f t="shared" si="24"/>
        <v>33</v>
      </c>
      <c r="R12" s="3">
        <f t="shared" si="24"/>
        <v>47.7</v>
      </c>
      <c r="S12" s="3">
        <f t="shared" si="24"/>
        <v>50.6</v>
      </c>
      <c r="T12" s="3">
        <f t="shared" ref="T12" si="25">T9+T10+T11</f>
        <v>50.9</v>
      </c>
      <c r="U12" s="3">
        <f t="shared" ref="U12" si="26">U9+U10+U11</f>
        <v>52.6</v>
      </c>
      <c r="V12" s="3">
        <f t="shared" ref="V12:W12" si="27">V9+V10+V11</f>
        <v>66.3</v>
      </c>
      <c r="W12" s="3">
        <f t="shared" si="27"/>
        <v>62.899999999999991</v>
      </c>
      <c r="X12" s="3">
        <f t="shared" ref="X12:Z12" si="28">X9+X10+X11</f>
        <v>63.491999999999997</v>
      </c>
      <c r="Y12" s="3">
        <f t="shared" si="28"/>
        <v>64.718549999999993</v>
      </c>
      <c r="Z12" s="3">
        <f t="shared" si="28"/>
        <v>68.609099999999998</v>
      </c>
      <c r="AB12" s="3">
        <f>AB9+AB10+AB11</f>
        <v>13.7</v>
      </c>
      <c r="AC12" s="3">
        <f>AC9+AC10+AC11</f>
        <v>54.6</v>
      </c>
      <c r="AD12" s="3">
        <f>AD9+AD10+AD11</f>
        <v>93.3</v>
      </c>
      <c r="AE12" s="3">
        <f>SUM(O12:R12)</f>
        <v>132.5</v>
      </c>
      <c r="AF12" s="3">
        <f>AF9+AF10+AF11</f>
        <v>220.4</v>
      </c>
      <c r="AG12" s="3">
        <f>AG9+AG10+AG11</f>
        <v>259.71964999999994</v>
      </c>
      <c r="AH12" s="3">
        <f t="shared" ref="AH12:AP12" si="29">AH8-AH13</f>
        <v>287.71742827000003</v>
      </c>
      <c r="AI12" s="3">
        <f t="shared" si="29"/>
        <v>304.5488199079</v>
      </c>
      <c r="AJ12" s="3">
        <f t="shared" si="29"/>
        <v>315.22159376199602</v>
      </c>
      <c r="AK12" s="3">
        <f t="shared" si="29"/>
        <v>324.13744604747569</v>
      </c>
      <c r="AL12" s="3">
        <f t="shared" si="29"/>
        <v>331.10489416804126</v>
      </c>
      <c r="AM12" s="3">
        <f t="shared" si="29"/>
        <v>338.30863109094128</v>
      </c>
      <c r="AN12" s="3">
        <f t="shared" si="29"/>
        <v>345.77277056020716</v>
      </c>
      <c r="AO12" s="3">
        <f t="shared" si="29"/>
        <v>353.52578618834775</v>
      </c>
      <c r="AP12" s="3">
        <f t="shared" si="29"/>
        <v>361.60137417243845</v>
      </c>
    </row>
    <row r="13" spans="2:42" s="1" customFormat="1" x14ac:dyDescent="0.3">
      <c r="B13" s="1" t="s">
        <v>30</v>
      </c>
      <c r="I13" s="8">
        <f t="shared" ref="I13:S13" si="30">I8-I12</f>
        <v>69.699999999999989</v>
      </c>
      <c r="J13" s="8">
        <f t="shared" si="30"/>
        <v>77.399999999999991</v>
      </c>
      <c r="K13" s="8">
        <f t="shared" si="30"/>
        <v>70.199999999999989</v>
      </c>
      <c r="L13" s="8">
        <f t="shared" si="30"/>
        <v>71.699999999999989</v>
      </c>
      <c r="M13" s="8">
        <f t="shared" si="30"/>
        <v>77.399999999999991</v>
      </c>
      <c r="N13" s="8">
        <f t="shared" si="30"/>
        <v>84.9</v>
      </c>
      <c r="O13" s="8">
        <f t="shared" si="30"/>
        <v>78</v>
      </c>
      <c r="P13" s="8">
        <f t="shared" si="30"/>
        <v>83.299999999999983</v>
      </c>
      <c r="Q13" s="8">
        <f t="shared" si="30"/>
        <v>90.899999999999991</v>
      </c>
      <c r="R13" s="8">
        <f t="shared" si="30"/>
        <v>98.199999999999974</v>
      </c>
      <c r="S13" s="8">
        <f t="shared" si="30"/>
        <v>92.1</v>
      </c>
      <c r="T13" s="8">
        <f t="shared" ref="T13" si="31">T8-T12</f>
        <v>92.1</v>
      </c>
      <c r="U13" s="8">
        <f t="shared" ref="U13" si="32">U8-U12</f>
        <v>99.5</v>
      </c>
      <c r="V13" s="8">
        <f t="shared" ref="V13:W13" si="33">V8-V12</f>
        <v>110.3</v>
      </c>
      <c r="W13" s="8">
        <f t="shared" si="33"/>
        <v>107.10000000000001</v>
      </c>
      <c r="X13" s="8">
        <f t="shared" ref="X13:Z13" si="34">X8-X12</f>
        <v>108.108</v>
      </c>
      <c r="Y13" s="8">
        <f t="shared" si="34"/>
        <v>110.19645</v>
      </c>
      <c r="Z13" s="8">
        <f t="shared" si="34"/>
        <v>116.82090000000001</v>
      </c>
      <c r="AB13" s="8">
        <f t="shared" ref="AB13:AG13" si="35">AB8-AB12</f>
        <v>237.8</v>
      </c>
      <c r="AC13" s="8">
        <f t="shared" si="35"/>
        <v>276.89999999999998</v>
      </c>
      <c r="AD13" s="8">
        <f t="shared" si="35"/>
        <v>304.19999999999993</v>
      </c>
      <c r="AE13" s="8">
        <f t="shared" si="35"/>
        <v>350.4</v>
      </c>
      <c r="AF13" s="8">
        <f t="shared" si="35"/>
        <v>394</v>
      </c>
      <c r="AG13" s="8">
        <f t="shared" si="35"/>
        <v>442.22534999999999</v>
      </c>
      <c r="AH13" s="8">
        <f t="shared" ref="AH13:AP13" si="36">AH8*0.63</f>
        <v>489.89724273000013</v>
      </c>
      <c r="AI13" s="8">
        <f t="shared" si="36"/>
        <v>518.55609876210008</v>
      </c>
      <c r="AJ13" s="8">
        <f t="shared" si="36"/>
        <v>536.72865964880418</v>
      </c>
      <c r="AK13" s="8">
        <f t="shared" si="36"/>
        <v>551.9097054321885</v>
      </c>
      <c r="AL13" s="8">
        <f t="shared" si="36"/>
        <v>563.77319817801617</v>
      </c>
      <c r="AM13" s="8">
        <f t="shared" si="36"/>
        <v>576.03902050619729</v>
      </c>
      <c r="AN13" s="8">
        <f t="shared" si="36"/>
        <v>588.74823095386625</v>
      </c>
      <c r="AO13" s="8">
        <f t="shared" si="36"/>
        <v>601.94931161799752</v>
      </c>
      <c r="AP13" s="8">
        <f t="shared" si="36"/>
        <v>615.69963710442221</v>
      </c>
    </row>
    <row r="14" spans="2:42" x14ac:dyDescent="0.3">
      <c r="B14" t="s">
        <v>31</v>
      </c>
      <c r="I14" s="3">
        <v>18</v>
      </c>
      <c r="J14" s="3">
        <v>21.1</v>
      </c>
      <c r="K14" s="3">
        <v>20.100000000000001</v>
      </c>
      <c r="L14" s="3">
        <v>21.4</v>
      </c>
      <c r="M14" s="3">
        <v>20.7</v>
      </c>
      <c r="N14" s="3">
        <v>20.6</v>
      </c>
      <c r="O14" s="3">
        <v>16.3</v>
      </c>
      <c r="P14" s="3">
        <v>19.8</v>
      </c>
      <c r="Q14" s="3">
        <v>23.2</v>
      </c>
      <c r="R14" s="3">
        <v>17.8</v>
      </c>
      <c r="S14" s="3">
        <v>17.600000000000001</v>
      </c>
      <c r="T14" s="3">
        <v>18.7</v>
      </c>
      <c r="U14" s="3">
        <v>20.9</v>
      </c>
      <c r="V14" s="3">
        <v>21.9</v>
      </c>
      <c r="W14" s="3">
        <f>S14*1.2</f>
        <v>21.12</v>
      </c>
      <c r="X14" s="3">
        <f t="shared" ref="X14" si="37">T14*1.2</f>
        <v>22.439999999999998</v>
      </c>
      <c r="Y14" s="3">
        <f>U14*1.1</f>
        <v>22.990000000000002</v>
      </c>
      <c r="Z14" s="3">
        <f>V14*1.1</f>
        <v>24.09</v>
      </c>
      <c r="AB14" s="3">
        <v>74.5</v>
      </c>
      <c r="AC14" s="3">
        <v>74.599999999999994</v>
      </c>
      <c r="AD14" s="3">
        <f>SUM(K14:N14)</f>
        <v>82.800000000000011</v>
      </c>
      <c r="AE14" s="3">
        <f>SUM(O14:R14)</f>
        <v>77.099999999999994</v>
      </c>
      <c r="AF14" s="3">
        <f t="shared" ref="AF14:AF20" si="38">SUM(S14:V14)</f>
        <v>79.099999999999994</v>
      </c>
      <c r="AG14" s="3">
        <f t="shared" ref="AG14:AG20" si="39">SUM(W14:Z14)</f>
        <v>90.640000000000015</v>
      </c>
      <c r="AH14" s="3">
        <f>AG14*1.05</f>
        <v>95.172000000000025</v>
      </c>
      <c r="AI14" s="3">
        <f>AH14*1.04</f>
        <v>98.978880000000032</v>
      </c>
      <c r="AJ14" s="3">
        <f>AI14*1.03</f>
        <v>101.94824640000003</v>
      </c>
      <c r="AK14" s="3">
        <f>AJ14*1.02</f>
        <v>103.98721132800003</v>
      </c>
      <c r="AL14" s="3">
        <f t="shared" ref="AL14:AP14" si="40">AK14*1.01</f>
        <v>105.02708344128003</v>
      </c>
      <c r="AM14" s="3">
        <f t="shared" si="40"/>
        <v>106.07735427569283</v>
      </c>
      <c r="AN14" s="3">
        <f t="shared" si="40"/>
        <v>107.13812781844976</v>
      </c>
      <c r="AO14" s="3">
        <f t="shared" si="40"/>
        <v>108.20950909663426</v>
      </c>
      <c r="AP14" s="3">
        <f t="shared" si="40"/>
        <v>109.29160418760061</v>
      </c>
    </row>
    <row r="15" spans="2:42" x14ac:dyDescent="0.3">
      <c r="B15" t="s">
        <v>75</v>
      </c>
      <c r="I15" s="3"/>
      <c r="J15" s="3"/>
      <c r="K15" s="3"/>
      <c r="L15" s="3"/>
      <c r="M15" s="3"/>
      <c r="N15" s="3"/>
      <c r="O15" s="3">
        <v>2.6</v>
      </c>
      <c r="P15" s="3"/>
      <c r="Q15" s="3"/>
      <c r="R15" s="3"/>
      <c r="S15" s="3">
        <v>6</v>
      </c>
      <c r="T15" s="3">
        <v>8.8000000000000007</v>
      </c>
      <c r="U15" s="3">
        <v>9.1</v>
      </c>
      <c r="V15" s="3">
        <v>7.5</v>
      </c>
      <c r="W15" s="3">
        <v>9</v>
      </c>
      <c r="X15" s="3">
        <v>9</v>
      </c>
      <c r="Y15" s="3">
        <v>9</v>
      </c>
      <c r="Z15" s="3">
        <v>10</v>
      </c>
      <c r="AB15" s="3"/>
      <c r="AC15" s="3"/>
      <c r="AD15" s="3"/>
      <c r="AE15" s="3"/>
      <c r="AF15" s="3">
        <f>SUM(S15:Z15)</f>
        <v>68.400000000000006</v>
      </c>
      <c r="AG15" s="3">
        <f t="shared" si="39"/>
        <v>37</v>
      </c>
      <c r="AH15" s="3"/>
      <c r="AI15" s="3"/>
      <c r="AJ15" s="3"/>
      <c r="AK15" s="3"/>
      <c r="AL15" s="3"/>
      <c r="AM15" s="3"/>
      <c r="AN15" s="3"/>
      <c r="AO15" s="3"/>
      <c r="AP15" s="3"/>
    </row>
    <row r="16" spans="2:42" x14ac:dyDescent="0.3">
      <c r="B16" t="s">
        <v>32</v>
      </c>
      <c r="I16" s="3">
        <v>26</v>
      </c>
      <c r="J16" s="3">
        <v>29.6</v>
      </c>
      <c r="K16" s="3">
        <v>24.4</v>
      </c>
      <c r="L16" s="3">
        <v>27</v>
      </c>
      <c r="M16" s="3">
        <v>28.4</v>
      </c>
      <c r="N16" s="3">
        <v>30.1</v>
      </c>
      <c r="O16" s="3">
        <v>29.5</v>
      </c>
      <c r="P16" s="3">
        <v>29</v>
      </c>
      <c r="Q16" s="3">
        <v>32.5</v>
      </c>
      <c r="R16" s="3">
        <v>40.9</v>
      </c>
      <c r="S16" s="3">
        <v>34.200000000000003</v>
      </c>
      <c r="T16" s="3">
        <v>34</v>
      </c>
      <c r="U16" s="3">
        <v>35.9</v>
      </c>
      <c r="V16" s="3">
        <v>38.1</v>
      </c>
      <c r="W16" s="3">
        <f>W8*0.23</f>
        <v>39.1</v>
      </c>
      <c r="X16" s="3">
        <f t="shared" ref="X16:Y16" si="41">X8*0.23</f>
        <v>39.468000000000004</v>
      </c>
      <c r="Y16" s="3">
        <f t="shared" si="41"/>
        <v>40.230449999999998</v>
      </c>
      <c r="Z16" s="3">
        <f>Z8*0.22</f>
        <v>40.794600000000003</v>
      </c>
      <c r="AB16" s="3">
        <v>120.9</v>
      </c>
      <c r="AC16" s="3">
        <v>115</v>
      </c>
      <c r="AD16" s="3">
        <f>SUM(K16:N16)</f>
        <v>109.9</v>
      </c>
      <c r="AE16" s="3">
        <f>SUM(O16:R16)</f>
        <v>131.9</v>
      </c>
      <c r="AF16" s="3">
        <f t="shared" si="38"/>
        <v>142.19999999999999</v>
      </c>
      <c r="AG16" s="3">
        <f t="shared" si="39"/>
        <v>159.59305000000001</v>
      </c>
      <c r="AH16" s="3">
        <f>AH8*0.22</f>
        <v>171.07522762000005</v>
      </c>
      <c r="AI16" s="3">
        <f t="shared" ref="AI16:AP16" si="42">AI8*0.22</f>
        <v>181.08308210740003</v>
      </c>
      <c r="AJ16" s="3">
        <f t="shared" si="42"/>
        <v>187.42905575037605</v>
      </c>
      <c r="AK16" s="3">
        <f t="shared" si="42"/>
        <v>192.73037332552613</v>
      </c>
      <c r="AL16" s="3">
        <f t="shared" si="42"/>
        <v>196.87318031613265</v>
      </c>
      <c r="AM16" s="3">
        <f t="shared" si="42"/>
        <v>201.1564833513705</v>
      </c>
      <c r="AN16" s="3">
        <f t="shared" si="42"/>
        <v>205.59462033309615</v>
      </c>
      <c r="AO16" s="3">
        <f t="shared" si="42"/>
        <v>210.20452151739596</v>
      </c>
      <c r="AP16" s="3">
        <f t="shared" si="42"/>
        <v>215.00622248090934</v>
      </c>
    </row>
    <row r="17" spans="2:148" x14ac:dyDescent="0.3">
      <c r="B17" t="s">
        <v>35</v>
      </c>
      <c r="I17" s="3">
        <v>0.3</v>
      </c>
      <c r="J17" s="3">
        <v>1</v>
      </c>
      <c r="K17" s="3">
        <v>2.4</v>
      </c>
      <c r="L17" s="3">
        <v>0.1</v>
      </c>
      <c r="M17" s="3">
        <v>0.2</v>
      </c>
      <c r="N17" s="3">
        <v>1.3</v>
      </c>
      <c r="O17" s="3">
        <v>-0.1</v>
      </c>
      <c r="P17" s="3">
        <v>-0.1</v>
      </c>
      <c r="Q17" s="3">
        <v>-0.1</v>
      </c>
      <c r="R17" s="3">
        <v>-0.5</v>
      </c>
      <c r="S17" s="3">
        <v>0.2</v>
      </c>
      <c r="T17" s="3">
        <v>0.2</v>
      </c>
      <c r="U17" s="3">
        <v>-0.3</v>
      </c>
      <c r="V17" s="3">
        <v>-0.4</v>
      </c>
      <c r="W17" s="3">
        <v>0</v>
      </c>
      <c r="X17" s="3">
        <v>0</v>
      </c>
      <c r="Y17" s="3">
        <v>0</v>
      </c>
      <c r="Z17" s="3">
        <v>0</v>
      </c>
      <c r="AB17" s="3">
        <v>0.6</v>
      </c>
      <c r="AC17" s="3">
        <v>1.4</v>
      </c>
      <c r="AD17" s="3">
        <f>SUM(K17:N17)</f>
        <v>4</v>
      </c>
      <c r="AE17" s="3">
        <f>SUM(O17:R17)</f>
        <v>-0.8</v>
      </c>
      <c r="AF17" s="3">
        <f t="shared" si="38"/>
        <v>-0.3</v>
      </c>
      <c r="AG17" s="3">
        <f t="shared" si="39"/>
        <v>0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3">
        <v>0</v>
      </c>
      <c r="AN17" s="3">
        <v>0</v>
      </c>
      <c r="AO17" s="3">
        <v>0</v>
      </c>
      <c r="AP17" s="3">
        <v>0</v>
      </c>
    </row>
    <row r="18" spans="2:148" x14ac:dyDescent="0.3">
      <c r="B18" t="s">
        <v>33</v>
      </c>
      <c r="I18" s="3">
        <v>3.4</v>
      </c>
      <c r="J18" s="3">
        <v>3.5</v>
      </c>
      <c r="K18" s="3">
        <v>3.4</v>
      </c>
      <c r="L18" s="3">
        <v>3.4</v>
      </c>
      <c r="M18" s="3">
        <v>3.2</v>
      </c>
      <c r="N18" s="3">
        <v>3.2</v>
      </c>
      <c r="O18" s="3">
        <v>3.1</v>
      </c>
      <c r="P18" s="3">
        <v>4</v>
      </c>
      <c r="Q18" s="3">
        <v>4.0999999999999996</v>
      </c>
      <c r="R18" s="3">
        <v>4.4000000000000004</v>
      </c>
      <c r="S18" s="3">
        <v>4.4000000000000004</v>
      </c>
      <c r="T18" s="3">
        <v>4.5999999999999996</v>
      </c>
      <c r="U18" s="3">
        <v>4.9000000000000004</v>
      </c>
      <c r="V18" s="3">
        <v>4.9000000000000004</v>
      </c>
      <c r="W18" s="3">
        <v>5</v>
      </c>
      <c r="X18" s="3">
        <v>5</v>
      </c>
      <c r="Y18" s="3">
        <v>5</v>
      </c>
      <c r="Z18" s="3">
        <v>5</v>
      </c>
      <c r="AB18" s="3">
        <v>19.600000000000001</v>
      </c>
      <c r="AC18" s="3">
        <v>13.9</v>
      </c>
      <c r="AD18" s="3">
        <f>SUM(K18:N18)</f>
        <v>13.2</v>
      </c>
      <c r="AE18" s="3">
        <f>SUM(O18:R18)</f>
        <v>15.6</v>
      </c>
      <c r="AF18" s="3">
        <f t="shared" si="38"/>
        <v>18.8</v>
      </c>
      <c r="AG18" s="3">
        <f t="shared" si="39"/>
        <v>20</v>
      </c>
      <c r="AH18" s="3"/>
      <c r="AI18" s="3"/>
      <c r="AJ18" s="3"/>
      <c r="AK18" s="3"/>
      <c r="AL18" s="3"/>
      <c r="AM18" s="3"/>
      <c r="AN18" s="3"/>
      <c r="AO18" s="3"/>
      <c r="AP18" s="3"/>
    </row>
    <row r="19" spans="2:148" x14ac:dyDescent="0.3">
      <c r="B19" t="s">
        <v>74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0.7</v>
      </c>
      <c r="T19" s="3">
        <v>0.6</v>
      </c>
      <c r="U19" s="3">
        <v>0.2</v>
      </c>
      <c r="V19" s="3">
        <v>0.4</v>
      </c>
      <c r="W19" s="3">
        <v>0</v>
      </c>
      <c r="X19" s="3">
        <v>0</v>
      </c>
      <c r="Y19" s="3">
        <v>0</v>
      </c>
      <c r="Z19" s="3">
        <v>0</v>
      </c>
      <c r="AB19" s="3"/>
      <c r="AC19" s="3"/>
      <c r="AD19" s="3"/>
      <c r="AE19" s="3"/>
      <c r="AF19" s="3">
        <f>SUM(S19:Z19)</f>
        <v>1.9</v>
      </c>
      <c r="AG19" s="3">
        <f t="shared" si="39"/>
        <v>0</v>
      </c>
      <c r="AH19" s="3"/>
      <c r="AI19" s="3"/>
      <c r="AJ19" s="3"/>
      <c r="AK19" s="3"/>
      <c r="AL19" s="3"/>
      <c r="AM19" s="3"/>
      <c r="AN19" s="3"/>
      <c r="AO19" s="3"/>
      <c r="AP19" s="3"/>
    </row>
    <row r="20" spans="2:148" x14ac:dyDescent="0.3">
      <c r="B20" t="s">
        <v>34</v>
      </c>
      <c r="I20" s="3">
        <v>5.8</v>
      </c>
      <c r="J20" s="3">
        <f>3.2+0.3+7</f>
        <v>10.5</v>
      </c>
      <c r="K20" s="3">
        <v>6.1</v>
      </c>
      <c r="L20" s="3">
        <v>7.3</v>
      </c>
      <c r="M20" s="3">
        <f>0.6+0.7+7.6</f>
        <v>8.8999999999999986</v>
      </c>
      <c r="N20" s="3">
        <f>0.1+9.2</f>
        <v>9.2999999999999989</v>
      </c>
      <c r="O20" s="3">
        <v>7.2</v>
      </c>
      <c r="P20" s="3">
        <v>8.6999999999999993</v>
      </c>
      <c r="Q20" s="3">
        <v>7.8</v>
      </c>
      <c r="R20" s="3">
        <f>0.1+8</f>
        <v>8.1</v>
      </c>
      <c r="S20" s="3">
        <v>7.8</v>
      </c>
      <c r="T20" s="3">
        <v>7.5</v>
      </c>
      <c r="U20" s="3">
        <v>6.6</v>
      </c>
      <c r="V20" s="3">
        <v>9.4</v>
      </c>
      <c r="W20" s="3">
        <v>9</v>
      </c>
      <c r="X20" s="3">
        <v>9.1999999999999993</v>
      </c>
      <c r="Y20" s="3">
        <v>9.5</v>
      </c>
      <c r="Z20" s="3">
        <v>10</v>
      </c>
      <c r="AB20" s="3">
        <f>5.6+22.8</f>
        <v>28.4</v>
      </c>
      <c r="AC20" s="3">
        <f>3.2+1.5+26.7</f>
        <v>31.4</v>
      </c>
      <c r="AD20" s="3">
        <f>SUM(K20:N20)</f>
        <v>31.599999999999994</v>
      </c>
      <c r="AE20" s="3">
        <f>SUM(O20:R20)</f>
        <v>31.799999999999997</v>
      </c>
      <c r="AF20" s="3">
        <f t="shared" si="38"/>
        <v>31.299999999999997</v>
      </c>
      <c r="AG20" s="3">
        <f t="shared" si="39"/>
        <v>37.700000000000003</v>
      </c>
      <c r="AH20" s="3">
        <f t="shared" ref="AH20:AP20" si="43">AG20*1.01</f>
        <v>38.077000000000005</v>
      </c>
      <c r="AI20" s="3">
        <f t="shared" si="43"/>
        <v>38.457770000000004</v>
      </c>
      <c r="AJ20" s="3">
        <f t="shared" si="43"/>
        <v>38.842347700000005</v>
      </c>
      <c r="AK20" s="3">
        <f t="shared" si="43"/>
        <v>39.230771177000008</v>
      </c>
      <c r="AL20" s="3">
        <f t="shared" si="43"/>
        <v>39.62307888877001</v>
      </c>
      <c r="AM20" s="3">
        <f t="shared" si="43"/>
        <v>40.019309677657709</v>
      </c>
      <c r="AN20" s="3">
        <f t="shared" si="43"/>
        <v>40.419502774434285</v>
      </c>
      <c r="AO20" s="3">
        <f t="shared" si="43"/>
        <v>40.823697802178629</v>
      </c>
      <c r="AP20" s="3">
        <f t="shared" si="43"/>
        <v>41.231934780200412</v>
      </c>
    </row>
    <row r="21" spans="2:148" x14ac:dyDescent="0.3">
      <c r="B21" t="s">
        <v>36</v>
      </c>
      <c r="I21" s="3">
        <f t="shared" ref="I21:P21" si="44">SUM(I14:I20)</f>
        <v>53.499999999999993</v>
      </c>
      <c r="J21" s="3">
        <f t="shared" si="44"/>
        <v>65.7</v>
      </c>
      <c r="K21" s="3">
        <f t="shared" si="44"/>
        <v>56.4</v>
      </c>
      <c r="L21" s="3">
        <f t="shared" si="44"/>
        <v>59.199999999999996</v>
      </c>
      <c r="M21" s="3">
        <f t="shared" si="44"/>
        <v>61.4</v>
      </c>
      <c r="N21" s="3">
        <f t="shared" si="44"/>
        <v>64.5</v>
      </c>
      <c r="O21" s="3">
        <f t="shared" si="44"/>
        <v>58.600000000000009</v>
      </c>
      <c r="P21" s="3">
        <f t="shared" si="44"/>
        <v>61.399999999999991</v>
      </c>
      <c r="Q21" s="3">
        <f t="shared" ref="Q21:R21" si="45">SUM(Q14:Q20)</f>
        <v>67.5</v>
      </c>
      <c r="R21" s="3">
        <f t="shared" si="45"/>
        <v>70.7</v>
      </c>
      <c r="S21" s="3">
        <f t="shared" ref="S21:V21" si="46">SUM(S14:S20)</f>
        <v>70.900000000000006</v>
      </c>
      <c r="T21" s="3">
        <f t="shared" si="46"/>
        <v>74.399999999999991</v>
      </c>
      <c r="U21" s="3">
        <f t="shared" si="46"/>
        <v>77.300000000000011</v>
      </c>
      <c r="V21" s="3">
        <f t="shared" si="46"/>
        <v>81.800000000000011</v>
      </c>
      <c r="W21" s="3">
        <f t="shared" ref="W21:Z21" si="47">SUM(W14:W20)</f>
        <v>83.22</v>
      </c>
      <c r="X21" s="3">
        <f t="shared" si="47"/>
        <v>85.108000000000004</v>
      </c>
      <c r="Y21" s="3">
        <f t="shared" si="47"/>
        <v>86.72045</v>
      </c>
      <c r="Z21" s="3">
        <f t="shared" si="47"/>
        <v>89.884600000000006</v>
      </c>
      <c r="AB21" s="3">
        <f>SUM(AB14:AB20)</f>
        <v>244</v>
      </c>
      <c r="AC21" s="3">
        <f>SUM(AC14:AC20)</f>
        <v>236.3</v>
      </c>
      <c r="AD21" s="3">
        <f>SUM(AD14:AD20)</f>
        <v>241.5</v>
      </c>
      <c r="AE21" s="3">
        <f>SUM(AE14:AE20)</f>
        <v>255.59999999999997</v>
      </c>
      <c r="AF21" s="3">
        <f>SUM(AF14:AF20)</f>
        <v>341.4</v>
      </c>
      <c r="AG21" s="3">
        <f t="shared" ref="AG21:AP21" si="48">SUM(AG14:AG20)</f>
        <v>344.93305000000004</v>
      </c>
      <c r="AH21" s="3">
        <f t="shared" si="48"/>
        <v>304.3242276200001</v>
      </c>
      <c r="AI21" s="3">
        <f t="shared" si="48"/>
        <v>318.51973210740005</v>
      </c>
      <c r="AJ21" s="3">
        <f t="shared" si="48"/>
        <v>328.21964985037607</v>
      </c>
      <c r="AK21" s="3">
        <f t="shared" si="48"/>
        <v>335.94835583052617</v>
      </c>
      <c r="AL21" s="3">
        <f t="shared" si="48"/>
        <v>341.5233426461827</v>
      </c>
      <c r="AM21" s="3">
        <f t="shared" si="48"/>
        <v>347.25314730472104</v>
      </c>
      <c r="AN21" s="3">
        <f t="shared" si="48"/>
        <v>353.15225092598024</v>
      </c>
      <c r="AO21" s="3">
        <f t="shared" si="48"/>
        <v>359.23772841620888</v>
      </c>
      <c r="AP21" s="3">
        <f t="shared" si="48"/>
        <v>365.52976144871036</v>
      </c>
    </row>
    <row r="22" spans="2:148" s="1" customFormat="1" x14ac:dyDescent="0.3">
      <c r="B22" s="1" t="s">
        <v>37</v>
      </c>
      <c r="I22" s="8">
        <f t="shared" ref="I22:P22" si="49">I13-I21</f>
        <v>16.199999999999996</v>
      </c>
      <c r="J22" s="8">
        <f t="shared" si="49"/>
        <v>11.699999999999989</v>
      </c>
      <c r="K22" s="8">
        <f t="shared" si="49"/>
        <v>13.79999999999999</v>
      </c>
      <c r="L22" s="8">
        <f t="shared" si="49"/>
        <v>12.499999999999993</v>
      </c>
      <c r="M22" s="8">
        <f t="shared" si="49"/>
        <v>15.999999999999993</v>
      </c>
      <c r="N22" s="8">
        <f t="shared" si="49"/>
        <v>20.400000000000006</v>
      </c>
      <c r="O22" s="8">
        <f t="shared" si="49"/>
        <v>19.399999999999991</v>
      </c>
      <c r="P22" s="8">
        <f t="shared" si="49"/>
        <v>21.899999999999991</v>
      </c>
      <c r="Q22" s="8">
        <f t="shared" ref="Q22:R22" si="50">Q13-Q21</f>
        <v>23.399999999999991</v>
      </c>
      <c r="R22" s="8">
        <f t="shared" si="50"/>
        <v>27.499999999999972</v>
      </c>
      <c r="S22" s="8">
        <f t="shared" ref="S22:V22" si="51">S13-S21</f>
        <v>21.199999999999989</v>
      </c>
      <c r="T22" s="8">
        <f t="shared" si="51"/>
        <v>17.700000000000003</v>
      </c>
      <c r="U22" s="8">
        <f t="shared" si="51"/>
        <v>22.199999999999989</v>
      </c>
      <c r="V22" s="8">
        <f t="shared" si="51"/>
        <v>28.499999999999986</v>
      </c>
      <c r="W22" s="8">
        <f t="shared" ref="W22:Z22" si="52">W13-W21</f>
        <v>23.88000000000001</v>
      </c>
      <c r="X22" s="8">
        <f t="shared" si="52"/>
        <v>23</v>
      </c>
      <c r="Y22" s="8">
        <f t="shared" si="52"/>
        <v>23.475999999999999</v>
      </c>
      <c r="Z22" s="8">
        <f t="shared" si="52"/>
        <v>26.936300000000003</v>
      </c>
      <c r="AB22" s="8">
        <f>AB13-AB21</f>
        <v>-6.1999999999999886</v>
      </c>
      <c r="AC22" s="8">
        <f>AC13-AC21</f>
        <v>40.599999999999966</v>
      </c>
      <c r="AD22" s="8">
        <f>AD13-AD21</f>
        <v>62.699999999999932</v>
      </c>
      <c r="AE22" s="8">
        <f>AE13-AE21</f>
        <v>94.800000000000011</v>
      </c>
      <c r="AF22" s="8">
        <f>AF13-AF21</f>
        <v>52.600000000000023</v>
      </c>
      <c r="AG22" s="8">
        <f t="shared" ref="AG22:AP22" si="53">AG13-AG21</f>
        <v>97.292299999999955</v>
      </c>
      <c r="AH22" s="8">
        <f t="shared" si="53"/>
        <v>185.57301511000003</v>
      </c>
      <c r="AI22" s="8">
        <f t="shared" si="53"/>
        <v>200.03636665470003</v>
      </c>
      <c r="AJ22" s="8">
        <f t="shared" si="53"/>
        <v>208.50900979842811</v>
      </c>
      <c r="AK22" s="8">
        <f t="shared" si="53"/>
        <v>215.96134960166233</v>
      </c>
      <c r="AL22" s="8">
        <f t="shared" si="53"/>
        <v>222.24985553183348</v>
      </c>
      <c r="AM22" s="8">
        <f t="shared" si="53"/>
        <v>228.78587320147625</v>
      </c>
      <c r="AN22" s="8">
        <f t="shared" si="53"/>
        <v>235.59598002788601</v>
      </c>
      <c r="AO22" s="8">
        <f t="shared" si="53"/>
        <v>242.71158320178864</v>
      </c>
      <c r="AP22" s="8">
        <f t="shared" si="53"/>
        <v>250.16987565571185</v>
      </c>
    </row>
    <row r="23" spans="2:148" x14ac:dyDescent="0.3">
      <c r="B23" t="s">
        <v>38</v>
      </c>
      <c r="I23" s="3">
        <v>-2.5</v>
      </c>
      <c r="J23" s="3">
        <f>-1.5-43.6</f>
        <v>-45.1</v>
      </c>
      <c r="K23" s="3">
        <v>-5.4</v>
      </c>
      <c r="L23" s="3">
        <v>-1.4</v>
      </c>
      <c r="M23" s="3">
        <v>-1.2</v>
      </c>
      <c r="N23" s="3">
        <f>-89.8-1</f>
        <v>-90.8</v>
      </c>
      <c r="O23" s="3">
        <v>-0.9</v>
      </c>
      <c r="P23" s="3">
        <v>-0.9</v>
      </c>
      <c r="Q23" s="3">
        <v>-0.8</v>
      </c>
      <c r="R23" s="3">
        <f>-5-1</f>
        <v>-6</v>
      </c>
      <c r="S23" s="3">
        <v>-0.7</v>
      </c>
      <c r="T23" s="3">
        <v>-0.9</v>
      </c>
      <c r="U23" s="3">
        <v>-0.8</v>
      </c>
      <c r="V23" s="3">
        <f>-0.3-36.3-0.9</f>
        <v>-37.499999999999993</v>
      </c>
      <c r="W23" s="3">
        <v>-1</v>
      </c>
      <c r="X23" s="3">
        <v>-1</v>
      </c>
      <c r="Y23" s="3">
        <v>-1</v>
      </c>
      <c r="Z23" s="3">
        <v>-10</v>
      </c>
      <c r="AB23" s="3">
        <f>29.4+115.4-116.6-0.1</f>
        <v>28.100000000000016</v>
      </c>
      <c r="AC23" s="3">
        <f>-1.5-21.5</f>
        <v>-23</v>
      </c>
      <c r="AD23" s="3">
        <f>SUM(K23:N23)</f>
        <v>-98.8</v>
      </c>
      <c r="AE23" s="3">
        <f>SUM(O23:R23)</f>
        <v>-8.6</v>
      </c>
      <c r="AF23" s="3">
        <f>SUM(S23:V23)</f>
        <v>-39.899999999999991</v>
      </c>
      <c r="AG23" s="3">
        <f t="shared" ref="AG23:AG25" si="54">SUM(W23:Z23)</f>
        <v>-13</v>
      </c>
      <c r="AH23" s="3">
        <f t="shared" ref="AH23:AP23" si="55">AG23*1.01</f>
        <v>-13.13</v>
      </c>
      <c r="AI23" s="3">
        <f t="shared" si="55"/>
        <v>-13.2613</v>
      </c>
      <c r="AJ23" s="3">
        <f t="shared" si="55"/>
        <v>-13.393913000000001</v>
      </c>
      <c r="AK23" s="3">
        <f t="shared" si="55"/>
        <v>-13.527852130000001</v>
      </c>
      <c r="AL23" s="3">
        <f t="shared" si="55"/>
        <v>-13.663130651300001</v>
      </c>
      <c r="AM23" s="3">
        <f t="shared" si="55"/>
        <v>-13.799761957813001</v>
      </c>
      <c r="AN23" s="3">
        <f t="shared" si="55"/>
        <v>-13.93775957739113</v>
      </c>
      <c r="AO23" s="3">
        <f t="shared" si="55"/>
        <v>-14.077137173165042</v>
      </c>
      <c r="AP23" s="3">
        <f t="shared" si="55"/>
        <v>-14.217908544896693</v>
      </c>
    </row>
    <row r="24" spans="2:148" x14ac:dyDescent="0.3">
      <c r="B24" t="s">
        <v>39</v>
      </c>
      <c r="I24" s="3">
        <v>4.7</v>
      </c>
      <c r="J24" s="3">
        <v>35.6</v>
      </c>
      <c r="K24" s="3">
        <v>0.4</v>
      </c>
      <c r="L24" s="3">
        <v>0.1</v>
      </c>
      <c r="M24" s="3">
        <v>0.1</v>
      </c>
      <c r="N24" s="3">
        <v>0.1</v>
      </c>
      <c r="O24" s="3">
        <v>0.1</v>
      </c>
      <c r="P24" s="3">
        <v>0.2</v>
      </c>
      <c r="Q24" s="3">
        <v>0.1</v>
      </c>
      <c r="R24" s="3">
        <v>0.2</v>
      </c>
      <c r="S24" s="3">
        <v>0.1</v>
      </c>
      <c r="T24" s="3">
        <v>0.2</v>
      </c>
      <c r="U24" s="3">
        <v>0.1</v>
      </c>
      <c r="V24" s="3">
        <v>0.2</v>
      </c>
      <c r="W24" s="3">
        <v>0</v>
      </c>
      <c r="X24" s="3">
        <v>0</v>
      </c>
      <c r="Y24" s="3">
        <v>0</v>
      </c>
      <c r="Z24" s="3">
        <v>0</v>
      </c>
      <c r="AB24" s="3">
        <v>6.9</v>
      </c>
      <c r="AC24" s="3">
        <v>38.5</v>
      </c>
      <c r="AD24" s="3">
        <f>SUM(K24:N24)</f>
        <v>0.7</v>
      </c>
      <c r="AE24" s="3">
        <f>SUM(O24:R24)</f>
        <v>0.60000000000000009</v>
      </c>
      <c r="AF24" s="3">
        <f>SUM(S24:V24)</f>
        <v>0.60000000000000009</v>
      </c>
      <c r="AG24" s="3">
        <f t="shared" si="54"/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3">
        <v>0</v>
      </c>
      <c r="AN24" s="3">
        <v>0</v>
      </c>
      <c r="AO24" s="3">
        <v>0</v>
      </c>
      <c r="AP24" s="3">
        <v>0</v>
      </c>
    </row>
    <row r="25" spans="2:148" x14ac:dyDescent="0.3">
      <c r="B25" t="s">
        <v>40</v>
      </c>
      <c r="I25" s="3">
        <v>-0.6</v>
      </c>
      <c r="J25" s="3">
        <v>1.1000000000000001</v>
      </c>
      <c r="K25" s="3">
        <v>0.2</v>
      </c>
      <c r="L25" s="3">
        <v>-0.9</v>
      </c>
      <c r="M25" s="3">
        <v>0.1</v>
      </c>
      <c r="N25" s="3">
        <v>1.6</v>
      </c>
      <c r="O25" s="3">
        <v>0.8</v>
      </c>
      <c r="P25" s="3">
        <v>0.6</v>
      </c>
      <c r="Q25" s="3">
        <v>1.1000000000000001</v>
      </c>
      <c r="R25" s="3">
        <v>-0.6</v>
      </c>
      <c r="S25" s="3">
        <v>0.8</v>
      </c>
      <c r="T25" s="3">
        <v>1</v>
      </c>
      <c r="U25" s="3">
        <v>0.5</v>
      </c>
      <c r="V25" s="3">
        <v>1.8</v>
      </c>
      <c r="W25" s="3">
        <v>2</v>
      </c>
      <c r="X25" s="3">
        <v>2</v>
      </c>
      <c r="Y25" s="3">
        <v>2</v>
      </c>
      <c r="Z25" s="3">
        <v>2</v>
      </c>
      <c r="AB25" s="3">
        <v>1.8</v>
      </c>
      <c r="AC25" s="3">
        <v>1.2</v>
      </c>
      <c r="AD25" s="3">
        <f>SUM(K25:N25)</f>
        <v>1</v>
      </c>
      <c r="AE25" s="3">
        <f>SUM(O25:R25)</f>
        <v>1.9</v>
      </c>
      <c r="AF25" s="3">
        <f>SUM(S25:V25)</f>
        <v>4.0999999999999996</v>
      </c>
      <c r="AG25" s="3">
        <f t="shared" si="54"/>
        <v>8</v>
      </c>
      <c r="AH25" s="3">
        <f t="shared" ref="AH25:AP25" si="56">AG25*1.01</f>
        <v>8.08</v>
      </c>
      <c r="AI25" s="3">
        <f t="shared" si="56"/>
        <v>8.1608000000000001</v>
      </c>
      <c r="AJ25" s="3">
        <f t="shared" si="56"/>
        <v>8.2424079999999993</v>
      </c>
      <c r="AK25" s="3">
        <f t="shared" si="56"/>
        <v>8.3248320800000002</v>
      </c>
      <c r="AL25" s="3">
        <f t="shared" si="56"/>
        <v>8.4080804007999994</v>
      </c>
      <c r="AM25" s="3">
        <f t="shared" si="56"/>
        <v>8.4921612048079993</v>
      </c>
      <c r="AN25" s="3">
        <f t="shared" si="56"/>
        <v>8.5770828168560787</v>
      </c>
      <c r="AO25" s="3">
        <f t="shared" si="56"/>
        <v>8.6628536450246401</v>
      </c>
      <c r="AP25" s="3">
        <f t="shared" si="56"/>
        <v>8.7494821814748871</v>
      </c>
    </row>
    <row r="26" spans="2:148" x14ac:dyDescent="0.3">
      <c r="B26" t="s">
        <v>41</v>
      </c>
      <c r="I26" s="3">
        <f t="shared" ref="I26:P26" si="57">SUM(I23:I25)</f>
        <v>1.6</v>
      </c>
      <c r="J26" s="3">
        <f t="shared" si="57"/>
        <v>-8.4</v>
      </c>
      <c r="K26" s="3">
        <f t="shared" si="57"/>
        <v>-4.8</v>
      </c>
      <c r="L26" s="3">
        <f t="shared" si="57"/>
        <v>-2.1999999999999997</v>
      </c>
      <c r="M26" s="3">
        <f t="shared" si="57"/>
        <v>-0.99999999999999989</v>
      </c>
      <c r="N26" s="3">
        <f t="shared" si="57"/>
        <v>-89.100000000000009</v>
      </c>
      <c r="O26" s="3">
        <f t="shared" si="57"/>
        <v>0</v>
      </c>
      <c r="P26" s="3">
        <f t="shared" si="57"/>
        <v>-9.9999999999999978E-2</v>
      </c>
      <c r="Q26" s="3">
        <f t="shared" ref="Q26:R26" si="58">SUM(Q23:Q25)</f>
        <v>0.4</v>
      </c>
      <c r="R26" s="3">
        <f t="shared" si="58"/>
        <v>-6.3999999999999995</v>
      </c>
      <c r="S26" s="3">
        <f t="shared" ref="S26:W26" si="59">SUM(S23:S25)</f>
        <v>0.20000000000000007</v>
      </c>
      <c r="T26" s="3">
        <f t="shared" si="59"/>
        <v>0.30000000000000004</v>
      </c>
      <c r="U26" s="3">
        <f t="shared" si="59"/>
        <v>-0.20000000000000007</v>
      </c>
      <c r="V26" s="3">
        <f t="shared" si="59"/>
        <v>-35.499999999999993</v>
      </c>
      <c r="W26" s="3">
        <f t="shared" si="59"/>
        <v>1</v>
      </c>
      <c r="X26" s="3">
        <f t="shared" ref="X26:Z26" si="60">SUM(X23:X25)</f>
        <v>1</v>
      </c>
      <c r="Y26" s="3">
        <f t="shared" si="60"/>
        <v>1</v>
      </c>
      <c r="Z26" s="3">
        <f t="shared" si="60"/>
        <v>-8</v>
      </c>
      <c r="AB26" s="3">
        <f>SUM(AB23:AB25)</f>
        <v>36.800000000000011</v>
      </c>
      <c r="AC26" s="3">
        <f>SUM(AC23:AC25)</f>
        <v>16.7</v>
      </c>
      <c r="AD26" s="3">
        <f>SUM(AD23:AD25)</f>
        <v>-97.1</v>
      </c>
      <c r="AE26" s="3">
        <f>SUM(AE23:AE25)</f>
        <v>-6.1</v>
      </c>
      <c r="AF26" s="3">
        <f>SUM(AF23:AF25)</f>
        <v>-35.199999999999989</v>
      </c>
      <c r="AG26" s="3">
        <f t="shared" ref="AG26:AP26" si="61">SUM(AG23:AG25)</f>
        <v>-5</v>
      </c>
      <c r="AH26" s="3">
        <f t="shared" si="61"/>
        <v>-5.0500000000000007</v>
      </c>
      <c r="AI26" s="3">
        <f t="shared" si="61"/>
        <v>-5.1005000000000003</v>
      </c>
      <c r="AJ26" s="3">
        <f t="shared" si="61"/>
        <v>-5.151505000000002</v>
      </c>
      <c r="AK26" s="3">
        <f t="shared" si="61"/>
        <v>-5.203020050000001</v>
      </c>
      <c r="AL26" s="3">
        <f t="shared" si="61"/>
        <v>-5.2550502505000019</v>
      </c>
      <c r="AM26" s="3">
        <f t="shared" si="61"/>
        <v>-5.3076007530050013</v>
      </c>
      <c r="AN26" s="3">
        <f t="shared" si="61"/>
        <v>-5.3606767605350516</v>
      </c>
      <c r="AO26" s="3">
        <f t="shared" si="61"/>
        <v>-5.4142835281404018</v>
      </c>
      <c r="AP26" s="3">
        <f t="shared" si="61"/>
        <v>-5.4684263634218055</v>
      </c>
    </row>
    <row r="27" spans="2:148" s="1" customFormat="1" x14ac:dyDescent="0.3">
      <c r="B27" s="1" t="s">
        <v>45</v>
      </c>
      <c r="I27" s="8">
        <f t="shared" ref="I27:P27" si="62">I22-I26</f>
        <v>14.599999999999996</v>
      </c>
      <c r="J27" s="8">
        <f t="shared" si="62"/>
        <v>20.099999999999987</v>
      </c>
      <c r="K27" s="8">
        <f t="shared" si="62"/>
        <v>18.599999999999991</v>
      </c>
      <c r="L27" s="8">
        <f t="shared" si="62"/>
        <v>14.699999999999992</v>
      </c>
      <c r="M27" s="8">
        <f t="shared" si="62"/>
        <v>16.999999999999993</v>
      </c>
      <c r="N27" s="8">
        <f t="shared" si="62"/>
        <v>109.50000000000001</v>
      </c>
      <c r="O27" s="8">
        <f t="shared" si="62"/>
        <v>19.399999999999991</v>
      </c>
      <c r="P27" s="8">
        <f t="shared" si="62"/>
        <v>21.999999999999993</v>
      </c>
      <c r="Q27" s="8">
        <f t="shared" ref="Q27:R27" si="63">Q22-Q26</f>
        <v>22.999999999999993</v>
      </c>
      <c r="R27" s="8">
        <f t="shared" si="63"/>
        <v>33.89999999999997</v>
      </c>
      <c r="S27" s="8">
        <f t="shared" ref="S27:W27" si="64">S22-S26</f>
        <v>20.999999999999989</v>
      </c>
      <c r="T27" s="8">
        <f t="shared" si="64"/>
        <v>17.400000000000002</v>
      </c>
      <c r="U27" s="8">
        <f t="shared" si="64"/>
        <v>22.399999999999988</v>
      </c>
      <c r="V27" s="8">
        <f t="shared" si="64"/>
        <v>63.999999999999979</v>
      </c>
      <c r="W27" s="8">
        <f t="shared" si="64"/>
        <v>22.88000000000001</v>
      </c>
      <c r="X27" s="8">
        <f t="shared" ref="X27:Z27" si="65">X22-X26</f>
        <v>22</v>
      </c>
      <c r="Y27" s="8">
        <f t="shared" si="65"/>
        <v>22.475999999999999</v>
      </c>
      <c r="Z27" s="8">
        <f t="shared" si="65"/>
        <v>34.936300000000003</v>
      </c>
      <c r="AB27" s="8">
        <f>AB22-AB26</f>
        <v>-43</v>
      </c>
      <c r="AC27" s="8">
        <f>AC22-AC26</f>
        <v>23.899999999999967</v>
      </c>
      <c r="AD27" s="8">
        <f>AD22-AD26</f>
        <v>159.79999999999993</v>
      </c>
      <c r="AE27" s="8">
        <f>AE22-AE26</f>
        <v>100.9</v>
      </c>
      <c r="AF27" s="8">
        <f>AF22-AF26</f>
        <v>87.800000000000011</v>
      </c>
      <c r="AG27" s="8">
        <f t="shared" ref="AG27:AP27" si="66">AG22-AG26</f>
        <v>102.29229999999995</v>
      </c>
      <c r="AH27" s="8">
        <f t="shared" si="66"/>
        <v>190.62301511000004</v>
      </c>
      <c r="AI27" s="8">
        <f t="shared" si="66"/>
        <v>205.13686665470004</v>
      </c>
      <c r="AJ27" s="8">
        <f t="shared" si="66"/>
        <v>213.66051479842812</v>
      </c>
      <c r="AK27" s="8">
        <f t="shared" si="66"/>
        <v>221.16436965166233</v>
      </c>
      <c r="AL27" s="8">
        <f t="shared" si="66"/>
        <v>227.50490578233348</v>
      </c>
      <c r="AM27" s="8">
        <f t="shared" si="66"/>
        <v>234.09347395448125</v>
      </c>
      <c r="AN27" s="8">
        <f t="shared" si="66"/>
        <v>240.95665678842107</v>
      </c>
      <c r="AO27" s="8">
        <f t="shared" si="66"/>
        <v>248.12586672992904</v>
      </c>
      <c r="AP27" s="8">
        <f t="shared" si="66"/>
        <v>255.63830201913365</v>
      </c>
    </row>
    <row r="28" spans="2:148" x14ac:dyDescent="0.3">
      <c r="B28" t="s">
        <v>42</v>
      </c>
      <c r="I28" s="3">
        <v>5.2</v>
      </c>
      <c r="J28" s="3">
        <v>-0.7</v>
      </c>
      <c r="K28" s="3">
        <v>3.3</v>
      </c>
      <c r="L28" s="3">
        <v>1.1000000000000001</v>
      </c>
      <c r="M28" s="3">
        <v>0.2</v>
      </c>
      <c r="N28" s="3">
        <v>2.1</v>
      </c>
      <c r="O28" s="3">
        <v>4.5999999999999996</v>
      </c>
      <c r="P28" s="3">
        <v>2.8</v>
      </c>
      <c r="Q28" s="3">
        <v>4.8</v>
      </c>
      <c r="R28" s="3">
        <v>5.3</v>
      </c>
      <c r="S28" s="3">
        <v>2.5</v>
      </c>
      <c r="T28" s="3">
        <v>2.1</v>
      </c>
      <c r="U28" s="3">
        <v>4</v>
      </c>
      <c r="V28" s="3">
        <v>8.4</v>
      </c>
      <c r="W28" s="3">
        <f>W27*0.15</f>
        <v>3.4320000000000013</v>
      </c>
      <c r="X28" s="3">
        <f t="shared" ref="X28:Z28" si="67">X27*0.15</f>
        <v>3.3</v>
      </c>
      <c r="Y28" s="3">
        <f t="shared" si="67"/>
        <v>3.3714</v>
      </c>
      <c r="Z28" s="3">
        <f t="shared" si="67"/>
        <v>5.2404450000000002</v>
      </c>
      <c r="AB28" s="3">
        <v>0</v>
      </c>
      <c r="AC28" s="3">
        <v>8.8000000000000007</v>
      </c>
      <c r="AD28" s="3">
        <f>SUM(K28:N28)</f>
        <v>6.7000000000000011</v>
      </c>
      <c r="AE28" s="3">
        <f>SUM(O28:R28)</f>
        <v>17.5</v>
      </c>
      <c r="AF28" s="3">
        <f>SUM(S28:V28)</f>
        <v>17</v>
      </c>
      <c r="AG28" s="3">
        <f>SUM(W28:Z28)</f>
        <v>15.343845000000002</v>
      </c>
      <c r="AH28" s="3">
        <f t="shared" ref="AH28:AP28" si="68">AH27*0.15</f>
        <v>28.593452266500005</v>
      </c>
      <c r="AI28" s="3">
        <f t="shared" si="68"/>
        <v>30.770529998205006</v>
      </c>
      <c r="AJ28" s="3">
        <f t="shared" si="68"/>
        <v>32.049077219764214</v>
      </c>
      <c r="AK28" s="3">
        <f t="shared" si="68"/>
        <v>33.174655447749345</v>
      </c>
      <c r="AL28" s="3">
        <f t="shared" si="68"/>
        <v>34.125735867350024</v>
      </c>
      <c r="AM28" s="3">
        <f t="shared" si="68"/>
        <v>35.114021093172184</v>
      </c>
      <c r="AN28" s="3">
        <f t="shared" si="68"/>
        <v>36.143498518263158</v>
      </c>
      <c r="AO28" s="3">
        <f t="shared" si="68"/>
        <v>37.218880009489354</v>
      </c>
      <c r="AP28" s="3">
        <f t="shared" si="68"/>
        <v>38.345745302870043</v>
      </c>
    </row>
    <row r="29" spans="2:148" s="1" customFormat="1" x14ac:dyDescent="0.3">
      <c r="B29" s="1" t="s">
        <v>43</v>
      </c>
      <c r="I29" s="8">
        <f t="shared" ref="I29:P29" si="69">I27-I28</f>
        <v>9.399999999999995</v>
      </c>
      <c r="J29" s="8">
        <f t="shared" si="69"/>
        <v>20.799999999999986</v>
      </c>
      <c r="K29" s="8">
        <f t="shared" si="69"/>
        <v>15.29999999999999</v>
      </c>
      <c r="L29" s="8">
        <f t="shared" si="69"/>
        <v>13.599999999999993</v>
      </c>
      <c r="M29" s="8">
        <f t="shared" si="69"/>
        <v>16.799999999999994</v>
      </c>
      <c r="N29" s="8">
        <f t="shared" si="69"/>
        <v>107.40000000000002</v>
      </c>
      <c r="O29" s="8">
        <f t="shared" si="69"/>
        <v>14.799999999999992</v>
      </c>
      <c r="P29" s="8">
        <f t="shared" si="69"/>
        <v>19.199999999999992</v>
      </c>
      <c r="Q29" s="8">
        <f t="shared" ref="Q29:R29" si="70">Q27-Q28</f>
        <v>18.199999999999992</v>
      </c>
      <c r="R29" s="8">
        <f t="shared" si="70"/>
        <v>28.599999999999969</v>
      </c>
      <c r="S29" s="8">
        <f t="shared" ref="S29:W29" si="71">S27-S28</f>
        <v>18.499999999999989</v>
      </c>
      <c r="T29" s="8">
        <f t="shared" si="71"/>
        <v>15.300000000000002</v>
      </c>
      <c r="U29" s="8">
        <f t="shared" si="71"/>
        <v>18.399999999999988</v>
      </c>
      <c r="V29" s="8">
        <f t="shared" si="71"/>
        <v>55.59999999999998</v>
      </c>
      <c r="W29" s="8">
        <f t="shared" si="71"/>
        <v>19.448000000000008</v>
      </c>
      <c r="X29" s="8">
        <f t="shared" ref="X29:Z29" si="72">X27-X28</f>
        <v>18.7</v>
      </c>
      <c r="Y29" s="8">
        <f t="shared" si="72"/>
        <v>19.104599999999998</v>
      </c>
      <c r="Z29" s="8">
        <f t="shared" si="72"/>
        <v>29.695855000000002</v>
      </c>
      <c r="AB29" s="8">
        <f>AB27-AB28</f>
        <v>-43</v>
      </c>
      <c r="AC29" s="8">
        <f>AC27-AC28</f>
        <v>15.099999999999966</v>
      </c>
      <c r="AD29" s="8">
        <f>AD27-AD28</f>
        <v>153.09999999999994</v>
      </c>
      <c r="AE29" s="8">
        <f>AE27-AE28</f>
        <v>83.4</v>
      </c>
      <c r="AF29" s="8">
        <f>AF27-AF28</f>
        <v>70.800000000000011</v>
      </c>
      <c r="AG29" s="8">
        <f t="shared" ref="AG29:AP29" si="73">AG27-AG28</f>
        <v>86.948454999999953</v>
      </c>
      <c r="AH29" s="8">
        <f t="shared" si="73"/>
        <v>162.02956284350003</v>
      </c>
      <c r="AI29" s="8">
        <f t="shared" si="73"/>
        <v>174.36633665649504</v>
      </c>
      <c r="AJ29" s="8">
        <f t="shared" si="73"/>
        <v>181.61143757866392</v>
      </c>
      <c r="AK29" s="8">
        <f t="shared" si="73"/>
        <v>187.98971420391297</v>
      </c>
      <c r="AL29" s="8">
        <f t="shared" si="73"/>
        <v>193.37916991498346</v>
      </c>
      <c r="AM29" s="8">
        <f t="shared" si="73"/>
        <v>198.97945286130908</v>
      </c>
      <c r="AN29" s="8">
        <f t="shared" si="73"/>
        <v>204.81315827015791</v>
      </c>
      <c r="AO29" s="8">
        <f t="shared" si="73"/>
        <v>210.9069867204397</v>
      </c>
      <c r="AP29" s="8">
        <f t="shared" si="73"/>
        <v>217.29255671626362</v>
      </c>
      <c r="AQ29" s="1">
        <f>AP29*(1+$AS$40)</f>
        <v>215.11963114910097</v>
      </c>
      <c r="AR29" s="1">
        <f t="shared" ref="AR29:DC29" si="74">AQ29*(1+$AS$40)</f>
        <v>212.96843483760995</v>
      </c>
      <c r="AS29" s="1">
        <f t="shared" si="74"/>
        <v>210.83875048923386</v>
      </c>
      <c r="AT29" s="1">
        <f t="shared" si="74"/>
        <v>208.73036298434153</v>
      </c>
      <c r="AU29" s="1">
        <f t="shared" si="74"/>
        <v>206.64305935449812</v>
      </c>
      <c r="AV29" s="1">
        <f t="shared" si="74"/>
        <v>204.57662876095313</v>
      </c>
      <c r="AW29" s="1">
        <f t="shared" si="74"/>
        <v>202.5308624733436</v>
      </c>
      <c r="AX29" s="1">
        <f t="shared" si="74"/>
        <v>200.50555384861016</v>
      </c>
      <c r="AY29" s="1">
        <f t="shared" si="74"/>
        <v>198.50049831012407</v>
      </c>
      <c r="AZ29" s="1">
        <f t="shared" si="74"/>
        <v>196.51549332702282</v>
      </c>
      <c r="BA29" s="1">
        <f t="shared" si="74"/>
        <v>194.55033839375258</v>
      </c>
      <c r="BB29" s="1">
        <f t="shared" si="74"/>
        <v>192.60483500981505</v>
      </c>
      <c r="BC29" s="1">
        <f t="shared" si="74"/>
        <v>190.67878665971691</v>
      </c>
      <c r="BD29" s="1">
        <f t="shared" si="74"/>
        <v>188.77199879311974</v>
      </c>
      <c r="BE29" s="1">
        <f t="shared" si="74"/>
        <v>186.88427880518853</v>
      </c>
      <c r="BF29" s="1">
        <f t="shared" si="74"/>
        <v>185.01543601713664</v>
      </c>
      <c r="BG29" s="1">
        <f t="shared" si="74"/>
        <v>183.16528165696528</v>
      </c>
      <c r="BH29" s="1">
        <f t="shared" si="74"/>
        <v>181.33362884039562</v>
      </c>
      <c r="BI29" s="1">
        <f t="shared" si="74"/>
        <v>179.52029255199167</v>
      </c>
      <c r="BJ29" s="1">
        <f t="shared" si="74"/>
        <v>177.72508962647174</v>
      </c>
      <c r="BK29" s="1">
        <f t="shared" si="74"/>
        <v>175.94783873020702</v>
      </c>
      <c r="BL29" s="1">
        <f t="shared" si="74"/>
        <v>174.18836034290496</v>
      </c>
      <c r="BM29" s="1">
        <f t="shared" si="74"/>
        <v>172.44647673947591</v>
      </c>
      <c r="BN29" s="1">
        <f t="shared" si="74"/>
        <v>170.72201197208116</v>
      </c>
      <c r="BO29" s="1">
        <f t="shared" si="74"/>
        <v>169.01479185236036</v>
      </c>
      <c r="BP29" s="1">
        <f t="shared" si="74"/>
        <v>167.32464393383677</v>
      </c>
      <c r="BQ29" s="1">
        <f t="shared" si="74"/>
        <v>165.65139749449841</v>
      </c>
      <c r="BR29" s="1">
        <f t="shared" si="74"/>
        <v>163.99488351955341</v>
      </c>
      <c r="BS29" s="1">
        <f t="shared" si="74"/>
        <v>162.35493468435789</v>
      </c>
      <c r="BT29" s="1">
        <f t="shared" si="74"/>
        <v>160.7313853375143</v>
      </c>
      <c r="BU29" s="1">
        <f t="shared" si="74"/>
        <v>159.12407148413917</v>
      </c>
      <c r="BV29" s="1">
        <f t="shared" si="74"/>
        <v>157.53283076929776</v>
      </c>
      <c r="BW29" s="1">
        <f t="shared" si="74"/>
        <v>155.95750246160478</v>
      </c>
      <c r="BX29" s="1">
        <f t="shared" si="74"/>
        <v>154.39792743698874</v>
      </c>
      <c r="BY29" s="1">
        <f t="shared" si="74"/>
        <v>152.85394816261885</v>
      </c>
      <c r="BZ29" s="1">
        <f t="shared" si="74"/>
        <v>151.32540868099267</v>
      </c>
      <c r="CA29" s="1">
        <f t="shared" si="74"/>
        <v>149.81215459418274</v>
      </c>
      <c r="CB29" s="1">
        <f t="shared" si="74"/>
        <v>148.3140330482409</v>
      </c>
      <c r="CC29" s="1">
        <f t="shared" si="74"/>
        <v>146.8308927177585</v>
      </c>
      <c r="CD29" s="1">
        <f t="shared" si="74"/>
        <v>145.36258379058091</v>
      </c>
      <c r="CE29" s="1">
        <f t="shared" si="74"/>
        <v>143.90895795267511</v>
      </c>
      <c r="CF29" s="1">
        <f t="shared" si="74"/>
        <v>142.46986837314836</v>
      </c>
      <c r="CG29" s="1">
        <f t="shared" si="74"/>
        <v>141.04516968941687</v>
      </c>
      <c r="CH29" s="1">
        <f t="shared" si="74"/>
        <v>139.6347179925227</v>
      </c>
      <c r="CI29" s="1">
        <f t="shared" si="74"/>
        <v>138.23837081259748</v>
      </c>
      <c r="CJ29" s="1">
        <f t="shared" si="74"/>
        <v>136.8559871044715</v>
      </c>
      <c r="CK29" s="1">
        <f t="shared" si="74"/>
        <v>135.48742723342679</v>
      </c>
      <c r="CL29" s="1">
        <f t="shared" si="74"/>
        <v>134.13255296109253</v>
      </c>
      <c r="CM29" s="1">
        <f t="shared" si="74"/>
        <v>132.79122743148162</v>
      </c>
      <c r="CN29" s="1">
        <f t="shared" si="74"/>
        <v>131.46331515716679</v>
      </c>
      <c r="CO29" s="1">
        <f t="shared" si="74"/>
        <v>130.14868200559513</v>
      </c>
      <c r="CP29" s="1">
        <f t="shared" si="74"/>
        <v>128.84719518553919</v>
      </c>
      <c r="CQ29" s="1">
        <f t="shared" si="74"/>
        <v>127.55872323368379</v>
      </c>
      <c r="CR29" s="1">
        <f t="shared" si="74"/>
        <v>126.28313600134696</v>
      </c>
      <c r="CS29" s="1">
        <f t="shared" si="74"/>
        <v>125.0203046413335</v>
      </c>
      <c r="CT29" s="1">
        <f t="shared" si="74"/>
        <v>123.77010159492016</v>
      </c>
      <c r="CU29" s="1">
        <f t="shared" si="74"/>
        <v>122.53240057897096</v>
      </c>
      <c r="CV29" s="1">
        <f t="shared" si="74"/>
        <v>121.30707657318125</v>
      </c>
      <c r="CW29" s="1">
        <f t="shared" si="74"/>
        <v>120.09400580744943</v>
      </c>
      <c r="CX29" s="1">
        <f t="shared" si="74"/>
        <v>118.89306574937494</v>
      </c>
      <c r="CY29" s="1">
        <f t="shared" si="74"/>
        <v>117.70413509188118</v>
      </c>
      <c r="CZ29" s="1">
        <f t="shared" si="74"/>
        <v>116.52709374096237</v>
      </c>
      <c r="DA29" s="1">
        <f t="shared" si="74"/>
        <v>115.36182280355274</v>
      </c>
      <c r="DB29" s="1">
        <f t="shared" si="74"/>
        <v>114.20820457551721</v>
      </c>
      <c r="DC29" s="1">
        <f t="shared" si="74"/>
        <v>113.06612252976204</v>
      </c>
      <c r="DD29" s="1">
        <f t="shared" ref="DD29:ER29" si="75">DC29*(1+$AS$40)</f>
        <v>111.93546130446443</v>
      </c>
      <c r="DE29" s="1">
        <f t="shared" si="75"/>
        <v>110.81610669141978</v>
      </c>
      <c r="DF29" s="1">
        <f t="shared" si="75"/>
        <v>109.70794562450558</v>
      </c>
      <c r="DG29" s="1">
        <f t="shared" si="75"/>
        <v>108.61086616826053</v>
      </c>
      <c r="DH29" s="1">
        <f t="shared" si="75"/>
        <v>107.52475750657793</v>
      </c>
      <c r="DI29" s="1">
        <f t="shared" si="75"/>
        <v>106.44950993151215</v>
      </c>
      <c r="DJ29" s="1">
        <f t="shared" si="75"/>
        <v>105.38501483219703</v>
      </c>
      <c r="DK29" s="1">
        <f t="shared" si="75"/>
        <v>104.33116468387506</v>
      </c>
      <c r="DL29" s="1">
        <f t="shared" si="75"/>
        <v>103.28785303703631</v>
      </c>
      <c r="DM29" s="1">
        <f t="shared" si="75"/>
        <v>102.25497450666595</v>
      </c>
      <c r="DN29" s="1">
        <f t="shared" si="75"/>
        <v>101.23242476159929</v>
      </c>
      <c r="DO29" s="1">
        <f t="shared" si="75"/>
        <v>100.2201005139833</v>
      </c>
      <c r="DP29" s="1">
        <f t="shared" si="75"/>
        <v>99.217899508843459</v>
      </c>
      <c r="DQ29" s="1">
        <f t="shared" si="75"/>
        <v>98.225720513755022</v>
      </c>
      <c r="DR29" s="1">
        <f t="shared" si="75"/>
        <v>97.243463308617464</v>
      </c>
      <c r="DS29" s="1">
        <f t="shared" si="75"/>
        <v>96.271028675531284</v>
      </c>
      <c r="DT29" s="1">
        <f t="shared" si="75"/>
        <v>95.308318388775973</v>
      </c>
      <c r="DU29" s="1">
        <f t="shared" si="75"/>
        <v>94.355235204888217</v>
      </c>
      <c r="DV29" s="1">
        <f t="shared" si="75"/>
        <v>93.411682852839334</v>
      </c>
      <c r="DW29" s="1">
        <f t="shared" si="75"/>
        <v>92.477566024310946</v>
      </c>
      <c r="DX29" s="1">
        <f t="shared" si="75"/>
        <v>91.552790364067832</v>
      </c>
      <c r="DY29" s="1">
        <f t="shared" si="75"/>
        <v>90.637262460427152</v>
      </c>
      <c r="DZ29" s="1">
        <f t="shared" si="75"/>
        <v>89.730889835822879</v>
      </c>
      <c r="EA29" s="1">
        <f t="shared" si="75"/>
        <v>88.833580937464646</v>
      </c>
      <c r="EB29" s="1">
        <f t="shared" si="75"/>
        <v>87.945245128089994</v>
      </c>
      <c r="EC29" s="1">
        <f t="shared" si="75"/>
        <v>87.065792676809096</v>
      </c>
      <c r="ED29" s="1">
        <f t="shared" si="75"/>
        <v>86.195134750041007</v>
      </c>
      <c r="EE29" s="1">
        <f t="shared" si="75"/>
        <v>85.333183402540598</v>
      </c>
      <c r="EF29" s="1">
        <f t="shared" si="75"/>
        <v>84.479851568515187</v>
      </c>
      <c r="EG29" s="1">
        <f t="shared" si="75"/>
        <v>83.635053052830031</v>
      </c>
      <c r="EH29" s="1">
        <f t="shared" si="75"/>
        <v>82.798702522301724</v>
      </c>
      <c r="EI29" s="1">
        <f t="shared" si="75"/>
        <v>81.9707154970787</v>
      </c>
      <c r="EJ29" s="1">
        <f t="shared" si="75"/>
        <v>81.151008342107914</v>
      </c>
      <c r="EK29" s="1">
        <f t="shared" si="75"/>
        <v>80.339498258686831</v>
      </c>
      <c r="EL29" s="1">
        <f t="shared" si="75"/>
        <v>79.536103276099965</v>
      </c>
      <c r="EM29" s="1">
        <f t="shared" si="75"/>
        <v>78.740742243338971</v>
      </c>
      <c r="EN29" s="1">
        <f t="shared" si="75"/>
        <v>77.953334820905582</v>
      </c>
      <c r="EO29" s="1">
        <f t="shared" si="75"/>
        <v>77.173801472696525</v>
      </c>
      <c r="EP29" s="1">
        <f t="shared" si="75"/>
        <v>76.402063457969561</v>
      </c>
      <c r="EQ29" s="1">
        <f t="shared" si="75"/>
        <v>75.638042823389867</v>
      </c>
      <c r="ER29" s="1">
        <f t="shared" si="75"/>
        <v>74.881662395155971</v>
      </c>
    </row>
    <row r="30" spans="2:148" x14ac:dyDescent="0.3">
      <c r="B30" t="s">
        <v>2</v>
      </c>
      <c r="I30" s="3">
        <v>88.5</v>
      </c>
      <c r="J30" s="3">
        <v>88.5</v>
      </c>
      <c r="K30" s="3">
        <v>88.5</v>
      </c>
      <c r="L30" s="3">
        <v>88.5</v>
      </c>
      <c r="M30" s="3">
        <v>88.5</v>
      </c>
      <c r="N30" s="3">
        <v>88.5</v>
      </c>
      <c r="O30" s="3">
        <v>88.5</v>
      </c>
      <c r="P30" s="3">
        <v>88.5</v>
      </c>
      <c r="Q30" s="3">
        <v>88.5</v>
      </c>
      <c r="R30" s="3">
        <v>88.5</v>
      </c>
      <c r="S30" s="3">
        <v>89.5</v>
      </c>
      <c r="T30" s="3">
        <f>89.6</f>
        <v>89.6</v>
      </c>
      <c r="U30" s="3">
        <f>89.6</f>
        <v>89.6</v>
      </c>
      <c r="V30" s="3">
        <f>89.6</f>
        <v>89.6</v>
      </c>
      <c r="W30" s="3">
        <f>89.6</f>
        <v>89.6</v>
      </c>
      <c r="X30" s="3">
        <f t="shared" ref="X30:Z30" si="76">89.6</f>
        <v>89.6</v>
      </c>
      <c r="Y30" s="3">
        <f t="shared" si="76"/>
        <v>89.6</v>
      </c>
      <c r="Z30" s="3">
        <f t="shared" si="76"/>
        <v>89.6</v>
      </c>
      <c r="AB30" s="3">
        <v>88.5</v>
      </c>
      <c r="AC30" s="3">
        <v>88.5</v>
      </c>
      <c r="AD30" s="3">
        <v>88.5</v>
      </c>
      <c r="AE30" s="3">
        <v>88.5</v>
      </c>
      <c r="AF30" s="3">
        <f t="shared" ref="AF30:AP30" si="77">89.6</f>
        <v>89.6</v>
      </c>
      <c r="AG30" s="3">
        <f t="shared" si="77"/>
        <v>89.6</v>
      </c>
      <c r="AH30" s="3">
        <f t="shared" si="77"/>
        <v>89.6</v>
      </c>
      <c r="AI30" s="3">
        <f t="shared" si="77"/>
        <v>89.6</v>
      </c>
      <c r="AJ30" s="3">
        <f t="shared" si="77"/>
        <v>89.6</v>
      </c>
      <c r="AK30" s="3">
        <f t="shared" si="77"/>
        <v>89.6</v>
      </c>
      <c r="AL30" s="3">
        <f t="shared" si="77"/>
        <v>89.6</v>
      </c>
      <c r="AM30" s="3">
        <f t="shared" si="77"/>
        <v>89.6</v>
      </c>
      <c r="AN30" s="3">
        <f t="shared" si="77"/>
        <v>89.6</v>
      </c>
      <c r="AO30" s="3">
        <f t="shared" si="77"/>
        <v>89.6</v>
      </c>
      <c r="AP30" s="3">
        <f t="shared" si="77"/>
        <v>89.6</v>
      </c>
    </row>
    <row r="31" spans="2:148" x14ac:dyDescent="0.3">
      <c r="B31" t="s">
        <v>44</v>
      </c>
      <c r="I31" s="7">
        <f t="shared" ref="I31:P31" si="78">I29/I30</f>
        <v>0.10621468926553666</v>
      </c>
      <c r="J31" s="7">
        <f t="shared" si="78"/>
        <v>0.23502824858757046</v>
      </c>
      <c r="K31" s="7">
        <f t="shared" si="78"/>
        <v>0.17288135593220327</v>
      </c>
      <c r="L31" s="7">
        <f t="shared" si="78"/>
        <v>0.15367231638418072</v>
      </c>
      <c r="M31" s="7">
        <f t="shared" si="78"/>
        <v>0.18983050847457619</v>
      </c>
      <c r="N31" s="7">
        <f t="shared" si="78"/>
        <v>1.2135593220338985</v>
      </c>
      <c r="O31" s="7">
        <f t="shared" si="78"/>
        <v>0.167231638418079</v>
      </c>
      <c r="P31" s="7">
        <f t="shared" si="78"/>
        <v>0.21694915254237279</v>
      </c>
      <c r="Q31" s="7">
        <f t="shared" ref="Q31:R31" si="79">Q29/Q30</f>
        <v>0.2056497175141242</v>
      </c>
      <c r="R31" s="7">
        <f t="shared" si="79"/>
        <v>0.32316384180790925</v>
      </c>
      <c r="S31" s="7">
        <f t="shared" ref="S31:W31" si="80">S29/S30</f>
        <v>0.20670391061452503</v>
      </c>
      <c r="T31" s="7">
        <f t="shared" si="80"/>
        <v>0.1707589285714286</v>
      </c>
      <c r="U31" s="7">
        <f t="shared" si="80"/>
        <v>0.20535714285714274</v>
      </c>
      <c r="V31" s="7">
        <f t="shared" si="80"/>
        <v>0.62053571428571408</v>
      </c>
      <c r="W31" s="7">
        <f t="shared" si="80"/>
        <v>0.21705357142857151</v>
      </c>
      <c r="X31" s="7">
        <f t="shared" ref="X31:Z31" si="81">X29/X30</f>
        <v>0.20870535714285715</v>
      </c>
      <c r="Y31" s="7">
        <f t="shared" si="81"/>
        <v>0.21322098214285712</v>
      </c>
      <c r="Z31" s="7">
        <f t="shared" si="81"/>
        <v>0.33142695312500003</v>
      </c>
      <c r="AB31" s="7">
        <f>AB29/AB30</f>
        <v>-0.48587570621468928</v>
      </c>
      <c r="AC31" s="7">
        <f>AC29/AC30</f>
        <v>0.17062146892655328</v>
      </c>
      <c r="AD31" s="7">
        <f>AD29/AD30</f>
        <v>1.729943502824858</v>
      </c>
      <c r="AE31" s="7">
        <f>AE29/AE30</f>
        <v>0.94237288135593222</v>
      </c>
      <c r="AF31" s="7">
        <f>AF29/AF30</f>
        <v>0.79017857142857162</v>
      </c>
      <c r="AG31" s="7">
        <f t="shared" ref="AG31:AP31" si="82">AG29/AG30</f>
        <v>0.97040686383928521</v>
      </c>
      <c r="AH31" s="7">
        <f t="shared" si="82"/>
        <v>1.8083656567354915</v>
      </c>
      <c r="AI31" s="7">
        <f t="shared" si="82"/>
        <v>1.9460528644698107</v>
      </c>
      <c r="AJ31" s="7">
        <f t="shared" si="82"/>
        <v>2.0269133658333027</v>
      </c>
      <c r="AK31" s="7">
        <f t="shared" si="82"/>
        <v>2.0980994888829572</v>
      </c>
      <c r="AL31" s="7">
        <f t="shared" si="82"/>
        <v>2.1582496642297264</v>
      </c>
      <c r="AM31" s="7">
        <f t="shared" si="82"/>
        <v>2.2207528221128245</v>
      </c>
      <c r="AN31" s="7">
        <f t="shared" si="82"/>
        <v>2.2858611414080126</v>
      </c>
      <c r="AO31" s="7">
        <f t="shared" si="82"/>
        <v>2.3538726196477646</v>
      </c>
      <c r="AP31" s="7">
        <f t="shared" si="82"/>
        <v>2.4251401419225851</v>
      </c>
    </row>
    <row r="32" spans="2:148" x14ac:dyDescent="0.3">
      <c r="M32" s="9"/>
      <c r="N32" s="9"/>
      <c r="O32" s="9"/>
      <c r="P32" s="9"/>
      <c r="AC32" s="9"/>
      <c r="AD32" s="9"/>
      <c r="AE32" s="9"/>
    </row>
    <row r="33" spans="2:45" x14ac:dyDescent="0.3">
      <c r="B33" t="s">
        <v>92</v>
      </c>
      <c r="G33" s="10">
        <f>G3/C3-1</f>
        <v>0.44194756554307113</v>
      </c>
      <c r="H33" s="10">
        <f t="shared" ref="H33:S33" si="83">H3/D3-1</f>
        <v>0.49134948096885833</v>
      </c>
      <c r="I33" s="10">
        <f t="shared" si="83"/>
        <v>0.40687679083094563</v>
      </c>
      <c r="J33" s="10">
        <f t="shared" si="83"/>
        <v>0.54768392370572183</v>
      </c>
      <c r="K33" s="10">
        <f t="shared" si="83"/>
        <v>0.25974025974025983</v>
      </c>
      <c r="L33" s="10">
        <f t="shared" si="83"/>
        <v>0.24825986078886308</v>
      </c>
      <c r="M33" s="10">
        <f t="shared" si="83"/>
        <v>0.23828920570264756</v>
      </c>
      <c r="N33" s="10">
        <f t="shared" si="83"/>
        <v>0.19366197183098599</v>
      </c>
      <c r="O33" s="10">
        <f t="shared" si="83"/>
        <v>0.2082474226804123</v>
      </c>
      <c r="P33" s="10">
        <f t="shared" si="83"/>
        <v>0.2007434944237918</v>
      </c>
      <c r="Q33" s="10">
        <f t="shared" si="83"/>
        <v>0.26315789473684204</v>
      </c>
      <c r="R33" s="10">
        <f t="shared" si="83"/>
        <v>0.37610619469026552</v>
      </c>
      <c r="S33" s="10">
        <f t="shared" si="83"/>
        <v>0.63139931740614319</v>
      </c>
      <c r="T33" s="10">
        <f t="shared" ref="T33:T35" si="84">T3/P3-1</f>
        <v>0.43808049535603732</v>
      </c>
      <c r="U33" s="10">
        <f t="shared" ref="U33:U35" si="85">U3/Q3-1</f>
        <v>0.24869791666666674</v>
      </c>
      <c r="V33" s="10">
        <f t="shared" ref="V33:V35" si="86">V3/R3-1</f>
        <v>0.2261521972132905</v>
      </c>
      <c r="W33" s="10">
        <f t="shared" ref="W33:W35" si="87">W3/S3-1</f>
        <v>0.19142259414225959</v>
      </c>
      <c r="X33" s="10">
        <f t="shared" ref="X33:X35" si="88">X3/T3-1</f>
        <v>0.237588805166846</v>
      </c>
      <c r="Y33" s="10">
        <f t="shared" ref="Y33:Y35" si="89">Y3/U3-1</f>
        <v>0.22203388946819591</v>
      </c>
      <c r="Z33" s="10">
        <f t="shared" ref="Z33:Z35" si="90">Z3/V3-1</f>
        <v>8.5997377622377691E-2</v>
      </c>
      <c r="AC33" s="10">
        <f t="shared" ref="AC33:AD33" si="91">AC3/AB3-1</f>
        <v>0.47405660377358494</v>
      </c>
      <c r="AD33" s="10">
        <f t="shared" si="91"/>
        <v>0.23146666666666649</v>
      </c>
      <c r="AE33" s="10">
        <f>AE3/AD3-1</f>
        <v>0.27024686011260313</v>
      </c>
      <c r="AF33" s="10">
        <f>AF3/AE3-1</f>
        <v>0.35969996590521625</v>
      </c>
      <c r="AG33" s="10">
        <f t="shared" ref="AG33:AP33" si="92">AG3/AF3-1</f>
        <v>0.17929576228686095</v>
      </c>
      <c r="AH33" s="10">
        <f t="shared" si="92"/>
        <v>0.1399999999999999</v>
      </c>
      <c r="AI33" s="10">
        <f t="shared" si="92"/>
        <v>7.0000000000000062E-2</v>
      </c>
      <c r="AJ33" s="10">
        <f t="shared" si="92"/>
        <v>4.0000000000000036E-2</v>
      </c>
      <c r="AK33" s="10">
        <f t="shared" si="92"/>
        <v>3.0000000000000027E-2</v>
      </c>
      <c r="AL33" s="10">
        <f t="shared" si="92"/>
        <v>2.0000000000000018E-2</v>
      </c>
      <c r="AM33" s="10">
        <f t="shared" si="92"/>
        <v>2.0000000000000018E-2</v>
      </c>
      <c r="AN33" s="10">
        <f t="shared" si="92"/>
        <v>2.0000000000000018E-2</v>
      </c>
      <c r="AO33" s="10">
        <f t="shared" si="92"/>
        <v>2.0000000000000018E-2</v>
      </c>
      <c r="AP33" s="10">
        <f t="shared" si="92"/>
        <v>2.0000000000000018E-2</v>
      </c>
    </row>
    <row r="34" spans="2:45" x14ac:dyDescent="0.3">
      <c r="B34" t="s">
        <v>93</v>
      </c>
      <c r="G34" s="10">
        <f t="shared" ref="G34:S34" si="93">G4/C4-1</f>
        <v>0.36752136752136755</v>
      </c>
      <c r="H34" s="10">
        <f t="shared" si="93"/>
        <v>0.13087248322147649</v>
      </c>
      <c r="I34" s="10">
        <f t="shared" si="93"/>
        <v>0.15309446254071668</v>
      </c>
      <c r="J34" s="10">
        <f t="shared" si="93"/>
        <v>0.12068965517241392</v>
      </c>
      <c r="K34" s="10">
        <f t="shared" si="93"/>
        <v>0.18124999999999991</v>
      </c>
      <c r="L34" s="10">
        <f t="shared" si="93"/>
        <v>0.15430267062314518</v>
      </c>
      <c r="M34" s="10">
        <f t="shared" si="93"/>
        <v>0.15254237288135597</v>
      </c>
      <c r="N34" s="10">
        <f t="shared" si="93"/>
        <v>0.1461538461538463</v>
      </c>
      <c r="O34" s="10">
        <f t="shared" si="93"/>
        <v>0.14021164021164023</v>
      </c>
      <c r="P34" s="10">
        <f t="shared" si="93"/>
        <v>0.14395886889460163</v>
      </c>
      <c r="Q34" s="10">
        <f t="shared" si="93"/>
        <v>0.13480392156862742</v>
      </c>
      <c r="R34" s="10">
        <f t="shared" si="93"/>
        <v>0.17002237136465315</v>
      </c>
      <c r="S34" s="10">
        <f t="shared" si="93"/>
        <v>8.1206496519721671E-2</v>
      </c>
      <c r="T34" s="10">
        <f t="shared" si="84"/>
        <v>0.11460674157303363</v>
      </c>
      <c r="U34" s="10">
        <f t="shared" si="85"/>
        <v>0.20086393088552934</v>
      </c>
      <c r="V34" s="10">
        <f t="shared" si="86"/>
        <v>0.19120458891013392</v>
      </c>
      <c r="W34" s="10">
        <f t="shared" si="87"/>
        <v>0.18562231759656656</v>
      </c>
      <c r="X34" s="10">
        <f t="shared" si="88"/>
        <v>0.12439516129032269</v>
      </c>
      <c r="Y34" s="10">
        <f t="shared" si="89"/>
        <v>2.2434802158273426E-2</v>
      </c>
      <c r="Z34" s="10">
        <f t="shared" si="90"/>
        <v>-3.2668539325842572E-2</v>
      </c>
      <c r="AC34" s="10">
        <f t="shared" ref="AC34:AE34" si="94">AC4/AB4-1</f>
        <v>0.18028643639427111</v>
      </c>
      <c r="AD34" s="10">
        <f t="shared" si="94"/>
        <v>0.15774446823697352</v>
      </c>
      <c r="AE34" s="10">
        <f t="shared" si="94"/>
        <v>0.14796547472256472</v>
      </c>
      <c r="AF34" s="10">
        <f t="shared" ref="AF34:AP34" si="95">AF4/AE4-1</f>
        <v>0.14983888292158998</v>
      </c>
      <c r="AG34" s="10">
        <f t="shared" si="95"/>
        <v>6.5540051377860786E-2</v>
      </c>
      <c r="AH34" s="10">
        <f t="shared" si="95"/>
        <v>4.0000000000000036E-2</v>
      </c>
      <c r="AI34" s="10">
        <f t="shared" si="95"/>
        <v>3.0000000000000027E-2</v>
      </c>
      <c r="AJ34" s="10">
        <f t="shared" si="95"/>
        <v>2.0000000000000018E-2</v>
      </c>
      <c r="AK34" s="10">
        <f t="shared" si="95"/>
        <v>2.0000000000000018E-2</v>
      </c>
      <c r="AL34" s="10">
        <f t="shared" si="95"/>
        <v>2.0000000000000018E-2</v>
      </c>
      <c r="AM34" s="10">
        <f t="shared" si="95"/>
        <v>2.0000000000000018E-2</v>
      </c>
      <c r="AN34" s="10">
        <f t="shared" si="95"/>
        <v>2.0000000000000018E-2</v>
      </c>
      <c r="AO34" s="10">
        <f t="shared" si="95"/>
        <v>2.0000000000000018E-2</v>
      </c>
      <c r="AP34" s="10">
        <f t="shared" si="95"/>
        <v>2.0000000000000018E-2</v>
      </c>
    </row>
    <row r="35" spans="2:45" x14ac:dyDescent="0.3">
      <c r="B35" t="s">
        <v>94</v>
      </c>
      <c r="G35" s="10">
        <f t="shared" ref="G35:S35" si="96">G5/C5-1</f>
        <v>-0.21428571428571419</v>
      </c>
      <c r="H35" s="10">
        <f t="shared" si="96"/>
        <v>-0.2857142857142857</v>
      </c>
      <c r="I35" s="10">
        <f t="shared" si="96"/>
        <v>-0.19999999999999996</v>
      </c>
      <c r="J35" s="10">
        <f t="shared" si="96"/>
        <v>-0.58333333333333326</v>
      </c>
      <c r="K35" s="10">
        <f t="shared" si="96"/>
        <v>-0.36363636363636376</v>
      </c>
      <c r="L35" s="10">
        <f t="shared" si="96"/>
        <v>0.5</v>
      </c>
      <c r="M35" s="10">
        <f t="shared" si="96"/>
        <v>0.25</v>
      </c>
      <c r="N35" s="10">
        <f t="shared" si="96"/>
        <v>0</v>
      </c>
      <c r="O35" s="10">
        <f t="shared" si="96"/>
        <v>-0.8571428571428571</v>
      </c>
      <c r="P35" s="10">
        <f t="shared" si="96"/>
        <v>-0.60000000000000009</v>
      </c>
      <c r="Q35" s="10">
        <f t="shared" si="96"/>
        <v>-0.9</v>
      </c>
      <c r="R35" s="10">
        <f t="shared" si="96"/>
        <v>-0.6</v>
      </c>
      <c r="S35" s="10">
        <f t="shared" si="96"/>
        <v>4</v>
      </c>
      <c r="T35" s="10">
        <f t="shared" si="84"/>
        <v>-0.16666666666666663</v>
      </c>
      <c r="U35" s="10">
        <f t="shared" si="85"/>
        <v>3</v>
      </c>
      <c r="V35" s="10">
        <f t="shared" si="86"/>
        <v>1.5</v>
      </c>
      <c r="W35" s="10">
        <f t="shared" si="87"/>
        <v>0.7</v>
      </c>
      <c r="X35" s="10">
        <f t="shared" si="88"/>
        <v>0.71599999999999997</v>
      </c>
      <c r="Y35" s="10">
        <f t="shared" si="89"/>
        <v>1.1864374999999998</v>
      </c>
      <c r="Z35" s="10">
        <f t="shared" si="90"/>
        <v>0.85430000000000006</v>
      </c>
      <c r="AC35" s="10">
        <f t="shared" ref="AC35:AE35" si="97">AC5/AB5-1</f>
        <v>-0.31999999999999995</v>
      </c>
      <c r="AD35" s="10">
        <f t="shared" si="97"/>
        <v>8.8235294117646967E-2</v>
      </c>
      <c r="AE35" s="10">
        <f t="shared" si="97"/>
        <v>-0.72972972972972983</v>
      </c>
      <c r="AF35" s="10">
        <f t="shared" ref="AF35:AP35" si="98">AF5/AE5-1</f>
        <v>0.89999999999999991</v>
      </c>
      <c r="AG35" s="10">
        <f t="shared" si="98"/>
        <v>0.8472236842105263</v>
      </c>
      <c r="AH35" s="10">
        <f t="shared" si="98"/>
        <v>0.19999999999999996</v>
      </c>
      <c r="AI35" s="10">
        <f t="shared" si="98"/>
        <v>0.19999999999999996</v>
      </c>
      <c r="AJ35" s="10">
        <f t="shared" si="98"/>
        <v>0.19999999999999996</v>
      </c>
      <c r="AK35" s="10">
        <f t="shared" si="98"/>
        <v>0.19999999999999996</v>
      </c>
      <c r="AL35" s="10">
        <f t="shared" si="98"/>
        <v>0.19999999999999996</v>
      </c>
      <c r="AM35" s="10">
        <f t="shared" si="98"/>
        <v>0.19999999999999996</v>
      </c>
      <c r="AN35" s="10">
        <f t="shared" si="98"/>
        <v>0.19999999999999996</v>
      </c>
      <c r="AO35" s="10">
        <f t="shared" si="98"/>
        <v>0.19999999999999996</v>
      </c>
      <c r="AP35" s="10">
        <f t="shared" si="98"/>
        <v>0.19999999999999996</v>
      </c>
    </row>
    <row r="36" spans="2:45" s="1" customFormat="1" x14ac:dyDescent="0.3">
      <c r="B36" s="1" t="s">
        <v>46</v>
      </c>
      <c r="M36" s="9">
        <f>M8/I8-1</f>
        <v>0.20140515222482436</v>
      </c>
      <c r="N36" s="9">
        <f t="shared" ref="N36:R36" si="99">N8/J8-1</f>
        <v>0.17738589211618261</v>
      </c>
      <c r="O36" s="9">
        <f t="shared" si="99"/>
        <v>0.17221584385763489</v>
      </c>
      <c r="P36" s="9">
        <f t="shared" si="99"/>
        <v>0.17709437963944863</v>
      </c>
      <c r="Q36" s="9">
        <f t="shared" si="99"/>
        <v>0.20760233918128645</v>
      </c>
      <c r="R36" s="9">
        <f t="shared" si="99"/>
        <v>0.2854625550660792</v>
      </c>
      <c r="S36" s="9">
        <f t="shared" ref="S36" si="100">S8/O8-1</f>
        <v>0.39764936336924572</v>
      </c>
      <c r="T36" s="9">
        <f t="shared" ref="T36" si="101">T8/P8-1</f>
        <v>0.28828828828828845</v>
      </c>
      <c r="U36" s="9">
        <f t="shared" ref="U36" si="102">U8/Q8-1</f>
        <v>0.2276029055690072</v>
      </c>
      <c r="V36" s="9">
        <f t="shared" ref="V36" si="103">V8/R8-1</f>
        <v>0.21041809458533267</v>
      </c>
      <c r="W36" s="9">
        <f t="shared" ref="W36" si="104">W8/S8-1</f>
        <v>0.19131044148563436</v>
      </c>
      <c r="X36" s="9">
        <f t="shared" ref="X36" si="105">X8/T8-1</f>
        <v>0.19999999999999996</v>
      </c>
      <c r="Y36" s="9">
        <f t="shared" ref="Y36" si="106">Y8/U8-1</f>
        <v>0.14999999999999991</v>
      </c>
      <c r="Z36" s="9">
        <f t="shared" ref="Z36" si="107">Z8/V8-1</f>
        <v>5.0000000000000044E-2</v>
      </c>
      <c r="AB36" s="9"/>
      <c r="AC36" s="9">
        <f>AC8/AB8-1</f>
        <v>0.31809145129224659</v>
      </c>
      <c r="AD36" s="9">
        <f t="shared" ref="AD36:AP36" si="108">AD8/AC8-1</f>
        <v>0.19909502262443413</v>
      </c>
      <c r="AE36" s="9">
        <f t="shared" si="108"/>
        <v>0.2148427672955977</v>
      </c>
      <c r="AF36" s="9">
        <f t="shared" si="108"/>
        <v>0.27231310830399669</v>
      </c>
      <c r="AG36" s="9">
        <f t="shared" si="108"/>
        <v>0.1424886067708333</v>
      </c>
      <c r="AH36" s="9">
        <f t="shared" si="108"/>
        <v>0.10780000000000034</v>
      </c>
      <c r="AI36" s="9">
        <f t="shared" si="108"/>
        <v>5.8499729192994954E-2</v>
      </c>
      <c r="AJ36" s="9">
        <f t="shared" si="108"/>
        <v>3.5044541815409502E-2</v>
      </c>
      <c r="AK36" s="9">
        <f t="shared" si="108"/>
        <v>2.8284395682014907E-2</v>
      </c>
      <c r="AL36" s="9">
        <f t="shared" si="108"/>
        <v>2.1495350831958415E-2</v>
      </c>
      <c r="AM36" s="9">
        <f t="shared" si="108"/>
        <v>2.1756660954833196E-2</v>
      </c>
      <c r="AN36" s="9">
        <f t="shared" si="108"/>
        <v>2.2063106829986356E-2</v>
      </c>
      <c r="AO36" s="9">
        <f t="shared" si="108"/>
        <v>2.2422285061890479E-2</v>
      </c>
      <c r="AP36" s="9">
        <f t="shared" si="108"/>
        <v>2.2842995616133788E-2</v>
      </c>
    </row>
    <row r="37" spans="2:45" s="1" customFormat="1" x14ac:dyDescent="0.3">
      <c r="B37" t="s">
        <v>65</v>
      </c>
      <c r="C37"/>
      <c r="D37"/>
      <c r="E37"/>
      <c r="F37"/>
      <c r="I37" s="10">
        <f t="shared" ref="I37:R37" si="109">(I8-I9)/I8</f>
        <v>0.98829039812646369</v>
      </c>
      <c r="J37" s="10">
        <f t="shared" si="109"/>
        <v>0.99170124481327804</v>
      </c>
      <c r="K37" s="10">
        <f t="shared" si="109"/>
        <v>0.99081515499425954</v>
      </c>
      <c r="L37" s="10">
        <f t="shared" si="109"/>
        <v>0.98833510074231179</v>
      </c>
      <c r="M37" s="10">
        <f t="shared" si="109"/>
        <v>0.99317738791422994</v>
      </c>
      <c r="N37" s="10">
        <f t="shared" si="109"/>
        <v>0.99559471365638763</v>
      </c>
      <c r="O37" s="10">
        <f t="shared" si="109"/>
        <v>0.9627815866797258</v>
      </c>
      <c r="P37" s="10">
        <f t="shared" si="109"/>
        <v>0.98288288288288284</v>
      </c>
      <c r="Q37" s="10">
        <f t="shared" si="109"/>
        <v>0.98547215496368046</v>
      </c>
      <c r="R37" s="10">
        <f t="shared" si="109"/>
        <v>0.98286497601096645</v>
      </c>
      <c r="S37" s="10">
        <f t="shared" ref="S37:V37" si="110">(S8-S9)/S8</f>
        <v>0.98458304134548014</v>
      </c>
      <c r="T37" s="10">
        <f t="shared" si="110"/>
        <v>0.98391608391608387</v>
      </c>
      <c r="U37" s="10">
        <f t="shared" si="110"/>
        <v>0.98553583168967795</v>
      </c>
      <c r="V37" s="10">
        <f t="shared" si="110"/>
        <v>0.98527746319365805</v>
      </c>
      <c r="W37" s="10">
        <f t="shared" ref="W37:Z37" si="111">(W8-W9)/W8</f>
        <v>0.9900000000000001</v>
      </c>
      <c r="X37" s="10">
        <f t="shared" si="111"/>
        <v>0.99</v>
      </c>
      <c r="Y37" s="10">
        <f t="shared" si="111"/>
        <v>0.9900000000000001</v>
      </c>
      <c r="Z37" s="10">
        <f t="shared" si="111"/>
        <v>0.99</v>
      </c>
      <c r="AB37" s="10">
        <f t="shared" ref="AB37:AF37" si="112">(AB8-AB9)/AB8</f>
        <v>0.98210735586481113</v>
      </c>
      <c r="AC37" s="10">
        <f t="shared" si="112"/>
        <v>0.98763197586726992</v>
      </c>
      <c r="AD37" s="10">
        <f t="shared" si="112"/>
        <v>0.99220125786163516</v>
      </c>
      <c r="AE37" s="10">
        <f t="shared" si="112"/>
        <v>0.979291778836198</v>
      </c>
      <c r="AF37" s="10">
        <f t="shared" si="112"/>
        <v>0.98486328125000011</v>
      </c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5" s="1" customFormat="1" x14ac:dyDescent="0.3">
      <c r="B38" t="s">
        <v>66</v>
      </c>
      <c r="C38"/>
      <c r="D38"/>
      <c r="E38"/>
      <c r="F38"/>
      <c r="I38" s="10">
        <f t="shared" ref="I38:Q38" si="113">(I8-I10)/I8</f>
        <v>0.99063231850117095</v>
      </c>
      <c r="J38" s="10">
        <f t="shared" si="113"/>
        <v>0.99066390041493768</v>
      </c>
      <c r="K38" s="10">
        <f t="shared" si="113"/>
        <v>0.98966704936854188</v>
      </c>
      <c r="L38" s="10">
        <f t="shared" si="113"/>
        <v>0.98833510074231179</v>
      </c>
      <c r="M38" s="10">
        <f t="shared" si="113"/>
        <v>0.98830409356725146</v>
      </c>
      <c r="N38" s="10">
        <f t="shared" si="113"/>
        <v>0.99030837004405292</v>
      </c>
      <c r="O38" s="10">
        <f t="shared" si="113"/>
        <v>0.99020568070519099</v>
      </c>
      <c r="P38" s="10">
        <f t="shared" si="113"/>
        <v>0.99189189189189186</v>
      </c>
      <c r="Q38" s="10">
        <f t="shared" si="113"/>
        <v>0.99273607748184012</v>
      </c>
      <c r="R38" s="10">
        <f>(R8-R10)/R8</f>
        <v>0.99246058944482529</v>
      </c>
      <c r="S38" s="10">
        <f t="shared" ref="S38:V38" si="114">(S8-S10)/S8</f>
        <v>0.99369306236860544</v>
      </c>
      <c r="T38" s="10">
        <f t="shared" si="114"/>
        <v>0.98951048951048948</v>
      </c>
      <c r="U38" s="10">
        <f t="shared" si="114"/>
        <v>0.98750821827744906</v>
      </c>
      <c r="V38" s="10">
        <f t="shared" si="114"/>
        <v>0.99037372593431494</v>
      </c>
      <c r="W38" s="10">
        <f t="shared" ref="W38:Z38" si="115">(W8-W10)/W8</f>
        <v>0.9900000000000001</v>
      </c>
      <c r="X38" s="10">
        <f t="shared" si="115"/>
        <v>0.99</v>
      </c>
      <c r="Y38" s="10">
        <f t="shared" si="115"/>
        <v>0.9900000000000001</v>
      </c>
      <c r="Z38" s="10">
        <f t="shared" si="115"/>
        <v>0.99</v>
      </c>
      <c r="AB38" s="10">
        <f t="shared" ref="AB38:AF38" si="116">(AB8-AB10)/AB8</f>
        <v>0.98528827037773359</v>
      </c>
      <c r="AC38" s="10">
        <f t="shared" si="116"/>
        <v>0.98853695324283553</v>
      </c>
      <c r="AD38" s="10">
        <f t="shared" si="116"/>
        <v>0.98918238993710694</v>
      </c>
      <c r="AE38" s="10">
        <f t="shared" si="116"/>
        <v>0.99192379374611728</v>
      </c>
      <c r="AF38" s="10">
        <f t="shared" si="116"/>
        <v>0.990234375</v>
      </c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5" s="1" customFormat="1" x14ac:dyDescent="0.3">
      <c r="B39" t="s">
        <v>67</v>
      </c>
      <c r="C39"/>
      <c r="D39"/>
      <c r="E39"/>
      <c r="F39"/>
      <c r="I39" s="10">
        <f t="shared" ref="I39:Q39" si="117">(I8-I11)/I8</f>
        <v>0.83723653395784536</v>
      </c>
      <c r="J39" s="10">
        <f t="shared" si="117"/>
        <v>0.8205394190871369</v>
      </c>
      <c r="K39" s="10">
        <f t="shared" si="117"/>
        <v>0.82548794489092991</v>
      </c>
      <c r="L39" s="10">
        <f t="shared" si="117"/>
        <v>0.78366914103923635</v>
      </c>
      <c r="M39" s="10">
        <f t="shared" si="117"/>
        <v>0.77290448343079921</v>
      </c>
      <c r="N39" s="10">
        <f t="shared" si="117"/>
        <v>0.76211453744493396</v>
      </c>
      <c r="O39" s="10">
        <f t="shared" si="117"/>
        <v>0.81096963761018614</v>
      </c>
      <c r="P39" s="10">
        <f t="shared" si="117"/>
        <v>0.77567567567567575</v>
      </c>
      <c r="Q39" s="10">
        <f t="shared" si="117"/>
        <v>0.75544794188861986</v>
      </c>
      <c r="R39" s="10">
        <f>(R8-R11)/R8</f>
        <v>0.69773817683344752</v>
      </c>
      <c r="S39" s="10">
        <f t="shared" ref="S39:V39" si="118">(S8-S11)/S8</f>
        <v>0.66713384723195512</v>
      </c>
      <c r="T39" s="10">
        <f t="shared" si="118"/>
        <v>0.67062937062937067</v>
      </c>
      <c r="U39" s="10">
        <f t="shared" si="118"/>
        <v>0.68113083497698879</v>
      </c>
      <c r="V39" s="10">
        <f t="shared" si="118"/>
        <v>0.64892412231030572</v>
      </c>
      <c r="W39" s="10">
        <f t="shared" ref="W39:Z39" si="119">(W8-W11)/W8</f>
        <v>0.65</v>
      </c>
      <c r="X39" s="10">
        <f t="shared" si="119"/>
        <v>0.65</v>
      </c>
      <c r="Y39" s="10">
        <f t="shared" si="119"/>
        <v>0.65</v>
      </c>
      <c r="Z39" s="10">
        <f t="shared" si="119"/>
        <v>0.65</v>
      </c>
      <c r="AB39" s="10">
        <f t="shared" ref="AB39:AF39" si="120">(AB8-AB11)/AB8</f>
        <v>0.97813121272365811</v>
      </c>
      <c r="AC39" s="10">
        <f t="shared" si="120"/>
        <v>0.8591251885369533</v>
      </c>
      <c r="AD39" s="10">
        <f t="shared" si="120"/>
        <v>0.78389937106918239</v>
      </c>
      <c r="AE39" s="10">
        <f t="shared" si="120"/>
        <v>0.75440049699730782</v>
      </c>
      <c r="AF39" s="10">
        <f t="shared" si="120"/>
        <v>0.66617838541666663</v>
      </c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5" x14ac:dyDescent="0.3">
      <c r="B40" t="s">
        <v>47</v>
      </c>
      <c r="I40" s="10">
        <f t="shared" ref="I40:L40" si="121">I13/I8</f>
        <v>0.81615925058548</v>
      </c>
      <c r="J40" s="10">
        <f t="shared" si="121"/>
        <v>0.80290456431535273</v>
      </c>
      <c r="K40" s="10">
        <f t="shared" si="121"/>
        <v>0.80597014925373123</v>
      </c>
      <c r="L40" s="10">
        <f t="shared" si="121"/>
        <v>0.76033934252386004</v>
      </c>
      <c r="M40" s="10">
        <f>M13/M8</f>
        <v>0.75438596491228072</v>
      </c>
      <c r="N40" s="10">
        <f t="shared" ref="N40:R40" si="122">N13/N8</f>
        <v>0.74801762114537451</v>
      </c>
      <c r="O40" s="10">
        <f t="shared" si="122"/>
        <v>0.76395690499510294</v>
      </c>
      <c r="P40" s="10">
        <f t="shared" si="122"/>
        <v>0.75045045045045045</v>
      </c>
      <c r="Q40" s="10">
        <f t="shared" si="122"/>
        <v>0.73365617433414043</v>
      </c>
      <c r="R40" s="10">
        <f t="shared" si="122"/>
        <v>0.67306374228923915</v>
      </c>
      <c r="S40" s="10">
        <f t="shared" ref="S40:V40" si="123">S13/S8</f>
        <v>0.6454099509460407</v>
      </c>
      <c r="T40" s="10">
        <f t="shared" si="123"/>
        <v>0.64405594405594402</v>
      </c>
      <c r="U40" s="10">
        <f t="shared" si="123"/>
        <v>0.65417488494411569</v>
      </c>
      <c r="V40" s="10">
        <f t="shared" si="123"/>
        <v>0.6245753114382786</v>
      </c>
      <c r="W40" s="10">
        <f t="shared" ref="W40:Z40" si="124">W13/W8</f>
        <v>0.63</v>
      </c>
      <c r="X40" s="10">
        <f t="shared" si="124"/>
        <v>0.63</v>
      </c>
      <c r="Y40" s="10">
        <f t="shared" si="124"/>
        <v>0.63</v>
      </c>
      <c r="Z40" s="10">
        <f t="shared" si="124"/>
        <v>0.63</v>
      </c>
      <c r="AB40" s="10">
        <f t="shared" ref="AB40:AP40" si="125">AB13/AB8</f>
        <v>0.94552683896620282</v>
      </c>
      <c r="AC40" s="10">
        <f t="shared" si="125"/>
        <v>0.83529411764705874</v>
      </c>
      <c r="AD40" s="10">
        <f t="shared" si="125"/>
        <v>0.76528301886792449</v>
      </c>
      <c r="AE40" s="10">
        <f t="shared" si="125"/>
        <v>0.7256160695796231</v>
      </c>
      <c r="AF40" s="10">
        <f t="shared" si="125"/>
        <v>0.64127604166666674</v>
      </c>
      <c r="AG40" s="10">
        <f t="shared" si="125"/>
        <v>0.63</v>
      </c>
      <c r="AH40" s="10">
        <f t="shared" si="125"/>
        <v>0.63</v>
      </c>
      <c r="AI40" s="10">
        <f t="shared" si="125"/>
        <v>0.63</v>
      </c>
      <c r="AJ40" s="10">
        <f t="shared" si="125"/>
        <v>0.63000000000000012</v>
      </c>
      <c r="AK40" s="10">
        <f t="shared" si="125"/>
        <v>0.63000000000000012</v>
      </c>
      <c r="AL40" s="10">
        <f t="shared" si="125"/>
        <v>0.63</v>
      </c>
      <c r="AM40" s="10">
        <f t="shared" si="125"/>
        <v>0.63</v>
      </c>
      <c r="AN40" s="10">
        <f t="shared" si="125"/>
        <v>0.63</v>
      </c>
      <c r="AO40" s="10">
        <f t="shared" si="125"/>
        <v>0.63</v>
      </c>
      <c r="AP40" s="10">
        <f t="shared" si="125"/>
        <v>0.63</v>
      </c>
      <c r="AR40" t="s">
        <v>52</v>
      </c>
      <c r="AS40" s="10">
        <v>-0.01</v>
      </c>
    </row>
    <row r="41" spans="2:45" x14ac:dyDescent="0.3">
      <c r="B41" t="s">
        <v>48</v>
      </c>
      <c r="I41" s="10"/>
      <c r="J41" s="10"/>
      <c r="K41" s="10"/>
      <c r="L41" s="10"/>
      <c r="M41" s="10">
        <f>M14/I14-1</f>
        <v>0.14999999999999991</v>
      </c>
      <c r="N41" s="10">
        <f t="shared" ref="N41:R41" si="126">N14/J14-1</f>
        <v>-2.3696682464454999E-2</v>
      </c>
      <c r="O41" s="10">
        <f t="shared" si="126"/>
        <v>-0.18905472636815923</v>
      </c>
      <c r="P41" s="10">
        <f t="shared" si="126"/>
        <v>-7.4766355140186813E-2</v>
      </c>
      <c r="Q41" s="10">
        <f t="shared" si="126"/>
        <v>0.12077294685990347</v>
      </c>
      <c r="R41" s="10">
        <f t="shared" si="126"/>
        <v>-0.13592233009708743</v>
      </c>
      <c r="S41" s="10">
        <f t="shared" ref="S41" si="127">S14/O14-1</f>
        <v>7.9754601226993849E-2</v>
      </c>
      <c r="T41" s="10">
        <f t="shared" ref="T41" si="128">T14/P14-1</f>
        <v>-5.555555555555558E-2</v>
      </c>
      <c r="U41" s="10">
        <f t="shared" ref="U41" si="129">U14/Q14-1</f>
        <v>-9.9137931034482762E-2</v>
      </c>
      <c r="V41" s="10">
        <f t="shared" ref="V41" si="130">V14/R14-1</f>
        <v>0.23033707865168518</v>
      </c>
      <c r="W41" s="10">
        <f t="shared" ref="W41" si="131">W14/S14-1</f>
        <v>0.19999999999999996</v>
      </c>
      <c r="X41" s="10">
        <f t="shared" ref="X41" si="132">X14/T14-1</f>
        <v>0.19999999999999996</v>
      </c>
      <c r="Y41" s="10">
        <f t="shared" ref="Y41" si="133">Y14/U14-1</f>
        <v>0.10000000000000009</v>
      </c>
      <c r="Z41" s="10">
        <f t="shared" ref="Z41" si="134">Z14/V14-1</f>
        <v>0.10000000000000009</v>
      </c>
      <c r="AB41" s="10"/>
      <c r="AC41" s="10">
        <f>AC14/AB14-1</f>
        <v>1.3422818791946067E-3</v>
      </c>
      <c r="AD41" s="10">
        <f t="shared" ref="AD41:AP41" si="135">AD14/AC14-1</f>
        <v>0.1099195710455767</v>
      </c>
      <c r="AE41" s="10">
        <f t="shared" si="135"/>
        <v>-6.8840579710145122E-2</v>
      </c>
      <c r="AF41" s="10">
        <f t="shared" si="135"/>
        <v>2.5940337224383825E-2</v>
      </c>
      <c r="AG41" s="10">
        <f t="shared" si="135"/>
        <v>0.14589127686472847</v>
      </c>
      <c r="AH41" s="10">
        <f t="shared" si="135"/>
        <v>5.0000000000000044E-2</v>
      </c>
      <c r="AI41" s="10">
        <f t="shared" si="135"/>
        <v>4.0000000000000036E-2</v>
      </c>
      <c r="AJ41" s="10">
        <f t="shared" si="135"/>
        <v>3.0000000000000027E-2</v>
      </c>
      <c r="AK41" s="10">
        <f t="shared" si="135"/>
        <v>2.0000000000000018E-2</v>
      </c>
      <c r="AL41" s="10">
        <f t="shared" si="135"/>
        <v>1.0000000000000009E-2</v>
      </c>
      <c r="AM41" s="10">
        <f t="shared" si="135"/>
        <v>1.0000000000000009E-2</v>
      </c>
      <c r="AN41" s="10">
        <f t="shared" si="135"/>
        <v>1.0000000000000009E-2</v>
      </c>
      <c r="AO41" s="10">
        <f t="shared" si="135"/>
        <v>1.0000000000000009E-2</v>
      </c>
      <c r="AP41" s="10">
        <f t="shared" si="135"/>
        <v>1.0000000000000009E-2</v>
      </c>
      <c r="AR41" t="s">
        <v>53</v>
      </c>
      <c r="AS41" s="10">
        <v>0.1</v>
      </c>
    </row>
    <row r="42" spans="2:45" x14ac:dyDescent="0.3">
      <c r="B42" t="s">
        <v>49</v>
      </c>
      <c r="I42" s="10">
        <f t="shared" ref="I42:L42" si="136">I16/I8</f>
        <v>0.3044496487119438</v>
      </c>
      <c r="J42" s="10">
        <f t="shared" si="136"/>
        <v>0.30705394190871371</v>
      </c>
      <c r="K42" s="10">
        <f t="shared" si="136"/>
        <v>0.28013777267508611</v>
      </c>
      <c r="L42" s="10">
        <f t="shared" si="136"/>
        <v>0.28632025450689297</v>
      </c>
      <c r="M42" s="10">
        <f>M16/M8</f>
        <v>0.27680311890838205</v>
      </c>
      <c r="N42" s="10">
        <f t="shared" ref="N42:R42" si="137">N16/N8</f>
        <v>0.26519823788546254</v>
      </c>
      <c r="O42" s="10">
        <f t="shared" si="137"/>
        <v>0.28893241919686585</v>
      </c>
      <c r="P42" s="10">
        <f t="shared" si="137"/>
        <v>0.26126126126126131</v>
      </c>
      <c r="Q42" s="10">
        <f t="shared" si="137"/>
        <v>0.2623083131557708</v>
      </c>
      <c r="R42" s="10">
        <f t="shared" si="137"/>
        <v>0.28032899246058945</v>
      </c>
      <c r="S42" s="10">
        <f t="shared" ref="S42:V42" si="138">S16/S8</f>
        <v>0.23966362999299234</v>
      </c>
      <c r="T42" s="10">
        <f t="shared" si="138"/>
        <v>0.23776223776223776</v>
      </c>
      <c r="U42" s="10">
        <f t="shared" si="138"/>
        <v>0.23602892833662065</v>
      </c>
      <c r="V42" s="10">
        <f t="shared" si="138"/>
        <v>0.21574178935447341</v>
      </c>
      <c r="W42" s="10">
        <f t="shared" ref="W42:Z42" si="139">W16/W8</f>
        <v>0.23</v>
      </c>
      <c r="X42" s="10">
        <f t="shared" si="139"/>
        <v>0.23000000000000004</v>
      </c>
      <c r="Y42" s="10">
        <f t="shared" si="139"/>
        <v>0.23</v>
      </c>
      <c r="Z42" s="10">
        <f t="shared" si="139"/>
        <v>0.22</v>
      </c>
      <c r="AB42" s="10">
        <f t="shared" ref="AB42:AP42" si="140">AB16/AB8</f>
        <v>0.48071570576540756</v>
      </c>
      <c r="AC42" s="10">
        <f t="shared" si="140"/>
        <v>0.34690799396681749</v>
      </c>
      <c r="AD42" s="10">
        <f t="shared" si="140"/>
        <v>0.27647798742138369</v>
      </c>
      <c r="AE42" s="10">
        <f t="shared" si="140"/>
        <v>0.27314143715054878</v>
      </c>
      <c r="AF42" s="10">
        <f t="shared" si="140"/>
        <v>0.2314453125</v>
      </c>
      <c r="AG42" s="10">
        <f t="shared" si="140"/>
        <v>0.22735834004088643</v>
      </c>
      <c r="AH42" s="10">
        <f t="shared" si="140"/>
        <v>0.22000000000000003</v>
      </c>
      <c r="AI42" s="10">
        <f t="shared" si="140"/>
        <v>0.22000000000000003</v>
      </c>
      <c r="AJ42" s="10">
        <f t="shared" si="140"/>
        <v>0.22</v>
      </c>
      <c r="AK42" s="10">
        <f t="shared" si="140"/>
        <v>0.22</v>
      </c>
      <c r="AL42" s="10">
        <f t="shared" si="140"/>
        <v>0.22</v>
      </c>
      <c r="AM42" s="10">
        <f t="shared" si="140"/>
        <v>0.22</v>
      </c>
      <c r="AN42" s="10">
        <f t="shared" si="140"/>
        <v>0.22</v>
      </c>
      <c r="AO42" s="10">
        <f t="shared" si="140"/>
        <v>0.22</v>
      </c>
      <c r="AP42" s="10">
        <f t="shared" si="140"/>
        <v>0.22</v>
      </c>
      <c r="AR42" t="s">
        <v>54</v>
      </c>
      <c r="AS42" s="3">
        <f>NPV(AS41,AG29:ER29)</f>
        <v>1818.7303167933107</v>
      </c>
    </row>
    <row r="43" spans="2:45" x14ac:dyDescent="0.3">
      <c r="B43" t="s">
        <v>50</v>
      </c>
      <c r="I43" s="10">
        <f t="shared" ref="I43:L43" si="141">I22/I8</f>
        <v>0.18969555035128802</v>
      </c>
      <c r="J43" s="10">
        <f t="shared" si="141"/>
        <v>0.12136929460580902</v>
      </c>
      <c r="K43" s="10">
        <f t="shared" si="141"/>
        <v>0.158438576349024</v>
      </c>
      <c r="L43" s="10">
        <f t="shared" si="141"/>
        <v>0.13255567338282073</v>
      </c>
      <c r="M43" s="10">
        <f>M22/M8</f>
        <v>0.15594541910331378</v>
      </c>
      <c r="N43" s="10">
        <f t="shared" ref="N43:R43" si="142">N22/N8</f>
        <v>0.17973568281938332</v>
      </c>
      <c r="O43" s="10">
        <f t="shared" si="142"/>
        <v>0.19000979431929474</v>
      </c>
      <c r="P43" s="10">
        <f t="shared" si="142"/>
        <v>0.19729729729729725</v>
      </c>
      <c r="Q43" s="10">
        <f t="shared" si="142"/>
        <v>0.18886198547215491</v>
      </c>
      <c r="R43" s="10">
        <f t="shared" si="142"/>
        <v>0.18848526387936926</v>
      </c>
      <c r="S43" s="10">
        <f t="shared" ref="S43:V43" si="143">S22/S8</f>
        <v>0.14856341976173784</v>
      </c>
      <c r="T43" s="10">
        <f t="shared" si="143"/>
        <v>0.1237762237762238</v>
      </c>
      <c r="U43" s="10">
        <f t="shared" si="143"/>
        <v>0.14595660749506897</v>
      </c>
      <c r="V43" s="10">
        <f t="shared" si="143"/>
        <v>0.16138165345413355</v>
      </c>
      <c r="W43" s="10">
        <f t="shared" ref="W43:Z43" si="144">W22/W8</f>
        <v>0.14047058823529418</v>
      </c>
      <c r="X43" s="10">
        <f t="shared" si="144"/>
        <v>0.13403263403263405</v>
      </c>
      <c r="Y43" s="10">
        <f t="shared" si="144"/>
        <v>0.13421376096961382</v>
      </c>
      <c r="Z43" s="10">
        <f t="shared" si="144"/>
        <v>0.14526398101709542</v>
      </c>
      <c r="AB43" s="10">
        <f t="shared" ref="AB43:AP43" si="145">AB22/AB8</f>
        <v>-2.4652087475149059E-2</v>
      </c>
      <c r="AC43" s="10">
        <f t="shared" si="145"/>
        <v>0.1224736048265459</v>
      </c>
      <c r="AD43" s="10">
        <f t="shared" si="145"/>
        <v>0.15773584905660362</v>
      </c>
      <c r="AE43" s="10">
        <f t="shared" si="145"/>
        <v>0.19631393663284327</v>
      </c>
      <c r="AF43" s="10">
        <f t="shared" si="145"/>
        <v>8.5611979166666713E-2</v>
      </c>
      <c r="AG43" s="10">
        <f t="shared" si="145"/>
        <v>0.13860387922130646</v>
      </c>
      <c r="AH43" s="10">
        <f t="shared" si="145"/>
        <v>0.23864392228011344</v>
      </c>
      <c r="AI43" s="10">
        <f t="shared" si="145"/>
        <v>0.24302657184691029</v>
      </c>
      <c r="AJ43" s="10">
        <f t="shared" si="145"/>
        <v>0.24474317480822153</v>
      </c>
      <c r="AK43" s="10">
        <f t="shared" si="145"/>
        <v>0.2465179519582919</v>
      </c>
      <c r="AL43" s="10">
        <f t="shared" si="145"/>
        <v>0.24835768964817551</v>
      </c>
      <c r="AM43" s="10">
        <f t="shared" si="145"/>
        <v>0.25021759808957139</v>
      </c>
      <c r="AN43" s="10">
        <f t="shared" si="145"/>
        <v>0.25210346225091024</v>
      </c>
      <c r="AO43" s="10">
        <f t="shared" si="145"/>
        <v>0.25402188268331111</v>
      </c>
      <c r="AP43" s="10">
        <f t="shared" si="145"/>
        <v>0.25598037121527234</v>
      </c>
      <c r="AR43" t="s">
        <v>55</v>
      </c>
      <c r="AS43" s="3">
        <f>Main!D8</f>
        <v>128</v>
      </c>
    </row>
    <row r="44" spans="2:45" x14ac:dyDescent="0.3">
      <c r="B44" t="s">
        <v>42</v>
      </c>
      <c r="I44" s="10">
        <f t="shared" ref="I44:L44" si="146">I28/I27</f>
        <v>0.35616438356164393</v>
      </c>
      <c r="J44" s="10">
        <f t="shared" si="146"/>
        <v>-3.4825870646766191E-2</v>
      </c>
      <c r="K44" s="10">
        <f t="shared" si="146"/>
        <v>0.17741935483870977</v>
      </c>
      <c r="L44" s="10">
        <f t="shared" si="146"/>
        <v>7.4829931972789157E-2</v>
      </c>
      <c r="M44" s="10">
        <f>M28/M27</f>
        <v>1.1764705882352946E-2</v>
      </c>
      <c r="N44" s="10">
        <f t="shared" ref="N44:R44" si="147">N28/N27</f>
        <v>1.9178082191780819E-2</v>
      </c>
      <c r="O44" s="10">
        <f t="shared" si="147"/>
        <v>0.23711340206185574</v>
      </c>
      <c r="P44" s="10">
        <f t="shared" si="147"/>
        <v>0.12727272727272732</v>
      </c>
      <c r="Q44" s="10">
        <f t="shared" si="147"/>
        <v>0.20869565217391309</v>
      </c>
      <c r="R44" s="10">
        <f t="shared" si="147"/>
        <v>0.15634218289085558</v>
      </c>
      <c r="S44" s="10">
        <f t="shared" ref="S44:V44" si="148">S28/S27</f>
        <v>0.11904761904761911</v>
      </c>
      <c r="T44" s="10">
        <f t="shared" si="148"/>
        <v>0.12068965517241378</v>
      </c>
      <c r="U44" s="10">
        <f t="shared" si="148"/>
        <v>0.17857142857142866</v>
      </c>
      <c r="V44" s="10">
        <f t="shared" si="148"/>
        <v>0.13125000000000006</v>
      </c>
      <c r="W44" s="10">
        <f t="shared" ref="W44:Z44" si="149">W28/W27</f>
        <v>0.15</v>
      </c>
      <c r="X44" s="10">
        <f t="shared" si="149"/>
        <v>0.15</v>
      </c>
      <c r="Y44" s="10">
        <f t="shared" si="149"/>
        <v>0.15</v>
      </c>
      <c r="Z44" s="10">
        <f t="shared" si="149"/>
        <v>0.15</v>
      </c>
      <c r="AB44" s="10">
        <f t="shared" ref="AB44:AP44" si="150">AB28/AB27</f>
        <v>0</v>
      </c>
      <c r="AC44" s="10">
        <f t="shared" si="150"/>
        <v>0.3682008368200842</v>
      </c>
      <c r="AD44" s="10">
        <f t="shared" si="150"/>
        <v>4.1927409261576995E-2</v>
      </c>
      <c r="AE44" s="10">
        <f t="shared" si="150"/>
        <v>0.1734390485629336</v>
      </c>
      <c r="AF44" s="10">
        <f t="shared" si="150"/>
        <v>0.19362186788154895</v>
      </c>
      <c r="AG44" s="10">
        <f t="shared" si="150"/>
        <v>0.15000000000000008</v>
      </c>
      <c r="AH44" s="10">
        <f t="shared" si="150"/>
        <v>0.15</v>
      </c>
      <c r="AI44" s="10">
        <f t="shared" si="150"/>
        <v>0.15</v>
      </c>
      <c r="AJ44" s="10">
        <f t="shared" si="150"/>
        <v>0.14999999999999997</v>
      </c>
      <c r="AK44" s="10">
        <f t="shared" si="150"/>
        <v>0.15</v>
      </c>
      <c r="AL44" s="10">
        <f t="shared" si="150"/>
        <v>0.15</v>
      </c>
      <c r="AM44" s="10">
        <f t="shared" si="150"/>
        <v>0.15</v>
      </c>
      <c r="AN44" s="10">
        <f t="shared" si="150"/>
        <v>0.15</v>
      </c>
      <c r="AO44" s="10">
        <f t="shared" si="150"/>
        <v>0.15</v>
      </c>
      <c r="AP44" s="10">
        <f t="shared" si="150"/>
        <v>0.15</v>
      </c>
      <c r="AR44" t="s">
        <v>56</v>
      </c>
      <c r="AS44" s="3">
        <f>AS42+AS43</f>
        <v>1946.7303167933107</v>
      </c>
    </row>
    <row r="45" spans="2:45" x14ac:dyDescent="0.3">
      <c r="B45" t="s">
        <v>51</v>
      </c>
      <c r="I45" s="10">
        <f t="shared" ref="I45:L45" si="151">I29/I8</f>
        <v>0.11007025761124117</v>
      </c>
      <c r="J45" s="10">
        <f t="shared" si="151"/>
        <v>0.21576763485477166</v>
      </c>
      <c r="K45" s="10">
        <f t="shared" si="151"/>
        <v>0.17566016073478749</v>
      </c>
      <c r="L45" s="10">
        <f t="shared" si="151"/>
        <v>0.14422057264050897</v>
      </c>
      <c r="M45" s="10">
        <f>M29/M8</f>
        <v>0.16374269005847947</v>
      </c>
      <c r="N45" s="10">
        <f t="shared" ref="N45:R45" si="152">N29/N8</f>
        <v>0.94625550660792968</v>
      </c>
      <c r="O45" s="10">
        <f t="shared" si="152"/>
        <v>0.1449559255631733</v>
      </c>
      <c r="P45" s="10">
        <f t="shared" si="152"/>
        <v>0.17297297297297293</v>
      </c>
      <c r="Q45" s="10">
        <f t="shared" si="152"/>
        <v>0.14689265536723159</v>
      </c>
      <c r="R45" s="10">
        <f t="shared" si="152"/>
        <v>0.19602467443454402</v>
      </c>
      <c r="S45" s="10">
        <f t="shared" ref="S45:V45" si="153">S29/S8</f>
        <v>0.12964260686755424</v>
      </c>
      <c r="T45" s="10">
        <f t="shared" si="153"/>
        <v>0.10699300699300701</v>
      </c>
      <c r="U45" s="10">
        <f t="shared" si="153"/>
        <v>0.12097304404996705</v>
      </c>
      <c r="V45" s="10">
        <f t="shared" si="153"/>
        <v>0.31483578708946763</v>
      </c>
      <c r="W45" s="10">
        <f t="shared" ref="W45:Z45" si="154">W29/W8</f>
        <v>0.11440000000000004</v>
      </c>
      <c r="X45" s="10">
        <f t="shared" si="154"/>
        <v>0.10897435897435898</v>
      </c>
      <c r="Y45" s="10">
        <f t="shared" si="154"/>
        <v>0.10922219363690935</v>
      </c>
      <c r="Z45" s="10">
        <f t="shared" si="154"/>
        <v>0.16014590411476029</v>
      </c>
      <c r="AB45" s="10">
        <f t="shared" ref="AB45:AP45" si="155">AB29/AB8</f>
        <v>-0.1709741550695825</v>
      </c>
      <c r="AC45" s="10">
        <f t="shared" si="155"/>
        <v>4.5550527903468974E-2</v>
      </c>
      <c r="AD45" s="10">
        <f t="shared" si="155"/>
        <v>0.38515723270440239</v>
      </c>
      <c r="AE45" s="10">
        <f t="shared" si="155"/>
        <v>0.17270656450610894</v>
      </c>
      <c r="AF45" s="10">
        <f t="shared" si="155"/>
        <v>0.11523437500000003</v>
      </c>
      <c r="AG45" s="10">
        <f t="shared" si="155"/>
        <v>0.12386790275591388</v>
      </c>
      <c r="AH45" s="10">
        <f t="shared" si="155"/>
        <v>0.20836742011970091</v>
      </c>
      <c r="AI45" s="10">
        <f t="shared" si="155"/>
        <v>0.21183974570124289</v>
      </c>
      <c r="AJ45" s="10">
        <f t="shared" si="155"/>
        <v>0.21317141094985162</v>
      </c>
      <c r="AK45" s="10">
        <f t="shared" si="155"/>
        <v>0.21458857994845817</v>
      </c>
      <c r="AL45" s="10">
        <f t="shared" si="155"/>
        <v>0.21609554593968314</v>
      </c>
      <c r="AM45" s="10">
        <f t="shared" si="155"/>
        <v>0.21761903419748641</v>
      </c>
      <c r="AN45" s="10">
        <f t="shared" si="155"/>
        <v>0.21916378330538089</v>
      </c>
      <c r="AO45" s="10">
        <f t="shared" si="155"/>
        <v>0.2207351999069955</v>
      </c>
      <c r="AP45" s="10">
        <f t="shared" si="155"/>
        <v>0.22233943709151302</v>
      </c>
      <c r="AR45" t="s">
        <v>57</v>
      </c>
      <c r="AS45" s="2">
        <f>AS44/AP30</f>
        <v>21.726900857068202</v>
      </c>
    </row>
    <row r="46" spans="2:45" x14ac:dyDescent="0.3">
      <c r="AR46" t="s">
        <v>58</v>
      </c>
      <c r="AS46" s="2">
        <f>Main!D3</f>
        <v>14.31</v>
      </c>
    </row>
    <row r="47" spans="2:45" x14ac:dyDescent="0.3">
      <c r="AR47" s="1" t="s">
        <v>59</v>
      </c>
      <c r="AS47" s="9">
        <f>AS45/AS46-1</f>
        <v>0.51830194668540885</v>
      </c>
    </row>
    <row r="48" spans="2:45" s="1" customFormat="1" x14ac:dyDescent="0.3">
      <c r="B48" s="1" t="s">
        <v>45</v>
      </c>
      <c r="K48" s="8">
        <f t="shared" ref="K48:R48" si="156">K27</f>
        <v>18.599999999999991</v>
      </c>
      <c r="L48" s="8">
        <f t="shared" si="156"/>
        <v>14.699999999999992</v>
      </c>
      <c r="M48" s="8">
        <f t="shared" si="156"/>
        <v>16.999999999999993</v>
      </c>
      <c r="N48" s="8">
        <f t="shared" si="156"/>
        <v>109.50000000000001</v>
      </c>
      <c r="O48" s="8">
        <f t="shared" si="156"/>
        <v>19.399999999999991</v>
      </c>
      <c r="P48" s="8">
        <f t="shared" si="156"/>
        <v>21.999999999999993</v>
      </c>
      <c r="Q48" s="8">
        <f t="shared" si="156"/>
        <v>22.999999999999993</v>
      </c>
      <c r="R48" s="8">
        <f t="shared" si="156"/>
        <v>33.89999999999997</v>
      </c>
      <c r="U48" s="8">
        <f t="shared" ref="U48:V48" si="157">U27</f>
        <v>22.399999999999988</v>
      </c>
      <c r="V48" s="8">
        <f t="shared" si="157"/>
        <v>63.999999999999979</v>
      </c>
      <c r="AD48" s="8">
        <f>AD27</f>
        <v>159.79999999999993</v>
      </c>
      <c r="AE48" s="8">
        <f>AE27</f>
        <v>100.9</v>
      </c>
      <c r="AF48" s="8">
        <f t="shared" ref="AF48:AP48" si="158">AF27</f>
        <v>87.800000000000011</v>
      </c>
      <c r="AG48" s="8">
        <f t="shared" si="158"/>
        <v>102.29229999999995</v>
      </c>
      <c r="AH48" s="8">
        <f t="shared" si="158"/>
        <v>190.62301511000004</v>
      </c>
      <c r="AI48" s="8">
        <f t="shared" si="158"/>
        <v>205.13686665470004</v>
      </c>
      <c r="AJ48" s="8">
        <f t="shared" si="158"/>
        <v>213.66051479842812</v>
      </c>
      <c r="AK48" s="8">
        <f t="shared" si="158"/>
        <v>221.16436965166233</v>
      </c>
      <c r="AL48" s="8">
        <f t="shared" si="158"/>
        <v>227.50490578233348</v>
      </c>
      <c r="AM48" s="8">
        <f t="shared" si="158"/>
        <v>234.09347395448125</v>
      </c>
      <c r="AN48" s="8">
        <f t="shared" si="158"/>
        <v>240.95665678842107</v>
      </c>
      <c r="AO48" s="8">
        <f t="shared" si="158"/>
        <v>248.12586672992904</v>
      </c>
      <c r="AP48" s="8">
        <f t="shared" si="158"/>
        <v>255.63830201913365</v>
      </c>
      <c r="AR48" t="s">
        <v>60</v>
      </c>
      <c r="AS48" s="6" t="s">
        <v>100</v>
      </c>
    </row>
    <row r="49" spans="2:42" x14ac:dyDescent="0.3">
      <c r="B49" t="s">
        <v>71</v>
      </c>
      <c r="K49" s="3">
        <v>-4.8</v>
      </c>
      <c r="L49" s="3">
        <v>-2.2000000000000002</v>
      </c>
      <c r="M49" s="3">
        <v>-1</v>
      </c>
      <c r="N49" s="3">
        <v>0.7</v>
      </c>
      <c r="O49" s="3">
        <v>0.1</v>
      </c>
      <c r="P49" s="3">
        <v>-0.2</v>
      </c>
      <c r="Q49" s="3">
        <v>0.4</v>
      </c>
      <c r="R49" s="3">
        <v>-1.5</v>
      </c>
      <c r="U49" s="3">
        <v>-0.2</v>
      </c>
      <c r="V49" s="3">
        <v>1</v>
      </c>
      <c r="AD49" s="3">
        <f>SUM(K49:N49)</f>
        <v>-7.3</v>
      </c>
      <c r="AE49" s="3">
        <f>SUM(O49:R49)</f>
        <v>-1.2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</row>
    <row r="50" spans="2:42" x14ac:dyDescent="0.3">
      <c r="B50" t="s">
        <v>72</v>
      </c>
      <c r="K50" s="3"/>
      <c r="L50" s="3"/>
      <c r="M50" s="3"/>
      <c r="N50" s="3">
        <v>-89.8</v>
      </c>
      <c r="O50" s="3"/>
      <c r="P50" s="3"/>
      <c r="Q50" s="3"/>
      <c r="R50" s="3">
        <v>-5</v>
      </c>
      <c r="U50" s="3">
        <v>0</v>
      </c>
      <c r="V50" s="3">
        <v>-36.299999999999997</v>
      </c>
      <c r="AD50" s="3">
        <f t="shared" ref="AD50:AD61" si="159">SUM(K50:N50)</f>
        <v>-89.8</v>
      </c>
      <c r="AE50" s="3">
        <f t="shared" ref="AE50:AE61" si="160">SUM(O50:R50)</f>
        <v>-5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</row>
    <row r="51" spans="2:42" x14ac:dyDescent="0.3">
      <c r="B51" t="s">
        <v>73</v>
      </c>
      <c r="K51" s="3"/>
      <c r="L51" s="3"/>
      <c r="M51" s="3"/>
      <c r="N51" s="3">
        <v>0</v>
      </c>
      <c r="O51" s="3"/>
      <c r="P51" s="3"/>
      <c r="Q51" s="3"/>
      <c r="R51" s="3">
        <v>0</v>
      </c>
      <c r="U51" s="3">
        <v>0</v>
      </c>
      <c r="V51" s="3">
        <v>-0.3</v>
      </c>
      <c r="AD51" s="3">
        <f t="shared" si="159"/>
        <v>0</v>
      </c>
      <c r="AE51" s="3">
        <f t="shared" si="160"/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0</v>
      </c>
      <c r="AL51" s="3">
        <v>0</v>
      </c>
      <c r="AM51" s="3">
        <v>0</v>
      </c>
      <c r="AN51" s="3">
        <v>0</v>
      </c>
      <c r="AO51" s="3">
        <v>0</v>
      </c>
      <c r="AP51" s="3">
        <v>0</v>
      </c>
    </row>
    <row r="52" spans="2:42" x14ac:dyDescent="0.3">
      <c r="B52" t="s">
        <v>74</v>
      </c>
      <c r="K52" s="3"/>
      <c r="L52" s="3"/>
      <c r="M52" s="3">
        <v>0.6</v>
      </c>
      <c r="N52" s="3">
        <v>0.1</v>
      </c>
      <c r="O52" s="3"/>
      <c r="P52" s="3"/>
      <c r="Q52" s="3">
        <v>0</v>
      </c>
      <c r="R52" s="3">
        <v>0.1</v>
      </c>
      <c r="U52" s="3">
        <v>0.2</v>
      </c>
      <c r="V52" s="3">
        <v>0.4</v>
      </c>
      <c r="AD52" s="3">
        <f t="shared" si="159"/>
        <v>0.7</v>
      </c>
      <c r="AE52" s="3">
        <f t="shared" si="160"/>
        <v>0.1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v>0</v>
      </c>
      <c r="AN52" s="3">
        <v>0</v>
      </c>
      <c r="AO52" s="3">
        <v>0</v>
      </c>
      <c r="AP52" s="3">
        <v>0</v>
      </c>
    </row>
    <row r="53" spans="2:42" x14ac:dyDescent="0.3">
      <c r="B53" t="s">
        <v>33</v>
      </c>
      <c r="K53" s="3">
        <v>3.4</v>
      </c>
      <c r="L53" s="3">
        <v>3.4</v>
      </c>
      <c r="M53" s="3">
        <v>3.2</v>
      </c>
      <c r="N53" s="3">
        <v>3.2</v>
      </c>
      <c r="O53" s="3">
        <v>3.1</v>
      </c>
      <c r="P53" s="3">
        <v>4</v>
      </c>
      <c r="Q53" s="3">
        <v>4.0999999999999996</v>
      </c>
      <c r="R53" s="3">
        <v>4.4000000000000004</v>
      </c>
      <c r="U53" s="3">
        <v>4.9000000000000004</v>
      </c>
      <c r="V53" s="3">
        <v>4.9000000000000004</v>
      </c>
      <c r="AD53" s="3">
        <f t="shared" si="159"/>
        <v>13.2</v>
      </c>
      <c r="AE53" s="3">
        <f t="shared" si="160"/>
        <v>15.6</v>
      </c>
      <c r="AF53" s="3">
        <f>AE53*1.02</f>
        <v>15.911999999999999</v>
      </c>
      <c r="AG53" s="3"/>
      <c r="AH53" s="3"/>
      <c r="AI53" s="3"/>
      <c r="AJ53" s="3"/>
      <c r="AK53" s="3"/>
      <c r="AL53" s="3"/>
      <c r="AM53" s="3"/>
      <c r="AN53" s="3"/>
      <c r="AO53" s="3"/>
      <c r="AP53" s="3"/>
    </row>
    <row r="54" spans="2:42" x14ac:dyDescent="0.3">
      <c r="B54" t="s">
        <v>75</v>
      </c>
      <c r="K54" s="3">
        <v>3.4</v>
      </c>
      <c r="L54" s="3">
        <v>3.7</v>
      </c>
      <c r="M54" s="3">
        <v>3.8</v>
      </c>
      <c r="N54" s="3">
        <v>3.9</v>
      </c>
      <c r="O54" s="3">
        <v>2.2000000000000002</v>
      </c>
      <c r="P54" s="3">
        <v>2.1</v>
      </c>
      <c r="Q54" s="3">
        <v>3.6</v>
      </c>
      <c r="R54" s="3">
        <v>0.9</v>
      </c>
      <c r="U54" s="3">
        <v>8.4</v>
      </c>
      <c r="V54" s="3">
        <v>7.7</v>
      </c>
      <c r="AD54" s="3">
        <f t="shared" si="159"/>
        <v>14.799999999999999</v>
      </c>
      <c r="AE54" s="3">
        <f t="shared" si="160"/>
        <v>8.8000000000000007</v>
      </c>
      <c r="AF54" s="3">
        <f>AE54*0.8</f>
        <v>7.0400000000000009</v>
      </c>
      <c r="AG54" s="3">
        <f t="shared" ref="AG54:AP54" si="161">AF54*0.8</f>
        <v>5.6320000000000014</v>
      </c>
      <c r="AH54" s="3">
        <f t="shared" si="161"/>
        <v>4.5056000000000012</v>
      </c>
      <c r="AI54" s="3">
        <f t="shared" si="161"/>
        <v>3.604480000000001</v>
      </c>
      <c r="AJ54" s="3">
        <f t="shared" si="161"/>
        <v>2.8835840000000008</v>
      </c>
      <c r="AK54" s="3">
        <f t="shared" si="161"/>
        <v>2.3068672000000006</v>
      </c>
      <c r="AL54" s="3">
        <f t="shared" si="161"/>
        <v>1.8454937600000005</v>
      </c>
      <c r="AM54" s="3">
        <f t="shared" si="161"/>
        <v>1.4763950080000006</v>
      </c>
      <c r="AN54" s="3">
        <f t="shared" si="161"/>
        <v>1.1811160064000006</v>
      </c>
      <c r="AO54" s="3">
        <f t="shared" si="161"/>
        <v>0.94489280512000051</v>
      </c>
      <c r="AP54" s="3">
        <f t="shared" si="161"/>
        <v>0.7559142440960005</v>
      </c>
    </row>
    <row r="55" spans="2:42" x14ac:dyDescent="0.3">
      <c r="B55" t="s">
        <v>76</v>
      </c>
      <c r="K55" s="3">
        <v>-0.3</v>
      </c>
      <c r="L55" s="3">
        <v>0.5</v>
      </c>
      <c r="M55" s="3">
        <v>-0.3</v>
      </c>
      <c r="N55" s="3">
        <v>-0.2</v>
      </c>
      <c r="O55" s="3">
        <v>-0.6</v>
      </c>
      <c r="P55" s="3">
        <v>1.2</v>
      </c>
      <c r="Q55" s="3">
        <v>-0.3</v>
      </c>
      <c r="R55" s="3">
        <v>-0.4</v>
      </c>
      <c r="U55" s="3">
        <v>0.2</v>
      </c>
      <c r="V55" s="3">
        <v>0.3</v>
      </c>
      <c r="AD55" s="3">
        <f t="shared" si="159"/>
        <v>-0.3</v>
      </c>
      <c r="AE55" s="3">
        <f t="shared" si="160"/>
        <v>-0.10000000000000003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</row>
    <row r="56" spans="2:42" x14ac:dyDescent="0.3">
      <c r="B56" t="s">
        <v>77</v>
      </c>
      <c r="K56" s="3">
        <v>6.3</v>
      </c>
      <c r="L56" s="3">
        <v>-3.9</v>
      </c>
      <c r="M56" s="3">
        <v>-5.0999999999999996</v>
      </c>
      <c r="N56" s="3">
        <v>-14.9</v>
      </c>
      <c r="O56" s="3">
        <v>8.3000000000000007</v>
      </c>
      <c r="P56" s="3">
        <v>-1.8</v>
      </c>
      <c r="Q56" s="3">
        <v>-8.5</v>
      </c>
      <c r="R56" s="3">
        <v>-18.2</v>
      </c>
      <c r="U56" s="3">
        <v>-5.5</v>
      </c>
      <c r="V56" s="3">
        <v>-11.5</v>
      </c>
      <c r="AD56" s="3">
        <f t="shared" si="159"/>
        <v>-17.600000000000001</v>
      </c>
      <c r="AE56" s="3">
        <f t="shared" si="160"/>
        <v>-20.2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</row>
    <row r="57" spans="2:42" x14ac:dyDescent="0.3">
      <c r="B57" t="s">
        <v>78</v>
      </c>
      <c r="K57" s="3">
        <v>-0.5</v>
      </c>
      <c r="L57" s="3">
        <v>-0.4</v>
      </c>
      <c r="M57" s="3">
        <v>-1.3</v>
      </c>
      <c r="N57" s="3">
        <v>1.2</v>
      </c>
      <c r="O57" s="3">
        <v>0.1</v>
      </c>
      <c r="P57" s="3">
        <v>1.2</v>
      </c>
      <c r="Q57" s="3">
        <v>-0.1</v>
      </c>
      <c r="R57" s="3">
        <v>-3</v>
      </c>
      <c r="U57" s="3">
        <v>-0.2</v>
      </c>
      <c r="V57" s="3">
        <v>-1.2</v>
      </c>
      <c r="AD57" s="3">
        <f t="shared" si="159"/>
        <v>-1.0000000000000002</v>
      </c>
      <c r="AE57" s="3">
        <f t="shared" si="160"/>
        <v>-1.8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</row>
    <row r="58" spans="2:42" x14ac:dyDescent="0.3">
      <c r="B58" t="s">
        <v>79</v>
      </c>
      <c r="K58" s="3">
        <v>-4.0999999999999996</v>
      </c>
      <c r="L58" s="3">
        <v>4.4000000000000004</v>
      </c>
      <c r="M58" s="3">
        <v>-0.4</v>
      </c>
      <c r="N58" s="3">
        <v>5.4</v>
      </c>
      <c r="O58" s="3">
        <v>0.5</v>
      </c>
      <c r="P58" s="3">
        <v>0.3</v>
      </c>
      <c r="Q58" s="3">
        <v>10.7</v>
      </c>
      <c r="R58" s="3">
        <v>11.6</v>
      </c>
      <c r="U58" s="3">
        <v>-2.1</v>
      </c>
      <c r="V58" s="3">
        <v>13.8</v>
      </c>
      <c r="AD58" s="3">
        <f t="shared" si="159"/>
        <v>5.3000000000000007</v>
      </c>
      <c r="AE58" s="3">
        <f t="shared" si="160"/>
        <v>23.1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</row>
    <row r="59" spans="2:42" x14ac:dyDescent="0.3">
      <c r="B59" t="s">
        <v>80</v>
      </c>
      <c r="K59" s="3">
        <v>6</v>
      </c>
      <c r="L59" s="3">
        <v>-2.1</v>
      </c>
      <c r="M59" s="3">
        <v>-1.7</v>
      </c>
      <c r="N59" s="3">
        <v>7.1</v>
      </c>
      <c r="O59" s="3">
        <v>-2.6</v>
      </c>
      <c r="P59" s="3">
        <v>-2.6</v>
      </c>
      <c r="Q59" s="3">
        <v>-1.7</v>
      </c>
      <c r="R59" s="3">
        <v>2</v>
      </c>
      <c r="U59" s="3">
        <v>-0.2</v>
      </c>
      <c r="V59" s="3">
        <v>0.5</v>
      </c>
      <c r="AD59" s="3">
        <f t="shared" si="159"/>
        <v>9.3000000000000007</v>
      </c>
      <c r="AE59" s="3">
        <f t="shared" si="160"/>
        <v>-4.9000000000000004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</row>
    <row r="60" spans="2:42" x14ac:dyDescent="0.3">
      <c r="B60" t="s">
        <v>81</v>
      </c>
      <c r="K60" s="3">
        <v>-2.2999999999999998</v>
      </c>
      <c r="L60" s="3">
        <v>0.7</v>
      </c>
      <c r="M60" s="3">
        <v>1.8</v>
      </c>
      <c r="N60" s="3">
        <v>1</v>
      </c>
      <c r="O60" s="3">
        <v>0.7</v>
      </c>
      <c r="P60" s="3">
        <v>-4.9000000000000004</v>
      </c>
      <c r="Q60" s="3">
        <v>4</v>
      </c>
      <c r="R60" s="3">
        <v>0.1</v>
      </c>
      <c r="U60" s="3">
        <v>1.5</v>
      </c>
      <c r="V60" s="3">
        <v>2.9</v>
      </c>
      <c r="AD60" s="3">
        <f t="shared" si="159"/>
        <v>1.2000000000000002</v>
      </c>
      <c r="AE60" s="3">
        <f t="shared" si="160"/>
        <v>-0.10000000000000017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</row>
    <row r="61" spans="2:42" x14ac:dyDescent="0.3">
      <c r="B61" t="s">
        <v>42</v>
      </c>
      <c r="K61" s="3">
        <v>-0.2</v>
      </c>
      <c r="L61" s="3">
        <v>-3.4</v>
      </c>
      <c r="M61" s="3">
        <v>-0.5</v>
      </c>
      <c r="N61" s="3">
        <v>-1.9</v>
      </c>
      <c r="O61" s="3">
        <v>-0.2</v>
      </c>
      <c r="P61" s="3">
        <v>-4</v>
      </c>
      <c r="Q61" s="3">
        <v>-0.1</v>
      </c>
      <c r="R61" s="3">
        <v>-3.4</v>
      </c>
      <c r="U61" s="3">
        <v>-0.9</v>
      </c>
      <c r="V61" s="3">
        <v>-6.2</v>
      </c>
      <c r="AD61" s="3">
        <f t="shared" si="159"/>
        <v>-6</v>
      </c>
      <c r="AE61" s="3">
        <f t="shared" si="160"/>
        <v>-7.6999999999999993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</row>
    <row r="62" spans="2:42" s="1" customFormat="1" x14ac:dyDescent="0.3">
      <c r="B62" s="1" t="s">
        <v>82</v>
      </c>
      <c r="K62" s="8">
        <f t="shared" ref="K62:R62" si="162">K48+SUM(K49:K61)</f>
        <v>25.499999999999993</v>
      </c>
      <c r="L62" s="8">
        <f t="shared" si="162"/>
        <v>15.399999999999993</v>
      </c>
      <c r="M62" s="8">
        <f t="shared" si="162"/>
        <v>16.099999999999994</v>
      </c>
      <c r="N62" s="8">
        <f t="shared" si="162"/>
        <v>25.300000000000011</v>
      </c>
      <c r="O62" s="8">
        <f t="shared" si="162"/>
        <v>30.999999999999993</v>
      </c>
      <c r="P62" s="8">
        <f t="shared" si="162"/>
        <v>17.299999999999994</v>
      </c>
      <c r="Q62" s="8">
        <f t="shared" si="162"/>
        <v>35.099999999999994</v>
      </c>
      <c r="R62" s="8">
        <f t="shared" si="162"/>
        <v>21.499999999999972</v>
      </c>
      <c r="U62" s="8">
        <f t="shared" ref="U62:V62" si="163">U48+SUM(U49:U61)</f>
        <v>28.499999999999986</v>
      </c>
      <c r="V62" s="8">
        <f t="shared" si="163"/>
        <v>39.999999999999979</v>
      </c>
      <c r="AD62" s="8">
        <f>AD48+SUM(AD49:AD61)</f>
        <v>82.29999999999994</v>
      </c>
      <c r="AE62" s="8">
        <f>AE48+SUM(AE49:AE61)</f>
        <v>107.5</v>
      </c>
      <c r="AF62" s="8">
        <f t="shared" ref="AF62:AP62" si="164">AF48+SUM(AF49:AF61)</f>
        <v>110.75200000000001</v>
      </c>
      <c r="AG62" s="8">
        <f t="shared" si="164"/>
        <v>107.92429999999996</v>
      </c>
      <c r="AH62" s="8">
        <f t="shared" si="164"/>
        <v>195.12861511000006</v>
      </c>
      <c r="AI62" s="8">
        <f t="shared" si="164"/>
        <v>208.74134665470004</v>
      </c>
      <c r="AJ62" s="8">
        <f t="shared" si="164"/>
        <v>216.54409879842814</v>
      </c>
      <c r="AK62" s="8">
        <f t="shared" si="164"/>
        <v>223.47123685166233</v>
      </c>
      <c r="AL62" s="8">
        <f t="shared" si="164"/>
        <v>229.35039954233349</v>
      </c>
      <c r="AM62" s="8">
        <f t="shared" si="164"/>
        <v>235.56986896248125</v>
      </c>
      <c r="AN62" s="8">
        <f t="shared" si="164"/>
        <v>242.13777279482107</v>
      </c>
      <c r="AO62" s="8">
        <f t="shared" si="164"/>
        <v>249.07075953504904</v>
      </c>
      <c r="AP62" s="8">
        <f t="shared" si="164"/>
        <v>256.39421626322962</v>
      </c>
    </row>
    <row r="63" spans="2:42" x14ac:dyDescent="0.3">
      <c r="B63" t="s">
        <v>83</v>
      </c>
      <c r="K63" s="3">
        <v>0.3</v>
      </c>
      <c r="L63" s="3">
        <v>0.2</v>
      </c>
      <c r="M63" s="3">
        <v>0.7</v>
      </c>
      <c r="N63" s="3">
        <v>0.6</v>
      </c>
      <c r="O63" s="3">
        <v>20.2</v>
      </c>
      <c r="P63" s="3">
        <v>1.2</v>
      </c>
      <c r="Q63" s="3">
        <v>1.8</v>
      </c>
      <c r="R63" s="3">
        <v>0</v>
      </c>
      <c r="U63" s="3">
        <v>3.2</v>
      </c>
      <c r="V63" s="3">
        <v>1.3</v>
      </c>
      <c r="AD63" s="3">
        <f t="shared" ref="AD63:AD65" si="165">SUM(K63:N63)</f>
        <v>1.7999999999999998</v>
      </c>
      <c r="AE63" s="3">
        <f t="shared" ref="AE63:AE65" si="166">SUM(O63:R63)</f>
        <v>23.2</v>
      </c>
      <c r="AF63" s="3">
        <v>5</v>
      </c>
      <c r="AG63" s="3">
        <f>AF63*1.03</f>
        <v>5.15</v>
      </c>
      <c r="AH63" s="3">
        <f t="shared" ref="AH63:AP63" si="167">AG63*1.03</f>
        <v>5.3045000000000009</v>
      </c>
      <c r="AI63" s="3">
        <f t="shared" si="167"/>
        <v>5.4636350000000009</v>
      </c>
      <c r="AJ63" s="3">
        <f t="shared" si="167"/>
        <v>5.6275440500000009</v>
      </c>
      <c r="AK63" s="3">
        <f t="shared" si="167"/>
        <v>5.796370371500001</v>
      </c>
      <c r="AL63" s="3">
        <f t="shared" si="167"/>
        <v>5.9702614826450011</v>
      </c>
      <c r="AM63" s="3">
        <f t="shared" si="167"/>
        <v>6.1493693271243517</v>
      </c>
      <c r="AN63" s="3">
        <f t="shared" si="167"/>
        <v>6.3338504069380823</v>
      </c>
      <c r="AO63" s="3">
        <f t="shared" si="167"/>
        <v>6.5238659191462247</v>
      </c>
      <c r="AP63" s="3">
        <f t="shared" si="167"/>
        <v>6.7195818967206113</v>
      </c>
    </row>
    <row r="64" spans="2:42" x14ac:dyDescent="0.3">
      <c r="B64" t="s">
        <v>84</v>
      </c>
      <c r="K64" s="3">
        <v>0</v>
      </c>
      <c r="L64" s="3">
        <v>0</v>
      </c>
      <c r="M64" s="3">
        <v>0</v>
      </c>
      <c r="N64" s="3">
        <v>0.3</v>
      </c>
      <c r="O64" s="3">
        <v>0</v>
      </c>
      <c r="P64" s="3">
        <v>0</v>
      </c>
      <c r="Q64" s="3">
        <v>0</v>
      </c>
      <c r="R64" s="3">
        <v>0</v>
      </c>
      <c r="U64" s="3">
        <v>0</v>
      </c>
      <c r="V64" s="3">
        <v>0</v>
      </c>
      <c r="AD64" s="3">
        <f t="shared" si="165"/>
        <v>0.3</v>
      </c>
      <c r="AE64" s="3">
        <f t="shared" si="166"/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</row>
    <row r="65" spans="2:144" x14ac:dyDescent="0.3">
      <c r="B65" t="s">
        <v>86</v>
      </c>
      <c r="K65" s="3">
        <v>1.1000000000000001</v>
      </c>
      <c r="L65" s="3">
        <v>1</v>
      </c>
      <c r="M65" s="3">
        <v>1.2</v>
      </c>
      <c r="N65" s="3">
        <v>1</v>
      </c>
      <c r="O65" s="3">
        <v>1.4</v>
      </c>
      <c r="P65" s="3">
        <v>1.7</v>
      </c>
      <c r="Q65" s="3">
        <v>2.2999999999999998</v>
      </c>
      <c r="R65" s="3">
        <v>1.9</v>
      </c>
      <c r="U65" s="3">
        <v>2.8</v>
      </c>
      <c r="V65" s="3">
        <v>2.2000000000000002</v>
      </c>
      <c r="AD65" s="3">
        <f t="shared" si="165"/>
        <v>4.3</v>
      </c>
      <c r="AE65" s="3">
        <f t="shared" si="166"/>
        <v>7.2999999999999989</v>
      </c>
      <c r="AF65" s="3">
        <f>AE65*1.5</f>
        <v>10.95</v>
      </c>
      <c r="AG65" s="3">
        <f>AF65*1.25</f>
        <v>13.6875</v>
      </c>
      <c r="AH65" s="3">
        <f t="shared" ref="AH65" si="168">AG65*1.2</f>
        <v>16.425000000000001</v>
      </c>
      <c r="AI65" s="3">
        <f>AH65*1.1</f>
        <v>18.067500000000003</v>
      </c>
      <c r="AJ65" s="3">
        <f>AI65*1.05</f>
        <v>18.970875000000003</v>
      </c>
      <c r="AK65" s="3">
        <f t="shared" ref="AK65:AP65" si="169">AJ65*1.05</f>
        <v>19.919418750000006</v>
      </c>
      <c r="AL65" s="3">
        <f t="shared" si="169"/>
        <v>20.915389687500006</v>
      </c>
      <c r="AM65" s="3">
        <f t="shared" si="169"/>
        <v>21.961159171875007</v>
      </c>
      <c r="AN65" s="3">
        <f t="shared" si="169"/>
        <v>23.05921713046876</v>
      </c>
      <c r="AO65" s="3">
        <f t="shared" si="169"/>
        <v>24.212177986992199</v>
      </c>
      <c r="AP65" s="3">
        <f t="shared" si="169"/>
        <v>25.422786886341811</v>
      </c>
    </row>
    <row r="66" spans="2:144" x14ac:dyDescent="0.3">
      <c r="B66" t="s">
        <v>87</v>
      </c>
      <c r="K66" s="3">
        <f t="shared" ref="K66:R66" si="170">SUM(K63:K65)</f>
        <v>1.4000000000000001</v>
      </c>
      <c r="L66" s="3">
        <f t="shared" si="170"/>
        <v>1.2</v>
      </c>
      <c r="M66" s="3">
        <f t="shared" si="170"/>
        <v>1.9</v>
      </c>
      <c r="N66" s="3">
        <f t="shared" si="170"/>
        <v>1.9</v>
      </c>
      <c r="O66" s="3">
        <f t="shared" si="170"/>
        <v>21.599999999999998</v>
      </c>
      <c r="P66" s="3">
        <f t="shared" si="170"/>
        <v>2.9</v>
      </c>
      <c r="Q66" s="3">
        <f t="shared" si="170"/>
        <v>4.0999999999999996</v>
      </c>
      <c r="R66" s="3">
        <f t="shared" si="170"/>
        <v>1.9</v>
      </c>
      <c r="U66" s="3">
        <f t="shared" ref="U66:V66" si="171">SUM(U63:U65)</f>
        <v>6</v>
      </c>
      <c r="V66" s="3">
        <f t="shared" si="171"/>
        <v>3.5</v>
      </c>
      <c r="AD66" s="3">
        <f>SUM(AD63:AD65)</f>
        <v>6.3999999999999995</v>
      </c>
      <c r="AE66" s="3">
        <f>SUM(AE63:AE65)</f>
        <v>30.5</v>
      </c>
      <c r="AF66" s="3">
        <f t="shared" ref="AF66:AP66" si="172">SUM(AF63:AF65)</f>
        <v>15.95</v>
      </c>
      <c r="AG66" s="3">
        <f t="shared" si="172"/>
        <v>18.837499999999999</v>
      </c>
      <c r="AH66" s="3">
        <f t="shared" si="172"/>
        <v>21.729500000000002</v>
      </c>
      <c r="AI66" s="3">
        <f t="shared" si="172"/>
        <v>23.531135000000003</v>
      </c>
      <c r="AJ66" s="3">
        <f t="shared" si="172"/>
        <v>24.598419050000004</v>
      </c>
      <c r="AK66" s="3">
        <f t="shared" si="172"/>
        <v>25.715789121500006</v>
      </c>
      <c r="AL66" s="3">
        <f t="shared" si="172"/>
        <v>26.885651170145007</v>
      </c>
      <c r="AM66" s="3">
        <f t="shared" si="172"/>
        <v>28.110528498999358</v>
      </c>
      <c r="AN66" s="3">
        <f t="shared" si="172"/>
        <v>29.393067537406843</v>
      </c>
      <c r="AO66" s="3">
        <f t="shared" si="172"/>
        <v>30.736043906138423</v>
      </c>
      <c r="AP66" s="3">
        <f t="shared" si="172"/>
        <v>32.142368783062423</v>
      </c>
    </row>
    <row r="67" spans="2:144" s="1" customFormat="1" x14ac:dyDescent="0.3">
      <c r="B67" s="1" t="s">
        <v>85</v>
      </c>
      <c r="K67" s="8">
        <f t="shared" ref="K67:R67" si="173">K62-K66</f>
        <v>24.099999999999994</v>
      </c>
      <c r="L67" s="8">
        <f t="shared" si="173"/>
        <v>14.199999999999994</v>
      </c>
      <c r="M67" s="8">
        <f t="shared" si="173"/>
        <v>14.199999999999994</v>
      </c>
      <c r="N67" s="8">
        <f t="shared" si="173"/>
        <v>23.400000000000013</v>
      </c>
      <c r="O67" s="8">
        <f t="shared" si="173"/>
        <v>9.399999999999995</v>
      </c>
      <c r="P67" s="8">
        <f t="shared" si="173"/>
        <v>14.399999999999993</v>
      </c>
      <c r="Q67" s="8">
        <f t="shared" si="173"/>
        <v>30.999999999999993</v>
      </c>
      <c r="R67" s="8">
        <f t="shared" si="173"/>
        <v>19.599999999999973</v>
      </c>
      <c r="U67" s="8">
        <f t="shared" ref="U67:V67" si="174">U62-U66</f>
        <v>22.499999999999986</v>
      </c>
      <c r="V67" s="8">
        <f t="shared" si="174"/>
        <v>36.499999999999979</v>
      </c>
      <c r="AD67" s="8">
        <f>AD62-AD66</f>
        <v>75.899999999999935</v>
      </c>
      <c r="AE67" s="8">
        <f>AE62-AE66</f>
        <v>77</v>
      </c>
      <c r="AF67" s="8">
        <f t="shared" ref="AF67:AP67" si="175">AF62-AF66</f>
        <v>94.802000000000007</v>
      </c>
      <c r="AG67" s="8">
        <f t="shared" si="175"/>
        <v>89.086799999999954</v>
      </c>
      <c r="AH67" s="8">
        <f t="shared" si="175"/>
        <v>173.39911511000005</v>
      </c>
      <c r="AI67" s="8">
        <f t="shared" si="175"/>
        <v>185.21021165470003</v>
      </c>
      <c r="AJ67" s="8">
        <f t="shared" si="175"/>
        <v>191.94567974842812</v>
      </c>
      <c r="AK67" s="8">
        <f t="shared" si="175"/>
        <v>197.75544773016233</v>
      </c>
      <c r="AL67" s="8">
        <f t="shared" si="175"/>
        <v>202.4647483721885</v>
      </c>
      <c r="AM67" s="8">
        <f t="shared" si="175"/>
        <v>207.45934046348191</v>
      </c>
      <c r="AN67" s="8">
        <f t="shared" si="175"/>
        <v>212.74470525741424</v>
      </c>
      <c r="AO67" s="8">
        <f t="shared" si="175"/>
        <v>218.3347156289106</v>
      </c>
      <c r="AP67" s="8">
        <f t="shared" si="175"/>
        <v>224.25184748016721</v>
      </c>
      <c r="AQ67" s="1">
        <f>AP67*(1+$AS$40)</f>
        <v>222.00932900536554</v>
      </c>
      <c r="AR67" s="1">
        <f t="shared" ref="AR67:DC67" si="176">AQ67*(1+$AS$40)</f>
        <v>219.78923571531189</v>
      </c>
      <c r="AS67" s="1">
        <f t="shared" si="176"/>
        <v>217.59134335815878</v>
      </c>
      <c r="AT67" s="1">
        <f t="shared" si="176"/>
        <v>215.41542992457718</v>
      </c>
      <c r="AU67" s="1">
        <f t="shared" si="176"/>
        <v>213.26127562533142</v>
      </c>
      <c r="AV67" s="1">
        <f t="shared" si="176"/>
        <v>211.12866286907811</v>
      </c>
      <c r="AW67" s="1">
        <f t="shared" si="176"/>
        <v>209.01737624038734</v>
      </c>
      <c r="AX67" s="1">
        <f t="shared" si="176"/>
        <v>206.92720247798346</v>
      </c>
      <c r="AY67" s="1">
        <f t="shared" si="176"/>
        <v>204.85793045320361</v>
      </c>
      <c r="AZ67" s="1">
        <f t="shared" si="176"/>
        <v>202.80935114867157</v>
      </c>
      <c r="BA67" s="1">
        <f t="shared" si="176"/>
        <v>200.78125763718484</v>
      </c>
      <c r="BB67" s="1">
        <f t="shared" si="176"/>
        <v>198.77344506081297</v>
      </c>
      <c r="BC67" s="1">
        <f t="shared" si="176"/>
        <v>196.78571061020483</v>
      </c>
      <c r="BD67" s="1">
        <f t="shared" si="176"/>
        <v>194.81785350410277</v>
      </c>
      <c r="BE67" s="1">
        <f t="shared" si="176"/>
        <v>192.86967496906175</v>
      </c>
      <c r="BF67" s="1">
        <f t="shared" si="176"/>
        <v>190.94097821937112</v>
      </c>
      <c r="BG67" s="1">
        <f t="shared" si="176"/>
        <v>189.03156843717741</v>
      </c>
      <c r="BH67" s="1">
        <f t="shared" si="176"/>
        <v>187.14125275280563</v>
      </c>
      <c r="BI67" s="1">
        <f t="shared" si="176"/>
        <v>185.26984022527756</v>
      </c>
      <c r="BJ67" s="1">
        <f t="shared" si="176"/>
        <v>183.41714182302479</v>
      </c>
      <c r="BK67" s="1">
        <f t="shared" si="176"/>
        <v>181.58297040479454</v>
      </c>
      <c r="BL67" s="1">
        <f t="shared" si="176"/>
        <v>179.76714070074658</v>
      </c>
      <c r="BM67" s="1">
        <f t="shared" si="176"/>
        <v>177.96946929373911</v>
      </c>
      <c r="BN67" s="1">
        <f t="shared" si="176"/>
        <v>176.18977460080171</v>
      </c>
      <c r="BO67" s="1">
        <f t="shared" si="176"/>
        <v>174.42787685479368</v>
      </c>
      <c r="BP67" s="1">
        <f t="shared" si="176"/>
        <v>172.68359808624575</v>
      </c>
      <c r="BQ67" s="1">
        <f t="shared" si="176"/>
        <v>170.95676210538329</v>
      </c>
      <c r="BR67" s="1">
        <f t="shared" si="176"/>
        <v>169.24719448432947</v>
      </c>
      <c r="BS67" s="1">
        <f t="shared" si="176"/>
        <v>167.55472253948616</v>
      </c>
      <c r="BT67" s="1">
        <f t="shared" si="176"/>
        <v>165.8791753140913</v>
      </c>
      <c r="BU67" s="1">
        <f t="shared" si="176"/>
        <v>164.22038356095038</v>
      </c>
      <c r="BV67" s="1">
        <f t="shared" si="176"/>
        <v>162.57817972534087</v>
      </c>
      <c r="BW67" s="1">
        <f t="shared" si="176"/>
        <v>160.95239792808746</v>
      </c>
      <c r="BX67" s="1">
        <f t="shared" si="176"/>
        <v>159.34287394880658</v>
      </c>
      <c r="BY67" s="1">
        <f t="shared" si="176"/>
        <v>157.74944520931851</v>
      </c>
      <c r="BZ67" s="1">
        <f t="shared" si="176"/>
        <v>156.17195075722532</v>
      </c>
      <c r="CA67" s="1">
        <f t="shared" si="176"/>
        <v>154.61023124965305</v>
      </c>
      <c r="CB67" s="1">
        <f t="shared" si="176"/>
        <v>153.06412893715651</v>
      </c>
      <c r="CC67" s="1">
        <f t="shared" si="176"/>
        <v>151.53348764778494</v>
      </c>
      <c r="CD67" s="1">
        <f t="shared" si="176"/>
        <v>150.01815277130709</v>
      </c>
      <c r="CE67" s="1">
        <f t="shared" si="176"/>
        <v>148.51797124359402</v>
      </c>
      <c r="CF67" s="1">
        <f t="shared" si="176"/>
        <v>147.03279153115807</v>
      </c>
      <c r="CG67" s="1">
        <f t="shared" si="176"/>
        <v>145.5624636158465</v>
      </c>
      <c r="CH67" s="1">
        <f t="shared" si="176"/>
        <v>144.10683897968804</v>
      </c>
      <c r="CI67" s="1">
        <f t="shared" si="176"/>
        <v>142.66577058989117</v>
      </c>
      <c r="CJ67" s="1">
        <f t="shared" si="176"/>
        <v>141.23911288399225</v>
      </c>
      <c r="CK67" s="1">
        <f t="shared" si="176"/>
        <v>139.82672175515233</v>
      </c>
      <c r="CL67" s="1">
        <f t="shared" si="176"/>
        <v>138.4284545376008</v>
      </c>
      <c r="CM67" s="1">
        <f t="shared" si="176"/>
        <v>137.04416999222479</v>
      </c>
      <c r="CN67" s="1">
        <f t="shared" si="176"/>
        <v>135.67372829230254</v>
      </c>
      <c r="CO67" s="1">
        <f t="shared" si="176"/>
        <v>134.31699100937951</v>
      </c>
      <c r="CP67" s="1">
        <f t="shared" si="176"/>
        <v>132.97382109928571</v>
      </c>
      <c r="CQ67" s="1">
        <f t="shared" si="176"/>
        <v>131.64408288829284</v>
      </c>
      <c r="CR67" s="1">
        <f t="shared" si="176"/>
        <v>130.32764205940992</v>
      </c>
      <c r="CS67" s="1">
        <f t="shared" si="176"/>
        <v>129.02436563881582</v>
      </c>
      <c r="CT67" s="1">
        <f t="shared" si="176"/>
        <v>127.73412198242767</v>
      </c>
      <c r="CU67" s="1">
        <f t="shared" si="176"/>
        <v>126.45678076260339</v>
      </c>
      <c r="CV67" s="1">
        <f t="shared" si="176"/>
        <v>125.19221295497735</v>
      </c>
      <c r="CW67" s="1">
        <f t="shared" si="176"/>
        <v>123.94029082542758</v>
      </c>
      <c r="CX67" s="1">
        <f t="shared" si="176"/>
        <v>122.7008879171733</v>
      </c>
      <c r="CY67" s="1">
        <f t="shared" si="176"/>
        <v>121.47387903800157</v>
      </c>
      <c r="CZ67" s="1">
        <f t="shared" si="176"/>
        <v>120.25914024762156</v>
      </c>
      <c r="DA67" s="1">
        <f t="shared" si="176"/>
        <v>119.05654884514534</v>
      </c>
      <c r="DB67" s="1">
        <f t="shared" si="176"/>
        <v>117.86598335669389</v>
      </c>
      <c r="DC67" s="1">
        <f t="shared" si="176"/>
        <v>116.68732352312695</v>
      </c>
      <c r="DD67" s="1">
        <f t="shared" ref="DD67:EN67" si="177">DC67*(1+$AS$40)</f>
        <v>115.52045028789568</v>
      </c>
      <c r="DE67" s="1">
        <f t="shared" si="177"/>
        <v>114.36524578501673</v>
      </c>
      <c r="DF67" s="1">
        <f t="shared" si="177"/>
        <v>113.22159332716656</v>
      </c>
      <c r="DG67" s="1">
        <f t="shared" si="177"/>
        <v>112.08937739389489</v>
      </c>
      <c r="DH67" s="1">
        <f t="shared" si="177"/>
        <v>110.96848361995595</v>
      </c>
      <c r="DI67" s="1">
        <f t="shared" si="177"/>
        <v>109.85879878375638</v>
      </c>
      <c r="DJ67" s="1">
        <f t="shared" si="177"/>
        <v>108.76021079591882</v>
      </c>
      <c r="DK67" s="1">
        <f t="shared" si="177"/>
        <v>107.67260868795964</v>
      </c>
      <c r="DL67" s="1">
        <f t="shared" si="177"/>
        <v>106.59588260108004</v>
      </c>
      <c r="DM67" s="1">
        <f t="shared" si="177"/>
        <v>105.52992377506924</v>
      </c>
      <c r="DN67" s="1">
        <f t="shared" si="177"/>
        <v>104.47462453731855</v>
      </c>
      <c r="DO67" s="1">
        <f t="shared" si="177"/>
        <v>103.42987829194536</v>
      </c>
      <c r="DP67" s="1">
        <f t="shared" si="177"/>
        <v>102.39557950902591</v>
      </c>
      <c r="DQ67" s="1">
        <f t="shared" si="177"/>
        <v>101.37162371393565</v>
      </c>
      <c r="DR67" s="1">
        <f t="shared" si="177"/>
        <v>100.35790747679629</v>
      </c>
      <c r="DS67" s="1">
        <f t="shared" si="177"/>
        <v>99.354328402028315</v>
      </c>
      <c r="DT67" s="1">
        <f t="shared" si="177"/>
        <v>98.360785118008025</v>
      </c>
      <c r="DU67" s="1">
        <f t="shared" si="177"/>
        <v>97.377177266827943</v>
      </c>
      <c r="DV67" s="1">
        <f t="shared" si="177"/>
        <v>96.403405494159657</v>
      </c>
      <c r="DW67" s="1">
        <f t="shared" si="177"/>
        <v>95.439371439218064</v>
      </c>
      <c r="DX67" s="1">
        <f t="shared" si="177"/>
        <v>94.484977724825882</v>
      </c>
      <c r="DY67" s="1">
        <f t="shared" si="177"/>
        <v>93.540127947577616</v>
      </c>
      <c r="DZ67" s="1">
        <f t="shared" si="177"/>
        <v>92.604726668101833</v>
      </c>
      <c r="EA67" s="1">
        <f t="shared" si="177"/>
        <v>91.678679401420808</v>
      </c>
      <c r="EB67" s="1">
        <f t="shared" si="177"/>
        <v>90.761892607406594</v>
      </c>
      <c r="EC67" s="1">
        <f t="shared" si="177"/>
        <v>89.854273681332529</v>
      </c>
      <c r="ED67" s="1">
        <f t="shared" si="177"/>
        <v>88.955730944519203</v>
      </c>
      <c r="EE67" s="1">
        <f t="shared" si="177"/>
        <v>88.066173635074009</v>
      </c>
      <c r="EF67" s="1">
        <f t="shared" si="177"/>
        <v>87.185511898723263</v>
      </c>
      <c r="EG67" s="1">
        <f t="shared" si="177"/>
        <v>86.313656779736036</v>
      </c>
      <c r="EH67" s="1">
        <f t="shared" si="177"/>
        <v>85.450520211938681</v>
      </c>
      <c r="EI67" s="1">
        <f t="shared" si="177"/>
        <v>84.596015009819297</v>
      </c>
      <c r="EJ67" s="1">
        <f t="shared" si="177"/>
        <v>83.750054859721104</v>
      </c>
      <c r="EK67" s="1">
        <f t="shared" si="177"/>
        <v>82.912554311123898</v>
      </c>
      <c r="EL67" s="1">
        <f t="shared" si="177"/>
        <v>82.083428768012652</v>
      </c>
      <c r="EM67" s="1">
        <f t="shared" si="177"/>
        <v>81.262594480332524</v>
      </c>
      <c r="EN67" s="1">
        <f t="shared" si="177"/>
        <v>80.449968535529194</v>
      </c>
    </row>
    <row r="70" spans="2:144" x14ac:dyDescent="0.3">
      <c r="AS70" s="3">
        <f>NPV(AS41,AF67:EN67)</f>
        <v>1808.4520149461894</v>
      </c>
    </row>
    <row r="71" spans="2:144" x14ac:dyDescent="0.3">
      <c r="AS71" s="3">
        <f>AS43</f>
        <v>128</v>
      </c>
    </row>
    <row r="72" spans="2:144" x14ac:dyDescent="0.3">
      <c r="AS72" s="3">
        <f>AS70+AS71</f>
        <v>1936.4520149461894</v>
      </c>
    </row>
    <row r="73" spans="2:144" x14ac:dyDescent="0.3">
      <c r="AS73" s="2">
        <f>AS72/AP30</f>
        <v>21.612187666810151</v>
      </c>
    </row>
    <row r="74" spans="2:144" x14ac:dyDescent="0.3">
      <c r="AS74" s="2">
        <f>Main!D3</f>
        <v>14.31</v>
      </c>
    </row>
    <row r="75" spans="2:144" x14ac:dyDescent="0.3">
      <c r="AS75" s="9">
        <f>AS73/AS74-1</f>
        <v>0.51028565106989165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2024-10-01T10:52:35Z</dcterms:created>
  <dcterms:modified xsi:type="dcterms:W3CDTF">2026-02-27T17:01:42Z</dcterms:modified>
</cp:coreProperties>
</file>