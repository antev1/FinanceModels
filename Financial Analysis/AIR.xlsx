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0E9D055-3D69-4B3B-8300-07C9CBC5FA18}" xr6:coauthVersionLast="47" xr6:coauthVersionMax="47" xr10:uidLastSave="{00000000-0000-0000-0000-000000000000}"/>
  <bookViews>
    <workbookView xWindow="-108" yWindow="-108" windowWidth="23256" windowHeight="12576" activeTab="1" xr2:uid="{07D530EB-ED3E-4FE7-ACCA-598769C814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1" i="2" l="1"/>
  <c r="R5" i="2"/>
  <c r="R8" i="2"/>
  <c r="AK6" i="2"/>
  <c r="AJ6" i="2"/>
  <c r="AI6" i="2"/>
  <c r="AH6" i="2"/>
  <c r="AG6" i="2"/>
  <c r="AF6" i="2"/>
  <c r="AE6" i="2"/>
  <c r="AD6" i="2"/>
  <c r="AC6" i="2"/>
  <c r="AB6" i="2"/>
  <c r="R6" i="2"/>
  <c r="Q6" i="2"/>
  <c r="R3" i="2"/>
  <c r="Q3" i="2"/>
  <c r="P5" i="2"/>
  <c r="P27" i="2"/>
  <c r="AA8" i="2"/>
  <c r="AB8" i="2" s="1"/>
  <c r="AK23" i="2"/>
  <c r="AJ23" i="2"/>
  <c r="AI23" i="2"/>
  <c r="AH23" i="2"/>
  <c r="AG23" i="2"/>
  <c r="AF23" i="2"/>
  <c r="AE23" i="2"/>
  <c r="AD23" i="2"/>
  <c r="AC23" i="2"/>
  <c r="AB23" i="2"/>
  <c r="AA23" i="2"/>
  <c r="R23" i="2"/>
  <c r="Q23" i="2"/>
  <c r="P23" i="2"/>
  <c r="D4" i="1"/>
  <c r="D5" i="1"/>
  <c r="AA21" i="2"/>
  <c r="AA17" i="2"/>
  <c r="AA16" i="2"/>
  <c r="AB16" i="2" s="1"/>
  <c r="AC16" i="2" s="1"/>
  <c r="AD16" i="2" s="1"/>
  <c r="AE16" i="2" s="1"/>
  <c r="AF16" i="2" s="1"/>
  <c r="AG16" i="2" s="1"/>
  <c r="AH16" i="2" s="1"/>
  <c r="AI16" i="2" s="1"/>
  <c r="AJ16" i="2" s="1"/>
  <c r="AK16" i="2" s="1"/>
  <c r="AA15" i="2"/>
  <c r="AB15" i="2" s="1"/>
  <c r="AC15" i="2" s="1"/>
  <c r="AD15" i="2" s="1"/>
  <c r="AE15" i="2" s="1"/>
  <c r="AF15" i="2" s="1"/>
  <c r="AG15" i="2" s="1"/>
  <c r="AH15" i="2" s="1"/>
  <c r="AI15" i="2" s="1"/>
  <c r="AJ15" i="2" s="1"/>
  <c r="AK15" i="2" s="1"/>
  <c r="AA14" i="2"/>
  <c r="AA13" i="2"/>
  <c r="AB13" i="2" s="1"/>
  <c r="AC13" i="2" s="1"/>
  <c r="AD13" i="2" s="1"/>
  <c r="AE13" i="2" s="1"/>
  <c r="AF13" i="2" s="1"/>
  <c r="AG13" i="2" s="1"/>
  <c r="AH13" i="2" s="1"/>
  <c r="AI13" i="2" s="1"/>
  <c r="AJ13" i="2" s="1"/>
  <c r="AK13" i="2" s="1"/>
  <c r="AA12" i="2"/>
  <c r="AB12" i="2" s="1"/>
  <c r="AA11" i="2"/>
  <c r="AB11" i="2" s="1"/>
  <c r="AC11" i="2" s="1"/>
  <c r="AA7" i="2"/>
  <c r="AA29" i="2" s="1"/>
  <c r="R18" i="2"/>
  <c r="Q18" i="2"/>
  <c r="D7" i="1"/>
  <c r="D6" i="1"/>
  <c r="R30" i="2"/>
  <c r="Q30" i="2"/>
  <c r="R29" i="2"/>
  <c r="Q29" i="2"/>
  <c r="P29" i="2"/>
  <c r="P26" i="2"/>
  <c r="Q8" i="2"/>
  <c r="R7" i="2"/>
  <c r="Q7" i="2"/>
  <c r="P18" i="2"/>
  <c r="N21" i="2"/>
  <c r="N20" i="2"/>
  <c r="N17" i="2"/>
  <c r="N16" i="2"/>
  <c r="N15" i="2"/>
  <c r="N14" i="2"/>
  <c r="N13" i="2"/>
  <c r="N12" i="2"/>
  <c r="N11" i="2"/>
  <c r="N18" i="2" s="1"/>
  <c r="N8" i="2"/>
  <c r="N30" i="2" s="1"/>
  <c r="N7" i="2"/>
  <c r="N29" i="2" s="1"/>
  <c r="N6" i="2"/>
  <c r="N9" i="2" s="1"/>
  <c r="N4" i="2"/>
  <c r="J21" i="2"/>
  <c r="J20" i="2"/>
  <c r="J17" i="2"/>
  <c r="J16" i="2"/>
  <c r="J15" i="2"/>
  <c r="J14" i="2"/>
  <c r="J13" i="2"/>
  <c r="J12" i="2"/>
  <c r="J11" i="2"/>
  <c r="J18" i="2" s="1"/>
  <c r="J8" i="2"/>
  <c r="J7" i="2"/>
  <c r="J6" i="2"/>
  <c r="J4" i="2"/>
  <c r="J3" i="2"/>
  <c r="J28" i="2" s="1"/>
  <c r="J9" i="2"/>
  <c r="N3" i="2"/>
  <c r="K30" i="2"/>
  <c r="K29" i="2"/>
  <c r="K26" i="2"/>
  <c r="G28" i="2"/>
  <c r="G9" i="2"/>
  <c r="G5" i="2"/>
  <c r="H34" i="2"/>
  <c r="H33" i="2"/>
  <c r="H32" i="2"/>
  <c r="H31" i="2"/>
  <c r="H28" i="2"/>
  <c r="H27" i="2"/>
  <c r="H18" i="2"/>
  <c r="H9" i="2"/>
  <c r="H5" i="2"/>
  <c r="L30" i="2"/>
  <c r="L29" i="2"/>
  <c r="L28" i="2"/>
  <c r="L26" i="2"/>
  <c r="L18" i="2"/>
  <c r="L9" i="2"/>
  <c r="L5" i="2"/>
  <c r="I28" i="2"/>
  <c r="I18" i="2"/>
  <c r="I9" i="2"/>
  <c r="I5" i="2"/>
  <c r="M30" i="2"/>
  <c r="M29" i="2"/>
  <c r="M28" i="2"/>
  <c r="M26" i="2"/>
  <c r="M18" i="2"/>
  <c r="M9" i="2"/>
  <c r="M5" i="2"/>
  <c r="M27" i="2" s="1"/>
  <c r="O30" i="2"/>
  <c r="O29" i="2"/>
  <c r="O26" i="2"/>
  <c r="K28" i="2"/>
  <c r="K18" i="2"/>
  <c r="K9" i="2"/>
  <c r="K5" i="2"/>
  <c r="O28" i="2"/>
  <c r="O18" i="2"/>
  <c r="O9" i="2"/>
  <c r="O5" i="2"/>
  <c r="AO33" i="2"/>
  <c r="Y30" i="2"/>
  <c r="X30" i="2"/>
  <c r="W30" i="2"/>
  <c r="V30" i="2"/>
  <c r="Y29" i="2"/>
  <c r="X29" i="2"/>
  <c r="W29" i="2"/>
  <c r="V29" i="2"/>
  <c r="Y28" i="2"/>
  <c r="X28" i="2"/>
  <c r="W28" i="2"/>
  <c r="V28" i="2"/>
  <c r="U28" i="2"/>
  <c r="Y26" i="2"/>
  <c r="X26" i="2"/>
  <c r="W26" i="2"/>
  <c r="V26" i="2"/>
  <c r="Z30" i="2"/>
  <c r="Z29" i="2"/>
  <c r="Z28" i="2"/>
  <c r="Z26" i="2"/>
  <c r="U18" i="2"/>
  <c r="U9" i="2"/>
  <c r="U5" i="2"/>
  <c r="U27" i="2" s="1"/>
  <c r="V18" i="2"/>
  <c r="V9" i="2"/>
  <c r="V5" i="2"/>
  <c r="V27" i="2" s="1"/>
  <c r="W18" i="2"/>
  <c r="W9" i="2"/>
  <c r="W5" i="2"/>
  <c r="W27" i="2" s="1"/>
  <c r="X18" i="2"/>
  <c r="X9" i="2"/>
  <c r="X5" i="2"/>
  <c r="X27" i="2" s="1"/>
  <c r="Y18" i="2"/>
  <c r="Y9" i="2"/>
  <c r="Y5" i="2"/>
  <c r="Y27" i="2" s="1"/>
  <c r="Z18" i="2"/>
  <c r="Z9" i="2"/>
  <c r="Z5" i="2"/>
  <c r="Z27" i="2" s="1"/>
  <c r="F3" i="1"/>
  <c r="R4" i="2" l="1"/>
  <c r="R27" i="2"/>
  <c r="R26" i="2"/>
  <c r="Q28" i="2"/>
  <c r="AA6" i="2"/>
  <c r="Q9" i="2"/>
  <c r="AA3" i="2"/>
  <c r="AA5" i="2" s="1"/>
  <c r="AA27" i="2" s="1"/>
  <c r="Q26" i="2"/>
  <c r="Q5" i="2"/>
  <c r="P30" i="2"/>
  <c r="P28" i="2"/>
  <c r="D8" i="1"/>
  <c r="D9" i="1" s="1"/>
  <c r="P40" i="2" s="1"/>
  <c r="P9" i="2"/>
  <c r="N28" i="2"/>
  <c r="J5" i="2"/>
  <c r="J10" i="2" s="1"/>
  <c r="J31" i="2" s="1"/>
  <c r="N26" i="2"/>
  <c r="N5" i="2"/>
  <c r="N10" i="2" s="1"/>
  <c r="N31" i="2" s="1"/>
  <c r="N19" i="2"/>
  <c r="G10" i="2"/>
  <c r="G31" i="2" s="1"/>
  <c r="G27" i="2"/>
  <c r="H10" i="2"/>
  <c r="H19" i="2" s="1"/>
  <c r="H22" i="2" s="1"/>
  <c r="H24" i="2" s="1"/>
  <c r="L10" i="2"/>
  <c r="L31" i="2" s="1"/>
  <c r="L27" i="2"/>
  <c r="I10" i="2"/>
  <c r="I31" i="2" s="1"/>
  <c r="I27" i="2"/>
  <c r="M10" i="2"/>
  <c r="K10" i="2"/>
  <c r="K19" i="2" s="1"/>
  <c r="K27" i="2"/>
  <c r="O10" i="2"/>
  <c r="O31" i="2" s="1"/>
  <c r="O27" i="2"/>
  <c r="AB7" i="2"/>
  <c r="AA18" i="2"/>
  <c r="AC8" i="2"/>
  <c r="AB30" i="2"/>
  <c r="AB14" i="2"/>
  <c r="AC14" i="2" s="1"/>
  <c r="AD14" i="2" s="1"/>
  <c r="AE14" i="2" s="1"/>
  <c r="AF14" i="2" s="1"/>
  <c r="AG14" i="2" s="1"/>
  <c r="AH14" i="2" s="1"/>
  <c r="AI14" i="2" s="1"/>
  <c r="AJ14" i="2" s="1"/>
  <c r="AK14" i="2" s="1"/>
  <c r="AA30" i="2"/>
  <c r="Z10" i="2"/>
  <c r="Z31" i="2" s="1"/>
  <c r="AC12" i="2"/>
  <c r="AD12" i="2" s="1"/>
  <c r="AE12" i="2" s="1"/>
  <c r="AF12" i="2" s="1"/>
  <c r="AG12" i="2" s="1"/>
  <c r="AH12" i="2" s="1"/>
  <c r="AI12" i="2" s="1"/>
  <c r="AJ12" i="2" s="1"/>
  <c r="AK12" i="2" s="1"/>
  <c r="AD11" i="2"/>
  <c r="U10" i="2"/>
  <c r="V10" i="2"/>
  <c r="W10" i="2"/>
  <c r="X10" i="2"/>
  <c r="Y10" i="2"/>
  <c r="R28" i="2" l="1"/>
  <c r="R9" i="2"/>
  <c r="R10" i="2" s="1"/>
  <c r="AA26" i="2"/>
  <c r="AB3" i="2"/>
  <c r="Q4" i="2"/>
  <c r="AA4" i="2" s="1"/>
  <c r="Q27" i="2"/>
  <c r="Q10" i="2"/>
  <c r="AO30" i="2"/>
  <c r="P10" i="2"/>
  <c r="J19" i="2"/>
  <c r="J33" i="2" s="1"/>
  <c r="J27" i="2"/>
  <c r="N27" i="2"/>
  <c r="N33" i="2"/>
  <c r="N32" i="2"/>
  <c r="N22" i="2"/>
  <c r="G19" i="2"/>
  <c r="G33" i="2" s="1"/>
  <c r="L19" i="2"/>
  <c r="L32" i="2" s="1"/>
  <c r="I19" i="2"/>
  <c r="I32" i="2" s="1"/>
  <c r="M31" i="2"/>
  <c r="M19" i="2"/>
  <c r="K31" i="2"/>
  <c r="K33" i="2"/>
  <c r="K32" i="2"/>
  <c r="K22" i="2"/>
  <c r="O19" i="2"/>
  <c r="O33" i="2" s="1"/>
  <c r="AB29" i="2"/>
  <c r="AC7" i="2"/>
  <c r="Z19" i="2"/>
  <c r="Z33" i="2" s="1"/>
  <c r="Y19" i="2"/>
  <c r="Y31" i="2"/>
  <c r="X19" i="2"/>
  <c r="X31" i="2"/>
  <c r="AA28" i="2"/>
  <c r="AA9" i="2"/>
  <c r="AA10" i="2" s="1"/>
  <c r="W19" i="2"/>
  <c r="W31" i="2"/>
  <c r="V19" i="2"/>
  <c r="V31" i="2"/>
  <c r="U19" i="2"/>
  <c r="U31" i="2"/>
  <c r="AB5" i="2"/>
  <c r="AB4" i="2" s="1"/>
  <c r="AC3" i="2"/>
  <c r="AC5" i="2" s="1"/>
  <c r="AD8" i="2"/>
  <c r="AC30" i="2"/>
  <c r="AB18" i="2"/>
  <c r="AC18" i="2"/>
  <c r="AE11" i="2"/>
  <c r="AD18" i="2"/>
  <c r="AB26" i="2" l="1"/>
  <c r="R31" i="2"/>
  <c r="R19" i="2"/>
  <c r="Q31" i="2"/>
  <c r="Q19" i="2"/>
  <c r="P19" i="2"/>
  <c r="P31" i="2"/>
  <c r="J22" i="2"/>
  <c r="J34" i="2" s="1"/>
  <c r="J32" i="2"/>
  <c r="N34" i="2"/>
  <c r="N24" i="2"/>
  <c r="G22" i="2"/>
  <c r="G34" i="2" s="1"/>
  <c r="G32" i="2"/>
  <c r="L22" i="2"/>
  <c r="L24" i="2" s="1"/>
  <c r="L33" i="2"/>
  <c r="I33" i="2"/>
  <c r="I22" i="2"/>
  <c r="I34" i="2" s="1"/>
  <c r="M33" i="2"/>
  <c r="M32" i="2"/>
  <c r="M22" i="2"/>
  <c r="K34" i="2"/>
  <c r="K24" i="2"/>
  <c r="O22" i="2"/>
  <c r="O34" i="2" s="1"/>
  <c r="O32" i="2"/>
  <c r="AC29" i="2"/>
  <c r="AD7" i="2"/>
  <c r="Z22" i="2"/>
  <c r="Z24" i="2" s="1"/>
  <c r="Z32" i="2"/>
  <c r="U22" i="2"/>
  <c r="U32" i="2"/>
  <c r="U33" i="2"/>
  <c r="AE8" i="2"/>
  <c r="AD30" i="2"/>
  <c r="V22" i="2"/>
  <c r="V32" i="2"/>
  <c r="V33" i="2"/>
  <c r="X22" i="2"/>
  <c r="X32" i="2"/>
  <c r="X33" i="2"/>
  <c r="AC26" i="2"/>
  <c r="AD3" i="2"/>
  <c r="AD5" i="2" s="1"/>
  <c r="AB9" i="2"/>
  <c r="AB10" i="2" s="1"/>
  <c r="AB28" i="2"/>
  <c r="AB27" i="2"/>
  <c r="W22" i="2"/>
  <c r="W32" i="2"/>
  <c r="W33" i="2"/>
  <c r="AA19" i="2"/>
  <c r="AA31" i="2"/>
  <c r="Y22" i="2"/>
  <c r="Y33" i="2"/>
  <c r="Y32" i="2"/>
  <c r="AF11" i="2"/>
  <c r="AE18" i="2"/>
  <c r="R33" i="2" l="1"/>
  <c r="R20" i="2"/>
  <c r="R32" i="2" s="1"/>
  <c r="Q33" i="2"/>
  <c r="Q20" i="2"/>
  <c r="Q32" i="2" s="1"/>
  <c r="P32" i="2"/>
  <c r="P33" i="2"/>
  <c r="J24" i="2"/>
  <c r="G24" i="2"/>
  <c r="L34" i="2"/>
  <c r="I24" i="2"/>
  <c r="M34" i="2"/>
  <c r="M24" i="2"/>
  <c r="O24" i="2"/>
  <c r="Z34" i="2"/>
  <c r="AE7" i="2"/>
  <c r="AD29" i="2"/>
  <c r="AB31" i="2"/>
  <c r="AB19" i="2"/>
  <c r="W24" i="2"/>
  <c r="W34" i="2"/>
  <c r="Y24" i="2"/>
  <c r="Y34" i="2"/>
  <c r="AC4" i="2"/>
  <c r="AC27" i="2"/>
  <c r="AC9" i="2"/>
  <c r="AC10" i="2" s="1"/>
  <c r="AC28" i="2"/>
  <c r="V24" i="2"/>
  <c r="V34" i="2"/>
  <c r="AF8" i="2"/>
  <c r="AE30" i="2"/>
  <c r="AA33" i="2"/>
  <c r="AE3" i="2"/>
  <c r="AE5" i="2" s="1"/>
  <c r="AD26" i="2"/>
  <c r="X24" i="2"/>
  <c r="X34" i="2"/>
  <c r="U24" i="2"/>
  <c r="U34" i="2"/>
  <c r="AG11" i="2"/>
  <c r="AF18" i="2"/>
  <c r="R22" i="2" l="1"/>
  <c r="R34" i="2" s="1"/>
  <c r="Q22" i="2"/>
  <c r="P22" i="2"/>
  <c r="P24" i="2" s="1"/>
  <c r="AA20" i="2"/>
  <c r="AA32" i="2" s="1"/>
  <c r="AE29" i="2"/>
  <c r="AF7" i="2"/>
  <c r="AD4" i="2"/>
  <c r="AD27" i="2"/>
  <c r="AC31" i="2"/>
  <c r="AC19" i="2"/>
  <c r="AD9" i="2"/>
  <c r="AD10" i="2" s="1"/>
  <c r="AD28" i="2"/>
  <c r="AF3" i="2"/>
  <c r="AF5" i="2" s="1"/>
  <c r="AE26" i="2"/>
  <c r="AG8" i="2"/>
  <c r="AF30" i="2"/>
  <c r="AB20" i="2"/>
  <c r="AB21" i="2"/>
  <c r="AB33" i="2" s="1"/>
  <c r="AG18" i="2"/>
  <c r="AH11" i="2"/>
  <c r="R24" i="2" l="1"/>
  <c r="Q34" i="2"/>
  <c r="Q24" i="2"/>
  <c r="P34" i="2"/>
  <c r="AA22" i="2"/>
  <c r="AA24" i="2" s="1"/>
  <c r="AF29" i="2"/>
  <c r="AG7" i="2"/>
  <c r="AG3" i="2"/>
  <c r="AG5" i="2" s="1"/>
  <c r="AF4" i="2"/>
  <c r="AF26" i="2"/>
  <c r="AD31" i="2"/>
  <c r="AD19" i="2"/>
  <c r="AC21" i="2"/>
  <c r="AC33" i="2" s="1"/>
  <c r="AC20" i="2"/>
  <c r="AE27" i="2"/>
  <c r="AE9" i="2"/>
  <c r="AE10" i="2" s="1"/>
  <c r="AE28" i="2"/>
  <c r="AH8" i="2"/>
  <c r="AG30" i="2"/>
  <c r="AB22" i="2"/>
  <c r="AB32" i="2"/>
  <c r="AE4" i="2"/>
  <c r="AH18" i="2"/>
  <c r="AI11" i="2"/>
  <c r="AA34" i="2" l="1"/>
  <c r="AH7" i="2"/>
  <c r="AG29" i="2"/>
  <c r="AE31" i="2"/>
  <c r="AE19" i="2"/>
  <c r="AH3" i="2"/>
  <c r="AH5" i="2" s="1"/>
  <c r="AG26" i="2"/>
  <c r="AG27" i="2"/>
  <c r="AB34" i="2"/>
  <c r="AB24" i="2"/>
  <c r="AF27" i="2"/>
  <c r="AC22" i="2"/>
  <c r="AC32" i="2"/>
  <c r="AD21" i="2"/>
  <c r="AD33" i="2" s="1"/>
  <c r="AD20" i="2"/>
  <c r="AI8" i="2"/>
  <c r="AH30" i="2"/>
  <c r="AF28" i="2"/>
  <c r="AF9" i="2"/>
  <c r="AF10" i="2" s="1"/>
  <c r="AI18" i="2"/>
  <c r="AJ11" i="2"/>
  <c r="AG4" i="2" l="1"/>
  <c r="AI7" i="2"/>
  <c r="AH29" i="2"/>
  <c r="AF31" i="2"/>
  <c r="AF19" i="2"/>
  <c r="AC34" i="2"/>
  <c r="AC24" i="2"/>
  <c r="AJ8" i="2"/>
  <c r="AI30" i="2"/>
  <c r="AG9" i="2"/>
  <c r="AG10" i="2" s="1"/>
  <c r="AG28" i="2"/>
  <c r="AD22" i="2"/>
  <c r="AD32" i="2"/>
  <c r="AI3" i="2"/>
  <c r="AI5" i="2" s="1"/>
  <c r="AH27" i="2"/>
  <c r="AH26" i="2"/>
  <c r="AE21" i="2"/>
  <c r="AE33" i="2" s="1"/>
  <c r="AE20" i="2"/>
  <c r="AE32" i="2" s="1"/>
  <c r="AK11" i="2"/>
  <c r="AK18" i="2" s="1"/>
  <c r="AJ18" i="2"/>
  <c r="AH4" i="2" l="1"/>
  <c r="AI29" i="2"/>
  <c r="AJ7" i="2"/>
  <c r="AG31" i="2"/>
  <c r="AG19" i="2"/>
  <c r="AK8" i="2"/>
  <c r="AK30" i="2" s="1"/>
  <c r="AJ30" i="2"/>
  <c r="AE22" i="2"/>
  <c r="AH9" i="2"/>
  <c r="AH10" i="2" s="1"/>
  <c r="AH28" i="2"/>
  <c r="AJ3" i="2"/>
  <c r="AJ5" i="2" s="1"/>
  <c r="AI27" i="2"/>
  <c r="AI26" i="2"/>
  <c r="AF20" i="2"/>
  <c r="AF32" i="2" s="1"/>
  <c r="AF21" i="2"/>
  <c r="AD34" i="2"/>
  <c r="AD24" i="2"/>
  <c r="AI4" i="2" l="1"/>
  <c r="AK7" i="2"/>
  <c r="AK29" i="2" s="1"/>
  <c r="AJ29" i="2"/>
  <c r="AF22" i="2"/>
  <c r="AF33" i="2"/>
  <c r="AH31" i="2"/>
  <c r="AH19" i="2"/>
  <c r="AG20" i="2"/>
  <c r="AG21" i="2"/>
  <c r="AG33" i="2" s="1"/>
  <c r="AE24" i="2"/>
  <c r="AE34" i="2"/>
  <c r="AI9" i="2"/>
  <c r="AI10" i="2" s="1"/>
  <c r="AI28" i="2"/>
  <c r="AK3" i="2"/>
  <c r="AK5" i="2" s="1"/>
  <c r="AJ4" i="2"/>
  <c r="AJ26" i="2"/>
  <c r="AG22" i="2" l="1"/>
  <c r="AG32" i="2"/>
  <c r="AJ27" i="2"/>
  <c r="AK26" i="2"/>
  <c r="AH20" i="2"/>
  <c r="AH32" i="2" s="1"/>
  <c r="AH21" i="2"/>
  <c r="AJ9" i="2"/>
  <c r="AJ10" i="2" s="1"/>
  <c r="AJ28" i="2"/>
  <c r="AI31" i="2"/>
  <c r="AI19" i="2"/>
  <c r="AF24" i="2"/>
  <c r="AF34" i="2"/>
  <c r="AK9" i="2" l="1"/>
  <c r="AK10" i="2" s="1"/>
  <c r="AK28" i="2"/>
  <c r="AJ31" i="2"/>
  <c r="AJ19" i="2"/>
  <c r="AK4" i="2"/>
  <c r="AK27" i="2"/>
  <c r="AI21" i="2"/>
  <c r="AI20" i="2"/>
  <c r="AI32" i="2" s="1"/>
  <c r="AH22" i="2"/>
  <c r="AH33" i="2"/>
  <c r="AG24" i="2"/>
  <c r="AG34" i="2"/>
  <c r="AK31" i="2" l="1"/>
  <c r="AK19" i="2"/>
  <c r="AI22" i="2"/>
  <c r="AI33" i="2"/>
  <c r="AH24" i="2"/>
  <c r="AH34" i="2"/>
  <c r="AJ20" i="2"/>
  <c r="AJ21" i="2"/>
  <c r="AJ33" i="2" s="1"/>
  <c r="AI24" i="2" l="1"/>
  <c r="AI34" i="2"/>
  <c r="AK21" i="2"/>
  <c r="AK20" i="2"/>
  <c r="AK32" i="2" s="1"/>
  <c r="AJ22" i="2"/>
  <c r="AJ32" i="2"/>
  <c r="AK22" i="2" l="1"/>
  <c r="AK33" i="2"/>
  <c r="AJ24" i="2"/>
  <c r="AJ34" i="2"/>
  <c r="AK24" i="2" l="1"/>
  <c r="AL22" i="2"/>
  <c r="AM22" i="2" s="1"/>
  <c r="AN22" i="2" s="1"/>
  <c r="AO22" i="2" s="1"/>
  <c r="AP22" i="2" s="1"/>
  <c r="AQ22" i="2" s="1"/>
  <c r="AR22" i="2" s="1"/>
  <c r="AS22" i="2" s="1"/>
  <c r="AT22" i="2" s="1"/>
  <c r="AU22" i="2" s="1"/>
  <c r="AV22" i="2" s="1"/>
  <c r="AW22" i="2" s="1"/>
  <c r="AX22" i="2" s="1"/>
  <c r="AY22" i="2" s="1"/>
  <c r="AZ22" i="2" s="1"/>
  <c r="BA22" i="2" s="1"/>
  <c r="BB22" i="2" s="1"/>
  <c r="BC22" i="2" s="1"/>
  <c r="BD22" i="2" s="1"/>
  <c r="BE22" i="2" s="1"/>
  <c r="BF22" i="2" s="1"/>
  <c r="BG22" i="2" s="1"/>
  <c r="BH22" i="2" s="1"/>
  <c r="BI22" i="2" s="1"/>
  <c r="BJ22" i="2" s="1"/>
  <c r="BK22" i="2" s="1"/>
  <c r="BL22" i="2" s="1"/>
  <c r="BM22" i="2" s="1"/>
  <c r="BN22" i="2" s="1"/>
  <c r="BO22" i="2" s="1"/>
  <c r="BP22" i="2" s="1"/>
  <c r="BQ22" i="2" s="1"/>
  <c r="BR22" i="2" s="1"/>
  <c r="BS22" i="2" s="1"/>
  <c r="BT22" i="2" s="1"/>
  <c r="BU22" i="2" s="1"/>
  <c r="BV22" i="2" s="1"/>
  <c r="BW22" i="2" s="1"/>
  <c r="BX22" i="2" s="1"/>
  <c r="BY22" i="2" s="1"/>
  <c r="BZ22" i="2" s="1"/>
  <c r="CA22" i="2" s="1"/>
  <c r="CB22" i="2" s="1"/>
  <c r="CC22" i="2" s="1"/>
  <c r="CD22" i="2" s="1"/>
  <c r="CE22" i="2" s="1"/>
  <c r="CF22" i="2" s="1"/>
  <c r="CG22" i="2" s="1"/>
  <c r="CH22" i="2" s="1"/>
  <c r="CI22" i="2" s="1"/>
  <c r="CJ22" i="2" s="1"/>
  <c r="CK22" i="2" s="1"/>
  <c r="CL22" i="2" s="1"/>
  <c r="CM22" i="2" s="1"/>
  <c r="CN22" i="2" s="1"/>
  <c r="CO22" i="2" s="1"/>
  <c r="CP22" i="2" s="1"/>
  <c r="CQ22" i="2" s="1"/>
  <c r="CR22" i="2" s="1"/>
  <c r="CS22" i="2" s="1"/>
  <c r="CT22" i="2" s="1"/>
  <c r="CU22" i="2" s="1"/>
  <c r="CV22" i="2" s="1"/>
  <c r="CW22" i="2" s="1"/>
  <c r="CX22" i="2" s="1"/>
  <c r="CY22" i="2" s="1"/>
  <c r="CZ22" i="2" s="1"/>
  <c r="DA22" i="2" s="1"/>
  <c r="DB22" i="2" s="1"/>
  <c r="DC22" i="2" s="1"/>
  <c r="DD22" i="2" s="1"/>
  <c r="DE22" i="2" s="1"/>
  <c r="DF22" i="2" s="1"/>
  <c r="DG22" i="2" s="1"/>
  <c r="DH22" i="2" s="1"/>
  <c r="DI22" i="2" s="1"/>
  <c r="DJ22" i="2" s="1"/>
  <c r="DK22" i="2" s="1"/>
  <c r="DL22" i="2" s="1"/>
  <c r="DM22" i="2" s="1"/>
  <c r="DN22" i="2" s="1"/>
  <c r="DO22" i="2" s="1"/>
  <c r="DP22" i="2" s="1"/>
  <c r="DQ22" i="2" s="1"/>
  <c r="DR22" i="2" s="1"/>
  <c r="DS22" i="2" s="1"/>
  <c r="DT22" i="2" s="1"/>
  <c r="DU22" i="2" s="1"/>
  <c r="DV22" i="2" s="1"/>
  <c r="DW22" i="2" s="1"/>
  <c r="DX22" i="2" s="1"/>
  <c r="DY22" i="2" s="1"/>
  <c r="DZ22" i="2" s="1"/>
  <c r="EA22" i="2" s="1"/>
  <c r="EB22" i="2" s="1"/>
  <c r="EC22" i="2" s="1"/>
  <c r="ED22" i="2" s="1"/>
  <c r="EE22" i="2" s="1"/>
  <c r="EF22" i="2" s="1"/>
  <c r="EG22" i="2" s="1"/>
  <c r="EH22" i="2" s="1"/>
  <c r="EI22" i="2" s="1"/>
  <c r="EJ22" i="2" s="1"/>
  <c r="EK22" i="2" s="1"/>
  <c r="EL22" i="2" s="1"/>
  <c r="EM22" i="2" s="1"/>
  <c r="EN22" i="2" s="1"/>
  <c r="EO22" i="2" s="1"/>
  <c r="EP22" i="2" s="1"/>
  <c r="EQ22" i="2" s="1"/>
  <c r="ER22" i="2" s="1"/>
  <c r="ES22" i="2" s="1"/>
  <c r="ET22" i="2" s="1"/>
  <c r="EU22" i="2" s="1"/>
  <c r="AO29" i="2" s="1"/>
  <c r="AO31" i="2" s="1"/>
  <c r="AO32" i="2" s="1"/>
  <c r="AO34" i="2" s="1"/>
  <c r="AK34" i="2"/>
</calcChain>
</file>

<file path=xl/sharedStrings.xml><?xml version="1.0" encoding="utf-8"?>
<sst xmlns="http://schemas.openxmlformats.org/spreadsheetml/2006/main" count="74" uniqueCount="68">
  <si>
    <t>AIR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</si>
  <si>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</si>
  <si>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</si>
  <si>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</si>
  <si>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</si>
  <si>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</si>
  <si>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</si>
  <si>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</si>
  <si>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</si>
  <si>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</si>
  <si>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</si>
  <si>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</si>
  <si>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Revenue</t>
  </si>
  <si>
    <t>Cost of sales</t>
  </si>
  <si>
    <t>Gross profit</t>
  </si>
  <si>
    <t>S&amp;M</t>
  </si>
  <si>
    <t>G&amp;A</t>
  </si>
  <si>
    <t>R&amp;D</t>
  </si>
  <si>
    <t>Other income</t>
  </si>
  <si>
    <t>Other expense</t>
  </si>
  <si>
    <t>Equity income</t>
  </si>
  <si>
    <t>Investment income</t>
  </si>
  <si>
    <t>Interest income</t>
  </si>
  <si>
    <t>Interest expense</t>
  </si>
  <si>
    <t>Total operating expense</t>
  </si>
  <si>
    <t>Total other expense</t>
  </si>
  <si>
    <t>Operating profit</t>
  </si>
  <si>
    <t>Pretax profit</t>
  </si>
  <si>
    <t>Taxes</t>
  </si>
  <si>
    <t>MI</t>
  </si>
  <si>
    <t>Net profit</t>
  </si>
  <si>
    <t>EPS</t>
  </si>
  <si>
    <t>Other finance income</t>
  </si>
  <si>
    <t>Revenue y/y</t>
  </si>
  <si>
    <t>Gross Margin</t>
  </si>
  <si>
    <t>S&amp;M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</si>
  <si>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</si>
  <si>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</si>
  <si>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</si>
  <si>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</si>
  <si>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</si>
  <si>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</si>
  <si>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</si>
  <si>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</si>
  <si>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</si>
  <si>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</si>
  <si>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</si>
  <si>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</si>
  <si>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</si>
  <si>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</si>
  <si>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</si>
  <si>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</si>
  <si>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</si>
  <si>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</si>
  <si>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</si>
  <si>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</si>
  <si>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</si>
  <si>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</si>
  <si>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</si>
  <si>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</si>
  <si>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</si>
  <si>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</si>
  <si>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</si>
  <si>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</si>
  <si>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L+S/E</t>
  </si>
  <si>
    <t>EV/B</t>
  </si>
  <si>
    <t>B/EV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</si>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</sst>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-484]"/>
    <numFmt numFmtId="165" formatCode="#,##0.00\ [$€-1]"/>
    <numFmt numFmtId="166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165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0" fontId="5" fillId="2" borderId="1" xfId="0" applyFont="1" applyFill="1" applyBorder="1"/>
    <xf numFmtId="166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22860</xdr:colOff>
      <xdr:row>0</xdr:row>
      <xdr:rowOff>7620</xdr:rowOff>
    </xdr:from>
    <xdr:to>
      <xdr:col>26</xdr:col>
      <xdr:colOff>22860</xdr:colOff>
      <xdr:row>38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2780903-9011-F309-528A-84BCFD1A90EE}"/>
            </a:ext>
          </a:extLst>
        </xdr:cNvPr>
        <xdr:cNvCxnSpPr/>
      </xdr:nvCxnSpPr>
      <xdr:spPr>
        <a:xfrm>
          <a:off x="6934200" y="7620"/>
          <a:ext cx="0" cy="704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7620</xdr:rowOff>
    </xdr:from>
    <xdr:to>
      <xdr:col>16</xdr:col>
      <xdr:colOff>22860</xdr:colOff>
      <xdr:row>39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728E119-4950-CAEB-1E97-DBC9621D9E23}"/>
            </a:ext>
          </a:extLst>
        </xdr:cNvPr>
        <xdr:cNvCxnSpPr/>
      </xdr:nvCxnSpPr>
      <xdr:spPr>
        <a:xfrm>
          <a:off x="1059180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5D14-BF81-40A4-9801-3D66E3303BD3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2.21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4">
        <v>203.55</v>
      </c>
      <c r="E3" s="5">
        <v>45934</v>
      </c>
      <c r="F3" s="5">
        <f ca="1">TODAY()</f>
        <v>45934</v>
      </c>
      <c r="G3" s="5">
        <v>45959</v>
      </c>
    </row>
    <row r="4" spans="2:7" x14ac:dyDescent="0.3">
      <c r="C4" s="1" t="s">
        <v>2</v>
      </c>
      <c r="D4" s="6">
        <f>789.3</f>
        <v>789.3</v>
      </c>
      <c r="E4" s="3" t="s">
        <v>11</v>
      </c>
    </row>
    <row r="5" spans="2:7" x14ac:dyDescent="0.3">
      <c r="C5" s="1" t="s">
        <v>3</v>
      </c>
      <c r="D5" s="6">
        <f>D3*D4</f>
        <v>160662.01500000001</v>
      </c>
    </row>
    <row r="6" spans="2:7" x14ac:dyDescent="0.3">
      <c r="C6" s="1" t="s">
        <v>4</v>
      </c>
      <c r="D6" s="6">
        <f>13676+2958+9459+2439</f>
        <v>28532</v>
      </c>
      <c r="E6" s="3" t="s">
        <v>60</v>
      </c>
    </row>
    <row r="7" spans="2:7" x14ac:dyDescent="0.3">
      <c r="C7" s="1" t="s">
        <v>5</v>
      </c>
      <c r="D7" s="6">
        <f>3963+10306</f>
        <v>14269</v>
      </c>
      <c r="E7" s="3" t="s">
        <v>60</v>
      </c>
    </row>
    <row r="8" spans="2:7" x14ac:dyDescent="0.3">
      <c r="C8" s="1" t="s">
        <v>6</v>
      </c>
      <c r="D8" s="6">
        <f>D6-D7</f>
        <v>14263</v>
      </c>
    </row>
    <row r="9" spans="2:7" x14ac:dyDescent="0.3">
      <c r="C9" s="1" t="s">
        <v>7</v>
      </c>
      <c r="D9" s="6">
        <f>D5-D8</f>
        <v>146399.01500000001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16CCF-DE88-4637-A6DE-75C4B7BD6D1F}">
  <dimension ref="B2:EU41"/>
  <sheetViews>
    <sheetView tabSelected="1" workbookViewId="0">
      <pane xSplit="2" ySplit="2" topLeftCell="Z21" activePane="bottomRight" state="frozen"/>
      <selection pane="topRight" activeCell="C1" sqref="C1"/>
      <selection pane="bottomLeft" activeCell="A3" sqref="A3"/>
      <selection pane="bottomRight" activeCell="AO36" sqref="AO36"/>
    </sheetView>
  </sheetViews>
  <sheetFormatPr defaultRowHeight="14.4" x14ac:dyDescent="0.3"/>
  <cols>
    <col min="1" max="1" width="8.88671875" style="1"/>
    <col min="2" max="2" width="20.77734375" style="1" bestFit="1" customWidth="1"/>
    <col min="3" max="10" width="8.88671875" style="1" customWidth="1"/>
    <col min="11" max="39" width="8.88671875" style="1"/>
    <col min="40" max="40" width="12.33203125" style="1" customWidth="1"/>
    <col min="41" max="41" width="17" style="1" customWidth="1"/>
    <col min="42" max="16384" width="8.88671875" style="1"/>
  </cols>
  <sheetData>
    <row r="2" spans="2:37" x14ac:dyDescent="0.3">
      <c r="C2" s="12" t="s">
        <v>49</v>
      </c>
      <c r="D2" s="12" t="s">
        <v>50</v>
      </c>
      <c r="E2" s="12" t="s">
        <v>51</v>
      </c>
      <c r="F2" s="12" t="s">
        <v>52</v>
      </c>
      <c r="G2" s="12" t="s">
        <v>53</v>
      </c>
      <c r="H2" s="12" t="s">
        <v>54</v>
      </c>
      <c r="I2" s="12" t="s">
        <v>55</v>
      </c>
      <c r="J2" s="12" t="s">
        <v>56</v>
      </c>
      <c r="K2" s="12" t="s">
        <v>57</v>
      </c>
      <c r="L2" s="12" t="s">
        <v>58</v>
      </c>
      <c r="M2" s="12" t="s">
        <v>59</v>
      </c>
      <c r="N2" s="12" t="s">
        <v>11</v>
      </c>
      <c r="O2" s="12" t="s">
        <v>60</v>
      </c>
      <c r="P2" s="12" t="s">
        <v>61</v>
      </c>
      <c r="Q2" s="12" t="s">
        <v>62</v>
      </c>
      <c r="R2" s="12" t="s">
        <v>63</v>
      </c>
      <c r="S2" s="12"/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s="2" customFormat="1" x14ac:dyDescent="0.3">
      <c r="B3" s="2" t="s">
        <v>12</v>
      </c>
      <c r="G3" s="8">
        <v>11763</v>
      </c>
      <c r="H3" s="8">
        <v>15900</v>
      </c>
      <c r="I3" s="8">
        <v>14897</v>
      </c>
      <c r="J3" s="8">
        <f>Y3-I3-H3-G3</f>
        <v>22886</v>
      </c>
      <c r="K3" s="8">
        <v>12830</v>
      </c>
      <c r="L3" s="8">
        <v>15995</v>
      </c>
      <c r="M3" s="8">
        <v>15689</v>
      </c>
      <c r="N3" s="8">
        <f>Z3-M3-L3-K3</f>
        <v>24716</v>
      </c>
      <c r="O3" s="8">
        <v>13542</v>
      </c>
      <c r="P3" s="8">
        <v>16068</v>
      </c>
      <c r="Q3" s="8">
        <f>M3*1.06</f>
        <v>16630.34</v>
      </c>
      <c r="R3" s="8">
        <f>N3*1.1</f>
        <v>27187.600000000002</v>
      </c>
      <c r="U3" s="8">
        <v>70478</v>
      </c>
      <c r="V3" s="8">
        <v>49912</v>
      </c>
      <c r="W3" s="8">
        <v>52149</v>
      </c>
      <c r="X3" s="8">
        <v>58763</v>
      </c>
      <c r="Y3" s="8">
        <v>65446</v>
      </c>
      <c r="Z3" s="8">
        <v>69230</v>
      </c>
      <c r="AA3" s="8">
        <f>SUM(O3:R3)</f>
        <v>73427.94</v>
      </c>
      <c r="AB3" s="8">
        <f>AA3*1.03</f>
        <v>75630.778200000001</v>
      </c>
      <c r="AC3" s="8">
        <f>AB3*1.02</f>
        <v>77143.393764000008</v>
      </c>
      <c r="AD3" s="8">
        <f t="shared" ref="AD3:AK3" si="0">AC3*1.02</f>
        <v>78686.261639280012</v>
      </c>
      <c r="AE3" s="8">
        <f t="shared" si="0"/>
        <v>80259.986872065609</v>
      </c>
      <c r="AF3" s="8">
        <f t="shared" si="0"/>
        <v>81865.186609506927</v>
      </c>
      <c r="AG3" s="8">
        <f t="shared" si="0"/>
        <v>83502.490341697063</v>
      </c>
      <c r="AH3" s="8">
        <f t="shared" si="0"/>
        <v>85172.540148530999</v>
      </c>
      <c r="AI3" s="8">
        <f t="shared" si="0"/>
        <v>86875.990951501619</v>
      </c>
      <c r="AJ3" s="8">
        <f t="shared" si="0"/>
        <v>88613.510770531648</v>
      </c>
      <c r="AK3" s="8">
        <f t="shared" si="0"/>
        <v>90385.780985942285</v>
      </c>
    </row>
    <row r="4" spans="2:37" x14ac:dyDescent="0.3">
      <c r="B4" s="1" t="s">
        <v>13</v>
      </c>
      <c r="G4" s="6">
        <v>10103</v>
      </c>
      <c r="H4" s="6">
        <v>13043</v>
      </c>
      <c r="I4" s="6">
        <v>12846</v>
      </c>
      <c r="J4" s="6">
        <f>Y4-I4-H4-G4</f>
        <v>19410</v>
      </c>
      <c r="K4" s="6">
        <v>10897</v>
      </c>
      <c r="L4" s="6">
        <v>13755</v>
      </c>
      <c r="M4" s="6">
        <v>13222</v>
      </c>
      <c r="N4" s="6">
        <f>Z4-M4-L4-K4</f>
        <v>20681</v>
      </c>
      <c r="O4" s="6">
        <v>11664</v>
      </c>
      <c r="P4" s="6">
        <v>13696</v>
      </c>
      <c r="Q4" s="6">
        <f>Q3-Q5</f>
        <v>14135.789000000001</v>
      </c>
      <c r="R4" s="6">
        <f>R3-R5</f>
        <v>22565.708000000002</v>
      </c>
      <c r="U4" s="6">
        <v>59973</v>
      </c>
      <c r="V4" s="6">
        <v>44250</v>
      </c>
      <c r="W4" s="6">
        <v>42518</v>
      </c>
      <c r="X4" s="6">
        <v>48192</v>
      </c>
      <c r="Y4" s="6">
        <v>55402</v>
      </c>
      <c r="Z4" s="6">
        <v>58555</v>
      </c>
      <c r="AA4" s="6">
        <f>SUM(O4:R4)</f>
        <v>62061.497000000003</v>
      </c>
      <c r="AB4" s="6">
        <f t="shared" ref="AB4:AK4" si="1">AB3-AB5</f>
        <v>62773.545905999999</v>
      </c>
      <c r="AC4" s="6">
        <f t="shared" si="1"/>
        <v>63257.582886480006</v>
      </c>
      <c r="AD4" s="6">
        <f t="shared" si="1"/>
        <v>64522.734544209612</v>
      </c>
      <c r="AE4" s="6">
        <f t="shared" si="1"/>
        <v>65813.1892350938</v>
      </c>
      <c r="AF4" s="6">
        <f t="shared" si="1"/>
        <v>67129.453019795677</v>
      </c>
      <c r="AG4" s="6">
        <f t="shared" si="1"/>
        <v>68472.04208019159</v>
      </c>
      <c r="AH4" s="6">
        <f t="shared" si="1"/>
        <v>69841.482921795425</v>
      </c>
      <c r="AI4" s="6">
        <f t="shared" si="1"/>
        <v>71238.31258023133</v>
      </c>
      <c r="AJ4" s="6">
        <f t="shared" si="1"/>
        <v>72663.078831835955</v>
      </c>
      <c r="AK4" s="6">
        <f t="shared" si="1"/>
        <v>74116.340408472679</v>
      </c>
    </row>
    <row r="5" spans="2:37" s="2" customFormat="1" x14ac:dyDescent="0.3">
      <c r="B5" s="2" t="s">
        <v>14</v>
      </c>
      <c r="G5" s="8">
        <f t="shared" ref="G5" si="2">G3-G4</f>
        <v>1660</v>
      </c>
      <c r="H5" s="8">
        <f t="shared" ref="H5" si="3">H3-H4</f>
        <v>2857</v>
      </c>
      <c r="I5" s="8">
        <f t="shared" ref="I5:J5" si="4">I3-I4</f>
        <v>2051</v>
      </c>
      <c r="J5" s="8">
        <f t="shared" si="4"/>
        <v>3476</v>
      </c>
      <c r="K5" s="8">
        <f t="shared" ref="K5:L5" si="5">K3-K4</f>
        <v>1933</v>
      </c>
      <c r="L5" s="8">
        <f t="shared" si="5"/>
        <v>2240</v>
      </c>
      <c r="M5" s="8">
        <f t="shared" ref="M5:P5" si="6">M3-M4</f>
        <v>2467</v>
      </c>
      <c r="N5" s="8">
        <f t="shared" ref="N5" si="7">N3-N4</f>
        <v>4035</v>
      </c>
      <c r="O5" s="8">
        <f t="shared" si="6"/>
        <v>1878</v>
      </c>
      <c r="P5" s="8">
        <f t="shared" si="6"/>
        <v>2372</v>
      </c>
      <c r="Q5" s="8">
        <f>Q3*0.15</f>
        <v>2494.5509999999999</v>
      </c>
      <c r="R5" s="8">
        <f>R3*0.17</f>
        <v>4621.8920000000007</v>
      </c>
      <c r="U5" s="8">
        <f t="shared" ref="U5:Z5" si="8">U3-U4</f>
        <v>10505</v>
      </c>
      <c r="V5" s="8">
        <f t="shared" si="8"/>
        <v>5662</v>
      </c>
      <c r="W5" s="8">
        <f t="shared" si="8"/>
        <v>9631</v>
      </c>
      <c r="X5" s="8">
        <f t="shared" si="8"/>
        <v>10571</v>
      </c>
      <c r="Y5" s="8">
        <f t="shared" si="8"/>
        <v>10044</v>
      </c>
      <c r="Z5" s="8">
        <f t="shared" si="8"/>
        <v>10675</v>
      </c>
      <c r="AA5" s="8">
        <f>AA3*0.16</f>
        <v>11748.4704</v>
      </c>
      <c r="AB5" s="8">
        <f t="shared" ref="AB5" si="9">AB3*0.17</f>
        <v>12857.232294000001</v>
      </c>
      <c r="AC5" s="8">
        <f>AC3*0.18</f>
        <v>13885.810877520002</v>
      </c>
      <c r="AD5" s="8">
        <f t="shared" ref="AD5:AK5" si="10">AD3*0.18</f>
        <v>14163.527095070402</v>
      </c>
      <c r="AE5" s="8">
        <f t="shared" si="10"/>
        <v>14446.797636971809</v>
      </c>
      <c r="AF5" s="8">
        <f t="shared" si="10"/>
        <v>14735.733589711246</v>
      </c>
      <c r="AG5" s="8">
        <f t="shared" si="10"/>
        <v>15030.448261505471</v>
      </c>
      <c r="AH5" s="8">
        <f t="shared" si="10"/>
        <v>15331.05722673558</v>
      </c>
      <c r="AI5" s="8">
        <f t="shared" si="10"/>
        <v>15637.678371270291</v>
      </c>
      <c r="AJ5" s="8">
        <f t="shared" si="10"/>
        <v>15950.431938695696</v>
      </c>
      <c r="AK5" s="8">
        <f t="shared" si="10"/>
        <v>16269.440577469612</v>
      </c>
    </row>
    <row r="6" spans="2:37" x14ac:dyDescent="0.3">
      <c r="B6" s="1" t="s">
        <v>15</v>
      </c>
      <c r="G6" s="6">
        <v>205</v>
      </c>
      <c r="H6" s="6">
        <v>219</v>
      </c>
      <c r="I6" s="6">
        <v>218</v>
      </c>
      <c r="J6" s="6">
        <f t="shared" ref="J6:J8" si="11">Y6-I6-H6-G6</f>
        <v>225</v>
      </c>
      <c r="K6" s="6">
        <v>226</v>
      </c>
      <c r="L6" s="6">
        <v>234</v>
      </c>
      <c r="M6" s="6">
        <v>203</v>
      </c>
      <c r="N6" s="6">
        <f t="shared" ref="N6:N8" si="12">Z6-M6-L6-K6</f>
        <v>214</v>
      </c>
      <c r="O6" s="6">
        <v>219</v>
      </c>
      <c r="P6" s="6">
        <v>209</v>
      </c>
      <c r="Q6" s="6">
        <f>Q3*0.013</f>
        <v>216.19441999999998</v>
      </c>
      <c r="R6" s="6">
        <f>R3*0.009</f>
        <v>244.6884</v>
      </c>
      <c r="U6" s="6">
        <v>908</v>
      </c>
      <c r="V6" s="6">
        <v>717</v>
      </c>
      <c r="W6" s="6">
        <v>713</v>
      </c>
      <c r="X6" s="6">
        <v>788</v>
      </c>
      <c r="Y6" s="6">
        <v>867</v>
      </c>
      <c r="Z6" s="6">
        <v>877</v>
      </c>
      <c r="AA6" s="6">
        <f t="shared" ref="AA6:AA8" si="13">SUM(O6:R6)</f>
        <v>888.88282000000004</v>
      </c>
      <c r="AB6" s="6">
        <f>AB3*0.013</f>
        <v>983.2001166</v>
      </c>
      <c r="AC6" s="6">
        <f t="shared" ref="AC6:AK6" si="14">AC3*0.013</f>
        <v>1002.864118932</v>
      </c>
      <c r="AD6" s="6">
        <f t="shared" si="14"/>
        <v>1022.9214013106401</v>
      </c>
      <c r="AE6" s="6">
        <f t="shared" si="14"/>
        <v>1043.3798293368529</v>
      </c>
      <c r="AF6" s="6">
        <f t="shared" si="14"/>
        <v>1064.2474259235901</v>
      </c>
      <c r="AG6" s="6">
        <f t="shared" si="14"/>
        <v>1085.5323744420618</v>
      </c>
      <c r="AH6" s="6">
        <f t="shared" si="14"/>
        <v>1107.2430219309028</v>
      </c>
      <c r="AI6" s="6">
        <f t="shared" si="14"/>
        <v>1129.3878823695211</v>
      </c>
      <c r="AJ6" s="6">
        <f t="shared" si="14"/>
        <v>1151.9756400169113</v>
      </c>
      <c r="AK6" s="6">
        <f t="shared" si="14"/>
        <v>1175.0151528172496</v>
      </c>
    </row>
    <row r="7" spans="2:37" x14ac:dyDescent="0.3">
      <c r="B7" s="1" t="s">
        <v>16</v>
      </c>
      <c r="G7" s="6">
        <v>382</v>
      </c>
      <c r="H7" s="6">
        <v>444</v>
      </c>
      <c r="I7" s="6">
        <v>405</v>
      </c>
      <c r="J7" s="6">
        <f t="shared" si="11"/>
        <v>423</v>
      </c>
      <c r="K7" s="6">
        <v>440</v>
      </c>
      <c r="L7" s="6">
        <v>444</v>
      </c>
      <c r="M7" s="6">
        <v>399</v>
      </c>
      <c r="N7" s="6">
        <f t="shared" si="12"/>
        <v>461</v>
      </c>
      <c r="O7" s="6">
        <v>446</v>
      </c>
      <c r="P7" s="6">
        <v>429</v>
      </c>
      <c r="Q7" s="6">
        <f>M7*1.02</f>
        <v>406.98</v>
      </c>
      <c r="R7" s="6">
        <f t="shared" ref="R7" si="15">N7*1.02</f>
        <v>470.22</v>
      </c>
      <c r="U7" s="6">
        <v>5217</v>
      </c>
      <c r="V7" s="6">
        <v>1423</v>
      </c>
      <c r="W7" s="6">
        <v>1339</v>
      </c>
      <c r="X7" s="6">
        <v>1452</v>
      </c>
      <c r="Y7" s="6">
        <v>1654</v>
      </c>
      <c r="Z7" s="6">
        <v>1744</v>
      </c>
      <c r="AA7" s="6">
        <f t="shared" si="13"/>
        <v>1752.2</v>
      </c>
      <c r="AB7" s="6">
        <f>AA7*1.03</f>
        <v>1804.7660000000001</v>
      </c>
      <c r="AC7" s="6">
        <f>AB7*1.02</f>
        <v>1840.8613200000002</v>
      </c>
      <c r="AD7" s="6">
        <f t="shared" ref="AD7:AK7" si="16">AC7*1.02</f>
        <v>1877.6785464000002</v>
      </c>
      <c r="AE7" s="6">
        <f t="shared" si="16"/>
        <v>1915.2321173280002</v>
      </c>
      <c r="AF7" s="6">
        <f t="shared" si="16"/>
        <v>1953.5367596745602</v>
      </c>
      <c r="AG7" s="6">
        <f t="shared" si="16"/>
        <v>1992.6074948680514</v>
      </c>
      <c r="AH7" s="6">
        <f t="shared" si="16"/>
        <v>2032.4596447654123</v>
      </c>
      <c r="AI7" s="6">
        <f t="shared" si="16"/>
        <v>2073.1088376607208</v>
      </c>
      <c r="AJ7" s="6">
        <f t="shared" si="16"/>
        <v>2114.5710144139352</v>
      </c>
      <c r="AK7" s="6">
        <f t="shared" si="16"/>
        <v>2156.8624347022142</v>
      </c>
    </row>
    <row r="8" spans="2:37" x14ac:dyDescent="0.3">
      <c r="B8" s="1" t="s">
        <v>17</v>
      </c>
      <c r="G8" s="6">
        <v>683</v>
      </c>
      <c r="H8" s="6">
        <v>748</v>
      </c>
      <c r="I8" s="6">
        <v>736</v>
      </c>
      <c r="J8" s="6">
        <f t="shared" si="11"/>
        <v>1090</v>
      </c>
      <c r="K8" s="6">
        <v>743</v>
      </c>
      <c r="L8" s="6">
        <v>850</v>
      </c>
      <c r="M8" s="6">
        <v>758</v>
      </c>
      <c r="N8" s="6">
        <f t="shared" si="12"/>
        <v>899</v>
      </c>
      <c r="O8" s="6">
        <v>673</v>
      </c>
      <c r="P8" s="6">
        <v>733</v>
      </c>
      <c r="Q8" s="6">
        <f t="shared" ref="Q8" si="17">M8*0.9</f>
        <v>682.2</v>
      </c>
      <c r="R8" s="6">
        <f>N8*0.92</f>
        <v>827.08</v>
      </c>
      <c r="U8" s="6">
        <v>3358</v>
      </c>
      <c r="V8" s="6">
        <v>2858</v>
      </c>
      <c r="W8" s="6">
        <v>2746</v>
      </c>
      <c r="X8" s="6">
        <v>3079</v>
      </c>
      <c r="Y8" s="6">
        <v>3257</v>
      </c>
      <c r="Z8" s="6">
        <v>3250</v>
      </c>
      <c r="AA8" s="6">
        <f t="shared" si="13"/>
        <v>2915.2799999999997</v>
      </c>
      <c r="AB8" s="6">
        <f>AA8*1.02</f>
        <v>2973.5855999999999</v>
      </c>
      <c r="AC8" s="6">
        <f>AB8*1.01</f>
        <v>3003.3214560000001</v>
      </c>
      <c r="AD8" s="6">
        <f t="shared" ref="AD8:AK8" si="18">AC8*1.01</f>
        <v>3033.3546705600002</v>
      </c>
      <c r="AE8" s="6">
        <f t="shared" si="18"/>
        <v>3063.6882172656001</v>
      </c>
      <c r="AF8" s="6">
        <f t="shared" si="18"/>
        <v>3094.3250994382561</v>
      </c>
      <c r="AG8" s="6">
        <f t="shared" si="18"/>
        <v>3125.2683504326387</v>
      </c>
      <c r="AH8" s="6">
        <f t="shared" si="18"/>
        <v>3156.5210339369651</v>
      </c>
      <c r="AI8" s="6">
        <f t="shared" si="18"/>
        <v>3188.0862442763346</v>
      </c>
      <c r="AJ8" s="6">
        <f t="shared" si="18"/>
        <v>3219.967106719098</v>
      </c>
      <c r="AK8" s="6">
        <f t="shared" si="18"/>
        <v>3252.166777786289</v>
      </c>
    </row>
    <row r="9" spans="2:37" x14ac:dyDescent="0.3">
      <c r="B9" s="1" t="s">
        <v>24</v>
      </c>
      <c r="G9" s="6">
        <f t="shared" ref="G9" si="19">SUM(G6:G8)</f>
        <v>1270</v>
      </c>
      <c r="H9" s="6">
        <f t="shared" ref="H9" si="20">SUM(H6:H8)</f>
        <v>1411</v>
      </c>
      <c r="I9" s="6">
        <f t="shared" ref="I9:J9" si="21">SUM(I6:I8)</f>
        <v>1359</v>
      </c>
      <c r="J9" s="6">
        <f t="shared" si="21"/>
        <v>1738</v>
      </c>
      <c r="K9" s="6">
        <f t="shared" ref="K9:L9" si="22">SUM(K6:K8)</f>
        <v>1409</v>
      </c>
      <c r="L9" s="6">
        <f t="shared" si="22"/>
        <v>1528</v>
      </c>
      <c r="M9" s="6">
        <f t="shared" ref="M9:O9" si="23">SUM(M6:M8)</f>
        <v>1360</v>
      </c>
      <c r="N9" s="6">
        <f t="shared" ref="N9" si="24">SUM(N6:N8)</f>
        <v>1574</v>
      </c>
      <c r="O9" s="6">
        <f t="shared" si="23"/>
        <v>1338</v>
      </c>
      <c r="P9" s="6">
        <f t="shared" ref="P9:R9" si="25">SUM(P6:P8)</f>
        <v>1371</v>
      </c>
      <c r="Q9" s="6">
        <f t="shared" si="25"/>
        <v>1305.3744200000001</v>
      </c>
      <c r="R9" s="6">
        <f t="shared" si="25"/>
        <v>1541.9884000000002</v>
      </c>
      <c r="U9" s="6">
        <f t="shared" ref="U9:AA9" si="26">SUM(U6:U8)</f>
        <v>9483</v>
      </c>
      <c r="V9" s="6">
        <f t="shared" si="26"/>
        <v>4998</v>
      </c>
      <c r="W9" s="6">
        <f t="shared" si="26"/>
        <v>4798</v>
      </c>
      <c r="X9" s="6">
        <f t="shared" si="26"/>
        <v>5319</v>
      </c>
      <c r="Y9" s="6">
        <f t="shared" si="26"/>
        <v>5778</v>
      </c>
      <c r="Z9" s="6">
        <f t="shared" si="26"/>
        <v>5871</v>
      </c>
      <c r="AA9" s="6">
        <f t="shared" si="26"/>
        <v>5556.3628200000003</v>
      </c>
      <c r="AB9" s="6">
        <f t="shared" ref="AB9" si="27">SUM(AB6:AB8)</f>
        <v>5761.5517166</v>
      </c>
      <c r="AC9" s="6">
        <f t="shared" ref="AC9" si="28">SUM(AC6:AC8)</f>
        <v>5847.0468949320002</v>
      </c>
      <c r="AD9" s="6">
        <f t="shared" ref="AD9" si="29">SUM(AD6:AD8)</f>
        <v>5933.9546182706399</v>
      </c>
      <c r="AE9" s="6">
        <f t="shared" ref="AE9" si="30">SUM(AE6:AE8)</f>
        <v>6022.300163930453</v>
      </c>
      <c r="AF9" s="6">
        <f t="shared" ref="AF9" si="31">SUM(AF6:AF8)</f>
        <v>6112.1092850364066</v>
      </c>
      <c r="AG9" s="6">
        <f t="shared" ref="AG9" si="32">SUM(AG6:AG8)</f>
        <v>6203.4082197427524</v>
      </c>
      <c r="AH9" s="6">
        <f t="shared" ref="AH9" si="33">SUM(AH6:AH8)</f>
        <v>6296.2237006332798</v>
      </c>
      <c r="AI9" s="6">
        <f t="shared" ref="AI9" si="34">SUM(AI6:AI8)</f>
        <v>6390.5829643065763</v>
      </c>
      <c r="AJ9" s="6">
        <f t="shared" ref="AJ9" si="35">SUM(AJ6:AJ8)</f>
        <v>6486.5137611499449</v>
      </c>
      <c r="AK9" s="6">
        <f t="shared" ref="AK9" si="36">SUM(AK6:AK8)</f>
        <v>6584.0443653057528</v>
      </c>
    </row>
    <row r="10" spans="2:37" s="2" customFormat="1" x14ac:dyDescent="0.3">
      <c r="B10" s="2" t="s">
        <v>26</v>
      </c>
      <c r="G10" s="8">
        <f t="shared" ref="G10" si="37">G5-G9</f>
        <v>390</v>
      </c>
      <c r="H10" s="8">
        <f t="shared" ref="H10" si="38">H5-H9</f>
        <v>1446</v>
      </c>
      <c r="I10" s="8">
        <f t="shared" ref="I10:J10" si="39">I5-I9</f>
        <v>692</v>
      </c>
      <c r="J10" s="8">
        <f t="shared" si="39"/>
        <v>1738</v>
      </c>
      <c r="K10" s="8">
        <f t="shared" ref="K10:L10" si="40">K5-K9</f>
        <v>524</v>
      </c>
      <c r="L10" s="8">
        <f t="shared" si="40"/>
        <v>712</v>
      </c>
      <c r="M10" s="8">
        <f t="shared" ref="M10:O10" si="41">M5-M9</f>
        <v>1107</v>
      </c>
      <c r="N10" s="8">
        <f t="shared" ref="N10" si="42">N5-N9</f>
        <v>2461</v>
      </c>
      <c r="O10" s="8">
        <f t="shared" si="41"/>
        <v>540</v>
      </c>
      <c r="P10" s="8">
        <f t="shared" ref="P10:R10" si="43">P5-P9</f>
        <v>1001</v>
      </c>
      <c r="Q10" s="8">
        <f t="shared" si="43"/>
        <v>1189.1765799999998</v>
      </c>
      <c r="R10" s="8">
        <f t="shared" si="43"/>
        <v>3079.9036000000006</v>
      </c>
      <c r="U10" s="8">
        <f t="shared" ref="U10:AA10" si="44">U5-U9</f>
        <v>1022</v>
      </c>
      <c r="V10" s="8">
        <f t="shared" si="44"/>
        <v>664</v>
      </c>
      <c r="W10" s="8">
        <f t="shared" si="44"/>
        <v>4833</v>
      </c>
      <c r="X10" s="8">
        <f t="shared" si="44"/>
        <v>5252</v>
      </c>
      <c r="Y10" s="8">
        <f t="shared" si="44"/>
        <v>4266</v>
      </c>
      <c r="Z10" s="8">
        <f t="shared" si="44"/>
        <v>4804</v>
      </c>
      <c r="AA10" s="8">
        <f t="shared" si="44"/>
        <v>6192.1075799999999</v>
      </c>
      <c r="AB10" s="8">
        <f t="shared" ref="AB10" si="45">AB5-AB9</f>
        <v>7095.6805774000013</v>
      </c>
      <c r="AC10" s="8">
        <f t="shared" ref="AC10" si="46">AC5-AC9</f>
        <v>8038.7639825880015</v>
      </c>
      <c r="AD10" s="8">
        <f t="shared" ref="AD10" si="47">AD5-AD9</f>
        <v>8229.5724767997617</v>
      </c>
      <c r="AE10" s="8">
        <f t="shared" ref="AE10" si="48">AE5-AE9</f>
        <v>8424.497473041356</v>
      </c>
      <c r="AF10" s="8">
        <f t="shared" ref="AF10" si="49">AF5-AF9</f>
        <v>8623.6243046748386</v>
      </c>
      <c r="AG10" s="8">
        <f t="shared" ref="AG10" si="50">AG5-AG9</f>
        <v>8827.0400417627188</v>
      </c>
      <c r="AH10" s="8">
        <f t="shared" ref="AH10" si="51">AH5-AH9</f>
        <v>9034.8335261023003</v>
      </c>
      <c r="AI10" s="8">
        <f t="shared" ref="AI10" si="52">AI5-AI9</f>
        <v>9247.0954069637155</v>
      </c>
      <c r="AJ10" s="8">
        <f t="shared" ref="AJ10" si="53">AJ5-AJ9</f>
        <v>9463.918177545751</v>
      </c>
      <c r="AK10" s="8">
        <f t="shared" ref="AK10" si="54">AK5-AK9</f>
        <v>9685.3962121638579</v>
      </c>
    </row>
    <row r="11" spans="2:37" x14ac:dyDescent="0.3">
      <c r="B11" s="1" t="s">
        <v>18</v>
      </c>
      <c r="G11" s="6">
        <v>-24</v>
      </c>
      <c r="H11" s="6">
        <v>-10</v>
      </c>
      <c r="I11" s="6">
        <v>-96</v>
      </c>
      <c r="J11" s="6">
        <f t="shared" ref="J11:J17" si="55">Y11-I11-H11-G11</f>
        <v>-113</v>
      </c>
      <c r="K11" s="6">
        <v>-90</v>
      </c>
      <c r="L11" s="6">
        <v>-88</v>
      </c>
      <c r="M11" s="6">
        <v>-63</v>
      </c>
      <c r="N11" s="6">
        <f t="shared" ref="N11:N17" si="56">Z11-M11-L11-K11</f>
        <v>-62</v>
      </c>
      <c r="O11" s="6">
        <v>-33</v>
      </c>
      <c r="P11" s="6">
        <v>-65</v>
      </c>
      <c r="Q11" s="6">
        <v>-33</v>
      </c>
      <c r="R11" s="6">
        <v>-33</v>
      </c>
      <c r="U11" s="6">
        <v>-370</v>
      </c>
      <c r="V11" s="6">
        <v>-132</v>
      </c>
      <c r="W11" s="6">
        <v>-594</v>
      </c>
      <c r="X11" s="6">
        <v>-471</v>
      </c>
      <c r="Y11" s="6">
        <v>-243</v>
      </c>
      <c r="Z11" s="6">
        <v>-303</v>
      </c>
      <c r="AA11" s="6">
        <f t="shared" ref="AA11:AA17" si="57">SUM(O11:R11)</f>
        <v>-164</v>
      </c>
      <c r="AB11" s="6">
        <f t="shared" ref="AB11:AK11" si="58">AA11*1.01</f>
        <v>-165.64000000000001</v>
      </c>
      <c r="AC11" s="6">
        <f t="shared" si="58"/>
        <v>-167.29640000000001</v>
      </c>
      <c r="AD11" s="6">
        <f t="shared" si="58"/>
        <v>-168.96936400000001</v>
      </c>
      <c r="AE11" s="6">
        <f t="shared" si="58"/>
        <v>-170.65905764000001</v>
      </c>
      <c r="AF11" s="6">
        <f t="shared" si="58"/>
        <v>-172.36564821640002</v>
      </c>
      <c r="AG11" s="6">
        <f t="shared" si="58"/>
        <v>-174.08930469856401</v>
      </c>
      <c r="AH11" s="6">
        <f t="shared" si="58"/>
        <v>-175.83019774554964</v>
      </c>
      <c r="AI11" s="6">
        <f t="shared" si="58"/>
        <v>-177.58849972300513</v>
      </c>
      <c r="AJ11" s="6">
        <f t="shared" si="58"/>
        <v>-179.36438472023519</v>
      </c>
      <c r="AK11" s="6">
        <f t="shared" si="58"/>
        <v>-181.15802856743755</v>
      </c>
    </row>
    <row r="12" spans="2:37" x14ac:dyDescent="0.3">
      <c r="B12" s="1" t="s">
        <v>19</v>
      </c>
      <c r="G12" s="6">
        <v>36</v>
      </c>
      <c r="H12" s="6">
        <v>37</v>
      </c>
      <c r="I12" s="6">
        <v>15</v>
      </c>
      <c r="J12" s="6">
        <f t="shared" si="55"/>
        <v>121</v>
      </c>
      <c r="K12" s="6">
        <v>25</v>
      </c>
      <c r="L12" s="6">
        <v>53</v>
      </c>
      <c r="M12" s="6">
        <v>32</v>
      </c>
      <c r="N12" s="6">
        <f t="shared" si="56"/>
        <v>87</v>
      </c>
      <c r="O12" s="6">
        <v>121</v>
      </c>
      <c r="P12" s="6">
        <v>39</v>
      </c>
      <c r="Q12" s="6">
        <v>100</v>
      </c>
      <c r="R12" s="6">
        <v>100</v>
      </c>
      <c r="U12" s="6">
        <v>356</v>
      </c>
      <c r="V12" s="6">
        <v>1458</v>
      </c>
      <c r="W12" s="6">
        <v>201</v>
      </c>
      <c r="X12" s="6">
        <v>590</v>
      </c>
      <c r="Y12" s="6">
        <v>209</v>
      </c>
      <c r="Z12" s="6">
        <v>197</v>
      </c>
      <c r="AA12" s="6">
        <f t="shared" si="57"/>
        <v>360</v>
      </c>
      <c r="AB12" s="6">
        <f t="shared" ref="AB12:AK12" si="59">AA12*1.01</f>
        <v>363.6</v>
      </c>
      <c r="AC12" s="6">
        <f t="shared" si="59"/>
        <v>367.23600000000005</v>
      </c>
      <c r="AD12" s="6">
        <f t="shared" si="59"/>
        <v>370.90836000000007</v>
      </c>
      <c r="AE12" s="6">
        <f t="shared" si="59"/>
        <v>374.61744360000006</v>
      </c>
      <c r="AF12" s="6">
        <f t="shared" si="59"/>
        <v>378.36361803600005</v>
      </c>
      <c r="AG12" s="6">
        <f t="shared" si="59"/>
        <v>382.14725421636007</v>
      </c>
      <c r="AH12" s="6">
        <f t="shared" si="59"/>
        <v>385.96872675852364</v>
      </c>
      <c r="AI12" s="6">
        <f t="shared" si="59"/>
        <v>389.82841402610887</v>
      </c>
      <c r="AJ12" s="6">
        <f t="shared" si="59"/>
        <v>393.72669816636994</v>
      </c>
      <c r="AK12" s="6">
        <f t="shared" si="59"/>
        <v>397.66396514803364</v>
      </c>
    </row>
    <row r="13" spans="2:37" x14ac:dyDescent="0.3">
      <c r="B13" s="1" t="s">
        <v>20</v>
      </c>
      <c r="G13" s="6">
        <v>-9</v>
      </c>
      <c r="H13" s="6">
        <v>-71</v>
      </c>
      <c r="I13" s="6">
        <v>-49</v>
      </c>
      <c r="J13" s="6">
        <f t="shared" si="55"/>
        <v>-138</v>
      </c>
      <c r="K13" s="6">
        <v>-22</v>
      </c>
      <c r="L13" s="6">
        <v>-57</v>
      </c>
      <c r="M13" s="6">
        <v>-80</v>
      </c>
      <c r="N13" s="6">
        <f t="shared" si="56"/>
        <v>-191</v>
      </c>
      <c r="O13" s="6">
        <v>-29</v>
      </c>
      <c r="P13" s="6">
        <v>-74</v>
      </c>
      <c r="Q13" s="6">
        <v>-40</v>
      </c>
      <c r="R13" s="6">
        <v>-100</v>
      </c>
      <c r="U13" s="6">
        <v>-299</v>
      </c>
      <c r="V13" s="6">
        <v>-39</v>
      </c>
      <c r="W13" s="6">
        <v>-40</v>
      </c>
      <c r="X13" s="6">
        <v>-134</v>
      </c>
      <c r="Y13" s="6">
        <v>-267</v>
      </c>
      <c r="Z13" s="6">
        <v>-350</v>
      </c>
      <c r="AA13" s="6">
        <f t="shared" si="57"/>
        <v>-243</v>
      </c>
      <c r="AB13" s="6">
        <f t="shared" ref="AB13:AK13" si="60">AA13*1.01</f>
        <v>-245.43</v>
      </c>
      <c r="AC13" s="6">
        <f t="shared" si="60"/>
        <v>-247.8843</v>
      </c>
      <c r="AD13" s="6">
        <f t="shared" si="60"/>
        <v>-250.36314300000001</v>
      </c>
      <c r="AE13" s="6">
        <f t="shared" si="60"/>
        <v>-252.86677443000002</v>
      </c>
      <c r="AF13" s="6">
        <f t="shared" si="60"/>
        <v>-255.39544217430003</v>
      </c>
      <c r="AG13" s="6">
        <f t="shared" si="60"/>
        <v>-257.94939659604302</v>
      </c>
      <c r="AH13" s="6">
        <f t="shared" si="60"/>
        <v>-260.52889056200343</v>
      </c>
      <c r="AI13" s="6">
        <f t="shared" si="60"/>
        <v>-263.13417946762348</v>
      </c>
      <c r="AJ13" s="6">
        <f t="shared" si="60"/>
        <v>-265.76552126229973</v>
      </c>
      <c r="AK13" s="6">
        <f t="shared" si="60"/>
        <v>-268.42317647492274</v>
      </c>
    </row>
    <row r="14" spans="2:37" x14ac:dyDescent="0.3">
      <c r="B14" s="1" t="s">
        <v>21</v>
      </c>
      <c r="G14" s="6">
        <v>-3</v>
      </c>
      <c r="H14" s="6">
        <v>-7</v>
      </c>
      <c r="I14" s="6">
        <v>-3</v>
      </c>
      <c r="J14" s="6">
        <f t="shared" si="55"/>
        <v>-23</v>
      </c>
      <c r="K14" s="6">
        <v>2</v>
      </c>
      <c r="L14" s="6">
        <v>-43</v>
      </c>
      <c r="M14" s="6">
        <v>-16</v>
      </c>
      <c r="N14" s="6">
        <f t="shared" si="56"/>
        <v>13</v>
      </c>
      <c r="O14" s="6">
        <v>8</v>
      </c>
      <c r="P14" s="6">
        <v>-43</v>
      </c>
      <c r="Q14" s="6">
        <v>8</v>
      </c>
      <c r="R14" s="6">
        <v>8</v>
      </c>
      <c r="U14" s="6">
        <v>-4</v>
      </c>
      <c r="V14" s="6">
        <v>-113</v>
      </c>
      <c r="W14" s="6">
        <v>-76</v>
      </c>
      <c r="X14" s="6">
        <v>-58</v>
      </c>
      <c r="Y14" s="6">
        <v>-36</v>
      </c>
      <c r="Z14" s="6">
        <v>-44</v>
      </c>
      <c r="AA14" s="6">
        <f t="shared" si="57"/>
        <v>-19</v>
      </c>
      <c r="AB14" s="6">
        <f t="shared" ref="AB14:AK14" si="61">AA14*1.01</f>
        <v>-19.190000000000001</v>
      </c>
      <c r="AC14" s="6">
        <f t="shared" si="61"/>
        <v>-19.381900000000002</v>
      </c>
      <c r="AD14" s="6">
        <f t="shared" si="61"/>
        <v>-19.575719000000003</v>
      </c>
      <c r="AE14" s="6">
        <f t="shared" si="61"/>
        <v>-19.771476190000005</v>
      </c>
      <c r="AF14" s="6">
        <f t="shared" si="61"/>
        <v>-19.969190951900003</v>
      </c>
      <c r="AG14" s="6">
        <f t="shared" si="61"/>
        <v>-20.168882861419004</v>
      </c>
      <c r="AH14" s="6">
        <f t="shared" si="61"/>
        <v>-20.370571690033195</v>
      </c>
      <c r="AI14" s="6">
        <f t="shared" si="61"/>
        <v>-20.574277406933525</v>
      </c>
      <c r="AJ14" s="6">
        <f t="shared" si="61"/>
        <v>-20.780020181002861</v>
      </c>
      <c r="AK14" s="6">
        <f t="shared" si="61"/>
        <v>-20.987820382812888</v>
      </c>
    </row>
    <row r="15" spans="2:37" x14ac:dyDescent="0.3">
      <c r="B15" s="1" t="s">
        <v>22</v>
      </c>
      <c r="G15" s="6">
        <v>-133</v>
      </c>
      <c r="H15" s="6">
        <v>-145</v>
      </c>
      <c r="I15" s="6">
        <v>-246</v>
      </c>
      <c r="J15" s="6">
        <f t="shared" si="55"/>
        <v>-204</v>
      </c>
      <c r="K15" s="6">
        <v>-217</v>
      </c>
      <c r="L15" s="6">
        <v>-182</v>
      </c>
      <c r="M15" s="6">
        <v>-183</v>
      </c>
      <c r="N15" s="6">
        <f t="shared" si="56"/>
        <v>-220</v>
      </c>
      <c r="O15" s="6">
        <v>-209</v>
      </c>
      <c r="P15" s="6">
        <v>-171</v>
      </c>
      <c r="Q15" s="6">
        <v>-209</v>
      </c>
      <c r="R15" s="6">
        <v>-209</v>
      </c>
      <c r="U15" s="6">
        <v>-228</v>
      </c>
      <c r="V15" s="6">
        <v>-140</v>
      </c>
      <c r="W15" s="6">
        <v>-88</v>
      </c>
      <c r="X15" s="6">
        <v>-180</v>
      </c>
      <c r="Y15" s="6">
        <v>-728</v>
      </c>
      <c r="Z15" s="6">
        <v>-802</v>
      </c>
      <c r="AA15" s="6">
        <f t="shared" si="57"/>
        <v>-798</v>
      </c>
      <c r="AB15" s="6">
        <f t="shared" ref="AB15:AK15" si="62">AA15*1.01</f>
        <v>-805.98</v>
      </c>
      <c r="AC15" s="6">
        <f t="shared" si="62"/>
        <v>-814.03980000000001</v>
      </c>
      <c r="AD15" s="6">
        <f t="shared" si="62"/>
        <v>-822.18019800000002</v>
      </c>
      <c r="AE15" s="6">
        <f t="shared" si="62"/>
        <v>-830.40199998000003</v>
      </c>
      <c r="AF15" s="6">
        <f t="shared" si="62"/>
        <v>-838.70601997980009</v>
      </c>
      <c r="AG15" s="6">
        <f t="shared" si="62"/>
        <v>-847.09308017959813</v>
      </c>
      <c r="AH15" s="6">
        <f t="shared" si="62"/>
        <v>-855.56401098139418</v>
      </c>
      <c r="AI15" s="6">
        <f t="shared" si="62"/>
        <v>-864.11965109120808</v>
      </c>
      <c r="AJ15" s="6">
        <f t="shared" si="62"/>
        <v>-872.76084760212018</v>
      </c>
      <c r="AK15" s="6">
        <f t="shared" si="62"/>
        <v>-881.48845607814144</v>
      </c>
    </row>
    <row r="16" spans="2:37" x14ac:dyDescent="0.3">
      <c r="B16" s="1" t="s">
        <v>23</v>
      </c>
      <c r="G16" s="6">
        <v>166</v>
      </c>
      <c r="H16" s="6">
        <v>170</v>
      </c>
      <c r="I16" s="6">
        <v>195</v>
      </c>
      <c r="J16" s="6">
        <f t="shared" si="55"/>
        <v>222</v>
      </c>
      <c r="K16" s="6">
        <v>213</v>
      </c>
      <c r="L16" s="6">
        <v>215</v>
      </c>
      <c r="M16" s="6">
        <v>212</v>
      </c>
      <c r="N16" s="6">
        <f t="shared" si="56"/>
        <v>260</v>
      </c>
      <c r="O16" s="6">
        <v>189</v>
      </c>
      <c r="P16" s="6">
        <v>194</v>
      </c>
      <c r="Q16" s="6">
        <v>189</v>
      </c>
      <c r="R16" s="6">
        <v>189</v>
      </c>
      <c r="U16" s="6">
        <v>339</v>
      </c>
      <c r="V16" s="6">
        <v>411</v>
      </c>
      <c r="W16" s="6">
        <v>334</v>
      </c>
      <c r="X16" s="6">
        <v>412</v>
      </c>
      <c r="Y16" s="6">
        <v>753</v>
      </c>
      <c r="Z16" s="6">
        <v>900</v>
      </c>
      <c r="AA16" s="6">
        <f t="shared" si="57"/>
        <v>761</v>
      </c>
      <c r="AB16" s="6">
        <f t="shared" ref="AB16:AK16" si="63">AA16*1.01</f>
        <v>768.61</v>
      </c>
      <c r="AC16" s="6">
        <f t="shared" si="63"/>
        <v>776.29610000000002</v>
      </c>
      <c r="AD16" s="6">
        <f t="shared" si="63"/>
        <v>784.05906100000004</v>
      </c>
      <c r="AE16" s="6">
        <f t="shared" si="63"/>
        <v>791.89965161000009</v>
      </c>
      <c r="AF16" s="6">
        <f t="shared" si="63"/>
        <v>799.81864812610013</v>
      </c>
      <c r="AG16" s="6">
        <f t="shared" si="63"/>
        <v>807.8168346073611</v>
      </c>
      <c r="AH16" s="6">
        <f t="shared" si="63"/>
        <v>815.89500295343475</v>
      </c>
      <c r="AI16" s="6">
        <f t="shared" si="63"/>
        <v>824.05395298296912</v>
      </c>
      <c r="AJ16" s="6">
        <f t="shared" si="63"/>
        <v>832.2944925127988</v>
      </c>
      <c r="AK16" s="6">
        <f t="shared" si="63"/>
        <v>840.61743743792681</v>
      </c>
    </row>
    <row r="17" spans="2:151" x14ac:dyDescent="0.3">
      <c r="B17" s="1" t="s">
        <v>32</v>
      </c>
      <c r="G17" s="6">
        <v>-182</v>
      </c>
      <c r="H17" s="6">
        <v>22</v>
      </c>
      <c r="I17" s="6">
        <v>-78</v>
      </c>
      <c r="J17" s="6">
        <f t="shared" si="55"/>
        <v>47</v>
      </c>
      <c r="K17" s="6">
        <v>-225</v>
      </c>
      <c r="L17" s="6">
        <v>304</v>
      </c>
      <c r="M17" s="6">
        <v>-45</v>
      </c>
      <c r="N17" s="6">
        <f t="shared" si="56"/>
        <v>-253</v>
      </c>
      <c r="O17" s="6">
        <v>-601</v>
      </c>
      <c r="P17" s="6">
        <v>108</v>
      </c>
      <c r="Q17" s="6">
        <v>0</v>
      </c>
      <c r="R17" s="6">
        <v>0</v>
      </c>
      <c r="U17" s="6">
        <v>164</v>
      </c>
      <c r="V17" s="6">
        <v>349</v>
      </c>
      <c r="W17" s="6">
        <v>69</v>
      </c>
      <c r="X17" s="6">
        <v>18</v>
      </c>
      <c r="Y17" s="6">
        <v>-191</v>
      </c>
      <c r="Z17" s="6">
        <v>-219</v>
      </c>
      <c r="AA17" s="6">
        <f t="shared" si="57"/>
        <v>-493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  <c r="AJ17" s="6">
        <v>0</v>
      </c>
      <c r="AK17" s="6">
        <v>0</v>
      </c>
    </row>
    <row r="18" spans="2:151" x14ac:dyDescent="0.3">
      <c r="B18" s="1" t="s">
        <v>25</v>
      </c>
      <c r="G18" s="6">
        <v>-149</v>
      </c>
      <c r="H18" s="6">
        <f t="shared" ref="H18" si="64">SUM(H11:H17)</f>
        <v>-4</v>
      </c>
      <c r="I18" s="6">
        <f t="shared" ref="I18:J18" si="65">SUM(I11:I17)</f>
        <v>-262</v>
      </c>
      <c r="J18" s="6">
        <f t="shared" si="65"/>
        <v>-88</v>
      </c>
      <c r="K18" s="6">
        <f t="shared" ref="K18:L18" si="66">SUM(K11:K17)</f>
        <v>-314</v>
      </c>
      <c r="L18" s="6">
        <f t="shared" si="66"/>
        <v>202</v>
      </c>
      <c r="M18" s="6">
        <f t="shared" ref="M18:O18" si="67">SUM(M11:M17)</f>
        <v>-143</v>
      </c>
      <c r="N18" s="6">
        <f t="shared" ref="N18" si="68">SUM(N11:N17)</f>
        <v>-366</v>
      </c>
      <c r="O18" s="6">
        <f t="shared" si="67"/>
        <v>-554</v>
      </c>
      <c r="P18" s="6">
        <f t="shared" ref="P18:R18" si="69">SUM(P11:P17)</f>
        <v>-12</v>
      </c>
      <c r="Q18" s="6">
        <f t="shared" si="69"/>
        <v>15</v>
      </c>
      <c r="R18" s="6">
        <f t="shared" si="69"/>
        <v>-45</v>
      </c>
      <c r="U18" s="6">
        <f t="shared" ref="U18:AA18" si="70">SUM(U11:U17)</f>
        <v>-42</v>
      </c>
      <c r="V18" s="6">
        <f t="shared" si="70"/>
        <v>1794</v>
      </c>
      <c r="W18" s="6">
        <f t="shared" si="70"/>
        <v>-194</v>
      </c>
      <c r="X18" s="6">
        <f t="shared" si="70"/>
        <v>177</v>
      </c>
      <c r="Y18" s="6">
        <f t="shared" si="70"/>
        <v>-503</v>
      </c>
      <c r="Z18" s="6">
        <f t="shared" si="70"/>
        <v>-621</v>
      </c>
      <c r="AA18" s="6">
        <f t="shared" si="70"/>
        <v>-596</v>
      </c>
      <c r="AB18" s="6">
        <f t="shared" ref="AB18" si="71">SUM(AB11:AB17)</f>
        <v>-104.02999999999997</v>
      </c>
      <c r="AC18" s="6">
        <f t="shared" ref="AC18" si="72">SUM(AC11:AC17)</f>
        <v>-105.07029999999997</v>
      </c>
      <c r="AD18" s="6">
        <f t="shared" ref="AD18" si="73">SUM(AD11:AD17)</f>
        <v>-106.12100299999997</v>
      </c>
      <c r="AE18" s="6">
        <f t="shared" ref="AE18" si="74">SUM(AE11:AE17)</f>
        <v>-107.18221302999996</v>
      </c>
      <c r="AF18" s="6">
        <f t="shared" ref="AF18" si="75">SUM(AF11:AF17)</f>
        <v>-108.25403516029996</v>
      </c>
      <c r="AG18" s="6">
        <f t="shared" ref="AG18" si="76">SUM(AG11:AG17)</f>
        <v>-109.33657551190299</v>
      </c>
      <c r="AH18" s="6">
        <f t="shared" ref="AH18" si="77">SUM(AH11:AH17)</f>
        <v>-110.42994126702206</v>
      </c>
      <c r="AI18" s="6">
        <f t="shared" ref="AI18" si="78">SUM(AI11:AI17)</f>
        <v>-111.53424067969218</v>
      </c>
      <c r="AJ18" s="6">
        <f t="shared" ref="AJ18" si="79">SUM(AJ11:AJ17)</f>
        <v>-112.6495830864892</v>
      </c>
      <c r="AK18" s="6">
        <f t="shared" ref="AK18" si="80">SUM(AK11:AK17)</f>
        <v>-113.7760789173542</v>
      </c>
    </row>
    <row r="19" spans="2:151" s="2" customFormat="1" x14ac:dyDescent="0.3">
      <c r="B19" s="2" t="s">
        <v>27</v>
      </c>
      <c r="G19" s="8">
        <f t="shared" ref="G19" si="81">G10-G18</f>
        <v>539</v>
      </c>
      <c r="H19" s="8">
        <f t="shared" ref="H19" si="82">H10-H18</f>
        <v>1450</v>
      </c>
      <c r="I19" s="8">
        <f t="shared" ref="I19:J19" si="83">I10-I18</f>
        <v>954</v>
      </c>
      <c r="J19" s="8">
        <f t="shared" si="83"/>
        <v>1826</v>
      </c>
      <c r="K19" s="8">
        <f t="shared" ref="K19:L19" si="84">K10-K18</f>
        <v>838</v>
      </c>
      <c r="L19" s="8">
        <f t="shared" si="84"/>
        <v>510</v>
      </c>
      <c r="M19" s="8">
        <f t="shared" ref="M19:O19" si="85">M10-M18</f>
        <v>1250</v>
      </c>
      <c r="N19" s="8">
        <f t="shared" ref="N19" si="86">N10-N18</f>
        <v>2827</v>
      </c>
      <c r="O19" s="8">
        <f t="shared" si="85"/>
        <v>1094</v>
      </c>
      <c r="P19" s="8">
        <f t="shared" ref="P19:R19" si="87">P10-P18</f>
        <v>1013</v>
      </c>
      <c r="Q19" s="8">
        <f t="shared" si="87"/>
        <v>1174.1765799999998</v>
      </c>
      <c r="R19" s="8">
        <f t="shared" si="87"/>
        <v>3124.9036000000006</v>
      </c>
      <c r="U19" s="8">
        <f t="shared" ref="U19:AA19" si="88">U10-U18</f>
        <v>1064</v>
      </c>
      <c r="V19" s="8">
        <f t="shared" si="88"/>
        <v>-1130</v>
      </c>
      <c r="W19" s="8">
        <f t="shared" si="88"/>
        <v>5027</v>
      </c>
      <c r="X19" s="8">
        <f t="shared" si="88"/>
        <v>5075</v>
      </c>
      <c r="Y19" s="8">
        <f t="shared" si="88"/>
        <v>4769</v>
      </c>
      <c r="Z19" s="8">
        <f t="shared" si="88"/>
        <v>5425</v>
      </c>
      <c r="AA19" s="8">
        <f t="shared" si="88"/>
        <v>6788.1075799999999</v>
      </c>
      <c r="AB19" s="8">
        <f t="shared" ref="AB19" si="89">AB10-AB18</f>
        <v>7199.7105774000011</v>
      </c>
      <c r="AC19" s="8">
        <f t="shared" ref="AC19" si="90">AC10-AC18</f>
        <v>8143.8342825880018</v>
      </c>
      <c r="AD19" s="8">
        <f t="shared" ref="AD19" si="91">AD10-AD18</f>
        <v>8335.6934797997619</v>
      </c>
      <c r="AE19" s="8">
        <f t="shared" ref="AE19" si="92">AE10-AE18</f>
        <v>8531.6796860713566</v>
      </c>
      <c r="AF19" s="8">
        <f t="shared" ref="AF19" si="93">AF10-AF18</f>
        <v>8731.8783398351388</v>
      </c>
      <c r="AG19" s="8">
        <f t="shared" ref="AG19" si="94">AG10-AG18</f>
        <v>8936.3766172746218</v>
      </c>
      <c r="AH19" s="8">
        <f t="shared" ref="AH19" si="95">AH10-AH18</f>
        <v>9145.2634673693228</v>
      </c>
      <c r="AI19" s="8">
        <f t="shared" ref="AI19" si="96">AI10-AI18</f>
        <v>9358.6296476434072</v>
      </c>
      <c r="AJ19" s="8">
        <f t="shared" ref="AJ19" si="97">AJ10-AJ18</f>
        <v>9576.5677606322406</v>
      </c>
      <c r="AK19" s="8">
        <f t="shared" ref="AK19" si="98">AK10-AK18</f>
        <v>9799.1722910812114</v>
      </c>
    </row>
    <row r="20" spans="2:151" x14ac:dyDescent="0.3">
      <c r="B20" s="1" t="s">
        <v>28</v>
      </c>
      <c r="G20" s="6">
        <v>101</v>
      </c>
      <c r="H20" s="6">
        <v>436</v>
      </c>
      <c r="I20" s="6">
        <v>192</v>
      </c>
      <c r="J20" s="6">
        <f t="shared" ref="J20:J21" si="99">Y20-I20-H20-G20</f>
        <v>427</v>
      </c>
      <c r="K20" s="6">
        <v>286</v>
      </c>
      <c r="L20" s="6">
        <v>329</v>
      </c>
      <c r="M20" s="6">
        <v>312</v>
      </c>
      <c r="N20" s="6">
        <f t="shared" ref="N20:N21" si="100">Z20-M20-L20-K20</f>
        <v>420</v>
      </c>
      <c r="O20" s="6">
        <v>349</v>
      </c>
      <c r="P20" s="6">
        <v>314</v>
      </c>
      <c r="Q20" s="6">
        <f t="shared" ref="Q20:R20" si="101">Q19*0.24</f>
        <v>281.80237919999996</v>
      </c>
      <c r="R20" s="6">
        <f t="shared" si="101"/>
        <v>749.97686400000009</v>
      </c>
      <c r="U20" s="6">
        <v>2389</v>
      </c>
      <c r="V20" s="6">
        <v>39</v>
      </c>
      <c r="W20" s="6">
        <v>853</v>
      </c>
      <c r="X20" s="6">
        <v>939</v>
      </c>
      <c r="Y20" s="6">
        <v>1156</v>
      </c>
      <c r="Z20" s="6">
        <v>1347</v>
      </c>
      <c r="AA20" s="6">
        <f t="shared" ref="AA20:AA21" si="102">SUM(O20:R20)</f>
        <v>1694.7792432000001</v>
      </c>
      <c r="AB20" s="6">
        <f t="shared" ref="AB20:AK20" si="103">AB19*0.23</f>
        <v>1655.9334328020004</v>
      </c>
      <c r="AC20" s="6">
        <f t="shared" si="103"/>
        <v>1873.0818849952404</v>
      </c>
      <c r="AD20" s="6">
        <f t="shared" si="103"/>
        <v>1917.2095003539453</v>
      </c>
      <c r="AE20" s="6">
        <f t="shared" si="103"/>
        <v>1962.286327796412</v>
      </c>
      <c r="AF20" s="6">
        <f t="shared" si="103"/>
        <v>2008.332018162082</v>
      </c>
      <c r="AG20" s="6">
        <f t="shared" si="103"/>
        <v>2055.3666219731631</v>
      </c>
      <c r="AH20" s="6">
        <f t="shared" si="103"/>
        <v>2103.4105974949443</v>
      </c>
      <c r="AI20" s="6">
        <f t="shared" si="103"/>
        <v>2152.4848189579839</v>
      </c>
      <c r="AJ20" s="6">
        <f t="shared" si="103"/>
        <v>2202.6105849454152</v>
      </c>
      <c r="AK20" s="6">
        <f t="shared" si="103"/>
        <v>2253.8096269486787</v>
      </c>
    </row>
    <row r="21" spans="2:151" x14ac:dyDescent="0.3">
      <c r="B21" s="1" t="s">
        <v>29</v>
      </c>
      <c r="G21" s="6">
        <v>-28</v>
      </c>
      <c r="H21" s="6">
        <v>-46</v>
      </c>
      <c r="I21" s="6">
        <v>-44</v>
      </c>
      <c r="J21" s="6">
        <f t="shared" si="99"/>
        <v>-58</v>
      </c>
      <c r="K21" s="6">
        <v>-43</v>
      </c>
      <c r="L21" s="6">
        <v>-49</v>
      </c>
      <c r="M21" s="6">
        <v>-45</v>
      </c>
      <c r="N21" s="6">
        <f t="shared" si="100"/>
        <v>-17</v>
      </c>
      <c r="O21" s="6">
        <v>-48</v>
      </c>
      <c r="P21" s="6">
        <v>-33</v>
      </c>
      <c r="Q21" s="6">
        <v>-48</v>
      </c>
      <c r="R21" s="6">
        <v>-48</v>
      </c>
      <c r="U21" s="6">
        <v>37</v>
      </c>
      <c r="V21" s="6">
        <v>-36</v>
      </c>
      <c r="W21" s="6">
        <v>-39</v>
      </c>
      <c r="X21" s="6">
        <v>-111</v>
      </c>
      <c r="Y21" s="6">
        <v>-176</v>
      </c>
      <c r="Z21" s="6">
        <v>-154</v>
      </c>
      <c r="AA21" s="6">
        <f t="shared" si="102"/>
        <v>-177</v>
      </c>
      <c r="AB21" s="6">
        <f t="shared" ref="AB21:AK21" si="104">-AB19*0.03</f>
        <v>-215.99131732200001</v>
      </c>
      <c r="AC21" s="6">
        <f t="shared" si="104"/>
        <v>-244.31502847764006</v>
      </c>
      <c r="AD21" s="6">
        <f t="shared" si="104"/>
        <v>-250.07080439399286</v>
      </c>
      <c r="AE21" s="6">
        <f t="shared" si="104"/>
        <v>-255.9503905821407</v>
      </c>
      <c r="AF21" s="6">
        <f t="shared" si="104"/>
        <v>-261.95635019505414</v>
      </c>
      <c r="AG21" s="6">
        <f t="shared" si="104"/>
        <v>-268.09129851823866</v>
      </c>
      <c r="AH21" s="6">
        <f t="shared" si="104"/>
        <v>-274.35790402107966</v>
      </c>
      <c r="AI21" s="6">
        <f t="shared" si="104"/>
        <v>-280.7588894293022</v>
      </c>
      <c r="AJ21" s="6">
        <f t="shared" si="104"/>
        <v>-287.29703281896718</v>
      </c>
      <c r="AK21" s="6">
        <f t="shared" si="104"/>
        <v>-293.97516873243632</v>
      </c>
    </row>
    <row r="22" spans="2:151" s="2" customFormat="1" x14ac:dyDescent="0.3">
      <c r="B22" s="2" t="s">
        <v>30</v>
      </c>
      <c r="G22" s="8">
        <f t="shared" ref="G22" si="105">G19-G20-G21</f>
        <v>466</v>
      </c>
      <c r="H22" s="8">
        <f t="shared" ref="H22" si="106">H19-H20-H21</f>
        <v>1060</v>
      </c>
      <c r="I22" s="8">
        <f t="shared" ref="I22:J22" si="107">I19-I20-I21</f>
        <v>806</v>
      </c>
      <c r="J22" s="8">
        <f t="shared" si="107"/>
        <v>1457</v>
      </c>
      <c r="K22" s="8">
        <f t="shared" ref="K22:L22" si="108">K19-K20-K21</f>
        <v>595</v>
      </c>
      <c r="L22" s="8">
        <f t="shared" si="108"/>
        <v>230</v>
      </c>
      <c r="M22" s="8">
        <f t="shared" ref="M22:O22" si="109">M19-M20-M21</f>
        <v>983</v>
      </c>
      <c r="N22" s="8">
        <f t="shared" ref="N22" si="110">N19-N20-N21</f>
        <v>2424</v>
      </c>
      <c r="O22" s="8">
        <f t="shared" si="109"/>
        <v>793</v>
      </c>
      <c r="P22" s="8">
        <f t="shared" ref="P22:R22" si="111">P19-P20-P21</f>
        <v>732</v>
      </c>
      <c r="Q22" s="8">
        <f t="shared" si="111"/>
        <v>940.37420079999993</v>
      </c>
      <c r="R22" s="8">
        <f t="shared" si="111"/>
        <v>2422.9267360000003</v>
      </c>
      <c r="U22" s="8">
        <f t="shared" ref="U22:AA22" si="112">U19-U20-U21</f>
        <v>-1362</v>
      </c>
      <c r="V22" s="8">
        <f t="shared" si="112"/>
        <v>-1133</v>
      </c>
      <c r="W22" s="8">
        <f t="shared" si="112"/>
        <v>4213</v>
      </c>
      <c r="X22" s="8">
        <f t="shared" si="112"/>
        <v>4247</v>
      </c>
      <c r="Y22" s="8">
        <f t="shared" si="112"/>
        <v>3789</v>
      </c>
      <c r="Z22" s="8">
        <f t="shared" si="112"/>
        <v>4232</v>
      </c>
      <c r="AA22" s="8">
        <f t="shared" si="112"/>
        <v>5270.3283367999993</v>
      </c>
      <c r="AB22" s="8">
        <f t="shared" ref="AB22" si="113">AB19-AB20-AB21</f>
        <v>5759.7684619200008</v>
      </c>
      <c r="AC22" s="8">
        <f t="shared" ref="AC22" si="114">AC19-AC20-AC21</f>
        <v>6515.0674260704018</v>
      </c>
      <c r="AD22" s="8">
        <f t="shared" ref="AD22" si="115">AD19-AD20-AD21</f>
        <v>6668.5547838398097</v>
      </c>
      <c r="AE22" s="8">
        <f t="shared" ref="AE22" si="116">AE19-AE20-AE21</f>
        <v>6825.3437488570853</v>
      </c>
      <c r="AF22" s="8">
        <f t="shared" ref="AF22" si="117">AF19-AF20-AF21</f>
        <v>6985.5026718681111</v>
      </c>
      <c r="AG22" s="8">
        <f t="shared" ref="AG22" si="118">AG19-AG20-AG21</f>
        <v>7149.1012938196973</v>
      </c>
      <c r="AH22" s="8">
        <f t="shared" ref="AH22" si="119">AH19-AH20-AH21</f>
        <v>7316.2107738954583</v>
      </c>
      <c r="AI22" s="8">
        <f t="shared" ref="AI22" si="120">AI19-AI20-AI21</f>
        <v>7486.9037181147251</v>
      </c>
      <c r="AJ22" s="8">
        <f t="shared" ref="AJ22" si="121">AJ19-AJ20-AJ21</f>
        <v>7661.2542085057921</v>
      </c>
      <c r="AK22" s="8">
        <f t="shared" ref="AK22" si="122">AK19-AK20-AK21</f>
        <v>7839.3378328649687</v>
      </c>
      <c r="AL22" s="2">
        <f>AK22*(1+$AO$27)</f>
        <v>7760.9444545363194</v>
      </c>
      <c r="AM22" s="2">
        <f t="shared" ref="AM22:CX22" si="123">AL22*(1+$AO$27)</f>
        <v>7683.3350099909558</v>
      </c>
      <c r="AN22" s="2">
        <f t="shared" si="123"/>
        <v>7606.5016598910461</v>
      </c>
      <c r="AO22" s="2">
        <f t="shared" si="123"/>
        <v>7530.4366432921352</v>
      </c>
      <c r="AP22" s="2">
        <f t="shared" si="123"/>
        <v>7455.1322768592136</v>
      </c>
      <c r="AQ22" s="2">
        <f t="shared" si="123"/>
        <v>7380.5809540906212</v>
      </c>
      <c r="AR22" s="2">
        <f t="shared" si="123"/>
        <v>7306.7751445497152</v>
      </c>
      <c r="AS22" s="2">
        <f t="shared" si="123"/>
        <v>7233.7073931042178</v>
      </c>
      <c r="AT22" s="2">
        <f t="shared" si="123"/>
        <v>7161.3703191731756</v>
      </c>
      <c r="AU22" s="2">
        <f t="shared" si="123"/>
        <v>7089.7566159814442</v>
      </c>
      <c r="AV22" s="2">
        <f t="shared" si="123"/>
        <v>7018.8590498216299</v>
      </c>
      <c r="AW22" s="2">
        <f t="shared" si="123"/>
        <v>6948.6704593234135</v>
      </c>
      <c r="AX22" s="2">
        <f t="shared" si="123"/>
        <v>6879.1837547301793</v>
      </c>
      <c r="AY22" s="2">
        <f t="shared" si="123"/>
        <v>6810.3919171828775</v>
      </c>
      <c r="AZ22" s="2">
        <f t="shared" si="123"/>
        <v>6742.2879980110483</v>
      </c>
      <c r="BA22" s="2">
        <f t="shared" si="123"/>
        <v>6674.865118030938</v>
      </c>
      <c r="BB22" s="2">
        <f t="shared" si="123"/>
        <v>6608.116466850629</v>
      </c>
      <c r="BC22" s="2">
        <f t="shared" si="123"/>
        <v>6542.0353021821229</v>
      </c>
      <c r="BD22" s="2">
        <f t="shared" si="123"/>
        <v>6476.6149491603019</v>
      </c>
      <c r="BE22" s="2">
        <f t="shared" si="123"/>
        <v>6411.848799668699</v>
      </c>
      <c r="BF22" s="2">
        <f t="shared" si="123"/>
        <v>6347.7303116720122</v>
      </c>
      <c r="BG22" s="2">
        <f t="shared" si="123"/>
        <v>6284.2530085552917</v>
      </c>
      <c r="BH22" s="2">
        <f t="shared" si="123"/>
        <v>6221.4104784697383</v>
      </c>
      <c r="BI22" s="2">
        <f t="shared" si="123"/>
        <v>6159.1963736850412</v>
      </c>
      <c r="BJ22" s="2">
        <f t="shared" si="123"/>
        <v>6097.6044099481906</v>
      </c>
      <c r="BK22" s="2">
        <f t="shared" si="123"/>
        <v>6036.6283658487082</v>
      </c>
      <c r="BL22" s="2">
        <f t="shared" si="123"/>
        <v>5976.262082190221</v>
      </c>
      <c r="BM22" s="2">
        <f t="shared" si="123"/>
        <v>5916.4994613683184</v>
      </c>
      <c r="BN22" s="2">
        <f t="shared" si="123"/>
        <v>5857.3344667546353</v>
      </c>
      <c r="BO22" s="2">
        <f t="shared" si="123"/>
        <v>5798.7611220870886</v>
      </c>
      <c r="BP22" s="2">
        <f t="shared" si="123"/>
        <v>5740.7735108662173</v>
      </c>
      <c r="BQ22" s="2">
        <f t="shared" si="123"/>
        <v>5683.3657757575547</v>
      </c>
      <c r="BR22" s="2">
        <f t="shared" si="123"/>
        <v>5626.5321179999792</v>
      </c>
      <c r="BS22" s="2">
        <f t="shared" si="123"/>
        <v>5570.2667968199794</v>
      </c>
      <c r="BT22" s="2">
        <f t="shared" si="123"/>
        <v>5514.56412885178</v>
      </c>
      <c r="BU22" s="2">
        <f t="shared" si="123"/>
        <v>5459.4184875632618</v>
      </c>
      <c r="BV22" s="2">
        <f t="shared" si="123"/>
        <v>5404.8243026876289</v>
      </c>
      <c r="BW22" s="2">
        <f t="shared" si="123"/>
        <v>5350.7760596607523</v>
      </c>
      <c r="BX22" s="2">
        <f t="shared" si="123"/>
        <v>5297.2682990641442</v>
      </c>
      <c r="BY22" s="2">
        <f t="shared" si="123"/>
        <v>5244.295616073503</v>
      </c>
      <c r="BZ22" s="2">
        <f t="shared" si="123"/>
        <v>5191.8526599127681</v>
      </c>
      <c r="CA22" s="2">
        <f t="shared" si="123"/>
        <v>5139.9341333136408</v>
      </c>
      <c r="CB22" s="2">
        <f t="shared" si="123"/>
        <v>5088.5347919805045</v>
      </c>
      <c r="CC22" s="2">
        <f t="shared" si="123"/>
        <v>5037.6494440606994</v>
      </c>
      <c r="CD22" s="2">
        <f t="shared" si="123"/>
        <v>4987.2729496200927</v>
      </c>
      <c r="CE22" s="2">
        <f t="shared" si="123"/>
        <v>4937.4002201238918</v>
      </c>
      <c r="CF22" s="2">
        <f t="shared" si="123"/>
        <v>4888.0262179226529</v>
      </c>
      <c r="CG22" s="2">
        <f t="shared" si="123"/>
        <v>4839.1459557434264</v>
      </c>
      <c r="CH22" s="2">
        <f t="shared" si="123"/>
        <v>4790.7544961859921</v>
      </c>
      <c r="CI22" s="2">
        <f t="shared" si="123"/>
        <v>4742.8469512241318</v>
      </c>
      <c r="CJ22" s="2">
        <f t="shared" si="123"/>
        <v>4695.4184817118903</v>
      </c>
      <c r="CK22" s="2">
        <f t="shared" si="123"/>
        <v>4648.464296894771</v>
      </c>
      <c r="CL22" s="2">
        <f t="shared" si="123"/>
        <v>4601.9796539258232</v>
      </c>
      <c r="CM22" s="2">
        <f t="shared" si="123"/>
        <v>4555.9598573865651</v>
      </c>
      <c r="CN22" s="2">
        <f t="shared" si="123"/>
        <v>4510.4002588126996</v>
      </c>
      <c r="CO22" s="2">
        <f t="shared" si="123"/>
        <v>4465.296256224573</v>
      </c>
      <c r="CP22" s="2">
        <f t="shared" si="123"/>
        <v>4420.6432936623269</v>
      </c>
      <c r="CQ22" s="2">
        <f t="shared" si="123"/>
        <v>4376.4368607257038</v>
      </c>
      <c r="CR22" s="2">
        <f t="shared" si="123"/>
        <v>4332.6724921184468</v>
      </c>
      <c r="CS22" s="2">
        <f t="shared" si="123"/>
        <v>4289.3457671972619</v>
      </c>
      <c r="CT22" s="2">
        <f t="shared" si="123"/>
        <v>4246.4523095252889</v>
      </c>
      <c r="CU22" s="2">
        <f t="shared" si="123"/>
        <v>4203.9877864300361</v>
      </c>
      <c r="CV22" s="2">
        <f t="shared" si="123"/>
        <v>4161.9479085657358</v>
      </c>
      <c r="CW22" s="2">
        <f t="shared" si="123"/>
        <v>4120.3284294800787</v>
      </c>
      <c r="CX22" s="2">
        <f t="shared" si="123"/>
        <v>4079.1251451852777</v>
      </c>
      <c r="CY22" s="2">
        <f t="shared" ref="CY22:EU22" si="124">CX22*(1+$AO$27)</f>
        <v>4038.3338937334247</v>
      </c>
      <c r="CZ22" s="2">
        <f t="shared" si="124"/>
        <v>3997.9505547960903</v>
      </c>
      <c r="DA22" s="2">
        <f t="shared" si="124"/>
        <v>3957.9710492481295</v>
      </c>
      <c r="DB22" s="2">
        <f t="shared" si="124"/>
        <v>3918.3913387556481</v>
      </c>
      <c r="DC22" s="2">
        <f t="shared" si="124"/>
        <v>3879.2074253680917</v>
      </c>
      <c r="DD22" s="2">
        <f t="shared" si="124"/>
        <v>3840.4153511144109</v>
      </c>
      <c r="DE22" s="2">
        <f t="shared" si="124"/>
        <v>3802.0111976032667</v>
      </c>
      <c r="DF22" s="2">
        <f t="shared" si="124"/>
        <v>3763.991085627234</v>
      </c>
      <c r="DG22" s="2">
        <f t="shared" si="124"/>
        <v>3726.3511747709617</v>
      </c>
      <c r="DH22" s="2">
        <f t="shared" si="124"/>
        <v>3689.0876630232519</v>
      </c>
      <c r="DI22" s="2">
        <f t="shared" si="124"/>
        <v>3652.1967863930195</v>
      </c>
      <c r="DJ22" s="2">
        <f t="shared" si="124"/>
        <v>3615.6748185290894</v>
      </c>
      <c r="DK22" s="2">
        <f t="shared" si="124"/>
        <v>3579.5180703437986</v>
      </c>
      <c r="DL22" s="2">
        <f t="shared" si="124"/>
        <v>3543.7228896403608</v>
      </c>
      <c r="DM22" s="2">
        <f t="shared" si="124"/>
        <v>3508.2856607439571</v>
      </c>
      <c r="DN22" s="2">
        <f t="shared" si="124"/>
        <v>3473.2028041365174</v>
      </c>
      <c r="DO22" s="2">
        <f t="shared" si="124"/>
        <v>3438.4707760951524</v>
      </c>
      <c r="DP22" s="2">
        <f t="shared" si="124"/>
        <v>3404.0860683342007</v>
      </c>
      <c r="DQ22" s="2">
        <f t="shared" si="124"/>
        <v>3370.0452076508586</v>
      </c>
      <c r="DR22" s="2">
        <f t="shared" si="124"/>
        <v>3336.3447555743501</v>
      </c>
      <c r="DS22" s="2">
        <f t="shared" si="124"/>
        <v>3302.9813080186063</v>
      </c>
      <c r="DT22" s="2">
        <f t="shared" si="124"/>
        <v>3269.9514949384202</v>
      </c>
      <c r="DU22" s="2">
        <f t="shared" si="124"/>
        <v>3237.251979989036</v>
      </c>
      <c r="DV22" s="2">
        <f t="shared" si="124"/>
        <v>3204.8794601891454</v>
      </c>
      <c r="DW22" s="2">
        <f t="shared" si="124"/>
        <v>3172.8306655872539</v>
      </c>
      <c r="DX22" s="2">
        <f t="shared" si="124"/>
        <v>3141.1023589313813</v>
      </c>
      <c r="DY22" s="2">
        <f t="shared" si="124"/>
        <v>3109.6913353420673</v>
      </c>
      <c r="DZ22" s="2">
        <f t="shared" si="124"/>
        <v>3078.5944219886464</v>
      </c>
      <c r="EA22" s="2">
        <f t="shared" si="124"/>
        <v>3047.80847776876</v>
      </c>
      <c r="EB22" s="2">
        <f t="shared" si="124"/>
        <v>3017.3303929910726</v>
      </c>
      <c r="EC22" s="2">
        <f t="shared" si="124"/>
        <v>2987.157089061162</v>
      </c>
      <c r="ED22" s="2">
        <f t="shared" si="124"/>
        <v>2957.2855181705504</v>
      </c>
      <c r="EE22" s="2">
        <f t="shared" si="124"/>
        <v>2927.7126629888448</v>
      </c>
      <c r="EF22" s="2">
        <f t="shared" si="124"/>
        <v>2898.4355363589561</v>
      </c>
      <c r="EG22" s="2">
        <f t="shared" si="124"/>
        <v>2869.4511809953665</v>
      </c>
      <c r="EH22" s="2">
        <f t="shared" si="124"/>
        <v>2840.7566691854126</v>
      </c>
      <c r="EI22" s="2">
        <f t="shared" si="124"/>
        <v>2812.3491024935583</v>
      </c>
      <c r="EJ22" s="2">
        <f t="shared" si="124"/>
        <v>2784.2256114686229</v>
      </c>
      <c r="EK22" s="2">
        <f t="shared" si="124"/>
        <v>2756.3833553539366</v>
      </c>
      <c r="EL22" s="2">
        <f t="shared" si="124"/>
        <v>2728.8195218003971</v>
      </c>
      <c r="EM22" s="2">
        <f t="shared" si="124"/>
        <v>2701.5313265823929</v>
      </c>
      <c r="EN22" s="2">
        <f t="shared" si="124"/>
        <v>2674.5160133165691</v>
      </c>
      <c r="EO22" s="2">
        <f t="shared" si="124"/>
        <v>2647.7708531834032</v>
      </c>
      <c r="EP22" s="2">
        <f t="shared" si="124"/>
        <v>2621.293144651569</v>
      </c>
      <c r="EQ22" s="2">
        <f t="shared" si="124"/>
        <v>2595.0802132050535</v>
      </c>
      <c r="ER22" s="2">
        <f t="shared" si="124"/>
        <v>2569.1294110730028</v>
      </c>
      <c r="ES22" s="2">
        <f t="shared" si="124"/>
        <v>2543.4381169622725</v>
      </c>
      <c r="ET22" s="2">
        <f t="shared" si="124"/>
        <v>2518.0037357926499</v>
      </c>
      <c r="EU22" s="2">
        <f t="shared" si="124"/>
        <v>2492.8236984347232</v>
      </c>
    </row>
    <row r="23" spans="2:151" x14ac:dyDescent="0.3">
      <c r="B23" s="1" t="s">
        <v>2</v>
      </c>
      <c r="G23" s="6">
        <v>790</v>
      </c>
      <c r="H23" s="6">
        <v>790</v>
      </c>
      <c r="I23" s="6">
        <v>790</v>
      </c>
      <c r="J23" s="6">
        <v>790</v>
      </c>
      <c r="K23" s="6">
        <v>790</v>
      </c>
      <c r="L23" s="6">
        <v>790</v>
      </c>
      <c r="M23" s="6">
        <v>790</v>
      </c>
      <c r="N23" s="6">
        <v>790</v>
      </c>
      <c r="O23" s="6">
        <v>790</v>
      </c>
      <c r="P23" s="6">
        <f>789.3</f>
        <v>789.3</v>
      </c>
      <c r="Q23" s="6">
        <f>789.3</f>
        <v>789.3</v>
      </c>
      <c r="R23" s="6">
        <f>789.3</f>
        <v>789.3</v>
      </c>
      <c r="U23" s="6">
        <v>790</v>
      </c>
      <c r="V23" s="6">
        <v>790</v>
      </c>
      <c r="W23" s="6">
        <v>790</v>
      </c>
      <c r="X23" s="6">
        <v>790</v>
      </c>
      <c r="Y23" s="6">
        <v>790</v>
      </c>
      <c r="Z23" s="6">
        <v>790</v>
      </c>
      <c r="AA23" s="6">
        <f t="shared" ref="AA23:AK23" si="125">789.3</f>
        <v>789.3</v>
      </c>
      <c r="AB23" s="6">
        <f t="shared" si="125"/>
        <v>789.3</v>
      </c>
      <c r="AC23" s="6">
        <f t="shared" si="125"/>
        <v>789.3</v>
      </c>
      <c r="AD23" s="6">
        <f t="shared" si="125"/>
        <v>789.3</v>
      </c>
      <c r="AE23" s="6">
        <f t="shared" si="125"/>
        <v>789.3</v>
      </c>
      <c r="AF23" s="6">
        <f t="shared" si="125"/>
        <v>789.3</v>
      </c>
      <c r="AG23" s="6">
        <f t="shared" si="125"/>
        <v>789.3</v>
      </c>
      <c r="AH23" s="6">
        <f t="shared" si="125"/>
        <v>789.3</v>
      </c>
      <c r="AI23" s="6">
        <f t="shared" si="125"/>
        <v>789.3</v>
      </c>
      <c r="AJ23" s="6">
        <f t="shared" si="125"/>
        <v>789.3</v>
      </c>
      <c r="AK23" s="6">
        <f t="shared" si="125"/>
        <v>789.3</v>
      </c>
    </row>
    <row r="24" spans="2:151" x14ac:dyDescent="0.3">
      <c r="B24" s="1" t="s">
        <v>31</v>
      </c>
      <c r="G24" s="7">
        <f t="shared" ref="G24" si="126">G22/G23</f>
        <v>0.58987341772151902</v>
      </c>
      <c r="H24" s="7">
        <f t="shared" ref="H24" si="127">H22/H23</f>
        <v>1.3417721518987342</v>
      </c>
      <c r="I24" s="7">
        <f t="shared" ref="I24:J24" si="128">I22/I23</f>
        <v>1.0202531645569621</v>
      </c>
      <c r="J24" s="7">
        <f t="shared" si="128"/>
        <v>1.8443037974683545</v>
      </c>
      <c r="K24" s="7">
        <f t="shared" ref="K24:L24" si="129">K22/K23</f>
        <v>0.75316455696202533</v>
      </c>
      <c r="L24" s="7">
        <f t="shared" si="129"/>
        <v>0.29113924050632911</v>
      </c>
      <c r="M24" s="7">
        <f t="shared" ref="M24:O24" si="130">M22/M23</f>
        <v>1.2443037974683544</v>
      </c>
      <c r="N24" s="7">
        <f t="shared" ref="N24" si="131">N22/N23</f>
        <v>3.0683544303797468</v>
      </c>
      <c r="O24" s="7">
        <f t="shared" si="130"/>
        <v>1.0037974683544304</v>
      </c>
      <c r="P24" s="7">
        <f t="shared" ref="P24:R24" si="132">P22/P23</f>
        <v>0.92740402888635509</v>
      </c>
      <c r="Q24" s="7">
        <f t="shared" si="132"/>
        <v>1.1914027629545165</v>
      </c>
      <c r="R24" s="7">
        <f t="shared" si="132"/>
        <v>3.069715869758014</v>
      </c>
      <c r="U24" s="7">
        <f t="shared" ref="U24:AA24" si="133">U22/U23</f>
        <v>-1.7240506329113925</v>
      </c>
      <c r="V24" s="7">
        <f t="shared" si="133"/>
        <v>-1.4341772151898735</v>
      </c>
      <c r="W24" s="7">
        <f t="shared" si="133"/>
        <v>5.3329113924050633</v>
      </c>
      <c r="X24" s="7">
        <f t="shared" si="133"/>
        <v>5.3759493670886078</v>
      </c>
      <c r="Y24" s="7">
        <f t="shared" si="133"/>
        <v>4.7962025316455694</v>
      </c>
      <c r="Z24" s="7">
        <f t="shared" si="133"/>
        <v>5.3569620253164558</v>
      </c>
      <c r="AA24" s="7">
        <f t="shared" si="133"/>
        <v>6.6772182146205497</v>
      </c>
      <c r="AB24" s="7">
        <f t="shared" ref="AB24" si="134">AB22/AB23</f>
        <v>7.2973121270999632</v>
      </c>
      <c r="AC24" s="7">
        <f t="shared" ref="AC24" si="135">AC22/AC23</f>
        <v>8.2542346713168655</v>
      </c>
      <c r="AD24" s="7">
        <f t="shared" ref="AD24" si="136">AD22/AD23</f>
        <v>8.4486947723803496</v>
      </c>
      <c r="AE24" s="7">
        <f t="shared" ref="AE24" si="137">AE22/AE23</f>
        <v>8.647337829541474</v>
      </c>
      <c r="AF24" s="7">
        <f t="shared" ref="AF24" si="138">AF22/AF23</f>
        <v>8.8502504394629558</v>
      </c>
      <c r="AG24" s="7">
        <f t="shared" ref="AG24" si="139">AG22/AG23</f>
        <v>9.0575209601161752</v>
      </c>
      <c r="AH24" s="7">
        <f t="shared" ref="AH24" si="140">AH22/AH23</f>
        <v>9.269239546301101</v>
      </c>
      <c r="AI24" s="7">
        <f t="shared" ref="AI24" si="141">AI22/AI23</f>
        <v>9.4854981858795462</v>
      </c>
      <c r="AJ24" s="7">
        <f t="shared" ref="AJ24" si="142">AJ22/AJ23</f>
        <v>9.7063907367360862</v>
      </c>
      <c r="AK24" s="7">
        <f t="shared" ref="AK24" si="143">AK22/AK23</f>
        <v>9.9320129644811477</v>
      </c>
    </row>
    <row r="26" spans="2:151" x14ac:dyDescent="0.3">
      <c r="B26" s="1" t="s">
        <v>33</v>
      </c>
      <c r="G26" s="9"/>
      <c r="H26" s="9"/>
      <c r="I26" s="9"/>
      <c r="J26" s="9"/>
      <c r="K26" s="9">
        <f>K3/G3-1</f>
        <v>9.0708152682138943E-2</v>
      </c>
      <c r="L26" s="9">
        <f>L3/H3-1</f>
        <v>5.9748427672956517E-3</v>
      </c>
      <c r="M26" s="9">
        <f>M3/I3-1</f>
        <v>5.3165066791971638E-2</v>
      </c>
      <c r="N26" s="9">
        <f>N3/J3-1</f>
        <v>7.9961548544962069E-2</v>
      </c>
      <c r="O26" s="9">
        <f>O3/K3-1</f>
        <v>5.549493374902581E-2</v>
      </c>
      <c r="P26" s="9">
        <f t="shared" ref="P26:R26" si="144">P3/L3-1</f>
        <v>4.5639262269459024E-3</v>
      </c>
      <c r="Q26" s="9">
        <f t="shared" si="144"/>
        <v>6.0000000000000053E-2</v>
      </c>
      <c r="R26" s="9">
        <f t="shared" si="144"/>
        <v>0.10000000000000009</v>
      </c>
      <c r="U26" s="9"/>
      <c r="V26" s="9">
        <f t="shared" ref="V26:Y26" si="145">V3/U3-1</f>
        <v>-0.29180737251340849</v>
      </c>
      <c r="W26" s="9">
        <f t="shared" si="145"/>
        <v>4.4818881230966445E-2</v>
      </c>
      <c r="X26" s="9">
        <f t="shared" si="145"/>
        <v>0.12682889413028064</v>
      </c>
      <c r="Y26" s="9">
        <f t="shared" si="145"/>
        <v>0.11372802613889688</v>
      </c>
      <c r="Z26" s="9">
        <f>Z3/Y3-1</f>
        <v>5.7818659658344318E-2</v>
      </c>
      <c r="AA26" s="9">
        <f t="shared" ref="AA26:AK26" si="146">AA3/Z3-1</f>
        <v>6.063758486205395E-2</v>
      </c>
      <c r="AB26" s="9">
        <f t="shared" si="146"/>
        <v>3.0000000000000027E-2</v>
      </c>
      <c r="AC26" s="9">
        <f t="shared" si="146"/>
        <v>2.0000000000000018E-2</v>
      </c>
      <c r="AD26" s="9">
        <f t="shared" si="146"/>
        <v>2.0000000000000018E-2</v>
      </c>
      <c r="AE26" s="9">
        <f t="shared" si="146"/>
        <v>2.0000000000000018E-2</v>
      </c>
      <c r="AF26" s="9">
        <f t="shared" si="146"/>
        <v>2.0000000000000018E-2</v>
      </c>
      <c r="AG26" s="9">
        <f t="shared" si="146"/>
        <v>2.0000000000000018E-2</v>
      </c>
      <c r="AH26" s="9">
        <f t="shared" si="146"/>
        <v>2.0000000000000018E-2</v>
      </c>
      <c r="AI26" s="9">
        <f t="shared" si="146"/>
        <v>2.0000000000000018E-2</v>
      </c>
      <c r="AJ26" s="9">
        <f t="shared" si="146"/>
        <v>2.0000000000000018E-2</v>
      </c>
      <c r="AK26" s="9">
        <f t="shared" si="146"/>
        <v>2.0000000000000018E-2</v>
      </c>
    </row>
    <row r="27" spans="2:151" x14ac:dyDescent="0.3">
      <c r="B27" s="1" t="s">
        <v>34</v>
      </c>
      <c r="G27" s="9">
        <f t="shared" ref="G27" si="147">G5/G3</f>
        <v>0.14112046246705773</v>
      </c>
      <c r="H27" s="9">
        <f t="shared" ref="H27:I27" si="148">H5/H3</f>
        <v>0.17968553459119496</v>
      </c>
      <c r="I27" s="9">
        <f t="shared" si="148"/>
        <v>0.13767872726052224</v>
      </c>
      <c r="J27" s="9">
        <f t="shared" ref="J27" si="149">J5/J3</f>
        <v>0.1518832474001573</v>
      </c>
      <c r="K27" s="9">
        <f t="shared" ref="K27:L27" si="150">K5/K3</f>
        <v>0.15066250974279033</v>
      </c>
      <c r="L27" s="9">
        <f t="shared" si="150"/>
        <v>0.14004376367614879</v>
      </c>
      <c r="M27" s="9">
        <f t="shared" ref="M27:O27" si="151">M5/M3</f>
        <v>0.1572439288673593</v>
      </c>
      <c r="N27" s="9">
        <f t="shared" ref="N27" si="152">N5/N3</f>
        <v>0.16325457193720666</v>
      </c>
      <c r="O27" s="9">
        <f t="shared" si="151"/>
        <v>0.1386796632698272</v>
      </c>
      <c r="P27" s="9">
        <f t="shared" ref="P27:R27" si="153">P5/P3</f>
        <v>0.14762260393328355</v>
      </c>
      <c r="Q27" s="9">
        <f t="shared" si="153"/>
        <v>0.15</v>
      </c>
      <c r="R27" s="9">
        <f t="shared" si="153"/>
        <v>0.17</v>
      </c>
      <c r="U27" s="9">
        <f t="shared" ref="U27:Y27" si="154">U5/U3</f>
        <v>0.14905360538040238</v>
      </c>
      <c r="V27" s="9">
        <f t="shared" si="154"/>
        <v>0.11343965379067159</v>
      </c>
      <c r="W27" s="9">
        <f t="shared" si="154"/>
        <v>0.18468235248998063</v>
      </c>
      <c r="X27" s="9">
        <f t="shared" si="154"/>
        <v>0.17989210898014057</v>
      </c>
      <c r="Y27" s="9">
        <f t="shared" si="154"/>
        <v>0.15347003636585888</v>
      </c>
      <c r="Z27" s="9">
        <f>Z5/Z3</f>
        <v>0.15419615773508594</v>
      </c>
      <c r="AA27" s="9">
        <f t="shared" ref="AA27:AK27" si="155">AA5/AA3</f>
        <v>0.16</v>
      </c>
      <c r="AB27" s="9">
        <f t="shared" si="155"/>
        <v>0.17</v>
      </c>
      <c r="AC27" s="9">
        <f t="shared" si="155"/>
        <v>0.18</v>
      </c>
      <c r="AD27" s="9">
        <f t="shared" si="155"/>
        <v>0.18</v>
      </c>
      <c r="AE27" s="9">
        <f t="shared" si="155"/>
        <v>0.18</v>
      </c>
      <c r="AF27" s="9">
        <f t="shared" si="155"/>
        <v>0.18</v>
      </c>
      <c r="AG27" s="9">
        <f t="shared" si="155"/>
        <v>0.18</v>
      </c>
      <c r="AH27" s="9">
        <f t="shared" si="155"/>
        <v>0.18</v>
      </c>
      <c r="AI27" s="9">
        <f t="shared" si="155"/>
        <v>0.18</v>
      </c>
      <c r="AJ27" s="9">
        <f t="shared" si="155"/>
        <v>0.18</v>
      </c>
      <c r="AK27" s="9">
        <f t="shared" si="155"/>
        <v>0.18</v>
      </c>
      <c r="AN27" s="1" t="s">
        <v>40</v>
      </c>
      <c r="AO27" s="9">
        <v>-0.01</v>
      </c>
    </row>
    <row r="28" spans="2:151" x14ac:dyDescent="0.3">
      <c r="B28" s="1" t="s">
        <v>35</v>
      </c>
      <c r="G28" s="9">
        <f t="shared" ref="G28" si="156">G6/G3</f>
        <v>1.7427526991413755E-2</v>
      </c>
      <c r="H28" s="9">
        <f t="shared" ref="H28:I28" si="157">H6/H3</f>
        <v>1.3773584905660377E-2</v>
      </c>
      <c r="I28" s="9">
        <f t="shared" si="157"/>
        <v>1.4633818889709337E-2</v>
      </c>
      <c r="J28" s="9">
        <f t="shared" ref="J28" si="158">J6/J3</f>
        <v>9.831337935855982E-3</v>
      </c>
      <c r="K28" s="9">
        <f t="shared" ref="K28:L28" si="159">K6/K3</f>
        <v>1.7614964925954792E-2</v>
      </c>
      <c r="L28" s="9">
        <f t="shared" si="159"/>
        <v>1.4629571741169115E-2</v>
      </c>
      <c r="M28" s="9">
        <f t="shared" ref="M28:O28" si="160">M6/M3</f>
        <v>1.2939001848428836E-2</v>
      </c>
      <c r="N28" s="9">
        <f t="shared" ref="N28" si="161">N6/N3</f>
        <v>8.6583589577601556E-3</v>
      </c>
      <c r="O28" s="9">
        <f t="shared" si="160"/>
        <v>1.6171909614532565E-2</v>
      </c>
      <c r="P28" s="9">
        <f t="shared" ref="P28:R28" si="162">P6/P3</f>
        <v>1.300721931789893E-2</v>
      </c>
      <c r="Q28" s="9">
        <f t="shared" si="162"/>
        <v>1.2999999999999999E-2</v>
      </c>
      <c r="R28" s="9">
        <f t="shared" si="162"/>
        <v>8.9999999999999993E-3</v>
      </c>
      <c r="U28" s="9">
        <f t="shared" ref="U28:Y28" si="163">U6/U3</f>
        <v>1.2883452992423168E-2</v>
      </c>
      <c r="V28" s="9">
        <f t="shared" si="163"/>
        <v>1.4365282897900305E-2</v>
      </c>
      <c r="W28" s="9">
        <f t="shared" si="163"/>
        <v>1.3672361886133962E-2</v>
      </c>
      <c r="X28" s="9">
        <f t="shared" si="163"/>
        <v>1.3409798682844648E-2</v>
      </c>
      <c r="Y28" s="9">
        <f t="shared" si="163"/>
        <v>1.3247562876264401E-2</v>
      </c>
      <c r="Z28" s="9">
        <f>Z6/Z3</f>
        <v>1.2667918532428138E-2</v>
      </c>
      <c r="AA28" s="9">
        <f t="shared" ref="AA28:AK28" si="164">AA6/AA3</f>
        <v>1.2105512152458588E-2</v>
      </c>
      <c r="AB28" s="9">
        <f t="shared" si="164"/>
        <v>1.2999999999999999E-2</v>
      </c>
      <c r="AC28" s="9">
        <f t="shared" si="164"/>
        <v>1.2999999999999999E-2</v>
      </c>
      <c r="AD28" s="9">
        <f t="shared" si="164"/>
        <v>1.2999999999999999E-2</v>
      </c>
      <c r="AE28" s="9">
        <f t="shared" si="164"/>
        <v>1.3000000000000001E-2</v>
      </c>
      <c r="AF28" s="9">
        <f t="shared" si="164"/>
        <v>1.2999999999999999E-2</v>
      </c>
      <c r="AG28" s="9">
        <f t="shared" si="164"/>
        <v>1.2999999999999999E-2</v>
      </c>
      <c r="AH28" s="9">
        <f t="shared" si="164"/>
        <v>1.2999999999999998E-2</v>
      </c>
      <c r="AI28" s="9">
        <f t="shared" si="164"/>
        <v>1.3000000000000001E-2</v>
      </c>
      <c r="AJ28" s="9">
        <f t="shared" si="164"/>
        <v>1.2999999999999998E-2</v>
      </c>
      <c r="AK28" s="9">
        <f t="shared" si="164"/>
        <v>1.2999999999999999E-2</v>
      </c>
      <c r="AN28" s="1" t="s">
        <v>41</v>
      </c>
      <c r="AO28" s="9">
        <v>7.0000000000000007E-2</v>
      </c>
    </row>
    <row r="29" spans="2:151" x14ac:dyDescent="0.3">
      <c r="B29" s="1" t="s">
        <v>36</v>
      </c>
      <c r="G29" s="9"/>
      <c r="H29" s="9"/>
      <c r="I29" s="9"/>
      <c r="J29" s="9"/>
      <c r="K29" s="9">
        <f t="shared" ref="K29:O30" si="165">K7/G7-1</f>
        <v>0.1518324607329844</v>
      </c>
      <c r="L29" s="9">
        <f t="shared" si="165"/>
        <v>0</v>
      </c>
      <c r="M29" s="9">
        <f t="shared" si="165"/>
        <v>-1.4814814814814836E-2</v>
      </c>
      <c r="N29" s="9">
        <f t="shared" si="165"/>
        <v>8.9834515366430168E-2</v>
      </c>
      <c r="O29" s="9">
        <f t="shared" si="165"/>
        <v>1.3636363636363669E-2</v>
      </c>
      <c r="P29" s="9">
        <f t="shared" ref="P29:R29" si="166">P7/L7-1</f>
        <v>-3.3783783783783772E-2</v>
      </c>
      <c r="Q29" s="9">
        <f t="shared" si="166"/>
        <v>2.0000000000000018E-2</v>
      </c>
      <c r="R29" s="9">
        <f t="shared" si="166"/>
        <v>2.0000000000000018E-2</v>
      </c>
      <c r="U29" s="9"/>
      <c r="V29" s="9">
        <f t="shared" ref="V29:Y29" si="167">V7/U7-1</f>
        <v>-0.72723787617404634</v>
      </c>
      <c r="W29" s="9">
        <f t="shared" si="167"/>
        <v>-5.9030217849613487E-2</v>
      </c>
      <c r="X29" s="9">
        <f t="shared" si="167"/>
        <v>8.4391336818521179E-2</v>
      </c>
      <c r="Y29" s="9">
        <f t="shared" si="167"/>
        <v>0.1391184573002755</v>
      </c>
      <c r="Z29" s="9">
        <f>Z7/Y7-1</f>
        <v>5.4413542926239344E-2</v>
      </c>
      <c r="AA29" s="9">
        <f t="shared" ref="AA29:AK29" si="168">AA7/Z7-1</f>
        <v>4.7018348623852901E-3</v>
      </c>
      <c r="AB29" s="9">
        <f t="shared" si="168"/>
        <v>3.0000000000000027E-2</v>
      </c>
      <c r="AC29" s="9">
        <f t="shared" si="168"/>
        <v>2.0000000000000018E-2</v>
      </c>
      <c r="AD29" s="9">
        <f t="shared" si="168"/>
        <v>2.0000000000000018E-2</v>
      </c>
      <c r="AE29" s="9">
        <f t="shared" si="168"/>
        <v>2.0000000000000018E-2</v>
      </c>
      <c r="AF29" s="9">
        <f t="shared" si="168"/>
        <v>2.0000000000000018E-2</v>
      </c>
      <c r="AG29" s="9">
        <f t="shared" si="168"/>
        <v>2.0000000000000018E-2</v>
      </c>
      <c r="AH29" s="9">
        <f t="shared" si="168"/>
        <v>2.0000000000000018E-2</v>
      </c>
      <c r="AI29" s="9">
        <f t="shared" si="168"/>
        <v>2.0000000000000018E-2</v>
      </c>
      <c r="AJ29" s="9">
        <f t="shared" si="168"/>
        <v>2.0000000000000018E-2</v>
      </c>
      <c r="AK29" s="9">
        <f t="shared" si="168"/>
        <v>2.0000000000000018E-2</v>
      </c>
      <c r="AN29" s="1" t="s">
        <v>42</v>
      </c>
      <c r="AO29" s="6">
        <f>NPV(AO28,AA22:EU22)</f>
        <v>96367.748319997729</v>
      </c>
    </row>
    <row r="30" spans="2:151" x14ac:dyDescent="0.3">
      <c r="B30" s="1" t="s">
        <v>37</v>
      </c>
      <c r="G30" s="9"/>
      <c r="H30" s="9"/>
      <c r="I30" s="9"/>
      <c r="J30" s="9"/>
      <c r="K30" s="9">
        <f t="shared" si="165"/>
        <v>8.7847730600292717E-2</v>
      </c>
      <c r="L30" s="9">
        <f t="shared" si="165"/>
        <v>0.13636363636363646</v>
      </c>
      <c r="M30" s="9">
        <f t="shared" si="165"/>
        <v>2.9891304347826164E-2</v>
      </c>
      <c r="N30" s="9">
        <f t="shared" si="165"/>
        <v>-0.17522935779816518</v>
      </c>
      <c r="O30" s="9">
        <f t="shared" si="165"/>
        <v>-9.4212651413189796E-2</v>
      </c>
      <c r="P30" s="9">
        <f t="shared" ref="P30:R30" si="169">P8/L8-1</f>
        <v>-0.13764705882352946</v>
      </c>
      <c r="Q30" s="9">
        <f t="shared" si="169"/>
        <v>-9.9999999999999978E-2</v>
      </c>
      <c r="R30" s="9">
        <f t="shared" si="169"/>
        <v>-7.999999999999996E-2</v>
      </c>
      <c r="U30" s="9"/>
      <c r="V30" s="9">
        <f t="shared" ref="V30:Y30" si="170">V8/U8-1</f>
        <v>-0.14889815366289461</v>
      </c>
      <c r="W30" s="9">
        <f t="shared" si="170"/>
        <v>-3.9188243526941946E-2</v>
      </c>
      <c r="X30" s="9">
        <f t="shared" si="170"/>
        <v>0.12126729788783686</v>
      </c>
      <c r="Y30" s="9">
        <f t="shared" si="170"/>
        <v>5.7810977590126766E-2</v>
      </c>
      <c r="Z30" s="9">
        <f>Z8/Y8-1</f>
        <v>-2.149217070924192E-3</v>
      </c>
      <c r="AA30" s="9">
        <f t="shared" ref="AA30:AK30" si="171">AA8/Z8-1</f>
        <v>-0.10299076923076933</v>
      </c>
      <c r="AB30" s="9">
        <f t="shared" si="171"/>
        <v>2.0000000000000018E-2</v>
      </c>
      <c r="AC30" s="9">
        <f t="shared" si="171"/>
        <v>1.0000000000000009E-2</v>
      </c>
      <c r="AD30" s="9">
        <f t="shared" si="171"/>
        <v>1.0000000000000009E-2</v>
      </c>
      <c r="AE30" s="9">
        <f t="shared" si="171"/>
        <v>1.0000000000000009E-2</v>
      </c>
      <c r="AF30" s="9">
        <f t="shared" si="171"/>
        <v>1.0000000000000009E-2</v>
      </c>
      <c r="AG30" s="9">
        <f t="shared" si="171"/>
        <v>1.0000000000000009E-2</v>
      </c>
      <c r="AH30" s="9">
        <f t="shared" si="171"/>
        <v>1.0000000000000009E-2</v>
      </c>
      <c r="AI30" s="9">
        <f t="shared" si="171"/>
        <v>1.0000000000000009E-2</v>
      </c>
      <c r="AJ30" s="9">
        <f t="shared" si="171"/>
        <v>1.0000000000000009E-2</v>
      </c>
      <c r="AK30" s="9">
        <f t="shared" si="171"/>
        <v>1.0000000000000009E-2</v>
      </c>
      <c r="AN30" s="1" t="s">
        <v>43</v>
      </c>
      <c r="AO30" s="6">
        <f>Main!D8</f>
        <v>14263</v>
      </c>
    </row>
    <row r="31" spans="2:151" x14ac:dyDescent="0.3">
      <c r="B31" s="1" t="s">
        <v>38</v>
      </c>
      <c r="G31" s="9">
        <f t="shared" ref="G31" si="172">G10/G3</f>
        <v>3.3154807447079826E-2</v>
      </c>
      <c r="H31" s="9">
        <f t="shared" ref="H31:I31" si="173">H10/H3</f>
        <v>9.0943396226415091E-2</v>
      </c>
      <c r="I31" s="9">
        <f t="shared" si="173"/>
        <v>4.6452305833389274E-2</v>
      </c>
      <c r="J31" s="9">
        <f t="shared" ref="J31" si="174">J10/J3</f>
        <v>7.5941623700078648E-2</v>
      </c>
      <c r="K31" s="9">
        <f t="shared" ref="K31:L31" si="175">K10/K3</f>
        <v>4.0841777084957134E-2</v>
      </c>
      <c r="L31" s="9">
        <f t="shared" si="175"/>
        <v>4.4513910597061584E-2</v>
      </c>
      <c r="M31" s="9">
        <f t="shared" ref="M31:O31" si="176">M10/M3</f>
        <v>7.0558990375422265E-2</v>
      </c>
      <c r="N31" s="9">
        <f t="shared" ref="N31" si="177">N10/N3</f>
        <v>9.9571128014241783E-2</v>
      </c>
      <c r="O31" s="9">
        <f t="shared" si="176"/>
        <v>3.9875941515285777E-2</v>
      </c>
      <c r="P31" s="9">
        <f t="shared" ref="P31:R31" si="178">P10/P3</f>
        <v>6.2297734627831718E-2</v>
      </c>
      <c r="Q31" s="9">
        <f t="shared" si="178"/>
        <v>7.1506450258984472E-2</v>
      </c>
      <c r="R31" s="9">
        <f t="shared" si="178"/>
        <v>0.11328339390016037</v>
      </c>
      <c r="U31" s="9">
        <f t="shared" ref="U31:Y31" si="179">U10/U3</f>
        <v>1.4500979028916824E-2</v>
      </c>
      <c r="V31" s="9">
        <f t="shared" si="179"/>
        <v>1.3303414008655234E-2</v>
      </c>
      <c r="W31" s="9">
        <f t="shared" si="179"/>
        <v>9.2676753149628949E-2</v>
      </c>
      <c r="X31" s="9">
        <f t="shared" si="179"/>
        <v>8.9375967870939196E-2</v>
      </c>
      <c r="Y31" s="9">
        <f t="shared" si="179"/>
        <v>6.5183510069370162E-2</v>
      </c>
      <c r="Z31" s="9">
        <f>Z10/Z3</f>
        <v>6.9391882132023686E-2</v>
      </c>
      <c r="AA31" s="9">
        <f t="shared" ref="AA31:AK31" si="180">AA10/AA3</f>
        <v>8.4329038510408974E-2</v>
      </c>
      <c r="AB31" s="9">
        <f t="shared" si="180"/>
        <v>9.3820012781515999E-2</v>
      </c>
      <c r="AC31" s="9">
        <f t="shared" si="180"/>
        <v>0.10420547490016439</v>
      </c>
      <c r="AD31" s="9">
        <f t="shared" si="180"/>
        <v>0.1045871579784339</v>
      </c>
      <c r="AE31" s="9">
        <f t="shared" si="180"/>
        <v>0.10496509906573998</v>
      </c>
      <c r="AF31" s="9">
        <f t="shared" si="180"/>
        <v>0.10533933484826852</v>
      </c>
      <c r="AG31" s="9">
        <f t="shared" si="180"/>
        <v>0.10570990165253702</v>
      </c>
      <c r="AH31" s="9">
        <f t="shared" si="180"/>
        <v>0.10607683544892053</v>
      </c>
      <c r="AI31" s="9">
        <f t="shared" si="180"/>
        <v>0.1064401718551434</v>
      </c>
      <c r="AJ31" s="9">
        <f t="shared" si="180"/>
        <v>0.10679994613973662</v>
      </c>
      <c r="AK31" s="9">
        <f t="shared" si="180"/>
        <v>0.1071561932254613</v>
      </c>
      <c r="AN31" s="1" t="s">
        <v>44</v>
      </c>
      <c r="AO31" s="6">
        <f>AO29+AO30</f>
        <v>110630.74831999773</v>
      </c>
    </row>
    <row r="32" spans="2:151" x14ac:dyDescent="0.3">
      <c r="B32" s="1" t="s">
        <v>28</v>
      </c>
      <c r="G32" s="9">
        <f t="shared" ref="G32" si="181">G20/G19</f>
        <v>0.18738404452690166</v>
      </c>
      <c r="H32" s="9">
        <f t="shared" ref="H32:I32" si="182">H20/H19</f>
        <v>0.30068965517241381</v>
      </c>
      <c r="I32" s="9">
        <f t="shared" si="182"/>
        <v>0.20125786163522014</v>
      </c>
      <c r="J32" s="9">
        <f t="shared" ref="J32" si="183">J20/J19</f>
        <v>0.23384446878422782</v>
      </c>
      <c r="K32" s="9">
        <f t="shared" ref="K32:L32" si="184">K20/K19</f>
        <v>0.3412887828162291</v>
      </c>
      <c r="L32" s="9">
        <f t="shared" si="184"/>
        <v>0.64509803921568631</v>
      </c>
      <c r="M32" s="9">
        <f t="shared" ref="M32:O32" si="185">M20/M19</f>
        <v>0.24959999999999999</v>
      </c>
      <c r="N32" s="9">
        <f t="shared" ref="N32" si="186">N20/N19</f>
        <v>0.14856738592147153</v>
      </c>
      <c r="O32" s="9">
        <f t="shared" si="185"/>
        <v>0.31901279707495428</v>
      </c>
      <c r="P32" s="9">
        <f t="shared" ref="P32:R32" si="187">P20/P19</f>
        <v>0.30997038499506419</v>
      </c>
      <c r="Q32" s="9">
        <f t="shared" si="187"/>
        <v>0.24</v>
      </c>
      <c r="R32" s="9">
        <f t="shared" si="187"/>
        <v>0.24</v>
      </c>
      <c r="U32" s="9">
        <f t="shared" ref="U32:Y32" si="188">U20/U19</f>
        <v>2.2453007518796992</v>
      </c>
      <c r="V32" s="9">
        <f t="shared" si="188"/>
        <v>-3.4513274336283185E-2</v>
      </c>
      <c r="W32" s="9">
        <f t="shared" si="188"/>
        <v>0.16968370797692461</v>
      </c>
      <c r="X32" s="9">
        <f t="shared" si="188"/>
        <v>0.18502463054187193</v>
      </c>
      <c r="Y32" s="9">
        <f t="shared" si="188"/>
        <v>0.24239882574963303</v>
      </c>
      <c r="Z32" s="9">
        <f>Z20/Z19</f>
        <v>0.24829493087557603</v>
      </c>
      <c r="AA32" s="9">
        <f t="shared" ref="AA32:AK32" si="189">AA20/AA19</f>
        <v>0.2496688838864867</v>
      </c>
      <c r="AB32" s="9">
        <f t="shared" si="189"/>
        <v>0.23000000000000004</v>
      </c>
      <c r="AC32" s="9">
        <f t="shared" si="189"/>
        <v>0.23</v>
      </c>
      <c r="AD32" s="9">
        <f t="shared" si="189"/>
        <v>0.23</v>
      </c>
      <c r="AE32" s="9">
        <f t="shared" si="189"/>
        <v>0.23</v>
      </c>
      <c r="AF32" s="9">
        <f t="shared" si="189"/>
        <v>0.23</v>
      </c>
      <c r="AG32" s="9">
        <f t="shared" si="189"/>
        <v>0.23</v>
      </c>
      <c r="AH32" s="9">
        <f t="shared" si="189"/>
        <v>0.23</v>
      </c>
      <c r="AI32" s="9">
        <f t="shared" si="189"/>
        <v>0.23</v>
      </c>
      <c r="AJ32" s="9">
        <f t="shared" si="189"/>
        <v>0.22999999999999998</v>
      </c>
      <c r="AK32" s="9">
        <f t="shared" si="189"/>
        <v>0.23</v>
      </c>
      <c r="AN32" s="1" t="s">
        <v>45</v>
      </c>
      <c r="AO32" s="10">
        <f>AO31/AK23</f>
        <v>140.1631170910905</v>
      </c>
    </row>
    <row r="33" spans="2:41" x14ac:dyDescent="0.3">
      <c r="B33" s="1" t="s">
        <v>29</v>
      </c>
      <c r="G33" s="9">
        <f t="shared" ref="G33" si="190">G21/G19</f>
        <v>-5.1948051948051951E-2</v>
      </c>
      <c r="H33" s="9">
        <f t="shared" ref="H33:I33" si="191">H21/H19</f>
        <v>-3.1724137931034485E-2</v>
      </c>
      <c r="I33" s="9">
        <f t="shared" si="191"/>
        <v>-4.6121593291404611E-2</v>
      </c>
      <c r="J33" s="9">
        <f t="shared" ref="J33" si="192">J21/J19</f>
        <v>-3.1763417305585982E-2</v>
      </c>
      <c r="K33" s="9">
        <f t="shared" ref="K33:L33" si="193">K21/K19</f>
        <v>-5.1312649164677801E-2</v>
      </c>
      <c r="L33" s="9">
        <f t="shared" si="193"/>
        <v>-9.6078431372549025E-2</v>
      </c>
      <c r="M33" s="9">
        <f t="shared" ref="M33:O33" si="194">M21/M19</f>
        <v>-3.5999999999999997E-2</v>
      </c>
      <c r="N33" s="9">
        <f t="shared" ref="N33" si="195">N21/N19</f>
        <v>-6.013441811107181E-3</v>
      </c>
      <c r="O33" s="9">
        <f t="shared" si="194"/>
        <v>-4.3875685557586835E-2</v>
      </c>
      <c r="P33" s="9">
        <f t="shared" ref="P33:R33" si="196">P21/P19</f>
        <v>-3.257650542941757E-2</v>
      </c>
      <c r="Q33" s="9">
        <f t="shared" si="196"/>
        <v>-4.0879711635876781E-2</v>
      </c>
      <c r="R33" s="9">
        <f t="shared" si="196"/>
        <v>-1.5360473839897011E-2</v>
      </c>
      <c r="U33" s="9">
        <f t="shared" ref="U33:Y33" si="197">U21/U19</f>
        <v>3.4774436090225562E-2</v>
      </c>
      <c r="V33" s="9">
        <f t="shared" si="197"/>
        <v>3.1858407079646017E-2</v>
      </c>
      <c r="W33" s="9">
        <f t="shared" si="197"/>
        <v>-7.7581062263775615E-3</v>
      </c>
      <c r="X33" s="9">
        <f t="shared" si="197"/>
        <v>-2.187192118226601E-2</v>
      </c>
      <c r="Y33" s="9">
        <f t="shared" si="197"/>
        <v>-3.6905011532816105E-2</v>
      </c>
      <c r="Z33" s="9">
        <f>Z21/Z19</f>
        <v>-2.838709677419355E-2</v>
      </c>
      <c r="AA33" s="9">
        <f t="shared" ref="AA33:AK33" si="198">AA21/AA19</f>
        <v>-2.6075013973187504E-2</v>
      </c>
      <c r="AB33" s="9">
        <f t="shared" si="198"/>
        <v>-0.03</v>
      </c>
      <c r="AC33" s="9">
        <f t="shared" si="198"/>
        <v>-0.03</v>
      </c>
      <c r="AD33" s="9">
        <f t="shared" si="198"/>
        <v>-0.03</v>
      </c>
      <c r="AE33" s="9">
        <f t="shared" si="198"/>
        <v>-0.03</v>
      </c>
      <c r="AF33" s="9">
        <f t="shared" si="198"/>
        <v>-0.03</v>
      </c>
      <c r="AG33" s="9">
        <f t="shared" si="198"/>
        <v>-0.03</v>
      </c>
      <c r="AH33" s="9">
        <f t="shared" si="198"/>
        <v>-0.03</v>
      </c>
      <c r="AI33" s="9">
        <f t="shared" si="198"/>
        <v>-0.03</v>
      </c>
      <c r="AJ33" s="9">
        <f t="shared" si="198"/>
        <v>-2.9999999999999995E-2</v>
      </c>
      <c r="AK33" s="9">
        <f t="shared" si="198"/>
        <v>-0.03</v>
      </c>
      <c r="AN33" s="1" t="s">
        <v>46</v>
      </c>
      <c r="AO33" s="10">
        <f>Main!D3</f>
        <v>203.55</v>
      </c>
    </row>
    <row r="34" spans="2:41" x14ac:dyDescent="0.3">
      <c r="B34" s="1" t="s">
        <v>39</v>
      </c>
      <c r="G34" s="9">
        <f t="shared" ref="G34" si="199">G22/G3</f>
        <v>3.9615744282921021E-2</v>
      </c>
      <c r="H34" s="9">
        <f t="shared" ref="H34:I34" si="200">H22/H3</f>
        <v>6.6666666666666666E-2</v>
      </c>
      <c r="I34" s="9">
        <f t="shared" si="200"/>
        <v>5.4104853326173055E-2</v>
      </c>
      <c r="J34" s="9">
        <f t="shared" ref="J34" si="201">J22/J3</f>
        <v>6.3663374989076288E-2</v>
      </c>
      <c r="K34" s="9">
        <f t="shared" ref="K34:L34" si="202">K22/K3</f>
        <v>4.6375681995323458E-2</v>
      </c>
      <c r="L34" s="9">
        <f t="shared" si="202"/>
        <v>1.437949359174742E-2</v>
      </c>
      <c r="M34" s="9">
        <f t="shared" ref="M34:O34" si="203">M22/M3</f>
        <v>6.2655363630569186E-2</v>
      </c>
      <c r="N34" s="9">
        <f t="shared" ref="N34" si="204">N22/N3</f>
        <v>9.8074122026217833E-2</v>
      </c>
      <c r="O34" s="9">
        <f t="shared" si="203"/>
        <v>5.8558558558558557E-2</v>
      </c>
      <c r="P34" s="9">
        <f t="shared" ref="P34:R34" si="205">P22/P3</f>
        <v>4.5556385362210607E-2</v>
      </c>
      <c r="Q34" s="9">
        <f t="shared" si="205"/>
        <v>5.6545699053657347E-2</v>
      </c>
      <c r="R34" s="9">
        <f t="shared" si="205"/>
        <v>8.9118816519295568E-2</v>
      </c>
      <c r="U34" s="9">
        <f t="shared" ref="U34:Y34" si="206">U22/U3</f>
        <v>-1.9325179488634752E-2</v>
      </c>
      <c r="V34" s="9">
        <f t="shared" si="206"/>
        <v>-2.2699951915371053E-2</v>
      </c>
      <c r="W34" s="9">
        <f t="shared" si="206"/>
        <v>8.078774281386028E-2</v>
      </c>
      <c r="X34" s="9">
        <f t="shared" si="206"/>
        <v>7.2273369297006618E-2</v>
      </c>
      <c r="Y34" s="9">
        <f t="shared" si="206"/>
        <v>5.7895058521529201E-2</v>
      </c>
      <c r="Z34" s="9">
        <f>Z22/Z3</f>
        <v>6.1129568106312294E-2</v>
      </c>
      <c r="AA34" s="9">
        <f t="shared" ref="AA34:AK34" si="207">AA22/AA3</f>
        <v>7.1775516741992201E-2</v>
      </c>
      <c r="AB34" s="9">
        <f t="shared" si="207"/>
        <v>7.6156408792842495E-2</v>
      </c>
      <c r="AC34" s="9">
        <f t="shared" si="207"/>
        <v>8.445399026650996E-2</v>
      </c>
      <c r="AD34" s="9">
        <f t="shared" si="207"/>
        <v>8.4748654274749299E-2</v>
      </c>
      <c r="AE34" s="9">
        <f t="shared" si="207"/>
        <v>8.5040429420162766E-2</v>
      </c>
      <c r="AF34" s="9">
        <f t="shared" si="207"/>
        <v>8.5329344024934903E-2</v>
      </c>
      <c r="AG34" s="9">
        <f t="shared" si="207"/>
        <v>8.5615426133581862E-2</v>
      </c>
      <c r="AH34" s="9">
        <f t="shared" si="207"/>
        <v>8.5898703515673455E-2</v>
      </c>
      <c r="AI34" s="9">
        <f t="shared" si="207"/>
        <v>8.6179203668528825E-2</v>
      </c>
      <c r="AJ34" s="9">
        <f t="shared" si="207"/>
        <v>8.6456953819885621E-2</v>
      </c>
      <c r="AK34" s="9">
        <f t="shared" si="207"/>
        <v>8.6731980930542851E-2</v>
      </c>
      <c r="AN34" s="2" t="s">
        <v>47</v>
      </c>
      <c r="AO34" s="11">
        <f>AO32/AO33-1</f>
        <v>-0.31140694133583646</v>
      </c>
    </row>
    <row r="35" spans="2:41" x14ac:dyDescent="0.3">
      <c r="AN35" s="1" t="s">
        <v>48</v>
      </c>
      <c r="AO35" s="12" t="s">
        <v>67</v>
      </c>
    </row>
    <row r="38" spans="2:41" s="13" customFormat="1" x14ac:dyDescent="0.3">
      <c r="B38" s="13" t="s">
        <v>64</v>
      </c>
      <c r="P38" s="13">
        <v>129040</v>
      </c>
    </row>
    <row r="40" spans="2:41" x14ac:dyDescent="0.3">
      <c r="B40" s="1" t="s">
        <v>65</v>
      </c>
      <c r="P40" s="14">
        <f>Main!D9/Model!P38</f>
        <v>1.1345242947923126</v>
      </c>
    </row>
    <row r="41" spans="2:41" x14ac:dyDescent="0.3">
      <c r="B41" s="1" t="s">
        <v>66</v>
      </c>
      <c r="P41" s="9">
        <f>P38/Main!D9-1</f>
        <v>-0.11857330460864102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2025-04-24T09:29:17Z</dcterms:created>
  <dcterms:modified xsi:type="dcterms:W3CDTF">2025-10-04T06:46:55Z</dcterms:modified>
</cp:coreProperties>
</file>