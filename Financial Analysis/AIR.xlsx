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A9F08B6-6C70-4398-830A-FACA8CC5C642}" xr6:coauthVersionLast="47" xr6:coauthVersionMax="47" xr10:uidLastSave="{00000000-0000-0000-0000-000000000000}"/>
  <bookViews>
    <workbookView xWindow="-108" yWindow="-108" windowWidth="23256" windowHeight="12576" activeTab="1" xr2:uid="{07D530EB-ED3E-4FE7-ACCA-598769C814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3" i="2" l="1"/>
  <c r="AB13" i="2"/>
  <c r="AA52" i="2"/>
  <c r="AA51" i="2"/>
  <c r="M13" i="2"/>
  <c r="N13" i="2" s="1"/>
  <c r="R13" i="2" s="1"/>
  <c r="Q13" i="2"/>
  <c r="Q15" i="2" s="1"/>
  <c r="D7" i="1"/>
  <c r="D6" i="1"/>
  <c r="AK33" i="2"/>
  <c r="AJ33" i="2"/>
  <c r="AI33" i="2"/>
  <c r="AH33" i="2"/>
  <c r="AG33" i="2"/>
  <c r="AF33" i="2"/>
  <c r="AE33" i="2"/>
  <c r="AD33" i="2"/>
  <c r="AC33" i="2"/>
  <c r="AB33" i="2"/>
  <c r="AA33" i="2"/>
  <c r="R33" i="2"/>
  <c r="Q33" i="2"/>
  <c r="D4" i="1"/>
  <c r="D5" i="1" s="1"/>
  <c r="Y7" i="2"/>
  <c r="Z7" i="2"/>
  <c r="P15" i="2"/>
  <c r="P37" i="2" s="1"/>
  <c r="P33" i="2"/>
  <c r="AA31" i="2"/>
  <c r="AA27" i="2"/>
  <c r="AA26" i="2"/>
  <c r="AB26" i="2" s="1"/>
  <c r="AC26" i="2" s="1"/>
  <c r="AD26" i="2" s="1"/>
  <c r="AE26" i="2" s="1"/>
  <c r="AF26" i="2" s="1"/>
  <c r="AG26" i="2" s="1"/>
  <c r="AH26" i="2" s="1"/>
  <c r="AI26" i="2" s="1"/>
  <c r="AJ26" i="2" s="1"/>
  <c r="AK26" i="2" s="1"/>
  <c r="AA25" i="2"/>
  <c r="AB25" i="2" s="1"/>
  <c r="AC25" i="2" s="1"/>
  <c r="AD25" i="2" s="1"/>
  <c r="AE25" i="2" s="1"/>
  <c r="AF25" i="2" s="1"/>
  <c r="AG25" i="2" s="1"/>
  <c r="AH25" i="2" s="1"/>
  <c r="AI25" i="2" s="1"/>
  <c r="AJ25" i="2" s="1"/>
  <c r="AK25" i="2" s="1"/>
  <c r="AA24" i="2"/>
  <c r="AA23" i="2"/>
  <c r="AB23" i="2" s="1"/>
  <c r="AC23" i="2" s="1"/>
  <c r="AD23" i="2" s="1"/>
  <c r="AE23" i="2" s="1"/>
  <c r="AF23" i="2" s="1"/>
  <c r="AG23" i="2" s="1"/>
  <c r="AH23" i="2" s="1"/>
  <c r="AI23" i="2" s="1"/>
  <c r="AJ23" i="2" s="1"/>
  <c r="AK23" i="2" s="1"/>
  <c r="AA22" i="2"/>
  <c r="AB22" i="2" s="1"/>
  <c r="AA21" i="2"/>
  <c r="AB21" i="2" s="1"/>
  <c r="AC21" i="2" s="1"/>
  <c r="R28" i="2"/>
  <c r="Q28" i="2"/>
  <c r="P39" i="2"/>
  <c r="P36" i="2"/>
  <c r="Q40" i="2"/>
  <c r="P28" i="2"/>
  <c r="N31" i="2"/>
  <c r="N30" i="2"/>
  <c r="N27" i="2"/>
  <c r="N26" i="2"/>
  <c r="N25" i="2"/>
  <c r="N24" i="2"/>
  <c r="N23" i="2"/>
  <c r="N22" i="2"/>
  <c r="N21" i="2"/>
  <c r="N18" i="2"/>
  <c r="N17" i="2"/>
  <c r="N16" i="2"/>
  <c r="N14" i="2"/>
  <c r="J31" i="2"/>
  <c r="J30" i="2"/>
  <c r="J27" i="2"/>
  <c r="J26" i="2"/>
  <c r="J25" i="2"/>
  <c r="J24" i="2"/>
  <c r="J23" i="2"/>
  <c r="J22" i="2"/>
  <c r="J21" i="2"/>
  <c r="J18" i="2"/>
  <c r="J17" i="2"/>
  <c r="J16" i="2"/>
  <c r="J14" i="2"/>
  <c r="J13" i="2"/>
  <c r="K40" i="2"/>
  <c r="K39" i="2"/>
  <c r="K36" i="2"/>
  <c r="G38" i="2"/>
  <c r="G19" i="2"/>
  <c r="G15" i="2"/>
  <c r="H38" i="2"/>
  <c r="H28" i="2"/>
  <c r="H19" i="2"/>
  <c r="H15" i="2"/>
  <c r="H37" i="2" s="1"/>
  <c r="L40" i="2"/>
  <c r="L39" i="2"/>
  <c r="L38" i="2"/>
  <c r="L36" i="2"/>
  <c r="L28" i="2"/>
  <c r="L19" i="2"/>
  <c r="L15" i="2"/>
  <c r="I38" i="2"/>
  <c r="I28" i="2"/>
  <c r="I19" i="2"/>
  <c r="I15" i="2"/>
  <c r="M40" i="2"/>
  <c r="M39" i="2"/>
  <c r="M28" i="2"/>
  <c r="M19" i="2"/>
  <c r="O40" i="2"/>
  <c r="O39" i="2"/>
  <c r="O36" i="2"/>
  <c r="K38" i="2"/>
  <c r="K28" i="2"/>
  <c r="K19" i="2"/>
  <c r="K15" i="2"/>
  <c r="O38" i="2"/>
  <c r="O28" i="2"/>
  <c r="O19" i="2"/>
  <c r="O15" i="2"/>
  <c r="AO43" i="2"/>
  <c r="Y40" i="2"/>
  <c r="X40" i="2"/>
  <c r="W40" i="2"/>
  <c r="V40" i="2"/>
  <c r="Y39" i="2"/>
  <c r="X39" i="2"/>
  <c r="W39" i="2"/>
  <c r="V39" i="2"/>
  <c r="Y38" i="2"/>
  <c r="X38" i="2"/>
  <c r="W38" i="2"/>
  <c r="V38" i="2"/>
  <c r="U38" i="2"/>
  <c r="Y36" i="2"/>
  <c r="X36" i="2"/>
  <c r="W36" i="2"/>
  <c r="V36" i="2"/>
  <c r="Z40" i="2"/>
  <c r="Z39" i="2"/>
  <c r="Z38" i="2"/>
  <c r="Z36" i="2"/>
  <c r="U28" i="2"/>
  <c r="U19" i="2"/>
  <c r="U15" i="2"/>
  <c r="U37" i="2" s="1"/>
  <c r="V28" i="2"/>
  <c r="V19" i="2"/>
  <c r="V15" i="2"/>
  <c r="V37" i="2" s="1"/>
  <c r="W28" i="2"/>
  <c r="W19" i="2"/>
  <c r="W15" i="2"/>
  <c r="W37" i="2" s="1"/>
  <c r="X28" i="2"/>
  <c r="X19" i="2"/>
  <c r="X15" i="2"/>
  <c r="X37" i="2" s="1"/>
  <c r="Y28" i="2"/>
  <c r="Y19" i="2"/>
  <c r="Y15" i="2"/>
  <c r="Y37" i="2" s="1"/>
  <c r="Z28" i="2"/>
  <c r="Z19" i="2"/>
  <c r="Z15" i="2"/>
  <c r="Z37" i="2" s="1"/>
  <c r="F3" i="1"/>
  <c r="M38" i="2" l="1"/>
  <c r="M36" i="2"/>
  <c r="M15" i="2"/>
  <c r="M37" i="2" s="1"/>
  <c r="J38" i="2"/>
  <c r="N39" i="2"/>
  <c r="J19" i="2"/>
  <c r="J28" i="2"/>
  <c r="R17" i="2"/>
  <c r="R39" i="2" s="1"/>
  <c r="R15" i="2"/>
  <c r="R14" i="2" s="1"/>
  <c r="R16" i="2"/>
  <c r="AA16" i="2" s="1"/>
  <c r="N19" i="2"/>
  <c r="N40" i="2"/>
  <c r="Q39" i="2"/>
  <c r="N28" i="2"/>
  <c r="R18" i="2"/>
  <c r="R40" i="2" s="1"/>
  <c r="R36" i="2"/>
  <c r="Q38" i="2"/>
  <c r="Q19" i="2"/>
  <c r="AA13" i="2"/>
  <c r="AA15" i="2" s="1"/>
  <c r="AA37" i="2" s="1"/>
  <c r="Q36" i="2"/>
  <c r="P40" i="2"/>
  <c r="P38" i="2"/>
  <c r="D8" i="1"/>
  <c r="D9" i="1" s="1"/>
  <c r="P19" i="2"/>
  <c r="N38" i="2"/>
  <c r="J15" i="2"/>
  <c r="N36" i="2"/>
  <c r="N15" i="2"/>
  <c r="G20" i="2"/>
  <c r="G41" i="2" s="1"/>
  <c r="G37" i="2"/>
  <c r="H20" i="2"/>
  <c r="L20" i="2"/>
  <c r="L41" i="2" s="1"/>
  <c r="L37" i="2"/>
  <c r="I20" i="2"/>
  <c r="I41" i="2" s="1"/>
  <c r="I37" i="2"/>
  <c r="M20" i="2"/>
  <c r="K20" i="2"/>
  <c r="K29" i="2" s="1"/>
  <c r="K37" i="2"/>
  <c r="O20" i="2"/>
  <c r="O41" i="2" s="1"/>
  <c r="O37" i="2"/>
  <c r="AA28" i="2"/>
  <c r="AB24" i="2"/>
  <c r="AC24" i="2" s="1"/>
  <c r="AD24" i="2" s="1"/>
  <c r="AE24" i="2" s="1"/>
  <c r="AF24" i="2" s="1"/>
  <c r="AG24" i="2" s="1"/>
  <c r="AH24" i="2" s="1"/>
  <c r="AI24" i="2" s="1"/>
  <c r="AJ24" i="2" s="1"/>
  <c r="AK24" i="2" s="1"/>
  <c r="Z20" i="2"/>
  <c r="Z41" i="2" s="1"/>
  <c r="AC22" i="2"/>
  <c r="AD22" i="2" s="1"/>
  <c r="AE22" i="2" s="1"/>
  <c r="AF22" i="2" s="1"/>
  <c r="AG22" i="2" s="1"/>
  <c r="AH22" i="2" s="1"/>
  <c r="AI22" i="2" s="1"/>
  <c r="AJ22" i="2" s="1"/>
  <c r="AK22" i="2" s="1"/>
  <c r="AD21" i="2"/>
  <c r="U20" i="2"/>
  <c r="V20" i="2"/>
  <c r="W20" i="2"/>
  <c r="X20" i="2"/>
  <c r="Y20" i="2"/>
  <c r="R37" i="2" l="1"/>
  <c r="J20" i="2"/>
  <c r="J41" i="2" s="1"/>
  <c r="AA17" i="2"/>
  <c r="N20" i="2"/>
  <c r="AA18" i="2"/>
  <c r="AA19" i="2" s="1"/>
  <c r="AA20" i="2" s="1"/>
  <c r="H29" i="2"/>
  <c r="H41" i="2"/>
  <c r="R38" i="2"/>
  <c r="R19" i="2"/>
  <c r="R20" i="2" s="1"/>
  <c r="AA36" i="2"/>
  <c r="AB16" i="2"/>
  <c r="AA14" i="2"/>
  <c r="Q37" i="2"/>
  <c r="Q20" i="2"/>
  <c r="AO40" i="2"/>
  <c r="P20" i="2"/>
  <c r="J37" i="2"/>
  <c r="N37" i="2"/>
  <c r="G29" i="2"/>
  <c r="G43" i="2" s="1"/>
  <c r="L29" i="2"/>
  <c r="L42" i="2" s="1"/>
  <c r="I29" i="2"/>
  <c r="I42" i="2" s="1"/>
  <c r="M41" i="2"/>
  <c r="M29" i="2"/>
  <c r="K41" i="2"/>
  <c r="K43" i="2"/>
  <c r="K42" i="2"/>
  <c r="K32" i="2"/>
  <c r="O29" i="2"/>
  <c r="O43" i="2" s="1"/>
  <c r="Z29" i="2"/>
  <c r="Z43" i="2" s="1"/>
  <c r="Y29" i="2"/>
  <c r="Y41" i="2"/>
  <c r="X29" i="2"/>
  <c r="X41" i="2"/>
  <c r="AA38" i="2"/>
  <c r="W29" i="2"/>
  <c r="W41" i="2"/>
  <c r="V29" i="2"/>
  <c r="V41" i="2"/>
  <c r="U29" i="2"/>
  <c r="U41" i="2"/>
  <c r="AB28" i="2"/>
  <c r="AC28" i="2"/>
  <c r="AE21" i="2"/>
  <c r="AD28" i="2"/>
  <c r="J29" i="2" l="1"/>
  <c r="J43" i="2" s="1"/>
  <c r="AA39" i="2"/>
  <c r="AB17" i="2"/>
  <c r="AD13" i="2"/>
  <c r="AB15" i="2"/>
  <c r="AB14" i="2" s="1"/>
  <c r="H32" i="2"/>
  <c r="H42" i="2"/>
  <c r="H43" i="2"/>
  <c r="AB18" i="2"/>
  <c r="AA40" i="2"/>
  <c r="N41" i="2"/>
  <c r="N29" i="2"/>
  <c r="AB36" i="2"/>
  <c r="R41" i="2"/>
  <c r="R29" i="2"/>
  <c r="Q41" i="2"/>
  <c r="Q29" i="2"/>
  <c r="P29" i="2"/>
  <c r="P41" i="2"/>
  <c r="G32" i="2"/>
  <c r="G44" i="2" s="1"/>
  <c r="G42" i="2"/>
  <c r="L32" i="2"/>
  <c r="L34" i="2" s="1"/>
  <c r="L43" i="2"/>
  <c r="I43" i="2"/>
  <c r="I32" i="2"/>
  <c r="I44" i="2" s="1"/>
  <c r="M43" i="2"/>
  <c r="M42" i="2"/>
  <c r="M32" i="2"/>
  <c r="K44" i="2"/>
  <c r="K34" i="2"/>
  <c r="O32" i="2"/>
  <c r="O44" i="2" s="1"/>
  <c r="O42" i="2"/>
  <c r="Z32" i="2"/>
  <c r="Z34" i="2" s="1"/>
  <c r="Z42" i="2"/>
  <c r="U32" i="2"/>
  <c r="U42" i="2"/>
  <c r="U43" i="2"/>
  <c r="V32" i="2"/>
  <c r="V42" i="2"/>
  <c r="V43" i="2"/>
  <c r="X32" i="2"/>
  <c r="X42" i="2"/>
  <c r="X43" i="2"/>
  <c r="AB38" i="2"/>
  <c r="W32" i="2"/>
  <c r="W42" i="2"/>
  <c r="W43" i="2"/>
  <c r="AA29" i="2"/>
  <c r="AA41" i="2"/>
  <c r="Y32" i="2"/>
  <c r="Y43" i="2"/>
  <c r="Y42" i="2"/>
  <c r="AF21" i="2"/>
  <c r="AE28" i="2"/>
  <c r="AC36" i="2" l="1"/>
  <c r="J42" i="2"/>
  <c r="J32" i="2"/>
  <c r="J44" i="2" s="1"/>
  <c r="AB39" i="2"/>
  <c r="AC17" i="2"/>
  <c r="AD15" i="2"/>
  <c r="AD16" i="2"/>
  <c r="AC15" i="2"/>
  <c r="AC14" i="2" s="1"/>
  <c r="AC16" i="2"/>
  <c r="AC38" i="2" s="1"/>
  <c r="N42" i="2"/>
  <c r="N32" i="2"/>
  <c r="N43" i="2"/>
  <c r="AC18" i="2"/>
  <c r="AB40" i="2"/>
  <c r="AB37" i="2"/>
  <c r="AB19" i="2"/>
  <c r="AB20" i="2" s="1"/>
  <c r="AB29" i="2" s="1"/>
  <c r="H34" i="2"/>
  <c r="H44" i="2"/>
  <c r="R43" i="2"/>
  <c r="R30" i="2"/>
  <c r="R42" i="2" s="1"/>
  <c r="Q43" i="2"/>
  <c r="Q42" i="2"/>
  <c r="P42" i="2"/>
  <c r="P43" i="2"/>
  <c r="G34" i="2"/>
  <c r="L44" i="2"/>
  <c r="I34" i="2"/>
  <c r="M44" i="2"/>
  <c r="M34" i="2"/>
  <c r="O34" i="2"/>
  <c r="Z44" i="2"/>
  <c r="W34" i="2"/>
  <c r="W44" i="2"/>
  <c r="Y34" i="2"/>
  <c r="Y44" i="2"/>
  <c r="V34" i="2"/>
  <c r="V44" i="2"/>
  <c r="AA43" i="2"/>
  <c r="AE13" i="2"/>
  <c r="AD36" i="2"/>
  <c r="X34" i="2"/>
  <c r="X44" i="2"/>
  <c r="U34" i="2"/>
  <c r="U44" i="2"/>
  <c r="AG21" i="2"/>
  <c r="AF28" i="2"/>
  <c r="AB41" i="2" l="1"/>
  <c r="J34" i="2"/>
  <c r="AC19" i="2"/>
  <c r="AC20" i="2" s="1"/>
  <c r="AC41" i="2" s="1"/>
  <c r="AC37" i="2"/>
  <c r="AC39" i="2"/>
  <c r="AD17" i="2"/>
  <c r="AD18" i="2"/>
  <c r="AC40" i="2"/>
  <c r="N44" i="2"/>
  <c r="N34" i="2"/>
  <c r="AE15" i="2"/>
  <c r="AE16" i="2"/>
  <c r="R32" i="2"/>
  <c r="R44" i="2" s="1"/>
  <c r="Q32" i="2"/>
  <c r="P32" i="2"/>
  <c r="P34" i="2" s="1"/>
  <c r="AA30" i="2"/>
  <c r="AA42" i="2" s="1"/>
  <c r="AD14" i="2"/>
  <c r="AD37" i="2"/>
  <c r="AD38" i="2"/>
  <c r="AF13" i="2"/>
  <c r="AE36" i="2"/>
  <c r="AB30" i="2"/>
  <c r="AB31" i="2"/>
  <c r="AB43" i="2" s="1"/>
  <c r="AG28" i="2"/>
  <c r="AH21" i="2"/>
  <c r="AC29" i="2" l="1"/>
  <c r="AC31" i="2" s="1"/>
  <c r="AC43" i="2" s="1"/>
  <c r="AD19" i="2"/>
  <c r="AD20" i="2" s="1"/>
  <c r="AD41" i="2" s="1"/>
  <c r="AD39" i="2"/>
  <c r="AE17" i="2"/>
  <c r="AD40" i="2"/>
  <c r="AE18" i="2"/>
  <c r="AF15" i="2"/>
  <c r="AF14" i="2" s="1"/>
  <c r="AF16" i="2"/>
  <c r="R34" i="2"/>
  <c r="Q44" i="2"/>
  <c r="Q34" i="2"/>
  <c r="P44" i="2"/>
  <c r="AA32" i="2"/>
  <c r="AA34" i="2" s="1"/>
  <c r="AG13" i="2"/>
  <c r="AF36" i="2"/>
  <c r="AE37" i="2"/>
  <c r="AE38" i="2"/>
  <c r="AB32" i="2"/>
  <c r="AB42" i="2"/>
  <c r="AE14" i="2"/>
  <c r="AH28" i="2"/>
  <c r="AI21" i="2"/>
  <c r="AC30" i="2" l="1"/>
  <c r="AC32" i="2" s="1"/>
  <c r="AD29" i="2"/>
  <c r="AD30" i="2" s="1"/>
  <c r="AE39" i="2"/>
  <c r="AF17" i="2"/>
  <c r="AE40" i="2"/>
  <c r="AF18" i="2"/>
  <c r="AE19" i="2"/>
  <c r="AE20" i="2" s="1"/>
  <c r="AE41" i="2" s="1"/>
  <c r="AG15" i="2"/>
  <c r="AG37" i="2" s="1"/>
  <c r="AG16" i="2"/>
  <c r="AA44" i="2"/>
  <c r="AH13" i="2"/>
  <c r="AG36" i="2"/>
  <c r="AB44" i="2"/>
  <c r="AB34" i="2"/>
  <c r="AF37" i="2"/>
  <c r="AF38" i="2"/>
  <c r="AI28" i="2"/>
  <c r="AJ21" i="2"/>
  <c r="AC42" i="2" l="1"/>
  <c r="AD31" i="2"/>
  <c r="AD43" i="2" s="1"/>
  <c r="AF19" i="2"/>
  <c r="AF20" i="2" s="1"/>
  <c r="AF41" i="2" s="1"/>
  <c r="AE29" i="2"/>
  <c r="AE31" i="2" s="1"/>
  <c r="AE43" i="2" s="1"/>
  <c r="AG17" i="2"/>
  <c r="AF39" i="2"/>
  <c r="AH15" i="2"/>
  <c r="AH37" i="2" s="1"/>
  <c r="AH16" i="2"/>
  <c r="AG18" i="2"/>
  <c r="AF40" i="2"/>
  <c r="AG14" i="2"/>
  <c r="AC44" i="2"/>
  <c r="AC34" i="2"/>
  <c r="AG38" i="2"/>
  <c r="AD42" i="2"/>
  <c r="AI13" i="2"/>
  <c r="AH36" i="2"/>
  <c r="AK21" i="2"/>
  <c r="AK28" i="2" s="1"/>
  <c r="AJ28" i="2"/>
  <c r="AG19" i="2" l="1"/>
  <c r="AG20" i="2" s="1"/>
  <c r="AG41" i="2" s="1"/>
  <c r="AE30" i="2"/>
  <c r="AE42" i="2" s="1"/>
  <c r="AD32" i="2"/>
  <c r="AD44" i="2" s="1"/>
  <c r="AF29" i="2"/>
  <c r="AF31" i="2" s="1"/>
  <c r="AH17" i="2"/>
  <c r="AG39" i="2"/>
  <c r="AH18" i="2"/>
  <c r="AG40" i="2"/>
  <c r="AI15" i="2"/>
  <c r="AI37" i="2" s="1"/>
  <c r="AI16" i="2"/>
  <c r="AH14" i="2"/>
  <c r="AH38" i="2"/>
  <c r="AJ13" i="2"/>
  <c r="AI36" i="2"/>
  <c r="AG29" i="2" l="1"/>
  <c r="AG30" i="2" s="1"/>
  <c r="AE32" i="2"/>
  <c r="AE34" i="2" s="1"/>
  <c r="AD34" i="2"/>
  <c r="AF30" i="2"/>
  <c r="AF42" i="2" s="1"/>
  <c r="AH19" i="2"/>
  <c r="AH20" i="2" s="1"/>
  <c r="AH41" i="2" s="1"/>
  <c r="AI17" i="2"/>
  <c r="AH39" i="2"/>
  <c r="AJ15" i="2"/>
  <c r="AJ14" i="2" s="1"/>
  <c r="AJ16" i="2"/>
  <c r="AI18" i="2"/>
  <c r="AH40" i="2"/>
  <c r="AI14" i="2"/>
  <c r="AF43" i="2"/>
  <c r="AI38" i="2"/>
  <c r="AK13" i="2"/>
  <c r="AJ36" i="2"/>
  <c r="AG31" i="2" l="1"/>
  <c r="AG43" i="2" s="1"/>
  <c r="AE44" i="2"/>
  <c r="AH29" i="2"/>
  <c r="AH31" i="2" s="1"/>
  <c r="AF32" i="2"/>
  <c r="AF44" i="2" s="1"/>
  <c r="AI19" i="2"/>
  <c r="AI20" i="2" s="1"/>
  <c r="AI41" i="2" s="1"/>
  <c r="AJ17" i="2"/>
  <c r="AI39" i="2"/>
  <c r="AI40" i="2"/>
  <c r="AJ18" i="2"/>
  <c r="AK15" i="2"/>
  <c r="AK16" i="2"/>
  <c r="AG42" i="2"/>
  <c r="AJ37" i="2"/>
  <c r="AK36" i="2"/>
  <c r="AJ38" i="2"/>
  <c r="AG32" i="2" l="1"/>
  <c r="AG34" i="2" s="1"/>
  <c r="AF34" i="2"/>
  <c r="AH30" i="2"/>
  <c r="AH42" i="2" s="1"/>
  <c r="AJ19" i="2"/>
  <c r="AJ20" i="2" s="1"/>
  <c r="AJ29" i="2" s="1"/>
  <c r="AI29" i="2"/>
  <c r="AI31" i="2" s="1"/>
  <c r="AJ39" i="2"/>
  <c r="AK17" i="2"/>
  <c r="AK39" i="2" s="1"/>
  <c r="AK18" i="2"/>
  <c r="AK40" i="2" s="1"/>
  <c r="AJ40" i="2"/>
  <c r="AK38" i="2"/>
  <c r="AK14" i="2"/>
  <c r="AK37" i="2"/>
  <c r="AH43" i="2"/>
  <c r="AG44" i="2" l="1"/>
  <c r="AK19" i="2"/>
  <c r="AK20" i="2" s="1"/>
  <c r="AK29" i="2" s="1"/>
  <c r="AI30" i="2"/>
  <c r="AI42" i="2" s="1"/>
  <c r="AH32" i="2"/>
  <c r="AH34" i="2" s="1"/>
  <c r="AJ41" i="2"/>
  <c r="AI43" i="2"/>
  <c r="AJ30" i="2"/>
  <c r="AJ31" i="2"/>
  <c r="AJ43" i="2" s="1"/>
  <c r="AK41" i="2" l="1"/>
  <c r="AI32" i="2"/>
  <c r="AI34" i="2" s="1"/>
  <c r="AH44" i="2"/>
  <c r="AK31" i="2"/>
  <c r="AK30" i="2"/>
  <c r="AK42" i="2" s="1"/>
  <c r="AJ32" i="2"/>
  <c r="AJ42" i="2"/>
  <c r="AI44" i="2" l="1"/>
  <c r="AK32" i="2"/>
  <c r="AK43" i="2"/>
  <c r="AJ34" i="2"/>
  <c r="AJ44" i="2"/>
  <c r="AK34" i="2" l="1"/>
  <c r="AL32" i="2"/>
  <c r="AM32" i="2" s="1"/>
  <c r="AN32" i="2" s="1"/>
  <c r="AO32" i="2" s="1"/>
  <c r="AP32" i="2" s="1"/>
  <c r="AQ32" i="2" s="1"/>
  <c r="AR32" i="2" s="1"/>
  <c r="AS32" i="2" s="1"/>
  <c r="AT32" i="2" s="1"/>
  <c r="AU32" i="2" s="1"/>
  <c r="AV32" i="2" s="1"/>
  <c r="AW32" i="2" s="1"/>
  <c r="AX32" i="2" s="1"/>
  <c r="AY32" i="2" s="1"/>
  <c r="AZ32" i="2" s="1"/>
  <c r="BA32" i="2" s="1"/>
  <c r="BB32" i="2" s="1"/>
  <c r="BC32" i="2" s="1"/>
  <c r="BD32" i="2" s="1"/>
  <c r="BE32" i="2" s="1"/>
  <c r="BF32" i="2" s="1"/>
  <c r="BG32" i="2" s="1"/>
  <c r="BH32" i="2" s="1"/>
  <c r="BI32" i="2" s="1"/>
  <c r="BJ32" i="2" s="1"/>
  <c r="BK32" i="2" s="1"/>
  <c r="BL32" i="2" s="1"/>
  <c r="BM32" i="2" s="1"/>
  <c r="BN32" i="2" s="1"/>
  <c r="BO32" i="2" s="1"/>
  <c r="BP32" i="2" s="1"/>
  <c r="BQ32" i="2" s="1"/>
  <c r="BR32" i="2" s="1"/>
  <c r="BS32" i="2" s="1"/>
  <c r="BT32" i="2" s="1"/>
  <c r="BU32" i="2" s="1"/>
  <c r="BV32" i="2" s="1"/>
  <c r="BW32" i="2" s="1"/>
  <c r="BX32" i="2" s="1"/>
  <c r="BY32" i="2" s="1"/>
  <c r="BZ32" i="2" s="1"/>
  <c r="CA32" i="2" s="1"/>
  <c r="CB32" i="2" s="1"/>
  <c r="CC32" i="2" s="1"/>
  <c r="CD32" i="2" s="1"/>
  <c r="CE32" i="2" s="1"/>
  <c r="CF32" i="2" s="1"/>
  <c r="CG32" i="2" s="1"/>
  <c r="CH32" i="2" s="1"/>
  <c r="CI32" i="2" s="1"/>
  <c r="CJ32" i="2" s="1"/>
  <c r="CK32" i="2" s="1"/>
  <c r="CL32" i="2" s="1"/>
  <c r="CM32" i="2" s="1"/>
  <c r="CN32" i="2" s="1"/>
  <c r="CO32" i="2" s="1"/>
  <c r="CP32" i="2" s="1"/>
  <c r="CQ32" i="2" s="1"/>
  <c r="CR32" i="2" s="1"/>
  <c r="CS32" i="2" s="1"/>
  <c r="CT32" i="2" s="1"/>
  <c r="CU32" i="2" s="1"/>
  <c r="CV32" i="2" s="1"/>
  <c r="CW32" i="2" s="1"/>
  <c r="CX32" i="2" s="1"/>
  <c r="CY32" i="2" s="1"/>
  <c r="CZ32" i="2" s="1"/>
  <c r="DA32" i="2" s="1"/>
  <c r="DB32" i="2" s="1"/>
  <c r="DC32" i="2" s="1"/>
  <c r="DD32" i="2" s="1"/>
  <c r="DE32" i="2" s="1"/>
  <c r="DF32" i="2" s="1"/>
  <c r="DG32" i="2" s="1"/>
  <c r="DH32" i="2" s="1"/>
  <c r="DI32" i="2" s="1"/>
  <c r="DJ32" i="2" s="1"/>
  <c r="DK32" i="2" s="1"/>
  <c r="DL32" i="2" s="1"/>
  <c r="DM32" i="2" s="1"/>
  <c r="DN32" i="2" s="1"/>
  <c r="DO32" i="2" s="1"/>
  <c r="DP32" i="2" s="1"/>
  <c r="DQ32" i="2" s="1"/>
  <c r="DR32" i="2" s="1"/>
  <c r="DS32" i="2" s="1"/>
  <c r="DT32" i="2" s="1"/>
  <c r="DU32" i="2" s="1"/>
  <c r="DV32" i="2" s="1"/>
  <c r="DW32" i="2" s="1"/>
  <c r="DX32" i="2" s="1"/>
  <c r="DY32" i="2" s="1"/>
  <c r="DZ32" i="2" s="1"/>
  <c r="EA32" i="2" s="1"/>
  <c r="EB32" i="2" s="1"/>
  <c r="EC32" i="2" s="1"/>
  <c r="ED32" i="2" s="1"/>
  <c r="EE32" i="2" s="1"/>
  <c r="EF32" i="2" s="1"/>
  <c r="EG32" i="2" s="1"/>
  <c r="EH32" i="2" s="1"/>
  <c r="EI32" i="2" s="1"/>
  <c r="EJ32" i="2" s="1"/>
  <c r="EK32" i="2" s="1"/>
  <c r="EL32" i="2" s="1"/>
  <c r="EM32" i="2" s="1"/>
  <c r="EN32" i="2" s="1"/>
  <c r="EO32" i="2" s="1"/>
  <c r="EP32" i="2" s="1"/>
  <c r="EQ32" i="2" s="1"/>
  <c r="ER32" i="2" s="1"/>
  <c r="ES32" i="2" s="1"/>
  <c r="ET32" i="2" s="1"/>
  <c r="EU32" i="2" s="1"/>
  <c r="AO39" i="2" s="1"/>
  <c r="AO41" i="2" s="1"/>
  <c r="AO42" i="2" s="1"/>
  <c r="AO44" i="2" s="1"/>
  <c r="AK44" i="2"/>
</calcChain>
</file>

<file path=xl/sharedStrings.xml><?xml version="1.0" encoding="utf-8"?>
<sst xmlns="http://schemas.openxmlformats.org/spreadsheetml/2006/main" count="84" uniqueCount="74">
  <si>
    <t>AIR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</si>
  <si>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</si>
  <si>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</si>
  <si>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</si>
  <si>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</si>
  <si>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</si>
  <si>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</si>
  <si>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</si>
  <si>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</si>
  <si>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</si>
  <si>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</si>
  <si>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</si>
  <si>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</si>
  <si>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</si>
  <si>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</si>
  <si>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S&amp;M</t>
  </si>
  <si>
    <t>G&amp;A</t>
  </si>
  <si>
    <t>R&amp;D</t>
  </si>
  <si>
    <t>Other income</t>
  </si>
  <si>
    <t>Other expense</t>
  </si>
  <si>
    <t>Equity income</t>
  </si>
  <si>
    <t>Investment income</t>
  </si>
  <si>
    <t>Interest income</t>
  </si>
  <si>
    <t>Interest expense</t>
  </si>
  <si>
    <t>Total operating expense</t>
  </si>
  <si>
    <t>Total other expense</t>
  </si>
  <si>
    <t>Operating profit</t>
  </si>
  <si>
    <t>Pretax profit</t>
  </si>
  <si>
    <t>Taxes</t>
  </si>
  <si>
    <t>MI</t>
  </si>
  <si>
    <t>Net profit</t>
  </si>
  <si>
    <t>EPS</t>
  </si>
  <si>
    <t>Other finance income</t>
  </si>
  <si>
    <t>Revenue y/y</t>
  </si>
  <si>
    <t>Gross Margin</t>
  </si>
  <si>
    <t>S&amp;M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</si>
  <si>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</si>
  <si>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</si>
  <si>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</si>
  <si>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</si>
  <si>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</si>
  <si>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</si>
  <si>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</si>
  <si>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</si>
  <si>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</si>
  <si>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</si>
  <si>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</si>
  <si>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</si>
  <si>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</si>
  <si>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</si>
  <si>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</si>
  <si>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</si>
  <si>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</si>
  <si>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</si>
  <si>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</si>
  <si>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</si>
  <si>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</si>
  <si>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</si>
  <si>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</si>
  <si>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</si>
  <si>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</si>
  <si>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</si>
  <si>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</si>
  <si>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</si>
  <si>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L+S/E</t>
  </si>
  <si>
    <t>EV/B</t>
  </si>
  <si>
    <t>B/EV</t>
  </si>
  <si>
    <t>Airbus</t>
  </si>
  <si>
    <t>Airbus Helicopters</t>
  </si>
  <si>
    <t>Airbus Defense and Space</t>
  </si>
  <si>
    <t>Eliminations</t>
  </si>
  <si>
    <t>Total backlog</t>
  </si>
  <si>
    <t>Employees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</si>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</sst>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484]"/>
    <numFmt numFmtId="165" formatCode="#,##0.00\ [$€-1]"/>
    <numFmt numFmtId="166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0" fontId="5" fillId="2" borderId="1" xfId="0" applyFont="1" applyFill="1" applyBorder="1"/>
    <xf numFmtId="166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22860</xdr:colOff>
      <xdr:row>0</xdr:row>
      <xdr:rowOff>7620</xdr:rowOff>
    </xdr:from>
    <xdr:to>
      <xdr:col>26</xdr:col>
      <xdr:colOff>22860</xdr:colOff>
      <xdr:row>49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2780903-9011-F309-528A-84BCFD1A90EE}"/>
            </a:ext>
          </a:extLst>
        </xdr:cNvPr>
        <xdr:cNvCxnSpPr/>
      </xdr:nvCxnSpPr>
      <xdr:spPr>
        <a:xfrm>
          <a:off x="6934200" y="7620"/>
          <a:ext cx="0" cy="704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38100</xdr:colOff>
      <xdr:row>0</xdr:row>
      <xdr:rowOff>7620</xdr:rowOff>
    </xdr:from>
    <xdr:to>
      <xdr:col>17</xdr:col>
      <xdr:colOff>38100</xdr:colOff>
      <xdr:row>50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728E119-4950-CAEB-1E97-DBC9621D9E23}"/>
            </a:ext>
          </a:extLst>
        </xdr:cNvPr>
        <xdr:cNvCxnSpPr/>
      </xdr:nvCxnSpPr>
      <xdr:spPr>
        <a:xfrm>
          <a:off x="11308080" y="7620"/>
          <a:ext cx="0" cy="83286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5D14-BF81-40A4-9801-3D66E3303BD3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2.21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4">
        <v>204.35</v>
      </c>
      <c r="E3" s="5">
        <v>45988</v>
      </c>
      <c r="F3" s="5">
        <f ca="1">TODAY()</f>
        <v>46059</v>
      </c>
      <c r="G3" s="5">
        <v>46072</v>
      </c>
    </row>
    <row r="4" spans="2:7" x14ac:dyDescent="0.3">
      <c r="C4" s="1" t="s">
        <v>2</v>
      </c>
      <c r="D4" s="6">
        <f>789.8</f>
        <v>789.8</v>
      </c>
      <c r="E4" s="3" t="s">
        <v>62</v>
      </c>
    </row>
    <row r="5" spans="2:7" x14ac:dyDescent="0.3">
      <c r="C5" s="1" t="s">
        <v>3</v>
      </c>
      <c r="D5" s="6">
        <f>D3*D4</f>
        <v>161395.62999999998</v>
      </c>
    </row>
    <row r="6" spans="2:7" x14ac:dyDescent="0.3">
      <c r="C6" s="1" t="s">
        <v>4</v>
      </c>
      <c r="D6" s="6">
        <f>8344+2911+10079+2196</f>
        <v>23530</v>
      </c>
      <c r="E6" s="3" t="s">
        <v>62</v>
      </c>
    </row>
    <row r="7" spans="2:7" x14ac:dyDescent="0.3">
      <c r="C7" s="1" t="s">
        <v>5</v>
      </c>
      <c r="D7" s="6">
        <f>4373+9148</f>
        <v>13521</v>
      </c>
      <c r="E7" s="3" t="s">
        <v>62</v>
      </c>
    </row>
    <row r="8" spans="2:7" x14ac:dyDescent="0.3">
      <c r="C8" s="1" t="s">
        <v>6</v>
      </c>
      <c r="D8" s="6">
        <f>D6-D7</f>
        <v>10009</v>
      </c>
    </row>
    <row r="9" spans="2:7" x14ac:dyDescent="0.3">
      <c r="C9" s="1" t="s">
        <v>7</v>
      </c>
      <c r="D9" s="6">
        <f>D5-D8</f>
        <v>151386.62999999998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16CCF-DE88-4637-A6DE-75C4B7BD6D1F}">
  <dimension ref="B2:EU52"/>
  <sheetViews>
    <sheetView tabSelected="1" workbookViewId="0">
      <pane xSplit="2" ySplit="2" topLeftCell="X20" activePane="bottomRight" state="frozen"/>
      <selection pane="topRight" activeCell="C1" sqref="C1"/>
      <selection pane="bottomLeft" activeCell="A3" sqref="A3"/>
      <selection pane="bottomRight" activeCell="AO38" sqref="AO38"/>
    </sheetView>
  </sheetViews>
  <sheetFormatPr defaultRowHeight="14.4" x14ac:dyDescent="0.3"/>
  <cols>
    <col min="1" max="1" width="8.88671875" style="1"/>
    <col min="2" max="2" width="22.109375" style="1" bestFit="1" customWidth="1"/>
    <col min="3" max="10" width="8.88671875" style="1" customWidth="1"/>
    <col min="11" max="39" width="8.88671875" style="1"/>
    <col min="40" max="40" width="12.33203125" style="1" customWidth="1"/>
    <col min="41" max="41" width="17" style="1" customWidth="1"/>
    <col min="42" max="16384" width="8.88671875" style="1"/>
  </cols>
  <sheetData>
    <row r="2" spans="2:37" x14ac:dyDescent="0.3"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11</v>
      </c>
      <c r="O2" s="12" t="s">
        <v>60</v>
      </c>
      <c r="P2" s="12" t="s">
        <v>61</v>
      </c>
      <c r="Q2" s="12" t="s">
        <v>62</v>
      </c>
      <c r="R2" s="12" t="s">
        <v>63</v>
      </c>
      <c r="S2" s="12"/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67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6"/>
      <c r="N3" s="12"/>
      <c r="O3" s="12"/>
      <c r="P3" s="12"/>
      <c r="Q3" s="6"/>
      <c r="R3" s="12"/>
      <c r="S3" s="12"/>
      <c r="Y3" s="6">
        <v>490812</v>
      </c>
      <c r="Z3" s="6">
        <v>558925</v>
      </c>
    </row>
    <row r="4" spans="2:37" x14ac:dyDescent="0.3">
      <c r="B4" s="1" t="s">
        <v>68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6"/>
      <c r="N4" s="12"/>
      <c r="O4" s="12"/>
      <c r="P4" s="12"/>
      <c r="Q4" s="6"/>
      <c r="R4" s="12"/>
      <c r="S4" s="12"/>
      <c r="Y4" s="6">
        <v>21525</v>
      </c>
      <c r="Z4" s="6">
        <v>24064</v>
      </c>
    </row>
    <row r="5" spans="2:37" x14ac:dyDescent="0.3">
      <c r="B5" s="1" t="s">
        <v>69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6"/>
      <c r="N5" s="12"/>
      <c r="O5" s="12"/>
      <c r="P5" s="12"/>
      <c r="Q5" s="6"/>
      <c r="R5" s="12"/>
      <c r="S5" s="12"/>
      <c r="Y5" s="6">
        <v>42195</v>
      </c>
      <c r="Z5" s="6">
        <v>46803</v>
      </c>
    </row>
    <row r="6" spans="2:37" x14ac:dyDescent="0.3">
      <c r="B6" s="1" t="s">
        <v>70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6"/>
      <c r="N6" s="12"/>
      <c r="O6" s="12"/>
      <c r="P6" s="12"/>
      <c r="Q6" s="6"/>
      <c r="R6" s="12"/>
      <c r="S6" s="12"/>
      <c r="Y6" s="6">
        <v>-639</v>
      </c>
      <c r="Z6" s="6">
        <v>-875</v>
      </c>
    </row>
    <row r="7" spans="2:37" s="2" customFormat="1" x14ac:dyDescent="0.3">
      <c r="B7" s="2" t="s">
        <v>71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8"/>
      <c r="N7" s="15"/>
      <c r="O7" s="15"/>
      <c r="P7" s="15"/>
      <c r="Q7" s="8"/>
      <c r="R7" s="15"/>
      <c r="S7" s="15"/>
      <c r="Y7" s="8">
        <f>SUM(Y3:Y6)</f>
        <v>553893</v>
      </c>
      <c r="Z7" s="8">
        <f>SUM(Z3:Z6)</f>
        <v>628917</v>
      </c>
    </row>
    <row r="8" spans="2:37" x14ac:dyDescent="0.3"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</row>
    <row r="9" spans="2:37" x14ac:dyDescent="0.3">
      <c r="B9" s="1" t="s">
        <v>67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6">
        <v>11664</v>
      </c>
      <c r="N9" s="12"/>
      <c r="O9" s="12"/>
      <c r="P9" s="12"/>
      <c r="Q9" s="6">
        <v>13057</v>
      </c>
      <c r="R9" s="12"/>
      <c r="S9" s="12"/>
    </row>
    <row r="10" spans="2:37" x14ac:dyDescent="0.3">
      <c r="B10" s="1" t="s">
        <v>68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6">
        <v>1684</v>
      </c>
      <c r="N10" s="12"/>
      <c r="O10" s="12"/>
      <c r="P10" s="12"/>
      <c r="Q10" s="6">
        <v>1959</v>
      </c>
      <c r="R10" s="12"/>
      <c r="S10" s="12"/>
    </row>
    <row r="11" spans="2:37" x14ac:dyDescent="0.3">
      <c r="B11" s="1" t="s">
        <v>69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6">
        <v>2624</v>
      </c>
      <c r="N11" s="12"/>
      <c r="O11" s="12"/>
      <c r="P11" s="12"/>
      <c r="Q11" s="6">
        <v>3063</v>
      </c>
      <c r="R11" s="12"/>
      <c r="S11" s="12"/>
    </row>
    <row r="12" spans="2:37" x14ac:dyDescent="0.3">
      <c r="B12" s="1" t="s">
        <v>70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6">
        <v>-283</v>
      </c>
      <c r="N12" s="12"/>
      <c r="O12" s="12"/>
      <c r="P12" s="12"/>
      <c r="Q12" s="6">
        <v>-253</v>
      </c>
      <c r="R12" s="12"/>
      <c r="S12" s="12"/>
    </row>
    <row r="13" spans="2:37" s="2" customFormat="1" x14ac:dyDescent="0.3">
      <c r="B13" s="2" t="s">
        <v>12</v>
      </c>
      <c r="G13" s="8">
        <v>11763</v>
      </c>
      <c r="H13" s="8">
        <v>15900</v>
      </c>
      <c r="I13" s="8">
        <v>14897</v>
      </c>
      <c r="J13" s="8">
        <f>Y13-I13-H13-G13</f>
        <v>22886</v>
      </c>
      <c r="K13" s="8">
        <v>12830</v>
      </c>
      <c r="L13" s="8">
        <v>15995</v>
      </c>
      <c r="M13" s="8">
        <f>SUM(M9:M12)</f>
        <v>15689</v>
      </c>
      <c r="N13" s="8">
        <f>Z13-M13-L13-K13</f>
        <v>24716</v>
      </c>
      <c r="O13" s="8">
        <v>13542</v>
      </c>
      <c r="P13" s="8">
        <v>16068</v>
      </c>
      <c r="Q13" s="8">
        <f>SUM(Q9:Q12)</f>
        <v>17826</v>
      </c>
      <c r="R13" s="8">
        <f>N13*1.1</f>
        <v>27187.600000000002</v>
      </c>
      <c r="U13" s="8">
        <v>70478</v>
      </c>
      <c r="V13" s="8">
        <v>49912</v>
      </c>
      <c r="W13" s="8">
        <v>52149</v>
      </c>
      <c r="X13" s="8">
        <v>58763</v>
      </c>
      <c r="Y13" s="8">
        <v>65446</v>
      </c>
      <c r="Z13" s="8">
        <v>69230</v>
      </c>
      <c r="AA13" s="8">
        <f>SUM(O13:R13)</f>
        <v>74623.600000000006</v>
      </c>
      <c r="AB13" s="8">
        <f>AA13*1.05</f>
        <v>78354.780000000013</v>
      </c>
      <c r="AC13" s="8">
        <f>AB13*1.03</f>
        <v>80705.423400000014</v>
      </c>
      <c r="AD13" s="8">
        <f t="shared" ref="AD13:AK13" si="0">AC13*1.02</f>
        <v>82319.53186800002</v>
      </c>
      <c r="AE13" s="8">
        <f t="shared" si="0"/>
        <v>83965.922505360024</v>
      </c>
      <c r="AF13" s="8">
        <f t="shared" si="0"/>
        <v>85645.240955467219</v>
      </c>
      <c r="AG13" s="8">
        <f t="shared" si="0"/>
        <v>87358.145774576566</v>
      </c>
      <c r="AH13" s="8">
        <f t="shared" si="0"/>
        <v>89105.308690068094</v>
      </c>
      <c r="AI13" s="8">
        <f t="shared" si="0"/>
        <v>90887.414863869461</v>
      </c>
      <c r="AJ13" s="8">
        <f t="shared" si="0"/>
        <v>92705.163161146847</v>
      </c>
      <c r="AK13" s="8">
        <f t="shared" si="0"/>
        <v>94559.26642436978</v>
      </c>
    </row>
    <row r="14" spans="2:37" x14ac:dyDescent="0.3">
      <c r="B14" s="1" t="s">
        <v>13</v>
      </c>
      <c r="G14" s="6">
        <v>10103</v>
      </c>
      <c r="H14" s="6">
        <v>13043</v>
      </c>
      <c r="I14" s="6">
        <v>12846</v>
      </c>
      <c r="J14" s="6">
        <f>Y14-I14-H14-G14</f>
        <v>19410</v>
      </c>
      <c r="K14" s="6">
        <v>10897</v>
      </c>
      <c r="L14" s="6">
        <v>13755</v>
      </c>
      <c r="M14" s="6">
        <v>13222</v>
      </c>
      <c r="N14" s="6">
        <f>Z14-M14-L14-K14</f>
        <v>20681</v>
      </c>
      <c r="O14" s="6">
        <v>11664</v>
      </c>
      <c r="P14" s="6">
        <v>13696</v>
      </c>
      <c r="Q14" s="6">
        <v>14899</v>
      </c>
      <c r="R14" s="6">
        <f>R13-R15</f>
        <v>22565.708000000002</v>
      </c>
      <c r="U14" s="6">
        <v>59973</v>
      </c>
      <c r="V14" s="6">
        <v>44250</v>
      </c>
      <c r="W14" s="6">
        <v>42518</v>
      </c>
      <c r="X14" s="6">
        <v>48192</v>
      </c>
      <c r="Y14" s="6">
        <v>55402</v>
      </c>
      <c r="Z14" s="6">
        <v>58555</v>
      </c>
      <c r="AA14" s="6">
        <f>SUM(O14:R14)</f>
        <v>62824.707999999999</v>
      </c>
      <c r="AB14" s="6">
        <f t="shared" ref="AB14:AK14" si="1">AB13-AB15</f>
        <v>65034.467400000009</v>
      </c>
      <c r="AC14" s="6">
        <f t="shared" si="1"/>
        <v>66178.44718800002</v>
      </c>
      <c r="AD14" s="6">
        <f t="shared" si="1"/>
        <v>67502.016131760014</v>
      </c>
      <c r="AE14" s="6">
        <f t="shared" si="1"/>
        <v>68852.05645439522</v>
      </c>
      <c r="AF14" s="6">
        <f t="shared" si="1"/>
        <v>70229.097583483119</v>
      </c>
      <c r="AG14" s="6">
        <f t="shared" si="1"/>
        <v>71633.679535152784</v>
      </c>
      <c r="AH14" s="6">
        <f t="shared" si="1"/>
        <v>73066.353125855836</v>
      </c>
      <c r="AI14" s="6">
        <f t="shared" si="1"/>
        <v>74527.680188372964</v>
      </c>
      <c r="AJ14" s="6">
        <f t="shared" si="1"/>
        <v>76018.233792140411</v>
      </c>
      <c r="AK14" s="6">
        <f t="shared" si="1"/>
        <v>77538.598467983218</v>
      </c>
    </row>
    <row r="15" spans="2:37" s="2" customFormat="1" x14ac:dyDescent="0.3">
      <c r="B15" s="2" t="s">
        <v>14</v>
      </c>
      <c r="G15" s="8">
        <f t="shared" ref="G15" si="2">G13-G14</f>
        <v>1660</v>
      </c>
      <c r="H15" s="8">
        <f t="shared" ref="H15" si="3">H13-H14</f>
        <v>2857</v>
      </c>
      <c r="I15" s="8">
        <f t="shared" ref="I15:J15" si="4">I13-I14</f>
        <v>2051</v>
      </c>
      <c r="J15" s="8">
        <f t="shared" si="4"/>
        <v>3476</v>
      </c>
      <c r="K15" s="8">
        <f t="shared" ref="K15:L15" si="5">K13-K14</f>
        <v>1933</v>
      </c>
      <c r="L15" s="8">
        <f t="shared" si="5"/>
        <v>2240</v>
      </c>
      <c r="M15" s="8">
        <f t="shared" ref="M15:Q15" si="6">M13-M14</f>
        <v>2467</v>
      </c>
      <c r="N15" s="8">
        <f t="shared" ref="N15" si="7">N13-N14</f>
        <v>4035</v>
      </c>
      <c r="O15" s="8">
        <f t="shared" si="6"/>
        <v>1878</v>
      </c>
      <c r="P15" s="8">
        <f t="shared" si="6"/>
        <v>2372</v>
      </c>
      <c r="Q15" s="8">
        <f t="shared" si="6"/>
        <v>2927</v>
      </c>
      <c r="R15" s="8">
        <f>R13*0.17</f>
        <v>4621.8920000000007</v>
      </c>
      <c r="U15" s="8">
        <f t="shared" ref="U15:Z15" si="8">U13-U14</f>
        <v>10505</v>
      </c>
      <c r="V15" s="8">
        <f t="shared" si="8"/>
        <v>5662</v>
      </c>
      <c r="W15" s="8">
        <f t="shared" si="8"/>
        <v>9631</v>
      </c>
      <c r="X15" s="8">
        <f t="shared" si="8"/>
        <v>10571</v>
      </c>
      <c r="Y15" s="8">
        <f t="shared" si="8"/>
        <v>10044</v>
      </c>
      <c r="Z15" s="8">
        <f t="shared" si="8"/>
        <v>10675</v>
      </c>
      <c r="AA15" s="8">
        <f>AA13*0.16</f>
        <v>11939.776000000002</v>
      </c>
      <c r="AB15" s="8">
        <f t="shared" ref="AB15" si="9">AB13*0.17</f>
        <v>13320.312600000003</v>
      </c>
      <c r="AC15" s="8">
        <f>AC13*0.18</f>
        <v>14526.976212000001</v>
      </c>
      <c r="AD15" s="8">
        <f t="shared" ref="AD15:AK15" si="10">AD13*0.18</f>
        <v>14817.515736240002</v>
      </c>
      <c r="AE15" s="8">
        <f t="shared" si="10"/>
        <v>15113.866050964803</v>
      </c>
      <c r="AF15" s="8">
        <f t="shared" si="10"/>
        <v>15416.143371984099</v>
      </c>
      <c r="AG15" s="8">
        <f t="shared" si="10"/>
        <v>15724.466239423782</v>
      </c>
      <c r="AH15" s="8">
        <f t="shared" si="10"/>
        <v>16038.955564212256</v>
      </c>
      <c r="AI15" s="8">
        <f t="shared" si="10"/>
        <v>16359.734675496502</v>
      </c>
      <c r="AJ15" s="8">
        <f t="shared" si="10"/>
        <v>16686.929369006433</v>
      </c>
      <c r="AK15" s="8">
        <f t="shared" si="10"/>
        <v>17020.667956386558</v>
      </c>
    </row>
    <row r="16" spans="2:37" x14ac:dyDescent="0.3">
      <c r="B16" s="1" t="s">
        <v>15</v>
      </c>
      <c r="G16" s="6">
        <v>205</v>
      </c>
      <c r="H16" s="6">
        <v>219</v>
      </c>
      <c r="I16" s="6">
        <v>218</v>
      </c>
      <c r="J16" s="6">
        <f t="shared" ref="J16:J18" si="11">Y16-I16-H16-G16</f>
        <v>225</v>
      </c>
      <c r="K16" s="6">
        <v>226</v>
      </c>
      <c r="L16" s="6">
        <v>234</v>
      </c>
      <c r="M16" s="6">
        <v>203</v>
      </c>
      <c r="N16" s="6">
        <f t="shared" ref="N16:N18" si="12">Z16-M16-L16-K16</f>
        <v>214</v>
      </c>
      <c r="O16" s="6">
        <v>219</v>
      </c>
      <c r="P16" s="6">
        <v>209</v>
      </c>
      <c r="Q16" s="6">
        <v>191</v>
      </c>
      <c r="R16" s="6">
        <f>R13*0.009</f>
        <v>244.6884</v>
      </c>
      <c r="U16" s="6">
        <v>908</v>
      </c>
      <c r="V16" s="6">
        <v>717</v>
      </c>
      <c r="W16" s="6">
        <v>713</v>
      </c>
      <c r="X16" s="6">
        <v>788</v>
      </c>
      <c r="Y16" s="6">
        <v>867</v>
      </c>
      <c r="Z16" s="6">
        <v>877</v>
      </c>
      <c r="AA16" s="6">
        <f t="shared" ref="AA16:AA18" si="13">SUM(O16:R16)</f>
        <v>863.6884</v>
      </c>
      <c r="AB16" s="6">
        <f>AB13*0.013</f>
        <v>1018.6121400000002</v>
      </c>
      <c r="AC16" s="6">
        <f t="shared" ref="AC16:AK16" si="14">AC13*0.013</f>
        <v>1049.1705042000001</v>
      </c>
      <c r="AD16" s="6">
        <f t="shared" si="14"/>
        <v>1070.1539142840002</v>
      </c>
      <c r="AE16" s="6">
        <f t="shared" si="14"/>
        <v>1091.5569925696802</v>
      </c>
      <c r="AF16" s="6">
        <f t="shared" si="14"/>
        <v>1113.3881324210738</v>
      </c>
      <c r="AG16" s="6">
        <f t="shared" si="14"/>
        <v>1135.6558950694953</v>
      </c>
      <c r="AH16" s="6">
        <f t="shared" si="14"/>
        <v>1158.3690129708853</v>
      </c>
      <c r="AI16" s="6">
        <f t="shared" si="14"/>
        <v>1181.536393230303</v>
      </c>
      <c r="AJ16" s="6">
        <f t="shared" si="14"/>
        <v>1205.1671210949089</v>
      </c>
      <c r="AK16" s="6">
        <f t="shared" si="14"/>
        <v>1229.270463516807</v>
      </c>
    </row>
    <row r="17" spans="2:151" x14ac:dyDescent="0.3">
      <c r="B17" s="1" t="s">
        <v>16</v>
      </c>
      <c r="G17" s="6">
        <v>382</v>
      </c>
      <c r="H17" s="6">
        <v>444</v>
      </c>
      <c r="I17" s="6">
        <v>405</v>
      </c>
      <c r="J17" s="6">
        <f t="shared" si="11"/>
        <v>423</v>
      </c>
      <c r="K17" s="6">
        <v>440</v>
      </c>
      <c r="L17" s="6">
        <v>444</v>
      </c>
      <c r="M17" s="6">
        <v>399</v>
      </c>
      <c r="N17" s="6">
        <f t="shared" si="12"/>
        <v>461</v>
      </c>
      <c r="O17" s="6">
        <v>446</v>
      </c>
      <c r="P17" s="6">
        <v>429</v>
      </c>
      <c r="Q17" s="6">
        <v>358</v>
      </c>
      <c r="R17" s="6">
        <f t="shared" ref="R17" si="15">N17*1.02</f>
        <v>470.22</v>
      </c>
      <c r="U17" s="6">
        <v>5217</v>
      </c>
      <c r="V17" s="6">
        <v>1423</v>
      </c>
      <c r="W17" s="6">
        <v>1339</v>
      </c>
      <c r="X17" s="6">
        <v>1452</v>
      </c>
      <c r="Y17" s="6">
        <v>1654</v>
      </c>
      <c r="Z17" s="6">
        <v>1744</v>
      </c>
      <c r="AA17" s="6">
        <f t="shared" si="13"/>
        <v>1703.22</v>
      </c>
      <c r="AB17" s="6">
        <f>AA17*1.03</f>
        <v>1754.3166000000001</v>
      </c>
      <c r="AC17" s="6">
        <f>AB17*1.02</f>
        <v>1789.4029320000002</v>
      </c>
      <c r="AD17" s="6">
        <f t="shared" ref="AD17:AK17" si="16">AC17*1.02</f>
        <v>1825.1909906400003</v>
      </c>
      <c r="AE17" s="6">
        <f t="shared" si="16"/>
        <v>1861.6948104528003</v>
      </c>
      <c r="AF17" s="6">
        <f t="shared" si="16"/>
        <v>1898.9287066618563</v>
      </c>
      <c r="AG17" s="6">
        <f t="shared" si="16"/>
        <v>1936.9072807950934</v>
      </c>
      <c r="AH17" s="6">
        <f t="shared" si="16"/>
        <v>1975.6454264109952</v>
      </c>
      <c r="AI17" s="6">
        <f t="shared" si="16"/>
        <v>2015.1583349392151</v>
      </c>
      <c r="AJ17" s="6">
        <f t="shared" si="16"/>
        <v>2055.4615016379994</v>
      </c>
      <c r="AK17" s="6">
        <f t="shared" si="16"/>
        <v>2096.5707316707594</v>
      </c>
    </row>
    <row r="18" spans="2:151" x14ac:dyDescent="0.3">
      <c r="B18" s="1" t="s">
        <v>17</v>
      </c>
      <c r="G18" s="6">
        <v>683</v>
      </c>
      <c r="H18" s="6">
        <v>748</v>
      </c>
      <c r="I18" s="6">
        <v>736</v>
      </c>
      <c r="J18" s="6">
        <f t="shared" si="11"/>
        <v>1090</v>
      </c>
      <c r="K18" s="6">
        <v>743</v>
      </c>
      <c r="L18" s="6">
        <v>850</v>
      </c>
      <c r="M18" s="6">
        <v>758</v>
      </c>
      <c r="N18" s="6">
        <f t="shared" si="12"/>
        <v>899</v>
      </c>
      <c r="O18" s="6">
        <v>673</v>
      </c>
      <c r="P18" s="6">
        <v>733</v>
      </c>
      <c r="Q18" s="6">
        <v>739</v>
      </c>
      <c r="R18" s="6">
        <f>N18*0.92</f>
        <v>827.08</v>
      </c>
      <c r="U18" s="6">
        <v>3358</v>
      </c>
      <c r="V18" s="6">
        <v>2858</v>
      </c>
      <c r="W18" s="6">
        <v>2746</v>
      </c>
      <c r="X18" s="6">
        <v>3079</v>
      </c>
      <c r="Y18" s="6">
        <v>3257</v>
      </c>
      <c r="Z18" s="6">
        <v>3250</v>
      </c>
      <c r="AA18" s="6">
        <f t="shared" si="13"/>
        <v>2972.08</v>
      </c>
      <c r="AB18" s="6">
        <f>AA18*1.02</f>
        <v>3031.5216</v>
      </c>
      <c r="AC18" s="6">
        <f>AB18*1.01</f>
        <v>3061.836816</v>
      </c>
      <c r="AD18" s="6">
        <f t="shared" ref="AD18:AK18" si="17">AC18*1.01</f>
        <v>3092.45518416</v>
      </c>
      <c r="AE18" s="6">
        <f t="shared" si="17"/>
        <v>3123.3797360016001</v>
      </c>
      <c r="AF18" s="6">
        <f t="shared" si="17"/>
        <v>3154.6135333616162</v>
      </c>
      <c r="AG18" s="6">
        <f t="shared" si="17"/>
        <v>3186.1596686952325</v>
      </c>
      <c r="AH18" s="6">
        <f t="shared" si="17"/>
        <v>3218.021265382185</v>
      </c>
      <c r="AI18" s="6">
        <f t="shared" si="17"/>
        <v>3250.2014780360068</v>
      </c>
      <c r="AJ18" s="6">
        <f t="shared" si="17"/>
        <v>3282.7034928163671</v>
      </c>
      <c r="AK18" s="6">
        <f t="shared" si="17"/>
        <v>3315.5305277445309</v>
      </c>
    </row>
    <row r="19" spans="2:151" x14ac:dyDescent="0.3">
      <c r="B19" s="1" t="s">
        <v>24</v>
      </c>
      <c r="G19" s="6">
        <f t="shared" ref="G19" si="18">SUM(G16:G18)</f>
        <v>1270</v>
      </c>
      <c r="H19" s="6">
        <f t="shared" ref="H19" si="19">SUM(H16:H18)</f>
        <v>1411</v>
      </c>
      <c r="I19" s="6">
        <f t="shared" ref="I19:J19" si="20">SUM(I16:I18)</f>
        <v>1359</v>
      </c>
      <c r="J19" s="6">
        <f t="shared" si="20"/>
        <v>1738</v>
      </c>
      <c r="K19" s="6">
        <f t="shared" ref="K19:L19" si="21">SUM(K16:K18)</f>
        <v>1409</v>
      </c>
      <c r="L19" s="6">
        <f t="shared" si="21"/>
        <v>1528</v>
      </c>
      <c r="M19" s="6">
        <f t="shared" ref="M19:O19" si="22">SUM(M16:M18)</f>
        <v>1360</v>
      </c>
      <c r="N19" s="6">
        <f t="shared" ref="N19" si="23">SUM(N16:N18)</f>
        <v>1574</v>
      </c>
      <c r="O19" s="6">
        <f t="shared" si="22"/>
        <v>1338</v>
      </c>
      <c r="P19" s="6">
        <f t="shared" ref="P19:R19" si="24">SUM(P16:P18)</f>
        <v>1371</v>
      </c>
      <c r="Q19" s="6">
        <f t="shared" si="24"/>
        <v>1288</v>
      </c>
      <c r="R19" s="6">
        <f t="shared" si="24"/>
        <v>1541.9884000000002</v>
      </c>
      <c r="U19" s="6">
        <f t="shared" ref="U19:AA19" si="25">SUM(U16:U18)</f>
        <v>9483</v>
      </c>
      <c r="V19" s="6">
        <f t="shared" si="25"/>
        <v>4998</v>
      </c>
      <c r="W19" s="6">
        <f t="shared" si="25"/>
        <v>4798</v>
      </c>
      <c r="X19" s="6">
        <f t="shared" si="25"/>
        <v>5319</v>
      </c>
      <c r="Y19" s="6">
        <f t="shared" si="25"/>
        <v>5778</v>
      </c>
      <c r="Z19" s="6">
        <f t="shared" si="25"/>
        <v>5871</v>
      </c>
      <c r="AA19" s="6">
        <f t="shared" si="25"/>
        <v>5538.9884000000002</v>
      </c>
      <c r="AB19" s="6">
        <f t="shared" ref="AB19" si="26">SUM(AB16:AB18)</f>
        <v>5804.4503400000003</v>
      </c>
      <c r="AC19" s="6">
        <f t="shared" ref="AC19" si="27">SUM(AC16:AC18)</f>
        <v>5900.4102522000003</v>
      </c>
      <c r="AD19" s="6">
        <f t="shared" ref="AD19" si="28">SUM(AD16:AD18)</f>
        <v>5987.8000890840012</v>
      </c>
      <c r="AE19" s="6">
        <f t="shared" ref="AE19" si="29">SUM(AE16:AE18)</f>
        <v>6076.6315390240807</v>
      </c>
      <c r="AF19" s="6">
        <f t="shared" ref="AF19" si="30">SUM(AF16:AF18)</f>
        <v>6166.9303724445463</v>
      </c>
      <c r="AG19" s="6">
        <f t="shared" ref="AG19" si="31">SUM(AG16:AG18)</f>
        <v>6258.7228445598212</v>
      </c>
      <c r="AH19" s="6">
        <f t="shared" ref="AH19" si="32">SUM(AH16:AH18)</f>
        <v>6352.0357047640655</v>
      </c>
      <c r="AI19" s="6">
        <f t="shared" ref="AI19" si="33">SUM(AI16:AI18)</f>
        <v>6446.8962062055252</v>
      </c>
      <c r="AJ19" s="6">
        <f t="shared" ref="AJ19" si="34">SUM(AJ16:AJ18)</f>
        <v>6543.3321155492758</v>
      </c>
      <c r="AK19" s="6">
        <f t="shared" ref="AK19" si="35">SUM(AK16:AK18)</f>
        <v>6641.3717229320973</v>
      </c>
    </row>
    <row r="20" spans="2:151" s="2" customFormat="1" x14ac:dyDescent="0.3">
      <c r="B20" s="2" t="s">
        <v>26</v>
      </c>
      <c r="G20" s="8">
        <f t="shared" ref="G20" si="36">G15-G19</f>
        <v>390</v>
      </c>
      <c r="H20" s="8">
        <f t="shared" ref="H20" si="37">H15-H19</f>
        <v>1446</v>
      </c>
      <c r="I20" s="8">
        <f t="shared" ref="I20:J20" si="38">I15-I19</f>
        <v>692</v>
      </c>
      <c r="J20" s="8">
        <f t="shared" si="38"/>
        <v>1738</v>
      </c>
      <c r="K20" s="8">
        <f t="shared" ref="K20:L20" si="39">K15-K19</f>
        <v>524</v>
      </c>
      <c r="L20" s="8">
        <f t="shared" si="39"/>
        <v>712</v>
      </c>
      <c r="M20" s="8">
        <f t="shared" ref="M20:O20" si="40">M15-M19</f>
        <v>1107</v>
      </c>
      <c r="N20" s="8">
        <f t="shared" ref="N20" si="41">N15-N19</f>
        <v>2461</v>
      </c>
      <c r="O20" s="8">
        <f t="shared" si="40"/>
        <v>540</v>
      </c>
      <c r="P20" s="8">
        <f t="shared" ref="P20:R20" si="42">P15-P19</f>
        <v>1001</v>
      </c>
      <c r="Q20" s="8">
        <f t="shared" si="42"/>
        <v>1639</v>
      </c>
      <c r="R20" s="8">
        <f t="shared" si="42"/>
        <v>3079.9036000000006</v>
      </c>
      <c r="U20" s="8">
        <f t="shared" ref="U20:AA20" si="43">U15-U19</f>
        <v>1022</v>
      </c>
      <c r="V20" s="8">
        <f t="shared" si="43"/>
        <v>664</v>
      </c>
      <c r="W20" s="8">
        <f t="shared" si="43"/>
        <v>4833</v>
      </c>
      <c r="X20" s="8">
        <f t="shared" si="43"/>
        <v>5252</v>
      </c>
      <c r="Y20" s="8">
        <f t="shared" si="43"/>
        <v>4266</v>
      </c>
      <c r="Z20" s="8">
        <f t="shared" si="43"/>
        <v>4804</v>
      </c>
      <c r="AA20" s="8">
        <f t="shared" si="43"/>
        <v>6400.7876000000015</v>
      </c>
      <c r="AB20" s="8">
        <f t="shared" ref="AB20" si="44">AB15-AB19</f>
        <v>7515.8622600000026</v>
      </c>
      <c r="AC20" s="8">
        <f t="shared" ref="AC20" si="45">AC15-AC19</f>
        <v>8626.565959800002</v>
      </c>
      <c r="AD20" s="8">
        <f t="shared" ref="AD20" si="46">AD15-AD19</f>
        <v>8829.7156471560011</v>
      </c>
      <c r="AE20" s="8">
        <f t="shared" ref="AE20" si="47">AE15-AE19</f>
        <v>9037.2345119407219</v>
      </c>
      <c r="AF20" s="8">
        <f t="shared" ref="AF20" si="48">AF15-AF19</f>
        <v>9249.2129995395517</v>
      </c>
      <c r="AG20" s="8">
        <f t="shared" ref="AG20" si="49">AG15-AG19</f>
        <v>9465.7433948639609</v>
      </c>
      <c r="AH20" s="8">
        <f t="shared" ref="AH20" si="50">AH15-AH19</f>
        <v>9686.9198594481895</v>
      </c>
      <c r="AI20" s="8">
        <f t="shared" ref="AI20" si="51">AI15-AI19</f>
        <v>9912.8384692909767</v>
      </c>
      <c r="AJ20" s="8">
        <f t="shared" ref="AJ20" si="52">AJ15-AJ19</f>
        <v>10143.597253457157</v>
      </c>
      <c r="AK20" s="8">
        <f t="shared" ref="AK20" si="53">AK15-AK19</f>
        <v>10379.296233454461</v>
      </c>
    </row>
    <row r="21" spans="2:151" x14ac:dyDescent="0.3">
      <c r="B21" s="1" t="s">
        <v>18</v>
      </c>
      <c r="G21" s="6">
        <v>-24</v>
      </c>
      <c r="H21" s="6">
        <v>-10</v>
      </c>
      <c r="I21" s="6">
        <v>-96</v>
      </c>
      <c r="J21" s="6">
        <f t="shared" ref="J21:J27" si="54">Y21-I21-H21-G21</f>
        <v>-113</v>
      </c>
      <c r="K21" s="6">
        <v>-90</v>
      </c>
      <c r="L21" s="6">
        <v>-88</v>
      </c>
      <c r="M21" s="6">
        <v>-63</v>
      </c>
      <c r="N21" s="6">
        <f t="shared" ref="N21:N27" si="55">Z21-M21-L21-K21</f>
        <v>-62</v>
      </c>
      <c r="O21" s="6">
        <v>-33</v>
      </c>
      <c r="P21" s="6">
        <v>-65</v>
      </c>
      <c r="Q21" s="6">
        <v>-64</v>
      </c>
      <c r="R21" s="6">
        <v>-33</v>
      </c>
      <c r="U21" s="6">
        <v>-370</v>
      </c>
      <c r="V21" s="6">
        <v>-132</v>
      </c>
      <c r="W21" s="6">
        <v>-594</v>
      </c>
      <c r="X21" s="6">
        <v>-471</v>
      </c>
      <c r="Y21" s="6">
        <v>-243</v>
      </c>
      <c r="Z21" s="6">
        <v>-303</v>
      </c>
      <c r="AA21" s="6">
        <f t="shared" ref="AA21:AA27" si="56">SUM(O21:R21)</f>
        <v>-195</v>
      </c>
      <c r="AB21" s="6">
        <f t="shared" ref="AB21:AK21" si="57">AA21*1.01</f>
        <v>-196.95</v>
      </c>
      <c r="AC21" s="6">
        <f t="shared" si="57"/>
        <v>-198.9195</v>
      </c>
      <c r="AD21" s="6">
        <f t="shared" si="57"/>
        <v>-200.90869499999999</v>
      </c>
      <c r="AE21" s="6">
        <f t="shared" si="57"/>
        <v>-202.91778195000001</v>
      </c>
      <c r="AF21" s="6">
        <f t="shared" si="57"/>
        <v>-204.94695976950001</v>
      </c>
      <c r="AG21" s="6">
        <f t="shared" si="57"/>
        <v>-206.99642936719502</v>
      </c>
      <c r="AH21" s="6">
        <f t="shared" si="57"/>
        <v>-209.06639366086696</v>
      </c>
      <c r="AI21" s="6">
        <f t="shared" si="57"/>
        <v>-211.15705759747564</v>
      </c>
      <c r="AJ21" s="6">
        <f t="shared" si="57"/>
        <v>-213.2686281734504</v>
      </c>
      <c r="AK21" s="6">
        <f t="shared" si="57"/>
        <v>-215.40131445518489</v>
      </c>
    </row>
    <row r="22" spans="2:151" x14ac:dyDescent="0.3">
      <c r="B22" s="1" t="s">
        <v>19</v>
      </c>
      <c r="G22" s="6">
        <v>36</v>
      </c>
      <c r="H22" s="6">
        <v>37</v>
      </c>
      <c r="I22" s="6">
        <v>15</v>
      </c>
      <c r="J22" s="6">
        <f t="shared" si="54"/>
        <v>121</v>
      </c>
      <c r="K22" s="6">
        <v>25</v>
      </c>
      <c r="L22" s="6">
        <v>53</v>
      </c>
      <c r="M22" s="6">
        <v>32</v>
      </c>
      <c r="N22" s="6">
        <f t="shared" si="55"/>
        <v>87</v>
      </c>
      <c r="O22" s="6">
        <v>121</v>
      </c>
      <c r="P22" s="6">
        <v>39</v>
      </c>
      <c r="Q22" s="6">
        <v>39</v>
      </c>
      <c r="R22" s="6">
        <v>100</v>
      </c>
      <c r="U22" s="6">
        <v>356</v>
      </c>
      <c r="V22" s="6">
        <v>1458</v>
      </c>
      <c r="W22" s="6">
        <v>201</v>
      </c>
      <c r="X22" s="6">
        <v>590</v>
      </c>
      <c r="Y22" s="6">
        <v>209</v>
      </c>
      <c r="Z22" s="6">
        <v>197</v>
      </c>
      <c r="AA22" s="6">
        <f t="shared" si="56"/>
        <v>299</v>
      </c>
      <c r="AB22" s="6">
        <f t="shared" ref="AB22:AK22" si="58">AA22*1.01</f>
        <v>301.99</v>
      </c>
      <c r="AC22" s="6">
        <f t="shared" si="58"/>
        <v>305.00990000000002</v>
      </c>
      <c r="AD22" s="6">
        <f t="shared" si="58"/>
        <v>308.059999</v>
      </c>
      <c r="AE22" s="6">
        <f t="shared" si="58"/>
        <v>311.14059899</v>
      </c>
      <c r="AF22" s="6">
        <f t="shared" si="58"/>
        <v>314.25200497989999</v>
      </c>
      <c r="AG22" s="6">
        <f t="shared" si="58"/>
        <v>317.39452502969897</v>
      </c>
      <c r="AH22" s="6">
        <f t="shared" si="58"/>
        <v>320.56847027999595</v>
      </c>
      <c r="AI22" s="6">
        <f t="shared" si="58"/>
        <v>323.77415498279589</v>
      </c>
      <c r="AJ22" s="6">
        <f t="shared" si="58"/>
        <v>327.01189653262384</v>
      </c>
      <c r="AK22" s="6">
        <f t="shared" si="58"/>
        <v>330.28201549795006</v>
      </c>
    </row>
    <row r="23" spans="2:151" x14ac:dyDescent="0.3">
      <c r="B23" s="1" t="s">
        <v>20</v>
      </c>
      <c r="G23" s="6">
        <v>-9</v>
      </c>
      <c r="H23" s="6">
        <v>-71</v>
      </c>
      <c r="I23" s="6">
        <v>-49</v>
      </c>
      <c r="J23" s="6">
        <f t="shared" si="54"/>
        <v>-138</v>
      </c>
      <c r="K23" s="6">
        <v>-22</v>
      </c>
      <c r="L23" s="6">
        <v>-57</v>
      </c>
      <c r="M23" s="6">
        <v>-80</v>
      </c>
      <c r="N23" s="6">
        <f t="shared" si="55"/>
        <v>-191</v>
      </c>
      <c r="O23" s="6">
        <v>-29</v>
      </c>
      <c r="P23" s="6">
        <v>-74</v>
      </c>
      <c r="Q23" s="6">
        <v>-46</v>
      </c>
      <c r="R23" s="6">
        <v>-100</v>
      </c>
      <c r="U23" s="6">
        <v>-299</v>
      </c>
      <c r="V23" s="6">
        <v>-39</v>
      </c>
      <c r="W23" s="6">
        <v>-40</v>
      </c>
      <c r="X23" s="6">
        <v>-134</v>
      </c>
      <c r="Y23" s="6">
        <v>-267</v>
      </c>
      <c r="Z23" s="6">
        <v>-350</v>
      </c>
      <c r="AA23" s="6">
        <f t="shared" si="56"/>
        <v>-249</v>
      </c>
      <c r="AB23" s="6">
        <f t="shared" ref="AB23:AK23" si="59">AA23*1.01</f>
        <v>-251.49</v>
      </c>
      <c r="AC23" s="6">
        <f t="shared" si="59"/>
        <v>-254.00490000000002</v>
      </c>
      <c r="AD23" s="6">
        <f t="shared" si="59"/>
        <v>-256.54494900000003</v>
      </c>
      <c r="AE23" s="6">
        <f t="shared" si="59"/>
        <v>-259.11039849000002</v>
      </c>
      <c r="AF23" s="6">
        <f t="shared" si="59"/>
        <v>-261.70150247490005</v>
      </c>
      <c r="AG23" s="6">
        <f t="shared" si="59"/>
        <v>-264.31851749964903</v>
      </c>
      <c r="AH23" s="6">
        <f t="shared" si="59"/>
        <v>-266.96170267464555</v>
      </c>
      <c r="AI23" s="6">
        <f t="shared" si="59"/>
        <v>-269.63131970139199</v>
      </c>
      <c r="AJ23" s="6">
        <f t="shared" si="59"/>
        <v>-272.32763289840591</v>
      </c>
      <c r="AK23" s="6">
        <f t="shared" si="59"/>
        <v>-275.05090922738998</v>
      </c>
    </row>
    <row r="24" spans="2:151" x14ac:dyDescent="0.3">
      <c r="B24" s="1" t="s">
        <v>21</v>
      </c>
      <c r="G24" s="6">
        <v>-3</v>
      </c>
      <c r="H24" s="6">
        <v>-7</v>
      </c>
      <c r="I24" s="6">
        <v>-3</v>
      </c>
      <c r="J24" s="6">
        <f t="shared" si="54"/>
        <v>-23</v>
      </c>
      <c r="K24" s="6">
        <v>2</v>
      </c>
      <c r="L24" s="6">
        <v>-43</v>
      </c>
      <c r="M24" s="6">
        <v>-16</v>
      </c>
      <c r="N24" s="6">
        <f t="shared" si="55"/>
        <v>13</v>
      </c>
      <c r="O24" s="6">
        <v>8</v>
      </c>
      <c r="P24" s="6">
        <v>-43</v>
      </c>
      <c r="Q24" s="6">
        <v>-38</v>
      </c>
      <c r="R24" s="6">
        <v>8</v>
      </c>
      <c r="U24" s="6">
        <v>-4</v>
      </c>
      <c r="V24" s="6">
        <v>-113</v>
      </c>
      <c r="W24" s="6">
        <v>-76</v>
      </c>
      <c r="X24" s="6">
        <v>-58</v>
      </c>
      <c r="Y24" s="6">
        <v>-36</v>
      </c>
      <c r="Z24" s="6">
        <v>-44</v>
      </c>
      <c r="AA24" s="6">
        <f t="shared" si="56"/>
        <v>-65</v>
      </c>
      <c r="AB24" s="6">
        <f t="shared" ref="AB24:AK24" si="60">AA24*1.01</f>
        <v>-65.650000000000006</v>
      </c>
      <c r="AC24" s="6">
        <f t="shared" si="60"/>
        <v>-66.3065</v>
      </c>
      <c r="AD24" s="6">
        <f t="shared" si="60"/>
        <v>-66.969565000000003</v>
      </c>
      <c r="AE24" s="6">
        <f t="shared" si="60"/>
        <v>-67.639260649999997</v>
      </c>
      <c r="AF24" s="6">
        <f t="shared" si="60"/>
        <v>-68.315653256499999</v>
      </c>
      <c r="AG24" s="6">
        <f t="shared" si="60"/>
        <v>-68.998809789065007</v>
      </c>
      <c r="AH24" s="6">
        <f t="shared" si="60"/>
        <v>-69.688797886955655</v>
      </c>
      <c r="AI24" s="6">
        <f t="shared" si="60"/>
        <v>-70.385685865825209</v>
      </c>
      <c r="AJ24" s="6">
        <f t="shared" si="60"/>
        <v>-71.089542724483465</v>
      </c>
      <c r="AK24" s="6">
        <f t="shared" si="60"/>
        <v>-71.800438151728301</v>
      </c>
    </row>
    <row r="25" spans="2:151" x14ac:dyDescent="0.3">
      <c r="B25" s="1" t="s">
        <v>22</v>
      </c>
      <c r="G25" s="6">
        <v>-133</v>
      </c>
      <c r="H25" s="6">
        <v>-145</v>
      </c>
      <c r="I25" s="6">
        <v>-246</v>
      </c>
      <c r="J25" s="6">
        <f t="shared" si="54"/>
        <v>-204</v>
      </c>
      <c r="K25" s="6">
        <v>-217</v>
      </c>
      <c r="L25" s="6">
        <v>-182</v>
      </c>
      <c r="M25" s="6">
        <v>-183</v>
      </c>
      <c r="N25" s="6">
        <f t="shared" si="55"/>
        <v>-220</v>
      </c>
      <c r="O25" s="6">
        <v>-209</v>
      </c>
      <c r="P25" s="6">
        <v>-171</v>
      </c>
      <c r="Q25" s="6">
        <v>-157</v>
      </c>
      <c r="R25" s="6">
        <v>-209</v>
      </c>
      <c r="U25" s="6">
        <v>-228</v>
      </c>
      <c r="V25" s="6">
        <v>-140</v>
      </c>
      <c r="W25" s="6">
        <v>-88</v>
      </c>
      <c r="X25" s="6">
        <v>-180</v>
      </c>
      <c r="Y25" s="6">
        <v>-728</v>
      </c>
      <c r="Z25" s="6">
        <v>-802</v>
      </c>
      <c r="AA25" s="6">
        <f t="shared" si="56"/>
        <v>-746</v>
      </c>
      <c r="AB25" s="6">
        <f t="shared" ref="AB25:AK25" si="61">AA25*1.01</f>
        <v>-753.46</v>
      </c>
      <c r="AC25" s="6">
        <f t="shared" si="61"/>
        <v>-760.99459999999999</v>
      </c>
      <c r="AD25" s="6">
        <f t="shared" si="61"/>
        <v>-768.60454600000003</v>
      </c>
      <c r="AE25" s="6">
        <f t="shared" si="61"/>
        <v>-776.29059146000009</v>
      </c>
      <c r="AF25" s="6">
        <f t="shared" si="61"/>
        <v>-784.05349737460006</v>
      </c>
      <c r="AG25" s="6">
        <f t="shared" si="61"/>
        <v>-791.89403234834606</v>
      </c>
      <c r="AH25" s="6">
        <f t="shared" si="61"/>
        <v>-799.81297267182947</v>
      </c>
      <c r="AI25" s="6">
        <f t="shared" si="61"/>
        <v>-807.81110239854775</v>
      </c>
      <c r="AJ25" s="6">
        <f t="shared" si="61"/>
        <v>-815.8892134225332</v>
      </c>
      <c r="AK25" s="6">
        <f t="shared" si="61"/>
        <v>-824.04810555675851</v>
      </c>
    </row>
    <row r="26" spans="2:151" x14ac:dyDescent="0.3">
      <c r="B26" s="1" t="s">
        <v>23</v>
      </c>
      <c r="G26" s="6">
        <v>166</v>
      </c>
      <c r="H26" s="6">
        <v>170</v>
      </c>
      <c r="I26" s="6">
        <v>195</v>
      </c>
      <c r="J26" s="6">
        <f t="shared" si="54"/>
        <v>222</v>
      </c>
      <c r="K26" s="6">
        <v>213</v>
      </c>
      <c r="L26" s="6">
        <v>215</v>
      </c>
      <c r="M26" s="6">
        <v>212</v>
      </c>
      <c r="N26" s="6">
        <f t="shared" si="55"/>
        <v>260</v>
      </c>
      <c r="O26" s="6">
        <v>189</v>
      </c>
      <c r="P26" s="6">
        <v>194</v>
      </c>
      <c r="Q26" s="6">
        <v>181</v>
      </c>
      <c r="R26" s="6">
        <v>189</v>
      </c>
      <c r="U26" s="6">
        <v>339</v>
      </c>
      <c r="V26" s="6">
        <v>411</v>
      </c>
      <c r="W26" s="6">
        <v>334</v>
      </c>
      <c r="X26" s="6">
        <v>412</v>
      </c>
      <c r="Y26" s="6">
        <v>753</v>
      </c>
      <c r="Z26" s="6">
        <v>900</v>
      </c>
      <c r="AA26" s="6">
        <f t="shared" si="56"/>
        <v>753</v>
      </c>
      <c r="AB26" s="6">
        <f t="shared" ref="AB26:AK26" si="62">AA26*1.01</f>
        <v>760.53</v>
      </c>
      <c r="AC26" s="6">
        <f t="shared" si="62"/>
        <v>768.13530000000003</v>
      </c>
      <c r="AD26" s="6">
        <f t="shared" si="62"/>
        <v>775.81665300000009</v>
      </c>
      <c r="AE26" s="6">
        <f t="shared" si="62"/>
        <v>783.57481953000013</v>
      </c>
      <c r="AF26" s="6">
        <f t="shared" si="62"/>
        <v>791.4105677253001</v>
      </c>
      <c r="AG26" s="6">
        <f t="shared" si="62"/>
        <v>799.32467340255312</v>
      </c>
      <c r="AH26" s="6">
        <f t="shared" si="62"/>
        <v>807.31792013657866</v>
      </c>
      <c r="AI26" s="6">
        <f t="shared" si="62"/>
        <v>815.39109933794441</v>
      </c>
      <c r="AJ26" s="6">
        <f t="shared" si="62"/>
        <v>823.54501033132385</v>
      </c>
      <c r="AK26" s="6">
        <f t="shared" si="62"/>
        <v>831.78046043463712</v>
      </c>
    </row>
    <row r="27" spans="2:151" x14ac:dyDescent="0.3">
      <c r="B27" s="1" t="s">
        <v>32</v>
      </c>
      <c r="G27" s="6">
        <v>-182</v>
      </c>
      <c r="H27" s="6">
        <v>22</v>
      </c>
      <c r="I27" s="6">
        <v>-78</v>
      </c>
      <c r="J27" s="6">
        <f t="shared" si="54"/>
        <v>47</v>
      </c>
      <c r="K27" s="6">
        <v>-225</v>
      </c>
      <c r="L27" s="6">
        <v>304</v>
      </c>
      <c r="M27" s="6">
        <v>-45</v>
      </c>
      <c r="N27" s="6">
        <f t="shared" si="55"/>
        <v>-253</v>
      </c>
      <c r="O27" s="6">
        <v>-601</v>
      </c>
      <c r="P27" s="6">
        <v>108</v>
      </c>
      <c r="Q27" s="6">
        <v>92</v>
      </c>
      <c r="R27" s="6">
        <v>0</v>
      </c>
      <c r="U27" s="6">
        <v>164</v>
      </c>
      <c r="V27" s="6">
        <v>349</v>
      </c>
      <c r="W27" s="6">
        <v>69</v>
      </c>
      <c r="X27" s="6">
        <v>18</v>
      </c>
      <c r="Y27" s="6">
        <v>-191</v>
      </c>
      <c r="Z27" s="6">
        <v>-219</v>
      </c>
      <c r="AA27" s="6">
        <f t="shared" si="56"/>
        <v>-401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</row>
    <row r="28" spans="2:151" x14ac:dyDescent="0.3">
      <c r="B28" s="1" t="s">
        <v>25</v>
      </c>
      <c r="G28" s="6">
        <v>-149</v>
      </c>
      <c r="H28" s="6">
        <f t="shared" ref="H28" si="63">SUM(H21:H27)</f>
        <v>-4</v>
      </c>
      <c r="I28" s="6">
        <f t="shared" ref="I28:J28" si="64">SUM(I21:I27)</f>
        <v>-262</v>
      </c>
      <c r="J28" s="6">
        <f t="shared" si="64"/>
        <v>-88</v>
      </c>
      <c r="K28" s="6">
        <f t="shared" ref="K28:L28" si="65">SUM(K21:K27)</f>
        <v>-314</v>
      </c>
      <c r="L28" s="6">
        <f t="shared" si="65"/>
        <v>202</v>
      </c>
      <c r="M28" s="6">
        <f t="shared" ref="M28:O28" si="66">SUM(M21:M27)</f>
        <v>-143</v>
      </c>
      <c r="N28" s="6">
        <f t="shared" ref="N28" si="67">SUM(N21:N27)</f>
        <v>-366</v>
      </c>
      <c r="O28" s="6">
        <f t="shared" si="66"/>
        <v>-554</v>
      </c>
      <c r="P28" s="6">
        <f t="shared" ref="P28:R28" si="68">SUM(P21:P27)</f>
        <v>-12</v>
      </c>
      <c r="Q28" s="6">
        <f t="shared" si="68"/>
        <v>7</v>
      </c>
      <c r="R28" s="6">
        <f t="shared" si="68"/>
        <v>-45</v>
      </c>
      <c r="U28" s="6">
        <f t="shared" ref="U28:AA28" si="69">SUM(U21:U27)</f>
        <v>-42</v>
      </c>
      <c r="V28" s="6">
        <f t="shared" si="69"/>
        <v>1794</v>
      </c>
      <c r="W28" s="6">
        <f t="shared" si="69"/>
        <v>-194</v>
      </c>
      <c r="X28" s="6">
        <f t="shared" si="69"/>
        <v>177</v>
      </c>
      <c r="Y28" s="6">
        <f t="shared" si="69"/>
        <v>-503</v>
      </c>
      <c r="Z28" s="6">
        <f t="shared" si="69"/>
        <v>-621</v>
      </c>
      <c r="AA28" s="6">
        <f t="shared" si="69"/>
        <v>-604</v>
      </c>
      <c r="AB28" s="6">
        <f t="shared" ref="AB28" si="70">SUM(AB21:AB27)</f>
        <v>-205.03000000000009</v>
      </c>
      <c r="AC28" s="6">
        <f t="shared" ref="AC28" si="71">SUM(AC21:AC27)</f>
        <v>-207.08029999999997</v>
      </c>
      <c r="AD28" s="6">
        <f t="shared" ref="AD28" si="72">SUM(AD21:AD27)</f>
        <v>-209.15110299999992</v>
      </c>
      <c r="AE28" s="6">
        <f t="shared" ref="AE28" si="73">SUM(AE21:AE27)</f>
        <v>-211.24261403000003</v>
      </c>
      <c r="AF28" s="6">
        <f t="shared" ref="AF28" si="74">SUM(AF21:AF27)</f>
        <v>-213.35504017030007</v>
      </c>
      <c r="AG28" s="6">
        <f t="shared" ref="AG28" si="75">SUM(AG21:AG27)</f>
        <v>-215.48859057200298</v>
      </c>
      <c r="AH28" s="6">
        <f t="shared" ref="AH28" si="76">SUM(AH21:AH27)</f>
        <v>-217.64347647772308</v>
      </c>
      <c r="AI28" s="6">
        <f t="shared" ref="AI28" si="77">SUM(AI21:AI27)</f>
        <v>-219.81991124250032</v>
      </c>
      <c r="AJ28" s="6">
        <f t="shared" ref="AJ28" si="78">SUM(AJ21:AJ27)</f>
        <v>-222.01811035492517</v>
      </c>
      <c r="AK28" s="6">
        <f t="shared" ref="AK28" si="79">SUM(AK21:AK27)</f>
        <v>-224.23829145847446</v>
      </c>
    </row>
    <row r="29" spans="2:151" s="2" customFormat="1" x14ac:dyDescent="0.3">
      <c r="B29" s="2" t="s">
        <v>27</v>
      </c>
      <c r="G29" s="8">
        <f t="shared" ref="G29" si="80">G20-G28</f>
        <v>539</v>
      </c>
      <c r="H29" s="8">
        <f t="shared" ref="H29" si="81">H20-H28</f>
        <v>1450</v>
      </c>
      <c r="I29" s="8">
        <f t="shared" ref="I29:J29" si="82">I20-I28</f>
        <v>954</v>
      </c>
      <c r="J29" s="8">
        <f t="shared" si="82"/>
        <v>1826</v>
      </c>
      <c r="K29" s="8">
        <f t="shared" ref="K29:L29" si="83">K20-K28</f>
        <v>838</v>
      </c>
      <c r="L29" s="8">
        <f t="shared" si="83"/>
        <v>510</v>
      </c>
      <c r="M29" s="8">
        <f t="shared" ref="M29:O29" si="84">M20-M28</f>
        <v>1250</v>
      </c>
      <c r="N29" s="8">
        <f t="shared" ref="N29" si="85">N20-N28</f>
        <v>2827</v>
      </c>
      <c r="O29" s="8">
        <f t="shared" si="84"/>
        <v>1094</v>
      </c>
      <c r="P29" s="8">
        <f t="shared" ref="P29:R29" si="86">P20-P28</f>
        <v>1013</v>
      </c>
      <c r="Q29" s="8">
        <f t="shared" si="86"/>
        <v>1632</v>
      </c>
      <c r="R29" s="8">
        <f t="shared" si="86"/>
        <v>3124.9036000000006</v>
      </c>
      <c r="U29" s="8">
        <f t="shared" ref="U29:AA29" si="87">U20-U28</f>
        <v>1064</v>
      </c>
      <c r="V29" s="8">
        <f t="shared" si="87"/>
        <v>-1130</v>
      </c>
      <c r="W29" s="8">
        <f t="shared" si="87"/>
        <v>5027</v>
      </c>
      <c r="X29" s="8">
        <f t="shared" si="87"/>
        <v>5075</v>
      </c>
      <c r="Y29" s="8">
        <f t="shared" si="87"/>
        <v>4769</v>
      </c>
      <c r="Z29" s="8">
        <f t="shared" si="87"/>
        <v>5425</v>
      </c>
      <c r="AA29" s="8">
        <f t="shared" si="87"/>
        <v>7004.7876000000015</v>
      </c>
      <c r="AB29" s="8">
        <f t="shared" ref="AB29" si="88">AB20-AB28</f>
        <v>7720.8922600000024</v>
      </c>
      <c r="AC29" s="8">
        <f t="shared" ref="AC29" si="89">AC20-AC28</f>
        <v>8833.6462598000016</v>
      </c>
      <c r="AD29" s="8">
        <f t="shared" ref="AD29" si="90">AD20-AD28</f>
        <v>9038.8667501560012</v>
      </c>
      <c r="AE29" s="8">
        <f t="shared" ref="AE29" si="91">AE20-AE28</f>
        <v>9248.4771259707213</v>
      </c>
      <c r="AF29" s="8">
        <f t="shared" ref="AF29" si="92">AF20-AF28</f>
        <v>9462.5680397098513</v>
      </c>
      <c r="AG29" s="8">
        <f t="shared" ref="AG29" si="93">AG20-AG28</f>
        <v>9681.231985435963</v>
      </c>
      <c r="AH29" s="8">
        <f t="shared" ref="AH29" si="94">AH20-AH28</f>
        <v>9904.5633359259118</v>
      </c>
      <c r="AI29" s="8">
        <f t="shared" ref="AI29" si="95">AI20-AI28</f>
        <v>10132.658380533478</v>
      </c>
      <c r="AJ29" s="8">
        <f t="shared" ref="AJ29" si="96">AJ20-AJ28</f>
        <v>10365.615363812083</v>
      </c>
      <c r="AK29" s="8">
        <f t="shared" ref="AK29" si="97">AK20-AK28</f>
        <v>10603.534524912935</v>
      </c>
    </row>
    <row r="30" spans="2:151" x14ac:dyDescent="0.3">
      <c r="B30" s="1" t="s">
        <v>28</v>
      </c>
      <c r="G30" s="6">
        <v>101</v>
      </c>
      <c r="H30" s="6">
        <v>436</v>
      </c>
      <c r="I30" s="6">
        <v>192</v>
      </c>
      <c r="J30" s="6">
        <f t="shared" ref="J30:J31" si="98">Y30-I30-H30-G30</f>
        <v>427</v>
      </c>
      <c r="K30" s="6">
        <v>286</v>
      </c>
      <c r="L30" s="6">
        <v>329</v>
      </c>
      <c r="M30" s="6">
        <v>312</v>
      </c>
      <c r="N30" s="6">
        <f t="shared" ref="N30:N31" si="99">Z30-M30-L30-K30</f>
        <v>420</v>
      </c>
      <c r="O30" s="6">
        <v>349</v>
      </c>
      <c r="P30" s="6">
        <v>314</v>
      </c>
      <c r="Q30" s="6">
        <v>547</v>
      </c>
      <c r="R30" s="6">
        <f t="shared" ref="R30" si="100">R29*0.24</f>
        <v>749.97686400000009</v>
      </c>
      <c r="U30" s="6">
        <v>2389</v>
      </c>
      <c r="V30" s="6">
        <v>39</v>
      </c>
      <c r="W30" s="6">
        <v>853</v>
      </c>
      <c r="X30" s="6">
        <v>939</v>
      </c>
      <c r="Y30" s="6">
        <v>1156</v>
      </c>
      <c r="Z30" s="6">
        <v>1347</v>
      </c>
      <c r="AA30" s="6">
        <f t="shared" ref="AA30:AA31" si="101">SUM(O30:R30)</f>
        <v>1959.9768640000002</v>
      </c>
      <c r="AB30" s="6">
        <f t="shared" ref="AB30:AK30" si="102">AB29*0.23</f>
        <v>1775.8052198000007</v>
      </c>
      <c r="AC30" s="6">
        <f t="shared" si="102"/>
        <v>2031.7386397540004</v>
      </c>
      <c r="AD30" s="6">
        <f t="shared" si="102"/>
        <v>2078.9393525358805</v>
      </c>
      <c r="AE30" s="6">
        <f t="shared" si="102"/>
        <v>2127.1497389732658</v>
      </c>
      <c r="AF30" s="6">
        <f t="shared" si="102"/>
        <v>2176.3906491332659</v>
      </c>
      <c r="AG30" s="6">
        <f t="shared" si="102"/>
        <v>2226.6833566502714</v>
      </c>
      <c r="AH30" s="6">
        <f t="shared" si="102"/>
        <v>2278.04956726296</v>
      </c>
      <c r="AI30" s="6">
        <f t="shared" si="102"/>
        <v>2330.5114275227002</v>
      </c>
      <c r="AJ30" s="6">
        <f t="shared" si="102"/>
        <v>2384.0915336767794</v>
      </c>
      <c r="AK30" s="6">
        <f t="shared" si="102"/>
        <v>2438.8129407299753</v>
      </c>
    </row>
    <row r="31" spans="2:151" x14ac:dyDescent="0.3">
      <c r="B31" s="1" t="s">
        <v>29</v>
      </c>
      <c r="G31" s="6">
        <v>-28</v>
      </c>
      <c r="H31" s="6">
        <v>-46</v>
      </c>
      <c r="I31" s="6">
        <v>-44</v>
      </c>
      <c r="J31" s="6">
        <f t="shared" si="98"/>
        <v>-58</v>
      </c>
      <c r="K31" s="6">
        <v>-43</v>
      </c>
      <c r="L31" s="6">
        <v>-49</v>
      </c>
      <c r="M31" s="6">
        <v>-45</v>
      </c>
      <c r="N31" s="6">
        <f t="shared" si="99"/>
        <v>-17</v>
      </c>
      <c r="O31" s="6">
        <v>-48</v>
      </c>
      <c r="P31" s="6">
        <v>-33</v>
      </c>
      <c r="Q31" s="6">
        <v>-31</v>
      </c>
      <c r="R31" s="6">
        <v>-48</v>
      </c>
      <c r="U31" s="6">
        <v>37</v>
      </c>
      <c r="V31" s="6">
        <v>-36</v>
      </c>
      <c r="W31" s="6">
        <v>-39</v>
      </c>
      <c r="X31" s="6">
        <v>-111</v>
      </c>
      <c r="Y31" s="6">
        <v>-176</v>
      </c>
      <c r="Z31" s="6">
        <v>-154</v>
      </c>
      <c r="AA31" s="6">
        <f t="shared" si="101"/>
        <v>-160</v>
      </c>
      <c r="AB31" s="6">
        <f t="shared" ref="AB31:AK31" si="103">-AB29*0.03</f>
        <v>-231.62676780000007</v>
      </c>
      <c r="AC31" s="6">
        <f t="shared" si="103"/>
        <v>-265.00938779400002</v>
      </c>
      <c r="AD31" s="6">
        <f t="shared" si="103"/>
        <v>-271.16600250468002</v>
      </c>
      <c r="AE31" s="6">
        <f t="shared" si="103"/>
        <v>-277.45431377912161</v>
      </c>
      <c r="AF31" s="6">
        <f t="shared" si="103"/>
        <v>-283.87704119129552</v>
      </c>
      <c r="AG31" s="6">
        <f t="shared" si="103"/>
        <v>-290.43695956307886</v>
      </c>
      <c r="AH31" s="6">
        <f t="shared" si="103"/>
        <v>-297.13690007777734</v>
      </c>
      <c r="AI31" s="6">
        <f t="shared" si="103"/>
        <v>-303.97975141600432</v>
      </c>
      <c r="AJ31" s="6">
        <f t="shared" si="103"/>
        <v>-310.96846091436248</v>
      </c>
      <c r="AK31" s="6">
        <f t="shared" si="103"/>
        <v>-318.10603574738803</v>
      </c>
    </row>
    <row r="32" spans="2:151" s="2" customFormat="1" x14ac:dyDescent="0.3">
      <c r="B32" s="2" t="s">
        <v>30</v>
      </c>
      <c r="G32" s="8">
        <f t="shared" ref="G32" si="104">G29-G30-G31</f>
        <v>466</v>
      </c>
      <c r="H32" s="8">
        <f t="shared" ref="H32" si="105">H29-H30-H31</f>
        <v>1060</v>
      </c>
      <c r="I32" s="8">
        <f t="shared" ref="I32:J32" si="106">I29-I30-I31</f>
        <v>806</v>
      </c>
      <c r="J32" s="8">
        <f t="shared" si="106"/>
        <v>1457</v>
      </c>
      <c r="K32" s="8">
        <f t="shared" ref="K32:L32" si="107">K29-K30-K31</f>
        <v>595</v>
      </c>
      <c r="L32" s="8">
        <f t="shared" si="107"/>
        <v>230</v>
      </c>
      <c r="M32" s="8">
        <f t="shared" ref="M32:O32" si="108">M29-M30-M31</f>
        <v>983</v>
      </c>
      <c r="N32" s="8">
        <f t="shared" ref="N32" si="109">N29-N30-N31</f>
        <v>2424</v>
      </c>
      <c r="O32" s="8">
        <f t="shared" si="108"/>
        <v>793</v>
      </c>
      <c r="P32" s="8">
        <f t="shared" ref="P32:R32" si="110">P29-P30-P31</f>
        <v>732</v>
      </c>
      <c r="Q32" s="8">
        <f t="shared" si="110"/>
        <v>1116</v>
      </c>
      <c r="R32" s="8">
        <f t="shared" si="110"/>
        <v>2422.9267360000003</v>
      </c>
      <c r="U32" s="8">
        <f t="shared" ref="U32:AA32" si="111">U29-U30-U31</f>
        <v>-1362</v>
      </c>
      <c r="V32" s="8">
        <f t="shared" si="111"/>
        <v>-1133</v>
      </c>
      <c r="W32" s="8">
        <f t="shared" si="111"/>
        <v>4213</v>
      </c>
      <c r="X32" s="8">
        <f t="shared" si="111"/>
        <v>4247</v>
      </c>
      <c r="Y32" s="8">
        <f t="shared" si="111"/>
        <v>3789</v>
      </c>
      <c r="Z32" s="8">
        <f t="shared" si="111"/>
        <v>4232</v>
      </c>
      <c r="AA32" s="8">
        <f t="shared" si="111"/>
        <v>5204.8107360000013</v>
      </c>
      <c r="AB32" s="8">
        <f t="shared" ref="AB32" si="112">AB29-AB30-AB31</f>
        <v>6176.7138080000022</v>
      </c>
      <c r="AC32" s="8">
        <f t="shared" ref="AC32" si="113">AC29-AC30-AC31</f>
        <v>7066.9170078400011</v>
      </c>
      <c r="AD32" s="8">
        <f t="shared" ref="AD32" si="114">AD29-AD30-AD31</f>
        <v>7231.0934001248006</v>
      </c>
      <c r="AE32" s="8">
        <f t="shared" ref="AE32" si="115">AE29-AE30-AE31</f>
        <v>7398.7817007765771</v>
      </c>
      <c r="AF32" s="8">
        <f t="shared" ref="AF32" si="116">AF29-AF30-AF31</f>
        <v>7570.0544317678814</v>
      </c>
      <c r="AG32" s="8">
        <f t="shared" ref="AG32" si="117">AG29-AG30-AG31</f>
        <v>7744.9855883487699</v>
      </c>
      <c r="AH32" s="8">
        <f t="shared" ref="AH32" si="118">AH29-AH30-AH31</f>
        <v>7923.6506687407291</v>
      </c>
      <c r="AI32" s="8">
        <f t="shared" ref="AI32" si="119">AI29-AI30-AI31</f>
        <v>8106.1267044267815</v>
      </c>
      <c r="AJ32" s="8">
        <f t="shared" ref="AJ32" si="120">AJ29-AJ30-AJ31</f>
        <v>8292.4922910496662</v>
      </c>
      <c r="AK32" s="8">
        <f t="shared" ref="AK32" si="121">AK29-AK30-AK31</f>
        <v>8482.8276199303491</v>
      </c>
      <c r="AL32" s="2">
        <f>AK32*(1+$AO$37)</f>
        <v>8397.9993437310459</v>
      </c>
      <c r="AM32" s="2">
        <f t="shared" ref="AM32:CX32" si="122">AL32*(1+$AO$37)</f>
        <v>8314.0193502937345</v>
      </c>
      <c r="AN32" s="2">
        <f t="shared" si="122"/>
        <v>8230.8791567907974</v>
      </c>
      <c r="AO32" s="2">
        <f t="shared" si="122"/>
        <v>8148.5703652228894</v>
      </c>
      <c r="AP32" s="2">
        <f t="shared" si="122"/>
        <v>8067.0846615706605</v>
      </c>
      <c r="AQ32" s="2">
        <f t="shared" si="122"/>
        <v>7986.4138149549535</v>
      </c>
      <c r="AR32" s="2">
        <f t="shared" si="122"/>
        <v>7906.5496768054036</v>
      </c>
      <c r="AS32" s="2">
        <f t="shared" si="122"/>
        <v>7827.4841800373497</v>
      </c>
      <c r="AT32" s="2">
        <f t="shared" si="122"/>
        <v>7749.2093382369758</v>
      </c>
      <c r="AU32" s="2">
        <f t="shared" si="122"/>
        <v>7671.7172448546062</v>
      </c>
      <c r="AV32" s="2">
        <f t="shared" si="122"/>
        <v>7595.0000724060601</v>
      </c>
      <c r="AW32" s="2">
        <f t="shared" si="122"/>
        <v>7519.0500716819997</v>
      </c>
      <c r="AX32" s="2">
        <f t="shared" si="122"/>
        <v>7443.85957096518</v>
      </c>
      <c r="AY32" s="2">
        <f t="shared" si="122"/>
        <v>7369.420975255528</v>
      </c>
      <c r="AZ32" s="2">
        <f t="shared" si="122"/>
        <v>7295.7267655029727</v>
      </c>
      <c r="BA32" s="2">
        <f t="shared" si="122"/>
        <v>7222.7694978479431</v>
      </c>
      <c r="BB32" s="2">
        <f t="shared" si="122"/>
        <v>7150.5418028694639</v>
      </c>
      <c r="BC32" s="2">
        <f t="shared" si="122"/>
        <v>7079.0363848407696</v>
      </c>
      <c r="BD32" s="2">
        <f t="shared" si="122"/>
        <v>7008.246020992362</v>
      </c>
      <c r="BE32" s="2">
        <f t="shared" si="122"/>
        <v>6938.1635607824383</v>
      </c>
      <c r="BF32" s="2">
        <f t="shared" si="122"/>
        <v>6868.7819251746141</v>
      </c>
      <c r="BG32" s="2">
        <f t="shared" si="122"/>
        <v>6800.094105922868</v>
      </c>
      <c r="BH32" s="2">
        <f t="shared" si="122"/>
        <v>6732.0931648636397</v>
      </c>
      <c r="BI32" s="2">
        <f t="shared" si="122"/>
        <v>6664.7722332150033</v>
      </c>
      <c r="BJ32" s="2">
        <f t="shared" si="122"/>
        <v>6598.1245108828534</v>
      </c>
      <c r="BK32" s="2">
        <f t="shared" si="122"/>
        <v>6532.1432657740252</v>
      </c>
      <c r="BL32" s="2">
        <f t="shared" si="122"/>
        <v>6466.8218331162852</v>
      </c>
      <c r="BM32" s="2">
        <f t="shared" si="122"/>
        <v>6402.153614785122</v>
      </c>
      <c r="BN32" s="2">
        <f t="shared" si="122"/>
        <v>6338.1320786372708</v>
      </c>
      <c r="BO32" s="2">
        <f t="shared" si="122"/>
        <v>6274.7507578508976</v>
      </c>
      <c r="BP32" s="2">
        <f t="shared" si="122"/>
        <v>6212.0032502723889</v>
      </c>
      <c r="BQ32" s="2">
        <f t="shared" si="122"/>
        <v>6149.883217769665</v>
      </c>
      <c r="BR32" s="2">
        <f t="shared" si="122"/>
        <v>6088.3843855919686</v>
      </c>
      <c r="BS32" s="2">
        <f t="shared" si="122"/>
        <v>6027.5005417360489</v>
      </c>
      <c r="BT32" s="2">
        <f t="shared" si="122"/>
        <v>5967.2255363186887</v>
      </c>
      <c r="BU32" s="2">
        <f t="shared" si="122"/>
        <v>5907.5532809555016</v>
      </c>
      <c r="BV32" s="2">
        <f t="shared" si="122"/>
        <v>5848.4777481459469</v>
      </c>
      <c r="BW32" s="2">
        <f t="shared" si="122"/>
        <v>5789.9929706644871</v>
      </c>
      <c r="BX32" s="2">
        <f t="shared" si="122"/>
        <v>5732.0930409578423</v>
      </c>
      <c r="BY32" s="2">
        <f t="shared" si="122"/>
        <v>5674.7721105482642</v>
      </c>
      <c r="BZ32" s="2">
        <f t="shared" si="122"/>
        <v>5618.0243894427813</v>
      </c>
      <c r="CA32" s="2">
        <f t="shared" si="122"/>
        <v>5561.8441455483535</v>
      </c>
      <c r="CB32" s="2">
        <f t="shared" si="122"/>
        <v>5506.2257040928698</v>
      </c>
      <c r="CC32" s="2">
        <f t="shared" si="122"/>
        <v>5451.1634470519411</v>
      </c>
      <c r="CD32" s="2">
        <f t="shared" si="122"/>
        <v>5396.6518125814218</v>
      </c>
      <c r="CE32" s="2">
        <f t="shared" si="122"/>
        <v>5342.6852944556076</v>
      </c>
      <c r="CF32" s="2">
        <f t="shared" si="122"/>
        <v>5289.2584415110514</v>
      </c>
      <c r="CG32" s="2">
        <f t="shared" si="122"/>
        <v>5236.3658570959406</v>
      </c>
      <c r="CH32" s="2">
        <f t="shared" si="122"/>
        <v>5184.0021985249814</v>
      </c>
      <c r="CI32" s="2">
        <f t="shared" si="122"/>
        <v>5132.1621765397313</v>
      </c>
      <c r="CJ32" s="2">
        <f t="shared" si="122"/>
        <v>5080.8405547743341</v>
      </c>
      <c r="CK32" s="2">
        <f t="shared" si="122"/>
        <v>5030.0321492265912</v>
      </c>
      <c r="CL32" s="2">
        <f t="shared" si="122"/>
        <v>4979.7318277343256</v>
      </c>
      <c r="CM32" s="2">
        <f t="shared" si="122"/>
        <v>4929.9345094569826</v>
      </c>
      <c r="CN32" s="2">
        <f t="shared" si="122"/>
        <v>4880.635164362413</v>
      </c>
      <c r="CO32" s="2">
        <f t="shared" si="122"/>
        <v>4831.8288127187889</v>
      </c>
      <c r="CP32" s="2">
        <f t="shared" si="122"/>
        <v>4783.5105245916011</v>
      </c>
      <c r="CQ32" s="2">
        <f t="shared" si="122"/>
        <v>4735.6754193456854</v>
      </c>
      <c r="CR32" s="2">
        <f t="shared" si="122"/>
        <v>4688.3186651522283</v>
      </c>
      <c r="CS32" s="2">
        <f t="shared" si="122"/>
        <v>4641.4354785007063</v>
      </c>
      <c r="CT32" s="2">
        <f t="shared" si="122"/>
        <v>4595.0211237156991</v>
      </c>
      <c r="CU32" s="2">
        <f t="shared" si="122"/>
        <v>4549.0709124785417</v>
      </c>
      <c r="CV32" s="2">
        <f t="shared" si="122"/>
        <v>4503.5802033537566</v>
      </c>
      <c r="CW32" s="2">
        <f t="shared" si="122"/>
        <v>4458.5444013202186</v>
      </c>
      <c r="CX32" s="2">
        <f t="shared" si="122"/>
        <v>4413.9589573070161</v>
      </c>
      <c r="CY32" s="2">
        <f t="shared" ref="CY32:EU32" si="123">CX32*(1+$AO$37)</f>
        <v>4369.8193677339459</v>
      </c>
      <c r="CZ32" s="2">
        <f t="shared" si="123"/>
        <v>4326.1211740566068</v>
      </c>
      <c r="DA32" s="2">
        <f t="shared" si="123"/>
        <v>4282.8599623160408</v>
      </c>
      <c r="DB32" s="2">
        <f t="shared" si="123"/>
        <v>4240.0313626928801</v>
      </c>
      <c r="DC32" s="2">
        <f t="shared" si="123"/>
        <v>4197.6310490659516</v>
      </c>
      <c r="DD32" s="2">
        <f t="shared" si="123"/>
        <v>4155.654738575292</v>
      </c>
      <c r="DE32" s="2">
        <f t="shared" si="123"/>
        <v>4114.0981911895387</v>
      </c>
      <c r="DF32" s="2">
        <f t="shared" si="123"/>
        <v>4072.9572092776434</v>
      </c>
      <c r="DG32" s="2">
        <f t="shared" si="123"/>
        <v>4032.227637184867</v>
      </c>
      <c r="DH32" s="2">
        <f t="shared" si="123"/>
        <v>3991.9053608130184</v>
      </c>
      <c r="DI32" s="2">
        <f t="shared" si="123"/>
        <v>3951.9863072048884</v>
      </c>
      <c r="DJ32" s="2">
        <f t="shared" si="123"/>
        <v>3912.4664441328396</v>
      </c>
      <c r="DK32" s="2">
        <f t="shared" si="123"/>
        <v>3873.341779691511</v>
      </c>
      <c r="DL32" s="2">
        <f t="shared" si="123"/>
        <v>3834.6083618945959</v>
      </c>
      <c r="DM32" s="2">
        <f t="shared" si="123"/>
        <v>3796.2622782756498</v>
      </c>
      <c r="DN32" s="2">
        <f t="shared" si="123"/>
        <v>3758.2996554928932</v>
      </c>
      <c r="DO32" s="2">
        <f t="shared" si="123"/>
        <v>3720.7166589379644</v>
      </c>
      <c r="DP32" s="2">
        <f t="shared" si="123"/>
        <v>3683.5094923485849</v>
      </c>
      <c r="DQ32" s="2">
        <f t="shared" si="123"/>
        <v>3646.674397425099</v>
      </c>
      <c r="DR32" s="2">
        <f t="shared" si="123"/>
        <v>3610.2076534508478</v>
      </c>
      <c r="DS32" s="2">
        <f t="shared" si="123"/>
        <v>3574.1055769163395</v>
      </c>
      <c r="DT32" s="2">
        <f t="shared" si="123"/>
        <v>3538.3645211471762</v>
      </c>
      <c r="DU32" s="2">
        <f t="shared" si="123"/>
        <v>3502.9808759357043</v>
      </c>
      <c r="DV32" s="2">
        <f t="shared" si="123"/>
        <v>3467.9510671763474</v>
      </c>
      <c r="DW32" s="2">
        <f t="shared" si="123"/>
        <v>3433.2715565045837</v>
      </c>
      <c r="DX32" s="2">
        <f t="shared" si="123"/>
        <v>3398.9388409395378</v>
      </c>
      <c r="DY32" s="2">
        <f t="shared" si="123"/>
        <v>3364.9494525301425</v>
      </c>
      <c r="DZ32" s="2">
        <f t="shared" si="123"/>
        <v>3331.2999580048408</v>
      </c>
      <c r="EA32" s="2">
        <f t="shared" si="123"/>
        <v>3297.9869584247922</v>
      </c>
      <c r="EB32" s="2">
        <f t="shared" si="123"/>
        <v>3265.0070888405444</v>
      </c>
      <c r="EC32" s="2">
        <f t="shared" si="123"/>
        <v>3232.3570179521389</v>
      </c>
      <c r="ED32" s="2">
        <f t="shared" si="123"/>
        <v>3200.0334477726174</v>
      </c>
      <c r="EE32" s="2">
        <f t="shared" si="123"/>
        <v>3168.0331132948913</v>
      </c>
      <c r="EF32" s="2">
        <f t="shared" si="123"/>
        <v>3136.3527821619423</v>
      </c>
      <c r="EG32" s="2">
        <f t="shared" si="123"/>
        <v>3104.989254340323</v>
      </c>
      <c r="EH32" s="2">
        <f t="shared" si="123"/>
        <v>3073.9393617969199</v>
      </c>
      <c r="EI32" s="2">
        <f t="shared" si="123"/>
        <v>3043.1999681789507</v>
      </c>
      <c r="EJ32" s="2">
        <f t="shared" si="123"/>
        <v>3012.7679684971613</v>
      </c>
      <c r="EK32" s="2">
        <f t="shared" si="123"/>
        <v>2982.6402888121897</v>
      </c>
      <c r="EL32" s="2">
        <f t="shared" si="123"/>
        <v>2952.813885924068</v>
      </c>
      <c r="EM32" s="2">
        <f t="shared" si="123"/>
        <v>2923.2857470648273</v>
      </c>
      <c r="EN32" s="2">
        <f t="shared" si="123"/>
        <v>2894.0528895941789</v>
      </c>
      <c r="EO32" s="2">
        <f t="shared" si="123"/>
        <v>2865.1123606982369</v>
      </c>
      <c r="EP32" s="2">
        <f t="shared" si="123"/>
        <v>2836.4612370912546</v>
      </c>
      <c r="EQ32" s="2">
        <f t="shared" si="123"/>
        <v>2808.0966247203419</v>
      </c>
      <c r="ER32" s="2">
        <f t="shared" si="123"/>
        <v>2780.0156584731385</v>
      </c>
      <c r="ES32" s="2">
        <f t="shared" si="123"/>
        <v>2752.2155018884073</v>
      </c>
      <c r="ET32" s="2">
        <f t="shared" si="123"/>
        <v>2724.6933468695233</v>
      </c>
      <c r="EU32" s="2">
        <f t="shared" si="123"/>
        <v>2697.4464134008281</v>
      </c>
    </row>
    <row r="33" spans="2:41" x14ac:dyDescent="0.3">
      <c r="B33" s="1" t="s">
        <v>2</v>
      </c>
      <c r="G33" s="6">
        <v>790</v>
      </c>
      <c r="H33" s="6">
        <v>790</v>
      </c>
      <c r="I33" s="6">
        <v>790</v>
      </c>
      <c r="J33" s="6">
        <v>790</v>
      </c>
      <c r="K33" s="6">
        <v>790</v>
      </c>
      <c r="L33" s="6">
        <v>790</v>
      </c>
      <c r="M33" s="6">
        <v>790</v>
      </c>
      <c r="N33" s="6">
        <v>790</v>
      </c>
      <c r="O33" s="6">
        <v>790</v>
      </c>
      <c r="P33" s="6">
        <f>789.3</f>
        <v>789.3</v>
      </c>
      <c r="Q33" s="6">
        <f>789.8</f>
        <v>789.8</v>
      </c>
      <c r="R33" s="6">
        <f>789.8</f>
        <v>789.8</v>
      </c>
      <c r="U33" s="6">
        <v>790</v>
      </c>
      <c r="V33" s="6">
        <v>790</v>
      </c>
      <c r="W33" s="6">
        <v>790</v>
      </c>
      <c r="X33" s="6">
        <v>790</v>
      </c>
      <c r="Y33" s="6">
        <v>790</v>
      </c>
      <c r="Z33" s="6">
        <v>790</v>
      </c>
      <c r="AA33" s="6">
        <f t="shared" ref="AA33:AK33" si="124">789.8</f>
        <v>789.8</v>
      </c>
      <c r="AB33" s="6">
        <f t="shared" si="124"/>
        <v>789.8</v>
      </c>
      <c r="AC33" s="6">
        <f t="shared" si="124"/>
        <v>789.8</v>
      </c>
      <c r="AD33" s="6">
        <f t="shared" si="124"/>
        <v>789.8</v>
      </c>
      <c r="AE33" s="6">
        <f t="shared" si="124"/>
        <v>789.8</v>
      </c>
      <c r="AF33" s="6">
        <f t="shared" si="124"/>
        <v>789.8</v>
      </c>
      <c r="AG33" s="6">
        <f t="shared" si="124"/>
        <v>789.8</v>
      </c>
      <c r="AH33" s="6">
        <f t="shared" si="124"/>
        <v>789.8</v>
      </c>
      <c r="AI33" s="6">
        <f t="shared" si="124"/>
        <v>789.8</v>
      </c>
      <c r="AJ33" s="6">
        <f t="shared" si="124"/>
        <v>789.8</v>
      </c>
      <c r="AK33" s="6">
        <f t="shared" si="124"/>
        <v>789.8</v>
      </c>
    </row>
    <row r="34" spans="2:41" x14ac:dyDescent="0.3">
      <c r="B34" s="1" t="s">
        <v>31</v>
      </c>
      <c r="G34" s="7">
        <f t="shared" ref="G34" si="125">G32/G33</f>
        <v>0.58987341772151902</v>
      </c>
      <c r="H34" s="7">
        <f t="shared" ref="H34" si="126">H32/H33</f>
        <v>1.3417721518987342</v>
      </c>
      <c r="I34" s="7">
        <f t="shared" ref="I34:J34" si="127">I32/I33</f>
        <v>1.0202531645569621</v>
      </c>
      <c r="J34" s="7">
        <f t="shared" si="127"/>
        <v>1.8443037974683545</v>
      </c>
      <c r="K34" s="7">
        <f t="shared" ref="K34:L34" si="128">K32/K33</f>
        <v>0.75316455696202533</v>
      </c>
      <c r="L34" s="7">
        <f t="shared" si="128"/>
        <v>0.29113924050632911</v>
      </c>
      <c r="M34" s="7">
        <f t="shared" ref="M34:O34" si="129">M32/M33</f>
        <v>1.2443037974683544</v>
      </c>
      <c r="N34" s="7">
        <f t="shared" ref="N34" si="130">N32/N33</f>
        <v>3.0683544303797468</v>
      </c>
      <c r="O34" s="7">
        <f t="shared" si="129"/>
        <v>1.0037974683544304</v>
      </c>
      <c r="P34" s="7">
        <f t="shared" ref="P34:R34" si="131">P32/P33</f>
        <v>0.92740402888635509</v>
      </c>
      <c r="Q34" s="7">
        <f t="shared" si="131"/>
        <v>1.4130159534059257</v>
      </c>
      <c r="R34" s="7">
        <f t="shared" si="131"/>
        <v>3.0677725196252221</v>
      </c>
      <c r="U34" s="7">
        <f t="shared" ref="U34:AA34" si="132">U32/U33</f>
        <v>-1.7240506329113925</v>
      </c>
      <c r="V34" s="7">
        <f t="shared" si="132"/>
        <v>-1.4341772151898735</v>
      </c>
      <c r="W34" s="7">
        <f t="shared" si="132"/>
        <v>5.3329113924050633</v>
      </c>
      <c r="X34" s="7">
        <f t="shared" si="132"/>
        <v>5.3759493670886078</v>
      </c>
      <c r="Y34" s="7">
        <f t="shared" si="132"/>
        <v>4.7962025316455694</v>
      </c>
      <c r="Z34" s="7">
        <f t="shared" si="132"/>
        <v>5.3569620253164558</v>
      </c>
      <c r="AA34" s="7">
        <f t="shared" si="132"/>
        <v>6.5900363838946587</v>
      </c>
      <c r="AB34" s="7">
        <f t="shared" ref="AB34" si="133">AB32/AB33</f>
        <v>7.820604973410993</v>
      </c>
      <c r="AC34" s="7">
        <f t="shared" ref="AC34" si="134">AC32/AC33</f>
        <v>8.9477298149404927</v>
      </c>
      <c r="AD34" s="7">
        <f t="shared" ref="AD34" si="135">AD32/AD33</f>
        <v>9.1556006585525456</v>
      </c>
      <c r="AE34" s="7">
        <f t="shared" ref="AE34" si="136">AE32/AE33</f>
        <v>9.3679180815099734</v>
      </c>
      <c r="AF34" s="7">
        <f t="shared" ref="AF34" si="137">AF32/AF33</f>
        <v>9.5847739070244131</v>
      </c>
      <c r="AG34" s="7">
        <f t="shared" ref="AG34" si="138">AG32/AG33</f>
        <v>9.8062618236879846</v>
      </c>
      <c r="AH34" s="7">
        <f t="shared" ref="AH34" si="139">AH32/AH33</f>
        <v>10.032477423070056</v>
      </c>
      <c r="AI34" s="7">
        <f t="shared" ref="AI34" si="140">AI32/AI33</f>
        <v>10.263518238068855</v>
      </c>
      <c r="AJ34" s="7">
        <f t="shared" ref="AJ34" si="141">AJ32/AJ33</f>
        <v>10.499483782033003</v>
      </c>
      <c r="AK34" s="7">
        <f t="shared" ref="AK34" si="142">AK32/AK33</f>
        <v>10.74047558866846</v>
      </c>
    </row>
    <row r="36" spans="2:41" x14ac:dyDescent="0.3">
      <c r="B36" s="1" t="s">
        <v>33</v>
      </c>
      <c r="G36" s="9"/>
      <c r="H36" s="9"/>
      <c r="I36" s="9"/>
      <c r="J36" s="9"/>
      <c r="K36" s="9">
        <f>K13/G13-1</f>
        <v>9.0708152682138943E-2</v>
      </c>
      <c r="L36" s="9">
        <f>L13/H13-1</f>
        <v>5.9748427672956517E-3</v>
      </c>
      <c r="M36" s="9">
        <f>M13/I13-1</f>
        <v>5.3165066791971638E-2</v>
      </c>
      <c r="N36" s="9">
        <f>N13/J13-1</f>
        <v>7.9961548544962069E-2</v>
      </c>
      <c r="O36" s="9">
        <f>O13/K13-1</f>
        <v>5.549493374902581E-2</v>
      </c>
      <c r="P36" s="9">
        <f t="shared" ref="P36:R36" si="143">P13/L13-1</f>
        <v>4.5639262269459024E-3</v>
      </c>
      <c r="Q36" s="9">
        <f t="shared" si="143"/>
        <v>0.13621008349799224</v>
      </c>
      <c r="R36" s="9">
        <f t="shared" si="143"/>
        <v>0.10000000000000009</v>
      </c>
      <c r="U36" s="9"/>
      <c r="V36" s="9">
        <f t="shared" ref="V36:Y36" si="144">V13/U13-1</f>
        <v>-0.29180737251340849</v>
      </c>
      <c r="W36" s="9">
        <f t="shared" si="144"/>
        <v>4.4818881230966445E-2</v>
      </c>
      <c r="X36" s="9">
        <f t="shared" si="144"/>
        <v>0.12682889413028064</v>
      </c>
      <c r="Y36" s="9">
        <f t="shared" si="144"/>
        <v>0.11372802613889688</v>
      </c>
      <c r="Z36" s="9">
        <f>Z13/Y13-1</f>
        <v>5.7818659658344318E-2</v>
      </c>
      <c r="AA36" s="9">
        <f t="shared" ref="AA36:AK36" si="145">AA13/Z13-1</f>
        <v>7.7908421204680112E-2</v>
      </c>
      <c r="AB36" s="9">
        <f t="shared" si="145"/>
        <v>5.0000000000000044E-2</v>
      </c>
      <c r="AC36" s="9">
        <f t="shared" si="145"/>
        <v>3.0000000000000027E-2</v>
      </c>
      <c r="AD36" s="9">
        <f t="shared" si="145"/>
        <v>2.0000000000000018E-2</v>
      </c>
      <c r="AE36" s="9">
        <f t="shared" si="145"/>
        <v>2.0000000000000018E-2</v>
      </c>
      <c r="AF36" s="9">
        <f t="shared" si="145"/>
        <v>2.0000000000000018E-2</v>
      </c>
      <c r="AG36" s="9">
        <f t="shared" si="145"/>
        <v>2.0000000000000018E-2</v>
      </c>
      <c r="AH36" s="9">
        <f t="shared" si="145"/>
        <v>2.0000000000000018E-2</v>
      </c>
      <c r="AI36" s="9">
        <f t="shared" si="145"/>
        <v>2.0000000000000018E-2</v>
      </c>
      <c r="AJ36" s="9">
        <f t="shared" si="145"/>
        <v>2.0000000000000018E-2</v>
      </c>
      <c r="AK36" s="9">
        <f t="shared" si="145"/>
        <v>2.0000000000000018E-2</v>
      </c>
    </row>
    <row r="37" spans="2:41" x14ac:dyDescent="0.3">
      <c r="B37" s="1" t="s">
        <v>34</v>
      </c>
      <c r="G37" s="9">
        <f t="shared" ref="G37" si="146">G15/G13</f>
        <v>0.14112046246705773</v>
      </c>
      <c r="H37" s="9">
        <f t="shared" ref="H37:I37" si="147">H15/H13</f>
        <v>0.17968553459119496</v>
      </c>
      <c r="I37" s="9">
        <f t="shared" si="147"/>
        <v>0.13767872726052224</v>
      </c>
      <c r="J37" s="9">
        <f t="shared" ref="J37" si="148">J15/J13</f>
        <v>0.1518832474001573</v>
      </c>
      <c r="K37" s="9">
        <f t="shared" ref="K37:L37" si="149">K15/K13</f>
        <v>0.15066250974279033</v>
      </c>
      <c r="L37" s="9">
        <f t="shared" si="149"/>
        <v>0.14004376367614879</v>
      </c>
      <c r="M37" s="9">
        <f t="shared" ref="M37:O37" si="150">M15/M13</f>
        <v>0.1572439288673593</v>
      </c>
      <c r="N37" s="9">
        <f t="shared" ref="N37" si="151">N15/N13</f>
        <v>0.16325457193720666</v>
      </c>
      <c r="O37" s="9">
        <f t="shared" si="150"/>
        <v>0.1386796632698272</v>
      </c>
      <c r="P37" s="9">
        <f t="shared" ref="P37:R37" si="152">P15/P13</f>
        <v>0.14762260393328355</v>
      </c>
      <c r="Q37" s="9">
        <f t="shared" si="152"/>
        <v>0.16419836194322898</v>
      </c>
      <c r="R37" s="9">
        <f t="shared" si="152"/>
        <v>0.17</v>
      </c>
      <c r="U37" s="9">
        <f t="shared" ref="U37:Y37" si="153">U15/U13</f>
        <v>0.14905360538040238</v>
      </c>
      <c r="V37" s="9">
        <f t="shared" si="153"/>
        <v>0.11343965379067159</v>
      </c>
      <c r="W37" s="9">
        <f t="shared" si="153"/>
        <v>0.18468235248998063</v>
      </c>
      <c r="X37" s="9">
        <f t="shared" si="153"/>
        <v>0.17989210898014057</v>
      </c>
      <c r="Y37" s="9">
        <f t="shared" si="153"/>
        <v>0.15347003636585888</v>
      </c>
      <c r="Z37" s="9">
        <f>Z15/Z13</f>
        <v>0.15419615773508594</v>
      </c>
      <c r="AA37" s="9">
        <f t="shared" ref="AA37:AK37" si="154">AA15/AA13</f>
        <v>0.16</v>
      </c>
      <c r="AB37" s="9">
        <f t="shared" si="154"/>
        <v>0.17</v>
      </c>
      <c r="AC37" s="9">
        <f t="shared" si="154"/>
        <v>0.18</v>
      </c>
      <c r="AD37" s="9">
        <f t="shared" si="154"/>
        <v>0.18</v>
      </c>
      <c r="AE37" s="9">
        <f t="shared" si="154"/>
        <v>0.18</v>
      </c>
      <c r="AF37" s="9">
        <f t="shared" si="154"/>
        <v>0.18</v>
      </c>
      <c r="AG37" s="9">
        <f t="shared" si="154"/>
        <v>0.18</v>
      </c>
      <c r="AH37" s="9">
        <f t="shared" si="154"/>
        <v>0.18</v>
      </c>
      <c r="AI37" s="9">
        <f t="shared" si="154"/>
        <v>0.18</v>
      </c>
      <c r="AJ37" s="9">
        <f t="shared" si="154"/>
        <v>0.18000000000000002</v>
      </c>
      <c r="AK37" s="9">
        <f t="shared" si="154"/>
        <v>0.17999999999999997</v>
      </c>
      <c r="AN37" s="1" t="s">
        <v>40</v>
      </c>
      <c r="AO37" s="9">
        <v>-0.01</v>
      </c>
    </row>
    <row r="38" spans="2:41" x14ac:dyDescent="0.3">
      <c r="B38" s="1" t="s">
        <v>35</v>
      </c>
      <c r="G38" s="9">
        <f t="shared" ref="G38" si="155">G16/G13</f>
        <v>1.7427526991413755E-2</v>
      </c>
      <c r="H38" s="9">
        <f t="shared" ref="H38:I38" si="156">H16/H13</f>
        <v>1.3773584905660377E-2</v>
      </c>
      <c r="I38" s="9">
        <f t="shared" si="156"/>
        <v>1.4633818889709337E-2</v>
      </c>
      <c r="J38" s="9">
        <f t="shared" ref="J38" si="157">J16/J13</f>
        <v>9.831337935855982E-3</v>
      </c>
      <c r="K38" s="9">
        <f t="shared" ref="K38:L38" si="158">K16/K13</f>
        <v>1.7614964925954792E-2</v>
      </c>
      <c r="L38" s="9">
        <f t="shared" si="158"/>
        <v>1.4629571741169115E-2</v>
      </c>
      <c r="M38" s="9">
        <f t="shared" ref="M38:O38" si="159">M16/M13</f>
        <v>1.2939001848428836E-2</v>
      </c>
      <c r="N38" s="9">
        <f t="shared" ref="N38" si="160">N16/N13</f>
        <v>8.6583589577601556E-3</v>
      </c>
      <c r="O38" s="9">
        <f t="shared" si="159"/>
        <v>1.6171909614532565E-2</v>
      </c>
      <c r="P38" s="9">
        <f t="shared" ref="P38:R38" si="161">P16/P13</f>
        <v>1.300721931789893E-2</v>
      </c>
      <c r="Q38" s="9">
        <f t="shared" si="161"/>
        <v>1.0714686413104454E-2</v>
      </c>
      <c r="R38" s="9">
        <f t="shared" si="161"/>
        <v>8.9999999999999993E-3</v>
      </c>
      <c r="U38" s="9">
        <f t="shared" ref="U38:Y38" si="162">U16/U13</f>
        <v>1.2883452992423168E-2</v>
      </c>
      <c r="V38" s="9">
        <f t="shared" si="162"/>
        <v>1.4365282897900305E-2</v>
      </c>
      <c r="W38" s="9">
        <f t="shared" si="162"/>
        <v>1.3672361886133962E-2</v>
      </c>
      <c r="X38" s="9">
        <f t="shared" si="162"/>
        <v>1.3409798682844648E-2</v>
      </c>
      <c r="Y38" s="9">
        <f t="shared" si="162"/>
        <v>1.3247562876264401E-2</v>
      </c>
      <c r="Z38" s="9">
        <f>Z16/Z13</f>
        <v>1.2667918532428138E-2</v>
      </c>
      <c r="AA38" s="9">
        <f t="shared" ref="AA38:AK38" si="163">AA16/AA13</f>
        <v>1.15739310352221E-2</v>
      </c>
      <c r="AB38" s="9">
        <f t="shared" si="163"/>
        <v>1.2999999999999999E-2</v>
      </c>
      <c r="AC38" s="9">
        <f t="shared" si="163"/>
        <v>1.2999999999999999E-2</v>
      </c>
      <c r="AD38" s="9">
        <f t="shared" si="163"/>
        <v>1.2999999999999999E-2</v>
      </c>
      <c r="AE38" s="9">
        <f t="shared" si="163"/>
        <v>1.2999999999999999E-2</v>
      </c>
      <c r="AF38" s="9">
        <f t="shared" si="163"/>
        <v>1.2999999999999999E-2</v>
      </c>
      <c r="AG38" s="9">
        <f t="shared" si="163"/>
        <v>1.2999999999999999E-2</v>
      </c>
      <c r="AH38" s="9">
        <f t="shared" si="163"/>
        <v>1.3000000000000001E-2</v>
      </c>
      <c r="AI38" s="9">
        <f t="shared" si="163"/>
        <v>1.3000000000000001E-2</v>
      </c>
      <c r="AJ38" s="9">
        <f t="shared" si="163"/>
        <v>1.2999999999999999E-2</v>
      </c>
      <c r="AK38" s="9">
        <f t="shared" si="163"/>
        <v>1.2999999999999999E-2</v>
      </c>
      <c r="AN38" s="1" t="s">
        <v>41</v>
      </c>
      <c r="AO38" s="9">
        <v>0.06</v>
      </c>
    </row>
    <row r="39" spans="2:41" x14ac:dyDescent="0.3">
      <c r="B39" s="1" t="s">
        <v>36</v>
      </c>
      <c r="G39" s="9"/>
      <c r="H39" s="9"/>
      <c r="I39" s="9"/>
      <c r="J39" s="9"/>
      <c r="K39" s="9">
        <f t="shared" ref="K39:O40" si="164">K17/G17-1</f>
        <v>0.1518324607329844</v>
      </c>
      <c r="L39" s="9">
        <f t="shared" si="164"/>
        <v>0</v>
      </c>
      <c r="M39" s="9">
        <f t="shared" si="164"/>
        <v>-1.4814814814814836E-2</v>
      </c>
      <c r="N39" s="9">
        <f t="shared" si="164"/>
        <v>8.9834515366430168E-2</v>
      </c>
      <c r="O39" s="9">
        <f t="shared" si="164"/>
        <v>1.3636363636363669E-2</v>
      </c>
      <c r="P39" s="9">
        <f t="shared" ref="P39:R39" si="165">P17/L17-1</f>
        <v>-3.3783783783783772E-2</v>
      </c>
      <c r="Q39" s="9">
        <f t="shared" si="165"/>
        <v>-0.10275689223057649</v>
      </c>
      <c r="R39" s="9">
        <f t="shared" si="165"/>
        <v>2.0000000000000018E-2</v>
      </c>
      <c r="U39" s="9"/>
      <c r="V39" s="9">
        <f t="shared" ref="V39:Y39" si="166">V17/U17-1</f>
        <v>-0.72723787617404634</v>
      </c>
      <c r="W39" s="9">
        <f t="shared" si="166"/>
        <v>-5.9030217849613487E-2</v>
      </c>
      <c r="X39" s="9">
        <f t="shared" si="166"/>
        <v>8.4391336818521179E-2</v>
      </c>
      <c r="Y39" s="9">
        <f t="shared" si="166"/>
        <v>0.1391184573002755</v>
      </c>
      <c r="Z39" s="9">
        <f>Z17/Y17-1</f>
        <v>5.4413542926239344E-2</v>
      </c>
      <c r="AA39" s="9">
        <f t="shared" ref="AA39:AK39" si="167">AA17/Z17-1</f>
        <v>-2.3383027522935751E-2</v>
      </c>
      <c r="AB39" s="9">
        <f t="shared" si="167"/>
        <v>3.0000000000000027E-2</v>
      </c>
      <c r="AC39" s="9">
        <f t="shared" si="167"/>
        <v>2.0000000000000018E-2</v>
      </c>
      <c r="AD39" s="9">
        <f t="shared" si="167"/>
        <v>2.0000000000000018E-2</v>
      </c>
      <c r="AE39" s="9">
        <f t="shared" si="167"/>
        <v>2.0000000000000018E-2</v>
      </c>
      <c r="AF39" s="9">
        <f t="shared" si="167"/>
        <v>2.0000000000000018E-2</v>
      </c>
      <c r="AG39" s="9">
        <f t="shared" si="167"/>
        <v>2.0000000000000018E-2</v>
      </c>
      <c r="AH39" s="9">
        <f t="shared" si="167"/>
        <v>2.0000000000000018E-2</v>
      </c>
      <c r="AI39" s="9">
        <f t="shared" si="167"/>
        <v>2.0000000000000018E-2</v>
      </c>
      <c r="AJ39" s="9">
        <f t="shared" si="167"/>
        <v>2.0000000000000018E-2</v>
      </c>
      <c r="AK39" s="9">
        <f t="shared" si="167"/>
        <v>2.0000000000000018E-2</v>
      </c>
      <c r="AN39" s="1" t="s">
        <v>42</v>
      </c>
      <c r="AO39" s="6">
        <f>NPV(AO38,AA32:EU32)</f>
        <v>120126.70494759879</v>
      </c>
    </row>
    <row r="40" spans="2:41" x14ac:dyDescent="0.3">
      <c r="B40" s="1" t="s">
        <v>37</v>
      </c>
      <c r="G40" s="9"/>
      <c r="H40" s="9"/>
      <c r="I40" s="9"/>
      <c r="J40" s="9"/>
      <c r="K40" s="9">
        <f t="shared" si="164"/>
        <v>8.7847730600292717E-2</v>
      </c>
      <c r="L40" s="9">
        <f t="shared" si="164"/>
        <v>0.13636363636363646</v>
      </c>
      <c r="M40" s="9">
        <f t="shared" si="164"/>
        <v>2.9891304347826164E-2</v>
      </c>
      <c r="N40" s="9">
        <f t="shared" si="164"/>
        <v>-0.17522935779816518</v>
      </c>
      <c r="O40" s="9">
        <f t="shared" si="164"/>
        <v>-9.4212651413189796E-2</v>
      </c>
      <c r="P40" s="9">
        <f t="shared" ref="P40:R40" si="168">P18/L18-1</f>
        <v>-0.13764705882352946</v>
      </c>
      <c r="Q40" s="9">
        <f t="shared" si="168"/>
        <v>-2.5065963060685981E-2</v>
      </c>
      <c r="R40" s="9">
        <f t="shared" si="168"/>
        <v>-7.999999999999996E-2</v>
      </c>
      <c r="U40" s="9"/>
      <c r="V40" s="9">
        <f t="shared" ref="V40:Y40" si="169">V18/U18-1</f>
        <v>-0.14889815366289461</v>
      </c>
      <c r="W40" s="9">
        <f t="shared" si="169"/>
        <v>-3.9188243526941946E-2</v>
      </c>
      <c r="X40" s="9">
        <f t="shared" si="169"/>
        <v>0.12126729788783686</v>
      </c>
      <c r="Y40" s="9">
        <f t="shared" si="169"/>
        <v>5.7810977590126766E-2</v>
      </c>
      <c r="Z40" s="9">
        <f>Z18/Y18-1</f>
        <v>-2.149217070924192E-3</v>
      </c>
      <c r="AA40" s="9">
        <f t="shared" ref="AA40:AK40" si="170">AA18/Z18-1</f>
        <v>-8.5513846153846163E-2</v>
      </c>
      <c r="AB40" s="9">
        <f t="shared" si="170"/>
        <v>2.0000000000000018E-2</v>
      </c>
      <c r="AC40" s="9">
        <f t="shared" si="170"/>
        <v>1.0000000000000009E-2</v>
      </c>
      <c r="AD40" s="9">
        <f t="shared" si="170"/>
        <v>1.0000000000000009E-2</v>
      </c>
      <c r="AE40" s="9">
        <f t="shared" si="170"/>
        <v>1.0000000000000009E-2</v>
      </c>
      <c r="AF40" s="9">
        <f t="shared" si="170"/>
        <v>1.0000000000000009E-2</v>
      </c>
      <c r="AG40" s="9">
        <f t="shared" si="170"/>
        <v>1.0000000000000009E-2</v>
      </c>
      <c r="AH40" s="9">
        <f t="shared" si="170"/>
        <v>1.0000000000000009E-2</v>
      </c>
      <c r="AI40" s="9">
        <f t="shared" si="170"/>
        <v>1.0000000000000009E-2</v>
      </c>
      <c r="AJ40" s="9">
        <f t="shared" si="170"/>
        <v>1.0000000000000009E-2</v>
      </c>
      <c r="AK40" s="9">
        <f t="shared" si="170"/>
        <v>1.0000000000000009E-2</v>
      </c>
      <c r="AN40" s="1" t="s">
        <v>43</v>
      </c>
      <c r="AO40" s="6">
        <f>Main!D8</f>
        <v>10009</v>
      </c>
    </row>
    <row r="41" spans="2:41" x14ac:dyDescent="0.3">
      <c r="B41" s="1" t="s">
        <v>38</v>
      </c>
      <c r="G41" s="9">
        <f t="shared" ref="G41" si="171">G20/G13</f>
        <v>3.3154807447079826E-2</v>
      </c>
      <c r="H41" s="9">
        <f t="shared" ref="H41:I41" si="172">H20/H13</f>
        <v>9.0943396226415091E-2</v>
      </c>
      <c r="I41" s="9">
        <f t="shared" si="172"/>
        <v>4.6452305833389274E-2</v>
      </c>
      <c r="J41" s="9">
        <f t="shared" ref="J41" si="173">J20/J13</f>
        <v>7.5941623700078648E-2</v>
      </c>
      <c r="K41" s="9">
        <f t="shared" ref="K41:L41" si="174">K20/K13</f>
        <v>4.0841777084957134E-2</v>
      </c>
      <c r="L41" s="9">
        <f t="shared" si="174"/>
        <v>4.4513910597061584E-2</v>
      </c>
      <c r="M41" s="9">
        <f t="shared" ref="M41:O41" si="175">M20/M13</f>
        <v>7.0558990375422265E-2</v>
      </c>
      <c r="N41" s="9">
        <f t="shared" ref="N41" si="176">N20/N13</f>
        <v>9.9571128014241783E-2</v>
      </c>
      <c r="O41" s="9">
        <f t="shared" si="175"/>
        <v>3.9875941515285777E-2</v>
      </c>
      <c r="P41" s="9">
        <f t="shared" ref="P41:R41" si="177">P20/P13</f>
        <v>6.2297734627831718E-2</v>
      </c>
      <c r="Q41" s="9">
        <f t="shared" si="177"/>
        <v>9.1944350948053408E-2</v>
      </c>
      <c r="R41" s="9">
        <f t="shared" si="177"/>
        <v>0.11328339390016037</v>
      </c>
      <c r="U41" s="9">
        <f t="shared" ref="U41:Y41" si="178">U20/U13</f>
        <v>1.4500979028916824E-2</v>
      </c>
      <c r="V41" s="9">
        <f t="shared" si="178"/>
        <v>1.3303414008655234E-2</v>
      </c>
      <c r="W41" s="9">
        <f t="shared" si="178"/>
        <v>9.2676753149628949E-2</v>
      </c>
      <c r="X41" s="9">
        <f t="shared" si="178"/>
        <v>8.9375967870939196E-2</v>
      </c>
      <c r="Y41" s="9">
        <f t="shared" si="178"/>
        <v>6.5183510069370162E-2</v>
      </c>
      <c r="Z41" s="9">
        <f>Z20/Z13</f>
        <v>6.9391882132023686E-2</v>
      </c>
      <c r="AA41" s="9">
        <f t="shared" ref="AA41:AK41" si="179">AA20/AA13</f>
        <v>8.5774307323688501E-2</v>
      </c>
      <c r="AB41" s="9">
        <f t="shared" si="179"/>
        <v>9.5920915864992559E-2</v>
      </c>
      <c r="AC41" s="9">
        <f t="shared" si="179"/>
        <v>0.10688954467216141</v>
      </c>
      <c r="AD41" s="9">
        <f t="shared" si="179"/>
        <v>0.1072614900351294</v>
      </c>
      <c r="AE41" s="9">
        <f t="shared" si="179"/>
        <v>0.10762978887493106</v>
      </c>
      <c r="AF41" s="9">
        <f t="shared" si="179"/>
        <v>0.10799447694179348</v>
      </c>
      <c r="AG41" s="9">
        <f t="shared" si="179"/>
        <v>0.1083555896354514</v>
      </c>
      <c r="AH41" s="9">
        <f t="shared" si="179"/>
        <v>0.10871316200858321</v>
      </c>
      <c r="AI41" s="9">
        <f t="shared" si="179"/>
        <v>0.10906722877021376</v>
      </c>
      <c r="AJ41" s="9">
        <f t="shared" si="179"/>
        <v>0.10941782428908323</v>
      </c>
      <c r="AK41" s="9">
        <f t="shared" si="179"/>
        <v>0.10976498259698335</v>
      </c>
      <c r="AN41" s="1" t="s">
        <v>44</v>
      </c>
      <c r="AO41" s="6">
        <f>AO39+AO40</f>
        <v>130135.70494759879</v>
      </c>
    </row>
    <row r="42" spans="2:41" x14ac:dyDescent="0.3">
      <c r="B42" s="1" t="s">
        <v>28</v>
      </c>
      <c r="G42" s="9">
        <f t="shared" ref="G42" si="180">G30/G29</f>
        <v>0.18738404452690166</v>
      </c>
      <c r="H42" s="9">
        <f t="shared" ref="H42:I42" si="181">H30/H29</f>
        <v>0.30068965517241381</v>
      </c>
      <c r="I42" s="9">
        <f t="shared" si="181"/>
        <v>0.20125786163522014</v>
      </c>
      <c r="J42" s="9">
        <f t="shared" ref="J42" si="182">J30/J29</f>
        <v>0.23384446878422782</v>
      </c>
      <c r="K42" s="9">
        <f t="shared" ref="K42:L42" si="183">K30/K29</f>
        <v>0.3412887828162291</v>
      </c>
      <c r="L42" s="9">
        <f t="shared" si="183"/>
        <v>0.64509803921568631</v>
      </c>
      <c r="M42" s="9">
        <f t="shared" ref="M42:O42" si="184">M30/M29</f>
        <v>0.24959999999999999</v>
      </c>
      <c r="N42" s="9">
        <f t="shared" ref="N42" si="185">N30/N29</f>
        <v>0.14856738592147153</v>
      </c>
      <c r="O42" s="9">
        <f t="shared" si="184"/>
        <v>0.31901279707495428</v>
      </c>
      <c r="P42" s="9">
        <f t="shared" ref="P42:R42" si="186">P30/P29</f>
        <v>0.30997038499506419</v>
      </c>
      <c r="Q42" s="9">
        <f t="shared" si="186"/>
        <v>0.33517156862745096</v>
      </c>
      <c r="R42" s="9">
        <f t="shared" si="186"/>
        <v>0.24</v>
      </c>
      <c r="U42" s="9">
        <f t="shared" ref="U42:Y42" si="187">U30/U29</f>
        <v>2.2453007518796992</v>
      </c>
      <c r="V42" s="9">
        <f t="shared" si="187"/>
        <v>-3.4513274336283185E-2</v>
      </c>
      <c r="W42" s="9">
        <f t="shared" si="187"/>
        <v>0.16968370797692461</v>
      </c>
      <c r="X42" s="9">
        <f t="shared" si="187"/>
        <v>0.18502463054187193</v>
      </c>
      <c r="Y42" s="9">
        <f t="shared" si="187"/>
        <v>0.24239882574963303</v>
      </c>
      <c r="Z42" s="9">
        <f>Z30/Z29</f>
        <v>0.24829493087557603</v>
      </c>
      <c r="AA42" s="9">
        <f t="shared" ref="AA42:AK42" si="188">AA30/AA29</f>
        <v>0.2798053240043995</v>
      </c>
      <c r="AB42" s="9">
        <f t="shared" si="188"/>
        <v>0.23</v>
      </c>
      <c r="AC42" s="9">
        <f t="shared" si="188"/>
        <v>0.23</v>
      </c>
      <c r="AD42" s="9">
        <f t="shared" si="188"/>
        <v>0.23000000000000004</v>
      </c>
      <c r="AE42" s="9">
        <f t="shared" si="188"/>
        <v>0.22999999999999998</v>
      </c>
      <c r="AF42" s="9">
        <f t="shared" si="188"/>
        <v>0.23</v>
      </c>
      <c r="AG42" s="9">
        <f t="shared" si="188"/>
        <v>0.22999999999999998</v>
      </c>
      <c r="AH42" s="9">
        <f t="shared" si="188"/>
        <v>0.23000000000000004</v>
      </c>
      <c r="AI42" s="9">
        <f t="shared" si="188"/>
        <v>0.23000000000000004</v>
      </c>
      <c r="AJ42" s="9">
        <f t="shared" si="188"/>
        <v>0.23</v>
      </c>
      <c r="AK42" s="9">
        <f t="shared" si="188"/>
        <v>0.23</v>
      </c>
      <c r="AN42" s="1" t="s">
        <v>45</v>
      </c>
      <c r="AO42" s="10">
        <f>AO41/AK33</f>
        <v>164.77045447910712</v>
      </c>
    </row>
    <row r="43" spans="2:41" x14ac:dyDescent="0.3">
      <c r="B43" s="1" t="s">
        <v>29</v>
      </c>
      <c r="G43" s="9">
        <f t="shared" ref="G43" si="189">G31/G29</f>
        <v>-5.1948051948051951E-2</v>
      </c>
      <c r="H43" s="9">
        <f t="shared" ref="H43:I43" si="190">H31/H29</f>
        <v>-3.1724137931034485E-2</v>
      </c>
      <c r="I43" s="9">
        <f t="shared" si="190"/>
        <v>-4.6121593291404611E-2</v>
      </c>
      <c r="J43" s="9">
        <f t="shared" ref="J43" si="191">J31/J29</f>
        <v>-3.1763417305585982E-2</v>
      </c>
      <c r="K43" s="9">
        <f t="shared" ref="K43:L43" si="192">K31/K29</f>
        <v>-5.1312649164677801E-2</v>
      </c>
      <c r="L43" s="9">
        <f t="shared" si="192"/>
        <v>-9.6078431372549025E-2</v>
      </c>
      <c r="M43" s="9">
        <f t="shared" ref="M43:O43" si="193">M31/M29</f>
        <v>-3.5999999999999997E-2</v>
      </c>
      <c r="N43" s="9">
        <f t="shared" ref="N43" si="194">N31/N29</f>
        <v>-6.013441811107181E-3</v>
      </c>
      <c r="O43" s="9">
        <f t="shared" si="193"/>
        <v>-4.3875685557586835E-2</v>
      </c>
      <c r="P43" s="9">
        <f t="shared" ref="P43:R43" si="195">P31/P29</f>
        <v>-3.257650542941757E-2</v>
      </c>
      <c r="Q43" s="9">
        <f t="shared" si="195"/>
        <v>-1.8995098039215685E-2</v>
      </c>
      <c r="R43" s="9">
        <f t="shared" si="195"/>
        <v>-1.5360473839897011E-2</v>
      </c>
      <c r="U43" s="9">
        <f t="shared" ref="U43:Y43" si="196">U31/U29</f>
        <v>3.4774436090225562E-2</v>
      </c>
      <c r="V43" s="9">
        <f t="shared" si="196"/>
        <v>3.1858407079646017E-2</v>
      </c>
      <c r="W43" s="9">
        <f t="shared" si="196"/>
        <v>-7.7581062263775615E-3</v>
      </c>
      <c r="X43" s="9">
        <f t="shared" si="196"/>
        <v>-2.187192118226601E-2</v>
      </c>
      <c r="Y43" s="9">
        <f t="shared" si="196"/>
        <v>-3.6905011532816105E-2</v>
      </c>
      <c r="Z43" s="9">
        <f>Z31/Z29</f>
        <v>-2.838709677419355E-2</v>
      </c>
      <c r="AA43" s="9">
        <f t="shared" ref="AA43:AK43" si="197">AA31/AA29</f>
        <v>-2.2841520562307979E-2</v>
      </c>
      <c r="AB43" s="9">
        <f t="shared" si="197"/>
        <v>-0.03</v>
      </c>
      <c r="AC43" s="9">
        <f t="shared" si="197"/>
        <v>-2.9999999999999995E-2</v>
      </c>
      <c r="AD43" s="9">
        <f t="shared" si="197"/>
        <v>-0.03</v>
      </c>
      <c r="AE43" s="9">
        <f t="shared" si="197"/>
        <v>-2.9999999999999995E-2</v>
      </c>
      <c r="AF43" s="9">
        <f t="shared" si="197"/>
        <v>-0.03</v>
      </c>
      <c r="AG43" s="9">
        <f t="shared" si="197"/>
        <v>-2.9999999999999995E-2</v>
      </c>
      <c r="AH43" s="9">
        <f t="shared" si="197"/>
        <v>-0.03</v>
      </c>
      <c r="AI43" s="9">
        <f t="shared" si="197"/>
        <v>-0.03</v>
      </c>
      <c r="AJ43" s="9">
        <f t="shared" si="197"/>
        <v>-0.03</v>
      </c>
      <c r="AK43" s="9">
        <f t="shared" si="197"/>
        <v>-0.03</v>
      </c>
      <c r="AN43" s="1" t="s">
        <v>46</v>
      </c>
      <c r="AO43" s="10">
        <f>Main!D3</f>
        <v>204.35</v>
      </c>
    </row>
    <row r="44" spans="2:41" x14ac:dyDescent="0.3">
      <c r="B44" s="1" t="s">
        <v>39</v>
      </c>
      <c r="G44" s="9">
        <f t="shared" ref="G44" si="198">G32/G13</f>
        <v>3.9615744282921021E-2</v>
      </c>
      <c r="H44" s="9">
        <f t="shared" ref="H44:I44" si="199">H32/H13</f>
        <v>6.6666666666666666E-2</v>
      </c>
      <c r="I44" s="9">
        <f t="shared" si="199"/>
        <v>5.4104853326173055E-2</v>
      </c>
      <c r="J44" s="9">
        <f t="shared" ref="J44" si="200">J32/J13</f>
        <v>6.3663374989076288E-2</v>
      </c>
      <c r="K44" s="9">
        <f t="shared" ref="K44:L44" si="201">K32/K13</f>
        <v>4.6375681995323458E-2</v>
      </c>
      <c r="L44" s="9">
        <f t="shared" si="201"/>
        <v>1.437949359174742E-2</v>
      </c>
      <c r="M44" s="9">
        <f t="shared" ref="M44:O44" si="202">M32/M13</f>
        <v>6.2655363630569186E-2</v>
      </c>
      <c r="N44" s="9">
        <f t="shared" ref="N44" si="203">N32/N13</f>
        <v>9.8074122026217833E-2</v>
      </c>
      <c r="O44" s="9">
        <f t="shared" si="202"/>
        <v>5.8558558558558557E-2</v>
      </c>
      <c r="P44" s="9">
        <f t="shared" ref="P44:R44" si="204">P32/P13</f>
        <v>4.5556385362210607E-2</v>
      </c>
      <c r="Q44" s="9">
        <f t="shared" si="204"/>
        <v>6.2605183439919221E-2</v>
      </c>
      <c r="R44" s="9">
        <f t="shared" si="204"/>
        <v>8.9118816519295568E-2</v>
      </c>
      <c r="U44" s="9">
        <f t="shared" ref="U44:Y44" si="205">U32/U13</f>
        <v>-1.9325179488634752E-2</v>
      </c>
      <c r="V44" s="9">
        <f t="shared" si="205"/>
        <v>-2.2699951915371053E-2</v>
      </c>
      <c r="W44" s="9">
        <f t="shared" si="205"/>
        <v>8.078774281386028E-2</v>
      </c>
      <c r="X44" s="9">
        <f t="shared" si="205"/>
        <v>7.2273369297006618E-2</v>
      </c>
      <c r="Y44" s="9">
        <f t="shared" si="205"/>
        <v>5.7895058521529201E-2</v>
      </c>
      <c r="Z44" s="9">
        <f>Z32/Z13</f>
        <v>6.1129568106312294E-2</v>
      </c>
      <c r="AA44" s="9">
        <f t="shared" ref="AA44:AK44" si="206">AA32/AA13</f>
        <v>6.9747516013700772E-2</v>
      </c>
      <c r="AB44" s="9">
        <f t="shared" si="206"/>
        <v>7.8830082963668599E-2</v>
      </c>
      <c r="AC44" s="9">
        <f t="shared" si="206"/>
        <v>8.7564338431312908E-2</v>
      </c>
      <c r="AD44" s="9">
        <f t="shared" si="206"/>
        <v>8.784177018547569E-2</v>
      </c>
      <c r="AE44" s="9">
        <f t="shared" si="206"/>
        <v>8.8116482020480044E-2</v>
      </c>
      <c r="AF44" s="9">
        <f t="shared" si="206"/>
        <v>8.8388500602200035E-2</v>
      </c>
      <c r="AG44" s="9">
        <f t="shared" si="206"/>
        <v>8.8657852335079626E-2</v>
      </c>
      <c r="AH44" s="9">
        <f t="shared" si="206"/>
        <v>8.8924563364695688E-2</v>
      </c>
      <c r="AI44" s="9">
        <f t="shared" si="206"/>
        <v>8.9188659580295926E-2</v>
      </c>
      <c r="AJ44" s="9">
        <f t="shared" si="206"/>
        <v>8.9450166617311852E-2</v>
      </c>
      <c r="AK44" s="9">
        <f t="shared" si="206"/>
        <v>8.9709109859847203E-2</v>
      </c>
      <c r="AN44" s="2" t="s">
        <v>47</v>
      </c>
      <c r="AO44" s="11">
        <f>AO42/AO43-1</f>
        <v>-0.19368507717588879</v>
      </c>
    </row>
    <row r="45" spans="2:41" x14ac:dyDescent="0.3">
      <c r="AN45" s="1" t="s">
        <v>48</v>
      </c>
      <c r="AO45" s="12" t="s">
        <v>73</v>
      </c>
    </row>
    <row r="47" spans="2:41" x14ac:dyDescent="0.3">
      <c r="B47" s="1" t="s">
        <v>72</v>
      </c>
      <c r="N47" s="6">
        <v>156921</v>
      </c>
      <c r="O47" s="6"/>
      <c r="P47" s="6"/>
      <c r="Q47" s="6">
        <v>159409</v>
      </c>
    </row>
    <row r="49" spans="2:27" s="13" customFormat="1" x14ac:dyDescent="0.3">
      <c r="B49" s="13" t="s">
        <v>64</v>
      </c>
      <c r="P49" s="16">
        <v>129040</v>
      </c>
      <c r="Q49" s="16">
        <v>129670</v>
      </c>
      <c r="AA49" s="16">
        <v>129670</v>
      </c>
    </row>
    <row r="51" spans="2:27" x14ac:dyDescent="0.3">
      <c r="B51" s="1" t="s">
        <v>65</v>
      </c>
      <c r="P51" s="14"/>
      <c r="AA51" s="14">
        <f>Main!$D$9/Model!AA49</f>
        <v>1.1674761317189788</v>
      </c>
    </row>
    <row r="52" spans="2:27" x14ac:dyDescent="0.3">
      <c r="B52" s="1" t="s">
        <v>66</v>
      </c>
      <c r="P52" s="9"/>
      <c r="AA52" s="9">
        <f>AA49/Main!$D$9-1</f>
        <v>-0.14345143953597472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2025-04-24T09:29:17Z</dcterms:created>
  <dcterms:modified xsi:type="dcterms:W3CDTF">2026-02-06T11:04:53Z</dcterms:modified>
</cp:coreProperties>
</file>