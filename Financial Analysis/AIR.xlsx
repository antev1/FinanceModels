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C5CA008A-4896-4E21-88CC-313A9559C543}" xr6:coauthVersionLast="47" xr6:coauthVersionMax="47" xr10:uidLastSave="{00000000-0000-0000-0000-000000000000}"/>
  <bookViews>
    <workbookView xWindow="-108" yWindow="-108" windowWidth="23256" windowHeight="12576" activeTab="1" xr2:uid="{07D530EB-ED3E-4FE7-ACCA-598769C814C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4" i="2" l="1"/>
  <c r="Y33" i="2"/>
  <c r="Y32" i="2"/>
  <c r="Y31" i="2"/>
  <c r="Y30" i="2"/>
  <c r="Y29" i="2"/>
  <c r="X22" i="2"/>
  <c r="Y22" i="2" s="1"/>
  <c r="Z22" i="2" s="1"/>
  <c r="AA22" i="2" s="1"/>
  <c r="AB22" i="2" s="1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AY22" i="2" s="1"/>
  <c r="AZ22" i="2" s="1"/>
  <c r="BA22" i="2" s="1"/>
  <c r="BB22" i="2" s="1"/>
  <c r="BC22" i="2" s="1"/>
  <c r="BD22" i="2" s="1"/>
  <c r="BE22" i="2" s="1"/>
  <c r="BF22" i="2" s="1"/>
  <c r="BG22" i="2" s="1"/>
  <c r="BH22" i="2" s="1"/>
  <c r="BI22" i="2" s="1"/>
  <c r="BJ22" i="2" s="1"/>
  <c r="BK22" i="2" s="1"/>
  <c r="BL22" i="2" s="1"/>
  <c r="BM22" i="2" s="1"/>
  <c r="BN22" i="2" s="1"/>
  <c r="BO22" i="2" s="1"/>
  <c r="BP22" i="2" s="1"/>
  <c r="BQ22" i="2" s="1"/>
  <c r="BR22" i="2" s="1"/>
  <c r="BS22" i="2" s="1"/>
  <c r="BT22" i="2" s="1"/>
  <c r="BU22" i="2" s="1"/>
  <c r="BV22" i="2" s="1"/>
  <c r="BW22" i="2" s="1"/>
  <c r="BX22" i="2" s="1"/>
  <c r="BY22" i="2" s="1"/>
  <c r="BZ22" i="2" s="1"/>
  <c r="CA22" i="2" s="1"/>
  <c r="CB22" i="2" s="1"/>
  <c r="CC22" i="2" s="1"/>
  <c r="CD22" i="2" s="1"/>
  <c r="CE22" i="2" s="1"/>
  <c r="CF22" i="2" s="1"/>
  <c r="CG22" i="2" s="1"/>
  <c r="CH22" i="2" s="1"/>
  <c r="CI22" i="2" s="1"/>
  <c r="CJ22" i="2" s="1"/>
  <c r="CK22" i="2" s="1"/>
  <c r="CL22" i="2" s="1"/>
  <c r="CM22" i="2" s="1"/>
  <c r="CN22" i="2" s="1"/>
  <c r="CO22" i="2" s="1"/>
  <c r="CP22" i="2" s="1"/>
  <c r="CQ22" i="2" s="1"/>
  <c r="CR22" i="2" s="1"/>
  <c r="CS22" i="2" s="1"/>
  <c r="CT22" i="2" s="1"/>
  <c r="CU22" i="2" s="1"/>
  <c r="CV22" i="2" s="1"/>
  <c r="CW22" i="2" s="1"/>
  <c r="CX22" i="2" s="1"/>
  <c r="CY22" i="2" s="1"/>
  <c r="CZ22" i="2" s="1"/>
  <c r="DA22" i="2" s="1"/>
  <c r="DB22" i="2" s="1"/>
  <c r="DC22" i="2" s="1"/>
  <c r="DD22" i="2" s="1"/>
  <c r="DE22" i="2" s="1"/>
  <c r="DF22" i="2" s="1"/>
  <c r="DG22" i="2" s="1"/>
  <c r="DH22" i="2" s="1"/>
  <c r="DI22" i="2" s="1"/>
  <c r="DJ22" i="2" s="1"/>
  <c r="DK22" i="2" s="1"/>
  <c r="DL22" i="2" s="1"/>
  <c r="DM22" i="2" s="1"/>
  <c r="DN22" i="2" s="1"/>
  <c r="DO22" i="2" s="1"/>
  <c r="DP22" i="2" s="1"/>
  <c r="DQ22" i="2" s="1"/>
  <c r="DR22" i="2" s="1"/>
  <c r="DS22" i="2" s="1"/>
  <c r="DT22" i="2" s="1"/>
  <c r="DU22" i="2" s="1"/>
  <c r="DV22" i="2" s="1"/>
  <c r="DW22" i="2" s="1"/>
  <c r="DX22" i="2" s="1"/>
  <c r="DY22" i="2" s="1"/>
  <c r="DZ22" i="2" s="1"/>
  <c r="EA22" i="2" s="1"/>
  <c r="EB22" i="2" s="1"/>
  <c r="EC22" i="2" s="1"/>
  <c r="ED22" i="2" s="1"/>
  <c r="EE22" i="2" s="1"/>
  <c r="W22" i="2"/>
  <c r="V22" i="2"/>
  <c r="U34" i="2"/>
  <c r="T34" i="2"/>
  <c r="S34" i="2"/>
  <c r="R34" i="2"/>
  <c r="Q34" i="2"/>
  <c r="P34" i="2"/>
  <c r="O34" i="2"/>
  <c r="N34" i="2"/>
  <c r="M34" i="2"/>
  <c r="L34" i="2"/>
  <c r="K34" i="2"/>
  <c r="U33" i="2"/>
  <c r="T33" i="2"/>
  <c r="S33" i="2"/>
  <c r="R33" i="2"/>
  <c r="Q33" i="2"/>
  <c r="P33" i="2"/>
  <c r="O33" i="2"/>
  <c r="N33" i="2"/>
  <c r="M33" i="2"/>
  <c r="L33" i="2"/>
  <c r="K33" i="2"/>
  <c r="U32" i="2"/>
  <c r="T32" i="2"/>
  <c r="S32" i="2"/>
  <c r="R32" i="2"/>
  <c r="Q32" i="2"/>
  <c r="P32" i="2"/>
  <c r="O32" i="2"/>
  <c r="N32" i="2"/>
  <c r="M32" i="2"/>
  <c r="L32" i="2"/>
  <c r="K32" i="2"/>
  <c r="U31" i="2"/>
  <c r="T31" i="2"/>
  <c r="S31" i="2"/>
  <c r="R31" i="2"/>
  <c r="Q31" i="2"/>
  <c r="P31" i="2"/>
  <c r="O31" i="2"/>
  <c r="N31" i="2"/>
  <c r="M31" i="2"/>
  <c r="L31" i="2"/>
  <c r="K31" i="2"/>
  <c r="U30" i="2"/>
  <c r="T30" i="2"/>
  <c r="S30" i="2"/>
  <c r="R30" i="2"/>
  <c r="Q30" i="2"/>
  <c r="P30" i="2"/>
  <c r="O30" i="2"/>
  <c r="N30" i="2"/>
  <c r="M30" i="2"/>
  <c r="L30" i="2"/>
  <c r="K30" i="2"/>
  <c r="U29" i="2"/>
  <c r="T29" i="2"/>
  <c r="S29" i="2"/>
  <c r="R29" i="2"/>
  <c r="Q29" i="2"/>
  <c r="P29" i="2"/>
  <c r="O29" i="2"/>
  <c r="N29" i="2"/>
  <c r="M29" i="2"/>
  <c r="L29" i="2"/>
  <c r="K29" i="2"/>
  <c r="U28" i="2"/>
  <c r="T28" i="2"/>
  <c r="S28" i="2"/>
  <c r="R28" i="2"/>
  <c r="Q28" i="2"/>
  <c r="P28" i="2"/>
  <c r="O28" i="2"/>
  <c r="N28" i="2"/>
  <c r="M28" i="2"/>
  <c r="L28" i="2"/>
  <c r="K28" i="2"/>
  <c r="U27" i="2"/>
  <c r="T27" i="2"/>
  <c r="S27" i="2"/>
  <c r="R27" i="2"/>
  <c r="Q27" i="2"/>
  <c r="P27" i="2"/>
  <c r="O27" i="2"/>
  <c r="N27" i="2"/>
  <c r="M27" i="2"/>
  <c r="L27" i="2"/>
  <c r="K27" i="2"/>
  <c r="U26" i="2"/>
  <c r="T26" i="2"/>
  <c r="S26" i="2"/>
  <c r="R26" i="2"/>
  <c r="Q26" i="2"/>
  <c r="P26" i="2"/>
  <c r="O26" i="2"/>
  <c r="N26" i="2"/>
  <c r="M26" i="2"/>
  <c r="L26" i="2"/>
  <c r="K26" i="2"/>
  <c r="L16" i="2"/>
  <c r="M16" i="2" s="1"/>
  <c r="N16" i="2" s="1"/>
  <c r="O16" i="2" s="1"/>
  <c r="P16" i="2" s="1"/>
  <c r="Q16" i="2" s="1"/>
  <c r="R16" i="2" s="1"/>
  <c r="S16" i="2" s="1"/>
  <c r="T16" i="2" s="1"/>
  <c r="U16" i="2" s="1"/>
  <c r="M15" i="2"/>
  <c r="N15" i="2" s="1"/>
  <c r="O15" i="2" s="1"/>
  <c r="P15" i="2" s="1"/>
  <c r="Q15" i="2" s="1"/>
  <c r="R15" i="2" s="1"/>
  <c r="S15" i="2" s="1"/>
  <c r="T15" i="2" s="1"/>
  <c r="U15" i="2" s="1"/>
  <c r="L15" i="2"/>
  <c r="L14" i="2"/>
  <c r="M14" i="2" s="1"/>
  <c r="N14" i="2" s="1"/>
  <c r="O14" i="2" s="1"/>
  <c r="P14" i="2" s="1"/>
  <c r="Q14" i="2" s="1"/>
  <c r="R14" i="2" s="1"/>
  <c r="S14" i="2" s="1"/>
  <c r="T14" i="2" s="1"/>
  <c r="U14" i="2" s="1"/>
  <c r="L13" i="2"/>
  <c r="M13" i="2" s="1"/>
  <c r="N13" i="2" s="1"/>
  <c r="O13" i="2" s="1"/>
  <c r="P13" i="2" s="1"/>
  <c r="Q13" i="2" s="1"/>
  <c r="R13" i="2" s="1"/>
  <c r="S13" i="2" s="1"/>
  <c r="T13" i="2" s="1"/>
  <c r="U13" i="2" s="1"/>
  <c r="L12" i="2"/>
  <c r="L18" i="2" s="1"/>
  <c r="M11" i="2"/>
  <c r="L11" i="2"/>
  <c r="U10" i="2"/>
  <c r="T10" i="2"/>
  <c r="P10" i="2"/>
  <c r="O10" i="2"/>
  <c r="M10" i="2"/>
  <c r="L10" i="2"/>
  <c r="U9" i="2"/>
  <c r="T9" i="2"/>
  <c r="S9" i="2"/>
  <c r="S10" i="2" s="1"/>
  <c r="R9" i="2"/>
  <c r="R10" i="2" s="1"/>
  <c r="Q9" i="2"/>
  <c r="Q10" i="2" s="1"/>
  <c r="P9" i="2"/>
  <c r="O9" i="2"/>
  <c r="N9" i="2"/>
  <c r="N10" i="2" s="1"/>
  <c r="M9" i="2"/>
  <c r="L9" i="2"/>
  <c r="K18" i="2"/>
  <c r="K16" i="2"/>
  <c r="K15" i="2"/>
  <c r="K14" i="2"/>
  <c r="K13" i="2"/>
  <c r="K12" i="2"/>
  <c r="K11" i="2"/>
  <c r="K9" i="2"/>
  <c r="K10" i="2" s="1"/>
  <c r="K19" i="2" s="1"/>
  <c r="N8" i="2"/>
  <c r="O8" i="2" s="1"/>
  <c r="P8" i="2" s="1"/>
  <c r="Q8" i="2" s="1"/>
  <c r="R8" i="2" s="1"/>
  <c r="S8" i="2" s="1"/>
  <c r="T8" i="2" s="1"/>
  <c r="U8" i="2" s="1"/>
  <c r="M8" i="2"/>
  <c r="L8" i="2"/>
  <c r="K8" i="2"/>
  <c r="N7" i="2"/>
  <c r="O7" i="2" s="1"/>
  <c r="P7" i="2" s="1"/>
  <c r="Q7" i="2" s="1"/>
  <c r="R7" i="2" s="1"/>
  <c r="S7" i="2" s="1"/>
  <c r="T7" i="2" s="1"/>
  <c r="U7" i="2" s="1"/>
  <c r="M7" i="2"/>
  <c r="L7" i="2"/>
  <c r="K7" i="2"/>
  <c r="U6" i="2"/>
  <c r="T6" i="2"/>
  <c r="S6" i="2"/>
  <c r="R6" i="2"/>
  <c r="Q6" i="2"/>
  <c r="P6" i="2"/>
  <c r="O6" i="2"/>
  <c r="N6" i="2"/>
  <c r="M6" i="2"/>
  <c r="L6" i="2"/>
  <c r="K6" i="2"/>
  <c r="U5" i="2"/>
  <c r="U4" i="2" s="1"/>
  <c r="T5" i="2"/>
  <c r="S5" i="2"/>
  <c r="R5" i="2"/>
  <c r="Q5" i="2"/>
  <c r="P5" i="2"/>
  <c r="O5" i="2"/>
  <c r="N5" i="2"/>
  <c r="N4" i="2" s="1"/>
  <c r="M5" i="2"/>
  <c r="M4" i="2" s="1"/>
  <c r="L5" i="2"/>
  <c r="T4" i="2"/>
  <c r="S4" i="2"/>
  <c r="R4" i="2"/>
  <c r="Q4" i="2"/>
  <c r="P4" i="2"/>
  <c r="O4" i="2"/>
  <c r="L4" i="2"/>
  <c r="K5" i="2"/>
  <c r="K4" i="2" s="1"/>
  <c r="N3" i="2"/>
  <c r="O3" i="2" s="1"/>
  <c r="P3" i="2" s="1"/>
  <c r="Q3" i="2" s="1"/>
  <c r="R3" i="2" s="1"/>
  <c r="S3" i="2" s="1"/>
  <c r="T3" i="2" s="1"/>
  <c r="U3" i="2" s="1"/>
  <c r="M3" i="2"/>
  <c r="L3" i="2"/>
  <c r="K3" i="2"/>
  <c r="I34" i="2"/>
  <c r="H34" i="2"/>
  <c r="G34" i="2"/>
  <c r="F34" i="2"/>
  <c r="E34" i="2"/>
  <c r="I33" i="2"/>
  <c r="H33" i="2"/>
  <c r="G33" i="2"/>
  <c r="F33" i="2"/>
  <c r="E33" i="2"/>
  <c r="I32" i="2"/>
  <c r="H32" i="2"/>
  <c r="G32" i="2"/>
  <c r="F32" i="2"/>
  <c r="E32" i="2"/>
  <c r="I31" i="2"/>
  <c r="H31" i="2"/>
  <c r="G31" i="2"/>
  <c r="F31" i="2"/>
  <c r="E31" i="2"/>
  <c r="I30" i="2"/>
  <c r="H30" i="2"/>
  <c r="G30" i="2"/>
  <c r="F30" i="2"/>
  <c r="I29" i="2"/>
  <c r="H29" i="2"/>
  <c r="G29" i="2"/>
  <c r="F29" i="2"/>
  <c r="I28" i="2"/>
  <c r="H28" i="2"/>
  <c r="G28" i="2"/>
  <c r="F28" i="2"/>
  <c r="E28" i="2"/>
  <c r="I27" i="2"/>
  <c r="H27" i="2"/>
  <c r="G27" i="2"/>
  <c r="F27" i="2"/>
  <c r="E27" i="2"/>
  <c r="I26" i="2"/>
  <c r="H26" i="2"/>
  <c r="G26" i="2"/>
  <c r="F26" i="2"/>
  <c r="J34" i="2"/>
  <c r="J33" i="2"/>
  <c r="J32" i="2"/>
  <c r="J31" i="2"/>
  <c r="J30" i="2"/>
  <c r="J29" i="2"/>
  <c r="J28" i="2"/>
  <c r="J27" i="2"/>
  <c r="J26" i="2"/>
  <c r="E18" i="2"/>
  <c r="E9" i="2"/>
  <c r="E5" i="2"/>
  <c r="F18" i="2"/>
  <c r="F9" i="2"/>
  <c r="F5" i="2"/>
  <c r="G18" i="2"/>
  <c r="G9" i="2"/>
  <c r="G5" i="2"/>
  <c r="H18" i="2"/>
  <c r="H9" i="2"/>
  <c r="H5" i="2"/>
  <c r="I18" i="2"/>
  <c r="I9" i="2"/>
  <c r="I5" i="2"/>
  <c r="J24" i="2"/>
  <c r="J22" i="2"/>
  <c r="J18" i="2"/>
  <c r="J9" i="2"/>
  <c r="J5" i="2"/>
  <c r="J10" i="2" s="1"/>
  <c r="D9" i="1"/>
  <c r="D8" i="1"/>
  <c r="D7" i="1"/>
  <c r="D6" i="1"/>
  <c r="D5" i="1"/>
  <c r="F3" i="1"/>
  <c r="L19" i="2" l="1"/>
  <c r="K21" i="2"/>
  <c r="K20" i="2"/>
  <c r="M12" i="2"/>
  <c r="N12" i="2" s="1"/>
  <c r="O12" i="2" s="1"/>
  <c r="P12" i="2" s="1"/>
  <c r="Q12" i="2" s="1"/>
  <c r="R12" i="2" s="1"/>
  <c r="S12" i="2" s="1"/>
  <c r="T12" i="2" s="1"/>
  <c r="U12" i="2" s="1"/>
  <c r="N11" i="2"/>
  <c r="E10" i="2"/>
  <c r="E19" i="2" s="1"/>
  <c r="E22" i="2" s="1"/>
  <c r="E24" i="2" s="1"/>
  <c r="F10" i="2"/>
  <c r="F19" i="2" s="1"/>
  <c r="F22" i="2" s="1"/>
  <c r="F24" i="2" s="1"/>
  <c r="G10" i="2"/>
  <c r="G19" i="2" s="1"/>
  <c r="G22" i="2" s="1"/>
  <c r="G24" i="2" s="1"/>
  <c r="H10" i="2"/>
  <c r="H19" i="2" s="1"/>
  <c r="H22" i="2" s="1"/>
  <c r="H24" i="2" s="1"/>
  <c r="I10" i="2"/>
  <c r="I19" i="2" s="1"/>
  <c r="I22" i="2" s="1"/>
  <c r="I24" i="2" s="1"/>
  <c r="J19" i="2"/>
  <c r="M18" i="2" l="1"/>
  <c r="M19" i="2" s="1"/>
  <c r="K22" i="2"/>
  <c r="K24" i="2" s="1"/>
  <c r="L21" i="2"/>
  <c r="L20" i="2"/>
  <c r="L22" i="2" s="1"/>
  <c r="O11" i="2"/>
  <c r="N18" i="2"/>
  <c r="N19" i="2" s="1"/>
  <c r="L24" i="2" l="1"/>
  <c r="M21" i="2"/>
  <c r="M20" i="2"/>
  <c r="M22" i="2" s="1"/>
  <c r="N21" i="2"/>
  <c r="N20" i="2"/>
  <c r="N22" i="2" s="1"/>
  <c r="P11" i="2"/>
  <c r="O18" i="2"/>
  <c r="O19" i="2" s="1"/>
  <c r="N24" i="2" l="1"/>
  <c r="M24" i="2"/>
  <c r="O21" i="2"/>
  <c r="O20" i="2"/>
  <c r="O22" i="2"/>
  <c r="O24" i="2" s="1"/>
  <c r="Q11" i="2"/>
  <c r="P18" i="2"/>
  <c r="P19" i="2" s="1"/>
  <c r="Q18" i="2" l="1"/>
  <c r="Q19" i="2" s="1"/>
  <c r="R11" i="2"/>
  <c r="P20" i="2"/>
  <c r="P21" i="2"/>
  <c r="P22" i="2" s="1"/>
  <c r="P24" i="2" s="1"/>
  <c r="R18" i="2" l="1"/>
  <c r="R19" i="2" s="1"/>
  <c r="S11" i="2"/>
  <c r="Q20" i="2"/>
  <c r="Q22" i="2" s="1"/>
  <c r="Q24" i="2" s="1"/>
  <c r="Q21" i="2"/>
  <c r="R21" i="2" l="1"/>
  <c r="R22" i="2" s="1"/>
  <c r="R24" i="2" s="1"/>
  <c r="R20" i="2"/>
  <c r="S18" i="2"/>
  <c r="S19" i="2" s="1"/>
  <c r="T11" i="2"/>
  <c r="S21" i="2" l="1"/>
  <c r="S22" i="2" s="1"/>
  <c r="S24" i="2" s="1"/>
  <c r="S20" i="2"/>
  <c r="U11" i="2"/>
  <c r="U18" i="2" s="1"/>
  <c r="U19" i="2" s="1"/>
  <c r="T18" i="2"/>
  <c r="T19" i="2" s="1"/>
  <c r="U21" i="2" l="1"/>
  <c r="U22" i="2" s="1"/>
  <c r="U24" i="2" s="1"/>
  <c r="U20" i="2"/>
  <c r="T21" i="2"/>
  <c r="T20" i="2"/>
  <c r="T22" i="2" s="1"/>
  <c r="T24" i="2" s="1"/>
</calcChain>
</file>

<file path=xl/sharedStrings.xml><?xml version="1.0" encoding="utf-8"?>
<sst xmlns="http://schemas.openxmlformats.org/spreadsheetml/2006/main" count="55" uniqueCount="50">
  <si>
    <t>AIR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</si>
  <si>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</si>
  <si>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</si>
  <si>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</si>
  <si>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</si>
  <si>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</si>
  <si>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</si>
  <si>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</si>
  <si>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</si>
  <si>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</si>
  <si>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</si>
  <si>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Q424</t>
  </si>
  <si>
    <t>Revenue</t>
  </si>
  <si>
    <t>Cost of sales</t>
  </si>
  <si>
    <t>Gross profit</t>
  </si>
  <si>
    <t>S&amp;M</t>
  </si>
  <si>
    <t>G&amp;A</t>
  </si>
  <si>
    <t>R&amp;D</t>
  </si>
  <si>
    <t>Other income</t>
  </si>
  <si>
    <t>Other expense</t>
  </si>
  <si>
    <t>Equity income</t>
  </si>
  <si>
    <t>Investment income</t>
  </si>
  <si>
    <t>Interest income</t>
  </si>
  <si>
    <t>Interest expense</t>
  </si>
  <si>
    <t>Total operating expense</t>
  </si>
  <si>
    <t>Total other expense</t>
  </si>
  <si>
    <t>Operating profit</t>
  </si>
  <si>
    <t>Pretax profit</t>
  </si>
  <si>
    <t>Taxes</t>
  </si>
  <si>
    <t>MI</t>
  </si>
  <si>
    <t>Net profit</t>
  </si>
  <si>
    <t>EPS</t>
  </si>
  <si>
    <t>Other finance income</t>
  </si>
  <si>
    <t>Revenue y/y</t>
  </si>
  <si>
    <t>Gross Margin</t>
  </si>
  <si>
    <t>S&amp;M Margin</t>
  </si>
  <si>
    <t>G&amp;A y/y</t>
  </si>
  <si>
    <t>R&amp;D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</si>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</sst>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84]"/>
    <numFmt numFmtId="165" formatCode="#,##0.00\ [$€-1]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64" fontId="2" fillId="2" borderId="1" xfId="0" applyNumberFormat="1" applyFont="1" applyFill="1" applyBorder="1"/>
    <xf numFmtId="14" fontId="3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165" fontId="2" fillId="2" borderId="1" xfId="0" applyNumberFormat="1" applyFont="1" applyFill="1" applyBorder="1"/>
    <xf numFmtId="9" fontId="1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0</xdr:row>
      <xdr:rowOff>7620</xdr:rowOff>
    </xdr:from>
    <xdr:to>
      <xdr:col>10</xdr:col>
      <xdr:colOff>22860</xdr:colOff>
      <xdr:row>38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2780903-9011-F309-528A-84BCFD1A90EE}"/>
            </a:ext>
          </a:extLst>
        </xdr:cNvPr>
        <xdr:cNvCxnSpPr/>
      </xdr:nvCxnSpPr>
      <xdr:spPr>
        <a:xfrm>
          <a:off x="6934200" y="7620"/>
          <a:ext cx="0" cy="7048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5D14-BF81-40A4-9801-3D66E3303BD3}">
  <dimension ref="B2:G9"/>
  <sheetViews>
    <sheetView workbookViewId="0">
      <selection activeCell="D4" sqref="D4"/>
    </sheetView>
  </sheetViews>
  <sheetFormatPr defaultRowHeight="14.4" x14ac:dyDescent="0.3"/>
  <cols>
    <col min="1" max="4" width="8.88671875" style="1"/>
    <col min="5" max="7" width="12.21875" style="3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4">
        <v>137.16</v>
      </c>
      <c r="E3" s="5">
        <v>45771</v>
      </c>
      <c r="F3" s="5">
        <f ca="1">TODAY()</f>
        <v>45804</v>
      </c>
      <c r="G3" s="5">
        <v>45777</v>
      </c>
    </row>
    <row r="4" spans="2:7" x14ac:dyDescent="0.3">
      <c r="C4" s="1" t="s">
        <v>2</v>
      </c>
      <c r="D4" s="6">
        <v>790</v>
      </c>
      <c r="E4" s="3" t="s">
        <v>11</v>
      </c>
    </row>
    <row r="5" spans="2:7" x14ac:dyDescent="0.3">
      <c r="C5" s="1" t="s">
        <v>3</v>
      </c>
      <c r="D5" s="6">
        <f>D3*D4</f>
        <v>108356.4</v>
      </c>
    </row>
    <row r="6" spans="2:7" x14ac:dyDescent="0.3">
      <c r="C6" s="1" t="s">
        <v>4</v>
      </c>
      <c r="D6" s="6">
        <f>15003</f>
        <v>15003</v>
      </c>
      <c r="E6" s="3" t="s">
        <v>11</v>
      </c>
    </row>
    <row r="7" spans="2:7" x14ac:dyDescent="0.3">
      <c r="C7" s="1" t="s">
        <v>5</v>
      </c>
      <c r="D7" s="6">
        <f>3924+10355</f>
        <v>14279</v>
      </c>
      <c r="E7" s="3" t="s">
        <v>11</v>
      </c>
    </row>
    <row r="8" spans="2:7" x14ac:dyDescent="0.3">
      <c r="C8" s="1" t="s">
        <v>6</v>
      </c>
      <c r="D8" s="6">
        <f>D6-D7</f>
        <v>724</v>
      </c>
    </row>
    <row r="9" spans="2:7" x14ac:dyDescent="0.3">
      <c r="C9" s="1" t="s">
        <v>7</v>
      </c>
      <c r="D9" s="6">
        <f>D5-D8</f>
        <v>107632.4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6CCF-DE88-4637-A6DE-75C4B7BD6D1F}">
  <dimension ref="B2:EE35"/>
  <sheetViews>
    <sheetView tabSelected="1" workbookViewId="0">
      <pane xSplit="2" ySplit="2" topLeftCell="T10" activePane="bottomRight" state="frozen"/>
      <selection pane="topRight" activeCell="C1" sqref="C1"/>
      <selection pane="bottomLeft" activeCell="A3" sqref="A3"/>
      <selection pane="bottomRight" activeCell="Y35" sqref="Y35"/>
    </sheetView>
  </sheetViews>
  <sheetFormatPr defaultRowHeight="14.4" x14ac:dyDescent="0.3"/>
  <cols>
    <col min="1" max="1" width="8.88671875" style="1"/>
    <col min="2" max="2" width="20.77734375" style="1" bestFit="1" customWidth="1"/>
    <col min="3" max="23" width="8.88671875" style="1"/>
    <col min="24" max="24" width="12.33203125" style="1" customWidth="1"/>
    <col min="25" max="25" width="16.33203125" style="1" customWidth="1"/>
    <col min="26" max="16384" width="8.88671875" style="1"/>
  </cols>
  <sheetData>
    <row r="2" spans="2:21" x14ac:dyDescent="0.3">
      <c r="E2" s="1">
        <v>2019</v>
      </c>
      <c r="F2" s="1">
        <v>2020</v>
      </c>
      <c r="G2" s="1">
        <v>2021</v>
      </c>
      <c r="H2" s="1">
        <v>2022</v>
      </c>
      <c r="I2" s="1">
        <v>2023</v>
      </c>
      <c r="J2" s="1">
        <v>2024</v>
      </c>
      <c r="K2" s="1">
        <v>2025</v>
      </c>
      <c r="L2" s="1">
        <v>2026</v>
      </c>
      <c r="M2" s="1">
        <v>2027</v>
      </c>
      <c r="N2" s="1">
        <v>2028</v>
      </c>
      <c r="O2" s="1">
        <v>2029</v>
      </c>
      <c r="P2" s="1">
        <v>2030</v>
      </c>
      <c r="Q2" s="1">
        <v>2031</v>
      </c>
      <c r="R2" s="1">
        <v>2032</v>
      </c>
      <c r="S2" s="1">
        <v>2033</v>
      </c>
      <c r="T2" s="1">
        <v>2034</v>
      </c>
      <c r="U2" s="1">
        <v>2035</v>
      </c>
    </row>
    <row r="3" spans="2:21" s="2" customFormat="1" x14ac:dyDescent="0.3">
      <c r="B3" s="2" t="s">
        <v>12</v>
      </c>
      <c r="E3" s="8">
        <v>70478</v>
      </c>
      <c r="F3" s="8">
        <v>49912</v>
      </c>
      <c r="G3" s="8">
        <v>52149</v>
      </c>
      <c r="H3" s="8">
        <v>58763</v>
      </c>
      <c r="I3" s="8">
        <v>65446</v>
      </c>
      <c r="J3" s="8">
        <v>69230</v>
      </c>
      <c r="K3" s="8">
        <f>J3*1.04</f>
        <v>71999.199999999997</v>
      </c>
      <c r="L3" s="8">
        <f>K3*1.03</f>
        <v>74159.175999999992</v>
      </c>
      <c r="M3" s="8">
        <f>L3*1.02</f>
        <v>75642.359519999998</v>
      </c>
      <c r="N3" s="8">
        <f t="shared" ref="N3:U3" si="0">M3*1.02</f>
        <v>77155.206710400002</v>
      </c>
      <c r="O3" s="8">
        <f t="shared" si="0"/>
        <v>78698.310844608</v>
      </c>
      <c r="P3" s="8">
        <f t="shared" si="0"/>
        <v>80272.277061500165</v>
      </c>
      <c r="Q3" s="8">
        <f t="shared" si="0"/>
        <v>81877.722602730166</v>
      </c>
      <c r="R3" s="8">
        <f t="shared" si="0"/>
        <v>83515.277054784776</v>
      </c>
      <c r="S3" s="8">
        <f t="shared" si="0"/>
        <v>85185.582595880478</v>
      </c>
      <c r="T3" s="8">
        <f t="shared" si="0"/>
        <v>86889.294247798083</v>
      </c>
      <c r="U3" s="8">
        <f t="shared" si="0"/>
        <v>88627.080132754039</v>
      </c>
    </row>
    <row r="4" spans="2:21" x14ac:dyDescent="0.3">
      <c r="B4" s="1" t="s">
        <v>13</v>
      </c>
      <c r="E4" s="6">
        <v>59973</v>
      </c>
      <c r="F4" s="6">
        <v>44250</v>
      </c>
      <c r="G4" s="6">
        <v>42518</v>
      </c>
      <c r="H4" s="6">
        <v>48192</v>
      </c>
      <c r="I4" s="6">
        <v>55402</v>
      </c>
      <c r="J4" s="6">
        <v>58555</v>
      </c>
      <c r="K4" s="6">
        <f>K3-K5</f>
        <v>59759.335999999996</v>
      </c>
      <c r="L4" s="6">
        <f t="shared" ref="L4:U4" si="1">L3-L5</f>
        <v>61552.116079999993</v>
      </c>
      <c r="M4" s="6">
        <f t="shared" si="1"/>
        <v>62783.158401599998</v>
      </c>
      <c r="N4" s="6">
        <f t="shared" si="1"/>
        <v>64038.821569631997</v>
      </c>
      <c r="O4" s="6">
        <f t="shared" si="1"/>
        <v>65319.598001024642</v>
      </c>
      <c r="P4" s="6">
        <f t="shared" si="1"/>
        <v>66625.989961045139</v>
      </c>
      <c r="Q4" s="6">
        <f t="shared" si="1"/>
        <v>67958.509760266039</v>
      </c>
      <c r="R4" s="6">
        <f t="shared" si="1"/>
        <v>69317.679955471365</v>
      </c>
      <c r="S4" s="6">
        <f t="shared" si="1"/>
        <v>70704.03355458079</v>
      </c>
      <c r="T4" s="6">
        <f t="shared" si="1"/>
        <v>72118.114225672412</v>
      </c>
      <c r="U4" s="6">
        <f t="shared" si="1"/>
        <v>73560.47651018585</v>
      </c>
    </row>
    <row r="5" spans="2:21" s="2" customFormat="1" x14ac:dyDescent="0.3">
      <c r="B5" s="2" t="s">
        <v>14</v>
      </c>
      <c r="E5" s="8">
        <f t="shared" ref="E5:J5" si="2">E3-E4</f>
        <v>10505</v>
      </c>
      <c r="F5" s="8">
        <f t="shared" si="2"/>
        <v>5662</v>
      </c>
      <c r="G5" s="8">
        <f t="shared" si="2"/>
        <v>9631</v>
      </c>
      <c r="H5" s="8">
        <f t="shared" si="2"/>
        <v>10571</v>
      </c>
      <c r="I5" s="8">
        <f t="shared" si="2"/>
        <v>10044</v>
      </c>
      <c r="J5" s="8">
        <f t="shared" si="2"/>
        <v>10675</v>
      </c>
      <c r="K5" s="8">
        <f>K3*0.17</f>
        <v>12239.864</v>
      </c>
      <c r="L5" s="8">
        <f t="shared" ref="L5:U5" si="3">L3*0.17</f>
        <v>12607.05992</v>
      </c>
      <c r="M5" s="8">
        <f t="shared" si="3"/>
        <v>12859.2011184</v>
      </c>
      <c r="N5" s="8">
        <f t="shared" si="3"/>
        <v>13116.385140768001</v>
      </c>
      <c r="O5" s="8">
        <f t="shared" si="3"/>
        <v>13378.71284358336</v>
      </c>
      <c r="P5" s="8">
        <f t="shared" si="3"/>
        <v>13646.287100455029</v>
      </c>
      <c r="Q5" s="8">
        <f t="shared" si="3"/>
        <v>13919.212842464129</v>
      </c>
      <c r="R5" s="8">
        <f t="shared" si="3"/>
        <v>14197.597099313412</v>
      </c>
      <c r="S5" s="8">
        <f t="shared" si="3"/>
        <v>14481.549041299682</v>
      </c>
      <c r="T5" s="8">
        <f t="shared" si="3"/>
        <v>14771.180022125674</v>
      </c>
      <c r="U5" s="8">
        <f t="shared" si="3"/>
        <v>15066.603622568187</v>
      </c>
    </row>
    <row r="6" spans="2:21" x14ac:dyDescent="0.3">
      <c r="B6" s="1" t="s">
        <v>15</v>
      </c>
      <c r="E6" s="6">
        <v>908</v>
      </c>
      <c r="F6" s="6">
        <v>717</v>
      </c>
      <c r="G6" s="6">
        <v>713</v>
      </c>
      <c r="H6" s="6">
        <v>788</v>
      </c>
      <c r="I6" s="6">
        <v>867</v>
      </c>
      <c r="J6" s="6">
        <v>877</v>
      </c>
      <c r="K6" s="6">
        <f>K3*0.013</f>
        <v>935.98959999999988</v>
      </c>
      <c r="L6" s="6">
        <f t="shared" ref="L6:U6" si="4">L3*0.013</f>
        <v>964.0692879999998</v>
      </c>
      <c r="M6" s="6">
        <f t="shared" si="4"/>
        <v>983.35067375999995</v>
      </c>
      <c r="N6" s="6">
        <f t="shared" si="4"/>
        <v>1003.0176872352</v>
      </c>
      <c r="O6" s="6">
        <f t="shared" si="4"/>
        <v>1023.0780409799039</v>
      </c>
      <c r="P6" s="6">
        <f t="shared" si="4"/>
        <v>1043.5396017995022</v>
      </c>
      <c r="Q6" s="6">
        <f t="shared" si="4"/>
        <v>1064.4103938354922</v>
      </c>
      <c r="R6" s="6">
        <f t="shared" si="4"/>
        <v>1085.6986017122019</v>
      </c>
      <c r="S6" s="6">
        <f t="shared" si="4"/>
        <v>1107.4125737464462</v>
      </c>
      <c r="T6" s="6">
        <f t="shared" si="4"/>
        <v>1129.5608252213751</v>
      </c>
      <c r="U6" s="6">
        <f t="shared" si="4"/>
        <v>1152.1520417258025</v>
      </c>
    </row>
    <row r="7" spans="2:21" x14ac:dyDescent="0.3">
      <c r="B7" s="1" t="s">
        <v>16</v>
      </c>
      <c r="E7" s="6">
        <v>5217</v>
      </c>
      <c r="F7" s="6">
        <v>1423</v>
      </c>
      <c r="G7" s="6">
        <v>1339</v>
      </c>
      <c r="H7" s="6">
        <v>1452</v>
      </c>
      <c r="I7" s="6">
        <v>1654</v>
      </c>
      <c r="J7" s="6">
        <v>1744</v>
      </c>
      <c r="K7" s="6">
        <f>J7*1.04</f>
        <v>1813.76</v>
      </c>
      <c r="L7" s="6">
        <f>K7*1.03</f>
        <v>1868.1728000000001</v>
      </c>
      <c r="M7" s="6">
        <f>L7*1.02</f>
        <v>1905.5362560000001</v>
      </c>
      <c r="N7" s="6">
        <f t="shared" ref="N7:U7" si="5">M7*1.02</f>
        <v>1943.6469811200002</v>
      </c>
      <c r="O7" s="6">
        <f t="shared" si="5"/>
        <v>1982.5199207424002</v>
      </c>
      <c r="P7" s="6">
        <f t="shared" si="5"/>
        <v>2022.1703191572483</v>
      </c>
      <c r="Q7" s="6">
        <f t="shared" si="5"/>
        <v>2062.6137255403933</v>
      </c>
      <c r="R7" s="6">
        <f t="shared" si="5"/>
        <v>2103.8660000512014</v>
      </c>
      <c r="S7" s="6">
        <f t="shared" si="5"/>
        <v>2145.9433200522253</v>
      </c>
      <c r="T7" s="6">
        <f t="shared" si="5"/>
        <v>2188.8621864532697</v>
      </c>
      <c r="U7" s="6">
        <f t="shared" si="5"/>
        <v>2232.6394301823352</v>
      </c>
    </row>
    <row r="8" spans="2:21" x14ac:dyDescent="0.3">
      <c r="B8" s="1" t="s">
        <v>17</v>
      </c>
      <c r="E8" s="6">
        <v>3358</v>
      </c>
      <c r="F8" s="6">
        <v>2858</v>
      </c>
      <c r="G8" s="6">
        <v>2746</v>
      </c>
      <c r="H8" s="6">
        <v>3079</v>
      </c>
      <c r="I8" s="6">
        <v>3257</v>
      </c>
      <c r="J8" s="6">
        <v>3250</v>
      </c>
      <c r="K8" s="6">
        <f>J8*1.03</f>
        <v>3347.5</v>
      </c>
      <c r="L8" s="6">
        <f>K8*1.02</f>
        <v>3414.4500000000003</v>
      </c>
      <c r="M8" s="6">
        <f>L8*1.01</f>
        <v>3448.5945000000002</v>
      </c>
      <c r="N8" s="6">
        <f t="shared" ref="N8:U8" si="6">M8*1.01</f>
        <v>3483.0804450000001</v>
      </c>
      <c r="O8" s="6">
        <f t="shared" si="6"/>
        <v>3517.91124945</v>
      </c>
      <c r="P8" s="6">
        <f t="shared" si="6"/>
        <v>3553.0903619444998</v>
      </c>
      <c r="Q8" s="6">
        <f t="shared" si="6"/>
        <v>3588.6212655639447</v>
      </c>
      <c r="R8" s="6">
        <f t="shared" si="6"/>
        <v>3624.5074782195843</v>
      </c>
      <c r="S8" s="6">
        <f t="shared" si="6"/>
        <v>3660.7525530017801</v>
      </c>
      <c r="T8" s="6">
        <f t="shared" si="6"/>
        <v>3697.3600785317981</v>
      </c>
      <c r="U8" s="6">
        <f t="shared" si="6"/>
        <v>3734.3336793171161</v>
      </c>
    </row>
    <row r="9" spans="2:21" x14ac:dyDescent="0.3">
      <c r="B9" s="1" t="s">
        <v>24</v>
      </c>
      <c r="E9" s="6">
        <f t="shared" ref="E9:K9" si="7">SUM(E6:E8)</f>
        <v>9483</v>
      </c>
      <c r="F9" s="6">
        <f t="shared" si="7"/>
        <v>4998</v>
      </c>
      <c r="G9" s="6">
        <f t="shared" si="7"/>
        <v>4798</v>
      </c>
      <c r="H9" s="6">
        <f t="shared" si="7"/>
        <v>5319</v>
      </c>
      <c r="I9" s="6">
        <f t="shared" si="7"/>
        <v>5778</v>
      </c>
      <c r="J9" s="6">
        <f t="shared" si="7"/>
        <v>5871</v>
      </c>
      <c r="K9" s="6">
        <f t="shared" si="7"/>
        <v>6097.2496000000001</v>
      </c>
      <c r="L9" s="6">
        <f t="shared" ref="L9" si="8">SUM(L6:L8)</f>
        <v>6246.6920879999998</v>
      </c>
      <c r="M9" s="6">
        <f t="shared" ref="M9" si="9">SUM(M6:M8)</f>
        <v>6337.4814297600005</v>
      </c>
      <c r="N9" s="6">
        <f t="shared" ref="N9" si="10">SUM(N6:N8)</f>
        <v>6429.7451133552004</v>
      </c>
      <c r="O9" s="6">
        <f t="shared" ref="O9" si="11">SUM(O6:O8)</f>
        <v>6523.5092111723043</v>
      </c>
      <c r="P9" s="6">
        <f t="shared" ref="P9" si="12">SUM(P6:P8)</f>
        <v>6618.8002829012503</v>
      </c>
      <c r="Q9" s="6">
        <f t="shared" ref="Q9" si="13">SUM(Q6:Q8)</f>
        <v>6715.6453849398304</v>
      </c>
      <c r="R9" s="6">
        <f t="shared" ref="R9" si="14">SUM(R6:R8)</f>
        <v>6814.0720799829878</v>
      </c>
      <c r="S9" s="6">
        <f t="shared" ref="S9" si="15">SUM(S6:S8)</f>
        <v>6914.1084468004519</v>
      </c>
      <c r="T9" s="6">
        <f t="shared" ref="T9" si="16">SUM(T6:T8)</f>
        <v>7015.7830902064434</v>
      </c>
      <c r="U9" s="6">
        <f t="shared" ref="U9" si="17">SUM(U6:U8)</f>
        <v>7119.1251512252538</v>
      </c>
    </row>
    <row r="10" spans="2:21" s="2" customFormat="1" x14ac:dyDescent="0.3">
      <c r="B10" s="2" t="s">
        <v>26</v>
      </c>
      <c r="E10" s="8">
        <f t="shared" ref="E10:K10" si="18">E5-E9</f>
        <v>1022</v>
      </c>
      <c r="F10" s="8">
        <f t="shared" si="18"/>
        <v>664</v>
      </c>
      <c r="G10" s="8">
        <f t="shared" si="18"/>
        <v>4833</v>
      </c>
      <c r="H10" s="8">
        <f t="shared" si="18"/>
        <v>5252</v>
      </c>
      <c r="I10" s="8">
        <f t="shared" si="18"/>
        <v>4266</v>
      </c>
      <c r="J10" s="8">
        <f t="shared" si="18"/>
        <v>4804</v>
      </c>
      <c r="K10" s="8">
        <f t="shared" si="18"/>
        <v>6142.6143999999995</v>
      </c>
      <c r="L10" s="8">
        <f t="shared" ref="L10" si="19">L5-L9</f>
        <v>6360.3678319999999</v>
      </c>
      <c r="M10" s="8">
        <f t="shared" ref="M10" si="20">M5-M9</f>
        <v>6521.7196886399997</v>
      </c>
      <c r="N10" s="8">
        <f t="shared" ref="N10" si="21">N5-N9</f>
        <v>6686.6400274128009</v>
      </c>
      <c r="O10" s="8">
        <f t="shared" ref="O10" si="22">O5-O9</f>
        <v>6855.2036324110559</v>
      </c>
      <c r="P10" s="8">
        <f t="shared" ref="P10" si="23">P5-P9</f>
        <v>7027.4868175537786</v>
      </c>
      <c r="Q10" s="8">
        <f t="shared" ref="Q10" si="24">Q5-Q9</f>
        <v>7203.5674575242983</v>
      </c>
      <c r="R10" s="8">
        <f t="shared" ref="R10" si="25">R5-R9</f>
        <v>7383.5250193304246</v>
      </c>
      <c r="S10" s="8">
        <f t="shared" ref="S10" si="26">S5-S9</f>
        <v>7567.4405944992304</v>
      </c>
      <c r="T10" s="8">
        <f t="shared" ref="T10" si="27">T5-T9</f>
        <v>7755.3969319192311</v>
      </c>
      <c r="U10" s="8">
        <f t="shared" ref="U10" si="28">U5-U9</f>
        <v>7947.4784713429335</v>
      </c>
    </row>
    <row r="11" spans="2:21" x14ac:dyDescent="0.3">
      <c r="B11" s="1" t="s">
        <v>18</v>
      </c>
      <c r="E11" s="6">
        <v>-370</v>
      </c>
      <c r="F11" s="6">
        <v>-132</v>
      </c>
      <c r="G11" s="6">
        <v>-594</v>
      </c>
      <c r="H11" s="6">
        <v>-471</v>
      </c>
      <c r="I11" s="6">
        <v>-243</v>
      </c>
      <c r="J11" s="6">
        <v>-303</v>
      </c>
      <c r="K11" s="6">
        <f>J11*1.01</f>
        <v>-306.03000000000003</v>
      </c>
      <c r="L11" s="6">
        <f t="shared" ref="L11:U11" si="29">K11*1.01</f>
        <v>-309.09030000000001</v>
      </c>
      <c r="M11" s="6">
        <f t="shared" si="29"/>
        <v>-312.18120300000004</v>
      </c>
      <c r="N11" s="6">
        <f t="shared" si="29"/>
        <v>-315.30301503000004</v>
      </c>
      <c r="O11" s="6">
        <f t="shared" si="29"/>
        <v>-318.45604518030007</v>
      </c>
      <c r="P11" s="6">
        <f t="shared" si="29"/>
        <v>-321.64060563210307</v>
      </c>
      <c r="Q11" s="6">
        <f t="shared" si="29"/>
        <v>-324.85701168842411</v>
      </c>
      <c r="R11" s="6">
        <f t="shared" si="29"/>
        <v>-328.10558180530836</v>
      </c>
      <c r="S11" s="6">
        <f t="shared" si="29"/>
        <v>-331.38663762336142</v>
      </c>
      <c r="T11" s="6">
        <f t="shared" si="29"/>
        <v>-334.70050399959501</v>
      </c>
      <c r="U11" s="6">
        <f t="shared" si="29"/>
        <v>-338.04750903959098</v>
      </c>
    </row>
    <row r="12" spans="2:21" x14ac:dyDescent="0.3">
      <c r="B12" s="1" t="s">
        <v>19</v>
      </c>
      <c r="E12" s="6">
        <v>356</v>
      </c>
      <c r="F12" s="6">
        <v>1458</v>
      </c>
      <c r="G12" s="6">
        <v>201</v>
      </c>
      <c r="H12" s="6">
        <v>590</v>
      </c>
      <c r="I12" s="6">
        <v>209</v>
      </c>
      <c r="J12" s="6">
        <v>197</v>
      </c>
      <c r="K12" s="6">
        <f>J12*1.01</f>
        <v>198.97</v>
      </c>
      <c r="L12" s="6">
        <f t="shared" ref="L12:U12" si="30">K12*1.01</f>
        <v>200.9597</v>
      </c>
      <c r="M12" s="6">
        <f t="shared" si="30"/>
        <v>202.96929700000001</v>
      </c>
      <c r="N12" s="6">
        <f t="shared" si="30"/>
        <v>204.99898997000003</v>
      </c>
      <c r="O12" s="6">
        <f t="shared" si="30"/>
        <v>207.04897986970002</v>
      </c>
      <c r="P12" s="6">
        <f t="shared" si="30"/>
        <v>209.11946966839702</v>
      </c>
      <c r="Q12" s="6">
        <f t="shared" si="30"/>
        <v>211.21066436508099</v>
      </c>
      <c r="R12" s="6">
        <f t="shared" si="30"/>
        <v>213.32277100873179</v>
      </c>
      <c r="S12" s="6">
        <f t="shared" si="30"/>
        <v>215.4559987188191</v>
      </c>
      <c r="T12" s="6">
        <f t="shared" si="30"/>
        <v>217.61055870600728</v>
      </c>
      <c r="U12" s="6">
        <f t="shared" si="30"/>
        <v>219.78666429306736</v>
      </c>
    </row>
    <row r="13" spans="2:21" x14ac:dyDescent="0.3">
      <c r="B13" s="1" t="s">
        <v>20</v>
      </c>
      <c r="E13" s="6">
        <v>-299</v>
      </c>
      <c r="F13" s="6">
        <v>-39</v>
      </c>
      <c r="G13" s="6">
        <v>-40</v>
      </c>
      <c r="H13" s="6">
        <v>-134</v>
      </c>
      <c r="I13" s="6">
        <v>-267</v>
      </c>
      <c r="J13" s="6">
        <v>-350</v>
      </c>
      <c r="K13" s="6">
        <f>J13*1.01</f>
        <v>-353.5</v>
      </c>
      <c r="L13" s="6">
        <f t="shared" ref="L13:U13" si="31">K13*1.01</f>
        <v>-357.03500000000003</v>
      </c>
      <c r="M13" s="6">
        <f t="shared" si="31"/>
        <v>-360.60535000000004</v>
      </c>
      <c r="N13" s="6">
        <f t="shared" si="31"/>
        <v>-364.21140350000007</v>
      </c>
      <c r="O13" s="6">
        <f t="shared" si="31"/>
        <v>-367.85351753500009</v>
      </c>
      <c r="P13" s="6">
        <f t="shared" si="31"/>
        <v>-371.53205271035011</v>
      </c>
      <c r="Q13" s="6">
        <f t="shared" si="31"/>
        <v>-375.24737323745364</v>
      </c>
      <c r="R13" s="6">
        <f t="shared" si="31"/>
        <v>-378.99984696982818</v>
      </c>
      <c r="S13" s="6">
        <f t="shared" si="31"/>
        <v>-382.78984543952646</v>
      </c>
      <c r="T13" s="6">
        <f t="shared" si="31"/>
        <v>-386.61774389392173</v>
      </c>
      <c r="U13" s="6">
        <f t="shared" si="31"/>
        <v>-390.48392133286097</v>
      </c>
    </row>
    <row r="14" spans="2:21" x14ac:dyDescent="0.3">
      <c r="B14" s="1" t="s">
        <v>21</v>
      </c>
      <c r="E14" s="6">
        <v>-4</v>
      </c>
      <c r="F14" s="6">
        <v>-113</v>
      </c>
      <c r="G14" s="6">
        <v>-76</v>
      </c>
      <c r="H14" s="6">
        <v>-58</v>
      </c>
      <c r="I14" s="6">
        <v>-36</v>
      </c>
      <c r="J14" s="6">
        <v>-44</v>
      </c>
      <c r="K14" s="6">
        <f>J14*1.01</f>
        <v>-44.44</v>
      </c>
      <c r="L14" s="6">
        <f t="shared" ref="L14:U14" si="32">K14*1.01</f>
        <v>-44.884399999999999</v>
      </c>
      <c r="M14" s="6">
        <f t="shared" si="32"/>
        <v>-45.333244000000001</v>
      </c>
      <c r="N14" s="6">
        <f t="shared" si="32"/>
        <v>-45.786576439999997</v>
      </c>
      <c r="O14" s="6">
        <f t="shared" si="32"/>
        <v>-46.244442204399995</v>
      </c>
      <c r="P14" s="6">
        <f t="shared" si="32"/>
        <v>-46.706886626443996</v>
      </c>
      <c r="Q14" s="6">
        <f t="shared" si="32"/>
        <v>-47.173955492708437</v>
      </c>
      <c r="R14" s="6">
        <f t="shared" si="32"/>
        <v>-47.64569504763552</v>
      </c>
      <c r="S14" s="6">
        <f t="shared" si="32"/>
        <v>-48.122151998111875</v>
      </c>
      <c r="T14" s="6">
        <f t="shared" si="32"/>
        <v>-48.603373518092994</v>
      </c>
      <c r="U14" s="6">
        <f t="shared" si="32"/>
        <v>-49.089407253273926</v>
      </c>
    </row>
    <row r="15" spans="2:21" x14ac:dyDescent="0.3">
      <c r="B15" s="1" t="s">
        <v>22</v>
      </c>
      <c r="E15" s="6">
        <v>-228</v>
      </c>
      <c r="F15" s="6">
        <v>-140</v>
      </c>
      <c r="G15" s="6">
        <v>-88</v>
      </c>
      <c r="H15" s="6">
        <v>-180</v>
      </c>
      <c r="I15" s="6">
        <v>-728</v>
      </c>
      <c r="J15" s="6">
        <v>-802</v>
      </c>
      <c r="K15" s="6">
        <f>J15*1.01</f>
        <v>-810.02</v>
      </c>
      <c r="L15" s="6">
        <f t="shared" ref="L15:U15" si="33">K15*1.01</f>
        <v>-818.12019999999995</v>
      </c>
      <c r="M15" s="6">
        <f t="shared" si="33"/>
        <v>-826.30140199999994</v>
      </c>
      <c r="N15" s="6">
        <f t="shared" si="33"/>
        <v>-834.56441601999995</v>
      </c>
      <c r="O15" s="6">
        <f t="shared" si="33"/>
        <v>-842.91006018019993</v>
      </c>
      <c r="P15" s="6">
        <f t="shared" si="33"/>
        <v>-851.33916078200195</v>
      </c>
      <c r="Q15" s="6">
        <f t="shared" si="33"/>
        <v>-859.85255238982199</v>
      </c>
      <c r="R15" s="6">
        <f t="shared" si="33"/>
        <v>-868.45107791372027</v>
      </c>
      <c r="S15" s="6">
        <f t="shared" si="33"/>
        <v>-877.13558869285748</v>
      </c>
      <c r="T15" s="6">
        <f t="shared" si="33"/>
        <v>-885.90694457978611</v>
      </c>
      <c r="U15" s="6">
        <f t="shared" si="33"/>
        <v>-894.76601402558401</v>
      </c>
    </row>
    <row r="16" spans="2:21" x14ac:dyDescent="0.3">
      <c r="B16" s="1" t="s">
        <v>23</v>
      </c>
      <c r="E16" s="6">
        <v>339</v>
      </c>
      <c r="F16" s="6">
        <v>411</v>
      </c>
      <c r="G16" s="6">
        <v>334</v>
      </c>
      <c r="H16" s="6">
        <v>412</v>
      </c>
      <c r="I16" s="6">
        <v>753</v>
      </c>
      <c r="J16" s="6">
        <v>900</v>
      </c>
      <c r="K16" s="6">
        <f>J16*1.01</f>
        <v>909</v>
      </c>
      <c r="L16" s="6">
        <f t="shared" ref="L16:U16" si="34">K16*1.01</f>
        <v>918.09</v>
      </c>
      <c r="M16" s="6">
        <f t="shared" si="34"/>
        <v>927.2709000000001</v>
      </c>
      <c r="N16" s="6">
        <f t="shared" si="34"/>
        <v>936.54360900000006</v>
      </c>
      <c r="O16" s="6">
        <f t="shared" si="34"/>
        <v>945.90904509000006</v>
      </c>
      <c r="P16" s="6">
        <f t="shared" si="34"/>
        <v>955.36813554090008</v>
      </c>
      <c r="Q16" s="6">
        <f t="shared" si="34"/>
        <v>964.92181689630911</v>
      </c>
      <c r="R16" s="6">
        <f t="shared" si="34"/>
        <v>974.57103506527221</v>
      </c>
      <c r="S16" s="6">
        <f t="shared" si="34"/>
        <v>984.31674541592497</v>
      </c>
      <c r="T16" s="6">
        <f t="shared" si="34"/>
        <v>994.15991287008421</v>
      </c>
      <c r="U16" s="6">
        <f t="shared" si="34"/>
        <v>1004.1015119987851</v>
      </c>
    </row>
    <row r="17" spans="2:135" x14ac:dyDescent="0.3">
      <c r="B17" s="1" t="s">
        <v>32</v>
      </c>
      <c r="E17" s="6">
        <v>164</v>
      </c>
      <c r="F17" s="6">
        <v>349</v>
      </c>
      <c r="G17" s="6">
        <v>69</v>
      </c>
      <c r="H17" s="6">
        <v>18</v>
      </c>
      <c r="I17" s="6">
        <v>-191</v>
      </c>
      <c r="J17" s="6">
        <v>-219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</row>
    <row r="18" spans="2:135" x14ac:dyDescent="0.3">
      <c r="B18" s="1" t="s">
        <v>25</v>
      </c>
      <c r="E18" s="6">
        <f t="shared" ref="E18:K18" si="35">SUM(E11:E17)</f>
        <v>-42</v>
      </c>
      <c r="F18" s="6">
        <f t="shared" si="35"/>
        <v>1794</v>
      </c>
      <c r="G18" s="6">
        <f t="shared" si="35"/>
        <v>-194</v>
      </c>
      <c r="H18" s="6">
        <f t="shared" si="35"/>
        <v>177</v>
      </c>
      <c r="I18" s="6">
        <f t="shared" si="35"/>
        <v>-503</v>
      </c>
      <c r="J18" s="6">
        <f t="shared" si="35"/>
        <v>-621</v>
      </c>
      <c r="K18" s="6">
        <f t="shared" si="35"/>
        <v>-406.02</v>
      </c>
      <c r="L18" s="6">
        <f t="shared" ref="L18" si="36">SUM(L11:L17)</f>
        <v>-410.08019999999999</v>
      </c>
      <c r="M18" s="6">
        <f t="shared" ref="M18" si="37">SUM(M11:M17)</f>
        <v>-414.18100199999992</v>
      </c>
      <c r="N18" s="6">
        <f t="shared" ref="N18" si="38">SUM(N11:N17)</f>
        <v>-418.3228120199999</v>
      </c>
      <c r="O18" s="6">
        <f t="shared" ref="O18" si="39">SUM(O11:O17)</f>
        <v>-422.50604014019996</v>
      </c>
      <c r="P18" s="6">
        <f t="shared" ref="P18" si="40">SUM(P11:P17)</f>
        <v>-426.73110054160202</v>
      </c>
      <c r="Q18" s="6">
        <f t="shared" ref="Q18" si="41">SUM(Q11:Q17)</f>
        <v>-430.99841154701812</v>
      </c>
      <c r="R18" s="6">
        <f t="shared" ref="R18" si="42">SUM(R11:R17)</f>
        <v>-435.30839566248835</v>
      </c>
      <c r="S18" s="6">
        <f t="shared" ref="S18" si="43">SUM(S11:S17)</f>
        <v>-439.66147961911315</v>
      </c>
      <c r="T18" s="6">
        <f t="shared" ref="T18" si="44">SUM(T11:T17)</f>
        <v>-444.05809441530425</v>
      </c>
      <c r="U18" s="6">
        <f t="shared" ref="U18" si="45">SUM(U11:U17)</f>
        <v>-448.49867535945759</v>
      </c>
    </row>
    <row r="19" spans="2:135" s="2" customFormat="1" x14ac:dyDescent="0.3">
      <c r="B19" s="2" t="s">
        <v>27</v>
      </c>
      <c r="E19" s="8">
        <f t="shared" ref="E19:K19" si="46">E10-E18</f>
        <v>1064</v>
      </c>
      <c r="F19" s="8">
        <f t="shared" si="46"/>
        <v>-1130</v>
      </c>
      <c r="G19" s="8">
        <f t="shared" si="46"/>
        <v>5027</v>
      </c>
      <c r="H19" s="8">
        <f t="shared" si="46"/>
        <v>5075</v>
      </c>
      <c r="I19" s="8">
        <f t="shared" si="46"/>
        <v>4769</v>
      </c>
      <c r="J19" s="8">
        <f t="shared" si="46"/>
        <v>5425</v>
      </c>
      <c r="K19" s="8">
        <f t="shared" si="46"/>
        <v>6548.634399999999</v>
      </c>
      <c r="L19" s="8">
        <f t="shared" ref="L19" si="47">L10-L18</f>
        <v>6770.4480320000002</v>
      </c>
      <c r="M19" s="8">
        <f t="shared" ref="M19" si="48">M10-M18</f>
        <v>6935.90069064</v>
      </c>
      <c r="N19" s="8">
        <f t="shared" ref="N19" si="49">N10-N18</f>
        <v>7104.962839432801</v>
      </c>
      <c r="O19" s="8">
        <f t="shared" ref="O19" si="50">O10-O18</f>
        <v>7277.7096725512556</v>
      </c>
      <c r="P19" s="8">
        <f t="shared" ref="P19" si="51">P10-P18</f>
        <v>7454.2179180953808</v>
      </c>
      <c r="Q19" s="8">
        <f t="shared" ref="Q19" si="52">Q10-Q18</f>
        <v>7634.5658690713162</v>
      </c>
      <c r="R19" s="8">
        <f t="shared" ref="R19" si="53">R10-R18</f>
        <v>7818.8334149929133</v>
      </c>
      <c r="S19" s="8">
        <f t="shared" ref="S19" si="54">S10-S18</f>
        <v>8007.1020741183438</v>
      </c>
      <c r="T19" s="8">
        <f t="shared" ref="T19" si="55">T10-T18</f>
        <v>8199.4550263345354</v>
      </c>
      <c r="U19" s="8">
        <f t="shared" ref="U19" si="56">U10-U18</f>
        <v>8395.9771467023911</v>
      </c>
    </row>
    <row r="20" spans="2:135" x14ac:dyDescent="0.3">
      <c r="B20" s="1" t="s">
        <v>28</v>
      </c>
      <c r="E20" s="6">
        <v>2389</v>
      </c>
      <c r="F20" s="6">
        <v>39</v>
      </c>
      <c r="G20" s="6">
        <v>853</v>
      </c>
      <c r="H20" s="6">
        <v>939</v>
      </c>
      <c r="I20" s="6">
        <v>1156</v>
      </c>
      <c r="J20" s="6">
        <v>1347</v>
      </c>
      <c r="K20" s="6">
        <f>K19*0.23</f>
        <v>1506.1859119999999</v>
      </c>
      <c r="L20" s="6">
        <f t="shared" ref="L20:U20" si="57">L19*0.23</f>
        <v>1557.20304736</v>
      </c>
      <c r="M20" s="6">
        <f t="shared" si="57"/>
        <v>1595.2571588472001</v>
      </c>
      <c r="N20" s="6">
        <f t="shared" si="57"/>
        <v>1634.1414530695442</v>
      </c>
      <c r="O20" s="6">
        <f t="shared" si="57"/>
        <v>1673.8732246867889</v>
      </c>
      <c r="P20" s="6">
        <f t="shared" si="57"/>
        <v>1714.4701211619376</v>
      </c>
      <c r="Q20" s="6">
        <f t="shared" si="57"/>
        <v>1755.9501498864029</v>
      </c>
      <c r="R20" s="6">
        <f t="shared" si="57"/>
        <v>1798.3316854483701</v>
      </c>
      <c r="S20" s="6">
        <f t="shared" si="57"/>
        <v>1841.6334770472192</v>
      </c>
      <c r="T20" s="6">
        <f t="shared" si="57"/>
        <v>1885.8746560569432</v>
      </c>
      <c r="U20" s="6">
        <f t="shared" si="57"/>
        <v>1931.07474374155</v>
      </c>
    </row>
    <row r="21" spans="2:135" x14ac:dyDescent="0.3">
      <c r="B21" s="1" t="s">
        <v>29</v>
      </c>
      <c r="E21" s="6">
        <v>37</v>
      </c>
      <c r="F21" s="6">
        <v>-36</v>
      </c>
      <c r="G21" s="6">
        <v>-39</v>
      </c>
      <c r="H21" s="6">
        <v>-111</v>
      </c>
      <c r="I21" s="6">
        <v>-176</v>
      </c>
      <c r="J21" s="6">
        <v>-154</v>
      </c>
      <c r="K21" s="6">
        <f>-K19*0.03</f>
        <v>-196.45903199999995</v>
      </c>
      <c r="L21" s="6">
        <f t="shared" ref="L21:U21" si="58">-L19*0.03</f>
        <v>-203.11344095999999</v>
      </c>
      <c r="M21" s="6">
        <f t="shared" si="58"/>
        <v>-208.07702071919999</v>
      </c>
      <c r="N21" s="6">
        <f t="shared" si="58"/>
        <v>-213.14888518298403</v>
      </c>
      <c r="O21" s="6">
        <f t="shared" si="58"/>
        <v>-218.33129017653766</v>
      </c>
      <c r="P21" s="6">
        <f t="shared" si="58"/>
        <v>-223.62653754286143</v>
      </c>
      <c r="Q21" s="6">
        <f t="shared" si="58"/>
        <v>-229.03697607213948</v>
      </c>
      <c r="R21" s="6">
        <f t="shared" si="58"/>
        <v>-234.56500244978739</v>
      </c>
      <c r="S21" s="6">
        <f t="shared" si="58"/>
        <v>-240.21306222355031</v>
      </c>
      <c r="T21" s="6">
        <f t="shared" si="58"/>
        <v>-245.98365079003605</v>
      </c>
      <c r="U21" s="6">
        <f t="shared" si="58"/>
        <v>-251.87931440107172</v>
      </c>
    </row>
    <row r="22" spans="2:135" s="2" customFormat="1" x14ac:dyDescent="0.3">
      <c r="B22" s="2" t="s">
        <v>30</v>
      </c>
      <c r="E22" s="8">
        <f t="shared" ref="E22:K22" si="59">E19-E20-E21</f>
        <v>-1362</v>
      </c>
      <c r="F22" s="8">
        <f t="shared" si="59"/>
        <v>-1133</v>
      </c>
      <c r="G22" s="8">
        <f t="shared" si="59"/>
        <v>4213</v>
      </c>
      <c r="H22" s="8">
        <f t="shared" si="59"/>
        <v>4247</v>
      </c>
      <c r="I22" s="8">
        <f t="shared" si="59"/>
        <v>3789</v>
      </c>
      <c r="J22" s="8">
        <f t="shared" si="59"/>
        <v>4232</v>
      </c>
      <c r="K22" s="8">
        <f t="shared" si="59"/>
        <v>5238.9075199999988</v>
      </c>
      <c r="L22" s="8">
        <f t="shared" ref="L22" si="60">L19-L20-L21</f>
        <v>5416.3584256000004</v>
      </c>
      <c r="M22" s="8">
        <f t="shared" ref="M22" si="61">M19-M20-M21</f>
        <v>5548.7205525119998</v>
      </c>
      <c r="N22" s="8">
        <f t="shared" ref="N22" si="62">N19-N20-N21</f>
        <v>5683.9702715462408</v>
      </c>
      <c r="O22" s="8">
        <f t="shared" ref="O22" si="63">O19-O20-O21</f>
        <v>5822.1677380410047</v>
      </c>
      <c r="P22" s="8">
        <f t="shared" ref="P22" si="64">P19-P20-P21</f>
        <v>5963.3743344763043</v>
      </c>
      <c r="Q22" s="8">
        <f t="shared" ref="Q22" si="65">Q19-Q20-Q21</f>
        <v>6107.652695257053</v>
      </c>
      <c r="R22" s="8">
        <f t="shared" ref="R22" si="66">R19-R20-R21</f>
        <v>6255.0667319943304</v>
      </c>
      <c r="S22" s="8">
        <f t="shared" ref="S22" si="67">S19-S20-S21</f>
        <v>6405.6816592946743</v>
      </c>
      <c r="T22" s="8">
        <f t="shared" ref="T22" si="68">T19-T20-T21</f>
        <v>6559.5640210676283</v>
      </c>
      <c r="U22" s="8">
        <f t="shared" ref="U22" si="69">U19-U20-U21</f>
        <v>6716.7817173619123</v>
      </c>
      <c r="V22" s="2">
        <f>U22*(1+$Y$27)</f>
        <v>6649.613900188293</v>
      </c>
      <c r="W22" s="2">
        <f t="shared" ref="W22:CH22" si="70">V22*(1+$Y$27)</f>
        <v>6583.1177611864096</v>
      </c>
      <c r="X22" s="2">
        <f t="shared" si="70"/>
        <v>6517.2865835745451</v>
      </c>
      <c r="Y22" s="2">
        <f t="shared" si="70"/>
        <v>6452.1137177388</v>
      </c>
      <c r="Z22" s="2">
        <f t="shared" si="70"/>
        <v>6387.5925805614115</v>
      </c>
      <c r="AA22" s="2">
        <f t="shared" si="70"/>
        <v>6323.7166547557972</v>
      </c>
      <c r="AB22" s="2">
        <f t="shared" si="70"/>
        <v>6260.4794882082388</v>
      </c>
      <c r="AC22" s="2">
        <f t="shared" si="70"/>
        <v>6197.8746933261564</v>
      </c>
      <c r="AD22" s="2">
        <f t="shared" si="70"/>
        <v>6135.895946392895</v>
      </c>
      <c r="AE22" s="2">
        <f t="shared" si="70"/>
        <v>6074.5369869289661</v>
      </c>
      <c r="AF22" s="2">
        <f t="shared" si="70"/>
        <v>6013.7916170596764</v>
      </c>
      <c r="AG22" s="2">
        <f t="shared" si="70"/>
        <v>5953.6537008890791</v>
      </c>
      <c r="AH22" s="2">
        <f t="shared" si="70"/>
        <v>5894.1171638801879</v>
      </c>
      <c r="AI22" s="2">
        <f t="shared" si="70"/>
        <v>5835.1759922413858</v>
      </c>
      <c r="AJ22" s="2">
        <f t="shared" si="70"/>
        <v>5776.8242323189716</v>
      </c>
      <c r="AK22" s="2">
        <f t="shared" si="70"/>
        <v>5719.0559899957816</v>
      </c>
      <c r="AL22" s="2">
        <f t="shared" si="70"/>
        <v>5661.8654300958233</v>
      </c>
      <c r="AM22" s="2">
        <f t="shared" si="70"/>
        <v>5605.2467757948652</v>
      </c>
      <c r="AN22" s="2">
        <f t="shared" si="70"/>
        <v>5549.1943080369165</v>
      </c>
      <c r="AO22" s="2">
        <f t="shared" si="70"/>
        <v>5493.7023649565472</v>
      </c>
      <c r="AP22" s="2">
        <f t="shared" si="70"/>
        <v>5438.765341306982</v>
      </c>
      <c r="AQ22" s="2">
        <f t="shared" si="70"/>
        <v>5384.3776878939125</v>
      </c>
      <c r="AR22" s="2">
        <f t="shared" si="70"/>
        <v>5330.5339110149735</v>
      </c>
      <c r="AS22" s="2">
        <f t="shared" si="70"/>
        <v>5277.2285719048241</v>
      </c>
      <c r="AT22" s="2">
        <f t="shared" si="70"/>
        <v>5224.4562861857758</v>
      </c>
      <c r="AU22" s="2">
        <f t="shared" si="70"/>
        <v>5172.2117233239178</v>
      </c>
      <c r="AV22" s="2">
        <f t="shared" si="70"/>
        <v>5120.4896060906785</v>
      </c>
      <c r="AW22" s="2">
        <f t="shared" si="70"/>
        <v>5069.2847100297713</v>
      </c>
      <c r="AX22" s="2">
        <f t="shared" si="70"/>
        <v>5018.5918629294738</v>
      </c>
      <c r="AY22" s="2">
        <f t="shared" si="70"/>
        <v>4968.4059443001788</v>
      </c>
      <c r="AZ22" s="2">
        <f t="shared" si="70"/>
        <v>4918.7218848571774</v>
      </c>
      <c r="BA22" s="2">
        <f t="shared" si="70"/>
        <v>4869.5346660086052</v>
      </c>
      <c r="BB22" s="2">
        <f t="shared" si="70"/>
        <v>4820.839319348519</v>
      </c>
      <c r="BC22" s="2">
        <f t="shared" si="70"/>
        <v>4772.6309261550341</v>
      </c>
      <c r="BD22" s="2">
        <f t="shared" si="70"/>
        <v>4724.9046168934838</v>
      </c>
      <c r="BE22" s="2">
        <f t="shared" si="70"/>
        <v>4677.6555707245489</v>
      </c>
      <c r="BF22" s="2">
        <f t="shared" si="70"/>
        <v>4630.8790150173036</v>
      </c>
      <c r="BG22" s="2">
        <f t="shared" si="70"/>
        <v>4584.5702248671305</v>
      </c>
      <c r="BH22" s="2">
        <f t="shared" si="70"/>
        <v>4538.7245226184596</v>
      </c>
      <c r="BI22" s="2">
        <f t="shared" si="70"/>
        <v>4493.3372773922747</v>
      </c>
      <c r="BJ22" s="2">
        <f t="shared" si="70"/>
        <v>4448.4039046183516</v>
      </c>
      <c r="BK22" s="2">
        <f t="shared" si="70"/>
        <v>4403.9198655721684</v>
      </c>
      <c r="BL22" s="2">
        <f t="shared" si="70"/>
        <v>4359.8806669164469</v>
      </c>
      <c r="BM22" s="2">
        <f t="shared" si="70"/>
        <v>4316.2818602472826</v>
      </c>
      <c r="BN22" s="2">
        <f t="shared" si="70"/>
        <v>4273.1190416448098</v>
      </c>
      <c r="BO22" s="2">
        <f t="shared" si="70"/>
        <v>4230.3878512283618</v>
      </c>
      <c r="BP22" s="2">
        <f t="shared" si="70"/>
        <v>4188.0839727160783</v>
      </c>
      <c r="BQ22" s="2">
        <f t="shared" si="70"/>
        <v>4146.2031329889178</v>
      </c>
      <c r="BR22" s="2">
        <f t="shared" si="70"/>
        <v>4104.7411016590286</v>
      </c>
      <c r="BS22" s="2">
        <f t="shared" si="70"/>
        <v>4063.6936906424385</v>
      </c>
      <c r="BT22" s="2">
        <f t="shared" si="70"/>
        <v>4023.0567537360139</v>
      </c>
      <c r="BU22" s="2">
        <f t="shared" si="70"/>
        <v>3982.8261861986539</v>
      </c>
      <c r="BV22" s="2">
        <f t="shared" si="70"/>
        <v>3942.9979243366674</v>
      </c>
      <c r="BW22" s="2">
        <f t="shared" si="70"/>
        <v>3903.5679450933008</v>
      </c>
      <c r="BX22" s="2">
        <f t="shared" si="70"/>
        <v>3864.5322656423677</v>
      </c>
      <c r="BY22" s="2">
        <f t="shared" si="70"/>
        <v>3825.8869429859442</v>
      </c>
      <c r="BZ22" s="2">
        <f t="shared" si="70"/>
        <v>3787.6280735560849</v>
      </c>
      <c r="CA22" s="2">
        <f t="shared" si="70"/>
        <v>3749.7517928205239</v>
      </c>
      <c r="CB22" s="2">
        <f t="shared" si="70"/>
        <v>3712.2542748923188</v>
      </c>
      <c r="CC22" s="2">
        <f t="shared" si="70"/>
        <v>3675.1317321433958</v>
      </c>
      <c r="CD22" s="2">
        <f t="shared" si="70"/>
        <v>3638.3804148219619</v>
      </c>
      <c r="CE22" s="2">
        <f t="shared" si="70"/>
        <v>3601.9966106737425</v>
      </c>
      <c r="CF22" s="2">
        <f t="shared" si="70"/>
        <v>3565.9766445670048</v>
      </c>
      <c r="CG22" s="2">
        <f t="shared" si="70"/>
        <v>3530.3168781213349</v>
      </c>
      <c r="CH22" s="2">
        <f t="shared" si="70"/>
        <v>3495.0137093401213</v>
      </c>
      <c r="CI22" s="2">
        <f t="shared" ref="CI22:EE22" si="71">CH22*(1+$Y$27)</f>
        <v>3460.06357224672</v>
      </c>
      <c r="CJ22" s="2">
        <f t="shared" si="71"/>
        <v>3425.4629365242527</v>
      </c>
      <c r="CK22" s="2">
        <f t="shared" si="71"/>
        <v>3391.20830715901</v>
      </c>
      <c r="CL22" s="2">
        <f t="shared" si="71"/>
        <v>3357.2962240874199</v>
      </c>
      <c r="CM22" s="2">
        <f t="shared" si="71"/>
        <v>3323.7232618465455</v>
      </c>
      <c r="CN22" s="2">
        <f t="shared" si="71"/>
        <v>3290.48602922808</v>
      </c>
      <c r="CO22" s="2">
        <f t="shared" si="71"/>
        <v>3257.5811689357993</v>
      </c>
      <c r="CP22" s="2">
        <f t="shared" si="71"/>
        <v>3225.0053572464412</v>
      </c>
      <c r="CQ22" s="2">
        <f t="shared" si="71"/>
        <v>3192.7553036739769</v>
      </c>
      <c r="CR22" s="2">
        <f t="shared" si="71"/>
        <v>3160.8277506372369</v>
      </c>
      <c r="CS22" s="2">
        <f t="shared" si="71"/>
        <v>3129.2194731308646</v>
      </c>
      <c r="CT22" s="2">
        <f t="shared" si="71"/>
        <v>3097.9272783995557</v>
      </c>
      <c r="CU22" s="2">
        <f t="shared" si="71"/>
        <v>3066.9480056155603</v>
      </c>
      <c r="CV22" s="2">
        <f t="shared" si="71"/>
        <v>3036.2785255594049</v>
      </c>
      <c r="CW22" s="2">
        <f t="shared" si="71"/>
        <v>3005.9157403038107</v>
      </c>
      <c r="CX22" s="2">
        <f t="shared" si="71"/>
        <v>2975.8565829007725</v>
      </c>
      <c r="CY22" s="2">
        <f t="shared" si="71"/>
        <v>2946.0980170717648</v>
      </c>
      <c r="CZ22" s="2">
        <f t="shared" si="71"/>
        <v>2916.6370369010474</v>
      </c>
      <c r="DA22" s="2">
        <f t="shared" si="71"/>
        <v>2887.4706665320368</v>
      </c>
      <c r="DB22" s="2">
        <f t="shared" si="71"/>
        <v>2858.5959598667164</v>
      </c>
      <c r="DC22" s="2">
        <f t="shared" si="71"/>
        <v>2830.0100002680492</v>
      </c>
      <c r="DD22" s="2">
        <f t="shared" si="71"/>
        <v>2801.7099002653686</v>
      </c>
      <c r="DE22" s="2">
        <f t="shared" si="71"/>
        <v>2773.692801262715</v>
      </c>
      <c r="DF22" s="2">
        <f t="shared" si="71"/>
        <v>2745.9558732500877</v>
      </c>
      <c r="DG22" s="2">
        <f t="shared" si="71"/>
        <v>2718.4963145175871</v>
      </c>
      <c r="DH22" s="2">
        <f t="shared" si="71"/>
        <v>2691.3113513724111</v>
      </c>
      <c r="DI22" s="2">
        <f t="shared" si="71"/>
        <v>2664.398237858687</v>
      </c>
      <c r="DJ22" s="2">
        <f t="shared" si="71"/>
        <v>2637.7542554801003</v>
      </c>
      <c r="DK22" s="2">
        <f t="shared" si="71"/>
        <v>2611.3767129252992</v>
      </c>
      <c r="DL22" s="2">
        <f t="shared" si="71"/>
        <v>2585.2629457960461</v>
      </c>
      <c r="DM22" s="2">
        <f t="shared" si="71"/>
        <v>2559.4103163380855</v>
      </c>
      <c r="DN22" s="2">
        <f t="shared" si="71"/>
        <v>2533.8162131747044</v>
      </c>
      <c r="DO22" s="2">
        <f t="shared" si="71"/>
        <v>2508.4780510429573</v>
      </c>
      <c r="DP22" s="2">
        <f t="shared" si="71"/>
        <v>2483.3932705325278</v>
      </c>
      <c r="DQ22" s="2">
        <f t="shared" si="71"/>
        <v>2458.5593378272024</v>
      </c>
      <c r="DR22" s="2">
        <f t="shared" si="71"/>
        <v>2433.9737444489306</v>
      </c>
      <c r="DS22" s="2">
        <f t="shared" si="71"/>
        <v>2409.6340070044412</v>
      </c>
      <c r="DT22" s="2">
        <f t="shared" si="71"/>
        <v>2385.5376669343968</v>
      </c>
      <c r="DU22" s="2">
        <f t="shared" si="71"/>
        <v>2361.6822902650529</v>
      </c>
      <c r="DV22" s="2">
        <f t="shared" si="71"/>
        <v>2338.0654673624022</v>
      </c>
      <c r="DW22" s="2">
        <f t="shared" si="71"/>
        <v>2314.684812688778</v>
      </c>
      <c r="DX22" s="2">
        <f t="shared" si="71"/>
        <v>2291.53796456189</v>
      </c>
      <c r="DY22" s="2">
        <f t="shared" si="71"/>
        <v>2268.6225849162711</v>
      </c>
      <c r="DZ22" s="2">
        <f t="shared" si="71"/>
        <v>2245.9363590671082</v>
      </c>
      <c r="EA22" s="2">
        <f t="shared" si="71"/>
        <v>2223.476995476437</v>
      </c>
      <c r="EB22" s="2">
        <f t="shared" si="71"/>
        <v>2201.2422255216725</v>
      </c>
      <c r="EC22" s="2">
        <f t="shared" si="71"/>
        <v>2179.2298032664557</v>
      </c>
      <c r="ED22" s="2">
        <f t="shared" si="71"/>
        <v>2157.4375052337909</v>
      </c>
      <c r="EE22" s="2">
        <f t="shared" si="71"/>
        <v>2135.863130181453</v>
      </c>
    </row>
    <row r="23" spans="2:135" x14ac:dyDescent="0.3">
      <c r="B23" s="1" t="s">
        <v>2</v>
      </c>
      <c r="E23" s="6">
        <v>790</v>
      </c>
      <c r="F23" s="6">
        <v>790</v>
      </c>
      <c r="G23" s="6">
        <v>790</v>
      </c>
      <c r="H23" s="6">
        <v>790</v>
      </c>
      <c r="I23" s="6">
        <v>790</v>
      </c>
      <c r="J23" s="6">
        <v>790</v>
      </c>
      <c r="K23" s="6">
        <v>790</v>
      </c>
      <c r="L23" s="6">
        <v>790</v>
      </c>
      <c r="M23" s="6">
        <v>790</v>
      </c>
      <c r="N23" s="6">
        <v>790</v>
      </c>
      <c r="O23" s="6">
        <v>790</v>
      </c>
      <c r="P23" s="6">
        <v>790</v>
      </c>
      <c r="Q23" s="6">
        <v>790</v>
      </c>
      <c r="R23" s="6">
        <v>790</v>
      </c>
      <c r="S23" s="6">
        <v>790</v>
      </c>
      <c r="T23" s="6">
        <v>790</v>
      </c>
      <c r="U23" s="6">
        <v>790</v>
      </c>
    </row>
    <row r="24" spans="2:135" x14ac:dyDescent="0.3">
      <c r="B24" s="1" t="s">
        <v>31</v>
      </c>
      <c r="E24" s="7">
        <f t="shared" ref="E24:K24" si="72">E22/E23</f>
        <v>-1.7240506329113925</v>
      </c>
      <c r="F24" s="7">
        <f t="shared" si="72"/>
        <v>-1.4341772151898735</v>
      </c>
      <c r="G24" s="7">
        <f t="shared" si="72"/>
        <v>5.3329113924050633</v>
      </c>
      <c r="H24" s="7">
        <f t="shared" si="72"/>
        <v>5.3759493670886078</v>
      </c>
      <c r="I24" s="7">
        <f t="shared" si="72"/>
        <v>4.7962025316455694</v>
      </c>
      <c r="J24" s="7">
        <f t="shared" si="72"/>
        <v>5.3569620253164558</v>
      </c>
      <c r="K24" s="7">
        <f t="shared" si="72"/>
        <v>6.6315285063291123</v>
      </c>
      <c r="L24" s="7">
        <f t="shared" ref="L24" si="73">L22/L23</f>
        <v>6.8561499058227851</v>
      </c>
      <c r="M24" s="7">
        <f t="shared" ref="M24" si="74">M22/M23</f>
        <v>7.0236969019139242</v>
      </c>
      <c r="N24" s="7">
        <f t="shared" ref="N24" si="75">N22/N23</f>
        <v>7.1948990779066344</v>
      </c>
      <c r="O24" s="7">
        <f t="shared" ref="O24" si="76">O22/O23</f>
        <v>7.3698325797987403</v>
      </c>
      <c r="P24" s="7">
        <f t="shared" ref="P24" si="77">P22/P23</f>
        <v>7.5485751069320308</v>
      </c>
      <c r="Q24" s="7">
        <f t="shared" ref="Q24" si="78">Q22/Q23</f>
        <v>7.7312059433633582</v>
      </c>
      <c r="R24" s="7">
        <f t="shared" ref="R24" si="79">R22/R23</f>
        <v>7.917805989866241</v>
      </c>
      <c r="S24" s="7">
        <f t="shared" ref="S24" si="80">S22/S23</f>
        <v>8.1084577965755376</v>
      </c>
      <c r="T24" s="7">
        <f t="shared" ref="T24" si="81">T22/T23</f>
        <v>8.3032455962881375</v>
      </c>
      <c r="U24" s="7">
        <f t="shared" ref="U24" si="82">U22/U23</f>
        <v>8.5022553384327999</v>
      </c>
    </row>
    <row r="26" spans="2:135" x14ac:dyDescent="0.3">
      <c r="B26" s="1" t="s">
        <v>33</v>
      </c>
      <c r="E26" s="9"/>
      <c r="F26" s="9">
        <f t="shared" ref="F26:I26" si="83">F3/E3-1</f>
        <v>-0.29180737251340849</v>
      </c>
      <c r="G26" s="9">
        <f t="shared" si="83"/>
        <v>4.4818881230966445E-2</v>
      </c>
      <c r="H26" s="9">
        <f t="shared" si="83"/>
        <v>0.12682889413028064</v>
      </c>
      <c r="I26" s="9">
        <f t="shared" si="83"/>
        <v>0.11372802613889688</v>
      </c>
      <c r="J26" s="9">
        <f>J3/I3-1</f>
        <v>5.7818659658344318E-2</v>
      </c>
      <c r="K26" s="9">
        <f t="shared" ref="K26:U26" si="84">K3/J3-1</f>
        <v>4.0000000000000036E-2</v>
      </c>
      <c r="L26" s="9">
        <f t="shared" si="84"/>
        <v>3.0000000000000027E-2</v>
      </c>
      <c r="M26" s="9">
        <f t="shared" si="84"/>
        <v>2.0000000000000018E-2</v>
      </c>
      <c r="N26" s="9">
        <f t="shared" si="84"/>
        <v>2.0000000000000018E-2</v>
      </c>
      <c r="O26" s="9">
        <f t="shared" si="84"/>
        <v>2.0000000000000018E-2</v>
      </c>
      <c r="P26" s="9">
        <f t="shared" si="84"/>
        <v>2.0000000000000018E-2</v>
      </c>
      <c r="Q26" s="9">
        <f t="shared" si="84"/>
        <v>2.0000000000000018E-2</v>
      </c>
      <c r="R26" s="9">
        <f t="shared" si="84"/>
        <v>2.0000000000000018E-2</v>
      </c>
      <c r="S26" s="9">
        <f t="shared" si="84"/>
        <v>2.0000000000000018E-2</v>
      </c>
      <c r="T26" s="9">
        <f t="shared" si="84"/>
        <v>2.0000000000000018E-2</v>
      </c>
      <c r="U26" s="9">
        <f t="shared" si="84"/>
        <v>2.0000000000000018E-2</v>
      </c>
    </row>
    <row r="27" spans="2:135" x14ac:dyDescent="0.3">
      <c r="B27" s="1" t="s">
        <v>34</v>
      </c>
      <c r="E27" s="9">
        <f t="shared" ref="E27:I27" si="85">E5/E3</f>
        <v>0.14905360538040238</v>
      </c>
      <c r="F27" s="9">
        <f t="shared" si="85"/>
        <v>0.11343965379067159</v>
      </c>
      <c r="G27" s="9">
        <f t="shared" si="85"/>
        <v>0.18468235248998063</v>
      </c>
      <c r="H27" s="9">
        <f t="shared" si="85"/>
        <v>0.17989210898014057</v>
      </c>
      <c r="I27" s="9">
        <f t="shared" si="85"/>
        <v>0.15347003636585888</v>
      </c>
      <c r="J27" s="9">
        <f>J5/J3</f>
        <v>0.15419615773508594</v>
      </c>
      <c r="K27" s="9">
        <f t="shared" ref="K27:U27" si="86">K5/K3</f>
        <v>0.17</v>
      </c>
      <c r="L27" s="9">
        <f t="shared" si="86"/>
        <v>0.17</v>
      </c>
      <c r="M27" s="9">
        <f t="shared" si="86"/>
        <v>0.17</v>
      </c>
      <c r="N27" s="9">
        <f t="shared" si="86"/>
        <v>0.17</v>
      </c>
      <c r="O27" s="9">
        <f t="shared" si="86"/>
        <v>0.17</v>
      </c>
      <c r="P27" s="9">
        <f t="shared" si="86"/>
        <v>0.17</v>
      </c>
      <c r="Q27" s="9">
        <f t="shared" si="86"/>
        <v>0.17</v>
      </c>
      <c r="R27" s="9">
        <f t="shared" si="86"/>
        <v>0.17</v>
      </c>
      <c r="S27" s="9">
        <f t="shared" si="86"/>
        <v>0.17</v>
      </c>
      <c r="T27" s="9">
        <f t="shared" si="86"/>
        <v>0.17</v>
      </c>
      <c r="U27" s="9">
        <f t="shared" si="86"/>
        <v>0.17</v>
      </c>
      <c r="X27" s="1" t="s">
        <v>40</v>
      </c>
      <c r="Y27" s="9">
        <v>-0.01</v>
      </c>
    </row>
    <row r="28" spans="2:135" x14ac:dyDescent="0.3">
      <c r="B28" s="1" t="s">
        <v>35</v>
      </c>
      <c r="E28" s="9">
        <f t="shared" ref="E28:I28" si="87">E6/E3</f>
        <v>1.2883452992423168E-2</v>
      </c>
      <c r="F28" s="9">
        <f t="shared" si="87"/>
        <v>1.4365282897900305E-2</v>
      </c>
      <c r="G28" s="9">
        <f t="shared" si="87"/>
        <v>1.3672361886133962E-2</v>
      </c>
      <c r="H28" s="9">
        <f t="shared" si="87"/>
        <v>1.3409798682844648E-2</v>
      </c>
      <c r="I28" s="9">
        <f t="shared" si="87"/>
        <v>1.3247562876264401E-2</v>
      </c>
      <c r="J28" s="9">
        <f>J6/J3</f>
        <v>1.2667918532428138E-2</v>
      </c>
      <c r="K28" s="9">
        <f t="shared" ref="K28:U28" si="88">K6/K3</f>
        <v>1.2999999999999999E-2</v>
      </c>
      <c r="L28" s="9">
        <f t="shared" si="88"/>
        <v>1.2999999999999999E-2</v>
      </c>
      <c r="M28" s="9">
        <f t="shared" si="88"/>
        <v>1.2999999999999999E-2</v>
      </c>
      <c r="N28" s="9">
        <f t="shared" si="88"/>
        <v>1.2999999999999999E-2</v>
      </c>
      <c r="O28" s="9">
        <f t="shared" si="88"/>
        <v>1.2999999999999999E-2</v>
      </c>
      <c r="P28" s="9">
        <f t="shared" si="88"/>
        <v>1.3000000000000001E-2</v>
      </c>
      <c r="Q28" s="9">
        <f t="shared" si="88"/>
        <v>1.3000000000000001E-2</v>
      </c>
      <c r="R28" s="9">
        <f t="shared" si="88"/>
        <v>1.2999999999999998E-2</v>
      </c>
      <c r="S28" s="9">
        <f t="shared" si="88"/>
        <v>1.3000000000000001E-2</v>
      </c>
      <c r="T28" s="9">
        <f t="shared" si="88"/>
        <v>1.3000000000000001E-2</v>
      </c>
      <c r="U28" s="9">
        <f t="shared" si="88"/>
        <v>1.2999999999999999E-2</v>
      </c>
      <c r="X28" s="1" t="s">
        <v>41</v>
      </c>
      <c r="Y28" s="9">
        <v>7.0000000000000007E-2</v>
      </c>
    </row>
    <row r="29" spans="2:135" x14ac:dyDescent="0.3">
      <c r="B29" s="1" t="s">
        <v>36</v>
      </c>
      <c r="E29" s="9"/>
      <c r="F29" s="9">
        <f t="shared" ref="F29:I29" si="89">F7/E7-1</f>
        <v>-0.72723787617404634</v>
      </c>
      <c r="G29" s="9">
        <f t="shared" si="89"/>
        <v>-5.9030217849613487E-2</v>
      </c>
      <c r="H29" s="9">
        <f t="shared" si="89"/>
        <v>8.4391336818521179E-2</v>
      </c>
      <c r="I29" s="9">
        <f t="shared" si="89"/>
        <v>0.1391184573002755</v>
      </c>
      <c r="J29" s="9">
        <f>J7/I7-1</f>
        <v>5.4413542926239344E-2</v>
      </c>
      <c r="K29" s="9">
        <f t="shared" ref="K29:U29" si="90">K7/J7-1</f>
        <v>4.0000000000000036E-2</v>
      </c>
      <c r="L29" s="9">
        <f t="shared" si="90"/>
        <v>3.0000000000000027E-2</v>
      </c>
      <c r="M29" s="9">
        <f t="shared" si="90"/>
        <v>2.0000000000000018E-2</v>
      </c>
      <c r="N29" s="9">
        <f t="shared" si="90"/>
        <v>2.0000000000000018E-2</v>
      </c>
      <c r="O29" s="9">
        <f t="shared" si="90"/>
        <v>2.0000000000000018E-2</v>
      </c>
      <c r="P29" s="9">
        <f t="shared" si="90"/>
        <v>2.0000000000000018E-2</v>
      </c>
      <c r="Q29" s="9">
        <f t="shared" si="90"/>
        <v>2.0000000000000018E-2</v>
      </c>
      <c r="R29" s="9">
        <f t="shared" si="90"/>
        <v>2.0000000000000018E-2</v>
      </c>
      <c r="S29" s="9">
        <f t="shared" si="90"/>
        <v>2.0000000000000018E-2</v>
      </c>
      <c r="T29" s="9">
        <f t="shared" si="90"/>
        <v>2.0000000000000018E-2</v>
      </c>
      <c r="U29" s="9">
        <f t="shared" si="90"/>
        <v>2.0000000000000018E-2</v>
      </c>
      <c r="X29" s="1" t="s">
        <v>42</v>
      </c>
      <c r="Y29" s="6">
        <f>NPV(Y28,K22:EE22)</f>
        <v>83555.627301093453</v>
      </c>
    </row>
    <row r="30" spans="2:135" x14ac:dyDescent="0.3">
      <c r="B30" s="1" t="s">
        <v>37</v>
      </c>
      <c r="E30" s="9"/>
      <c r="F30" s="9">
        <f t="shared" ref="F30:I30" si="91">F8/E8-1</f>
        <v>-0.14889815366289461</v>
      </c>
      <c r="G30" s="9">
        <f t="shared" si="91"/>
        <v>-3.9188243526941946E-2</v>
      </c>
      <c r="H30" s="9">
        <f t="shared" si="91"/>
        <v>0.12126729788783686</v>
      </c>
      <c r="I30" s="9">
        <f t="shared" si="91"/>
        <v>5.7810977590126766E-2</v>
      </c>
      <c r="J30" s="9">
        <f>J8/I8-1</f>
        <v>-2.149217070924192E-3</v>
      </c>
      <c r="K30" s="9">
        <f t="shared" ref="K30:U30" si="92">K8/J8-1</f>
        <v>3.0000000000000027E-2</v>
      </c>
      <c r="L30" s="9">
        <f t="shared" si="92"/>
        <v>2.0000000000000018E-2</v>
      </c>
      <c r="M30" s="9">
        <f t="shared" si="92"/>
        <v>1.0000000000000009E-2</v>
      </c>
      <c r="N30" s="9">
        <f t="shared" si="92"/>
        <v>1.0000000000000009E-2</v>
      </c>
      <c r="O30" s="9">
        <f t="shared" si="92"/>
        <v>1.0000000000000009E-2</v>
      </c>
      <c r="P30" s="9">
        <f t="shared" si="92"/>
        <v>1.0000000000000009E-2</v>
      </c>
      <c r="Q30" s="9">
        <f t="shared" si="92"/>
        <v>1.0000000000000009E-2</v>
      </c>
      <c r="R30" s="9">
        <f t="shared" si="92"/>
        <v>1.0000000000000009E-2</v>
      </c>
      <c r="S30" s="9">
        <f t="shared" si="92"/>
        <v>1.0000000000000009E-2</v>
      </c>
      <c r="T30" s="9">
        <f t="shared" si="92"/>
        <v>1.0000000000000009E-2</v>
      </c>
      <c r="U30" s="9">
        <f t="shared" si="92"/>
        <v>1.0000000000000009E-2</v>
      </c>
      <c r="X30" s="1" t="s">
        <v>43</v>
      </c>
      <c r="Y30" s="6">
        <f>Main!D8</f>
        <v>724</v>
      </c>
    </row>
    <row r="31" spans="2:135" x14ac:dyDescent="0.3">
      <c r="B31" s="1" t="s">
        <v>38</v>
      </c>
      <c r="E31" s="9">
        <f t="shared" ref="E31:I31" si="93">E10/E3</f>
        <v>1.4500979028916824E-2</v>
      </c>
      <c r="F31" s="9">
        <f t="shared" si="93"/>
        <v>1.3303414008655234E-2</v>
      </c>
      <c r="G31" s="9">
        <f t="shared" si="93"/>
        <v>9.2676753149628949E-2</v>
      </c>
      <c r="H31" s="9">
        <f t="shared" si="93"/>
        <v>8.9375967870939196E-2</v>
      </c>
      <c r="I31" s="9">
        <f t="shared" si="93"/>
        <v>6.5183510069370162E-2</v>
      </c>
      <c r="J31" s="9">
        <f>J10/J3</f>
        <v>6.9391882132023686E-2</v>
      </c>
      <c r="K31" s="9">
        <f t="shared" ref="K31:U31" si="94">K10/K3</f>
        <v>8.53150368337426E-2</v>
      </c>
      <c r="L31" s="9">
        <f t="shared" si="94"/>
        <v>8.576643073811932E-2</v>
      </c>
      <c r="M31" s="9">
        <f t="shared" si="94"/>
        <v>8.6217824642496027E-2</v>
      </c>
      <c r="N31" s="9">
        <f t="shared" si="94"/>
        <v>8.6664793116437683E-2</v>
      </c>
      <c r="O31" s="9">
        <f t="shared" si="94"/>
        <v>8.710737954651715E-2</v>
      </c>
      <c r="P31" s="9">
        <f t="shared" si="94"/>
        <v>8.7545626893948805E-2</v>
      </c>
      <c r="Q31" s="9">
        <f t="shared" si="94"/>
        <v>8.7979577698758554E-2</v>
      </c>
      <c r="R31" s="9">
        <f t="shared" si="94"/>
        <v>8.8409274083913317E-2</v>
      </c>
      <c r="S31" s="9">
        <f t="shared" si="94"/>
        <v>8.8834757759409716E-2</v>
      </c>
      <c r="T31" s="9">
        <f t="shared" si="94"/>
        <v>8.9256070026322784E-2</v>
      </c>
      <c r="U31" s="9">
        <f t="shared" si="94"/>
        <v>8.9673251780815158E-2</v>
      </c>
      <c r="X31" s="1" t="s">
        <v>44</v>
      </c>
      <c r="Y31" s="6">
        <f>Y29+Y30</f>
        <v>84279.627301093453</v>
      </c>
    </row>
    <row r="32" spans="2:135" x14ac:dyDescent="0.3">
      <c r="B32" s="1" t="s">
        <v>28</v>
      </c>
      <c r="E32" s="9">
        <f t="shared" ref="E32:I32" si="95">E20/E19</f>
        <v>2.2453007518796992</v>
      </c>
      <c r="F32" s="9">
        <f t="shared" si="95"/>
        <v>-3.4513274336283185E-2</v>
      </c>
      <c r="G32" s="9">
        <f t="shared" si="95"/>
        <v>0.16968370797692461</v>
      </c>
      <c r="H32" s="9">
        <f t="shared" si="95"/>
        <v>0.18502463054187193</v>
      </c>
      <c r="I32" s="9">
        <f t="shared" si="95"/>
        <v>0.24239882574963303</v>
      </c>
      <c r="J32" s="9">
        <f>J20/J19</f>
        <v>0.24829493087557603</v>
      </c>
      <c r="K32" s="9">
        <f t="shared" ref="K32:U32" si="96">K20/K19</f>
        <v>0.23</v>
      </c>
      <c r="L32" s="9">
        <f t="shared" si="96"/>
        <v>0.22999999999999998</v>
      </c>
      <c r="M32" s="9">
        <f t="shared" si="96"/>
        <v>0.23</v>
      </c>
      <c r="N32" s="9">
        <f t="shared" si="96"/>
        <v>0.23</v>
      </c>
      <c r="O32" s="9">
        <f t="shared" si="96"/>
        <v>0.23</v>
      </c>
      <c r="P32" s="9">
        <f t="shared" si="96"/>
        <v>0.23</v>
      </c>
      <c r="Q32" s="9">
        <f t="shared" si="96"/>
        <v>0.23</v>
      </c>
      <c r="R32" s="9">
        <f t="shared" si="96"/>
        <v>0.23</v>
      </c>
      <c r="S32" s="9">
        <f t="shared" si="96"/>
        <v>0.23</v>
      </c>
      <c r="T32" s="9">
        <f t="shared" si="96"/>
        <v>0.23</v>
      </c>
      <c r="U32" s="9">
        <f t="shared" si="96"/>
        <v>0.23</v>
      </c>
      <c r="X32" s="1" t="s">
        <v>45</v>
      </c>
      <c r="Y32" s="10">
        <f>Y31/U23</f>
        <v>106.68307253302969</v>
      </c>
    </row>
    <row r="33" spans="2:25" x14ac:dyDescent="0.3">
      <c r="B33" s="1" t="s">
        <v>29</v>
      </c>
      <c r="E33" s="9">
        <f t="shared" ref="E33:I33" si="97">E21/E19</f>
        <v>3.4774436090225562E-2</v>
      </c>
      <c r="F33" s="9">
        <f t="shared" si="97"/>
        <v>3.1858407079646017E-2</v>
      </c>
      <c r="G33" s="9">
        <f t="shared" si="97"/>
        <v>-7.7581062263775615E-3</v>
      </c>
      <c r="H33" s="9">
        <f t="shared" si="97"/>
        <v>-2.187192118226601E-2</v>
      </c>
      <c r="I33" s="9">
        <f t="shared" si="97"/>
        <v>-3.6905011532816105E-2</v>
      </c>
      <c r="J33" s="9">
        <f>J21/J19</f>
        <v>-2.838709677419355E-2</v>
      </c>
      <c r="K33" s="9">
        <f t="shared" ref="K33:U33" si="98">K21/K19</f>
        <v>-2.9999999999999995E-2</v>
      </c>
      <c r="L33" s="9">
        <f t="shared" si="98"/>
        <v>-0.03</v>
      </c>
      <c r="M33" s="9">
        <f t="shared" si="98"/>
        <v>-0.03</v>
      </c>
      <c r="N33" s="9">
        <f t="shared" si="98"/>
        <v>-0.03</v>
      </c>
      <c r="O33" s="9">
        <f t="shared" si="98"/>
        <v>-0.03</v>
      </c>
      <c r="P33" s="9">
        <f t="shared" si="98"/>
        <v>-0.03</v>
      </c>
      <c r="Q33" s="9">
        <f t="shared" si="98"/>
        <v>-0.03</v>
      </c>
      <c r="R33" s="9">
        <f t="shared" si="98"/>
        <v>-0.03</v>
      </c>
      <c r="S33" s="9">
        <f t="shared" si="98"/>
        <v>-0.03</v>
      </c>
      <c r="T33" s="9">
        <f t="shared" si="98"/>
        <v>-0.03</v>
      </c>
      <c r="U33" s="9">
        <f t="shared" si="98"/>
        <v>-0.03</v>
      </c>
      <c r="X33" s="1" t="s">
        <v>46</v>
      </c>
      <c r="Y33" s="10">
        <f>Main!D3</f>
        <v>137.16</v>
      </c>
    </row>
    <row r="34" spans="2:25" x14ac:dyDescent="0.3">
      <c r="B34" s="1" t="s">
        <v>39</v>
      </c>
      <c r="E34" s="9">
        <f t="shared" ref="E34:I34" si="99">E22/E3</f>
        <v>-1.9325179488634752E-2</v>
      </c>
      <c r="F34" s="9">
        <f t="shared" si="99"/>
        <v>-2.2699951915371053E-2</v>
      </c>
      <c r="G34" s="9">
        <f t="shared" si="99"/>
        <v>8.078774281386028E-2</v>
      </c>
      <c r="H34" s="9">
        <f t="shared" si="99"/>
        <v>7.2273369297006618E-2</v>
      </c>
      <c r="I34" s="9">
        <f t="shared" si="99"/>
        <v>5.7895058521529201E-2</v>
      </c>
      <c r="J34" s="9">
        <f>J22/J3</f>
        <v>6.1129568106312294E-2</v>
      </c>
      <c r="K34" s="9">
        <f t="shared" ref="K34:U34" si="100">K22/K3</f>
        <v>7.2763412926810281E-2</v>
      </c>
      <c r="L34" s="9">
        <f t="shared" si="100"/>
        <v>7.3036928371480306E-2</v>
      </c>
      <c r="M34" s="9">
        <f t="shared" si="100"/>
        <v>7.3354673065756312E-2</v>
      </c>
      <c r="N34" s="9">
        <f t="shared" si="100"/>
        <v>7.3669302615970822E-2</v>
      </c>
      <c r="O34" s="9">
        <f t="shared" si="100"/>
        <v>7.3980847562751847E-2</v>
      </c>
      <c r="P34" s="9">
        <f t="shared" si="100"/>
        <v>7.4289338147309536E-2</v>
      </c>
      <c r="Q34" s="9">
        <f t="shared" si="100"/>
        <v>7.4594804314371543E-2</v>
      </c>
      <c r="R34" s="9">
        <f t="shared" si="100"/>
        <v>7.4897275715089834E-2</v>
      </c>
      <c r="S34" s="9">
        <f t="shared" si="100"/>
        <v>7.5196781709918711E-2</v>
      </c>
      <c r="T34" s="9">
        <f t="shared" si="100"/>
        <v>7.5493351371464942E-2</v>
      </c>
      <c r="U34" s="9">
        <f t="shared" si="100"/>
        <v>7.5787013487309748E-2</v>
      </c>
      <c r="X34" s="2" t="s">
        <v>47</v>
      </c>
      <c r="Y34" s="11">
        <f>Y32/Y33-1</f>
        <v>-0.22219982113568326</v>
      </c>
    </row>
    <row r="35" spans="2:25" x14ac:dyDescent="0.3">
      <c r="X35" s="1" t="s">
        <v>48</v>
      </c>
      <c r="Y35" s="12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2025-04-24T09:29:17Z</dcterms:created>
  <dcterms:modified xsi:type="dcterms:W3CDTF">2025-05-27T17:58:18Z</dcterms:modified>
</cp:coreProperties>
</file>