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53634140-4A1B-4748-941B-4F75A210E96C}" xr6:coauthVersionLast="47" xr6:coauthVersionMax="47" xr10:uidLastSave="{00000000-0000-0000-0000-000000000000}"/>
  <bookViews>
    <workbookView xWindow="-108" yWindow="-108" windowWidth="23256" windowHeight="12576" activeTab="1" xr2:uid="{293EE719-AEB1-43A9-8AC3-A334237D7F43}"/>
  </bookViews>
  <sheets>
    <sheet name="Main" sheetId="1" r:id="rId1"/>
    <sheet name="Model" sheetId="4" r:id="rId2"/>
    <sheet name="Currency" sheetId="3" r:id="rId3"/>
  </sheets>
  <definedNames>
    <definedName name="ExternalData_1" localSheetId="2" hidden="1">Currency!$A$1:$K$2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A25" i="4" l="1"/>
  <c r="AQ3" i="4"/>
  <c r="AP3" i="4"/>
  <c r="AP5" i="4" s="1"/>
  <c r="AO26" i="4"/>
  <c r="AN26" i="4"/>
  <c r="AM26" i="4"/>
  <c r="AL26" i="4"/>
  <c r="AK26" i="4"/>
  <c r="AJ26" i="4"/>
  <c r="AI26" i="4"/>
  <c r="AH26" i="4"/>
  <c r="AG26" i="4"/>
  <c r="AF26" i="4"/>
  <c r="AA26" i="4"/>
  <c r="W26" i="4"/>
  <c r="J26" i="4"/>
  <c r="I26" i="4"/>
  <c r="H26" i="4"/>
  <c r="G26" i="4"/>
  <c r="F26" i="4"/>
  <c r="E26" i="4"/>
  <c r="D26" i="4"/>
  <c r="C26" i="4"/>
  <c r="AO5" i="4"/>
  <c r="AO3" i="4"/>
  <c r="W25" i="4"/>
  <c r="W23" i="4"/>
  <c r="W22" i="4"/>
  <c r="AA25" i="4"/>
  <c r="AA24" i="4"/>
  <c r="AA23" i="4"/>
  <c r="AA22" i="4"/>
  <c r="AA21" i="4"/>
  <c r="W18" i="4"/>
  <c r="W17" i="4"/>
  <c r="W19" i="4" s="1"/>
  <c r="W16" i="4"/>
  <c r="W15" i="4"/>
  <c r="W14" i="4"/>
  <c r="W13" i="4"/>
  <c r="W12" i="4"/>
  <c r="W11" i="4"/>
  <c r="W10" i="4"/>
  <c r="W9" i="4"/>
  <c r="W8" i="4"/>
  <c r="W7" i="4"/>
  <c r="W6" i="4"/>
  <c r="W5" i="4"/>
  <c r="W4" i="4"/>
  <c r="W3" i="4"/>
  <c r="AA18" i="4"/>
  <c r="AA17" i="4"/>
  <c r="AA19" i="4" s="1"/>
  <c r="AA16" i="4"/>
  <c r="AA15" i="4"/>
  <c r="AA14" i="4"/>
  <c r="AA13" i="4"/>
  <c r="AA12" i="4"/>
  <c r="AA11" i="4"/>
  <c r="AA10" i="4"/>
  <c r="AA9" i="4"/>
  <c r="AA8" i="4"/>
  <c r="AA7" i="4"/>
  <c r="AA6" i="4"/>
  <c r="AA5" i="4"/>
  <c r="AA4" i="4"/>
  <c r="AA3" i="4"/>
  <c r="W33" i="4"/>
  <c r="W34" i="4" s="1"/>
  <c r="W36" i="4" s="1"/>
  <c r="W42" i="4"/>
  <c r="AA33" i="4"/>
  <c r="AA34" i="4" s="1"/>
  <c r="AA36" i="4" s="1"/>
  <c r="AA42" i="4"/>
  <c r="D4" i="1"/>
  <c r="D7" i="1"/>
  <c r="D6" i="1"/>
  <c r="AN18" i="4"/>
  <c r="AM18" i="4"/>
  <c r="AL18" i="4"/>
  <c r="AK18" i="4"/>
  <c r="AJ18" i="4"/>
  <c r="AN17" i="4"/>
  <c r="AN19" i="4" s="1"/>
  <c r="AM17" i="4"/>
  <c r="AM19" i="4" s="1"/>
  <c r="AL17" i="4"/>
  <c r="AL19" i="4" s="1"/>
  <c r="AK17" i="4"/>
  <c r="AK19" i="4" s="1"/>
  <c r="AJ17" i="4"/>
  <c r="AJ19" i="4" s="1"/>
  <c r="AN16" i="4"/>
  <c r="AM16" i="4"/>
  <c r="AL16" i="4"/>
  <c r="AK16" i="4"/>
  <c r="AJ16" i="4"/>
  <c r="AN15" i="4"/>
  <c r="AM15" i="4"/>
  <c r="AL15" i="4"/>
  <c r="AK15" i="4"/>
  <c r="AJ15" i="4"/>
  <c r="AN14" i="4"/>
  <c r="AM14" i="4"/>
  <c r="AL14" i="4"/>
  <c r="AK14" i="4"/>
  <c r="AJ14" i="4"/>
  <c r="AN13" i="4"/>
  <c r="AM13" i="4"/>
  <c r="AL13" i="4"/>
  <c r="AK13" i="4"/>
  <c r="AJ13" i="4"/>
  <c r="AN12" i="4"/>
  <c r="AM12" i="4"/>
  <c r="AL12" i="4"/>
  <c r="AK12" i="4"/>
  <c r="AJ12" i="4"/>
  <c r="AN11" i="4"/>
  <c r="AM11" i="4"/>
  <c r="AL11" i="4"/>
  <c r="AK11" i="4"/>
  <c r="AJ11" i="4"/>
  <c r="AN10" i="4"/>
  <c r="AM10" i="4"/>
  <c r="AL10" i="4"/>
  <c r="AK10" i="4"/>
  <c r="AJ10" i="4"/>
  <c r="AN9" i="4"/>
  <c r="AM9" i="4"/>
  <c r="AL9" i="4"/>
  <c r="AK9" i="4"/>
  <c r="AJ9" i="4"/>
  <c r="AN8" i="4"/>
  <c r="AM8" i="4"/>
  <c r="AL8" i="4"/>
  <c r="AK8" i="4"/>
  <c r="AJ8" i="4"/>
  <c r="AN7" i="4"/>
  <c r="AM7" i="4"/>
  <c r="AL7" i="4"/>
  <c r="AK7" i="4"/>
  <c r="AJ7" i="4"/>
  <c r="AN6" i="4"/>
  <c r="AM6" i="4"/>
  <c r="AL6" i="4"/>
  <c r="AK6" i="4"/>
  <c r="AJ6" i="4"/>
  <c r="AN5" i="4"/>
  <c r="AM5" i="4"/>
  <c r="AL5" i="4"/>
  <c r="AK5" i="4"/>
  <c r="AJ5" i="4"/>
  <c r="AN4" i="4"/>
  <c r="AM4" i="4"/>
  <c r="AL4" i="4"/>
  <c r="AK4" i="4"/>
  <c r="AJ4" i="4"/>
  <c r="AN3" i="4"/>
  <c r="AM3" i="4"/>
  <c r="AL3" i="4"/>
  <c r="AK3" i="4"/>
  <c r="AJ3" i="4"/>
  <c r="AI33" i="4"/>
  <c r="AJ33" i="4"/>
  <c r="AJ42" i="4"/>
  <c r="AJ34" i="4"/>
  <c r="AJ36" i="4" s="1"/>
  <c r="AK33" i="4"/>
  <c r="AK34" i="4" s="1"/>
  <c r="AK36" i="4" s="1"/>
  <c r="AK42" i="4"/>
  <c r="AX18" i="4"/>
  <c r="AW18" i="4"/>
  <c r="AV18" i="4"/>
  <c r="AU18" i="4"/>
  <c r="AT18" i="4"/>
  <c r="AS18" i="4"/>
  <c r="AR18" i="4"/>
  <c r="AQ18" i="4"/>
  <c r="AP18" i="4"/>
  <c r="AO18" i="4"/>
  <c r="AL37" i="4"/>
  <c r="AL42" i="4"/>
  <c r="AL33" i="4"/>
  <c r="AL34" i="4" s="1"/>
  <c r="AL36" i="4" s="1"/>
  <c r="AM33" i="4"/>
  <c r="AM34" i="4" s="1"/>
  <c r="AM36" i="4" s="1"/>
  <c r="AM42" i="4"/>
  <c r="AN33" i="4"/>
  <c r="AN34" i="4" s="1"/>
  <c r="AN36" i="4" s="1"/>
  <c r="AN42" i="4"/>
  <c r="H18" i="4"/>
  <c r="G18" i="4"/>
  <c r="F18" i="4"/>
  <c r="E18" i="4"/>
  <c r="I18" i="4"/>
  <c r="J13" i="4"/>
  <c r="AI42" i="4"/>
  <c r="F44" i="4"/>
  <c r="F41" i="4"/>
  <c r="F40" i="4"/>
  <c r="F39" i="4"/>
  <c r="F38" i="4"/>
  <c r="F37" i="4"/>
  <c r="F35" i="4"/>
  <c r="F32" i="4"/>
  <c r="C33" i="4"/>
  <c r="C34" i="4" s="1"/>
  <c r="C36" i="4" s="1"/>
  <c r="C42" i="4"/>
  <c r="G33" i="4"/>
  <c r="G34" i="4" s="1"/>
  <c r="G36" i="4" s="1"/>
  <c r="G42" i="4"/>
  <c r="D33" i="4"/>
  <c r="D34" i="4" s="1"/>
  <c r="D36" i="4" s="1"/>
  <c r="D42" i="4"/>
  <c r="H33" i="4"/>
  <c r="H34" i="4" s="1"/>
  <c r="H36" i="4" s="1"/>
  <c r="H42" i="4"/>
  <c r="E33" i="4"/>
  <c r="E34" i="4" s="1"/>
  <c r="E36" i="4" s="1"/>
  <c r="E42" i="4"/>
  <c r="I42" i="4"/>
  <c r="I33" i="4"/>
  <c r="I34" i="4" s="1"/>
  <c r="I36" i="4" s="1"/>
  <c r="AQ5" i="4" l="1"/>
  <c r="W43" i="4"/>
  <c r="W46" i="4" s="1"/>
  <c r="W48" i="4" s="1"/>
  <c r="AA43" i="4"/>
  <c r="AA46" i="4" s="1"/>
  <c r="AA48" i="4" s="1"/>
  <c r="AJ43" i="4"/>
  <c r="AJ46" i="4" s="1"/>
  <c r="AJ48" i="4" s="1"/>
  <c r="AK43" i="4"/>
  <c r="AK46" i="4" s="1"/>
  <c r="AK48" i="4" s="1"/>
  <c r="AL43" i="4"/>
  <c r="AL46" i="4" s="1"/>
  <c r="AL48" i="4" s="1"/>
  <c r="AM43" i="4"/>
  <c r="AM46" i="4" s="1"/>
  <c r="AM48" i="4" s="1"/>
  <c r="AN43" i="4"/>
  <c r="AN46" i="4" s="1"/>
  <c r="AN48" i="4" s="1"/>
  <c r="I43" i="4"/>
  <c r="F42" i="4"/>
  <c r="C43" i="4"/>
  <c r="G43" i="4"/>
  <c r="D43" i="4"/>
  <c r="H43" i="4"/>
  <c r="E43" i="4"/>
  <c r="AF45" i="4"/>
  <c r="AF18" i="4"/>
  <c r="AF33" i="4"/>
  <c r="AF34" i="4" s="1"/>
  <c r="AF36" i="4" s="1"/>
  <c r="AF43" i="4" s="1"/>
  <c r="BA29" i="4"/>
  <c r="AI18" i="4"/>
  <c r="AH18" i="4"/>
  <c r="AG18" i="4"/>
  <c r="F45" i="4"/>
  <c r="AH45" i="4"/>
  <c r="AH33" i="4"/>
  <c r="D46" i="4" l="1"/>
  <c r="C46" i="4"/>
  <c r="E46" i="4"/>
  <c r="H46" i="4"/>
  <c r="G46" i="4"/>
  <c r="I46" i="4"/>
  <c r="AI34" i="4"/>
  <c r="AI36" i="4" s="1"/>
  <c r="AI43" i="4" s="1"/>
  <c r="AI46" i="4" s="1"/>
  <c r="AI48" i="4" s="1"/>
  <c r="F33" i="4"/>
  <c r="AF46" i="4"/>
  <c r="AH34" i="4"/>
  <c r="H14" i="4"/>
  <c r="D14" i="4" l="1"/>
  <c r="I15" i="1"/>
  <c r="C18" i="4"/>
  <c r="H15" i="4"/>
  <c r="H25" i="4" s="1"/>
  <c r="E12" i="4"/>
  <c r="C11" i="4"/>
  <c r="H9" i="4"/>
  <c r="E8" i="4"/>
  <c r="C6" i="4"/>
  <c r="D15" i="4"/>
  <c r="G10" i="4"/>
  <c r="I16" i="4"/>
  <c r="G15" i="4"/>
  <c r="D12" i="4"/>
  <c r="I10" i="4"/>
  <c r="G9" i="4"/>
  <c r="D8" i="4"/>
  <c r="I3" i="4"/>
  <c r="G16" i="4"/>
  <c r="AI12" i="4"/>
  <c r="H16" i="4"/>
  <c r="E15" i="4"/>
  <c r="C12" i="4"/>
  <c r="H10" i="4"/>
  <c r="E9" i="4"/>
  <c r="C8" i="4"/>
  <c r="H3" i="4"/>
  <c r="AI11" i="4"/>
  <c r="I11" i="4"/>
  <c r="D9" i="4"/>
  <c r="AI10" i="4"/>
  <c r="E16" i="4"/>
  <c r="C15" i="4"/>
  <c r="H11" i="4"/>
  <c r="E10" i="4"/>
  <c r="C9" i="4"/>
  <c r="H6" i="4"/>
  <c r="E3" i="4"/>
  <c r="D6" i="4"/>
  <c r="I6" i="4"/>
  <c r="AI9" i="4"/>
  <c r="D16" i="4"/>
  <c r="I12" i="4"/>
  <c r="G11" i="4"/>
  <c r="D10" i="4"/>
  <c r="I8" i="4"/>
  <c r="G6" i="4"/>
  <c r="D3" i="4"/>
  <c r="AI8" i="4"/>
  <c r="C16" i="4"/>
  <c r="H12" i="4"/>
  <c r="E11" i="4"/>
  <c r="C10" i="4"/>
  <c r="H8" i="4"/>
  <c r="E6" i="4"/>
  <c r="C3" i="4"/>
  <c r="I15" i="4"/>
  <c r="G8" i="4"/>
  <c r="D18" i="4"/>
  <c r="G12" i="4"/>
  <c r="D11" i="4"/>
  <c r="I9" i="4"/>
  <c r="G3" i="4"/>
  <c r="F3" i="4"/>
  <c r="J3" i="4" s="1"/>
  <c r="F9" i="4"/>
  <c r="F12" i="4"/>
  <c r="H4" i="4"/>
  <c r="E5" i="4"/>
  <c r="D5" i="4"/>
  <c r="D7" i="4"/>
  <c r="H7" i="4"/>
  <c r="F10" i="4"/>
  <c r="E7" i="4"/>
  <c r="I5" i="4"/>
  <c r="I22" i="4" s="1"/>
  <c r="E4" i="4"/>
  <c r="H13" i="4"/>
  <c r="F15" i="4"/>
  <c r="C5" i="4"/>
  <c r="F11" i="4"/>
  <c r="H5" i="4"/>
  <c r="I7" i="4"/>
  <c r="D4" i="4"/>
  <c r="F6" i="4"/>
  <c r="J6" i="4" s="1"/>
  <c r="J24" i="4" s="1"/>
  <c r="I13" i="4"/>
  <c r="C7" i="4"/>
  <c r="I4" i="4"/>
  <c r="G7" i="4"/>
  <c r="G23" i="4" s="1"/>
  <c r="G4" i="4"/>
  <c r="G5" i="4"/>
  <c r="D13" i="4"/>
  <c r="F8" i="4"/>
  <c r="G13" i="4"/>
  <c r="C4" i="4"/>
  <c r="E13" i="4"/>
  <c r="C13" i="4"/>
  <c r="G14" i="4"/>
  <c r="F13" i="4"/>
  <c r="E14" i="4"/>
  <c r="I14" i="4"/>
  <c r="C14" i="4"/>
  <c r="F16" i="4"/>
  <c r="F34" i="4"/>
  <c r="F4" i="4"/>
  <c r="E48" i="4"/>
  <c r="E19" i="4" s="1"/>
  <c r="E17" i="4"/>
  <c r="C48" i="4"/>
  <c r="C19" i="4" s="1"/>
  <c r="C17" i="4"/>
  <c r="H48" i="4"/>
  <c r="H19" i="4" s="1"/>
  <c r="H17" i="4"/>
  <c r="I48" i="4"/>
  <c r="I19" i="4" s="1"/>
  <c r="I17" i="4"/>
  <c r="G48" i="4"/>
  <c r="G19" i="4" s="1"/>
  <c r="G17" i="4"/>
  <c r="D48" i="4"/>
  <c r="D19" i="4" s="1"/>
  <c r="D17" i="4"/>
  <c r="AF5" i="4"/>
  <c r="AG15" i="4"/>
  <c r="AG6" i="4"/>
  <c r="AF4" i="4"/>
  <c r="AI4" i="4"/>
  <c r="AF3" i="4"/>
  <c r="AI13" i="4"/>
  <c r="AF15" i="4"/>
  <c r="AH13" i="4"/>
  <c r="AI3" i="4"/>
  <c r="AI6" i="4"/>
  <c r="AF6" i="4"/>
  <c r="AH6" i="4"/>
  <c r="AF14" i="4"/>
  <c r="AG13" i="4"/>
  <c r="AH3" i="4"/>
  <c r="AI15" i="4"/>
  <c r="AH15" i="4"/>
  <c r="AF13" i="4"/>
  <c r="AG3" i="4"/>
  <c r="AF7" i="4"/>
  <c r="AH16" i="4"/>
  <c r="AH4" i="4"/>
  <c r="AI17" i="4"/>
  <c r="AI14" i="4"/>
  <c r="AI16" i="4"/>
  <c r="AI7" i="4"/>
  <c r="AI5" i="4"/>
  <c r="AF16" i="4"/>
  <c r="AF48" i="4"/>
  <c r="AF19" i="4" s="1"/>
  <c r="AF17" i="4"/>
  <c r="AH36" i="4"/>
  <c r="AH5" i="4"/>
  <c r="AG45" i="4"/>
  <c r="AG16" i="4" s="1"/>
  <c r="AG33" i="4"/>
  <c r="AG4" i="4" s="1"/>
  <c r="D9" i="1"/>
  <c r="D8" i="1"/>
  <c r="D10" i="1"/>
  <c r="BA26" i="4" s="1"/>
  <c r="F3" i="1"/>
  <c r="D5" i="1"/>
  <c r="AH24" i="4" l="1"/>
  <c r="I25" i="4"/>
  <c r="E22" i="4"/>
  <c r="E25" i="4"/>
  <c r="I21" i="4"/>
  <c r="H22" i="4"/>
  <c r="H23" i="4"/>
  <c r="C25" i="4"/>
  <c r="AO12" i="4"/>
  <c r="AP12" i="4" s="1"/>
  <c r="AQ12" i="4" s="1"/>
  <c r="AR12" i="4" s="1"/>
  <c r="AS12" i="4" s="1"/>
  <c r="AT12" i="4" s="1"/>
  <c r="AU12" i="4" s="1"/>
  <c r="AV12" i="4" s="1"/>
  <c r="AW12" i="4" s="1"/>
  <c r="AX12" i="4" s="1"/>
  <c r="G21" i="4"/>
  <c r="C22" i="4"/>
  <c r="D23" i="4"/>
  <c r="C23" i="4"/>
  <c r="D22" i="4"/>
  <c r="H24" i="4"/>
  <c r="H21" i="4"/>
  <c r="G24" i="4"/>
  <c r="AO11" i="4"/>
  <c r="AP11" i="4" s="1"/>
  <c r="AQ11" i="4" s="1"/>
  <c r="AR11" i="4" s="1"/>
  <c r="AS11" i="4" s="1"/>
  <c r="AT11" i="4" s="1"/>
  <c r="AU11" i="4" s="1"/>
  <c r="AV11" i="4" s="1"/>
  <c r="AW11" i="4" s="1"/>
  <c r="AX11" i="4" s="1"/>
  <c r="AO16" i="4"/>
  <c r="AP16" i="4" s="1"/>
  <c r="AQ16" i="4" s="1"/>
  <c r="AR16" i="4" s="1"/>
  <c r="AS16" i="4" s="1"/>
  <c r="AT16" i="4" s="1"/>
  <c r="AU16" i="4" s="1"/>
  <c r="AV16" i="4" s="1"/>
  <c r="AW16" i="4" s="1"/>
  <c r="AX16" i="4" s="1"/>
  <c r="AO10" i="4"/>
  <c r="AP10" i="4" s="1"/>
  <c r="AQ10" i="4" s="1"/>
  <c r="AR10" i="4" s="1"/>
  <c r="AS10" i="4" s="1"/>
  <c r="AT10" i="4" s="1"/>
  <c r="AU10" i="4" s="1"/>
  <c r="AV10" i="4" s="1"/>
  <c r="AW10" i="4" s="1"/>
  <c r="AX10" i="4" s="1"/>
  <c r="G22" i="4"/>
  <c r="I23" i="4"/>
  <c r="E23" i="4"/>
  <c r="D25" i="4"/>
  <c r="G25" i="4"/>
  <c r="J5" i="4"/>
  <c r="J4" i="4" s="1"/>
  <c r="J21" i="4"/>
  <c r="I24" i="4"/>
  <c r="AO9" i="4"/>
  <c r="AP9" i="4" s="1"/>
  <c r="AQ9" i="4" s="1"/>
  <c r="AR9" i="4" s="1"/>
  <c r="AS9" i="4" s="1"/>
  <c r="AT9" i="4" s="1"/>
  <c r="AU9" i="4" s="1"/>
  <c r="AV9" i="4" s="1"/>
  <c r="AW9" i="4" s="1"/>
  <c r="AX9" i="4" s="1"/>
  <c r="AF22" i="4"/>
  <c r="AI24" i="4"/>
  <c r="AG24" i="4"/>
  <c r="AH22" i="4"/>
  <c r="AI22" i="4"/>
  <c r="AI23" i="4"/>
  <c r="F36" i="4"/>
  <c r="F5" i="4"/>
  <c r="F22" i="4" s="1"/>
  <c r="AI25" i="4"/>
  <c r="AF23" i="4"/>
  <c r="AG21" i="4"/>
  <c r="AF25" i="4"/>
  <c r="AI19" i="4"/>
  <c r="AI21" i="4"/>
  <c r="AH21" i="4"/>
  <c r="AG34" i="4"/>
  <c r="AG5" i="4" s="1"/>
  <c r="AG22" i="4" s="1"/>
  <c r="AH43" i="4"/>
  <c r="AH7" i="4"/>
  <c r="AH23" i="4" s="1"/>
  <c r="D11" i="1"/>
  <c r="AJ21" i="4" l="1"/>
  <c r="J22" i="4"/>
  <c r="J7" i="4"/>
  <c r="AO6" i="4"/>
  <c r="AP6" i="4" s="1"/>
  <c r="AQ6" i="4" s="1"/>
  <c r="AR6" i="4" s="1"/>
  <c r="AS6" i="4" s="1"/>
  <c r="AT6" i="4" s="1"/>
  <c r="AJ24" i="4"/>
  <c r="F43" i="4"/>
  <c r="F7" i="4"/>
  <c r="F23" i="4" s="1"/>
  <c r="AG36" i="4"/>
  <c r="AG7" i="4" s="1"/>
  <c r="AG23" i="4" s="1"/>
  <c r="AK22" i="4"/>
  <c r="AK21" i="4"/>
  <c r="AH46" i="4"/>
  <c r="AH14" i="4"/>
  <c r="AH25" i="4" s="1"/>
  <c r="AU6" i="4" l="1"/>
  <c r="AT24" i="4"/>
  <c r="AJ22" i="4"/>
  <c r="J14" i="4"/>
  <c r="J23" i="4"/>
  <c r="AJ23" i="4"/>
  <c r="F46" i="4"/>
  <c r="F14" i="4"/>
  <c r="F25" i="4" s="1"/>
  <c r="AG43" i="4"/>
  <c r="AG14" i="4" s="1"/>
  <c r="AG25" i="4" s="1"/>
  <c r="AL21" i="4"/>
  <c r="AH48" i="4"/>
  <c r="AH17" i="4"/>
  <c r="AH19" i="4" s="1"/>
  <c r="AU24" i="4" l="1"/>
  <c r="AV6" i="4"/>
  <c r="J15" i="4"/>
  <c r="J17" i="4" s="1"/>
  <c r="J19" i="4" s="1"/>
  <c r="F48" i="4"/>
  <c r="F19" i="4" s="1"/>
  <c r="F17" i="4"/>
  <c r="AL22" i="4"/>
  <c r="AG46" i="4"/>
  <c r="AG48" i="4" s="1"/>
  <c r="AM22" i="4"/>
  <c r="AM21" i="4"/>
  <c r="AW6" i="4" l="1"/>
  <c r="AV24" i="4"/>
  <c r="J25" i="4"/>
  <c r="AO8" i="4"/>
  <c r="AG17" i="4"/>
  <c r="AG19" i="4" s="1"/>
  <c r="AN21" i="4"/>
  <c r="AW24" i="4" l="1"/>
  <c r="AX6" i="4"/>
  <c r="AX24" i="4" s="1"/>
  <c r="AJ25" i="4"/>
  <c r="AP8" i="4"/>
  <c r="AO13" i="4"/>
  <c r="AN22" i="4"/>
  <c r="AO21" i="4"/>
  <c r="AO22" i="4"/>
  <c r="AQ8" i="4" l="1"/>
  <c r="AP13" i="4"/>
  <c r="AO4" i="4"/>
  <c r="AP22" i="4"/>
  <c r="AP21" i="4"/>
  <c r="AR8" i="4" l="1"/>
  <c r="AQ13" i="4"/>
  <c r="AR3" i="4"/>
  <c r="AR5" i="4" s="1"/>
  <c r="AQ21" i="4"/>
  <c r="AQ22" i="4"/>
  <c r="AP4" i="4"/>
  <c r="AS8" i="4" l="1"/>
  <c r="AR13" i="4"/>
  <c r="AS3" i="4"/>
  <c r="AR21" i="4"/>
  <c r="AR22" i="4"/>
  <c r="AQ4" i="4"/>
  <c r="AT3" i="4" l="1"/>
  <c r="AT5" i="4" s="1"/>
  <c r="AS5" i="4"/>
  <c r="AS13" i="4"/>
  <c r="AT8" i="4"/>
  <c r="AU3" i="4"/>
  <c r="AU5" i="4" s="1"/>
  <c r="AS21" i="4"/>
  <c r="AR4" i="4"/>
  <c r="AT21" i="4" l="1"/>
  <c r="AT13" i="4"/>
  <c r="AU8" i="4"/>
  <c r="AT4" i="4"/>
  <c r="AT7" i="4"/>
  <c r="AT22" i="4"/>
  <c r="AU21" i="4"/>
  <c r="AV3" i="4"/>
  <c r="AV5" i="4" s="1"/>
  <c r="AS4" i="4"/>
  <c r="AS22" i="4"/>
  <c r="AU22" i="4" l="1"/>
  <c r="AU7" i="4"/>
  <c r="AV21" i="4"/>
  <c r="AW3" i="4"/>
  <c r="AW5" i="4" s="1"/>
  <c r="AT14" i="4"/>
  <c r="AT23" i="4"/>
  <c r="AV8" i="4"/>
  <c r="AU13" i="4"/>
  <c r="AU4" i="4"/>
  <c r="AK23" i="4"/>
  <c r="AK24" i="4"/>
  <c r="AV7" i="4" l="1"/>
  <c r="AV22" i="4"/>
  <c r="AV4" i="4"/>
  <c r="AU14" i="4"/>
  <c r="AU23" i="4"/>
  <c r="AT15" i="4"/>
  <c r="AT25" i="4" s="1"/>
  <c r="AX3" i="4"/>
  <c r="AX5" i="4" s="1"/>
  <c r="AW21" i="4"/>
  <c r="AW8" i="4"/>
  <c r="AV13" i="4"/>
  <c r="AK25" i="4"/>
  <c r="AT17" i="4" l="1"/>
  <c r="AX21" i="4"/>
  <c r="AV14" i="4"/>
  <c r="AV23" i="4"/>
  <c r="AW7" i="4"/>
  <c r="AW22" i="4"/>
  <c r="AX8" i="4"/>
  <c r="AX13" i="4" s="1"/>
  <c r="AW13" i="4"/>
  <c r="AU15" i="4"/>
  <c r="AU25" i="4" s="1"/>
  <c r="AW4" i="4"/>
  <c r="AT19" i="4" l="1"/>
  <c r="AT26" i="4"/>
  <c r="AX22" i="4"/>
  <c r="AX7" i="4"/>
  <c r="AW23" i="4"/>
  <c r="AW14" i="4"/>
  <c r="AV15" i="4"/>
  <c r="AV25" i="4" s="1"/>
  <c r="AU17" i="4"/>
  <c r="AX4" i="4"/>
  <c r="AO24" i="4"/>
  <c r="AP24" i="4"/>
  <c r="AL24" i="4"/>
  <c r="AM24" i="4"/>
  <c r="AS24" i="4"/>
  <c r="AN24" i="4"/>
  <c r="AO7" i="4"/>
  <c r="AO14" i="4" s="1"/>
  <c r="AS7" i="4"/>
  <c r="AS23" i="4" s="1"/>
  <c r="AM23" i="4"/>
  <c r="AP7" i="4"/>
  <c r="AP14" i="4" s="1"/>
  <c r="AR7" i="4"/>
  <c r="AR23" i="4" s="1"/>
  <c r="AR24" i="4"/>
  <c r="AQ24" i="4"/>
  <c r="AN23" i="4"/>
  <c r="AQ7" i="4"/>
  <c r="AQ14" i="4" s="1"/>
  <c r="AU19" i="4" l="1"/>
  <c r="AU26" i="4"/>
  <c r="AV17" i="4"/>
  <c r="AW15" i="4"/>
  <c r="AW25" i="4" s="1"/>
  <c r="AX23" i="4"/>
  <c r="AX14" i="4"/>
  <c r="AM25" i="4"/>
  <c r="AQ23" i="4"/>
  <c r="AS14" i="4"/>
  <c r="AS15" i="4" s="1"/>
  <c r="AS25" i="4" s="1"/>
  <c r="AN25" i="4"/>
  <c r="AR14" i="4"/>
  <c r="AR15" i="4" s="1"/>
  <c r="AR25" i="4" s="1"/>
  <c r="AP23" i="4"/>
  <c r="AP15" i="4"/>
  <c r="AP25" i="4" s="1"/>
  <c r="AL25" i="4"/>
  <c r="AO15" i="4"/>
  <c r="AO25" i="4" s="1"/>
  <c r="AQ15" i="4"/>
  <c r="AQ25" i="4" s="1"/>
  <c r="AO23" i="4"/>
  <c r="AL23" i="4"/>
  <c r="AV19" i="4" l="1"/>
  <c r="AV26" i="4"/>
  <c r="AX15" i="4"/>
  <c r="AX25" i="4" s="1"/>
  <c r="AW17" i="4"/>
  <c r="AP17" i="4"/>
  <c r="AO17" i="4"/>
  <c r="AO19" i="4" s="1"/>
  <c r="AS17" i="4"/>
  <c r="AQ17" i="4"/>
  <c r="AR17" i="4"/>
  <c r="AQ19" i="4" l="1"/>
  <c r="AQ26" i="4"/>
  <c r="AS19" i="4"/>
  <c r="AS26" i="4"/>
  <c r="AP19" i="4"/>
  <c r="AP26" i="4"/>
  <c r="AW19" i="4"/>
  <c r="AW26" i="4"/>
  <c r="AR19" i="4"/>
  <c r="AR26" i="4"/>
  <c r="AX17" i="4"/>
  <c r="AX19" i="4" l="1"/>
  <c r="AX26" i="4"/>
  <c r="AY17" i="4"/>
  <c r="AZ17" i="4" s="1"/>
  <c r="BA17" i="4" s="1"/>
  <c r="BB17" i="4" s="1"/>
  <c r="BC17" i="4" s="1"/>
  <c r="BD17" i="4" s="1"/>
  <c r="BE17" i="4" s="1"/>
  <c r="BF17" i="4" s="1"/>
  <c r="BG17" i="4" s="1"/>
  <c r="BH17" i="4" s="1"/>
  <c r="BI17" i="4" s="1"/>
  <c r="BJ17" i="4" s="1"/>
  <c r="BK17" i="4" s="1"/>
  <c r="BL17" i="4" s="1"/>
  <c r="BM17" i="4" s="1"/>
  <c r="BN17" i="4" s="1"/>
  <c r="BO17" i="4" s="1"/>
  <c r="BP17" i="4" s="1"/>
  <c r="BQ17" i="4" s="1"/>
  <c r="BR17" i="4" s="1"/>
  <c r="BS17" i="4" s="1"/>
  <c r="BT17" i="4" s="1"/>
  <c r="BU17" i="4" s="1"/>
  <c r="BV17" i="4" s="1"/>
  <c r="BW17" i="4" s="1"/>
  <c r="BX17" i="4" s="1"/>
  <c r="BY17" i="4" s="1"/>
  <c r="BZ17" i="4" s="1"/>
  <c r="CA17" i="4" s="1"/>
  <c r="CB17" i="4" s="1"/>
  <c r="CC17" i="4" s="1"/>
  <c r="CD17" i="4" s="1"/>
  <c r="CE17" i="4" s="1"/>
  <c r="CF17" i="4" s="1"/>
  <c r="CG17" i="4" s="1"/>
  <c r="CH17" i="4" s="1"/>
  <c r="CI17" i="4" s="1"/>
  <c r="CJ17" i="4" s="1"/>
  <c r="CK17" i="4" s="1"/>
  <c r="CL17" i="4" s="1"/>
  <c r="CM17" i="4" s="1"/>
  <c r="CN17" i="4" s="1"/>
  <c r="CO17" i="4" s="1"/>
  <c r="CP17" i="4" s="1"/>
  <c r="CQ17" i="4" s="1"/>
  <c r="CR17" i="4" s="1"/>
  <c r="CS17" i="4" s="1"/>
  <c r="CT17" i="4" s="1"/>
  <c r="CU17" i="4" s="1"/>
  <c r="CV17" i="4" s="1"/>
  <c r="CW17" i="4" s="1"/>
  <c r="CX17" i="4" s="1"/>
  <c r="CY17" i="4" s="1"/>
  <c r="CZ17" i="4" s="1"/>
  <c r="DA17" i="4" s="1"/>
  <c r="DB17" i="4" s="1"/>
  <c r="DC17" i="4" s="1"/>
  <c r="DD17" i="4" s="1"/>
  <c r="DE17" i="4" s="1"/>
  <c r="DF17" i="4" s="1"/>
  <c r="DG17" i="4" s="1"/>
  <c r="DH17" i="4" s="1"/>
  <c r="DI17" i="4" s="1"/>
  <c r="DJ17" i="4" s="1"/>
  <c r="DK17" i="4" s="1"/>
  <c r="DL17" i="4" s="1"/>
  <c r="DM17" i="4" s="1"/>
  <c r="DN17" i="4" s="1"/>
  <c r="DO17" i="4" s="1"/>
  <c r="DP17" i="4" s="1"/>
  <c r="DQ17" i="4" s="1"/>
  <c r="DR17" i="4" s="1"/>
  <c r="DS17" i="4" s="1"/>
  <c r="DT17" i="4" s="1"/>
  <c r="DU17" i="4" s="1"/>
  <c r="DV17" i="4" s="1"/>
  <c r="DW17" i="4" s="1"/>
  <c r="DX17" i="4" s="1"/>
  <c r="DY17" i="4" s="1"/>
  <c r="DZ17" i="4" s="1"/>
  <c r="EA17" i="4" s="1"/>
  <c r="EB17" i="4" s="1"/>
  <c r="EC17" i="4" s="1"/>
  <c r="ED17" i="4" s="1"/>
  <c r="EE17" i="4" s="1"/>
  <c r="EF17" i="4" s="1"/>
  <c r="EG17" i="4" s="1"/>
  <c r="EH17" i="4" s="1"/>
  <c r="EI17" i="4" s="1"/>
  <c r="BA27" i="4" l="1"/>
  <c r="BA28" i="4" s="1"/>
  <c r="BA30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E05256E-5B8D-4931-8BD2-C2A08F9A9017}" keepAlive="1" name="Query - usdjpy" description="Connection to the 'usdjpy' query in the workbook." type="5" refreshedVersion="6" background="1" saveData="1">
    <dbPr connection="Provider=Microsoft.Mashup.OleDb.1;Data Source=$Workbook$;Location=usdjpy;Extended Properties=&quot;&quot;" command="SELECT * FROM [usdjpy]"/>
  </connection>
</connections>
</file>

<file path=xl/sharedStrings.xml><?xml version="1.0" encoding="utf-8"?>
<sst xmlns="http://schemas.openxmlformats.org/spreadsheetml/2006/main" count="117" uniqueCount="93">
  <si>
    <t>Price</t>
  </si>
  <si>
    <t>Shares</t>
  </si>
  <si>
    <t>MC</t>
  </si>
  <si>
    <t>Net Cash</t>
  </si>
  <si>
    <t>EV</t>
  </si>
  <si>
    <t>Time last checked</t>
  </si>
  <si>
    <t>Today</t>
  </si>
  <si>
    <t>Q120</t>
  </si>
  <si>
    <t>USD/JPY</t>
  </si>
  <si>
    <t>title</t>
  </si>
  <si>
    <t>link</t>
  </si>
  <si>
    <t>description</t>
  </si>
  <si>
    <t>baseCurrency</t>
  </si>
  <si>
    <t>pubDate</t>
  </si>
  <si>
    <t>USD</t>
  </si>
  <si>
    <t>baseName</t>
  </si>
  <si>
    <t>targetCurrency</t>
  </si>
  <si>
    <t>targetName</t>
  </si>
  <si>
    <t>exchangeRate</t>
  </si>
  <si>
    <t>inverseRate</t>
  </si>
  <si>
    <t>inverseDescription</t>
  </si>
  <si>
    <t>U.S. Dollar</t>
  </si>
  <si>
    <t>http://www.floatrates.com/usd/jpy/</t>
  </si>
  <si>
    <t>JPY</t>
  </si>
  <si>
    <t>Japanese Yen</t>
  </si>
  <si>
    <t>Cash JPY</t>
  </si>
  <si>
    <t>Debt JPY</t>
  </si>
  <si>
    <t>Cash USD</t>
  </si>
  <si>
    <t>Debt USD</t>
  </si>
  <si>
    <t>Revenue</t>
  </si>
  <si>
    <t>Cost of sales</t>
  </si>
  <si>
    <t>Gross profit</t>
  </si>
  <si>
    <t>SG&amp;A</t>
  </si>
  <si>
    <t>Operating profit</t>
  </si>
  <si>
    <t>Net financing expense</t>
  </si>
  <si>
    <t>Pretax income</t>
  </si>
  <si>
    <t>Taxes</t>
  </si>
  <si>
    <t>Minority interest</t>
  </si>
  <si>
    <t>Net income</t>
  </si>
  <si>
    <t>EPS</t>
  </si>
  <si>
    <t>Gross Margin</t>
  </si>
  <si>
    <t>Operating Margin</t>
  </si>
  <si>
    <t>Revenue y/y</t>
  </si>
  <si>
    <t>Maturity</t>
  </si>
  <si>
    <t>Discount rate</t>
  </si>
  <si>
    <t>NPV</t>
  </si>
  <si>
    <t>Value</t>
  </si>
  <si>
    <t>Per share</t>
  </si>
  <si>
    <t>Current price</t>
  </si>
  <si>
    <t>Variance</t>
  </si>
  <si>
    <t>Net cash</t>
  </si>
  <si>
    <t>if they outperform earnings, could be a good target</t>
  </si>
  <si>
    <t>Consensus</t>
  </si>
  <si>
    <t>Earnings</t>
  </si>
  <si>
    <t>Q220</t>
  </si>
  <si>
    <t>Q320</t>
  </si>
  <si>
    <t>Q420</t>
  </si>
  <si>
    <t>Q121</t>
  </si>
  <si>
    <t>Q221</t>
  </si>
  <si>
    <t>Q321</t>
  </si>
  <si>
    <t>Q421</t>
  </si>
  <si>
    <t>1 USD = 106.31855806 JPY</t>
  </si>
  <si>
    <t>1 U.S. Dollar = 106.31855806 Japanese Yen</t>
  </si>
  <si>
    <t>1 Japanese Yen = 0.00940570 U.S. Dollar</t>
  </si>
  <si>
    <t>Investments</t>
  </si>
  <si>
    <t>Other finance income</t>
  </si>
  <si>
    <t>Other finance costs</t>
  </si>
  <si>
    <t>Other income</t>
  </si>
  <si>
    <t>Finance income</t>
  </si>
  <si>
    <t>Net finance expense</t>
  </si>
  <si>
    <t>SG&amp;A y/y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</si>
  <si>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</si>
  <si>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</si>
  <si>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</si>
  <si>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</si>
  <si>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</si>
  <si>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</si>
  <si>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</si>
  <si>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</si>
  <si>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</si>
  <si>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</si>
  <si>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</si>
  <si>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</si>
  <si>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Q125</t>
  </si>
  <si>
    <t>Q225</t>
  </si>
  <si>
    <t>Q325</t>
  </si>
  <si>
    <t>Q425</t>
  </si>
  <si>
    <t>Q126</t>
  </si>
  <si>
    <t>Q226</t>
  </si>
  <si>
    <t>Q326</t>
  </si>
  <si>
    <t>Q426</t>
  </si>
  <si>
    <t>Net Margin</t>
  </si>
  <si>
    <t>Heavily undervalued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</si>
</sst>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$-409]#,##0.00"/>
    <numFmt numFmtId="165" formatCode="[$¥-411]#,##0"/>
    <numFmt numFmtId="166" formatCode="[$$-409]#,##0"/>
    <numFmt numFmtId="167" formatCode="[$¥-411]#,##0.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3" fontId="0" fillId="0" borderId="0" xfId="0" applyNumberFormat="1"/>
    <xf numFmtId="165" fontId="0" fillId="0" borderId="0" xfId="0" applyNumberFormat="1"/>
    <xf numFmtId="166" fontId="0" fillId="0" borderId="0" xfId="0" applyNumberFormat="1"/>
    <xf numFmtId="22" fontId="0" fillId="0" borderId="0" xfId="0" applyNumberFormat="1"/>
    <xf numFmtId="167" fontId="0" fillId="0" borderId="0" xfId="0" applyNumberFormat="1"/>
    <xf numFmtId="3" fontId="1" fillId="0" borderId="0" xfId="0" applyNumberFormat="1" applyFont="1"/>
    <xf numFmtId="9" fontId="1" fillId="0" borderId="0" xfId="0" applyNumberFormat="1" applyFont="1"/>
    <xf numFmtId="14" fontId="0" fillId="0" borderId="0" xfId="0" applyNumberFormat="1"/>
    <xf numFmtId="1" fontId="0" fillId="0" borderId="0" xfId="0" applyNumberFormat="1"/>
    <xf numFmtId="2" fontId="1" fillId="0" borderId="0" xfId="0" applyNumberFormat="1" applyFont="1"/>
    <xf numFmtId="9" fontId="0" fillId="0" borderId="0" xfId="0" applyNumberFormat="1"/>
    <xf numFmtId="0" fontId="0" fillId="0" borderId="0" xfId="0" applyAlignment="1">
      <alignment horizontal="right"/>
    </xf>
    <xf numFmtId="0" fontId="1" fillId="0" borderId="0" xfId="0" applyFont="1" applyAlignment="1">
      <alignment horizontal="left"/>
    </xf>
    <xf numFmtId="4" fontId="1" fillId="0" borderId="0" xfId="0" applyNumberFormat="1" applyFont="1"/>
    <xf numFmtId="3" fontId="4" fillId="0" borderId="0" xfId="0" applyNumberFormat="1" applyFont="1"/>
    <xf numFmtId="3" fontId="2" fillId="0" borderId="0" xfId="0" applyNumberFormat="1" applyFont="1"/>
    <xf numFmtId="0" fontId="2" fillId="0" borderId="0" xfId="0" applyFont="1"/>
    <xf numFmtId="4" fontId="4" fillId="0" borderId="0" xfId="0" applyNumberFormat="1" applyFont="1"/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22860</xdr:colOff>
      <xdr:row>0</xdr:row>
      <xdr:rowOff>0</xdr:rowOff>
    </xdr:from>
    <xdr:to>
      <xdr:col>9</xdr:col>
      <xdr:colOff>22860</xdr:colOff>
      <xdr:row>55</xdr:row>
      <xdr:rowOff>91440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5D7A84A1-1C42-4073-A676-03EB25B05552}"/>
            </a:ext>
          </a:extLst>
        </xdr:cNvPr>
        <xdr:cNvCxnSpPr/>
      </xdr:nvCxnSpPr>
      <xdr:spPr>
        <a:xfrm>
          <a:off x="7010400" y="0"/>
          <a:ext cx="0" cy="90525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40</xdr:col>
      <xdr:colOff>22860</xdr:colOff>
      <xdr:row>0</xdr:row>
      <xdr:rowOff>22860</xdr:rowOff>
    </xdr:from>
    <xdr:to>
      <xdr:col>40</xdr:col>
      <xdr:colOff>22860</xdr:colOff>
      <xdr:row>32</xdr:row>
      <xdr:rowOff>76200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995D1999-B9F2-4898-A507-0745E117B789}"/>
            </a:ext>
          </a:extLst>
        </xdr:cNvPr>
        <xdr:cNvCxnSpPr/>
      </xdr:nvCxnSpPr>
      <xdr:spPr>
        <a:xfrm>
          <a:off x="29337000" y="22860"/>
          <a:ext cx="0" cy="59055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CF02D31-FA0B-4B39-A2C9-45F4D6FCBC90}" autoFormatId="16" applyNumberFormats="0" applyBorderFormats="0" applyFontFormats="0" applyPatternFormats="0" applyAlignmentFormats="0" applyWidthHeightFormats="0">
  <queryTableRefresh nextId="12">
    <queryTableFields count="11">
      <queryTableField id="1" name="title" tableColumnId="12"/>
      <queryTableField id="2" name="link" tableColumnId="2"/>
      <queryTableField id="3" name="description" tableColumnId="3"/>
      <queryTableField id="4" name="pubDate" tableColumnId="4"/>
      <queryTableField id="5" name="baseCurrency" tableColumnId="5"/>
      <queryTableField id="6" name="baseName" tableColumnId="6"/>
      <queryTableField id="7" name="targetCurrency" tableColumnId="7"/>
      <queryTableField id="8" name="targetName" tableColumnId="8"/>
      <queryTableField id="9" name="exchangeRate" tableColumnId="9"/>
      <queryTableField id="10" name="inverseRate" tableColumnId="10"/>
      <queryTableField id="11" name="inverseDescription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23583A1-1005-43C5-8E4E-C4BFEEA0A9EF}" name="usdjpy" displayName="usdjpy" ref="A1:K2" tableType="queryTable" totalsRowShown="0">
  <autoFilter ref="A1:K2" xr:uid="{3A5FF6DB-025C-415A-953B-1998CD98FB58}"/>
  <tableColumns count="11">
    <tableColumn id="12" xr3:uid="{21B6F5A2-9190-4F5F-814B-8C0A8846A7A1}" uniqueName="12" name="title" queryTableFieldId="1" dataDxfId="10"/>
    <tableColumn id="2" xr3:uid="{FB39E0B2-23B4-44D7-85E3-B2356F0722B7}" uniqueName="2" name="link" queryTableFieldId="2" dataDxfId="9"/>
    <tableColumn id="3" xr3:uid="{22282F28-0532-4E3D-B7EA-55CDE07287B3}" uniqueName="3" name="description" queryTableFieldId="3" dataDxfId="8"/>
    <tableColumn id="4" xr3:uid="{86BFAAD9-D164-4F75-9536-B7E18AD31A86}" uniqueName="4" name="pubDate" queryTableFieldId="4" dataDxfId="7"/>
    <tableColumn id="5" xr3:uid="{014573C3-B70D-4096-83C8-7CB9C0DE99EC}" uniqueName="5" name="baseCurrency" queryTableFieldId="5" dataDxfId="6"/>
    <tableColumn id="6" xr3:uid="{8E4272A2-9544-4766-89B6-6BF60CD36DD7}" uniqueName="6" name="baseName" queryTableFieldId="6" dataDxfId="5"/>
    <tableColumn id="7" xr3:uid="{8A1FA9F0-B728-4FFB-8EF1-D818326E9F39}" uniqueName="7" name="targetCurrency" queryTableFieldId="7" dataDxfId="4"/>
    <tableColumn id="8" xr3:uid="{5EEBE399-9417-4D5D-8212-DAD6AFA96F33}" uniqueName="8" name="targetName" queryTableFieldId="8" dataDxfId="3"/>
    <tableColumn id="9" xr3:uid="{83892EC6-CA2E-4D7D-A685-BCE6999D31F4}" uniqueName="9" name="exchangeRate" queryTableFieldId="9" dataDxfId="2"/>
    <tableColumn id="10" xr3:uid="{F13137B5-2E41-4344-B91B-EAA849012B17}" uniqueName="10" name="inverseRate" queryTableFieldId="10" dataDxfId="1"/>
    <tableColumn id="11" xr3:uid="{6C689423-2CAB-4C14-971F-946C663BF854}" uniqueName="11" name="inverseDescription" queryTableFieldId="1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F1E92-B21A-4CE6-B201-46823B23EA64}">
  <sheetPr codeName="Sheet1"/>
  <dimension ref="B2:I15"/>
  <sheetViews>
    <sheetView workbookViewId="0">
      <selection activeCell="F13" sqref="F13"/>
    </sheetView>
  </sheetViews>
  <sheetFormatPr defaultRowHeight="14.4" x14ac:dyDescent="0.3"/>
  <cols>
    <col min="4" max="4" width="11" bestFit="1" customWidth="1"/>
    <col min="5" max="7" width="15.77734375" style="3" customWidth="1"/>
    <col min="9" max="9" width="11" bestFit="1" customWidth="1"/>
  </cols>
  <sheetData>
    <row r="2" spans="2:9" x14ac:dyDescent="0.3">
      <c r="E2" s="3" t="s">
        <v>5</v>
      </c>
      <c r="F2" s="3" t="s">
        <v>6</v>
      </c>
      <c r="G2" s="3" t="s">
        <v>53</v>
      </c>
    </row>
    <row r="3" spans="2:9" x14ac:dyDescent="0.3">
      <c r="B3" s="17">
        <v>7203</v>
      </c>
      <c r="C3" t="s">
        <v>0</v>
      </c>
      <c r="D3" s="2">
        <v>193.01</v>
      </c>
      <c r="E3" s="4">
        <v>45904</v>
      </c>
      <c r="F3" s="4">
        <f ca="1">TODAY()</f>
        <v>45904</v>
      </c>
      <c r="G3" s="4">
        <v>45959</v>
      </c>
    </row>
    <row r="4" spans="2:9" x14ac:dyDescent="0.3">
      <c r="C4" t="s">
        <v>1</v>
      </c>
      <c r="D4" s="5">
        <f>13032.9/10</f>
        <v>1303.29</v>
      </c>
      <c r="E4" s="3" t="s">
        <v>87</v>
      </c>
    </row>
    <row r="5" spans="2:9" x14ac:dyDescent="0.3">
      <c r="C5" t="s">
        <v>2</v>
      </c>
      <c r="D5" s="7">
        <f>D3*D4</f>
        <v>251548.00289999999</v>
      </c>
    </row>
    <row r="6" spans="2:9" x14ac:dyDescent="0.3">
      <c r="C6" t="s">
        <v>25</v>
      </c>
      <c r="D6" s="6">
        <f>8210856+5643887</f>
        <v>13854743</v>
      </c>
      <c r="E6" s="3" t="s">
        <v>87</v>
      </c>
    </row>
    <row r="7" spans="2:9" x14ac:dyDescent="0.3">
      <c r="C7" t="s">
        <v>26</v>
      </c>
      <c r="D7" s="6">
        <f>15505149+22938634</f>
        <v>38443783</v>
      </c>
      <c r="E7" s="3" t="s">
        <v>87</v>
      </c>
    </row>
    <row r="8" spans="2:9" x14ac:dyDescent="0.3">
      <c r="C8" t="s">
        <v>27</v>
      </c>
      <c r="D8" s="7">
        <f>D6/D13</f>
        <v>93417.456678578645</v>
      </c>
      <c r="E8" s="3" t="s">
        <v>87</v>
      </c>
    </row>
    <row r="9" spans="2:9" x14ac:dyDescent="0.3">
      <c r="C9" t="s">
        <v>28</v>
      </c>
      <c r="D9" s="7">
        <f>D7/D13</f>
        <v>259212.34576225473</v>
      </c>
      <c r="E9" s="3" t="s">
        <v>87</v>
      </c>
    </row>
    <row r="10" spans="2:9" x14ac:dyDescent="0.3">
      <c r="C10" t="s">
        <v>3</v>
      </c>
      <c r="D10" s="7">
        <f>(D6-D7)/D13</f>
        <v>-165794.88908367607</v>
      </c>
      <c r="E10" s="3" t="s">
        <v>87</v>
      </c>
    </row>
    <row r="11" spans="2:9" x14ac:dyDescent="0.3">
      <c r="C11" t="s">
        <v>4</v>
      </c>
      <c r="D11" s="7">
        <f>D5-D10</f>
        <v>417342.89198367606</v>
      </c>
    </row>
    <row r="13" spans="2:9" x14ac:dyDescent="0.3">
      <c r="C13" t="s">
        <v>8</v>
      </c>
      <c r="D13" s="9">
        <v>148.31</v>
      </c>
    </row>
    <row r="15" spans="2:9" x14ac:dyDescent="0.3">
      <c r="I15" s="9">
        <f>(2766-43+47)*(6886/D13)+(43/2)*D3</f>
        <v>132760.19305272741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E7229-131C-44E2-A523-FFFDA163C314}">
  <sheetPr codeName="Sheet2"/>
  <dimension ref="B1:EI48"/>
  <sheetViews>
    <sheetView tabSelected="1" workbookViewId="0">
      <pane xSplit="2" ySplit="2" topLeftCell="AM5" activePane="bottomRight" state="frozen"/>
      <selection pane="topRight" activeCell="C1" sqref="C1"/>
      <selection pane="bottomLeft" activeCell="A3" sqref="A3"/>
      <selection pane="bottomRight" activeCell="BA25" sqref="BA25"/>
    </sheetView>
  </sheetViews>
  <sheetFormatPr defaultRowHeight="14.4" x14ac:dyDescent="0.3"/>
  <cols>
    <col min="2" max="2" width="19.109375" bestFit="1" customWidth="1"/>
    <col min="3" max="30" width="10.5546875" customWidth="1"/>
    <col min="31" max="31" width="8.88671875" customWidth="1"/>
    <col min="32" max="50" width="10.5546875" customWidth="1"/>
    <col min="51" max="51" width="8.77734375" customWidth="1"/>
    <col min="52" max="52" width="11.88671875" bestFit="1" customWidth="1"/>
    <col min="53" max="53" width="17.33203125" bestFit="1" customWidth="1"/>
  </cols>
  <sheetData>
    <row r="1" spans="2:50" x14ac:dyDescent="0.3">
      <c r="C1" s="12">
        <v>43646</v>
      </c>
      <c r="D1" s="12">
        <v>43738</v>
      </c>
      <c r="E1" s="12">
        <v>43830</v>
      </c>
      <c r="F1" s="12">
        <v>43921</v>
      </c>
      <c r="G1" s="12">
        <v>44012</v>
      </c>
      <c r="H1" s="12">
        <v>44104</v>
      </c>
      <c r="I1" s="12">
        <v>44196</v>
      </c>
      <c r="J1" s="12">
        <v>44286</v>
      </c>
      <c r="K1" s="12">
        <v>44377</v>
      </c>
      <c r="L1" s="12">
        <v>44469</v>
      </c>
      <c r="M1" s="12">
        <v>44561</v>
      </c>
      <c r="N1" s="12">
        <v>44651</v>
      </c>
      <c r="O1" s="12">
        <v>44742</v>
      </c>
      <c r="P1" s="12">
        <v>44834</v>
      </c>
      <c r="Q1" s="12">
        <v>44926</v>
      </c>
      <c r="R1" s="12">
        <v>45016</v>
      </c>
      <c r="S1" s="12">
        <v>45107</v>
      </c>
      <c r="T1" s="12">
        <v>45199</v>
      </c>
      <c r="U1" s="12">
        <v>45291</v>
      </c>
      <c r="V1" s="12">
        <v>45382</v>
      </c>
      <c r="W1" s="12">
        <v>45473</v>
      </c>
      <c r="X1" s="12">
        <v>45565</v>
      </c>
      <c r="Y1" s="12">
        <v>45657</v>
      </c>
      <c r="Z1" s="12">
        <v>45747</v>
      </c>
      <c r="AA1" s="12">
        <v>45838</v>
      </c>
      <c r="AB1" s="12">
        <v>45930</v>
      </c>
      <c r="AC1" s="12">
        <v>46022</v>
      </c>
      <c r="AD1" s="12">
        <v>46112</v>
      </c>
      <c r="AF1" s="12">
        <v>42825</v>
      </c>
      <c r="AG1" s="12">
        <v>43190</v>
      </c>
      <c r="AH1" s="12">
        <v>43555</v>
      </c>
      <c r="AI1" s="12">
        <v>43921</v>
      </c>
      <c r="AJ1" s="12">
        <v>44286</v>
      </c>
      <c r="AK1" s="12">
        <v>44651</v>
      </c>
      <c r="AL1" s="12">
        <v>45016</v>
      </c>
      <c r="AM1" s="12">
        <v>45382</v>
      </c>
      <c r="AN1" s="12">
        <v>45747</v>
      </c>
      <c r="AO1" s="12">
        <v>46112</v>
      </c>
      <c r="AP1" s="12">
        <v>46477</v>
      </c>
      <c r="AQ1" s="12">
        <v>46843</v>
      </c>
      <c r="AR1" s="12">
        <v>47208</v>
      </c>
      <c r="AS1" s="12">
        <v>47573</v>
      </c>
      <c r="AT1" s="12">
        <v>47938</v>
      </c>
      <c r="AU1" s="12">
        <v>48304</v>
      </c>
      <c r="AV1" s="12">
        <v>48669</v>
      </c>
      <c r="AW1" s="12">
        <v>49034</v>
      </c>
      <c r="AX1" s="12">
        <v>49399</v>
      </c>
    </row>
    <row r="2" spans="2:50" x14ac:dyDescent="0.3">
      <c r="C2" s="16" t="s">
        <v>7</v>
      </c>
      <c r="D2" s="16" t="s">
        <v>54</v>
      </c>
      <c r="E2" s="16" t="s">
        <v>55</v>
      </c>
      <c r="F2" s="16" t="s">
        <v>56</v>
      </c>
      <c r="G2" s="16" t="s">
        <v>57</v>
      </c>
      <c r="H2" s="16" t="s">
        <v>58</v>
      </c>
      <c r="I2" s="16" t="s">
        <v>59</v>
      </c>
      <c r="J2" s="16" t="s">
        <v>60</v>
      </c>
      <c r="K2" s="16" t="s">
        <v>71</v>
      </c>
      <c r="L2" s="16" t="s">
        <v>72</v>
      </c>
      <c r="M2" s="16" t="s">
        <v>73</v>
      </c>
      <c r="N2" s="16" t="s">
        <v>74</v>
      </c>
      <c r="O2" s="16" t="s">
        <v>75</v>
      </c>
      <c r="P2" s="16" t="s">
        <v>76</v>
      </c>
      <c r="Q2" s="16" t="s">
        <v>77</v>
      </c>
      <c r="R2" s="16" t="s">
        <v>78</v>
      </c>
      <c r="S2" s="16" t="s">
        <v>79</v>
      </c>
      <c r="T2" s="16" t="s">
        <v>80</v>
      </c>
      <c r="U2" s="16" t="s">
        <v>81</v>
      </c>
      <c r="V2" s="16" t="s">
        <v>82</v>
      </c>
      <c r="W2" s="16" t="s">
        <v>83</v>
      </c>
      <c r="X2" s="16" t="s">
        <v>84</v>
      </c>
      <c r="Y2" s="16" t="s">
        <v>85</v>
      </c>
      <c r="Z2" s="16" t="s">
        <v>86</v>
      </c>
      <c r="AA2" s="16" t="s">
        <v>87</v>
      </c>
      <c r="AB2" s="16" t="s">
        <v>88</v>
      </c>
      <c r="AC2" s="16" t="s">
        <v>89</v>
      </c>
      <c r="AD2" s="16" t="s">
        <v>90</v>
      </c>
      <c r="AF2">
        <v>2017</v>
      </c>
      <c r="AG2">
        <v>2018</v>
      </c>
      <c r="AH2">
        <v>2019</v>
      </c>
      <c r="AI2">
        <v>2020</v>
      </c>
      <c r="AJ2">
        <v>2021</v>
      </c>
      <c r="AK2">
        <v>2022</v>
      </c>
      <c r="AL2">
        <v>2023</v>
      </c>
      <c r="AM2">
        <v>2024</v>
      </c>
      <c r="AN2">
        <v>2025</v>
      </c>
      <c r="AO2">
        <v>2026</v>
      </c>
      <c r="AP2">
        <v>2027</v>
      </c>
      <c r="AQ2">
        <v>2028</v>
      </c>
      <c r="AR2">
        <v>2029</v>
      </c>
      <c r="AS2">
        <v>2030</v>
      </c>
      <c r="AT2">
        <v>2031</v>
      </c>
      <c r="AU2">
        <v>2032</v>
      </c>
      <c r="AV2">
        <v>2033</v>
      </c>
      <c r="AW2">
        <v>2034</v>
      </c>
      <c r="AX2">
        <v>2035</v>
      </c>
    </row>
    <row r="3" spans="2:50" s="1" customFormat="1" x14ac:dyDescent="0.3">
      <c r="B3" s="1" t="s">
        <v>29</v>
      </c>
      <c r="C3" s="10">
        <f>C32/Main!$D$13</f>
        <v>52061.715326006335</v>
      </c>
      <c r="D3" s="10">
        <f>D32/Main!$D$13</f>
        <v>51493.520329040519</v>
      </c>
      <c r="E3" s="10">
        <f>E32/Main!$D$13</f>
        <v>51304.234373946463</v>
      </c>
      <c r="F3" s="10">
        <f>F32/Main!$D$13</f>
        <v>46519.715460859014</v>
      </c>
      <c r="G3" s="10">
        <f>G32/Main!$D$13</f>
        <v>31021.482030881263</v>
      </c>
      <c r="H3" s="10">
        <f>H32/Main!$D$13</f>
        <v>45677.479603533138</v>
      </c>
      <c r="I3" s="10">
        <f>I32/Main!$D$13</f>
        <v>54952.680196884903</v>
      </c>
      <c r="J3" s="10">
        <f>F3*1.15</f>
        <v>53497.672779987864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>
        <f>W32/Main!$D$13</f>
        <v>79818.481558896907</v>
      </c>
      <c r="X3" s="10"/>
      <c r="Y3" s="10"/>
      <c r="Z3" s="10"/>
      <c r="AA3" s="10">
        <f>AA32/Main!$D$13</f>
        <v>82619.688490324319</v>
      </c>
      <c r="AB3" s="10"/>
      <c r="AC3" s="10"/>
      <c r="AD3" s="10"/>
      <c r="AF3" s="10">
        <f>AF32/Main!$D$13</f>
        <v>186077.76279414739</v>
      </c>
      <c r="AG3" s="10">
        <f>AG32/Main!$D$13</f>
        <v>198095.27341379542</v>
      </c>
      <c r="AH3" s="10">
        <f>AH32/Main!$D$13</f>
        <v>203800.69449126828</v>
      </c>
      <c r="AI3" s="10">
        <f>AI32/Main!$D$13</f>
        <v>201379.18548985233</v>
      </c>
      <c r="AJ3" s="10">
        <f>AJ32/Main!$D$13</f>
        <v>183498.03789360123</v>
      </c>
      <c r="AK3" s="10">
        <f>AK32/Main!$D$13</f>
        <v>211580.52053131952</v>
      </c>
      <c r="AL3" s="10">
        <f>AL32/Main!$D$13</f>
        <v>250517.82078079699</v>
      </c>
      <c r="AM3" s="10">
        <f>AM32/Main!$D$13</f>
        <v>304061.25682691659</v>
      </c>
      <c r="AN3" s="10">
        <f>AN32/Main!$D$13</f>
        <v>323893.89791652618</v>
      </c>
      <c r="AO3" s="10">
        <f>AN3*1.04</f>
        <v>336849.65383318724</v>
      </c>
      <c r="AP3" s="10">
        <f>AO3*1.02</f>
        <v>343586.646909851</v>
      </c>
      <c r="AQ3" s="10">
        <f>AP3*1.01</f>
        <v>347022.51337894949</v>
      </c>
      <c r="AR3" s="10">
        <f t="shared" ref="AR3:AS3" si="0">AQ3*1.01</f>
        <v>350492.73851273896</v>
      </c>
      <c r="AS3" s="10">
        <f t="shared" si="0"/>
        <v>353997.66589786636</v>
      </c>
      <c r="AT3" s="10">
        <f t="shared" ref="AT3" si="1">AS3*1.01</f>
        <v>357537.64255684504</v>
      </c>
      <c r="AU3" s="10">
        <f t="shared" ref="AU3" si="2">AT3*1.01</f>
        <v>361113.01898241352</v>
      </c>
      <c r="AV3" s="10">
        <f t="shared" ref="AV3" si="3">AU3*1.01</f>
        <v>364724.14917223767</v>
      </c>
      <c r="AW3" s="10">
        <f t="shared" ref="AW3" si="4">AV3*1.01</f>
        <v>368371.39066396008</v>
      </c>
      <c r="AX3" s="10">
        <f t="shared" ref="AX3" si="5">AW3*1.01</f>
        <v>372055.10457059968</v>
      </c>
    </row>
    <row r="4" spans="2:50" x14ac:dyDescent="0.3">
      <c r="B4" t="s">
        <v>30</v>
      </c>
      <c r="C4" s="5">
        <f>C33/Main!$D$13</f>
        <v>42270.548176117591</v>
      </c>
      <c r="D4" s="5">
        <f>D33/Main!$D$13</f>
        <v>42380.230598071605</v>
      </c>
      <c r="E4" s="5">
        <f>E33/Main!$D$13</f>
        <v>41984.734677364977</v>
      </c>
      <c r="F4" s="5">
        <f>F33/Main!$D$13</f>
        <v>38460.238689232014</v>
      </c>
      <c r="G4" s="5">
        <f>G33/Main!$D$13</f>
        <v>27316.890297350146</v>
      </c>
      <c r="H4" s="5">
        <f>H33/Main!$D$13</f>
        <v>37935.944980109227</v>
      </c>
      <c r="I4" s="5">
        <f>I33/Main!$D$13</f>
        <v>43782.145506034656</v>
      </c>
      <c r="J4" s="5">
        <f>J3-J5</f>
        <v>43868.091679590048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>
        <f>W33/Main!$D$13</f>
        <v>63441.332344413728</v>
      </c>
      <c r="X4" s="5"/>
      <c r="Y4" s="5"/>
      <c r="Z4" s="5"/>
      <c r="AA4" s="5">
        <f>AA33/Main!$D$13</f>
        <v>67814.125817544336</v>
      </c>
      <c r="AB4" s="5"/>
      <c r="AC4" s="5"/>
      <c r="AD4" s="5"/>
      <c r="AF4" s="5">
        <f>AF33/Main!$D$13</f>
        <v>153289.29944036141</v>
      </c>
      <c r="AG4" s="5">
        <f>AG33/Main!$D$13</f>
        <v>161075.80743038229</v>
      </c>
      <c r="AH4" s="5">
        <f>AH33/Main!$D$13</f>
        <v>167094.49801092307</v>
      </c>
      <c r="AI4" s="5">
        <f>AI33/Main!$D$13</f>
        <v>165095.75214078618</v>
      </c>
      <c r="AJ4" s="5">
        <f>AJ33/Main!$D$13</f>
        <v>150915.11024206056</v>
      </c>
      <c r="AK4" s="5">
        <f>AK33/Main!$D$13</f>
        <v>171315.71707909109</v>
      </c>
      <c r="AL4" s="5">
        <f>AL33/Main!$D$13</f>
        <v>207951.46652282382</v>
      </c>
      <c r="AM4" s="5">
        <f>AM33/Main!$D$13</f>
        <v>240894.12042343739</v>
      </c>
      <c r="AN4" s="5">
        <f>AN33/Main!$D$13</f>
        <v>259312.69637920571</v>
      </c>
      <c r="AO4" s="5">
        <f t="shared" ref="AO4:AS4" si="6">AO3-AO5</f>
        <v>272848.21960488165</v>
      </c>
      <c r="AP4" s="5">
        <f t="shared" si="6"/>
        <v>278305.18399697932</v>
      </c>
      <c r="AQ4" s="5">
        <f t="shared" si="6"/>
        <v>281088.23583694908</v>
      </c>
      <c r="AR4" s="5">
        <f t="shared" si="6"/>
        <v>283899.11819531856</v>
      </c>
      <c r="AS4" s="5">
        <f t="shared" si="6"/>
        <v>286738.10937727173</v>
      </c>
      <c r="AT4" s="5">
        <f t="shared" ref="AT4:AX4" si="7">AT3-AT5</f>
        <v>289605.4904710445</v>
      </c>
      <c r="AU4" s="5">
        <f t="shared" si="7"/>
        <v>292501.54537575494</v>
      </c>
      <c r="AV4" s="5">
        <f t="shared" si="7"/>
        <v>295426.56082951254</v>
      </c>
      <c r="AW4" s="5">
        <f t="shared" si="7"/>
        <v>298380.82643780764</v>
      </c>
      <c r="AX4" s="5">
        <f t="shared" si="7"/>
        <v>301364.63470218575</v>
      </c>
    </row>
    <row r="5" spans="2:50" s="1" customFormat="1" x14ac:dyDescent="0.3">
      <c r="B5" s="1" t="s">
        <v>31</v>
      </c>
      <c r="C5" s="10">
        <f>C34/Main!$D$13</f>
        <v>9791.1671498887463</v>
      </c>
      <c r="D5" s="10">
        <f>D34/Main!$D$13</f>
        <v>9113.289730968916</v>
      </c>
      <c r="E5" s="10">
        <f>E34/Main!$D$13</f>
        <v>9319.4996965814844</v>
      </c>
      <c r="F5" s="10">
        <f>F34/Main!$D$13</f>
        <v>8059.4767716269971</v>
      </c>
      <c r="G5" s="10">
        <f>G34/Main!$D$13</f>
        <v>3704.5917335311174</v>
      </c>
      <c r="H5" s="10">
        <f>H34/Main!$D$13</f>
        <v>7741.5346234239096</v>
      </c>
      <c r="I5" s="10">
        <f>I34/Main!$D$13</f>
        <v>11170.534690850245</v>
      </c>
      <c r="J5" s="10">
        <f>J3*0.18</f>
        <v>9629.581100397816</v>
      </c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>
        <f>W34/Main!$D$13</f>
        <v>16377.149214483177</v>
      </c>
      <c r="X5" s="10"/>
      <c r="Y5" s="10"/>
      <c r="Z5" s="10"/>
      <c r="AA5" s="10">
        <f>AA34/Main!$D$13</f>
        <v>14805.562672779988</v>
      </c>
      <c r="AB5" s="10"/>
      <c r="AC5" s="10"/>
      <c r="AD5" s="10"/>
      <c r="AF5" s="10">
        <f>AF34/Main!$D$13</f>
        <v>32788.463353785992</v>
      </c>
      <c r="AG5" s="10">
        <f>AG34/Main!$D$13</f>
        <v>37019.465983413123</v>
      </c>
      <c r="AH5" s="10">
        <f>AH34/Main!$D$13</f>
        <v>36706.196480345221</v>
      </c>
      <c r="AI5" s="10">
        <f>AI34/Main!$D$13</f>
        <v>36283.433349066145</v>
      </c>
      <c r="AJ5" s="10">
        <f>AJ34/Main!$D$13</f>
        <v>32582.927651540693</v>
      </c>
      <c r="AK5" s="10">
        <f>AK34/Main!$D$13</f>
        <v>40264.803452228443</v>
      </c>
      <c r="AL5" s="10">
        <f>AL34/Main!$D$13</f>
        <v>42566.354257973166</v>
      </c>
      <c r="AM5" s="10">
        <f>AM34/Main!$D$13</f>
        <v>63167.136403479199</v>
      </c>
      <c r="AN5" s="10">
        <f>AN34/Main!$D$13</f>
        <v>64581.201537320478</v>
      </c>
      <c r="AO5" s="10">
        <f>AO3*0.19</f>
        <v>64001.434228305574</v>
      </c>
      <c r="AP5" s="10">
        <f t="shared" ref="AP5:AX5" si="8">AP3*0.19</f>
        <v>65281.462912871692</v>
      </c>
      <c r="AQ5" s="10">
        <f t="shared" si="8"/>
        <v>65934.277542000404</v>
      </c>
      <c r="AR5" s="10">
        <f t="shared" si="8"/>
        <v>66593.620317420398</v>
      </c>
      <c r="AS5" s="10">
        <f t="shared" si="8"/>
        <v>67259.556520594604</v>
      </c>
      <c r="AT5" s="10">
        <f t="shared" si="8"/>
        <v>67932.152085800553</v>
      </c>
      <c r="AU5" s="10">
        <f t="shared" si="8"/>
        <v>68611.473606658576</v>
      </c>
      <c r="AV5" s="10">
        <f t="shared" si="8"/>
        <v>69297.588342725154</v>
      </c>
      <c r="AW5" s="10">
        <f t="shared" si="8"/>
        <v>69990.564226152419</v>
      </c>
      <c r="AX5" s="10">
        <f t="shared" si="8"/>
        <v>70690.469868413944</v>
      </c>
    </row>
    <row r="6" spans="2:50" x14ac:dyDescent="0.3">
      <c r="B6" t="s">
        <v>32</v>
      </c>
      <c r="C6" s="5">
        <f>C35/Main!$D$13</f>
        <v>4797.4984829074237</v>
      </c>
      <c r="D6" s="5">
        <f>D35/Main!$D$13</f>
        <v>4672.543995684714</v>
      </c>
      <c r="E6" s="5">
        <f>E35/Main!$D$13</f>
        <v>5003.560110579192</v>
      </c>
      <c r="F6" s="5">
        <f>F35/Main!$D$13</f>
        <v>5632.6950306789831</v>
      </c>
      <c r="G6" s="5">
        <f>G35/Main!$D$13</f>
        <v>3610.7342728069584</v>
      </c>
      <c r="H6" s="5">
        <f>H35/Main!$D$13</f>
        <v>4329.3506843773175</v>
      </c>
      <c r="I6" s="5">
        <f>I35/Main!$D$13</f>
        <v>4509.2171802305984</v>
      </c>
      <c r="J6" s="5">
        <f>F6*0.92</f>
        <v>5182.0794282246643</v>
      </c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>
        <f>W35/Main!$D$13</f>
        <v>7551.6418312993055</v>
      </c>
      <c r="X6" s="5"/>
      <c r="Y6" s="5"/>
      <c r="Z6" s="5"/>
      <c r="AA6" s="5">
        <f>AA35/Main!$D$13</f>
        <v>6942.7010990492881</v>
      </c>
      <c r="AB6" s="5"/>
      <c r="AC6" s="5"/>
      <c r="AD6" s="5"/>
      <c r="AF6" s="5">
        <f>AF35/Main!$D$13</f>
        <v>19341.143550670891</v>
      </c>
      <c r="AG6" s="5">
        <f>AG35/Main!$D$13</f>
        <v>20838.075652349806</v>
      </c>
      <c r="AH6" s="5">
        <f>AH35/Main!$D$13</f>
        <v>20068.444474411706</v>
      </c>
      <c r="AI6" s="5">
        <f>AI35/Main!$D$13</f>
        <v>20106.297619850313</v>
      </c>
      <c r="AJ6" s="5">
        <f>AJ35/Main!$D$13</f>
        <v>17764.311239970331</v>
      </c>
      <c r="AK6" s="5">
        <f>AK35/Main!$D$13</f>
        <v>20065.922729418111</v>
      </c>
      <c r="AL6" s="5">
        <f>AL35/Main!$D$13</f>
        <v>24192.502191355943</v>
      </c>
      <c r="AM6" s="5">
        <f>AM35/Main!$D$13</f>
        <v>27074.256624637583</v>
      </c>
      <c r="AN6" s="5">
        <f>AN35/Main!$D$13</f>
        <v>32246.321893331537</v>
      </c>
      <c r="AO6" s="5">
        <f t="shared" ref="AO6" si="9">AN6*1.02</f>
        <v>32891.24833119817</v>
      </c>
      <c r="AP6" s="5">
        <f>AO6*1.01</f>
        <v>33220.160814510149</v>
      </c>
      <c r="AQ6" s="5">
        <f t="shared" ref="AQ6:AS6" si="10">AP6*1.01</f>
        <v>33552.362422655249</v>
      </c>
      <c r="AR6" s="5">
        <f t="shared" si="10"/>
        <v>33887.886046881802</v>
      </c>
      <c r="AS6" s="5">
        <f t="shared" si="10"/>
        <v>34226.764907350618</v>
      </c>
      <c r="AT6" s="5">
        <f t="shared" ref="AT6" si="11">AS6*1.01</f>
        <v>34569.032556424121</v>
      </c>
      <c r="AU6" s="5">
        <f t="shared" ref="AU6" si="12">AT6*1.01</f>
        <v>34914.72288198836</v>
      </c>
      <c r="AV6" s="5">
        <f t="shared" ref="AV6" si="13">AU6*1.01</f>
        <v>35263.870110808246</v>
      </c>
      <c r="AW6" s="5">
        <f t="shared" ref="AW6" si="14">AV6*1.01</f>
        <v>35616.508811916327</v>
      </c>
      <c r="AX6" s="5">
        <f t="shared" ref="AX6" si="15">AW6*1.01</f>
        <v>35972.673900035494</v>
      </c>
    </row>
    <row r="7" spans="2:50" s="1" customFormat="1" x14ac:dyDescent="0.3">
      <c r="B7" s="1" t="s">
        <v>33</v>
      </c>
      <c r="C7" s="10">
        <f>C36/Main!$D$13</f>
        <v>4993.6686669813225</v>
      </c>
      <c r="D7" s="10">
        <f>D36/Main!$D$13</f>
        <v>4440.7457352842021</v>
      </c>
      <c r="E7" s="10">
        <f>E36/Main!$D$13</f>
        <v>4315.9395860022923</v>
      </c>
      <c r="F7" s="10">
        <f>F36/Main!$D$13</f>
        <v>2426.7817409480144</v>
      </c>
      <c r="G7" s="10">
        <f>G36/Main!$D$13</f>
        <v>93.857460724158855</v>
      </c>
      <c r="H7" s="10">
        <f>H36/Main!$D$13</f>
        <v>3412.1839390465916</v>
      </c>
      <c r="I7" s="10">
        <f>I36/Main!$D$13</f>
        <v>6661.3175106196477</v>
      </c>
      <c r="J7" s="10">
        <f>J5-J6</f>
        <v>4447.5016721731517</v>
      </c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>
        <f>W36/Main!$D$13</f>
        <v>8825.5073831838708</v>
      </c>
      <c r="X7" s="10"/>
      <c r="Y7" s="10"/>
      <c r="Z7" s="10"/>
      <c r="AA7" s="10">
        <f>AA36/Main!$D$13</f>
        <v>7862.8615737306991</v>
      </c>
      <c r="AB7" s="10"/>
      <c r="AC7" s="10"/>
      <c r="AD7" s="10"/>
      <c r="AF7" s="10">
        <f>AF36/Main!$D$13</f>
        <v>13447.319803115097</v>
      </c>
      <c r="AG7" s="10">
        <f>AG36/Main!$D$13</f>
        <v>16181.390331063312</v>
      </c>
      <c r="AH7" s="10">
        <f>AH36/Main!$D$13</f>
        <v>16637.752005933518</v>
      </c>
      <c r="AI7" s="10">
        <f>AI36/Main!$D$13</f>
        <v>16177.135729215832</v>
      </c>
      <c r="AJ7" s="10">
        <f>AJ36/Main!$D$13</f>
        <v>14818.61641157036</v>
      </c>
      <c r="AK7" s="10">
        <f>AK36/Main!$D$13</f>
        <v>20198.880722810329</v>
      </c>
      <c r="AL7" s="10">
        <f>AL36/Main!$D$13</f>
        <v>18373.852066617219</v>
      </c>
      <c r="AM7" s="10">
        <f>AM36/Main!$D$13</f>
        <v>36092.879778841612</v>
      </c>
      <c r="AN7" s="10">
        <f>AN36/Main!$D$13</f>
        <v>32334.879643988941</v>
      </c>
      <c r="AO7" s="10">
        <f t="shared" ref="AO7:AS7" si="16">AO5-AO6</f>
        <v>31110.185897107403</v>
      </c>
      <c r="AP7" s="10">
        <f t="shared" si="16"/>
        <v>32061.302098361542</v>
      </c>
      <c r="AQ7" s="10">
        <f t="shared" si="16"/>
        <v>32381.915119345154</v>
      </c>
      <c r="AR7" s="10">
        <f t="shared" si="16"/>
        <v>32705.734270538596</v>
      </c>
      <c r="AS7" s="10">
        <f t="shared" si="16"/>
        <v>33032.791613243986</v>
      </c>
      <c r="AT7" s="10">
        <f t="shared" ref="AT7:AX7" si="17">AT5-AT6</f>
        <v>33363.119529376432</v>
      </c>
      <c r="AU7" s="10">
        <f t="shared" si="17"/>
        <v>33696.750724670215</v>
      </c>
      <c r="AV7" s="10">
        <f t="shared" si="17"/>
        <v>34033.718231916908</v>
      </c>
      <c r="AW7" s="10">
        <f t="shared" si="17"/>
        <v>34374.055414236092</v>
      </c>
      <c r="AX7" s="10">
        <f t="shared" si="17"/>
        <v>34717.79596837845</v>
      </c>
    </row>
    <row r="8" spans="2:50" s="1" customFormat="1" x14ac:dyDescent="0.3">
      <c r="B8" t="s">
        <v>64</v>
      </c>
      <c r="C8" s="5">
        <f>C37/Main!$D$13</f>
        <v>-706.25042141460449</v>
      </c>
      <c r="D8" s="5">
        <f>D37/Main!$D$13</f>
        <v>-641.3728002157643</v>
      </c>
      <c r="E8" s="5">
        <f>E37/Main!$D$13</f>
        <v>-511.3343672038298</v>
      </c>
      <c r="F8" s="5">
        <f>F37/Main!$D$13</f>
        <v>-232.92428022385545</v>
      </c>
      <c r="G8" s="5">
        <f>G37/Main!$D$13</f>
        <v>84.768390533342327</v>
      </c>
      <c r="H8" s="5">
        <f>H37/Main!$D$13</f>
        <v>-599.83817679185483</v>
      </c>
      <c r="I8" s="5">
        <f>I37/Main!$D$13</f>
        <v>-843.39559031757801</v>
      </c>
      <c r="J8" s="5">
        <v>-300</v>
      </c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>
        <f>W37/Main!$D$13</f>
        <v>-1112.1097700761918</v>
      </c>
      <c r="X8" s="5"/>
      <c r="Y8" s="5"/>
      <c r="Z8" s="5"/>
      <c r="AA8" s="5">
        <f>AA37/Main!$D$13</f>
        <v>-951.00802373407055</v>
      </c>
      <c r="AB8" s="5"/>
      <c r="AC8" s="5"/>
      <c r="AD8" s="5"/>
      <c r="AF8" s="10"/>
      <c r="AG8" s="10"/>
      <c r="AH8" s="10"/>
      <c r="AI8" s="5">
        <f>AI37/Main!$D$13</f>
        <v>-2091.8818690580542</v>
      </c>
      <c r="AJ8" s="5">
        <f>AJ37/Main!$D$13</f>
        <v>-2366.8599554986176</v>
      </c>
      <c r="AK8" s="5">
        <f>AK37/Main!$D$13</f>
        <v>-3778.2078079697931</v>
      </c>
      <c r="AL8" s="5">
        <f>AL37/Main!$D$13</f>
        <v>-4335.9382374755578</v>
      </c>
      <c r="AM8" s="5">
        <f>AM37/Main!$D$13</f>
        <v>-5145.5532330928463</v>
      </c>
      <c r="AN8" s="5">
        <f>AN37/Main!$D$13</f>
        <v>-3986.3731373474479</v>
      </c>
      <c r="AO8" s="5">
        <f t="shared" ref="AO8:AS8" si="18">AN8*1.02</f>
        <v>-4066.1006000943971</v>
      </c>
      <c r="AP8" s="5">
        <f t="shared" si="18"/>
        <v>-4147.4226120962849</v>
      </c>
      <c r="AQ8" s="5">
        <f t="shared" si="18"/>
        <v>-4230.371064338211</v>
      </c>
      <c r="AR8" s="5">
        <f t="shared" si="18"/>
        <v>-4314.9784856249753</v>
      </c>
      <c r="AS8" s="5">
        <f t="shared" si="18"/>
        <v>-4401.2780553374751</v>
      </c>
      <c r="AT8" s="5">
        <f t="shared" ref="AT8:AT12" si="19">AS8*1.02</f>
        <v>-4489.3036164442246</v>
      </c>
      <c r="AU8" s="5">
        <f t="shared" ref="AU8:AU12" si="20">AT8*1.02</f>
        <v>-4579.0896887731096</v>
      </c>
      <c r="AV8" s="5">
        <f t="shared" ref="AV8:AV12" si="21">AU8*1.02</f>
        <v>-4670.6714825485715</v>
      </c>
      <c r="AW8" s="5">
        <f t="shared" ref="AW8:AW12" si="22">AV8*1.02</f>
        <v>-4764.0849121995434</v>
      </c>
      <c r="AX8" s="5">
        <f t="shared" ref="AX8:AX12" si="23">AW8*1.02</f>
        <v>-4859.3666104435342</v>
      </c>
    </row>
    <row r="9" spans="2:50" s="1" customFormat="1" x14ac:dyDescent="0.3">
      <c r="B9" t="s">
        <v>65</v>
      </c>
      <c r="C9" s="5">
        <f>C38/Main!$D$13</f>
        <v>-522.89798395253183</v>
      </c>
      <c r="D9" s="5">
        <f>D38/Main!$D$13</f>
        <v>-432.55343537185627</v>
      </c>
      <c r="E9" s="5">
        <f>E38/Main!$D$13</f>
        <v>-411.92771896702851</v>
      </c>
      <c r="F9" s="5">
        <f>F38/Main!$D$13</f>
        <v>-694.82839997302949</v>
      </c>
      <c r="G9" s="5">
        <f>G38/Main!$D$13</f>
        <v>-773.98017665700218</v>
      </c>
      <c r="H9" s="5">
        <f>H38/Main!$D$13</f>
        <v>-358.60697188321757</v>
      </c>
      <c r="I9" s="5">
        <f>I38/Main!$D$13</f>
        <v>-356.54372597936754</v>
      </c>
      <c r="J9" s="5">
        <v>-300</v>
      </c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>
        <f>W38/Main!$D$13</f>
        <v>-1171.8697323174431</v>
      </c>
      <c r="X9" s="5"/>
      <c r="Y9" s="5"/>
      <c r="Z9" s="5"/>
      <c r="AA9" s="5">
        <f>AA38/Main!$D$13</f>
        <v>-1036.4843908030477</v>
      </c>
      <c r="AB9" s="5"/>
      <c r="AC9" s="5"/>
      <c r="AD9" s="5"/>
      <c r="AF9" s="10"/>
      <c r="AG9" s="10"/>
      <c r="AH9" s="10"/>
      <c r="AI9" s="5">
        <f>AI38/Main!$D$13</f>
        <v>-2062.2075382644462</v>
      </c>
      <c r="AJ9" s="5">
        <f>AJ38/Main!$D$13</f>
        <v>-2934.5897107410156</v>
      </c>
      <c r="AK9" s="5">
        <f>AK38/Main!$D$13</f>
        <v>-2257.1640482772573</v>
      </c>
      <c r="AL9" s="5">
        <f>AL38/Main!$D$13</f>
        <v>-2557.8180837435102</v>
      </c>
      <c r="AM9" s="5">
        <f>AM38/Main!$D$13</f>
        <v>-5038.3386150630431</v>
      </c>
      <c r="AN9" s="5">
        <f>AN38/Main!$D$13</f>
        <v>-3753.624165599083</v>
      </c>
      <c r="AO9" s="5">
        <f t="shared" ref="AO9:AS9" si="24">AN9*1.02</f>
        <v>-3828.6966489110646</v>
      </c>
      <c r="AP9" s="5">
        <f t="shared" si="24"/>
        <v>-3905.2705818892859</v>
      </c>
      <c r="AQ9" s="5">
        <f t="shared" si="24"/>
        <v>-3983.3759935270718</v>
      </c>
      <c r="AR9" s="5">
        <f t="shared" si="24"/>
        <v>-4063.0435133976134</v>
      </c>
      <c r="AS9" s="5">
        <f t="shared" si="24"/>
        <v>-4144.3043836655661</v>
      </c>
      <c r="AT9" s="5">
        <f t="shared" si="19"/>
        <v>-4227.1904713388776</v>
      </c>
      <c r="AU9" s="5">
        <f t="shared" si="20"/>
        <v>-4311.7342807656551</v>
      </c>
      <c r="AV9" s="5">
        <f t="shared" si="21"/>
        <v>-4397.9689663809686</v>
      </c>
      <c r="AW9" s="5">
        <f t="shared" si="22"/>
        <v>-4485.9283457085885</v>
      </c>
      <c r="AX9" s="5">
        <f t="shared" si="23"/>
        <v>-4575.6469126227603</v>
      </c>
    </row>
    <row r="10" spans="2:50" s="1" customFormat="1" x14ac:dyDescent="0.3">
      <c r="B10" t="s">
        <v>66</v>
      </c>
      <c r="C10" s="5">
        <f>C39/Main!$D$13</f>
        <v>66.361000606837024</v>
      </c>
      <c r="D10" s="5">
        <f>D39/Main!$D$13</f>
        <v>85.678646079158511</v>
      </c>
      <c r="E10" s="5">
        <f>E39/Main!$D$13</f>
        <v>79.906951655316561</v>
      </c>
      <c r="F10" s="5">
        <f>F39/Main!$D$13</f>
        <v>86.002292495448728</v>
      </c>
      <c r="G10" s="5">
        <f>G39/Main!$D$13</f>
        <v>67.50724833119817</v>
      </c>
      <c r="H10" s="5">
        <f>H39/Main!$D$13</f>
        <v>89.171330321623628</v>
      </c>
      <c r="I10" s="5">
        <f>I39/Main!$D$13</f>
        <v>66.47562537927314</v>
      </c>
      <c r="J10" s="5">
        <v>93</v>
      </c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>
        <f>W39/Main!$D$13</f>
        <v>111.31413930281168</v>
      </c>
      <c r="X10" s="5"/>
      <c r="Y10" s="5"/>
      <c r="Z10" s="5"/>
      <c r="AA10" s="5">
        <f>AA39/Main!$D$13</f>
        <v>41.878497741217721</v>
      </c>
      <c r="AB10" s="5"/>
      <c r="AC10" s="5"/>
      <c r="AD10" s="5"/>
      <c r="AF10" s="10"/>
      <c r="AG10" s="10"/>
      <c r="AH10" s="10"/>
      <c r="AI10" s="5">
        <f>AI39/Main!$D$13</f>
        <v>317.94889083676082</v>
      </c>
      <c r="AJ10" s="5">
        <f>AJ39/Main!$D$13</f>
        <v>320.52457689973704</v>
      </c>
      <c r="AK10" s="5">
        <f>AK39/Main!$D$13</f>
        <v>296.65565369833456</v>
      </c>
      <c r="AL10" s="5">
        <f>AL39/Main!$D$13</f>
        <v>830.10585934866162</v>
      </c>
      <c r="AM10" s="5">
        <f>AM39/Main!$D$13</f>
        <v>699.27179556334704</v>
      </c>
      <c r="AN10" s="5">
        <f>AN39/Main!$D$13</f>
        <v>1285.8944103566853</v>
      </c>
      <c r="AO10" s="5">
        <f t="shared" ref="AO10:AS10" si="25">AN10*1.02</f>
        <v>1311.612298563819</v>
      </c>
      <c r="AP10" s="5">
        <f t="shared" si="25"/>
        <v>1337.8445445350953</v>
      </c>
      <c r="AQ10" s="5">
        <f t="shared" si="25"/>
        <v>1364.6014354257973</v>
      </c>
      <c r="AR10" s="5">
        <f t="shared" si="25"/>
        <v>1391.8934641343133</v>
      </c>
      <c r="AS10" s="5">
        <f t="shared" si="25"/>
        <v>1419.7313334169996</v>
      </c>
      <c r="AT10" s="5">
        <f t="shared" si="19"/>
        <v>1448.1259600853396</v>
      </c>
      <c r="AU10" s="5">
        <f t="shared" si="20"/>
        <v>1477.0884792870463</v>
      </c>
      <c r="AV10" s="5">
        <f t="shared" si="21"/>
        <v>1506.6302488727872</v>
      </c>
      <c r="AW10" s="5">
        <f t="shared" si="22"/>
        <v>1536.7628538502429</v>
      </c>
      <c r="AX10" s="5">
        <f t="shared" si="23"/>
        <v>1567.4981109272478</v>
      </c>
    </row>
    <row r="11" spans="2:50" s="1" customFormat="1" x14ac:dyDescent="0.3">
      <c r="B11" t="s">
        <v>68</v>
      </c>
      <c r="C11" s="5">
        <f>C40/Main!$D$13</f>
        <v>425.19047940125415</v>
      </c>
      <c r="D11" s="5">
        <f>D40/Main!$D$13</f>
        <v>136.55181713977478</v>
      </c>
      <c r="E11" s="5">
        <f>E40/Main!$D$13</f>
        <v>-177.50657406783088</v>
      </c>
      <c r="F11" s="5">
        <f>F40/Main!$D$13</f>
        <v>253.74553300519182</v>
      </c>
      <c r="G11" s="5">
        <f>G40/Main!$D$13</f>
        <v>-57.379812554783896</v>
      </c>
      <c r="H11" s="5">
        <f>H40/Main!$D$13</f>
        <v>139.53880385678647</v>
      </c>
      <c r="I11" s="5">
        <f>I40/Main!$D$13</f>
        <v>4.1939181444272133</v>
      </c>
      <c r="J11" s="5">
        <v>50</v>
      </c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>
        <f>W40/Main!$D$13</f>
        <v>-1597.9974377992044</v>
      </c>
      <c r="X11" s="5"/>
      <c r="Y11" s="5"/>
      <c r="Z11" s="5"/>
      <c r="AA11" s="5">
        <f>AA40/Main!$D$13</f>
        <v>1431.9668262423302</v>
      </c>
      <c r="AB11" s="5"/>
      <c r="AC11" s="5"/>
      <c r="AD11" s="5"/>
      <c r="AF11" s="10"/>
      <c r="AG11" s="10"/>
      <c r="AH11" s="10"/>
      <c r="AI11" s="5">
        <f>AI40/Main!$D$13</f>
        <v>637.98125547838981</v>
      </c>
      <c r="AJ11" s="5">
        <f>AJ40/Main!$D$13</f>
        <v>-102.09695907221361</v>
      </c>
      <c r="AK11" s="5">
        <f>AK40/Main!$D$13</f>
        <v>-1457.6697458027106</v>
      </c>
      <c r="AL11" s="5">
        <f>AL40/Main!$D$13</f>
        <v>-839.56577439147725</v>
      </c>
      <c r="AM11" s="5">
        <f>AM40/Main!$D$13</f>
        <v>-1264.7023127233497</v>
      </c>
      <c r="AN11" s="5">
        <f>AN40/Main!$D$13</f>
        <v>-4755.5255882947877</v>
      </c>
      <c r="AO11" s="5">
        <f t="shared" ref="AO11:AS11" si="26">AN11*1.02</f>
        <v>-4850.6361000606839</v>
      </c>
      <c r="AP11" s="5">
        <f t="shared" si="26"/>
        <v>-4947.6488220618976</v>
      </c>
      <c r="AQ11" s="5">
        <f t="shared" si="26"/>
        <v>-5046.6017985031358</v>
      </c>
      <c r="AR11" s="5">
        <f t="shared" si="26"/>
        <v>-5147.533834473199</v>
      </c>
      <c r="AS11" s="5">
        <f t="shared" si="26"/>
        <v>-5250.4845111626628</v>
      </c>
      <c r="AT11" s="5">
        <f t="shared" si="19"/>
        <v>-5355.4942013859163</v>
      </c>
      <c r="AU11" s="5">
        <f t="shared" si="20"/>
        <v>-5462.6040854136345</v>
      </c>
      <c r="AV11" s="5">
        <f t="shared" si="21"/>
        <v>-5571.8561671219077</v>
      </c>
      <c r="AW11" s="5">
        <f t="shared" si="22"/>
        <v>-5683.2932904643458</v>
      </c>
      <c r="AX11" s="5">
        <f t="shared" si="23"/>
        <v>-5796.9591562736332</v>
      </c>
    </row>
    <row r="12" spans="2:50" s="1" customFormat="1" x14ac:dyDescent="0.3">
      <c r="B12" t="s">
        <v>67</v>
      </c>
      <c r="C12" s="5">
        <f>C41/Main!$D$13</f>
        <v>-6.6077809992583099</v>
      </c>
      <c r="D12" s="5">
        <f>D41/Main!$D$13</f>
        <v>94.983480547501856</v>
      </c>
      <c r="E12" s="5">
        <f>E41/Main!$D$13</f>
        <v>131.879172004585</v>
      </c>
      <c r="F12" s="5">
        <f>F41/Main!$D$13</f>
        <v>323.24860090351291</v>
      </c>
      <c r="G12" s="5">
        <f>G41/Main!$D$13</f>
        <v>-24.266738588092508</v>
      </c>
      <c r="H12" s="5">
        <f>H41/Main!$D$13</f>
        <v>24.988200391072752</v>
      </c>
      <c r="I12" s="5">
        <f>I41/Main!$D$13</f>
        <v>96.075787202481294</v>
      </c>
      <c r="J12" s="5">
        <v>0</v>
      </c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>
        <f>W41/Main!$D$13</f>
        <v>-30.813835884296406</v>
      </c>
      <c r="X12" s="5"/>
      <c r="Y12" s="5"/>
      <c r="Z12" s="5"/>
      <c r="AA12" s="5">
        <f>AA41/Main!$D$13</f>
        <v>-66.2935742701099</v>
      </c>
      <c r="AB12" s="5"/>
      <c r="AC12" s="5"/>
      <c r="AD12" s="5"/>
      <c r="AF12" s="10"/>
      <c r="AG12" s="10"/>
      <c r="AH12" s="10"/>
      <c r="AI12" s="5">
        <f>AI41/Main!$D$13</f>
        <v>543.50347245634146</v>
      </c>
      <c r="AJ12" s="5">
        <f>AJ41/Main!$D$13</f>
        <v>129.8428966354258</v>
      </c>
      <c r="AK12" s="5">
        <f>AK41/Main!$D$13</f>
        <v>488.57797855842489</v>
      </c>
      <c r="AL12" s="5">
        <f>AL41/Main!$D$13</f>
        <v>526.66037354190541</v>
      </c>
      <c r="AM12" s="5">
        <f>AM41/Main!$D$13</f>
        <v>-120.81451014766368</v>
      </c>
      <c r="AN12" s="5">
        <f>AN41/Main!$D$13</f>
        <v>293.28433686197826</v>
      </c>
      <c r="AO12" s="5">
        <f t="shared" ref="AO12:AS12" si="27">AN12*1.02</f>
        <v>299.15002359921783</v>
      </c>
      <c r="AP12" s="5">
        <f t="shared" si="27"/>
        <v>305.13302407120221</v>
      </c>
      <c r="AQ12" s="5">
        <f t="shared" si="27"/>
        <v>311.23568455262625</v>
      </c>
      <c r="AR12" s="5">
        <f t="shared" si="27"/>
        <v>317.46039824367881</v>
      </c>
      <c r="AS12" s="5">
        <f t="shared" si="27"/>
        <v>323.8096062085524</v>
      </c>
      <c r="AT12" s="5">
        <f t="shared" si="19"/>
        <v>330.28579833272346</v>
      </c>
      <c r="AU12" s="5">
        <f t="shared" si="20"/>
        <v>336.89151429937795</v>
      </c>
      <c r="AV12" s="5">
        <f t="shared" si="21"/>
        <v>343.62934458536552</v>
      </c>
      <c r="AW12" s="5">
        <f t="shared" si="22"/>
        <v>350.50193147707284</v>
      </c>
      <c r="AX12" s="5">
        <f t="shared" si="23"/>
        <v>357.51197010661429</v>
      </c>
    </row>
    <row r="13" spans="2:50" x14ac:dyDescent="0.3">
      <c r="B13" t="s">
        <v>34</v>
      </c>
      <c r="C13" s="5">
        <f>C42/Main!$D$13</f>
        <v>-744.2047063583035</v>
      </c>
      <c r="D13" s="5">
        <f>D42/Main!$D$13</f>
        <v>-756.71229182118532</v>
      </c>
      <c r="E13" s="5">
        <f>E42/Main!$D$13</f>
        <v>-888.98253657878763</v>
      </c>
      <c r="F13" s="5">
        <f>F42/Main!$D$13</f>
        <v>-264.75625379273146</v>
      </c>
      <c r="G13" s="5">
        <f>G42/Main!$D$13</f>
        <v>-703.35108893533811</v>
      </c>
      <c r="H13" s="5">
        <f>H42/Main!$D$13</f>
        <v>-704.74681410558958</v>
      </c>
      <c r="I13" s="5">
        <f>I42/Main!$D$13</f>
        <v>-1033.193985570764</v>
      </c>
      <c r="J13" s="5">
        <f>SUM(J8:J12)</f>
        <v>-457</v>
      </c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>
        <f>W42/Main!$D$13</f>
        <v>-3801.4766367743241</v>
      </c>
      <c r="X13" s="5"/>
      <c r="Y13" s="5"/>
      <c r="Z13" s="5"/>
      <c r="AA13" s="5">
        <f>AA42/Main!$D$13</f>
        <v>-579.94066482368009</v>
      </c>
      <c r="AB13" s="5"/>
      <c r="AC13" s="5"/>
      <c r="AD13" s="5"/>
      <c r="AF13" s="5">
        <f>AF42/Main!$D$13</f>
        <v>-1344.8385139235386</v>
      </c>
      <c r="AG13" s="5">
        <f>AG42/Main!$D$13</f>
        <v>-1487.2024812891916</v>
      </c>
      <c r="AH13" s="5">
        <f>AH42/Main!$D$13</f>
        <v>1227.6987391275031</v>
      </c>
      <c r="AI13" s="5">
        <f>AI42/Main!$D$13</f>
        <v>-2654.6557885510078</v>
      </c>
      <c r="AJ13" s="5">
        <f>AJ42/Main!$D$13</f>
        <v>-4953.1791517766842</v>
      </c>
      <c r="AK13" s="5">
        <f>AK42/Main!$D$13</f>
        <v>-6707.8079697930007</v>
      </c>
      <c r="AL13" s="5">
        <f>AL42/Main!$D$13</f>
        <v>-6376.555862719978</v>
      </c>
      <c r="AM13" s="5">
        <f>AM42/Main!$D$13</f>
        <v>-10870.136875463555</v>
      </c>
      <c r="AN13" s="5">
        <f>AN42/Main!$D$13</f>
        <v>-10916.344144022654</v>
      </c>
      <c r="AO13" s="5">
        <f t="shared" ref="AO13:AS13" si="28">SUM(AO8:AO12)</f>
        <v>-11134.67102690311</v>
      </c>
      <c r="AP13" s="5">
        <f t="shared" si="28"/>
        <v>-11357.364447441172</v>
      </c>
      <c r="AQ13" s="5">
        <f t="shared" si="28"/>
        <v>-11584.511736389995</v>
      </c>
      <c r="AR13" s="5">
        <f t="shared" si="28"/>
        <v>-11816.201971117796</v>
      </c>
      <c r="AS13" s="5">
        <f t="shared" si="28"/>
        <v>-12052.52601054015</v>
      </c>
      <c r="AT13" s="5">
        <f t="shared" ref="AT13:AX13" si="29">SUM(AT8:AT12)</f>
        <v>-12293.576530750957</v>
      </c>
      <c r="AU13" s="5">
        <f t="shared" si="29"/>
        <v>-12539.448061365974</v>
      </c>
      <c r="AV13" s="5">
        <f t="shared" si="29"/>
        <v>-12790.237022593294</v>
      </c>
      <c r="AW13" s="5">
        <f t="shared" si="29"/>
        <v>-13046.041763045163</v>
      </c>
      <c r="AX13" s="5">
        <f t="shared" si="29"/>
        <v>-13306.962598306065</v>
      </c>
    </row>
    <row r="14" spans="2:50" s="1" customFormat="1" x14ac:dyDescent="0.3">
      <c r="B14" s="1" t="s">
        <v>35</v>
      </c>
      <c r="C14" s="10">
        <f>C43/Main!$D$13</f>
        <v>5737.8733733396266</v>
      </c>
      <c r="D14" s="10">
        <f>D43/Main!$D$13</f>
        <v>5197.4580271053874</v>
      </c>
      <c r="E14" s="10">
        <f>E43/Main!$D$13</f>
        <v>5204.9221225810797</v>
      </c>
      <c r="F14" s="10">
        <f>F43/Main!$D$13</f>
        <v>2691.5379947407455</v>
      </c>
      <c r="G14" s="10">
        <f>G43/Main!$D$13</f>
        <v>797.20854965949695</v>
      </c>
      <c r="H14" s="10">
        <f>H43/Main!$D$13</f>
        <v>4116.9307531521808</v>
      </c>
      <c r="I14" s="10">
        <f>I43/Main!$D$13</f>
        <v>7694.5114961904119</v>
      </c>
      <c r="J14" s="10">
        <f>J7-J13</f>
        <v>4904.5016721731517</v>
      </c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>
        <f>W43/Main!$D$13</f>
        <v>12626.984019958196</v>
      </c>
      <c r="X14" s="10"/>
      <c r="Y14" s="10"/>
      <c r="Z14" s="10"/>
      <c r="AA14" s="10">
        <f>AA43/Main!$D$13</f>
        <v>8442.8022385543791</v>
      </c>
      <c r="AB14" s="10"/>
      <c r="AC14" s="10"/>
      <c r="AD14" s="10"/>
      <c r="AF14" s="10">
        <f>AF43/Main!$D$13</f>
        <v>14792.158317038635</v>
      </c>
      <c r="AG14" s="10">
        <f>AG43/Main!$D$13</f>
        <v>17668.592812352505</v>
      </c>
      <c r="AH14" s="10">
        <f>AH43/Main!$D$13</f>
        <v>15410.053266806015</v>
      </c>
      <c r="AI14" s="10">
        <f>AI43/Main!$D$13</f>
        <v>18831.79151776684</v>
      </c>
      <c r="AJ14" s="10">
        <f>AJ43/Main!$D$13</f>
        <v>19771.795563347045</v>
      </c>
      <c r="AK14" s="10">
        <f>AK43/Main!$D$13</f>
        <v>26906.688692603329</v>
      </c>
      <c r="AL14" s="10">
        <f>AL43/Main!$D$13</f>
        <v>24750.407929337198</v>
      </c>
      <c r="AM14" s="10">
        <f>AM43/Main!$D$13</f>
        <v>46963.016654305167</v>
      </c>
      <c r="AN14" s="10">
        <f>AN43/Main!$D$13</f>
        <v>43251.223788011594</v>
      </c>
      <c r="AO14" s="10">
        <f t="shared" ref="AO14:AS14" si="30">AO7-AO13</f>
        <v>42244.856924010513</v>
      </c>
      <c r="AP14" s="10">
        <f t="shared" si="30"/>
        <v>43418.666545802713</v>
      </c>
      <c r="AQ14" s="10">
        <f t="shared" si="30"/>
        <v>43966.426855735146</v>
      </c>
      <c r="AR14" s="10">
        <f t="shared" si="30"/>
        <v>44521.936241656396</v>
      </c>
      <c r="AS14" s="10">
        <f t="shared" si="30"/>
        <v>45085.31762378414</v>
      </c>
      <c r="AT14" s="10">
        <f t="shared" ref="AT14:AX14" si="31">AT7-AT13</f>
        <v>45656.69606012739</v>
      </c>
      <c r="AU14" s="10">
        <f t="shared" si="31"/>
        <v>46236.198786036191</v>
      </c>
      <c r="AV14" s="10">
        <f t="shared" si="31"/>
        <v>46823.955254510205</v>
      </c>
      <c r="AW14" s="10">
        <f t="shared" si="31"/>
        <v>47420.097177281255</v>
      </c>
      <c r="AX14" s="10">
        <f t="shared" si="31"/>
        <v>48024.758566684512</v>
      </c>
    </row>
    <row r="15" spans="2:50" x14ac:dyDescent="0.3">
      <c r="B15" t="s">
        <v>36</v>
      </c>
      <c r="C15" s="5">
        <f>C44/Main!$D$13</f>
        <v>1480.7025824286966</v>
      </c>
      <c r="D15" s="5">
        <f>D44/Main!$D$13</f>
        <v>1471.4044905940259</v>
      </c>
      <c r="E15" s="5">
        <f>E44/Main!$D$13</f>
        <v>1252.4307194390128</v>
      </c>
      <c r="F15" s="5">
        <f>F44/Main!$D$13</f>
        <v>392.70447036612501</v>
      </c>
      <c r="G15" s="5">
        <f>G44/Main!$D$13</f>
        <v>-210.46456746004989</v>
      </c>
      <c r="H15" s="5">
        <f>H44/Main!$D$13</f>
        <v>868.72766502595914</v>
      </c>
      <c r="I15" s="5">
        <f>I44/Main!$D$13</f>
        <v>1845.2295866765558</v>
      </c>
      <c r="J15" s="5">
        <f>J14*0.24</f>
        <v>1177.0804013215563</v>
      </c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>
        <f>W44/Main!$D$13</f>
        <v>3428.1909513856112</v>
      </c>
      <c r="X15" s="5"/>
      <c r="Y15" s="5"/>
      <c r="Z15" s="5"/>
      <c r="AA15" s="5">
        <f>AA44/Main!$D$13</f>
        <v>2561.924347650192</v>
      </c>
      <c r="AB15" s="5"/>
      <c r="AC15" s="5"/>
      <c r="AD15" s="5"/>
      <c r="AF15" s="5">
        <f>AF44/Main!$D$13</f>
        <v>4240.4423167689301</v>
      </c>
      <c r="AG15" s="5">
        <f>AG44/Main!$D$13</f>
        <v>3401.0248803182521</v>
      </c>
      <c r="AH15" s="5">
        <f>AH44/Main!$D$13</f>
        <v>4449.7606365046186</v>
      </c>
      <c r="AI15" s="5">
        <f>AI44/Main!$D$13</f>
        <v>4597.2422628278609</v>
      </c>
      <c r="AJ15" s="5">
        <f>AJ44/Main!$D$13</f>
        <v>4382.5500640550199</v>
      </c>
      <c r="AK15" s="5">
        <f>AK44/Main!$D$13</f>
        <v>7524.2262827860559</v>
      </c>
      <c r="AL15" s="5">
        <f>AL44/Main!$D$13</f>
        <v>7927.7526801968852</v>
      </c>
      <c r="AM15" s="5">
        <f>AM44/Main!$D$13</f>
        <v>12768.289393837233</v>
      </c>
      <c r="AN15" s="5">
        <f>AN44/Main!$D$13</f>
        <v>10955.667183601914</v>
      </c>
      <c r="AO15" s="5">
        <f t="shared" ref="AO15:AS15" si="32">AO14*0.26</f>
        <v>10983.662800242733</v>
      </c>
      <c r="AP15" s="5">
        <f t="shared" si="32"/>
        <v>11288.853301908706</v>
      </c>
      <c r="AQ15" s="5">
        <f t="shared" si="32"/>
        <v>11431.270982491138</v>
      </c>
      <c r="AR15" s="5">
        <f t="shared" si="32"/>
        <v>11575.703422830664</v>
      </c>
      <c r="AS15" s="5">
        <f t="shared" si="32"/>
        <v>11722.182582183877</v>
      </c>
      <c r="AT15" s="5">
        <f t="shared" ref="AT15:AX15" si="33">AT14*0.26</f>
        <v>11870.740975633122</v>
      </c>
      <c r="AU15" s="5">
        <f t="shared" si="33"/>
        <v>12021.41168436941</v>
      </c>
      <c r="AV15" s="5">
        <f t="shared" si="33"/>
        <v>12174.228366172654</v>
      </c>
      <c r="AW15" s="5">
        <f t="shared" si="33"/>
        <v>12329.225266093126</v>
      </c>
      <c r="AX15" s="5">
        <f t="shared" si="33"/>
        <v>12486.437227337974</v>
      </c>
    </row>
    <row r="16" spans="2:50" x14ac:dyDescent="0.3">
      <c r="B16" t="s">
        <v>37</v>
      </c>
      <c r="C16" s="5">
        <f>C45/Main!$D$13</f>
        <v>82.610747758074297</v>
      </c>
      <c r="D16" s="5">
        <f>D45/Main!$D$13</f>
        <v>149.69321016789158</v>
      </c>
      <c r="E16" s="5">
        <f>E45/Main!$D$13</f>
        <v>181.33638999393162</v>
      </c>
      <c r="F16" s="5">
        <f>F45/Main!$D$13</f>
        <v>91.956038028453918</v>
      </c>
      <c r="G16" s="5">
        <f>G45/Main!$D$13</f>
        <v>-63.353785988807225</v>
      </c>
      <c r="H16" s="5">
        <f>H45/Main!$D$13</f>
        <v>75.625379273144091</v>
      </c>
      <c r="I16" s="5">
        <f>I45/Main!$D$13</f>
        <v>194.26876137819431</v>
      </c>
      <c r="J16" s="5">
        <v>300</v>
      </c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>
        <f>W45/Main!$D$13</f>
        <v>205.48850380958802</v>
      </c>
      <c r="X16" s="5"/>
      <c r="Y16" s="5"/>
      <c r="Z16" s="5"/>
      <c r="AA16" s="5">
        <f>AA45/Main!$D$13</f>
        <v>207.99676353583709</v>
      </c>
      <c r="AB16" s="5"/>
      <c r="AC16" s="5"/>
      <c r="AD16" s="5"/>
      <c r="AF16" s="5">
        <f>AF45/Main!$D$13</f>
        <v>-1794.7812015373204</v>
      </c>
      <c r="AG16" s="5">
        <f>AG45/Main!$D$13</f>
        <v>-2548.4458229384395</v>
      </c>
      <c r="AH16" s="5">
        <f>AH45/Main!$D$13</f>
        <v>-1735.230260939923</v>
      </c>
      <c r="AI16" s="5">
        <f>AI45/Main!$D$13</f>
        <v>505.59638594835144</v>
      </c>
      <c r="AJ16" s="5">
        <f>AJ45/Main!$D$13</f>
        <v>250.27307666374486</v>
      </c>
      <c r="AK16" s="5">
        <f>AK45/Main!$D$13</f>
        <v>165.22149551614859</v>
      </c>
      <c r="AL16" s="5">
        <f>AL45/Main!$D$13</f>
        <v>280.83069246847816</v>
      </c>
      <c r="AM16" s="5">
        <f>AM45/Main!$D$13</f>
        <v>852.86224799406648</v>
      </c>
      <c r="AN16" s="5">
        <f>AN45/Main!$D$13</f>
        <v>166.34077270581889</v>
      </c>
      <c r="AO16" s="5">
        <f t="shared" ref="AO16:AS16" si="34">AN16*1.01</f>
        <v>168.00418043287709</v>
      </c>
      <c r="AP16" s="5">
        <f t="shared" si="34"/>
        <v>169.68422223720586</v>
      </c>
      <c r="AQ16" s="5">
        <f t="shared" si="34"/>
        <v>171.38106445957791</v>
      </c>
      <c r="AR16" s="5">
        <f t="shared" si="34"/>
        <v>173.0948751041737</v>
      </c>
      <c r="AS16" s="5">
        <f t="shared" si="34"/>
        <v>174.82582385521545</v>
      </c>
      <c r="AT16" s="5">
        <f t="shared" ref="AT16" si="35">AS16*1.01</f>
        <v>176.5740820937676</v>
      </c>
      <c r="AU16" s="5">
        <f t="shared" ref="AU16" si="36">AT16*1.01</f>
        <v>178.33982291470528</v>
      </c>
      <c r="AV16" s="5">
        <f t="shared" ref="AV16" si="37">AU16*1.01</f>
        <v>180.12322114385233</v>
      </c>
      <c r="AW16" s="5">
        <f t="shared" ref="AW16" si="38">AV16*1.01</f>
        <v>181.92445335529086</v>
      </c>
      <c r="AX16" s="5">
        <f t="shared" ref="AX16" si="39">AW16*1.01</f>
        <v>183.74369788884377</v>
      </c>
    </row>
    <row r="17" spans="2:139" s="1" customFormat="1" x14ac:dyDescent="0.3">
      <c r="B17" s="1" t="s">
        <v>38</v>
      </c>
      <c r="C17" s="10">
        <f>C46/Main!$D$13</f>
        <v>4174.5600431528555</v>
      </c>
      <c r="D17" s="10">
        <f>D46/Main!$D$13</f>
        <v>3576.3603263434698</v>
      </c>
      <c r="E17" s="10">
        <f>E46/Main!$D$13</f>
        <v>3771.1550131481358</v>
      </c>
      <c r="F17" s="10">
        <f>F46/Main!$D$13</f>
        <v>2206.8774863461667</v>
      </c>
      <c r="G17" s="10">
        <f>G46/Main!$D$13</f>
        <v>1071.0269031083542</v>
      </c>
      <c r="H17" s="10">
        <f>H46/Main!$D$13</f>
        <v>3172.5777088530781</v>
      </c>
      <c r="I17" s="10">
        <f>I46/Main!$D$13</f>
        <v>5655.013148135662</v>
      </c>
      <c r="J17" s="10">
        <f>J14-J15-J16</f>
        <v>3427.4212708515952</v>
      </c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>
        <f>W46/Main!$D$13</f>
        <v>8993.304564762997</v>
      </c>
      <c r="X17" s="10"/>
      <c r="Y17" s="10"/>
      <c r="Z17" s="10"/>
      <c r="AA17" s="10">
        <f>AA46/Main!$D$13</f>
        <v>5672.8811273683496</v>
      </c>
      <c r="AB17" s="10"/>
      <c r="AC17" s="10"/>
      <c r="AD17" s="10"/>
      <c r="AF17" s="10">
        <f>AF46/Main!$D$13</f>
        <v>12346.497201807026</v>
      </c>
      <c r="AG17" s="10">
        <f>AG46/Main!$D$13</f>
        <v>16816.013754972693</v>
      </c>
      <c r="AH17" s="10">
        <f>AH46/Main!$D$13</f>
        <v>12695.522891241319</v>
      </c>
      <c r="AI17" s="10">
        <f>AI46/Main!$D$13</f>
        <v>13728.952868990627</v>
      </c>
      <c r="AJ17" s="10">
        <f>AJ46/Main!$D$13</f>
        <v>15138.972422628278</v>
      </c>
      <c r="AK17" s="10">
        <f>AK46/Main!$D$13</f>
        <v>19217.240914301125</v>
      </c>
      <c r="AL17" s="10">
        <f>AL46/Main!$D$13</f>
        <v>16541.824556671836</v>
      </c>
      <c r="AM17" s="10">
        <f>AM46/Main!$D$13</f>
        <v>33341.865012473871</v>
      </c>
      <c r="AN17" s="10">
        <f>AN46/Main!$D$13</f>
        <v>32129.215831703863</v>
      </c>
      <c r="AO17" s="10">
        <f t="shared" ref="AO17:AS17" si="40">AO14-AO15-AO16</f>
        <v>31093.189943334906</v>
      </c>
      <c r="AP17" s="10">
        <f t="shared" si="40"/>
        <v>31960.129021656801</v>
      </c>
      <c r="AQ17" s="10">
        <f t="shared" si="40"/>
        <v>32363.77480878443</v>
      </c>
      <c r="AR17" s="10">
        <f t="shared" si="40"/>
        <v>32773.137943721558</v>
      </c>
      <c r="AS17" s="10">
        <f t="shared" si="40"/>
        <v>33188.309217745045</v>
      </c>
      <c r="AT17" s="10">
        <f t="shared" ref="AT17:AX17" si="41">AT14-AT15-AT16</f>
        <v>33609.381002400507</v>
      </c>
      <c r="AU17" s="10">
        <f t="shared" si="41"/>
        <v>34036.447278752072</v>
      </c>
      <c r="AV17" s="10">
        <f t="shared" si="41"/>
        <v>34469.603667193696</v>
      </c>
      <c r="AW17" s="10">
        <f t="shared" si="41"/>
        <v>34908.947457832837</v>
      </c>
      <c r="AX17" s="10">
        <f t="shared" si="41"/>
        <v>35354.577641457698</v>
      </c>
      <c r="AY17" s="1">
        <f t="shared" ref="AY17:CD17" si="42">AX17*(1+$BA$23)</f>
        <v>35001.031865043122</v>
      </c>
      <c r="AZ17" s="1">
        <f t="shared" si="42"/>
        <v>34651.021546392687</v>
      </c>
      <c r="BA17" s="1">
        <f t="shared" si="42"/>
        <v>34304.511330928763</v>
      </c>
      <c r="BB17" s="1">
        <f t="shared" si="42"/>
        <v>33961.466217619476</v>
      </c>
      <c r="BC17" s="1">
        <f t="shared" si="42"/>
        <v>33621.851555443282</v>
      </c>
      <c r="BD17" s="1">
        <f t="shared" si="42"/>
        <v>33285.633039888846</v>
      </c>
      <c r="BE17" s="1">
        <f t="shared" si="42"/>
        <v>32952.776709489954</v>
      </c>
      <c r="BF17" s="1">
        <f t="shared" si="42"/>
        <v>32623.248942395054</v>
      </c>
      <c r="BG17" s="1">
        <f t="shared" si="42"/>
        <v>32297.016452971104</v>
      </c>
      <c r="BH17" s="1">
        <f t="shared" si="42"/>
        <v>31974.046288441394</v>
      </c>
      <c r="BI17" s="1">
        <f t="shared" si="42"/>
        <v>31654.305825556981</v>
      </c>
      <c r="BJ17" s="1">
        <f t="shared" si="42"/>
        <v>31337.76276730141</v>
      </c>
      <c r="BK17" s="1">
        <f t="shared" si="42"/>
        <v>31024.385139628397</v>
      </c>
      <c r="BL17" s="1">
        <f t="shared" si="42"/>
        <v>30714.141288232113</v>
      </c>
      <c r="BM17" s="1">
        <f t="shared" si="42"/>
        <v>30406.999875349793</v>
      </c>
      <c r="BN17" s="1">
        <f t="shared" si="42"/>
        <v>30102.929876596296</v>
      </c>
      <c r="BO17" s="1">
        <f t="shared" si="42"/>
        <v>29801.900577830333</v>
      </c>
      <c r="BP17" s="1">
        <f t="shared" si="42"/>
        <v>29503.881572052029</v>
      </c>
      <c r="BQ17" s="1">
        <f t="shared" si="42"/>
        <v>29208.842756331509</v>
      </c>
      <c r="BR17" s="1">
        <f t="shared" si="42"/>
        <v>28916.754328768195</v>
      </c>
      <c r="BS17" s="1">
        <f t="shared" si="42"/>
        <v>28627.586785480511</v>
      </c>
      <c r="BT17" s="1">
        <f t="shared" si="42"/>
        <v>28341.310917625706</v>
      </c>
      <c r="BU17" s="1">
        <f t="shared" si="42"/>
        <v>28057.897808449448</v>
      </c>
      <c r="BV17" s="1">
        <f t="shared" si="42"/>
        <v>27777.318830364955</v>
      </c>
      <c r="BW17" s="1">
        <f t="shared" si="42"/>
        <v>27499.545642061305</v>
      </c>
      <c r="BX17" s="1">
        <f t="shared" si="42"/>
        <v>27224.550185640692</v>
      </c>
      <c r="BY17" s="1">
        <f t="shared" si="42"/>
        <v>26952.304683784285</v>
      </c>
      <c r="BZ17" s="1">
        <f t="shared" si="42"/>
        <v>26682.781636946442</v>
      </c>
      <c r="CA17" s="1">
        <f t="shared" si="42"/>
        <v>26415.953820576979</v>
      </c>
      <c r="CB17" s="1">
        <f t="shared" si="42"/>
        <v>26151.794282371207</v>
      </c>
      <c r="CC17" s="1">
        <f t="shared" si="42"/>
        <v>25890.276339547494</v>
      </c>
      <c r="CD17" s="1">
        <f t="shared" si="42"/>
        <v>25631.373576152018</v>
      </c>
      <c r="CE17" s="1">
        <f t="shared" ref="CE17:DJ17" si="43">CD17*(1+$BA$23)</f>
        <v>25375.059840390499</v>
      </c>
      <c r="CF17" s="1">
        <f t="shared" si="43"/>
        <v>25121.309241986593</v>
      </c>
      <c r="CG17" s="1">
        <f t="shared" si="43"/>
        <v>24870.096149566729</v>
      </c>
      <c r="CH17" s="1">
        <f t="shared" si="43"/>
        <v>24621.395188071063</v>
      </c>
      <c r="CI17" s="1">
        <f t="shared" si="43"/>
        <v>24375.18123619035</v>
      </c>
      <c r="CJ17" s="1">
        <f t="shared" si="43"/>
        <v>24131.429423828446</v>
      </c>
      <c r="CK17" s="1">
        <f t="shared" si="43"/>
        <v>23890.115129590162</v>
      </c>
      <c r="CL17" s="1">
        <f t="shared" si="43"/>
        <v>23651.213978294261</v>
      </c>
      <c r="CM17" s="1">
        <f t="shared" si="43"/>
        <v>23414.701838511319</v>
      </c>
      <c r="CN17" s="1">
        <f t="shared" si="43"/>
        <v>23180.554820126206</v>
      </c>
      <c r="CO17" s="1">
        <f t="shared" si="43"/>
        <v>22948.749271924946</v>
      </c>
      <c r="CP17" s="1">
        <f t="shared" si="43"/>
        <v>22719.261779205695</v>
      </c>
      <c r="CQ17" s="1">
        <f t="shared" si="43"/>
        <v>22492.069161413638</v>
      </c>
      <c r="CR17" s="1">
        <f t="shared" si="43"/>
        <v>22267.1484697995</v>
      </c>
      <c r="CS17" s="1">
        <f t="shared" si="43"/>
        <v>22044.476985101504</v>
      </c>
      <c r="CT17" s="1">
        <f t="shared" si="43"/>
        <v>21824.032215250489</v>
      </c>
      <c r="CU17" s="1">
        <f t="shared" si="43"/>
        <v>21605.791893097983</v>
      </c>
      <c r="CV17" s="1">
        <f t="shared" si="43"/>
        <v>21389.733974167004</v>
      </c>
      <c r="CW17" s="1">
        <f t="shared" si="43"/>
        <v>21175.836634425334</v>
      </c>
      <c r="CX17" s="1">
        <f t="shared" si="43"/>
        <v>20964.078268081081</v>
      </c>
      <c r="CY17" s="1">
        <f t="shared" si="43"/>
        <v>20754.437485400271</v>
      </c>
      <c r="CZ17" s="1">
        <f t="shared" si="43"/>
        <v>20546.893110546269</v>
      </c>
      <c r="DA17" s="1">
        <f t="shared" si="43"/>
        <v>20341.424179440804</v>
      </c>
      <c r="DB17" s="1">
        <f t="shared" si="43"/>
        <v>20138.009937646395</v>
      </c>
      <c r="DC17" s="1">
        <f t="shared" si="43"/>
        <v>19936.629838269931</v>
      </c>
      <c r="DD17" s="1">
        <f t="shared" si="43"/>
        <v>19737.263539887233</v>
      </c>
      <c r="DE17" s="1">
        <f t="shared" si="43"/>
        <v>19539.890904488362</v>
      </c>
      <c r="DF17" s="1">
        <f t="shared" si="43"/>
        <v>19344.491995443477</v>
      </c>
      <c r="DG17" s="1">
        <f t="shared" si="43"/>
        <v>19151.047075489041</v>
      </c>
      <c r="DH17" s="1">
        <f t="shared" si="43"/>
        <v>18959.536604734152</v>
      </c>
      <c r="DI17" s="1">
        <f t="shared" si="43"/>
        <v>18769.94123868681</v>
      </c>
      <c r="DJ17" s="1">
        <f t="shared" si="43"/>
        <v>18582.241826299942</v>
      </c>
      <c r="DK17" s="1">
        <f t="shared" ref="DK17:EI17" si="44">DJ17*(1+$BA$23)</f>
        <v>18396.419408036942</v>
      </c>
      <c r="DL17" s="1">
        <f t="shared" si="44"/>
        <v>18212.455213956571</v>
      </c>
      <c r="DM17" s="1">
        <f t="shared" si="44"/>
        <v>18030.330661817006</v>
      </c>
      <c r="DN17" s="1">
        <f t="shared" si="44"/>
        <v>17850.027355198836</v>
      </c>
      <c r="DO17" s="1">
        <f t="shared" si="44"/>
        <v>17671.527081646847</v>
      </c>
      <c r="DP17" s="1">
        <f t="shared" si="44"/>
        <v>17494.811810830379</v>
      </c>
      <c r="DQ17" s="1">
        <f t="shared" si="44"/>
        <v>17319.863692722076</v>
      </c>
      <c r="DR17" s="1">
        <f t="shared" si="44"/>
        <v>17146.665055794856</v>
      </c>
      <c r="DS17" s="1">
        <f t="shared" si="44"/>
        <v>16975.198405236908</v>
      </c>
      <c r="DT17" s="1">
        <f t="shared" si="44"/>
        <v>16805.446421184537</v>
      </c>
      <c r="DU17" s="1">
        <f t="shared" si="44"/>
        <v>16637.391956972693</v>
      </c>
      <c r="DV17" s="1">
        <f t="shared" si="44"/>
        <v>16471.018037402966</v>
      </c>
      <c r="DW17" s="1">
        <f t="shared" si="44"/>
        <v>16306.307857028936</v>
      </c>
      <c r="DX17" s="1">
        <f t="shared" si="44"/>
        <v>16143.244778458647</v>
      </c>
      <c r="DY17" s="1">
        <f t="shared" si="44"/>
        <v>15981.812330674062</v>
      </c>
      <c r="DZ17" s="1">
        <f t="shared" si="44"/>
        <v>15821.994207367321</v>
      </c>
      <c r="EA17" s="1">
        <f t="shared" si="44"/>
        <v>15663.774265293647</v>
      </c>
      <c r="EB17" s="1">
        <f t="shared" si="44"/>
        <v>15507.136522640711</v>
      </c>
      <c r="EC17" s="1">
        <f t="shared" si="44"/>
        <v>15352.065157414303</v>
      </c>
      <c r="ED17" s="1">
        <f t="shared" si="44"/>
        <v>15198.54450584016</v>
      </c>
      <c r="EE17" s="1">
        <f t="shared" si="44"/>
        <v>15046.559060781758</v>
      </c>
      <c r="EF17" s="1">
        <f t="shared" si="44"/>
        <v>14896.093470173941</v>
      </c>
      <c r="EG17" s="1">
        <f t="shared" si="44"/>
        <v>14747.132535472201</v>
      </c>
      <c r="EH17" s="1">
        <f t="shared" si="44"/>
        <v>14599.66121011748</v>
      </c>
      <c r="EI17" s="1">
        <f t="shared" si="44"/>
        <v>14453.664598016305</v>
      </c>
    </row>
    <row r="18" spans="2:139" x14ac:dyDescent="0.3">
      <c r="B18" t="s">
        <v>1</v>
      </c>
      <c r="C18" s="5">
        <f>C47/Main!$D$13</f>
        <v>19.870541433483918</v>
      </c>
      <c r="D18" s="5">
        <f>D47/Main!$D$13</f>
        <v>19.870541433483918</v>
      </c>
      <c r="E18" s="5">
        <f t="shared" ref="E18:H18" si="45">E47/2</f>
        <v>1473.5</v>
      </c>
      <c r="F18" s="5">
        <f t="shared" si="45"/>
        <v>1473.5</v>
      </c>
      <c r="G18" s="5">
        <f t="shared" si="45"/>
        <v>1473.5</v>
      </c>
      <c r="H18" s="5">
        <f t="shared" si="45"/>
        <v>1473.5</v>
      </c>
      <c r="I18" s="5">
        <f t="shared" ref="I18" si="46">I47/2</f>
        <v>1631.5</v>
      </c>
      <c r="J18" s="5">
        <v>1632</v>
      </c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13">
        <f t="shared" ref="W18" si="47">W47/2</f>
        <v>1415.5</v>
      </c>
      <c r="X18" s="5"/>
      <c r="Y18" s="5"/>
      <c r="Z18" s="5"/>
      <c r="AA18" s="13">
        <f t="shared" ref="AA18" si="48">AA47/2</f>
        <v>1415.5</v>
      </c>
      <c r="AB18" s="5"/>
      <c r="AC18" s="5"/>
      <c r="AD18" s="5"/>
      <c r="AF18" s="13">
        <f>AF47/2</f>
        <v>1473.5</v>
      </c>
      <c r="AG18" s="13">
        <f>AG47/2</f>
        <v>1473.5</v>
      </c>
      <c r="AH18" s="13">
        <f t="shared" ref="AH18:AI18" si="49">AH47/2</f>
        <v>1435.5</v>
      </c>
      <c r="AI18" s="13">
        <f t="shared" si="49"/>
        <v>1415.5</v>
      </c>
      <c r="AJ18" s="13">
        <f t="shared" ref="AJ18:AN18" si="50">AJ47/2</f>
        <v>1415.5</v>
      </c>
      <c r="AK18" s="13">
        <f t="shared" si="50"/>
        <v>1415.5</v>
      </c>
      <c r="AL18" s="13">
        <f t="shared" si="50"/>
        <v>1415.5</v>
      </c>
      <c r="AM18" s="13">
        <f t="shared" si="50"/>
        <v>1415.5</v>
      </c>
      <c r="AN18" s="13">
        <f t="shared" si="50"/>
        <v>1415.5</v>
      </c>
      <c r="AO18" s="5">
        <f t="shared" ref="AO18:AX18" si="51">13048.9/10</f>
        <v>1304.8899999999999</v>
      </c>
      <c r="AP18" s="5">
        <f t="shared" si="51"/>
        <v>1304.8899999999999</v>
      </c>
      <c r="AQ18" s="5">
        <f t="shared" si="51"/>
        <v>1304.8899999999999</v>
      </c>
      <c r="AR18" s="5">
        <f t="shared" si="51"/>
        <v>1304.8899999999999</v>
      </c>
      <c r="AS18" s="5">
        <f t="shared" si="51"/>
        <v>1304.8899999999999</v>
      </c>
      <c r="AT18" s="5">
        <f t="shared" si="51"/>
        <v>1304.8899999999999</v>
      </c>
      <c r="AU18" s="5">
        <f t="shared" si="51"/>
        <v>1304.8899999999999</v>
      </c>
      <c r="AV18" s="5">
        <f t="shared" si="51"/>
        <v>1304.8899999999999</v>
      </c>
      <c r="AW18" s="5">
        <f t="shared" si="51"/>
        <v>1304.8899999999999</v>
      </c>
      <c r="AX18" s="5">
        <f t="shared" si="51"/>
        <v>1304.8899999999999</v>
      </c>
    </row>
    <row r="19" spans="2:139" s="1" customFormat="1" x14ac:dyDescent="0.3">
      <c r="B19" s="1" t="s">
        <v>39</v>
      </c>
      <c r="C19" s="18">
        <f>C48/Main!$D$13</f>
        <v>1.4165456542765034</v>
      </c>
      <c r="D19" s="18">
        <f>D48/Main!$D$13</f>
        <v>1.2135596628243874</v>
      </c>
      <c r="E19" s="18">
        <f>E48/Main!$D$13</f>
        <v>1.2796589796905786</v>
      </c>
      <c r="F19" s="18">
        <f>F48/Main!$D$13</f>
        <v>0.74885561124742683</v>
      </c>
      <c r="G19" s="18">
        <f>G48/Main!$D$13</f>
        <v>0.36342955653490128</v>
      </c>
      <c r="H19" s="18">
        <f>H48/Main!$D$13</f>
        <v>1.0765448621829243</v>
      </c>
      <c r="I19" s="18">
        <f>I48/Main!$D$13</f>
        <v>1.7330717585460196</v>
      </c>
      <c r="J19" s="18">
        <f>J17/J18</f>
        <v>2.1001355826296537</v>
      </c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4">
        <f t="shared" ref="W19" si="52">W17/W18</f>
        <v>6.3534472375577513</v>
      </c>
      <c r="X19" s="18"/>
      <c r="Y19" s="18"/>
      <c r="Z19" s="18"/>
      <c r="AA19" s="14">
        <f t="shared" ref="AA19" si="53">AA17/AA18</f>
        <v>4.0076871263640763</v>
      </c>
      <c r="AB19" s="18"/>
      <c r="AC19" s="18"/>
      <c r="AD19" s="18"/>
      <c r="AF19" s="14">
        <f>AF48/Main!$D$13</f>
        <v>4.1895138112680774</v>
      </c>
      <c r="AG19" s="14">
        <f>AG17/AG18</f>
        <v>11.412293013215265</v>
      </c>
      <c r="AH19" s="14">
        <f t="shared" ref="AH19:AS19" si="54">AH17/AH18</f>
        <v>8.8439727560023123</v>
      </c>
      <c r="AI19" s="14">
        <f t="shared" si="54"/>
        <v>9.6990129770332931</v>
      </c>
      <c r="AJ19" s="14">
        <f t="shared" ref="AJ19:AN19" si="55">AJ17/AJ18</f>
        <v>10.695141238169041</v>
      </c>
      <c r="AK19" s="14">
        <f t="shared" si="55"/>
        <v>13.576291709149505</v>
      </c>
      <c r="AL19" s="14">
        <f t="shared" si="55"/>
        <v>11.686205974335454</v>
      </c>
      <c r="AM19" s="14">
        <f t="shared" si="55"/>
        <v>23.554832223577442</v>
      </c>
      <c r="AN19" s="14">
        <f t="shared" si="55"/>
        <v>22.698139054541763</v>
      </c>
      <c r="AO19" s="14">
        <f t="shared" si="54"/>
        <v>23.828207698223537</v>
      </c>
      <c r="AP19" s="14">
        <f t="shared" si="54"/>
        <v>24.492584832174977</v>
      </c>
      <c r="AQ19" s="14">
        <f t="shared" si="54"/>
        <v>24.801918022809918</v>
      </c>
      <c r="AR19" s="14">
        <f t="shared" si="54"/>
        <v>25.115632692197472</v>
      </c>
      <c r="AS19" s="14">
        <f t="shared" si="54"/>
        <v>25.433798418062096</v>
      </c>
      <c r="AT19" s="14">
        <f t="shared" ref="AT19:AX19" si="56">AT17/AT18</f>
        <v>25.756485989164229</v>
      </c>
      <c r="AU19" s="14">
        <f t="shared" si="56"/>
        <v>26.083767427715802</v>
      </c>
      <c r="AV19" s="14">
        <f t="shared" si="56"/>
        <v>26.415716012226088</v>
      </c>
      <c r="AW19" s="14">
        <f t="shared" si="56"/>
        <v>26.752406300786152</v>
      </c>
      <c r="AX19" s="14">
        <f t="shared" si="56"/>
        <v>27.093914154800558</v>
      </c>
    </row>
    <row r="21" spans="2:139" x14ac:dyDescent="0.3">
      <c r="B21" s="1" t="s">
        <v>42</v>
      </c>
      <c r="C21" s="1"/>
      <c r="D21" s="1"/>
      <c r="E21" s="1"/>
      <c r="F21" s="1"/>
      <c r="G21" s="11">
        <f>G3/C3-1</f>
        <v>-0.40414022402782546</v>
      </c>
      <c r="H21" s="11">
        <f t="shared" ref="H21:J21" si="57">H3/D3-1</f>
        <v>-0.11294704048865234</v>
      </c>
      <c r="I21" s="11">
        <f t="shared" si="57"/>
        <v>7.111393177307046E-2</v>
      </c>
      <c r="J21" s="11">
        <f t="shared" si="57"/>
        <v>0.14999999999999991</v>
      </c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>
        <f t="shared" ref="AA21" si="58">AA3/W3-1</f>
        <v>3.5094715869286919E-2</v>
      </c>
      <c r="AB21" s="11"/>
      <c r="AC21" s="11"/>
      <c r="AD21" s="11"/>
      <c r="AE21" s="1"/>
      <c r="AF21" s="11"/>
      <c r="AG21" s="11">
        <f t="shared" ref="AG21:AS21" si="59">AG3/AF3-1</f>
        <v>6.4583271204430082E-2</v>
      </c>
      <c r="AH21" s="11">
        <f t="shared" si="59"/>
        <v>2.8801399342603062E-2</v>
      </c>
      <c r="AI21" s="11">
        <f t="shared" si="59"/>
        <v>-1.1881750488930254E-2</v>
      </c>
      <c r="AJ21" s="11">
        <f t="shared" si="59"/>
        <v>-8.8793424964727308E-2</v>
      </c>
      <c r="AK21" s="11">
        <f t="shared" si="59"/>
        <v>0.15303968892572861</v>
      </c>
      <c r="AL21" s="11">
        <f t="shared" si="59"/>
        <v>0.18403064777276468</v>
      </c>
      <c r="AM21" s="11">
        <f t="shared" si="59"/>
        <v>0.21373104667460008</v>
      </c>
      <c r="AN21" s="11">
        <f t="shared" si="59"/>
        <v>6.5225807774974331E-2</v>
      </c>
      <c r="AO21" s="11">
        <f t="shared" si="59"/>
        <v>4.0000000000000036E-2</v>
      </c>
      <c r="AP21" s="11">
        <f t="shared" si="59"/>
        <v>2.0000000000000018E-2</v>
      </c>
      <c r="AQ21" s="11">
        <f t="shared" si="59"/>
        <v>1.0000000000000009E-2</v>
      </c>
      <c r="AR21" s="11">
        <f t="shared" si="59"/>
        <v>1.0000000000000009E-2</v>
      </c>
      <c r="AS21" s="11">
        <f t="shared" si="59"/>
        <v>1.0000000000000009E-2</v>
      </c>
      <c r="AT21" s="11">
        <f t="shared" ref="AT21" si="60">AT3/AS3-1</f>
        <v>1.0000000000000009E-2</v>
      </c>
      <c r="AU21" s="11">
        <f t="shared" ref="AU21" si="61">AU3/AT3-1</f>
        <v>1.0000000000000009E-2</v>
      </c>
      <c r="AV21" s="11">
        <f t="shared" ref="AV21" si="62">AV3/AU3-1</f>
        <v>1.0000000000000009E-2</v>
      </c>
      <c r="AW21" s="11">
        <f t="shared" ref="AW21" si="63">AW3/AV3-1</f>
        <v>1.0000000000000009E-2</v>
      </c>
      <c r="AX21" s="11">
        <f t="shared" ref="AX21" si="64">AX3/AW3-1</f>
        <v>1.0000000000000009E-2</v>
      </c>
    </row>
    <row r="22" spans="2:139" x14ac:dyDescent="0.3">
      <c r="B22" s="1" t="s">
        <v>40</v>
      </c>
      <c r="C22" s="11">
        <f t="shared" ref="C22:J22" si="65">C5/C3</f>
        <v>0.18806847005668625</v>
      </c>
      <c r="D22" s="11">
        <f t="shared" si="65"/>
        <v>0.17697934949359723</v>
      </c>
      <c r="E22" s="11">
        <f t="shared" si="65"/>
        <v>0.18165166696872398</v>
      </c>
      <c r="F22" s="11">
        <f t="shared" si="65"/>
        <v>0.17324862570167951</v>
      </c>
      <c r="G22" s="11">
        <f t="shared" si="65"/>
        <v>0.11942020467762535</v>
      </c>
      <c r="H22" s="11">
        <f t="shared" si="65"/>
        <v>0.16948252597599769</v>
      </c>
      <c r="I22" s="11">
        <f t="shared" si="65"/>
        <v>0.20327552088139039</v>
      </c>
      <c r="J22" s="11">
        <f t="shared" si="65"/>
        <v>0.18000000000000002</v>
      </c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>
        <f t="shared" ref="W22" si="66">W5/W3</f>
        <v>0.20517991440865377</v>
      </c>
      <c r="X22" s="11"/>
      <c r="Y22" s="11"/>
      <c r="Z22" s="11"/>
      <c r="AA22" s="11">
        <f t="shared" ref="AA22" si="67">AA5/AA3</f>
        <v>0.17920138581149314</v>
      </c>
      <c r="AB22" s="11"/>
      <c r="AC22" s="11"/>
      <c r="AD22" s="11"/>
      <c r="AE22" s="1"/>
      <c r="AF22" s="11">
        <f t="shared" ref="AF22:AS22" si="68">AF5/AF3</f>
        <v>0.17620839191869986</v>
      </c>
      <c r="AG22" s="11">
        <f t="shared" si="68"/>
        <v>0.18687707861703617</v>
      </c>
      <c r="AH22" s="11">
        <f t="shared" si="68"/>
        <v>0.18010829929687935</v>
      </c>
      <c r="AI22" s="11">
        <f t="shared" si="68"/>
        <v>0.18017469511959316</v>
      </c>
      <c r="AJ22" s="11">
        <f t="shared" si="68"/>
        <v>0.1775655370791128</v>
      </c>
      <c r="AK22" s="11">
        <f t="shared" si="68"/>
        <v>0.19030486999046864</v>
      </c>
      <c r="AL22" s="11">
        <f t="shared" si="68"/>
        <v>0.16991347811227653</v>
      </c>
      <c r="AM22" s="11">
        <f t="shared" si="68"/>
        <v>0.20774477176957923</v>
      </c>
      <c r="AN22" s="11">
        <f t="shared" si="68"/>
        <v>0.19938999145320213</v>
      </c>
      <c r="AO22" s="11">
        <f t="shared" si="68"/>
        <v>0.19</v>
      </c>
      <c r="AP22" s="11">
        <f t="shared" si="68"/>
        <v>0.19</v>
      </c>
      <c r="AQ22" s="11">
        <f t="shared" si="68"/>
        <v>0.19</v>
      </c>
      <c r="AR22" s="11">
        <f t="shared" si="68"/>
        <v>0.19</v>
      </c>
      <c r="AS22" s="11">
        <f t="shared" si="68"/>
        <v>0.18999999999999997</v>
      </c>
      <c r="AT22" s="11">
        <f t="shared" ref="AT22:AX22" si="69">AT5/AT3</f>
        <v>0.19</v>
      </c>
      <c r="AU22" s="11">
        <f t="shared" si="69"/>
        <v>0.19000000000000003</v>
      </c>
      <c r="AV22" s="11">
        <f t="shared" si="69"/>
        <v>0.19</v>
      </c>
      <c r="AW22" s="11">
        <f t="shared" si="69"/>
        <v>0.19</v>
      </c>
      <c r="AX22" s="11">
        <f t="shared" si="69"/>
        <v>0.19</v>
      </c>
    </row>
    <row r="23" spans="2:139" x14ac:dyDescent="0.3">
      <c r="B23" t="s">
        <v>41</v>
      </c>
      <c r="C23" s="15">
        <f t="shared" ref="C23:J23" si="70">C7/C3</f>
        <v>9.5918250785848397E-2</v>
      </c>
      <c r="D23" s="15">
        <f t="shared" si="70"/>
        <v>8.6238923012217888E-2</v>
      </c>
      <c r="E23" s="15">
        <f t="shared" si="70"/>
        <v>8.4124432196848675E-2</v>
      </c>
      <c r="F23" s="15">
        <f t="shared" si="70"/>
        <v>5.2166736552588591E-2</v>
      </c>
      <c r="G23" s="15">
        <f t="shared" si="70"/>
        <v>3.0255634025068705E-3</v>
      </c>
      <c r="H23" s="15">
        <f t="shared" si="70"/>
        <v>7.4701668495357615E-2</v>
      </c>
      <c r="I23" s="15">
        <f t="shared" si="70"/>
        <v>0.12121915594932633</v>
      </c>
      <c r="J23" s="15">
        <f t="shared" si="70"/>
        <v>8.3134488680727259E-2</v>
      </c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>
        <f t="shared" ref="W23" si="71">W7/W3</f>
        <v>0.11056972283632903</v>
      </c>
      <c r="X23" s="15"/>
      <c r="Y23" s="15"/>
      <c r="Z23" s="15"/>
      <c r="AA23" s="15">
        <f t="shared" ref="AA23" si="72">AA7/AA3</f>
        <v>9.5169344225396441E-2</v>
      </c>
      <c r="AB23" s="15"/>
      <c r="AC23" s="15"/>
      <c r="AD23" s="15"/>
      <c r="AF23" s="15">
        <f t="shared" ref="AF23:AS23" si="73">AF7/AF3</f>
        <v>7.2267204856667849E-2</v>
      </c>
      <c r="AG23" s="15">
        <f t="shared" si="73"/>
        <v>8.1684888549877099E-2</v>
      </c>
      <c r="AH23" s="15">
        <f t="shared" si="73"/>
        <v>8.1637366582410512E-2</v>
      </c>
      <c r="AI23" s="15">
        <f t="shared" si="73"/>
        <v>8.0331716954089138E-2</v>
      </c>
      <c r="AJ23" s="15">
        <f t="shared" si="73"/>
        <v>8.0756266288595016E-2</v>
      </c>
      <c r="AK23" s="15">
        <f t="shared" si="73"/>
        <v>9.5466636872274635E-2</v>
      </c>
      <c r="AL23" s="15">
        <f t="shared" si="73"/>
        <v>7.3343493126959355E-2</v>
      </c>
      <c r="AM23" s="15">
        <f t="shared" si="73"/>
        <v>0.11870265931113701</v>
      </c>
      <c r="AN23" s="15">
        <f t="shared" si="73"/>
        <v>9.9831703690577936E-2</v>
      </c>
      <c r="AO23" s="15">
        <f t="shared" si="73"/>
        <v>9.2356294694349347E-2</v>
      </c>
      <c r="AP23" s="15">
        <f t="shared" si="73"/>
        <v>9.3313585922836131E-2</v>
      </c>
      <c r="AQ23" s="15">
        <f t="shared" si="73"/>
        <v>9.3313585922836131E-2</v>
      </c>
      <c r="AR23" s="15">
        <f t="shared" si="73"/>
        <v>9.3313585922836118E-2</v>
      </c>
      <c r="AS23" s="15">
        <f t="shared" si="73"/>
        <v>9.3313585922836118E-2</v>
      </c>
      <c r="AT23" s="15">
        <f t="shared" ref="AT23:AX23" si="74">AT7/AT3</f>
        <v>9.3313585922836131E-2</v>
      </c>
      <c r="AU23" s="15">
        <f t="shared" si="74"/>
        <v>9.3313585922836173E-2</v>
      </c>
      <c r="AV23" s="15">
        <f t="shared" si="74"/>
        <v>9.3313585922836145E-2</v>
      </c>
      <c r="AW23" s="15">
        <f t="shared" si="74"/>
        <v>9.3313585922836187E-2</v>
      </c>
      <c r="AX23" s="15">
        <f t="shared" si="74"/>
        <v>9.3313585922836173E-2</v>
      </c>
      <c r="AZ23" t="s">
        <v>43</v>
      </c>
      <c r="BA23" s="15">
        <v>-0.01</v>
      </c>
    </row>
    <row r="24" spans="2:139" x14ac:dyDescent="0.3">
      <c r="B24" t="s">
        <v>70</v>
      </c>
      <c r="C24" s="15"/>
      <c r="D24" s="15"/>
      <c r="E24" s="15"/>
      <c r="F24" s="15"/>
      <c r="G24" s="15">
        <f t="shared" ref="G24:J24" si="75">G6/C6-1</f>
        <v>-0.24737146125812881</v>
      </c>
      <c r="H24" s="15">
        <f t="shared" si="75"/>
        <v>-7.3448920250799077E-2</v>
      </c>
      <c r="I24" s="15">
        <f t="shared" si="75"/>
        <v>-9.8798239538161692E-2</v>
      </c>
      <c r="J24" s="15">
        <f t="shared" si="75"/>
        <v>-8.0000000000000071E-2</v>
      </c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>
        <f t="shared" ref="AA24" si="76">AA6/W6-1</f>
        <v>-8.0636866240946348E-2</v>
      </c>
      <c r="AB24" s="15"/>
      <c r="AC24" s="15"/>
      <c r="AD24" s="15"/>
      <c r="AF24" s="15"/>
      <c r="AG24" s="15">
        <f t="shared" ref="AG24:AS24" si="77">AG6/AF6-1</f>
        <v>7.7396256211902825E-2</v>
      </c>
      <c r="AH24" s="15">
        <f t="shared" si="77"/>
        <v>-3.6933889231336559E-2</v>
      </c>
      <c r="AI24" s="15">
        <f t="shared" si="77"/>
        <v>1.886202265794612E-3</v>
      </c>
      <c r="AJ24" s="15">
        <f t="shared" si="77"/>
        <v>-0.11648024037840821</v>
      </c>
      <c r="AK24" s="15">
        <f t="shared" si="77"/>
        <v>0.12956378991317563</v>
      </c>
      <c r="AL24" s="15">
        <f t="shared" si="77"/>
        <v>0.20565111894345955</v>
      </c>
      <c r="AM24" s="15">
        <f t="shared" si="77"/>
        <v>0.11911766755202779</v>
      </c>
      <c r="AN24" s="15">
        <f t="shared" si="77"/>
        <v>0.19103258643073406</v>
      </c>
      <c r="AO24" s="15">
        <f t="shared" si="77"/>
        <v>2.0000000000000018E-2</v>
      </c>
      <c r="AP24" s="15">
        <f t="shared" si="77"/>
        <v>1.0000000000000009E-2</v>
      </c>
      <c r="AQ24" s="15">
        <f t="shared" si="77"/>
        <v>1.0000000000000009E-2</v>
      </c>
      <c r="AR24" s="15">
        <f t="shared" si="77"/>
        <v>1.0000000000000009E-2</v>
      </c>
      <c r="AS24" s="15">
        <f t="shared" si="77"/>
        <v>1.0000000000000009E-2</v>
      </c>
      <c r="AT24" s="15">
        <f t="shared" ref="AT24" si="78">AT6/AS6-1</f>
        <v>1.0000000000000009E-2</v>
      </c>
      <c r="AU24" s="15">
        <f t="shared" ref="AU24" si="79">AU6/AT6-1</f>
        <v>1.0000000000000009E-2</v>
      </c>
      <c r="AV24" s="15">
        <f t="shared" ref="AV24" si="80">AV6/AU6-1</f>
        <v>1.0000000000000009E-2</v>
      </c>
      <c r="AW24" s="15">
        <f t="shared" ref="AW24" si="81">AW6/AV6-1</f>
        <v>1.0000000000000009E-2</v>
      </c>
      <c r="AX24" s="15">
        <f t="shared" ref="AX24" si="82">AX6/AW6-1</f>
        <v>1.0000000000000009E-2</v>
      </c>
      <c r="AZ24" t="s">
        <v>44</v>
      </c>
      <c r="BA24" s="15">
        <v>0.05</v>
      </c>
    </row>
    <row r="25" spans="2:139" x14ac:dyDescent="0.3">
      <c r="B25" t="s">
        <v>36</v>
      </c>
      <c r="C25" s="15">
        <f t="shared" ref="C25:J25" si="83">C15/C14</f>
        <v>0.25805773081515043</v>
      </c>
      <c r="D25" s="15">
        <f t="shared" si="83"/>
        <v>0.28310079329558202</v>
      </c>
      <c r="E25" s="15">
        <f t="shared" si="83"/>
        <v>0.2406242956077011</v>
      </c>
      <c r="F25" s="15">
        <f t="shared" si="83"/>
        <v>0.14590337239655096</v>
      </c>
      <c r="G25" s="15">
        <f t="shared" si="83"/>
        <v>-0.26400189454809952</v>
      </c>
      <c r="H25" s="15">
        <f t="shared" si="83"/>
        <v>0.21101342653402821</v>
      </c>
      <c r="I25" s="15">
        <f t="shared" si="83"/>
        <v>0.23981114169367834</v>
      </c>
      <c r="J25" s="15">
        <f t="shared" si="83"/>
        <v>0.24</v>
      </c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>
        <f t="shared" ref="W25" si="84">W15/W14</f>
        <v>0.27149721152470113</v>
      </c>
      <c r="X25" s="15"/>
      <c r="Y25" s="15"/>
      <c r="Z25" s="15"/>
      <c r="AA25" s="15">
        <f t="shared" ref="AA25" si="85">AA15/AA14</f>
        <v>0.30344478945048203</v>
      </c>
      <c r="AB25" s="15"/>
      <c r="AC25" s="15"/>
      <c r="AD25" s="15"/>
      <c r="AF25" s="15">
        <f t="shared" ref="AF25:AS25" si="86">AF15/AF14</f>
        <v>0.28666826205371898</v>
      </c>
      <c r="AG25" s="15">
        <f t="shared" si="86"/>
        <v>0.19248985566867105</v>
      </c>
      <c r="AH25" s="15">
        <f t="shared" si="86"/>
        <v>0.28875699255950099</v>
      </c>
      <c r="AI25" s="15">
        <f t="shared" si="86"/>
        <v>0.24412134440266059</v>
      </c>
      <c r="AJ25" s="15">
        <f t="shared" si="86"/>
        <v>0.22165665480475588</v>
      </c>
      <c r="AK25" s="15">
        <f t="shared" si="86"/>
        <v>0.27964148129659938</v>
      </c>
      <c r="AL25" s="15">
        <f t="shared" si="86"/>
        <v>0.32030796029022002</v>
      </c>
      <c r="AM25" s="15">
        <f t="shared" si="86"/>
        <v>0.2718796683744707</v>
      </c>
      <c r="AN25" s="15">
        <f t="shared" si="86"/>
        <v>0.25330305651694912</v>
      </c>
      <c r="AO25" s="15">
        <f t="shared" si="86"/>
        <v>0.26</v>
      </c>
      <c r="AP25" s="15">
        <f t="shared" si="86"/>
        <v>0.26</v>
      </c>
      <c r="AQ25" s="15">
        <f t="shared" si="86"/>
        <v>0.26</v>
      </c>
      <c r="AR25" s="15">
        <f t="shared" si="86"/>
        <v>0.26</v>
      </c>
      <c r="AS25" s="15">
        <f t="shared" si="86"/>
        <v>0.26</v>
      </c>
      <c r="AT25" s="15">
        <f t="shared" ref="AT25:AX25" si="87">AT15/AT14</f>
        <v>0.26</v>
      </c>
      <c r="AU25" s="15">
        <f t="shared" si="87"/>
        <v>0.26</v>
      </c>
      <c r="AV25" s="15">
        <f t="shared" si="87"/>
        <v>0.26</v>
      </c>
      <c r="AW25" s="15">
        <f t="shared" si="87"/>
        <v>0.26</v>
      </c>
      <c r="AX25" s="15">
        <f t="shared" si="87"/>
        <v>0.26</v>
      </c>
      <c r="AZ25" t="s">
        <v>45</v>
      </c>
      <c r="BA25" s="2">
        <f>NPV(BA24,AO17:EI17)</f>
        <v>612553.7733710563</v>
      </c>
    </row>
    <row r="26" spans="2:139" x14ac:dyDescent="0.3">
      <c r="B26" t="s">
        <v>91</v>
      </c>
      <c r="C26" s="15">
        <f>C17/C3</f>
        <v>8.0184834806384914E-2</v>
      </c>
      <c r="D26" s="15">
        <f t="shared" ref="D26:J26" si="88">D17/D3</f>
        <v>6.9452628281980747E-2</v>
      </c>
      <c r="E26" s="15">
        <f t="shared" si="88"/>
        <v>7.3505726362875418E-2</v>
      </c>
      <c r="F26" s="15">
        <f t="shared" si="88"/>
        <v>4.743961704157456E-2</v>
      </c>
      <c r="G26" s="15">
        <f t="shared" si="88"/>
        <v>3.4525329964640902E-2</v>
      </c>
      <c r="H26" s="15">
        <f t="shared" si="88"/>
        <v>6.9456058792869133E-2</v>
      </c>
      <c r="I26" s="15">
        <f t="shared" si="88"/>
        <v>0.10290695791133091</v>
      </c>
      <c r="J26" s="15">
        <f t="shared" si="88"/>
        <v>6.406673585497924E-2</v>
      </c>
      <c r="W26" s="15">
        <f>W17/W3</f>
        <v>0.11267195753563625</v>
      </c>
      <c r="AA26" s="15">
        <f>AA17/AA3</f>
        <v>6.8662581898171968E-2</v>
      </c>
      <c r="AF26" s="15">
        <f t="shared" ref="AF26:AX26" si="89">AF17/AF3</f>
        <v>6.6351277102711131E-2</v>
      </c>
      <c r="AG26" s="15">
        <f t="shared" si="89"/>
        <v>8.4888515839780854E-2</v>
      </c>
      <c r="AH26" s="15">
        <f t="shared" si="89"/>
        <v>6.2293815646370383E-2</v>
      </c>
      <c r="AI26" s="15">
        <f t="shared" si="89"/>
        <v>6.8174636994360285E-2</v>
      </c>
      <c r="AJ26" s="15">
        <f t="shared" si="89"/>
        <v>8.2502094280737751E-2</v>
      </c>
      <c r="AK26" s="15">
        <f t="shared" si="89"/>
        <v>9.0827080234243324E-2</v>
      </c>
      <c r="AL26" s="15">
        <f t="shared" si="89"/>
        <v>6.6030530303654231E-2</v>
      </c>
      <c r="AM26" s="15">
        <f t="shared" si="89"/>
        <v>0.10965509174177146</v>
      </c>
      <c r="AN26" s="15">
        <f t="shared" si="89"/>
        <v>9.9196730899771976E-2</v>
      </c>
      <c r="AO26" s="15">
        <f t="shared" si="89"/>
        <v>9.2305839087288177E-2</v>
      </c>
      <c r="AP26" s="15">
        <f t="shared" si="89"/>
        <v>9.3019124314346197E-2</v>
      </c>
      <c r="AQ26" s="15">
        <f t="shared" si="89"/>
        <v>9.3261311762338331E-2</v>
      </c>
      <c r="AR26" s="15">
        <f t="shared" si="89"/>
        <v>9.3505897105855135E-2</v>
      </c>
      <c r="AS26" s="15">
        <f t="shared" si="89"/>
        <v>9.3752904086436467E-2</v>
      </c>
      <c r="AT26" s="15">
        <f t="shared" si="89"/>
        <v>9.400235668068696E-2</v>
      </c>
      <c r="AU26" s="15">
        <f t="shared" si="89"/>
        <v>9.4254279102603256E-2</v>
      </c>
      <c r="AV26" s="15">
        <f t="shared" si="89"/>
        <v>9.450869580592465E-2</v>
      </c>
      <c r="AW26" s="15">
        <f t="shared" si="89"/>
        <v>9.4765631486506699E-2</v>
      </c>
      <c r="AX26" s="15">
        <f t="shared" si="89"/>
        <v>9.5025111084718242E-2</v>
      </c>
      <c r="AZ26" t="s">
        <v>50</v>
      </c>
      <c r="BA26" s="2">
        <f>Main!D10</f>
        <v>-165794.88908367607</v>
      </c>
    </row>
    <row r="27" spans="2:139" x14ac:dyDescent="0.3">
      <c r="AZ27" t="s">
        <v>46</v>
      </c>
      <c r="BA27" s="2">
        <f>BA25+BA26</f>
        <v>446758.88428738026</v>
      </c>
    </row>
    <row r="28" spans="2:139" x14ac:dyDescent="0.3">
      <c r="AZ28" t="s">
        <v>47</v>
      </c>
      <c r="BA28" s="2">
        <f>BA27/AS18</f>
        <v>342.37283164663711</v>
      </c>
    </row>
    <row r="29" spans="2:139" x14ac:dyDescent="0.3">
      <c r="AZ29" t="s">
        <v>48</v>
      </c>
      <c r="BA29" s="2">
        <f>Main!D3</f>
        <v>193.01</v>
      </c>
    </row>
    <row r="30" spans="2:139" x14ac:dyDescent="0.3">
      <c r="AZ30" s="1" t="s">
        <v>49</v>
      </c>
      <c r="BA30" s="11">
        <f>BA28/BA29-1</f>
        <v>0.7738605857035239</v>
      </c>
    </row>
    <row r="31" spans="2:139" x14ac:dyDescent="0.3">
      <c r="AZ31" t="s">
        <v>52</v>
      </c>
      <c r="BA31" s="16" t="s">
        <v>92</v>
      </c>
    </row>
    <row r="32" spans="2:139" x14ac:dyDescent="0.3">
      <c r="B32" s="1" t="s">
        <v>29</v>
      </c>
      <c r="C32" s="10">
        <v>7721273</v>
      </c>
      <c r="D32" s="10">
        <v>7637004</v>
      </c>
      <c r="E32" s="10">
        <v>7608931</v>
      </c>
      <c r="F32" s="10">
        <f>AI32-E32-D32-C32</f>
        <v>6899339</v>
      </c>
      <c r="G32" s="10">
        <v>4600796</v>
      </c>
      <c r="H32" s="10">
        <v>6774427</v>
      </c>
      <c r="I32" s="10">
        <v>8150032</v>
      </c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0">
        <v>11837879</v>
      </c>
      <c r="X32" s="1"/>
      <c r="Y32" s="1"/>
      <c r="Z32" s="1"/>
      <c r="AA32" s="10">
        <v>12253326</v>
      </c>
      <c r="AB32" s="1"/>
      <c r="AC32" s="1"/>
      <c r="AD32" s="1"/>
      <c r="AE32" s="1"/>
      <c r="AF32" s="19">
        <v>27597193</v>
      </c>
      <c r="AG32" s="19">
        <v>29379510</v>
      </c>
      <c r="AH32" s="19">
        <v>30225681</v>
      </c>
      <c r="AI32" s="10">
        <v>29866547</v>
      </c>
      <c r="AJ32" s="10">
        <v>27214594</v>
      </c>
      <c r="AK32" s="10">
        <v>31379507</v>
      </c>
      <c r="AL32" s="10">
        <v>37154298</v>
      </c>
      <c r="AM32" s="10">
        <v>45095325</v>
      </c>
      <c r="AN32" s="10">
        <v>48036704</v>
      </c>
    </row>
    <row r="33" spans="2:54" x14ac:dyDescent="0.3">
      <c r="B33" t="s">
        <v>30</v>
      </c>
      <c r="C33" s="5">
        <f>5927739+341406</f>
        <v>6269145</v>
      </c>
      <c r="D33" s="5">
        <f>5973620+311792</f>
        <v>6285412</v>
      </c>
      <c r="E33" s="5">
        <f>5866014+360742</f>
        <v>6226756</v>
      </c>
      <c r="F33" s="5">
        <f>AI33-E33-D33-C33</f>
        <v>5704038</v>
      </c>
      <c r="G33" s="5">
        <f>3726300+325068</f>
        <v>4051368</v>
      </c>
      <c r="H33" s="5">
        <f>5351939+274341</f>
        <v>5626280</v>
      </c>
      <c r="I33" s="5">
        <f>6211206+282124</f>
        <v>6493330</v>
      </c>
      <c r="W33" s="5">
        <f>8774492+634492</f>
        <v>9408984</v>
      </c>
      <c r="AA33" s="5">
        <f>9337703+719810</f>
        <v>10057513</v>
      </c>
      <c r="AF33" s="20">
        <f>21543035+1191301</f>
        <v>22734336</v>
      </c>
      <c r="AG33" s="20">
        <f>22600474+1288679</f>
        <v>23889153</v>
      </c>
      <c r="AH33" s="20">
        <f>23389495+1392290</f>
        <v>24781785</v>
      </c>
      <c r="AI33" s="5">
        <f>23103596+1381755</f>
        <v>24485351</v>
      </c>
      <c r="AJ33" s="5">
        <f>21199890+1182330</f>
        <v>22382220</v>
      </c>
      <c r="AK33" s="5">
        <f>24250784+1157050</f>
        <v>25407834</v>
      </c>
      <c r="AL33" s="5">
        <f>29128561+1712721</f>
        <v>30841282</v>
      </c>
      <c r="AM33" s="5">
        <f>33600612+2126395</f>
        <v>35727007</v>
      </c>
      <c r="AN33" s="5">
        <f>35510157+2948509</f>
        <v>38458666</v>
      </c>
    </row>
    <row r="34" spans="2:54" x14ac:dyDescent="0.3">
      <c r="B34" s="1" t="s">
        <v>31</v>
      </c>
      <c r="C34" s="10">
        <f t="shared" ref="C34:I34" si="90">C32-C33</f>
        <v>1452128</v>
      </c>
      <c r="D34" s="10">
        <f t="shared" si="90"/>
        <v>1351592</v>
      </c>
      <c r="E34" s="10">
        <f t="shared" si="90"/>
        <v>1382175</v>
      </c>
      <c r="F34" s="10">
        <f t="shared" si="90"/>
        <v>1195301</v>
      </c>
      <c r="G34" s="10">
        <f t="shared" si="90"/>
        <v>549428</v>
      </c>
      <c r="H34" s="10">
        <f t="shared" si="90"/>
        <v>1148147</v>
      </c>
      <c r="I34" s="10">
        <f t="shared" si="90"/>
        <v>1656702</v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0">
        <f>W32-W33</f>
        <v>2428895</v>
      </c>
      <c r="X34" s="1"/>
      <c r="Y34" s="1"/>
      <c r="Z34" s="1"/>
      <c r="AA34" s="10">
        <f>AA32-AA33</f>
        <v>2195813</v>
      </c>
      <c r="AB34" s="1"/>
      <c r="AC34" s="1"/>
      <c r="AD34" s="1"/>
      <c r="AE34" s="1"/>
      <c r="AF34" s="19">
        <f t="shared" ref="AF34:AN34" si="91">AF32-AF33</f>
        <v>4862857</v>
      </c>
      <c r="AG34" s="19">
        <f t="shared" si="91"/>
        <v>5490357</v>
      </c>
      <c r="AH34" s="19">
        <f t="shared" si="91"/>
        <v>5443896</v>
      </c>
      <c r="AI34" s="10">
        <f t="shared" si="91"/>
        <v>5381196</v>
      </c>
      <c r="AJ34" s="10">
        <f t="shared" si="91"/>
        <v>4832374</v>
      </c>
      <c r="AK34" s="10">
        <f t="shared" si="91"/>
        <v>5971673</v>
      </c>
      <c r="AL34" s="10">
        <f t="shared" si="91"/>
        <v>6313016</v>
      </c>
      <c r="AM34" s="10">
        <f t="shared" si="91"/>
        <v>9368318</v>
      </c>
      <c r="AN34" s="10">
        <f t="shared" si="91"/>
        <v>9578038</v>
      </c>
      <c r="BB34" t="s">
        <v>51</v>
      </c>
    </row>
    <row r="35" spans="2:54" x14ac:dyDescent="0.3">
      <c r="B35" t="s">
        <v>32</v>
      </c>
      <c r="C35" s="5">
        <v>711517</v>
      </c>
      <c r="D35" s="5">
        <v>692985</v>
      </c>
      <c r="E35" s="5">
        <v>742078</v>
      </c>
      <c r="F35" s="5">
        <f>AI35-E35-D35-C35</f>
        <v>835385</v>
      </c>
      <c r="G35" s="5">
        <v>535508</v>
      </c>
      <c r="H35" s="5">
        <v>642086</v>
      </c>
      <c r="I35" s="5">
        <v>668762</v>
      </c>
      <c r="W35" s="5">
        <v>1119984</v>
      </c>
      <c r="AA35" s="5">
        <v>1029672</v>
      </c>
      <c r="AF35" s="20">
        <v>2868485</v>
      </c>
      <c r="AG35" s="20">
        <v>3090495</v>
      </c>
      <c r="AH35" s="20">
        <v>2976351</v>
      </c>
      <c r="AI35" s="5">
        <v>2981965</v>
      </c>
      <c r="AJ35" s="5">
        <v>2634625</v>
      </c>
      <c r="AK35" s="5">
        <v>2975977</v>
      </c>
      <c r="AL35" s="5">
        <v>3587990</v>
      </c>
      <c r="AM35" s="5">
        <v>4015383</v>
      </c>
      <c r="AN35" s="5">
        <v>4782452</v>
      </c>
    </row>
    <row r="36" spans="2:54" x14ac:dyDescent="0.3">
      <c r="B36" s="1" t="s">
        <v>33</v>
      </c>
      <c r="C36" s="10">
        <f t="shared" ref="C36:I36" si="92">C34-C35</f>
        <v>740611</v>
      </c>
      <c r="D36" s="10">
        <f t="shared" si="92"/>
        <v>658607</v>
      </c>
      <c r="E36" s="10">
        <f t="shared" si="92"/>
        <v>640097</v>
      </c>
      <c r="F36" s="10">
        <f t="shared" si="92"/>
        <v>359916</v>
      </c>
      <c r="G36" s="10">
        <f t="shared" si="92"/>
        <v>13920</v>
      </c>
      <c r="H36" s="10">
        <f t="shared" si="92"/>
        <v>506061</v>
      </c>
      <c r="I36" s="10">
        <f t="shared" si="92"/>
        <v>987940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0">
        <f>W34-W35</f>
        <v>1308911</v>
      </c>
      <c r="X36" s="1"/>
      <c r="Y36" s="1"/>
      <c r="Z36" s="1"/>
      <c r="AA36" s="10">
        <f>AA34-AA35</f>
        <v>1166141</v>
      </c>
      <c r="AB36" s="1"/>
      <c r="AC36" s="1"/>
      <c r="AD36" s="1"/>
      <c r="AE36" s="1"/>
      <c r="AF36" s="19">
        <f t="shared" ref="AF36:AN36" si="93">AF34-AF35</f>
        <v>1994372</v>
      </c>
      <c r="AG36" s="19">
        <f t="shared" si="93"/>
        <v>2399862</v>
      </c>
      <c r="AH36" s="19">
        <f t="shared" si="93"/>
        <v>2467545</v>
      </c>
      <c r="AI36" s="10">
        <f t="shared" si="93"/>
        <v>2399231</v>
      </c>
      <c r="AJ36" s="10">
        <f t="shared" si="93"/>
        <v>2197749</v>
      </c>
      <c r="AK36" s="10">
        <f t="shared" si="93"/>
        <v>2995696</v>
      </c>
      <c r="AL36" s="10">
        <f t="shared" si="93"/>
        <v>2725026</v>
      </c>
      <c r="AM36" s="10">
        <f t="shared" si="93"/>
        <v>5352935</v>
      </c>
      <c r="AN36" s="10">
        <f t="shared" si="93"/>
        <v>4795586</v>
      </c>
    </row>
    <row r="37" spans="2:54" x14ac:dyDescent="0.3">
      <c r="B37" t="s">
        <v>64</v>
      </c>
      <c r="C37" s="5">
        <v>-104744</v>
      </c>
      <c r="D37" s="5">
        <v>-95122</v>
      </c>
      <c r="E37" s="5">
        <v>-75836</v>
      </c>
      <c r="F37" s="5">
        <f>AI37-E37-D37-C37</f>
        <v>-34545</v>
      </c>
      <c r="G37" s="5">
        <v>12572</v>
      </c>
      <c r="H37" s="5">
        <v>-88962</v>
      </c>
      <c r="I37" s="5">
        <v>-125084</v>
      </c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5">
        <v>-164937</v>
      </c>
      <c r="X37" s="1"/>
      <c r="Y37" s="1"/>
      <c r="Z37" s="1"/>
      <c r="AA37" s="5">
        <v>-141044</v>
      </c>
      <c r="AB37" s="1"/>
      <c r="AC37" s="1"/>
      <c r="AD37" s="1"/>
      <c r="AE37" s="1"/>
      <c r="AF37" s="19"/>
      <c r="AG37" s="19"/>
      <c r="AH37" s="19"/>
      <c r="AI37" s="5">
        <v>-310247</v>
      </c>
      <c r="AJ37" s="5">
        <v>-351029</v>
      </c>
      <c r="AK37" s="5">
        <v>-560346</v>
      </c>
      <c r="AL37" s="5">
        <f>-643063</f>
        <v>-643063</v>
      </c>
      <c r="AM37" s="5">
        <v>-763137</v>
      </c>
      <c r="AN37" s="5">
        <v>-591219</v>
      </c>
    </row>
    <row r="38" spans="2:54" x14ac:dyDescent="0.3">
      <c r="B38" t="s">
        <v>65</v>
      </c>
      <c r="C38" s="5">
        <v>-77551</v>
      </c>
      <c r="D38" s="5">
        <v>-64152</v>
      </c>
      <c r="E38" s="5">
        <v>-61093</v>
      </c>
      <c r="F38" s="5">
        <f>AI38-E38-D38-C38</f>
        <v>-103050</v>
      </c>
      <c r="G38" s="5">
        <v>-114789</v>
      </c>
      <c r="H38" s="5">
        <v>-53185</v>
      </c>
      <c r="I38" s="5">
        <v>-52879</v>
      </c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5">
        <v>-173800</v>
      </c>
      <c r="X38" s="1"/>
      <c r="Y38" s="1"/>
      <c r="Z38" s="1"/>
      <c r="AA38" s="5">
        <v>-153721</v>
      </c>
      <c r="AB38" s="1"/>
      <c r="AC38" s="1"/>
      <c r="AD38" s="1"/>
      <c r="AE38" s="1"/>
      <c r="AF38" s="19"/>
      <c r="AG38" s="19"/>
      <c r="AH38" s="19"/>
      <c r="AI38" s="5">
        <v>-305846</v>
      </c>
      <c r="AJ38" s="5">
        <v>-435229</v>
      </c>
      <c r="AK38" s="5">
        <v>-334760</v>
      </c>
      <c r="AL38" s="5">
        <v>-379350</v>
      </c>
      <c r="AM38" s="5">
        <v>-747236</v>
      </c>
      <c r="AN38" s="5">
        <v>-556700</v>
      </c>
    </row>
    <row r="39" spans="2:54" x14ac:dyDescent="0.3">
      <c r="B39" t="s">
        <v>66</v>
      </c>
      <c r="C39" s="5">
        <v>9842</v>
      </c>
      <c r="D39" s="5">
        <v>12707</v>
      </c>
      <c r="E39" s="5">
        <v>11851</v>
      </c>
      <c r="F39" s="5">
        <f>AI39-E39-D39-C39</f>
        <v>12755</v>
      </c>
      <c r="G39" s="5">
        <v>10012</v>
      </c>
      <c r="H39" s="5">
        <v>13225</v>
      </c>
      <c r="I39" s="5">
        <v>9859</v>
      </c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5">
        <v>16509</v>
      </c>
      <c r="X39" s="1"/>
      <c r="Y39" s="1"/>
      <c r="Z39" s="1"/>
      <c r="AA39" s="5">
        <v>6211</v>
      </c>
      <c r="AB39" s="1"/>
      <c r="AC39" s="1"/>
      <c r="AD39" s="1"/>
      <c r="AE39" s="1"/>
      <c r="AF39" s="19"/>
      <c r="AG39" s="19"/>
      <c r="AH39" s="19"/>
      <c r="AI39" s="5">
        <v>47155</v>
      </c>
      <c r="AJ39" s="5">
        <v>47537</v>
      </c>
      <c r="AK39" s="5">
        <v>43997</v>
      </c>
      <c r="AL39" s="5">
        <v>123113</v>
      </c>
      <c r="AM39" s="5">
        <v>103709</v>
      </c>
      <c r="AN39" s="5">
        <v>190711</v>
      </c>
    </row>
    <row r="40" spans="2:54" x14ac:dyDescent="0.3">
      <c r="B40" t="s">
        <v>68</v>
      </c>
      <c r="C40" s="5">
        <v>63060</v>
      </c>
      <c r="D40" s="5">
        <v>20252</v>
      </c>
      <c r="E40" s="5">
        <v>-26326</v>
      </c>
      <c r="F40" s="5">
        <f>AI40-E40-D40-C40</f>
        <v>37633</v>
      </c>
      <c r="G40" s="5">
        <v>-8510</v>
      </c>
      <c r="H40" s="5">
        <v>20695</v>
      </c>
      <c r="I40" s="5">
        <v>622</v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5">
        <v>-236999</v>
      </c>
      <c r="X40" s="1"/>
      <c r="Y40" s="1"/>
      <c r="Z40" s="1"/>
      <c r="AA40" s="5">
        <v>212375</v>
      </c>
      <c r="AB40" s="1"/>
      <c r="AC40" s="1"/>
      <c r="AD40" s="1"/>
      <c r="AE40" s="1"/>
      <c r="AF40" s="19"/>
      <c r="AG40" s="19"/>
      <c r="AH40" s="19"/>
      <c r="AI40" s="5">
        <v>94619</v>
      </c>
      <c r="AJ40" s="5">
        <v>-15142</v>
      </c>
      <c r="AK40" s="5">
        <v>-216187</v>
      </c>
      <c r="AL40" s="5">
        <v>-124516</v>
      </c>
      <c r="AM40" s="5">
        <v>-187568</v>
      </c>
      <c r="AN40" s="5">
        <v>-705292</v>
      </c>
    </row>
    <row r="41" spans="2:54" x14ac:dyDescent="0.3">
      <c r="B41" t="s">
        <v>67</v>
      </c>
      <c r="C41" s="5">
        <v>-980</v>
      </c>
      <c r="D41" s="5">
        <v>14087</v>
      </c>
      <c r="E41" s="5">
        <v>19559</v>
      </c>
      <c r="F41" s="5">
        <f>AI41-E41-D41-C41</f>
        <v>47941</v>
      </c>
      <c r="G41" s="5">
        <v>-3599</v>
      </c>
      <c r="H41" s="5">
        <v>3706</v>
      </c>
      <c r="I41" s="5">
        <v>14249</v>
      </c>
      <c r="W41" s="5">
        <v>-4570</v>
      </c>
      <c r="AA41" s="5">
        <v>-9832</v>
      </c>
      <c r="AF41" s="21"/>
      <c r="AG41" s="21"/>
      <c r="AH41" s="21"/>
      <c r="AI41" s="5">
        <v>80607</v>
      </c>
      <c r="AJ41" s="5">
        <v>19257</v>
      </c>
      <c r="AK41" s="5">
        <v>72461</v>
      </c>
      <c r="AL41" s="5">
        <v>78109</v>
      </c>
      <c r="AM41" s="5">
        <v>-17918</v>
      </c>
      <c r="AN41" s="5">
        <v>43497</v>
      </c>
    </row>
    <row r="42" spans="2:54" x14ac:dyDescent="0.3">
      <c r="B42" t="s">
        <v>69</v>
      </c>
      <c r="C42" s="5">
        <f t="shared" ref="C42:I42" si="94">SUM(C37:C41)</f>
        <v>-110373</v>
      </c>
      <c r="D42" s="5">
        <f t="shared" si="94"/>
        <v>-112228</v>
      </c>
      <c r="E42" s="5">
        <f t="shared" si="94"/>
        <v>-131845</v>
      </c>
      <c r="F42" s="5">
        <f t="shared" si="94"/>
        <v>-39266</v>
      </c>
      <c r="G42" s="5">
        <f t="shared" si="94"/>
        <v>-104314</v>
      </c>
      <c r="H42" s="5">
        <f t="shared" si="94"/>
        <v>-104521</v>
      </c>
      <c r="I42" s="5">
        <f t="shared" si="94"/>
        <v>-153233</v>
      </c>
      <c r="W42" s="5">
        <f>SUM(W37:W41)</f>
        <v>-563797</v>
      </c>
      <c r="AA42" s="5">
        <f>SUM(AA37:AA41)</f>
        <v>-86011</v>
      </c>
      <c r="AF42" s="20">
        <v>-199453</v>
      </c>
      <c r="AG42" s="20">
        <v>-220567</v>
      </c>
      <c r="AH42" s="20">
        <v>182080</v>
      </c>
      <c r="AI42" s="5">
        <f t="shared" ref="AI42:AN42" si="95">SUM(AI37:AI41)</f>
        <v>-393712</v>
      </c>
      <c r="AJ42" s="5">
        <f t="shared" si="95"/>
        <v>-734606</v>
      </c>
      <c r="AK42" s="5">
        <f t="shared" si="95"/>
        <v>-994835</v>
      </c>
      <c r="AL42" s="5">
        <f t="shared" si="95"/>
        <v>-945707</v>
      </c>
      <c r="AM42" s="5">
        <f t="shared" si="95"/>
        <v>-1612150</v>
      </c>
      <c r="AN42" s="5">
        <f t="shared" si="95"/>
        <v>-1619003</v>
      </c>
    </row>
    <row r="43" spans="2:54" x14ac:dyDescent="0.3">
      <c r="B43" s="1" t="s">
        <v>35</v>
      </c>
      <c r="C43" s="10">
        <f t="shared" ref="C43:I43" si="96">C36-C42</f>
        <v>850984</v>
      </c>
      <c r="D43" s="10">
        <f t="shared" si="96"/>
        <v>770835</v>
      </c>
      <c r="E43" s="10">
        <f t="shared" si="96"/>
        <v>771942</v>
      </c>
      <c r="F43" s="10">
        <f t="shared" si="96"/>
        <v>399182</v>
      </c>
      <c r="G43" s="10">
        <f t="shared" si="96"/>
        <v>118234</v>
      </c>
      <c r="H43" s="10">
        <f t="shared" si="96"/>
        <v>610582</v>
      </c>
      <c r="I43" s="10">
        <f t="shared" si="96"/>
        <v>1141173</v>
      </c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0">
        <f>W36-W42</f>
        <v>1872708</v>
      </c>
      <c r="X43" s="1"/>
      <c r="Y43" s="1"/>
      <c r="Z43" s="1"/>
      <c r="AA43" s="10">
        <f>AA36-AA42</f>
        <v>1252152</v>
      </c>
      <c r="AB43" s="1"/>
      <c r="AC43" s="1"/>
      <c r="AD43" s="1"/>
      <c r="AE43" s="1"/>
      <c r="AF43" s="19">
        <f t="shared" ref="AF43:AN43" si="97">AF36-AF42</f>
        <v>2193825</v>
      </c>
      <c r="AG43" s="19">
        <f t="shared" si="97"/>
        <v>2620429</v>
      </c>
      <c r="AH43" s="19">
        <f t="shared" si="97"/>
        <v>2285465</v>
      </c>
      <c r="AI43" s="10">
        <f t="shared" si="97"/>
        <v>2792943</v>
      </c>
      <c r="AJ43" s="10">
        <f t="shared" si="97"/>
        <v>2932355</v>
      </c>
      <c r="AK43" s="10">
        <f t="shared" si="97"/>
        <v>3990531</v>
      </c>
      <c r="AL43" s="10">
        <f t="shared" si="97"/>
        <v>3670733</v>
      </c>
      <c r="AM43" s="10">
        <f t="shared" si="97"/>
        <v>6965085</v>
      </c>
      <c r="AN43" s="10">
        <f t="shared" si="97"/>
        <v>6414589</v>
      </c>
    </row>
    <row r="44" spans="2:54" x14ac:dyDescent="0.3">
      <c r="B44" t="s">
        <v>36</v>
      </c>
      <c r="C44" s="5">
        <v>219603</v>
      </c>
      <c r="D44" s="5">
        <v>218224</v>
      </c>
      <c r="E44" s="5">
        <v>185748</v>
      </c>
      <c r="F44" s="5">
        <f>AI44-E44-D44-C44</f>
        <v>58242</v>
      </c>
      <c r="G44" s="5">
        <v>-31214</v>
      </c>
      <c r="H44" s="5">
        <v>128841</v>
      </c>
      <c r="I44" s="5">
        <v>273666</v>
      </c>
      <c r="W44" s="5">
        <v>508435</v>
      </c>
      <c r="AA44" s="5">
        <v>379959</v>
      </c>
      <c r="AF44" s="20">
        <v>628900</v>
      </c>
      <c r="AG44" s="20">
        <v>504406</v>
      </c>
      <c r="AH44" s="20">
        <v>659944</v>
      </c>
      <c r="AI44" s="5">
        <v>681817</v>
      </c>
      <c r="AJ44" s="5">
        <v>649976</v>
      </c>
      <c r="AK44" s="5">
        <v>1115918</v>
      </c>
      <c r="AL44" s="5">
        <v>1175765</v>
      </c>
      <c r="AM44" s="5">
        <v>1893665</v>
      </c>
      <c r="AN44" s="5">
        <v>1624835</v>
      </c>
    </row>
    <row r="45" spans="2:54" x14ac:dyDescent="0.3">
      <c r="B45" t="s">
        <v>37</v>
      </c>
      <c r="C45" s="5">
        <v>12252</v>
      </c>
      <c r="D45" s="5">
        <v>22201</v>
      </c>
      <c r="E45" s="5">
        <v>26894</v>
      </c>
      <c r="F45" s="5">
        <f>AI45-E45-D45-C45</f>
        <v>13638</v>
      </c>
      <c r="G45" s="5">
        <v>-9396</v>
      </c>
      <c r="H45" s="5">
        <v>11216</v>
      </c>
      <c r="I45" s="5">
        <v>28812</v>
      </c>
      <c r="W45" s="5">
        <v>30476</v>
      </c>
      <c r="AA45" s="5">
        <v>30848</v>
      </c>
      <c r="AF45" s="20">
        <f>-362060+95876</f>
        <v>-266184</v>
      </c>
      <c r="AG45" s="20">
        <f>-470083+92123</f>
        <v>-377960</v>
      </c>
      <c r="AH45" s="20">
        <f>-360066+102714</f>
        <v>-257352</v>
      </c>
      <c r="AI45" s="5">
        <v>74985</v>
      </c>
      <c r="AJ45" s="5">
        <v>37118</v>
      </c>
      <c r="AK45" s="5">
        <v>24504</v>
      </c>
      <c r="AL45" s="5">
        <v>41650</v>
      </c>
      <c r="AM45" s="5">
        <v>126488</v>
      </c>
      <c r="AN45" s="5">
        <v>24670</v>
      </c>
    </row>
    <row r="46" spans="2:54" x14ac:dyDescent="0.3">
      <c r="B46" s="1" t="s">
        <v>38</v>
      </c>
      <c r="C46" s="10">
        <f t="shared" ref="C46:I46" si="98">C43-C44-C45</f>
        <v>619129</v>
      </c>
      <c r="D46" s="10">
        <f t="shared" si="98"/>
        <v>530410</v>
      </c>
      <c r="E46" s="10">
        <f t="shared" si="98"/>
        <v>559300</v>
      </c>
      <c r="F46" s="10">
        <f t="shared" si="98"/>
        <v>327302</v>
      </c>
      <c r="G46" s="10">
        <f t="shared" si="98"/>
        <v>158844</v>
      </c>
      <c r="H46" s="10">
        <f t="shared" si="98"/>
        <v>470525</v>
      </c>
      <c r="I46" s="10">
        <f t="shared" si="98"/>
        <v>838695</v>
      </c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0">
        <f>W43-W44-W45</f>
        <v>1333797</v>
      </c>
      <c r="X46" s="1"/>
      <c r="Y46" s="1"/>
      <c r="Z46" s="1"/>
      <c r="AA46" s="10">
        <f>AA43-AA44-AA45</f>
        <v>841345</v>
      </c>
      <c r="AB46" s="1"/>
      <c r="AC46" s="1"/>
      <c r="AD46" s="1"/>
      <c r="AE46" s="1"/>
      <c r="AF46" s="19">
        <f t="shared" ref="AF46:AN46" si="99">AF43-AF44-AF45</f>
        <v>1831109</v>
      </c>
      <c r="AG46" s="19">
        <f t="shared" si="99"/>
        <v>2493983</v>
      </c>
      <c r="AH46" s="19">
        <f t="shared" si="99"/>
        <v>1882873</v>
      </c>
      <c r="AI46" s="10">
        <f t="shared" si="99"/>
        <v>2036141</v>
      </c>
      <c r="AJ46" s="10">
        <f t="shared" si="99"/>
        <v>2245261</v>
      </c>
      <c r="AK46" s="10">
        <f t="shared" si="99"/>
        <v>2850109</v>
      </c>
      <c r="AL46" s="10">
        <f t="shared" si="99"/>
        <v>2453318</v>
      </c>
      <c r="AM46" s="10">
        <f t="shared" si="99"/>
        <v>4944932</v>
      </c>
      <c r="AN46" s="10">
        <f t="shared" si="99"/>
        <v>4765084</v>
      </c>
    </row>
    <row r="47" spans="2:54" x14ac:dyDescent="0.3">
      <c r="B47" t="s">
        <v>1</v>
      </c>
      <c r="C47" s="5">
        <v>2947</v>
      </c>
      <c r="D47" s="5">
        <v>2947</v>
      </c>
      <c r="E47" s="5">
        <v>2947</v>
      </c>
      <c r="F47" s="5">
        <v>2947</v>
      </c>
      <c r="G47" s="5">
        <v>2947</v>
      </c>
      <c r="H47" s="5">
        <v>2947</v>
      </c>
      <c r="I47" s="5">
        <v>3263</v>
      </c>
      <c r="W47" s="5">
        <v>2831</v>
      </c>
      <c r="AA47" s="5">
        <v>2831</v>
      </c>
      <c r="AF47" s="20">
        <v>2947</v>
      </c>
      <c r="AG47" s="20">
        <v>2947</v>
      </c>
      <c r="AH47" s="20">
        <v>2871</v>
      </c>
      <c r="AI47" s="5">
        <v>2831</v>
      </c>
      <c r="AJ47" s="5">
        <v>2831</v>
      </c>
      <c r="AK47" s="5">
        <v>2831</v>
      </c>
      <c r="AL47" s="5">
        <v>2831</v>
      </c>
      <c r="AM47" s="5">
        <v>2831</v>
      </c>
      <c r="AN47" s="5">
        <v>2831</v>
      </c>
    </row>
    <row r="48" spans="2:54" x14ac:dyDescent="0.3">
      <c r="B48" s="1" t="s">
        <v>39</v>
      </c>
      <c r="C48" s="18">
        <f t="shared" ref="C48:I48" si="100">C46/C47</f>
        <v>210.08788598574822</v>
      </c>
      <c r="D48" s="18">
        <f t="shared" si="100"/>
        <v>179.98303359348489</v>
      </c>
      <c r="E48" s="18">
        <f t="shared" si="100"/>
        <v>189.78622327790973</v>
      </c>
      <c r="F48" s="18">
        <f t="shared" si="100"/>
        <v>111.06277570410587</v>
      </c>
      <c r="G48" s="18">
        <f t="shared" si="100"/>
        <v>53.900237529691211</v>
      </c>
      <c r="H48" s="18">
        <f t="shared" si="100"/>
        <v>159.66236851034949</v>
      </c>
      <c r="I48" s="18">
        <f t="shared" si="100"/>
        <v>257.03187250996018</v>
      </c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>
        <f>W46/W47</f>
        <v>471.13987990109501</v>
      </c>
      <c r="X48" s="18"/>
      <c r="Y48" s="18"/>
      <c r="Z48" s="18"/>
      <c r="AA48" s="18">
        <f>AA46/AA47</f>
        <v>297.19003885552809</v>
      </c>
      <c r="AB48" s="18"/>
      <c r="AC48" s="18"/>
      <c r="AD48" s="18"/>
      <c r="AE48" s="18"/>
      <c r="AF48" s="22">
        <f t="shared" ref="AF48:AN48" si="101">AF46/AF47</f>
        <v>621.34679334916859</v>
      </c>
      <c r="AG48" s="22">
        <f t="shared" si="101"/>
        <v>846.27858839497799</v>
      </c>
      <c r="AH48" s="22">
        <f t="shared" si="101"/>
        <v>655.8247997213515</v>
      </c>
      <c r="AI48" s="18">
        <f t="shared" si="101"/>
        <v>719.23030731190397</v>
      </c>
      <c r="AJ48" s="18">
        <f t="shared" si="101"/>
        <v>793.09819851642533</v>
      </c>
      <c r="AK48" s="18">
        <f t="shared" si="101"/>
        <v>1006.7499116919817</v>
      </c>
      <c r="AL48" s="18">
        <f t="shared" si="101"/>
        <v>866.59060402684565</v>
      </c>
      <c r="AM48" s="18">
        <f t="shared" si="101"/>
        <v>1746.7085835393855</v>
      </c>
      <c r="AN48" s="18">
        <f t="shared" si="101"/>
        <v>1683.1805015895443</v>
      </c>
    </row>
  </sheetData>
  <phoneticPr fontId="3" type="noConversion"/>
  <pageMargins left="0.7" right="0.7" top="0.75" bottom="0.75" header="0.3" footer="0.3"/>
  <pageSetup paperSize="9" orientation="landscape" horizontalDpi="4294967293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AF85C-41C4-4787-AC98-1C6AF9AB8DA5}">
  <sheetPr codeName="Sheet3"/>
  <dimension ref="A1:K2"/>
  <sheetViews>
    <sheetView topLeftCell="C1" workbookViewId="0">
      <selection activeCell="C2" sqref="C2"/>
    </sheetView>
  </sheetViews>
  <sheetFormatPr defaultRowHeight="14.4" x14ac:dyDescent="0.3"/>
  <cols>
    <col min="1" max="1" width="22.77734375" bestFit="1" customWidth="1"/>
    <col min="2" max="2" width="31.44140625" bestFit="1" customWidth="1"/>
    <col min="3" max="3" width="36.5546875" bestFit="1" customWidth="1"/>
    <col min="4" max="4" width="15.6640625" bestFit="1" customWidth="1"/>
    <col min="5" max="5" width="14.6640625" bestFit="1" customWidth="1"/>
    <col min="6" max="6" width="12.109375" bestFit="1" customWidth="1"/>
    <col min="7" max="7" width="15.88671875" bestFit="1" customWidth="1"/>
    <col min="8" max="8" width="13.21875" bestFit="1" customWidth="1"/>
    <col min="9" max="9" width="15" bestFit="1" customWidth="1"/>
    <col min="10" max="10" width="13" bestFit="1" customWidth="1"/>
    <col min="11" max="11" width="34.5546875" bestFit="1" customWidth="1"/>
  </cols>
  <sheetData>
    <row r="1" spans="1:11" x14ac:dyDescent="0.3">
      <c r="A1" t="s">
        <v>9</v>
      </c>
      <c r="B1" t="s">
        <v>10</v>
      </c>
      <c r="C1" t="s">
        <v>11</v>
      </c>
      <c r="D1" t="s">
        <v>13</v>
      </c>
      <c r="E1" t="s">
        <v>12</v>
      </c>
      <c r="F1" t="s">
        <v>15</v>
      </c>
      <c r="G1" t="s">
        <v>16</v>
      </c>
      <c r="H1" t="s">
        <v>17</v>
      </c>
      <c r="I1" t="s">
        <v>18</v>
      </c>
      <c r="J1" t="s">
        <v>19</v>
      </c>
      <c r="K1" t="s">
        <v>20</v>
      </c>
    </row>
    <row r="2" spans="1:11" x14ac:dyDescent="0.3">
      <c r="A2" t="s">
        <v>61</v>
      </c>
      <c r="B2" t="s">
        <v>22</v>
      </c>
      <c r="C2" t="s">
        <v>62</v>
      </c>
      <c r="D2" s="8">
        <v>44256.125011574077</v>
      </c>
      <c r="E2" t="s">
        <v>14</v>
      </c>
      <c r="F2" t="s">
        <v>21</v>
      </c>
      <c r="G2" t="s">
        <v>23</v>
      </c>
      <c r="H2" t="s">
        <v>24</v>
      </c>
      <c r="I2">
        <v>106.31855806</v>
      </c>
      <c r="J2">
        <v>9.4056999999999995E-3</v>
      </c>
      <c r="K2" t="s">
        <v>63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B0FABA8-AC58-466B-BA35-42F534F57AA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Model</vt:lpstr>
      <vt:lpstr>Currency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</dc:creator>
  <cp:lastModifiedBy>Anton Mniszek</cp:lastModifiedBy>
  <cp:lastPrinted>2020-09-09T10:06:06Z</cp:lastPrinted>
  <dcterms:created xsi:type="dcterms:W3CDTF">2020-09-07T15:14:28Z</dcterms:created>
  <dcterms:modified xsi:type="dcterms:W3CDTF">2025-09-04T08:07:26Z</dcterms:modified>
</cp:coreProperties>
</file>