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C1CFA3BB-22F3-43D5-8FA1-8F3C9DDEBEDC}" xr6:coauthVersionLast="47" xr6:coauthVersionMax="47" xr10:uidLastSave="{00000000-0000-0000-0000-000000000000}"/>
  <bookViews>
    <workbookView xWindow="-108" yWindow="-108" windowWidth="23256" windowHeight="12576" activeTab="1" xr2:uid="{293EE719-AEB1-43A9-8AC3-A334237D7F43}"/>
  </bookViews>
  <sheets>
    <sheet name="Main" sheetId="1" r:id="rId1"/>
    <sheet name="Model" sheetId="4" r:id="rId2"/>
    <sheet name="Currency" sheetId="3" r:id="rId3"/>
  </sheets>
  <definedNames>
    <definedName name="ExternalData_1" localSheetId="2" hidden="1">Currency!$A$1:$K$2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8" i="4" l="1"/>
  <c r="AA18" i="4"/>
  <c r="X18" i="4"/>
  <c r="W18" i="4"/>
  <c r="AR5" i="4"/>
  <c r="AQ5" i="4"/>
  <c r="AP5" i="4"/>
  <c r="AO5" i="4"/>
  <c r="AB26" i="4"/>
  <c r="AB25" i="4"/>
  <c r="AB24" i="4"/>
  <c r="AB23" i="4"/>
  <c r="AB22" i="4"/>
  <c r="AB21" i="4"/>
  <c r="X26" i="4"/>
  <c r="X25" i="4"/>
  <c r="X23" i="4"/>
  <c r="X22" i="4"/>
  <c r="X17" i="4"/>
  <c r="X19" i="4" s="1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AB19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AB45" i="4"/>
  <c r="AB44" i="4"/>
  <c r="AB41" i="4"/>
  <c r="AB40" i="4"/>
  <c r="AB39" i="4"/>
  <c r="AB38" i="4"/>
  <c r="AB42" i="4" s="1"/>
  <c r="AB37" i="4"/>
  <c r="AB35" i="4"/>
  <c r="AB33" i="4"/>
  <c r="AB32" i="4"/>
  <c r="AB47" i="4"/>
  <c r="AB34" i="4"/>
  <c r="AB36" i="4" s="1"/>
  <c r="X45" i="4"/>
  <c r="X44" i="4"/>
  <c r="X41" i="4"/>
  <c r="X40" i="4"/>
  <c r="X39" i="4"/>
  <c r="X38" i="4"/>
  <c r="X37" i="4"/>
  <c r="X35" i="4"/>
  <c r="X33" i="4"/>
  <c r="X32" i="4"/>
  <c r="X47" i="4"/>
  <c r="X42" i="4"/>
  <c r="X52" i="4"/>
  <c r="X66" i="4"/>
  <c r="X61" i="4"/>
  <c r="X53" i="4"/>
  <c r="X55" i="4" s="1"/>
  <c r="AX18" i="4"/>
  <c r="AW18" i="4"/>
  <c r="AV18" i="4"/>
  <c r="AU18" i="4"/>
  <c r="AT18" i="4"/>
  <c r="AS18" i="4"/>
  <c r="AR18" i="4"/>
  <c r="AQ18" i="4"/>
  <c r="AP18" i="4"/>
  <c r="AO18" i="4"/>
  <c r="W47" i="4"/>
  <c r="AA47" i="4"/>
  <c r="AB66" i="4"/>
  <c r="AB52" i="4"/>
  <c r="AB61" i="4"/>
  <c r="AB53" i="4"/>
  <c r="AB55" i="4" s="1"/>
  <c r="D10" i="1"/>
  <c r="D7" i="1"/>
  <c r="D6" i="1"/>
  <c r="D4" i="1"/>
  <c r="W25" i="4"/>
  <c r="W23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22" i="4" s="1"/>
  <c r="W4" i="4"/>
  <c r="W3" i="4"/>
  <c r="AA17" i="4"/>
  <c r="AA16" i="4"/>
  <c r="AA15" i="4"/>
  <c r="AA25" i="4" s="1"/>
  <c r="AA14" i="4"/>
  <c r="AA13" i="4"/>
  <c r="AA12" i="4"/>
  <c r="AA11" i="4"/>
  <c r="AA10" i="4"/>
  <c r="AA9" i="4"/>
  <c r="AA8" i="4"/>
  <c r="AA7" i="4"/>
  <c r="AA23" i="4" s="1"/>
  <c r="AA6" i="4"/>
  <c r="AA24" i="4" s="1"/>
  <c r="AA5" i="4"/>
  <c r="AA22" i="4" s="1"/>
  <c r="AA4" i="4"/>
  <c r="AA3" i="4"/>
  <c r="AA21" i="4" s="1"/>
  <c r="W33" i="4"/>
  <c r="W34" i="4" s="1"/>
  <c r="W36" i="4" s="1"/>
  <c r="W42" i="4"/>
  <c r="AA33" i="4"/>
  <c r="AA34" i="4" s="1"/>
  <c r="AA36" i="4" s="1"/>
  <c r="AA42" i="4"/>
  <c r="AN18" i="4"/>
  <c r="AM18" i="4"/>
  <c r="AL18" i="4"/>
  <c r="AK18" i="4"/>
  <c r="AJ18" i="4"/>
  <c r="AN17" i="4"/>
  <c r="AN19" i="4" s="1"/>
  <c r="AM17" i="4"/>
  <c r="AM19" i="4" s="1"/>
  <c r="AL17" i="4"/>
  <c r="AL19" i="4" s="1"/>
  <c r="AK17" i="4"/>
  <c r="AK19" i="4" s="1"/>
  <c r="AJ17" i="4"/>
  <c r="AJ19" i="4" s="1"/>
  <c r="AN16" i="4"/>
  <c r="AM16" i="4"/>
  <c r="AL16" i="4"/>
  <c r="AK16" i="4"/>
  <c r="AJ16" i="4"/>
  <c r="AN15" i="4"/>
  <c r="AM15" i="4"/>
  <c r="AL15" i="4"/>
  <c r="AK15" i="4"/>
  <c r="AJ15" i="4"/>
  <c r="AN14" i="4"/>
  <c r="AM14" i="4"/>
  <c r="AL14" i="4"/>
  <c r="AK14" i="4"/>
  <c r="AJ14" i="4"/>
  <c r="AN13" i="4"/>
  <c r="AM13" i="4"/>
  <c r="AL13" i="4"/>
  <c r="AK13" i="4"/>
  <c r="AJ13" i="4"/>
  <c r="AN12" i="4"/>
  <c r="AM12" i="4"/>
  <c r="AL12" i="4"/>
  <c r="AK12" i="4"/>
  <c r="AJ12" i="4"/>
  <c r="AN11" i="4"/>
  <c r="AM11" i="4"/>
  <c r="AL11" i="4"/>
  <c r="AK11" i="4"/>
  <c r="AJ11" i="4"/>
  <c r="AN10" i="4"/>
  <c r="AM10" i="4"/>
  <c r="AL10" i="4"/>
  <c r="AK10" i="4"/>
  <c r="AJ10" i="4"/>
  <c r="AN9" i="4"/>
  <c r="AM9" i="4"/>
  <c r="AL9" i="4"/>
  <c r="AK9" i="4"/>
  <c r="AJ9" i="4"/>
  <c r="AN8" i="4"/>
  <c r="AM8" i="4"/>
  <c r="AL8" i="4"/>
  <c r="AK8" i="4"/>
  <c r="AJ8" i="4"/>
  <c r="AN7" i="4"/>
  <c r="AM7" i="4"/>
  <c r="AL7" i="4"/>
  <c r="AK7" i="4"/>
  <c r="AJ7" i="4"/>
  <c r="AN6" i="4"/>
  <c r="AM6" i="4"/>
  <c r="AL6" i="4"/>
  <c r="AK6" i="4"/>
  <c r="AJ6" i="4"/>
  <c r="AN5" i="4"/>
  <c r="AM5" i="4"/>
  <c r="AL5" i="4"/>
  <c r="AK5" i="4"/>
  <c r="AJ5" i="4"/>
  <c r="AN4" i="4"/>
  <c r="AM4" i="4"/>
  <c r="AL4" i="4"/>
  <c r="AK4" i="4"/>
  <c r="AJ4" i="4"/>
  <c r="AN3" i="4"/>
  <c r="AO3" i="4" s="1"/>
  <c r="AM3" i="4"/>
  <c r="AL3" i="4"/>
  <c r="AK3" i="4"/>
  <c r="AJ3" i="4"/>
  <c r="AI33" i="4"/>
  <c r="AJ33" i="4"/>
  <c r="AJ42" i="4"/>
  <c r="AJ34" i="4"/>
  <c r="AJ36" i="4" s="1"/>
  <c r="AK33" i="4"/>
  <c r="AK34" i="4" s="1"/>
  <c r="AK36" i="4" s="1"/>
  <c r="AK42" i="4"/>
  <c r="AL37" i="4"/>
  <c r="AL42" i="4"/>
  <c r="AL33" i="4"/>
  <c r="AL34" i="4" s="1"/>
  <c r="AL36" i="4" s="1"/>
  <c r="AM33" i="4"/>
  <c r="AM34" i="4" s="1"/>
  <c r="AM36" i="4" s="1"/>
  <c r="AM42" i="4"/>
  <c r="AN33" i="4"/>
  <c r="AN34" i="4" s="1"/>
  <c r="AN36" i="4" s="1"/>
  <c r="AN42" i="4"/>
  <c r="H18" i="4"/>
  <c r="G18" i="4"/>
  <c r="F18" i="4"/>
  <c r="E18" i="4"/>
  <c r="I18" i="4"/>
  <c r="J13" i="4"/>
  <c r="AI42" i="4"/>
  <c r="F44" i="4"/>
  <c r="F41" i="4"/>
  <c r="F40" i="4"/>
  <c r="F39" i="4"/>
  <c r="F38" i="4"/>
  <c r="F37" i="4"/>
  <c r="F35" i="4"/>
  <c r="F32" i="4"/>
  <c r="C33" i="4"/>
  <c r="C34" i="4" s="1"/>
  <c r="C36" i="4" s="1"/>
  <c r="C42" i="4"/>
  <c r="G33" i="4"/>
  <c r="G34" i="4" s="1"/>
  <c r="G36" i="4" s="1"/>
  <c r="G42" i="4"/>
  <c r="D33" i="4"/>
  <c r="D34" i="4" s="1"/>
  <c r="D36" i="4" s="1"/>
  <c r="D42" i="4"/>
  <c r="H33" i="4"/>
  <c r="H34" i="4" s="1"/>
  <c r="H36" i="4" s="1"/>
  <c r="H42" i="4"/>
  <c r="E33" i="4"/>
  <c r="E34" i="4" s="1"/>
  <c r="E36" i="4" s="1"/>
  <c r="E42" i="4"/>
  <c r="I42" i="4"/>
  <c r="I33" i="4"/>
  <c r="I34" i="4" s="1"/>
  <c r="I36" i="4" s="1"/>
  <c r="AA19" i="4" l="1"/>
  <c r="AB43" i="4"/>
  <c r="AB46" i="4" s="1"/>
  <c r="AB48" i="4" s="1"/>
  <c r="X34" i="4"/>
  <c r="X36" i="4" s="1"/>
  <c r="X43" i="4" s="1"/>
  <c r="X46" i="4" s="1"/>
  <c r="X48" i="4" s="1"/>
  <c r="X62" i="4"/>
  <c r="X65" i="4" s="1"/>
  <c r="X67" i="4" s="1"/>
  <c r="W19" i="4"/>
  <c r="AB62" i="4"/>
  <c r="AB65" i="4" s="1"/>
  <c r="AB67" i="4" s="1"/>
  <c r="AP3" i="4"/>
  <c r="AN26" i="4"/>
  <c r="AJ26" i="4"/>
  <c r="AK26" i="4"/>
  <c r="W26" i="4"/>
  <c r="AL26" i="4"/>
  <c r="AA26" i="4"/>
  <c r="AM26" i="4"/>
  <c r="W43" i="4"/>
  <c r="W46" i="4" s="1"/>
  <c r="W48" i="4" s="1"/>
  <c r="AA43" i="4"/>
  <c r="AA46" i="4" s="1"/>
  <c r="AA48" i="4" s="1"/>
  <c r="AJ43" i="4"/>
  <c r="AJ46" i="4" s="1"/>
  <c r="AJ48" i="4" s="1"/>
  <c r="AK43" i="4"/>
  <c r="AK46" i="4" s="1"/>
  <c r="AK48" i="4" s="1"/>
  <c r="AL43" i="4"/>
  <c r="AL46" i="4" s="1"/>
  <c r="AL48" i="4" s="1"/>
  <c r="AM43" i="4"/>
  <c r="AM46" i="4" s="1"/>
  <c r="AM48" i="4" s="1"/>
  <c r="AN43" i="4"/>
  <c r="AN46" i="4" s="1"/>
  <c r="AN48" i="4" s="1"/>
  <c r="I43" i="4"/>
  <c r="F42" i="4"/>
  <c r="C43" i="4"/>
  <c r="G43" i="4"/>
  <c r="D43" i="4"/>
  <c r="H43" i="4"/>
  <c r="E43" i="4"/>
  <c r="AF45" i="4"/>
  <c r="AF18" i="4"/>
  <c r="AF33" i="4"/>
  <c r="AF34" i="4" s="1"/>
  <c r="AF36" i="4" s="1"/>
  <c r="AF43" i="4" s="1"/>
  <c r="BA29" i="4"/>
  <c r="AI18" i="4"/>
  <c r="AH18" i="4"/>
  <c r="AG18" i="4"/>
  <c r="F45" i="4"/>
  <c r="AH45" i="4"/>
  <c r="AH33" i="4"/>
  <c r="AQ3" i="4" l="1"/>
  <c r="D46" i="4"/>
  <c r="C46" i="4"/>
  <c r="E46" i="4"/>
  <c r="H46" i="4"/>
  <c r="G46" i="4"/>
  <c r="I46" i="4"/>
  <c r="AI34" i="4"/>
  <c r="AI36" i="4" s="1"/>
  <c r="AI43" i="4" s="1"/>
  <c r="AI46" i="4" s="1"/>
  <c r="AI48" i="4" s="1"/>
  <c r="F33" i="4"/>
  <c r="AF46" i="4"/>
  <c r="AH34" i="4"/>
  <c r="H14" i="4"/>
  <c r="D14" i="4" l="1"/>
  <c r="I15" i="1"/>
  <c r="C18" i="4"/>
  <c r="H15" i="4"/>
  <c r="H25" i="4" s="1"/>
  <c r="E12" i="4"/>
  <c r="C11" i="4"/>
  <c r="H9" i="4"/>
  <c r="E8" i="4"/>
  <c r="C6" i="4"/>
  <c r="D15" i="4"/>
  <c r="G10" i="4"/>
  <c r="I16" i="4"/>
  <c r="G15" i="4"/>
  <c r="D12" i="4"/>
  <c r="I10" i="4"/>
  <c r="G9" i="4"/>
  <c r="D8" i="4"/>
  <c r="I3" i="4"/>
  <c r="G16" i="4"/>
  <c r="AI12" i="4"/>
  <c r="H16" i="4"/>
  <c r="E15" i="4"/>
  <c r="C12" i="4"/>
  <c r="H10" i="4"/>
  <c r="E9" i="4"/>
  <c r="C8" i="4"/>
  <c r="H3" i="4"/>
  <c r="AI11" i="4"/>
  <c r="I11" i="4"/>
  <c r="D9" i="4"/>
  <c r="AI10" i="4"/>
  <c r="E16" i="4"/>
  <c r="C15" i="4"/>
  <c r="H11" i="4"/>
  <c r="E10" i="4"/>
  <c r="C9" i="4"/>
  <c r="H6" i="4"/>
  <c r="E3" i="4"/>
  <c r="D6" i="4"/>
  <c r="I6" i="4"/>
  <c r="AI9" i="4"/>
  <c r="D16" i="4"/>
  <c r="I12" i="4"/>
  <c r="G11" i="4"/>
  <c r="D10" i="4"/>
  <c r="I8" i="4"/>
  <c r="G6" i="4"/>
  <c r="D3" i="4"/>
  <c r="AI8" i="4"/>
  <c r="C16" i="4"/>
  <c r="H12" i="4"/>
  <c r="E11" i="4"/>
  <c r="C10" i="4"/>
  <c r="H8" i="4"/>
  <c r="E6" i="4"/>
  <c r="C3" i="4"/>
  <c r="I15" i="4"/>
  <c r="G8" i="4"/>
  <c r="D18" i="4"/>
  <c r="G12" i="4"/>
  <c r="D11" i="4"/>
  <c r="I9" i="4"/>
  <c r="G3" i="4"/>
  <c r="F3" i="4"/>
  <c r="J3" i="4" s="1"/>
  <c r="F9" i="4"/>
  <c r="F12" i="4"/>
  <c r="H4" i="4"/>
  <c r="E5" i="4"/>
  <c r="D5" i="4"/>
  <c r="D7" i="4"/>
  <c r="H7" i="4"/>
  <c r="F10" i="4"/>
  <c r="E7" i="4"/>
  <c r="I5" i="4"/>
  <c r="I22" i="4" s="1"/>
  <c r="E4" i="4"/>
  <c r="H13" i="4"/>
  <c r="F15" i="4"/>
  <c r="C5" i="4"/>
  <c r="F11" i="4"/>
  <c r="H5" i="4"/>
  <c r="I7" i="4"/>
  <c r="D4" i="4"/>
  <c r="F6" i="4"/>
  <c r="J6" i="4" s="1"/>
  <c r="J24" i="4" s="1"/>
  <c r="I13" i="4"/>
  <c r="C7" i="4"/>
  <c r="I4" i="4"/>
  <c r="G7" i="4"/>
  <c r="G23" i="4" s="1"/>
  <c r="G4" i="4"/>
  <c r="G5" i="4"/>
  <c r="D13" i="4"/>
  <c r="F8" i="4"/>
  <c r="G13" i="4"/>
  <c r="C4" i="4"/>
  <c r="E13" i="4"/>
  <c r="C13" i="4"/>
  <c r="G14" i="4"/>
  <c r="F13" i="4"/>
  <c r="E14" i="4"/>
  <c r="I14" i="4"/>
  <c r="C14" i="4"/>
  <c r="F16" i="4"/>
  <c r="F34" i="4"/>
  <c r="F4" i="4"/>
  <c r="E48" i="4"/>
  <c r="E19" i="4" s="1"/>
  <c r="E17" i="4"/>
  <c r="E26" i="4" s="1"/>
  <c r="C48" i="4"/>
  <c r="C19" i="4" s="1"/>
  <c r="C17" i="4"/>
  <c r="C26" i="4" s="1"/>
  <c r="H48" i="4"/>
  <c r="H19" i="4" s="1"/>
  <c r="H17" i="4"/>
  <c r="I48" i="4"/>
  <c r="I19" i="4" s="1"/>
  <c r="I17" i="4"/>
  <c r="I26" i="4" s="1"/>
  <c r="G48" i="4"/>
  <c r="G19" i="4" s="1"/>
  <c r="G17" i="4"/>
  <c r="G26" i="4" s="1"/>
  <c r="D48" i="4"/>
  <c r="D19" i="4" s="1"/>
  <c r="D17" i="4"/>
  <c r="D26" i="4" s="1"/>
  <c r="AF5" i="4"/>
  <c r="AG15" i="4"/>
  <c r="AG6" i="4"/>
  <c r="AF4" i="4"/>
  <c r="AI4" i="4"/>
  <c r="AF3" i="4"/>
  <c r="AI13" i="4"/>
  <c r="AF15" i="4"/>
  <c r="AH13" i="4"/>
  <c r="AI3" i="4"/>
  <c r="AI6" i="4"/>
  <c r="AF6" i="4"/>
  <c r="AH6" i="4"/>
  <c r="AF14" i="4"/>
  <c r="AG13" i="4"/>
  <c r="AH3" i="4"/>
  <c r="AI15" i="4"/>
  <c r="AH15" i="4"/>
  <c r="AF13" i="4"/>
  <c r="AG3" i="4"/>
  <c r="AF7" i="4"/>
  <c r="AH16" i="4"/>
  <c r="AH4" i="4"/>
  <c r="AI17" i="4"/>
  <c r="AI26" i="4" s="1"/>
  <c r="AI14" i="4"/>
  <c r="AI16" i="4"/>
  <c r="AI7" i="4"/>
  <c r="AI5" i="4"/>
  <c r="AF16" i="4"/>
  <c r="AF48" i="4"/>
  <c r="AF19" i="4" s="1"/>
  <c r="AF17" i="4"/>
  <c r="AH36" i="4"/>
  <c r="AH5" i="4"/>
  <c r="AG45" i="4"/>
  <c r="AG16" i="4" s="1"/>
  <c r="AG33" i="4"/>
  <c r="AG4" i="4" s="1"/>
  <c r="D9" i="1"/>
  <c r="D8" i="1"/>
  <c r="BA26" i="4"/>
  <c r="F3" i="1"/>
  <c r="D5" i="1"/>
  <c r="H26" i="4" l="1"/>
  <c r="AF26" i="4"/>
  <c r="AH24" i="4"/>
  <c r="I25" i="4"/>
  <c r="E22" i="4"/>
  <c r="E25" i="4"/>
  <c r="I21" i="4"/>
  <c r="H22" i="4"/>
  <c r="H23" i="4"/>
  <c r="C25" i="4"/>
  <c r="AO12" i="4"/>
  <c r="AP12" i="4" s="1"/>
  <c r="AQ12" i="4" s="1"/>
  <c r="AR12" i="4" s="1"/>
  <c r="AS12" i="4" s="1"/>
  <c r="AT12" i="4" s="1"/>
  <c r="AU12" i="4" s="1"/>
  <c r="AV12" i="4" s="1"/>
  <c r="AW12" i="4" s="1"/>
  <c r="AX12" i="4" s="1"/>
  <c r="G21" i="4"/>
  <c r="C22" i="4"/>
  <c r="D23" i="4"/>
  <c r="C23" i="4"/>
  <c r="D22" i="4"/>
  <c r="H24" i="4"/>
  <c r="H21" i="4"/>
  <c r="G24" i="4"/>
  <c r="AO11" i="4"/>
  <c r="AP11" i="4" s="1"/>
  <c r="AQ11" i="4" s="1"/>
  <c r="AR11" i="4" s="1"/>
  <c r="AS11" i="4" s="1"/>
  <c r="AT11" i="4" s="1"/>
  <c r="AU11" i="4" s="1"/>
  <c r="AV11" i="4" s="1"/>
  <c r="AW11" i="4" s="1"/>
  <c r="AX11" i="4" s="1"/>
  <c r="AO16" i="4"/>
  <c r="AP16" i="4" s="1"/>
  <c r="AQ16" i="4" s="1"/>
  <c r="AR16" i="4" s="1"/>
  <c r="AS16" i="4" s="1"/>
  <c r="AT16" i="4" s="1"/>
  <c r="AU16" i="4" s="1"/>
  <c r="AV16" i="4" s="1"/>
  <c r="AW16" i="4" s="1"/>
  <c r="AX16" i="4" s="1"/>
  <c r="AO10" i="4"/>
  <c r="AP10" i="4" s="1"/>
  <c r="AQ10" i="4" s="1"/>
  <c r="AR10" i="4" s="1"/>
  <c r="AS10" i="4" s="1"/>
  <c r="AT10" i="4" s="1"/>
  <c r="AU10" i="4" s="1"/>
  <c r="AV10" i="4" s="1"/>
  <c r="AW10" i="4" s="1"/>
  <c r="AX10" i="4" s="1"/>
  <c r="G22" i="4"/>
  <c r="I23" i="4"/>
  <c r="E23" i="4"/>
  <c r="D25" i="4"/>
  <c r="G25" i="4"/>
  <c r="J5" i="4"/>
  <c r="J4" i="4" s="1"/>
  <c r="J21" i="4"/>
  <c r="I24" i="4"/>
  <c r="AO9" i="4"/>
  <c r="AP9" i="4" s="1"/>
  <c r="AQ9" i="4" s="1"/>
  <c r="AR9" i="4" s="1"/>
  <c r="AS9" i="4" s="1"/>
  <c r="AT9" i="4" s="1"/>
  <c r="AU9" i="4" s="1"/>
  <c r="AV9" i="4" s="1"/>
  <c r="AW9" i="4" s="1"/>
  <c r="AX9" i="4" s="1"/>
  <c r="AF22" i="4"/>
  <c r="AI24" i="4"/>
  <c r="AG24" i="4"/>
  <c r="AH22" i="4"/>
  <c r="AI22" i="4"/>
  <c r="AI23" i="4"/>
  <c r="F36" i="4"/>
  <c r="F5" i="4"/>
  <c r="F22" i="4" s="1"/>
  <c r="AI25" i="4"/>
  <c r="AF23" i="4"/>
  <c r="AG21" i="4"/>
  <c r="AF25" i="4"/>
  <c r="AI19" i="4"/>
  <c r="AI21" i="4"/>
  <c r="AH21" i="4"/>
  <c r="AG34" i="4"/>
  <c r="AG5" i="4" s="1"/>
  <c r="AG22" i="4" s="1"/>
  <c r="AH43" i="4"/>
  <c r="AH7" i="4"/>
  <c r="AH23" i="4" s="1"/>
  <c r="D11" i="1"/>
  <c r="AJ21" i="4" l="1"/>
  <c r="J22" i="4"/>
  <c r="J7" i="4"/>
  <c r="AO6" i="4"/>
  <c r="AP6" i="4" s="1"/>
  <c r="AQ6" i="4" s="1"/>
  <c r="AR6" i="4" s="1"/>
  <c r="AS6" i="4" s="1"/>
  <c r="AT6" i="4" s="1"/>
  <c r="AJ24" i="4"/>
  <c r="F43" i="4"/>
  <c r="F7" i="4"/>
  <c r="F23" i="4" s="1"/>
  <c r="AG36" i="4"/>
  <c r="AG7" i="4" s="1"/>
  <c r="AG23" i="4" s="1"/>
  <c r="AK22" i="4"/>
  <c r="AK21" i="4"/>
  <c r="AH46" i="4"/>
  <c r="AH14" i="4"/>
  <c r="AH25" i="4" s="1"/>
  <c r="AU6" i="4" l="1"/>
  <c r="AT24" i="4"/>
  <c r="AJ22" i="4"/>
  <c r="J14" i="4"/>
  <c r="J23" i="4"/>
  <c r="AJ23" i="4"/>
  <c r="F46" i="4"/>
  <c r="F14" i="4"/>
  <c r="F25" i="4" s="1"/>
  <c r="AG43" i="4"/>
  <c r="AG14" i="4" s="1"/>
  <c r="AG25" i="4" s="1"/>
  <c r="AL21" i="4"/>
  <c r="AH48" i="4"/>
  <c r="AH17" i="4"/>
  <c r="AH19" i="4" l="1"/>
  <c r="AH26" i="4"/>
  <c r="AU24" i="4"/>
  <c r="AV6" i="4"/>
  <c r="J15" i="4"/>
  <c r="J17" i="4" s="1"/>
  <c r="F48" i="4"/>
  <c r="F19" i="4" s="1"/>
  <c r="F17" i="4"/>
  <c r="F26" i="4" s="1"/>
  <c r="AL22" i="4"/>
  <c r="AG46" i="4"/>
  <c r="AG48" i="4" s="1"/>
  <c r="AM22" i="4"/>
  <c r="AM21" i="4"/>
  <c r="J19" i="4" l="1"/>
  <c r="J26" i="4"/>
  <c r="AW6" i="4"/>
  <c r="AV24" i="4"/>
  <c r="J25" i="4"/>
  <c r="AO8" i="4"/>
  <c r="AG17" i="4"/>
  <c r="AN21" i="4"/>
  <c r="AG19" i="4" l="1"/>
  <c r="AG26" i="4"/>
  <c r="AW24" i="4"/>
  <c r="AX6" i="4"/>
  <c r="AX24" i="4" s="1"/>
  <c r="AJ25" i="4"/>
  <c r="AP8" i="4"/>
  <c r="AO13" i="4"/>
  <c r="AN22" i="4"/>
  <c r="AO21" i="4"/>
  <c r="AO22" i="4"/>
  <c r="AQ8" i="4" l="1"/>
  <c r="AP13" i="4"/>
  <c r="AO4" i="4"/>
  <c r="AP22" i="4"/>
  <c r="AP21" i="4"/>
  <c r="AR8" i="4" l="1"/>
  <c r="AQ13" i="4"/>
  <c r="AR3" i="4"/>
  <c r="AQ21" i="4"/>
  <c r="AQ22" i="4"/>
  <c r="AP4" i="4"/>
  <c r="AS8" i="4" l="1"/>
  <c r="AR13" i="4"/>
  <c r="AS3" i="4"/>
  <c r="AR21" i="4"/>
  <c r="AR22" i="4"/>
  <c r="AQ4" i="4"/>
  <c r="AT3" i="4" l="1"/>
  <c r="AT5" i="4" s="1"/>
  <c r="AS5" i="4"/>
  <c r="AS13" i="4"/>
  <c r="AT8" i="4"/>
  <c r="AU3" i="4"/>
  <c r="AU5" i="4" s="1"/>
  <c r="AS21" i="4"/>
  <c r="AR4" i="4"/>
  <c r="AT21" i="4" l="1"/>
  <c r="AT13" i="4"/>
  <c r="AU8" i="4"/>
  <c r="AT4" i="4"/>
  <c r="AT7" i="4"/>
  <c r="AT22" i="4"/>
  <c r="AU21" i="4"/>
  <c r="AV3" i="4"/>
  <c r="AV5" i="4" s="1"/>
  <c r="AS4" i="4"/>
  <c r="AS22" i="4"/>
  <c r="AU22" i="4" l="1"/>
  <c r="AU7" i="4"/>
  <c r="AV21" i="4"/>
  <c r="AW3" i="4"/>
  <c r="AW5" i="4" s="1"/>
  <c r="AT14" i="4"/>
  <c r="AT23" i="4"/>
  <c r="AV8" i="4"/>
  <c r="AU13" i="4"/>
  <c r="AU4" i="4"/>
  <c r="AK23" i="4"/>
  <c r="AK24" i="4"/>
  <c r="AV7" i="4" l="1"/>
  <c r="AV22" i="4"/>
  <c r="AV4" i="4"/>
  <c r="AU14" i="4"/>
  <c r="AU23" i="4"/>
  <c r="AT15" i="4"/>
  <c r="AT25" i="4" s="1"/>
  <c r="AX3" i="4"/>
  <c r="AX5" i="4" s="1"/>
  <c r="AW21" i="4"/>
  <c r="AW8" i="4"/>
  <c r="AV13" i="4"/>
  <c r="AK25" i="4"/>
  <c r="AT17" i="4" l="1"/>
  <c r="AX21" i="4"/>
  <c r="AV14" i="4"/>
  <c r="AV23" i="4"/>
  <c r="AW7" i="4"/>
  <c r="AW22" i="4"/>
  <c r="AX8" i="4"/>
  <c r="AX13" i="4" s="1"/>
  <c r="AW13" i="4"/>
  <c r="AU15" i="4"/>
  <c r="AU25" i="4" s="1"/>
  <c r="AW4" i="4"/>
  <c r="AT19" i="4" l="1"/>
  <c r="AT26" i="4"/>
  <c r="AX22" i="4"/>
  <c r="AX7" i="4"/>
  <c r="AW23" i="4"/>
  <c r="AW14" i="4"/>
  <c r="AV15" i="4"/>
  <c r="AV25" i="4" s="1"/>
  <c r="AU17" i="4"/>
  <c r="AX4" i="4"/>
  <c r="AO24" i="4"/>
  <c r="AP24" i="4"/>
  <c r="AL24" i="4"/>
  <c r="AM24" i="4"/>
  <c r="AS24" i="4"/>
  <c r="AN24" i="4"/>
  <c r="AO7" i="4"/>
  <c r="AO14" i="4" s="1"/>
  <c r="AS7" i="4"/>
  <c r="AS23" i="4" s="1"/>
  <c r="AM23" i="4"/>
  <c r="AP7" i="4"/>
  <c r="AP14" i="4" s="1"/>
  <c r="AR7" i="4"/>
  <c r="AR23" i="4" s="1"/>
  <c r="AR24" i="4"/>
  <c r="AQ24" i="4"/>
  <c r="AN23" i="4"/>
  <c r="AQ7" i="4"/>
  <c r="AQ14" i="4" s="1"/>
  <c r="AU19" i="4" l="1"/>
  <c r="AU26" i="4"/>
  <c r="AV17" i="4"/>
  <c r="AW15" i="4"/>
  <c r="AW25" i="4" s="1"/>
  <c r="AX23" i="4"/>
  <c r="AX14" i="4"/>
  <c r="AM25" i="4"/>
  <c r="AQ23" i="4"/>
  <c r="AS14" i="4"/>
  <c r="AS15" i="4" s="1"/>
  <c r="AS25" i="4" s="1"/>
  <c r="AN25" i="4"/>
  <c r="AR14" i="4"/>
  <c r="AR15" i="4" s="1"/>
  <c r="AR25" i="4" s="1"/>
  <c r="AP23" i="4"/>
  <c r="AP15" i="4"/>
  <c r="AP25" i="4" s="1"/>
  <c r="AL25" i="4"/>
  <c r="AO15" i="4"/>
  <c r="AO25" i="4" s="1"/>
  <c r="AQ15" i="4"/>
  <c r="AQ25" i="4" s="1"/>
  <c r="AO23" i="4"/>
  <c r="AL23" i="4"/>
  <c r="AV19" i="4" l="1"/>
  <c r="AV26" i="4"/>
  <c r="AX15" i="4"/>
  <c r="AX25" i="4" s="1"/>
  <c r="AW17" i="4"/>
  <c r="AP17" i="4"/>
  <c r="AO17" i="4"/>
  <c r="AS17" i="4"/>
  <c r="AQ17" i="4"/>
  <c r="AR17" i="4"/>
  <c r="AO19" i="4" l="1"/>
  <c r="AO26" i="4"/>
  <c r="AQ19" i="4"/>
  <c r="AQ26" i="4"/>
  <c r="AS19" i="4"/>
  <c r="AS26" i="4"/>
  <c r="AP19" i="4"/>
  <c r="AP26" i="4"/>
  <c r="AW19" i="4"/>
  <c r="AW26" i="4"/>
  <c r="AR19" i="4"/>
  <c r="AR26" i="4"/>
  <c r="AX17" i="4"/>
  <c r="AX19" i="4" l="1"/>
  <c r="AX26" i="4"/>
  <c r="AY17" i="4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BA25" i="4" l="1"/>
  <c r="BA27" i="4" s="1"/>
  <c r="BA28" i="4" l="1"/>
  <c r="BA3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05256E-5B8D-4931-8BD2-C2A08F9A9017}" keepAlive="1" name="Query - usdjpy" description="Connection to the 'usdjpy' query in the workbook." type="5" refreshedVersion="6" background="1" saveData="1">
    <dbPr connection="Provider=Microsoft.Mashup.OleDb.1;Data Source=$Workbook$;Location=usdjpy;Extended Properties=&quot;&quot;" command="SELECT * FROM [usdjpy]"/>
  </connection>
</connections>
</file>

<file path=xl/sharedStrings.xml><?xml version="1.0" encoding="utf-8"?>
<sst xmlns="http://schemas.openxmlformats.org/spreadsheetml/2006/main" count="134" uniqueCount="93">
  <si>
    <t>Price</t>
  </si>
  <si>
    <t>Shares</t>
  </si>
  <si>
    <t>MC</t>
  </si>
  <si>
    <t>Net Cash</t>
  </si>
  <si>
    <t>EV</t>
  </si>
  <si>
    <t>Time last checked</t>
  </si>
  <si>
    <t>Today</t>
  </si>
  <si>
    <t>Q120</t>
  </si>
  <si>
    <t>USD/JPY</t>
  </si>
  <si>
    <t>title</t>
  </si>
  <si>
    <t>link</t>
  </si>
  <si>
    <t>description</t>
  </si>
  <si>
    <t>baseCurrency</t>
  </si>
  <si>
    <t>pubDate</t>
  </si>
  <si>
    <t>USD</t>
  </si>
  <si>
    <t>baseName</t>
  </si>
  <si>
    <t>targetCurrency</t>
  </si>
  <si>
    <t>targetName</t>
  </si>
  <si>
    <t>exchangeRate</t>
  </si>
  <si>
    <t>inverseRate</t>
  </si>
  <si>
    <t>inverseDescription</t>
  </si>
  <si>
    <t>U.S. Dollar</t>
  </si>
  <si>
    <t>http://www.floatrates.com/usd/jpy/</t>
  </si>
  <si>
    <t>JPY</t>
  </si>
  <si>
    <t>Japanese Yen</t>
  </si>
  <si>
    <t>Cash JPY</t>
  </si>
  <si>
    <t>Debt JPY</t>
  </si>
  <si>
    <t>Cash USD</t>
  </si>
  <si>
    <t>Debt USD</t>
  </si>
  <si>
    <t>Revenue</t>
  </si>
  <si>
    <t>Cost of sales</t>
  </si>
  <si>
    <t>Gross profit</t>
  </si>
  <si>
    <t>SG&amp;A</t>
  </si>
  <si>
    <t>Operating profit</t>
  </si>
  <si>
    <t>Net financing expense</t>
  </si>
  <si>
    <t>Pretax income</t>
  </si>
  <si>
    <t>Taxes</t>
  </si>
  <si>
    <t>Minority interest</t>
  </si>
  <si>
    <t>Net income</t>
  </si>
  <si>
    <t>EPS</t>
  </si>
  <si>
    <t>Gross Margin</t>
  </si>
  <si>
    <t>Operating Margin</t>
  </si>
  <si>
    <t>Revenue y/y</t>
  </si>
  <si>
    <t>Maturity</t>
  </si>
  <si>
    <t>Discount rate</t>
  </si>
  <si>
    <t>NPV</t>
  </si>
  <si>
    <t>Value</t>
  </si>
  <si>
    <t>Per share</t>
  </si>
  <si>
    <t>Current price</t>
  </si>
  <si>
    <t>Variance</t>
  </si>
  <si>
    <t>Net cash</t>
  </si>
  <si>
    <t>if they outperform earnings, could be a good target</t>
  </si>
  <si>
    <t>Consensus</t>
  </si>
  <si>
    <t>Earnings</t>
  </si>
  <si>
    <t>Q220</t>
  </si>
  <si>
    <t>Q320</t>
  </si>
  <si>
    <t>Q420</t>
  </si>
  <si>
    <t>Q121</t>
  </si>
  <si>
    <t>Q221</t>
  </si>
  <si>
    <t>Q321</t>
  </si>
  <si>
    <t>Q421</t>
  </si>
  <si>
    <t>1 USD = 106.31855806 JPY</t>
  </si>
  <si>
    <t>1 U.S. Dollar = 106.31855806 Japanese Yen</t>
  </si>
  <si>
    <t>1 Japanese Yen = 0.00940570 U.S. Dollar</t>
  </si>
  <si>
    <t>Investments</t>
  </si>
  <si>
    <t>Other finance income</t>
  </si>
  <si>
    <t>Other finance costs</t>
  </si>
  <si>
    <t>Other income</t>
  </si>
  <si>
    <t>Finance income</t>
  </si>
  <si>
    <t>Net finance expense</t>
  </si>
  <si>
    <t>SG&amp;A y/y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</si>
  <si>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</si>
  <si>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</si>
  <si>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</si>
  <si>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</si>
  <si>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</si>
  <si>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</si>
  <si>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</si>
  <si>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</si>
  <si>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</si>
  <si>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</si>
  <si>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</si>
  <si>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</si>
  <si>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</si>
  <si>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</si>
  <si>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</si>
  <si>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</si>
  <si>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</si>
  <si>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</si>
  <si>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</si>
  <si>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</si>
  <si>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Net Margin</t>
  </si>
  <si>
    <t>Heavily 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</si>
</sst>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[$¥-411]#,##0"/>
    <numFmt numFmtId="166" formatCode="[$$-409]#,##0"/>
    <numFmt numFmtId="167" formatCode="[$¥-411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22" fontId="0" fillId="0" borderId="0" xfId="0" applyNumberFormat="1"/>
    <xf numFmtId="167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14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9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3" fontId="4" fillId="0" borderId="0" xfId="0" applyNumberFormat="1" applyFont="1"/>
    <xf numFmtId="3" fontId="2" fillId="0" borderId="0" xfId="0" applyNumberFormat="1" applyFont="1"/>
    <xf numFmtId="0" fontId="2" fillId="0" borderId="0" xfId="0" applyFont="1"/>
    <xf numFmtId="4" fontId="4" fillId="0" borderId="0" xfId="0" applyNumberFormat="1" applyFont="1"/>
    <xf numFmtId="3" fontId="0" fillId="0" borderId="0" xfId="0" applyNumberFormat="1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0</xdr:row>
      <xdr:rowOff>0</xdr:rowOff>
    </xdr:from>
    <xdr:to>
      <xdr:col>9</xdr:col>
      <xdr:colOff>22860</xdr:colOff>
      <xdr:row>55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D7A84A1-1C42-4073-A676-03EB25B05552}"/>
            </a:ext>
          </a:extLst>
        </xdr:cNvPr>
        <xdr:cNvCxnSpPr/>
      </xdr:nvCxnSpPr>
      <xdr:spPr>
        <a:xfrm>
          <a:off x="7010400" y="0"/>
          <a:ext cx="0" cy="9052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22860</xdr:colOff>
      <xdr:row>0</xdr:row>
      <xdr:rowOff>22860</xdr:rowOff>
    </xdr:from>
    <xdr:to>
      <xdr:col>40</xdr:col>
      <xdr:colOff>22860</xdr:colOff>
      <xdr:row>32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95D1999-B9F2-4898-A507-0745E117B789}"/>
            </a:ext>
          </a:extLst>
        </xdr:cNvPr>
        <xdr:cNvCxnSpPr/>
      </xdr:nvCxnSpPr>
      <xdr:spPr>
        <a:xfrm>
          <a:off x="29337000" y="22860"/>
          <a:ext cx="0" cy="5905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F02D31-FA0B-4B39-A2C9-45F4D6FCBC90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2"/>
      <queryTableField id="2" name="link" tableColumnId="2"/>
      <queryTableField id="3" name="description" tableColumnId="3"/>
      <queryTableField id="4" name="pubDate" tableColumnId="4"/>
      <queryTableField id="5" name="baseCurrency" tableColumnId="5"/>
      <queryTableField id="6" name="baseName" tableColumnId="6"/>
      <queryTableField id="7" name="targetCurrency" tableColumnId="7"/>
      <queryTableField id="8" name="targetName" tableColumnId="8"/>
      <queryTableField id="9" name="exchangeRate" tableColumnId="9"/>
      <queryTableField id="10" name="inverseRate" tableColumnId="10"/>
      <queryTableField id="11" name="inverseDescript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3583A1-1005-43C5-8E4E-C4BFEEA0A9EF}" name="usdjpy" displayName="usdjpy" ref="A1:K2" tableType="queryTable" totalsRowShown="0">
  <autoFilter ref="A1:K2" xr:uid="{3A5FF6DB-025C-415A-953B-1998CD98FB58}"/>
  <tableColumns count="11">
    <tableColumn id="12" xr3:uid="{21B6F5A2-9190-4F5F-814B-8C0A8846A7A1}" uniqueName="12" name="title" queryTableFieldId="1" dataDxfId="10"/>
    <tableColumn id="2" xr3:uid="{FB39E0B2-23B4-44D7-85E3-B2356F0722B7}" uniqueName="2" name="link" queryTableFieldId="2" dataDxfId="9"/>
    <tableColumn id="3" xr3:uid="{22282F28-0532-4E3D-B7EA-55CDE07287B3}" uniqueName="3" name="description" queryTableFieldId="3" dataDxfId="8"/>
    <tableColumn id="4" xr3:uid="{86BFAAD9-D164-4F75-9536-B7E18AD31A86}" uniqueName="4" name="pubDate" queryTableFieldId="4" dataDxfId="7"/>
    <tableColumn id="5" xr3:uid="{014573C3-B70D-4096-83C8-7CB9C0DE99EC}" uniqueName="5" name="baseCurrency" queryTableFieldId="5" dataDxfId="6"/>
    <tableColumn id="6" xr3:uid="{8E4272A2-9544-4766-89B6-6BF60CD36DD7}" uniqueName="6" name="baseName" queryTableFieldId="6" dataDxfId="5"/>
    <tableColumn id="7" xr3:uid="{8A1FA9F0-B728-4FFB-8EF1-D818326E9F39}" uniqueName="7" name="targetCurrency" queryTableFieldId="7" dataDxfId="4"/>
    <tableColumn id="8" xr3:uid="{5EEBE399-9417-4D5D-8212-DAD6AFA96F33}" uniqueName="8" name="targetName" queryTableFieldId="8" dataDxfId="3"/>
    <tableColumn id="9" xr3:uid="{83892EC6-CA2E-4D7D-A685-BCE6999D31F4}" uniqueName="9" name="exchangeRate" queryTableFieldId="9" dataDxfId="2"/>
    <tableColumn id="10" xr3:uid="{F13137B5-2E41-4344-B91B-EAA849012B17}" uniqueName="10" name="inverseRate" queryTableFieldId="10" dataDxfId="1"/>
    <tableColumn id="11" xr3:uid="{6C689423-2CAB-4C14-971F-946C663BF854}" uniqueName="11" name="inverseDescripti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1E92-B21A-4CE6-B201-46823B23EA64}">
  <sheetPr codeName="Sheet1"/>
  <dimension ref="B2:I15"/>
  <sheetViews>
    <sheetView workbookViewId="0">
      <selection activeCell="D4" sqref="D4"/>
    </sheetView>
  </sheetViews>
  <sheetFormatPr defaultRowHeight="14.4" x14ac:dyDescent="0.3"/>
  <cols>
    <col min="4" max="4" width="11" bestFit="1" customWidth="1"/>
    <col min="5" max="7" width="15.77734375" style="3" customWidth="1"/>
    <col min="9" max="9" width="11" bestFit="1" customWidth="1"/>
  </cols>
  <sheetData>
    <row r="2" spans="2:9" x14ac:dyDescent="0.3">
      <c r="E2" s="3" t="s">
        <v>5</v>
      </c>
      <c r="F2" s="3" t="s">
        <v>6</v>
      </c>
      <c r="G2" s="3" t="s">
        <v>53</v>
      </c>
    </row>
    <row r="3" spans="2:9" x14ac:dyDescent="0.3">
      <c r="B3" s="17">
        <v>7203</v>
      </c>
      <c r="C3" t="s">
        <v>0</v>
      </c>
      <c r="D3" s="2">
        <v>199.06</v>
      </c>
      <c r="E3" s="4">
        <v>45995</v>
      </c>
      <c r="F3" s="4">
        <f ca="1">TODAY()</f>
        <v>45995</v>
      </c>
      <c r="G3" s="4">
        <v>46064</v>
      </c>
    </row>
    <row r="4" spans="2:9" x14ac:dyDescent="0.3">
      <c r="C4" t="s">
        <v>1</v>
      </c>
      <c r="D4" s="5">
        <f>(15795-2762)/10</f>
        <v>1303.3</v>
      </c>
      <c r="E4" s="3" t="s">
        <v>88</v>
      </c>
    </row>
    <row r="5" spans="2:9" x14ac:dyDescent="0.3">
      <c r="C5" t="s">
        <v>2</v>
      </c>
      <c r="D5" s="7">
        <f>D3*D4</f>
        <v>259434.89799999999</v>
      </c>
    </row>
    <row r="6" spans="2:9" x14ac:dyDescent="0.3">
      <c r="C6" t="s">
        <v>25</v>
      </c>
      <c r="D6" s="6">
        <f>8982404+5798051</f>
        <v>14780455</v>
      </c>
      <c r="E6" s="3" t="s">
        <v>88</v>
      </c>
    </row>
    <row r="7" spans="2:9" x14ac:dyDescent="0.3">
      <c r="C7" t="s">
        <v>26</v>
      </c>
      <c r="D7" s="6">
        <f>15829516+22963363</f>
        <v>38792879</v>
      </c>
      <c r="E7" s="3" t="s">
        <v>88</v>
      </c>
    </row>
    <row r="8" spans="2:9" x14ac:dyDescent="0.3">
      <c r="C8" t="s">
        <v>27</v>
      </c>
      <c r="D8" s="7">
        <f>D6/D13</f>
        <v>95499.483103960709</v>
      </c>
      <c r="E8" s="3" t="s">
        <v>88</v>
      </c>
    </row>
    <row r="9" spans="2:9" x14ac:dyDescent="0.3">
      <c r="C9" t="s">
        <v>28</v>
      </c>
      <c r="D9" s="7">
        <f>D7/D13</f>
        <v>250648.56884409121</v>
      </c>
      <c r="E9" s="3" t="s">
        <v>88</v>
      </c>
    </row>
    <row r="10" spans="2:9" x14ac:dyDescent="0.3">
      <c r="C10" t="s">
        <v>3</v>
      </c>
      <c r="D10" s="7">
        <f>(D6-D7)/D13</f>
        <v>-155149.08574013051</v>
      </c>
      <c r="E10" s="3" t="s">
        <v>88</v>
      </c>
    </row>
    <row r="11" spans="2:9" x14ac:dyDescent="0.3">
      <c r="C11" t="s">
        <v>4</v>
      </c>
      <c r="D11" s="7">
        <f>D5-D10</f>
        <v>414583.9837401305</v>
      </c>
    </row>
    <row r="13" spans="2:9" x14ac:dyDescent="0.3">
      <c r="C13" t="s">
        <v>8</v>
      </c>
      <c r="D13" s="9">
        <v>154.77000000000001</v>
      </c>
    </row>
    <row r="15" spans="2:9" x14ac:dyDescent="0.3">
      <c r="I15" s="9">
        <f>(2766-43+47)*(6886/D13)+(43/2)*D3</f>
        <v>127522.14963041931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7229-131C-44E2-A523-FFFDA163C314}">
  <sheetPr codeName="Sheet2"/>
  <dimension ref="B1:EI67"/>
  <sheetViews>
    <sheetView tabSelected="1" workbookViewId="0">
      <pane xSplit="2" ySplit="2" topLeftCell="AN17" activePane="bottomRight" state="frozen"/>
      <selection pane="topRight" activeCell="C1" sqref="C1"/>
      <selection pane="bottomLeft" activeCell="A3" sqref="A3"/>
      <selection pane="bottomRight" sqref="A1:BA31"/>
    </sheetView>
  </sheetViews>
  <sheetFormatPr defaultRowHeight="14.4" x14ac:dyDescent="0.3"/>
  <cols>
    <col min="2" max="2" width="19.109375" bestFit="1" customWidth="1"/>
    <col min="3" max="30" width="10.5546875" customWidth="1"/>
    <col min="31" max="31" width="8.88671875" customWidth="1"/>
    <col min="32" max="50" width="10.5546875" customWidth="1"/>
    <col min="51" max="51" width="8.77734375" customWidth="1"/>
    <col min="52" max="52" width="11.88671875" bestFit="1" customWidth="1"/>
    <col min="53" max="53" width="17.33203125" bestFit="1" customWidth="1"/>
  </cols>
  <sheetData>
    <row r="1" spans="2:50" x14ac:dyDescent="0.3">
      <c r="C1" s="12">
        <v>43646</v>
      </c>
      <c r="D1" s="12">
        <v>43738</v>
      </c>
      <c r="E1" s="12">
        <v>43830</v>
      </c>
      <c r="F1" s="12">
        <v>43921</v>
      </c>
      <c r="G1" s="12">
        <v>44012</v>
      </c>
      <c r="H1" s="12">
        <v>44104</v>
      </c>
      <c r="I1" s="12">
        <v>44196</v>
      </c>
      <c r="J1" s="12">
        <v>44286</v>
      </c>
      <c r="K1" s="12">
        <v>44377</v>
      </c>
      <c r="L1" s="12">
        <v>44469</v>
      </c>
      <c r="M1" s="12">
        <v>44561</v>
      </c>
      <c r="N1" s="12">
        <v>44651</v>
      </c>
      <c r="O1" s="12">
        <v>44742</v>
      </c>
      <c r="P1" s="12">
        <v>44834</v>
      </c>
      <c r="Q1" s="12">
        <v>44926</v>
      </c>
      <c r="R1" s="12">
        <v>45016</v>
      </c>
      <c r="S1" s="12">
        <v>45107</v>
      </c>
      <c r="T1" s="12">
        <v>45199</v>
      </c>
      <c r="U1" s="12">
        <v>45291</v>
      </c>
      <c r="V1" s="12">
        <v>45382</v>
      </c>
      <c r="W1" s="12">
        <v>45473</v>
      </c>
      <c r="X1" s="12">
        <v>45565</v>
      </c>
      <c r="Y1" s="12">
        <v>45657</v>
      </c>
      <c r="Z1" s="12">
        <v>45747</v>
      </c>
      <c r="AA1" s="12">
        <v>45838</v>
      </c>
      <c r="AB1" s="12">
        <v>45930</v>
      </c>
      <c r="AC1" s="12">
        <v>46022</v>
      </c>
      <c r="AD1" s="12">
        <v>46112</v>
      </c>
      <c r="AF1" s="12">
        <v>42825</v>
      </c>
      <c r="AG1" s="12">
        <v>43190</v>
      </c>
      <c r="AH1" s="12">
        <v>43555</v>
      </c>
      <c r="AI1" s="12">
        <v>43921</v>
      </c>
      <c r="AJ1" s="12">
        <v>44286</v>
      </c>
      <c r="AK1" s="12">
        <v>44651</v>
      </c>
      <c r="AL1" s="12">
        <v>45016</v>
      </c>
      <c r="AM1" s="12">
        <v>45382</v>
      </c>
      <c r="AN1" s="12">
        <v>45747</v>
      </c>
      <c r="AO1" s="12">
        <v>46112</v>
      </c>
      <c r="AP1" s="12">
        <v>46477</v>
      </c>
      <c r="AQ1" s="12">
        <v>46843</v>
      </c>
      <c r="AR1" s="12">
        <v>47208</v>
      </c>
      <c r="AS1" s="12">
        <v>47573</v>
      </c>
      <c r="AT1" s="12">
        <v>47938</v>
      </c>
      <c r="AU1" s="12">
        <v>48304</v>
      </c>
      <c r="AV1" s="12">
        <v>48669</v>
      </c>
      <c r="AW1" s="12">
        <v>49034</v>
      </c>
      <c r="AX1" s="12">
        <v>49399</v>
      </c>
    </row>
    <row r="2" spans="2:50" x14ac:dyDescent="0.3">
      <c r="C2" s="16" t="s">
        <v>7</v>
      </c>
      <c r="D2" s="16" t="s">
        <v>54</v>
      </c>
      <c r="E2" s="16" t="s">
        <v>55</v>
      </c>
      <c r="F2" s="16" t="s">
        <v>56</v>
      </c>
      <c r="G2" s="16" t="s">
        <v>57</v>
      </c>
      <c r="H2" s="16" t="s">
        <v>58</v>
      </c>
      <c r="I2" s="16" t="s">
        <v>59</v>
      </c>
      <c r="J2" s="16" t="s">
        <v>60</v>
      </c>
      <c r="K2" s="16" t="s">
        <v>71</v>
      </c>
      <c r="L2" s="16" t="s">
        <v>72</v>
      </c>
      <c r="M2" s="16" t="s">
        <v>73</v>
      </c>
      <c r="N2" s="16" t="s">
        <v>74</v>
      </c>
      <c r="O2" s="16" t="s">
        <v>75</v>
      </c>
      <c r="P2" s="16" t="s">
        <v>76</v>
      </c>
      <c r="Q2" s="16" t="s">
        <v>77</v>
      </c>
      <c r="R2" s="16" t="s">
        <v>78</v>
      </c>
      <c r="S2" s="16" t="s">
        <v>79</v>
      </c>
      <c r="T2" s="16" t="s">
        <v>80</v>
      </c>
      <c r="U2" s="16" t="s">
        <v>81</v>
      </c>
      <c r="V2" s="16" t="s">
        <v>82</v>
      </c>
      <c r="W2" s="16" t="s">
        <v>83</v>
      </c>
      <c r="X2" s="16" t="s">
        <v>84</v>
      </c>
      <c r="Y2" s="16" t="s">
        <v>85</v>
      </c>
      <c r="Z2" s="16" t="s">
        <v>86</v>
      </c>
      <c r="AA2" s="16" t="s">
        <v>87</v>
      </c>
      <c r="AB2" s="16" t="s">
        <v>88</v>
      </c>
      <c r="AC2" s="16" t="s">
        <v>89</v>
      </c>
      <c r="AD2" s="16" t="s">
        <v>90</v>
      </c>
      <c r="AF2">
        <v>2017</v>
      </c>
      <c r="AG2">
        <v>2018</v>
      </c>
      <c r="AH2">
        <v>2019</v>
      </c>
      <c r="AI2">
        <v>2020</v>
      </c>
      <c r="AJ2">
        <v>2021</v>
      </c>
      <c r="AK2">
        <v>2022</v>
      </c>
      <c r="AL2">
        <v>2023</v>
      </c>
      <c r="AM2">
        <v>2024</v>
      </c>
      <c r="AN2">
        <v>2025</v>
      </c>
      <c r="AO2">
        <v>2026</v>
      </c>
      <c r="AP2">
        <v>2027</v>
      </c>
      <c r="AQ2">
        <v>2028</v>
      </c>
      <c r="AR2">
        <v>2029</v>
      </c>
      <c r="AS2">
        <v>2030</v>
      </c>
      <c r="AT2">
        <v>2031</v>
      </c>
      <c r="AU2">
        <v>2032</v>
      </c>
      <c r="AV2">
        <v>2033</v>
      </c>
      <c r="AW2">
        <v>2034</v>
      </c>
      <c r="AX2">
        <v>2035</v>
      </c>
    </row>
    <row r="3" spans="2:50" s="1" customFormat="1" x14ac:dyDescent="0.3">
      <c r="B3" s="1" t="s">
        <v>29</v>
      </c>
      <c r="C3" s="10">
        <f>C32/Main!$D$13</f>
        <v>49888.69289914066</v>
      </c>
      <c r="D3" s="10">
        <f>D32/Main!$D$13</f>
        <v>49344.213994960257</v>
      </c>
      <c r="E3" s="10">
        <f>E32/Main!$D$13</f>
        <v>49162.828713574978</v>
      </c>
      <c r="F3" s="10">
        <f>F32/Main!$D$13</f>
        <v>44578.01253472895</v>
      </c>
      <c r="G3" s="10">
        <f>G32/Main!$D$13</f>
        <v>29726.665374426568</v>
      </c>
      <c r="H3" s="10">
        <f>H32/Main!$D$13</f>
        <v>43770.931058990755</v>
      </c>
      <c r="I3" s="10">
        <f>I32/Main!$D$13</f>
        <v>52658.990760483292</v>
      </c>
      <c r="J3" s="10">
        <f>F3*1.15</f>
        <v>51264.714414938288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>
        <f>W32/Main!$D$13</f>
        <v>76486.909607805123</v>
      </c>
      <c r="X3" s="10">
        <f>X32/Main!$D$13</f>
        <v>73945.667765070742</v>
      </c>
      <c r="Y3" s="10"/>
      <c r="Z3" s="10"/>
      <c r="AA3" s="10">
        <f>AA32/Main!$D$13</f>
        <v>79171.195968210886</v>
      </c>
      <c r="AB3" s="10">
        <f>AB32/Main!$D$13</f>
        <v>79973.037410350837</v>
      </c>
      <c r="AC3" s="10"/>
      <c r="AD3" s="10"/>
      <c r="AF3" s="10">
        <f>AF32/Main!$D$13</f>
        <v>178310.99696323575</v>
      </c>
      <c r="AG3" s="10">
        <f>AG32/Main!$D$13</f>
        <v>189826.90443884474</v>
      </c>
      <c r="AH3" s="10">
        <f>AH32/Main!$D$13</f>
        <v>195294.18491955803</v>
      </c>
      <c r="AI3" s="10">
        <f>AI32/Main!$D$13</f>
        <v>192973.74814240486</v>
      </c>
      <c r="AJ3" s="10">
        <f>AJ32/Main!$D$13</f>
        <v>175838.94811656006</v>
      </c>
      <c r="AK3" s="10">
        <f>AK32/Main!$D$13</f>
        <v>202749.28603734574</v>
      </c>
      <c r="AL3" s="10">
        <f>AL32/Main!$D$13</f>
        <v>240061.36848226399</v>
      </c>
      <c r="AM3" s="10">
        <f>AM32/Main!$D$13</f>
        <v>291369.93603411515</v>
      </c>
      <c r="AN3" s="10">
        <f>AN32/Main!$D$13</f>
        <v>310374.77547328291</v>
      </c>
      <c r="AO3" s="10">
        <f>AN3*1.04</f>
        <v>322789.76649221423</v>
      </c>
      <c r="AP3" s="10">
        <f>AO3*1.02</f>
        <v>329245.56182205852</v>
      </c>
      <c r="AQ3" s="10">
        <f>AP3*1.01</f>
        <v>332538.01744027913</v>
      </c>
      <c r="AR3" s="10">
        <f t="shared" ref="AR3:AS3" si="0">AQ3*1.01</f>
        <v>335863.39761468192</v>
      </c>
      <c r="AS3" s="10">
        <f t="shared" si="0"/>
        <v>339222.03159082873</v>
      </c>
      <c r="AT3" s="10">
        <f t="shared" ref="AT3" si="1">AS3*1.01</f>
        <v>342614.25190673704</v>
      </c>
      <c r="AU3" s="10">
        <f t="shared" ref="AU3" si="2">AT3*1.01</f>
        <v>346040.39442580444</v>
      </c>
      <c r="AV3" s="10">
        <f t="shared" ref="AV3" si="3">AU3*1.01</f>
        <v>349500.79837006249</v>
      </c>
      <c r="AW3" s="10">
        <f t="shared" ref="AW3" si="4">AV3*1.01</f>
        <v>352995.8063537631</v>
      </c>
      <c r="AX3" s="10">
        <f t="shared" ref="AX3" si="5">AW3*1.01</f>
        <v>356525.76441730076</v>
      </c>
    </row>
    <row r="4" spans="2:50" x14ac:dyDescent="0.3">
      <c r="B4" t="s">
        <v>30</v>
      </c>
      <c r="C4" s="5">
        <f>C33/Main!$D$13</f>
        <v>40506.202752471407</v>
      </c>
      <c r="D4" s="5">
        <f>D33/Main!$D$13</f>
        <v>40611.30710085934</v>
      </c>
      <c r="E4" s="5">
        <f>E33/Main!$D$13</f>
        <v>40232.318924856234</v>
      </c>
      <c r="F4" s="5">
        <f>F33/Main!$D$13</f>
        <v>36854.933126574913</v>
      </c>
      <c r="G4" s="5">
        <f>G33/Main!$D$13</f>
        <v>26176.700911029267</v>
      </c>
      <c r="H4" s="5">
        <f>H33/Main!$D$13</f>
        <v>36352.523098791753</v>
      </c>
      <c r="I4" s="5">
        <f>I33/Main!$D$13</f>
        <v>41954.706984557728</v>
      </c>
      <c r="J4" s="5">
        <f>J3-J5</f>
        <v>42037.065820249394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>
        <f>W33/Main!$D$13</f>
        <v>60793.332041093228</v>
      </c>
      <c r="X4" s="5">
        <f>X33/Main!$D$13</f>
        <v>58192.996058667697</v>
      </c>
      <c r="Y4" s="5"/>
      <c r="Z4" s="5"/>
      <c r="AA4" s="5">
        <f>AA33/Main!$D$13</f>
        <v>64983.607934354201</v>
      </c>
      <c r="AB4" s="5">
        <f>AB33/Main!$D$13</f>
        <v>67251.98035795051</v>
      </c>
      <c r="AC4" s="5"/>
      <c r="AD4" s="5"/>
      <c r="AF4" s="5">
        <f>AF33/Main!$D$13</f>
        <v>146891.10292692381</v>
      </c>
      <c r="AG4" s="5">
        <f>AG33/Main!$D$13</f>
        <v>154352.60709439812</v>
      </c>
      <c r="AH4" s="5">
        <f>AH33/Main!$D$13</f>
        <v>160120.08141112619</v>
      </c>
      <c r="AI4" s="5">
        <f>AI33/Main!$D$13</f>
        <v>158204.76190476189</v>
      </c>
      <c r="AJ4" s="5">
        <f>AJ33/Main!$D$13</f>
        <v>144616.01085481682</v>
      </c>
      <c r="AK4" s="5">
        <f>AK33/Main!$D$13</f>
        <v>164165.10951734832</v>
      </c>
      <c r="AL4" s="5">
        <f>AL33/Main!$D$13</f>
        <v>199271.70640304967</v>
      </c>
      <c r="AM4" s="5">
        <f>AM33/Main!$D$13</f>
        <v>230839.35517219099</v>
      </c>
      <c r="AN4" s="5">
        <f>AN33/Main!$D$13</f>
        <v>248489.1516443755</v>
      </c>
      <c r="AO4" s="5">
        <f t="shared" ref="AO4:AS4" si="6">AO3-AO5</f>
        <v>267915.50618853781</v>
      </c>
      <c r="AP4" s="5">
        <f t="shared" si="6"/>
        <v>273273.81631230854</v>
      </c>
      <c r="AQ4" s="5">
        <f t="shared" si="6"/>
        <v>272681.17430102889</v>
      </c>
      <c r="AR4" s="5">
        <f t="shared" si="6"/>
        <v>272049.35206789232</v>
      </c>
      <c r="AS4" s="5">
        <f t="shared" si="6"/>
        <v>274769.84558857128</v>
      </c>
      <c r="AT4" s="5">
        <f t="shared" ref="AT4:AX4" si="7">AT3-AT5</f>
        <v>277517.54404445703</v>
      </c>
      <c r="AU4" s="5">
        <f t="shared" si="7"/>
        <v>280292.71948490158</v>
      </c>
      <c r="AV4" s="5">
        <f t="shared" si="7"/>
        <v>283095.64667975064</v>
      </c>
      <c r="AW4" s="5">
        <f t="shared" si="7"/>
        <v>285926.60314654809</v>
      </c>
      <c r="AX4" s="5">
        <f t="shared" si="7"/>
        <v>288785.86917801364</v>
      </c>
    </row>
    <row r="5" spans="2:50" s="1" customFormat="1" x14ac:dyDescent="0.3">
      <c r="B5" s="1" t="s">
        <v>31</v>
      </c>
      <c r="C5" s="10">
        <f>C34/Main!$D$13</f>
        <v>9382.49014666925</v>
      </c>
      <c r="D5" s="10">
        <f>D34/Main!$D$13</f>
        <v>8732.9068941009227</v>
      </c>
      <c r="E5" s="10">
        <f>E34/Main!$D$13</f>
        <v>8930.5097887187439</v>
      </c>
      <c r="F5" s="10">
        <f>F34/Main!$D$13</f>
        <v>7723.0794081540344</v>
      </c>
      <c r="G5" s="10">
        <f>G34/Main!$D$13</f>
        <v>3549.9644633972989</v>
      </c>
      <c r="H5" s="10">
        <f>H34/Main!$D$13</f>
        <v>7418.4079601990043</v>
      </c>
      <c r="I5" s="10">
        <f>I34/Main!$D$13</f>
        <v>10704.283775925567</v>
      </c>
      <c r="J5" s="10">
        <f>J3*0.18</f>
        <v>9227.6485946888915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>
        <f>W34/Main!$D$13</f>
        <v>15693.577566711894</v>
      </c>
      <c r="X5" s="10">
        <f>X34/Main!$D$13</f>
        <v>15752.671706403049</v>
      </c>
      <c r="Y5" s="10"/>
      <c r="Z5" s="10"/>
      <c r="AA5" s="10">
        <f>AA34/Main!$D$13</f>
        <v>14187.588033856689</v>
      </c>
      <c r="AB5" s="10">
        <f>AB34/Main!$D$13</f>
        <v>12721.057052400336</v>
      </c>
      <c r="AC5" s="10"/>
      <c r="AD5" s="10"/>
      <c r="AF5" s="10">
        <f>AF34/Main!$D$13</f>
        <v>31419.894036311944</v>
      </c>
      <c r="AG5" s="10">
        <f>AG34/Main!$D$13</f>
        <v>35474.297344446597</v>
      </c>
      <c r="AH5" s="10">
        <f>AH34/Main!$D$13</f>
        <v>35174.103508431865</v>
      </c>
      <c r="AI5" s="10">
        <f>AI34/Main!$D$13</f>
        <v>34768.986237642952</v>
      </c>
      <c r="AJ5" s="10">
        <f>AJ34/Main!$D$13</f>
        <v>31222.937261743231</v>
      </c>
      <c r="AK5" s="10">
        <f>AK34/Main!$D$13</f>
        <v>38584.176519997411</v>
      </c>
      <c r="AL5" s="10">
        <f>AL34/Main!$D$13</f>
        <v>40789.662079214315</v>
      </c>
      <c r="AM5" s="10">
        <f>AM34/Main!$D$13</f>
        <v>60530.580861924143</v>
      </c>
      <c r="AN5" s="10">
        <f>AN34/Main!$D$13</f>
        <v>61885.62382890741</v>
      </c>
      <c r="AO5" s="10">
        <f>AO3*0.17</f>
        <v>54874.260303676419</v>
      </c>
      <c r="AP5" s="10">
        <f>AP3*0.17</f>
        <v>55971.745509749955</v>
      </c>
      <c r="AQ5" s="10">
        <f>AQ3*0.18</f>
        <v>59856.843139250239</v>
      </c>
      <c r="AR5" s="10">
        <f>AR3*0.19</f>
        <v>63814.045546789566</v>
      </c>
      <c r="AS5" s="10">
        <f t="shared" ref="AP5:AX5" si="8">AS3*0.19</f>
        <v>64452.186002257462</v>
      </c>
      <c r="AT5" s="10">
        <f t="shared" si="8"/>
        <v>65096.70786228004</v>
      </c>
      <c r="AU5" s="10">
        <f t="shared" si="8"/>
        <v>65747.674940902842</v>
      </c>
      <c r="AV5" s="10">
        <f t="shared" si="8"/>
        <v>66405.151690311875</v>
      </c>
      <c r="AW5" s="10">
        <f t="shared" si="8"/>
        <v>67069.203207214989</v>
      </c>
      <c r="AX5" s="10">
        <f t="shared" si="8"/>
        <v>67739.895239287143</v>
      </c>
    </row>
    <row r="6" spans="2:50" x14ac:dyDescent="0.3">
      <c r="B6" t="s">
        <v>32</v>
      </c>
      <c r="C6" s="5">
        <f>C35/Main!$D$13</f>
        <v>4597.253989791303</v>
      </c>
      <c r="D6" s="5">
        <f>D35/Main!$D$13</f>
        <v>4477.5150222911416</v>
      </c>
      <c r="E6" s="5">
        <f>E35/Main!$D$13</f>
        <v>4794.7147379983198</v>
      </c>
      <c r="F6" s="5">
        <f>F35/Main!$D$13</f>
        <v>5397.5899722168379</v>
      </c>
      <c r="G6" s="5">
        <f>G35/Main!$D$13</f>
        <v>3460.0245525618657</v>
      </c>
      <c r="H6" s="5">
        <f>H35/Main!$D$13</f>
        <v>4148.6463784971247</v>
      </c>
      <c r="I6" s="5">
        <f>I35/Main!$D$13</f>
        <v>4321.0053627964071</v>
      </c>
      <c r="J6" s="5">
        <f>F6*0.92</f>
        <v>4965.7827744394908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f>W35/Main!$D$13</f>
        <v>7236.4411707695281</v>
      </c>
      <c r="X6" s="5">
        <f>X35/Main!$D$13</f>
        <v>8288.008011888609</v>
      </c>
      <c r="Y6" s="5"/>
      <c r="Z6" s="5"/>
      <c r="AA6" s="5">
        <f>AA35/Main!$D$13</f>
        <v>6652.9172320217094</v>
      </c>
      <c r="AB6" s="5">
        <f>AB35/Main!$D$13</f>
        <v>7296.5497189377784</v>
      </c>
      <c r="AC6" s="5"/>
      <c r="AD6" s="5"/>
      <c r="AF6" s="5">
        <f>AF35/Main!$D$13</f>
        <v>18533.856690573106</v>
      </c>
      <c r="AG6" s="5">
        <f>AG35/Main!$D$13</f>
        <v>19968.307811591392</v>
      </c>
      <c r="AH6" s="5">
        <f>AH35/Main!$D$13</f>
        <v>19230.800542740839</v>
      </c>
      <c r="AI6" s="5">
        <f>AI35/Main!$D$13</f>
        <v>19267.073722297602</v>
      </c>
      <c r="AJ6" s="5">
        <f>AJ35/Main!$D$13</f>
        <v>17022.840343735865</v>
      </c>
      <c r="AK6" s="5">
        <f>AK35/Main!$D$13</f>
        <v>19228.384053757185</v>
      </c>
      <c r="AL6" s="5">
        <f>AL35/Main!$D$13</f>
        <v>23182.722749886929</v>
      </c>
      <c r="AM6" s="5">
        <f>AM35/Main!$D$13</f>
        <v>25944.194611358787</v>
      </c>
      <c r="AN6" s="5">
        <f>AN35/Main!$D$13</f>
        <v>30900.381210828971</v>
      </c>
      <c r="AO6" s="5">
        <f t="shared" ref="AO6" si="9">AN6*1.02</f>
        <v>31518.388835045553</v>
      </c>
      <c r="AP6" s="5">
        <f>AO6*1.01</f>
        <v>31833.57272339601</v>
      </c>
      <c r="AQ6" s="5">
        <f t="shared" ref="AQ6:AS6" si="10">AP6*1.01</f>
        <v>32151.90845062997</v>
      </c>
      <c r="AR6" s="5">
        <f t="shared" si="10"/>
        <v>32473.42753513627</v>
      </c>
      <c r="AS6" s="5">
        <f t="shared" si="10"/>
        <v>32798.161810487632</v>
      </c>
      <c r="AT6" s="5">
        <f t="shared" ref="AT6" si="11">AS6*1.01</f>
        <v>33126.143428592506</v>
      </c>
      <c r="AU6" s="5">
        <f t="shared" ref="AU6" si="12">AT6*1.01</f>
        <v>33457.404862878429</v>
      </c>
      <c r="AV6" s="5">
        <f t="shared" ref="AV6" si="13">AU6*1.01</f>
        <v>33791.978911507213</v>
      </c>
      <c r="AW6" s="5">
        <f t="shared" ref="AW6" si="14">AV6*1.01</f>
        <v>34129.898700622281</v>
      </c>
      <c r="AX6" s="5">
        <f t="shared" ref="AX6" si="15">AW6*1.01</f>
        <v>34471.197687628504</v>
      </c>
    </row>
    <row r="7" spans="2:50" s="1" customFormat="1" x14ac:dyDescent="0.3">
      <c r="B7" s="1" t="s">
        <v>33</v>
      </c>
      <c r="C7" s="10">
        <f>C36/Main!$D$13</f>
        <v>4785.2361568779479</v>
      </c>
      <c r="D7" s="10">
        <f>D36/Main!$D$13</f>
        <v>4255.3918718097821</v>
      </c>
      <c r="E7" s="10">
        <f>E36/Main!$D$13</f>
        <v>4135.7950507204232</v>
      </c>
      <c r="F7" s="10">
        <f>F36/Main!$D$13</f>
        <v>2325.489435937197</v>
      </c>
      <c r="G7" s="10">
        <f>G36/Main!$D$13</f>
        <v>89.939910835433224</v>
      </c>
      <c r="H7" s="10">
        <f>H36/Main!$D$13</f>
        <v>3269.76158170188</v>
      </c>
      <c r="I7" s="10">
        <f>I36/Main!$D$13</f>
        <v>6383.2784131291592</v>
      </c>
      <c r="J7" s="10">
        <f>J5-J6</f>
        <v>4261.8658202494007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>
        <f>W36/Main!$D$13</f>
        <v>8457.1363959423652</v>
      </c>
      <c r="X7" s="10">
        <f>X36/Main!$D$13</f>
        <v>7464.6636945144401</v>
      </c>
      <c r="Y7" s="10"/>
      <c r="Z7" s="10"/>
      <c r="AA7" s="10">
        <f>AA36/Main!$D$13</f>
        <v>7534.67080183498</v>
      </c>
      <c r="AB7" s="10">
        <f>AB36/Main!$D$13</f>
        <v>5424.5073334625567</v>
      </c>
      <c r="AC7" s="10"/>
      <c r="AD7" s="10"/>
      <c r="AF7" s="10">
        <f>AF36/Main!$D$13</f>
        <v>12886.037345738838</v>
      </c>
      <c r="AG7" s="10">
        <f>AG36/Main!$D$13</f>
        <v>15505.989532855203</v>
      </c>
      <c r="AH7" s="10">
        <f>AH36/Main!$D$13</f>
        <v>15943.302965691024</v>
      </c>
      <c r="AI7" s="10">
        <f>AI36/Main!$D$13</f>
        <v>15501.91251534535</v>
      </c>
      <c r="AJ7" s="10">
        <f>AJ36/Main!$D$13</f>
        <v>14200.096918007364</v>
      </c>
      <c r="AK7" s="10">
        <f>AK36/Main!$D$13</f>
        <v>19355.792466240226</v>
      </c>
      <c r="AL7" s="10">
        <f>AL36/Main!$D$13</f>
        <v>17606.939329327386</v>
      </c>
      <c r="AM7" s="10">
        <f>AM36/Main!$D$13</f>
        <v>34586.386250565352</v>
      </c>
      <c r="AN7" s="10">
        <f>AN36/Main!$D$13</f>
        <v>30985.242618078439</v>
      </c>
      <c r="AO7" s="10">
        <f t="shared" ref="AO7:AS7" si="16">AO5-AO6</f>
        <v>23355.871468630867</v>
      </c>
      <c r="AP7" s="10">
        <f t="shared" si="16"/>
        <v>24138.172786353945</v>
      </c>
      <c r="AQ7" s="10">
        <f t="shared" si="16"/>
        <v>27704.934688620269</v>
      </c>
      <c r="AR7" s="10">
        <f t="shared" si="16"/>
        <v>31340.618011653296</v>
      </c>
      <c r="AS7" s="10">
        <f t="shared" si="16"/>
        <v>31654.024191769829</v>
      </c>
      <c r="AT7" s="10">
        <f t="shared" ref="AT7:AX7" si="17">AT5-AT6</f>
        <v>31970.564433687534</v>
      </c>
      <c r="AU7" s="10">
        <f t="shared" si="17"/>
        <v>32290.270078024412</v>
      </c>
      <c r="AV7" s="10">
        <f t="shared" si="17"/>
        <v>32613.172778804663</v>
      </c>
      <c r="AW7" s="10">
        <f t="shared" si="17"/>
        <v>32939.304506592707</v>
      </c>
      <c r="AX7" s="10">
        <f t="shared" si="17"/>
        <v>33268.697551658639</v>
      </c>
    </row>
    <row r="8" spans="2:50" s="1" customFormat="1" x14ac:dyDescent="0.3">
      <c r="B8" t="s">
        <v>64</v>
      </c>
      <c r="C8" s="5">
        <f>C37/Main!$D$13</f>
        <v>-676.77198423467075</v>
      </c>
      <c r="D8" s="5">
        <f>D37/Main!$D$13</f>
        <v>-614.60231310977576</v>
      </c>
      <c r="E8" s="5">
        <f>E37/Main!$D$13</f>
        <v>-489.9916004393616</v>
      </c>
      <c r="F8" s="5">
        <f>F37/Main!$D$13</f>
        <v>-223.20217096336498</v>
      </c>
      <c r="G8" s="5">
        <f>G37/Main!$D$13</f>
        <v>81.230212573496146</v>
      </c>
      <c r="H8" s="5">
        <f>H37/Main!$D$13</f>
        <v>-574.80131808490012</v>
      </c>
      <c r="I8" s="5">
        <f>I37/Main!$D$13</f>
        <v>-808.19280222265297</v>
      </c>
      <c r="J8" s="5">
        <v>-300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>
        <f>W37/Main!$D$13</f>
        <v>-1065.6910253925178</v>
      </c>
      <c r="X8" s="5">
        <f>X37/Main!$D$13</f>
        <v>-642.10118239968983</v>
      </c>
      <c r="Y8" s="5"/>
      <c r="Z8" s="5"/>
      <c r="AA8" s="5">
        <f>AA37/Main!$D$13</f>
        <v>-911.3135620598307</v>
      </c>
      <c r="AB8" s="5">
        <f>AB37/Main!$D$13</f>
        <v>-850.16476061252172</v>
      </c>
      <c r="AC8" s="5"/>
      <c r="AD8" s="5"/>
      <c r="AF8" s="10"/>
      <c r="AG8" s="10"/>
      <c r="AH8" s="10"/>
      <c r="AI8" s="5">
        <f>AI37/Main!$D$13</f>
        <v>-2004.5680687471731</v>
      </c>
      <c r="AJ8" s="5">
        <f>AJ37/Main!$D$13</f>
        <v>-2268.0687471732244</v>
      </c>
      <c r="AK8" s="5">
        <f>AK37/Main!$D$13</f>
        <v>-3620.5078503585964</v>
      </c>
      <c r="AL8" s="5">
        <f>AL37/Main!$D$13</f>
        <v>-4154.9589713768819</v>
      </c>
      <c r="AM8" s="5">
        <f>AM37/Main!$D$13</f>
        <v>-4930.7811591393674</v>
      </c>
      <c r="AN8" s="5">
        <f>AN37/Main!$D$13</f>
        <v>-3819.9844931188213</v>
      </c>
      <c r="AO8" s="5">
        <f t="shared" ref="AO8:AS8" si="18">AN8*1.02</f>
        <v>-3896.3841829811977</v>
      </c>
      <c r="AP8" s="5">
        <f t="shared" si="18"/>
        <v>-3974.3118666408218</v>
      </c>
      <c r="AQ8" s="5">
        <f t="shared" si="18"/>
        <v>-4053.7981039736383</v>
      </c>
      <c r="AR8" s="5">
        <f t="shared" si="18"/>
        <v>-4134.8740660531112</v>
      </c>
      <c r="AS8" s="5">
        <f t="shared" si="18"/>
        <v>-4217.5715473741739</v>
      </c>
      <c r="AT8" s="5">
        <f t="shared" ref="AT8:AT12" si="19">AS8*1.02</f>
        <v>-4301.9229783216579</v>
      </c>
      <c r="AU8" s="5">
        <f t="shared" ref="AU8:AU12" si="20">AT8*1.02</f>
        <v>-4387.9614378880915</v>
      </c>
      <c r="AV8" s="5">
        <f t="shared" ref="AV8:AV12" si="21">AU8*1.02</f>
        <v>-4475.7206666458533</v>
      </c>
      <c r="AW8" s="5">
        <f t="shared" ref="AW8:AW12" si="22">AV8*1.02</f>
        <v>-4565.23507997877</v>
      </c>
      <c r="AX8" s="5">
        <f t="shared" ref="AX8:AX12" si="23">AW8*1.02</f>
        <v>-4656.5397815783454</v>
      </c>
    </row>
    <row r="9" spans="2:50" s="1" customFormat="1" x14ac:dyDescent="0.3">
      <c r="B9" t="s">
        <v>65</v>
      </c>
      <c r="C9" s="5">
        <f>C38/Main!$D$13</f>
        <v>-501.07255928151449</v>
      </c>
      <c r="D9" s="5">
        <f>D38/Main!$D$13</f>
        <v>-414.49893390191897</v>
      </c>
      <c r="E9" s="5">
        <f>E38/Main!$D$13</f>
        <v>-394.73412159979324</v>
      </c>
      <c r="F9" s="5">
        <f>F38/Main!$D$13</f>
        <v>-665.82671060282996</v>
      </c>
      <c r="G9" s="5">
        <f>G38/Main!$D$13</f>
        <v>-741.67474316728044</v>
      </c>
      <c r="H9" s="5">
        <f>H38/Main!$D$13</f>
        <v>-343.63894811656002</v>
      </c>
      <c r="I9" s="5">
        <f>I38/Main!$D$13</f>
        <v>-341.66182076629838</v>
      </c>
      <c r="J9" s="5">
        <v>-300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f>W38/Main!$D$13</f>
        <v>-1122.9566453447051</v>
      </c>
      <c r="X9" s="5">
        <f>X38/Main!$D$13</f>
        <v>-627.67332170317241</v>
      </c>
      <c r="Y9" s="5"/>
      <c r="Z9" s="5"/>
      <c r="AA9" s="5">
        <f>AA38/Main!$D$13</f>
        <v>-993.22220068488718</v>
      </c>
      <c r="AB9" s="5">
        <f>AB38/Main!$D$13</f>
        <v>-898.26839826839819</v>
      </c>
      <c r="AC9" s="5"/>
      <c r="AD9" s="5"/>
      <c r="AF9" s="10"/>
      <c r="AG9" s="10"/>
      <c r="AH9" s="10"/>
      <c r="AI9" s="5">
        <f>AI38/Main!$D$13</f>
        <v>-1976.1323253860567</v>
      </c>
      <c r="AJ9" s="5">
        <f>AJ38/Main!$D$13</f>
        <v>-2812.1018285197388</v>
      </c>
      <c r="AK9" s="5">
        <f>AK38/Main!$D$13</f>
        <v>-2162.9514763843122</v>
      </c>
      <c r="AL9" s="5">
        <f>AL38/Main!$D$13</f>
        <v>-2451.0564062802869</v>
      </c>
      <c r="AM9" s="5">
        <f>AM38/Main!$D$13</f>
        <v>-4828.0416101311621</v>
      </c>
      <c r="AN9" s="5">
        <f>AN38/Main!$D$13</f>
        <v>-3596.9503133682238</v>
      </c>
      <c r="AO9" s="5">
        <f t="shared" ref="AO9:AS9" si="24">AN9*1.02</f>
        <v>-3668.8893196355884</v>
      </c>
      <c r="AP9" s="5">
        <f t="shared" si="24"/>
        <v>-3742.2671060283001</v>
      </c>
      <c r="AQ9" s="5">
        <f t="shared" si="24"/>
        <v>-3817.112448148866</v>
      </c>
      <c r="AR9" s="5">
        <f t="shared" si="24"/>
        <v>-3893.4546971118434</v>
      </c>
      <c r="AS9" s="5">
        <f t="shared" si="24"/>
        <v>-3971.3237910540802</v>
      </c>
      <c r="AT9" s="5">
        <f t="shared" si="19"/>
        <v>-4050.7502668751617</v>
      </c>
      <c r="AU9" s="5">
        <f t="shared" si="20"/>
        <v>-4131.765272212665</v>
      </c>
      <c r="AV9" s="5">
        <f t="shared" si="21"/>
        <v>-4214.4005776569184</v>
      </c>
      <c r="AW9" s="5">
        <f t="shared" si="22"/>
        <v>-4298.6885892100572</v>
      </c>
      <c r="AX9" s="5">
        <f t="shared" si="23"/>
        <v>-4384.6623609942581</v>
      </c>
    </row>
    <row r="10" spans="2:50" s="1" customFormat="1" x14ac:dyDescent="0.3">
      <c r="B10" t="s">
        <v>66</v>
      </c>
      <c r="C10" s="5">
        <f>C39/Main!$D$13</f>
        <v>63.591135232926277</v>
      </c>
      <c r="D10" s="5">
        <f>D39/Main!$D$13</f>
        <v>82.10247463978807</v>
      </c>
      <c r="E10" s="5">
        <f>E39/Main!$D$13</f>
        <v>76.571687019448206</v>
      </c>
      <c r="F10" s="5">
        <f>F39/Main!$D$13</f>
        <v>82.412612263358525</v>
      </c>
      <c r="G10" s="5">
        <f>G39/Main!$D$13</f>
        <v>64.689539316404989</v>
      </c>
      <c r="H10" s="5">
        <f>H39/Main!$D$13</f>
        <v>85.449376494152602</v>
      </c>
      <c r="I10" s="5">
        <f>I39/Main!$D$13</f>
        <v>63.700975641274141</v>
      </c>
      <c r="J10" s="5">
        <v>93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f>W39/Main!$D$13</f>
        <v>106.66795890676487</v>
      </c>
      <c r="X10" s="5">
        <f>X39/Main!$D$13</f>
        <v>240.25974025974025</v>
      </c>
      <c r="Y10" s="5"/>
      <c r="Z10" s="5"/>
      <c r="AA10" s="5">
        <f>AA39/Main!$D$13</f>
        <v>40.130516249919232</v>
      </c>
      <c r="AB10" s="5">
        <f>AB39/Main!$D$13</f>
        <v>121.4641080312722</v>
      </c>
      <c r="AC10" s="5"/>
      <c r="AD10" s="5"/>
      <c r="AF10" s="10"/>
      <c r="AG10" s="10"/>
      <c r="AH10" s="10"/>
      <c r="AI10" s="5">
        <f>AI39/Main!$D$13</f>
        <v>304.67790915552109</v>
      </c>
      <c r="AJ10" s="5">
        <f>AJ39/Main!$D$13</f>
        <v>307.14608774310267</v>
      </c>
      <c r="AK10" s="5">
        <f>AK39/Main!$D$13</f>
        <v>284.27343800478127</v>
      </c>
      <c r="AL10" s="5">
        <f>AL39/Main!$D$13</f>
        <v>795.45777605479088</v>
      </c>
      <c r="AM10" s="5">
        <f>AM39/Main!$D$13</f>
        <v>670.08464172643278</v>
      </c>
      <c r="AN10" s="5">
        <f>AN39/Main!$D$13</f>
        <v>1232.2220068488725</v>
      </c>
      <c r="AO10" s="5">
        <f t="shared" ref="AO10:AS10" si="25">AN10*1.02</f>
        <v>1256.86644698585</v>
      </c>
      <c r="AP10" s="5">
        <f t="shared" si="25"/>
        <v>1282.003775925567</v>
      </c>
      <c r="AQ10" s="5">
        <f t="shared" si="25"/>
        <v>1307.6438514440783</v>
      </c>
      <c r="AR10" s="5">
        <f t="shared" si="25"/>
        <v>1333.79672847296</v>
      </c>
      <c r="AS10" s="5">
        <f t="shared" si="25"/>
        <v>1360.4726630424193</v>
      </c>
      <c r="AT10" s="5">
        <f t="shared" si="19"/>
        <v>1387.6821163032678</v>
      </c>
      <c r="AU10" s="5">
        <f t="shared" si="20"/>
        <v>1415.4357586293331</v>
      </c>
      <c r="AV10" s="5">
        <f t="shared" si="21"/>
        <v>1443.7444738019199</v>
      </c>
      <c r="AW10" s="5">
        <f t="shared" si="22"/>
        <v>1472.6193632779582</v>
      </c>
      <c r="AX10" s="5">
        <f t="shared" si="23"/>
        <v>1502.0717505435173</v>
      </c>
    </row>
    <row r="11" spans="2:50" s="1" customFormat="1" x14ac:dyDescent="0.3">
      <c r="B11" t="s">
        <v>68</v>
      </c>
      <c r="C11" s="5">
        <f>C40/Main!$D$13</f>
        <v>407.44330296569098</v>
      </c>
      <c r="D11" s="5">
        <f>D40/Main!$D$13</f>
        <v>130.85223234476965</v>
      </c>
      <c r="E11" s="5">
        <f>E40/Main!$D$13</f>
        <v>-170.09756412741487</v>
      </c>
      <c r="F11" s="5">
        <f>F40/Main!$D$13</f>
        <v>243.1543580797312</v>
      </c>
      <c r="G11" s="5">
        <f>G40/Main!$D$13</f>
        <v>-54.984816178846025</v>
      </c>
      <c r="H11" s="5">
        <f>H40/Main!$D$13</f>
        <v>133.71454416230534</v>
      </c>
      <c r="I11" s="5">
        <f>I40/Main!$D$13</f>
        <v>4.0188667054338696</v>
      </c>
      <c r="J11" s="5">
        <v>50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f>W40/Main!$D$13</f>
        <v>-1531.298055178652</v>
      </c>
      <c r="X11" s="5">
        <f>X40/Main!$D$13</f>
        <v>2996.7693997544743</v>
      </c>
      <c r="Y11" s="5"/>
      <c r="Z11" s="5"/>
      <c r="AA11" s="5">
        <f>AA40/Main!$D$13</f>
        <v>1372.1974542870064</v>
      </c>
      <c r="AB11" s="5">
        <f>AB40/Main!$D$13</f>
        <v>-1031.1300639658848</v>
      </c>
      <c r="AC11" s="5"/>
      <c r="AD11" s="5"/>
      <c r="AF11" s="10"/>
      <c r="AG11" s="10"/>
      <c r="AH11" s="10"/>
      <c r="AI11" s="5">
        <f>AI40/Main!$D$13</f>
        <v>611.35232926277695</v>
      </c>
      <c r="AJ11" s="5">
        <f>AJ40/Main!$D$13</f>
        <v>-97.835497835497833</v>
      </c>
      <c r="AK11" s="5">
        <f>AK40/Main!$D$13</f>
        <v>-1396.8275505588938</v>
      </c>
      <c r="AL11" s="5">
        <f>AL40/Main!$D$13</f>
        <v>-804.52284034373577</v>
      </c>
      <c r="AM11" s="5">
        <f>AM40/Main!$D$13</f>
        <v>-1211.9144537054983</v>
      </c>
      <c r="AN11" s="5">
        <f>AN40/Main!$D$13</f>
        <v>-4557.0330167345091</v>
      </c>
      <c r="AO11" s="5">
        <f t="shared" ref="AO11:AS11" si="26">AN11*1.02</f>
        <v>-4648.1736770691996</v>
      </c>
      <c r="AP11" s="5">
        <f t="shared" si="26"/>
        <v>-4741.1371506105834</v>
      </c>
      <c r="AQ11" s="5">
        <f t="shared" si="26"/>
        <v>-4835.9598936227949</v>
      </c>
      <c r="AR11" s="5">
        <f t="shared" si="26"/>
        <v>-4932.6790914952508</v>
      </c>
      <c r="AS11" s="5">
        <f t="shared" si="26"/>
        <v>-5031.3326733251561</v>
      </c>
      <c r="AT11" s="5">
        <f t="shared" si="19"/>
        <v>-5131.9593267916589</v>
      </c>
      <c r="AU11" s="5">
        <f t="shared" si="20"/>
        <v>-5234.5985133274926</v>
      </c>
      <c r="AV11" s="5">
        <f t="shared" si="21"/>
        <v>-5339.2904835940426</v>
      </c>
      <c r="AW11" s="5">
        <f t="shared" si="22"/>
        <v>-5446.0762932659236</v>
      </c>
      <c r="AX11" s="5">
        <f t="shared" si="23"/>
        <v>-5554.9978191312421</v>
      </c>
    </row>
    <row r="12" spans="2:50" s="1" customFormat="1" x14ac:dyDescent="0.3">
      <c r="B12" t="s">
        <v>67</v>
      </c>
      <c r="C12" s="5">
        <f>C41/Main!$D$13</f>
        <v>-6.3319764812302122</v>
      </c>
      <c r="D12" s="5">
        <f>D41/Main!$D$13</f>
        <v>91.018931317438771</v>
      </c>
      <c r="E12" s="5">
        <f>E41/Main!$D$13</f>
        <v>126.37462040447114</v>
      </c>
      <c r="F12" s="5">
        <f>F41/Main!$D$13</f>
        <v>309.75641274148734</v>
      </c>
      <c r="G12" s="5">
        <f>G41/Main!$D$13</f>
        <v>-23.253860567293401</v>
      </c>
      <c r="H12" s="5">
        <f>H41/Main!$D$13</f>
        <v>23.945209019835882</v>
      </c>
      <c r="I12" s="5">
        <f>I41/Main!$D$13</f>
        <v>92.065645796989074</v>
      </c>
      <c r="J12" s="5">
        <v>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f>W41/Main!$D$13</f>
        <v>-29.527686244104153</v>
      </c>
      <c r="X12" s="5">
        <f>X41/Main!$D$13</f>
        <v>-55.094656587193896</v>
      </c>
      <c r="Y12" s="5"/>
      <c r="Z12" s="5"/>
      <c r="AA12" s="5">
        <f>AA41/Main!$D$13</f>
        <v>-63.526523228015762</v>
      </c>
      <c r="AB12" s="5">
        <f>AB41/Main!$D$13</f>
        <v>161.33617626154938</v>
      </c>
      <c r="AC12" s="5"/>
      <c r="AD12" s="5"/>
      <c r="AF12" s="10"/>
      <c r="AG12" s="10"/>
      <c r="AH12" s="10"/>
      <c r="AI12" s="5">
        <f>AI41/Main!$D$13</f>
        <v>520.8179879821671</v>
      </c>
      <c r="AJ12" s="5">
        <f>AJ41/Main!$D$13</f>
        <v>124.42333785617367</v>
      </c>
      <c r="AK12" s="5">
        <f>AK41/Main!$D$13</f>
        <v>468.18504878206369</v>
      </c>
      <c r="AL12" s="5">
        <f>AL41/Main!$D$13</f>
        <v>504.67790915552104</v>
      </c>
      <c r="AM12" s="5">
        <f>AM41/Main!$D$13</f>
        <v>-115.77179039865607</v>
      </c>
      <c r="AN12" s="5">
        <f>AN41/Main!$D$13</f>
        <v>281.04283775925563</v>
      </c>
      <c r="AO12" s="5">
        <f t="shared" ref="AO12:AS12" si="27">AN12*1.02</f>
        <v>286.66369451444075</v>
      </c>
      <c r="AP12" s="5">
        <f t="shared" si="27"/>
        <v>292.39696840472959</v>
      </c>
      <c r="AQ12" s="5">
        <f t="shared" si="27"/>
        <v>298.24490777282421</v>
      </c>
      <c r="AR12" s="5">
        <f t="shared" si="27"/>
        <v>304.20980592828067</v>
      </c>
      <c r="AS12" s="5">
        <f t="shared" si="27"/>
        <v>310.29400204684629</v>
      </c>
      <c r="AT12" s="5">
        <f t="shared" si="19"/>
        <v>316.49988208778319</v>
      </c>
      <c r="AU12" s="5">
        <f t="shared" si="20"/>
        <v>322.82987972953885</v>
      </c>
      <c r="AV12" s="5">
        <f t="shared" si="21"/>
        <v>329.28647732412963</v>
      </c>
      <c r="AW12" s="5">
        <f t="shared" si="22"/>
        <v>335.87220687061222</v>
      </c>
      <c r="AX12" s="5">
        <f t="shared" si="23"/>
        <v>342.58965100802448</v>
      </c>
    </row>
    <row r="13" spans="2:50" x14ac:dyDescent="0.3">
      <c r="B13" t="s">
        <v>34</v>
      </c>
      <c r="C13" s="5">
        <f>C42/Main!$D$13</f>
        <v>-713.14208179879813</v>
      </c>
      <c r="D13" s="5">
        <f>D42/Main!$D$13</f>
        <v>-725.12760870969817</v>
      </c>
      <c r="E13" s="5">
        <f>E42/Main!$D$13</f>
        <v>-851.87697874265029</v>
      </c>
      <c r="F13" s="5">
        <f>F42/Main!$D$13</f>
        <v>-253.70549848161787</v>
      </c>
      <c r="G13" s="5">
        <f>G42/Main!$D$13</f>
        <v>-673.99366802351869</v>
      </c>
      <c r="H13" s="5">
        <f>H42/Main!$D$13</f>
        <v>-675.33113652516636</v>
      </c>
      <c r="I13" s="5">
        <f>I42/Main!$D$13</f>
        <v>-990.06913484525421</v>
      </c>
      <c r="J13" s="5">
        <f>SUM(J8:J12)</f>
        <v>-457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f>W42/Main!$D$13</f>
        <v>-3642.8054532532142</v>
      </c>
      <c r="X13" s="5">
        <f>X42/Main!$D$13</f>
        <v>1912.1599793241583</v>
      </c>
      <c r="Y13" s="5"/>
      <c r="Z13" s="5"/>
      <c r="AA13" s="5">
        <f>AA42/Main!$D$13</f>
        <v>-555.73431543580796</v>
      </c>
      <c r="AB13" s="5">
        <f>AB42/Main!$D$13</f>
        <v>-2496.7629385539831</v>
      </c>
      <c r="AC13" s="5"/>
      <c r="AD13" s="5"/>
      <c r="AF13" s="5">
        <f>AF42/Main!$D$13</f>
        <v>-1288.7058215416423</v>
      </c>
      <c r="AG13" s="5">
        <f>AG42/Main!$D$13</f>
        <v>-1425.1276087096983</v>
      </c>
      <c r="AH13" s="5">
        <f>AH42/Main!$D$13</f>
        <v>1176.4553854106093</v>
      </c>
      <c r="AI13" s="5">
        <f>AI42/Main!$D$13</f>
        <v>-2543.8521677327644</v>
      </c>
      <c r="AJ13" s="5">
        <f>AJ42/Main!$D$13</f>
        <v>-4746.4366479291848</v>
      </c>
      <c r="AK13" s="5">
        <f>AK42/Main!$D$13</f>
        <v>-6427.8283905149574</v>
      </c>
      <c r="AL13" s="5">
        <f>AL42/Main!$D$13</f>
        <v>-6110.402532790592</v>
      </c>
      <c r="AM13" s="5">
        <f>AM42/Main!$D$13</f>
        <v>-10416.424371648252</v>
      </c>
      <c r="AN13" s="5">
        <f>AN42/Main!$D$13</f>
        <v>-10460.702978613426</v>
      </c>
      <c r="AO13" s="5">
        <f t="shared" ref="AO13:AS13" si="28">SUM(AO8:AO12)</f>
        <v>-10669.917038185695</v>
      </c>
      <c r="AP13" s="5">
        <f t="shared" si="28"/>
        <v>-10883.31537894941</v>
      </c>
      <c r="AQ13" s="5">
        <f t="shared" si="28"/>
        <v>-11100.981686528397</v>
      </c>
      <c r="AR13" s="5">
        <f t="shared" si="28"/>
        <v>-11323.001320258965</v>
      </c>
      <c r="AS13" s="5">
        <f t="shared" si="28"/>
        <v>-11549.461346664144</v>
      </c>
      <c r="AT13" s="5">
        <f t="shared" ref="AT13:AX13" si="29">SUM(AT8:AT12)</f>
        <v>-11780.450573597429</v>
      </c>
      <c r="AU13" s="5">
        <f t="shared" si="29"/>
        <v>-12016.059585069375</v>
      </c>
      <c r="AV13" s="5">
        <f t="shared" si="29"/>
        <v>-12256.380776770766</v>
      </c>
      <c r="AW13" s="5">
        <f t="shared" si="29"/>
        <v>-12501.508392306181</v>
      </c>
      <c r="AX13" s="5">
        <f t="shared" si="29"/>
        <v>-12751.538560152305</v>
      </c>
    </row>
    <row r="14" spans="2:50" s="1" customFormat="1" x14ac:dyDescent="0.3">
      <c r="B14" s="1" t="s">
        <v>35</v>
      </c>
      <c r="C14" s="10">
        <f>C43/Main!$D$13</f>
        <v>5498.3782386767462</v>
      </c>
      <c r="D14" s="10">
        <f>D43/Main!$D$13</f>
        <v>4980.5194805194806</v>
      </c>
      <c r="E14" s="10">
        <f>E43/Main!$D$13</f>
        <v>4987.6720294630741</v>
      </c>
      <c r="F14" s="10">
        <f>F43/Main!$D$13</f>
        <v>2579.1949344188147</v>
      </c>
      <c r="G14" s="10">
        <f>G43/Main!$D$13</f>
        <v>763.93357885895193</v>
      </c>
      <c r="H14" s="10">
        <f>H43/Main!$D$13</f>
        <v>3945.0927182270461</v>
      </c>
      <c r="I14" s="10">
        <f>I43/Main!$D$13</f>
        <v>7373.3475479744129</v>
      </c>
      <c r="J14" s="10">
        <f>J7-J13</f>
        <v>4718.8658202494007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>
        <f>W43/Main!$D$13</f>
        <v>12099.94184919558</v>
      </c>
      <c r="X14" s="10">
        <f>X43/Main!$D$13</f>
        <v>5552.5037151902816</v>
      </c>
      <c r="Y14" s="10"/>
      <c r="Z14" s="10"/>
      <c r="AA14" s="10">
        <f>AA43/Main!$D$13</f>
        <v>8090.4051172707887</v>
      </c>
      <c r="AB14" s="10">
        <f>AB43/Main!$D$13</f>
        <v>7921.2702720165398</v>
      </c>
      <c r="AC14" s="10"/>
      <c r="AD14" s="10"/>
      <c r="AF14" s="10">
        <f>AF43/Main!$D$13</f>
        <v>14174.74316728048</v>
      </c>
      <c r="AG14" s="10">
        <f>AG43/Main!$D$13</f>
        <v>16931.117141564901</v>
      </c>
      <c r="AH14" s="10">
        <f>AH43/Main!$D$13</f>
        <v>14766.847580280415</v>
      </c>
      <c r="AI14" s="10">
        <f>AI43/Main!$D$13</f>
        <v>18045.764683078116</v>
      </c>
      <c r="AJ14" s="10">
        <f>AJ43/Main!$D$13</f>
        <v>18946.533565936548</v>
      </c>
      <c r="AK14" s="10">
        <f>AK43/Main!$D$13</f>
        <v>25783.620856755184</v>
      </c>
      <c r="AL14" s="10">
        <f>AL43/Main!$D$13</f>
        <v>23717.341862117981</v>
      </c>
      <c r="AM14" s="10">
        <f>AM43/Main!$D$13</f>
        <v>45002.810622213605</v>
      </c>
      <c r="AN14" s="10">
        <f>AN43/Main!$D$13</f>
        <v>41445.945596691861</v>
      </c>
      <c r="AO14" s="10">
        <f t="shared" ref="AO14:AS14" si="30">AO7-AO13</f>
        <v>34025.788506816563</v>
      </c>
      <c r="AP14" s="10">
        <f t="shared" si="30"/>
        <v>35021.488165303352</v>
      </c>
      <c r="AQ14" s="10">
        <f t="shared" si="30"/>
        <v>38805.916375148663</v>
      </c>
      <c r="AR14" s="10">
        <f t="shared" si="30"/>
        <v>42663.619331912261</v>
      </c>
      <c r="AS14" s="10">
        <f t="shared" si="30"/>
        <v>43203.485538433975</v>
      </c>
      <c r="AT14" s="10">
        <f t="shared" ref="AT14:AX14" si="31">AT7-AT13</f>
        <v>43751.015007284965</v>
      </c>
      <c r="AU14" s="10">
        <f t="shared" si="31"/>
        <v>44306.329663093784</v>
      </c>
      <c r="AV14" s="10">
        <f t="shared" si="31"/>
        <v>44869.553555575432</v>
      </c>
      <c r="AW14" s="10">
        <f t="shared" si="31"/>
        <v>45440.81289889889</v>
      </c>
      <c r="AX14" s="10">
        <f t="shared" si="31"/>
        <v>46020.23611181094</v>
      </c>
    </row>
    <row r="15" spans="2:50" x14ac:dyDescent="0.3">
      <c r="B15" t="s">
        <v>36</v>
      </c>
      <c r="C15" s="5">
        <f>C44/Main!$D$13</f>
        <v>1418.8990114363248</v>
      </c>
      <c r="D15" s="5">
        <f>D44/Main!$D$13</f>
        <v>1409.989015959165</v>
      </c>
      <c r="E15" s="5">
        <f>E44/Main!$D$13</f>
        <v>1200.1550688117852</v>
      </c>
      <c r="F15" s="5">
        <f>F44/Main!$D$13</f>
        <v>376.31323899980612</v>
      </c>
      <c r="G15" s="5">
        <f>G44/Main!$D$13</f>
        <v>-201.6799121276733</v>
      </c>
      <c r="H15" s="5">
        <f>H44/Main!$D$13</f>
        <v>832.46753246753246</v>
      </c>
      <c r="I15" s="5">
        <f>I44/Main!$D$13</f>
        <v>1768.2108935840279</v>
      </c>
      <c r="J15" s="5">
        <f>J14*0.24</f>
        <v>1132.5277968598562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f>W44/Main!$D$13</f>
        <v>3285.1004716676357</v>
      </c>
      <c r="X15" s="5">
        <f>X44/Main!$D$13</f>
        <v>2312.9999353879948</v>
      </c>
      <c r="Y15" s="5"/>
      <c r="Z15" s="5"/>
      <c r="AA15" s="5">
        <f>AA44/Main!$D$13</f>
        <v>2454.9912773793371</v>
      </c>
      <c r="AB15" s="5">
        <f>AB44/Main!$D$13</f>
        <v>1634.9034050526586</v>
      </c>
      <c r="AC15" s="5"/>
      <c r="AD15" s="5"/>
      <c r="AF15" s="5">
        <f>AF44/Main!$D$13</f>
        <v>4063.4489888221228</v>
      </c>
      <c r="AG15" s="5">
        <f>AG44/Main!$D$13</f>
        <v>3259.0682948891904</v>
      </c>
      <c r="AH15" s="5">
        <f>AH44/Main!$D$13</f>
        <v>4264.0304968663177</v>
      </c>
      <c r="AI15" s="5">
        <f>AI44/Main!$D$13</f>
        <v>4405.3563352070814</v>
      </c>
      <c r="AJ15" s="5">
        <f>AJ44/Main!$D$13</f>
        <v>4199.6252503715186</v>
      </c>
      <c r="AK15" s="5">
        <f>AK44/Main!$D$13</f>
        <v>7210.169929572914</v>
      </c>
      <c r="AL15" s="5">
        <f>AL44/Main!$D$13</f>
        <v>7596.8533953608576</v>
      </c>
      <c r="AM15" s="5">
        <f>AM44/Main!$D$13</f>
        <v>12235.34922788654</v>
      </c>
      <c r="AN15" s="5">
        <f>AN44/Main!$D$13</f>
        <v>10498.384699877237</v>
      </c>
      <c r="AO15" s="5">
        <f t="shared" ref="AO15:AS15" si="32">AO14*0.26</f>
        <v>8846.7050117723065</v>
      </c>
      <c r="AP15" s="5">
        <f t="shared" si="32"/>
        <v>9105.5869229788714</v>
      </c>
      <c r="AQ15" s="5">
        <f t="shared" si="32"/>
        <v>10089.538257538652</v>
      </c>
      <c r="AR15" s="5">
        <f t="shared" si="32"/>
        <v>11092.541026297189</v>
      </c>
      <c r="AS15" s="5">
        <f t="shared" si="32"/>
        <v>11232.906239992833</v>
      </c>
      <c r="AT15" s="5">
        <f t="shared" ref="AT15:AX15" si="33">AT14*0.26</f>
        <v>11375.263901894092</v>
      </c>
      <c r="AU15" s="5">
        <f t="shared" si="33"/>
        <v>11519.645712404385</v>
      </c>
      <c r="AV15" s="5">
        <f t="shared" si="33"/>
        <v>11666.083924449613</v>
      </c>
      <c r="AW15" s="5">
        <f t="shared" si="33"/>
        <v>11814.611353713712</v>
      </c>
      <c r="AX15" s="5">
        <f t="shared" si="33"/>
        <v>11965.261389070845</v>
      </c>
    </row>
    <row r="16" spans="2:50" x14ac:dyDescent="0.3">
      <c r="B16" t="s">
        <v>37</v>
      </c>
      <c r="C16" s="5">
        <f>C45/Main!$D$13</f>
        <v>79.162628416359752</v>
      </c>
      <c r="D16" s="5">
        <f>D45/Main!$D$13</f>
        <v>143.4451121018285</v>
      </c>
      <c r="E16" s="5">
        <f>E45/Main!$D$13</f>
        <v>173.76752600633196</v>
      </c>
      <c r="F16" s="5">
        <f>F45/Main!$D$13</f>
        <v>88.117852296956769</v>
      </c>
      <c r="G16" s="5">
        <f>G45/Main!$D$13</f>
        <v>-60.70943981391742</v>
      </c>
      <c r="H16" s="5">
        <f>H45/Main!$D$13</f>
        <v>72.468824707630674</v>
      </c>
      <c r="I16" s="5">
        <f>I45/Main!$D$13</f>
        <v>186.16010854816824</v>
      </c>
      <c r="J16" s="5">
        <v>300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f>W45/Main!$D$13</f>
        <v>196.91154616527749</v>
      </c>
      <c r="X16" s="5">
        <f>X45/Main!$D$13</f>
        <v>-464.8058409252439</v>
      </c>
      <c r="Y16" s="5"/>
      <c r="Z16" s="5"/>
      <c r="AA16" s="5">
        <f>AA45/Main!$D$13</f>
        <v>199.31511274794855</v>
      </c>
      <c r="AB16" s="5">
        <f>AB45/Main!$D$13</f>
        <v>264.0111132648446</v>
      </c>
      <c r="AC16" s="5"/>
      <c r="AD16" s="5"/>
      <c r="AF16" s="5">
        <f>AF45/Main!$D$13</f>
        <v>-1719.8681915099824</v>
      </c>
      <c r="AG16" s="5">
        <f>AG45/Main!$D$13</f>
        <v>-2442.0753375977256</v>
      </c>
      <c r="AH16" s="5">
        <f>AH45/Main!$D$13</f>
        <v>-1662.802868773018</v>
      </c>
      <c r="AI16" s="5">
        <f>AI45/Main!$D$13</f>
        <v>484.49311882147703</v>
      </c>
      <c r="AJ16" s="5">
        <f>AJ45/Main!$D$13</f>
        <v>239.8268398268398</v>
      </c>
      <c r="AK16" s="5">
        <f>AK45/Main!$D$13</f>
        <v>158.3252568327195</v>
      </c>
      <c r="AL16" s="5">
        <f>AL45/Main!$D$13</f>
        <v>269.10900045228402</v>
      </c>
      <c r="AM16" s="5">
        <f>AM45/Main!$D$13</f>
        <v>817.26432771208886</v>
      </c>
      <c r="AN16" s="5">
        <f>AN45/Main!$D$13</f>
        <v>159.39781611423402</v>
      </c>
      <c r="AO16" s="5">
        <f t="shared" ref="AO16:AS16" si="34">AN16*1.01</f>
        <v>160.99179427537635</v>
      </c>
      <c r="AP16" s="5">
        <f t="shared" si="34"/>
        <v>162.6017122181301</v>
      </c>
      <c r="AQ16" s="5">
        <f t="shared" si="34"/>
        <v>164.22772934031141</v>
      </c>
      <c r="AR16" s="5">
        <f t="shared" si="34"/>
        <v>165.87000663371452</v>
      </c>
      <c r="AS16" s="5">
        <f t="shared" si="34"/>
        <v>167.52870670005166</v>
      </c>
      <c r="AT16" s="5">
        <f t="shared" ref="AT16" si="35">AS16*1.01</f>
        <v>169.20399376705217</v>
      </c>
      <c r="AU16" s="5">
        <f t="shared" ref="AU16" si="36">AT16*1.01</f>
        <v>170.8960337047227</v>
      </c>
      <c r="AV16" s="5">
        <f t="shared" ref="AV16" si="37">AU16*1.01</f>
        <v>172.60499404176991</v>
      </c>
      <c r="AW16" s="5">
        <f t="shared" ref="AW16" si="38">AV16*1.01</f>
        <v>174.33104398218762</v>
      </c>
      <c r="AX16" s="5">
        <f t="shared" ref="AX16" si="39">AW16*1.01</f>
        <v>176.07435442200949</v>
      </c>
    </row>
    <row r="17" spans="2:139" s="1" customFormat="1" x14ac:dyDescent="0.3">
      <c r="B17" s="1" t="s">
        <v>38</v>
      </c>
      <c r="C17" s="10">
        <f>C46/Main!$D$13</f>
        <v>4000.3165988240612</v>
      </c>
      <c r="D17" s="10">
        <f>D46/Main!$D$13</f>
        <v>3427.0853524584863</v>
      </c>
      <c r="E17" s="10">
        <f>E46/Main!$D$13</f>
        <v>3613.7494346449566</v>
      </c>
      <c r="F17" s="10">
        <f>F46/Main!$D$13</f>
        <v>2114.7638431220521</v>
      </c>
      <c r="G17" s="10">
        <f>G46/Main!$D$13</f>
        <v>1026.3229308005427</v>
      </c>
      <c r="H17" s="10">
        <f>H46/Main!$D$13</f>
        <v>3040.1563610518833</v>
      </c>
      <c r="I17" s="10">
        <f>I46/Main!$D$13</f>
        <v>5418.9765458422171</v>
      </c>
      <c r="J17" s="10">
        <f>J14-J15-J16</f>
        <v>3286.3380233895446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>
        <f>W46/Main!$D$13</f>
        <v>8617.9298313626659</v>
      </c>
      <c r="X17" s="10">
        <f>X46/Main!$D$13</f>
        <v>3704.3096207275307</v>
      </c>
      <c r="Y17" s="10"/>
      <c r="Z17" s="10"/>
      <c r="AA17" s="10">
        <f>AA46/Main!$D$13</f>
        <v>5436.0987271435033</v>
      </c>
      <c r="AB17" s="10">
        <f>AB46/Main!$D$13</f>
        <v>6022.3557536990365</v>
      </c>
      <c r="AC17" s="10"/>
      <c r="AD17" s="10"/>
      <c r="AF17" s="10">
        <f>AF46/Main!$D$13</f>
        <v>11831.162369968339</v>
      </c>
      <c r="AG17" s="10">
        <f>AG46/Main!$D$13</f>
        <v>16114.124184273436</v>
      </c>
      <c r="AH17" s="10">
        <f>AH46/Main!$D$13</f>
        <v>12165.619952187115</v>
      </c>
      <c r="AI17" s="10">
        <f>AI46/Main!$D$13</f>
        <v>13155.915229049557</v>
      </c>
      <c r="AJ17" s="10">
        <f>AJ46/Main!$D$13</f>
        <v>14507.08147573819</v>
      </c>
      <c r="AK17" s="10">
        <f>AK46/Main!$D$13</f>
        <v>18415.125670349549</v>
      </c>
      <c r="AL17" s="10">
        <f>AL46/Main!$D$13</f>
        <v>15851.379466304839</v>
      </c>
      <c r="AM17" s="10">
        <f>AM46/Main!$D$13</f>
        <v>31950.197066614975</v>
      </c>
      <c r="AN17" s="10">
        <f>AN46/Main!$D$13</f>
        <v>30788.163080700393</v>
      </c>
      <c r="AO17" s="10">
        <f t="shared" ref="AO17:AS17" si="40">AO14-AO15-AO16</f>
        <v>25018.091700768884</v>
      </c>
      <c r="AP17" s="10">
        <f t="shared" si="40"/>
        <v>25753.299530106349</v>
      </c>
      <c r="AQ17" s="10">
        <f t="shared" si="40"/>
        <v>28552.150388269696</v>
      </c>
      <c r="AR17" s="10">
        <f t="shared" si="40"/>
        <v>31405.208298981357</v>
      </c>
      <c r="AS17" s="10">
        <f t="shared" si="40"/>
        <v>31803.050591741092</v>
      </c>
      <c r="AT17" s="10">
        <f t="shared" ref="AT17:AX17" si="41">AT14-AT15-AT16</f>
        <v>32206.547111623822</v>
      </c>
      <c r="AU17" s="10">
        <f t="shared" si="41"/>
        <v>32615.787916984682</v>
      </c>
      <c r="AV17" s="10">
        <f t="shared" si="41"/>
        <v>33030.864637084043</v>
      </c>
      <c r="AW17" s="10">
        <f t="shared" si="41"/>
        <v>33451.87050120299</v>
      </c>
      <c r="AX17" s="10">
        <f t="shared" si="41"/>
        <v>33878.900368318085</v>
      </c>
      <c r="AY17" s="1">
        <f t="shared" ref="AY17:CD17" si="42">AX17*(1+$BA$23)</f>
        <v>33540.111364634904</v>
      </c>
      <c r="AZ17" s="1">
        <f t="shared" si="42"/>
        <v>33204.710250988552</v>
      </c>
      <c r="BA17" s="1">
        <f t="shared" si="42"/>
        <v>32872.663148478663</v>
      </c>
      <c r="BB17" s="1">
        <f t="shared" si="42"/>
        <v>32543.936516993876</v>
      </c>
      <c r="BC17" s="1">
        <f t="shared" si="42"/>
        <v>32218.497151823936</v>
      </c>
      <c r="BD17" s="1">
        <f t="shared" si="42"/>
        <v>31896.312180305697</v>
      </c>
      <c r="BE17" s="1">
        <f t="shared" si="42"/>
        <v>31577.349058502637</v>
      </c>
      <c r="BF17" s="1">
        <f t="shared" si="42"/>
        <v>31261.575567917611</v>
      </c>
      <c r="BG17" s="1">
        <f t="shared" si="42"/>
        <v>30948.959812238434</v>
      </c>
      <c r="BH17" s="1">
        <f t="shared" si="42"/>
        <v>30639.470214116049</v>
      </c>
      <c r="BI17" s="1">
        <f t="shared" si="42"/>
        <v>30333.075511974886</v>
      </c>
      <c r="BJ17" s="1">
        <f t="shared" si="42"/>
        <v>30029.744756855136</v>
      </c>
      <c r="BK17" s="1">
        <f t="shared" si="42"/>
        <v>29729.447309286585</v>
      </c>
      <c r="BL17" s="1">
        <f t="shared" si="42"/>
        <v>29432.15283619372</v>
      </c>
      <c r="BM17" s="1">
        <f t="shared" si="42"/>
        <v>29137.831307831781</v>
      </c>
      <c r="BN17" s="1">
        <f t="shared" si="42"/>
        <v>28846.452994753461</v>
      </c>
      <c r="BO17" s="1">
        <f t="shared" si="42"/>
        <v>28557.988464805927</v>
      </c>
      <c r="BP17" s="1">
        <f t="shared" si="42"/>
        <v>28272.408580157866</v>
      </c>
      <c r="BQ17" s="1">
        <f t="shared" si="42"/>
        <v>27989.684494356286</v>
      </c>
      <c r="BR17" s="1">
        <f t="shared" si="42"/>
        <v>27709.787649412723</v>
      </c>
      <c r="BS17" s="1">
        <f t="shared" si="42"/>
        <v>27432.689772918595</v>
      </c>
      <c r="BT17" s="1">
        <f t="shared" si="42"/>
        <v>27158.36287518941</v>
      </c>
      <c r="BU17" s="1">
        <f t="shared" si="42"/>
        <v>26886.779246437516</v>
      </c>
      <c r="BV17" s="1">
        <f t="shared" si="42"/>
        <v>26617.911453973142</v>
      </c>
      <c r="BW17" s="1">
        <f t="shared" si="42"/>
        <v>26351.732339433409</v>
      </c>
      <c r="BX17" s="1">
        <f t="shared" si="42"/>
        <v>26088.215016039074</v>
      </c>
      <c r="BY17" s="1">
        <f t="shared" si="42"/>
        <v>25827.332865878681</v>
      </c>
      <c r="BZ17" s="1">
        <f t="shared" si="42"/>
        <v>25569.059537219895</v>
      </c>
      <c r="CA17" s="1">
        <f t="shared" si="42"/>
        <v>25313.368941847697</v>
      </c>
      <c r="CB17" s="1">
        <f t="shared" si="42"/>
        <v>25060.235252429218</v>
      </c>
      <c r="CC17" s="1">
        <f t="shared" si="42"/>
        <v>24809.632899904926</v>
      </c>
      <c r="CD17" s="1">
        <f t="shared" si="42"/>
        <v>24561.536570905875</v>
      </c>
      <c r="CE17" s="1">
        <f t="shared" ref="CE17:DJ17" si="43">CD17*(1+$BA$23)</f>
        <v>24315.921205196817</v>
      </c>
      <c r="CF17" s="1">
        <f t="shared" si="43"/>
        <v>24072.76199314485</v>
      </c>
      <c r="CG17" s="1">
        <f t="shared" si="43"/>
        <v>23832.034373213402</v>
      </c>
      <c r="CH17" s="1">
        <f t="shared" si="43"/>
        <v>23593.714029481267</v>
      </c>
      <c r="CI17" s="1">
        <f t="shared" si="43"/>
        <v>23357.776889186454</v>
      </c>
      <c r="CJ17" s="1">
        <f t="shared" si="43"/>
        <v>23124.19912029459</v>
      </c>
      <c r="CK17" s="1">
        <f t="shared" si="43"/>
        <v>22892.957129091643</v>
      </c>
      <c r="CL17" s="1">
        <f t="shared" si="43"/>
        <v>22664.027557800728</v>
      </c>
      <c r="CM17" s="1">
        <f t="shared" si="43"/>
        <v>22437.38728222272</v>
      </c>
      <c r="CN17" s="1">
        <f t="shared" si="43"/>
        <v>22213.013409400493</v>
      </c>
      <c r="CO17" s="1">
        <f t="shared" si="43"/>
        <v>21990.883275306489</v>
      </c>
      <c r="CP17" s="1">
        <f t="shared" si="43"/>
        <v>21770.974442553423</v>
      </c>
      <c r="CQ17" s="1">
        <f t="shared" si="43"/>
        <v>21553.264698127889</v>
      </c>
      <c r="CR17" s="1">
        <f t="shared" si="43"/>
        <v>21337.73205114661</v>
      </c>
      <c r="CS17" s="1">
        <f t="shared" si="43"/>
        <v>21124.354730635143</v>
      </c>
      <c r="CT17" s="1">
        <f t="shared" si="43"/>
        <v>20913.111183328791</v>
      </c>
      <c r="CU17" s="1">
        <f t="shared" si="43"/>
        <v>20703.980071495502</v>
      </c>
      <c r="CV17" s="1">
        <f t="shared" si="43"/>
        <v>20496.940270780546</v>
      </c>
      <c r="CW17" s="1">
        <f t="shared" si="43"/>
        <v>20291.970868072742</v>
      </c>
      <c r="CX17" s="1">
        <f t="shared" si="43"/>
        <v>20089.051159392013</v>
      </c>
      <c r="CY17" s="1">
        <f t="shared" si="43"/>
        <v>19888.160647798093</v>
      </c>
      <c r="CZ17" s="1">
        <f t="shared" si="43"/>
        <v>19689.279041320111</v>
      </c>
      <c r="DA17" s="1">
        <f t="shared" si="43"/>
        <v>19492.386250906911</v>
      </c>
      <c r="DB17" s="1">
        <f t="shared" si="43"/>
        <v>19297.462388397842</v>
      </c>
      <c r="DC17" s="1">
        <f t="shared" si="43"/>
        <v>19104.487764513862</v>
      </c>
      <c r="DD17" s="1">
        <f t="shared" si="43"/>
        <v>18913.442886868725</v>
      </c>
      <c r="DE17" s="1">
        <f t="shared" si="43"/>
        <v>18724.308458000036</v>
      </c>
      <c r="DF17" s="1">
        <f t="shared" si="43"/>
        <v>18537.065373420035</v>
      </c>
      <c r="DG17" s="1">
        <f t="shared" si="43"/>
        <v>18351.694719685835</v>
      </c>
      <c r="DH17" s="1">
        <f t="shared" si="43"/>
        <v>18168.177772488976</v>
      </c>
      <c r="DI17" s="1">
        <f t="shared" si="43"/>
        <v>17986.495994764085</v>
      </c>
      <c r="DJ17" s="1">
        <f t="shared" si="43"/>
        <v>17806.631034816444</v>
      </c>
      <c r="DK17" s="1">
        <f t="shared" ref="DK17:EI17" si="44">DJ17*(1+$BA$23)</f>
        <v>17628.56472446828</v>
      </c>
      <c r="DL17" s="1">
        <f t="shared" si="44"/>
        <v>17452.279077223597</v>
      </c>
      <c r="DM17" s="1">
        <f t="shared" si="44"/>
        <v>17277.75628645136</v>
      </c>
      <c r="DN17" s="1">
        <f t="shared" si="44"/>
        <v>17104.978723586846</v>
      </c>
      <c r="DO17" s="1">
        <f t="shared" si="44"/>
        <v>16933.928936350978</v>
      </c>
      <c r="DP17" s="1">
        <f t="shared" si="44"/>
        <v>16764.589646987468</v>
      </c>
      <c r="DQ17" s="1">
        <f t="shared" si="44"/>
        <v>16596.943750517592</v>
      </c>
      <c r="DR17" s="1">
        <f t="shared" si="44"/>
        <v>16430.974313012415</v>
      </c>
      <c r="DS17" s="1">
        <f t="shared" si="44"/>
        <v>16266.66456988229</v>
      </c>
      <c r="DT17" s="1">
        <f t="shared" si="44"/>
        <v>16103.997924183468</v>
      </c>
      <c r="DU17" s="1">
        <f t="shared" si="44"/>
        <v>15942.957944941632</v>
      </c>
      <c r="DV17" s="1">
        <f t="shared" si="44"/>
        <v>15783.528365492215</v>
      </c>
      <c r="DW17" s="1">
        <f t="shared" si="44"/>
        <v>15625.693081837293</v>
      </c>
      <c r="DX17" s="1">
        <f t="shared" si="44"/>
        <v>15469.436151018919</v>
      </c>
      <c r="DY17" s="1">
        <f t="shared" si="44"/>
        <v>15314.741789508729</v>
      </c>
      <c r="DZ17" s="1">
        <f t="shared" si="44"/>
        <v>15161.594371613643</v>
      </c>
      <c r="EA17" s="1">
        <f t="shared" si="44"/>
        <v>15009.978427897506</v>
      </c>
      <c r="EB17" s="1">
        <f t="shared" si="44"/>
        <v>14859.878643618531</v>
      </c>
      <c r="EC17" s="1">
        <f t="shared" si="44"/>
        <v>14711.279857182346</v>
      </c>
      <c r="ED17" s="1">
        <f t="shared" si="44"/>
        <v>14564.167058610523</v>
      </c>
      <c r="EE17" s="1">
        <f t="shared" si="44"/>
        <v>14418.525388024418</v>
      </c>
      <c r="EF17" s="1">
        <f t="shared" si="44"/>
        <v>14274.340134144173</v>
      </c>
      <c r="EG17" s="1">
        <f t="shared" si="44"/>
        <v>14131.596732802731</v>
      </c>
      <c r="EH17" s="1">
        <f t="shared" si="44"/>
        <v>13990.280765474703</v>
      </c>
      <c r="EI17" s="1">
        <f t="shared" si="44"/>
        <v>13850.377957819956</v>
      </c>
    </row>
    <row r="18" spans="2:139" x14ac:dyDescent="0.3">
      <c r="B18" t="s">
        <v>1</v>
      </c>
      <c r="C18" s="5">
        <f>C47/Main!$D$13</f>
        <v>19.041157847127995</v>
      </c>
      <c r="D18" s="5">
        <f>D47/Main!$D$13</f>
        <v>19.041157847127995</v>
      </c>
      <c r="E18" s="5">
        <f t="shared" ref="E18:H18" si="45">E47/2</f>
        <v>1473.5</v>
      </c>
      <c r="F18" s="5">
        <f t="shared" si="45"/>
        <v>1473.5</v>
      </c>
      <c r="G18" s="5">
        <f t="shared" si="45"/>
        <v>1473.5</v>
      </c>
      <c r="H18" s="5">
        <f t="shared" si="45"/>
        <v>1473.5</v>
      </c>
      <c r="I18" s="5">
        <f t="shared" ref="I18" si="46">I47/2</f>
        <v>1631.5</v>
      </c>
      <c r="J18" s="5">
        <v>1632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f t="shared" ref="W18:X18" si="47">(15795-2762)/10</f>
        <v>1303.3</v>
      </c>
      <c r="X18" s="5">
        <f t="shared" si="47"/>
        <v>1303.3</v>
      </c>
      <c r="Y18" s="5"/>
      <c r="Z18" s="5"/>
      <c r="AA18" s="5">
        <f t="shared" ref="AA18:AB18" si="48">(15795-2762)/10</f>
        <v>1303.3</v>
      </c>
      <c r="AB18" s="5">
        <f t="shared" si="48"/>
        <v>1303.3</v>
      </c>
      <c r="AC18" s="5"/>
      <c r="AD18" s="5"/>
      <c r="AF18" s="13">
        <f>AF47/2</f>
        <v>1473.5</v>
      </c>
      <c r="AG18" s="13">
        <f>AG47/2</f>
        <v>1473.5</v>
      </c>
      <c r="AH18" s="13">
        <f t="shared" ref="AH18:AI18" si="49">AH47/2</f>
        <v>1435.5</v>
      </c>
      <c r="AI18" s="13">
        <f t="shared" si="49"/>
        <v>1415.5</v>
      </c>
      <c r="AJ18" s="13">
        <f t="shared" ref="AJ18:AN18" si="50">AJ47/2</f>
        <v>1415.5</v>
      </c>
      <c r="AK18" s="13">
        <f t="shared" si="50"/>
        <v>1415.5</v>
      </c>
      <c r="AL18" s="13">
        <f t="shared" si="50"/>
        <v>1415.5</v>
      </c>
      <c r="AM18" s="13">
        <f t="shared" si="50"/>
        <v>1415.5</v>
      </c>
      <c r="AN18" s="13">
        <f t="shared" si="50"/>
        <v>1415.5</v>
      </c>
      <c r="AO18" s="5">
        <f>(15795-2762)/10</f>
        <v>1303.3</v>
      </c>
      <c r="AP18" s="5">
        <f>(15795-2762)/10</f>
        <v>1303.3</v>
      </c>
      <c r="AQ18" s="5">
        <f>(15795-2762)/10</f>
        <v>1303.3</v>
      </c>
      <c r="AR18" s="5">
        <f>(15795-2762)/10</f>
        <v>1303.3</v>
      </c>
      <c r="AS18" s="5">
        <f>(15795-2762)/10</f>
        <v>1303.3</v>
      </c>
      <c r="AT18" s="5">
        <f>(15795-2762)/10</f>
        <v>1303.3</v>
      </c>
      <c r="AU18" s="5">
        <f>(15795-2762)/10</f>
        <v>1303.3</v>
      </c>
      <c r="AV18" s="5">
        <f>(15795-2762)/10</f>
        <v>1303.3</v>
      </c>
      <c r="AW18" s="5">
        <f>(15795-2762)/10</f>
        <v>1303.3</v>
      </c>
      <c r="AX18" s="5">
        <f>(15795-2762)/10</f>
        <v>1303.3</v>
      </c>
    </row>
    <row r="19" spans="2:139" s="1" customFormat="1" x14ac:dyDescent="0.3">
      <c r="B19" s="1" t="s">
        <v>39</v>
      </c>
      <c r="C19" s="18">
        <f>C48/Main!$D$13</f>
        <v>1.3574199520950327</v>
      </c>
      <c r="D19" s="18">
        <f>D48/Main!$D$13</f>
        <v>1.1629064650351157</v>
      </c>
      <c r="E19" s="18">
        <f>E48/Main!$D$13</f>
        <v>1.2262468390379899</v>
      </c>
      <c r="F19" s="18">
        <f>F48/Main!$D$13</f>
        <v>0.7175988609168823</v>
      </c>
      <c r="G19" s="18">
        <f>G48/Main!$D$13</f>
        <v>0.34826024119461918</v>
      </c>
      <c r="H19" s="18">
        <f>H48/Main!$D$13</f>
        <v>1.0316105738214738</v>
      </c>
      <c r="I19" s="18">
        <f>I48/Main!$D$13</f>
        <v>1.6607344608771737</v>
      </c>
      <c r="J19" s="18">
        <f>J17/J18</f>
        <v>2.0136875143318287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4">
        <f t="shared" ref="W19:X19" si="51">W17/W18</f>
        <v>6.6123914918765179</v>
      </c>
      <c r="X19" s="14">
        <f t="shared" si="51"/>
        <v>2.8422539865936707</v>
      </c>
      <c r="Y19" s="18"/>
      <c r="Z19" s="18"/>
      <c r="AA19" s="14">
        <f t="shared" ref="AA19:AB19" si="52">AA17/AA18</f>
        <v>4.1710264153636949</v>
      </c>
      <c r="AB19" s="14">
        <f t="shared" si="52"/>
        <v>4.6208514952037421</v>
      </c>
      <c r="AC19" s="18"/>
      <c r="AD19" s="18"/>
      <c r="AF19" s="14">
        <f>AF48/Main!$D$13</f>
        <v>4.0146462063007595</v>
      </c>
      <c r="AG19" s="14">
        <f>AG17/AG18</f>
        <v>10.935951261807558</v>
      </c>
      <c r="AH19" s="14">
        <f t="shared" ref="AH19:AS19" si="53">AH17/AH18</f>
        <v>8.4748310360063499</v>
      </c>
      <c r="AI19" s="14">
        <f t="shared" si="53"/>
        <v>9.2941824295652111</v>
      </c>
      <c r="AJ19" s="14">
        <f t="shared" ref="AJ19:AN19" si="54">AJ17/AJ18</f>
        <v>10.248732939412356</v>
      </c>
      <c r="AK19" s="14">
        <f t="shared" si="54"/>
        <v>13.009626047580042</v>
      </c>
      <c r="AL19" s="14">
        <f t="shared" si="54"/>
        <v>11.198431272557286</v>
      </c>
      <c r="AM19" s="14">
        <f t="shared" si="54"/>
        <v>22.571668715376173</v>
      </c>
      <c r="AN19" s="14">
        <f t="shared" si="54"/>
        <v>21.750733366796464</v>
      </c>
      <c r="AO19" s="14">
        <f t="shared" si="53"/>
        <v>19.195957723293859</v>
      </c>
      <c r="AP19" s="14">
        <f t="shared" si="53"/>
        <v>19.760070229499235</v>
      </c>
      <c r="AQ19" s="14">
        <f t="shared" si="53"/>
        <v>21.907581054453846</v>
      </c>
      <c r="AR19" s="14">
        <f t="shared" si="53"/>
        <v>24.096684032058128</v>
      </c>
      <c r="AS19" s="14">
        <f t="shared" si="53"/>
        <v>24.401941680151225</v>
      </c>
      <c r="AT19" s="14">
        <f t="shared" ref="AT19:AX19" si="55">AT17/AT18</f>
        <v>24.711537720880706</v>
      </c>
      <c r="AU19" s="14">
        <f t="shared" si="55"/>
        <v>25.025541254496037</v>
      </c>
      <c r="AV19" s="14">
        <f t="shared" si="55"/>
        <v>25.344022586575651</v>
      </c>
      <c r="AW19" s="14">
        <f t="shared" si="55"/>
        <v>25.667053250366756</v>
      </c>
      <c r="AX19" s="14">
        <f t="shared" si="55"/>
        <v>25.994706029554276</v>
      </c>
    </row>
    <row r="21" spans="2:139" x14ac:dyDescent="0.3">
      <c r="B21" s="1" t="s">
        <v>42</v>
      </c>
      <c r="C21" s="1"/>
      <c r="D21" s="1"/>
      <c r="E21" s="1"/>
      <c r="F21" s="1"/>
      <c r="G21" s="11">
        <f>G3/C3-1</f>
        <v>-0.40414022402782546</v>
      </c>
      <c r="H21" s="11">
        <f t="shared" ref="H21:J21" si="56">H3/D3-1</f>
        <v>-0.11294704048865234</v>
      </c>
      <c r="I21" s="11">
        <f t="shared" si="56"/>
        <v>7.1113931773070238E-2</v>
      </c>
      <c r="J21" s="11">
        <f t="shared" si="56"/>
        <v>0.14999999999999991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>
        <f t="shared" ref="AA21:AB21" si="57">AA3/W3-1</f>
        <v>3.5094715869287141E-2</v>
      </c>
      <c r="AB21" s="11">
        <f t="shared" si="57"/>
        <v>8.1510787953519737E-2</v>
      </c>
      <c r="AC21" s="11"/>
      <c r="AD21" s="11"/>
      <c r="AE21" s="1"/>
      <c r="AF21" s="11"/>
      <c r="AG21" s="11">
        <f t="shared" ref="AG21:AS21" si="58">AG3/AF3-1</f>
        <v>6.4583271204430082E-2</v>
      </c>
      <c r="AH21" s="11">
        <f t="shared" si="58"/>
        <v>2.880139934260284E-2</v>
      </c>
      <c r="AI21" s="11">
        <f t="shared" si="58"/>
        <v>-1.1881750488930143E-2</v>
      </c>
      <c r="AJ21" s="11">
        <f t="shared" si="58"/>
        <v>-8.8793424964727308E-2</v>
      </c>
      <c r="AK21" s="11">
        <f t="shared" si="58"/>
        <v>0.15303968892572861</v>
      </c>
      <c r="AL21" s="11">
        <f t="shared" si="58"/>
        <v>0.18403064777276446</v>
      </c>
      <c r="AM21" s="11">
        <f t="shared" si="58"/>
        <v>0.21373104667460008</v>
      </c>
      <c r="AN21" s="11">
        <f t="shared" si="58"/>
        <v>6.5225807774974331E-2</v>
      </c>
      <c r="AO21" s="11">
        <f t="shared" si="58"/>
        <v>4.0000000000000036E-2</v>
      </c>
      <c r="AP21" s="11">
        <f t="shared" si="58"/>
        <v>2.0000000000000018E-2</v>
      </c>
      <c r="AQ21" s="11">
        <f t="shared" si="58"/>
        <v>1.0000000000000009E-2</v>
      </c>
      <c r="AR21" s="11">
        <f t="shared" si="58"/>
        <v>1.0000000000000009E-2</v>
      </c>
      <c r="AS21" s="11">
        <f t="shared" si="58"/>
        <v>1.0000000000000009E-2</v>
      </c>
      <c r="AT21" s="11">
        <f t="shared" ref="AT21" si="59">AT3/AS3-1</f>
        <v>1.0000000000000009E-2</v>
      </c>
      <c r="AU21" s="11">
        <f t="shared" ref="AU21" si="60">AU3/AT3-1</f>
        <v>1.0000000000000009E-2</v>
      </c>
      <c r="AV21" s="11">
        <f t="shared" ref="AV21" si="61">AV3/AU3-1</f>
        <v>1.0000000000000009E-2</v>
      </c>
      <c r="AW21" s="11">
        <f t="shared" ref="AW21" si="62">AW3/AV3-1</f>
        <v>1.0000000000000009E-2</v>
      </c>
      <c r="AX21" s="11">
        <f t="shared" ref="AX21" si="63">AX3/AW3-1</f>
        <v>1.0000000000000009E-2</v>
      </c>
    </row>
    <row r="22" spans="2:139" x14ac:dyDescent="0.3">
      <c r="B22" s="1" t="s">
        <v>40</v>
      </c>
      <c r="C22" s="11">
        <f t="shared" ref="C22:J22" si="64">C5/C3</f>
        <v>0.18806847005668623</v>
      </c>
      <c r="D22" s="11">
        <f t="shared" si="64"/>
        <v>0.17697934949359723</v>
      </c>
      <c r="E22" s="11">
        <f t="shared" si="64"/>
        <v>0.18165166696872401</v>
      </c>
      <c r="F22" s="11">
        <f t="shared" si="64"/>
        <v>0.17324862570167954</v>
      </c>
      <c r="G22" s="11">
        <f t="shared" si="64"/>
        <v>0.11942020467762535</v>
      </c>
      <c r="H22" s="11">
        <f t="shared" si="64"/>
        <v>0.16948252597599769</v>
      </c>
      <c r="I22" s="11">
        <f t="shared" si="64"/>
        <v>0.20327552088139042</v>
      </c>
      <c r="J22" s="11">
        <f t="shared" si="64"/>
        <v>0.18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>
        <f t="shared" ref="W22:X22" si="65">W5/W3</f>
        <v>0.2051799144086538</v>
      </c>
      <c r="X22" s="11">
        <f t="shared" si="65"/>
        <v>0.21303035299444603</v>
      </c>
      <c r="Y22" s="11"/>
      <c r="Z22" s="11"/>
      <c r="AA22" s="11">
        <f t="shared" ref="AA22:AB22" si="66">AA5/AA3</f>
        <v>0.17920138581149314</v>
      </c>
      <c r="AB22" s="11">
        <f t="shared" si="66"/>
        <v>0.15906682382372364</v>
      </c>
      <c r="AC22" s="11"/>
      <c r="AD22" s="11"/>
      <c r="AE22" s="1"/>
      <c r="AF22" s="11">
        <f t="shared" ref="AF22:AS22" si="67">AF5/AF3</f>
        <v>0.17620839191869986</v>
      </c>
      <c r="AG22" s="11">
        <f t="shared" si="67"/>
        <v>0.18687707861703615</v>
      </c>
      <c r="AH22" s="11">
        <f t="shared" si="67"/>
        <v>0.18010829929687938</v>
      </c>
      <c r="AI22" s="11">
        <f t="shared" si="67"/>
        <v>0.18017469511959316</v>
      </c>
      <c r="AJ22" s="11">
        <f t="shared" si="67"/>
        <v>0.17756553707911277</v>
      </c>
      <c r="AK22" s="11">
        <f t="shared" si="67"/>
        <v>0.19030486999046861</v>
      </c>
      <c r="AL22" s="11">
        <f t="shared" si="67"/>
        <v>0.16991347811227653</v>
      </c>
      <c r="AM22" s="11">
        <f t="shared" si="67"/>
        <v>0.2077447717695792</v>
      </c>
      <c r="AN22" s="11">
        <f t="shared" si="67"/>
        <v>0.19938999145320213</v>
      </c>
      <c r="AO22" s="11">
        <f t="shared" si="67"/>
        <v>0.17</v>
      </c>
      <c r="AP22" s="11">
        <f t="shared" si="67"/>
        <v>0.17</v>
      </c>
      <c r="AQ22" s="11">
        <f t="shared" si="67"/>
        <v>0.18</v>
      </c>
      <c r="AR22" s="11">
        <f t="shared" si="67"/>
        <v>0.19</v>
      </c>
      <c r="AS22" s="11">
        <f t="shared" si="67"/>
        <v>0.19</v>
      </c>
      <c r="AT22" s="11">
        <f t="shared" ref="AT22:AX22" si="68">AT5/AT3</f>
        <v>0.19</v>
      </c>
      <c r="AU22" s="11">
        <f t="shared" si="68"/>
        <v>0.19</v>
      </c>
      <c r="AV22" s="11">
        <f t="shared" si="68"/>
        <v>0.19</v>
      </c>
      <c r="AW22" s="11">
        <f t="shared" si="68"/>
        <v>0.19</v>
      </c>
      <c r="AX22" s="11">
        <f t="shared" si="68"/>
        <v>0.19</v>
      </c>
    </row>
    <row r="23" spans="2:139" x14ac:dyDescent="0.3">
      <c r="B23" t="s">
        <v>41</v>
      </c>
      <c r="C23" s="15">
        <f t="shared" ref="C23:J23" si="69">C7/C3</f>
        <v>9.5918250785848397E-2</v>
      </c>
      <c r="D23" s="15">
        <f t="shared" si="69"/>
        <v>8.6238923012217888E-2</v>
      </c>
      <c r="E23" s="15">
        <f t="shared" si="69"/>
        <v>8.4124432196848675E-2</v>
      </c>
      <c r="F23" s="15">
        <f t="shared" si="69"/>
        <v>5.2166736552588584E-2</v>
      </c>
      <c r="G23" s="15">
        <f t="shared" si="69"/>
        <v>3.0255634025068705E-3</v>
      </c>
      <c r="H23" s="15">
        <f t="shared" si="69"/>
        <v>7.4701668495357615E-2</v>
      </c>
      <c r="I23" s="15">
        <f t="shared" si="69"/>
        <v>0.12121915594932635</v>
      </c>
      <c r="J23" s="15">
        <f t="shared" si="69"/>
        <v>8.3134488680727217E-2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>
        <f t="shared" ref="W23:X23" si="70">W7/W3</f>
        <v>0.11056972283632904</v>
      </c>
      <c r="X23" s="15">
        <f t="shared" si="70"/>
        <v>0.10094795165323366</v>
      </c>
      <c r="Y23" s="15"/>
      <c r="Z23" s="15"/>
      <c r="AA23" s="15">
        <f t="shared" ref="AA23:AB23" si="71">AA7/AA3</f>
        <v>9.5169344225396427E-2</v>
      </c>
      <c r="AB23" s="15">
        <f t="shared" si="71"/>
        <v>6.7829202305131744E-2</v>
      </c>
      <c r="AC23" s="15"/>
      <c r="AD23" s="15"/>
      <c r="AF23" s="15">
        <f t="shared" ref="AF23:AS23" si="72">AF7/AF3</f>
        <v>7.2267204856667849E-2</v>
      </c>
      <c r="AG23" s="15">
        <f t="shared" si="72"/>
        <v>8.1684888549877099E-2</v>
      </c>
      <c r="AH23" s="15">
        <f t="shared" si="72"/>
        <v>8.1637366582410498E-2</v>
      </c>
      <c r="AI23" s="15">
        <f t="shared" si="72"/>
        <v>8.0331716954089125E-2</v>
      </c>
      <c r="AJ23" s="15">
        <f t="shared" si="72"/>
        <v>8.0756266288595002E-2</v>
      </c>
      <c r="AK23" s="15">
        <f t="shared" si="72"/>
        <v>9.5466636872274621E-2</v>
      </c>
      <c r="AL23" s="15">
        <f t="shared" si="72"/>
        <v>7.3343493126959355E-2</v>
      </c>
      <c r="AM23" s="15">
        <f t="shared" si="72"/>
        <v>0.11870265931113701</v>
      </c>
      <c r="AN23" s="15">
        <f t="shared" si="72"/>
        <v>9.983170369057795E-2</v>
      </c>
      <c r="AO23" s="15">
        <f t="shared" si="72"/>
        <v>7.2356294694349357E-2</v>
      </c>
      <c r="AP23" s="15">
        <f t="shared" si="72"/>
        <v>7.3313585922836141E-2</v>
      </c>
      <c r="AQ23" s="15">
        <f t="shared" si="72"/>
        <v>8.3313585922836109E-2</v>
      </c>
      <c r="AR23" s="15">
        <f t="shared" si="72"/>
        <v>9.3313585922836131E-2</v>
      </c>
      <c r="AS23" s="15">
        <f t="shared" si="72"/>
        <v>9.3313585922836131E-2</v>
      </c>
      <c r="AT23" s="15">
        <f t="shared" ref="AT23:AX23" si="73">AT7/AT3</f>
        <v>9.3313585922836145E-2</v>
      </c>
      <c r="AU23" s="15">
        <f t="shared" si="73"/>
        <v>9.3313585922836145E-2</v>
      </c>
      <c r="AV23" s="15">
        <f t="shared" si="73"/>
        <v>9.3313585922836159E-2</v>
      </c>
      <c r="AW23" s="15">
        <f t="shared" si="73"/>
        <v>9.3313585922836159E-2</v>
      </c>
      <c r="AX23" s="15">
        <f t="shared" si="73"/>
        <v>9.3313585922836159E-2</v>
      </c>
      <c r="AZ23" t="s">
        <v>43</v>
      </c>
      <c r="BA23" s="15">
        <v>-0.01</v>
      </c>
    </row>
    <row r="24" spans="2:139" x14ac:dyDescent="0.3">
      <c r="B24" t="s">
        <v>70</v>
      </c>
      <c r="C24" s="15"/>
      <c r="D24" s="15"/>
      <c r="E24" s="15"/>
      <c r="F24" s="15"/>
      <c r="G24" s="15">
        <f t="shared" ref="G24:J24" si="74">G6/C6-1</f>
        <v>-0.24737146125812881</v>
      </c>
      <c r="H24" s="15">
        <f t="shared" si="74"/>
        <v>-7.3448920250799077E-2</v>
      </c>
      <c r="I24" s="15">
        <f t="shared" si="74"/>
        <v>-9.8798239538161803E-2</v>
      </c>
      <c r="J24" s="15">
        <f t="shared" si="74"/>
        <v>-7.999999999999996E-2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>
        <f t="shared" ref="AA24:AB24" si="75">AA6/W6-1</f>
        <v>-8.0636866240946237E-2</v>
      </c>
      <c r="AB24" s="15">
        <f t="shared" si="75"/>
        <v>-0.11962564364424455</v>
      </c>
      <c r="AC24" s="15"/>
      <c r="AD24" s="15"/>
      <c r="AF24" s="15"/>
      <c r="AG24" s="15">
        <f t="shared" ref="AG24:AS24" si="76">AG6/AF6-1</f>
        <v>7.7396256211902825E-2</v>
      </c>
      <c r="AH24" s="15">
        <f t="shared" si="76"/>
        <v>-3.6933889231336781E-2</v>
      </c>
      <c r="AI24" s="15">
        <f t="shared" si="76"/>
        <v>1.886202265794612E-3</v>
      </c>
      <c r="AJ24" s="15">
        <f t="shared" si="76"/>
        <v>-0.11648024037840821</v>
      </c>
      <c r="AK24" s="15">
        <f t="shared" si="76"/>
        <v>0.12956378991317541</v>
      </c>
      <c r="AL24" s="15">
        <f t="shared" si="76"/>
        <v>0.20565111894345978</v>
      </c>
      <c r="AM24" s="15">
        <f t="shared" si="76"/>
        <v>0.11911766755202757</v>
      </c>
      <c r="AN24" s="15">
        <f t="shared" si="76"/>
        <v>0.19103258643073406</v>
      </c>
      <c r="AO24" s="15">
        <f t="shared" si="76"/>
        <v>2.0000000000000018E-2</v>
      </c>
      <c r="AP24" s="15">
        <f t="shared" si="76"/>
        <v>1.0000000000000009E-2</v>
      </c>
      <c r="AQ24" s="15">
        <f t="shared" si="76"/>
        <v>1.0000000000000009E-2</v>
      </c>
      <c r="AR24" s="15">
        <f t="shared" si="76"/>
        <v>1.0000000000000009E-2</v>
      </c>
      <c r="AS24" s="15">
        <f t="shared" si="76"/>
        <v>1.0000000000000009E-2</v>
      </c>
      <c r="AT24" s="15">
        <f t="shared" ref="AT24" si="77">AT6/AS6-1</f>
        <v>1.0000000000000009E-2</v>
      </c>
      <c r="AU24" s="15">
        <f t="shared" ref="AU24" si="78">AU6/AT6-1</f>
        <v>1.0000000000000009E-2</v>
      </c>
      <c r="AV24" s="15">
        <f t="shared" ref="AV24" si="79">AV6/AU6-1</f>
        <v>1.0000000000000009E-2</v>
      </c>
      <c r="AW24" s="15">
        <f t="shared" ref="AW24" si="80">AW6/AV6-1</f>
        <v>1.0000000000000009E-2</v>
      </c>
      <c r="AX24" s="15">
        <f t="shared" ref="AX24" si="81">AX6/AW6-1</f>
        <v>1.0000000000000009E-2</v>
      </c>
      <c r="AZ24" t="s">
        <v>44</v>
      </c>
      <c r="BA24" s="15">
        <v>0.05</v>
      </c>
    </row>
    <row r="25" spans="2:139" x14ac:dyDescent="0.3">
      <c r="B25" t="s">
        <v>36</v>
      </c>
      <c r="C25" s="15">
        <f t="shared" ref="C25:J25" si="82">C15/C14</f>
        <v>0.25805773081515043</v>
      </c>
      <c r="D25" s="15">
        <f t="shared" si="82"/>
        <v>0.28310079329558202</v>
      </c>
      <c r="E25" s="15">
        <f t="shared" si="82"/>
        <v>0.2406242956077011</v>
      </c>
      <c r="F25" s="15">
        <f t="shared" si="82"/>
        <v>0.14590337239655093</v>
      </c>
      <c r="G25" s="15">
        <f t="shared" si="82"/>
        <v>-0.26400189454809952</v>
      </c>
      <c r="H25" s="15">
        <f t="shared" si="82"/>
        <v>0.21101342653402821</v>
      </c>
      <c r="I25" s="15">
        <f t="shared" si="82"/>
        <v>0.23981114169367837</v>
      </c>
      <c r="J25" s="15">
        <f t="shared" si="82"/>
        <v>0.24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>
        <f t="shared" ref="W25:X25" si="83">W15/W14</f>
        <v>0.27149721152470113</v>
      </c>
      <c r="X25" s="15">
        <f t="shared" si="83"/>
        <v>0.41656882264845624</v>
      </c>
      <c r="Y25" s="15"/>
      <c r="Z25" s="15"/>
      <c r="AA25" s="15">
        <f t="shared" ref="AA25:AB25" si="84">AA15/AA14</f>
        <v>0.30344478945048209</v>
      </c>
      <c r="AB25" s="15">
        <f t="shared" si="84"/>
        <v>0.20639409449621729</v>
      </c>
      <c r="AC25" s="15"/>
      <c r="AD25" s="15"/>
      <c r="AF25" s="15">
        <f t="shared" ref="AF25:AS25" si="85">AF15/AF14</f>
        <v>0.28666826205371898</v>
      </c>
      <c r="AG25" s="15">
        <f t="shared" si="85"/>
        <v>0.19248985566867108</v>
      </c>
      <c r="AH25" s="15">
        <f t="shared" si="85"/>
        <v>0.28875699255950105</v>
      </c>
      <c r="AI25" s="15">
        <f t="shared" si="85"/>
        <v>0.24412134440266056</v>
      </c>
      <c r="AJ25" s="15">
        <f t="shared" si="85"/>
        <v>0.22165665480475591</v>
      </c>
      <c r="AK25" s="15">
        <f t="shared" si="85"/>
        <v>0.27964148129659938</v>
      </c>
      <c r="AL25" s="15">
        <f t="shared" si="85"/>
        <v>0.32030796029021996</v>
      </c>
      <c r="AM25" s="15">
        <f t="shared" si="85"/>
        <v>0.27187966837447064</v>
      </c>
      <c r="AN25" s="15">
        <f t="shared" si="85"/>
        <v>0.25330305651694912</v>
      </c>
      <c r="AO25" s="15">
        <f t="shared" si="85"/>
        <v>0.26</v>
      </c>
      <c r="AP25" s="15">
        <f t="shared" si="85"/>
        <v>0.26</v>
      </c>
      <c r="AQ25" s="15">
        <f t="shared" si="85"/>
        <v>0.26</v>
      </c>
      <c r="AR25" s="15">
        <f t="shared" si="85"/>
        <v>0.26</v>
      </c>
      <c r="AS25" s="15">
        <f t="shared" si="85"/>
        <v>0.26</v>
      </c>
      <c r="AT25" s="15">
        <f t="shared" ref="AT25:AX25" si="86">AT15/AT14</f>
        <v>0.26</v>
      </c>
      <c r="AU25" s="15">
        <f t="shared" si="86"/>
        <v>0.26</v>
      </c>
      <c r="AV25" s="15">
        <f t="shared" si="86"/>
        <v>0.26</v>
      </c>
      <c r="AW25" s="15">
        <f t="shared" si="86"/>
        <v>0.26</v>
      </c>
      <c r="AX25" s="15">
        <f t="shared" si="86"/>
        <v>0.26</v>
      </c>
      <c r="AZ25" t="s">
        <v>45</v>
      </c>
      <c r="BA25" s="7">
        <f>NPV(BA24,AO17:EI17)</f>
        <v>575890.85544772062</v>
      </c>
    </row>
    <row r="26" spans="2:139" x14ac:dyDescent="0.3">
      <c r="B26" t="s">
        <v>91</v>
      </c>
      <c r="C26" s="15">
        <f>C17/C3</f>
        <v>8.01848348063849E-2</v>
      </c>
      <c r="D26" s="15">
        <f t="shared" ref="D26:J26" si="87">D17/D3</f>
        <v>6.9452628281980733E-2</v>
      </c>
      <c r="E26" s="15">
        <f t="shared" si="87"/>
        <v>7.3505726362875418E-2</v>
      </c>
      <c r="F26" s="15">
        <f t="shared" si="87"/>
        <v>4.7439617041574567E-2</v>
      </c>
      <c r="G26" s="15">
        <f t="shared" si="87"/>
        <v>3.4525329964640902E-2</v>
      </c>
      <c r="H26" s="15">
        <f t="shared" si="87"/>
        <v>6.9456058792869133E-2</v>
      </c>
      <c r="I26" s="15">
        <f t="shared" si="87"/>
        <v>0.10290695791133091</v>
      </c>
      <c r="J26" s="15">
        <f t="shared" si="87"/>
        <v>6.4105263452553671E-2</v>
      </c>
      <c r="W26" s="15">
        <f>W17/W3</f>
        <v>0.11267195753563623</v>
      </c>
      <c r="X26" s="15">
        <f>X17/X3</f>
        <v>5.0095018852170166E-2</v>
      </c>
      <c r="AA26" s="15">
        <f>AA17/AA3</f>
        <v>6.8662581898171982E-2</v>
      </c>
      <c r="AB26" s="15">
        <f>AB17/AB3</f>
        <v>7.5304827085629342E-2</v>
      </c>
      <c r="AF26" s="15">
        <f t="shared" ref="AF26:AX26" si="88">AF17/AF3</f>
        <v>6.6351277102711131E-2</v>
      </c>
      <c r="AG26" s="15">
        <f t="shared" si="88"/>
        <v>8.488851583978084E-2</v>
      </c>
      <c r="AH26" s="15">
        <f t="shared" si="88"/>
        <v>6.2293815646370383E-2</v>
      </c>
      <c r="AI26" s="15">
        <f t="shared" si="88"/>
        <v>6.8174636994360271E-2</v>
      </c>
      <c r="AJ26" s="15">
        <f t="shared" si="88"/>
        <v>8.2502094280737737E-2</v>
      </c>
      <c r="AK26" s="15">
        <f t="shared" si="88"/>
        <v>9.082708023424331E-2</v>
      </c>
      <c r="AL26" s="15">
        <f t="shared" si="88"/>
        <v>6.6030530303654245E-2</v>
      </c>
      <c r="AM26" s="15">
        <f t="shared" si="88"/>
        <v>0.10965509174177145</v>
      </c>
      <c r="AN26" s="15">
        <f t="shared" si="88"/>
        <v>9.9196730899771976E-2</v>
      </c>
      <c r="AO26" s="15">
        <f t="shared" si="88"/>
        <v>7.7505839087288184E-2</v>
      </c>
      <c r="AP26" s="15">
        <f t="shared" si="88"/>
        <v>7.8219124314346189E-2</v>
      </c>
      <c r="AQ26" s="15">
        <f t="shared" si="88"/>
        <v>8.5861311762338299E-2</v>
      </c>
      <c r="AR26" s="15">
        <f t="shared" si="88"/>
        <v>9.3505897105855135E-2</v>
      </c>
      <c r="AS26" s="15">
        <f t="shared" si="88"/>
        <v>9.3752904086436481E-2</v>
      </c>
      <c r="AT26" s="15">
        <f t="shared" si="88"/>
        <v>9.4002356680686946E-2</v>
      </c>
      <c r="AU26" s="15">
        <f t="shared" si="88"/>
        <v>9.4254279102603242E-2</v>
      </c>
      <c r="AV26" s="15">
        <f t="shared" si="88"/>
        <v>9.450869580592465E-2</v>
      </c>
      <c r="AW26" s="15">
        <f t="shared" si="88"/>
        <v>9.4765631486506685E-2</v>
      </c>
      <c r="AX26" s="15">
        <f t="shared" si="88"/>
        <v>9.5025111084718228E-2</v>
      </c>
      <c r="AZ26" t="s">
        <v>50</v>
      </c>
      <c r="BA26" s="7">
        <f>Main!D10</f>
        <v>-155149.08574013051</v>
      </c>
    </row>
    <row r="27" spans="2:139" x14ac:dyDescent="0.3">
      <c r="AZ27" t="s">
        <v>46</v>
      </c>
      <c r="BA27" s="7">
        <f>BA25+BA26</f>
        <v>420741.76970759011</v>
      </c>
    </row>
    <row r="28" spans="2:139" x14ac:dyDescent="0.3">
      <c r="AZ28" t="s">
        <v>47</v>
      </c>
      <c r="BA28" s="2">
        <f>BA27/AX18</f>
        <v>322.82802862548158</v>
      </c>
    </row>
    <row r="29" spans="2:139" x14ac:dyDescent="0.3">
      <c r="AZ29" t="s">
        <v>48</v>
      </c>
      <c r="BA29" s="2">
        <f>Main!D3</f>
        <v>199.06</v>
      </c>
    </row>
    <row r="30" spans="2:139" x14ac:dyDescent="0.3">
      <c r="AZ30" s="1" t="s">
        <v>49</v>
      </c>
      <c r="BA30" s="11">
        <f>BA28/BA29-1</f>
        <v>0.62176242653210889</v>
      </c>
    </row>
    <row r="31" spans="2:139" x14ac:dyDescent="0.3">
      <c r="AZ31" t="s">
        <v>52</v>
      </c>
      <c r="BA31" s="16" t="s">
        <v>92</v>
      </c>
    </row>
    <row r="32" spans="2:139" x14ac:dyDescent="0.3">
      <c r="B32" s="1" t="s">
        <v>29</v>
      </c>
      <c r="C32" s="10">
        <v>7721273</v>
      </c>
      <c r="D32" s="10">
        <v>7637004</v>
      </c>
      <c r="E32" s="10">
        <v>7608931</v>
      </c>
      <c r="F32" s="10">
        <f>AI32-E32-D32-C32</f>
        <v>6899339</v>
      </c>
      <c r="G32" s="10">
        <v>4600796</v>
      </c>
      <c r="H32" s="10">
        <v>6774427</v>
      </c>
      <c r="I32" s="10">
        <v>8150032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0">
        <v>11837879</v>
      </c>
      <c r="X32" s="10">
        <f>X51-W32</f>
        <v>11444571</v>
      </c>
      <c r="Y32" s="1"/>
      <c r="Z32" s="1"/>
      <c r="AA32" s="10">
        <v>12253326</v>
      </c>
      <c r="AB32" s="10">
        <f>AB51-AA32</f>
        <v>12377427</v>
      </c>
      <c r="AC32" s="1"/>
      <c r="AD32" s="1"/>
      <c r="AE32" s="1"/>
      <c r="AF32" s="19">
        <v>27597193</v>
      </c>
      <c r="AG32" s="19">
        <v>29379510</v>
      </c>
      <c r="AH32" s="19">
        <v>30225681</v>
      </c>
      <c r="AI32" s="10">
        <v>29866547</v>
      </c>
      <c r="AJ32" s="10">
        <v>27214594</v>
      </c>
      <c r="AK32" s="10">
        <v>31379507</v>
      </c>
      <c r="AL32" s="10">
        <v>37154298</v>
      </c>
      <c r="AM32" s="10">
        <v>45095325</v>
      </c>
      <c r="AN32" s="10">
        <v>48036704</v>
      </c>
    </row>
    <row r="33" spans="2:54" x14ac:dyDescent="0.3">
      <c r="B33" t="s">
        <v>30</v>
      </c>
      <c r="C33" s="5">
        <f>5927739+341406</f>
        <v>6269145</v>
      </c>
      <c r="D33" s="5">
        <f>5973620+311792</f>
        <v>6285412</v>
      </c>
      <c r="E33" s="5">
        <f>5866014+360742</f>
        <v>6226756</v>
      </c>
      <c r="F33" s="5">
        <f>AI33-E33-D33-C33</f>
        <v>5704038</v>
      </c>
      <c r="G33" s="5">
        <f>3726300+325068</f>
        <v>4051368</v>
      </c>
      <c r="H33" s="5">
        <f>5351939+274341</f>
        <v>5626280</v>
      </c>
      <c r="I33" s="5">
        <f>6211206+282124</f>
        <v>6493330</v>
      </c>
      <c r="W33" s="5">
        <f>8774492+634492</f>
        <v>9408984</v>
      </c>
      <c r="X33" s="23">
        <f>X52-W33</f>
        <v>9006530</v>
      </c>
      <c r="AA33" s="5">
        <f>9337703+719810</f>
        <v>10057513</v>
      </c>
      <c r="AB33" s="23">
        <f>AB52-AA33</f>
        <v>10408589</v>
      </c>
      <c r="AF33" s="20">
        <f>21543035+1191301</f>
        <v>22734336</v>
      </c>
      <c r="AG33" s="20">
        <f>22600474+1288679</f>
        <v>23889153</v>
      </c>
      <c r="AH33" s="20">
        <f>23389495+1392290</f>
        <v>24781785</v>
      </c>
      <c r="AI33" s="5">
        <f>23103596+1381755</f>
        <v>24485351</v>
      </c>
      <c r="AJ33" s="5">
        <f>21199890+1182330</f>
        <v>22382220</v>
      </c>
      <c r="AK33" s="5">
        <f>24250784+1157050</f>
        <v>25407834</v>
      </c>
      <c r="AL33" s="5">
        <f>29128561+1712721</f>
        <v>30841282</v>
      </c>
      <c r="AM33" s="5">
        <f>33600612+2126395</f>
        <v>35727007</v>
      </c>
      <c r="AN33" s="5">
        <f>35510157+2948509</f>
        <v>38458666</v>
      </c>
    </row>
    <row r="34" spans="2:54" x14ac:dyDescent="0.3">
      <c r="B34" s="1" t="s">
        <v>31</v>
      </c>
      <c r="C34" s="10">
        <f t="shared" ref="C34:I34" si="89">C32-C33</f>
        <v>1452128</v>
      </c>
      <c r="D34" s="10">
        <f t="shared" si="89"/>
        <v>1351592</v>
      </c>
      <c r="E34" s="10">
        <f t="shared" si="89"/>
        <v>1382175</v>
      </c>
      <c r="F34" s="10">
        <f t="shared" si="89"/>
        <v>1195301</v>
      </c>
      <c r="G34" s="10">
        <f t="shared" si="89"/>
        <v>549428</v>
      </c>
      <c r="H34" s="10">
        <f t="shared" si="89"/>
        <v>1148147</v>
      </c>
      <c r="I34" s="10">
        <f t="shared" si="89"/>
        <v>1656702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0">
        <f>W32-W33</f>
        <v>2428895</v>
      </c>
      <c r="X34" s="10">
        <f>X32-X33</f>
        <v>2438041</v>
      </c>
      <c r="Y34" s="1"/>
      <c r="Z34" s="1"/>
      <c r="AA34" s="10">
        <f>AA32-AA33</f>
        <v>2195813</v>
      </c>
      <c r="AB34" s="10">
        <f>AB32-AB33</f>
        <v>1968838</v>
      </c>
      <c r="AC34" s="1"/>
      <c r="AD34" s="1"/>
      <c r="AE34" s="1"/>
      <c r="AF34" s="19">
        <f t="shared" ref="AF34:AN34" si="90">AF32-AF33</f>
        <v>4862857</v>
      </c>
      <c r="AG34" s="19">
        <f t="shared" si="90"/>
        <v>5490357</v>
      </c>
      <c r="AH34" s="19">
        <f t="shared" si="90"/>
        <v>5443896</v>
      </c>
      <c r="AI34" s="10">
        <f t="shared" si="90"/>
        <v>5381196</v>
      </c>
      <c r="AJ34" s="10">
        <f t="shared" si="90"/>
        <v>4832374</v>
      </c>
      <c r="AK34" s="10">
        <f t="shared" si="90"/>
        <v>5971673</v>
      </c>
      <c r="AL34" s="10">
        <f t="shared" si="90"/>
        <v>6313016</v>
      </c>
      <c r="AM34" s="10">
        <f t="shared" si="90"/>
        <v>9368318</v>
      </c>
      <c r="AN34" s="10">
        <f t="shared" si="90"/>
        <v>9578038</v>
      </c>
      <c r="BB34" t="s">
        <v>51</v>
      </c>
    </row>
    <row r="35" spans="2:54" x14ac:dyDescent="0.3">
      <c r="B35" t="s">
        <v>32</v>
      </c>
      <c r="C35" s="5">
        <v>711517</v>
      </c>
      <c r="D35" s="5">
        <v>692985</v>
      </c>
      <c r="E35" s="5">
        <v>742078</v>
      </c>
      <c r="F35" s="5">
        <f>AI35-E35-D35-C35</f>
        <v>835385</v>
      </c>
      <c r="G35" s="5">
        <v>535508</v>
      </c>
      <c r="H35" s="5">
        <v>642086</v>
      </c>
      <c r="I35" s="5">
        <v>668762</v>
      </c>
      <c r="W35" s="5">
        <v>1119984</v>
      </c>
      <c r="X35" s="23">
        <f>X54-W35</f>
        <v>1282735</v>
      </c>
      <c r="AA35" s="5">
        <v>1029672</v>
      </c>
      <c r="AB35" s="23">
        <f>AB54-AA35</f>
        <v>1129287</v>
      </c>
      <c r="AF35" s="20">
        <v>2868485</v>
      </c>
      <c r="AG35" s="20">
        <v>3090495</v>
      </c>
      <c r="AH35" s="20">
        <v>2976351</v>
      </c>
      <c r="AI35" s="5">
        <v>2981965</v>
      </c>
      <c r="AJ35" s="5">
        <v>2634625</v>
      </c>
      <c r="AK35" s="5">
        <v>2975977</v>
      </c>
      <c r="AL35" s="5">
        <v>3587990</v>
      </c>
      <c r="AM35" s="5">
        <v>4015383</v>
      </c>
      <c r="AN35" s="5">
        <v>4782452</v>
      </c>
    </row>
    <row r="36" spans="2:54" x14ac:dyDescent="0.3">
      <c r="B36" s="1" t="s">
        <v>33</v>
      </c>
      <c r="C36" s="10">
        <f t="shared" ref="C36:I36" si="91">C34-C35</f>
        <v>740611</v>
      </c>
      <c r="D36" s="10">
        <f t="shared" si="91"/>
        <v>658607</v>
      </c>
      <c r="E36" s="10">
        <f t="shared" si="91"/>
        <v>640097</v>
      </c>
      <c r="F36" s="10">
        <f t="shared" si="91"/>
        <v>359916</v>
      </c>
      <c r="G36" s="10">
        <f t="shared" si="91"/>
        <v>13920</v>
      </c>
      <c r="H36" s="10">
        <f t="shared" si="91"/>
        <v>506061</v>
      </c>
      <c r="I36" s="10">
        <f t="shared" si="91"/>
        <v>987940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0">
        <f>W34-W35</f>
        <v>1308911</v>
      </c>
      <c r="X36" s="10">
        <f>X34-X35</f>
        <v>1155306</v>
      </c>
      <c r="Y36" s="1"/>
      <c r="Z36" s="1"/>
      <c r="AA36" s="10">
        <f>AA34-AA35</f>
        <v>1166141</v>
      </c>
      <c r="AB36" s="10">
        <f>AB34-AB35</f>
        <v>839551</v>
      </c>
      <c r="AC36" s="1"/>
      <c r="AD36" s="1"/>
      <c r="AE36" s="1"/>
      <c r="AF36" s="19">
        <f t="shared" ref="AF36:AN36" si="92">AF34-AF35</f>
        <v>1994372</v>
      </c>
      <c r="AG36" s="19">
        <f t="shared" si="92"/>
        <v>2399862</v>
      </c>
      <c r="AH36" s="19">
        <f t="shared" si="92"/>
        <v>2467545</v>
      </c>
      <c r="AI36" s="10">
        <f t="shared" si="92"/>
        <v>2399231</v>
      </c>
      <c r="AJ36" s="10">
        <f t="shared" si="92"/>
        <v>2197749</v>
      </c>
      <c r="AK36" s="10">
        <f t="shared" si="92"/>
        <v>2995696</v>
      </c>
      <c r="AL36" s="10">
        <f t="shared" si="92"/>
        <v>2725026</v>
      </c>
      <c r="AM36" s="10">
        <f t="shared" si="92"/>
        <v>5352935</v>
      </c>
      <c r="AN36" s="10">
        <f t="shared" si="92"/>
        <v>4795586</v>
      </c>
    </row>
    <row r="37" spans="2:54" x14ac:dyDescent="0.3">
      <c r="B37" t="s">
        <v>64</v>
      </c>
      <c r="C37" s="5">
        <v>-104744</v>
      </c>
      <c r="D37" s="5">
        <v>-95122</v>
      </c>
      <c r="E37" s="5">
        <v>-75836</v>
      </c>
      <c r="F37" s="5">
        <f>AI37-E37-D37-C37</f>
        <v>-34545</v>
      </c>
      <c r="G37" s="5">
        <v>12572</v>
      </c>
      <c r="H37" s="5">
        <v>-88962</v>
      </c>
      <c r="I37" s="5">
        <v>-125084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5">
        <v>-164937</v>
      </c>
      <c r="X37" s="23">
        <f t="shared" ref="X37:X41" si="93">X56-W37</f>
        <v>-99378</v>
      </c>
      <c r="Y37" s="1"/>
      <c r="Z37" s="1"/>
      <c r="AA37" s="5">
        <v>-141044</v>
      </c>
      <c r="AB37" s="23">
        <f t="shared" ref="AB37:AB41" si="94">AB56-AA37</f>
        <v>-131580</v>
      </c>
      <c r="AC37" s="1"/>
      <c r="AD37" s="1"/>
      <c r="AE37" s="1"/>
      <c r="AF37" s="19"/>
      <c r="AG37" s="19"/>
      <c r="AH37" s="19"/>
      <c r="AI37" s="5">
        <v>-310247</v>
      </c>
      <c r="AJ37" s="5">
        <v>-351029</v>
      </c>
      <c r="AK37" s="5">
        <v>-560346</v>
      </c>
      <c r="AL37" s="5">
        <f>-643063</f>
        <v>-643063</v>
      </c>
      <c r="AM37" s="5">
        <v>-763137</v>
      </c>
      <c r="AN37" s="5">
        <v>-591219</v>
      </c>
    </row>
    <row r="38" spans="2:54" x14ac:dyDescent="0.3">
      <c r="B38" t="s">
        <v>65</v>
      </c>
      <c r="C38" s="5">
        <v>-77551</v>
      </c>
      <c r="D38" s="5">
        <v>-64152</v>
      </c>
      <c r="E38" s="5">
        <v>-61093</v>
      </c>
      <c r="F38" s="5">
        <f>AI38-E38-D38-C38</f>
        <v>-103050</v>
      </c>
      <c r="G38" s="5">
        <v>-114789</v>
      </c>
      <c r="H38" s="5">
        <v>-53185</v>
      </c>
      <c r="I38" s="5">
        <v>-52879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5">
        <v>-173800</v>
      </c>
      <c r="X38" s="23">
        <f t="shared" si="93"/>
        <v>-97145</v>
      </c>
      <c r="Y38" s="1"/>
      <c r="Z38" s="1"/>
      <c r="AA38" s="5">
        <v>-153721</v>
      </c>
      <c r="AB38" s="23">
        <f t="shared" si="94"/>
        <v>-139025</v>
      </c>
      <c r="AC38" s="1"/>
      <c r="AD38" s="1"/>
      <c r="AE38" s="1"/>
      <c r="AF38" s="19"/>
      <c r="AG38" s="19"/>
      <c r="AH38" s="19"/>
      <c r="AI38" s="5">
        <v>-305846</v>
      </c>
      <c r="AJ38" s="5">
        <v>-435229</v>
      </c>
      <c r="AK38" s="5">
        <v>-334760</v>
      </c>
      <c r="AL38" s="5">
        <v>-379350</v>
      </c>
      <c r="AM38" s="5">
        <v>-747236</v>
      </c>
      <c r="AN38" s="5">
        <v>-556700</v>
      </c>
    </row>
    <row r="39" spans="2:54" x14ac:dyDescent="0.3">
      <c r="B39" t="s">
        <v>66</v>
      </c>
      <c r="C39" s="5">
        <v>9842</v>
      </c>
      <c r="D39" s="5">
        <v>12707</v>
      </c>
      <c r="E39" s="5">
        <v>11851</v>
      </c>
      <c r="F39" s="5">
        <f>AI39-E39-D39-C39</f>
        <v>12755</v>
      </c>
      <c r="G39" s="5">
        <v>10012</v>
      </c>
      <c r="H39" s="5">
        <v>13225</v>
      </c>
      <c r="I39" s="5">
        <v>9859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5">
        <v>16509</v>
      </c>
      <c r="X39" s="23">
        <f t="shared" si="93"/>
        <v>37185</v>
      </c>
      <c r="Y39" s="1"/>
      <c r="Z39" s="1"/>
      <c r="AA39" s="5">
        <v>6211</v>
      </c>
      <c r="AB39" s="23">
        <f t="shared" si="94"/>
        <v>18799</v>
      </c>
      <c r="AC39" s="1"/>
      <c r="AD39" s="1"/>
      <c r="AE39" s="1"/>
      <c r="AF39" s="19"/>
      <c r="AG39" s="19"/>
      <c r="AH39" s="19"/>
      <c r="AI39" s="5">
        <v>47155</v>
      </c>
      <c r="AJ39" s="5">
        <v>47537</v>
      </c>
      <c r="AK39" s="5">
        <v>43997</v>
      </c>
      <c r="AL39" s="5">
        <v>123113</v>
      </c>
      <c r="AM39" s="5">
        <v>103709</v>
      </c>
      <c r="AN39" s="5">
        <v>190711</v>
      </c>
    </row>
    <row r="40" spans="2:54" x14ac:dyDescent="0.3">
      <c r="B40" t="s">
        <v>68</v>
      </c>
      <c r="C40" s="5">
        <v>63060</v>
      </c>
      <c r="D40" s="5">
        <v>20252</v>
      </c>
      <c r="E40" s="5">
        <v>-26326</v>
      </c>
      <c r="F40" s="5">
        <f>AI40-E40-D40-C40</f>
        <v>37633</v>
      </c>
      <c r="G40" s="5">
        <v>-8510</v>
      </c>
      <c r="H40" s="5">
        <v>20695</v>
      </c>
      <c r="I40" s="5">
        <v>622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5">
        <v>-236999</v>
      </c>
      <c r="X40" s="23">
        <f t="shared" si="93"/>
        <v>463810</v>
      </c>
      <c r="Y40" s="1"/>
      <c r="Z40" s="1"/>
      <c r="AA40" s="5">
        <v>212375</v>
      </c>
      <c r="AB40" s="23">
        <f t="shared" si="94"/>
        <v>-159588</v>
      </c>
      <c r="AC40" s="1"/>
      <c r="AD40" s="1"/>
      <c r="AE40" s="1"/>
      <c r="AF40" s="19"/>
      <c r="AG40" s="19"/>
      <c r="AH40" s="19"/>
      <c r="AI40" s="5">
        <v>94619</v>
      </c>
      <c r="AJ40" s="5">
        <v>-15142</v>
      </c>
      <c r="AK40" s="5">
        <v>-216187</v>
      </c>
      <c r="AL40" s="5">
        <v>-124516</v>
      </c>
      <c r="AM40" s="5">
        <v>-187568</v>
      </c>
      <c r="AN40" s="5">
        <v>-705292</v>
      </c>
    </row>
    <row r="41" spans="2:54" x14ac:dyDescent="0.3">
      <c r="B41" t="s">
        <v>67</v>
      </c>
      <c r="C41" s="5">
        <v>-980</v>
      </c>
      <c r="D41" s="5">
        <v>14087</v>
      </c>
      <c r="E41" s="5">
        <v>19559</v>
      </c>
      <c r="F41" s="5">
        <f>AI41-E41-D41-C41</f>
        <v>47941</v>
      </c>
      <c r="G41" s="5">
        <v>-3599</v>
      </c>
      <c r="H41" s="5">
        <v>3706</v>
      </c>
      <c r="I41" s="5">
        <v>14249</v>
      </c>
      <c r="W41" s="5">
        <v>-4570</v>
      </c>
      <c r="X41" s="23">
        <f t="shared" si="93"/>
        <v>-8527</v>
      </c>
      <c r="AA41" s="5">
        <v>-9832</v>
      </c>
      <c r="AB41" s="23">
        <f t="shared" si="94"/>
        <v>24970</v>
      </c>
      <c r="AF41" s="21"/>
      <c r="AG41" s="21"/>
      <c r="AH41" s="21"/>
      <c r="AI41" s="5">
        <v>80607</v>
      </c>
      <c r="AJ41" s="5">
        <v>19257</v>
      </c>
      <c r="AK41" s="5">
        <v>72461</v>
      </c>
      <c r="AL41" s="5">
        <v>78109</v>
      </c>
      <c r="AM41" s="5">
        <v>-17918</v>
      </c>
      <c r="AN41" s="5">
        <v>43497</v>
      </c>
    </row>
    <row r="42" spans="2:54" x14ac:dyDescent="0.3">
      <c r="B42" t="s">
        <v>69</v>
      </c>
      <c r="C42" s="5">
        <f t="shared" ref="C42:I42" si="95">SUM(C37:C41)</f>
        <v>-110373</v>
      </c>
      <c r="D42" s="5">
        <f t="shared" si="95"/>
        <v>-112228</v>
      </c>
      <c r="E42" s="5">
        <f t="shared" si="95"/>
        <v>-131845</v>
      </c>
      <c r="F42" s="5">
        <f t="shared" si="95"/>
        <v>-39266</v>
      </c>
      <c r="G42" s="5">
        <f t="shared" si="95"/>
        <v>-104314</v>
      </c>
      <c r="H42" s="5">
        <f t="shared" si="95"/>
        <v>-104521</v>
      </c>
      <c r="I42" s="5">
        <f t="shared" si="95"/>
        <v>-153233</v>
      </c>
      <c r="W42" s="5">
        <f>SUM(W37:W41)</f>
        <v>-563797</v>
      </c>
      <c r="X42" s="5">
        <f>SUM(X37:X41)</f>
        <v>295945</v>
      </c>
      <c r="AA42" s="5">
        <f>SUM(AA37:AA41)</f>
        <v>-86011</v>
      </c>
      <c r="AB42" s="5">
        <f>SUM(AB37:AB41)</f>
        <v>-386424</v>
      </c>
      <c r="AF42" s="20">
        <v>-199453</v>
      </c>
      <c r="AG42" s="20">
        <v>-220567</v>
      </c>
      <c r="AH42" s="20">
        <v>182080</v>
      </c>
      <c r="AI42" s="5">
        <f t="shared" ref="AI42:AN42" si="96">SUM(AI37:AI41)</f>
        <v>-393712</v>
      </c>
      <c r="AJ42" s="5">
        <f t="shared" si="96"/>
        <v>-734606</v>
      </c>
      <c r="AK42" s="5">
        <f t="shared" si="96"/>
        <v>-994835</v>
      </c>
      <c r="AL42" s="5">
        <f t="shared" si="96"/>
        <v>-945707</v>
      </c>
      <c r="AM42" s="5">
        <f t="shared" si="96"/>
        <v>-1612150</v>
      </c>
      <c r="AN42" s="5">
        <f t="shared" si="96"/>
        <v>-1619003</v>
      </c>
    </row>
    <row r="43" spans="2:54" x14ac:dyDescent="0.3">
      <c r="B43" s="1" t="s">
        <v>35</v>
      </c>
      <c r="C43" s="10">
        <f t="shared" ref="C43:I43" si="97">C36-C42</f>
        <v>850984</v>
      </c>
      <c r="D43" s="10">
        <f t="shared" si="97"/>
        <v>770835</v>
      </c>
      <c r="E43" s="10">
        <f t="shared" si="97"/>
        <v>771942</v>
      </c>
      <c r="F43" s="10">
        <f t="shared" si="97"/>
        <v>399182</v>
      </c>
      <c r="G43" s="10">
        <f t="shared" si="97"/>
        <v>118234</v>
      </c>
      <c r="H43" s="10">
        <f t="shared" si="97"/>
        <v>610582</v>
      </c>
      <c r="I43" s="10">
        <f t="shared" si="97"/>
        <v>1141173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0">
        <f>W36-W42</f>
        <v>1872708</v>
      </c>
      <c r="X43" s="10">
        <f>X36-X42</f>
        <v>859361</v>
      </c>
      <c r="Y43" s="1"/>
      <c r="Z43" s="1"/>
      <c r="AA43" s="10">
        <f>AA36-AA42</f>
        <v>1252152</v>
      </c>
      <c r="AB43" s="10">
        <f>AB36-AB42</f>
        <v>1225975</v>
      </c>
      <c r="AC43" s="1"/>
      <c r="AD43" s="1"/>
      <c r="AE43" s="1"/>
      <c r="AF43" s="19">
        <f t="shared" ref="AF43:AN43" si="98">AF36-AF42</f>
        <v>2193825</v>
      </c>
      <c r="AG43" s="19">
        <f t="shared" si="98"/>
        <v>2620429</v>
      </c>
      <c r="AH43" s="19">
        <f t="shared" si="98"/>
        <v>2285465</v>
      </c>
      <c r="AI43" s="10">
        <f t="shared" si="98"/>
        <v>2792943</v>
      </c>
      <c r="AJ43" s="10">
        <f t="shared" si="98"/>
        <v>2932355</v>
      </c>
      <c r="AK43" s="10">
        <f t="shared" si="98"/>
        <v>3990531</v>
      </c>
      <c r="AL43" s="10">
        <f t="shared" si="98"/>
        <v>3670733</v>
      </c>
      <c r="AM43" s="10">
        <f t="shared" si="98"/>
        <v>6965085</v>
      </c>
      <c r="AN43" s="10">
        <f t="shared" si="98"/>
        <v>6414589</v>
      </c>
    </row>
    <row r="44" spans="2:54" x14ac:dyDescent="0.3">
      <c r="B44" t="s">
        <v>36</v>
      </c>
      <c r="C44" s="5">
        <v>219603</v>
      </c>
      <c r="D44" s="5">
        <v>218224</v>
      </c>
      <c r="E44" s="5">
        <v>185748</v>
      </c>
      <c r="F44" s="5">
        <f>AI44-E44-D44-C44</f>
        <v>58242</v>
      </c>
      <c r="G44" s="5">
        <v>-31214</v>
      </c>
      <c r="H44" s="5">
        <v>128841</v>
      </c>
      <c r="I44" s="5">
        <v>273666</v>
      </c>
      <c r="W44" s="5">
        <v>508435</v>
      </c>
      <c r="X44" s="23">
        <f t="shared" ref="X44:X45" si="99">X63-W44</f>
        <v>357983</v>
      </c>
      <c r="AA44" s="5">
        <v>379959</v>
      </c>
      <c r="AB44" s="23">
        <f t="shared" ref="AB44:AB45" si="100">AB63-AA44</f>
        <v>253034</v>
      </c>
      <c r="AF44" s="20">
        <v>628900</v>
      </c>
      <c r="AG44" s="20">
        <v>504406</v>
      </c>
      <c r="AH44" s="20">
        <v>659944</v>
      </c>
      <c r="AI44" s="5">
        <v>681817</v>
      </c>
      <c r="AJ44" s="5">
        <v>649976</v>
      </c>
      <c r="AK44" s="5">
        <v>1115918</v>
      </c>
      <c r="AL44" s="5">
        <v>1175765</v>
      </c>
      <c r="AM44" s="5">
        <v>1893665</v>
      </c>
      <c r="AN44" s="5">
        <v>1624835</v>
      </c>
    </row>
    <row r="45" spans="2:54" x14ac:dyDescent="0.3">
      <c r="B45" t="s">
        <v>37</v>
      </c>
      <c r="C45" s="5">
        <v>12252</v>
      </c>
      <c r="D45" s="5">
        <v>22201</v>
      </c>
      <c r="E45" s="5">
        <v>26894</v>
      </c>
      <c r="F45" s="5">
        <f>AI45-E45-D45-C45</f>
        <v>13638</v>
      </c>
      <c r="G45" s="5">
        <v>-9396</v>
      </c>
      <c r="H45" s="5">
        <v>11216</v>
      </c>
      <c r="I45" s="5">
        <v>28812</v>
      </c>
      <c r="W45" s="5">
        <v>30476</v>
      </c>
      <c r="X45" s="23">
        <f t="shared" si="99"/>
        <v>-71938</v>
      </c>
      <c r="AA45" s="5">
        <v>30848</v>
      </c>
      <c r="AB45" s="23">
        <f t="shared" si="100"/>
        <v>40861</v>
      </c>
      <c r="AF45" s="20">
        <f>-362060+95876</f>
        <v>-266184</v>
      </c>
      <c r="AG45" s="20">
        <f>-470083+92123</f>
        <v>-377960</v>
      </c>
      <c r="AH45" s="20">
        <f>-360066+102714</f>
        <v>-257352</v>
      </c>
      <c r="AI45" s="5">
        <v>74985</v>
      </c>
      <c r="AJ45" s="5">
        <v>37118</v>
      </c>
      <c r="AK45" s="5">
        <v>24504</v>
      </c>
      <c r="AL45" s="5">
        <v>41650</v>
      </c>
      <c r="AM45" s="5">
        <v>126488</v>
      </c>
      <c r="AN45" s="5">
        <v>24670</v>
      </c>
    </row>
    <row r="46" spans="2:54" x14ac:dyDescent="0.3">
      <c r="B46" s="1" t="s">
        <v>38</v>
      </c>
      <c r="C46" s="10">
        <f t="shared" ref="C46:I46" si="101">C43-C44-C45</f>
        <v>619129</v>
      </c>
      <c r="D46" s="10">
        <f t="shared" si="101"/>
        <v>530410</v>
      </c>
      <c r="E46" s="10">
        <f t="shared" si="101"/>
        <v>559300</v>
      </c>
      <c r="F46" s="10">
        <f t="shared" si="101"/>
        <v>327302</v>
      </c>
      <c r="G46" s="10">
        <f t="shared" si="101"/>
        <v>158844</v>
      </c>
      <c r="H46" s="10">
        <f t="shared" si="101"/>
        <v>470525</v>
      </c>
      <c r="I46" s="10">
        <f t="shared" si="101"/>
        <v>838695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0">
        <f>W43-W44-W45</f>
        <v>1333797</v>
      </c>
      <c r="X46" s="10">
        <f>X43-X44-X45</f>
        <v>573316</v>
      </c>
      <c r="Y46" s="1"/>
      <c r="Z46" s="1"/>
      <c r="AA46" s="10">
        <f>AA43-AA44-AA45</f>
        <v>841345</v>
      </c>
      <c r="AB46" s="10">
        <f>AB43-AB44-AB45</f>
        <v>932080</v>
      </c>
      <c r="AC46" s="1"/>
      <c r="AD46" s="1"/>
      <c r="AE46" s="1"/>
      <c r="AF46" s="19">
        <f t="shared" ref="AF46:AN46" si="102">AF43-AF44-AF45</f>
        <v>1831109</v>
      </c>
      <c r="AG46" s="19">
        <f t="shared" si="102"/>
        <v>2493983</v>
      </c>
      <c r="AH46" s="19">
        <f t="shared" si="102"/>
        <v>1882873</v>
      </c>
      <c r="AI46" s="10">
        <f t="shared" si="102"/>
        <v>2036141</v>
      </c>
      <c r="AJ46" s="10">
        <f t="shared" si="102"/>
        <v>2245261</v>
      </c>
      <c r="AK46" s="10">
        <f t="shared" si="102"/>
        <v>2850109</v>
      </c>
      <c r="AL46" s="10">
        <f t="shared" si="102"/>
        <v>2453318</v>
      </c>
      <c r="AM46" s="10">
        <f t="shared" si="102"/>
        <v>4944932</v>
      </c>
      <c r="AN46" s="10">
        <f t="shared" si="102"/>
        <v>4765084</v>
      </c>
    </row>
    <row r="47" spans="2:54" x14ac:dyDescent="0.3">
      <c r="B47" t="s">
        <v>1</v>
      </c>
      <c r="C47" s="5">
        <v>2947</v>
      </c>
      <c r="D47" s="5">
        <v>2947</v>
      </c>
      <c r="E47" s="5">
        <v>2947</v>
      </c>
      <c r="F47" s="5">
        <v>2947</v>
      </c>
      <c r="G47" s="5">
        <v>2947</v>
      </c>
      <c r="H47" s="5">
        <v>2947</v>
      </c>
      <c r="I47" s="5">
        <v>3263</v>
      </c>
      <c r="W47" s="5">
        <f>(15795-2762)/10</f>
        <v>1303.3</v>
      </c>
      <c r="X47" s="5">
        <f>(15795-2762)/10</f>
        <v>1303.3</v>
      </c>
      <c r="AA47" s="5">
        <f>(15795-2762)/10</f>
        <v>1303.3</v>
      </c>
      <c r="AB47" s="5">
        <f>(15795-2762)/10</f>
        <v>1303.3</v>
      </c>
      <c r="AF47" s="20">
        <v>2947</v>
      </c>
      <c r="AG47" s="20">
        <v>2947</v>
      </c>
      <c r="AH47" s="20">
        <v>2871</v>
      </c>
      <c r="AI47" s="5">
        <v>2831</v>
      </c>
      <c r="AJ47" s="5">
        <v>2831</v>
      </c>
      <c r="AK47" s="5">
        <v>2831</v>
      </c>
      <c r="AL47" s="5">
        <v>2831</v>
      </c>
      <c r="AM47" s="5">
        <v>2831</v>
      </c>
      <c r="AN47" s="5">
        <v>2831</v>
      </c>
    </row>
    <row r="48" spans="2:54" x14ac:dyDescent="0.3">
      <c r="B48" s="1" t="s">
        <v>39</v>
      </c>
      <c r="C48" s="18">
        <f t="shared" ref="C48:I48" si="103">C46/C47</f>
        <v>210.08788598574822</v>
      </c>
      <c r="D48" s="18">
        <f t="shared" si="103"/>
        <v>179.98303359348489</v>
      </c>
      <c r="E48" s="18">
        <f t="shared" si="103"/>
        <v>189.78622327790973</v>
      </c>
      <c r="F48" s="18">
        <f t="shared" si="103"/>
        <v>111.06277570410587</v>
      </c>
      <c r="G48" s="18">
        <f t="shared" si="103"/>
        <v>53.900237529691211</v>
      </c>
      <c r="H48" s="18">
        <f t="shared" si="103"/>
        <v>159.66236851034949</v>
      </c>
      <c r="I48" s="18">
        <f t="shared" si="103"/>
        <v>257.03187250996018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>
        <f>W46/W47</f>
        <v>1023.3998311977289</v>
      </c>
      <c r="X48" s="18">
        <f>X46/X47</f>
        <v>439.89564950510243</v>
      </c>
      <c r="Y48" s="18"/>
      <c r="Z48" s="18"/>
      <c r="AA48" s="18">
        <f>AA46/AA47</f>
        <v>645.54975830583908</v>
      </c>
      <c r="AB48" s="18">
        <f>AB46/AB47</f>
        <v>715.16918591268325</v>
      </c>
      <c r="AC48" s="18"/>
      <c r="AD48" s="18"/>
      <c r="AE48" s="18"/>
      <c r="AF48" s="22">
        <f t="shared" ref="AF48:AN48" si="104">AF46/AF47</f>
        <v>621.34679334916859</v>
      </c>
      <c r="AG48" s="22">
        <f t="shared" si="104"/>
        <v>846.27858839497799</v>
      </c>
      <c r="AH48" s="22">
        <f t="shared" si="104"/>
        <v>655.8247997213515</v>
      </c>
      <c r="AI48" s="18">
        <f t="shared" si="104"/>
        <v>719.23030731190397</v>
      </c>
      <c r="AJ48" s="18">
        <f t="shared" si="104"/>
        <v>793.09819851642533</v>
      </c>
      <c r="AK48" s="18">
        <f t="shared" si="104"/>
        <v>1006.7499116919817</v>
      </c>
      <c r="AL48" s="18">
        <f t="shared" si="104"/>
        <v>866.59060402684565</v>
      </c>
      <c r="AM48" s="18">
        <f t="shared" si="104"/>
        <v>1746.7085835393855</v>
      </c>
      <c r="AN48" s="18">
        <f t="shared" si="104"/>
        <v>1683.1805015895443</v>
      </c>
    </row>
    <row r="51" spans="2:28" x14ac:dyDescent="0.3">
      <c r="B51" s="1" t="s">
        <v>29</v>
      </c>
      <c r="X51" s="10">
        <v>23282450</v>
      </c>
      <c r="AB51" s="10">
        <v>24630753</v>
      </c>
    </row>
    <row r="52" spans="2:28" x14ac:dyDescent="0.3">
      <c r="B52" t="s">
        <v>30</v>
      </c>
      <c r="X52" s="5">
        <f>17134152+1281362</f>
        <v>18415514</v>
      </c>
      <c r="AB52" s="5">
        <f>19001590+1464512</f>
        <v>20466102</v>
      </c>
    </row>
    <row r="53" spans="2:28" x14ac:dyDescent="0.3">
      <c r="B53" s="1" t="s">
        <v>31</v>
      </c>
      <c r="X53" s="10">
        <f>X51-X52</f>
        <v>4866936</v>
      </c>
      <c r="AB53" s="10">
        <f>AB51-AB52</f>
        <v>4164651</v>
      </c>
    </row>
    <row r="54" spans="2:28" x14ac:dyDescent="0.3">
      <c r="B54" t="s">
        <v>32</v>
      </c>
      <c r="X54" s="5">
        <v>2402719</v>
      </c>
      <c r="AB54" s="5">
        <v>2158959</v>
      </c>
    </row>
    <row r="55" spans="2:28" x14ac:dyDescent="0.3">
      <c r="B55" s="1" t="s">
        <v>33</v>
      </c>
      <c r="X55" s="10">
        <f>X53-X54</f>
        <v>2464217</v>
      </c>
      <c r="AB55" s="10">
        <f>AB53-AB54</f>
        <v>2005692</v>
      </c>
    </row>
    <row r="56" spans="2:28" x14ac:dyDescent="0.3">
      <c r="B56" t="s">
        <v>64</v>
      </c>
      <c r="X56" s="5">
        <v>-264315</v>
      </c>
      <c r="AB56" s="5">
        <v>-272624</v>
      </c>
    </row>
    <row r="57" spans="2:28" x14ac:dyDescent="0.3">
      <c r="B57" t="s">
        <v>65</v>
      </c>
      <c r="X57" s="5">
        <v>-270945</v>
      </c>
      <c r="AB57" s="5">
        <v>-292746</v>
      </c>
    </row>
    <row r="58" spans="2:28" x14ac:dyDescent="0.3">
      <c r="B58" t="s">
        <v>66</v>
      </c>
      <c r="X58" s="5">
        <v>53694</v>
      </c>
      <c r="AB58" s="5">
        <v>25010</v>
      </c>
    </row>
    <row r="59" spans="2:28" x14ac:dyDescent="0.3">
      <c r="B59" t="s">
        <v>68</v>
      </c>
      <c r="X59" s="5">
        <v>226811</v>
      </c>
      <c r="AB59" s="5">
        <v>52787</v>
      </c>
    </row>
    <row r="60" spans="2:28" x14ac:dyDescent="0.3">
      <c r="B60" t="s">
        <v>67</v>
      </c>
      <c r="X60" s="5">
        <v>-13097</v>
      </c>
      <c r="AB60" s="5">
        <v>15138</v>
      </c>
    </row>
    <row r="61" spans="2:28" x14ac:dyDescent="0.3">
      <c r="B61" t="s">
        <v>69</v>
      </c>
      <c r="X61" s="5">
        <f>SUM(X56:X60)</f>
        <v>-267852</v>
      </c>
      <c r="AB61" s="5">
        <f>SUM(AB56:AB60)</f>
        <v>-472435</v>
      </c>
    </row>
    <row r="62" spans="2:28" x14ac:dyDescent="0.3">
      <c r="B62" s="1" t="s">
        <v>35</v>
      </c>
      <c r="X62" s="10">
        <f>X55-X61</f>
        <v>2732069</v>
      </c>
      <c r="AB62" s="10">
        <f>AB55-AB61</f>
        <v>2478127</v>
      </c>
    </row>
    <row r="63" spans="2:28" x14ac:dyDescent="0.3">
      <c r="B63" t="s">
        <v>36</v>
      </c>
      <c r="X63" s="5">
        <v>866418</v>
      </c>
      <c r="AB63" s="5">
        <v>632993</v>
      </c>
    </row>
    <row r="64" spans="2:28" x14ac:dyDescent="0.3">
      <c r="B64" t="s">
        <v>37</v>
      </c>
      <c r="X64" s="5">
        <v>-41462</v>
      </c>
      <c r="AB64" s="5">
        <v>71709</v>
      </c>
    </row>
    <row r="65" spans="2:28" x14ac:dyDescent="0.3">
      <c r="B65" s="1" t="s">
        <v>38</v>
      </c>
      <c r="X65" s="10">
        <f>X62-X63-X64</f>
        <v>1907113</v>
      </c>
      <c r="AB65" s="10">
        <f>AB62-AB63-AB64</f>
        <v>1773425</v>
      </c>
    </row>
    <row r="66" spans="2:28" x14ac:dyDescent="0.3">
      <c r="B66" t="s">
        <v>1</v>
      </c>
      <c r="X66" s="5">
        <f>(15795-2762)/10</f>
        <v>1303.3</v>
      </c>
      <c r="AB66" s="5">
        <f>(15795-2762)/10</f>
        <v>1303.3</v>
      </c>
    </row>
    <row r="67" spans="2:28" x14ac:dyDescent="0.3">
      <c r="B67" s="1" t="s">
        <v>39</v>
      </c>
      <c r="X67" s="18">
        <f>X65/X66</f>
        <v>1463.2954807028314</v>
      </c>
      <c r="AB67" s="18">
        <f>AB65/AB66</f>
        <v>1360.7189442185222</v>
      </c>
    </row>
  </sheetData>
  <phoneticPr fontId="3" type="noConversion"/>
  <pageMargins left="0.7" right="0.7" top="0.75" bottom="0.75" header="0.3" footer="0.3"/>
  <pageSetup paperSize="9" orientation="landscape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F85C-41C4-4787-AC98-1C6AF9AB8DA5}">
  <sheetPr codeName="Sheet3"/>
  <dimension ref="A1:K2"/>
  <sheetViews>
    <sheetView topLeftCell="C1" workbookViewId="0">
      <selection activeCell="C2" sqref="C2"/>
    </sheetView>
  </sheetViews>
  <sheetFormatPr defaultRowHeight="14.4" x14ac:dyDescent="0.3"/>
  <cols>
    <col min="1" max="1" width="22.77734375" bestFit="1" customWidth="1"/>
    <col min="2" max="2" width="31.44140625" bestFit="1" customWidth="1"/>
    <col min="3" max="3" width="36.5546875" bestFit="1" customWidth="1"/>
    <col min="4" max="4" width="15.6640625" bestFit="1" customWidth="1"/>
    <col min="5" max="5" width="14.6640625" bestFit="1" customWidth="1"/>
    <col min="6" max="6" width="12.109375" bestFit="1" customWidth="1"/>
    <col min="7" max="7" width="15.88671875" bestFit="1" customWidth="1"/>
    <col min="8" max="8" width="13.21875" bestFit="1" customWidth="1"/>
    <col min="9" max="9" width="15" bestFit="1" customWidth="1"/>
    <col min="10" max="10" width="13" bestFit="1" customWidth="1"/>
    <col min="11" max="11" width="34.5546875" bestFit="1" customWidth="1"/>
  </cols>
  <sheetData>
    <row r="1" spans="1:11" x14ac:dyDescent="0.3">
      <c r="A1" t="s">
        <v>9</v>
      </c>
      <c r="B1" t="s">
        <v>10</v>
      </c>
      <c r="C1" t="s">
        <v>11</v>
      </c>
      <c r="D1" t="s">
        <v>13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">
      <c r="A2" t="s">
        <v>61</v>
      </c>
      <c r="B2" t="s">
        <v>22</v>
      </c>
      <c r="C2" t="s">
        <v>62</v>
      </c>
      <c r="D2" s="8">
        <v>44256.125011574077</v>
      </c>
      <c r="E2" t="s">
        <v>14</v>
      </c>
      <c r="F2" t="s">
        <v>21</v>
      </c>
      <c r="G2" t="s">
        <v>23</v>
      </c>
      <c r="H2" t="s">
        <v>24</v>
      </c>
      <c r="I2">
        <v>106.31855806</v>
      </c>
      <c r="J2">
        <v>9.4056999999999995E-3</v>
      </c>
      <c r="K2" t="s">
        <v>63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0FABA8-AC58-466B-BA35-42F534F57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cp:lastPrinted>2020-09-09T10:06:06Z</cp:lastPrinted>
  <dcterms:created xsi:type="dcterms:W3CDTF">2020-09-07T15:14:28Z</dcterms:created>
  <dcterms:modified xsi:type="dcterms:W3CDTF">2025-12-04T15:12:17Z</dcterms:modified>
</cp:coreProperties>
</file>