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D093C36-376A-4876-9D6E-7E399089D223}" xr6:coauthVersionLast="47" xr6:coauthVersionMax="47" xr10:uidLastSave="{00000000-0000-0000-0000-000000000000}"/>
  <bookViews>
    <workbookView xWindow="-108" yWindow="-108" windowWidth="23256" windowHeight="12576" xr2:uid="{94ECA484-D20F-4A36-B355-5D854BA0074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2" l="1"/>
  <c r="G5" i="2"/>
  <c r="G8" i="2" s="1"/>
  <c r="G12" i="2" s="1"/>
  <c r="G14" i="2" s="1"/>
  <c r="G16" i="2" s="1"/>
  <c r="K15" i="2"/>
  <c r="K5" i="2"/>
  <c r="K8" i="2" s="1"/>
  <c r="K12" i="2" s="1"/>
  <c r="K14" i="2" s="1"/>
  <c r="K16" i="2" s="1"/>
  <c r="D10" i="1"/>
  <c r="D9" i="1"/>
  <c r="D8" i="1"/>
  <c r="D7" i="1"/>
  <c r="D6" i="1"/>
  <c r="D5" i="1"/>
  <c r="D4" i="1"/>
  <c r="F3" i="1"/>
</calcChain>
</file>

<file path=xl/sharedStrings.xml><?xml version="1.0" encoding="utf-8"?>
<sst xmlns="http://schemas.openxmlformats.org/spreadsheetml/2006/main" count="42" uniqueCount="37">
  <si>
    <t>MOG</t>
  </si>
  <si>
    <t>Price</t>
  </si>
  <si>
    <t>Shares</t>
  </si>
  <si>
    <t>MC</t>
  </si>
  <si>
    <t>Cash</t>
  </si>
  <si>
    <t>Debt</t>
  </si>
  <si>
    <t>Net Cash</t>
  </si>
  <si>
    <t>EV</t>
  </si>
  <si>
    <t>L+S/E</t>
  </si>
  <si>
    <t>Last checked</t>
  </si>
  <si>
    <t>Today</t>
  </si>
  <si>
    <t>Earnings</t>
  </si>
  <si>
    <t>Q126</t>
  </si>
  <si>
    <t>Revenue</t>
  </si>
  <si>
    <t>Cost of sales</t>
  </si>
  <si>
    <t>Gross profit</t>
  </si>
  <si>
    <t>R&amp;D</t>
  </si>
  <si>
    <t>SG&amp;A</t>
  </si>
  <si>
    <t>Operating profit</t>
  </si>
  <si>
    <t>Interest</t>
  </si>
  <si>
    <t>Restructuring</t>
  </si>
  <si>
    <t>Other</t>
  </si>
  <si>
    <t>Pretax profit</t>
  </si>
  <si>
    <t>Taxes</t>
  </si>
  <si>
    <t>Net profit</t>
  </si>
  <si>
    <t>EPS</t>
  </si>
  <si>
    <t>Q124</t>
  </si>
  <si>
    <t>Q224</t>
  </si>
  <si>
    <t>Q324</t>
  </si>
  <si>
    <t>Q424</t>
  </si>
  <si>
    <t>Q125</t>
  </si>
  <si>
    <t>Q225</t>
  </si>
  <si>
    <t>Q325</t>
  </si>
  <si>
    <t>Q425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</si>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</sst>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1A34-74A0-4D96-9D28-261954AE27D5}">
  <dimension ref="B2:G10"/>
  <sheetViews>
    <sheetView tabSelected="1" workbookViewId="0">
      <selection activeCell="D9" sqref="D9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9</v>
      </c>
      <c r="F2" s="3" t="s">
        <v>10</v>
      </c>
      <c r="G2" s="3" t="s">
        <v>11</v>
      </c>
    </row>
    <row r="3" spans="2:7" x14ac:dyDescent="0.3">
      <c r="B3" s="2" t="s">
        <v>0</v>
      </c>
      <c r="C3" s="1" t="s">
        <v>1</v>
      </c>
      <c r="D3" s="5">
        <v>326.3</v>
      </c>
      <c r="E3" s="4">
        <v>46071</v>
      </c>
      <c r="F3" s="4">
        <f ca="1">TODAY()</f>
        <v>46071</v>
      </c>
      <c r="G3" s="4">
        <v>46136</v>
      </c>
    </row>
    <row r="4" spans="2:7" x14ac:dyDescent="0.3">
      <c r="C4" s="1" t="s">
        <v>2</v>
      </c>
      <c r="D4" s="6">
        <f>28.4+3.3</f>
        <v>31.7</v>
      </c>
      <c r="E4" s="3" t="s">
        <v>12</v>
      </c>
    </row>
    <row r="5" spans="2:7" x14ac:dyDescent="0.3">
      <c r="C5" s="1" t="s">
        <v>3</v>
      </c>
      <c r="D5" s="6">
        <f>D3*D4</f>
        <v>10343.710000000001</v>
      </c>
    </row>
    <row r="6" spans="2:7" x14ac:dyDescent="0.3">
      <c r="C6" s="1" t="s">
        <v>4</v>
      </c>
      <c r="D6" s="6">
        <f>73.4</f>
        <v>73.400000000000006</v>
      </c>
      <c r="E6" s="3" t="s">
        <v>12</v>
      </c>
    </row>
    <row r="7" spans="2:7" x14ac:dyDescent="0.3">
      <c r="C7" s="1" t="s">
        <v>5</v>
      </c>
      <c r="D7" s="6">
        <f>4.7+1052.3</f>
        <v>1057</v>
      </c>
      <c r="E7" s="3" t="s">
        <v>12</v>
      </c>
    </row>
    <row r="8" spans="2:7" x14ac:dyDescent="0.3">
      <c r="C8" s="1" t="s">
        <v>6</v>
      </c>
      <c r="D8" s="6">
        <f>D6-D7</f>
        <v>-983.6</v>
      </c>
    </row>
    <row r="9" spans="2:7" x14ac:dyDescent="0.3">
      <c r="C9" s="1" t="s">
        <v>7</v>
      </c>
      <c r="D9" s="6">
        <f>D5-D8</f>
        <v>11327.310000000001</v>
      </c>
    </row>
    <row r="10" spans="2:7" x14ac:dyDescent="0.3">
      <c r="C10" s="1" t="s">
        <v>8</v>
      </c>
      <c r="D10" s="6">
        <f>4551.9</f>
        <v>4551.8999999999996</v>
      </c>
      <c r="E1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14E0-2806-4EAD-8AA4-6B3185A3A107}">
  <dimension ref="B2:N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4" sqref="I14"/>
    </sheetView>
  </sheetViews>
  <sheetFormatPr defaultRowHeight="14.4" x14ac:dyDescent="0.3"/>
  <cols>
    <col min="1" max="1" width="8.88671875" style="1"/>
    <col min="2" max="2" width="14.109375" style="1" bestFit="1" customWidth="1"/>
    <col min="3" max="16384" width="8.88671875" style="1"/>
  </cols>
  <sheetData>
    <row r="2" spans="2:14" x14ac:dyDescent="0.3"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12</v>
      </c>
      <c r="L2" s="7" t="s">
        <v>34</v>
      </c>
      <c r="M2" s="7" t="s">
        <v>35</v>
      </c>
      <c r="N2" s="7" t="s">
        <v>36</v>
      </c>
    </row>
    <row r="3" spans="2:14" s="2" customFormat="1" x14ac:dyDescent="0.3">
      <c r="B3" s="2" t="s">
        <v>13</v>
      </c>
      <c r="G3" s="9">
        <v>907.9</v>
      </c>
      <c r="K3" s="9">
        <v>1100.3</v>
      </c>
    </row>
    <row r="4" spans="2:14" x14ac:dyDescent="0.3">
      <c r="B4" s="1" t="s">
        <v>14</v>
      </c>
      <c r="G4" s="6">
        <v>662.8</v>
      </c>
      <c r="K4" s="6">
        <v>806.1</v>
      </c>
    </row>
    <row r="5" spans="2:14" s="2" customFormat="1" x14ac:dyDescent="0.3">
      <c r="B5" s="2" t="s">
        <v>15</v>
      </c>
      <c r="G5" s="9">
        <f>G3-G4</f>
        <v>245.10000000000002</v>
      </c>
      <c r="K5" s="9">
        <f>K3-K4</f>
        <v>294.19999999999993</v>
      </c>
    </row>
    <row r="6" spans="2:14" x14ac:dyDescent="0.3">
      <c r="B6" s="1" t="s">
        <v>16</v>
      </c>
      <c r="G6" s="6">
        <v>23.6</v>
      </c>
      <c r="K6" s="6">
        <v>24.6</v>
      </c>
    </row>
    <row r="7" spans="2:14" x14ac:dyDescent="0.3">
      <c r="B7" s="1" t="s">
        <v>17</v>
      </c>
      <c r="G7" s="6">
        <v>128.1</v>
      </c>
      <c r="K7" s="6">
        <v>149</v>
      </c>
    </row>
    <row r="8" spans="2:14" s="2" customFormat="1" x14ac:dyDescent="0.3">
      <c r="B8" s="2" t="s">
        <v>18</v>
      </c>
      <c r="G8" s="9">
        <f>G5-G6-G7-G10</f>
        <v>89.600000000000037</v>
      </c>
      <c r="K8" s="9">
        <f>K5-K6-K7-K10</f>
        <v>119.09999999999991</v>
      </c>
    </row>
    <row r="9" spans="2:14" x14ac:dyDescent="0.3">
      <c r="B9" s="1" t="s">
        <v>19</v>
      </c>
      <c r="G9" s="6">
        <v>16.2</v>
      </c>
      <c r="K9" s="6">
        <v>17.2</v>
      </c>
    </row>
    <row r="10" spans="2:14" x14ac:dyDescent="0.3">
      <c r="B10" s="1" t="s">
        <v>20</v>
      </c>
      <c r="G10" s="6">
        <v>3.8</v>
      </c>
      <c r="K10" s="6">
        <v>1.5</v>
      </c>
    </row>
    <row r="11" spans="2:14" x14ac:dyDescent="0.3">
      <c r="B11" s="1" t="s">
        <v>21</v>
      </c>
      <c r="G11" s="6">
        <v>-1.1000000000000001</v>
      </c>
      <c r="K11" s="6">
        <v>0.8</v>
      </c>
    </row>
    <row r="12" spans="2:14" s="2" customFormat="1" x14ac:dyDescent="0.3">
      <c r="B12" s="2" t="s">
        <v>22</v>
      </c>
      <c r="G12" s="9">
        <f>G8-G9-G11</f>
        <v>74.500000000000028</v>
      </c>
      <c r="K12" s="9">
        <f>K8-K9-K11</f>
        <v>101.09999999999991</v>
      </c>
    </row>
    <row r="13" spans="2:14" x14ac:dyDescent="0.3">
      <c r="B13" s="1" t="s">
        <v>23</v>
      </c>
      <c r="G13" s="6">
        <v>16.899999999999999</v>
      </c>
      <c r="K13" s="6">
        <v>22.4</v>
      </c>
    </row>
    <row r="14" spans="2:14" s="2" customFormat="1" x14ac:dyDescent="0.3">
      <c r="B14" s="2" t="s">
        <v>24</v>
      </c>
      <c r="G14" s="9">
        <f>G12-G13</f>
        <v>57.60000000000003</v>
      </c>
      <c r="K14" s="9">
        <f>K12-K13</f>
        <v>78.699999999999903</v>
      </c>
    </row>
    <row r="15" spans="2:14" x14ac:dyDescent="0.3">
      <c r="B15" s="1" t="s">
        <v>2</v>
      </c>
      <c r="G15" s="6">
        <f>28.4+3.3</f>
        <v>31.7</v>
      </c>
      <c r="K15" s="6">
        <f>28.4+3.3</f>
        <v>31.7</v>
      </c>
    </row>
    <row r="16" spans="2:14" x14ac:dyDescent="0.3">
      <c r="B16" s="1" t="s">
        <v>25</v>
      </c>
      <c r="G16" s="8">
        <f>G14/G15</f>
        <v>1.8170347003154583</v>
      </c>
      <c r="K16" s="8">
        <f>K14/K15</f>
        <v>2.4826498422712904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2026-02-18T17:36:53Z</dcterms:created>
  <dcterms:modified xsi:type="dcterms:W3CDTF">2026-02-18T17:45:33Z</dcterms:modified>
</cp:coreProperties>
</file>