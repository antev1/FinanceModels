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45A9F70E-C822-4E0A-A6FC-0ADFE0821F83}" xr6:coauthVersionLast="47" xr6:coauthVersionMax="47" xr10:uidLastSave="{00000000-0000-0000-0000-000000000000}"/>
  <bookViews>
    <workbookView xWindow="-108" yWindow="-108" windowWidth="23256" windowHeight="12576" activeTab="1" xr2:uid="{4D8E8F3E-1FCF-429E-A59B-D9E70D9369D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" l="1"/>
  <c r="N7" i="2"/>
  <c r="M7" i="2"/>
  <c r="L7" i="2"/>
  <c r="L16" i="2" s="1"/>
  <c r="K7" i="2"/>
  <c r="J7" i="2"/>
  <c r="J16" i="2" s="1"/>
  <c r="I7" i="2"/>
  <c r="I16" i="2" s="1"/>
  <c r="H7" i="2"/>
  <c r="H16" i="2" s="1"/>
  <c r="G7" i="2"/>
  <c r="G16" i="2" s="1"/>
  <c r="F7" i="2"/>
  <c r="O9" i="2"/>
  <c r="N9" i="2"/>
  <c r="M9" i="2"/>
  <c r="L9" i="2"/>
  <c r="K9" i="2"/>
  <c r="K17" i="2" s="1"/>
  <c r="J9" i="2"/>
  <c r="J17" i="2" s="1"/>
  <c r="I9" i="2"/>
  <c r="H9" i="2"/>
  <c r="H17" i="2" s="1"/>
  <c r="G9" i="2"/>
  <c r="G17" i="2" s="1"/>
  <c r="F9" i="2"/>
  <c r="F17" i="2" s="1"/>
  <c r="O18" i="2"/>
  <c r="N18" i="2"/>
  <c r="M18" i="2"/>
  <c r="L18" i="2"/>
  <c r="K18" i="2"/>
  <c r="J18" i="2"/>
  <c r="I18" i="2"/>
  <c r="H18" i="2"/>
  <c r="G18" i="2"/>
  <c r="F18" i="2"/>
  <c r="O17" i="2"/>
  <c r="N17" i="2"/>
  <c r="M17" i="2"/>
  <c r="L17" i="2"/>
  <c r="I17" i="2"/>
  <c r="O16" i="2"/>
  <c r="N16" i="2"/>
  <c r="M16" i="2"/>
  <c r="K16" i="2"/>
  <c r="F16" i="2"/>
  <c r="O15" i="2"/>
  <c r="N15" i="2"/>
  <c r="M15" i="2"/>
  <c r="L15" i="2"/>
  <c r="K15" i="2"/>
  <c r="J15" i="2"/>
  <c r="I15" i="2"/>
  <c r="H15" i="2"/>
  <c r="G15" i="2"/>
  <c r="F15" i="2"/>
  <c r="O11" i="2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BN11" i="2" s="1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CJ11" i="2" s="1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CU11" i="2" s="1"/>
  <c r="CV11" i="2" s="1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S11" i="2" s="1"/>
  <c r="DT11" i="2" s="1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EE11" i="2" s="1"/>
  <c r="EF11" i="2" s="1"/>
  <c r="EG11" i="2" s="1"/>
  <c r="EH11" i="2" s="1"/>
  <c r="EI11" i="2" s="1"/>
  <c r="EJ11" i="2" s="1"/>
  <c r="EK11" i="2" s="1"/>
  <c r="EL11" i="2" s="1"/>
  <c r="EM11" i="2" s="1"/>
  <c r="N11" i="2"/>
  <c r="M11" i="2"/>
  <c r="L11" i="2"/>
  <c r="K11" i="2"/>
  <c r="J11" i="2"/>
  <c r="I11" i="2"/>
  <c r="H11" i="2"/>
  <c r="G11" i="2"/>
  <c r="F11" i="2"/>
  <c r="F13" i="2" s="1"/>
  <c r="J5" i="2"/>
  <c r="K5" i="2" s="1"/>
  <c r="L5" i="2" s="1"/>
  <c r="M5" i="2" s="1"/>
  <c r="N5" i="2" s="1"/>
  <c r="O5" i="2" s="1"/>
  <c r="I5" i="2"/>
  <c r="H5" i="2"/>
  <c r="G5" i="2"/>
  <c r="G13" i="2" s="1"/>
  <c r="F5" i="2"/>
  <c r="R22" i="2"/>
  <c r="R19" i="2"/>
  <c r="O12" i="2"/>
  <c r="N12" i="2"/>
  <c r="M12" i="2"/>
  <c r="L12" i="2"/>
  <c r="K12" i="2"/>
  <c r="J12" i="2"/>
  <c r="I12" i="2"/>
  <c r="H12" i="2"/>
  <c r="G12" i="2"/>
  <c r="F12" i="2"/>
  <c r="E12" i="2"/>
  <c r="E18" i="2"/>
  <c r="E17" i="2"/>
  <c r="E16" i="2"/>
  <c r="E11" i="2"/>
  <c r="E13" i="2" s="1"/>
  <c r="F6" i="2"/>
  <c r="D15" i="2"/>
  <c r="E15" i="2"/>
  <c r="E9" i="2"/>
  <c r="E6" i="2"/>
  <c r="E7" i="2"/>
  <c r="D8" i="1"/>
  <c r="D9" i="1" s="1"/>
  <c r="D4" i="1"/>
  <c r="D5" i="1"/>
  <c r="F3" i="1"/>
  <c r="H6" i="2" l="1"/>
  <c r="G6" i="2"/>
  <c r="H13" i="2" l="1"/>
  <c r="I6" i="2"/>
  <c r="I13" i="2"/>
  <c r="J6" i="2" l="1"/>
  <c r="J13" i="2"/>
  <c r="K6" i="2" l="1"/>
  <c r="K13" i="2" l="1"/>
  <c r="L13" i="2"/>
  <c r="L6" i="2"/>
  <c r="M6" i="2" l="1"/>
  <c r="M13" i="2" l="1"/>
  <c r="N13" i="2"/>
  <c r="N6" i="2"/>
  <c r="O6" i="2" l="1"/>
  <c r="R18" i="2" l="1"/>
  <c r="R20" i="2" s="1"/>
  <c r="R21" i="2" s="1"/>
  <c r="R23" i="2" s="1"/>
  <c r="O13" i="2"/>
</calcChain>
</file>

<file path=xl/sharedStrings.xml><?xml version="1.0" encoding="utf-8"?>
<sst xmlns="http://schemas.openxmlformats.org/spreadsheetml/2006/main" count="33" uniqueCount="32">
  <si>
    <t>ADUI</t>
  </si>
  <si>
    <t>Price</t>
  </si>
  <si>
    <t>Shares</t>
  </si>
  <si>
    <t>MC</t>
  </si>
  <si>
    <t>Cash</t>
  </si>
  <si>
    <t>Debt</t>
  </si>
  <si>
    <t>EV</t>
  </si>
  <si>
    <t>Net Cash</t>
  </si>
  <si>
    <t>Last checked</t>
  </si>
  <si>
    <t>Today</t>
  </si>
  <si>
    <t>Earnings</t>
  </si>
  <si>
    <t>Revenue</t>
  </si>
  <si>
    <t>Gross profit</t>
  </si>
  <si>
    <t>Cost of sales</t>
  </si>
  <si>
    <t>Backlog</t>
  </si>
  <si>
    <t>Operating profit</t>
  </si>
  <si>
    <t>Net profit</t>
  </si>
  <si>
    <t>EPS</t>
  </si>
  <si>
    <t>Revenue y/y</t>
  </si>
  <si>
    <t>Gross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</si>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</sst>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165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15240</xdr:rowOff>
    </xdr:from>
    <xdr:to>
      <xdr:col>4</xdr:col>
      <xdr:colOff>22860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B681FF-7DA0-4146-1F99-D52F8A010DBD}"/>
            </a:ext>
          </a:extLst>
        </xdr:cNvPr>
        <xdr:cNvCxnSpPr/>
      </xdr:nvCxnSpPr>
      <xdr:spPr>
        <a:xfrm>
          <a:off x="289560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06D2-2511-409D-AF55-E5D7E2164D96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3" bestFit="1" customWidth="1"/>
    <col min="6" max="6" width="11.21875" style="3" bestFit="1" customWidth="1"/>
    <col min="7" max="7" width="11.218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6">
        <v>80.55</v>
      </c>
      <c r="E3" s="4">
        <v>45955</v>
      </c>
      <c r="F3" s="4">
        <f ca="1">TODAY()</f>
        <v>45955</v>
      </c>
    </row>
    <row r="4" spans="2:7" x14ac:dyDescent="0.3">
      <c r="C4" s="1" t="s">
        <v>2</v>
      </c>
      <c r="D4" s="5">
        <f>420+(650-420)</f>
        <v>650</v>
      </c>
    </row>
    <row r="5" spans="2:7" x14ac:dyDescent="0.3">
      <c r="C5" s="1" t="s">
        <v>3</v>
      </c>
      <c r="D5" s="5">
        <f>D3*D4</f>
        <v>52357.5</v>
      </c>
    </row>
    <row r="6" spans="2:7" x14ac:dyDescent="0.3">
      <c r="C6" s="1" t="s">
        <v>4</v>
      </c>
      <c r="D6" s="5"/>
    </row>
    <row r="7" spans="2:7" x14ac:dyDescent="0.3">
      <c r="C7" s="1" t="s">
        <v>5</v>
      </c>
      <c r="D7" s="5"/>
    </row>
    <row r="8" spans="2:7" x14ac:dyDescent="0.3">
      <c r="C8" s="1" t="s">
        <v>7</v>
      </c>
      <c r="D8" s="5">
        <f>D6-D7</f>
        <v>0</v>
      </c>
    </row>
    <row r="9" spans="2:7" x14ac:dyDescent="0.3">
      <c r="C9" s="1" t="s">
        <v>6</v>
      </c>
      <c r="D9" s="5">
        <f>D5-D8</f>
        <v>52357.5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F2DD-DDA3-4A8D-B1C2-EF309DE76B5B}">
  <dimension ref="B2:EM2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RowHeight="14.4" x14ac:dyDescent="0.3"/>
  <cols>
    <col min="1" max="1" width="8.88671875" style="1"/>
    <col min="2" max="2" width="15.21875" style="1" bestFit="1" customWidth="1"/>
    <col min="3" max="16" width="8.88671875" style="1"/>
    <col min="17" max="17" width="12" style="1" bestFit="1" customWidth="1"/>
    <col min="18" max="18" width="16.44140625" style="1" bestFit="1" customWidth="1"/>
    <col min="19" max="16384" width="8.88671875" style="1"/>
  </cols>
  <sheetData>
    <row r="2" spans="2:143" x14ac:dyDescent="0.3">
      <c r="C2" s="1">
        <v>2023</v>
      </c>
      <c r="D2" s="1">
        <v>2024</v>
      </c>
      <c r="E2" s="1">
        <v>2025</v>
      </c>
      <c r="F2" s="1">
        <v>2026</v>
      </c>
      <c r="G2" s="1">
        <v>2027</v>
      </c>
      <c r="H2" s="1">
        <v>2028</v>
      </c>
      <c r="I2" s="1">
        <v>2029</v>
      </c>
      <c r="J2" s="1">
        <v>2030</v>
      </c>
      <c r="K2" s="1">
        <v>2031</v>
      </c>
      <c r="L2" s="1">
        <v>2032</v>
      </c>
      <c r="M2" s="1">
        <v>2033</v>
      </c>
      <c r="N2" s="1">
        <v>2034</v>
      </c>
      <c r="O2" s="1">
        <v>2035</v>
      </c>
    </row>
    <row r="3" spans="2:143" x14ac:dyDescent="0.3">
      <c r="B3" s="1" t="s">
        <v>14</v>
      </c>
    </row>
    <row r="5" spans="2:143" s="2" customFormat="1" x14ac:dyDescent="0.3">
      <c r="B5" s="2" t="s">
        <v>11</v>
      </c>
      <c r="C5" s="8">
        <v>420</v>
      </c>
      <c r="D5" s="8">
        <v>1000</v>
      </c>
      <c r="E5" s="8">
        <v>1500</v>
      </c>
      <c r="F5" s="8">
        <f>E5*1.45</f>
        <v>2175</v>
      </c>
      <c r="G5" s="8">
        <f>F5*1.4</f>
        <v>3045</v>
      </c>
      <c r="H5" s="8">
        <f>G5*1.35</f>
        <v>4110.75</v>
      </c>
      <c r="I5" s="8">
        <f>H5*1.3</f>
        <v>5343.9750000000004</v>
      </c>
      <c r="J5" s="8">
        <f t="shared" ref="J5:O5" si="0">I5*1.3</f>
        <v>6947.1675000000005</v>
      </c>
      <c r="K5" s="8">
        <f t="shared" si="0"/>
        <v>9031.3177500000002</v>
      </c>
      <c r="L5" s="8">
        <f t="shared" si="0"/>
        <v>11740.713075000001</v>
      </c>
      <c r="M5" s="8">
        <f t="shared" si="0"/>
        <v>15262.926997500002</v>
      </c>
      <c r="N5" s="8">
        <f t="shared" si="0"/>
        <v>19841.805096750002</v>
      </c>
      <c r="O5" s="8">
        <f t="shared" si="0"/>
        <v>25794.346625775004</v>
      </c>
    </row>
    <row r="6" spans="2:143" x14ac:dyDescent="0.3">
      <c r="B6" s="1" t="s">
        <v>13</v>
      </c>
      <c r="E6" s="5">
        <f>E5-E7</f>
        <v>862.5</v>
      </c>
      <c r="F6" s="5">
        <f t="shared" ref="F6:O6" si="1">F5-F7</f>
        <v>1239.75</v>
      </c>
      <c r="G6" s="5">
        <f t="shared" si="1"/>
        <v>1720.425</v>
      </c>
      <c r="H6" s="5">
        <f t="shared" si="1"/>
        <v>2302.02</v>
      </c>
      <c r="I6" s="5">
        <f t="shared" si="1"/>
        <v>2965.906125</v>
      </c>
      <c r="J6" s="5">
        <f t="shared" si="1"/>
        <v>3820.942125</v>
      </c>
      <c r="K6" s="5">
        <f t="shared" si="1"/>
        <v>4967.2247625</v>
      </c>
      <c r="L6" s="5">
        <f t="shared" si="1"/>
        <v>6457.3921912500009</v>
      </c>
      <c r="M6" s="5">
        <f t="shared" si="1"/>
        <v>8394.6098486250012</v>
      </c>
      <c r="N6" s="5">
        <f t="shared" si="1"/>
        <v>10912.992803212501</v>
      </c>
      <c r="O6" s="5">
        <f t="shared" si="1"/>
        <v>14186.890644176252</v>
      </c>
    </row>
    <row r="7" spans="2:143" s="2" customFormat="1" x14ac:dyDescent="0.3">
      <c r="B7" s="2" t="s">
        <v>12</v>
      </c>
      <c r="E7" s="8">
        <f>E5*0.425</f>
        <v>637.5</v>
      </c>
      <c r="F7" s="8">
        <f>F5*0.43</f>
        <v>935.25</v>
      </c>
      <c r="G7" s="8">
        <f>G5*0.435</f>
        <v>1324.575</v>
      </c>
      <c r="H7" s="8">
        <f>H5*0.44</f>
        <v>1808.73</v>
      </c>
      <c r="I7" s="8">
        <f>I5*0.445</f>
        <v>2378.0688750000004</v>
      </c>
      <c r="J7" s="8">
        <f>J5*0.45</f>
        <v>3126.2253750000004</v>
      </c>
      <c r="K7" s="8">
        <f t="shared" ref="K7:O7" si="2">K5*0.45</f>
        <v>4064.0929875000002</v>
      </c>
      <c r="L7" s="8">
        <f t="shared" si="2"/>
        <v>5283.3208837500006</v>
      </c>
      <c r="M7" s="8">
        <f t="shared" si="2"/>
        <v>6868.3171488750013</v>
      </c>
      <c r="N7" s="8">
        <f t="shared" si="2"/>
        <v>8928.8122935375013</v>
      </c>
      <c r="O7" s="8">
        <f t="shared" si="2"/>
        <v>11607.455981598752</v>
      </c>
    </row>
    <row r="8" spans="2:143" x14ac:dyDescent="0.3">
      <c r="E8" s="5"/>
    </row>
    <row r="9" spans="2:143" s="2" customFormat="1" x14ac:dyDescent="0.3">
      <c r="B9" s="2" t="s">
        <v>15</v>
      </c>
      <c r="E9" s="8">
        <f>E5*0.085</f>
        <v>127.50000000000001</v>
      </c>
      <c r="F9" s="8">
        <f>F5*0.09</f>
        <v>195.75</v>
      </c>
      <c r="G9" s="8">
        <f>G5*0.1</f>
        <v>304.5</v>
      </c>
      <c r="H9" s="8">
        <f>H5*0.11</f>
        <v>452.1825</v>
      </c>
      <c r="I9" s="8">
        <f>I5*0.12</f>
        <v>641.27700000000004</v>
      </c>
      <c r="J9" s="8">
        <f>J5*0.125</f>
        <v>868.39593750000006</v>
      </c>
      <c r="K9" s="8">
        <f t="shared" ref="K9:O9" si="3">K5*0.125</f>
        <v>1128.91471875</v>
      </c>
      <c r="L9" s="8">
        <f t="shared" si="3"/>
        <v>1467.5891343750002</v>
      </c>
      <c r="M9" s="8">
        <f t="shared" si="3"/>
        <v>1907.8658746875003</v>
      </c>
      <c r="N9" s="8">
        <f t="shared" si="3"/>
        <v>2480.2256370937503</v>
      </c>
      <c r="O9" s="8">
        <f t="shared" si="3"/>
        <v>3224.2933282218755</v>
      </c>
    </row>
    <row r="10" spans="2:143" x14ac:dyDescent="0.3">
      <c r="E10" s="5"/>
    </row>
    <row r="11" spans="2:143" s="2" customFormat="1" x14ac:dyDescent="0.3">
      <c r="B11" s="2" t="s">
        <v>16</v>
      </c>
      <c r="E11" s="8">
        <f>E5*0.065</f>
        <v>97.5</v>
      </c>
      <c r="F11" s="8">
        <f>F5*0.07</f>
        <v>152.25000000000003</v>
      </c>
      <c r="G11" s="8">
        <f>G5*0.075</f>
        <v>228.375</v>
      </c>
      <c r="H11" s="8">
        <f>H5*0.08</f>
        <v>328.86</v>
      </c>
      <c r="I11" s="8">
        <f>I5*0.085</f>
        <v>454.23787500000009</v>
      </c>
      <c r="J11" s="8">
        <f>J5*0.09</f>
        <v>625.24507500000004</v>
      </c>
      <c r="K11" s="8">
        <f>K5*0.095</f>
        <v>857.97518624999998</v>
      </c>
      <c r="L11" s="8">
        <f t="shared" ref="L11:O11" si="4">L5*0.095</f>
        <v>1115.3677421250002</v>
      </c>
      <c r="M11" s="8">
        <f t="shared" si="4"/>
        <v>1449.9780647625003</v>
      </c>
      <c r="N11" s="8">
        <f t="shared" si="4"/>
        <v>1884.9714841912503</v>
      </c>
      <c r="O11" s="8">
        <f t="shared" si="4"/>
        <v>2450.4629294486253</v>
      </c>
      <c r="P11" s="2">
        <f>O11*(1+$R$16)</f>
        <v>2425.9583001541391</v>
      </c>
      <c r="Q11" s="2">
        <f t="shared" ref="Q11:CB11" si="5">P11*(1+$R$16)</f>
        <v>2401.6987171525975</v>
      </c>
      <c r="R11" s="2">
        <f t="shared" si="5"/>
        <v>2377.6817299810714</v>
      </c>
      <c r="S11" s="2">
        <f t="shared" si="5"/>
        <v>2353.9049126812606</v>
      </c>
      <c r="T11" s="2">
        <f t="shared" si="5"/>
        <v>2330.365863554448</v>
      </c>
      <c r="U11" s="2">
        <f t="shared" si="5"/>
        <v>2307.0622049189033</v>
      </c>
      <c r="V11" s="2">
        <f t="shared" si="5"/>
        <v>2283.9915828697144</v>
      </c>
      <c r="W11" s="2">
        <f t="shared" si="5"/>
        <v>2261.1516670410174</v>
      </c>
      <c r="X11" s="2">
        <f t="shared" si="5"/>
        <v>2238.5401503706071</v>
      </c>
      <c r="Y11" s="2">
        <f t="shared" si="5"/>
        <v>2216.1547488669012</v>
      </c>
      <c r="Z11" s="2">
        <f t="shared" si="5"/>
        <v>2193.9932013782322</v>
      </c>
      <c r="AA11" s="2">
        <f t="shared" si="5"/>
        <v>2172.05326936445</v>
      </c>
      <c r="AB11" s="2">
        <f t="shared" si="5"/>
        <v>2150.3327366708054</v>
      </c>
      <c r="AC11" s="2">
        <f t="shared" si="5"/>
        <v>2128.8294093040972</v>
      </c>
      <c r="AD11" s="2">
        <f t="shared" si="5"/>
        <v>2107.5411152110564</v>
      </c>
      <c r="AE11" s="2">
        <f t="shared" si="5"/>
        <v>2086.4657040589459</v>
      </c>
      <c r="AF11" s="2">
        <f t="shared" si="5"/>
        <v>2065.6010470183564</v>
      </c>
      <c r="AG11" s="2">
        <f t="shared" si="5"/>
        <v>2044.9450365481728</v>
      </c>
      <c r="AH11" s="2">
        <f t="shared" si="5"/>
        <v>2024.4955861826911</v>
      </c>
      <c r="AI11" s="2">
        <f t="shared" si="5"/>
        <v>2004.2506303208643</v>
      </c>
      <c r="AJ11" s="2">
        <f t="shared" si="5"/>
        <v>1984.2081240176556</v>
      </c>
      <c r="AK11" s="2">
        <f t="shared" si="5"/>
        <v>1964.3660427774789</v>
      </c>
      <c r="AL11" s="2">
        <f t="shared" si="5"/>
        <v>1944.722382349704</v>
      </c>
      <c r="AM11" s="2">
        <f t="shared" si="5"/>
        <v>1925.275158526207</v>
      </c>
      <c r="AN11" s="2">
        <f t="shared" si="5"/>
        <v>1906.0224069409448</v>
      </c>
      <c r="AO11" s="2">
        <f t="shared" si="5"/>
        <v>1886.9621828715353</v>
      </c>
      <c r="AP11" s="2">
        <f t="shared" si="5"/>
        <v>1868.0925610428199</v>
      </c>
      <c r="AQ11" s="2">
        <f t="shared" si="5"/>
        <v>1849.4116354323917</v>
      </c>
      <c r="AR11" s="2">
        <f t="shared" si="5"/>
        <v>1830.9175190780677</v>
      </c>
      <c r="AS11" s="2">
        <f t="shared" si="5"/>
        <v>1812.608343887287</v>
      </c>
      <c r="AT11" s="2">
        <f t="shared" si="5"/>
        <v>1794.4822604484141</v>
      </c>
      <c r="AU11" s="2">
        <f t="shared" si="5"/>
        <v>1776.5374378439299</v>
      </c>
      <c r="AV11" s="2">
        <f t="shared" si="5"/>
        <v>1758.7720634654906</v>
      </c>
      <c r="AW11" s="2">
        <f t="shared" si="5"/>
        <v>1741.1843428308357</v>
      </c>
      <c r="AX11" s="2">
        <f t="shared" si="5"/>
        <v>1723.7724994025273</v>
      </c>
      <c r="AY11" s="2">
        <f t="shared" si="5"/>
        <v>1706.534774408502</v>
      </c>
      <c r="AZ11" s="2">
        <f t="shared" si="5"/>
        <v>1689.4694266644169</v>
      </c>
      <c r="BA11" s="2">
        <f t="shared" si="5"/>
        <v>1672.5747323977728</v>
      </c>
      <c r="BB11" s="2">
        <f t="shared" si="5"/>
        <v>1655.8489850737951</v>
      </c>
      <c r="BC11" s="2">
        <f t="shared" si="5"/>
        <v>1639.2904952230572</v>
      </c>
      <c r="BD11" s="2">
        <f t="shared" si="5"/>
        <v>1622.8975902708266</v>
      </c>
      <c r="BE11" s="2">
        <f t="shared" si="5"/>
        <v>1606.6686143681184</v>
      </c>
      <c r="BF11" s="2">
        <f t="shared" si="5"/>
        <v>1590.6019282244372</v>
      </c>
      <c r="BG11" s="2">
        <f t="shared" si="5"/>
        <v>1574.6959089421928</v>
      </c>
      <c r="BH11" s="2">
        <f t="shared" si="5"/>
        <v>1558.9489498527707</v>
      </c>
      <c r="BI11" s="2">
        <f t="shared" si="5"/>
        <v>1543.3594603542431</v>
      </c>
      <c r="BJ11" s="2">
        <f t="shared" si="5"/>
        <v>1527.9258657507007</v>
      </c>
      <c r="BK11" s="2">
        <f t="shared" si="5"/>
        <v>1512.6466070931938</v>
      </c>
      <c r="BL11" s="2">
        <f t="shared" si="5"/>
        <v>1497.5201410222619</v>
      </c>
      <c r="BM11" s="2">
        <f t="shared" si="5"/>
        <v>1482.5449396120393</v>
      </c>
      <c r="BN11" s="2">
        <f t="shared" si="5"/>
        <v>1467.719490215919</v>
      </c>
      <c r="BO11" s="2">
        <f t="shared" si="5"/>
        <v>1453.0422953137597</v>
      </c>
      <c r="BP11" s="2">
        <f t="shared" si="5"/>
        <v>1438.5118723606222</v>
      </c>
      <c r="BQ11" s="2">
        <f t="shared" si="5"/>
        <v>1424.126753637016</v>
      </c>
      <c r="BR11" s="2">
        <f t="shared" si="5"/>
        <v>1409.8854861006459</v>
      </c>
      <c r="BS11" s="2">
        <f t="shared" si="5"/>
        <v>1395.7866312396395</v>
      </c>
      <c r="BT11" s="2">
        <f t="shared" si="5"/>
        <v>1381.8287649272431</v>
      </c>
      <c r="BU11" s="2">
        <f t="shared" si="5"/>
        <v>1368.0104772779707</v>
      </c>
      <c r="BV11" s="2">
        <f t="shared" si="5"/>
        <v>1354.330372505191</v>
      </c>
      <c r="BW11" s="2">
        <f t="shared" si="5"/>
        <v>1340.7870687801392</v>
      </c>
      <c r="BX11" s="2">
        <f t="shared" si="5"/>
        <v>1327.3791980923377</v>
      </c>
      <c r="BY11" s="2">
        <f t="shared" si="5"/>
        <v>1314.1054061114144</v>
      </c>
      <c r="BZ11" s="2">
        <f t="shared" si="5"/>
        <v>1300.9643520503002</v>
      </c>
      <c r="CA11" s="2">
        <f t="shared" si="5"/>
        <v>1287.9547085297972</v>
      </c>
      <c r="CB11" s="2">
        <f t="shared" si="5"/>
        <v>1275.0751614444994</v>
      </c>
      <c r="CC11" s="2">
        <f t="shared" ref="CC11:EM11" si="6">CB11*(1+$R$16)</f>
        <v>1262.3244098300543</v>
      </c>
      <c r="CD11" s="2">
        <f t="shared" si="6"/>
        <v>1249.7011657317537</v>
      </c>
      <c r="CE11" s="2">
        <f t="shared" si="6"/>
        <v>1237.2041540744362</v>
      </c>
      <c r="CF11" s="2">
        <f t="shared" si="6"/>
        <v>1224.8321125336918</v>
      </c>
      <c r="CG11" s="2">
        <f t="shared" si="6"/>
        <v>1212.583791408355</v>
      </c>
      <c r="CH11" s="2">
        <f t="shared" si="6"/>
        <v>1200.4579534942714</v>
      </c>
      <c r="CI11" s="2">
        <f t="shared" si="6"/>
        <v>1188.4533739593287</v>
      </c>
      <c r="CJ11" s="2">
        <f t="shared" si="6"/>
        <v>1176.5688402197354</v>
      </c>
      <c r="CK11" s="2">
        <f t="shared" si="6"/>
        <v>1164.803151817538</v>
      </c>
      <c r="CL11" s="2">
        <f t="shared" si="6"/>
        <v>1153.1551202993626</v>
      </c>
      <c r="CM11" s="2">
        <f t="shared" si="6"/>
        <v>1141.623569096369</v>
      </c>
      <c r="CN11" s="2">
        <f t="shared" si="6"/>
        <v>1130.2073334054053</v>
      </c>
      <c r="CO11" s="2">
        <f t="shared" si="6"/>
        <v>1118.9052600713512</v>
      </c>
      <c r="CP11" s="2">
        <f t="shared" si="6"/>
        <v>1107.7162074706378</v>
      </c>
      <c r="CQ11" s="2">
        <f t="shared" si="6"/>
        <v>1096.6390453959314</v>
      </c>
      <c r="CR11" s="2">
        <f t="shared" si="6"/>
        <v>1085.672654941972</v>
      </c>
      <c r="CS11" s="2">
        <f t="shared" si="6"/>
        <v>1074.8159283925522</v>
      </c>
      <c r="CT11" s="2">
        <f t="shared" si="6"/>
        <v>1064.0677691086266</v>
      </c>
      <c r="CU11" s="2">
        <f t="shared" si="6"/>
        <v>1053.4270914175404</v>
      </c>
      <c r="CV11" s="2">
        <f t="shared" si="6"/>
        <v>1042.8928205033649</v>
      </c>
      <c r="CW11" s="2">
        <f t="shared" si="6"/>
        <v>1032.4638922983313</v>
      </c>
      <c r="CX11" s="2">
        <f t="shared" si="6"/>
        <v>1022.1392533753479</v>
      </c>
      <c r="CY11" s="2">
        <f t="shared" si="6"/>
        <v>1011.9178608415945</v>
      </c>
      <c r="CZ11" s="2">
        <f t="shared" si="6"/>
        <v>1001.7986822331785</v>
      </c>
      <c r="DA11" s="2">
        <f t="shared" si="6"/>
        <v>991.78069541084676</v>
      </c>
      <c r="DB11" s="2">
        <f t="shared" si="6"/>
        <v>981.86288845673823</v>
      </c>
      <c r="DC11" s="2">
        <f t="shared" si="6"/>
        <v>972.04425957217086</v>
      </c>
      <c r="DD11" s="2">
        <f t="shared" si="6"/>
        <v>962.32381697644917</v>
      </c>
      <c r="DE11" s="2">
        <f t="shared" si="6"/>
        <v>952.70057880668469</v>
      </c>
      <c r="DF11" s="2">
        <f t="shared" si="6"/>
        <v>943.17357301861784</v>
      </c>
      <c r="DG11" s="2">
        <f t="shared" si="6"/>
        <v>933.74183728843161</v>
      </c>
      <c r="DH11" s="2">
        <f t="shared" si="6"/>
        <v>924.40441891554724</v>
      </c>
      <c r="DI11" s="2">
        <f t="shared" si="6"/>
        <v>915.16037472639175</v>
      </c>
      <c r="DJ11" s="2">
        <f t="shared" si="6"/>
        <v>906.0087709791278</v>
      </c>
      <c r="DK11" s="2">
        <f t="shared" si="6"/>
        <v>896.94868326933647</v>
      </c>
      <c r="DL11" s="2">
        <f t="shared" si="6"/>
        <v>887.97919643664306</v>
      </c>
      <c r="DM11" s="2">
        <f t="shared" si="6"/>
        <v>879.09940447227666</v>
      </c>
      <c r="DN11" s="2">
        <f t="shared" si="6"/>
        <v>870.30841042755389</v>
      </c>
      <c r="DO11" s="2">
        <f t="shared" si="6"/>
        <v>861.6053263232784</v>
      </c>
      <c r="DP11" s="2">
        <f t="shared" si="6"/>
        <v>852.98927306004566</v>
      </c>
      <c r="DQ11" s="2">
        <f t="shared" si="6"/>
        <v>844.45938032944525</v>
      </c>
      <c r="DR11" s="2">
        <f t="shared" si="6"/>
        <v>836.01478652615083</v>
      </c>
      <c r="DS11" s="2">
        <f t="shared" si="6"/>
        <v>827.6546386608893</v>
      </c>
      <c r="DT11" s="2">
        <f t="shared" si="6"/>
        <v>819.37809227428045</v>
      </c>
      <c r="DU11" s="2">
        <f t="shared" si="6"/>
        <v>811.18431135153764</v>
      </c>
      <c r="DV11" s="2">
        <f t="shared" si="6"/>
        <v>803.07246823802222</v>
      </c>
      <c r="DW11" s="2">
        <f t="shared" si="6"/>
        <v>795.04174355564203</v>
      </c>
      <c r="DX11" s="2">
        <f t="shared" si="6"/>
        <v>787.09132612008557</v>
      </c>
      <c r="DY11" s="2">
        <f t="shared" si="6"/>
        <v>779.22041285888474</v>
      </c>
      <c r="DZ11" s="2">
        <f t="shared" si="6"/>
        <v>771.42820873029586</v>
      </c>
      <c r="EA11" s="2">
        <f t="shared" si="6"/>
        <v>763.71392664299287</v>
      </c>
      <c r="EB11" s="2">
        <f t="shared" si="6"/>
        <v>756.07678737656295</v>
      </c>
      <c r="EC11" s="2">
        <f t="shared" si="6"/>
        <v>748.51601950279735</v>
      </c>
      <c r="ED11" s="2">
        <f t="shared" si="6"/>
        <v>741.03085930776933</v>
      </c>
      <c r="EE11" s="2">
        <f t="shared" si="6"/>
        <v>733.6205507146916</v>
      </c>
      <c r="EF11" s="2">
        <f t="shared" si="6"/>
        <v>726.28434520754467</v>
      </c>
      <c r="EG11" s="2">
        <f t="shared" si="6"/>
        <v>719.02150175546922</v>
      </c>
      <c r="EH11" s="2">
        <f t="shared" si="6"/>
        <v>711.83128673791452</v>
      </c>
      <c r="EI11" s="2">
        <f t="shared" si="6"/>
        <v>704.71297387053539</v>
      </c>
      <c r="EJ11" s="2">
        <f t="shared" si="6"/>
        <v>697.66584413183</v>
      </c>
      <c r="EK11" s="2">
        <f t="shared" si="6"/>
        <v>690.68918569051175</v>
      </c>
      <c r="EL11" s="2">
        <f t="shared" si="6"/>
        <v>683.78229383360667</v>
      </c>
      <c r="EM11" s="2">
        <f t="shared" si="6"/>
        <v>676.94447089527057</v>
      </c>
    </row>
    <row r="12" spans="2:143" x14ac:dyDescent="0.3">
      <c r="B12" s="1" t="s">
        <v>2</v>
      </c>
      <c r="E12" s="5">
        <f>420+(650-420)</f>
        <v>650</v>
      </c>
      <c r="F12" s="5">
        <f>420+(650-420)</f>
        <v>650</v>
      </c>
      <c r="G12" s="5">
        <f>420+(650-420)</f>
        <v>650</v>
      </c>
      <c r="H12" s="5">
        <f>420+(650-420)</f>
        <v>650</v>
      </c>
      <c r="I12" s="5">
        <f>420+(650-420)</f>
        <v>650</v>
      </c>
      <c r="J12" s="5">
        <f>420+(650-420)</f>
        <v>650</v>
      </c>
      <c r="K12" s="5">
        <f>420+(650-420)</f>
        <v>650</v>
      </c>
      <c r="L12" s="5">
        <f>420+(650-420)</f>
        <v>650</v>
      </c>
      <c r="M12" s="5">
        <f>420+(650-420)</f>
        <v>650</v>
      </c>
      <c r="N12" s="5">
        <f>420+(650-420)</f>
        <v>650</v>
      </c>
      <c r="O12" s="5">
        <f>420+(650-420)</f>
        <v>650</v>
      </c>
    </row>
    <row r="13" spans="2:143" x14ac:dyDescent="0.3">
      <c r="B13" s="1" t="s">
        <v>17</v>
      </c>
      <c r="E13" s="7">
        <f>E11/E12</f>
        <v>0.15</v>
      </c>
      <c r="F13" s="7">
        <f t="shared" ref="F13:O13" si="7">F11/F12</f>
        <v>0.23423076923076927</v>
      </c>
      <c r="G13" s="7">
        <f t="shared" si="7"/>
        <v>0.35134615384615386</v>
      </c>
      <c r="H13" s="7">
        <f t="shared" si="7"/>
        <v>0.50593846153846156</v>
      </c>
      <c r="I13" s="7">
        <f t="shared" si="7"/>
        <v>0.69882750000000016</v>
      </c>
      <c r="J13" s="7">
        <f t="shared" si="7"/>
        <v>0.96191550000000003</v>
      </c>
      <c r="K13" s="7">
        <f t="shared" si="7"/>
        <v>1.319961825</v>
      </c>
      <c r="L13" s="7">
        <f t="shared" si="7"/>
        <v>1.7159503725000003</v>
      </c>
      <c r="M13" s="7">
        <f t="shared" si="7"/>
        <v>2.2307354842500002</v>
      </c>
      <c r="N13" s="7">
        <f t="shared" si="7"/>
        <v>2.8999561295250005</v>
      </c>
      <c r="O13" s="7">
        <f t="shared" si="7"/>
        <v>3.7699429683825003</v>
      </c>
    </row>
    <row r="15" spans="2:143" x14ac:dyDescent="0.3">
      <c r="B15" s="1" t="s">
        <v>18</v>
      </c>
      <c r="D15" s="9">
        <f>D5/C5-1</f>
        <v>1.3809523809523809</v>
      </c>
      <c r="E15" s="9">
        <f>E5/D5-1</f>
        <v>0.5</v>
      </c>
      <c r="F15" s="9">
        <f t="shared" ref="F15:O15" si="8">F5/E5-1</f>
        <v>0.44999999999999996</v>
      </c>
      <c r="G15" s="9">
        <f t="shared" si="8"/>
        <v>0.39999999999999991</v>
      </c>
      <c r="H15" s="9">
        <f t="shared" si="8"/>
        <v>0.35000000000000009</v>
      </c>
      <c r="I15" s="9">
        <f t="shared" si="8"/>
        <v>0.30000000000000004</v>
      </c>
      <c r="J15" s="9">
        <f t="shared" si="8"/>
        <v>0.30000000000000004</v>
      </c>
      <c r="K15" s="9">
        <f t="shared" si="8"/>
        <v>0.30000000000000004</v>
      </c>
      <c r="L15" s="9">
        <f t="shared" si="8"/>
        <v>0.30000000000000004</v>
      </c>
      <c r="M15" s="9">
        <f t="shared" si="8"/>
        <v>0.30000000000000004</v>
      </c>
      <c r="N15" s="9">
        <f t="shared" si="8"/>
        <v>0.29999999999999982</v>
      </c>
      <c r="O15" s="9">
        <f t="shared" si="8"/>
        <v>0.30000000000000004</v>
      </c>
    </row>
    <row r="16" spans="2:143" x14ac:dyDescent="0.3">
      <c r="B16" s="1" t="s">
        <v>19</v>
      </c>
      <c r="E16" s="9">
        <f>E7/E5</f>
        <v>0.42499999999999999</v>
      </c>
      <c r="F16" s="9">
        <f t="shared" ref="F16:O16" si="9">F7/F5</f>
        <v>0.43</v>
      </c>
      <c r="G16" s="9">
        <f t="shared" si="9"/>
        <v>0.435</v>
      </c>
      <c r="H16" s="9">
        <f t="shared" si="9"/>
        <v>0.44</v>
      </c>
      <c r="I16" s="9">
        <f t="shared" si="9"/>
        <v>0.44500000000000006</v>
      </c>
      <c r="J16" s="9">
        <f t="shared" si="9"/>
        <v>0.45</v>
      </c>
      <c r="K16" s="9">
        <f t="shared" si="9"/>
        <v>0.45</v>
      </c>
      <c r="L16" s="9">
        <f t="shared" si="9"/>
        <v>0.45</v>
      </c>
      <c r="M16" s="9">
        <f t="shared" si="9"/>
        <v>0.45</v>
      </c>
      <c r="N16" s="9">
        <f t="shared" si="9"/>
        <v>0.45</v>
      </c>
      <c r="O16" s="9">
        <f t="shared" si="9"/>
        <v>0.45</v>
      </c>
      <c r="Q16" s="1" t="s">
        <v>22</v>
      </c>
      <c r="R16" s="9">
        <v>-0.01</v>
      </c>
    </row>
    <row r="17" spans="2:18" x14ac:dyDescent="0.3">
      <c r="B17" s="1" t="s">
        <v>20</v>
      </c>
      <c r="E17" s="9">
        <f>E9/E5</f>
        <v>8.5000000000000006E-2</v>
      </c>
      <c r="F17" s="9">
        <f t="shared" ref="F17:O17" si="10">F9/F5</f>
        <v>0.09</v>
      </c>
      <c r="G17" s="9">
        <f t="shared" si="10"/>
        <v>0.1</v>
      </c>
      <c r="H17" s="9">
        <f t="shared" si="10"/>
        <v>0.11</v>
      </c>
      <c r="I17" s="9">
        <f t="shared" si="10"/>
        <v>0.12</v>
      </c>
      <c r="J17" s="9">
        <f t="shared" si="10"/>
        <v>0.125</v>
      </c>
      <c r="K17" s="9">
        <f t="shared" si="10"/>
        <v>0.125</v>
      </c>
      <c r="L17" s="9">
        <f t="shared" si="10"/>
        <v>0.125</v>
      </c>
      <c r="M17" s="9">
        <f t="shared" si="10"/>
        <v>0.125</v>
      </c>
      <c r="N17" s="9">
        <f t="shared" si="10"/>
        <v>0.125</v>
      </c>
      <c r="O17" s="9">
        <f t="shared" si="10"/>
        <v>0.125</v>
      </c>
      <c r="Q17" s="1" t="s">
        <v>23</v>
      </c>
      <c r="R17" s="9">
        <v>0.08</v>
      </c>
    </row>
    <row r="18" spans="2:18" x14ac:dyDescent="0.3">
      <c r="B18" s="1" t="s">
        <v>21</v>
      </c>
      <c r="E18" s="9">
        <f>E11/E5</f>
        <v>6.5000000000000002E-2</v>
      </c>
      <c r="F18" s="9">
        <f t="shared" ref="F18:O18" si="11">F11/F5</f>
        <v>7.0000000000000007E-2</v>
      </c>
      <c r="G18" s="9">
        <f t="shared" si="11"/>
        <v>7.4999999999999997E-2</v>
      </c>
      <c r="H18" s="9">
        <f t="shared" si="11"/>
        <v>0.08</v>
      </c>
      <c r="I18" s="9">
        <f t="shared" si="11"/>
        <v>8.5000000000000006E-2</v>
      </c>
      <c r="J18" s="9">
        <f t="shared" si="11"/>
        <v>0.09</v>
      </c>
      <c r="K18" s="9">
        <f t="shared" si="11"/>
        <v>9.5000000000000001E-2</v>
      </c>
      <c r="L18" s="9">
        <f t="shared" si="11"/>
        <v>9.5000000000000001E-2</v>
      </c>
      <c r="M18" s="9">
        <f t="shared" si="11"/>
        <v>9.5000000000000001E-2</v>
      </c>
      <c r="N18" s="9">
        <f t="shared" si="11"/>
        <v>9.5000000000000001E-2</v>
      </c>
      <c r="O18" s="9">
        <f t="shared" si="11"/>
        <v>9.5000000000000001E-2</v>
      </c>
      <c r="Q18" s="1" t="s">
        <v>24</v>
      </c>
      <c r="R18" s="5">
        <f>NPV(R17,E11:EM11)</f>
        <v>16660.023692017046</v>
      </c>
    </row>
    <row r="19" spans="2:18" x14ac:dyDescent="0.3">
      <c r="Q19" s="1" t="s">
        <v>25</v>
      </c>
      <c r="R19" s="5">
        <f>Main!D8</f>
        <v>0</v>
      </c>
    </row>
    <row r="20" spans="2:18" x14ac:dyDescent="0.3">
      <c r="Q20" s="1" t="s">
        <v>26</v>
      </c>
      <c r="R20" s="5">
        <f>R18-R19</f>
        <v>16660.023692017046</v>
      </c>
    </row>
    <row r="21" spans="2:18" x14ac:dyDescent="0.3">
      <c r="Q21" s="1" t="s">
        <v>27</v>
      </c>
      <c r="R21" s="6">
        <f>R20/O12</f>
        <v>25.630805680026224</v>
      </c>
    </row>
    <row r="22" spans="2:18" x14ac:dyDescent="0.3">
      <c r="Q22" s="1" t="s">
        <v>28</v>
      </c>
      <c r="R22" s="6">
        <f>Main!D3</f>
        <v>80.55</v>
      </c>
    </row>
    <row r="23" spans="2:18" x14ac:dyDescent="0.3">
      <c r="Q23" s="2" t="s">
        <v>29</v>
      </c>
      <c r="R23" s="10">
        <f>R21/R22-1</f>
        <v>-0.68180253656081657</v>
      </c>
    </row>
    <row r="24" spans="2:18" x14ac:dyDescent="0.3">
      <c r="Q24" s="1" t="s">
        <v>30</v>
      </c>
      <c r="R24" s="1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2025-10-25T07:31:46Z</dcterms:created>
  <dcterms:modified xsi:type="dcterms:W3CDTF">2025-10-25T07:52:44Z</dcterms:modified>
</cp:coreProperties>
</file>