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CFB8F993-7DAD-4BC3-BF43-4FC030F04F10}" xr6:coauthVersionLast="47" xr6:coauthVersionMax="47" xr10:uidLastSave="{00000000-0000-0000-0000-000000000000}"/>
  <bookViews>
    <workbookView xWindow="-108" yWindow="-108" windowWidth="23256" windowHeight="12576" xr2:uid="{13E7279D-5483-44D7-9099-470270F00B0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0" i="1"/>
  <c r="D7" i="1"/>
  <c r="D9" i="1" s="1"/>
  <c r="D8" i="1"/>
  <c r="D4" i="1"/>
  <c r="D5" i="1" s="1"/>
  <c r="D6" i="1" s="1"/>
  <c r="F3" i="1"/>
  <c r="D11" i="1" l="1"/>
  <c r="D12" i="1" s="1"/>
</calcChain>
</file>

<file path=xl/sharedStrings.xml><?xml version="1.0" encoding="utf-8"?>
<sst xmlns="http://schemas.openxmlformats.org/spreadsheetml/2006/main" count="21" uniqueCount="18">
  <si>
    <t>Price</t>
  </si>
  <si>
    <t>Shares</t>
  </si>
  <si>
    <t>MC</t>
  </si>
  <si>
    <t>Cash</t>
  </si>
  <si>
    <t>Debt</t>
  </si>
  <si>
    <t>Net Cash</t>
  </si>
  <si>
    <t>EV</t>
  </si>
  <si>
    <t>L+S/E</t>
  </si>
  <si>
    <t>Last checked</t>
  </si>
  <si>
    <t>Today</t>
  </si>
  <si>
    <t>Earnings</t>
  </si>
  <si>
    <t>Q425</t>
  </si>
  <si>
    <t>SEK/USD</t>
  </si>
  <si>
    <t>EV $</t>
  </si>
  <si>
    <t>MC $</t>
  </si>
  <si>
    <t>Net Cash $</t>
  </si>
  <si>
    <t>L+S/E $</t>
  </si>
  <si>
    <t>SAAB_B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</si>
</sst>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[$kr-41D]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B9EC-8F40-4080-965B-7A5F7FDAB3F8}">
  <dimension ref="B2:G19"/>
  <sheetViews>
    <sheetView tabSelected="1" workbookViewId="0">
      <selection activeCell="E7" sqref="E7"/>
    </sheetView>
  </sheetViews>
  <sheetFormatPr defaultRowHeight="14.4" x14ac:dyDescent="0.3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17</v>
      </c>
      <c r="C3" s="1" t="s">
        <v>0</v>
      </c>
      <c r="D3" s="5">
        <v>653.79999999999995</v>
      </c>
      <c r="E3" s="4">
        <v>46071</v>
      </c>
      <c r="F3" s="4">
        <f ca="1">TODAY()</f>
        <v>46071</v>
      </c>
      <c r="G3" s="4">
        <v>46135</v>
      </c>
    </row>
    <row r="4" spans="2:7" x14ac:dyDescent="0.3">
      <c r="C4" s="1" t="s">
        <v>1</v>
      </c>
      <c r="D4" s="6">
        <f>536.6</f>
        <v>536.6</v>
      </c>
      <c r="E4" s="3" t="s">
        <v>11</v>
      </c>
    </row>
    <row r="5" spans="2:7" x14ac:dyDescent="0.3">
      <c r="C5" s="1" t="s">
        <v>2</v>
      </c>
      <c r="D5" s="6">
        <f>D3*D4</f>
        <v>350829.08</v>
      </c>
    </row>
    <row r="6" spans="2:7" x14ac:dyDescent="0.3">
      <c r="C6" s="1" t="s">
        <v>14</v>
      </c>
      <c r="D6" s="6">
        <f>D5*D19</f>
        <v>38591.198800000006</v>
      </c>
    </row>
    <row r="7" spans="2:7" x14ac:dyDescent="0.3">
      <c r="C7" s="1" t="s">
        <v>3</v>
      </c>
      <c r="D7" s="6">
        <f>3715+11643+3321</f>
        <v>18679</v>
      </c>
      <c r="E7" s="3" t="s">
        <v>11</v>
      </c>
    </row>
    <row r="8" spans="2:7" x14ac:dyDescent="0.3">
      <c r="C8" s="1" t="s">
        <v>4</v>
      </c>
      <c r="D8" s="6">
        <f>1310+8475</f>
        <v>9785</v>
      </c>
      <c r="E8" s="3" t="s">
        <v>11</v>
      </c>
    </row>
    <row r="9" spans="2:7" x14ac:dyDescent="0.3">
      <c r="C9" s="1" t="s">
        <v>5</v>
      </c>
      <c r="D9" s="6">
        <f>D7-D8</f>
        <v>8894</v>
      </c>
    </row>
    <row r="10" spans="2:7" x14ac:dyDescent="0.3">
      <c r="C10" s="1" t="s">
        <v>15</v>
      </c>
      <c r="D10" s="6">
        <f>D9*D19</f>
        <v>978.34</v>
      </c>
    </row>
    <row r="11" spans="2:7" x14ac:dyDescent="0.3">
      <c r="C11" s="1" t="s">
        <v>6</v>
      </c>
      <c r="D11" s="6">
        <f>D5-D9</f>
        <v>341935.08</v>
      </c>
    </row>
    <row r="12" spans="2:7" x14ac:dyDescent="0.3">
      <c r="C12" s="1" t="s">
        <v>13</v>
      </c>
      <c r="D12" s="6">
        <f>D11*D19</f>
        <v>37612.858800000002</v>
      </c>
    </row>
    <row r="13" spans="2:7" x14ac:dyDescent="0.3">
      <c r="C13" s="1" t="s">
        <v>7</v>
      </c>
      <c r="D13" s="6">
        <v>124704</v>
      </c>
      <c r="E13" s="3" t="s">
        <v>11</v>
      </c>
    </row>
    <row r="14" spans="2:7" x14ac:dyDescent="0.3">
      <c r="C14" s="1" t="s">
        <v>16</v>
      </c>
      <c r="D14" s="6">
        <f>D13*D19</f>
        <v>13717.44</v>
      </c>
    </row>
    <row r="19" spans="3:4" x14ac:dyDescent="0.3">
      <c r="C19" s="1" t="s">
        <v>12</v>
      </c>
      <c r="D19" s="1">
        <v>0.11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3407-A957-4B2D-B1D7-5DBA6043C051}">
  <dimension ref="A1"/>
  <sheetViews>
    <sheetView workbookViewId="0">
      <selection activeCell="B4" sqref="B4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2026-02-18T18:00:02Z</dcterms:created>
  <dcterms:modified xsi:type="dcterms:W3CDTF">2026-02-18T18:19:27Z</dcterms:modified>
</cp:coreProperties>
</file>