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76C9F2C6-0286-482A-8CEE-D8E27934D5CD}" xr6:coauthVersionLast="47" xr6:coauthVersionMax="47" xr10:uidLastSave="{00000000-0000-0000-0000-000000000000}"/>
  <bookViews>
    <workbookView xWindow="-108" yWindow="-108" windowWidth="23256" windowHeight="12576" xr2:uid="{62A7C268-F676-4500-B6FA-08FCA9B6476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2" l="1"/>
  <c r="G16" i="2"/>
  <c r="G9" i="2"/>
  <c r="G6" i="2"/>
  <c r="D6" i="2"/>
  <c r="D10" i="2" s="1"/>
  <c r="D12" i="2" s="1"/>
  <c r="D15" i="2" s="1"/>
  <c r="D17" i="2" s="1"/>
  <c r="D9" i="2"/>
  <c r="D14" i="2"/>
  <c r="D16" i="2"/>
  <c r="H17" i="2"/>
  <c r="H16" i="2"/>
  <c r="H15" i="2"/>
  <c r="H14" i="2"/>
  <c r="H12" i="2"/>
  <c r="H10" i="2"/>
  <c r="H9" i="2"/>
  <c r="H6" i="2"/>
  <c r="D9" i="1"/>
  <c r="D8" i="1"/>
  <c r="D6" i="1"/>
  <c r="D5" i="1"/>
  <c r="D4" i="1"/>
  <c r="D3" i="1"/>
  <c r="F3" i="1"/>
  <c r="G10" i="2" l="1"/>
  <c r="G12" i="2" s="1"/>
  <c r="G15" i="2" s="1"/>
  <c r="G17" i="2" s="1"/>
</calcChain>
</file>

<file path=xl/sharedStrings.xml><?xml version="1.0" encoding="utf-8"?>
<sst xmlns="http://schemas.openxmlformats.org/spreadsheetml/2006/main" count="37" uniqueCount="33">
  <si>
    <t>LUNR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</si>
  <si>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</si>
  <si>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</si>
  <si>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</si>
  <si>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</si>
  <si>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</si>
  <si>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</si>
  <si>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</si>
  <si>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</si>
  <si>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</si>
  <si>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</si>
  <si>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</si>
  <si>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</si>
  <si>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Cost of sales</t>
  </si>
  <si>
    <t>Gross profit</t>
  </si>
  <si>
    <t>Other cost of sales</t>
  </si>
  <si>
    <t>D&amp;A</t>
  </si>
  <si>
    <t>G&amp;A</t>
  </si>
  <si>
    <t>Total operating expenses</t>
  </si>
  <si>
    <t>Operating profit</t>
  </si>
  <si>
    <t>Net finance expense</t>
  </si>
  <si>
    <t>Pretax profit</t>
  </si>
  <si>
    <t>Taxes</t>
  </si>
  <si>
    <t>MI</t>
  </si>
  <si>
    <t>Net profit</t>
  </si>
  <si>
    <t>EPS</t>
  </si>
  <si>
    <t>Q124</t>
  </si>
  <si>
    <t>Q224</t>
  </si>
  <si>
    <t>Q324</t>
  </si>
  <si>
    <t>Q424</t>
  </si>
  <si>
    <t>Q125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</si>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</sst>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0</xdr:row>
      <xdr:rowOff>15240</xdr:rowOff>
    </xdr:from>
    <xdr:to>
      <xdr:col>8</xdr:col>
      <xdr:colOff>22860</xdr:colOff>
      <xdr:row>33</xdr:row>
      <xdr:rowOff>53340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3578938-462E-1BB0-05FE-1D792B371701}"/>
            </a:ext>
          </a:extLst>
        </xdr:cNvPr>
        <xdr:cNvCxnSpPr/>
      </xdr:nvCxnSpPr>
      <xdr:spPr>
        <a:xfrm>
          <a:off x="5775960" y="15240"/>
          <a:ext cx="0" cy="607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5B38-0C23-4026-872E-1869FC3A1537}">
  <dimension ref="B2:G9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f>8.77</f>
        <v>8.77</v>
      </c>
      <c r="E3" s="4">
        <v>45899</v>
      </c>
      <c r="F3" s="4">
        <f ca="1">TODAY()</f>
        <v>45899</v>
      </c>
      <c r="G3" s="4">
        <v>45973</v>
      </c>
    </row>
    <row r="4" spans="2:7" x14ac:dyDescent="0.3">
      <c r="C4" s="1" t="s">
        <v>2</v>
      </c>
      <c r="D4" s="6">
        <f>117.8+60.9</f>
        <v>178.7</v>
      </c>
      <c r="E4" s="3" t="s">
        <v>11</v>
      </c>
    </row>
    <row r="5" spans="2:7" x14ac:dyDescent="0.3">
      <c r="C5" s="1" t="s">
        <v>3</v>
      </c>
      <c r="D5" s="6">
        <f>D3*D4</f>
        <v>1567.1989999999998</v>
      </c>
    </row>
    <row r="6" spans="2:7" x14ac:dyDescent="0.3">
      <c r="C6" s="1" t="s">
        <v>4</v>
      </c>
      <c r="D6" s="6">
        <f>344.9</f>
        <v>344.9</v>
      </c>
      <c r="E6" s="3" t="s">
        <v>11</v>
      </c>
    </row>
    <row r="7" spans="2:7" x14ac:dyDescent="0.3">
      <c r="C7" s="1" t="s">
        <v>5</v>
      </c>
      <c r="D7" s="6">
        <v>0</v>
      </c>
      <c r="E7" s="3" t="s">
        <v>11</v>
      </c>
    </row>
    <row r="8" spans="2:7" x14ac:dyDescent="0.3">
      <c r="C8" s="1" t="s">
        <v>6</v>
      </c>
      <c r="D8" s="6">
        <f>D6-D7</f>
        <v>344.9</v>
      </c>
    </row>
    <row r="9" spans="2:7" x14ac:dyDescent="0.3">
      <c r="C9" s="1" t="s">
        <v>7</v>
      </c>
      <c r="D9" s="6">
        <f>D5-D8</f>
        <v>1222.299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065B-0A8A-4D76-8500-AA978711368A}">
  <dimension ref="B2:X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5" sqref="G15"/>
    </sheetView>
  </sheetViews>
  <sheetFormatPr defaultRowHeight="14.4" x14ac:dyDescent="0.3"/>
  <cols>
    <col min="1" max="1" width="8.88671875" style="1"/>
    <col min="2" max="2" width="21.6640625" style="1" bestFit="1" customWidth="1"/>
    <col min="3" max="16384" width="8.88671875" style="1"/>
  </cols>
  <sheetData>
    <row r="2" spans="2:24" x14ac:dyDescent="0.3"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11</v>
      </c>
      <c r="I2" s="7" t="s">
        <v>31</v>
      </c>
      <c r="J2" s="7" t="s">
        <v>32</v>
      </c>
      <c r="L2" s="1">
        <v>2023</v>
      </c>
      <c r="M2" s="1">
        <v>2024</v>
      </c>
      <c r="N2" s="1">
        <v>2025</v>
      </c>
      <c r="O2" s="1">
        <v>2026</v>
      </c>
      <c r="P2" s="1">
        <v>2027</v>
      </c>
      <c r="Q2" s="1">
        <v>2028</v>
      </c>
      <c r="R2" s="1">
        <v>2029</v>
      </c>
      <c r="S2" s="1">
        <v>2030</v>
      </c>
      <c r="T2" s="1">
        <v>2031</v>
      </c>
      <c r="U2" s="1">
        <v>2032</v>
      </c>
      <c r="V2" s="1">
        <v>2033</v>
      </c>
      <c r="W2" s="1">
        <v>2034</v>
      </c>
      <c r="X2" s="1">
        <v>2035</v>
      </c>
    </row>
    <row r="3" spans="2:24" s="2" customFormat="1" x14ac:dyDescent="0.3">
      <c r="B3" s="2" t="s">
        <v>12</v>
      </c>
      <c r="D3" s="9">
        <v>41.6</v>
      </c>
      <c r="G3" s="9">
        <v>62.5</v>
      </c>
      <c r="H3" s="9">
        <v>50.3</v>
      </c>
    </row>
    <row r="4" spans="2:24" x14ac:dyDescent="0.3">
      <c r="B4" s="1" t="s">
        <v>13</v>
      </c>
      <c r="D4" s="6">
        <v>48.4</v>
      </c>
      <c r="G4" s="6">
        <v>49.6</v>
      </c>
      <c r="H4" s="6">
        <v>56.1</v>
      </c>
    </row>
    <row r="5" spans="2:24" x14ac:dyDescent="0.3">
      <c r="B5" s="1" t="s">
        <v>15</v>
      </c>
      <c r="D5" s="6">
        <v>9.3000000000000007</v>
      </c>
      <c r="G5" s="6">
        <v>6.3</v>
      </c>
      <c r="H5" s="6">
        <v>6.1</v>
      </c>
    </row>
    <row r="6" spans="2:24" s="2" customFormat="1" x14ac:dyDescent="0.3">
      <c r="B6" s="2" t="s">
        <v>14</v>
      </c>
      <c r="D6" s="9">
        <f>D3-D4</f>
        <v>-6.7999999999999972</v>
      </c>
      <c r="G6" s="9">
        <f>G3-G4</f>
        <v>12.899999999999999</v>
      </c>
      <c r="H6" s="9">
        <f>H3-H4</f>
        <v>-5.8000000000000043</v>
      </c>
    </row>
    <row r="7" spans="2:24" x14ac:dyDescent="0.3">
      <c r="B7" s="1" t="s">
        <v>16</v>
      </c>
      <c r="D7" s="6">
        <v>0.4</v>
      </c>
      <c r="G7" s="6">
        <v>0.6</v>
      </c>
      <c r="H7" s="6">
        <v>0.8</v>
      </c>
    </row>
    <row r="8" spans="2:24" x14ac:dyDescent="0.3">
      <c r="B8" s="1" t="s">
        <v>17</v>
      </c>
      <c r="D8" s="6">
        <v>11</v>
      </c>
      <c r="G8" s="6">
        <v>16.100000000000001</v>
      </c>
      <c r="H8" s="6">
        <v>16</v>
      </c>
    </row>
    <row r="9" spans="2:24" x14ac:dyDescent="0.3">
      <c r="B9" s="1" t="s">
        <v>18</v>
      </c>
      <c r="D9" s="6">
        <f>D5+SUM(D7:D8)</f>
        <v>20.700000000000003</v>
      </c>
      <c r="G9" s="6">
        <f>G5+SUM(G7:G8)</f>
        <v>23.000000000000004</v>
      </c>
      <c r="H9" s="6">
        <f>H5+SUM(H7:H8)</f>
        <v>22.9</v>
      </c>
    </row>
    <row r="10" spans="2:24" s="2" customFormat="1" x14ac:dyDescent="0.3">
      <c r="B10" s="2" t="s">
        <v>19</v>
      </c>
      <c r="D10" s="9">
        <f>D6-D9</f>
        <v>-27.5</v>
      </c>
      <c r="G10" s="9">
        <f>G6-G9</f>
        <v>-10.100000000000005</v>
      </c>
      <c r="H10" s="9">
        <f>H6-H9</f>
        <v>-28.700000000000003</v>
      </c>
    </row>
    <row r="11" spans="2:24" x14ac:dyDescent="0.3">
      <c r="B11" s="1" t="s">
        <v>20</v>
      </c>
      <c r="D11" s="6">
        <v>-44.2</v>
      </c>
      <c r="G11" s="6">
        <v>-11.1</v>
      </c>
      <c r="H11" s="6">
        <v>9.6</v>
      </c>
    </row>
    <row r="12" spans="2:24" s="2" customFormat="1" x14ac:dyDescent="0.3">
      <c r="B12" s="2" t="s">
        <v>21</v>
      </c>
      <c r="D12" s="9">
        <f>D10-D11</f>
        <v>16.700000000000003</v>
      </c>
      <c r="G12" s="9">
        <f>G10-G11</f>
        <v>0.99999999999999467</v>
      </c>
      <c r="H12" s="9">
        <f>H10-H11</f>
        <v>-38.300000000000004</v>
      </c>
    </row>
    <row r="13" spans="2:24" x14ac:dyDescent="0.3">
      <c r="B13" s="1" t="s">
        <v>22</v>
      </c>
      <c r="D13" s="6">
        <v>0</v>
      </c>
      <c r="G13" s="6">
        <v>0</v>
      </c>
      <c r="H13" s="6">
        <v>0</v>
      </c>
    </row>
    <row r="14" spans="2:24" x14ac:dyDescent="0.3">
      <c r="B14" s="1" t="s">
        <v>23</v>
      </c>
      <c r="D14" s="6">
        <f>-2.8+0.8+0.1</f>
        <v>-1.8999999999999997</v>
      </c>
      <c r="G14" s="6">
        <f>11.9+0.5+0.1</f>
        <v>12.5</v>
      </c>
      <c r="H14" s="6">
        <f>-13.4+0.4+0.2</f>
        <v>-12.8</v>
      </c>
    </row>
    <row r="15" spans="2:24" s="2" customFormat="1" x14ac:dyDescent="0.3">
      <c r="B15" s="2" t="s">
        <v>24</v>
      </c>
      <c r="D15" s="9">
        <f>D12-D13-D14</f>
        <v>18.600000000000001</v>
      </c>
      <c r="G15" s="9">
        <f>G12-G13-G14</f>
        <v>-11.500000000000005</v>
      </c>
      <c r="H15" s="9">
        <f>H12-H13-H14</f>
        <v>-25.500000000000004</v>
      </c>
    </row>
    <row r="16" spans="2:24" x14ac:dyDescent="0.3">
      <c r="B16" s="1" t="s">
        <v>2</v>
      </c>
      <c r="D16" s="6">
        <f>117.8+60.9</f>
        <v>178.7</v>
      </c>
      <c r="G16" s="6">
        <f>117.8+60.9</f>
        <v>178.7</v>
      </c>
      <c r="H16" s="6">
        <f>117.8+60.9</f>
        <v>178.7</v>
      </c>
    </row>
    <row r="17" spans="2:8" x14ac:dyDescent="0.3">
      <c r="B17" s="1" t="s">
        <v>25</v>
      </c>
      <c r="D17" s="8">
        <f>D15/D16</f>
        <v>0.10408505875769447</v>
      </c>
      <c r="G17" s="8">
        <f>G15/G16</f>
        <v>-6.4353665360940157E-2</v>
      </c>
      <c r="H17" s="8">
        <f>H15/H16</f>
        <v>-0.14269725797425856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2025-08-30T10:48:59Z</dcterms:created>
  <dcterms:modified xsi:type="dcterms:W3CDTF">2025-08-30T11:29:54Z</dcterms:modified>
</cp:coreProperties>
</file>