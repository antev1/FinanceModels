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BF9483D-EDC3-4BB1-8045-2E04AD1C494A}" xr6:coauthVersionLast="47" xr6:coauthVersionMax="47" xr10:uidLastSave="{00000000-0000-0000-0000-000000000000}"/>
  <bookViews>
    <workbookView xWindow="-108" yWindow="-108" windowWidth="23256" windowHeight="12576" xr2:uid="{DF2D7ED4-E95E-4EA0-AAC3-7C5D2EE7EFC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7" i="2" l="1"/>
  <c r="W18" i="2"/>
  <c r="V18" i="2"/>
  <c r="U18" i="2"/>
  <c r="V10" i="2"/>
  <c r="U10" i="2"/>
  <c r="Y11" i="2"/>
  <c r="Z11" i="2" s="1"/>
  <c r="AA11" i="2" s="1"/>
  <c r="AB11" i="2" s="1"/>
  <c r="AC11" i="2" s="1"/>
  <c r="AD11" i="2" s="1"/>
  <c r="W11" i="2"/>
  <c r="V11" i="2"/>
  <c r="U11" i="2"/>
  <c r="K43" i="2"/>
  <c r="K42" i="2"/>
  <c r="K41" i="2"/>
  <c r="K40" i="2"/>
  <c r="K39" i="2"/>
  <c r="K38" i="2"/>
  <c r="K37" i="2"/>
  <c r="K36" i="2"/>
  <c r="K35" i="2"/>
  <c r="K34" i="2"/>
  <c r="K27" i="2"/>
  <c r="D7" i="1"/>
  <c r="D6" i="1"/>
  <c r="K16" i="2"/>
  <c r="K12" i="2"/>
  <c r="J10" i="2"/>
  <c r="J24" i="2"/>
  <c r="J22" i="2"/>
  <c r="J20" i="2"/>
  <c r="J19" i="2"/>
  <c r="J18" i="2"/>
  <c r="J15" i="2"/>
  <c r="J14" i="2"/>
  <c r="J13" i="2"/>
  <c r="J11" i="2"/>
  <c r="J26" i="2"/>
  <c r="T26" i="2"/>
  <c r="T22" i="2"/>
  <c r="F8" i="2"/>
  <c r="I5" i="2"/>
  <c r="H5" i="2"/>
  <c r="G5" i="2"/>
  <c r="S5" i="2" s="1"/>
  <c r="F5" i="2"/>
  <c r="I8" i="2"/>
  <c r="G8" i="2"/>
  <c r="H8" i="2"/>
  <c r="J32" i="2"/>
  <c r="J30" i="2"/>
  <c r="I32" i="2"/>
  <c r="H32" i="2"/>
  <c r="J31" i="2"/>
  <c r="I31" i="2"/>
  <c r="H31" i="2"/>
  <c r="I30" i="2"/>
  <c r="H30" i="2"/>
  <c r="I29" i="2"/>
  <c r="H29" i="2"/>
  <c r="J29" i="2"/>
  <c r="K17" i="2" l="1"/>
  <c r="K21" i="2" s="1"/>
  <c r="K23" i="2" s="1"/>
  <c r="K25" i="2" s="1"/>
  <c r="J5" i="2"/>
  <c r="S8" i="2"/>
  <c r="J8" i="2"/>
  <c r="T8" i="2" s="1"/>
  <c r="S38" i="2"/>
  <c r="S37" i="2"/>
  <c r="R37" i="2"/>
  <c r="Q37" i="2"/>
  <c r="E37" i="2"/>
  <c r="C37" i="2"/>
  <c r="I38" i="2"/>
  <c r="G38" i="2"/>
  <c r="I37" i="2"/>
  <c r="G37" i="2"/>
  <c r="T5" i="2" l="1"/>
  <c r="D8" i="1"/>
  <c r="AG38" i="2" s="1"/>
  <c r="AG41" i="2"/>
  <c r="I40" i="2"/>
  <c r="G40" i="2"/>
  <c r="U19" i="2"/>
  <c r="V19" i="2" s="1"/>
  <c r="W19" i="2" s="1"/>
  <c r="X19" i="2" s="1"/>
  <c r="Y19" i="2" s="1"/>
  <c r="Z19" i="2" s="1"/>
  <c r="AA19" i="2" s="1"/>
  <c r="AB19" i="2" s="1"/>
  <c r="AC19" i="2" s="1"/>
  <c r="AD19" i="2" s="1"/>
  <c r="I12" i="2"/>
  <c r="I34" i="2"/>
  <c r="E40" i="2"/>
  <c r="G34" i="2"/>
  <c r="E34" i="2"/>
  <c r="H24" i="2"/>
  <c r="H22" i="2"/>
  <c r="U22" i="2" s="1"/>
  <c r="V22" i="2" s="1"/>
  <c r="W22" i="2" s="1"/>
  <c r="X22" i="2" s="1"/>
  <c r="Y22" i="2" s="1"/>
  <c r="Z22" i="2" s="1"/>
  <c r="AA22" i="2" s="1"/>
  <c r="H20" i="2"/>
  <c r="H19" i="2"/>
  <c r="H18" i="2"/>
  <c r="J40" i="2" s="1"/>
  <c r="H15" i="2"/>
  <c r="H14" i="2"/>
  <c r="H13" i="2"/>
  <c r="H11" i="2"/>
  <c r="H10" i="2"/>
  <c r="H26" i="2"/>
  <c r="F24" i="2"/>
  <c r="F22" i="2"/>
  <c r="F20" i="2"/>
  <c r="F19" i="2"/>
  <c r="F18" i="2"/>
  <c r="F15" i="2"/>
  <c r="F14" i="2"/>
  <c r="F13" i="2"/>
  <c r="F10" i="2"/>
  <c r="F26" i="2"/>
  <c r="D24" i="2"/>
  <c r="D22" i="2"/>
  <c r="D19" i="2"/>
  <c r="D18" i="2"/>
  <c r="D15" i="2"/>
  <c r="D14" i="2"/>
  <c r="D13" i="2"/>
  <c r="D10" i="2"/>
  <c r="D26" i="2"/>
  <c r="C11" i="2"/>
  <c r="C12" i="2" s="1"/>
  <c r="C26" i="2"/>
  <c r="C16" i="2"/>
  <c r="E11" i="2"/>
  <c r="E12" i="2" s="1"/>
  <c r="E26" i="2"/>
  <c r="E16" i="2"/>
  <c r="G26" i="2"/>
  <c r="G16" i="2"/>
  <c r="G12" i="2"/>
  <c r="S40" i="2"/>
  <c r="R40" i="2"/>
  <c r="Q40" i="2"/>
  <c r="P40" i="2"/>
  <c r="P36" i="2"/>
  <c r="S34" i="2"/>
  <c r="R34" i="2"/>
  <c r="O40" i="2"/>
  <c r="O36" i="2"/>
  <c r="O19" i="2"/>
  <c r="N26" i="2"/>
  <c r="N16" i="2"/>
  <c r="N17" i="2" s="1"/>
  <c r="N21" i="2" s="1"/>
  <c r="N23" i="2" s="1"/>
  <c r="N25" i="2" s="1"/>
  <c r="N43" i="2" s="1"/>
  <c r="O26" i="2"/>
  <c r="O16" i="2"/>
  <c r="O17" i="2" s="1"/>
  <c r="O39" i="2" s="1"/>
  <c r="P19" i="2"/>
  <c r="P26" i="2"/>
  <c r="P16" i="2"/>
  <c r="P17" i="2" s="1"/>
  <c r="P39" i="2" s="1"/>
  <c r="Q20" i="2"/>
  <c r="D20" i="2" s="1"/>
  <c r="Q11" i="2"/>
  <c r="Q26" i="2"/>
  <c r="Q16" i="2"/>
  <c r="R11" i="2"/>
  <c r="R26" i="2"/>
  <c r="R16" i="2"/>
  <c r="S26" i="2"/>
  <c r="S16" i="2"/>
  <c r="S12" i="2"/>
  <c r="G3" i="1"/>
  <c r="D5" i="1"/>
  <c r="E36" i="2" l="1"/>
  <c r="D37" i="2"/>
  <c r="H38" i="2"/>
  <c r="F37" i="2"/>
  <c r="Q12" i="2"/>
  <c r="Q36" i="2" s="1"/>
  <c r="Q38" i="2"/>
  <c r="H37" i="2"/>
  <c r="R12" i="2"/>
  <c r="R17" i="2" s="1"/>
  <c r="R38" i="2"/>
  <c r="N39" i="2"/>
  <c r="S17" i="2"/>
  <c r="S21" i="2" s="1"/>
  <c r="S23" i="2" s="1"/>
  <c r="S25" i="2" s="1"/>
  <c r="S27" i="2" s="1"/>
  <c r="G36" i="2"/>
  <c r="H34" i="2"/>
  <c r="F40" i="2"/>
  <c r="F34" i="2"/>
  <c r="D11" i="2"/>
  <c r="D12" i="2" s="1"/>
  <c r="R35" i="2"/>
  <c r="S35" i="2"/>
  <c r="N41" i="2"/>
  <c r="H40" i="2"/>
  <c r="N42" i="2"/>
  <c r="F11" i="2"/>
  <c r="F38" i="2" s="1"/>
  <c r="G35" i="2"/>
  <c r="I36" i="2"/>
  <c r="E35" i="2"/>
  <c r="H12" i="2"/>
  <c r="I16" i="2"/>
  <c r="I17" i="2" s="1"/>
  <c r="I39" i="2" s="1"/>
  <c r="D9" i="1"/>
  <c r="AB22" i="2"/>
  <c r="AC22" i="2" s="1"/>
  <c r="AD22" i="2" s="1"/>
  <c r="I35" i="2"/>
  <c r="H16" i="2"/>
  <c r="F16" i="2"/>
  <c r="D16" i="2"/>
  <c r="C17" i="2"/>
  <c r="E17" i="2"/>
  <c r="G17" i="2"/>
  <c r="N27" i="2"/>
  <c r="O21" i="2"/>
  <c r="P21" i="2"/>
  <c r="Y18" i="2" l="1"/>
  <c r="X18" i="2"/>
  <c r="R36" i="2"/>
  <c r="F12" i="2"/>
  <c r="H36" i="2" s="1"/>
  <c r="Q17" i="2"/>
  <c r="Q39" i="2" s="1"/>
  <c r="J12" i="2"/>
  <c r="J36" i="2" s="1"/>
  <c r="S36" i="2"/>
  <c r="J34" i="2"/>
  <c r="S42" i="2"/>
  <c r="S43" i="2"/>
  <c r="S41" i="2"/>
  <c r="S39" i="2"/>
  <c r="H17" i="2"/>
  <c r="H21" i="2" s="1"/>
  <c r="O23" i="2"/>
  <c r="O41" i="2"/>
  <c r="H35" i="2"/>
  <c r="R21" i="2"/>
  <c r="R39" i="2"/>
  <c r="P23" i="2"/>
  <c r="P41" i="2"/>
  <c r="J38" i="2"/>
  <c r="J35" i="2"/>
  <c r="C21" i="2"/>
  <c r="C39" i="2"/>
  <c r="F35" i="2"/>
  <c r="G21" i="2"/>
  <c r="G39" i="2"/>
  <c r="E21" i="2"/>
  <c r="E39" i="2"/>
  <c r="T34" i="2"/>
  <c r="I21" i="2"/>
  <c r="I23" i="2" s="1"/>
  <c r="I42" i="2" s="1"/>
  <c r="U40" i="2"/>
  <c r="T40" i="2"/>
  <c r="D17" i="2"/>
  <c r="T37" i="2" l="1"/>
  <c r="Q21" i="2"/>
  <c r="Q41" i="2" s="1"/>
  <c r="F36" i="2"/>
  <c r="F17" i="2"/>
  <c r="F21" i="2" s="1"/>
  <c r="J37" i="2"/>
  <c r="H39" i="2"/>
  <c r="W10" i="2"/>
  <c r="V34" i="2"/>
  <c r="R23" i="2"/>
  <c r="R41" i="2"/>
  <c r="C23" i="2"/>
  <c r="C41" i="2"/>
  <c r="D21" i="2"/>
  <c r="D39" i="2"/>
  <c r="U12" i="2"/>
  <c r="U17" i="2" s="1"/>
  <c r="T12" i="2"/>
  <c r="T35" i="2"/>
  <c r="E23" i="2"/>
  <c r="E41" i="2"/>
  <c r="G23" i="2"/>
  <c r="G41" i="2"/>
  <c r="O25" i="2"/>
  <c r="O42" i="2"/>
  <c r="T38" i="2"/>
  <c r="J16" i="2"/>
  <c r="J17" i="2" s="1"/>
  <c r="U34" i="2"/>
  <c r="P25" i="2"/>
  <c r="P42" i="2"/>
  <c r="I41" i="2"/>
  <c r="I25" i="2"/>
  <c r="I43" i="2" s="1"/>
  <c r="V40" i="2"/>
  <c r="W40" i="2"/>
  <c r="H23" i="2"/>
  <c r="H41" i="2"/>
  <c r="Q23" i="2" l="1"/>
  <c r="Q25" i="2" s="1"/>
  <c r="F39" i="2"/>
  <c r="D23" i="2"/>
  <c r="D41" i="2"/>
  <c r="C25" i="2"/>
  <c r="C42" i="2"/>
  <c r="E25" i="2"/>
  <c r="E42" i="2"/>
  <c r="F23" i="2"/>
  <c r="F41" i="2"/>
  <c r="J21" i="2"/>
  <c r="J39" i="2"/>
  <c r="R25" i="2"/>
  <c r="R42" i="2"/>
  <c r="G25" i="2"/>
  <c r="G42" i="2"/>
  <c r="T16" i="2"/>
  <c r="T17" i="2" s="1"/>
  <c r="T36" i="2"/>
  <c r="P27" i="2"/>
  <c r="P43" i="2"/>
  <c r="U35" i="2"/>
  <c r="U36" i="2"/>
  <c r="O27" i="2"/>
  <c r="O43" i="2"/>
  <c r="X10" i="2"/>
  <c r="W34" i="2"/>
  <c r="I27" i="2"/>
  <c r="X40" i="2"/>
  <c r="H25" i="2"/>
  <c r="H42" i="2"/>
  <c r="Q42" i="2" l="1"/>
  <c r="V35" i="2"/>
  <c r="V12" i="2"/>
  <c r="R27" i="2"/>
  <c r="R43" i="2"/>
  <c r="C27" i="2"/>
  <c r="C43" i="2"/>
  <c r="E27" i="2"/>
  <c r="E43" i="2"/>
  <c r="T21" i="2"/>
  <c r="T39" i="2"/>
  <c r="Y10" i="2"/>
  <c r="X34" i="2"/>
  <c r="G27" i="2"/>
  <c r="G43" i="2"/>
  <c r="J23" i="2"/>
  <c r="J41" i="2"/>
  <c r="F25" i="2"/>
  <c r="F42" i="2"/>
  <c r="D25" i="2"/>
  <c r="D42" i="2"/>
  <c r="Q27" i="2"/>
  <c r="Q43" i="2"/>
  <c r="U21" i="2"/>
  <c r="U39" i="2"/>
  <c r="U16" i="2"/>
  <c r="Z18" i="2"/>
  <c r="Y40" i="2"/>
  <c r="H27" i="2"/>
  <c r="H43" i="2"/>
  <c r="T41" i="2" l="1"/>
  <c r="T23" i="2"/>
  <c r="X11" i="2"/>
  <c r="W35" i="2"/>
  <c r="W12" i="2"/>
  <c r="J25" i="2"/>
  <c r="U23" i="2"/>
  <c r="U41" i="2"/>
  <c r="Z10" i="2"/>
  <c r="Y34" i="2"/>
  <c r="D27" i="2"/>
  <c r="D43" i="2"/>
  <c r="F27" i="2"/>
  <c r="F43" i="2"/>
  <c r="V17" i="2"/>
  <c r="V16" i="2" s="1"/>
  <c r="V36" i="2"/>
  <c r="AA18" i="2"/>
  <c r="Z40" i="2"/>
  <c r="W17" i="2" l="1"/>
  <c r="W16" i="2" s="1"/>
  <c r="W36" i="2"/>
  <c r="U24" i="2"/>
  <c r="U42" i="2" s="1"/>
  <c r="J43" i="2"/>
  <c r="J27" i="2"/>
  <c r="X35" i="2"/>
  <c r="X12" i="2"/>
  <c r="AA10" i="2"/>
  <c r="Z34" i="2"/>
  <c r="J42" i="2"/>
  <c r="V21" i="2"/>
  <c r="V39" i="2"/>
  <c r="AB18" i="2"/>
  <c r="AA40" i="2"/>
  <c r="U25" i="2" l="1"/>
  <c r="U27" i="2" s="1"/>
  <c r="Y35" i="2"/>
  <c r="Y12" i="2"/>
  <c r="X17" i="2"/>
  <c r="X16" i="2" s="1"/>
  <c r="X36" i="2"/>
  <c r="T42" i="2"/>
  <c r="T25" i="2"/>
  <c r="V23" i="2"/>
  <c r="V41" i="2"/>
  <c r="AB10" i="2"/>
  <c r="AA34" i="2"/>
  <c r="W21" i="2"/>
  <c r="W39" i="2"/>
  <c r="AC18" i="2"/>
  <c r="AB40" i="2"/>
  <c r="U43" i="2" l="1"/>
  <c r="X21" i="2"/>
  <c r="X39" i="2"/>
  <c r="AC10" i="2"/>
  <c r="AB34" i="2"/>
  <c r="Y17" i="2"/>
  <c r="Y36" i="2"/>
  <c r="Y16" i="2"/>
  <c r="W23" i="2"/>
  <c r="W41" i="2"/>
  <c r="V24" i="2"/>
  <c r="V42" i="2" s="1"/>
  <c r="T27" i="2"/>
  <c r="T43" i="2"/>
  <c r="Z35" i="2"/>
  <c r="Z12" i="2"/>
  <c r="AD18" i="2"/>
  <c r="AD40" i="2" s="1"/>
  <c r="AC40" i="2"/>
  <c r="V25" i="2" l="1"/>
  <c r="V27" i="2" s="1"/>
  <c r="Z17" i="2"/>
  <c r="Z36" i="2"/>
  <c r="W24" i="2"/>
  <c r="W42" i="2" s="1"/>
  <c r="Y21" i="2"/>
  <c r="Y39" i="2"/>
  <c r="X23" i="2"/>
  <c r="X41" i="2"/>
  <c r="AA35" i="2"/>
  <c r="AA12" i="2"/>
  <c r="AD10" i="2"/>
  <c r="AC34" i="2"/>
  <c r="W25" i="2" l="1"/>
  <c r="W43" i="2" s="1"/>
  <c r="V43" i="2"/>
  <c r="Z21" i="2"/>
  <c r="Z39" i="2"/>
  <c r="Y23" i="2"/>
  <c r="Y41" i="2"/>
  <c r="AD34" i="2"/>
  <c r="AA17" i="2"/>
  <c r="AA16" i="2" s="1"/>
  <c r="AA36" i="2"/>
  <c r="X24" i="2"/>
  <c r="X42" i="2" s="1"/>
  <c r="Z16" i="2"/>
  <c r="AB35" i="2"/>
  <c r="AB12" i="2"/>
  <c r="W27" i="2" l="1"/>
  <c r="X25" i="2"/>
  <c r="X43" i="2" s="1"/>
  <c r="AC35" i="2"/>
  <c r="AC12" i="2"/>
  <c r="Y24" i="2"/>
  <c r="Y42" i="2" s="1"/>
  <c r="AB17" i="2"/>
  <c r="AB36" i="2"/>
  <c r="AA21" i="2"/>
  <c r="AA39" i="2"/>
  <c r="Z23" i="2"/>
  <c r="Z41" i="2"/>
  <c r="X27" i="2" l="1"/>
  <c r="Y25" i="2"/>
  <c r="Z24" i="2"/>
  <c r="Z42" i="2" s="1"/>
  <c r="AC17" i="2"/>
  <c r="AC16" i="2" s="1"/>
  <c r="AC36" i="2"/>
  <c r="AB21" i="2"/>
  <c r="AB39" i="2"/>
  <c r="AA23" i="2"/>
  <c r="AA41" i="2"/>
  <c r="AB16" i="2"/>
  <c r="AD35" i="2"/>
  <c r="AD12" i="2"/>
  <c r="Z25" i="2" l="1"/>
  <c r="Z27" i="2" s="1"/>
  <c r="AB23" i="2"/>
  <c r="AB41" i="2"/>
  <c r="AD17" i="2"/>
  <c r="AD16" i="2" s="1"/>
  <c r="AD36" i="2"/>
  <c r="AC21" i="2"/>
  <c r="AC39" i="2"/>
  <c r="AA24" i="2"/>
  <c r="AA42" i="2" s="1"/>
  <c r="Y27" i="2"/>
  <c r="Y43" i="2"/>
  <c r="Z43" i="2" l="1"/>
  <c r="AA25" i="2"/>
  <c r="AA43" i="2" s="1"/>
  <c r="AC23" i="2"/>
  <c r="AC41" i="2"/>
  <c r="AD21" i="2"/>
  <c r="AD39" i="2"/>
  <c r="AB24" i="2"/>
  <c r="AB42" i="2" s="1"/>
  <c r="AA27" i="2" l="1"/>
  <c r="AD23" i="2"/>
  <c r="AD41" i="2"/>
  <c r="AB25" i="2"/>
  <c r="AC24" i="2"/>
  <c r="AC42" i="2" s="1"/>
  <c r="AD24" i="2" l="1"/>
  <c r="AD42" i="2" s="1"/>
  <c r="AC25" i="2"/>
  <c r="AB43" i="2"/>
  <c r="AB27" i="2"/>
  <c r="AC27" i="2" l="1"/>
  <c r="AC43" i="2"/>
  <c r="AD25" i="2"/>
  <c r="AD27" i="2" l="1"/>
  <c r="AE25" i="2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Q25" i="2" s="1"/>
  <c r="ER25" i="2" s="1"/>
  <c r="ES25" i="2" s="1"/>
  <c r="AG39" i="2" s="1"/>
  <c r="AG40" i="2" s="1"/>
  <c r="AG42" i="2" s="1"/>
  <c r="AD43" i="2"/>
</calcChain>
</file>

<file path=xl/sharedStrings.xml><?xml version="1.0" encoding="utf-8"?>
<sst xmlns="http://schemas.openxmlformats.org/spreadsheetml/2006/main" count="72" uniqueCount="67">
  <si>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</si>
  <si>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</si>
  <si>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</si>
  <si>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</si>
  <si>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</si>
  <si>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</si>
  <si>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</si>
  <si>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</si>
  <si>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</si>
  <si>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</si>
  <si>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</si>
  <si>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H122</t>
  </si>
  <si>
    <t>H222</t>
  </si>
  <si>
    <t>H123</t>
  </si>
  <si>
    <t>H223</t>
  </si>
  <si>
    <t>H124</t>
  </si>
  <si>
    <t>H224</t>
  </si>
  <si>
    <t>H125</t>
  </si>
  <si>
    <t>H225</t>
  </si>
  <si>
    <t>Interest income</t>
  </si>
  <si>
    <t>Cost of interest</t>
  </si>
  <si>
    <t>Cost of sales</t>
  </si>
  <si>
    <t>Financial cost of sales</t>
  </si>
  <si>
    <t>Total revenue</t>
  </si>
  <si>
    <t>Total cost of sales</t>
  </si>
  <si>
    <t>Gross profit</t>
  </si>
  <si>
    <t>G&amp;A</t>
  </si>
  <si>
    <t>Net interest income</t>
  </si>
  <si>
    <t>Other income</t>
  </si>
  <si>
    <t>Operating profit</t>
  </si>
  <si>
    <t>Finance expense</t>
  </si>
  <si>
    <t>Pretax profit</t>
  </si>
  <si>
    <t>Taxes</t>
  </si>
  <si>
    <t>Net profit</t>
  </si>
  <si>
    <t>EPS</t>
  </si>
  <si>
    <t>Revenue y/y</t>
  </si>
  <si>
    <t>Interest income y/y</t>
  </si>
  <si>
    <t>Total revenue y/y</t>
  </si>
  <si>
    <t>Sales Margin</t>
  </si>
  <si>
    <t>Interest Margin</t>
  </si>
  <si>
    <t>Gross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</si>
  <si>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</si>
  <si>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</si>
  <si>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</si>
  <si>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</si>
  <si>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</si>
  <si>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</si>
  <si>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</si>
  <si>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</si>
  <si>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</si>
  <si>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</si>
  <si>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</si>
  <si>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</si>
  <si>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Q1/Q3 cross-border revenue</t>
  </si>
  <si>
    <t>Q2/Q4 cross-border revenue</t>
  </si>
  <si>
    <t>Q1/Q3 card and other revenue</t>
  </si>
  <si>
    <t>Q2/Q4 card and other revenue</t>
  </si>
  <si>
    <t>Q1/Q3 cross-border revenue y/y</t>
  </si>
  <si>
    <t>Q2/Q4 cross-border revenue y/y</t>
  </si>
  <si>
    <t>Q1/Q3 card and other revenue y/y</t>
  </si>
  <si>
    <t>Q2/Q4 card and other revenue y/y</t>
  </si>
  <si>
    <t>Total cross-border revenue</t>
  </si>
  <si>
    <t>Total card and other revenue</t>
  </si>
  <si>
    <t>H126</t>
  </si>
  <si>
    <t>H226</t>
  </si>
  <si>
    <t>Slightly undervalued</t>
  </si>
  <si>
    <t>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</si>
</sst>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3" fontId="0" fillId="0" borderId="0" xfId="0" applyNumberFormat="1" applyAlignment="1">
      <alignment horizontal="right"/>
    </xf>
    <xf numFmtId="3" fontId="0" fillId="0" borderId="0" xfId="0" applyNumberFormat="1" applyFont="1"/>
    <xf numFmtId="2" fontId="0" fillId="0" borderId="0" xfId="0" applyNumberFormat="1" applyFont="1"/>
    <xf numFmtId="3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0</xdr:row>
      <xdr:rowOff>7620</xdr:rowOff>
    </xdr:from>
    <xdr:to>
      <xdr:col>11</xdr:col>
      <xdr:colOff>30480</xdr:colOff>
      <xdr:row>46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CE1287-4C89-4C9B-E4F0-91A24F88363A}"/>
            </a:ext>
          </a:extLst>
        </xdr:cNvPr>
        <xdr:cNvCxnSpPr/>
      </xdr:nvCxnSpPr>
      <xdr:spPr>
        <a:xfrm>
          <a:off x="9159240" y="7620"/>
          <a:ext cx="0" cy="8511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0</xdr:row>
      <xdr:rowOff>15240</xdr:rowOff>
    </xdr:from>
    <xdr:to>
      <xdr:col>20</xdr:col>
      <xdr:colOff>15240</xdr:colOff>
      <xdr:row>45</xdr:row>
      <xdr:rowOff>175260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7BB963B-932C-28D7-680B-85D009C59075}"/>
            </a:ext>
          </a:extLst>
        </xdr:cNvPr>
        <xdr:cNvCxnSpPr/>
      </xdr:nvCxnSpPr>
      <xdr:spPr>
        <a:xfrm>
          <a:off x="15544800" y="15240"/>
          <a:ext cx="0" cy="8389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12-591F-4737-A293-B0DA2A006C30}">
  <dimension ref="B2:H9"/>
  <sheetViews>
    <sheetView tabSelected="1" workbookViewId="0">
      <selection activeCell="E5" sqref="E5"/>
    </sheetView>
  </sheetViews>
  <sheetFormatPr defaultRowHeight="14.4" x14ac:dyDescent="0.3"/>
  <cols>
    <col min="4" max="4" width="8.88671875" customWidth="1"/>
    <col min="6" max="8" width="14.21875" style="5" customWidth="1"/>
  </cols>
  <sheetData>
    <row r="2" spans="2:8" x14ac:dyDescent="0.3">
      <c r="F2" s="5" t="s">
        <v>7</v>
      </c>
      <c r="G2" s="5" t="s">
        <v>8</v>
      </c>
      <c r="H2" s="5" t="s">
        <v>9</v>
      </c>
    </row>
    <row r="3" spans="2:8" x14ac:dyDescent="0.3">
      <c r="B3" s="8" t="s">
        <v>66</v>
      </c>
      <c r="C3" t="s">
        <v>0</v>
      </c>
      <c r="D3" s="1">
        <v>8.3949999999999996</v>
      </c>
      <c r="F3" s="6">
        <v>45712</v>
      </c>
      <c r="G3" s="6">
        <f ca="1">TODAY()</f>
        <v>46077</v>
      </c>
      <c r="H3" s="6">
        <v>46203</v>
      </c>
    </row>
    <row r="4" spans="2:8" x14ac:dyDescent="0.3">
      <c r="C4" t="s">
        <v>1</v>
      </c>
      <c r="D4" s="2">
        <v>1027</v>
      </c>
      <c r="E4" s="5" t="s">
        <v>63</v>
      </c>
    </row>
    <row r="5" spans="2:8" x14ac:dyDescent="0.3">
      <c r="C5" t="s">
        <v>2</v>
      </c>
      <c r="D5" s="2">
        <f>D3*D4</f>
        <v>8621.6649999999991</v>
      </c>
    </row>
    <row r="6" spans="2:8" x14ac:dyDescent="0.3">
      <c r="C6" t="s">
        <v>3</v>
      </c>
      <c r="D6" s="2">
        <f>4846.7+1583.2</f>
        <v>6429.9</v>
      </c>
      <c r="E6" s="5" t="s">
        <v>63</v>
      </c>
    </row>
    <row r="7" spans="2:8" x14ac:dyDescent="0.3">
      <c r="C7" t="s">
        <v>4</v>
      </c>
      <c r="D7" s="2">
        <f>4.9+198.5</f>
        <v>203.4</v>
      </c>
      <c r="E7" s="5" t="s">
        <v>63</v>
      </c>
    </row>
    <row r="8" spans="2:8" x14ac:dyDescent="0.3">
      <c r="C8" t="s">
        <v>5</v>
      </c>
      <c r="D8" s="2">
        <f>D6-D7</f>
        <v>6226.5</v>
      </c>
    </row>
    <row r="9" spans="2:8" x14ac:dyDescent="0.3">
      <c r="C9" t="s">
        <v>6</v>
      </c>
      <c r="D9" s="2">
        <f>D5-D8</f>
        <v>2395.1649999999991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CC9C-14C1-4CAB-9334-0C94F06D7EEC}">
  <dimension ref="A1:ES43"/>
  <sheetViews>
    <sheetView workbookViewId="0">
      <pane xSplit="2" ySplit="2" topLeftCell="T23" activePane="bottomRight" state="frozen"/>
      <selection pane="topRight" activeCell="C1" sqref="C1"/>
      <selection pane="bottomLeft" activeCell="A3" sqref="A3"/>
      <selection pane="bottomRight" activeCell="AG43" sqref="AG43"/>
    </sheetView>
  </sheetViews>
  <sheetFormatPr defaultRowHeight="14.4" x14ac:dyDescent="0.3"/>
  <cols>
    <col min="2" max="2" width="29.21875" bestFit="1" customWidth="1"/>
    <col min="3" max="10" width="10.5546875" bestFit="1" customWidth="1"/>
    <col min="11" max="12" width="10.5546875" customWidth="1"/>
    <col min="14" max="30" width="10.5546875" bestFit="1" customWidth="1"/>
    <col min="32" max="32" width="12.77734375" customWidth="1"/>
    <col min="33" max="33" width="18.109375" customWidth="1"/>
  </cols>
  <sheetData>
    <row r="1" spans="1:30" x14ac:dyDescent="0.3">
      <c r="C1" s="3">
        <v>44469</v>
      </c>
      <c r="D1" s="3">
        <v>44651</v>
      </c>
      <c r="E1" s="3">
        <v>44834</v>
      </c>
      <c r="F1" s="3">
        <v>45016</v>
      </c>
      <c r="G1" s="3">
        <v>45199</v>
      </c>
      <c r="H1" s="3">
        <v>45382</v>
      </c>
      <c r="I1" s="3">
        <v>45565</v>
      </c>
      <c r="J1" s="3">
        <v>45747</v>
      </c>
      <c r="K1" s="3">
        <v>45930</v>
      </c>
      <c r="L1" s="3">
        <v>46112</v>
      </c>
      <c r="M1" s="3"/>
      <c r="N1" s="3">
        <v>43555</v>
      </c>
      <c r="O1" s="3">
        <v>43921</v>
      </c>
      <c r="P1" s="3">
        <v>44286</v>
      </c>
      <c r="Q1" s="3">
        <v>44651</v>
      </c>
      <c r="R1" s="3">
        <v>45016</v>
      </c>
      <c r="S1" s="3">
        <v>45382</v>
      </c>
      <c r="T1" s="3">
        <v>45747</v>
      </c>
      <c r="U1" s="3">
        <v>46112</v>
      </c>
      <c r="V1" s="3">
        <v>46477</v>
      </c>
      <c r="W1" s="3">
        <v>46843</v>
      </c>
      <c r="X1" s="3">
        <v>47208</v>
      </c>
      <c r="Y1" s="3">
        <v>47573</v>
      </c>
      <c r="Z1" s="3">
        <v>47938</v>
      </c>
      <c r="AA1" s="3">
        <v>48304</v>
      </c>
      <c r="AB1" s="3">
        <v>48669</v>
      </c>
      <c r="AC1" s="3">
        <v>49034</v>
      </c>
      <c r="AD1" s="3">
        <v>49399</v>
      </c>
    </row>
    <row r="2" spans="1:30" x14ac:dyDescent="0.3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63</v>
      </c>
      <c r="L2" s="4" t="s">
        <v>64</v>
      </c>
      <c r="N2">
        <v>2019</v>
      </c>
      <c r="O2">
        <v>2020</v>
      </c>
      <c r="P2">
        <v>2021</v>
      </c>
      <c r="Q2">
        <v>2022</v>
      </c>
      <c r="R2">
        <v>2023</v>
      </c>
      <c r="S2">
        <v>2024</v>
      </c>
      <c r="T2">
        <v>2025</v>
      </c>
      <c r="U2">
        <v>2026</v>
      </c>
      <c r="V2">
        <v>2027</v>
      </c>
      <c r="W2">
        <v>2028</v>
      </c>
      <c r="X2">
        <v>2029</v>
      </c>
      <c r="Y2">
        <v>2030</v>
      </c>
      <c r="Z2">
        <v>2031</v>
      </c>
      <c r="AA2">
        <v>2032</v>
      </c>
      <c r="AB2">
        <v>2033</v>
      </c>
      <c r="AC2">
        <v>2034</v>
      </c>
      <c r="AD2">
        <v>2035</v>
      </c>
    </row>
    <row r="3" spans="1:30" x14ac:dyDescent="0.3">
      <c r="B3" t="s">
        <v>53</v>
      </c>
      <c r="C3" s="4"/>
      <c r="D3" s="4"/>
      <c r="E3" s="4"/>
      <c r="F3" s="12">
        <v>181.3</v>
      </c>
      <c r="G3" s="12">
        <v>187.9</v>
      </c>
      <c r="H3" s="12">
        <v>206.2</v>
      </c>
      <c r="I3" s="12">
        <v>211.2</v>
      </c>
      <c r="J3" s="12">
        <v>212.9</v>
      </c>
      <c r="K3" s="12"/>
      <c r="L3" s="12"/>
    </row>
    <row r="4" spans="1:30" x14ac:dyDescent="0.3">
      <c r="B4" t="s">
        <v>54</v>
      </c>
      <c r="C4" s="4"/>
      <c r="D4" s="4"/>
      <c r="E4" s="4"/>
      <c r="F4" s="12">
        <v>177.7</v>
      </c>
      <c r="G4" s="12">
        <v>196.5</v>
      </c>
      <c r="H4" s="12">
        <v>204.6</v>
      </c>
      <c r="I4" s="12">
        <v>207.9</v>
      </c>
      <c r="J4" s="15">
        <v>208.4</v>
      </c>
      <c r="K4" s="12"/>
      <c r="L4" s="12"/>
    </row>
    <row r="5" spans="1:30" x14ac:dyDescent="0.3">
      <c r="B5" t="s">
        <v>61</v>
      </c>
      <c r="C5" s="4"/>
      <c r="D5" s="4"/>
      <c r="E5" s="4"/>
      <c r="F5" s="12">
        <f t="shared" ref="F5:J5" si="0">F3+F4</f>
        <v>359</v>
      </c>
      <c r="G5" s="12">
        <f t="shared" si="0"/>
        <v>384.4</v>
      </c>
      <c r="H5" s="12">
        <f t="shared" si="0"/>
        <v>410.79999999999995</v>
      </c>
      <c r="I5" s="12">
        <f t="shared" si="0"/>
        <v>419.1</v>
      </c>
      <c r="J5" s="12">
        <f t="shared" si="0"/>
        <v>421.3</v>
      </c>
      <c r="K5" s="12"/>
      <c r="L5" s="12"/>
      <c r="S5" s="2">
        <f>G5+H5</f>
        <v>795.19999999999993</v>
      </c>
      <c r="T5" s="2">
        <f>I5+J5</f>
        <v>840.40000000000009</v>
      </c>
    </row>
    <row r="6" spans="1:30" x14ac:dyDescent="0.3">
      <c r="B6" t="s">
        <v>55</v>
      </c>
      <c r="C6" s="4"/>
      <c r="D6" s="4"/>
      <c r="E6" s="4"/>
      <c r="F6" s="12">
        <v>43.9</v>
      </c>
      <c r="G6" s="12">
        <v>51.6</v>
      </c>
      <c r="H6" s="12">
        <v>70.400000000000006</v>
      </c>
      <c r="I6" s="12">
        <v>80</v>
      </c>
      <c r="J6" s="12">
        <v>97.8</v>
      </c>
      <c r="K6" s="12"/>
      <c r="L6" s="12"/>
    </row>
    <row r="7" spans="1:30" x14ac:dyDescent="0.3">
      <c r="B7" t="s">
        <v>56</v>
      </c>
      <c r="C7" s="4"/>
      <c r="D7" s="4"/>
      <c r="E7" s="4"/>
      <c r="F7" s="12">
        <v>45.8</v>
      </c>
      <c r="G7" s="12">
        <v>62.2</v>
      </c>
      <c r="H7" s="12">
        <v>72.599999999999994</v>
      </c>
      <c r="I7" s="12">
        <v>92.8</v>
      </c>
      <c r="J7" s="15">
        <v>100.9</v>
      </c>
      <c r="K7" s="12"/>
      <c r="L7" s="12"/>
    </row>
    <row r="8" spans="1:30" x14ac:dyDescent="0.3">
      <c r="B8" t="s">
        <v>62</v>
      </c>
      <c r="C8" s="4"/>
      <c r="D8" s="4"/>
      <c r="E8" s="4"/>
      <c r="F8" s="12">
        <f>F6+F7</f>
        <v>89.699999999999989</v>
      </c>
      <c r="G8" s="12">
        <f>G6+G7</f>
        <v>113.80000000000001</v>
      </c>
      <c r="H8" s="12">
        <f>H6+H7</f>
        <v>143</v>
      </c>
      <c r="I8" s="12">
        <f t="shared" ref="I8:J8" si="1">I6+I7</f>
        <v>172.8</v>
      </c>
      <c r="J8" s="12">
        <f t="shared" si="1"/>
        <v>198.7</v>
      </c>
      <c r="K8" s="12"/>
      <c r="L8" s="12"/>
      <c r="S8" s="2">
        <f>G8+H8</f>
        <v>256.8</v>
      </c>
      <c r="T8" s="2">
        <f>I8+J8</f>
        <v>371.5</v>
      </c>
    </row>
    <row r="9" spans="1:30" x14ac:dyDescent="0.3">
      <c r="C9" s="4"/>
      <c r="D9" s="4"/>
      <c r="E9" s="4"/>
      <c r="F9" s="4"/>
      <c r="G9" s="4"/>
      <c r="H9" s="4"/>
      <c r="I9" s="4"/>
      <c r="J9" s="4"/>
      <c r="K9" s="4"/>
      <c r="L9" s="4"/>
      <c r="S9" s="2"/>
      <c r="T9" s="2"/>
    </row>
    <row r="10" spans="1:30" x14ac:dyDescent="0.3">
      <c r="B10" t="s">
        <v>10</v>
      </c>
      <c r="C10" s="2">
        <v>256.3</v>
      </c>
      <c r="D10" s="2">
        <f>Q10-C10</f>
        <v>303.59999999999997</v>
      </c>
      <c r="E10" s="2">
        <v>397.4</v>
      </c>
      <c r="F10" s="2">
        <f>R10-E10</f>
        <v>448.70000000000005</v>
      </c>
      <c r="G10" s="2">
        <v>498.2</v>
      </c>
      <c r="H10" s="2">
        <f>S10-G10</f>
        <v>553.79999999999995</v>
      </c>
      <c r="I10" s="2">
        <v>591.9</v>
      </c>
      <c r="J10" s="13">
        <f>T10-I10</f>
        <v>620.00000000000011</v>
      </c>
      <c r="K10" s="13">
        <v>658</v>
      </c>
      <c r="L10" s="2"/>
      <c r="P10" s="2"/>
      <c r="Q10" s="2">
        <v>559.9</v>
      </c>
      <c r="R10" s="2">
        <v>846.1</v>
      </c>
      <c r="S10" s="2">
        <v>1052</v>
      </c>
      <c r="T10" s="2">
        <v>1211.9000000000001</v>
      </c>
      <c r="U10" s="2">
        <f>T10*1.11</f>
        <v>1345.2090000000003</v>
      </c>
      <c r="V10" s="2">
        <f>U10*1.09</f>
        <v>1466.2778100000005</v>
      </c>
      <c r="W10" s="2">
        <f>V10*1.07</f>
        <v>1568.9172567000007</v>
      </c>
      <c r="X10" s="2">
        <f>W10*1.05</f>
        <v>1647.3631195350008</v>
      </c>
      <c r="Y10" s="2">
        <f>X10*1.04</f>
        <v>1713.257644316401</v>
      </c>
      <c r="Z10" s="2">
        <f>Y10*1.03</f>
        <v>1764.655373645893</v>
      </c>
      <c r="AA10" s="2">
        <f>Z10*1.02</f>
        <v>1799.9484811188108</v>
      </c>
      <c r="AB10" s="2">
        <f t="shared" ref="AB10:AD10" si="2">AA10*1.02</f>
        <v>1835.9474507411871</v>
      </c>
      <c r="AC10" s="2">
        <f t="shared" si="2"/>
        <v>1872.6663997560108</v>
      </c>
      <c r="AD10" s="2">
        <f t="shared" si="2"/>
        <v>1910.119727751131</v>
      </c>
    </row>
    <row r="11" spans="1:30" x14ac:dyDescent="0.3">
      <c r="B11" t="s">
        <v>19</v>
      </c>
      <c r="C11" s="2">
        <f>1.5-2.7</f>
        <v>-1.2000000000000002</v>
      </c>
      <c r="D11" s="2">
        <f>Q11-C11</f>
        <v>-1.6</v>
      </c>
      <c r="E11" s="2">
        <f>22.3-3.6</f>
        <v>18.7</v>
      </c>
      <c r="F11" s="2">
        <f>R11-E11</f>
        <v>117.8</v>
      </c>
      <c r="G11" s="2">
        <v>211.1</v>
      </c>
      <c r="H11" s="2">
        <f>S11-G11</f>
        <v>274.10000000000002</v>
      </c>
      <c r="I11" s="2">
        <v>300.7</v>
      </c>
      <c r="J11" s="13">
        <f>T11-I11</f>
        <v>293.59999999999997</v>
      </c>
      <c r="K11" s="13">
        <v>297.39999999999998</v>
      </c>
      <c r="L11" s="2"/>
      <c r="P11" s="2"/>
      <c r="Q11" s="2">
        <f>3.9-6.7</f>
        <v>-2.8000000000000003</v>
      </c>
      <c r="R11" s="2">
        <f>140.2-3.7</f>
        <v>136.5</v>
      </c>
      <c r="S11" s="2">
        <v>485.2</v>
      </c>
      <c r="T11" s="2">
        <v>594.29999999999995</v>
      </c>
      <c r="U11" s="2">
        <f>T11*1.01</f>
        <v>600.24299999999994</v>
      </c>
      <c r="V11" s="2">
        <f>U11*1.04</f>
        <v>624.25271999999995</v>
      </c>
      <c r="W11" s="2">
        <f>V11*1.03</f>
        <v>642.98030159999996</v>
      </c>
      <c r="X11" s="2">
        <f>W11*1.03</f>
        <v>662.269710648</v>
      </c>
      <c r="Y11" s="2">
        <f t="shared" ref="Y11:AD11" si="3">X11*1.03</f>
        <v>682.13780196744005</v>
      </c>
      <c r="Z11" s="2">
        <f t="shared" si="3"/>
        <v>702.60193602646325</v>
      </c>
      <c r="AA11" s="2">
        <f t="shared" si="3"/>
        <v>723.67999410725713</v>
      </c>
      <c r="AB11" s="2">
        <f t="shared" si="3"/>
        <v>745.39039393047483</v>
      </c>
      <c r="AC11" s="2">
        <f t="shared" si="3"/>
        <v>767.75210574838911</v>
      </c>
      <c r="AD11" s="2">
        <f t="shared" si="3"/>
        <v>790.78466892084077</v>
      </c>
    </row>
    <row r="12" spans="1:30" s="8" customFormat="1" x14ac:dyDescent="0.3">
      <c r="A12"/>
      <c r="B12" s="8" t="s">
        <v>23</v>
      </c>
      <c r="C12" s="9">
        <f t="shared" ref="C12:H12" si="4">C10+C11</f>
        <v>255.10000000000002</v>
      </c>
      <c r="D12" s="9">
        <f t="shared" si="4"/>
        <v>301.99999999999994</v>
      </c>
      <c r="E12" s="9">
        <f t="shared" si="4"/>
        <v>416.09999999999997</v>
      </c>
      <c r="F12" s="9">
        <f t="shared" si="4"/>
        <v>566.5</v>
      </c>
      <c r="G12" s="9">
        <f t="shared" si="4"/>
        <v>709.3</v>
      </c>
      <c r="H12" s="9">
        <f t="shared" si="4"/>
        <v>827.9</v>
      </c>
      <c r="I12" s="9">
        <f t="shared" ref="I12:J12" si="5">I10+I11</f>
        <v>892.59999999999991</v>
      </c>
      <c r="J12" s="9">
        <f t="shared" si="5"/>
        <v>913.60000000000014</v>
      </c>
      <c r="K12" s="9">
        <f t="shared" ref="K12" si="6">K10+K11</f>
        <v>955.4</v>
      </c>
      <c r="L12" s="9"/>
      <c r="N12" s="9">
        <v>177.9</v>
      </c>
      <c r="O12" s="9">
        <v>302.60000000000002</v>
      </c>
      <c r="P12" s="9">
        <v>421</v>
      </c>
      <c r="Q12" s="9">
        <f>Q10+Q11</f>
        <v>557.1</v>
      </c>
      <c r="R12" s="9">
        <f>R10+R11</f>
        <v>982.6</v>
      </c>
      <c r="S12" s="9">
        <f>S10+S11</f>
        <v>1537.2</v>
      </c>
      <c r="T12" s="9">
        <f>T10+T11</f>
        <v>1806.2</v>
      </c>
      <c r="U12" s="9">
        <f>U10+U11</f>
        <v>1945.4520000000002</v>
      </c>
      <c r="V12" s="9">
        <f t="shared" ref="V12:AD12" si="7">V10+V11</f>
        <v>2090.5305300000005</v>
      </c>
      <c r="W12" s="9">
        <f t="shared" si="7"/>
        <v>2211.8975583000006</v>
      </c>
      <c r="X12" s="9">
        <f t="shared" si="7"/>
        <v>2309.6328301830008</v>
      </c>
      <c r="Y12" s="9">
        <f t="shared" si="7"/>
        <v>2395.395446283841</v>
      </c>
      <c r="Z12" s="9">
        <f t="shared" si="7"/>
        <v>2467.2573096723563</v>
      </c>
      <c r="AA12" s="9">
        <f t="shared" si="7"/>
        <v>2523.6284752260681</v>
      </c>
      <c r="AB12" s="9">
        <f t="shared" si="7"/>
        <v>2581.337844671662</v>
      </c>
      <c r="AC12" s="9">
        <f t="shared" si="7"/>
        <v>2640.4185055043999</v>
      </c>
      <c r="AD12" s="9">
        <f t="shared" si="7"/>
        <v>2700.9043966719719</v>
      </c>
    </row>
    <row r="13" spans="1:30" x14ac:dyDescent="0.3">
      <c r="B13" t="s">
        <v>20</v>
      </c>
      <c r="C13" s="2">
        <v>0</v>
      </c>
      <c r="D13" s="2">
        <f>Q13-C13</f>
        <v>0</v>
      </c>
      <c r="E13" s="2">
        <v>0</v>
      </c>
      <c r="F13" s="2">
        <f>R13-E13</f>
        <v>18.399999999999999</v>
      </c>
      <c r="G13" s="2">
        <v>53.3</v>
      </c>
      <c r="H13" s="2">
        <f>S13-G13</f>
        <v>71.600000000000009</v>
      </c>
      <c r="I13" s="2">
        <v>84.8</v>
      </c>
      <c r="J13" s="13">
        <f t="shared" ref="J13:K15" si="8">T13-I13</f>
        <v>76.399999999999991</v>
      </c>
      <c r="K13" s="13">
        <v>73.3</v>
      </c>
      <c r="L13" s="2"/>
      <c r="N13" s="2"/>
      <c r="O13" s="2"/>
      <c r="P13" s="2"/>
      <c r="Q13" s="2">
        <v>0</v>
      </c>
      <c r="R13" s="2">
        <v>18.399999999999999</v>
      </c>
      <c r="S13" s="2">
        <v>124.9</v>
      </c>
      <c r="T13" s="2">
        <v>161.19999999999999</v>
      </c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">
      <c r="B14" t="s">
        <v>21</v>
      </c>
      <c r="C14" s="2">
        <v>81.2</v>
      </c>
      <c r="D14" s="2">
        <f>Q14-C14</f>
        <v>104.60000000000001</v>
      </c>
      <c r="E14" s="2">
        <v>148.5</v>
      </c>
      <c r="F14" s="2">
        <f>R14-E14</f>
        <v>159.69999999999999</v>
      </c>
      <c r="G14" s="2">
        <v>160.69999999999999</v>
      </c>
      <c r="H14" s="2">
        <f>S14-G14</f>
        <v>146.69999999999999</v>
      </c>
      <c r="I14" s="2">
        <v>152.9</v>
      </c>
      <c r="J14" s="13">
        <f t="shared" si="8"/>
        <v>175.20000000000002</v>
      </c>
      <c r="K14" s="13">
        <v>173.7</v>
      </c>
      <c r="L14" s="2"/>
      <c r="N14" s="2">
        <v>66.5</v>
      </c>
      <c r="O14" s="2">
        <v>111.4</v>
      </c>
      <c r="P14" s="2">
        <v>151.69999999999999</v>
      </c>
      <c r="Q14" s="2">
        <v>185.8</v>
      </c>
      <c r="R14" s="2">
        <v>308.2</v>
      </c>
      <c r="S14" s="2">
        <v>307.39999999999998</v>
      </c>
      <c r="T14" s="2">
        <v>328.1</v>
      </c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">
      <c r="B15" t="s">
        <v>22</v>
      </c>
      <c r="C15" s="2">
        <v>1.3</v>
      </c>
      <c r="D15" s="2">
        <f>Q15-C15</f>
        <v>0.90000000000000013</v>
      </c>
      <c r="E15" s="2">
        <v>5.2</v>
      </c>
      <c r="F15" s="2">
        <f>R15-E15</f>
        <v>12.600000000000001</v>
      </c>
      <c r="G15" s="2">
        <v>6.4</v>
      </c>
      <c r="H15" s="2">
        <f>S15-G15</f>
        <v>6.1</v>
      </c>
      <c r="I15" s="2">
        <v>4.5</v>
      </c>
      <c r="J15" s="13">
        <f t="shared" si="8"/>
        <v>4.5999999999999996</v>
      </c>
      <c r="K15" s="13">
        <v>4.5999999999999996</v>
      </c>
      <c r="L15" s="2"/>
      <c r="N15" s="2">
        <v>1</v>
      </c>
      <c r="O15" s="2">
        <v>3.1</v>
      </c>
      <c r="P15" s="2">
        <v>8.8000000000000007</v>
      </c>
      <c r="Q15" s="2">
        <v>2.2000000000000002</v>
      </c>
      <c r="R15" s="2">
        <v>17.8</v>
      </c>
      <c r="S15" s="2">
        <v>12.5</v>
      </c>
      <c r="T15" s="2">
        <v>9.1</v>
      </c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">
      <c r="B16" t="s">
        <v>24</v>
      </c>
      <c r="C16" s="2">
        <f t="shared" ref="C16:H16" si="9">C13+C14+C15</f>
        <v>82.5</v>
      </c>
      <c r="D16" s="2">
        <f t="shared" si="9"/>
        <v>105.50000000000001</v>
      </c>
      <c r="E16" s="2">
        <f t="shared" si="9"/>
        <v>153.69999999999999</v>
      </c>
      <c r="F16" s="2">
        <f t="shared" si="9"/>
        <v>190.7</v>
      </c>
      <c r="G16" s="2">
        <f t="shared" si="9"/>
        <v>220.4</v>
      </c>
      <c r="H16" s="2">
        <f t="shared" si="9"/>
        <v>224.4</v>
      </c>
      <c r="I16" s="2">
        <f t="shared" ref="I16:J16" si="10">I13+I14+I15</f>
        <v>242.2</v>
      </c>
      <c r="J16" s="13">
        <f t="shared" si="10"/>
        <v>256.20000000000005</v>
      </c>
      <c r="K16" s="13">
        <f t="shared" ref="K16" si="11">K13+K14+K15</f>
        <v>251.6</v>
      </c>
      <c r="L16" s="2"/>
      <c r="N16" s="2">
        <f t="shared" ref="N16:T16" si="12">N13+N14+N15</f>
        <v>67.5</v>
      </c>
      <c r="O16" s="2">
        <f t="shared" si="12"/>
        <v>114.5</v>
      </c>
      <c r="P16" s="2">
        <f t="shared" si="12"/>
        <v>160.5</v>
      </c>
      <c r="Q16" s="2">
        <f t="shared" si="12"/>
        <v>188</v>
      </c>
      <c r="R16" s="2">
        <f t="shared" si="12"/>
        <v>344.4</v>
      </c>
      <c r="S16" s="2">
        <f t="shared" si="12"/>
        <v>444.79999999999995</v>
      </c>
      <c r="T16" s="2">
        <f t="shared" si="12"/>
        <v>498.40000000000003</v>
      </c>
      <c r="U16" s="2">
        <f>U12-U17</f>
        <v>525.27204000000006</v>
      </c>
      <c r="V16" s="2">
        <f t="shared" ref="V16:AD16" si="13">V12-V17</f>
        <v>543.53793780000024</v>
      </c>
      <c r="W16" s="2">
        <f t="shared" si="13"/>
        <v>575.0933651580001</v>
      </c>
      <c r="X16" s="2">
        <f t="shared" si="13"/>
        <v>600.5045358475802</v>
      </c>
      <c r="Y16" s="2">
        <f t="shared" si="13"/>
        <v>622.80281603379876</v>
      </c>
      <c r="Z16" s="2">
        <f t="shared" si="13"/>
        <v>641.48690051481276</v>
      </c>
      <c r="AA16" s="2">
        <f t="shared" si="13"/>
        <v>656.14340355877766</v>
      </c>
      <c r="AB16" s="2">
        <f t="shared" si="13"/>
        <v>671.14783961463218</v>
      </c>
      <c r="AC16" s="2">
        <f t="shared" si="13"/>
        <v>686.50881143114407</v>
      </c>
      <c r="AD16" s="2">
        <f t="shared" si="13"/>
        <v>702.23514313471264</v>
      </c>
    </row>
    <row r="17" spans="1:149" s="8" customFormat="1" x14ac:dyDescent="0.3">
      <c r="A17"/>
      <c r="B17" s="8" t="s">
        <v>25</v>
      </c>
      <c r="C17" s="9">
        <f t="shared" ref="C17:H17" si="14">C12-C16</f>
        <v>172.60000000000002</v>
      </c>
      <c r="D17" s="9">
        <f t="shared" si="14"/>
        <v>196.49999999999994</v>
      </c>
      <c r="E17" s="9">
        <f t="shared" si="14"/>
        <v>262.39999999999998</v>
      </c>
      <c r="F17" s="9">
        <f t="shared" si="14"/>
        <v>375.8</v>
      </c>
      <c r="G17" s="9">
        <f t="shared" si="14"/>
        <v>488.9</v>
      </c>
      <c r="H17" s="9">
        <f t="shared" si="14"/>
        <v>603.5</v>
      </c>
      <c r="I17" s="9">
        <f t="shared" ref="I17:J17" si="15">I12-I16</f>
        <v>650.39999999999986</v>
      </c>
      <c r="J17" s="9">
        <f t="shared" si="15"/>
        <v>657.40000000000009</v>
      </c>
      <c r="K17" s="9">
        <f t="shared" ref="K17" si="16">K12-K16</f>
        <v>703.8</v>
      </c>
      <c r="L17" s="9"/>
      <c r="N17" s="9">
        <f t="shared" ref="N17:T17" si="17">N12-N16</f>
        <v>110.4</v>
      </c>
      <c r="O17" s="9">
        <f t="shared" si="17"/>
        <v>188.10000000000002</v>
      </c>
      <c r="P17" s="9">
        <f t="shared" si="17"/>
        <v>260.5</v>
      </c>
      <c r="Q17" s="9">
        <f t="shared" si="17"/>
        <v>369.1</v>
      </c>
      <c r="R17" s="9">
        <f t="shared" si="17"/>
        <v>638.20000000000005</v>
      </c>
      <c r="S17" s="9">
        <f t="shared" si="17"/>
        <v>1092.4000000000001</v>
      </c>
      <c r="T17" s="9">
        <f t="shared" si="17"/>
        <v>1307.8</v>
      </c>
      <c r="U17" s="9">
        <f>U12*0.73</f>
        <v>1420.1799600000002</v>
      </c>
      <c r="V17" s="9">
        <f t="shared" ref="V17:AD17" si="18">V12*0.74</f>
        <v>1546.9925922000002</v>
      </c>
      <c r="W17" s="9">
        <f t="shared" si="18"/>
        <v>1636.8041931420005</v>
      </c>
      <c r="X17" s="9">
        <f t="shared" si="18"/>
        <v>1709.1282943354206</v>
      </c>
      <c r="Y17" s="9">
        <f t="shared" si="18"/>
        <v>1772.5926302500422</v>
      </c>
      <c r="Z17" s="9">
        <f t="shared" si="18"/>
        <v>1825.7704091575436</v>
      </c>
      <c r="AA17" s="9">
        <f t="shared" si="18"/>
        <v>1867.4850716672904</v>
      </c>
      <c r="AB17" s="9">
        <f t="shared" si="18"/>
        <v>1910.1900050570298</v>
      </c>
      <c r="AC17" s="9">
        <f t="shared" si="18"/>
        <v>1953.9096940732559</v>
      </c>
      <c r="AD17" s="9">
        <f t="shared" si="18"/>
        <v>1998.6692535372592</v>
      </c>
    </row>
    <row r="18" spans="1:149" x14ac:dyDescent="0.3">
      <c r="B18" t="s">
        <v>26</v>
      </c>
      <c r="C18" s="2">
        <v>152.19999999999999</v>
      </c>
      <c r="D18" s="2">
        <f>Q18-C18</f>
        <v>169.2</v>
      </c>
      <c r="E18" s="2">
        <v>214.9</v>
      </c>
      <c r="F18" s="2">
        <f>R18-E18</f>
        <v>279.60000000000002</v>
      </c>
      <c r="G18" s="2">
        <v>296.5</v>
      </c>
      <c r="H18" s="2">
        <f>S18-G18</f>
        <v>319.39999999999998</v>
      </c>
      <c r="I18" s="2">
        <v>366.7</v>
      </c>
      <c r="J18" s="13">
        <f t="shared" ref="J18:K20" si="19">T18-I18</f>
        <v>401.90000000000003</v>
      </c>
      <c r="K18" s="13">
        <v>465.9</v>
      </c>
      <c r="L18" s="2"/>
      <c r="N18" s="2">
        <v>99.5</v>
      </c>
      <c r="O18" s="2">
        <v>168.8</v>
      </c>
      <c r="P18" s="2">
        <v>217.5</v>
      </c>
      <c r="Q18" s="2">
        <v>321.39999999999998</v>
      </c>
      <c r="R18" s="2">
        <v>494.5</v>
      </c>
      <c r="S18" s="2">
        <v>615.9</v>
      </c>
      <c r="T18" s="2">
        <v>768.6</v>
      </c>
      <c r="U18" s="2">
        <f>T18*1.24</f>
        <v>953.06400000000008</v>
      </c>
      <c r="V18" s="2">
        <f>U18*1.12</f>
        <v>1067.4316800000001</v>
      </c>
      <c r="W18" s="2">
        <f>V18*1.07</f>
        <v>1142.1518976000002</v>
      </c>
      <c r="X18" s="2">
        <f>W18*1.05</f>
        <v>1199.2594924800003</v>
      </c>
      <c r="Y18" s="2">
        <f>X18*1.03</f>
        <v>1235.2372772544004</v>
      </c>
      <c r="Z18" s="2">
        <f>Y18*1.02</f>
        <v>1259.9420227994883</v>
      </c>
      <c r="AA18" s="2">
        <f t="shared" ref="AA18:AD18" si="20">Z18*1.02</f>
        <v>1285.1408632554781</v>
      </c>
      <c r="AB18" s="2">
        <f t="shared" si="20"/>
        <v>1310.8436805205877</v>
      </c>
      <c r="AC18" s="2">
        <f t="shared" si="20"/>
        <v>1337.0605541309994</v>
      </c>
      <c r="AD18" s="2">
        <f t="shared" si="20"/>
        <v>1363.8017652136195</v>
      </c>
    </row>
    <row r="19" spans="1:149" x14ac:dyDescent="0.3">
      <c r="B19" t="s">
        <v>27</v>
      </c>
      <c r="C19" s="2">
        <v>0</v>
      </c>
      <c r="D19" s="2">
        <f>Q19-C19</f>
        <v>0</v>
      </c>
      <c r="E19" s="2">
        <v>-0.3</v>
      </c>
      <c r="F19" s="2">
        <f>R19-E19</f>
        <v>-2.5</v>
      </c>
      <c r="G19" s="2">
        <v>-7.3</v>
      </c>
      <c r="H19" s="2">
        <f>S19-G19</f>
        <v>-12.399999999999999</v>
      </c>
      <c r="I19" s="2">
        <v>-15.9</v>
      </c>
      <c r="J19" s="13">
        <f t="shared" si="19"/>
        <v>-17.399999999999999</v>
      </c>
      <c r="K19" s="13">
        <v>-23.7</v>
      </c>
      <c r="L19" s="2"/>
      <c r="N19" s="2">
        <v>-0.9</v>
      </c>
      <c r="O19" s="2">
        <f>-5.4+1.3</f>
        <v>-4.1000000000000005</v>
      </c>
      <c r="P19" s="2">
        <f>-1.9+3.8</f>
        <v>1.9</v>
      </c>
      <c r="Q19" s="2">
        <v>0</v>
      </c>
      <c r="R19" s="2">
        <v>-2.8</v>
      </c>
      <c r="S19" s="2">
        <v>-19.7</v>
      </c>
      <c r="T19" s="2">
        <v>-33.299999999999997</v>
      </c>
      <c r="U19" s="2">
        <f>T19*1.03</f>
        <v>-34.298999999999999</v>
      </c>
      <c r="V19" s="2">
        <f t="shared" ref="V19:AD19" si="21">U19*1.03</f>
        <v>-35.327970000000001</v>
      </c>
      <c r="W19" s="2">
        <f t="shared" si="21"/>
        <v>-36.387809099999998</v>
      </c>
      <c r="X19" s="2">
        <f t="shared" si="21"/>
        <v>-37.479443373000002</v>
      </c>
      <c r="Y19" s="2">
        <f t="shared" si="21"/>
        <v>-38.603826674190003</v>
      </c>
      <c r="Z19" s="2">
        <f t="shared" si="21"/>
        <v>-39.761941474415707</v>
      </c>
      <c r="AA19" s="2">
        <f t="shared" si="21"/>
        <v>-40.954799718648182</v>
      </c>
      <c r="AB19" s="2">
        <f t="shared" si="21"/>
        <v>-42.183443710207627</v>
      </c>
      <c r="AC19" s="2">
        <f t="shared" si="21"/>
        <v>-43.44894702151386</v>
      </c>
      <c r="AD19" s="2">
        <f t="shared" si="21"/>
        <v>-44.752415432159275</v>
      </c>
    </row>
    <row r="20" spans="1:149" x14ac:dyDescent="0.3">
      <c r="B20" t="s">
        <v>28</v>
      </c>
      <c r="C20" s="2">
        <v>-0.9</v>
      </c>
      <c r="D20" s="2">
        <f>Q20-C20</f>
        <v>-9.9999999999999978E-2</v>
      </c>
      <c r="E20" s="2">
        <v>-7.2</v>
      </c>
      <c r="F20" s="2">
        <f>R20-E20</f>
        <v>-3.4999999999999991</v>
      </c>
      <c r="G20" s="2">
        <v>-3.9</v>
      </c>
      <c r="H20" s="2">
        <f>S20-G20</f>
        <v>-1.8000000000000003</v>
      </c>
      <c r="I20" s="2">
        <v>-2.2999999999999998</v>
      </c>
      <c r="J20" s="13">
        <f t="shared" si="19"/>
        <v>-4.8</v>
      </c>
      <c r="K20" s="13">
        <v>-3.8</v>
      </c>
      <c r="L20" s="2"/>
      <c r="N20" s="2">
        <v>-0.4</v>
      </c>
      <c r="O20" s="2">
        <v>0.2</v>
      </c>
      <c r="P20" s="2">
        <v>-3.8</v>
      </c>
      <c r="Q20" s="2">
        <f>-5.8+4.8</f>
        <v>-1</v>
      </c>
      <c r="R20" s="2">
        <v>-10.7</v>
      </c>
      <c r="S20" s="2">
        <v>-5.7</v>
      </c>
      <c r="T20" s="2">
        <v>-7.1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149" s="8" customFormat="1" x14ac:dyDescent="0.3">
      <c r="A21"/>
      <c r="B21" s="8" t="s">
        <v>29</v>
      </c>
      <c r="C21" s="9">
        <f t="shared" ref="C21:J21" si="22">C17-C18-C19-C20</f>
        <v>21.300000000000033</v>
      </c>
      <c r="D21" s="9">
        <f t="shared" si="22"/>
        <v>27.399999999999956</v>
      </c>
      <c r="E21" s="9">
        <f t="shared" si="22"/>
        <v>54.999999999999972</v>
      </c>
      <c r="F21" s="9">
        <f t="shared" si="22"/>
        <v>102.19999999999999</v>
      </c>
      <c r="G21" s="9">
        <f t="shared" si="22"/>
        <v>203.6</v>
      </c>
      <c r="H21" s="9">
        <f t="shared" si="22"/>
        <v>298.3</v>
      </c>
      <c r="I21" s="9">
        <f t="shared" si="22"/>
        <v>301.89999999999986</v>
      </c>
      <c r="J21" s="9">
        <f t="shared" si="22"/>
        <v>277.70000000000005</v>
      </c>
      <c r="K21" s="9">
        <f t="shared" ref="K21" si="23">K17-K18-K19-K20</f>
        <v>265.39999999999998</v>
      </c>
      <c r="L21" s="9"/>
      <c r="N21" s="9">
        <f t="shared" ref="N21:U21" si="24">N17-N18-N19-N20</f>
        <v>12.200000000000006</v>
      </c>
      <c r="O21" s="9">
        <f t="shared" si="24"/>
        <v>23.200000000000014</v>
      </c>
      <c r="P21" s="9">
        <f t="shared" si="24"/>
        <v>44.9</v>
      </c>
      <c r="Q21" s="9">
        <f t="shared" si="24"/>
        <v>48.700000000000045</v>
      </c>
      <c r="R21" s="9">
        <f t="shared" si="24"/>
        <v>157.20000000000005</v>
      </c>
      <c r="S21" s="9">
        <f t="shared" si="24"/>
        <v>501.90000000000009</v>
      </c>
      <c r="T21" s="9">
        <f t="shared" si="24"/>
        <v>579.59999999999991</v>
      </c>
      <c r="U21" s="9">
        <f t="shared" si="24"/>
        <v>501.41496000000006</v>
      </c>
      <c r="V21" s="9">
        <f t="shared" ref="V21:AD21" si="25">V17-V18-V19-V20</f>
        <v>514.88888220000013</v>
      </c>
      <c r="W21" s="9">
        <f t="shared" si="25"/>
        <v>531.0401046420003</v>
      </c>
      <c r="X21" s="9">
        <f t="shared" si="25"/>
        <v>547.3482452284203</v>
      </c>
      <c r="Y21" s="9">
        <f t="shared" si="25"/>
        <v>575.95917966983188</v>
      </c>
      <c r="Z21" s="9">
        <f t="shared" si="25"/>
        <v>605.59032783247096</v>
      </c>
      <c r="AA21" s="9">
        <f t="shared" si="25"/>
        <v>623.29900813046049</v>
      </c>
      <c r="AB21" s="9">
        <f t="shared" si="25"/>
        <v>641.52976824664972</v>
      </c>
      <c r="AC21" s="9">
        <f t="shared" si="25"/>
        <v>660.29808696377029</v>
      </c>
      <c r="AD21" s="9">
        <f t="shared" si="25"/>
        <v>679.61990375579899</v>
      </c>
    </row>
    <row r="22" spans="1:149" x14ac:dyDescent="0.3">
      <c r="B22" t="s">
        <v>30</v>
      </c>
      <c r="C22" s="2">
        <v>2.5</v>
      </c>
      <c r="D22" s="2">
        <f>Q22-C22</f>
        <v>2.2999999999999998</v>
      </c>
      <c r="E22" s="2">
        <v>3.7</v>
      </c>
      <c r="F22" s="2">
        <f>R22-E22</f>
        <v>6.9999999999999991</v>
      </c>
      <c r="G22" s="2">
        <v>9.3000000000000007</v>
      </c>
      <c r="H22" s="2">
        <f>S22-G22</f>
        <v>11.2</v>
      </c>
      <c r="I22" s="2">
        <v>9.4</v>
      </c>
      <c r="J22" s="13">
        <f>T22-I22</f>
        <v>5.4</v>
      </c>
      <c r="K22" s="13">
        <v>10.8</v>
      </c>
      <c r="L22" s="2"/>
      <c r="N22" s="2">
        <v>2.1</v>
      </c>
      <c r="O22" s="2">
        <v>3.2</v>
      </c>
      <c r="P22" s="2">
        <v>3.8</v>
      </c>
      <c r="Q22" s="2">
        <v>4.8</v>
      </c>
      <c r="R22" s="2">
        <v>10.7</v>
      </c>
      <c r="S22" s="2">
        <v>20.5</v>
      </c>
      <c r="T22" s="2">
        <f>-0.7+15.5</f>
        <v>14.8</v>
      </c>
      <c r="U22" s="2">
        <f>T22*1.03</f>
        <v>15.244000000000002</v>
      </c>
      <c r="V22" s="2">
        <f t="shared" ref="V22:AD22" si="26">U22*1.03</f>
        <v>15.701320000000003</v>
      </c>
      <c r="W22" s="2">
        <f t="shared" si="26"/>
        <v>16.172359600000004</v>
      </c>
      <c r="X22" s="2">
        <f t="shared" si="26"/>
        <v>16.657530388000005</v>
      </c>
      <c r="Y22" s="2">
        <f t="shared" si="26"/>
        <v>17.157256299640007</v>
      </c>
      <c r="Z22" s="2">
        <f t="shared" si="26"/>
        <v>17.671973988629208</v>
      </c>
      <c r="AA22" s="2">
        <f t="shared" si="26"/>
        <v>18.202133208288085</v>
      </c>
      <c r="AB22" s="2">
        <f t="shared" si="26"/>
        <v>18.74819720453673</v>
      </c>
      <c r="AC22" s="2">
        <f t="shared" si="26"/>
        <v>19.310643120672832</v>
      </c>
      <c r="AD22" s="2">
        <f t="shared" si="26"/>
        <v>19.889962414293016</v>
      </c>
    </row>
    <row r="23" spans="1:149" s="8" customFormat="1" x14ac:dyDescent="0.3">
      <c r="A23"/>
      <c r="B23" s="8" t="s">
        <v>31</v>
      </c>
      <c r="C23" s="9">
        <f t="shared" ref="C23:H23" si="27">C21-C22</f>
        <v>18.800000000000033</v>
      </c>
      <c r="D23" s="9">
        <f t="shared" si="27"/>
        <v>25.099999999999955</v>
      </c>
      <c r="E23" s="9">
        <f t="shared" si="27"/>
        <v>51.299999999999969</v>
      </c>
      <c r="F23" s="9">
        <f t="shared" si="27"/>
        <v>95.199999999999989</v>
      </c>
      <c r="G23" s="9">
        <f t="shared" si="27"/>
        <v>194.29999999999998</v>
      </c>
      <c r="H23" s="9">
        <f t="shared" si="27"/>
        <v>287.10000000000002</v>
      </c>
      <c r="I23" s="9">
        <f t="shared" ref="I23:J23" si="28">I21-I22</f>
        <v>292.49999999999989</v>
      </c>
      <c r="J23" s="9">
        <f t="shared" si="28"/>
        <v>272.30000000000007</v>
      </c>
      <c r="K23" s="9">
        <f t="shared" ref="K23" si="29">K21-K22</f>
        <v>254.59999999999997</v>
      </c>
      <c r="L23" s="9"/>
      <c r="N23" s="9">
        <f t="shared" ref="N23:U23" si="30">N21-N22</f>
        <v>10.100000000000007</v>
      </c>
      <c r="O23" s="9">
        <f t="shared" si="30"/>
        <v>20.000000000000014</v>
      </c>
      <c r="P23" s="9">
        <f t="shared" si="30"/>
        <v>41.1</v>
      </c>
      <c r="Q23" s="9">
        <f t="shared" si="30"/>
        <v>43.900000000000048</v>
      </c>
      <c r="R23" s="9">
        <f t="shared" si="30"/>
        <v>146.50000000000006</v>
      </c>
      <c r="S23" s="9">
        <f t="shared" si="30"/>
        <v>481.40000000000009</v>
      </c>
      <c r="T23" s="9">
        <f t="shared" si="30"/>
        <v>564.79999999999995</v>
      </c>
      <c r="U23" s="9">
        <f t="shared" si="30"/>
        <v>486.17096000000004</v>
      </c>
      <c r="V23" s="9">
        <f t="shared" ref="V23:AD23" si="31">V21-V22</f>
        <v>499.18756220000012</v>
      </c>
      <c r="W23" s="9">
        <f t="shared" si="31"/>
        <v>514.86774504200025</v>
      </c>
      <c r="X23" s="9">
        <f t="shared" si="31"/>
        <v>530.69071484042024</v>
      </c>
      <c r="Y23" s="9">
        <f t="shared" si="31"/>
        <v>558.80192337019184</v>
      </c>
      <c r="Z23" s="9">
        <f t="shared" si="31"/>
        <v>587.91835384384171</v>
      </c>
      <c r="AA23" s="9">
        <f t="shared" si="31"/>
        <v>605.09687492217245</v>
      </c>
      <c r="AB23" s="9">
        <f t="shared" si="31"/>
        <v>622.781571042113</v>
      </c>
      <c r="AC23" s="9">
        <f t="shared" si="31"/>
        <v>640.98744384309748</v>
      </c>
      <c r="AD23" s="9">
        <f t="shared" si="31"/>
        <v>659.72994134150599</v>
      </c>
    </row>
    <row r="24" spans="1:149" x14ac:dyDescent="0.3">
      <c r="B24" t="s">
        <v>32</v>
      </c>
      <c r="C24" s="2">
        <v>6.1</v>
      </c>
      <c r="D24" s="2">
        <f>Q24-C24</f>
        <v>4.9000000000000004</v>
      </c>
      <c r="E24" s="2">
        <v>14</v>
      </c>
      <c r="F24" s="2">
        <f>R24-E24</f>
        <v>18.5</v>
      </c>
      <c r="G24" s="2">
        <v>53.7</v>
      </c>
      <c r="H24" s="2">
        <f>S24-G24</f>
        <v>73.099999999999994</v>
      </c>
      <c r="I24" s="2">
        <v>75.2</v>
      </c>
      <c r="J24" s="13">
        <f>T24-I24</f>
        <v>72.899999999999991</v>
      </c>
      <c r="K24" s="13">
        <v>67.400000000000006</v>
      </c>
      <c r="L24" s="2"/>
      <c r="N24" s="2">
        <v>-0.2</v>
      </c>
      <c r="O24" s="2">
        <v>5.4</v>
      </c>
      <c r="P24" s="2">
        <v>10.199999999999999</v>
      </c>
      <c r="Q24" s="2">
        <v>11</v>
      </c>
      <c r="R24" s="2">
        <v>32.5</v>
      </c>
      <c r="S24" s="2">
        <v>126.8</v>
      </c>
      <c r="T24" s="2">
        <v>148.1</v>
      </c>
      <c r="U24" s="2">
        <f>U23*0.25</f>
        <v>121.54274000000001</v>
      </c>
      <c r="V24" s="2">
        <f t="shared" ref="V24:AD24" si="32">V23*0.25</f>
        <v>124.79689055000003</v>
      </c>
      <c r="W24" s="2">
        <f t="shared" si="32"/>
        <v>128.71693626050006</v>
      </c>
      <c r="X24" s="2">
        <f t="shared" si="32"/>
        <v>132.67267871010506</v>
      </c>
      <c r="Y24" s="2">
        <f t="shared" si="32"/>
        <v>139.70048084254796</v>
      </c>
      <c r="Z24" s="2">
        <f t="shared" si="32"/>
        <v>146.97958846096043</v>
      </c>
      <c r="AA24" s="2">
        <f t="shared" si="32"/>
        <v>151.27421873054311</v>
      </c>
      <c r="AB24" s="2">
        <f t="shared" si="32"/>
        <v>155.69539276052825</v>
      </c>
      <c r="AC24" s="2">
        <f t="shared" si="32"/>
        <v>160.24686096077437</v>
      </c>
      <c r="AD24" s="2">
        <f t="shared" si="32"/>
        <v>164.9324853353765</v>
      </c>
    </row>
    <row r="25" spans="1:149" s="8" customFormat="1" x14ac:dyDescent="0.3">
      <c r="A25"/>
      <c r="B25" s="8" t="s">
        <v>33</v>
      </c>
      <c r="C25" s="9">
        <f t="shared" ref="C25:H25" si="33">C23-C24</f>
        <v>12.700000000000033</v>
      </c>
      <c r="D25" s="9">
        <f t="shared" si="33"/>
        <v>20.199999999999953</v>
      </c>
      <c r="E25" s="9">
        <f t="shared" si="33"/>
        <v>37.299999999999969</v>
      </c>
      <c r="F25" s="9">
        <f t="shared" si="33"/>
        <v>76.699999999999989</v>
      </c>
      <c r="G25" s="9">
        <f t="shared" si="33"/>
        <v>140.59999999999997</v>
      </c>
      <c r="H25" s="9">
        <f t="shared" si="33"/>
        <v>214.00000000000003</v>
      </c>
      <c r="I25" s="9">
        <f t="shared" ref="I25:J25" si="34">I23-I24</f>
        <v>217.2999999999999</v>
      </c>
      <c r="J25" s="9">
        <f t="shared" si="34"/>
        <v>199.40000000000009</v>
      </c>
      <c r="K25" s="9">
        <f t="shared" ref="K25" si="35">K23-K24</f>
        <v>187.19999999999996</v>
      </c>
      <c r="L25" s="9"/>
      <c r="N25" s="9">
        <f t="shared" ref="N25:U25" si="36">N23-N24</f>
        <v>10.300000000000006</v>
      </c>
      <c r="O25" s="9">
        <f t="shared" si="36"/>
        <v>14.600000000000014</v>
      </c>
      <c r="P25" s="9">
        <f t="shared" si="36"/>
        <v>30.900000000000002</v>
      </c>
      <c r="Q25" s="9">
        <f t="shared" si="36"/>
        <v>32.900000000000048</v>
      </c>
      <c r="R25" s="9">
        <f t="shared" si="36"/>
        <v>114.00000000000006</v>
      </c>
      <c r="S25" s="9">
        <f t="shared" si="36"/>
        <v>354.60000000000008</v>
      </c>
      <c r="T25" s="9">
        <f t="shared" si="36"/>
        <v>416.69999999999993</v>
      </c>
      <c r="U25" s="9">
        <f t="shared" si="36"/>
        <v>364.62822000000006</v>
      </c>
      <c r="V25" s="9">
        <f t="shared" ref="V25:AD25" si="37">V23-V24</f>
        <v>374.39067165000006</v>
      </c>
      <c r="W25" s="9">
        <f t="shared" si="37"/>
        <v>386.15080878150019</v>
      </c>
      <c r="X25" s="9">
        <f t="shared" si="37"/>
        <v>398.01803613031518</v>
      </c>
      <c r="Y25" s="9">
        <f t="shared" si="37"/>
        <v>419.10144252764388</v>
      </c>
      <c r="Z25" s="9">
        <f t="shared" si="37"/>
        <v>440.93876538288129</v>
      </c>
      <c r="AA25" s="9">
        <f t="shared" si="37"/>
        <v>453.82265619162933</v>
      </c>
      <c r="AB25" s="9">
        <f t="shared" si="37"/>
        <v>467.08617828158475</v>
      </c>
      <c r="AC25" s="9">
        <f t="shared" si="37"/>
        <v>480.74058288232311</v>
      </c>
      <c r="AD25" s="9">
        <f t="shared" si="37"/>
        <v>494.79745600612949</v>
      </c>
      <c r="AE25" s="8">
        <f>AD25+(AD25*$AG$35)</f>
        <v>489.84948144606818</v>
      </c>
      <c r="AF25" s="8">
        <f t="shared" ref="AF25:CQ25" si="38">AE25+(AE25*$AG$35)</f>
        <v>484.95098663160752</v>
      </c>
      <c r="AG25" s="8">
        <f t="shared" si="38"/>
        <v>480.10147676529147</v>
      </c>
      <c r="AH25" s="8">
        <f t="shared" si="38"/>
        <v>475.30046199763854</v>
      </c>
      <c r="AI25" s="8">
        <f t="shared" si="38"/>
        <v>470.54745737766217</v>
      </c>
      <c r="AJ25" s="8">
        <f t="shared" si="38"/>
        <v>465.84198280388557</v>
      </c>
      <c r="AK25" s="8">
        <f t="shared" si="38"/>
        <v>461.18356297584671</v>
      </c>
      <c r="AL25" s="8">
        <f t="shared" si="38"/>
        <v>456.57172734608827</v>
      </c>
      <c r="AM25" s="8">
        <f t="shared" si="38"/>
        <v>452.00601007262736</v>
      </c>
      <c r="AN25" s="8">
        <f t="shared" si="38"/>
        <v>447.48594997190111</v>
      </c>
      <c r="AO25" s="8">
        <f t="shared" si="38"/>
        <v>443.0110904721821</v>
      </c>
      <c r="AP25" s="8">
        <f t="shared" si="38"/>
        <v>438.5809795674603</v>
      </c>
      <c r="AQ25" s="8">
        <f t="shared" si="38"/>
        <v>434.19516977178569</v>
      </c>
      <c r="AR25" s="8">
        <f t="shared" si="38"/>
        <v>429.85321807406785</v>
      </c>
      <c r="AS25" s="8">
        <f t="shared" si="38"/>
        <v>425.55468589332719</v>
      </c>
      <c r="AT25" s="8">
        <f t="shared" si="38"/>
        <v>421.29913903439393</v>
      </c>
      <c r="AU25" s="8">
        <f t="shared" si="38"/>
        <v>417.08614764405002</v>
      </c>
      <c r="AV25" s="8">
        <f t="shared" si="38"/>
        <v>412.91528616760951</v>
      </c>
      <c r="AW25" s="8">
        <f t="shared" si="38"/>
        <v>408.78613330593339</v>
      </c>
      <c r="AX25" s="8">
        <f t="shared" si="38"/>
        <v>404.69827197287407</v>
      </c>
      <c r="AY25" s="8">
        <f t="shared" si="38"/>
        <v>400.65128925314531</v>
      </c>
      <c r="AZ25" s="8">
        <f t="shared" si="38"/>
        <v>396.64477636061383</v>
      </c>
      <c r="BA25" s="8">
        <f t="shared" si="38"/>
        <v>392.67832859700769</v>
      </c>
      <c r="BB25" s="8">
        <f t="shared" si="38"/>
        <v>388.7515453110376</v>
      </c>
      <c r="BC25" s="8">
        <f t="shared" si="38"/>
        <v>384.86402985792722</v>
      </c>
      <c r="BD25" s="8">
        <f t="shared" si="38"/>
        <v>381.01538955934797</v>
      </c>
      <c r="BE25" s="8">
        <f t="shared" si="38"/>
        <v>377.20523566375448</v>
      </c>
      <c r="BF25" s="8">
        <f t="shared" si="38"/>
        <v>373.43318330711691</v>
      </c>
      <c r="BG25" s="8">
        <f t="shared" si="38"/>
        <v>369.69885147404574</v>
      </c>
      <c r="BH25" s="8">
        <f t="shared" si="38"/>
        <v>366.0018629593053</v>
      </c>
      <c r="BI25" s="8">
        <f t="shared" si="38"/>
        <v>362.34184432971227</v>
      </c>
      <c r="BJ25" s="8">
        <f t="shared" si="38"/>
        <v>358.71842588641516</v>
      </c>
      <c r="BK25" s="8">
        <f t="shared" si="38"/>
        <v>355.13124162755099</v>
      </c>
      <c r="BL25" s="8">
        <f t="shared" si="38"/>
        <v>351.5799292112755</v>
      </c>
      <c r="BM25" s="8">
        <f t="shared" si="38"/>
        <v>348.06412991916272</v>
      </c>
      <c r="BN25" s="8">
        <f t="shared" si="38"/>
        <v>344.58348861997109</v>
      </c>
      <c r="BO25" s="8">
        <f t="shared" si="38"/>
        <v>341.1376537337714</v>
      </c>
      <c r="BP25" s="8">
        <f t="shared" si="38"/>
        <v>337.72627719643367</v>
      </c>
      <c r="BQ25" s="8">
        <f t="shared" si="38"/>
        <v>334.34901442446932</v>
      </c>
      <c r="BR25" s="8">
        <f t="shared" si="38"/>
        <v>331.00552428022462</v>
      </c>
      <c r="BS25" s="8">
        <f t="shared" si="38"/>
        <v>327.69546903742236</v>
      </c>
      <c r="BT25" s="8">
        <f t="shared" si="38"/>
        <v>324.41851434704813</v>
      </c>
      <c r="BU25" s="8">
        <f t="shared" si="38"/>
        <v>321.17432920357766</v>
      </c>
      <c r="BV25" s="8">
        <f t="shared" si="38"/>
        <v>317.96258591154191</v>
      </c>
      <c r="BW25" s="8">
        <f t="shared" si="38"/>
        <v>314.78296005242646</v>
      </c>
      <c r="BX25" s="8">
        <f t="shared" si="38"/>
        <v>311.63513045190217</v>
      </c>
      <c r="BY25" s="8">
        <f t="shared" si="38"/>
        <v>308.51877914738316</v>
      </c>
      <c r="BZ25" s="8">
        <f t="shared" si="38"/>
        <v>305.4335913559093</v>
      </c>
      <c r="CA25" s="8">
        <f t="shared" si="38"/>
        <v>302.3792554423502</v>
      </c>
      <c r="CB25" s="8">
        <f t="shared" si="38"/>
        <v>299.35546288792671</v>
      </c>
      <c r="CC25" s="8">
        <f t="shared" si="38"/>
        <v>296.36190825904742</v>
      </c>
      <c r="CD25" s="8">
        <f t="shared" si="38"/>
        <v>293.39828917645696</v>
      </c>
      <c r="CE25" s="8">
        <f t="shared" si="38"/>
        <v>290.46430628469238</v>
      </c>
      <c r="CF25" s="8">
        <f t="shared" si="38"/>
        <v>287.55966322184548</v>
      </c>
      <c r="CG25" s="8">
        <f t="shared" si="38"/>
        <v>284.68406658962704</v>
      </c>
      <c r="CH25" s="8">
        <f t="shared" si="38"/>
        <v>281.83722592373078</v>
      </c>
      <c r="CI25" s="8">
        <f t="shared" si="38"/>
        <v>279.01885366449346</v>
      </c>
      <c r="CJ25" s="8">
        <f t="shared" si="38"/>
        <v>276.2286651278485</v>
      </c>
      <c r="CK25" s="8">
        <f t="shared" si="38"/>
        <v>273.46637847657001</v>
      </c>
      <c r="CL25" s="8">
        <f t="shared" si="38"/>
        <v>270.73171469180431</v>
      </c>
      <c r="CM25" s="8">
        <f t="shared" si="38"/>
        <v>268.02439754488626</v>
      </c>
      <c r="CN25" s="8">
        <f t="shared" si="38"/>
        <v>265.34415356943737</v>
      </c>
      <c r="CO25" s="8">
        <f t="shared" si="38"/>
        <v>262.69071203374301</v>
      </c>
      <c r="CP25" s="8">
        <f t="shared" si="38"/>
        <v>260.06380491340559</v>
      </c>
      <c r="CQ25" s="8">
        <f t="shared" si="38"/>
        <v>257.46316686427156</v>
      </c>
      <c r="CR25" s="8">
        <f t="shared" ref="CR25:ES25" si="39">CQ25+(CQ25*$AG$35)</f>
        <v>254.88853519562883</v>
      </c>
      <c r="CS25" s="8">
        <f t="shared" si="39"/>
        <v>252.33964984367253</v>
      </c>
      <c r="CT25" s="8">
        <f t="shared" si="39"/>
        <v>249.81625334523579</v>
      </c>
      <c r="CU25" s="8">
        <f t="shared" si="39"/>
        <v>247.31809081178343</v>
      </c>
      <c r="CV25" s="8">
        <f t="shared" si="39"/>
        <v>244.84490990366561</v>
      </c>
      <c r="CW25" s="8">
        <f t="shared" si="39"/>
        <v>242.39646080462896</v>
      </c>
      <c r="CX25" s="8">
        <f t="shared" si="39"/>
        <v>239.97249619658268</v>
      </c>
      <c r="CY25" s="8">
        <f t="shared" si="39"/>
        <v>237.57277123461685</v>
      </c>
      <c r="CZ25" s="8">
        <f t="shared" si="39"/>
        <v>235.19704352227069</v>
      </c>
      <c r="DA25" s="8">
        <f t="shared" si="39"/>
        <v>232.84507308704798</v>
      </c>
      <c r="DB25" s="8">
        <f t="shared" si="39"/>
        <v>230.51662235617749</v>
      </c>
      <c r="DC25" s="8">
        <f t="shared" si="39"/>
        <v>228.21145613261572</v>
      </c>
      <c r="DD25" s="8">
        <f t="shared" si="39"/>
        <v>225.92934157128957</v>
      </c>
      <c r="DE25" s="8">
        <f t="shared" si="39"/>
        <v>223.67004815557667</v>
      </c>
      <c r="DF25" s="8">
        <f t="shared" si="39"/>
        <v>221.43334767402089</v>
      </c>
      <c r="DG25" s="8">
        <f t="shared" si="39"/>
        <v>219.21901419728067</v>
      </c>
      <c r="DH25" s="8">
        <f t="shared" si="39"/>
        <v>217.02682405530786</v>
      </c>
      <c r="DI25" s="8">
        <f t="shared" si="39"/>
        <v>214.85655581475478</v>
      </c>
      <c r="DJ25" s="8">
        <f t="shared" si="39"/>
        <v>212.70799025660725</v>
      </c>
      <c r="DK25" s="8">
        <f t="shared" si="39"/>
        <v>210.58091035404118</v>
      </c>
      <c r="DL25" s="8">
        <f t="shared" si="39"/>
        <v>208.47510125050076</v>
      </c>
      <c r="DM25" s="8">
        <f t="shared" si="39"/>
        <v>206.39035023799576</v>
      </c>
      <c r="DN25" s="8">
        <f t="shared" si="39"/>
        <v>204.3264467356158</v>
      </c>
      <c r="DO25" s="8">
        <f t="shared" si="39"/>
        <v>202.28318226825965</v>
      </c>
      <c r="DP25" s="8">
        <f t="shared" si="39"/>
        <v>200.26035044557705</v>
      </c>
      <c r="DQ25" s="8">
        <f t="shared" si="39"/>
        <v>198.25774694112127</v>
      </c>
      <c r="DR25" s="8">
        <f t="shared" si="39"/>
        <v>196.27516947171006</v>
      </c>
      <c r="DS25" s="8">
        <f t="shared" si="39"/>
        <v>194.31241777699296</v>
      </c>
      <c r="DT25" s="8">
        <f t="shared" si="39"/>
        <v>192.36929359922303</v>
      </c>
      <c r="DU25" s="8">
        <f t="shared" si="39"/>
        <v>190.44560066323081</v>
      </c>
      <c r="DV25" s="8">
        <f t="shared" si="39"/>
        <v>188.5411446565985</v>
      </c>
      <c r="DW25" s="8">
        <f t="shared" si="39"/>
        <v>186.65573321003251</v>
      </c>
      <c r="DX25" s="8">
        <f t="shared" si="39"/>
        <v>184.78917587793219</v>
      </c>
      <c r="DY25" s="8">
        <f t="shared" si="39"/>
        <v>182.94128411915287</v>
      </c>
      <c r="DZ25" s="8">
        <f t="shared" si="39"/>
        <v>181.11187127796134</v>
      </c>
      <c r="EA25" s="8">
        <f t="shared" si="39"/>
        <v>179.30075256518174</v>
      </c>
      <c r="EB25" s="8">
        <f t="shared" si="39"/>
        <v>177.50774503952991</v>
      </c>
      <c r="EC25" s="8">
        <f t="shared" si="39"/>
        <v>175.73266758913462</v>
      </c>
      <c r="ED25" s="8">
        <f t="shared" si="39"/>
        <v>173.97534091324329</v>
      </c>
      <c r="EE25" s="8">
        <f t="shared" si="39"/>
        <v>172.23558750411087</v>
      </c>
      <c r="EF25" s="8">
        <f t="shared" si="39"/>
        <v>170.51323162906976</v>
      </c>
      <c r="EG25" s="8">
        <f t="shared" si="39"/>
        <v>168.80809931277906</v>
      </c>
      <c r="EH25" s="8">
        <f t="shared" si="39"/>
        <v>167.12001831965128</v>
      </c>
      <c r="EI25" s="8">
        <f t="shared" si="39"/>
        <v>165.44881813645478</v>
      </c>
      <c r="EJ25" s="8">
        <f t="shared" si="39"/>
        <v>163.79432995509023</v>
      </c>
      <c r="EK25" s="8">
        <f t="shared" si="39"/>
        <v>162.15638665553934</v>
      </c>
      <c r="EL25" s="8">
        <f t="shared" si="39"/>
        <v>160.53482278898394</v>
      </c>
      <c r="EM25" s="8">
        <f t="shared" si="39"/>
        <v>158.92947456109411</v>
      </c>
      <c r="EN25" s="8">
        <f t="shared" si="39"/>
        <v>157.34017981548317</v>
      </c>
      <c r="EO25" s="8">
        <f t="shared" si="39"/>
        <v>155.76677801732833</v>
      </c>
      <c r="EP25" s="8">
        <f t="shared" si="39"/>
        <v>154.20911023715504</v>
      </c>
      <c r="EQ25" s="8">
        <f t="shared" si="39"/>
        <v>152.66701913478349</v>
      </c>
      <c r="ER25" s="8">
        <f t="shared" si="39"/>
        <v>151.14034894343564</v>
      </c>
      <c r="ES25" s="8">
        <f t="shared" si="39"/>
        <v>149.6289454540013</v>
      </c>
    </row>
    <row r="26" spans="1:149" x14ac:dyDescent="0.3">
      <c r="B26" t="s">
        <v>1</v>
      </c>
      <c r="C26" s="2">
        <f t="shared" ref="C26:H26" si="40">1423.7</f>
        <v>1423.7</v>
      </c>
      <c r="D26" s="2">
        <f t="shared" si="40"/>
        <v>1423.7</v>
      </c>
      <c r="E26" s="2">
        <f t="shared" si="40"/>
        <v>1423.7</v>
      </c>
      <c r="F26" s="2">
        <f t="shared" si="40"/>
        <v>1423.7</v>
      </c>
      <c r="G26" s="2">
        <f t="shared" si="40"/>
        <v>1423.7</v>
      </c>
      <c r="H26" s="2">
        <f t="shared" si="40"/>
        <v>1423.7</v>
      </c>
      <c r="I26" s="2">
        <v>1029.0999999999999</v>
      </c>
      <c r="J26" s="13">
        <f>1032.2</f>
        <v>1032.2</v>
      </c>
      <c r="K26" s="2">
        <v>1027</v>
      </c>
      <c r="L26" s="2"/>
      <c r="N26" s="2">
        <f t="shared" ref="N26:S26" si="41">1423.7</f>
        <v>1423.7</v>
      </c>
      <c r="O26" s="2">
        <f t="shared" si="41"/>
        <v>1423.7</v>
      </c>
      <c r="P26" s="2">
        <f t="shared" si="41"/>
        <v>1423.7</v>
      </c>
      <c r="Q26" s="2">
        <f t="shared" si="41"/>
        <v>1423.7</v>
      </c>
      <c r="R26" s="2">
        <f t="shared" si="41"/>
        <v>1423.7</v>
      </c>
      <c r="S26" s="2">
        <f t="shared" si="41"/>
        <v>1423.7</v>
      </c>
      <c r="T26" s="2">
        <f t="shared" ref="T26:AD26" si="42">1032.2</f>
        <v>1032.2</v>
      </c>
      <c r="U26" s="2">
        <v>1027</v>
      </c>
      <c r="V26" s="2">
        <v>1027</v>
      </c>
      <c r="W26" s="2">
        <v>1027</v>
      </c>
      <c r="X26" s="2">
        <v>1027</v>
      </c>
      <c r="Y26" s="2">
        <v>1027</v>
      </c>
      <c r="Z26" s="2">
        <v>1027</v>
      </c>
      <c r="AA26" s="2">
        <v>1027</v>
      </c>
      <c r="AB26" s="2">
        <v>1027</v>
      </c>
      <c r="AC26" s="2">
        <v>1027</v>
      </c>
      <c r="AD26" s="2">
        <v>1027</v>
      </c>
    </row>
    <row r="27" spans="1:149" x14ac:dyDescent="0.3">
      <c r="B27" t="s">
        <v>34</v>
      </c>
      <c r="C27" s="7">
        <f t="shared" ref="C27:H27" si="43">C25/C26</f>
        <v>8.9204186275198653E-3</v>
      </c>
      <c r="D27" s="7">
        <f t="shared" si="43"/>
        <v>1.4188382383929166E-2</v>
      </c>
      <c r="E27" s="7">
        <f t="shared" si="43"/>
        <v>2.6199339748542508E-2</v>
      </c>
      <c r="F27" s="7">
        <f t="shared" si="43"/>
        <v>5.3873709348879667E-2</v>
      </c>
      <c r="G27" s="7">
        <f t="shared" si="43"/>
        <v>9.8756760553487366E-2</v>
      </c>
      <c r="H27" s="7">
        <f t="shared" si="43"/>
        <v>0.15031256584954697</v>
      </c>
      <c r="I27" s="7">
        <f t="shared" ref="I27:K27" si="44">I25/I26</f>
        <v>0.2111553784860557</v>
      </c>
      <c r="J27" s="14">
        <f t="shared" si="44"/>
        <v>0.19317961635341996</v>
      </c>
      <c r="K27" s="14">
        <f t="shared" si="44"/>
        <v>0.1822784810126582</v>
      </c>
      <c r="L27" s="7"/>
      <c r="N27" s="7">
        <f t="shared" ref="N27:U27" si="45">N25/N26</f>
        <v>7.2346702254688531E-3</v>
      </c>
      <c r="O27" s="7">
        <f t="shared" si="45"/>
        <v>1.0254969445810223E-2</v>
      </c>
      <c r="P27" s="7">
        <f t="shared" si="45"/>
        <v>2.1704010676406548E-2</v>
      </c>
      <c r="Q27" s="7">
        <f t="shared" si="45"/>
        <v>2.3108801011449076E-2</v>
      </c>
      <c r="R27" s="7">
        <f t="shared" si="45"/>
        <v>8.0073049097422244E-2</v>
      </c>
      <c r="S27" s="7">
        <f t="shared" si="45"/>
        <v>0.24906932640303439</v>
      </c>
      <c r="T27" s="7">
        <f t="shared" si="45"/>
        <v>0.40370083317186584</v>
      </c>
      <c r="U27" s="7">
        <f t="shared" si="45"/>
        <v>0.35504208373904583</v>
      </c>
      <c r="V27" s="7">
        <f t="shared" ref="V27:AD27" si="46">V25/V26</f>
        <v>0.36454787891918217</v>
      </c>
      <c r="W27" s="7">
        <f t="shared" si="46"/>
        <v>0.37599884009883172</v>
      </c>
      <c r="X27" s="7">
        <f t="shared" si="46"/>
        <v>0.38755407607625625</v>
      </c>
      <c r="Y27" s="7">
        <f t="shared" si="46"/>
        <v>0.40808319622944877</v>
      </c>
      <c r="Z27" s="7">
        <f t="shared" si="46"/>
        <v>0.42934641225207526</v>
      </c>
      <c r="AA27" s="7">
        <f t="shared" si="46"/>
        <v>0.44189158343878221</v>
      </c>
      <c r="AB27" s="7">
        <f t="shared" si="46"/>
        <v>0.45480640533747296</v>
      </c>
      <c r="AC27" s="7">
        <f t="shared" si="46"/>
        <v>0.46810183338103517</v>
      </c>
      <c r="AD27" s="7">
        <f t="shared" si="46"/>
        <v>0.481789148983573</v>
      </c>
    </row>
    <row r="29" spans="1:149" x14ac:dyDescent="0.3">
      <c r="B29" t="s">
        <v>57</v>
      </c>
      <c r="E29" s="10"/>
      <c r="F29" s="10"/>
      <c r="G29" s="10"/>
      <c r="H29" s="10">
        <f t="shared" ref="H29:J30" si="47">H3/F3-1</f>
        <v>0.13734142305570862</v>
      </c>
      <c r="I29" s="10">
        <f t="shared" si="47"/>
        <v>0.12400212879191042</v>
      </c>
      <c r="J29" s="10">
        <f t="shared" si="47"/>
        <v>3.2492725509214448E-2</v>
      </c>
      <c r="K29" s="10"/>
      <c r="L29" s="10"/>
    </row>
    <row r="30" spans="1:149" x14ac:dyDescent="0.3">
      <c r="B30" t="s">
        <v>58</v>
      </c>
      <c r="E30" s="10"/>
      <c r="F30" s="10"/>
      <c r="G30" s="10"/>
      <c r="H30" s="10">
        <f t="shared" si="47"/>
        <v>0.15137872819358478</v>
      </c>
      <c r="I30" s="10">
        <f t="shared" si="47"/>
        <v>5.8015267175572482E-2</v>
      </c>
      <c r="J30" s="10">
        <f t="shared" si="47"/>
        <v>1.8572825024437911E-2</v>
      </c>
      <c r="K30" s="10"/>
      <c r="L30" s="10"/>
    </row>
    <row r="31" spans="1:149" x14ac:dyDescent="0.3">
      <c r="B31" t="s">
        <v>59</v>
      </c>
      <c r="E31" s="10"/>
      <c r="F31" s="10"/>
      <c r="G31" s="10"/>
      <c r="H31" s="10">
        <f t="shared" ref="H31:J32" si="48">H6/F6-1</f>
        <v>0.60364464692482933</v>
      </c>
      <c r="I31" s="10">
        <f t="shared" si="48"/>
        <v>0.55038759689922467</v>
      </c>
      <c r="J31" s="10">
        <f t="shared" si="48"/>
        <v>0.38920454545454519</v>
      </c>
      <c r="K31" s="10"/>
      <c r="L31" s="10"/>
    </row>
    <row r="32" spans="1:149" x14ac:dyDescent="0.3">
      <c r="B32" t="s">
        <v>60</v>
      </c>
      <c r="E32" s="10"/>
      <c r="F32" s="10"/>
      <c r="G32" s="10"/>
      <c r="H32" s="10">
        <f t="shared" si="48"/>
        <v>0.58515283842794763</v>
      </c>
      <c r="I32" s="10">
        <f t="shared" si="48"/>
        <v>0.49196141479099675</v>
      </c>
      <c r="J32" s="10">
        <f t="shared" si="48"/>
        <v>0.38980716253443548</v>
      </c>
      <c r="K32" s="10"/>
      <c r="L32" s="10"/>
    </row>
    <row r="33" spans="2:33" x14ac:dyDescent="0.3">
      <c r="J33" s="10"/>
      <c r="K33" s="10"/>
      <c r="L33" s="10"/>
    </row>
    <row r="34" spans="2:33" x14ac:dyDescent="0.3">
      <c r="B34" t="s">
        <v>35</v>
      </c>
      <c r="C34" s="10"/>
      <c r="D34" s="10"/>
      <c r="E34" s="10">
        <f>E10/C10-1</f>
        <v>0.55052672649239165</v>
      </c>
      <c r="F34" s="10">
        <f t="shared" ref="F34:K34" si="49">F10/D10-1</f>
        <v>0.4779314888010544</v>
      </c>
      <c r="G34" s="10">
        <f t="shared" si="49"/>
        <v>0.25364871665827882</v>
      </c>
      <c r="H34" s="10">
        <f t="shared" si="49"/>
        <v>0.2342322264319141</v>
      </c>
      <c r="I34" s="10">
        <f t="shared" si="49"/>
        <v>0.18807707747892422</v>
      </c>
      <c r="J34" s="10">
        <f t="shared" si="49"/>
        <v>0.11953773925604949</v>
      </c>
      <c r="K34" s="10">
        <f t="shared" si="49"/>
        <v>0.111674269302247</v>
      </c>
      <c r="L34" s="10"/>
      <c r="O34" s="10"/>
      <c r="P34" s="10"/>
      <c r="Q34" s="10"/>
      <c r="R34" s="10">
        <f t="shared" ref="R34:AD34" si="50">R10/Q10-1</f>
        <v>0.51116270762636185</v>
      </c>
      <c r="S34" s="10">
        <f t="shared" si="50"/>
        <v>0.24335184966316037</v>
      </c>
      <c r="T34" s="10">
        <f t="shared" si="50"/>
        <v>0.15199619771863127</v>
      </c>
      <c r="U34" s="10">
        <f t="shared" si="50"/>
        <v>0.1100000000000001</v>
      </c>
      <c r="V34" s="10">
        <f t="shared" si="50"/>
        <v>9.000000000000008E-2</v>
      </c>
      <c r="W34" s="10">
        <f t="shared" si="50"/>
        <v>7.0000000000000062E-2</v>
      </c>
      <c r="X34" s="10">
        <f t="shared" si="50"/>
        <v>5.0000000000000044E-2</v>
      </c>
      <c r="Y34" s="10">
        <f t="shared" si="50"/>
        <v>4.0000000000000036E-2</v>
      </c>
      <c r="Z34" s="10">
        <f t="shared" si="50"/>
        <v>3.0000000000000027E-2</v>
      </c>
      <c r="AA34" s="10">
        <f t="shared" si="50"/>
        <v>2.0000000000000018E-2</v>
      </c>
      <c r="AB34" s="10">
        <f t="shared" si="50"/>
        <v>2.0000000000000018E-2</v>
      </c>
      <c r="AC34" s="10">
        <f t="shared" si="50"/>
        <v>2.0000000000000018E-2</v>
      </c>
      <c r="AD34" s="10">
        <f t="shared" si="50"/>
        <v>2.0000000000000018E-2</v>
      </c>
    </row>
    <row r="35" spans="2:33" x14ac:dyDescent="0.3">
      <c r="B35" t="s">
        <v>36</v>
      </c>
      <c r="C35" s="10"/>
      <c r="D35" s="10"/>
      <c r="E35" s="10">
        <f>E11/C11-1</f>
        <v>-16.583333333333329</v>
      </c>
      <c r="F35" s="10">
        <f t="shared" ref="F35:K35" si="51">F11/D11-1</f>
        <v>-74.625</v>
      </c>
      <c r="G35" s="10">
        <f t="shared" si="51"/>
        <v>10.288770053475936</v>
      </c>
      <c r="H35" s="10">
        <f t="shared" si="51"/>
        <v>1.3268251273344656</v>
      </c>
      <c r="I35" s="10">
        <f t="shared" si="51"/>
        <v>0.42444339175746082</v>
      </c>
      <c r="J35" s="10">
        <f t="shared" si="51"/>
        <v>7.1141919007661203E-2</v>
      </c>
      <c r="K35" s="10">
        <f t="shared" si="51"/>
        <v>-1.0974393082806788E-2</v>
      </c>
      <c r="L35" s="10"/>
      <c r="O35" s="10"/>
      <c r="P35" s="10"/>
      <c r="Q35" s="10"/>
      <c r="R35" s="10">
        <f t="shared" ref="R35:AD35" si="52">R11/Q11-1</f>
        <v>-49.749999999999993</v>
      </c>
      <c r="S35" s="10">
        <f t="shared" si="52"/>
        <v>2.5545787545787544</v>
      </c>
      <c r="T35" s="10">
        <f t="shared" si="52"/>
        <v>0.22485572959604272</v>
      </c>
      <c r="U35" s="10">
        <f t="shared" si="52"/>
        <v>1.0000000000000009E-2</v>
      </c>
      <c r="V35" s="10">
        <f t="shared" si="52"/>
        <v>4.0000000000000036E-2</v>
      </c>
      <c r="W35" s="10">
        <f t="shared" si="52"/>
        <v>3.0000000000000027E-2</v>
      </c>
      <c r="X35" s="10">
        <f t="shared" si="52"/>
        <v>3.0000000000000027E-2</v>
      </c>
      <c r="Y35" s="10">
        <f t="shared" si="52"/>
        <v>3.0000000000000027E-2</v>
      </c>
      <c r="Z35" s="10">
        <f t="shared" si="52"/>
        <v>3.0000000000000027E-2</v>
      </c>
      <c r="AA35" s="10">
        <f t="shared" si="52"/>
        <v>3.0000000000000027E-2</v>
      </c>
      <c r="AB35" s="10">
        <f t="shared" si="52"/>
        <v>3.0000000000000027E-2</v>
      </c>
      <c r="AC35" s="10">
        <f t="shared" si="52"/>
        <v>3.0000000000000027E-2</v>
      </c>
      <c r="AD35" s="10">
        <f t="shared" si="52"/>
        <v>3.0000000000000027E-2</v>
      </c>
      <c r="AF35" t="s">
        <v>44</v>
      </c>
      <c r="AG35" s="10">
        <v>-0.01</v>
      </c>
    </row>
    <row r="36" spans="2:33" s="8" customFormat="1" x14ac:dyDescent="0.3">
      <c r="B36" s="8" t="s">
        <v>37</v>
      </c>
      <c r="C36" s="11"/>
      <c r="D36" s="11"/>
      <c r="E36" s="11">
        <f>E12/C12-1</f>
        <v>0.63112504900039168</v>
      </c>
      <c r="F36" s="11">
        <f t="shared" ref="F36:K36" si="53">F12/D12-1</f>
        <v>0.87582781456953684</v>
      </c>
      <c r="G36" s="11">
        <f t="shared" si="53"/>
        <v>0.70463830809901462</v>
      </c>
      <c r="H36" s="11">
        <f t="shared" si="53"/>
        <v>0.46142983230361878</v>
      </c>
      <c r="I36" s="11">
        <f t="shared" si="53"/>
        <v>0.25842379811081351</v>
      </c>
      <c r="J36" s="11">
        <f t="shared" si="53"/>
        <v>0.10351491726053896</v>
      </c>
      <c r="K36" s="11">
        <f t="shared" si="53"/>
        <v>7.0356262603630038E-2</v>
      </c>
      <c r="L36" s="11"/>
      <c r="O36" s="11">
        <f>O12/N12-1</f>
        <v>0.70095559302979216</v>
      </c>
      <c r="P36" s="11">
        <f t="shared" ref="P36:AD36" si="54">P12/O12-1</f>
        <v>0.3912756113681426</v>
      </c>
      <c r="Q36" s="11">
        <f t="shared" si="54"/>
        <v>0.32327790973871728</v>
      </c>
      <c r="R36" s="11">
        <f t="shared" si="54"/>
        <v>0.76377670077185411</v>
      </c>
      <c r="S36" s="11">
        <f t="shared" si="54"/>
        <v>0.56442092407897415</v>
      </c>
      <c r="T36" s="11">
        <f t="shared" si="54"/>
        <v>0.17499349466562575</v>
      </c>
      <c r="U36" s="11">
        <f t="shared" si="54"/>
        <v>7.7096667035765787E-2</v>
      </c>
      <c r="V36" s="11">
        <f t="shared" si="54"/>
        <v>7.457317374060124E-2</v>
      </c>
      <c r="W36" s="11">
        <f t="shared" si="54"/>
        <v>5.8055611510251515E-2</v>
      </c>
      <c r="X36" s="11">
        <f t="shared" si="54"/>
        <v>4.4186165636945995E-2</v>
      </c>
      <c r="Y36" s="11">
        <f t="shared" si="54"/>
        <v>3.7132575784370347E-2</v>
      </c>
      <c r="Z36" s="11">
        <f t="shared" si="54"/>
        <v>3.0000000000000027E-2</v>
      </c>
      <c r="AA36" s="11">
        <f t="shared" si="54"/>
        <v>2.2847704344707287E-2</v>
      </c>
      <c r="AB36" s="11">
        <f t="shared" si="54"/>
        <v>2.2867617009442842E-2</v>
      </c>
      <c r="AC36" s="11">
        <f t="shared" si="54"/>
        <v>2.2887612698466064E-2</v>
      </c>
      <c r="AD36" s="11">
        <f t="shared" si="54"/>
        <v>2.2907690974547812E-2</v>
      </c>
      <c r="AF36" t="s">
        <v>45</v>
      </c>
      <c r="AG36" s="10">
        <v>0.09</v>
      </c>
    </row>
    <row r="37" spans="2:33" x14ac:dyDescent="0.3">
      <c r="B37" t="s">
        <v>38</v>
      </c>
      <c r="C37" s="10">
        <f t="shared" ref="C37:E37" si="55">(C10-(C15+C14))/C10</f>
        <v>0.67811158798283266</v>
      </c>
      <c r="D37" s="10">
        <f t="shared" si="55"/>
        <v>0.6525032938076416</v>
      </c>
      <c r="E37" s="10">
        <f t="shared" si="55"/>
        <v>0.61323603422244588</v>
      </c>
      <c r="F37" s="10">
        <f t="shared" ref="F37:I37" si="56">(F10-(F15+F14))/F10</f>
        <v>0.61600178292846008</v>
      </c>
      <c r="G37" s="10">
        <f t="shared" si="56"/>
        <v>0.66459253311922928</v>
      </c>
      <c r="H37" s="10">
        <f t="shared" si="56"/>
        <v>0.72408811845431564</v>
      </c>
      <c r="I37" s="10">
        <f t="shared" si="56"/>
        <v>0.7340767021456327</v>
      </c>
      <c r="J37" s="10">
        <f>(J10-(J15+J14))/J10</f>
        <v>0.71000000000000008</v>
      </c>
      <c r="K37" s="10">
        <f>(K10-(K15+K14))/K10</f>
        <v>0.72902735562310039</v>
      </c>
      <c r="L37" s="10"/>
      <c r="O37" s="10"/>
      <c r="P37" s="10"/>
      <c r="Q37" s="10">
        <f t="shared" ref="Q37:T37" si="57">(Q10-(Q15+Q14))/Q10</f>
        <v>0.66422575459903554</v>
      </c>
      <c r="R37" s="10">
        <f t="shared" si="57"/>
        <v>0.61470275381160622</v>
      </c>
      <c r="S37" s="10">
        <f t="shared" si="57"/>
        <v>0.69591254752851717</v>
      </c>
      <c r="T37" s="10">
        <f t="shared" si="57"/>
        <v>0.72175922105784307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F37" t="s">
        <v>46</v>
      </c>
      <c r="AG37" s="2">
        <f>NPV(AG36,U25:ES25)</f>
        <v>4747.2688727064942</v>
      </c>
    </row>
    <row r="38" spans="2:33" x14ac:dyDescent="0.3">
      <c r="B38" t="s">
        <v>39</v>
      </c>
      <c r="C38" s="10"/>
      <c r="D38" s="10"/>
      <c r="E38" s="10"/>
      <c r="F38" s="10">
        <f t="shared" ref="F38:I38" si="58">(F11-F13)/F11</f>
        <v>0.84380305602716477</v>
      </c>
      <c r="G38" s="10">
        <f t="shared" si="58"/>
        <v>0.74751302700142119</v>
      </c>
      <c r="H38" s="10">
        <f t="shared" si="58"/>
        <v>0.73878146661802258</v>
      </c>
      <c r="I38" s="10">
        <f t="shared" si="58"/>
        <v>0.7179913535084802</v>
      </c>
      <c r="J38" s="10">
        <f>(J11-J13)/J11</f>
        <v>0.73978201634877394</v>
      </c>
      <c r="K38" s="10">
        <f>(K11-K13)/K11</f>
        <v>0.75353059852051107</v>
      </c>
      <c r="L38" s="10"/>
      <c r="O38" s="10"/>
      <c r="P38" s="10"/>
      <c r="Q38" s="10">
        <f t="shared" ref="Q38:T38" si="59">(Q11-Q13)/Q11</f>
        <v>1</v>
      </c>
      <c r="R38" s="10">
        <f t="shared" si="59"/>
        <v>0.86520146520146513</v>
      </c>
      <c r="S38" s="10">
        <f t="shared" si="59"/>
        <v>0.7425803792250617</v>
      </c>
      <c r="T38" s="10">
        <f t="shared" si="59"/>
        <v>0.72875652027595494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F38" t="s">
        <v>47</v>
      </c>
      <c r="AG38" s="2">
        <f>Main!D8</f>
        <v>6226.5</v>
      </c>
    </row>
    <row r="39" spans="2:33" x14ac:dyDescent="0.3">
      <c r="B39" t="s">
        <v>40</v>
      </c>
      <c r="C39" s="10">
        <f t="shared" ref="C39:J39" si="60">C17/C12</f>
        <v>0.6765974127793023</v>
      </c>
      <c r="D39" s="10">
        <f t="shared" si="60"/>
        <v>0.65066225165562908</v>
      </c>
      <c r="E39" s="10">
        <f t="shared" si="60"/>
        <v>0.63061763999038689</v>
      </c>
      <c r="F39" s="10">
        <f t="shared" si="60"/>
        <v>0.66337157987643425</v>
      </c>
      <c r="G39" s="10">
        <f t="shared" si="60"/>
        <v>0.68927111236430283</v>
      </c>
      <c r="H39" s="10">
        <f t="shared" si="60"/>
        <v>0.72895277207392195</v>
      </c>
      <c r="I39" s="10">
        <f t="shared" si="60"/>
        <v>0.7286578534617969</v>
      </c>
      <c r="J39" s="10">
        <f t="shared" si="60"/>
        <v>0.7195709281961471</v>
      </c>
      <c r="K39" s="10">
        <f t="shared" ref="K39" si="61">K17/K12</f>
        <v>0.73665480427046259</v>
      </c>
      <c r="L39" s="10"/>
      <c r="N39" s="10">
        <f>N17/N12</f>
        <v>0.62057335581787521</v>
      </c>
      <c r="O39" s="10">
        <f>O17/O12</f>
        <v>0.62161269001982822</v>
      </c>
      <c r="P39" s="10">
        <f t="shared" ref="P39:AD39" si="62">P17/P12</f>
        <v>0.61876484560570066</v>
      </c>
      <c r="Q39" s="10">
        <f t="shared" si="62"/>
        <v>0.66253814395979183</v>
      </c>
      <c r="R39" s="10">
        <f t="shared" si="62"/>
        <v>0.64950132302055774</v>
      </c>
      <c r="S39" s="10">
        <f t="shared" si="62"/>
        <v>0.71064272703616971</v>
      </c>
      <c r="T39" s="10">
        <f t="shared" si="62"/>
        <v>0.72406156571808211</v>
      </c>
      <c r="U39" s="10">
        <f t="shared" si="62"/>
        <v>0.73</v>
      </c>
      <c r="V39" s="10">
        <f t="shared" si="62"/>
        <v>0.74</v>
      </c>
      <c r="W39" s="10">
        <f t="shared" si="62"/>
        <v>0.74</v>
      </c>
      <c r="X39" s="10">
        <f t="shared" si="62"/>
        <v>0.74</v>
      </c>
      <c r="Y39" s="10">
        <f t="shared" si="62"/>
        <v>0.74</v>
      </c>
      <c r="Z39" s="10">
        <f t="shared" si="62"/>
        <v>0.74</v>
      </c>
      <c r="AA39" s="10">
        <f t="shared" si="62"/>
        <v>0.74</v>
      </c>
      <c r="AB39" s="10">
        <f t="shared" si="62"/>
        <v>0.74</v>
      </c>
      <c r="AC39" s="10">
        <f t="shared" si="62"/>
        <v>0.74</v>
      </c>
      <c r="AD39" s="10">
        <f t="shared" si="62"/>
        <v>0.74</v>
      </c>
      <c r="AF39" t="s">
        <v>48</v>
      </c>
      <c r="AG39" s="2">
        <f>AG37+AG38</f>
        <v>10973.768872706494</v>
      </c>
    </row>
    <row r="40" spans="2:33" x14ac:dyDescent="0.3">
      <c r="B40" t="s">
        <v>41</v>
      </c>
      <c r="C40" s="10"/>
      <c r="D40" s="10"/>
      <c r="E40" s="10">
        <f>E18/C18-1</f>
        <v>0.41195795006570313</v>
      </c>
      <c r="F40" s="10">
        <f t="shared" ref="F40:K40" si="63">F18/D18-1</f>
        <v>0.65248226950354637</v>
      </c>
      <c r="G40" s="10">
        <f t="shared" si="63"/>
        <v>0.37971149371800839</v>
      </c>
      <c r="H40" s="10">
        <f t="shared" si="63"/>
        <v>0.14234620886981375</v>
      </c>
      <c r="I40" s="10">
        <f t="shared" si="63"/>
        <v>0.2367622259696458</v>
      </c>
      <c r="J40" s="10">
        <f t="shared" si="63"/>
        <v>0.25829680651221065</v>
      </c>
      <c r="K40" s="10">
        <f t="shared" si="63"/>
        <v>0.2705208617398418</v>
      </c>
      <c r="L40" s="10"/>
      <c r="N40" s="10"/>
      <c r="O40" s="10">
        <f>O18/N18-1</f>
        <v>0.6964824120603017</v>
      </c>
      <c r="P40" s="10">
        <f t="shared" ref="P40:AD40" si="64">P18/O18-1</f>
        <v>0.2885071090047393</v>
      </c>
      <c r="Q40" s="10">
        <f t="shared" si="64"/>
        <v>0.47770114942528719</v>
      </c>
      <c r="R40" s="10">
        <f t="shared" si="64"/>
        <v>0.53858120721841951</v>
      </c>
      <c r="S40" s="10">
        <f t="shared" si="64"/>
        <v>0.24550050556117275</v>
      </c>
      <c r="T40" s="10">
        <f t="shared" si="64"/>
        <v>0.24792985874330253</v>
      </c>
      <c r="U40" s="10">
        <f t="shared" si="64"/>
        <v>0.24</v>
      </c>
      <c r="V40" s="10">
        <f t="shared" si="64"/>
        <v>0.12000000000000011</v>
      </c>
      <c r="W40" s="10">
        <f t="shared" si="64"/>
        <v>7.0000000000000062E-2</v>
      </c>
      <c r="X40" s="10">
        <f t="shared" si="64"/>
        <v>5.0000000000000044E-2</v>
      </c>
      <c r="Y40" s="10">
        <f t="shared" si="64"/>
        <v>3.0000000000000027E-2</v>
      </c>
      <c r="Z40" s="10">
        <f t="shared" si="64"/>
        <v>2.0000000000000018E-2</v>
      </c>
      <c r="AA40" s="10">
        <f t="shared" si="64"/>
        <v>2.0000000000000018E-2</v>
      </c>
      <c r="AB40" s="10">
        <f t="shared" si="64"/>
        <v>2.0000000000000018E-2</v>
      </c>
      <c r="AC40" s="10">
        <f t="shared" si="64"/>
        <v>2.0000000000000018E-2</v>
      </c>
      <c r="AD40" s="10">
        <f t="shared" si="64"/>
        <v>2.0000000000000018E-2</v>
      </c>
      <c r="AF40" t="s">
        <v>49</v>
      </c>
      <c r="AG40" s="1">
        <f>AG39/AD26</f>
        <v>10.685266672547707</v>
      </c>
    </row>
    <row r="41" spans="2:33" x14ac:dyDescent="0.3">
      <c r="B41" t="s">
        <v>42</v>
      </c>
      <c r="C41" s="10">
        <f t="shared" ref="C41:J41" si="65">C21/C12</f>
        <v>8.3496667973343902E-2</v>
      </c>
      <c r="D41" s="10">
        <f t="shared" si="65"/>
        <v>9.0728476821191922E-2</v>
      </c>
      <c r="E41" s="10">
        <f t="shared" si="65"/>
        <v>0.13217976447969232</v>
      </c>
      <c r="F41" s="10">
        <f t="shared" si="65"/>
        <v>0.18040600176522503</v>
      </c>
      <c r="G41" s="10">
        <f t="shared" si="65"/>
        <v>0.28704356407725928</v>
      </c>
      <c r="H41" s="10">
        <f t="shared" si="65"/>
        <v>0.36030921608889965</v>
      </c>
      <c r="I41" s="10">
        <f t="shared" si="65"/>
        <v>0.3382254089177682</v>
      </c>
      <c r="J41" s="10">
        <f t="shared" si="65"/>
        <v>0.30396234676007006</v>
      </c>
      <c r="K41" s="10">
        <f t="shared" ref="K41" si="66">K21/K12</f>
        <v>0.27778940757797782</v>
      </c>
      <c r="L41" s="10"/>
      <c r="N41" s="10">
        <f>N21/N12</f>
        <v>6.8577852726250735E-2</v>
      </c>
      <c r="O41" s="10">
        <f>O21/O12</f>
        <v>7.666886979510909E-2</v>
      </c>
      <c r="P41" s="10">
        <f t="shared" ref="P41:AD41" si="67">P21/P12</f>
        <v>0.10665083135391924</v>
      </c>
      <c r="Q41" s="10">
        <f t="shared" si="67"/>
        <v>8.7416980793394439E-2</v>
      </c>
      <c r="R41" s="10">
        <f t="shared" si="67"/>
        <v>0.15998371667005906</v>
      </c>
      <c r="S41" s="10">
        <f t="shared" si="67"/>
        <v>0.32650273224043719</v>
      </c>
      <c r="T41" s="10">
        <f t="shared" si="67"/>
        <v>0.32089469604694931</v>
      </c>
      <c r="U41" s="10">
        <f t="shared" si="67"/>
        <v>0.25773699890822288</v>
      </c>
      <c r="V41" s="10">
        <f t="shared" si="67"/>
        <v>0.24629579659857923</v>
      </c>
      <c r="W41" s="10">
        <f t="shared" si="67"/>
        <v>0.2400834987358737</v>
      </c>
      <c r="X41" s="10">
        <f t="shared" si="67"/>
        <v>0.23698496058572732</v>
      </c>
      <c r="Y41" s="10">
        <f t="shared" si="67"/>
        <v>0.24044429931740963</v>
      </c>
      <c r="Z41" s="10">
        <f t="shared" si="67"/>
        <v>0.24545081919846104</v>
      </c>
      <c r="AA41" s="10">
        <f t="shared" si="67"/>
        <v>0.24698524931433302</v>
      </c>
      <c r="AB41" s="10">
        <f t="shared" si="67"/>
        <v>0.24852607711574085</v>
      </c>
      <c r="AC41" s="10">
        <f t="shared" si="67"/>
        <v>0.25007326891069237</v>
      </c>
      <c r="AD41" s="10">
        <f t="shared" si="67"/>
        <v>0.25162679012008721</v>
      </c>
      <c r="AF41" t="s">
        <v>50</v>
      </c>
      <c r="AG41" s="1">
        <f>Main!D3</f>
        <v>8.3949999999999996</v>
      </c>
    </row>
    <row r="42" spans="2:33" x14ac:dyDescent="0.3">
      <c r="B42" t="s">
        <v>32</v>
      </c>
      <c r="C42" s="10">
        <f t="shared" ref="C42:J42" si="68">C24/C23</f>
        <v>0.32446808510638242</v>
      </c>
      <c r="D42" s="10">
        <f t="shared" si="68"/>
        <v>0.19521912350597645</v>
      </c>
      <c r="E42" s="10">
        <f t="shared" si="68"/>
        <v>0.27290448343079937</v>
      </c>
      <c r="F42" s="10">
        <f t="shared" si="68"/>
        <v>0.19432773109243701</v>
      </c>
      <c r="G42" s="10">
        <f t="shared" si="68"/>
        <v>0.27637673700463206</v>
      </c>
      <c r="H42" s="10">
        <f t="shared" si="68"/>
        <v>0.25461511668408215</v>
      </c>
      <c r="I42" s="10">
        <f t="shared" si="68"/>
        <v>0.25709401709401719</v>
      </c>
      <c r="J42" s="10">
        <f t="shared" si="68"/>
        <v>0.26771942710246044</v>
      </c>
      <c r="K42" s="10">
        <f t="shared" ref="K42" si="69">K24/K23</f>
        <v>0.26472898664571881</v>
      </c>
      <c r="L42" s="10"/>
      <c r="N42" s="10">
        <f>N24/N23</f>
        <v>-1.9801980198019788E-2</v>
      </c>
      <c r="O42" s="10">
        <f>O24/O23</f>
        <v>0.26999999999999985</v>
      </c>
      <c r="P42" s="10">
        <f t="shared" ref="P42:AD42" si="70">P24/P23</f>
        <v>0.2481751824817518</v>
      </c>
      <c r="Q42" s="10">
        <f t="shared" si="70"/>
        <v>0.25056947608200431</v>
      </c>
      <c r="R42" s="10">
        <f t="shared" si="70"/>
        <v>0.2218430034129692</v>
      </c>
      <c r="S42" s="10">
        <f t="shared" si="70"/>
        <v>0.26339842127129198</v>
      </c>
      <c r="T42" s="10">
        <f t="shared" si="70"/>
        <v>0.26221671388101986</v>
      </c>
      <c r="U42" s="10">
        <f t="shared" si="70"/>
        <v>0.25</v>
      </c>
      <c r="V42" s="10">
        <f t="shared" si="70"/>
        <v>0.25</v>
      </c>
      <c r="W42" s="10">
        <f t="shared" si="70"/>
        <v>0.25</v>
      </c>
      <c r="X42" s="10">
        <f t="shared" si="70"/>
        <v>0.25</v>
      </c>
      <c r="Y42" s="10">
        <f t="shared" si="70"/>
        <v>0.25</v>
      </c>
      <c r="Z42" s="10">
        <f t="shared" si="70"/>
        <v>0.25</v>
      </c>
      <c r="AA42" s="10">
        <f t="shared" si="70"/>
        <v>0.25</v>
      </c>
      <c r="AB42" s="10">
        <f t="shared" si="70"/>
        <v>0.25</v>
      </c>
      <c r="AC42" s="10">
        <f t="shared" si="70"/>
        <v>0.25</v>
      </c>
      <c r="AD42" s="10">
        <f t="shared" si="70"/>
        <v>0.25</v>
      </c>
      <c r="AF42" s="8" t="s">
        <v>51</v>
      </c>
      <c r="AG42" s="11">
        <f>AG40/AG41-1</f>
        <v>0.27281318315041192</v>
      </c>
    </row>
    <row r="43" spans="2:33" x14ac:dyDescent="0.3">
      <c r="B43" t="s">
        <v>43</v>
      </c>
      <c r="C43" s="10">
        <f t="shared" ref="C43:J43" si="71">C25/C12</f>
        <v>4.9784398275186326E-2</v>
      </c>
      <c r="D43" s="10">
        <f t="shared" si="71"/>
        <v>6.6887417218542911E-2</v>
      </c>
      <c r="E43" s="10">
        <f t="shared" si="71"/>
        <v>8.9641913001682214E-2</v>
      </c>
      <c r="F43" s="10">
        <f t="shared" si="71"/>
        <v>0.13539276257722857</v>
      </c>
      <c r="G43" s="10">
        <f t="shared" si="71"/>
        <v>0.19822360073311712</v>
      </c>
      <c r="H43" s="10">
        <f t="shared" si="71"/>
        <v>0.25848532431453081</v>
      </c>
      <c r="I43" s="10">
        <f t="shared" si="71"/>
        <v>0.24344611248039427</v>
      </c>
      <c r="J43" s="10">
        <f t="shared" si="71"/>
        <v>0.21825744308231179</v>
      </c>
      <c r="K43" s="10">
        <f t="shared" ref="K43" si="72">K25/K12</f>
        <v>0.1959388737701486</v>
      </c>
      <c r="L43" s="10"/>
      <c r="N43" s="10">
        <f>N25/N12</f>
        <v>5.7897695334457593E-2</v>
      </c>
      <c r="O43" s="10">
        <f>O25/O12</f>
        <v>4.8248512888301433E-2</v>
      </c>
      <c r="P43" s="10">
        <f t="shared" ref="P43:AD43" si="73">P25/P12</f>
        <v>7.3396674584323043E-2</v>
      </c>
      <c r="Q43" s="10">
        <f t="shared" si="73"/>
        <v>5.9055824807036521E-2</v>
      </c>
      <c r="R43" s="10">
        <f t="shared" si="73"/>
        <v>0.11601872582943218</v>
      </c>
      <c r="S43" s="10">
        <f t="shared" si="73"/>
        <v>0.23067915690866514</v>
      </c>
      <c r="T43" s="10">
        <f t="shared" si="73"/>
        <v>0.23070534824493408</v>
      </c>
      <c r="U43" s="10">
        <f t="shared" si="73"/>
        <v>0.18742596579098328</v>
      </c>
      <c r="V43" s="10">
        <f t="shared" si="73"/>
        <v>0.17908883236926465</v>
      </c>
      <c r="W43" s="10">
        <f t="shared" si="73"/>
        <v>0.17457897511233944</v>
      </c>
      <c r="X43" s="10">
        <f t="shared" si="73"/>
        <v>0.17232957157903697</v>
      </c>
      <c r="Y43" s="10">
        <f t="shared" si="73"/>
        <v>0.17496127546615645</v>
      </c>
      <c r="Z43" s="10">
        <f t="shared" si="73"/>
        <v>0.17871616537694501</v>
      </c>
      <c r="AA43" s="10">
        <f t="shared" si="73"/>
        <v>0.17982942443656474</v>
      </c>
      <c r="AB43" s="10">
        <f t="shared" si="73"/>
        <v>0.18094732514216738</v>
      </c>
      <c r="AC43" s="10">
        <f t="shared" si="73"/>
        <v>0.18206984304955365</v>
      </c>
      <c r="AD43" s="10">
        <f t="shared" si="73"/>
        <v>0.18319695307090991</v>
      </c>
      <c r="AF43" t="s">
        <v>52</v>
      </c>
      <c r="AG43" s="4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2024-07-19T07:46:08Z</dcterms:created>
  <dcterms:modified xsi:type="dcterms:W3CDTF">2026-02-24T12:00:09Z</dcterms:modified>
</cp:coreProperties>
</file>