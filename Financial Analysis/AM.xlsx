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05B2A9B-05A4-41E8-A2E1-5544E5BE9992}" xr6:coauthVersionLast="47" xr6:coauthVersionMax="47" xr10:uidLastSave="{00000000-0000-0000-0000-000000000000}"/>
  <bookViews>
    <workbookView xWindow="-108" yWindow="-108" windowWidth="23256" windowHeight="12576" activeTab="1" xr2:uid="{1BC9B113-5C36-4F33-A230-153587A19A0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4" i="2" l="1"/>
  <c r="AJ31" i="2"/>
  <c r="X19" i="2"/>
  <c r="Y19" i="2" s="1"/>
  <c r="Z19" i="2" s="1"/>
  <c r="AA19" i="2" s="1"/>
  <c r="AB19" i="2" s="1"/>
  <c r="AC19" i="2" s="1"/>
  <c r="AD19" i="2" s="1"/>
  <c r="AE19" i="2" s="1"/>
  <c r="W22" i="2"/>
  <c r="W19" i="2"/>
  <c r="W16" i="2"/>
  <c r="W15" i="2"/>
  <c r="N14" i="2"/>
  <c r="N36" i="2" s="1"/>
  <c r="M14" i="2"/>
  <c r="M36" i="2" s="1"/>
  <c r="M12" i="2"/>
  <c r="M34" i="2" s="1"/>
  <c r="N12" i="2"/>
  <c r="N34" i="2" s="1"/>
  <c r="M9" i="2"/>
  <c r="M29" i="2"/>
  <c r="N6" i="2"/>
  <c r="N29" i="2" s="1"/>
  <c r="M6" i="2"/>
  <c r="W6" i="2" s="1"/>
  <c r="X6" i="2" s="1"/>
  <c r="N4" i="2"/>
  <c r="N28" i="2" s="1"/>
  <c r="M4" i="2"/>
  <c r="W4" i="2" s="1"/>
  <c r="N3" i="2"/>
  <c r="N27" i="2" s="1"/>
  <c r="M3" i="2"/>
  <c r="W3" i="2" s="1"/>
  <c r="Q32" i="2"/>
  <c r="V36" i="2"/>
  <c r="U36" i="2"/>
  <c r="T36" i="2"/>
  <c r="S36" i="2"/>
  <c r="V34" i="2"/>
  <c r="U34" i="2"/>
  <c r="T34" i="2"/>
  <c r="S34" i="2"/>
  <c r="V32" i="2"/>
  <c r="U32" i="2"/>
  <c r="T32" i="2"/>
  <c r="S32" i="2"/>
  <c r="V29" i="2"/>
  <c r="U29" i="2"/>
  <c r="T29" i="2"/>
  <c r="S29" i="2"/>
  <c r="V28" i="2"/>
  <c r="U28" i="2"/>
  <c r="T28" i="2"/>
  <c r="S28" i="2"/>
  <c r="V27" i="2"/>
  <c r="U27" i="2"/>
  <c r="T27" i="2"/>
  <c r="S27" i="2"/>
  <c r="R36" i="2"/>
  <c r="R34" i="2"/>
  <c r="R29" i="2"/>
  <c r="R28" i="2"/>
  <c r="R27" i="2"/>
  <c r="R32" i="2"/>
  <c r="R31" i="2"/>
  <c r="K36" i="2"/>
  <c r="J36" i="2"/>
  <c r="I36" i="2"/>
  <c r="K34" i="2"/>
  <c r="J34" i="2"/>
  <c r="I34" i="2"/>
  <c r="K32" i="2"/>
  <c r="J32" i="2"/>
  <c r="I32" i="2"/>
  <c r="H32" i="2"/>
  <c r="G32" i="2"/>
  <c r="F32" i="2"/>
  <c r="E32" i="2"/>
  <c r="K30" i="2"/>
  <c r="K29" i="2"/>
  <c r="J29" i="2"/>
  <c r="I29" i="2"/>
  <c r="K28" i="2"/>
  <c r="J28" i="2"/>
  <c r="I28" i="2"/>
  <c r="K27" i="2"/>
  <c r="J27" i="2"/>
  <c r="I27" i="2"/>
  <c r="L36" i="2"/>
  <c r="L34" i="2"/>
  <c r="L32" i="2"/>
  <c r="L29" i="2"/>
  <c r="L28" i="2"/>
  <c r="L27" i="2"/>
  <c r="E17" i="2"/>
  <c r="E10" i="2"/>
  <c r="E5" i="2"/>
  <c r="E7" i="2" s="1"/>
  <c r="E35" i="2" s="1"/>
  <c r="I17" i="2"/>
  <c r="I10" i="2"/>
  <c r="I5" i="2"/>
  <c r="I7" i="2" s="1"/>
  <c r="I30" i="2" s="1"/>
  <c r="F17" i="2"/>
  <c r="F10" i="2"/>
  <c r="F5" i="2"/>
  <c r="F7" i="2" s="1"/>
  <c r="F35" i="2" s="1"/>
  <c r="J17" i="2"/>
  <c r="J10" i="2"/>
  <c r="J5" i="2"/>
  <c r="J7" i="2" s="1"/>
  <c r="J30" i="2" s="1"/>
  <c r="G17" i="2"/>
  <c r="G10" i="2"/>
  <c r="G5" i="2"/>
  <c r="G7" i="2" s="1"/>
  <c r="G35" i="2" s="1"/>
  <c r="H17" i="2"/>
  <c r="H10" i="2"/>
  <c r="H5" i="2"/>
  <c r="H7" i="2" s="1"/>
  <c r="H11" i="2" s="1"/>
  <c r="H33" i="2" s="1"/>
  <c r="L17" i="2"/>
  <c r="L10" i="2"/>
  <c r="L5" i="2"/>
  <c r="L7" i="2" s="1"/>
  <c r="K17" i="2"/>
  <c r="K10" i="2"/>
  <c r="K5" i="2"/>
  <c r="K7" i="2" s="1"/>
  <c r="K35" i="2" s="1"/>
  <c r="Q19" i="2"/>
  <c r="Q17" i="2"/>
  <c r="Q10" i="2"/>
  <c r="Q5" i="2"/>
  <c r="Q7" i="2" s="1"/>
  <c r="Q35" i="2" s="1"/>
  <c r="R19" i="2"/>
  <c r="R17" i="2"/>
  <c r="R10" i="2"/>
  <c r="R5" i="2"/>
  <c r="R7" i="2" s="1"/>
  <c r="R35" i="2" s="1"/>
  <c r="S17" i="2"/>
  <c r="S10" i="2"/>
  <c r="S5" i="2"/>
  <c r="S7" i="2" s="1"/>
  <c r="S35" i="2" s="1"/>
  <c r="T17" i="2"/>
  <c r="T10" i="2"/>
  <c r="T5" i="2"/>
  <c r="T7" i="2" s="1"/>
  <c r="T35" i="2" s="1"/>
  <c r="U17" i="2"/>
  <c r="U10" i="2"/>
  <c r="U5" i="2"/>
  <c r="U7" i="2" s="1"/>
  <c r="U35" i="2" s="1"/>
  <c r="V17" i="2"/>
  <c r="V10" i="2"/>
  <c r="V5" i="2"/>
  <c r="V7" i="2" s="1"/>
  <c r="V35" i="2" s="1"/>
  <c r="D9" i="1"/>
  <c r="D8" i="1"/>
  <c r="D7" i="1"/>
  <c r="D6" i="1"/>
  <c r="D5" i="1"/>
  <c r="F3" i="1"/>
  <c r="X9" i="2" l="1"/>
  <c r="X32" i="2" s="1"/>
  <c r="Y6" i="2"/>
  <c r="W9" i="2"/>
  <c r="W32" i="2" s="1"/>
  <c r="W27" i="2"/>
  <c r="X3" i="2"/>
  <c r="W28" i="2"/>
  <c r="X4" i="2"/>
  <c r="T31" i="2"/>
  <c r="L11" i="2"/>
  <c r="L18" i="2" s="1"/>
  <c r="L20" i="2" s="1"/>
  <c r="L23" i="2" s="1"/>
  <c r="L25" i="2" s="1"/>
  <c r="L31" i="2"/>
  <c r="E31" i="2"/>
  <c r="U31" i="2"/>
  <c r="M5" i="2"/>
  <c r="M27" i="2"/>
  <c r="N9" i="2"/>
  <c r="N32" i="2" s="1"/>
  <c r="F31" i="2"/>
  <c r="R30" i="2"/>
  <c r="V31" i="2"/>
  <c r="N5" i="2"/>
  <c r="W12" i="2"/>
  <c r="G31" i="2"/>
  <c r="S30" i="2"/>
  <c r="M28" i="2"/>
  <c r="M32" i="2"/>
  <c r="H31" i="2"/>
  <c r="H35" i="2"/>
  <c r="T30" i="2"/>
  <c r="W14" i="2"/>
  <c r="I31" i="2"/>
  <c r="I35" i="2"/>
  <c r="U30" i="2"/>
  <c r="J31" i="2"/>
  <c r="J35" i="2"/>
  <c r="V30" i="2"/>
  <c r="Q31" i="2"/>
  <c r="K31" i="2"/>
  <c r="S31" i="2"/>
  <c r="AF19" i="2"/>
  <c r="AG19" i="2" s="1"/>
  <c r="X29" i="2"/>
  <c r="W29" i="2"/>
  <c r="X27" i="2"/>
  <c r="W5" i="2"/>
  <c r="L33" i="2"/>
  <c r="L35" i="2"/>
  <c r="L30" i="2"/>
  <c r="H18" i="2"/>
  <c r="E11" i="2"/>
  <c r="I11" i="2"/>
  <c r="F11" i="2"/>
  <c r="J11" i="2"/>
  <c r="G11" i="2"/>
  <c r="V11" i="2"/>
  <c r="K11" i="2"/>
  <c r="Q11" i="2"/>
  <c r="R11" i="2"/>
  <c r="S11" i="2"/>
  <c r="T11" i="2"/>
  <c r="U11" i="2"/>
  <c r="T18" i="2" l="1"/>
  <c r="T33" i="2"/>
  <c r="N7" i="2"/>
  <c r="N8" i="2"/>
  <c r="N10" i="2" s="1"/>
  <c r="N31" i="2"/>
  <c r="E18" i="2"/>
  <c r="E33" i="2"/>
  <c r="Q18" i="2"/>
  <c r="Q33" i="2"/>
  <c r="L39" i="2"/>
  <c r="L38" i="2"/>
  <c r="W36" i="2"/>
  <c r="X14" i="2"/>
  <c r="X28" i="2"/>
  <c r="Y4" i="2"/>
  <c r="F18" i="2"/>
  <c r="F33" i="2"/>
  <c r="S18" i="2"/>
  <c r="S33" i="2"/>
  <c r="R18" i="2"/>
  <c r="R33" i="2"/>
  <c r="Z6" i="2"/>
  <c r="Y29" i="2"/>
  <c r="Y9" i="2"/>
  <c r="Y32" i="2" s="1"/>
  <c r="K18" i="2"/>
  <c r="K33" i="2"/>
  <c r="I18" i="2"/>
  <c r="I33" i="2"/>
  <c r="H20" i="2"/>
  <c r="H37" i="2"/>
  <c r="V18" i="2"/>
  <c r="V33" i="2"/>
  <c r="G18" i="2"/>
  <c r="G33" i="2"/>
  <c r="U18" i="2"/>
  <c r="U33" i="2"/>
  <c r="J18" i="2"/>
  <c r="J33" i="2"/>
  <c r="L37" i="2"/>
  <c r="X12" i="2"/>
  <c r="W34" i="2"/>
  <c r="M8" i="2"/>
  <c r="M7" i="2"/>
  <c r="M31" i="2"/>
  <c r="Y3" i="2"/>
  <c r="X5" i="2"/>
  <c r="W7" i="2"/>
  <c r="Z29" i="2" l="1"/>
  <c r="Z9" i="2"/>
  <c r="Z32" i="2" s="1"/>
  <c r="AA6" i="2"/>
  <c r="Z4" i="2"/>
  <c r="Y28" i="2"/>
  <c r="Q20" i="2"/>
  <c r="Q37" i="2"/>
  <c r="E20" i="2"/>
  <c r="E37" i="2"/>
  <c r="F20" i="2"/>
  <c r="F37" i="2"/>
  <c r="Y27" i="2"/>
  <c r="Z3" i="2"/>
  <c r="Y5" i="2"/>
  <c r="J20" i="2"/>
  <c r="J37" i="2"/>
  <c r="M30" i="2"/>
  <c r="M13" i="2"/>
  <c r="X36" i="2"/>
  <c r="Y14" i="2"/>
  <c r="X7" i="2"/>
  <c r="X8" i="2"/>
  <c r="H23" i="2"/>
  <c r="H38" i="2"/>
  <c r="W8" i="2"/>
  <c r="M10" i="2"/>
  <c r="M11" i="2" s="1"/>
  <c r="M33" i="2" s="1"/>
  <c r="U20" i="2"/>
  <c r="U37" i="2"/>
  <c r="I20" i="2"/>
  <c r="I37" i="2"/>
  <c r="R20" i="2"/>
  <c r="R37" i="2"/>
  <c r="N11" i="2"/>
  <c r="T20" i="2"/>
  <c r="T37" i="2"/>
  <c r="V20" i="2"/>
  <c r="V37" i="2"/>
  <c r="N13" i="2"/>
  <c r="N30" i="2"/>
  <c r="X34" i="2"/>
  <c r="Y12" i="2"/>
  <c r="G20" i="2"/>
  <c r="G37" i="2"/>
  <c r="K20" i="2"/>
  <c r="K37" i="2"/>
  <c r="S20" i="2"/>
  <c r="S37" i="2"/>
  <c r="X30" i="2"/>
  <c r="W30" i="2"/>
  <c r="W10" i="2" l="1"/>
  <c r="W11" i="2" s="1"/>
  <c r="W31" i="2"/>
  <c r="S23" i="2"/>
  <c r="S38" i="2"/>
  <c r="H25" i="2"/>
  <c r="H39" i="2"/>
  <c r="J23" i="2"/>
  <c r="J38" i="2"/>
  <c r="N35" i="2"/>
  <c r="N17" i="2"/>
  <c r="N18" i="2" s="1"/>
  <c r="X31" i="2"/>
  <c r="X10" i="2"/>
  <c r="Y7" i="2"/>
  <c r="Y8" i="2"/>
  <c r="Y10" i="2" s="1"/>
  <c r="Y11" i="2" s="1"/>
  <c r="Y31" i="2"/>
  <c r="Q23" i="2"/>
  <c r="Q38" i="2"/>
  <c r="X11" i="2"/>
  <c r="X33" i="2" s="1"/>
  <c r="X13" i="2"/>
  <c r="N33" i="2"/>
  <c r="R23" i="2"/>
  <c r="R38" i="2"/>
  <c r="K23" i="2"/>
  <c r="K38" i="2"/>
  <c r="I23" i="2"/>
  <c r="I38" i="2"/>
  <c r="Z27" i="2"/>
  <c r="Z5" i="2"/>
  <c r="AA3" i="2"/>
  <c r="V23" i="2"/>
  <c r="V38" i="2"/>
  <c r="Z14" i="2"/>
  <c r="Y36" i="2"/>
  <c r="AA4" i="2"/>
  <c r="Z28" i="2"/>
  <c r="G23" i="2"/>
  <c r="G38" i="2"/>
  <c r="U23" i="2"/>
  <c r="U38" i="2"/>
  <c r="Z12" i="2"/>
  <c r="Y34" i="2"/>
  <c r="T23" i="2"/>
  <c r="T38" i="2"/>
  <c r="M35" i="2"/>
  <c r="W13" i="2"/>
  <c r="M17" i="2"/>
  <c r="M18" i="2" s="1"/>
  <c r="F23" i="2"/>
  <c r="F38" i="2"/>
  <c r="AA9" i="2"/>
  <c r="AA32" i="2"/>
  <c r="AA29" i="2"/>
  <c r="AB6" i="2"/>
  <c r="E23" i="2"/>
  <c r="E38" i="2"/>
  <c r="W33" i="2"/>
  <c r="N37" i="2" l="1"/>
  <c r="N20" i="2"/>
  <c r="Q25" i="2"/>
  <c r="Q39" i="2"/>
  <c r="E25" i="2"/>
  <c r="E39" i="2"/>
  <c r="W17" i="2"/>
  <c r="W18" i="2" s="1"/>
  <c r="W35" i="2"/>
  <c r="U25" i="2"/>
  <c r="U39" i="2"/>
  <c r="V25" i="2"/>
  <c r="V39" i="2"/>
  <c r="J25" i="2"/>
  <c r="J39" i="2"/>
  <c r="M37" i="2"/>
  <c r="M20" i="2"/>
  <c r="AB9" i="2"/>
  <c r="AB32" i="2" s="1"/>
  <c r="AC6" i="2"/>
  <c r="AB29" i="2"/>
  <c r="AA5" i="2"/>
  <c r="AB3" i="2"/>
  <c r="AA27" i="2"/>
  <c r="R25" i="2"/>
  <c r="R39" i="2"/>
  <c r="Y33" i="2"/>
  <c r="G25" i="2"/>
  <c r="G39" i="2"/>
  <c r="Z8" i="2"/>
  <c r="Z10" i="2" s="1"/>
  <c r="Z7" i="2"/>
  <c r="Z31" i="2"/>
  <c r="Y30" i="2"/>
  <c r="Y13" i="2"/>
  <c r="K25" i="2"/>
  <c r="K39" i="2"/>
  <c r="T25" i="2"/>
  <c r="T39" i="2"/>
  <c r="AB4" i="2"/>
  <c r="AA28" i="2"/>
  <c r="X35" i="2"/>
  <c r="X17" i="2"/>
  <c r="X18" i="2" s="1"/>
  <c r="S25" i="2"/>
  <c r="S39" i="2"/>
  <c r="I25" i="2"/>
  <c r="I39" i="2"/>
  <c r="F25" i="2"/>
  <c r="F39" i="2"/>
  <c r="AA12" i="2"/>
  <c r="Z34" i="2"/>
  <c r="AA14" i="2"/>
  <c r="Z36" i="2"/>
  <c r="W37" i="2"/>
  <c r="W20" i="2"/>
  <c r="AB12" i="2" l="1"/>
  <c r="AA34" i="2"/>
  <c r="Z11" i="2"/>
  <c r="Z33" i="2" s="1"/>
  <c r="Z13" i="2"/>
  <c r="Z30" i="2"/>
  <c r="AB5" i="2"/>
  <c r="AC3" i="2"/>
  <c r="AB27" i="2"/>
  <c r="AA8" i="2"/>
  <c r="AA10" i="2" s="1"/>
  <c r="AA31" i="2"/>
  <c r="AA7" i="2"/>
  <c r="M21" i="2"/>
  <c r="AC4" i="2"/>
  <c r="AB28" i="2"/>
  <c r="AB14" i="2"/>
  <c r="AA36" i="2"/>
  <c r="AC9" i="2"/>
  <c r="AC32" i="2" s="1"/>
  <c r="AD6" i="2"/>
  <c r="AC29" i="2"/>
  <c r="X37" i="2"/>
  <c r="X20" i="2"/>
  <c r="X21" i="2" s="1"/>
  <c r="Y35" i="2"/>
  <c r="Y17" i="2"/>
  <c r="Y18" i="2" s="1"/>
  <c r="N21" i="2"/>
  <c r="N38" i="2" s="1"/>
  <c r="M38" i="2" l="1"/>
  <c r="W21" i="2"/>
  <c r="AA13" i="2"/>
  <c r="AA11" i="2"/>
  <c r="AA33" i="2" s="1"/>
  <c r="AA30" i="2"/>
  <c r="N23" i="2"/>
  <c r="AC14" i="2"/>
  <c r="AB36" i="2"/>
  <c r="AC12" i="2"/>
  <c r="AB34" i="2"/>
  <c r="X23" i="2"/>
  <c r="X38" i="2"/>
  <c r="AC5" i="2"/>
  <c r="AD3" i="2"/>
  <c r="AC27" i="2"/>
  <c r="AD4" i="2"/>
  <c r="AC28" i="2"/>
  <c r="AB8" i="2"/>
  <c r="AB10" i="2" s="1"/>
  <c r="AB31" i="2"/>
  <c r="AB7" i="2"/>
  <c r="Z35" i="2"/>
  <c r="Z17" i="2"/>
  <c r="Z18" i="2" s="1"/>
  <c r="AD9" i="2"/>
  <c r="AD32" i="2"/>
  <c r="AE6" i="2"/>
  <c r="AD29" i="2"/>
  <c r="Y20" i="2"/>
  <c r="Y37" i="2"/>
  <c r="M23" i="2"/>
  <c r="AE4" i="2" l="1"/>
  <c r="AD28" i="2"/>
  <c r="Z20" i="2"/>
  <c r="Z37" i="2"/>
  <c r="AD5" i="2"/>
  <c r="AE3" i="2"/>
  <c r="AD27" i="2"/>
  <c r="AD14" i="2"/>
  <c r="AC36" i="2"/>
  <c r="AE9" i="2"/>
  <c r="AE29" i="2"/>
  <c r="AF6" i="2"/>
  <c r="AE32" i="2"/>
  <c r="W23" i="2"/>
  <c r="W38" i="2"/>
  <c r="AD12" i="2"/>
  <c r="AC34" i="2"/>
  <c r="M25" i="2"/>
  <c r="M39" i="2"/>
  <c r="AC8" i="2"/>
  <c r="AC10" i="2" s="1"/>
  <c r="AC7" i="2"/>
  <c r="N39" i="2"/>
  <c r="N25" i="2"/>
  <c r="AB13" i="2"/>
  <c r="AB30" i="2"/>
  <c r="Y21" i="2"/>
  <c r="Y38" i="2" s="1"/>
  <c r="X25" i="2"/>
  <c r="X39" i="2"/>
  <c r="AB11" i="2"/>
  <c r="AB33" i="2" s="1"/>
  <c r="AA35" i="2"/>
  <c r="AA17" i="2"/>
  <c r="AA18" i="2" s="1"/>
  <c r="AF4" i="2" l="1"/>
  <c r="AE28" i="2"/>
  <c r="AE14" i="2"/>
  <c r="AD36" i="2"/>
  <c r="AC11" i="2"/>
  <c r="AC33" i="2" s="1"/>
  <c r="W25" i="2"/>
  <c r="W39" i="2"/>
  <c r="AE5" i="2"/>
  <c r="AE27" i="2"/>
  <c r="AF3" i="2"/>
  <c r="Y23" i="2"/>
  <c r="AC31" i="2"/>
  <c r="AD7" i="2"/>
  <c r="AD8" i="2"/>
  <c r="AD10" i="2" s="1"/>
  <c r="AD11" i="2" s="1"/>
  <c r="AE12" i="2"/>
  <c r="AD34" i="2"/>
  <c r="AC13" i="2"/>
  <c r="AC30" i="2"/>
  <c r="AF9" i="2"/>
  <c r="AF29" i="2"/>
  <c r="AF32" i="2"/>
  <c r="AG6" i="2"/>
  <c r="Z21" i="2"/>
  <c r="Z38" i="2" s="1"/>
  <c r="Z23" i="2"/>
  <c r="AA37" i="2"/>
  <c r="AA20" i="2"/>
  <c r="AB35" i="2"/>
  <c r="AB17" i="2"/>
  <c r="AB18" i="2" s="1"/>
  <c r="AF12" i="2" l="1"/>
  <c r="AE34" i="2"/>
  <c r="AG9" i="2"/>
  <c r="AG29" i="2"/>
  <c r="AG32" i="2"/>
  <c r="AD33" i="2"/>
  <c r="AE31" i="2"/>
  <c r="AE7" i="2"/>
  <c r="AE8" i="2"/>
  <c r="AE10" i="2" s="1"/>
  <c r="AE11" i="2" s="1"/>
  <c r="AB37" i="2"/>
  <c r="AB20" i="2"/>
  <c r="AD31" i="2"/>
  <c r="AA21" i="2"/>
  <c r="AA38" i="2" s="1"/>
  <c r="AA23" i="2"/>
  <c r="AC35" i="2"/>
  <c r="AC17" i="2"/>
  <c r="AC18" i="2" s="1"/>
  <c r="Y25" i="2"/>
  <c r="Y39" i="2"/>
  <c r="AG4" i="2"/>
  <c r="AG28" i="2" s="1"/>
  <c r="AF28" i="2"/>
  <c r="AD13" i="2"/>
  <c r="AD30" i="2"/>
  <c r="Z25" i="2"/>
  <c r="Z39" i="2"/>
  <c r="AF5" i="2"/>
  <c r="AG3" i="2"/>
  <c r="AF27" i="2"/>
  <c r="AF14" i="2"/>
  <c r="AE36" i="2"/>
  <c r="AG12" i="2" l="1"/>
  <c r="AF34" i="2"/>
  <c r="AD35" i="2"/>
  <c r="AD17" i="2"/>
  <c r="AD18" i="2" s="1"/>
  <c r="AG14" i="2"/>
  <c r="AG36" i="2" s="1"/>
  <c r="AF36" i="2"/>
  <c r="AB21" i="2"/>
  <c r="AB38" i="2" s="1"/>
  <c r="AG27" i="2"/>
  <c r="AG5" i="2"/>
  <c r="AA25" i="2"/>
  <c r="AA39" i="2"/>
  <c r="AF7" i="2"/>
  <c r="AF8" i="2"/>
  <c r="AF10" i="2" s="1"/>
  <c r="AE33" i="2"/>
  <c r="AC37" i="2"/>
  <c r="AC20" i="2"/>
  <c r="AE13" i="2"/>
  <c r="AE30" i="2"/>
  <c r="AC21" i="2" l="1"/>
  <c r="AC38" i="2" s="1"/>
  <c r="AG7" i="2"/>
  <c r="AG8" i="2"/>
  <c r="AG10" i="2" s="1"/>
  <c r="AG11" i="2" s="1"/>
  <c r="AG31" i="2"/>
  <c r="AF30" i="2"/>
  <c r="AF13" i="2"/>
  <c r="AF11" i="2"/>
  <c r="AF33" i="2" s="1"/>
  <c r="AD37" i="2"/>
  <c r="AD20" i="2"/>
  <c r="AE35" i="2"/>
  <c r="AE17" i="2"/>
  <c r="AE18" i="2" s="1"/>
  <c r="AF31" i="2"/>
  <c r="AB23" i="2"/>
  <c r="AG34" i="2"/>
  <c r="AB25" i="2" l="1"/>
  <c r="AB39" i="2"/>
  <c r="AE37" i="2"/>
  <c r="AE20" i="2"/>
  <c r="AF35" i="2"/>
  <c r="AF17" i="2"/>
  <c r="AF18" i="2" s="1"/>
  <c r="AG30" i="2"/>
  <c r="AG13" i="2"/>
  <c r="AG33" i="2"/>
  <c r="AD21" i="2"/>
  <c r="AD38" i="2" s="1"/>
  <c r="AD23" i="2"/>
  <c r="AC23" i="2"/>
  <c r="AD39" i="2" l="1"/>
  <c r="AD25" i="2"/>
  <c r="AG35" i="2"/>
  <c r="AG17" i="2"/>
  <c r="AG18" i="2" s="1"/>
  <c r="AF37" i="2"/>
  <c r="AF20" i="2"/>
  <c r="AC39" i="2"/>
  <c r="AC25" i="2"/>
  <c r="AE21" i="2"/>
  <c r="AE38" i="2" s="1"/>
  <c r="AE23" i="2"/>
  <c r="AG37" i="2" l="1"/>
  <c r="AG20" i="2"/>
  <c r="AE25" i="2"/>
  <c r="AE39" i="2"/>
  <c r="AF21" i="2"/>
  <c r="AF38" i="2" s="1"/>
  <c r="AF23" i="2"/>
  <c r="AF39" i="2" l="1"/>
  <c r="AF25" i="2"/>
  <c r="AG21" i="2"/>
  <c r="AG38" i="2" s="1"/>
  <c r="AG23" i="2" l="1"/>
  <c r="AH23" i="2" l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S23" i="2" s="1"/>
  <c r="DT23" i="2" s="1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AJ30" i="2" s="1"/>
  <c r="AJ32" i="2" s="1"/>
  <c r="AJ33" i="2" s="1"/>
  <c r="AJ35" i="2" s="1"/>
  <c r="AG25" i="2"/>
  <c r="AG39" i="2"/>
</calcChain>
</file>

<file path=xl/sharedStrings.xml><?xml version="1.0" encoding="utf-8"?>
<sst xmlns="http://schemas.openxmlformats.org/spreadsheetml/2006/main" count="72" uniqueCount="68">
  <si>
    <t>AM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</si>
  <si>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</si>
  <si>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</si>
  <si>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</si>
  <si>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</si>
  <si>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</si>
  <si>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</si>
  <si>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</si>
  <si>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</si>
  <si>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</si>
  <si>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</si>
  <si>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H224</t>
  </si>
  <si>
    <t>Subscription revenue</t>
  </si>
  <si>
    <t>Service revenue</t>
  </si>
  <si>
    <t>Total revenue</t>
  </si>
  <si>
    <t>Total software revenue</t>
  </si>
  <si>
    <t>Software cost</t>
  </si>
  <si>
    <t>Service cost</t>
  </si>
  <si>
    <t>Total cost of sales</t>
  </si>
  <si>
    <t>Gross profit</t>
  </si>
  <si>
    <t>R&amp;D</t>
  </si>
  <si>
    <t>S&amp;M</t>
  </si>
  <si>
    <t>G&amp;A</t>
  </si>
  <si>
    <t>Amortisation</t>
  </si>
  <si>
    <t>Other operating income</t>
  </si>
  <si>
    <t>Total operating expense</t>
  </si>
  <si>
    <t>Operating profit</t>
  </si>
  <si>
    <t>Net finance income</t>
  </si>
  <si>
    <t>Pretax profit</t>
  </si>
  <si>
    <t>Taxes</t>
  </si>
  <si>
    <t>MI</t>
  </si>
  <si>
    <t>Net profit</t>
  </si>
  <si>
    <t>EPS</t>
  </si>
  <si>
    <t>Q124</t>
  </si>
  <si>
    <t>Q224</t>
  </si>
  <si>
    <t>Q324</t>
  </si>
  <si>
    <t>Q424</t>
  </si>
  <si>
    <t>Q125</t>
  </si>
  <si>
    <t>Q225</t>
  </si>
  <si>
    <t>Q325</t>
  </si>
  <si>
    <t>Q425</t>
  </si>
  <si>
    <t>Q123</t>
  </si>
  <si>
    <t>Q223</t>
  </si>
  <si>
    <t>Q323</t>
  </si>
  <si>
    <t>Q423</t>
  </si>
  <si>
    <t>License revenue</t>
  </si>
  <si>
    <t>Revenue y/y</t>
  </si>
  <si>
    <t>Service revenue y/y</t>
  </si>
  <si>
    <t>License revenue y/y</t>
  </si>
  <si>
    <t>Subscription revenue y/y</t>
  </si>
  <si>
    <t>Software Margin</t>
  </si>
  <si>
    <t>Service Margin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</si>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</sst>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64" fontId="2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7620</xdr:rowOff>
    </xdr:from>
    <xdr:to>
      <xdr:col>22</xdr:col>
      <xdr:colOff>38100</xdr:colOff>
      <xdr:row>43</xdr:row>
      <xdr:rowOff>175260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BB6B642-8960-C29D-A58C-65B2247E0A6C}"/>
            </a:ext>
          </a:extLst>
        </xdr:cNvPr>
        <xdr:cNvCxnSpPr/>
      </xdr:nvCxnSpPr>
      <xdr:spPr>
        <a:xfrm>
          <a:off x="14897100" y="7620"/>
          <a:ext cx="0" cy="8031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0</xdr:row>
      <xdr:rowOff>7620</xdr:rowOff>
    </xdr:from>
    <xdr:to>
      <xdr:col>12</xdr:col>
      <xdr:colOff>38100</xdr:colOff>
      <xdr:row>42</xdr:row>
      <xdr:rowOff>30480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338BCDA-CC44-A378-4313-0EAB22D130E3}"/>
            </a:ext>
          </a:extLst>
        </xdr:cNvPr>
        <xdr:cNvCxnSpPr/>
      </xdr:nvCxnSpPr>
      <xdr:spPr>
        <a:xfrm>
          <a:off x="8191500" y="7620"/>
          <a:ext cx="0" cy="77038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7662-4EEF-4CEA-B3F4-90061DC65761}">
  <dimension ref="B2:G9"/>
  <sheetViews>
    <sheetView workbookViewId="0">
      <selection activeCell="G4" sqref="G4"/>
    </sheetView>
  </sheetViews>
  <sheetFormatPr defaultRowHeight="14.4" x14ac:dyDescent="0.3"/>
  <cols>
    <col min="1" max="4" width="8.88671875" style="1"/>
    <col min="5" max="7" width="12.55468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4">
        <v>27.18</v>
      </c>
      <c r="E3" s="5">
        <v>45868</v>
      </c>
      <c r="F3" s="5">
        <f ca="1">TODAY()</f>
        <v>45868</v>
      </c>
      <c r="G3" s="5">
        <v>46079</v>
      </c>
    </row>
    <row r="4" spans="2:7" x14ac:dyDescent="0.3">
      <c r="C4" s="1" t="s">
        <v>2</v>
      </c>
      <c r="D4" s="6">
        <v>1313.3</v>
      </c>
      <c r="E4" s="3" t="s">
        <v>11</v>
      </c>
    </row>
    <row r="5" spans="2:7" x14ac:dyDescent="0.3">
      <c r="C5" s="1" t="s">
        <v>3</v>
      </c>
      <c r="D5" s="6">
        <f>D3*D4</f>
        <v>35695.493999999999</v>
      </c>
    </row>
    <row r="6" spans="2:7" x14ac:dyDescent="0.3">
      <c r="C6" s="1" t="s">
        <v>4</v>
      </c>
      <c r="D6" s="6">
        <f>3952.6</f>
        <v>3952.6</v>
      </c>
      <c r="E6" s="3" t="s">
        <v>11</v>
      </c>
    </row>
    <row r="7" spans="2:7" x14ac:dyDescent="0.3">
      <c r="C7" s="1" t="s">
        <v>5</v>
      </c>
      <c r="D7" s="6">
        <f>450.8+2042.8</f>
        <v>2493.6</v>
      </c>
      <c r="E7" s="3" t="s">
        <v>11</v>
      </c>
    </row>
    <row r="8" spans="2:7" x14ac:dyDescent="0.3">
      <c r="C8" s="1" t="s">
        <v>6</v>
      </c>
      <c r="D8" s="6">
        <f>D6-D7</f>
        <v>1459</v>
      </c>
    </row>
    <row r="9" spans="2:7" x14ac:dyDescent="0.3">
      <c r="C9" s="1" t="s">
        <v>7</v>
      </c>
      <c r="D9" s="6">
        <f>D5-D8</f>
        <v>34236.493999999999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0969-B396-4B2D-BA08-B794DFF6F5C3}">
  <dimension ref="B2:EI39"/>
  <sheetViews>
    <sheetView tabSelected="1" workbookViewId="0">
      <pane xSplit="2" ySplit="2" topLeftCell="T15" activePane="bottomRight" state="frozen"/>
      <selection pane="topRight" activeCell="C1" sqref="C1"/>
      <selection pane="bottomLeft" activeCell="A3" sqref="A3"/>
      <selection pane="bottomRight" activeCell="AC14" sqref="AC14"/>
    </sheetView>
  </sheetViews>
  <sheetFormatPr defaultRowHeight="14.4" x14ac:dyDescent="0.3"/>
  <cols>
    <col min="1" max="1" width="8.88671875" style="1"/>
    <col min="2" max="2" width="21.109375" style="1" bestFit="1" customWidth="1"/>
    <col min="3" max="6" width="8.88671875" style="1" customWidth="1"/>
    <col min="7" max="34" width="8.88671875" style="1"/>
    <col min="35" max="36" width="12.77734375" style="1" customWidth="1"/>
    <col min="37" max="16384" width="8.88671875" style="1"/>
  </cols>
  <sheetData>
    <row r="2" spans="2:33" x14ac:dyDescent="0.3">
      <c r="C2" s="9" t="s">
        <v>41</v>
      </c>
      <c r="D2" s="9" t="s">
        <v>42</v>
      </c>
      <c r="E2" s="9" t="s">
        <v>43</v>
      </c>
      <c r="F2" s="9" t="s">
        <v>44</v>
      </c>
      <c r="G2" s="9" t="s">
        <v>33</v>
      </c>
      <c r="H2" s="9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9" t="s">
        <v>40</v>
      </c>
      <c r="Q2" s="1">
        <v>2019</v>
      </c>
      <c r="R2" s="1">
        <v>2020</v>
      </c>
      <c r="S2" s="1">
        <v>2021</v>
      </c>
      <c r="T2" s="1">
        <v>2022</v>
      </c>
      <c r="U2" s="1">
        <v>2023</v>
      </c>
      <c r="V2" s="1">
        <v>2024</v>
      </c>
      <c r="W2" s="1">
        <v>2025</v>
      </c>
      <c r="X2" s="1">
        <v>2026</v>
      </c>
      <c r="Y2" s="1">
        <v>2027</v>
      </c>
      <c r="Z2" s="1">
        <v>2028</v>
      </c>
      <c r="AA2" s="1">
        <v>2029</v>
      </c>
      <c r="AB2" s="1">
        <v>2030</v>
      </c>
      <c r="AC2" s="1">
        <v>2031</v>
      </c>
      <c r="AD2" s="1">
        <v>2032</v>
      </c>
      <c r="AE2" s="1">
        <v>2033</v>
      </c>
      <c r="AF2" s="1">
        <v>2034</v>
      </c>
      <c r="AG2" s="1">
        <v>2035</v>
      </c>
    </row>
    <row r="3" spans="2:33" x14ac:dyDescent="0.3">
      <c r="B3" s="1" t="s">
        <v>45</v>
      </c>
      <c r="E3" s="6">
        <v>246</v>
      </c>
      <c r="F3" s="6">
        <v>351.9</v>
      </c>
      <c r="G3" s="6">
        <v>218.5</v>
      </c>
      <c r="H3" s="6">
        <v>271.8</v>
      </c>
      <c r="I3" s="6">
        <v>229.5</v>
      </c>
      <c r="J3" s="6">
        <v>405.4</v>
      </c>
      <c r="K3" s="6">
        <v>198.1</v>
      </c>
      <c r="L3" s="6">
        <v>275.60000000000002</v>
      </c>
      <c r="M3" s="6">
        <f>I3*1.03</f>
        <v>236.38500000000002</v>
      </c>
      <c r="N3" s="6">
        <f>J3*1.03</f>
        <v>417.56200000000001</v>
      </c>
      <c r="Q3" s="6">
        <v>999.6</v>
      </c>
      <c r="R3" s="6">
        <v>807.5</v>
      </c>
      <c r="S3" s="6">
        <v>982.9</v>
      </c>
      <c r="T3" s="6">
        <v>1106.2</v>
      </c>
      <c r="U3" s="6">
        <v>1087.5999999999999</v>
      </c>
      <c r="V3" s="6">
        <v>1125.2</v>
      </c>
      <c r="W3" s="6">
        <f>SUM(K3:N3)</f>
        <v>1127.6469999999999</v>
      </c>
      <c r="X3" s="6">
        <f>W3*1.01</f>
        <v>1138.92347</v>
      </c>
      <c r="Y3" s="6">
        <f t="shared" ref="Y3:AG3" si="0">X3*1.01</f>
        <v>1150.3127047</v>
      </c>
      <c r="Z3" s="6">
        <f t="shared" si="0"/>
        <v>1161.8158317469999</v>
      </c>
      <c r="AA3" s="6">
        <f t="shared" si="0"/>
        <v>1173.43399006447</v>
      </c>
      <c r="AB3" s="6">
        <f t="shared" si="0"/>
        <v>1185.1683299651147</v>
      </c>
      <c r="AC3" s="6">
        <f t="shared" si="0"/>
        <v>1197.0200132647658</v>
      </c>
      <c r="AD3" s="6">
        <f t="shared" si="0"/>
        <v>1208.9902133974135</v>
      </c>
      <c r="AE3" s="6">
        <f t="shared" si="0"/>
        <v>1221.0801155313877</v>
      </c>
      <c r="AF3" s="6">
        <f t="shared" si="0"/>
        <v>1233.2909166867016</v>
      </c>
      <c r="AG3" s="6">
        <f t="shared" si="0"/>
        <v>1245.6238258535686</v>
      </c>
    </row>
    <row r="4" spans="2:33" x14ac:dyDescent="0.3">
      <c r="B4" s="1" t="s">
        <v>12</v>
      </c>
      <c r="E4" s="6">
        <v>1040.8</v>
      </c>
      <c r="F4" s="6">
        <v>1124.3</v>
      </c>
      <c r="G4" s="6">
        <v>1134.3</v>
      </c>
      <c r="H4" s="6">
        <v>1074.8</v>
      </c>
      <c r="I4" s="6">
        <v>1082.9000000000001</v>
      </c>
      <c r="J4" s="6">
        <v>1196.0999999999999</v>
      </c>
      <c r="K4" s="6">
        <v>1234.5999999999999</v>
      </c>
      <c r="L4" s="6">
        <v>1097.0999999999999</v>
      </c>
      <c r="M4" s="6">
        <f>I4*1.05</f>
        <v>1137.0450000000001</v>
      </c>
      <c r="N4" s="6">
        <f>J4*1.05</f>
        <v>1255.905</v>
      </c>
      <c r="Q4" s="6">
        <v>2539.8000000000002</v>
      </c>
      <c r="R4" s="6">
        <v>3205.2</v>
      </c>
      <c r="S4" s="6">
        <v>3419.7</v>
      </c>
      <c r="T4" s="6">
        <v>4007.9</v>
      </c>
      <c r="U4" s="6">
        <v>4272.3999999999996</v>
      </c>
      <c r="V4" s="6">
        <v>4488.1000000000004</v>
      </c>
      <c r="W4" s="6">
        <f>SUM(K4:N4)</f>
        <v>4724.6499999999996</v>
      </c>
      <c r="X4" s="6">
        <f>W4*1.04</f>
        <v>4913.6359999999995</v>
      </c>
      <c r="Y4" s="6">
        <f>X4*1.03</f>
        <v>5061.0450799999999</v>
      </c>
      <c r="Z4" s="6">
        <f>Y4*1.02</f>
        <v>5162.2659815999996</v>
      </c>
      <c r="AA4" s="6">
        <f t="shared" ref="AA4:AG4" si="1">Z4*1.02</f>
        <v>5265.5113012319998</v>
      </c>
      <c r="AB4" s="6">
        <f t="shared" si="1"/>
        <v>5370.8215272566404</v>
      </c>
      <c r="AC4" s="6">
        <f t="shared" si="1"/>
        <v>5478.2379578017735</v>
      </c>
      <c r="AD4" s="6">
        <f t="shared" si="1"/>
        <v>5587.802716957809</v>
      </c>
      <c r="AE4" s="6">
        <f t="shared" si="1"/>
        <v>5699.5587712969655</v>
      </c>
      <c r="AF4" s="6">
        <f t="shared" si="1"/>
        <v>5813.5499467229047</v>
      </c>
      <c r="AG4" s="6">
        <f t="shared" si="1"/>
        <v>5929.8209456573632</v>
      </c>
    </row>
    <row r="5" spans="2:33" x14ac:dyDescent="0.3">
      <c r="B5" s="1" t="s">
        <v>15</v>
      </c>
      <c r="E5" s="6">
        <f t="shared" ref="E5:L5" si="2">E3+E4</f>
        <v>1286.8</v>
      </c>
      <c r="F5" s="6">
        <f t="shared" si="2"/>
        <v>1476.1999999999998</v>
      </c>
      <c r="G5" s="6">
        <f t="shared" si="2"/>
        <v>1352.8</v>
      </c>
      <c r="H5" s="6">
        <f t="shared" si="2"/>
        <v>1346.6</v>
      </c>
      <c r="I5" s="6">
        <f t="shared" si="2"/>
        <v>1312.4</v>
      </c>
      <c r="J5" s="6">
        <f t="shared" si="2"/>
        <v>1601.5</v>
      </c>
      <c r="K5" s="6">
        <f t="shared" si="2"/>
        <v>1432.6999999999998</v>
      </c>
      <c r="L5" s="6">
        <f t="shared" si="2"/>
        <v>1372.6999999999998</v>
      </c>
      <c r="M5" s="6">
        <f t="shared" ref="M5:N5" si="3">M3+M4</f>
        <v>1373.43</v>
      </c>
      <c r="N5" s="6">
        <f t="shared" si="3"/>
        <v>1673.4670000000001</v>
      </c>
      <c r="Q5" s="6">
        <f t="shared" ref="Q5:W5" si="4">Q3+Q4</f>
        <v>3539.4</v>
      </c>
      <c r="R5" s="6">
        <f t="shared" si="4"/>
        <v>4012.7</v>
      </c>
      <c r="S5" s="6">
        <f t="shared" si="4"/>
        <v>4402.5999999999995</v>
      </c>
      <c r="T5" s="6">
        <f t="shared" si="4"/>
        <v>5114.1000000000004</v>
      </c>
      <c r="U5" s="6">
        <f t="shared" si="4"/>
        <v>5360</v>
      </c>
      <c r="V5" s="6">
        <f t="shared" si="4"/>
        <v>5613.3</v>
      </c>
      <c r="W5" s="6">
        <f t="shared" si="4"/>
        <v>5852.2969999999996</v>
      </c>
      <c r="X5" s="6">
        <f t="shared" ref="X5:AG5" si="5">X3+X4</f>
        <v>6052.5594699999992</v>
      </c>
      <c r="Y5" s="6">
        <f t="shared" si="5"/>
        <v>6211.3577846999997</v>
      </c>
      <c r="Z5" s="6">
        <f t="shared" si="5"/>
        <v>6324.0818133469993</v>
      </c>
      <c r="AA5" s="6">
        <f t="shared" si="5"/>
        <v>6438.9452912964698</v>
      </c>
      <c r="AB5" s="6">
        <f t="shared" si="5"/>
        <v>6555.9898572217553</v>
      </c>
      <c r="AC5" s="6">
        <f t="shared" si="5"/>
        <v>6675.2579710665395</v>
      </c>
      <c r="AD5" s="6">
        <f t="shared" si="5"/>
        <v>6796.7929303552228</v>
      </c>
      <c r="AE5" s="6">
        <f t="shared" si="5"/>
        <v>6920.638886828353</v>
      </c>
      <c r="AF5" s="6">
        <f t="shared" si="5"/>
        <v>7046.8408634096068</v>
      </c>
      <c r="AG5" s="6">
        <f t="shared" si="5"/>
        <v>7175.4447715109318</v>
      </c>
    </row>
    <row r="6" spans="2:33" x14ac:dyDescent="0.3">
      <c r="B6" s="1" t="s">
        <v>13</v>
      </c>
      <c r="E6" s="6">
        <v>138</v>
      </c>
      <c r="F6" s="6">
        <v>167.3</v>
      </c>
      <c r="G6" s="6">
        <v>146.80000000000001</v>
      </c>
      <c r="H6" s="6">
        <v>149.19999999999999</v>
      </c>
      <c r="I6" s="6">
        <v>151.5</v>
      </c>
      <c r="J6" s="6">
        <v>152.80000000000001</v>
      </c>
      <c r="K6" s="6">
        <v>140.19999999999999</v>
      </c>
      <c r="L6" s="6">
        <v>148.9</v>
      </c>
      <c r="M6" s="6">
        <f>I6*1.01</f>
        <v>153.01500000000001</v>
      </c>
      <c r="N6" s="6">
        <f>J6*1.01</f>
        <v>154.328</v>
      </c>
      <c r="Q6" s="6">
        <v>478.8</v>
      </c>
      <c r="R6" s="6">
        <v>439.6</v>
      </c>
      <c r="S6" s="6">
        <v>457.5</v>
      </c>
      <c r="T6" s="6">
        <v>551.20000000000005</v>
      </c>
      <c r="U6" s="6">
        <v>591.4</v>
      </c>
      <c r="V6" s="6">
        <v>600.29999999999995</v>
      </c>
      <c r="W6" s="6">
        <f>SUM(K6:N6)</f>
        <v>596.44299999999998</v>
      </c>
      <c r="X6" s="6">
        <f>W6*1.01</f>
        <v>602.40742999999998</v>
      </c>
      <c r="Y6" s="6">
        <f t="shared" ref="Y6:AG6" si="6">X6*1.01</f>
        <v>608.43150430000003</v>
      </c>
      <c r="Z6" s="6">
        <f t="shared" si="6"/>
        <v>614.51581934300009</v>
      </c>
      <c r="AA6" s="6">
        <f t="shared" si="6"/>
        <v>620.6609775364301</v>
      </c>
      <c r="AB6" s="6">
        <f t="shared" si="6"/>
        <v>626.86758731179441</v>
      </c>
      <c r="AC6" s="6">
        <f t="shared" si="6"/>
        <v>633.13626318491231</v>
      </c>
      <c r="AD6" s="6">
        <f t="shared" si="6"/>
        <v>639.46762581676148</v>
      </c>
      <c r="AE6" s="6">
        <f t="shared" si="6"/>
        <v>645.86230207492906</v>
      </c>
      <c r="AF6" s="6">
        <f t="shared" si="6"/>
        <v>652.32092509567838</v>
      </c>
      <c r="AG6" s="6">
        <f t="shared" si="6"/>
        <v>658.8441343466352</v>
      </c>
    </row>
    <row r="7" spans="2:33" s="2" customFormat="1" x14ac:dyDescent="0.3">
      <c r="B7" s="2" t="s">
        <v>14</v>
      </c>
      <c r="E7" s="8">
        <f t="shared" ref="E7:L7" si="7">E5+E6</f>
        <v>1424.8</v>
      </c>
      <c r="F7" s="8">
        <f t="shared" si="7"/>
        <v>1643.4999999999998</v>
      </c>
      <c r="G7" s="8">
        <f t="shared" si="7"/>
        <v>1499.6</v>
      </c>
      <c r="H7" s="8">
        <f t="shared" si="7"/>
        <v>1495.8</v>
      </c>
      <c r="I7" s="8">
        <f t="shared" si="7"/>
        <v>1463.9</v>
      </c>
      <c r="J7" s="8">
        <f t="shared" si="7"/>
        <v>1754.3</v>
      </c>
      <c r="K7" s="8">
        <f t="shared" si="7"/>
        <v>1572.8999999999999</v>
      </c>
      <c r="L7" s="8">
        <f t="shared" si="7"/>
        <v>1521.6</v>
      </c>
      <c r="M7" s="8">
        <f t="shared" ref="M7:N7" si="8">M5+M6</f>
        <v>1526.4450000000002</v>
      </c>
      <c r="N7" s="8">
        <f t="shared" si="8"/>
        <v>1827.7950000000001</v>
      </c>
      <c r="Q7" s="8">
        <f t="shared" ref="Q7:W7" si="9">Q5+Q6</f>
        <v>4018.2000000000003</v>
      </c>
      <c r="R7" s="8">
        <f t="shared" si="9"/>
        <v>4452.3</v>
      </c>
      <c r="S7" s="8">
        <f t="shared" si="9"/>
        <v>4860.0999999999995</v>
      </c>
      <c r="T7" s="8">
        <f t="shared" si="9"/>
        <v>5665.3</v>
      </c>
      <c r="U7" s="8">
        <f t="shared" si="9"/>
        <v>5951.4</v>
      </c>
      <c r="V7" s="8">
        <f t="shared" si="9"/>
        <v>6213.6</v>
      </c>
      <c r="W7" s="8">
        <f t="shared" si="9"/>
        <v>6448.74</v>
      </c>
      <c r="X7" s="8">
        <f t="shared" ref="X7:AG7" si="10">X5+X6</f>
        <v>6654.9668999999994</v>
      </c>
      <c r="Y7" s="8">
        <f t="shared" si="10"/>
        <v>6819.7892889999994</v>
      </c>
      <c r="Z7" s="8">
        <f t="shared" si="10"/>
        <v>6938.597632689999</v>
      </c>
      <c r="AA7" s="8">
        <f t="shared" si="10"/>
        <v>7059.6062688329002</v>
      </c>
      <c r="AB7" s="8">
        <f t="shared" si="10"/>
        <v>7182.8574445335498</v>
      </c>
      <c r="AC7" s="8">
        <f t="shared" si="10"/>
        <v>7308.394234251452</v>
      </c>
      <c r="AD7" s="8">
        <f t="shared" si="10"/>
        <v>7436.2605561719847</v>
      </c>
      <c r="AE7" s="8">
        <f t="shared" si="10"/>
        <v>7566.5011889032821</v>
      </c>
      <c r="AF7" s="8">
        <f t="shared" si="10"/>
        <v>7699.1617885052856</v>
      </c>
      <c r="AG7" s="8">
        <f t="shared" si="10"/>
        <v>7834.2889058575674</v>
      </c>
    </row>
    <row r="8" spans="2:33" x14ac:dyDescent="0.3">
      <c r="B8" s="1" t="s">
        <v>16</v>
      </c>
      <c r="E8" s="6">
        <v>105.2</v>
      </c>
      <c r="F8" s="6">
        <v>124.9</v>
      </c>
      <c r="G8" s="6">
        <v>111.9</v>
      </c>
      <c r="H8" s="6">
        <v>124.8</v>
      </c>
      <c r="I8" s="6">
        <v>127.6</v>
      </c>
      <c r="J8" s="6">
        <v>134.1</v>
      </c>
      <c r="K8" s="6">
        <v>129.19999999999999</v>
      </c>
      <c r="L8" s="6">
        <v>120.1</v>
      </c>
      <c r="M8" s="6">
        <f>M5*0.09</f>
        <v>123.6087</v>
      </c>
      <c r="N8" s="6">
        <f>N5*0.09</f>
        <v>150.61203</v>
      </c>
      <c r="Q8" s="6">
        <v>196.2</v>
      </c>
      <c r="R8" s="6">
        <v>341.5</v>
      </c>
      <c r="S8" s="6">
        <v>407.3</v>
      </c>
      <c r="T8" s="6">
        <v>463.8</v>
      </c>
      <c r="U8" s="6">
        <v>453.9</v>
      </c>
      <c r="V8" s="6">
        <v>498.5</v>
      </c>
      <c r="W8" s="6">
        <f>SUM(K8:N8)</f>
        <v>523.52072999999996</v>
      </c>
      <c r="X8" s="6">
        <f>X5*0.09</f>
        <v>544.73035229999994</v>
      </c>
      <c r="Y8" s="6">
        <f t="shared" ref="Y8:AG8" si="11">Y5*0.09</f>
        <v>559.022200623</v>
      </c>
      <c r="Z8" s="6">
        <f t="shared" si="11"/>
        <v>569.16736320122993</v>
      </c>
      <c r="AA8" s="6">
        <f t="shared" si="11"/>
        <v>579.50507621668226</v>
      </c>
      <c r="AB8" s="6">
        <f t="shared" si="11"/>
        <v>590.03908714995794</v>
      </c>
      <c r="AC8" s="6">
        <f t="shared" si="11"/>
        <v>600.77321739598858</v>
      </c>
      <c r="AD8" s="6">
        <f t="shared" si="11"/>
        <v>611.71136373196998</v>
      </c>
      <c r="AE8" s="6">
        <f t="shared" si="11"/>
        <v>622.85749981455172</v>
      </c>
      <c r="AF8" s="6">
        <f t="shared" si="11"/>
        <v>634.21567770686454</v>
      </c>
      <c r="AG8" s="6">
        <f t="shared" si="11"/>
        <v>645.7900294359838</v>
      </c>
    </row>
    <row r="9" spans="2:33" x14ac:dyDescent="0.3">
      <c r="B9" s="1" t="s">
        <v>17</v>
      </c>
      <c r="E9" s="6">
        <v>133.1</v>
      </c>
      <c r="F9" s="6">
        <v>131</v>
      </c>
      <c r="G9" s="6">
        <v>131.80000000000001</v>
      </c>
      <c r="H9" s="6">
        <v>127.9</v>
      </c>
      <c r="I9" s="6">
        <v>125.3</v>
      </c>
      <c r="J9" s="6">
        <v>132.69999999999999</v>
      </c>
      <c r="K9" s="6">
        <v>131.1</v>
      </c>
      <c r="L9" s="6">
        <v>144.6</v>
      </c>
      <c r="M9" s="6">
        <f>M6*0.95</f>
        <v>145.36425</v>
      </c>
      <c r="N9" s="6">
        <f>N6*0.95</f>
        <v>146.61160000000001</v>
      </c>
      <c r="Q9" s="6">
        <v>437.4</v>
      </c>
      <c r="R9" s="6">
        <v>408.1</v>
      </c>
      <c r="S9" s="6">
        <v>383</v>
      </c>
      <c r="T9" s="6">
        <v>455.5</v>
      </c>
      <c r="U9" s="6">
        <v>517.1</v>
      </c>
      <c r="V9" s="6">
        <v>517.79999999999995</v>
      </c>
      <c r="W9" s="6">
        <f>SUM(K9:N9)</f>
        <v>567.67585000000008</v>
      </c>
      <c r="X9" s="6">
        <f>X6*0.95</f>
        <v>572.28705849999994</v>
      </c>
      <c r="Y9" s="6">
        <f t="shared" ref="Y9:AG9" si="12">Y6*0.95</f>
        <v>578.00992908499995</v>
      </c>
      <c r="Z9" s="6">
        <f t="shared" si="12"/>
        <v>583.79002837585006</v>
      </c>
      <c r="AA9" s="6">
        <f t="shared" si="12"/>
        <v>589.62792865960853</v>
      </c>
      <c r="AB9" s="6">
        <f t="shared" si="12"/>
        <v>595.52420794620468</v>
      </c>
      <c r="AC9" s="6">
        <f t="shared" si="12"/>
        <v>601.47945002566667</v>
      </c>
      <c r="AD9" s="6">
        <f t="shared" si="12"/>
        <v>607.49424452592336</v>
      </c>
      <c r="AE9" s="6">
        <f t="shared" si="12"/>
        <v>613.5691869711826</v>
      </c>
      <c r="AF9" s="6">
        <f t="shared" si="12"/>
        <v>619.70487884089448</v>
      </c>
      <c r="AG9" s="6">
        <f t="shared" si="12"/>
        <v>625.90192762930337</v>
      </c>
    </row>
    <row r="10" spans="2:33" x14ac:dyDescent="0.3">
      <c r="B10" s="1" t="s">
        <v>18</v>
      </c>
      <c r="E10" s="6">
        <f t="shared" ref="E10:L10" si="13">E8+E9</f>
        <v>238.3</v>
      </c>
      <c r="F10" s="6">
        <f t="shared" si="13"/>
        <v>255.9</v>
      </c>
      <c r="G10" s="6">
        <f t="shared" si="13"/>
        <v>243.70000000000002</v>
      </c>
      <c r="H10" s="6">
        <f t="shared" si="13"/>
        <v>252.7</v>
      </c>
      <c r="I10" s="6">
        <f t="shared" si="13"/>
        <v>252.89999999999998</v>
      </c>
      <c r="J10" s="6">
        <f t="shared" si="13"/>
        <v>266.79999999999995</v>
      </c>
      <c r="K10" s="6">
        <f t="shared" si="13"/>
        <v>260.29999999999995</v>
      </c>
      <c r="L10" s="6">
        <f t="shared" si="13"/>
        <v>264.7</v>
      </c>
      <c r="M10" s="6">
        <f t="shared" ref="M10:N10" si="14">M8+M9</f>
        <v>268.97294999999997</v>
      </c>
      <c r="N10" s="6">
        <f t="shared" si="14"/>
        <v>297.22363000000001</v>
      </c>
      <c r="Q10" s="6">
        <f t="shared" ref="Q10:W10" si="15">Q8+Q9</f>
        <v>633.59999999999991</v>
      </c>
      <c r="R10" s="6">
        <f t="shared" si="15"/>
        <v>749.6</v>
      </c>
      <c r="S10" s="6">
        <f t="shared" si="15"/>
        <v>790.3</v>
      </c>
      <c r="T10" s="6">
        <f t="shared" si="15"/>
        <v>919.3</v>
      </c>
      <c r="U10" s="6">
        <f t="shared" si="15"/>
        <v>971</v>
      </c>
      <c r="V10" s="6">
        <f t="shared" si="15"/>
        <v>1016.3</v>
      </c>
      <c r="W10" s="6">
        <f t="shared" si="15"/>
        <v>1091.19658</v>
      </c>
      <c r="X10" s="6">
        <f t="shared" ref="X10:AG10" si="16">X8+X9</f>
        <v>1117.0174107999999</v>
      </c>
      <c r="Y10" s="6">
        <f t="shared" si="16"/>
        <v>1137.032129708</v>
      </c>
      <c r="Z10" s="6">
        <f t="shared" si="16"/>
        <v>1152.95739157708</v>
      </c>
      <c r="AA10" s="6">
        <f t="shared" si="16"/>
        <v>1169.1330048762907</v>
      </c>
      <c r="AB10" s="6">
        <f t="shared" si="16"/>
        <v>1185.5632950961626</v>
      </c>
      <c r="AC10" s="6">
        <f t="shared" si="16"/>
        <v>1202.2526674216551</v>
      </c>
      <c r="AD10" s="6">
        <f t="shared" si="16"/>
        <v>1219.2056082578933</v>
      </c>
      <c r="AE10" s="6">
        <f t="shared" si="16"/>
        <v>1236.4266867857343</v>
      </c>
      <c r="AF10" s="6">
        <f t="shared" si="16"/>
        <v>1253.9205565477591</v>
      </c>
      <c r="AG10" s="6">
        <f t="shared" si="16"/>
        <v>1271.6919570652872</v>
      </c>
    </row>
    <row r="11" spans="2:33" s="2" customFormat="1" x14ac:dyDescent="0.3">
      <c r="B11" s="2" t="s">
        <v>19</v>
      </c>
      <c r="E11" s="8">
        <f t="shared" ref="E11:L11" si="17">E7-E10</f>
        <v>1186.5</v>
      </c>
      <c r="F11" s="8">
        <f t="shared" si="17"/>
        <v>1387.5999999999997</v>
      </c>
      <c r="G11" s="8">
        <f t="shared" si="17"/>
        <v>1255.8999999999999</v>
      </c>
      <c r="H11" s="8">
        <f t="shared" si="17"/>
        <v>1243.0999999999999</v>
      </c>
      <c r="I11" s="8">
        <f t="shared" si="17"/>
        <v>1211</v>
      </c>
      <c r="J11" s="8">
        <f t="shared" si="17"/>
        <v>1487.5</v>
      </c>
      <c r="K11" s="8">
        <f t="shared" si="17"/>
        <v>1312.6</v>
      </c>
      <c r="L11" s="8">
        <f t="shared" si="17"/>
        <v>1256.8999999999999</v>
      </c>
      <c r="M11" s="8">
        <f t="shared" ref="M11:N11" si="18">M7-M10</f>
        <v>1257.4720500000003</v>
      </c>
      <c r="N11" s="8">
        <f t="shared" si="18"/>
        <v>1530.5713700000001</v>
      </c>
      <c r="Q11" s="8">
        <f t="shared" ref="Q11:W11" si="19">Q7-Q10</f>
        <v>3384.6000000000004</v>
      </c>
      <c r="R11" s="8">
        <f t="shared" si="19"/>
        <v>3702.7000000000003</v>
      </c>
      <c r="S11" s="8">
        <f t="shared" si="19"/>
        <v>4069.7999999999993</v>
      </c>
      <c r="T11" s="8">
        <f t="shared" si="19"/>
        <v>4746</v>
      </c>
      <c r="U11" s="8">
        <f t="shared" si="19"/>
        <v>4980.3999999999996</v>
      </c>
      <c r="V11" s="8">
        <f t="shared" si="19"/>
        <v>5197.3</v>
      </c>
      <c r="W11" s="8">
        <f t="shared" si="19"/>
        <v>5357.54342</v>
      </c>
      <c r="X11" s="8">
        <f t="shared" ref="X11:AG11" si="20">X7-X10</f>
        <v>5537.9494891999993</v>
      </c>
      <c r="Y11" s="8">
        <f t="shared" si="20"/>
        <v>5682.7571592919994</v>
      </c>
      <c r="Z11" s="8">
        <f t="shared" si="20"/>
        <v>5785.6402411129193</v>
      </c>
      <c r="AA11" s="8">
        <f t="shared" si="20"/>
        <v>5890.47326395661</v>
      </c>
      <c r="AB11" s="8">
        <f t="shared" si="20"/>
        <v>5997.2941494373872</v>
      </c>
      <c r="AC11" s="8">
        <f t="shared" si="20"/>
        <v>6106.1415668297968</v>
      </c>
      <c r="AD11" s="8">
        <f t="shared" si="20"/>
        <v>6217.0549479140918</v>
      </c>
      <c r="AE11" s="8">
        <f t="shared" si="20"/>
        <v>6330.074502117548</v>
      </c>
      <c r="AF11" s="8">
        <f t="shared" si="20"/>
        <v>6445.2412319575269</v>
      </c>
      <c r="AG11" s="8">
        <f t="shared" si="20"/>
        <v>6562.5969487922803</v>
      </c>
    </row>
    <row r="12" spans="2:33" x14ac:dyDescent="0.3">
      <c r="B12" s="1" t="s">
        <v>20</v>
      </c>
      <c r="E12" s="6">
        <v>299.2</v>
      </c>
      <c r="F12" s="6">
        <v>317.5</v>
      </c>
      <c r="G12" s="6">
        <v>311.39999999999998</v>
      </c>
      <c r="H12" s="6">
        <v>326.10000000000002</v>
      </c>
      <c r="I12" s="6">
        <v>321</v>
      </c>
      <c r="J12" s="6">
        <v>327.7</v>
      </c>
      <c r="K12" s="6">
        <v>348.6</v>
      </c>
      <c r="L12" s="6">
        <v>348.7</v>
      </c>
      <c r="M12" s="6">
        <f>I12*1.07</f>
        <v>343.47</v>
      </c>
      <c r="N12" s="6">
        <f>J12*1.1</f>
        <v>360.47</v>
      </c>
      <c r="Q12" s="6">
        <v>737.9</v>
      </c>
      <c r="R12" s="6">
        <v>935.4</v>
      </c>
      <c r="S12" s="6">
        <v>949.3</v>
      </c>
      <c r="T12" s="6">
        <v>1087.2</v>
      </c>
      <c r="U12" s="6">
        <v>1228.3</v>
      </c>
      <c r="V12" s="6">
        <v>1286.2</v>
      </c>
      <c r="W12" s="6">
        <f>SUM(K12:N12)</f>
        <v>1401.24</v>
      </c>
      <c r="X12" s="6">
        <f>W12*1.05</f>
        <v>1471.3020000000001</v>
      </c>
      <c r="Y12" s="6">
        <f>X12*1.04</f>
        <v>1530.1540800000002</v>
      </c>
      <c r="Z12" s="6">
        <f>Y12*1.03</f>
        <v>1576.0587024000004</v>
      </c>
      <c r="AA12" s="6">
        <f>Z12*1.02</f>
        <v>1607.5798764480005</v>
      </c>
      <c r="AB12" s="6">
        <f>AA12*1.01</f>
        <v>1623.6556752124804</v>
      </c>
      <c r="AC12" s="6">
        <f t="shared" ref="AC12:AG12" si="21">AB12*1.01</f>
        <v>1639.8922319646053</v>
      </c>
      <c r="AD12" s="6">
        <f t="shared" si="21"/>
        <v>1656.2911542842514</v>
      </c>
      <c r="AE12" s="6">
        <f t="shared" si="21"/>
        <v>1672.854065827094</v>
      </c>
      <c r="AF12" s="6">
        <f t="shared" si="21"/>
        <v>1689.582606485365</v>
      </c>
      <c r="AG12" s="6">
        <f t="shared" si="21"/>
        <v>1706.4784325502187</v>
      </c>
    </row>
    <row r="13" spans="2:33" x14ac:dyDescent="0.3">
      <c r="B13" s="1" t="s">
        <v>21</v>
      </c>
      <c r="E13" s="6">
        <v>381</v>
      </c>
      <c r="F13" s="6">
        <v>429.3</v>
      </c>
      <c r="G13" s="6">
        <v>420.3</v>
      </c>
      <c r="H13" s="6">
        <v>423.8</v>
      </c>
      <c r="I13" s="6">
        <v>403.7</v>
      </c>
      <c r="J13" s="6">
        <v>456.6</v>
      </c>
      <c r="K13" s="6">
        <v>446.5</v>
      </c>
      <c r="L13" s="6">
        <v>448</v>
      </c>
      <c r="M13" s="6">
        <f>M7*0.29</f>
        <v>442.66905000000003</v>
      </c>
      <c r="N13" s="6">
        <f>N7*0.26</f>
        <v>475.22670000000005</v>
      </c>
      <c r="Q13" s="6">
        <v>1226.3</v>
      </c>
      <c r="R13" s="6">
        <v>1256.3</v>
      </c>
      <c r="S13" s="6">
        <v>1299.9000000000001</v>
      </c>
      <c r="T13" s="6">
        <v>1502.6</v>
      </c>
      <c r="U13" s="6">
        <v>1624.5</v>
      </c>
      <c r="V13" s="6">
        <v>1704.3</v>
      </c>
      <c r="W13" s="6">
        <f>SUM(K13:N13)</f>
        <v>1812.3957500000001</v>
      </c>
      <c r="X13" s="6">
        <f>X7*0.28</f>
        <v>1863.3907320000001</v>
      </c>
      <c r="Y13" s="6">
        <f t="shared" ref="Y13:AG13" si="22">Y7*0.28</f>
        <v>1909.54100092</v>
      </c>
      <c r="Z13" s="6">
        <f t="shared" si="22"/>
        <v>1942.8073371532</v>
      </c>
      <c r="AA13" s="6">
        <f t="shared" si="22"/>
        <v>1976.6897552732123</v>
      </c>
      <c r="AB13" s="6">
        <f t="shared" si="22"/>
        <v>2011.2000844693941</v>
      </c>
      <c r="AC13" s="6">
        <f t="shared" si="22"/>
        <v>2046.3503855904066</v>
      </c>
      <c r="AD13" s="6">
        <f t="shared" si="22"/>
        <v>2082.152955728156</v>
      </c>
      <c r="AE13" s="6">
        <f t="shared" si="22"/>
        <v>2118.6203328929191</v>
      </c>
      <c r="AF13" s="6">
        <f t="shared" si="22"/>
        <v>2155.7653007814802</v>
      </c>
      <c r="AG13" s="6">
        <f t="shared" si="22"/>
        <v>2193.600893640119</v>
      </c>
    </row>
    <row r="14" spans="2:33" x14ac:dyDescent="0.3">
      <c r="B14" s="1" t="s">
        <v>22</v>
      </c>
      <c r="E14" s="6">
        <v>103.2</v>
      </c>
      <c r="F14" s="6">
        <v>124.8</v>
      </c>
      <c r="G14" s="6">
        <v>105.1</v>
      </c>
      <c r="H14" s="6">
        <v>111.6</v>
      </c>
      <c r="I14" s="6">
        <v>117.5</v>
      </c>
      <c r="J14" s="6">
        <v>136.4</v>
      </c>
      <c r="K14" s="6">
        <v>120.4</v>
      </c>
      <c r="L14" s="6">
        <v>123.7</v>
      </c>
      <c r="M14" s="6">
        <f>I14*1.11</f>
        <v>130.42500000000001</v>
      </c>
      <c r="N14" s="6">
        <f>J14*1.09</f>
        <v>148.67600000000002</v>
      </c>
      <c r="Q14" s="6">
        <v>329.5</v>
      </c>
      <c r="R14" s="6">
        <v>390.7</v>
      </c>
      <c r="S14" s="6">
        <v>400.8</v>
      </c>
      <c r="T14" s="6">
        <v>435.2</v>
      </c>
      <c r="U14" s="6">
        <v>450.6</v>
      </c>
      <c r="V14" s="6">
        <v>470.5</v>
      </c>
      <c r="W14" s="6">
        <f>SUM(K14:N14)</f>
        <v>523.20100000000002</v>
      </c>
      <c r="X14" s="6">
        <f t="shared" ref="X14" si="23">W14*1.05</f>
        <v>549.36105000000009</v>
      </c>
      <c r="Y14" s="6">
        <f>X14*1.03</f>
        <v>565.84188150000011</v>
      </c>
      <c r="Z14" s="6">
        <f>Y14*1.02</f>
        <v>577.15871913000012</v>
      </c>
      <c r="AA14" s="6">
        <f t="shared" ref="AA14:AG14" si="24">Z14*1.02</f>
        <v>588.70189351260012</v>
      </c>
      <c r="AB14" s="6">
        <f t="shared" si="24"/>
        <v>600.47593138285208</v>
      </c>
      <c r="AC14" s="6">
        <f t="shared" si="24"/>
        <v>612.48545001050911</v>
      </c>
      <c r="AD14" s="6">
        <f t="shared" si="24"/>
        <v>624.73515901071926</v>
      </c>
      <c r="AE14" s="6">
        <f t="shared" si="24"/>
        <v>637.22986219093366</v>
      </c>
      <c r="AF14" s="6">
        <f t="shared" si="24"/>
        <v>649.97445943475236</v>
      </c>
      <c r="AG14" s="6">
        <f t="shared" si="24"/>
        <v>662.97394862344743</v>
      </c>
    </row>
    <row r="15" spans="2:33" x14ac:dyDescent="0.3">
      <c r="B15" s="1" t="s">
        <v>23</v>
      </c>
      <c r="E15" s="6">
        <v>93.4</v>
      </c>
      <c r="F15" s="6">
        <v>94.9</v>
      </c>
      <c r="G15" s="6">
        <v>93.3</v>
      </c>
      <c r="H15" s="6">
        <v>92.3</v>
      </c>
      <c r="I15" s="6">
        <v>88.5</v>
      </c>
      <c r="J15" s="6">
        <v>87.5</v>
      </c>
      <c r="K15" s="6">
        <v>88.3</v>
      </c>
      <c r="L15" s="6">
        <v>85.4</v>
      </c>
      <c r="M15" s="6">
        <v>85</v>
      </c>
      <c r="N15" s="6">
        <v>85</v>
      </c>
      <c r="Q15" s="6">
        <v>244</v>
      </c>
      <c r="R15" s="6">
        <v>394.5</v>
      </c>
      <c r="S15" s="6">
        <v>369</v>
      </c>
      <c r="T15" s="6">
        <v>401.9</v>
      </c>
      <c r="U15" s="6">
        <v>378.9</v>
      </c>
      <c r="V15" s="6">
        <v>361.6</v>
      </c>
      <c r="W15" s="6">
        <f>SUM(K15:N15)</f>
        <v>343.7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</row>
    <row r="16" spans="2:33" x14ac:dyDescent="0.3">
      <c r="B16" s="1" t="s">
        <v>24</v>
      </c>
      <c r="E16" s="6">
        <v>7.1</v>
      </c>
      <c r="F16" s="6">
        <v>39.5</v>
      </c>
      <c r="G16" s="6">
        <v>1.8</v>
      </c>
      <c r="H16" s="6">
        <v>13.2</v>
      </c>
      <c r="I16" s="6">
        <v>4.2</v>
      </c>
      <c r="J16" s="6">
        <v>-4.2</v>
      </c>
      <c r="K16" s="6">
        <v>4.4000000000000004</v>
      </c>
      <c r="L16" s="6">
        <v>9.3000000000000007</v>
      </c>
      <c r="M16" s="6">
        <v>0</v>
      </c>
      <c r="N16" s="6">
        <v>0</v>
      </c>
      <c r="Q16" s="6">
        <v>34.1</v>
      </c>
      <c r="R16" s="6">
        <v>56</v>
      </c>
      <c r="S16" s="6">
        <v>31.3</v>
      </c>
      <c r="T16" s="6">
        <v>16</v>
      </c>
      <c r="U16" s="6">
        <v>56.2</v>
      </c>
      <c r="V16" s="6">
        <v>15</v>
      </c>
      <c r="W16" s="6">
        <f>SUM(K16:N16)</f>
        <v>13.700000000000001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2:139" x14ac:dyDescent="0.3">
      <c r="B17" s="1" t="s">
        <v>25</v>
      </c>
      <c r="E17" s="6">
        <f t="shared" ref="E17:L17" si="25">SUM(E12:E16)</f>
        <v>883.90000000000009</v>
      </c>
      <c r="F17" s="6">
        <f t="shared" si="25"/>
        <v>1005.9999999999999</v>
      </c>
      <c r="G17" s="6">
        <f t="shared" si="25"/>
        <v>931.9</v>
      </c>
      <c r="H17" s="6">
        <f t="shared" si="25"/>
        <v>967.00000000000011</v>
      </c>
      <c r="I17" s="6">
        <f t="shared" si="25"/>
        <v>934.90000000000009</v>
      </c>
      <c r="J17" s="6">
        <f t="shared" si="25"/>
        <v>1003.9999999999999</v>
      </c>
      <c r="K17" s="6">
        <f t="shared" si="25"/>
        <v>1008.1999999999999</v>
      </c>
      <c r="L17" s="6">
        <f t="shared" si="25"/>
        <v>1015.1</v>
      </c>
      <c r="M17" s="6">
        <f t="shared" ref="M17:N17" si="26">SUM(M12:M16)</f>
        <v>1001.56405</v>
      </c>
      <c r="N17" s="6">
        <f t="shared" si="26"/>
        <v>1069.3727000000001</v>
      </c>
      <c r="Q17" s="6">
        <f t="shared" ref="Q17:X17" si="27">SUM(Q12:Q16)</f>
        <v>2571.7999999999997</v>
      </c>
      <c r="R17" s="6">
        <f t="shared" si="27"/>
        <v>3032.8999999999996</v>
      </c>
      <c r="S17" s="6">
        <f t="shared" si="27"/>
        <v>3050.3</v>
      </c>
      <c r="T17" s="6">
        <f t="shared" si="27"/>
        <v>3442.9</v>
      </c>
      <c r="U17" s="6">
        <f t="shared" si="27"/>
        <v>3738.5</v>
      </c>
      <c r="V17" s="6">
        <f t="shared" si="27"/>
        <v>3837.6</v>
      </c>
      <c r="W17" s="6">
        <f t="shared" si="27"/>
        <v>4094.23675</v>
      </c>
      <c r="X17" s="6">
        <f t="shared" si="27"/>
        <v>3884.0537820000004</v>
      </c>
      <c r="Y17" s="6">
        <f t="shared" ref="Y17:AG17" si="28">SUM(Y12:Y16)</f>
        <v>4005.5369624200002</v>
      </c>
      <c r="Z17" s="6">
        <f t="shared" si="28"/>
        <v>4096.0247586832011</v>
      </c>
      <c r="AA17" s="6">
        <f t="shared" si="28"/>
        <v>4172.9715252338128</v>
      </c>
      <c r="AB17" s="6">
        <f t="shared" si="28"/>
        <v>4235.3316910647263</v>
      </c>
      <c r="AC17" s="6">
        <f t="shared" si="28"/>
        <v>4298.7280675655211</v>
      </c>
      <c r="AD17" s="6">
        <f t="shared" si="28"/>
        <v>4363.1792690231268</v>
      </c>
      <c r="AE17" s="6">
        <f t="shared" si="28"/>
        <v>4428.7042609109467</v>
      </c>
      <c r="AF17" s="6">
        <f t="shared" si="28"/>
        <v>4495.3223667015973</v>
      </c>
      <c r="AG17" s="6">
        <f t="shared" si="28"/>
        <v>4563.0532748137848</v>
      </c>
    </row>
    <row r="18" spans="2:139" s="2" customFormat="1" x14ac:dyDescent="0.3">
      <c r="B18" s="2" t="s">
        <v>26</v>
      </c>
      <c r="E18" s="8">
        <f t="shared" ref="E18:L18" si="29">E11-E17</f>
        <v>302.59999999999991</v>
      </c>
      <c r="F18" s="8">
        <f t="shared" si="29"/>
        <v>381.5999999999998</v>
      </c>
      <c r="G18" s="8">
        <f t="shared" si="29"/>
        <v>323.99999999999989</v>
      </c>
      <c r="H18" s="8">
        <f t="shared" si="29"/>
        <v>276.0999999999998</v>
      </c>
      <c r="I18" s="8">
        <f t="shared" si="29"/>
        <v>276.09999999999991</v>
      </c>
      <c r="J18" s="8">
        <f t="shared" si="29"/>
        <v>483.50000000000011</v>
      </c>
      <c r="K18" s="8">
        <f t="shared" si="29"/>
        <v>304.39999999999998</v>
      </c>
      <c r="L18" s="8">
        <f t="shared" si="29"/>
        <v>241.79999999999984</v>
      </c>
      <c r="M18" s="8">
        <f t="shared" ref="M18:N18" si="30">M11-M17</f>
        <v>255.90800000000036</v>
      </c>
      <c r="N18" s="8">
        <f t="shared" si="30"/>
        <v>461.19866999999999</v>
      </c>
      <c r="Q18" s="8">
        <f t="shared" ref="Q18:X18" si="31">Q11-Q17</f>
        <v>812.80000000000064</v>
      </c>
      <c r="R18" s="8">
        <f t="shared" si="31"/>
        <v>669.80000000000064</v>
      </c>
      <c r="S18" s="8">
        <f t="shared" si="31"/>
        <v>1019.4999999999991</v>
      </c>
      <c r="T18" s="8">
        <f t="shared" si="31"/>
        <v>1303.0999999999999</v>
      </c>
      <c r="U18" s="8">
        <f t="shared" si="31"/>
        <v>1241.8999999999996</v>
      </c>
      <c r="V18" s="8">
        <f t="shared" si="31"/>
        <v>1359.7000000000003</v>
      </c>
      <c r="W18" s="8">
        <f t="shared" si="31"/>
        <v>1263.3066699999999</v>
      </c>
      <c r="X18" s="8">
        <f t="shared" si="31"/>
        <v>1653.8957071999989</v>
      </c>
      <c r="Y18" s="8">
        <f t="shared" ref="Y18:AG18" si="32">Y11-Y17</f>
        <v>1677.2201968719992</v>
      </c>
      <c r="Z18" s="8">
        <f t="shared" si="32"/>
        <v>1689.6154824297182</v>
      </c>
      <c r="AA18" s="8">
        <f t="shared" si="32"/>
        <v>1717.5017387227972</v>
      </c>
      <c r="AB18" s="8">
        <f t="shared" si="32"/>
        <v>1761.9624583726609</v>
      </c>
      <c r="AC18" s="8">
        <f t="shared" si="32"/>
        <v>1807.4134992642757</v>
      </c>
      <c r="AD18" s="8">
        <f t="shared" si="32"/>
        <v>1853.875678890965</v>
      </c>
      <c r="AE18" s="8">
        <f t="shared" si="32"/>
        <v>1901.3702412066013</v>
      </c>
      <c r="AF18" s="8">
        <f t="shared" si="32"/>
        <v>1949.9188652559296</v>
      </c>
      <c r="AG18" s="8">
        <f t="shared" si="32"/>
        <v>1999.5436739784955</v>
      </c>
    </row>
    <row r="19" spans="2:139" x14ac:dyDescent="0.3">
      <c r="B19" s="1" t="s">
        <v>27</v>
      </c>
      <c r="E19" s="6">
        <v>4.3</v>
      </c>
      <c r="F19" s="6">
        <v>-27.8</v>
      </c>
      <c r="G19" s="6">
        <v>-30.2</v>
      </c>
      <c r="H19" s="6">
        <v>-33.299999999999997</v>
      </c>
      <c r="I19" s="6">
        <v>-32.1</v>
      </c>
      <c r="J19" s="6">
        <v>-22.9</v>
      </c>
      <c r="K19" s="6">
        <v>-30.3</v>
      </c>
      <c r="L19" s="6">
        <v>-29.9</v>
      </c>
      <c r="M19" s="6">
        <v>-30</v>
      </c>
      <c r="N19" s="6">
        <v>-30</v>
      </c>
      <c r="Q19" s="6">
        <f>-8.5+5.4</f>
        <v>-3.0999999999999996</v>
      </c>
      <c r="R19" s="6">
        <f>22.9+0.4</f>
        <v>23.299999999999997</v>
      </c>
      <c r="S19" s="6">
        <v>15.1</v>
      </c>
      <c r="T19" s="6">
        <v>-2.8</v>
      </c>
      <c r="U19" s="6">
        <v>-59</v>
      </c>
      <c r="V19" s="6">
        <v>-118.4</v>
      </c>
      <c r="W19" s="6">
        <f>SUM(K19:N19)</f>
        <v>-120.2</v>
      </c>
      <c r="X19" s="6">
        <f>W19*1.03</f>
        <v>-123.80600000000001</v>
      </c>
      <c r="Y19" s="6">
        <f t="shared" ref="Y19:AG19" si="33">X19*1.03</f>
        <v>-127.52018000000001</v>
      </c>
      <c r="Z19" s="6">
        <f t="shared" si="33"/>
        <v>-131.34578540000001</v>
      </c>
      <c r="AA19" s="6">
        <f t="shared" si="33"/>
        <v>-135.286158962</v>
      </c>
      <c r="AB19" s="6">
        <f t="shared" si="33"/>
        <v>-139.34474373086002</v>
      </c>
      <c r="AC19" s="6">
        <f t="shared" si="33"/>
        <v>-143.52508604278583</v>
      </c>
      <c r="AD19" s="6">
        <f t="shared" si="33"/>
        <v>-147.8308386240694</v>
      </c>
      <c r="AE19" s="6">
        <f t="shared" si="33"/>
        <v>-152.26576378279148</v>
      </c>
      <c r="AF19" s="6">
        <f t="shared" si="33"/>
        <v>-156.83373669627522</v>
      </c>
      <c r="AG19" s="6">
        <f t="shared" si="33"/>
        <v>-161.53874879716349</v>
      </c>
    </row>
    <row r="20" spans="2:139" s="2" customFormat="1" x14ac:dyDescent="0.3">
      <c r="B20" s="2" t="s">
        <v>28</v>
      </c>
      <c r="E20" s="8">
        <f t="shared" ref="E20:L20" si="34">E18-E19</f>
        <v>298.2999999999999</v>
      </c>
      <c r="F20" s="8">
        <f t="shared" si="34"/>
        <v>409.39999999999981</v>
      </c>
      <c r="G20" s="8">
        <f t="shared" si="34"/>
        <v>354.19999999999987</v>
      </c>
      <c r="H20" s="8">
        <f t="shared" si="34"/>
        <v>309.39999999999981</v>
      </c>
      <c r="I20" s="8">
        <f t="shared" si="34"/>
        <v>308.19999999999993</v>
      </c>
      <c r="J20" s="8">
        <f t="shared" si="34"/>
        <v>506.40000000000009</v>
      </c>
      <c r="K20" s="8">
        <f t="shared" si="34"/>
        <v>334.7</v>
      </c>
      <c r="L20" s="8">
        <f t="shared" si="34"/>
        <v>271.69999999999982</v>
      </c>
      <c r="M20" s="8">
        <f t="shared" ref="M20:N20" si="35">M18-M19</f>
        <v>285.90800000000036</v>
      </c>
      <c r="N20" s="8">
        <f t="shared" si="35"/>
        <v>491.19866999999999</v>
      </c>
      <c r="Q20" s="8">
        <f t="shared" ref="Q20:X20" si="36">Q18-Q19</f>
        <v>815.90000000000066</v>
      </c>
      <c r="R20" s="8">
        <f t="shared" si="36"/>
        <v>646.50000000000068</v>
      </c>
      <c r="S20" s="8">
        <f t="shared" si="36"/>
        <v>1004.3999999999991</v>
      </c>
      <c r="T20" s="8">
        <f t="shared" si="36"/>
        <v>1305.8999999999999</v>
      </c>
      <c r="U20" s="8">
        <f t="shared" si="36"/>
        <v>1300.8999999999996</v>
      </c>
      <c r="V20" s="8">
        <f t="shared" si="36"/>
        <v>1478.1000000000004</v>
      </c>
      <c r="W20" s="8">
        <f t="shared" si="36"/>
        <v>1383.50667</v>
      </c>
      <c r="X20" s="8">
        <f t="shared" si="36"/>
        <v>1777.701707199999</v>
      </c>
      <c r="Y20" s="8">
        <f t="shared" ref="Y20:AG20" si="37">Y18-Y19</f>
        <v>1804.7403768719992</v>
      </c>
      <c r="Z20" s="8">
        <f t="shared" si="37"/>
        <v>1820.9612678297183</v>
      </c>
      <c r="AA20" s="8">
        <f t="shared" si="37"/>
        <v>1852.7878976847971</v>
      </c>
      <c r="AB20" s="8">
        <f t="shared" si="37"/>
        <v>1901.3072021035209</v>
      </c>
      <c r="AC20" s="8">
        <f t="shared" si="37"/>
        <v>1950.9385853070617</v>
      </c>
      <c r="AD20" s="8">
        <f t="shared" si="37"/>
        <v>2001.7065175150344</v>
      </c>
      <c r="AE20" s="8">
        <f t="shared" si="37"/>
        <v>2053.6360049893929</v>
      </c>
      <c r="AF20" s="8">
        <f t="shared" si="37"/>
        <v>2106.7526019522047</v>
      </c>
      <c r="AG20" s="8">
        <f t="shared" si="37"/>
        <v>2161.0824227756589</v>
      </c>
    </row>
    <row r="21" spans="2:139" x14ac:dyDescent="0.3">
      <c r="B21" s="1" t="s">
        <v>29</v>
      </c>
      <c r="E21" s="6">
        <v>54.9</v>
      </c>
      <c r="F21" s="6">
        <v>79.099999999999994</v>
      </c>
      <c r="G21" s="6">
        <v>68.3</v>
      </c>
      <c r="H21" s="6">
        <v>47.7</v>
      </c>
      <c r="I21" s="6">
        <v>68.5</v>
      </c>
      <c r="J21" s="6">
        <v>95.4</v>
      </c>
      <c r="K21" s="6">
        <v>75.5</v>
      </c>
      <c r="L21" s="6">
        <v>53</v>
      </c>
      <c r="M21" s="6">
        <f>M20*0.19</f>
        <v>54.322520000000068</v>
      </c>
      <c r="N21" s="6">
        <f>N20*0.19</f>
        <v>93.327747299999999</v>
      </c>
      <c r="Q21" s="6">
        <v>209.6</v>
      </c>
      <c r="R21" s="6">
        <v>160.80000000000001</v>
      </c>
      <c r="S21" s="6">
        <v>230.4</v>
      </c>
      <c r="T21" s="6">
        <v>375.4</v>
      </c>
      <c r="U21" s="6">
        <v>250.7</v>
      </c>
      <c r="V21" s="6">
        <v>279.89999999999998</v>
      </c>
      <c r="W21" s="6">
        <f>SUM(K21:N21)</f>
        <v>276.15026730000005</v>
      </c>
      <c r="X21" s="6">
        <f>X20*0.2</f>
        <v>355.54034143999979</v>
      </c>
      <c r="Y21" s="6">
        <f t="shared" ref="Y21:AG21" si="38">Y20*0.2</f>
        <v>360.94807537439988</v>
      </c>
      <c r="Z21" s="6">
        <f t="shared" si="38"/>
        <v>364.1922535659437</v>
      </c>
      <c r="AA21" s="6">
        <f t="shared" si="38"/>
        <v>370.55757953695945</v>
      </c>
      <c r="AB21" s="6">
        <f t="shared" si="38"/>
        <v>380.26144042070422</v>
      </c>
      <c r="AC21" s="6">
        <f t="shared" si="38"/>
        <v>390.18771706141234</v>
      </c>
      <c r="AD21" s="6">
        <f t="shared" si="38"/>
        <v>400.34130350300688</v>
      </c>
      <c r="AE21" s="6">
        <f t="shared" si="38"/>
        <v>410.72720099787858</v>
      </c>
      <c r="AF21" s="6">
        <f t="shared" si="38"/>
        <v>421.35052039044098</v>
      </c>
      <c r="AG21" s="6">
        <f t="shared" si="38"/>
        <v>432.21648455513179</v>
      </c>
    </row>
    <row r="22" spans="2:139" x14ac:dyDescent="0.3">
      <c r="B22" s="1" t="s">
        <v>30</v>
      </c>
      <c r="E22" s="6">
        <v>-0.1</v>
      </c>
      <c r="F22" s="6">
        <v>0.3</v>
      </c>
      <c r="G22" s="6">
        <v>0.3</v>
      </c>
      <c r="H22" s="6">
        <v>-1.2</v>
      </c>
      <c r="I22" s="6">
        <v>0</v>
      </c>
      <c r="J22" s="6">
        <v>-1.1000000000000001</v>
      </c>
      <c r="K22" s="6">
        <v>-1.2</v>
      </c>
      <c r="L22" s="6">
        <v>-4.9000000000000004</v>
      </c>
      <c r="M22" s="6">
        <v>0</v>
      </c>
      <c r="N22" s="6">
        <v>0</v>
      </c>
      <c r="Q22" s="6">
        <v>-9</v>
      </c>
      <c r="R22" s="6">
        <v>-5.5</v>
      </c>
      <c r="S22" s="6">
        <v>0.2</v>
      </c>
      <c r="T22" s="6">
        <v>-1.3</v>
      </c>
      <c r="U22" s="6">
        <v>-0.7</v>
      </c>
      <c r="V22" s="6">
        <v>-2.1</v>
      </c>
      <c r="W22" s="6">
        <f>SUM(K22:N22)</f>
        <v>-6.1000000000000005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2:139" s="2" customFormat="1" x14ac:dyDescent="0.3">
      <c r="B23" s="2" t="s">
        <v>31</v>
      </c>
      <c r="E23" s="8">
        <f t="shared" ref="E23:M23" si="39">E20-E21-E22</f>
        <v>243.49999999999989</v>
      </c>
      <c r="F23" s="8">
        <f t="shared" si="39"/>
        <v>329.99999999999983</v>
      </c>
      <c r="G23" s="8">
        <f t="shared" si="39"/>
        <v>285.59999999999985</v>
      </c>
      <c r="H23" s="8">
        <f t="shared" si="39"/>
        <v>262.89999999999981</v>
      </c>
      <c r="I23" s="8">
        <f t="shared" si="39"/>
        <v>239.69999999999993</v>
      </c>
      <c r="J23" s="8">
        <f t="shared" si="39"/>
        <v>412.10000000000014</v>
      </c>
      <c r="K23" s="8">
        <f t="shared" si="39"/>
        <v>260.39999999999998</v>
      </c>
      <c r="L23" s="8">
        <f t="shared" si="39"/>
        <v>223.59999999999982</v>
      </c>
      <c r="M23" s="8">
        <f t="shared" si="39"/>
        <v>231.5854800000003</v>
      </c>
      <c r="N23" s="8">
        <f t="shared" ref="N23" si="40">N20-N21-N22</f>
        <v>397.87092269999999</v>
      </c>
      <c r="Q23" s="8">
        <f t="shared" ref="Q23:X23" si="41">Q20-Q21-Q22</f>
        <v>615.30000000000064</v>
      </c>
      <c r="R23" s="8">
        <f t="shared" si="41"/>
        <v>491.20000000000067</v>
      </c>
      <c r="S23" s="8">
        <f t="shared" si="41"/>
        <v>773.79999999999905</v>
      </c>
      <c r="T23" s="8">
        <f t="shared" si="41"/>
        <v>931.79999999999984</v>
      </c>
      <c r="U23" s="8">
        <f t="shared" si="41"/>
        <v>1050.8999999999996</v>
      </c>
      <c r="V23" s="8">
        <f t="shared" si="41"/>
        <v>1200.3000000000002</v>
      </c>
      <c r="W23" s="8">
        <f t="shared" si="41"/>
        <v>1113.4564026999999</v>
      </c>
      <c r="X23" s="8">
        <f t="shared" si="41"/>
        <v>1422.1613657599992</v>
      </c>
      <c r="Y23" s="8">
        <f t="shared" ref="Y23:AG23" si="42">Y20-Y21-Y22</f>
        <v>1443.7923014975993</v>
      </c>
      <c r="Z23" s="8">
        <f t="shared" si="42"/>
        <v>1456.7690142637746</v>
      </c>
      <c r="AA23" s="8">
        <f t="shared" si="42"/>
        <v>1482.2303181478378</v>
      </c>
      <c r="AB23" s="8">
        <f t="shared" si="42"/>
        <v>1521.0457616828166</v>
      </c>
      <c r="AC23" s="8">
        <f t="shared" si="42"/>
        <v>1560.7508682456494</v>
      </c>
      <c r="AD23" s="8">
        <f t="shared" si="42"/>
        <v>1601.3652140120275</v>
      </c>
      <c r="AE23" s="8">
        <f t="shared" si="42"/>
        <v>1642.9088039915143</v>
      </c>
      <c r="AF23" s="8">
        <f t="shared" si="42"/>
        <v>1685.4020815617637</v>
      </c>
      <c r="AG23" s="8">
        <f t="shared" si="42"/>
        <v>1728.8659382205271</v>
      </c>
      <c r="AH23" s="2">
        <f>AG23*(1+$AJ$28)</f>
        <v>1711.5772788383219</v>
      </c>
      <c r="AI23" s="2">
        <f t="shared" ref="AI23:CT23" si="43">AH23*(1+$AJ$28)</f>
        <v>1694.4615060499386</v>
      </c>
      <c r="AJ23" s="2">
        <f t="shared" si="43"/>
        <v>1677.5168909894392</v>
      </c>
      <c r="AK23" s="2">
        <f t="shared" si="43"/>
        <v>1660.7417220795448</v>
      </c>
      <c r="AL23" s="2">
        <f t="shared" si="43"/>
        <v>1644.1343048587494</v>
      </c>
      <c r="AM23" s="2">
        <f t="shared" si="43"/>
        <v>1627.6929618101619</v>
      </c>
      <c r="AN23" s="2">
        <f t="shared" si="43"/>
        <v>1611.4160321920604</v>
      </c>
      <c r="AO23" s="2">
        <f t="shared" si="43"/>
        <v>1595.3018718701398</v>
      </c>
      <c r="AP23" s="2">
        <f t="shared" si="43"/>
        <v>1579.3488531514383</v>
      </c>
      <c r="AQ23" s="2">
        <f t="shared" si="43"/>
        <v>1563.5553646199239</v>
      </c>
      <c r="AR23" s="2">
        <f t="shared" si="43"/>
        <v>1547.9198109737247</v>
      </c>
      <c r="AS23" s="2">
        <f t="shared" si="43"/>
        <v>1532.4406128639873</v>
      </c>
      <c r="AT23" s="2">
        <f t="shared" si="43"/>
        <v>1517.1162067353475</v>
      </c>
      <c r="AU23" s="2">
        <f t="shared" si="43"/>
        <v>1501.9450446679941</v>
      </c>
      <c r="AV23" s="2">
        <f t="shared" si="43"/>
        <v>1486.9255942213142</v>
      </c>
      <c r="AW23" s="2">
        <f t="shared" si="43"/>
        <v>1472.0563382791011</v>
      </c>
      <c r="AX23" s="2">
        <f t="shared" si="43"/>
        <v>1457.3357748963101</v>
      </c>
      <c r="AY23" s="2">
        <f t="shared" si="43"/>
        <v>1442.7624171473469</v>
      </c>
      <c r="AZ23" s="2">
        <f t="shared" si="43"/>
        <v>1428.3347929758734</v>
      </c>
      <c r="BA23" s="2">
        <f t="shared" si="43"/>
        <v>1414.0514450461146</v>
      </c>
      <c r="BB23" s="2">
        <f t="shared" si="43"/>
        <v>1399.9109305956536</v>
      </c>
      <c r="BC23" s="2">
        <f t="shared" si="43"/>
        <v>1385.9118212896969</v>
      </c>
      <c r="BD23" s="2">
        <f t="shared" si="43"/>
        <v>1372.0527030768001</v>
      </c>
      <c r="BE23" s="2">
        <f t="shared" si="43"/>
        <v>1358.3321760460321</v>
      </c>
      <c r="BF23" s="2">
        <f t="shared" si="43"/>
        <v>1344.7488542855717</v>
      </c>
      <c r="BG23" s="2">
        <f t="shared" si="43"/>
        <v>1331.3013657427159</v>
      </c>
      <c r="BH23" s="2">
        <f t="shared" si="43"/>
        <v>1317.9883520852889</v>
      </c>
      <c r="BI23" s="2">
        <f t="shared" si="43"/>
        <v>1304.808468564436</v>
      </c>
      <c r="BJ23" s="2">
        <f t="shared" si="43"/>
        <v>1291.7603838787916</v>
      </c>
      <c r="BK23" s="2">
        <f t="shared" si="43"/>
        <v>1278.8427800400036</v>
      </c>
      <c r="BL23" s="2">
        <f t="shared" si="43"/>
        <v>1266.0543522396035</v>
      </c>
      <c r="BM23" s="2">
        <f t="shared" si="43"/>
        <v>1253.3938087172075</v>
      </c>
      <c r="BN23" s="2">
        <f t="shared" si="43"/>
        <v>1240.8598706300354</v>
      </c>
      <c r="BO23" s="2">
        <f t="shared" si="43"/>
        <v>1228.451271923735</v>
      </c>
      <c r="BP23" s="2">
        <f t="shared" si="43"/>
        <v>1216.1667592044976</v>
      </c>
      <c r="BQ23" s="2">
        <f t="shared" si="43"/>
        <v>1204.0050916124526</v>
      </c>
      <c r="BR23" s="2">
        <f t="shared" si="43"/>
        <v>1191.9650406963281</v>
      </c>
      <c r="BS23" s="2">
        <f t="shared" si="43"/>
        <v>1180.0453902893648</v>
      </c>
      <c r="BT23" s="2">
        <f t="shared" si="43"/>
        <v>1168.2449363864712</v>
      </c>
      <c r="BU23" s="2">
        <f t="shared" si="43"/>
        <v>1156.5624870226065</v>
      </c>
      <c r="BV23" s="2">
        <f t="shared" si="43"/>
        <v>1144.9968621523806</v>
      </c>
      <c r="BW23" s="2">
        <f t="shared" si="43"/>
        <v>1133.5468935308568</v>
      </c>
      <c r="BX23" s="2">
        <f t="shared" si="43"/>
        <v>1122.2114245955481</v>
      </c>
      <c r="BY23" s="2">
        <f t="shared" si="43"/>
        <v>1110.9893103495926</v>
      </c>
      <c r="BZ23" s="2">
        <f t="shared" si="43"/>
        <v>1099.8794172460966</v>
      </c>
      <c r="CA23" s="2">
        <f t="shared" si="43"/>
        <v>1088.8806230736357</v>
      </c>
      <c r="CB23" s="2">
        <f t="shared" si="43"/>
        <v>1077.9918168428992</v>
      </c>
      <c r="CC23" s="2">
        <f t="shared" si="43"/>
        <v>1067.2118986744701</v>
      </c>
      <c r="CD23" s="2">
        <f t="shared" si="43"/>
        <v>1056.5397796877255</v>
      </c>
      <c r="CE23" s="2">
        <f t="shared" si="43"/>
        <v>1045.9743818908482</v>
      </c>
      <c r="CF23" s="2">
        <f t="shared" si="43"/>
        <v>1035.5146380719398</v>
      </c>
      <c r="CG23" s="2">
        <f t="shared" si="43"/>
        <v>1025.1594916912204</v>
      </c>
      <c r="CH23" s="2">
        <f t="shared" si="43"/>
        <v>1014.9078967743081</v>
      </c>
      <c r="CI23" s="2">
        <f t="shared" si="43"/>
        <v>1004.758817806565</v>
      </c>
      <c r="CJ23" s="2">
        <f t="shared" si="43"/>
        <v>994.71122962849938</v>
      </c>
      <c r="CK23" s="2">
        <f t="shared" si="43"/>
        <v>984.76411733221437</v>
      </c>
      <c r="CL23" s="2">
        <f t="shared" si="43"/>
        <v>974.91647615889224</v>
      </c>
      <c r="CM23" s="2">
        <f t="shared" si="43"/>
        <v>965.16731139730325</v>
      </c>
      <c r="CN23" s="2">
        <f t="shared" si="43"/>
        <v>955.51563828333019</v>
      </c>
      <c r="CO23" s="2">
        <f t="shared" si="43"/>
        <v>945.96048190049692</v>
      </c>
      <c r="CP23" s="2">
        <f t="shared" si="43"/>
        <v>936.50087708149192</v>
      </c>
      <c r="CQ23" s="2">
        <f t="shared" si="43"/>
        <v>927.13586831067698</v>
      </c>
      <c r="CR23" s="2">
        <f t="shared" si="43"/>
        <v>917.86450962757021</v>
      </c>
      <c r="CS23" s="2">
        <f t="shared" si="43"/>
        <v>908.68586453129456</v>
      </c>
      <c r="CT23" s="2">
        <f t="shared" si="43"/>
        <v>899.59900588598157</v>
      </c>
      <c r="CU23" s="2">
        <f t="shared" ref="CU23:EI23" si="44">CT23*(1+$AJ$28)</f>
        <v>890.60301582712179</v>
      </c>
      <c r="CV23" s="2">
        <f t="shared" si="44"/>
        <v>881.69698566885052</v>
      </c>
      <c r="CW23" s="2">
        <f t="shared" si="44"/>
        <v>872.88001581216201</v>
      </c>
      <c r="CX23" s="2">
        <f t="shared" si="44"/>
        <v>864.15121565404036</v>
      </c>
      <c r="CY23" s="2">
        <f t="shared" si="44"/>
        <v>855.50970349749991</v>
      </c>
      <c r="CZ23" s="2">
        <f t="shared" si="44"/>
        <v>846.95460646252491</v>
      </c>
      <c r="DA23" s="2">
        <f t="shared" si="44"/>
        <v>838.4850603978997</v>
      </c>
      <c r="DB23" s="2">
        <f t="shared" si="44"/>
        <v>830.10020979392073</v>
      </c>
      <c r="DC23" s="2">
        <f t="shared" si="44"/>
        <v>821.79920769598152</v>
      </c>
      <c r="DD23" s="2">
        <f t="shared" si="44"/>
        <v>813.58121561902169</v>
      </c>
      <c r="DE23" s="2">
        <f t="shared" si="44"/>
        <v>805.44540346283145</v>
      </c>
      <c r="DF23" s="2">
        <f t="shared" si="44"/>
        <v>797.39094942820316</v>
      </c>
      <c r="DG23" s="2">
        <f t="shared" si="44"/>
        <v>789.41703993392116</v>
      </c>
      <c r="DH23" s="2">
        <f t="shared" si="44"/>
        <v>781.5228695345819</v>
      </c>
      <c r="DI23" s="2">
        <f t="shared" si="44"/>
        <v>773.70764083923609</v>
      </c>
      <c r="DJ23" s="2">
        <f t="shared" si="44"/>
        <v>765.97056443084375</v>
      </c>
      <c r="DK23" s="2">
        <f t="shared" si="44"/>
        <v>758.31085878653528</v>
      </c>
      <c r="DL23" s="2">
        <f t="shared" si="44"/>
        <v>750.72775019866992</v>
      </c>
      <c r="DM23" s="2">
        <f t="shared" si="44"/>
        <v>743.22047269668326</v>
      </c>
      <c r="DN23" s="2">
        <f t="shared" si="44"/>
        <v>735.78826796971646</v>
      </c>
      <c r="DO23" s="2">
        <f t="shared" si="44"/>
        <v>728.43038529001933</v>
      </c>
      <c r="DP23" s="2">
        <f t="shared" si="44"/>
        <v>721.14608143711916</v>
      </c>
      <c r="DQ23" s="2">
        <f t="shared" si="44"/>
        <v>713.93462062274796</v>
      </c>
      <c r="DR23" s="2">
        <f t="shared" si="44"/>
        <v>706.79527441652044</v>
      </c>
      <c r="DS23" s="2">
        <f t="shared" si="44"/>
        <v>699.72732167235529</v>
      </c>
      <c r="DT23" s="2">
        <f t="shared" si="44"/>
        <v>692.73004845563173</v>
      </c>
      <c r="DU23" s="2">
        <f t="shared" si="44"/>
        <v>685.80274797107541</v>
      </c>
      <c r="DV23" s="2">
        <f t="shared" si="44"/>
        <v>678.94472049136459</v>
      </c>
      <c r="DW23" s="2">
        <f t="shared" si="44"/>
        <v>672.15527328645089</v>
      </c>
      <c r="DX23" s="2">
        <f t="shared" si="44"/>
        <v>665.43372055358634</v>
      </c>
      <c r="DY23" s="2">
        <f t="shared" si="44"/>
        <v>658.77938334805049</v>
      </c>
      <c r="DZ23" s="2">
        <f t="shared" si="44"/>
        <v>652.19158951456996</v>
      </c>
      <c r="EA23" s="2">
        <f t="shared" si="44"/>
        <v>645.6696736194242</v>
      </c>
      <c r="EB23" s="2">
        <f t="shared" si="44"/>
        <v>639.21297688323</v>
      </c>
      <c r="EC23" s="2">
        <f t="shared" si="44"/>
        <v>632.82084711439768</v>
      </c>
      <c r="ED23" s="2">
        <f t="shared" si="44"/>
        <v>626.49263864325371</v>
      </c>
      <c r="EE23" s="2">
        <f t="shared" si="44"/>
        <v>620.22771225682118</v>
      </c>
      <c r="EF23" s="2">
        <f t="shared" si="44"/>
        <v>614.02543513425292</v>
      </c>
      <c r="EG23" s="2">
        <f t="shared" si="44"/>
        <v>607.88518078291042</v>
      </c>
      <c r="EH23" s="2">
        <f t="shared" si="44"/>
        <v>601.80632897508133</v>
      </c>
      <c r="EI23" s="2">
        <f t="shared" si="44"/>
        <v>595.78826568533054</v>
      </c>
    </row>
    <row r="24" spans="2:139" x14ac:dyDescent="0.3">
      <c r="B24" s="1" t="s">
        <v>2</v>
      </c>
      <c r="E24" s="6">
        <v>1313.3</v>
      </c>
      <c r="F24" s="6">
        <v>1313.3</v>
      </c>
      <c r="G24" s="6">
        <v>1313.3</v>
      </c>
      <c r="H24" s="6">
        <v>1313.3</v>
      </c>
      <c r="I24" s="6">
        <v>1313.3</v>
      </c>
      <c r="J24" s="6">
        <v>1313.3</v>
      </c>
      <c r="K24" s="6">
        <v>1313.3</v>
      </c>
      <c r="L24" s="6">
        <v>1313.3</v>
      </c>
      <c r="M24" s="6">
        <v>1313.3</v>
      </c>
      <c r="N24" s="6">
        <v>1313.3</v>
      </c>
      <c r="Q24" s="6">
        <v>1313.3</v>
      </c>
      <c r="R24" s="6">
        <v>1313.3</v>
      </c>
      <c r="S24" s="6">
        <v>1313.3</v>
      </c>
      <c r="T24" s="6">
        <v>1313.3</v>
      </c>
      <c r="U24" s="6">
        <v>1313.3</v>
      </c>
      <c r="V24" s="6">
        <v>1313.3</v>
      </c>
      <c r="W24" s="6">
        <v>1313.3</v>
      </c>
      <c r="X24" s="6">
        <v>1313.3</v>
      </c>
      <c r="Y24" s="6">
        <v>1313.3</v>
      </c>
      <c r="Z24" s="6">
        <v>1313.3</v>
      </c>
      <c r="AA24" s="6">
        <v>1313.3</v>
      </c>
      <c r="AB24" s="6">
        <v>1313.3</v>
      </c>
      <c r="AC24" s="6">
        <v>1313.3</v>
      </c>
      <c r="AD24" s="6">
        <v>1313.3</v>
      </c>
      <c r="AE24" s="6">
        <v>1313.3</v>
      </c>
      <c r="AF24" s="6">
        <v>1313.3</v>
      </c>
      <c r="AG24" s="6">
        <v>1313.3</v>
      </c>
    </row>
    <row r="25" spans="2:139" x14ac:dyDescent="0.3">
      <c r="B25" s="1" t="s">
        <v>32</v>
      </c>
      <c r="E25" s="7">
        <f t="shared" ref="E25:M25" si="45">E23/E24</f>
        <v>0.18541079722835596</v>
      </c>
      <c r="F25" s="7">
        <f t="shared" si="45"/>
        <v>0.25127541308155016</v>
      </c>
      <c r="G25" s="7">
        <f t="shared" si="45"/>
        <v>0.21746744841239615</v>
      </c>
      <c r="H25" s="7">
        <f t="shared" si="45"/>
        <v>0.20018274575496825</v>
      </c>
      <c r="I25" s="7">
        <f t="shared" si="45"/>
        <v>0.18251732277468966</v>
      </c>
      <c r="J25" s="7">
        <f t="shared" si="45"/>
        <v>0.31378969009365731</v>
      </c>
      <c r="K25" s="7">
        <f t="shared" si="45"/>
        <v>0.19827914414071421</v>
      </c>
      <c r="L25" s="7">
        <f t="shared" si="45"/>
        <v>0.17025812837889273</v>
      </c>
      <c r="M25" s="7">
        <f t="shared" si="45"/>
        <v>0.17633859742633085</v>
      </c>
      <c r="N25" s="7">
        <f t="shared" ref="N25" si="46">N23/N24</f>
        <v>0.30295509228660628</v>
      </c>
      <c r="Q25" s="7">
        <f t="shared" ref="Q25:X25" si="47">Q23/Q24</f>
        <v>0.46851442930023657</v>
      </c>
      <c r="R25" s="7">
        <f t="shared" si="47"/>
        <v>0.37401964516865965</v>
      </c>
      <c r="S25" s="7">
        <f t="shared" si="47"/>
        <v>0.58920277164394963</v>
      </c>
      <c r="T25" s="7">
        <f t="shared" si="47"/>
        <v>0.70951039366481372</v>
      </c>
      <c r="U25" s="7">
        <f t="shared" si="47"/>
        <v>0.80019797456788222</v>
      </c>
      <c r="V25" s="7">
        <f t="shared" si="47"/>
        <v>0.91395720703571171</v>
      </c>
      <c r="W25" s="7">
        <f t="shared" si="47"/>
        <v>0.84783096223254395</v>
      </c>
      <c r="X25" s="7">
        <f t="shared" si="47"/>
        <v>1.0828914686362592</v>
      </c>
      <c r="Y25" s="7">
        <f t="shared" ref="Y25:AG25" si="48">Y23/Y24</f>
        <v>1.0993621423114288</v>
      </c>
      <c r="Z25" s="7">
        <f t="shared" si="48"/>
        <v>1.1092431388591903</v>
      </c>
      <c r="AA25" s="7">
        <f t="shared" si="48"/>
        <v>1.1286304105290779</v>
      </c>
      <c r="AB25" s="7">
        <f t="shared" si="48"/>
        <v>1.1581860669175488</v>
      </c>
      <c r="AC25" s="7">
        <f t="shared" si="48"/>
        <v>1.1884191488964055</v>
      </c>
      <c r="AD25" s="7">
        <f t="shared" si="48"/>
        <v>1.2193445625615074</v>
      </c>
      <c r="AE25" s="7">
        <f t="shared" si="48"/>
        <v>1.250977540540253</v>
      </c>
      <c r="AF25" s="7">
        <f t="shared" si="48"/>
        <v>1.2833336492513239</v>
      </c>
      <c r="AG25" s="7">
        <f t="shared" si="48"/>
        <v>1.3164287963302574</v>
      </c>
    </row>
    <row r="27" spans="2:139" x14ac:dyDescent="0.3">
      <c r="B27" s="1" t="s">
        <v>48</v>
      </c>
      <c r="E27" s="10"/>
      <c r="F27" s="10"/>
      <c r="G27" s="10"/>
      <c r="H27" s="10"/>
      <c r="I27" s="10">
        <f t="shared" ref="I27:K28" si="49">I3/E3-1</f>
        <v>-6.7073170731707266E-2</v>
      </c>
      <c r="J27" s="10">
        <f t="shared" si="49"/>
        <v>0.15203182722364317</v>
      </c>
      <c r="K27" s="10">
        <f t="shared" si="49"/>
        <v>-9.3363844393592688E-2</v>
      </c>
      <c r="L27" s="10">
        <f>L3/H3-1</f>
        <v>1.3980868285504044E-2</v>
      </c>
      <c r="M27" s="10">
        <f t="shared" ref="M27:N28" si="50">M3/I3-1</f>
        <v>3.0000000000000027E-2</v>
      </c>
      <c r="N27" s="10">
        <f t="shared" si="50"/>
        <v>3.0000000000000027E-2</v>
      </c>
      <c r="Q27" s="10"/>
      <c r="R27" s="10">
        <f>R3/Q3-1</f>
        <v>-0.19217687074829937</v>
      </c>
      <c r="S27" s="10">
        <f t="shared" ref="S27:AG27" si="51">S3/R3-1</f>
        <v>0.2172136222910217</v>
      </c>
      <c r="T27" s="10">
        <f t="shared" si="51"/>
        <v>0.12544511140502612</v>
      </c>
      <c r="U27" s="10">
        <f t="shared" si="51"/>
        <v>-1.6814319291267532E-2</v>
      </c>
      <c r="V27" s="10">
        <f t="shared" si="51"/>
        <v>3.457153365207799E-2</v>
      </c>
      <c r="W27" s="10">
        <f t="shared" si="51"/>
        <v>2.1747244934233745E-3</v>
      </c>
      <c r="X27" s="10">
        <f t="shared" si="51"/>
        <v>1.0000000000000009E-2</v>
      </c>
      <c r="Y27" s="10">
        <f t="shared" si="51"/>
        <v>1.0000000000000009E-2</v>
      </c>
      <c r="Z27" s="10">
        <f t="shared" si="51"/>
        <v>1.0000000000000009E-2</v>
      </c>
      <c r="AA27" s="10">
        <f t="shared" si="51"/>
        <v>1.0000000000000009E-2</v>
      </c>
      <c r="AB27" s="10">
        <f t="shared" si="51"/>
        <v>1.0000000000000009E-2</v>
      </c>
      <c r="AC27" s="10">
        <f t="shared" si="51"/>
        <v>1.0000000000000009E-2</v>
      </c>
      <c r="AD27" s="10">
        <f t="shared" si="51"/>
        <v>1.0000000000000009E-2</v>
      </c>
      <c r="AE27" s="10">
        <f t="shared" si="51"/>
        <v>1.0000000000000009E-2</v>
      </c>
      <c r="AF27" s="10">
        <f t="shared" si="51"/>
        <v>1.0000000000000009E-2</v>
      </c>
      <c r="AG27" s="10">
        <f t="shared" si="51"/>
        <v>1.0000000000000009E-2</v>
      </c>
    </row>
    <row r="28" spans="2:139" x14ac:dyDescent="0.3">
      <c r="B28" s="1" t="s">
        <v>49</v>
      </c>
      <c r="E28" s="10"/>
      <c r="F28" s="10"/>
      <c r="G28" s="10"/>
      <c r="H28" s="10"/>
      <c r="I28" s="10">
        <f t="shared" si="49"/>
        <v>4.0449654112221456E-2</v>
      </c>
      <c r="J28" s="10">
        <f t="shared" si="49"/>
        <v>6.3861958551987952E-2</v>
      </c>
      <c r="K28" s="10">
        <f t="shared" si="49"/>
        <v>8.8424579035528472E-2</v>
      </c>
      <c r="L28" s="10">
        <f t="shared" ref="L28" si="52">L4/H4-1</f>
        <v>2.0748046148120647E-2</v>
      </c>
      <c r="M28" s="10">
        <f t="shared" si="50"/>
        <v>5.0000000000000044E-2</v>
      </c>
      <c r="N28" s="10">
        <f t="shared" si="50"/>
        <v>5.0000000000000044E-2</v>
      </c>
      <c r="Q28" s="10"/>
      <c r="R28" s="10">
        <f t="shared" ref="R28:AG28" si="53">R4/Q4-1</f>
        <v>0.26198913300259852</v>
      </c>
      <c r="S28" s="10">
        <f t="shared" si="53"/>
        <v>6.6922500935979068E-2</v>
      </c>
      <c r="T28" s="10">
        <f t="shared" si="53"/>
        <v>0.17200339211041915</v>
      </c>
      <c r="U28" s="10">
        <f t="shared" si="53"/>
        <v>6.599466054542269E-2</v>
      </c>
      <c r="V28" s="10">
        <f t="shared" si="53"/>
        <v>5.0486845800955082E-2</v>
      </c>
      <c r="W28" s="10">
        <f t="shared" si="53"/>
        <v>5.2706044874222702E-2</v>
      </c>
      <c r="X28" s="10">
        <f t="shared" si="53"/>
        <v>4.0000000000000036E-2</v>
      </c>
      <c r="Y28" s="10">
        <f t="shared" si="53"/>
        <v>3.0000000000000027E-2</v>
      </c>
      <c r="Z28" s="10">
        <f t="shared" si="53"/>
        <v>2.0000000000000018E-2</v>
      </c>
      <c r="AA28" s="10">
        <f t="shared" si="53"/>
        <v>2.0000000000000018E-2</v>
      </c>
      <c r="AB28" s="10">
        <f t="shared" si="53"/>
        <v>2.0000000000000018E-2</v>
      </c>
      <c r="AC28" s="10">
        <f t="shared" si="53"/>
        <v>2.0000000000000018E-2</v>
      </c>
      <c r="AD28" s="10">
        <f t="shared" si="53"/>
        <v>2.0000000000000018E-2</v>
      </c>
      <c r="AE28" s="10">
        <f t="shared" si="53"/>
        <v>2.0000000000000018E-2</v>
      </c>
      <c r="AF28" s="10">
        <f t="shared" si="53"/>
        <v>2.0000000000000018E-2</v>
      </c>
      <c r="AG28" s="10">
        <f t="shared" si="53"/>
        <v>2.0000000000000018E-2</v>
      </c>
      <c r="AI28" s="1" t="s">
        <v>58</v>
      </c>
      <c r="AJ28" s="10">
        <v>-0.01</v>
      </c>
    </row>
    <row r="29" spans="2:139" x14ac:dyDescent="0.3">
      <c r="B29" s="1" t="s">
        <v>47</v>
      </c>
      <c r="E29" s="10"/>
      <c r="F29" s="10"/>
      <c r="G29" s="10"/>
      <c r="H29" s="10"/>
      <c r="I29" s="10">
        <f t="shared" ref="I29:K29" si="54">I6/E6-1</f>
        <v>9.7826086956521729E-2</v>
      </c>
      <c r="J29" s="10">
        <f t="shared" si="54"/>
        <v>-8.6670651524208053E-2</v>
      </c>
      <c r="K29" s="10">
        <f t="shared" si="54"/>
        <v>-4.495912806539526E-2</v>
      </c>
      <c r="L29" s="10">
        <f>L6/H6-1</f>
        <v>-2.0107238605896471E-3</v>
      </c>
      <c r="M29" s="10">
        <f t="shared" ref="M29:N29" si="55">M6/I6-1</f>
        <v>1.0000000000000009E-2</v>
      </c>
      <c r="N29" s="10">
        <f t="shared" si="55"/>
        <v>1.0000000000000009E-2</v>
      </c>
      <c r="Q29" s="10"/>
      <c r="R29" s="10">
        <f>R6/Q6-1</f>
        <v>-8.1871345029239762E-2</v>
      </c>
      <c r="S29" s="10">
        <f t="shared" ref="S29:AG29" si="56">S6/R6-1</f>
        <v>4.0718835304822454E-2</v>
      </c>
      <c r="T29" s="10">
        <f t="shared" si="56"/>
        <v>0.20480874316939901</v>
      </c>
      <c r="U29" s="10">
        <f t="shared" si="56"/>
        <v>7.2931785195935905E-2</v>
      </c>
      <c r="V29" s="10">
        <f t="shared" si="56"/>
        <v>1.5049036185322828E-2</v>
      </c>
      <c r="W29" s="10">
        <f t="shared" si="56"/>
        <v>-6.4251207729467685E-3</v>
      </c>
      <c r="X29" s="10">
        <f t="shared" si="56"/>
        <v>1.0000000000000009E-2</v>
      </c>
      <c r="Y29" s="10">
        <f t="shared" si="56"/>
        <v>1.0000000000000009E-2</v>
      </c>
      <c r="Z29" s="10">
        <f t="shared" si="56"/>
        <v>1.0000000000000009E-2</v>
      </c>
      <c r="AA29" s="10">
        <f t="shared" si="56"/>
        <v>1.0000000000000009E-2</v>
      </c>
      <c r="AB29" s="10">
        <f t="shared" si="56"/>
        <v>1.0000000000000009E-2</v>
      </c>
      <c r="AC29" s="10">
        <f t="shared" si="56"/>
        <v>1.0000000000000009E-2</v>
      </c>
      <c r="AD29" s="10">
        <f t="shared" si="56"/>
        <v>1.0000000000000009E-2</v>
      </c>
      <c r="AE29" s="10">
        <f t="shared" si="56"/>
        <v>1.0000000000000009E-2</v>
      </c>
      <c r="AF29" s="10">
        <f t="shared" si="56"/>
        <v>1.0000000000000009E-2</v>
      </c>
      <c r="AG29" s="10">
        <f t="shared" si="56"/>
        <v>1.0000000000000009E-2</v>
      </c>
      <c r="AI29" s="1" t="s">
        <v>59</v>
      </c>
      <c r="AJ29" s="10">
        <v>0.08</v>
      </c>
    </row>
    <row r="30" spans="2:139" x14ac:dyDescent="0.3">
      <c r="B30" s="1" t="s">
        <v>46</v>
      </c>
      <c r="E30" s="10"/>
      <c r="F30" s="10"/>
      <c r="G30" s="10"/>
      <c r="H30" s="10"/>
      <c r="I30" s="10">
        <f t="shared" ref="I30:K30" si="57">I7/E7-1</f>
        <v>2.7442448062886093E-2</v>
      </c>
      <c r="J30" s="10">
        <f t="shared" si="57"/>
        <v>6.7417097657438418E-2</v>
      </c>
      <c r="K30" s="10">
        <f t="shared" si="57"/>
        <v>4.8879701253667696E-2</v>
      </c>
      <c r="L30" s="10">
        <f>L7/H7-1</f>
        <v>1.7248295226634625E-2</v>
      </c>
      <c r="M30" s="10">
        <f t="shared" ref="M30:N30" si="58">M7/I7-1</f>
        <v>4.2724912903886914E-2</v>
      </c>
      <c r="N30" s="10">
        <f t="shared" si="58"/>
        <v>4.1894202815938142E-2</v>
      </c>
      <c r="Q30" s="10"/>
      <c r="R30" s="10">
        <f>R7/Q7-1</f>
        <v>0.10803344781245339</v>
      </c>
      <c r="S30" s="10">
        <f t="shared" ref="S30:AG30" si="59">S7/R7-1</f>
        <v>9.1593109179525012E-2</v>
      </c>
      <c r="T30" s="10">
        <f t="shared" si="59"/>
        <v>0.16567560338264653</v>
      </c>
      <c r="U30" s="10">
        <f t="shared" si="59"/>
        <v>5.0500414805923599E-2</v>
      </c>
      <c r="V30" s="10">
        <f t="shared" si="59"/>
        <v>4.4056860570622192E-2</v>
      </c>
      <c r="W30" s="10">
        <f t="shared" si="59"/>
        <v>3.7842796446504456E-2</v>
      </c>
      <c r="X30" s="10">
        <f t="shared" si="59"/>
        <v>3.1979409931242264E-2</v>
      </c>
      <c r="Y30" s="10">
        <f t="shared" si="59"/>
        <v>2.4766823257978965E-2</v>
      </c>
      <c r="Z30" s="10">
        <f t="shared" si="59"/>
        <v>1.7421116497196243E-2</v>
      </c>
      <c r="AA30" s="10">
        <f t="shared" si="59"/>
        <v>1.7439926992277144E-2</v>
      </c>
      <c r="AB30" s="10">
        <f t="shared" si="59"/>
        <v>1.7458647268302263E-2</v>
      </c>
      <c r="AC30" s="10">
        <f t="shared" si="59"/>
        <v>1.747727707076252E-2</v>
      </c>
      <c r="AD30" s="10">
        <f t="shared" si="59"/>
        <v>1.7495816156341881E-2</v>
      </c>
      <c r="AE30" s="10">
        <f t="shared" si="59"/>
        <v>1.7514264292850745E-2</v>
      </c>
      <c r="AF30" s="10">
        <f t="shared" si="59"/>
        <v>1.7532621259157111E-2</v>
      </c>
      <c r="AG30" s="10">
        <f t="shared" si="59"/>
        <v>1.7550886845113967E-2</v>
      </c>
      <c r="AI30" s="1" t="s">
        <v>60</v>
      </c>
      <c r="AJ30" s="6">
        <f>NPV(AJ29,W23:EI23)</f>
        <v>18709.795820764244</v>
      </c>
    </row>
    <row r="31" spans="2:139" x14ac:dyDescent="0.3">
      <c r="B31" s="1" t="s">
        <v>50</v>
      </c>
      <c r="E31" s="10">
        <f t="shared" ref="E31:K31" si="60">(E5-E8)/E5</f>
        <v>0.9182468138016785</v>
      </c>
      <c r="F31" s="10">
        <f t="shared" si="60"/>
        <v>0.91539086844600992</v>
      </c>
      <c r="G31" s="10">
        <f t="shared" si="60"/>
        <v>0.91728267297457122</v>
      </c>
      <c r="H31" s="10">
        <f t="shared" si="60"/>
        <v>0.90732214466062677</v>
      </c>
      <c r="I31" s="10">
        <f t="shared" si="60"/>
        <v>0.90277354465102111</v>
      </c>
      <c r="J31" s="10">
        <f t="shared" si="60"/>
        <v>0.91626600062441466</v>
      </c>
      <c r="K31" s="10">
        <f t="shared" si="60"/>
        <v>0.90982061841278705</v>
      </c>
      <c r="L31" s="10">
        <f>(L5-L8)/L5</f>
        <v>0.91250819552706353</v>
      </c>
      <c r="M31" s="10">
        <f t="shared" ref="M31:N31" si="61">(M5-M8)/M5</f>
        <v>0.91</v>
      </c>
      <c r="N31" s="10">
        <f t="shared" si="61"/>
        <v>0.91</v>
      </c>
      <c r="Q31" s="10">
        <f>(Q5-Q8)/Q5</f>
        <v>0.94456687574165121</v>
      </c>
      <c r="R31" s="10">
        <f>(R5-R8)/R5</f>
        <v>0.91489520771550326</v>
      </c>
      <c r="S31" s="10">
        <f t="shared" ref="S31:AG31" si="62">(S5-S8)/S5</f>
        <v>0.90748648525871067</v>
      </c>
      <c r="T31" s="10">
        <f t="shared" si="62"/>
        <v>0.9093095559335953</v>
      </c>
      <c r="U31" s="10">
        <f t="shared" si="62"/>
        <v>0.91531716417910458</v>
      </c>
      <c r="V31" s="10">
        <f t="shared" si="62"/>
        <v>0.91119305934120753</v>
      </c>
      <c r="W31" s="10">
        <f t="shared" si="62"/>
        <v>0.91054440162554973</v>
      </c>
      <c r="X31" s="10">
        <f t="shared" si="62"/>
        <v>0.91</v>
      </c>
      <c r="Y31" s="10">
        <f t="shared" si="62"/>
        <v>0.91</v>
      </c>
      <c r="Z31" s="10">
        <f t="shared" si="62"/>
        <v>0.91</v>
      </c>
      <c r="AA31" s="10">
        <f t="shared" si="62"/>
        <v>0.91</v>
      </c>
      <c r="AB31" s="10">
        <f t="shared" si="62"/>
        <v>0.91</v>
      </c>
      <c r="AC31" s="10">
        <f t="shared" si="62"/>
        <v>0.91</v>
      </c>
      <c r="AD31" s="10">
        <f t="shared" si="62"/>
        <v>0.91</v>
      </c>
      <c r="AE31" s="10">
        <f t="shared" si="62"/>
        <v>0.91</v>
      </c>
      <c r="AF31" s="10">
        <f t="shared" si="62"/>
        <v>0.90999999999999992</v>
      </c>
      <c r="AG31" s="10">
        <f t="shared" si="62"/>
        <v>0.91</v>
      </c>
      <c r="AI31" s="1" t="s">
        <v>61</v>
      </c>
      <c r="AJ31" s="6">
        <f>Main!D8</f>
        <v>1459</v>
      </c>
    </row>
    <row r="32" spans="2:139" x14ac:dyDescent="0.3">
      <c r="B32" s="1" t="s">
        <v>51</v>
      </c>
      <c r="E32" s="10">
        <f t="shared" ref="E32:K32" si="63">(E6-E9)/E6</f>
        <v>3.5507246376811637E-2</v>
      </c>
      <c r="F32" s="10">
        <f t="shared" si="63"/>
        <v>0.2169754931261208</v>
      </c>
      <c r="G32" s="10">
        <f t="shared" si="63"/>
        <v>0.10217983651226158</v>
      </c>
      <c r="H32" s="10">
        <f t="shared" si="63"/>
        <v>0.14276139410187658</v>
      </c>
      <c r="I32" s="10">
        <f t="shared" si="63"/>
        <v>0.17293729372937294</v>
      </c>
      <c r="J32" s="10">
        <f t="shared" si="63"/>
        <v>0.13154450261780118</v>
      </c>
      <c r="K32" s="10">
        <f t="shared" si="63"/>
        <v>6.4907275320970001E-2</v>
      </c>
      <c r="L32" s="10">
        <f>(L6-L9)/L6</f>
        <v>2.8878441907320425E-2</v>
      </c>
      <c r="M32" s="10">
        <f t="shared" ref="M32:N32" si="64">(M6-M9)/M6</f>
        <v>5.00000000000001E-2</v>
      </c>
      <c r="N32" s="10">
        <f t="shared" si="64"/>
        <v>4.9999999999999954E-2</v>
      </c>
      <c r="Q32" s="10">
        <f>(Q6-Q9)/Q6</f>
        <v>8.6466165413533899E-2</v>
      </c>
      <c r="R32" s="10">
        <f>(R6-R9)/R6</f>
        <v>7.1656050955414011E-2</v>
      </c>
      <c r="S32" s="10">
        <f t="shared" ref="S32:AG32" si="65">(S6-S9)/S6</f>
        <v>0.1628415300546448</v>
      </c>
      <c r="T32" s="10">
        <f t="shared" si="65"/>
        <v>0.17362119013062416</v>
      </c>
      <c r="U32" s="10">
        <f t="shared" si="65"/>
        <v>0.1256340886033141</v>
      </c>
      <c r="V32" s="10">
        <f t="shared" si="65"/>
        <v>0.13743128435782109</v>
      </c>
      <c r="W32" s="10">
        <f t="shared" si="65"/>
        <v>4.8231180515153842E-2</v>
      </c>
      <c r="X32" s="10">
        <f t="shared" si="65"/>
        <v>5.0000000000000058E-2</v>
      </c>
      <c r="Y32" s="10">
        <f t="shared" si="65"/>
        <v>5.0000000000000121E-2</v>
      </c>
      <c r="Z32" s="10">
        <f t="shared" si="65"/>
        <v>5.0000000000000044E-2</v>
      </c>
      <c r="AA32" s="10">
        <f t="shared" si="65"/>
        <v>5.00000000000001E-2</v>
      </c>
      <c r="AB32" s="10">
        <f t="shared" si="65"/>
        <v>5.000000000000001E-2</v>
      </c>
      <c r="AC32" s="10">
        <f t="shared" si="65"/>
        <v>5.0000000000000044E-2</v>
      </c>
      <c r="AD32" s="10">
        <f t="shared" si="65"/>
        <v>5.0000000000000072E-2</v>
      </c>
      <c r="AE32" s="10">
        <f t="shared" si="65"/>
        <v>5.000000000000001E-2</v>
      </c>
      <c r="AF32" s="10">
        <f t="shared" si="65"/>
        <v>4.9999999999999968E-2</v>
      </c>
      <c r="AG32" s="10">
        <f t="shared" si="65"/>
        <v>5.0000000000000107E-2</v>
      </c>
      <c r="AI32" s="1" t="s">
        <v>62</v>
      </c>
      <c r="AJ32" s="6">
        <f>AJ30+AJ31</f>
        <v>20168.795820764244</v>
      </c>
    </row>
    <row r="33" spans="2:36" x14ac:dyDescent="0.3">
      <c r="B33" s="1" t="s">
        <v>52</v>
      </c>
      <c r="E33" s="10">
        <f t="shared" ref="E33:K33" si="66">E11/E7</f>
        <v>0.83274845592363844</v>
      </c>
      <c r="F33" s="10">
        <f t="shared" si="66"/>
        <v>0.84429571037420137</v>
      </c>
      <c r="G33" s="10">
        <f t="shared" si="66"/>
        <v>0.83748999733262197</v>
      </c>
      <c r="H33" s="10">
        <f t="shared" si="66"/>
        <v>0.83106030217943572</v>
      </c>
      <c r="I33" s="10">
        <f t="shared" si="66"/>
        <v>0.82724229797117288</v>
      </c>
      <c r="J33" s="10">
        <f t="shared" si="66"/>
        <v>0.8479165479108477</v>
      </c>
      <c r="K33" s="10">
        <f t="shared" si="66"/>
        <v>0.83450950473647401</v>
      </c>
      <c r="L33" s="10">
        <f>L11/L7</f>
        <v>0.82603838065194524</v>
      </c>
      <c r="M33" s="10">
        <f t="shared" ref="M33:N33" si="67">M11/M7</f>
        <v>0.82379126008470671</v>
      </c>
      <c r="N33" s="10">
        <f t="shared" si="67"/>
        <v>0.83738678024614366</v>
      </c>
      <c r="Q33" s="10">
        <f>Q11/Q7</f>
        <v>0.84231745557712412</v>
      </c>
      <c r="R33" s="10">
        <f>R11/R7</f>
        <v>0.83163758057633141</v>
      </c>
      <c r="S33" s="10">
        <f t="shared" ref="S33:AG33" si="68">S11/S7</f>
        <v>0.8373901771568486</v>
      </c>
      <c r="T33" s="10">
        <f t="shared" si="68"/>
        <v>0.83773145287981221</v>
      </c>
      <c r="U33" s="10">
        <f t="shared" si="68"/>
        <v>0.83684511207446988</v>
      </c>
      <c r="V33" s="10">
        <f t="shared" si="68"/>
        <v>0.83643942320072096</v>
      </c>
      <c r="W33" s="10">
        <f t="shared" si="68"/>
        <v>0.8307891805220865</v>
      </c>
      <c r="X33" s="10">
        <f t="shared" si="68"/>
        <v>0.8321528224580651</v>
      </c>
      <c r="Y33" s="10">
        <f t="shared" si="68"/>
        <v>0.83327459522217506</v>
      </c>
      <c r="Z33" s="10">
        <f t="shared" si="68"/>
        <v>0.8338342338594299</v>
      </c>
      <c r="AA33" s="10">
        <f t="shared" si="68"/>
        <v>0.83439118835311865</v>
      </c>
      <c r="AB33" s="10">
        <f t="shared" si="68"/>
        <v>0.8349454511312312</v>
      </c>
      <c r="AC33" s="10">
        <f t="shared" si="68"/>
        <v>0.83549701495477779</v>
      </c>
      <c r="AD33" s="10">
        <f t="shared" si="68"/>
        <v>0.83604587291579358</v>
      </c>
      <c r="AE33" s="10">
        <f t="shared" si="68"/>
        <v>0.83659201843528075</v>
      </c>
      <c r="AF33" s="10">
        <f t="shared" si="68"/>
        <v>0.83713544526108796</v>
      </c>
      <c r="AG33" s="10">
        <f t="shared" si="68"/>
        <v>0.83767614746573049</v>
      </c>
      <c r="AI33" s="1" t="s">
        <v>63</v>
      </c>
      <c r="AJ33" s="4">
        <f>AJ32/AG24</f>
        <v>15.357340912787821</v>
      </c>
    </row>
    <row r="34" spans="2:36" x14ac:dyDescent="0.3">
      <c r="B34" s="1" t="s">
        <v>53</v>
      </c>
      <c r="E34" s="10"/>
      <c r="F34" s="10"/>
      <c r="G34" s="10"/>
      <c r="H34" s="10"/>
      <c r="I34" s="10">
        <f t="shared" ref="I34:K34" si="69">I12/E12-1</f>
        <v>7.2860962566845044E-2</v>
      </c>
      <c r="J34" s="10">
        <f t="shared" si="69"/>
        <v>3.2125984251968553E-2</v>
      </c>
      <c r="K34" s="10">
        <f t="shared" si="69"/>
        <v>0.11946050096339134</v>
      </c>
      <c r="L34" s="10">
        <f>L12/H12-1</f>
        <v>6.9303894510886144E-2</v>
      </c>
      <c r="M34" s="10">
        <f t="shared" ref="M34:N34" si="70">M12/I12-1</f>
        <v>7.0000000000000062E-2</v>
      </c>
      <c r="N34" s="10">
        <f t="shared" si="70"/>
        <v>0.10000000000000009</v>
      </c>
      <c r="Q34" s="10"/>
      <c r="R34" s="10">
        <f>R12/Q12-1</f>
        <v>0.2676514432849979</v>
      </c>
      <c r="S34" s="10">
        <f t="shared" ref="S34:AG34" si="71">S12/R12-1</f>
        <v>1.4859952961300049E-2</v>
      </c>
      <c r="T34" s="10">
        <f t="shared" si="71"/>
        <v>0.14526493205519864</v>
      </c>
      <c r="U34" s="10">
        <f t="shared" si="71"/>
        <v>0.12978292862398821</v>
      </c>
      <c r="V34" s="10">
        <f t="shared" si="71"/>
        <v>4.7138321257021998E-2</v>
      </c>
      <c r="W34" s="10">
        <f t="shared" si="71"/>
        <v>8.9441766443787873E-2</v>
      </c>
      <c r="X34" s="10">
        <f t="shared" si="71"/>
        <v>5.0000000000000044E-2</v>
      </c>
      <c r="Y34" s="10">
        <f t="shared" si="71"/>
        <v>4.0000000000000036E-2</v>
      </c>
      <c r="Z34" s="10">
        <f t="shared" si="71"/>
        <v>3.0000000000000027E-2</v>
      </c>
      <c r="AA34" s="10">
        <f t="shared" si="71"/>
        <v>2.0000000000000018E-2</v>
      </c>
      <c r="AB34" s="10">
        <f t="shared" si="71"/>
        <v>1.0000000000000009E-2</v>
      </c>
      <c r="AC34" s="10">
        <f t="shared" si="71"/>
        <v>1.0000000000000009E-2</v>
      </c>
      <c r="AD34" s="10">
        <f t="shared" si="71"/>
        <v>1.0000000000000009E-2</v>
      </c>
      <c r="AE34" s="10">
        <f t="shared" si="71"/>
        <v>1.0000000000000009E-2</v>
      </c>
      <c r="AF34" s="10">
        <f t="shared" si="71"/>
        <v>1.0000000000000009E-2</v>
      </c>
      <c r="AG34" s="10">
        <f t="shared" si="71"/>
        <v>1.0000000000000009E-2</v>
      </c>
      <c r="AI34" s="1" t="s">
        <v>64</v>
      </c>
      <c r="AJ34" s="4">
        <f>Main!D3</f>
        <v>27.18</v>
      </c>
    </row>
    <row r="35" spans="2:36" x14ac:dyDescent="0.3">
      <c r="B35" s="1" t="s">
        <v>54</v>
      </c>
      <c r="E35" s="10">
        <f t="shared" ref="E35:K35" si="72">E13/E7</f>
        <v>0.26740595171252107</v>
      </c>
      <c r="F35" s="10">
        <f t="shared" si="72"/>
        <v>0.26121083054456956</v>
      </c>
      <c r="G35" s="10">
        <f t="shared" si="72"/>
        <v>0.28027473993064822</v>
      </c>
      <c r="H35" s="10">
        <f t="shared" si="72"/>
        <v>0.28332664794758661</v>
      </c>
      <c r="I35" s="10">
        <f t="shared" si="72"/>
        <v>0.27577020288271054</v>
      </c>
      <c r="J35" s="10">
        <f t="shared" si="72"/>
        <v>0.26027475346291973</v>
      </c>
      <c r="K35" s="10">
        <f t="shared" si="72"/>
        <v>0.28387055756882196</v>
      </c>
      <c r="L35" s="10">
        <f>L13/L7</f>
        <v>0.29442691903259727</v>
      </c>
      <c r="M35" s="10">
        <f t="shared" ref="M35:N35" si="73">M13/M7</f>
        <v>0.28999999999999998</v>
      </c>
      <c r="N35" s="10">
        <f t="shared" si="73"/>
        <v>0.26</v>
      </c>
      <c r="Q35" s="10">
        <f>Q13/Q7</f>
        <v>0.30518640187148471</v>
      </c>
      <c r="R35" s="10">
        <f>R13/R7</f>
        <v>0.28216876670484914</v>
      </c>
      <c r="S35" s="10">
        <f t="shared" ref="S35:AG35" si="74">S13/S7</f>
        <v>0.26746363243554666</v>
      </c>
      <c r="T35" s="10">
        <f t="shared" si="74"/>
        <v>0.26522867279755702</v>
      </c>
      <c r="U35" s="10">
        <f t="shared" si="74"/>
        <v>0.27296098397015828</v>
      </c>
      <c r="V35" s="10">
        <f t="shared" si="74"/>
        <v>0.27428543839320196</v>
      </c>
      <c r="W35" s="10">
        <f t="shared" si="74"/>
        <v>0.28104649125255482</v>
      </c>
      <c r="X35" s="10">
        <f t="shared" si="74"/>
        <v>0.28000000000000003</v>
      </c>
      <c r="Y35" s="10">
        <f t="shared" si="74"/>
        <v>0.28000000000000003</v>
      </c>
      <c r="Z35" s="10">
        <f t="shared" si="74"/>
        <v>0.28000000000000003</v>
      </c>
      <c r="AA35" s="10">
        <f t="shared" si="74"/>
        <v>0.28000000000000003</v>
      </c>
      <c r="AB35" s="10">
        <f t="shared" si="74"/>
        <v>0.28000000000000003</v>
      </c>
      <c r="AC35" s="10">
        <f t="shared" si="74"/>
        <v>0.28000000000000003</v>
      </c>
      <c r="AD35" s="10">
        <f t="shared" si="74"/>
        <v>0.28000000000000003</v>
      </c>
      <c r="AE35" s="10">
        <f t="shared" si="74"/>
        <v>0.28000000000000003</v>
      </c>
      <c r="AF35" s="10">
        <f t="shared" si="74"/>
        <v>0.28000000000000003</v>
      </c>
      <c r="AG35" s="10">
        <f t="shared" si="74"/>
        <v>0.28000000000000003</v>
      </c>
      <c r="AI35" s="2" t="s">
        <v>65</v>
      </c>
      <c r="AJ35" s="11">
        <f>AJ33/AJ34-1</f>
        <v>-0.43497641969139733</v>
      </c>
    </row>
    <row r="36" spans="2:36" x14ac:dyDescent="0.3">
      <c r="B36" s="1" t="s">
        <v>55</v>
      </c>
      <c r="E36" s="10"/>
      <c r="F36" s="10"/>
      <c r="G36" s="10"/>
      <c r="H36" s="10"/>
      <c r="I36" s="10">
        <f t="shared" ref="I36:K36" si="75">I14/E14-1</f>
        <v>0.13856589147286824</v>
      </c>
      <c r="J36" s="10">
        <f t="shared" si="75"/>
        <v>9.2948717948718063E-2</v>
      </c>
      <c r="K36" s="10">
        <f t="shared" si="75"/>
        <v>0.14557564224548059</v>
      </c>
      <c r="L36" s="10">
        <f>L14/H14-1</f>
        <v>0.10842293906810041</v>
      </c>
      <c r="M36" s="10">
        <f t="shared" ref="M36:N36" si="76">M14/I14-1</f>
        <v>0.1100000000000001</v>
      </c>
      <c r="N36" s="10">
        <f t="shared" si="76"/>
        <v>9.000000000000008E-2</v>
      </c>
      <c r="Q36" s="10"/>
      <c r="R36" s="10">
        <f>R14/Q14-1</f>
        <v>0.18573596358118349</v>
      </c>
      <c r="S36" s="10">
        <f t="shared" ref="S36:AG36" si="77">S14/R14-1</f>
        <v>2.5851036600972765E-2</v>
      </c>
      <c r="T36" s="10">
        <f t="shared" si="77"/>
        <v>8.5828343313373301E-2</v>
      </c>
      <c r="U36" s="10">
        <f t="shared" si="77"/>
        <v>3.5386029411764719E-2</v>
      </c>
      <c r="V36" s="10">
        <f t="shared" si="77"/>
        <v>4.4163337771859767E-2</v>
      </c>
      <c r="W36" s="10">
        <f t="shared" si="77"/>
        <v>0.11201062699256115</v>
      </c>
      <c r="X36" s="10">
        <f t="shared" si="77"/>
        <v>5.0000000000000044E-2</v>
      </c>
      <c r="Y36" s="10">
        <f t="shared" si="77"/>
        <v>3.0000000000000027E-2</v>
      </c>
      <c r="Z36" s="10">
        <f t="shared" si="77"/>
        <v>2.0000000000000018E-2</v>
      </c>
      <c r="AA36" s="10">
        <f t="shared" si="77"/>
        <v>2.0000000000000018E-2</v>
      </c>
      <c r="AB36" s="10">
        <f t="shared" si="77"/>
        <v>2.0000000000000018E-2</v>
      </c>
      <c r="AC36" s="10">
        <f t="shared" si="77"/>
        <v>2.0000000000000018E-2</v>
      </c>
      <c r="AD36" s="10">
        <f t="shared" si="77"/>
        <v>2.0000000000000018E-2</v>
      </c>
      <c r="AE36" s="10">
        <f t="shared" si="77"/>
        <v>2.0000000000000018E-2</v>
      </c>
      <c r="AF36" s="10">
        <f t="shared" si="77"/>
        <v>2.0000000000000018E-2</v>
      </c>
      <c r="AG36" s="10">
        <f t="shared" si="77"/>
        <v>2.0000000000000018E-2</v>
      </c>
      <c r="AI36" s="1" t="s">
        <v>66</v>
      </c>
      <c r="AJ36" s="9" t="s">
        <v>67</v>
      </c>
    </row>
    <row r="37" spans="2:36" x14ac:dyDescent="0.3">
      <c r="B37" s="1" t="s">
        <v>56</v>
      </c>
      <c r="E37" s="10">
        <f t="shared" ref="E37:K37" si="78">E18/E7</f>
        <v>0.21238068500842217</v>
      </c>
      <c r="F37" s="10">
        <f t="shared" si="78"/>
        <v>0.23218740492850615</v>
      </c>
      <c r="G37" s="10">
        <f t="shared" si="78"/>
        <v>0.21605761536409704</v>
      </c>
      <c r="H37" s="10">
        <f t="shared" si="78"/>
        <v>0.18458350046797686</v>
      </c>
      <c r="I37" s="10">
        <f t="shared" si="78"/>
        <v>0.18860577908327064</v>
      </c>
      <c r="J37" s="10">
        <f t="shared" si="78"/>
        <v>0.2756085048167361</v>
      </c>
      <c r="K37" s="10">
        <f t="shared" si="78"/>
        <v>0.19352787844109606</v>
      </c>
      <c r="L37" s="10">
        <f>L18/L7</f>
        <v>0.15891167192429012</v>
      </c>
      <c r="M37" s="10">
        <f t="shared" ref="M37:N37" si="79">M18/M7</f>
        <v>0.16764966965727579</v>
      </c>
      <c r="N37" s="10">
        <f t="shared" si="79"/>
        <v>0.2523251622857049</v>
      </c>
      <c r="Q37" s="10">
        <f>Q18/Q7</f>
        <v>0.20227962769399249</v>
      </c>
      <c r="R37" s="10">
        <f>R18/R7</f>
        <v>0.15043909889270729</v>
      </c>
      <c r="S37" s="10">
        <f t="shared" ref="S37:AG37" si="80">S18/S7</f>
        <v>0.20976934630974656</v>
      </c>
      <c r="T37" s="10">
        <f t="shared" si="80"/>
        <v>0.23001429756588351</v>
      </c>
      <c r="U37" s="10">
        <f t="shared" si="80"/>
        <v>0.2086735894075343</v>
      </c>
      <c r="V37" s="10">
        <f t="shared" si="80"/>
        <v>0.2188264452169435</v>
      </c>
      <c r="W37" s="10">
        <f t="shared" si="80"/>
        <v>0.19589976801669784</v>
      </c>
      <c r="X37" s="10">
        <f t="shared" si="80"/>
        <v>0.24852050086079303</v>
      </c>
      <c r="Y37" s="10">
        <f t="shared" si="80"/>
        <v>0.24593431348051717</v>
      </c>
      <c r="Z37" s="10">
        <f t="shared" si="80"/>
        <v>0.24350965020213711</v>
      </c>
      <c r="AA37" s="10">
        <f t="shared" si="80"/>
        <v>0.24328576882613256</v>
      </c>
      <c r="AB37" s="10">
        <f t="shared" si="80"/>
        <v>0.24530104794347365</v>
      </c>
      <c r="AC37" s="10">
        <f t="shared" si="80"/>
        <v>0.24730651376107607</v>
      </c>
      <c r="AD37" s="10">
        <f t="shared" si="80"/>
        <v>0.24930214116183383</v>
      </c>
      <c r="AE37" s="10">
        <f t="shared" si="80"/>
        <v>0.25128790622475183</v>
      </c>
      <c r="AF37" s="10">
        <f t="shared" si="80"/>
        <v>0.25326378621723789</v>
      </c>
      <c r="AG37" s="10">
        <f t="shared" si="80"/>
        <v>0.25522975958717453</v>
      </c>
    </row>
    <row r="38" spans="2:36" x14ac:dyDescent="0.3">
      <c r="B38" s="1" t="s">
        <v>29</v>
      </c>
      <c r="E38" s="10">
        <f t="shared" ref="E38:K38" si="81">E21/E20</f>
        <v>0.18404290982232657</v>
      </c>
      <c r="F38" s="10">
        <f t="shared" si="81"/>
        <v>0.19320957498778707</v>
      </c>
      <c r="G38" s="10">
        <f t="shared" si="81"/>
        <v>0.19282891022021462</v>
      </c>
      <c r="H38" s="10">
        <f t="shared" si="81"/>
        <v>0.15416936005171311</v>
      </c>
      <c r="I38" s="10">
        <f t="shared" si="81"/>
        <v>0.22225827384815061</v>
      </c>
      <c r="J38" s="10">
        <f t="shared" si="81"/>
        <v>0.18838862559241704</v>
      </c>
      <c r="K38" s="10">
        <f t="shared" si="81"/>
        <v>0.22557514191813566</v>
      </c>
      <c r="L38" s="10">
        <f>L21/L20</f>
        <v>0.19506808980493204</v>
      </c>
      <c r="M38" s="10">
        <f t="shared" ref="M38:N38" si="82">M21/M20</f>
        <v>0.19</v>
      </c>
      <c r="N38" s="10">
        <f t="shared" si="82"/>
        <v>0.19</v>
      </c>
      <c r="Q38" s="10">
        <f>Q21/Q20</f>
        <v>0.2568942272337294</v>
      </c>
      <c r="R38" s="10">
        <f>R21/R20</f>
        <v>0.24872389791183269</v>
      </c>
      <c r="S38" s="10">
        <f t="shared" ref="S38:AG38" si="83">S21/S20</f>
        <v>0.22939068100358445</v>
      </c>
      <c r="T38" s="10">
        <f t="shared" si="83"/>
        <v>0.28746458381193046</v>
      </c>
      <c r="U38" s="10">
        <f t="shared" si="83"/>
        <v>0.19271273733569072</v>
      </c>
      <c r="V38" s="10">
        <f t="shared" si="83"/>
        <v>0.18936472498477769</v>
      </c>
      <c r="W38" s="10">
        <f t="shared" si="83"/>
        <v>0.19960168843999868</v>
      </c>
      <c r="X38" s="10">
        <f t="shared" si="83"/>
        <v>0.2</v>
      </c>
      <c r="Y38" s="10">
        <f t="shared" si="83"/>
        <v>0.20000000000000004</v>
      </c>
      <c r="Z38" s="10">
        <f t="shared" si="83"/>
        <v>0.2</v>
      </c>
      <c r="AA38" s="10">
        <f t="shared" si="83"/>
        <v>0.2</v>
      </c>
      <c r="AB38" s="10">
        <f t="shared" si="83"/>
        <v>0.2</v>
      </c>
      <c r="AC38" s="10">
        <f t="shared" si="83"/>
        <v>0.2</v>
      </c>
      <c r="AD38" s="10">
        <f t="shared" si="83"/>
        <v>0.2</v>
      </c>
      <c r="AE38" s="10">
        <f t="shared" si="83"/>
        <v>0.2</v>
      </c>
      <c r="AF38" s="10">
        <f t="shared" si="83"/>
        <v>0.2</v>
      </c>
      <c r="AG38" s="10">
        <f t="shared" si="83"/>
        <v>0.2</v>
      </c>
    </row>
    <row r="39" spans="2:36" x14ac:dyDescent="0.3">
      <c r="B39" s="1" t="s">
        <v>57</v>
      </c>
      <c r="E39" s="10">
        <f t="shared" ref="E39:K39" si="84">E23/E7</f>
        <v>0.17090117911285788</v>
      </c>
      <c r="F39" s="10">
        <f t="shared" si="84"/>
        <v>0.20079099482811066</v>
      </c>
      <c r="G39" s="10">
        <f t="shared" si="84"/>
        <v>0.1904507868765003</v>
      </c>
      <c r="H39" s="10">
        <f t="shared" si="84"/>
        <v>0.17575879128225685</v>
      </c>
      <c r="I39" s="10">
        <f t="shared" si="84"/>
        <v>0.16374069267026431</v>
      </c>
      <c r="J39" s="10">
        <f t="shared" si="84"/>
        <v>0.23490851051701542</v>
      </c>
      <c r="K39" s="10">
        <f t="shared" si="84"/>
        <v>0.16555407209612816</v>
      </c>
      <c r="L39" s="10">
        <f>L23/L7</f>
        <v>0.14695057833859085</v>
      </c>
      <c r="M39" s="10">
        <f t="shared" ref="M39:N39" si="85">M23/M7</f>
        <v>0.15171557442292402</v>
      </c>
      <c r="N39" s="10">
        <f t="shared" si="85"/>
        <v>0.21767808900888774</v>
      </c>
      <c r="Q39" s="10">
        <f>Q23/Q7</f>
        <v>0.15312826638793506</v>
      </c>
      <c r="R39" s="10">
        <f>R23/R7</f>
        <v>0.11032500056150768</v>
      </c>
      <c r="S39" s="10">
        <f t="shared" ref="S39:AG39" si="86">S23/S7</f>
        <v>0.15921483097055597</v>
      </c>
      <c r="T39" s="10">
        <f t="shared" si="86"/>
        <v>0.16447496160838787</v>
      </c>
      <c r="U39" s="10">
        <f t="shared" si="86"/>
        <v>0.17658030043351139</v>
      </c>
      <c r="V39" s="10">
        <f t="shared" si="86"/>
        <v>0.19317303978370029</v>
      </c>
      <c r="W39" s="10">
        <f t="shared" si="86"/>
        <v>0.17266262908723254</v>
      </c>
      <c r="X39" s="10">
        <f t="shared" si="86"/>
        <v>0.21369923954993664</v>
      </c>
      <c r="Y39" s="10">
        <f t="shared" si="86"/>
        <v>0.2117062918390116</v>
      </c>
      <c r="Z39" s="10">
        <f t="shared" si="86"/>
        <v>0.20995150481135555</v>
      </c>
      <c r="AA39" s="10">
        <f t="shared" si="86"/>
        <v>0.20995934641449648</v>
      </c>
      <c r="AB39" s="10">
        <f t="shared" si="86"/>
        <v>0.21176053867537006</v>
      </c>
      <c r="AC39" s="10">
        <f t="shared" si="86"/>
        <v>0.21355592189198674</v>
      </c>
      <c r="AD39" s="10">
        <f t="shared" si="86"/>
        <v>0.21534549548333382</v>
      </c>
      <c r="AE39" s="10">
        <f t="shared" si="86"/>
        <v>0.21712926000737784</v>
      </c>
      <c r="AF39" s="10">
        <f t="shared" si="86"/>
        <v>0.21890721715681305</v>
      </c>
      <c r="AG39" s="10">
        <f t="shared" si="86"/>
        <v>0.22067936975465416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2025-07-30T15:31:06Z</dcterms:created>
  <dcterms:modified xsi:type="dcterms:W3CDTF">2025-07-30T17:34:03Z</dcterms:modified>
</cp:coreProperties>
</file>