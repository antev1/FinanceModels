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9EB9621-E978-4AD5-94B3-797B8EC4F809}" xr6:coauthVersionLast="47" xr6:coauthVersionMax="47" xr10:uidLastSave="{00000000-0000-0000-0000-000000000000}"/>
  <bookViews>
    <workbookView xWindow="-108" yWindow="-108" windowWidth="23256" windowHeight="12576" activeTab="1" xr2:uid="{9C792900-F1FE-492A-AE3E-893D8A7E159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2" i="2" l="1"/>
  <c r="AE32" i="2"/>
  <c r="AD32" i="2"/>
  <c r="AC32" i="2"/>
  <c r="AB32" i="2"/>
  <c r="AA32" i="2"/>
  <c r="Z32" i="2"/>
  <c r="Y32" i="2"/>
  <c r="X32" i="2"/>
  <c r="W32" i="2"/>
  <c r="V32" i="2"/>
  <c r="U32" i="2"/>
  <c r="T32" i="2"/>
  <c r="N32" i="2"/>
  <c r="M32" i="2"/>
  <c r="L32" i="2"/>
  <c r="K32" i="2"/>
  <c r="AJ34" i="2"/>
  <c r="AJ31" i="2"/>
  <c r="W14" i="2"/>
  <c r="V21" i="2"/>
  <c r="V16" i="2"/>
  <c r="V15" i="2"/>
  <c r="V14" i="2"/>
  <c r="V5" i="2"/>
  <c r="W5" i="2" s="1"/>
  <c r="X5" i="2" s="1"/>
  <c r="Y5" i="2" s="1"/>
  <c r="Z5" i="2" s="1"/>
  <c r="AA5" i="2" s="1"/>
  <c r="AB5" i="2" s="1"/>
  <c r="AC5" i="2" s="1"/>
  <c r="AD5" i="2" s="1"/>
  <c r="AE5" i="2" s="1"/>
  <c r="AF5" i="2" s="1"/>
  <c r="AF28" i="2" s="1"/>
  <c r="U33" i="2"/>
  <c r="T33" i="2"/>
  <c r="V28" i="2"/>
  <c r="U28" i="2"/>
  <c r="T28" i="2"/>
  <c r="S28" i="2"/>
  <c r="R28" i="2"/>
  <c r="Q28" i="2"/>
  <c r="U27" i="2"/>
  <c r="T27" i="2"/>
  <c r="S27" i="2"/>
  <c r="R27" i="2"/>
  <c r="Q27" i="2"/>
  <c r="U26" i="2"/>
  <c r="T26" i="2"/>
  <c r="S26" i="2"/>
  <c r="R26" i="2"/>
  <c r="Q26" i="2"/>
  <c r="U31" i="2"/>
  <c r="T31" i="2"/>
  <c r="S31" i="2"/>
  <c r="R31" i="2"/>
  <c r="Q31" i="2"/>
  <c r="P31" i="2"/>
  <c r="U30" i="2"/>
  <c r="T30" i="2"/>
  <c r="S30" i="2"/>
  <c r="N18" i="2"/>
  <c r="M18" i="2"/>
  <c r="N33" i="2"/>
  <c r="M33" i="2"/>
  <c r="M28" i="2"/>
  <c r="M3" i="2"/>
  <c r="M26" i="2" s="1"/>
  <c r="M4" i="2"/>
  <c r="E31" i="2"/>
  <c r="K33" i="2"/>
  <c r="K31" i="2"/>
  <c r="I31" i="2"/>
  <c r="H31" i="2"/>
  <c r="G31" i="2"/>
  <c r="K30" i="2"/>
  <c r="H30" i="2"/>
  <c r="G30" i="2"/>
  <c r="K28" i="2"/>
  <c r="I28" i="2"/>
  <c r="K27" i="2"/>
  <c r="I27" i="2"/>
  <c r="K26" i="2"/>
  <c r="I26" i="2"/>
  <c r="L31" i="2"/>
  <c r="L30" i="2"/>
  <c r="L28" i="2"/>
  <c r="L27" i="2"/>
  <c r="L26" i="2"/>
  <c r="J7" i="2"/>
  <c r="J21" i="2"/>
  <c r="J20" i="2"/>
  <c r="J16" i="2"/>
  <c r="J15" i="2"/>
  <c r="J14" i="2"/>
  <c r="J12" i="2"/>
  <c r="J8" i="2"/>
  <c r="J5" i="2"/>
  <c r="N28" i="2" s="1"/>
  <c r="J4" i="2"/>
  <c r="J3" i="2"/>
  <c r="N3" i="2" s="1"/>
  <c r="E18" i="2"/>
  <c r="E9" i="2"/>
  <c r="E6" i="2"/>
  <c r="E34" i="2" s="1"/>
  <c r="I18" i="2"/>
  <c r="I9" i="2"/>
  <c r="I6" i="2"/>
  <c r="I34" i="2" s="1"/>
  <c r="P18" i="2"/>
  <c r="P9" i="2"/>
  <c r="P6" i="2"/>
  <c r="P34" i="2" s="1"/>
  <c r="Q18" i="2"/>
  <c r="Q9" i="2"/>
  <c r="Q6" i="2"/>
  <c r="Q34" i="2" s="1"/>
  <c r="U18" i="2"/>
  <c r="T18" i="2"/>
  <c r="S18" i="2"/>
  <c r="R18" i="2"/>
  <c r="L18" i="2"/>
  <c r="K18" i="2"/>
  <c r="H18" i="2"/>
  <c r="G18" i="2"/>
  <c r="R6" i="2"/>
  <c r="R34" i="2" s="1"/>
  <c r="R9" i="2"/>
  <c r="S9" i="2"/>
  <c r="S6" i="2"/>
  <c r="S34" i="2" s="1"/>
  <c r="T9" i="2"/>
  <c r="T6" i="2"/>
  <c r="T34" i="2" s="1"/>
  <c r="U9" i="2"/>
  <c r="U6" i="2"/>
  <c r="G9" i="2"/>
  <c r="G6" i="2"/>
  <c r="G34" i="2" s="1"/>
  <c r="K9" i="2"/>
  <c r="K6" i="2"/>
  <c r="K34" i="2" s="1"/>
  <c r="H9" i="2"/>
  <c r="H6" i="2"/>
  <c r="H34" i="2" s="1"/>
  <c r="L11" i="2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AF33" i="2" s="1"/>
  <c r="L9" i="2"/>
  <c r="L6" i="2"/>
  <c r="L34" i="2" s="1"/>
  <c r="D9" i="1"/>
  <c r="D8" i="1"/>
  <c r="D7" i="1"/>
  <c r="D6" i="1"/>
  <c r="D5" i="1"/>
  <c r="D3" i="1"/>
  <c r="F3" i="1"/>
  <c r="R29" i="2" l="1"/>
  <c r="S29" i="2"/>
  <c r="V18" i="2"/>
  <c r="I29" i="2"/>
  <c r="T29" i="2"/>
  <c r="L33" i="2"/>
  <c r="K29" i="2"/>
  <c r="U29" i="2"/>
  <c r="L29" i="2"/>
  <c r="J9" i="2"/>
  <c r="Q29" i="2"/>
  <c r="J31" i="2"/>
  <c r="R10" i="2"/>
  <c r="R13" i="2" s="1"/>
  <c r="R35" i="2" s="1"/>
  <c r="J18" i="2"/>
  <c r="V3" i="2"/>
  <c r="N7" i="2"/>
  <c r="N30" i="2" s="1"/>
  <c r="N26" i="2"/>
  <c r="M8" i="2"/>
  <c r="W16" i="2"/>
  <c r="X16" i="2" s="1"/>
  <c r="Y16" i="2" s="1"/>
  <c r="Z16" i="2" s="1"/>
  <c r="AA16" i="2" s="1"/>
  <c r="AB16" i="2" s="1"/>
  <c r="AC16" i="2" s="1"/>
  <c r="AD16" i="2" s="1"/>
  <c r="AE16" i="2" s="1"/>
  <c r="AF16" i="2" s="1"/>
  <c r="N4" i="2"/>
  <c r="U34" i="2"/>
  <c r="X14" i="2"/>
  <c r="Y14" i="2" s="1"/>
  <c r="Z14" i="2" s="1"/>
  <c r="M27" i="2"/>
  <c r="R19" i="2"/>
  <c r="R36" i="2" s="1"/>
  <c r="M6" i="2"/>
  <c r="M29" i="2" s="1"/>
  <c r="M7" i="2"/>
  <c r="X33" i="2"/>
  <c r="Y33" i="2"/>
  <c r="W33" i="2"/>
  <c r="Y28" i="2"/>
  <c r="X28" i="2"/>
  <c r="W28" i="2"/>
  <c r="V33" i="2"/>
  <c r="J6" i="2"/>
  <c r="J10" i="2" s="1"/>
  <c r="J13" i="2" s="1"/>
  <c r="E10" i="2"/>
  <c r="E13" i="2" s="1"/>
  <c r="I10" i="2"/>
  <c r="I13" i="2" s="1"/>
  <c r="P10" i="2"/>
  <c r="P13" i="2" s="1"/>
  <c r="Q10" i="2"/>
  <c r="Q13" i="2" s="1"/>
  <c r="L10" i="2"/>
  <c r="L13" i="2" s="1"/>
  <c r="S10" i="2"/>
  <c r="S13" i="2" s="1"/>
  <c r="S19" i="2" s="1"/>
  <c r="S36" i="2" s="1"/>
  <c r="T10" i="2"/>
  <c r="T13" i="2" s="1"/>
  <c r="U10" i="2"/>
  <c r="U13" i="2" s="1"/>
  <c r="G10" i="2"/>
  <c r="G13" i="2" s="1"/>
  <c r="K10" i="2"/>
  <c r="H10" i="2"/>
  <c r="H13" i="2" s="1"/>
  <c r="J34" i="2" l="1"/>
  <c r="X18" i="2"/>
  <c r="Y18" i="2"/>
  <c r="I19" i="2"/>
  <c r="I35" i="2"/>
  <c r="H35" i="2"/>
  <c r="H19" i="2"/>
  <c r="H36" i="2" s="1"/>
  <c r="W3" i="2"/>
  <c r="V26" i="2"/>
  <c r="G35" i="2"/>
  <c r="G19" i="2"/>
  <c r="G36" i="2" s="1"/>
  <c r="U35" i="2"/>
  <c r="E19" i="2"/>
  <c r="E35" i="2"/>
  <c r="J19" i="2"/>
  <c r="J35" i="2"/>
  <c r="S22" i="2"/>
  <c r="S35" i="2"/>
  <c r="M30" i="2"/>
  <c r="V7" i="2"/>
  <c r="M9" i="2"/>
  <c r="M10" i="2" s="1"/>
  <c r="N8" i="2"/>
  <c r="N31" i="2" s="1"/>
  <c r="V4" i="2"/>
  <c r="V6" i="2" s="1"/>
  <c r="V29" i="2" s="1"/>
  <c r="N27" i="2"/>
  <c r="N6" i="2"/>
  <c r="N29" i="2" s="1"/>
  <c r="U19" i="2"/>
  <c r="U36" i="2" s="1"/>
  <c r="M31" i="2"/>
  <c r="Q19" i="2"/>
  <c r="Q35" i="2"/>
  <c r="P19" i="2"/>
  <c r="P35" i="2"/>
  <c r="T35" i="2"/>
  <c r="T19" i="2"/>
  <c r="T36" i="2" s="1"/>
  <c r="R22" i="2"/>
  <c r="M12" i="2"/>
  <c r="W18" i="2"/>
  <c r="Z18" i="2"/>
  <c r="AA14" i="2"/>
  <c r="Z33" i="2"/>
  <c r="Z28" i="2"/>
  <c r="S24" i="2"/>
  <c r="L35" i="2"/>
  <c r="L19" i="2"/>
  <c r="L36" i="2" s="1"/>
  <c r="K13" i="2"/>
  <c r="M13" i="2" l="1"/>
  <c r="M35" i="2" s="1"/>
  <c r="G22" i="2"/>
  <c r="G24" i="2" s="1"/>
  <c r="S37" i="2"/>
  <c r="M34" i="2"/>
  <c r="Q22" i="2"/>
  <c r="Q36" i="2"/>
  <c r="V8" i="2"/>
  <c r="V9" i="2" s="1"/>
  <c r="V10" i="2" s="1"/>
  <c r="R24" i="2"/>
  <c r="R37" i="2"/>
  <c r="X3" i="2"/>
  <c r="W7" i="2"/>
  <c r="W30" i="2" s="1"/>
  <c r="W26" i="2"/>
  <c r="G37" i="2"/>
  <c r="V30" i="2"/>
  <c r="E22" i="2"/>
  <c r="E36" i="2"/>
  <c r="W4" i="2"/>
  <c r="V27" i="2"/>
  <c r="N9" i="2"/>
  <c r="N10" i="2" s="1"/>
  <c r="T22" i="2"/>
  <c r="N12" i="2"/>
  <c r="N34" i="2" s="1"/>
  <c r="U22" i="2"/>
  <c r="H22" i="2"/>
  <c r="J22" i="2"/>
  <c r="J36" i="2"/>
  <c r="K35" i="2"/>
  <c r="K19" i="2"/>
  <c r="K36" i="2" s="1"/>
  <c r="P22" i="2"/>
  <c r="P36" i="2"/>
  <c r="I22" i="2"/>
  <c r="I36" i="2"/>
  <c r="AA18" i="2"/>
  <c r="AB14" i="2"/>
  <c r="AA33" i="2"/>
  <c r="AA28" i="2"/>
  <c r="L22" i="2"/>
  <c r="M19" i="2" l="1"/>
  <c r="N13" i="2"/>
  <c r="N35" i="2" s="1"/>
  <c r="V12" i="2"/>
  <c r="V34" i="2" s="1"/>
  <c r="I24" i="2"/>
  <c r="I37" i="2"/>
  <c r="V31" i="2"/>
  <c r="X4" i="2"/>
  <c r="X6" i="2" s="1"/>
  <c r="W8" i="2"/>
  <c r="W31" i="2" s="1"/>
  <c r="W27" i="2"/>
  <c r="P24" i="2"/>
  <c r="P37" i="2"/>
  <c r="N19" i="2"/>
  <c r="Q24" i="2"/>
  <c r="Q37" i="2"/>
  <c r="H24" i="2"/>
  <c r="H37" i="2"/>
  <c r="U24" i="2"/>
  <c r="U37" i="2"/>
  <c r="E24" i="2"/>
  <c r="E37" i="2"/>
  <c r="X7" i="2"/>
  <c r="X30" i="2" s="1"/>
  <c r="Y3" i="2"/>
  <c r="X26" i="2"/>
  <c r="J24" i="2"/>
  <c r="J37" i="2"/>
  <c r="W6" i="2"/>
  <c r="M20" i="2"/>
  <c r="M22" i="2" s="1"/>
  <c r="T37" i="2"/>
  <c r="T24" i="2"/>
  <c r="K22" i="2"/>
  <c r="AB18" i="2"/>
  <c r="AC14" i="2"/>
  <c r="AB33" i="2"/>
  <c r="AB28" i="2"/>
  <c r="L24" i="2"/>
  <c r="L37" i="2"/>
  <c r="W12" i="2" l="1"/>
  <c r="W34" i="2" s="1"/>
  <c r="W29" i="2"/>
  <c r="X12" i="2"/>
  <c r="X34" i="2" s="1"/>
  <c r="X29" i="2"/>
  <c r="W9" i="2"/>
  <c r="W10" i="2" s="1"/>
  <c r="V13" i="2"/>
  <c r="M24" i="2"/>
  <c r="M37" i="2"/>
  <c r="N20" i="2"/>
  <c r="N36" i="2" s="1"/>
  <c r="Y4" i="2"/>
  <c r="Y6" i="2" s="1"/>
  <c r="Y29" i="2" s="1"/>
  <c r="X8" i="2"/>
  <c r="X9" i="2" s="1"/>
  <c r="X10" i="2" s="1"/>
  <c r="X13" i="2" s="1"/>
  <c r="X27" i="2"/>
  <c r="Z3" i="2"/>
  <c r="Y7" i="2"/>
  <c r="Y30" i="2"/>
  <c r="Y26" i="2"/>
  <c r="M36" i="2"/>
  <c r="K24" i="2"/>
  <c r="K37" i="2"/>
  <c r="AD14" i="2"/>
  <c r="AC18" i="2"/>
  <c r="AC33" i="2"/>
  <c r="AC28" i="2"/>
  <c r="W13" i="2" l="1"/>
  <c r="W19" i="2" s="1"/>
  <c r="X31" i="2"/>
  <c r="N22" i="2"/>
  <c r="V35" i="2"/>
  <c r="V19" i="2"/>
  <c r="X35" i="2"/>
  <c r="X19" i="2"/>
  <c r="Y12" i="2"/>
  <c r="Z4" i="2"/>
  <c r="Z6" i="2" s="1"/>
  <c r="Z29" i="2" s="1"/>
  <c r="Y8" i="2"/>
  <c r="Y9" i="2" s="1"/>
  <c r="Y10" i="2" s="1"/>
  <c r="Y27" i="2"/>
  <c r="Z7" i="2"/>
  <c r="AA3" i="2"/>
  <c r="Z26" i="2"/>
  <c r="N24" i="2"/>
  <c r="N37" i="2"/>
  <c r="V20" i="2"/>
  <c r="AD18" i="2"/>
  <c r="AE14" i="2"/>
  <c r="AD33" i="2"/>
  <c r="AD28" i="2"/>
  <c r="Y31" i="2" l="1"/>
  <c r="W20" i="2"/>
  <c r="W36" i="2" s="1"/>
  <c r="W35" i="2"/>
  <c r="Z12" i="2"/>
  <c r="Z34" i="2" s="1"/>
  <c r="AA7" i="2"/>
  <c r="AB3" i="2"/>
  <c r="AA30" i="2"/>
  <c r="AA26" i="2"/>
  <c r="AA4" i="2"/>
  <c r="AA6" i="2" s="1"/>
  <c r="Z8" i="2"/>
  <c r="Z9" i="2" s="1"/>
  <c r="Z10" i="2" s="1"/>
  <c r="Z13" i="2" s="1"/>
  <c r="Z27" i="2"/>
  <c r="Y13" i="2"/>
  <c r="Y34" i="2"/>
  <c r="V36" i="2"/>
  <c r="V22" i="2"/>
  <c r="X20" i="2"/>
  <c r="X36" i="2" s="1"/>
  <c r="Z30" i="2"/>
  <c r="AF14" i="2"/>
  <c r="AF18" i="2" s="1"/>
  <c r="AE18" i="2"/>
  <c r="AE33" i="2"/>
  <c r="AE28" i="2"/>
  <c r="AA12" i="2" l="1"/>
  <c r="AA29" i="2"/>
  <c r="Z31" i="2"/>
  <c r="W22" i="2"/>
  <c r="Z35" i="2"/>
  <c r="Z19" i="2"/>
  <c r="AA34" i="2"/>
  <c r="Y35" i="2"/>
  <c r="Y19" i="2"/>
  <c r="AC3" i="2"/>
  <c r="AB7" i="2"/>
  <c r="AB30" i="2" s="1"/>
  <c r="AB26" i="2"/>
  <c r="AB4" i="2"/>
  <c r="AA8" i="2"/>
  <c r="AA9" i="2" s="1"/>
  <c r="AA10" i="2" s="1"/>
  <c r="AA13" i="2" s="1"/>
  <c r="AA27" i="2"/>
  <c r="V37" i="2"/>
  <c r="V24" i="2"/>
  <c r="X22" i="2"/>
  <c r="W24" i="2" l="1"/>
  <c r="W37" i="2"/>
  <c r="AA31" i="2"/>
  <c r="AA35" i="2"/>
  <c r="AA19" i="2"/>
  <c r="X24" i="2"/>
  <c r="X37" i="2"/>
  <c r="Y20" i="2"/>
  <c r="Y36" i="2" s="1"/>
  <c r="AC4" i="2"/>
  <c r="AB8" i="2"/>
  <c r="AB27" i="2"/>
  <c r="AB31" i="2"/>
  <c r="AD3" i="2"/>
  <c r="AC7" i="2"/>
  <c r="AC30" i="2" s="1"/>
  <c r="AC26" i="2"/>
  <c r="AB6" i="2"/>
  <c r="Z20" i="2"/>
  <c r="Z36" i="2" s="1"/>
  <c r="AB9" i="2"/>
  <c r="Z22" i="2" l="1"/>
  <c r="Z24" i="2" s="1"/>
  <c r="AB12" i="2"/>
  <c r="AB34" i="2" s="1"/>
  <c r="AB29" i="2"/>
  <c r="Y22" i="2"/>
  <c r="AB10" i="2"/>
  <c r="AB13" i="2" s="1"/>
  <c r="AB19" i="2" s="1"/>
  <c r="AD4" i="2"/>
  <c r="AC8" i="2"/>
  <c r="AC9" i="2" s="1"/>
  <c r="AC10" i="2" s="1"/>
  <c r="AC31" i="2"/>
  <c r="AC27" i="2"/>
  <c r="Y24" i="2"/>
  <c r="Y37" i="2"/>
  <c r="AE3" i="2"/>
  <c r="AD6" i="2"/>
  <c r="AD7" i="2"/>
  <c r="AD30" i="2" s="1"/>
  <c r="AD26" i="2"/>
  <c r="AA20" i="2"/>
  <c r="AA36" i="2" s="1"/>
  <c r="AA22" i="2"/>
  <c r="AC6" i="2"/>
  <c r="Z37" i="2" l="1"/>
  <c r="AD12" i="2"/>
  <c r="AD34" i="2" s="1"/>
  <c r="AD29" i="2"/>
  <c r="AC12" i="2"/>
  <c r="AC13" i="2" s="1"/>
  <c r="AC29" i="2"/>
  <c r="AB35" i="2"/>
  <c r="AB20" i="2"/>
  <c r="AB36" i="2" s="1"/>
  <c r="AF3" i="2"/>
  <c r="AE7" i="2"/>
  <c r="AE30" i="2" s="1"/>
  <c r="AE26" i="2"/>
  <c r="AC34" i="2"/>
  <c r="AA37" i="2"/>
  <c r="AA24" i="2"/>
  <c r="AE4" i="2"/>
  <c r="AD8" i="2"/>
  <c r="AD31" i="2" s="1"/>
  <c r="AD27" i="2"/>
  <c r="AD9" i="2" l="1"/>
  <c r="AD10" i="2" s="1"/>
  <c r="AD13" i="2" s="1"/>
  <c r="AD35" i="2" s="1"/>
  <c r="AD19" i="2"/>
  <c r="AF4" i="2"/>
  <c r="AF6" i="2" s="1"/>
  <c r="AE8" i="2"/>
  <c r="AE9" i="2" s="1"/>
  <c r="AE27" i="2"/>
  <c r="AE31" i="2"/>
  <c r="AF26" i="2"/>
  <c r="AF7" i="2"/>
  <c r="AC35" i="2"/>
  <c r="AC19" i="2"/>
  <c r="AE6" i="2"/>
  <c r="AB22" i="2"/>
  <c r="AF12" i="2" l="1"/>
  <c r="AF34" i="2" s="1"/>
  <c r="AF29" i="2"/>
  <c r="AE12" i="2"/>
  <c r="AE29" i="2"/>
  <c r="AE10" i="2"/>
  <c r="AE13" i="2"/>
  <c r="AE34" i="2"/>
  <c r="AF8" i="2"/>
  <c r="AF31" i="2" s="1"/>
  <c r="AF27" i="2"/>
  <c r="AB37" i="2"/>
  <c r="AB24" i="2"/>
  <c r="AC20" i="2"/>
  <c r="AC36" i="2" s="1"/>
  <c r="AC22" i="2"/>
  <c r="AD20" i="2"/>
  <c r="AD36" i="2" s="1"/>
  <c r="AF30" i="2"/>
  <c r="AF9" i="2" l="1"/>
  <c r="AF10" i="2" s="1"/>
  <c r="AF13" i="2" s="1"/>
  <c r="AF35" i="2" s="1"/>
  <c r="AF19" i="2"/>
  <c r="AE35" i="2"/>
  <c r="AE19" i="2"/>
  <c r="AD22" i="2"/>
  <c r="AC24" i="2"/>
  <c r="AC37" i="2"/>
  <c r="AD37" i="2" l="1"/>
  <c r="AD24" i="2"/>
  <c r="AE20" i="2"/>
  <c r="AE36" i="2" s="1"/>
  <c r="AE22" i="2"/>
  <c r="AF20" i="2"/>
  <c r="AF36" i="2" s="1"/>
  <c r="AF22" i="2" l="1"/>
  <c r="AE24" i="2"/>
  <c r="AE37" i="2"/>
  <c r="AF24" i="2" l="1"/>
  <c r="AG22" i="2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CO22" i="2" s="1"/>
  <c r="CP22" i="2" s="1"/>
  <c r="CQ22" i="2" s="1"/>
  <c r="CR22" i="2" s="1"/>
  <c r="CS22" i="2" s="1"/>
  <c r="CT22" i="2" s="1"/>
  <c r="CU22" i="2" s="1"/>
  <c r="CV22" i="2" s="1"/>
  <c r="CW22" i="2" s="1"/>
  <c r="CX22" i="2" s="1"/>
  <c r="CY22" i="2" s="1"/>
  <c r="CZ22" i="2" s="1"/>
  <c r="DA22" i="2" s="1"/>
  <c r="DB22" i="2" s="1"/>
  <c r="DC22" i="2" s="1"/>
  <c r="DD22" i="2" s="1"/>
  <c r="DE22" i="2" s="1"/>
  <c r="DF22" i="2" s="1"/>
  <c r="DG22" i="2" s="1"/>
  <c r="DH22" i="2" s="1"/>
  <c r="DI22" i="2" s="1"/>
  <c r="DJ22" i="2" s="1"/>
  <c r="DK22" i="2" s="1"/>
  <c r="DL22" i="2" s="1"/>
  <c r="DM22" i="2" s="1"/>
  <c r="DN22" i="2" s="1"/>
  <c r="DO22" i="2" s="1"/>
  <c r="DP22" i="2" s="1"/>
  <c r="DQ22" i="2" s="1"/>
  <c r="DR22" i="2" s="1"/>
  <c r="DS22" i="2" s="1"/>
  <c r="DT22" i="2" s="1"/>
  <c r="DU22" i="2" s="1"/>
  <c r="DV22" i="2" s="1"/>
  <c r="DW22" i="2" s="1"/>
  <c r="DX22" i="2" s="1"/>
  <c r="DY22" i="2" s="1"/>
  <c r="DZ22" i="2" s="1"/>
  <c r="EA22" i="2" s="1"/>
  <c r="EB22" i="2" s="1"/>
  <c r="EC22" i="2" s="1"/>
  <c r="ED22" i="2" s="1"/>
  <c r="EE22" i="2" s="1"/>
  <c r="EF22" i="2" s="1"/>
  <c r="EG22" i="2" s="1"/>
  <c r="EH22" i="2" s="1"/>
  <c r="EI22" i="2" s="1"/>
  <c r="EJ22" i="2" s="1"/>
  <c r="EK22" i="2" s="1"/>
  <c r="EL22" i="2" s="1"/>
  <c r="EM22" i="2" s="1"/>
  <c r="AJ30" i="2" s="1"/>
  <c r="AJ32" i="2" s="1"/>
  <c r="AJ33" i="2" s="1"/>
  <c r="AJ35" i="2" s="1"/>
  <c r="AF37" i="2"/>
</calcChain>
</file>

<file path=xl/sharedStrings.xml><?xml version="1.0" encoding="utf-8"?>
<sst xmlns="http://schemas.openxmlformats.org/spreadsheetml/2006/main" count="70" uniqueCount="65">
  <si>
    <t>TXT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</si>
  <si>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</si>
  <si>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</si>
  <si>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</si>
  <si>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</si>
  <si>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</si>
  <si>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</si>
  <si>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</si>
  <si>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</si>
  <si>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</si>
  <si>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</si>
  <si>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</si>
  <si>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Product revenue</t>
  </si>
  <si>
    <t>Service revenue</t>
  </si>
  <si>
    <t>Finance revenue</t>
  </si>
  <si>
    <t>Total revenue</t>
  </si>
  <si>
    <t>Product cost</t>
  </si>
  <si>
    <t>Service cost</t>
  </si>
  <si>
    <t>Total cost of sales</t>
  </si>
  <si>
    <t>Gross profit</t>
  </si>
  <si>
    <t>R&amp;D</t>
  </si>
  <si>
    <t>S&amp;M</t>
  </si>
  <si>
    <t>Operating profit</t>
  </si>
  <si>
    <t>Interest expense</t>
  </si>
  <si>
    <t>Other expense</t>
  </si>
  <si>
    <t>Pension income</t>
  </si>
  <si>
    <t>Pretax profit</t>
  </si>
  <si>
    <t>Taxes</t>
  </si>
  <si>
    <t>MI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</si>
  <si>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</si>
  <si>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</si>
  <si>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</si>
  <si>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</si>
  <si>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</si>
  <si>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</si>
  <si>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</si>
  <si>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</si>
  <si>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</si>
  <si>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</si>
  <si>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</si>
  <si>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</si>
  <si>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</si>
  <si>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Total operating expense</t>
  </si>
  <si>
    <t>Gross Margin</t>
  </si>
  <si>
    <t>Product revenue y/y</t>
  </si>
  <si>
    <t>Service revenue y/y</t>
  </si>
  <si>
    <t>Finance revenue y/y</t>
  </si>
  <si>
    <t>Product Margin</t>
  </si>
  <si>
    <t>Service Margin</t>
  </si>
  <si>
    <t>R&amp;D y/y</t>
  </si>
  <si>
    <t>S&amp;M Margin</t>
  </si>
  <si>
    <t>Operating Margin</t>
  </si>
  <si>
    <t>Net Margin</t>
  </si>
  <si>
    <t>Restructuring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</si>
  <si>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</si>
  <si>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</si>
  <si>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</si>
  <si>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</si>
  <si>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</si>
  <si>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</si>
  <si>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</si>
  <si>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</si>
  <si>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</si>
  <si>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Fairly valued</t>
  </si>
  <si>
    <t>Revenue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</si>
</sst>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30480</xdr:colOff>
      <xdr:row>0</xdr:row>
      <xdr:rowOff>0</xdr:rowOff>
    </xdr:from>
    <xdr:to>
      <xdr:col>12</xdr:col>
      <xdr:colOff>30480</xdr:colOff>
      <xdr:row>43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A33743-82ED-3EA5-E9C0-25A45D458B6D}"/>
            </a:ext>
          </a:extLst>
        </xdr:cNvPr>
        <xdr:cNvCxnSpPr/>
      </xdr:nvCxnSpPr>
      <xdr:spPr>
        <a:xfrm>
          <a:off x="8161020" y="0"/>
          <a:ext cx="0" cy="7604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7620</xdr:rowOff>
    </xdr:from>
    <xdr:to>
      <xdr:col>21</xdr:col>
      <xdr:colOff>38100</xdr:colOff>
      <xdr:row>43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C11F25E-ABA9-2023-2CDF-29F261AB932B}"/>
            </a:ext>
          </a:extLst>
        </xdr:cNvPr>
        <xdr:cNvCxnSpPr/>
      </xdr:nvCxnSpPr>
      <xdr:spPr>
        <a:xfrm>
          <a:off x="13655040" y="7620"/>
          <a:ext cx="0" cy="7597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8912-EEFA-42C6-83E8-ED57D022B3D8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7">
        <f>78.45</f>
        <v>78.45</v>
      </c>
      <c r="E3" s="5">
        <v>45867</v>
      </c>
      <c r="F3" s="5">
        <f ca="1">TODAY()</f>
        <v>45898</v>
      </c>
      <c r="G3" s="5">
        <v>45953</v>
      </c>
    </row>
    <row r="4" spans="2:7" x14ac:dyDescent="0.3">
      <c r="C4" s="1" t="s">
        <v>2</v>
      </c>
      <c r="D4" s="6">
        <v>178.2</v>
      </c>
      <c r="E4" s="4" t="s">
        <v>11</v>
      </c>
    </row>
    <row r="5" spans="2:7" x14ac:dyDescent="0.3">
      <c r="C5" s="1" t="s">
        <v>3</v>
      </c>
      <c r="D5" s="6">
        <f>D3*D4</f>
        <v>13979.789999999999</v>
      </c>
    </row>
    <row r="6" spans="2:7" x14ac:dyDescent="0.3">
      <c r="C6" s="1" t="s">
        <v>4</v>
      </c>
      <c r="D6" s="6">
        <f>1352+82</f>
        <v>1434</v>
      </c>
      <c r="E6" s="4" t="s">
        <v>11</v>
      </c>
    </row>
    <row r="7" spans="2:7" x14ac:dyDescent="0.3">
      <c r="C7" s="1" t="s">
        <v>5</v>
      </c>
      <c r="D7" s="6">
        <f>356+3038+340</f>
        <v>3734</v>
      </c>
      <c r="E7" s="4" t="s">
        <v>11</v>
      </c>
    </row>
    <row r="8" spans="2:7" x14ac:dyDescent="0.3">
      <c r="C8" s="1" t="s">
        <v>6</v>
      </c>
      <c r="D8" s="6">
        <f>D6-D7</f>
        <v>-2300</v>
      </c>
    </row>
    <row r="9" spans="2:7" x14ac:dyDescent="0.3">
      <c r="C9" s="1" t="s">
        <v>7</v>
      </c>
      <c r="D9" s="6">
        <f>D5-D8</f>
        <v>16279.789999999999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FA5CA-858D-4D33-97A4-C210F9582581}">
  <dimension ref="B2:EM37"/>
  <sheetViews>
    <sheetView tabSelected="1" workbookViewId="0">
      <pane xSplit="2" ySplit="2" topLeftCell="AF10" activePane="bottomRight" state="frozen"/>
      <selection pane="topRight" activeCell="C1" sqref="C1"/>
      <selection pane="bottomLeft" activeCell="A3" sqref="A3"/>
      <selection pane="bottomRight" activeCell="T32" sqref="T32"/>
    </sheetView>
  </sheetViews>
  <sheetFormatPr defaultRowHeight="14.4" x14ac:dyDescent="0.3"/>
  <cols>
    <col min="1" max="1" width="8.88671875" style="1"/>
    <col min="2" max="2" width="20.77734375" style="1" bestFit="1" customWidth="1"/>
    <col min="3" max="34" width="8.88671875" style="1"/>
    <col min="35" max="35" width="11.88671875" style="1" bestFit="1" customWidth="1"/>
    <col min="36" max="36" width="13.21875" style="1" customWidth="1"/>
    <col min="37" max="16384" width="8.88671875" style="1"/>
  </cols>
  <sheetData>
    <row r="2" spans="2:32" x14ac:dyDescent="0.3">
      <c r="C2" s="3" t="s">
        <v>31</v>
      </c>
      <c r="D2" s="3" t="s">
        <v>32</v>
      </c>
      <c r="E2" s="3" t="s">
        <v>33</v>
      </c>
      <c r="F2" s="3" t="s">
        <v>34</v>
      </c>
      <c r="G2" s="3" t="s">
        <v>35</v>
      </c>
      <c r="H2" s="3" t="s">
        <v>36</v>
      </c>
      <c r="I2" s="3" t="s">
        <v>37</v>
      </c>
      <c r="J2" s="3" t="s">
        <v>38</v>
      </c>
      <c r="K2" s="3" t="s">
        <v>39</v>
      </c>
      <c r="L2" s="3" t="s">
        <v>11</v>
      </c>
      <c r="M2" s="3" t="s">
        <v>40</v>
      </c>
      <c r="N2" s="3" t="s">
        <v>41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x14ac:dyDescent="0.3">
      <c r="B3" s="1" t="s">
        <v>12</v>
      </c>
      <c r="E3" s="6">
        <v>2791</v>
      </c>
      <c r="G3" s="6">
        <v>2432</v>
      </c>
      <c r="H3" s="6">
        <v>2842</v>
      </c>
      <c r="I3" s="6">
        <v>2955</v>
      </c>
      <c r="J3" s="6">
        <f>U3-I3-H3-G3</f>
        <v>3146</v>
      </c>
      <c r="K3" s="6">
        <v>2771</v>
      </c>
      <c r="L3" s="6">
        <v>3197</v>
      </c>
      <c r="M3" s="6">
        <f>I3*1.1</f>
        <v>3250.5000000000005</v>
      </c>
      <c r="N3" s="6">
        <f>J3*1.08</f>
        <v>3397.6800000000003</v>
      </c>
      <c r="P3" s="6">
        <v>11690</v>
      </c>
      <c r="Q3" s="6">
        <v>9720</v>
      </c>
      <c r="R3" s="6">
        <v>10541</v>
      </c>
      <c r="S3" s="6">
        <v>10945</v>
      </c>
      <c r="T3" s="6">
        <v>11573</v>
      </c>
      <c r="U3" s="6">
        <v>11375</v>
      </c>
      <c r="V3" s="6">
        <f>SUM(K3:N3)</f>
        <v>12616.18</v>
      </c>
      <c r="W3" s="6">
        <f>V3*1.08</f>
        <v>13625.474400000001</v>
      </c>
      <c r="X3" s="6">
        <f>W3*1.05</f>
        <v>14306.748120000002</v>
      </c>
      <c r="Y3" s="6">
        <f>X3*1.04</f>
        <v>14879.018044800003</v>
      </c>
      <c r="Z3" s="6">
        <f>Y3*1.03</f>
        <v>15325.388586144003</v>
      </c>
      <c r="AA3" s="6">
        <f>Z3*1.02</f>
        <v>15631.896357866883</v>
      </c>
      <c r="AB3" s="6">
        <f t="shared" ref="AB3:AF3" si="0">AA3*1.02</f>
        <v>15944.534285024221</v>
      </c>
      <c r="AC3" s="6">
        <f t="shared" si="0"/>
        <v>16263.424970724705</v>
      </c>
      <c r="AD3" s="6">
        <f t="shared" si="0"/>
        <v>16588.693470139198</v>
      </c>
      <c r="AE3" s="6">
        <f t="shared" si="0"/>
        <v>16920.467339541981</v>
      </c>
      <c r="AF3" s="6">
        <f t="shared" si="0"/>
        <v>17258.87668633282</v>
      </c>
    </row>
    <row r="4" spans="2:32" x14ac:dyDescent="0.3">
      <c r="B4" s="1" t="s">
        <v>13</v>
      </c>
      <c r="E4" s="6">
        <v>539</v>
      </c>
      <c r="G4" s="6">
        <v>688</v>
      </c>
      <c r="H4" s="6">
        <v>673</v>
      </c>
      <c r="I4" s="6">
        <v>460</v>
      </c>
      <c r="J4" s="6">
        <f>U4-I4-H4-G4</f>
        <v>456</v>
      </c>
      <c r="K4" s="6">
        <v>519</v>
      </c>
      <c r="L4" s="6">
        <v>504</v>
      </c>
      <c r="M4" s="6">
        <f>I4*1.12</f>
        <v>515.20000000000005</v>
      </c>
      <c r="N4" s="6">
        <f>J4*1.15</f>
        <v>524.4</v>
      </c>
      <c r="P4" s="6">
        <v>1874</v>
      </c>
      <c r="Q4" s="6">
        <v>1876</v>
      </c>
      <c r="R4" s="6">
        <v>1792</v>
      </c>
      <c r="S4" s="6">
        <v>1872</v>
      </c>
      <c r="T4" s="6">
        <v>2055</v>
      </c>
      <c r="U4" s="6">
        <v>2277</v>
      </c>
      <c r="V4" s="6">
        <f t="shared" ref="V4:V5" si="1">SUM(K4:N4)</f>
        <v>2062.6</v>
      </c>
      <c r="W4" s="6">
        <f>V4*1.04</f>
        <v>2145.1039999999998</v>
      </c>
      <c r="X4" s="6">
        <f>W4*1.03</f>
        <v>2209.45712</v>
      </c>
      <c r="Y4" s="6">
        <f>X4*1.02</f>
        <v>2253.6462624000001</v>
      </c>
      <c r="Z4" s="6">
        <f t="shared" ref="Z4:AF4" si="2">Y4*1.02</f>
        <v>2298.7191876480001</v>
      </c>
      <c r="AA4" s="6">
        <f t="shared" si="2"/>
        <v>2344.6935714009601</v>
      </c>
      <c r="AB4" s="6">
        <f t="shared" si="2"/>
        <v>2391.5874428289794</v>
      </c>
      <c r="AC4" s="6">
        <f t="shared" si="2"/>
        <v>2439.4191916855589</v>
      </c>
      <c r="AD4" s="6">
        <f t="shared" si="2"/>
        <v>2488.20757551927</v>
      </c>
      <c r="AE4" s="6">
        <f t="shared" si="2"/>
        <v>2537.9717270296555</v>
      </c>
      <c r="AF4" s="6">
        <f t="shared" si="2"/>
        <v>2588.7311615702488</v>
      </c>
    </row>
    <row r="5" spans="2:32" x14ac:dyDescent="0.3">
      <c r="B5" s="1" t="s">
        <v>14</v>
      </c>
      <c r="E5" s="6">
        <v>13</v>
      </c>
      <c r="G5" s="6">
        <v>15</v>
      </c>
      <c r="H5" s="6">
        <v>12</v>
      </c>
      <c r="I5" s="6">
        <v>12</v>
      </c>
      <c r="J5" s="6">
        <f>U5-I5-H5-G5</f>
        <v>11</v>
      </c>
      <c r="K5" s="6">
        <v>16</v>
      </c>
      <c r="L5" s="6">
        <v>15</v>
      </c>
      <c r="M5" s="6">
        <v>15</v>
      </c>
      <c r="N5" s="6">
        <v>15</v>
      </c>
      <c r="P5" s="6">
        <v>66</v>
      </c>
      <c r="Q5" s="6">
        <v>55</v>
      </c>
      <c r="R5" s="6">
        <v>49</v>
      </c>
      <c r="S5" s="6">
        <v>52</v>
      </c>
      <c r="T5" s="6">
        <v>55</v>
      </c>
      <c r="U5" s="6">
        <v>50</v>
      </c>
      <c r="V5" s="6">
        <f t="shared" si="1"/>
        <v>61</v>
      </c>
      <c r="W5" s="6">
        <f>V5*1.06</f>
        <v>64.66</v>
      </c>
      <c r="X5" s="6">
        <f t="shared" ref="X5:AF5" si="3">W5*1.06</f>
        <v>68.539599999999993</v>
      </c>
      <c r="Y5" s="6">
        <f t="shared" si="3"/>
        <v>72.651975999999991</v>
      </c>
      <c r="Z5" s="6">
        <f t="shared" si="3"/>
        <v>77.011094559999989</v>
      </c>
      <c r="AA5" s="6">
        <f t="shared" si="3"/>
        <v>81.631760233599991</v>
      </c>
      <c r="AB5" s="6">
        <f t="shared" si="3"/>
        <v>86.529665847615988</v>
      </c>
      <c r="AC5" s="6">
        <f t="shared" si="3"/>
        <v>91.721445798472956</v>
      </c>
      <c r="AD5" s="6">
        <f t="shared" si="3"/>
        <v>97.224732546381333</v>
      </c>
      <c r="AE5" s="6">
        <f t="shared" si="3"/>
        <v>103.05821649916422</v>
      </c>
      <c r="AF5" s="6">
        <f t="shared" si="3"/>
        <v>109.24170948911407</v>
      </c>
    </row>
    <row r="6" spans="2:32" s="2" customFormat="1" x14ac:dyDescent="0.3">
      <c r="B6" s="2" t="s">
        <v>15</v>
      </c>
      <c r="E6" s="9">
        <f>SUM(E3:E5)</f>
        <v>3343</v>
      </c>
      <c r="G6" s="9">
        <f t="shared" ref="G6:L6" si="4">SUM(G3:G5)</f>
        <v>3135</v>
      </c>
      <c r="H6" s="9">
        <f t="shared" si="4"/>
        <v>3527</v>
      </c>
      <c r="I6" s="9">
        <f t="shared" si="4"/>
        <v>3427</v>
      </c>
      <c r="J6" s="9">
        <f t="shared" si="4"/>
        <v>3613</v>
      </c>
      <c r="K6" s="9">
        <f t="shared" si="4"/>
        <v>3306</v>
      </c>
      <c r="L6" s="9">
        <f t="shared" si="4"/>
        <v>3716</v>
      </c>
      <c r="M6" s="9">
        <f t="shared" ref="M6:N6" si="5">SUM(M3:M5)</f>
        <v>3780.7000000000007</v>
      </c>
      <c r="N6" s="9">
        <f t="shared" si="5"/>
        <v>3937.0800000000004</v>
      </c>
      <c r="P6" s="9">
        <f t="shared" ref="P6:V6" si="6">SUM(P3:P5)</f>
        <v>13630</v>
      </c>
      <c r="Q6" s="9">
        <f t="shared" si="6"/>
        <v>11651</v>
      </c>
      <c r="R6" s="9">
        <f t="shared" si="6"/>
        <v>12382</v>
      </c>
      <c r="S6" s="9">
        <f t="shared" si="6"/>
        <v>12869</v>
      </c>
      <c r="T6" s="9">
        <f t="shared" si="6"/>
        <v>13683</v>
      </c>
      <c r="U6" s="9">
        <f t="shared" si="6"/>
        <v>13702</v>
      </c>
      <c r="V6" s="9">
        <f t="shared" si="6"/>
        <v>14739.78</v>
      </c>
      <c r="W6" s="9">
        <f t="shared" ref="W6:AF6" si="7">SUM(W3:W5)</f>
        <v>15835.2384</v>
      </c>
      <c r="X6" s="9">
        <f t="shared" si="7"/>
        <v>16584.744840000003</v>
      </c>
      <c r="Y6" s="9">
        <f t="shared" si="7"/>
        <v>17205.316283200005</v>
      </c>
      <c r="Z6" s="9">
        <f t="shared" si="7"/>
        <v>17701.118868352001</v>
      </c>
      <c r="AA6" s="9">
        <f t="shared" si="7"/>
        <v>18058.221689501443</v>
      </c>
      <c r="AB6" s="9">
        <f t="shared" si="7"/>
        <v>18422.651393700817</v>
      </c>
      <c r="AC6" s="9">
        <f t="shared" si="7"/>
        <v>18794.565608208737</v>
      </c>
      <c r="AD6" s="9">
        <f t="shared" si="7"/>
        <v>19174.125778204849</v>
      </c>
      <c r="AE6" s="9">
        <f t="shared" si="7"/>
        <v>19561.497283070803</v>
      </c>
      <c r="AF6" s="9">
        <f t="shared" si="7"/>
        <v>19956.849557392183</v>
      </c>
    </row>
    <row r="7" spans="2:32" x14ac:dyDescent="0.3">
      <c r="B7" s="1" t="s">
        <v>16</v>
      </c>
      <c r="E7" s="6">
        <v>2355</v>
      </c>
      <c r="G7" s="6">
        <v>1925</v>
      </c>
      <c r="H7" s="6">
        <v>2281</v>
      </c>
      <c r="I7" s="6">
        <v>2587</v>
      </c>
      <c r="J7" s="6">
        <f>U7-I7-H7-G7</f>
        <v>2610</v>
      </c>
      <c r="K7" s="6">
        <v>2277</v>
      </c>
      <c r="L7" s="6">
        <v>2630</v>
      </c>
      <c r="M7" s="6">
        <f>M3*0.82</f>
        <v>2665.4100000000003</v>
      </c>
      <c r="N7" s="6">
        <f>N3*0.82</f>
        <v>2786.0976000000001</v>
      </c>
      <c r="P7" s="6">
        <v>9982</v>
      </c>
      <c r="Q7" s="6">
        <v>8715</v>
      </c>
      <c r="R7" s="6">
        <v>8955</v>
      </c>
      <c r="S7" s="6">
        <v>8787</v>
      </c>
      <c r="T7" s="6">
        <v>9206</v>
      </c>
      <c r="U7" s="6">
        <v>9403</v>
      </c>
      <c r="V7" s="6">
        <f t="shared" ref="V7:V8" si="8">SUM(K7:N7)</f>
        <v>10358.507600000001</v>
      </c>
      <c r="W7" s="6">
        <f>W3*0.81</f>
        <v>11036.634264000002</v>
      </c>
      <c r="X7" s="6">
        <f>X3*0.8</f>
        <v>11445.398496000002</v>
      </c>
      <c r="Y7" s="6">
        <f t="shared" ref="Y7:AF7" si="9">Y3*0.8</f>
        <v>11903.214435840004</v>
      </c>
      <c r="Z7" s="6">
        <f t="shared" si="9"/>
        <v>12260.310868915203</v>
      </c>
      <c r="AA7" s="6">
        <f t="shared" si="9"/>
        <v>12505.517086293507</v>
      </c>
      <c r="AB7" s="6">
        <f t="shared" si="9"/>
        <v>12755.627428019377</v>
      </c>
      <c r="AC7" s="6">
        <f t="shared" si="9"/>
        <v>13010.739976579765</v>
      </c>
      <c r="AD7" s="6">
        <f t="shared" si="9"/>
        <v>13270.954776111359</v>
      </c>
      <c r="AE7" s="6">
        <f t="shared" si="9"/>
        <v>13536.373871633587</v>
      </c>
      <c r="AF7" s="6">
        <f t="shared" si="9"/>
        <v>13807.101349066257</v>
      </c>
    </row>
    <row r="8" spans="2:32" x14ac:dyDescent="0.3">
      <c r="B8" s="1" t="s">
        <v>17</v>
      </c>
      <c r="E8" s="6">
        <v>424</v>
      </c>
      <c r="G8" s="6">
        <v>545</v>
      </c>
      <c r="H8" s="6">
        <v>553</v>
      </c>
      <c r="I8" s="6">
        <v>348</v>
      </c>
      <c r="J8" s="6">
        <f>U8-I8-H8-G8</f>
        <v>351</v>
      </c>
      <c r="K8" s="6">
        <v>395</v>
      </c>
      <c r="L8" s="6">
        <v>377</v>
      </c>
      <c r="M8" s="6">
        <f>M4*0.75</f>
        <v>386.40000000000003</v>
      </c>
      <c r="N8" s="6">
        <f>N4*0.75</f>
        <v>393.29999999999995</v>
      </c>
      <c r="P8" s="6">
        <v>1424</v>
      </c>
      <c r="Q8" s="6">
        <v>1379</v>
      </c>
      <c r="R8" s="6">
        <v>1342</v>
      </c>
      <c r="S8" s="6">
        <v>1412</v>
      </c>
      <c r="T8" s="6">
        <v>1629</v>
      </c>
      <c r="U8" s="6">
        <v>1797</v>
      </c>
      <c r="V8" s="6">
        <f t="shared" si="8"/>
        <v>1551.7</v>
      </c>
      <c r="W8" s="6">
        <f>W4*0.75</f>
        <v>1608.828</v>
      </c>
      <c r="X8" s="6">
        <f t="shared" ref="X8:AF8" si="10">X4*0.75</f>
        <v>1657.09284</v>
      </c>
      <c r="Y8" s="6">
        <f t="shared" si="10"/>
        <v>1690.2346968000002</v>
      </c>
      <c r="Z8" s="6">
        <f t="shared" si="10"/>
        <v>1724.0393907360001</v>
      </c>
      <c r="AA8" s="6">
        <f t="shared" si="10"/>
        <v>1758.5201785507202</v>
      </c>
      <c r="AB8" s="6">
        <f t="shared" si="10"/>
        <v>1793.6905821217347</v>
      </c>
      <c r="AC8" s="6">
        <f t="shared" si="10"/>
        <v>1829.5643937641692</v>
      </c>
      <c r="AD8" s="6">
        <f t="shared" si="10"/>
        <v>1866.1556816394525</v>
      </c>
      <c r="AE8" s="6">
        <f t="shared" si="10"/>
        <v>1903.4787952722418</v>
      </c>
      <c r="AF8" s="6">
        <f t="shared" si="10"/>
        <v>1941.5483711776865</v>
      </c>
    </row>
    <row r="9" spans="2:32" x14ac:dyDescent="0.3">
      <c r="B9" s="1" t="s">
        <v>18</v>
      </c>
      <c r="E9" s="6">
        <f>SUM(E7:E8)</f>
        <v>2779</v>
      </c>
      <c r="G9" s="6">
        <f t="shared" ref="G9:L9" si="11">SUM(G7:G8)</f>
        <v>2470</v>
      </c>
      <c r="H9" s="6">
        <f t="shared" si="11"/>
        <v>2834</v>
      </c>
      <c r="I9" s="6">
        <f t="shared" si="11"/>
        <v>2935</v>
      </c>
      <c r="J9" s="6">
        <f t="shared" si="11"/>
        <v>2961</v>
      </c>
      <c r="K9" s="6">
        <f t="shared" si="11"/>
        <v>2672</v>
      </c>
      <c r="L9" s="6">
        <f t="shared" si="11"/>
        <v>3007</v>
      </c>
      <c r="M9" s="6">
        <f t="shared" ref="M9:N9" si="12">SUM(M7:M8)</f>
        <v>3051.8100000000004</v>
      </c>
      <c r="N9" s="6">
        <f t="shared" si="12"/>
        <v>3179.3976000000002</v>
      </c>
      <c r="P9" s="6">
        <f t="shared" ref="P9:V9" si="13">SUM(P7:P8)</f>
        <v>11406</v>
      </c>
      <c r="Q9" s="6">
        <f t="shared" si="13"/>
        <v>10094</v>
      </c>
      <c r="R9" s="6">
        <f t="shared" si="13"/>
        <v>10297</v>
      </c>
      <c r="S9" s="6">
        <f t="shared" si="13"/>
        <v>10199</v>
      </c>
      <c r="T9" s="6">
        <f t="shared" si="13"/>
        <v>10835</v>
      </c>
      <c r="U9" s="6">
        <f t="shared" si="13"/>
        <v>11200</v>
      </c>
      <c r="V9" s="6">
        <f t="shared" si="13"/>
        <v>11910.207600000002</v>
      </c>
      <c r="W9" s="6">
        <f t="shared" ref="W9:AF9" si="14">SUM(W7:W8)</f>
        <v>12645.462264000002</v>
      </c>
      <c r="X9" s="6">
        <f t="shared" si="14"/>
        <v>13102.491336000001</v>
      </c>
      <c r="Y9" s="6">
        <f t="shared" si="14"/>
        <v>13593.449132640004</v>
      </c>
      <c r="Z9" s="6">
        <f t="shared" si="14"/>
        <v>13984.350259651203</v>
      </c>
      <c r="AA9" s="6">
        <f t="shared" si="14"/>
        <v>14264.037264844226</v>
      </c>
      <c r="AB9" s="6">
        <f t="shared" si="14"/>
        <v>14549.318010141113</v>
      </c>
      <c r="AC9" s="6">
        <f t="shared" si="14"/>
        <v>14840.304370343934</v>
      </c>
      <c r="AD9" s="6">
        <f t="shared" si="14"/>
        <v>15137.110457750812</v>
      </c>
      <c r="AE9" s="6">
        <f t="shared" si="14"/>
        <v>15439.852666905828</v>
      </c>
      <c r="AF9" s="6">
        <f t="shared" si="14"/>
        <v>15748.649720243944</v>
      </c>
    </row>
    <row r="10" spans="2:32" s="2" customFormat="1" x14ac:dyDescent="0.3">
      <c r="B10" s="2" t="s">
        <v>19</v>
      </c>
      <c r="E10" s="9">
        <f>E6-E9</f>
        <v>564</v>
      </c>
      <c r="G10" s="9">
        <f t="shared" ref="G10:L10" si="15">G6-G9</f>
        <v>665</v>
      </c>
      <c r="H10" s="9">
        <f t="shared" si="15"/>
        <v>693</v>
      </c>
      <c r="I10" s="9">
        <f t="shared" si="15"/>
        <v>492</v>
      </c>
      <c r="J10" s="9">
        <f t="shared" si="15"/>
        <v>652</v>
      </c>
      <c r="K10" s="9">
        <f t="shared" si="15"/>
        <v>634</v>
      </c>
      <c r="L10" s="9">
        <f t="shared" si="15"/>
        <v>709</v>
      </c>
      <c r="M10" s="9">
        <f t="shared" ref="M10:N10" si="16">M6-M9</f>
        <v>728.89000000000033</v>
      </c>
      <c r="N10" s="9">
        <f t="shared" si="16"/>
        <v>757.68240000000014</v>
      </c>
      <c r="P10" s="9">
        <f t="shared" ref="P10:V10" si="17">P6-P9</f>
        <v>2224</v>
      </c>
      <c r="Q10" s="9">
        <f t="shared" si="17"/>
        <v>1557</v>
      </c>
      <c r="R10" s="9">
        <f t="shared" si="17"/>
        <v>2085</v>
      </c>
      <c r="S10" s="9">
        <f t="shared" si="17"/>
        <v>2670</v>
      </c>
      <c r="T10" s="9">
        <f t="shared" si="17"/>
        <v>2848</v>
      </c>
      <c r="U10" s="9">
        <f t="shared" si="17"/>
        <v>2502</v>
      </c>
      <c r="V10" s="9">
        <f t="shared" si="17"/>
        <v>2829.5723999999991</v>
      </c>
      <c r="W10" s="9">
        <f t="shared" ref="W10:AF10" si="18">W6-W9</f>
        <v>3189.7761359999986</v>
      </c>
      <c r="X10" s="9">
        <f t="shared" si="18"/>
        <v>3482.2535040000021</v>
      </c>
      <c r="Y10" s="9">
        <f t="shared" si="18"/>
        <v>3611.8671505600014</v>
      </c>
      <c r="Z10" s="9">
        <f t="shared" si="18"/>
        <v>3716.7686087007987</v>
      </c>
      <c r="AA10" s="9">
        <f t="shared" si="18"/>
        <v>3794.1844246572164</v>
      </c>
      <c r="AB10" s="9">
        <f t="shared" si="18"/>
        <v>3873.3333835597041</v>
      </c>
      <c r="AC10" s="9">
        <f t="shared" si="18"/>
        <v>3954.2612378648028</v>
      </c>
      <c r="AD10" s="9">
        <f t="shared" si="18"/>
        <v>4037.0153204540366</v>
      </c>
      <c r="AE10" s="9">
        <f t="shared" si="18"/>
        <v>4121.6446161649747</v>
      </c>
      <c r="AF10" s="9">
        <f t="shared" si="18"/>
        <v>4208.1998371482387</v>
      </c>
    </row>
    <row r="11" spans="2:32" x14ac:dyDescent="0.3">
      <c r="B11" s="1" t="s">
        <v>20</v>
      </c>
      <c r="E11" s="6"/>
      <c r="G11" s="6">
        <v>144</v>
      </c>
      <c r="H11" s="6">
        <v>105</v>
      </c>
      <c r="I11" s="6"/>
      <c r="J11" s="6"/>
      <c r="K11" s="6">
        <v>132</v>
      </c>
      <c r="L11" s="6">
        <f>137</f>
        <v>137</v>
      </c>
      <c r="M11" s="6">
        <v>140</v>
      </c>
      <c r="N11" s="6">
        <v>150</v>
      </c>
      <c r="P11" s="6"/>
      <c r="Q11" s="6"/>
      <c r="R11" s="6"/>
      <c r="S11" s="6">
        <v>601</v>
      </c>
      <c r="T11" s="6">
        <v>570</v>
      </c>
      <c r="U11" s="6">
        <v>491</v>
      </c>
      <c r="V11" s="6">
        <f t="shared" ref="V11:V12" si="19">SUM(K11:N11)</f>
        <v>559</v>
      </c>
      <c r="W11" s="6">
        <f>V11*1.08</f>
        <v>603.72</v>
      </c>
      <c r="X11" s="6">
        <f>W11*1.05</f>
        <v>633.90600000000006</v>
      </c>
      <c r="Y11" s="6">
        <f>X11*1.03</f>
        <v>652.92318000000012</v>
      </c>
      <c r="Z11" s="6">
        <f>Y11*1.02</f>
        <v>665.9816436000001</v>
      </c>
      <c r="AA11" s="6">
        <f t="shared" ref="AA11:AF11" si="20">Z11*1.02</f>
        <v>679.30127647200015</v>
      </c>
      <c r="AB11" s="6">
        <f t="shared" si="20"/>
        <v>692.88730200144016</v>
      </c>
      <c r="AC11" s="6">
        <f t="shared" si="20"/>
        <v>706.74504804146898</v>
      </c>
      <c r="AD11" s="6">
        <f t="shared" si="20"/>
        <v>720.87994900229842</v>
      </c>
      <c r="AE11" s="6">
        <f t="shared" si="20"/>
        <v>735.29754798234444</v>
      </c>
      <c r="AF11" s="6">
        <f t="shared" si="20"/>
        <v>750.00349894199132</v>
      </c>
    </row>
    <row r="12" spans="2:32" x14ac:dyDescent="0.3">
      <c r="B12" s="1" t="s">
        <v>21</v>
      </c>
      <c r="E12" s="6">
        <v>303</v>
      </c>
      <c r="G12" s="6">
        <v>316</v>
      </c>
      <c r="H12" s="6">
        <v>293</v>
      </c>
      <c r="I12" s="6">
        <v>282</v>
      </c>
      <c r="J12" s="6">
        <f>U12-I12-H12-G12</f>
        <v>265</v>
      </c>
      <c r="K12" s="6">
        <v>298</v>
      </c>
      <c r="L12" s="6">
        <v>303</v>
      </c>
      <c r="M12" s="6">
        <f>M6*0.08</f>
        <v>302.45600000000007</v>
      </c>
      <c r="N12" s="6">
        <f t="shared" ref="N12" si="21">N6*0.08</f>
        <v>314.96640000000002</v>
      </c>
      <c r="P12" s="6">
        <v>1152</v>
      </c>
      <c r="Q12" s="6">
        <v>1045</v>
      </c>
      <c r="R12" s="6">
        <v>1221</v>
      </c>
      <c r="S12" s="6">
        <v>1186</v>
      </c>
      <c r="T12" s="6">
        <v>1225</v>
      </c>
      <c r="U12" s="6">
        <v>1156</v>
      </c>
      <c r="V12" s="6">
        <f t="shared" si="19"/>
        <v>1218.4224000000002</v>
      </c>
      <c r="W12" s="6">
        <f>W6*0.08</f>
        <v>1266.819072</v>
      </c>
      <c r="X12" s="6">
        <f t="shared" ref="X12:AF12" si="22">X6*0.08</f>
        <v>1326.7795872000004</v>
      </c>
      <c r="Y12" s="6">
        <f t="shared" si="22"/>
        <v>1376.4253026560004</v>
      </c>
      <c r="Z12" s="6">
        <f t="shared" si="22"/>
        <v>1416.08950946816</v>
      </c>
      <c r="AA12" s="6">
        <f t="shared" si="22"/>
        <v>1444.6577351601154</v>
      </c>
      <c r="AB12" s="6">
        <f t="shared" si="22"/>
        <v>1473.8121114960654</v>
      </c>
      <c r="AC12" s="6">
        <f t="shared" si="22"/>
        <v>1503.5652486566989</v>
      </c>
      <c r="AD12" s="6">
        <f t="shared" si="22"/>
        <v>1533.9300622563878</v>
      </c>
      <c r="AE12" s="6">
        <f t="shared" si="22"/>
        <v>1564.9197826456643</v>
      </c>
      <c r="AF12" s="6">
        <f t="shared" si="22"/>
        <v>1596.5479645913747</v>
      </c>
    </row>
    <row r="13" spans="2:32" s="2" customFormat="1" x14ac:dyDescent="0.3">
      <c r="B13" s="2" t="s">
        <v>22</v>
      </c>
      <c r="E13" s="9">
        <f>E10-E11-E12</f>
        <v>261</v>
      </c>
      <c r="G13" s="9">
        <f t="shared" ref="G13:L13" si="23">G10-G11-G12</f>
        <v>205</v>
      </c>
      <c r="H13" s="9">
        <f t="shared" si="23"/>
        <v>295</v>
      </c>
      <c r="I13" s="9">
        <f t="shared" si="23"/>
        <v>210</v>
      </c>
      <c r="J13" s="9">
        <f t="shared" si="23"/>
        <v>387</v>
      </c>
      <c r="K13" s="9">
        <f t="shared" si="23"/>
        <v>204</v>
      </c>
      <c r="L13" s="9">
        <f t="shared" si="23"/>
        <v>269</v>
      </c>
      <c r="M13" s="9">
        <f t="shared" ref="M13:N13" si="24">M10-M11-M12</f>
        <v>286.43400000000025</v>
      </c>
      <c r="N13" s="9">
        <f t="shared" si="24"/>
        <v>292.71600000000012</v>
      </c>
      <c r="P13" s="9">
        <f t="shared" ref="P13:W13" si="25">P10-P11-P12</f>
        <v>1072</v>
      </c>
      <c r="Q13" s="9">
        <f t="shared" si="25"/>
        <v>512</v>
      </c>
      <c r="R13" s="9">
        <f t="shared" si="25"/>
        <v>864</v>
      </c>
      <c r="S13" s="9">
        <f t="shared" si="25"/>
        <v>883</v>
      </c>
      <c r="T13" s="9">
        <f t="shared" si="25"/>
        <v>1053</v>
      </c>
      <c r="U13" s="9">
        <f t="shared" si="25"/>
        <v>855</v>
      </c>
      <c r="V13" s="9">
        <f t="shared" si="25"/>
        <v>1052.149999999999</v>
      </c>
      <c r="W13" s="9">
        <f t="shared" si="25"/>
        <v>1319.2370639999983</v>
      </c>
      <c r="X13" s="9">
        <f t="shared" ref="X13:AF13" si="26">X10-X11-X12</f>
        <v>1521.5679168000017</v>
      </c>
      <c r="Y13" s="9">
        <f t="shared" si="26"/>
        <v>1582.5186679040007</v>
      </c>
      <c r="Z13" s="9">
        <f t="shared" si="26"/>
        <v>1634.6974556326386</v>
      </c>
      <c r="AA13" s="9">
        <f t="shared" si="26"/>
        <v>1670.2254130251008</v>
      </c>
      <c r="AB13" s="9">
        <f t="shared" si="26"/>
        <v>1706.6339700621984</v>
      </c>
      <c r="AC13" s="9">
        <f t="shared" si="26"/>
        <v>1743.9509411666347</v>
      </c>
      <c r="AD13" s="9">
        <f t="shared" si="26"/>
        <v>1782.2053091953503</v>
      </c>
      <c r="AE13" s="9">
        <f t="shared" si="26"/>
        <v>1821.4272855369659</v>
      </c>
      <c r="AF13" s="9">
        <f t="shared" si="26"/>
        <v>1861.6483736148725</v>
      </c>
    </row>
    <row r="14" spans="2:32" x14ac:dyDescent="0.3">
      <c r="B14" s="1" t="s">
        <v>23</v>
      </c>
      <c r="E14" s="6">
        <v>19</v>
      </c>
      <c r="G14" s="6">
        <v>20</v>
      </c>
      <c r="H14" s="6">
        <v>25</v>
      </c>
      <c r="I14" s="6">
        <v>26</v>
      </c>
      <c r="J14" s="6">
        <f t="shared" ref="J14:J16" si="27">U14-I14-H14-G14</f>
        <v>26</v>
      </c>
      <c r="K14" s="6">
        <v>29</v>
      </c>
      <c r="L14" s="6">
        <v>31</v>
      </c>
      <c r="M14" s="6">
        <v>32</v>
      </c>
      <c r="N14" s="6">
        <v>33</v>
      </c>
      <c r="P14" s="6">
        <v>171</v>
      </c>
      <c r="Q14" s="6">
        <v>166</v>
      </c>
      <c r="R14" s="6">
        <v>142</v>
      </c>
      <c r="S14" s="6">
        <v>107</v>
      </c>
      <c r="T14" s="6">
        <v>77</v>
      </c>
      <c r="U14" s="6">
        <v>97</v>
      </c>
      <c r="V14" s="6">
        <f t="shared" ref="V14:V16" si="28">SUM(K14:N14)</f>
        <v>125</v>
      </c>
      <c r="W14" s="6">
        <f>V14*1.03</f>
        <v>128.75</v>
      </c>
      <c r="X14" s="6">
        <f t="shared" ref="X14:AF14" si="29">W14*1.03</f>
        <v>132.61250000000001</v>
      </c>
      <c r="Y14" s="6">
        <f t="shared" si="29"/>
        <v>136.59087500000001</v>
      </c>
      <c r="Z14" s="6">
        <f t="shared" si="29"/>
        <v>140.68860125</v>
      </c>
      <c r="AA14" s="6">
        <f t="shared" si="29"/>
        <v>144.90925928750002</v>
      </c>
      <c r="AB14" s="6">
        <f t="shared" si="29"/>
        <v>149.25653706612502</v>
      </c>
      <c r="AC14" s="6">
        <f t="shared" si="29"/>
        <v>153.73423317810878</v>
      </c>
      <c r="AD14" s="6">
        <f t="shared" si="29"/>
        <v>158.34626017345204</v>
      </c>
      <c r="AE14" s="6">
        <f t="shared" si="29"/>
        <v>163.0966479786556</v>
      </c>
      <c r="AF14" s="6">
        <f t="shared" si="29"/>
        <v>167.98954741801526</v>
      </c>
    </row>
    <row r="15" spans="2:32" x14ac:dyDescent="0.3">
      <c r="B15" s="1" t="s">
        <v>24</v>
      </c>
      <c r="E15" s="6">
        <v>0</v>
      </c>
      <c r="G15" s="6">
        <v>14</v>
      </c>
      <c r="H15" s="6">
        <v>13</v>
      </c>
      <c r="I15" s="6">
        <v>-2</v>
      </c>
      <c r="J15" s="6">
        <f t="shared" si="27"/>
        <v>53</v>
      </c>
      <c r="K15" s="6">
        <v>0</v>
      </c>
      <c r="L15" s="6">
        <v>4</v>
      </c>
      <c r="M15" s="6">
        <v>0</v>
      </c>
      <c r="N15" s="6">
        <v>0</v>
      </c>
      <c r="P15" s="6">
        <v>72</v>
      </c>
      <c r="Q15" s="6">
        <v>147</v>
      </c>
      <c r="R15" s="6">
        <v>25</v>
      </c>
      <c r="S15" s="6">
        <v>0</v>
      </c>
      <c r="T15" s="6">
        <v>126</v>
      </c>
      <c r="U15" s="6">
        <v>78</v>
      </c>
      <c r="V15" s="6">
        <f t="shared" si="28"/>
        <v>4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</row>
    <row r="16" spans="2:32" x14ac:dyDescent="0.3">
      <c r="B16" s="1" t="s">
        <v>25</v>
      </c>
      <c r="E16" s="6">
        <v>-59</v>
      </c>
      <c r="G16" s="6">
        <v>-66</v>
      </c>
      <c r="H16" s="6">
        <v>-66</v>
      </c>
      <c r="I16" s="6">
        <v>-66</v>
      </c>
      <c r="J16" s="6">
        <f t="shared" si="27"/>
        <v>-65</v>
      </c>
      <c r="K16" s="6">
        <v>-66</v>
      </c>
      <c r="L16" s="6">
        <v>-67</v>
      </c>
      <c r="M16" s="6">
        <v>-67</v>
      </c>
      <c r="N16" s="6">
        <v>-67</v>
      </c>
      <c r="P16" s="6">
        <v>-113</v>
      </c>
      <c r="Q16" s="6">
        <v>-83</v>
      </c>
      <c r="R16" s="6">
        <v>-159</v>
      </c>
      <c r="S16" s="6">
        <v>-240</v>
      </c>
      <c r="T16" s="6">
        <v>-237</v>
      </c>
      <c r="U16" s="6">
        <v>-263</v>
      </c>
      <c r="V16" s="6">
        <f t="shared" si="28"/>
        <v>-267</v>
      </c>
      <c r="W16" s="6">
        <f>V16*1.03</f>
        <v>-275.01</v>
      </c>
      <c r="X16" s="6">
        <f t="shared" ref="X16:AF16" si="30">W16*1.03</f>
        <v>-283.26029999999997</v>
      </c>
      <c r="Y16" s="6">
        <f t="shared" si="30"/>
        <v>-291.75810899999999</v>
      </c>
      <c r="Z16" s="6">
        <f t="shared" si="30"/>
        <v>-300.51085226999999</v>
      </c>
      <c r="AA16" s="6">
        <f t="shared" si="30"/>
        <v>-309.52617783810001</v>
      </c>
      <c r="AB16" s="6">
        <f t="shared" si="30"/>
        <v>-318.81196317324304</v>
      </c>
      <c r="AC16" s="6">
        <f t="shared" si="30"/>
        <v>-328.37632206844034</v>
      </c>
      <c r="AD16" s="6">
        <f t="shared" si="30"/>
        <v>-338.22761173049355</v>
      </c>
      <c r="AE16" s="6">
        <f t="shared" si="30"/>
        <v>-348.37444008240834</v>
      </c>
      <c r="AF16" s="6">
        <f t="shared" si="30"/>
        <v>-358.82567328488062</v>
      </c>
    </row>
    <row r="17" spans="2:143" x14ac:dyDescent="0.3">
      <c r="B17" s="1" t="s">
        <v>53</v>
      </c>
      <c r="E17" s="6"/>
      <c r="G17" s="6"/>
      <c r="H17" s="6"/>
      <c r="I17" s="6"/>
      <c r="J17" s="6"/>
      <c r="K17" s="6"/>
      <c r="L17" s="6"/>
      <c r="M17" s="6"/>
      <c r="N17" s="6"/>
      <c r="P17" s="6">
        <v>0</v>
      </c>
      <c r="Q17" s="6">
        <v>0</v>
      </c>
      <c r="R17" s="6">
        <v>-17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</row>
    <row r="18" spans="2:143" x14ac:dyDescent="0.3">
      <c r="B18" s="1" t="s">
        <v>42</v>
      </c>
      <c r="E18" s="6">
        <f t="shared" ref="E18" si="31">SUM(E14:E17)</f>
        <v>-40</v>
      </c>
      <c r="G18" s="6">
        <f>SUM(G14:G17)</f>
        <v>-32</v>
      </c>
      <c r="H18" s="6">
        <f>SUM(H14:H17)</f>
        <v>-28</v>
      </c>
      <c r="I18" s="6">
        <f t="shared" ref="I18:L18" si="32">SUM(I14:I17)</f>
        <v>-42</v>
      </c>
      <c r="J18" s="6">
        <f t="shared" si="32"/>
        <v>14</v>
      </c>
      <c r="K18" s="6">
        <f t="shared" si="32"/>
        <v>-37</v>
      </c>
      <c r="L18" s="6">
        <f t="shared" si="32"/>
        <v>-32</v>
      </c>
      <c r="M18" s="6">
        <f t="shared" ref="M18" si="33">SUM(M14:M17)</f>
        <v>-35</v>
      </c>
      <c r="N18" s="6">
        <f t="shared" ref="N18" si="34">SUM(N14:N17)</f>
        <v>-34</v>
      </c>
      <c r="P18" s="6">
        <f t="shared" ref="P18:W18" si="35">SUM(P14:P17)</f>
        <v>130</v>
      </c>
      <c r="Q18" s="6">
        <f t="shared" si="35"/>
        <v>230</v>
      </c>
      <c r="R18" s="6">
        <f t="shared" si="35"/>
        <v>-9</v>
      </c>
      <c r="S18" s="6">
        <f t="shared" si="35"/>
        <v>-133</v>
      </c>
      <c r="T18" s="6">
        <f t="shared" si="35"/>
        <v>-34</v>
      </c>
      <c r="U18" s="6">
        <f t="shared" si="35"/>
        <v>-88</v>
      </c>
      <c r="V18" s="6">
        <f t="shared" si="35"/>
        <v>-138</v>
      </c>
      <c r="W18" s="6">
        <f t="shared" si="35"/>
        <v>-146.26</v>
      </c>
      <c r="X18" s="6">
        <f t="shared" ref="X18" si="36">SUM(X14:X17)</f>
        <v>-150.64779999999996</v>
      </c>
      <c r="Y18" s="6">
        <f t="shared" ref="Y18" si="37">SUM(Y14:Y17)</f>
        <v>-155.16723399999998</v>
      </c>
      <c r="Z18" s="6">
        <f t="shared" ref="Z18" si="38">SUM(Z14:Z17)</f>
        <v>-159.82225101999998</v>
      </c>
      <c r="AA18" s="6">
        <f t="shared" ref="AA18" si="39">SUM(AA14:AA17)</f>
        <v>-164.61691855059999</v>
      </c>
      <c r="AB18" s="6">
        <f t="shared" ref="AB18" si="40">SUM(AB14:AB17)</f>
        <v>-169.55542610711802</v>
      </c>
      <c r="AC18" s="6">
        <f t="shared" ref="AC18" si="41">SUM(AC14:AC17)</f>
        <v>-174.64208889033156</v>
      </c>
      <c r="AD18" s="6">
        <f t="shared" ref="AD18" si="42">SUM(AD14:AD17)</f>
        <v>-179.88135155704151</v>
      </c>
      <c r="AE18" s="6">
        <f t="shared" ref="AE18" si="43">SUM(AE14:AE17)</f>
        <v>-185.27779210375274</v>
      </c>
      <c r="AF18" s="6">
        <f t="shared" ref="AF18" si="44">SUM(AF14:AF17)</f>
        <v>-190.83612586686536</v>
      </c>
    </row>
    <row r="19" spans="2:143" s="2" customFormat="1" x14ac:dyDescent="0.3">
      <c r="B19" s="2" t="s">
        <v>26</v>
      </c>
      <c r="E19" s="9">
        <f t="shared" ref="E19" si="45">E13-E18</f>
        <v>301</v>
      </c>
      <c r="G19" s="9">
        <f>G13-G18</f>
        <v>237</v>
      </c>
      <c r="H19" s="9">
        <f>H13-H18</f>
        <v>323</v>
      </c>
      <c r="I19" s="9">
        <f t="shared" ref="I19:L19" si="46">I13-I18</f>
        <v>252</v>
      </c>
      <c r="J19" s="9">
        <f t="shared" si="46"/>
        <v>373</v>
      </c>
      <c r="K19" s="9">
        <f t="shared" si="46"/>
        <v>241</v>
      </c>
      <c r="L19" s="9">
        <f t="shared" si="46"/>
        <v>301</v>
      </c>
      <c r="M19" s="9">
        <f t="shared" ref="M19" si="47">M13-M18</f>
        <v>321.43400000000025</v>
      </c>
      <c r="N19" s="9">
        <f t="shared" ref="N19" si="48">N13-N18</f>
        <v>326.71600000000012</v>
      </c>
      <c r="P19" s="9">
        <f t="shared" ref="P19:R19" si="49">P13-P18</f>
        <v>942</v>
      </c>
      <c r="Q19" s="9">
        <f t="shared" si="49"/>
        <v>282</v>
      </c>
      <c r="R19" s="9">
        <f t="shared" si="49"/>
        <v>873</v>
      </c>
      <c r="S19" s="9">
        <f t="shared" ref="S19" si="50">S13-S18</f>
        <v>1016</v>
      </c>
      <c r="T19" s="9">
        <f t="shared" ref="T19" si="51">T13-T18</f>
        <v>1087</v>
      </c>
      <c r="U19" s="9">
        <f t="shared" ref="U19:W19" si="52">U13-U18</f>
        <v>943</v>
      </c>
      <c r="V19" s="9">
        <f t="shared" si="52"/>
        <v>1190.149999999999</v>
      </c>
      <c r="W19" s="9">
        <f t="shared" si="52"/>
        <v>1465.4970639999983</v>
      </c>
      <c r="X19" s="9">
        <f t="shared" ref="X19" si="53">X13-X18</f>
        <v>1672.2157168000017</v>
      </c>
      <c r="Y19" s="9">
        <f t="shared" ref="Y19" si="54">Y13-Y18</f>
        <v>1737.6859019040007</v>
      </c>
      <c r="Z19" s="9">
        <f t="shared" ref="Z19" si="55">Z13-Z18</f>
        <v>1794.5197066526387</v>
      </c>
      <c r="AA19" s="9">
        <f t="shared" ref="AA19" si="56">AA13-AA18</f>
        <v>1834.8423315757009</v>
      </c>
      <c r="AB19" s="9">
        <f t="shared" ref="AB19" si="57">AB13-AB18</f>
        <v>1876.1893961693163</v>
      </c>
      <c r="AC19" s="9">
        <f t="shared" ref="AC19" si="58">AC13-AC18</f>
        <v>1918.5930300569662</v>
      </c>
      <c r="AD19" s="9">
        <f t="shared" ref="AD19" si="59">AD13-AD18</f>
        <v>1962.0866607523917</v>
      </c>
      <c r="AE19" s="9">
        <f t="shared" ref="AE19" si="60">AE13-AE18</f>
        <v>2006.7050776407186</v>
      </c>
      <c r="AF19" s="9">
        <f t="shared" ref="AF19" si="61">AF13-AF18</f>
        <v>2052.4844994817377</v>
      </c>
    </row>
    <row r="20" spans="2:143" x14ac:dyDescent="0.3">
      <c r="B20" s="1" t="s">
        <v>27</v>
      </c>
      <c r="E20" s="6">
        <v>32</v>
      </c>
      <c r="G20" s="6">
        <v>36</v>
      </c>
      <c r="H20" s="6">
        <v>63</v>
      </c>
      <c r="I20" s="6">
        <v>29</v>
      </c>
      <c r="J20" s="6">
        <f>U20-I20-H20-G20</f>
        <v>-10</v>
      </c>
      <c r="K20" s="6">
        <v>34</v>
      </c>
      <c r="L20" s="6">
        <v>56</v>
      </c>
      <c r="M20" s="6">
        <f>M19*0.14</f>
        <v>45.000760000000042</v>
      </c>
      <c r="N20" s="6">
        <f>N19*0.14</f>
        <v>45.740240000000021</v>
      </c>
      <c r="P20" s="6">
        <v>127</v>
      </c>
      <c r="Q20" s="6">
        <v>-27</v>
      </c>
      <c r="R20" s="6">
        <v>126</v>
      </c>
      <c r="S20" s="6">
        <v>154</v>
      </c>
      <c r="T20" s="6">
        <v>165</v>
      </c>
      <c r="U20" s="6">
        <v>118</v>
      </c>
      <c r="V20" s="6">
        <f t="shared" ref="V20:V21" si="62">SUM(K20:N20)</f>
        <v>180.74100000000007</v>
      </c>
      <c r="W20" s="6">
        <f>W19*0.14</f>
        <v>205.16958895999977</v>
      </c>
      <c r="X20" s="6">
        <f t="shared" ref="X20:AF20" si="63">X19*0.14</f>
        <v>234.11020035200025</v>
      </c>
      <c r="Y20" s="6">
        <f t="shared" si="63"/>
        <v>243.27602626656014</v>
      </c>
      <c r="Z20" s="6">
        <f t="shared" si="63"/>
        <v>251.23275893136943</v>
      </c>
      <c r="AA20" s="6">
        <f t="shared" si="63"/>
        <v>256.87792642059816</v>
      </c>
      <c r="AB20" s="6">
        <f t="shared" si="63"/>
        <v>262.66651546370429</v>
      </c>
      <c r="AC20" s="6">
        <f t="shared" si="63"/>
        <v>268.6030242079753</v>
      </c>
      <c r="AD20" s="6">
        <f t="shared" si="63"/>
        <v>274.69213250533488</v>
      </c>
      <c r="AE20" s="6">
        <f t="shared" si="63"/>
        <v>280.93871086970063</v>
      </c>
      <c r="AF20" s="6">
        <f t="shared" si="63"/>
        <v>287.34782992744329</v>
      </c>
    </row>
    <row r="21" spans="2:143" x14ac:dyDescent="0.3">
      <c r="B21" s="1" t="s">
        <v>28</v>
      </c>
      <c r="E21" s="6">
        <v>0</v>
      </c>
      <c r="G21" s="6">
        <v>0</v>
      </c>
      <c r="H21" s="6">
        <v>1</v>
      </c>
      <c r="I21" s="6">
        <v>0</v>
      </c>
      <c r="J21" s="6">
        <f>U21-I21-H21-G21</f>
        <v>0</v>
      </c>
      <c r="K21" s="6">
        <v>0</v>
      </c>
      <c r="L21" s="6">
        <v>0</v>
      </c>
      <c r="M21" s="6">
        <v>0</v>
      </c>
      <c r="N21" s="6">
        <v>0</v>
      </c>
      <c r="P21" s="6">
        <v>0</v>
      </c>
      <c r="Q21" s="6">
        <v>0</v>
      </c>
      <c r="R21" s="6">
        <v>1</v>
      </c>
      <c r="S21" s="6">
        <v>1</v>
      </c>
      <c r="T21" s="6">
        <v>1</v>
      </c>
      <c r="U21" s="6">
        <v>1</v>
      </c>
      <c r="V21" s="6">
        <f t="shared" si="62"/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</row>
    <row r="22" spans="2:143" s="2" customFormat="1" x14ac:dyDescent="0.3">
      <c r="B22" s="2" t="s">
        <v>29</v>
      </c>
      <c r="E22" s="9">
        <f>E19-E20-E21</f>
        <v>269</v>
      </c>
      <c r="G22" s="9">
        <f t="shared" ref="G22:L22" si="64">G19-G20-G21</f>
        <v>201</v>
      </c>
      <c r="H22" s="9">
        <f t="shared" si="64"/>
        <v>259</v>
      </c>
      <c r="I22" s="9">
        <f t="shared" si="64"/>
        <v>223</v>
      </c>
      <c r="J22" s="9">
        <f t="shared" si="64"/>
        <v>383</v>
      </c>
      <c r="K22" s="9">
        <f t="shared" si="64"/>
        <v>207</v>
      </c>
      <c r="L22" s="9">
        <f t="shared" si="64"/>
        <v>245</v>
      </c>
      <c r="M22" s="9">
        <f t="shared" ref="M22:N22" si="65">M19-M20-M21</f>
        <v>276.43324000000018</v>
      </c>
      <c r="N22" s="9">
        <f t="shared" si="65"/>
        <v>280.97576000000009</v>
      </c>
      <c r="P22" s="9">
        <f t="shared" ref="P22:W22" si="66">P19-P20-P21</f>
        <v>815</v>
      </c>
      <c r="Q22" s="9">
        <f t="shared" si="66"/>
        <v>309</v>
      </c>
      <c r="R22" s="9">
        <f t="shared" si="66"/>
        <v>746</v>
      </c>
      <c r="S22" s="9">
        <f t="shared" si="66"/>
        <v>861</v>
      </c>
      <c r="T22" s="9">
        <f t="shared" si="66"/>
        <v>921</v>
      </c>
      <c r="U22" s="9">
        <f t="shared" si="66"/>
        <v>824</v>
      </c>
      <c r="V22" s="9">
        <f t="shared" si="66"/>
        <v>1009.4089999999989</v>
      </c>
      <c r="W22" s="9">
        <f t="shared" si="66"/>
        <v>1260.3274750399985</v>
      </c>
      <c r="X22" s="9">
        <f t="shared" ref="X22:AF22" si="67">X19-X20-X21</f>
        <v>1438.1055164480015</v>
      </c>
      <c r="Y22" s="9">
        <f t="shared" si="67"/>
        <v>1494.4098756374406</v>
      </c>
      <c r="Z22" s="9">
        <f t="shared" si="67"/>
        <v>1543.2869477212691</v>
      </c>
      <c r="AA22" s="9">
        <f t="shared" si="67"/>
        <v>1577.9644051551027</v>
      </c>
      <c r="AB22" s="9">
        <f t="shared" si="67"/>
        <v>1613.5228807056119</v>
      </c>
      <c r="AC22" s="9">
        <f t="shared" si="67"/>
        <v>1649.9900058489909</v>
      </c>
      <c r="AD22" s="9">
        <f t="shared" si="67"/>
        <v>1687.3945282470568</v>
      </c>
      <c r="AE22" s="9">
        <f t="shared" si="67"/>
        <v>1725.7663667710181</v>
      </c>
      <c r="AF22" s="9">
        <f t="shared" si="67"/>
        <v>1765.1366695542943</v>
      </c>
      <c r="AG22" s="2">
        <f>AF22*(1+$AJ$28)</f>
        <v>1747.4853028587513</v>
      </c>
      <c r="AH22" s="2">
        <f t="shared" ref="AH22:CS22" si="68">AG22*(1+$AJ$28)</f>
        <v>1730.0104498301637</v>
      </c>
      <c r="AI22" s="2">
        <f t="shared" si="68"/>
        <v>1712.7103453318621</v>
      </c>
      <c r="AJ22" s="2">
        <f t="shared" si="68"/>
        <v>1695.5832418785435</v>
      </c>
      <c r="AK22" s="2">
        <f t="shared" si="68"/>
        <v>1678.6274094597582</v>
      </c>
      <c r="AL22" s="2">
        <f t="shared" si="68"/>
        <v>1661.8411353651607</v>
      </c>
      <c r="AM22" s="2">
        <f t="shared" si="68"/>
        <v>1645.2227240115089</v>
      </c>
      <c r="AN22" s="2">
        <f t="shared" si="68"/>
        <v>1628.7704967713939</v>
      </c>
      <c r="AO22" s="2">
        <f t="shared" si="68"/>
        <v>1612.4827918036799</v>
      </c>
      <c r="AP22" s="2">
        <f t="shared" si="68"/>
        <v>1596.3579638856431</v>
      </c>
      <c r="AQ22" s="2">
        <f t="shared" si="68"/>
        <v>1580.3943842467868</v>
      </c>
      <c r="AR22" s="2">
        <f t="shared" si="68"/>
        <v>1564.590440404319</v>
      </c>
      <c r="AS22" s="2">
        <f t="shared" si="68"/>
        <v>1548.9445360002758</v>
      </c>
      <c r="AT22" s="2">
        <f t="shared" si="68"/>
        <v>1533.4550906402731</v>
      </c>
      <c r="AU22" s="2">
        <f t="shared" si="68"/>
        <v>1518.1205397338704</v>
      </c>
      <c r="AV22" s="2">
        <f t="shared" si="68"/>
        <v>1502.9393343365316</v>
      </c>
      <c r="AW22" s="2">
        <f t="shared" si="68"/>
        <v>1487.9099409931662</v>
      </c>
      <c r="AX22" s="2">
        <f t="shared" si="68"/>
        <v>1473.0308415832344</v>
      </c>
      <c r="AY22" s="2">
        <f t="shared" si="68"/>
        <v>1458.3005331674021</v>
      </c>
      <c r="AZ22" s="2">
        <f t="shared" si="68"/>
        <v>1443.7175278357281</v>
      </c>
      <c r="BA22" s="2">
        <f t="shared" si="68"/>
        <v>1429.2803525573709</v>
      </c>
      <c r="BB22" s="2">
        <f t="shared" si="68"/>
        <v>1414.9875490317972</v>
      </c>
      <c r="BC22" s="2">
        <f t="shared" si="68"/>
        <v>1400.8376735414793</v>
      </c>
      <c r="BD22" s="2">
        <f t="shared" si="68"/>
        <v>1386.8292968060643</v>
      </c>
      <c r="BE22" s="2">
        <f t="shared" si="68"/>
        <v>1372.9610038380038</v>
      </c>
      <c r="BF22" s="2">
        <f t="shared" si="68"/>
        <v>1359.2313937996237</v>
      </c>
      <c r="BG22" s="2">
        <f t="shared" si="68"/>
        <v>1345.6390798616274</v>
      </c>
      <c r="BH22" s="2">
        <f t="shared" si="68"/>
        <v>1332.1826890630111</v>
      </c>
      <c r="BI22" s="2">
        <f t="shared" si="68"/>
        <v>1318.8608621723811</v>
      </c>
      <c r="BJ22" s="2">
        <f t="shared" si="68"/>
        <v>1305.6722535506572</v>
      </c>
      <c r="BK22" s="2">
        <f t="shared" si="68"/>
        <v>1292.6155310151505</v>
      </c>
      <c r="BL22" s="2">
        <f t="shared" si="68"/>
        <v>1279.6893757049991</v>
      </c>
      <c r="BM22" s="2">
        <f t="shared" si="68"/>
        <v>1266.8924819479491</v>
      </c>
      <c r="BN22" s="2">
        <f t="shared" si="68"/>
        <v>1254.2235571284696</v>
      </c>
      <c r="BO22" s="2">
        <f t="shared" si="68"/>
        <v>1241.6813215571849</v>
      </c>
      <c r="BP22" s="2">
        <f t="shared" si="68"/>
        <v>1229.264508341613</v>
      </c>
      <c r="BQ22" s="2">
        <f t="shared" si="68"/>
        <v>1216.9718632581969</v>
      </c>
      <c r="BR22" s="2">
        <f t="shared" si="68"/>
        <v>1204.8021446256148</v>
      </c>
      <c r="BS22" s="2">
        <f t="shared" si="68"/>
        <v>1192.7541231793587</v>
      </c>
      <c r="BT22" s="2">
        <f t="shared" si="68"/>
        <v>1180.826581947565</v>
      </c>
      <c r="BU22" s="2">
        <f t="shared" si="68"/>
        <v>1169.0183161280893</v>
      </c>
      <c r="BV22" s="2">
        <f t="shared" si="68"/>
        <v>1157.3281329668084</v>
      </c>
      <c r="BW22" s="2">
        <f t="shared" si="68"/>
        <v>1145.7548516371403</v>
      </c>
      <c r="BX22" s="2">
        <f t="shared" si="68"/>
        <v>1134.2973031207689</v>
      </c>
      <c r="BY22" s="2">
        <f t="shared" si="68"/>
        <v>1122.9543300895612</v>
      </c>
      <c r="BZ22" s="2">
        <f t="shared" si="68"/>
        <v>1111.7247867886656</v>
      </c>
      <c r="CA22" s="2">
        <f t="shared" si="68"/>
        <v>1100.607538920779</v>
      </c>
      <c r="CB22" s="2">
        <f t="shared" si="68"/>
        <v>1089.6014635315712</v>
      </c>
      <c r="CC22" s="2">
        <f t="shared" si="68"/>
        <v>1078.7054488962556</v>
      </c>
      <c r="CD22" s="2">
        <f t="shared" si="68"/>
        <v>1067.9183944072929</v>
      </c>
      <c r="CE22" s="2">
        <f t="shared" si="68"/>
        <v>1057.2392104632199</v>
      </c>
      <c r="CF22" s="2">
        <f t="shared" si="68"/>
        <v>1046.6668183585878</v>
      </c>
      <c r="CG22" s="2">
        <f t="shared" si="68"/>
        <v>1036.2001501750019</v>
      </c>
      <c r="CH22" s="2">
        <f t="shared" si="68"/>
        <v>1025.8381486732519</v>
      </c>
      <c r="CI22" s="2">
        <f t="shared" si="68"/>
        <v>1015.5797671865193</v>
      </c>
      <c r="CJ22" s="2">
        <f t="shared" si="68"/>
        <v>1005.4239695146541</v>
      </c>
      <c r="CK22" s="2">
        <f t="shared" si="68"/>
        <v>995.3697298195076</v>
      </c>
      <c r="CL22" s="2">
        <f t="shared" si="68"/>
        <v>985.41603252131256</v>
      </c>
      <c r="CM22" s="2">
        <f t="shared" si="68"/>
        <v>975.56187219609944</v>
      </c>
      <c r="CN22" s="2">
        <f t="shared" si="68"/>
        <v>965.80625347413843</v>
      </c>
      <c r="CO22" s="2">
        <f t="shared" si="68"/>
        <v>956.14819093939707</v>
      </c>
      <c r="CP22" s="2">
        <f t="shared" si="68"/>
        <v>946.58670903000314</v>
      </c>
      <c r="CQ22" s="2">
        <f t="shared" si="68"/>
        <v>937.12084193970304</v>
      </c>
      <c r="CR22" s="2">
        <f t="shared" si="68"/>
        <v>927.74963352030602</v>
      </c>
      <c r="CS22" s="2">
        <f t="shared" si="68"/>
        <v>918.47213718510295</v>
      </c>
      <c r="CT22" s="2">
        <f t="shared" ref="CT22:EM22" si="69">CS22*(1+$AJ$28)</f>
        <v>909.28741581325187</v>
      </c>
      <c r="CU22" s="2">
        <f t="shared" si="69"/>
        <v>900.19454165511934</v>
      </c>
      <c r="CV22" s="2">
        <f t="shared" si="69"/>
        <v>891.19259623856817</v>
      </c>
      <c r="CW22" s="2">
        <f t="shared" si="69"/>
        <v>882.28067027618249</v>
      </c>
      <c r="CX22" s="2">
        <f t="shared" si="69"/>
        <v>873.4578635734207</v>
      </c>
      <c r="CY22" s="2">
        <f t="shared" si="69"/>
        <v>864.72328493768646</v>
      </c>
      <c r="CZ22" s="2">
        <f t="shared" si="69"/>
        <v>856.07605208830955</v>
      </c>
      <c r="DA22" s="2">
        <f t="shared" si="69"/>
        <v>847.5152915674264</v>
      </c>
      <c r="DB22" s="2">
        <f t="shared" si="69"/>
        <v>839.04013865175216</v>
      </c>
      <c r="DC22" s="2">
        <f t="shared" si="69"/>
        <v>830.64973726523465</v>
      </c>
      <c r="DD22" s="2">
        <f t="shared" si="69"/>
        <v>822.34323989258235</v>
      </c>
      <c r="DE22" s="2">
        <f t="shared" si="69"/>
        <v>814.11980749365648</v>
      </c>
      <c r="DF22" s="2">
        <f t="shared" si="69"/>
        <v>805.97860941871988</v>
      </c>
      <c r="DG22" s="2">
        <f t="shared" si="69"/>
        <v>797.9188233245327</v>
      </c>
      <c r="DH22" s="2">
        <f t="shared" si="69"/>
        <v>789.93963509128741</v>
      </c>
      <c r="DI22" s="2">
        <f t="shared" si="69"/>
        <v>782.04023874037455</v>
      </c>
      <c r="DJ22" s="2">
        <f t="shared" si="69"/>
        <v>774.21983635297079</v>
      </c>
      <c r="DK22" s="2">
        <f t="shared" si="69"/>
        <v>766.47763798944106</v>
      </c>
      <c r="DL22" s="2">
        <f t="shared" si="69"/>
        <v>758.81286160954664</v>
      </c>
      <c r="DM22" s="2">
        <f t="shared" si="69"/>
        <v>751.2247329934512</v>
      </c>
      <c r="DN22" s="2">
        <f t="shared" si="69"/>
        <v>743.71248566351665</v>
      </c>
      <c r="DO22" s="2">
        <f t="shared" si="69"/>
        <v>736.27536080688151</v>
      </c>
      <c r="DP22" s="2">
        <f t="shared" si="69"/>
        <v>728.91260719881268</v>
      </c>
      <c r="DQ22" s="2">
        <f t="shared" si="69"/>
        <v>721.62348112682457</v>
      </c>
      <c r="DR22" s="2">
        <f t="shared" si="69"/>
        <v>714.40724631555634</v>
      </c>
      <c r="DS22" s="2">
        <f t="shared" si="69"/>
        <v>707.26317385240077</v>
      </c>
      <c r="DT22" s="2">
        <f t="shared" si="69"/>
        <v>700.19054211387675</v>
      </c>
      <c r="DU22" s="2">
        <f t="shared" si="69"/>
        <v>693.18863669273799</v>
      </c>
      <c r="DV22" s="2">
        <f t="shared" si="69"/>
        <v>686.25675032581057</v>
      </c>
      <c r="DW22" s="2">
        <f t="shared" si="69"/>
        <v>679.39418282255247</v>
      </c>
      <c r="DX22" s="2">
        <f t="shared" si="69"/>
        <v>672.6002409943269</v>
      </c>
      <c r="DY22" s="2">
        <f t="shared" si="69"/>
        <v>665.87423858438365</v>
      </c>
      <c r="DZ22" s="2">
        <f t="shared" si="69"/>
        <v>659.21549619853977</v>
      </c>
      <c r="EA22" s="2">
        <f t="shared" si="69"/>
        <v>652.62334123655432</v>
      </c>
      <c r="EB22" s="2">
        <f t="shared" si="69"/>
        <v>646.09710782418881</v>
      </c>
      <c r="EC22" s="2">
        <f t="shared" si="69"/>
        <v>639.63613674594694</v>
      </c>
      <c r="ED22" s="2">
        <f t="shared" si="69"/>
        <v>633.23977537848748</v>
      </c>
      <c r="EE22" s="2">
        <f t="shared" si="69"/>
        <v>626.90737762470258</v>
      </c>
      <c r="EF22" s="2">
        <f t="shared" si="69"/>
        <v>620.63830384845551</v>
      </c>
      <c r="EG22" s="2">
        <f t="shared" si="69"/>
        <v>614.43192080997096</v>
      </c>
      <c r="EH22" s="2">
        <f t="shared" si="69"/>
        <v>608.2876016018713</v>
      </c>
      <c r="EI22" s="2">
        <f t="shared" si="69"/>
        <v>602.20472558585254</v>
      </c>
      <c r="EJ22" s="2">
        <f t="shared" si="69"/>
        <v>596.18267832999402</v>
      </c>
      <c r="EK22" s="2">
        <f t="shared" si="69"/>
        <v>590.22085154669412</v>
      </c>
      <c r="EL22" s="2">
        <f t="shared" si="69"/>
        <v>584.31864303122723</v>
      </c>
      <c r="EM22" s="2">
        <f t="shared" si="69"/>
        <v>578.47545660091498</v>
      </c>
    </row>
    <row r="23" spans="2:143" x14ac:dyDescent="0.3">
      <c r="B23" s="1" t="s">
        <v>2</v>
      </c>
      <c r="E23" s="6">
        <v>178.2</v>
      </c>
      <c r="G23" s="6">
        <v>178.2</v>
      </c>
      <c r="H23" s="6">
        <v>178.2</v>
      </c>
      <c r="I23" s="6">
        <v>178.2</v>
      </c>
      <c r="J23" s="6">
        <v>178.2</v>
      </c>
      <c r="K23" s="6">
        <v>178.2</v>
      </c>
      <c r="L23" s="6">
        <v>178.2</v>
      </c>
      <c r="M23" s="6">
        <v>178.2</v>
      </c>
      <c r="N23" s="6">
        <v>178.2</v>
      </c>
      <c r="P23" s="6">
        <v>178.2</v>
      </c>
      <c r="Q23" s="6">
        <v>178.2</v>
      </c>
      <c r="R23" s="6">
        <v>178.2</v>
      </c>
      <c r="S23" s="6">
        <v>178.2</v>
      </c>
      <c r="T23" s="6">
        <v>178.2</v>
      </c>
      <c r="U23" s="6">
        <v>178.2</v>
      </c>
      <c r="V23" s="6">
        <v>178.2</v>
      </c>
      <c r="W23" s="6">
        <v>178.2</v>
      </c>
      <c r="X23" s="6">
        <v>178.2</v>
      </c>
      <c r="Y23" s="6">
        <v>178.2</v>
      </c>
      <c r="Z23" s="6">
        <v>178.2</v>
      </c>
      <c r="AA23" s="6">
        <v>178.2</v>
      </c>
      <c r="AB23" s="6">
        <v>178.2</v>
      </c>
      <c r="AC23" s="6">
        <v>178.2</v>
      </c>
      <c r="AD23" s="6">
        <v>178.2</v>
      </c>
      <c r="AE23" s="6">
        <v>178.2</v>
      </c>
      <c r="AF23" s="6">
        <v>178.2</v>
      </c>
    </row>
    <row r="24" spans="2:143" x14ac:dyDescent="0.3">
      <c r="B24" s="1" t="s">
        <v>30</v>
      </c>
      <c r="E24" s="8">
        <f>E22/E23</f>
        <v>1.5095398428731763</v>
      </c>
      <c r="G24" s="8">
        <f t="shared" ref="G24:L24" si="70">G22/G23</f>
        <v>1.127946127946128</v>
      </c>
      <c r="H24" s="8">
        <f t="shared" si="70"/>
        <v>1.4534231200897869</v>
      </c>
      <c r="I24" s="8">
        <f t="shared" si="70"/>
        <v>1.2514029180695849</v>
      </c>
      <c r="J24" s="8">
        <f t="shared" si="70"/>
        <v>2.149270482603816</v>
      </c>
      <c r="K24" s="8">
        <f t="shared" si="70"/>
        <v>1.1616161616161618</v>
      </c>
      <c r="L24" s="8">
        <f t="shared" si="70"/>
        <v>1.3748597081930416</v>
      </c>
      <c r="M24" s="8">
        <f t="shared" ref="M24:N24" si="71">M22/M23</f>
        <v>1.5512527497194175</v>
      </c>
      <c r="N24" s="8">
        <f t="shared" si="71"/>
        <v>1.5767438832772172</v>
      </c>
      <c r="P24" s="8">
        <f t="shared" ref="P24:W24" si="72">P22/P23</f>
        <v>4.5735129068462408</v>
      </c>
      <c r="Q24" s="8">
        <f t="shared" si="72"/>
        <v>1.7340067340067342</v>
      </c>
      <c r="R24" s="8">
        <f t="shared" si="72"/>
        <v>4.1863075196408532</v>
      </c>
      <c r="S24" s="8">
        <f t="shared" si="72"/>
        <v>4.8316498316498322</v>
      </c>
      <c r="T24" s="8">
        <f t="shared" si="72"/>
        <v>5.1683501683501687</v>
      </c>
      <c r="U24" s="8">
        <f t="shared" si="72"/>
        <v>4.624017957351291</v>
      </c>
      <c r="V24" s="8">
        <f t="shared" si="72"/>
        <v>5.6644725028058298</v>
      </c>
      <c r="W24" s="8">
        <f t="shared" si="72"/>
        <v>7.0725447533108783</v>
      </c>
      <c r="X24" s="8">
        <f t="shared" ref="X24:AF24" si="73">X22/X23</f>
        <v>8.070176859977563</v>
      </c>
      <c r="Y24" s="8">
        <f t="shared" si="73"/>
        <v>8.3861384715905753</v>
      </c>
      <c r="Z24" s="8">
        <f t="shared" si="73"/>
        <v>8.6604205820497722</v>
      </c>
      <c r="AA24" s="8">
        <f t="shared" si="73"/>
        <v>8.8550191086144938</v>
      </c>
      <c r="AB24" s="8">
        <f t="shared" si="73"/>
        <v>9.0545616201212802</v>
      </c>
      <c r="AC24" s="8">
        <f t="shared" si="73"/>
        <v>9.2592031753590973</v>
      </c>
      <c r="AD24" s="8">
        <f t="shared" si="73"/>
        <v>9.4691050967848316</v>
      </c>
      <c r="AE24" s="8">
        <f t="shared" si="73"/>
        <v>9.6844352792986435</v>
      </c>
      <c r="AF24" s="8">
        <f t="shared" si="73"/>
        <v>9.905368516017365</v>
      </c>
    </row>
    <row r="26" spans="2:143" x14ac:dyDescent="0.3">
      <c r="B26" s="1" t="s">
        <v>44</v>
      </c>
      <c r="E26" s="10"/>
      <c r="G26" s="10"/>
      <c r="H26" s="10"/>
      <c r="I26" s="10">
        <f t="shared" ref="I26:K29" si="74">I3/E3-1</f>
        <v>5.8760300967395152E-2</v>
      </c>
      <c r="J26" s="10"/>
      <c r="K26" s="10">
        <f t="shared" si="74"/>
        <v>0.13939144736842102</v>
      </c>
      <c r="L26" s="10">
        <f>L3/H3-1</f>
        <v>0.12491203377902882</v>
      </c>
      <c r="M26" s="10">
        <f t="shared" ref="M26:N29" si="75">M3/I3-1</f>
        <v>0.10000000000000009</v>
      </c>
      <c r="N26" s="10">
        <f t="shared" si="75"/>
        <v>8.0000000000000071E-2</v>
      </c>
      <c r="P26" s="10"/>
      <c r="Q26" s="10">
        <f>Q3/P3-1</f>
        <v>-0.16852010265183914</v>
      </c>
      <c r="R26" s="10">
        <f t="shared" ref="R26:AE26" si="76">R3/Q3-1</f>
        <v>8.44650205761317E-2</v>
      </c>
      <c r="S26" s="10">
        <f t="shared" si="76"/>
        <v>3.8326534484394159E-2</v>
      </c>
      <c r="T26" s="10">
        <f t="shared" si="76"/>
        <v>5.7377798081315712E-2</v>
      </c>
      <c r="U26" s="10">
        <f t="shared" si="76"/>
        <v>-1.7108787695498173E-2</v>
      </c>
      <c r="V26" s="10">
        <f t="shared" si="76"/>
        <v>0.10911472527472532</v>
      </c>
      <c r="W26" s="10">
        <f t="shared" si="76"/>
        <v>8.0000000000000071E-2</v>
      </c>
      <c r="X26" s="10">
        <f t="shared" si="76"/>
        <v>5.0000000000000044E-2</v>
      </c>
      <c r="Y26" s="10">
        <f t="shared" si="76"/>
        <v>4.0000000000000036E-2</v>
      </c>
      <c r="Z26" s="10">
        <f t="shared" si="76"/>
        <v>3.0000000000000027E-2</v>
      </c>
      <c r="AA26" s="10">
        <f t="shared" si="76"/>
        <v>2.0000000000000018E-2</v>
      </c>
      <c r="AB26" s="10">
        <f t="shared" si="76"/>
        <v>2.0000000000000018E-2</v>
      </c>
      <c r="AC26" s="10">
        <f t="shared" si="76"/>
        <v>2.0000000000000018E-2</v>
      </c>
      <c r="AD26" s="10">
        <f t="shared" si="76"/>
        <v>2.0000000000000018E-2</v>
      </c>
      <c r="AE26" s="10">
        <f t="shared" si="76"/>
        <v>2.0000000000000018E-2</v>
      </c>
      <c r="AF26" s="10">
        <f t="shared" ref="AF26" si="77">AF3/AE3-1</f>
        <v>2.0000000000000018E-2</v>
      </c>
    </row>
    <row r="27" spans="2:143" x14ac:dyDescent="0.3">
      <c r="B27" s="1" t="s">
        <v>45</v>
      </c>
      <c r="E27" s="10"/>
      <c r="G27" s="10"/>
      <c r="H27" s="10"/>
      <c r="I27" s="10">
        <f t="shared" si="74"/>
        <v>-0.14656771799628943</v>
      </c>
      <c r="J27" s="10"/>
      <c r="K27" s="10">
        <f t="shared" si="74"/>
        <v>-0.24563953488372092</v>
      </c>
      <c r="L27" s="10">
        <f t="shared" ref="L27:L29" si="78">L4/H4-1</f>
        <v>-0.25111441307578009</v>
      </c>
      <c r="M27" s="10">
        <f t="shared" si="75"/>
        <v>0.12000000000000011</v>
      </c>
      <c r="N27" s="10">
        <f t="shared" si="75"/>
        <v>0.14999999999999991</v>
      </c>
      <c r="P27" s="10"/>
      <c r="Q27" s="10">
        <f t="shared" ref="Q27:AE27" si="79">Q4/P4-1</f>
        <v>1.0672358591248265E-3</v>
      </c>
      <c r="R27" s="10">
        <f t="shared" si="79"/>
        <v>-4.4776119402985093E-2</v>
      </c>
      <c r="S27" s="10">
        <f t="shared" si="79"/>
        <v>4.4642857142857206E-2</v>
      </c>
      <c r="T27" s="10">
        <f t="shared" si="79"/>
        <v>9.7756410256410353E-2</v>
      </c>
      <c r="U27" s="10">
        <f t="shared" si="79"/>
        <v>0.10802919708029202</v>
      </c>
      <c r="V27" s="10">
        <f t="shared" si="79"/>
        <v>-9.4158981115502915E-2</v>
      </c>
      <c r="W27" s="10">
        <f t="shared" si="79"/>
        <v>4.0000000000000036E-2</v>
      </c>
      <c r="X27" s="10">
        <f t="shared" si="79"/>
        <v>3.0000000000000027E-2</v>
      </c>
      <c r="Y27" s="10">
        <f t="shared" si="79"/>
        <v>2.0000000000000018E-2</v>
      </c>
      <c r="Z27" s="10">
        <f t="shared" si="79"/>
        <v>2.0000000000000018E-2</v>
      </c>
      <c r="AA27" s="10">
        <f t="shared" si="79"/>
        <v>2.0000000000000018E-2</v>
      </c>
      <c r="AB27" s="10">
        <f t="shared" si="79"/>
        <v>2.0000000000000018E-2</v>
      </c>
      <c r="AC27" s="10">
        <f t="shared" si="79"/>
        <v>2.0000000000000018E-2</v>
      </c>
      <c r="AD27" s="10">
        <f t="shared" si="79"/>
        <v>2.0000000000000018E-2</v>
      </c>
      <c r="AE27" s="10">
        <f t="shared" si="79"/>
        <v>2.0000000000000018E-2</v>
      </c>
      <c r="AF27" s="10">
        <f t="shared" ref="AF27" si="80">AF4/AE4-1</f>
        <v>2.0000000000000018E-2</v>
      </c>
    </row>
    <row r="28" spans="2:143" x14ac:dyDescent="0.3">
      <c r="B28" s="1" t="s">
        <v>46</v>
      </c>
      <c r="E28" s="10"/>
      <c r="G28" s="10"/>
      <c r="H28" s="10"/>
      <c r="I28" s="10">
        <f t="shared" si="74"/>
        <v>-7.6923076923076872E-2</v>
      </c>
      <c r="J28" s="10"/>
      <c r="K28" s="10">
        <f t="shared" si="74"/>
        <v>6.6666666666666652E-2</v>
      </c>
      <c r="L28" s="10">
        <f t="shared" si="78"/>
        <v>0.25</v>
      </c>
      <c r="M28" s="10">
        <f t="shared" si="75"/>
        <v>0.25</v>
      </c>
      <c r="N28" s="10">
        <f t="shared" si="75"/>
        <v>0.36363636363636354</v>
      </c>
      <c r="P28" s="10"/>
      <c r="Q28" s="10">
        <f t="shared" ref="Q28:AF29" si="81">Q5/P5-1</f>
        <v>-0.16666666666666663</v>
      </c>
      <c r="R28" s="10">
        <f t="shared" si="81"/>
        <v>-0.10909090909090913</v>
      </c>
      <c r="S28" s="10">
        <f t="shared" si="81"/>
        <v>6.1224489795918435E-2</v>
      </c>
      <c r="T28" s="10">
        <f t="shared" si="81"/>
        <v>5.7692307692307709E-2</v>
      </c>
      <c r="U28" s="10">
        <f t="shared" si="81"/>
        <v>-9.0909090909090939E-2</v>
      </c>
      <c r="V28" s="10">
        <f t="shared" si="81"/>
        <v>0.21999999999999997</v>
      </c>
      <c r="W28" s="10">
        <f t="shared" si="81"/>
        <v>6.0000000000000053E-2</v>
      </c>
      <c r="X28" s="10">
        <f t="shared" si="81"/>
        <v>6.0000000000000053E-2</v>
      </c>
      <c r="Y28" s="10">
        <f t="shared" si="81"/>
        <v>6.0000000000000053E-2</v>
      </c>
      <c r="Z28" s="10">
        <f t="shared" si="81"/>
        <v>6.0000000000000053E-2</v>
      </c>
      <c r="AA28" s="10">
        <f t="shared" si="81"/>
        <v>6.0000000000000053E-2</v>
      </c>
      <c r="AB28" s="10">
        <f t="shared" si="81"/>
        <v>6.0000000000000053E-2</v>
      </c>
      <c r="AC28" s="10">
        <f t="shared" si="81"/>
        <v>6.0000000000000053E-2</v>
      </c>
      <c r="AD28" s="10">
        <f t="shared" si="81"/>
        <v>6.0000000000000053E-2</v>
      </c>
      <c r="AE28" s="10">
        <f t="shared" si="81"/>
        <v>6.0000000000000053E-2</v>
      </c>
      <c r="AF28" s="10">
        <f t="shared" ref="AF28" si="82">AF5/AE5-1</f>
        <v>6.0000000000000053E-2</v>
      </c>
      <c r="AI28" s="1" t="s">
        <v>54</v>
      </c>
      <c r="AJ28" s="10">
        <v>-0.01</v>
      </c>
    </row>
    <row r="29" spans="2:143" x14ac:dyDescent="0.3">
      <c r="B29" s="1" t="s">
        <v>64</v>
      </c>
      <c r="E29" s="10"/>
      <c r="G29" s="10"/>
      <c r="H29" s="10"/>
      <c r="I29" s="10">
        <f t="shared" si="74"/>
        <v>2.5127131319174323E-2</v>
      </c>
      <c r="J29" s="10"/>
      <c r="K29" s="10">
        <f t="shared" ref="K29" si="83">K6/G6-1</f>
        <v>5.4545454545454453E-2</v>
      </c>
      <c r="L29" s="10">
        <f t="shared" si="78"/>
        <v>5.3586617521973245E-2</v>
      </c>
      <c r="M29" s="10">
        <f t="shared" si="75"/>
        <v>0.10320980449372641</v>
      </c>
      <c r="N29" s="10">
        <f t="shared" si="75"/>
        <v>8.9698311652366636E-2</v>
      </c>
      <c r="P29" s="10"/>
      <c r="Q29" s="10">
        <f t="shared" si="81"/>
        <v>-0.14519442406456351</v>
      </c>
      <c r="R29" s="10">
        <f t="shared" si="81"/>
        <v>6.2741395588361559E-2</v>
      </c>
      <c r="S29" s="10">
        <f t="shared" si="81"/>
        <v>3.9331287352608602E-2</v>
      </c>
      <c r="T29" s="10">
        <f t="shared" si="81"/>
        <v>6.3252777993628051E-2</v>
      </c>
      <c r="U29" s="10">
        <f t="shared" si="81"/>
        <v>1.3885843747716287E-3</v>
      </c>
      <c r="V29" s="10">
        <f t="shared" si="81"/>
        <v>7.5739308130200023E-2</v>
      </c>
      <c r="W29" s="10">
        <f t="shared" si="81"/>
        <v>7.4319860947721139E-2</v>
      </c>
      <c r="X29" s="10">
        <f t="shared" si="81"/>
        <v>4.7331553909539137E-2</v>
      </c>
      <c r="Y29" s="10">
        <f t="shared" si="81"/>
        <v>3.7418208672301834E-2</v>
      </c>
      <c r="Z29" s="10">
        <f t="shared" si="81"/>
        <v>2.8816824811068287E-2</v>
      </c>
      <c r="AA29" s="10">
        <f t="shared" si="81"/>
        <v>2.017402537123858E-2</v>
      </c>
      <c r="AB29" s="10">
        <f t="shared" si="81"/>
        <v>2.0180819045501286E-2</v>
      </c>
      <c r="AC29" s="10">
        <f t="shared" si="81"/>
        <v>2.0187876682890904E-2</v>
      </c>
      <c r="AD29" s="10">
        <f t="shared" si="81"/>
        <v>2.019520843995104E-2</v>
      </c>
      <c r="AE29" s="10">
        <f t="shared" si="81"/>
        <v>2.0202824856102586E-2</v>
      </c>
      <c r="AF29" s="10">
        <f t="shared" si="81"/>
        <v>2.0210736867444679E-2</v>
      </c>
      <c r="AI29" s="1" t="s">
        <v>55</v>
      </c>
      <c r="AJ29" s="10">
        <v>0.09</v>
      </c>
    </row>
    <row r="30" spans="2:143" x14ac:dyDescent="0.3">
      <c r="B30" s="1" t="s">
        <v>47</v>
      </c>
      <c r="E30" s="10"/>
      <c r="G30" s="10">
        <f t="shared" ref="G30:K30" si="84">(G3-G7)/G3</f>
        <v>0.20847039473684212</v>
      </c>
      <c r="H30" s="10">
        <f t="shared" si="84"/>
        <v>0.19739619985925405</v>
      </c>
      <c r="I30" s="10"/>
      <c r="J30" s="10"/>
      <c r="K30" s="10">
        <f t="shared" si="84"/>
        <v>0.1782749909779863</v>
      </c>
      <c r="L30" s="10">
        <f>(L3-L7)/L3</f>
        <v>0.17735376915858617</v>
      </c>
      <c r="M30" s="10">
        <f t="shared" ref="M30:N30" si="85">(M3-M7)/M3</f>
        <v>0.18000000000000002</v>
      </c>
      <c r="N30" s="10">
        <f t="shared" si="85"/>
        <v>0.18000000000000005</v>
      </c>
      <c r="P30" s="10"/>
      <c r="Q30" s="10"/>
      <c r="R30" s="10"/>
      <c r="S30" s="10">
        <f t="shared" ref="S30:AE30" si="86">(S3-S7)/S3</f>
        <v>0.19716765646413886</v>
      </c>
      <c r="T30" s="10">
        <f t="shared" si="86"/>
        <v>0.20452778017800052</v>
      </c>
      <c r="U30" s="10">
        <f t="shared" si="86"/>
        <v>0.17336263736263735</v>
      </c>
      <c r="V30" s="10">
        <f t="shared" si="86"/>
        <v>0.1789505539711703</v>
      </c>
      <c r="W30" s="10">
        <f t="shared" si="86"/>
        <v>0.18999999999999992</v>
      </c>
      <c r="X30" s="10">
        <f t="shared" si="86"/>
        <v>0.2</v>
      </c>
      <c r="Y30" s="10">
        <f t="shared" si="86"/>
        <v>0.1999999999999999</v>
      </c>
      <c r="Z30" s="10">
        <f t="shared" si="86"/>
        <v>0.19999999999999996</v>
      </c>
      <c r="AA30" s="10">
        <f t="shared" si="86"/>
        <v>0.19999999999999998</v>
      </c>
      <c r="AB30" s="10">
        <f t="shared" si="86"/>
        <v>0.19999999999999998</v>
      </c>
      <c r="AC30" s="10">
        <f t="shared" si="86"/>
        <v>0.19999999999999993</v>
      </c>
      <c r="AD30" s="10">
        <f t="shared" si="86"/>
        <v>0.19999999999999998</v>
      </c>
      <c r="AE30" s="10">
        <f t="shared" si="86"/>
        <v>0.19999999999999993</v>
      </c>
      <c r="AF30" s="10">
        <f t="shared" ref="AF30" si="87">(AF3-AF7)/AF3</f>
        <v>0.19999999999999993</v>
      </c>
      <c r="AI30" s="1" t="s">
        <v>56</v>
      </c>
      <c r="AJ30" s="6">
        <f>NPV(AJ29,V22:EM22)</f>
        <v>16772.538708652879</v>
      </c>
    </row>
    <row r="31" spans="2:143" x14ac:dyDescent="0.3">
      <c r="B31" s="1" t="s">
        <v>48</v>
      </c>
      <c r="E31" s="10">
        <f>(E4-E8)/E4</f>
        <v>0.21335807050092764</v>
      </c>
      <c r="G31" s="10">
        <f t="shared" ref="G31:K31" si="88">(G4-G8)/G4</f>
        <v>0.20784883720930233</v>
      </c>
      <c r="H31" s="10">
        <f t="shared" si="88"/>
        <v>0.17830609212481427</v>
      </c>
      <c r="I31" s="10">
        <f t="shared" si="88"/>
        <v>0.24347826086956523</v>
      </c>
      <c r="J31" s="10">
        <f t="shared" si="88"/>
        <v>0.23026315789473684</v>
      </c>
      <c r="K31" s="10">
        <f t="shared" si="88"/>
        <v>0.23892100192678228</v>
      </c>
      <c r="L31" s="10">
        <f>(L4-L8)/L4</f>
        <v>0.25198412698412698</v>
      </c>
      <c r="M31" s="10">
        <f t="shared" ref="M31:N31" si="89">(M4-M8)/M4</f>
        <v>0.25</v>
      </c>
      <c r="N31" s="10">
        <f t="shared" si="89"/>
        <v>0.25000000000000006</v>
      </c>
      <c r="P31" s="10">
        <f t="shared" ref="P31:AE31" si="90">(P4-P8)/P4</f>
        <v>0.24012806830309499</v>
      </c>
      <c r="Q31" s="10">
        <f t="shared" si="90"/>
        <v>0.26492537313432835</v>
      </c>
      <c r="R31" s="10">
        <f t="shared" si="90"/>
        <v>0.25111607142857145</v>
      </c>
      <c r="S31" s="10">
        <f t="shared" si="90"/>
        <v>0.24572649572649571</v>
      </c>
      <c r="T31" s="10">
        <f t="shared" si="90"/>
        <v>0.2072992700729927</v>
      </c>
      <c r="U31" s="10">
        <f t="shared" si="90"/>
        <v>0.21080368906455862</v>
      </c>
      <c r="V31" s="10">
        <f t="shared" si="90"/>
        <v>0.24769708135363128</v>
      </c>
      <c r="W31" s="10">
        <f t="shared" si="90"/>
        <v>0.24999999999999994</v>
      </c>
      <c r="X31" s="10">
        <f t="shared" si="90"/>
        <v>0.25</v>
      </c>
      <c r="Y31" s="10">
        <f t="shared" si="90"/>
        <v>0.24999999999999994</v>
      </c>
      <c r="Z31" s="10">
        <f t="shared" si="90"/>
        <v>0.25</v>
      </c>
      <c r="AA31" s="10">
        <f t="shared" si="90"/>
        <v>0.24999999999999994</v>
      </c>
      <c r="AB31" s="10">
        <f t="shared" si="90"/>
        <v>0.24999999999999994</v>
      </c>
      <c r="AC31" s="10">
        <f t="shared" si="90"/>
        <v>0.25</v>
      </c>
      <c r="AD31" s="10">
        <f t="shared" si="90"/>
        <v>0.25</v>
      </c>
      <c r="AE31" s="10">
        <f t="shared" si="90"/>
        <v>0.24999999999999994</v>
      </c>
      <c r="AF31" s="10">
        <f t="shared" ref="AF31" si="91">(AF4-AF8)/AF4</f>
        <v>0.25000000000000006</v>
      </c>
      <c r="AI31" s="1" t="s">
        <v>57</v>
      </c>
      <c r="AJ31" s="6">
        <f>Main!D8</f>
        <v>-2300</v>
      </c>
    </row>
    <row r="32" spans="2:143" x14ac:dyDescent="0.3">
      <c r="B32" s="1" t="s">
        <v>43</v>
      </c>
      <c r="E32" s="10"/>
      <c r="G32" s="10"/>
      <c r="H32" s="10"/>
      <c r="I32" s="10"/>
      <c r="J32" s="10"/>
      <c r="K32" s="10">
        <f t="shared" ref="K32:N32" si="92">K10/K6</f>
        <v>0.19177253478523895</v>
      </c>
      <c r="L32" s="10">
        <f t="shared" si="92"/>
        <v>0.19079655543595264</v>
      </c>
      <c r="M32" s="10">
        <f t="shared" si="92"/>
        <v>0.19279234004284926</v>
      </c>
      <c r="N32" s="10">
        <f t="shared" si="92"/>
        <v>0.19244780395623154</v>
      </c>
      <c r="P32" s="10"/>
      <c r="Q32" s="10"/>
      <c r="R32" s="10"/>
      <c r="S32" s="10"/>
      <c r="T32" s="10">
        <f t="shared" ref="T32:AF32" si="93">T10/T6</f>
        <v>0.20814148943945041</v>
      </c>
      <c r="U32" s="10">
        <f t="shared" si="93"/>
        <v>0.18260108013428697</v>
      </c>
      <c r="V32" s="10">
        <f t="shared" si="93"/>
        <v>0.19196842829404503</v>
      </c>
      <c r="W32" s="10">
        <f t="shared" si="93"/>
        <v>0.20143530873523183</v>
      </c>
      <c r="X32" s="10">
        <f t="shared" si="93"/>
        <v>0.20996726435014609</v>
      </c>
      <c r="Y32" s="10">
        <f t="shared" si="93"/>
        <v>0.20992739052909945</v>
      </c>
      <c r="Z32" s="10">
        <f t="shared" si="93"/>
        <v>0.20997365400138884</v>
      </c>
      <c r="AA32" s="10">
        <f t="shared" si="93"/>
        <v>0.21010841985969481</v>
      </c>
      <c r="AB32" s="10">
        <f t="shared" si="93"/>
        <v>0.21024842194452517</v>
      </c>
      <c r="AC32" s="10">
        <f t="shared" si="93"/>
        <v>0.21039386173084706</v>
      </c>
      <c r="AD32" s="10">
        <f t="shared" si="93"/>
        <v>0.21054494828874523</v>
      </c>
      <c r="AE32" s="10">
        <f t="shared" si="93"/>
        <v>0.21070189855722285</v>
      </c>
      <c r="AF32" s="10">
        <f t="shared" si="93"/>
        <v>0.2108649376268654</v>
      </c>
      <c r="AI32" s="1" t="s">
        <v>58</v>
      </c>
      <c r="AJ32" s="6">
        <f>AJ30+AJ31</f>
        <v>14472.538708652879</v>
      </c>
    </row>
    <row r="33" spans="2:36" x14ac:dyDescent="0.3">
      <c r="B33" s="1" t="s">
        <v>49</v>
      </c>
      <c r="E33" s="10"/>
      <c r="G33" s="10"/>
      <c r="H33" s="10"/>
      <c r="I33" s="10"/>
      <c r="J33" s="10"/>
      <c r="K33" s="10">
        <f t="shared" ref="K33" si="94">K11/G11-1</f>
        <v>-8.333333333333337E-2</v>
      </c>
      <c r="L33" s="10">
        <f>L11/H11-1</f>
        <v>0.30476190476190479</v>
      </c>
      <c r="M33" s="10" t="e">
        <f t="shared" ref="M33:N33" si="95">M11/I11-1</f>
        <v>#DIV/0!</v>
      </c>
      <c r="N33" s="10" t="e">
        <f t="shared" si="95"/>
        <v>#DIV/0!</v>
      </c>
      <c r="P33" s="10"/>
      <c r="Q33" s="10"/>
      <c r="R33" s="10"/>
      <c r="S33" s="10"/>
      <c r="T33" s="10">
        <f t="shared" ref="T33:AE33" si="96">T11/S11-1</f>
        <v>-5.1580698835274497E-2</v>
      </c>
      <c r="U33" s="10">
        <f t="shared" si="96"/>
        <v>-0.13859649122807016</v>
      </c>
      <c r="V33" s="10">
        <f t="shared" si="96"/>
        <v>0.13849287169042768</v>
      </c>
      <c r="W33" s="10">
        <f t="shared" si="96"/>
        <v>8.0000000000000071E-2</v>
      </c>
      <c r="X33" s="10">
        <f t="shared" si="96"/>
        <v>5.0000000000000044E-2</v>
      </c>
      <c r="Y33" s="10">
        <f t="shared" si="96"/>
        <v>3.0000000000000027E-2</v>
      </c>
      <c r="Z33" s="10">
        <f t="shared" si="96"/>
        <v>2.0000000000000018E-2</v>
      </c>
      <c r="AA33" s="10">
        <f t="shared" si="96"/>
        <v>2.0000000000000018E-2</v>
      </c>
      <c r="AB33" s="10">
        <f t="shared" si="96"/>
        <v>2.0000000000000018E-2</v>
      </c>
      <c r="AC33" s="10">
        <f t="shared" si="96"/>
        <v>2.0000000000000018E-2</v>
      </c>
      <c r="AD33" s="10">
        <f t="shared" si="96"/>
        <v>2.0000000000000018E-2</v>
      </c>
      <c r="AE33" s="10">
        <f t="shared" si="96"/>
        <v>2.0000000000000018E-2</v>
      </c>
      <c r="AF33" s="10">
        <f t="shared" ref="AF33" si="97">AF11/AE11-1</f>
        <v>2.0000000000000018E-2</v>
      </c>
      <c r="AI33" s="1" t="s">
        <v>59</v>
      </c>
      <c r="AJ33" s="7">
        <f>AJ32/AF23</f>
        <v>81.215144268534686</v>
      </c>
    </row>
    <row r="34" spans="2:36" x14ac:dyDescent="0.3">
      <c r="B34" s="1" t="s">
        <v>50</v>
      </c>
      <c r="E34" s="10">
        <f>E12/E6</f>
        <v>9.0637152258450496E-2</v>
      </c>
      <c r="G34" s="10">
        <f t="shared" ref="G34:K34" si="98">G12/G6</f>
        <v>0.10079744816586922</v>
      </c>
      <c r="H34" s="10">
        <f t="shared" si="98"/>
        <v>8.3073433512900488E-2</v>
      </c>
      <c r="I34" s="10">
        <f t="shared" si="98"/>
        <v>8.2287715202801287E-2</v>
      </c>
      <c r="J34" s="10">
        <f t="shared" si="98"/>
        <v>7.3346249654027126E-2</v>
      </c>
      <c r="K34" s="10">
        <f t="shared" si="98"/>
        <v>9.0139140955837874E-2</v>
      </c>
      <c r="L34" s="10">
        <f>L12/L6</f>
        <v>8.1539289558665226E-2</v>
      </c>
      <c r="M34" s="10">
        <f t="shared" ref="M34:N34" si="99">M12/M6</f>
        <v>0.08</v>
      </c>
      <c r="N34" s="10">
        <f t="shared" si="99"/>
        <v>0.08</v>
      </c>
      <c r="P34" s="10">
        <f t="shared" ref="P34:AE34" si="100">P12/P6</f>
        <v>8.4519442406456341E-2</v>
      </c>
      <c r="Q34" s="10">
        <f t="shared" si="100"/>
        <v>8.9691871942322546E-2</v>
      </c>
      <c r="R34" s="10">
        <f t="shared" si="100"/>
        <v>9.8610886771119372E-2</v>
      </c>
      <c r="S34" s="10">
        <f t="shared" si="100"/>
        <v>9.2159452948947077E-2</v>
      </c>
      <c r="T34" s="10">
        <f t="shared" si="100"/>
        <v>8.9527150478696194E-2</v>
      </c>
      <c r="U34" s="10">
        <f t="shared" si="100"/>
        <v>8.4367245657568243E-2</v>
      </c>
      <c r="V34" s="10">
        <f t="shared" si="100"/>
        <v>8.266218356040593E-2</v>
      </c>
      <c r="W34" s="10">
        <f t="shared" si="100"/>
        <v>0.08</v>
      </c>
      <c r="X34" s="10">
        <f t="shared" si="100"/>
        <v>0.08</v>
      </c>
      <c r="Y34" s="10">
        <f t="shared" si="100"/>
        <v>0.08</v>
      </c>
      <c r="Z34" s="10">
        <f t="shared" si="100"/>
        <v>0.08</v>
      </c>
      <c r="AA34" s="10">
        <f t="shared" si="100"/>
        <v>0.08</v>
      </c>
      <c r="AB34" s="10">
        <f t="shared" si="100"/>
        <v>0.08</v>
      </c>
      <c r="AC34" s="10">
        <f t="shared" si="100"/>
        <v>0.08</v>
      </c>
      <c r="AD34" s="10">
        <f t="shared" si="100"/>
        <v>0.08</v>
      </c>
      <c r="AE34" s="10">
        <f t="shared" si="100"/>
        <v>0.08</v>
      </c>
      <c r="AF34" s="10">
        <f t="shared" ref="AF34" si="101">AF12/AF6</f>
        <v>0.08</v>
      </c>
      <c r="AI34" s="1" t="s">
        <v>60</v>
      </c>
      <c r="AJ34" s="7">
        <f>Main!D3</f>
        <v>78.45</v>
      </c>
    </row>
    <row r="35" spans="2:36" x14ac:dyDescent="0.3">
      <c r="B35" s="1" t="s">
        <v>51</v>
      </c>
      <c r="E35" s="10">
        <f>E13/E6</f>
        <v>7.8073586598863293E-2</v>
      </c>
      <c r="G35" s="10">
        <f t="shared" ref="G35:K35" si="102">G13/G6</f>
        <v>6.5390749601275916E-2</v>
      </c>
      <c r="H35" s="10">
        <f t="shared" si="102"/>
        <v>8.3640487666572158E-2</v>
      </c>
      <c r="I35" s="10">
        <f t="shared" si="102"/>
        <v>6.1278085789320105E-2</v>
      </c>
      <c r="J35" s="10">
        <f t="shared" si="102"/>
        <v>0.10711320232493772</v>
      </c>
      <c r="K35" s="10">
        <f t="shared" si="102"/>
        <v>6.1705989110707807E-2</v>
      </c>
      <c r="L35" s="10">
        <f>L13/L6</f>
        <v>7.2389666307857911E-2</v>
      </c>
      <c r="M35" s="10">
        <f t="shared" ref="M35:N35" si="103">M13/M6</f>
        <v>7.5762160446478224E-2</v>
      </c>
      <c r="N35" s="10">
        <f t="shared" si="103"/>
        <v>7.4348501935444566E-2</v>
      </c>
      <c r="P35" s="10">
        <f t="shared" ref="P35:AE35" si="104">P13/P6</f>
        <v>7.8650036683785771E-2</v>
      </c>
      <c r="Q35" s="10">
        <f t="shared" si="104"/>
        <v>4.3944725774611622E-2</v>
      </c>
      <c r="R35" s="10">
        <f t="shared" si="104"/>
        <v>6.9778711032143434E-2</v>
      </c>
      <c r="S35" s="10">
        <f t="shared" si="104"/>
        <v>6.8614499961146949E-2</v>
      </c>
      <c r="T35" s="10">
        <f t="shared" si="104"/>
        <v>7.6956807717605782E-2</v>
      </c>
      <c r="U35" s="10">
        <f t="shared" si="104"/>
        <v>6.23996496861772E-2</v>
      </c>
      <c r="V35" s="10">
        <f t="shared" si="104"/>
        <v>7.1381662412871763E-2</v>
      </c>
      <c r="W35" s="10">
        <f t="shared" si="104"/>
        <v>8.3310211736376399E-2</v>
      </c>
      <c r="X35" s="10">
        <f t="shared" si="104"/>
        <v>9.1745030235870759E-2</v>
      </c>
      <c r="Y35" s="10">
        <f t="shared" si="104"/>
        <v>9.1978470017969882E-2</v>
      </c>
      <c r="Z35" s="10">
        <f t="shared" si="104"/>
        <v>9.2349950745505116E-2</v>
      </c>
      <c r="AA35" s="10">
        <f t="shared" si="104"/>
        <v>9.2491134605802536E-2</v>
      </c>
      <c r="AB35" s="10">
        <f t="shared" si="104"/>
        <v>9.2637804059286538E-2</v>
      </c>
      <c r="AC35" s="10">
        <f t="shared" si="104"/>
        <v>9.2790170175837669E-2</v>
      </c>
      <c r="AD35" s="10">
        <f t="shared" si="104"/>
        <v>9.2948451982158994E-2</v>
      </c>
      <c r="AE35" s="10">
        <f t="shared" si="104"/>
        <v>9.3112876748616374E-2</v>
      </c>
      <c r="AF35" s="10">
        <f t="shared" ref="AF35" si="105">AF13/AF6</f>
        <v>9.3283680285363602E-2</v>
      </c>
      <c r="AI35" s="2" t="s">
        <v>61</v>
      </c>
      <c r="AJ35" s="11">
        <f>AJ33/AJ34-1</f>
        <v>3.5247218209492504E-2</v>
      </c>
    </row>
    <row r="36" spans="2:36" x14ac:dyDescent="0.3">
      <c r="B36" s="1" t="s">
        <v>27</v>
      </c>
      <c r="E36" s="10">
        <f>E20/E19</f>
        <v>0.10631229235880399</v>
      </c>
      <c r="G36" s="10">
        <f t="shared" ref="G36:K36" si="106">G20/G19</f>
        <v>0.15189873417721519</v>
      </c>
      <c r="H36" s="10">
        <f t="shared" si="106"/>
        <v>0.19504643962848298</v>
      </c>
      <c r="I36" s="10">
        <f t="shared" si="106"/>
        <v>0.11507936507936507</v>
      </c>
      <c r="J36" s="10">
        <f t="shared" si="106"/>
        <v>-2.6809651474530832E-2</v>
      </c>
      <c r="K36" s="10">
        <f t="shared" si="106"/>
        <v>0.14107883817427386</v>
      </c>
      <c r="L36" s="10">
        <f>L20/L19</f>
        <v>0.18604651162790697</v>
      </c>
      <c r="M36" s="10">
        <f t="shared" ref="M36:N36" si="107">M20/M19</f>
        <v>0.14000000000000001</v>
      </c>
      <c r="N36" s="10">
        <f t="shared" si="107"/>
        <v>0.14000000000000001</v>
      </c>
      <c r="P36" s="10">
        <f t="shared" ref="P36:AE36" si="108">P20/P19</f>
        <v>0.13481953290870488</v>
      </c>
      <c r="Q36" s="10">
        <f t="shared" si="108"/>
        <v>-9.5744680851063829E-2</v>
      </c>
      <c r="R36" s="10">
        <f t="shared" si="108"/>
        <v>0.14432989690721648</v>
      </c>
      <c r="S36" s="10">
        <f t="shared" si="108"/>
        <v>0.15157480314960631</v>
      </c>
      <c r="T36" s="10">
        <f t="shared" si="108"/>
        <v>0.15179392824287027</v>
      </c>
      <c r="U36" s="10">
        <f t="shared" si="108"/>
        <v>0.12513255567338283</v>
      </c>
      <c r="V36" s="10">
        <f t="shared" si="108"/>
        <v>0.15186405074990567</v>
      </c>
      <c r="W36" s="10">
        <f t="shared" si="108"/>
        <v>0.14000000000000001</v>
      </c>
      <c r="X36" s="10">
        <f t="shared" si="108"/>
        <v>0.14000000000000001</v>
      </c>
      <c r="Y36" s="10">
        <f t="shared" si="108"/>
        <v>0.14000000000000001</v>
      </c>
      <c r="Z36" s="10">
        <f t="shared" si="108"/>
        <v>0.14000000000000001</v>
      </c>
      <c r="AA36" s="10">
        <f t="shared" si="108"/>
        <v>0.14000000000000001</v>
      </c>
      <c r="AB36" s="10">
        <f t="shared" si="108"/>
        <v>0.14000000000000001</v>
      </c>
      <c r="AC36" s="10">
        <f t="shared" si="108"/>
        <v>0.14000000000000001</v>
      </c>
      <c r="AD36" s="10">
        <f t="shared" si="108"/>
        <v>0.14000000000000001</v>
      </c>
      <c r="AE36" s="10">
        <f t="shared" si="108"/>
        <v>0.14000000000000001</v>
      </c>
      <c r="AF36" s="10">
        <f t="shared" ref="AF36" si="109">AF20/AF19</f>
        <v>0.14000000000000001</v>
      </c>
      <c r="AI36" s="1" t="s">
        <v>62</v>
      </c>
      <c r="AJ36" s="3" t="s">
        <v>63</v>
      </c>
    </row>
    <row r="37" spans="2:36" x14ac:dyDescent="0.3">
      <c r="B37" s="1" t="s">
        <v>52</v>
      </c>
      <c r="E37" s="10">
        <f>E22/E6</f>
        <v>8.046664672449895E-2</v>
      </c>
      <c r="G37" s="10">
        <f t="shared" ref="G37:K37" si="110">G22/G6</f>
        <v>6.4114832535885166E-2</v>
      </c>
      <c r="H37" s="10">
        <f t="shared" si="110"/>
        <v>7.3433512900482001E-2</v>
      </c>
      <c r="I37" s="10">
        <f t="shared" si="110"/>
        <v>6.5071491100087545E-2</v>
      </c>
      <c r="J37" s="10">
        <f t="shared" si="110"/>
        <v>0.10600608912261279</v>
      </c>
      <c r="K37" s="10">
        <f t="shared" si="110"/>
        <v>6.2613430127041736E-2</v>
      </c>
      <c r="L37" s="10">
        <f>L22/L6</f>
        <v>6.593110871905275E-2</v>
      </c>
      <c r="M37" s="10">
        <f t="shared" ref="M37:N37" si="111">M22/M6</f>
        <v>7.3116946597191035E-2</v>
      </c>
      <c r="N37" s="10">
        <f t="shared" si="111"/>
        <v>7.1366535605067727E-2</v>
      </c>
      <c r="P37" s="10">
        <f t="shared" ref="P37:AE37" si="112">P22/P6</f>
        <v>5.9794570799706528E-2</v>
      </c>
      <c r="Q37" s="10">
        <f t="shared" si="112"/>
        <v>2.6521328641318342E-2</v>
      </c>
      <c r="R37" s="10">
        <f t="shared" si="112"/>
        <v>6.0248748182846069E-2</v>
      </c>
      <c r="S37" s="10">
        <f t="shared" si="112"/>
        <v>6.6904965420778617E-2</v>
      </c>
      <c r="T37" s="10">
        <f t="shared" si="112"/>
        <v>6.7309800482350357E-2</v>
      </c>
      <c r="U37" s="10">
        <f t="shared" si="112"/>
        <v>6.0137206247263174E-2</v>
      </c>
      <c r="V37" s="10">
        <f t="shared" si="112"/>
        <v>6.8481958346732361E-2</v>
      </c>
      <c r="W37" s="10">
        <f t="shared" si="112"/>
        <v>7.9590053727261759E-2</v>
      </c>
      <c r="X37" s="10">
        <f t="shared" si="112"/>
        <v>8.6712550016416243E-2</v>
      </c>
      <c r="Y37" s="10">
        <f t="shared" si="112"/>
        <v>8.6857448653626046E-2</v>
      </c>
      <c r="Z37" s="10">
        <f t="shared" si="112"/>
        <v>8.7185841708601067E-2</v>
      </c>
      <c r="AA37" s="10">
        <f t="shared" si="112"/>
        <v>8.7382048591888098E-2</v>
      </c>
      <c r="AB37" s="10">
        <f t="shared" si="112"/>
        <v>8.7583640716195565E-2</v>
      </c>
      <c r="AC37" s="10">
        <f t="shared" si="112"/>
        <v>8.7790802950419841E-2</v>
      </c>
      <c r="AD37" s="10">
        <f t="shared" si="112"/>
        <v>8.8003726885171024E-2</v>
      </c>
      <c r="AE37" s="10">
        <f t="shared" si="112"/>
        <v>8.8222611071012244E-2</v>
      </c>
      <c r="AF37" s="10">
        <f t="shared" ref="AF37" si="113">AF22/AF6</f>
        <v>8.8447661264273697E-2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2025-07-29T16:31:58Z</dcterms:created>
  <dcterms:modified xsi:type="dcterms:W3CDTF">2025-08-29T18:26:32Z</dcterms:modified>
</cp:coreProperties>
</file>