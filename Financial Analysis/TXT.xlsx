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6BA76F5-B47D-4DC8-A366-9A3C2B5276C8}" xr6:coauthVersionLast="47" xr6:coauthVersionMax="47" xr10:uidLastSave="{00000000-0000-0000-0000-000000000000}"/>
  <bookViews>
    <workbookView xWindow="-108" yWindow="-108" windowWidth="23256" windowHeight="12576" activeTab="1" xr2:uid="{9C792900-F1FE-492A-AE3E-893D8A7E159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6" i="2" l="1"/>
  <c r="AA15" i="2"/>
  <c r="AA19" i="2" s="1"/>
  <c r="Z6" i="2"/>
  <c r="N6" i="2"/>
  <c r="AA23" i="2"/>
  <c r="J23" i="2"/>
  <c r="N33" i="2"/>
  <c r="N32" i="2"/>
  <c r="N28" i="2"/>
  <c r="N27" i="2"/>
  <c r="N26" i="2"/>
  <c r="N24" i="2"/>
  <c r="N23" i="2"/>
  <c r="N20" i="2"/>
  <c r="N19" i="2"/>
  <c r="N16" i="2"/>
  <c r="N15" i="2"/>
  <c r="D7" i="1"/>
  <c r="D6" i="1"/>
  <c r="AJ35" i="2"/>
  <c r="AI35" i="2"/>
  <c r="AH35" i="2"/>
  <c r="AG35" i="2"/>
  <c r="AF35" i="2"/>
  <c r="AE35" i="2"/>
  <c r="AD35" i="2"/>
  <c r="AC35" i="2"/>
  <c r="AB35" i="2"/>
  <c r="AA35" i="2"/>
  <c r="Z35" i="2"/>
  <c r="N35" i="2"/>
  <c r="D4" i="1"/>
  <c r="Z12" i="2" l="1"/>
  <c r="AA12" i="2" s="1"/>
  <c r="AA42" i="2" s="1"/>
  <c r="Z11" i="2"/>
  <c r="AA11" i="2" s="1"/>
  <c r="AA41" i="2" s="1"/>
  <c r="Z10" i="2"/>
  <c r="Z9" i="2"/>
  <c r="AA9" i="2" s="1"/>
  <c r="AA39" i="2" s="1"/>
  <c r="Z8" i="2"/>
  <c r="Z38" i="2" s="1"/>
  <c r="Y12" i="2"/>
  <c r="Y11" i="2"/>
  <c r="Y10" i="2"/>
  <c r="Y9" i="2"/>
  <c r="Y8" i="2"/>
  <c r="X6" i="2"/>
  <c r="Y6" i="2"/>
  <c r="M6" i="2"/>
  <c r="L5" i="2"/>
  <c r="L4" i="2"/>
  <c r="L6" i="2" s="1"/>
  <c r="Z40" i="2" l="1"/>
  <c r="Z41" i="2"/>
  <c r="Z42" i="2"/>
  <c r="AA10" i="2"/>
  <c r="AA40" i="2" s="1"/>
  <c r="Z39" i="2"/>
  <c r="AA8" i="2"/>
  <c r="Z13" i="2"/>
  <c r="Y13" i="2"/>
  <c r="N39" i="2"/>
  <c r="N42" i="2"/>
  <c r="N38" i="2"/>
  <c r="M42" i="2"/>
  <c r="M41" i="2"/>
  <c r="M40" i="2"/>
  <c r="M39" i="2"/>
  <c r="M38" i="2"/>
  <c r="M13" i="2"/>
  <c r="N40" i="2"/>
  <c r="N41" i="2"/>
  <c r="J42" i="2"/>
  <c r="I42" i="2"/>
  <c r="J41" i="2"/>
  <c r="I41" i="2"/>
  <c r="J40" i="2"/>
  <c r="I40" i="2"/>
  <c r="J39" i="2"/>
  <c r="I39" i="2"/>
  <c r="J38" i="2"/>
  <c r="I38" i="2"/>
  <c r="E13" i="2"/>
  <c r="I13" i="2"/>
  <c r="F13" i="2"/>
  <c r="J13" i="2"/>
  <c r="K42" i="2"/>
  <c r="K41" i="2"/>
  <c r="K40" i="2"/>
  <c r="K39" i="2"/>
  <c r="K38" i="2"/>
  <c r="G13" i="2"/>
  <c r="K13" i="2"/>
  <c r="L42" i="2"/>
  <c r="L41" i="2"/>
  <c r="L40" i="2"/>
  <c r="L39" i="2"/>
  <c r="L38" i="2"/>
  <c r="L13" i="2"/>
  <c r="H13" i="2"/>
  <c r="AA38" i="2" l="1"/>
  <c r="AA13" i="2"/>
  <c r="N13" i="2"/>
  <c r="L58" i="2"/>
  <c r="AN52" i="2"/>
  <c r="AA26" i="2"/>
  <c r="AA17" i="2"/>
  <c r="AB17" i="2" s="1"/>
  <c r="AC17" i="2" s="1"/>
  <c r="AD17" i="2" s="1"/>
  <c r="AE17" i="2" s="1"/>
  <c r="AF17" i="2" s="1"/>
  <c r="AG17" i="2" s="1"/>
  <c r="AH17" i="2" s="1"/>
  <c r="AI17" i="2" s="1"/>
  <c r="AJ17" i="2" s="1"/>
  <c r="AJ46" i="2" s="1"/>
  <c r="Y51" i="2"/>
  <c r="X51" i="2"/>
  <c r="Y46" i="2"/>
  <c r="X46" i="2"/>
  <c r="W46" i="2"/>
  <c r="V46" i="2"/>
  <c r="U46" i="2"/>
  <c r="Y45" i="2"/>
  <c r="X45" i="2"/>
  <c r="W45" i="2"/>
  <c r="V45" i="2"/>
  <c r="U45" i="2"/>
  <c r="Y44" i="2"/>
  <c r="X44" i="2"/>
  <c r="W44" i="2"/>
  <c r="V44" i="2"/>
  <c r="U44" i="2"/>
  <c r="Y49" i="2"/>
  <c r="X49" i="2"/>
  <c r="W49" i="2"/>
  <c r="V49" i="2"/>
  <c r="U49" i="2"/>
  <c r="T49" i="2"/>
  <c r="Y48" i="2"/>
  <c r="X48" i="2"/>
  <c r="W48" i="2"/>
  <c r="N30" i="2"/>
  <c r="M30" i="2"/>
  <c r="N51" i="2"/>
  <c r="M51" i="2"/>
  <c r="M46" i="2"/>
  <c r="M44" i="2"/>
  <c r="E49" i="2"/>
  <c r="K51" i="2"/>
  <c r="K49" i="2"/>
  <c r="I49" i="2"/>
  <c r="H49" i="2"/>
  <c r="G49" i="2"/>
  <c r="K48" i="2"/>
  <c r="H48" i="2"/>
  <c r="G48" i="2"/>
  <c r="K46" i="2"/>
  <c r="I46" i="2"/>
  <c r="K45" i="2"/>
  <c r="I45" i="2"/>
  <c r="K44" i="2"/>
  <c r="I44" i="2"/>
  <c r="L49" i="2"/>
  <c r="L48" i="2"/>
  <c r="L46" i="2"/>
  <c r="L45" i="2"/>
  <c r="L44" i="2"/>
  <c r="J19" i="2"/>
  <c r="J33" i="2"/>
  <c r="J32" i="2"/>
  <c r="J28" i="2"/>
  <c r="J27" i="2"/>
  <c r="J26" i="2"/>
  <c r="J24" i="2"/>
  <c r="J20" i="2"/>
  <c r="J17" i="2"/>
  <c r="N46" i="2" s="1"/>
  <c r="J16" i="2"/>
  <c r="J15" i="2"/>
  <c r="E30" i="2"/>
  <c r="E21" i="2"/>
  <c r="E18" i="2"/>
  <c r="E52" i="2" s="1"/>
  <c r="I30" i="2"/>
  <c r="I21" i="2"/>
  <c r="I18" i="2"/>
  <c r="I52" i="2" s="1"/>
  <c r="T30" i="2"/>
  <c r="T21" i="2"/>
  <c r="T18" i="2"/>
  <c r="T52" i="2" s="1"/>
  <c r="U30" i="2"/>
  <c r="U21" i="2"/>
  <c r="U18" i="2"/>
  <c r="U52" i="2" s="1"/>
  <c r="Y30" i="2"/>
  <c r="X30" i="2"/>
  <c r="W30" i="2"/>
  <c r="V30" i="2"/>
  <c r="L30" i="2"/>
  <c r="K30" i="2"/>
  <c r="H30" i="2"/>
  <c r="G30" i="2"/>
  <c r="V18" i="2"/>
  <c r="V52" i="2" s="1"/>
  <c r="V21" i="2"/>
  <c r="W21" i="2"/>
  <c r="W18" i="2"/>
  <c r="W52" i="2" s="1"/>
  <c r="X21" i="2"/>
  <c r="X18" i="2"/>
  <c r="X52" i="2" s="1"/>
  <c r="Y21" i="2"/>
  <c r="Y18" i="2"/>
  <c r="G21" i="2"/>
  <c r="G18" i="2"/>
  <c r="G52" i="2" s="1"/>
  <c r="K21" i="2"/>
  <c r="K18" i="2"/>
  <c r="K52" i="2" s="1"/>
  <c r="H21" i="2"/>
  <c r="H18" i="2"/>
  <c r="H52" i="2" s="1"/>
  <c r="L23" i="2"/>
  <c r="L21" i="2"/>
  <c r="L18" i="2"/>
  <c r="L52" i="2" s="1"/>
  <c r="D8" i="1"/>
  <c r="AN49" i="2" s="1"/>
  <c r="D5" i="1"/>
  <c r="F3" i="1"/>
  <c r="AB23" i="2" l="1"/>
  <c r="AC23" i="2" s="1"/>
  <c r="D9" i="1"/>
  <c r="Z46" i="2"/>
  <c r="V47" i="2"/>
  <c r="W47" i="2"/>
  <c r="Z30" i="2"/>
  <c r="I47" i="2"/>
  <c r="X47" i="2"/>
  <c r="L51" i="2"/>
  <c r="K47" i="2"/>
  <c r="Y47" i="2"/>
  <c r="L47" i="2"/>
  <c r="J21" i="2"/>
  <c r="U47" i="2"/>
  <c r="J49" i="2"/>
  <c r="V22" i="2"/>
  <c r="V25" i="2" s="1"/>
  <c r="V53" i="2" s="1"/>
  <c r="J30" i="2"/>
  <c r="N48" i="2"/>
  <c r="N44" i="2"/>
  <c r="AA28" i="2"/>
  <c r="AB28" i="2" s="1"/>
  <c r="AC28" i="2" s="1"/>
  <c r="AD28" i="2" s="1"/>
  <c r="AE28" i="2" s="1"/>
  <c r="AF28" i="2" s="1"/>
  <c r="AG28" i="2" s="1"/>
  <c r="AH28" i="2" s="1"/>
  <c r="AI28" i="2" s="1"/>
  <c r="AJ28" i="2" s="1"/>
  <c r="Y52" i="2"/>
  <c r="AB26" i="2"/>
  <c r="AC26" i="2" s="1"/>
  <c r="AD26" i="2" s="1"/>
  <c r="M45" i="2"/>
  <c r="M18" i="2"/>
  <c r="M47" i="2" s="1"/>
  <c r="AC46" i="2"/>
  <c r="AB46" i="2"/>
  <c r="AA46" i="2"/>
  <c r="Z51" i="2"/>
  <c r="J18" i="2"/>
  <c r="E22" i="2"/>
  <c r="E25" i="2" s="1"/>
  <c r="I22" i="2"/>
  <c r="I25" i="2" s="1"/>
  <c r="T22" i="2"/>
  <c r="T25" i="2" s="1"/>
  <c r="U22" i="2"/>
  <c r="U25" i="2" s="1"/>
  <c r="L22" i="2"/>
  <c r="W22" i="2"/>
  <c r="W25" i="2" s="1"/>
  <c r="W31" i="2" s="1"/>
  <c r="W54" i="2" s="1"/>
  <c r="X22" i="2"/>
  <c r="Y22" i="2"/>
  <c r="G22" i="2"/>
  <c r="G25" i="2" s="1"/>
  <c r="K22" i="2"/>
  <c r="K50" i="2" s="1"/>
  <c r="H22" i="2"/>
  <c r="H25" i="2" s="1"/>
  <c r="AA51" i="2" l="1"/>
  <c r="AB51" i="2"/>
  <c r="AD23" i="2"/>
  <c r="AE23" i="2" s="1"/>
  <c r="AF23" i="2" s="1"/>
  <c r="AG23" i="2" s="1"/>
  <c r="AH23" i="2" s="1"/>
  <c r="AI23" i="2" s="1"/>
  <c r="AJ23" i="2" s="1"/>
  <c r="AJ51" i="2" s="1"/>
  <c r="AC51" i="2"/>
  <c r="Z61" i="2"/>
  <c r="Z60" i="2"/>
  <c r="J22" i="2"/>
  <c r="J25" i="2" s="1"/>
  <c r="J31" i="2" s="1"/>
  <c r="V31" i="2"/>
  <c r="V54" i="2" s="1"/>
  <c r="L25" i="2"/>
  <c r="L53" i="2" s="1"/>
  <c r="L50" i="2"/>
  <c r="Y25" i="2"/>
  <c r="Y53" i="2" s="1"/>
  <c r="Y50" i="2"/>
  <c r="X25" i="2"/>
  <c r="X53" i="2" s="1"/>
  <c r="X50" i="2"/>
  <c r="J52" i="2"/>
  <c r="AB30" i="2"/>
  <c r="AC30" i="2"/>
  <c r="I31" i="2"/>
  <c r="I53" i="2"/>
  <c r="H53" i="2"/>
  <c r="H31" i="2"/>
  <c r="H54" i="2" s="1"/>
  <c r="Z44" i="2"/>
  <c r="G53" i="2"/>
  <c r="G31" i="2"/>
  <c r="G54" i="2" s="1"/>
  <c r="E31" i="2"/>
  <c r="E53" i="2"/>
  <c r="W34" i="2"/>
  <c r="W36" i="2" s="1"/>
  <c r="W53" i="2"/>
  <c r="M48" i="2"/>
  <c r="M21" i="2"/>
  <c r="M22" i="2" s="1"/>
  <c r="M50" i="2" s="1"/>
  <c r="N49" i="2"/>
  <c r="Z18" i="2"/>
  <c r="Z47" i="2" s="1"/>
  <c r="N45" i="2"/>
  <c r="N18" i="2"/>
  <c r="N47" i="2" s="1"/>
  <c r="M49" i="2"/>
  <c r="U31" i="2"/>
  <c r="U53" i="2"/>
  <c r="T31" i="2"/>
  <c r="T53" i="2"/>
  <c r="AA30" i="2"/>
  <c r="AD30" i="2"/>
  <c r="AE26" i="2"/>
  <c r="AD51" i="2"/>
  <c r="AD46" i="2"/>
  <c r="K25" i="2"/>
  <c r="L31" i="2" l="1"/>
  <c r="L54" i="2" s="1"/>
  <c r="V34" i="2"/>
  <c r="V36" i="2" s="1"/>
  <c r="J53" i="2"/>
  <c r="X31" i="2"/>
  <c r="X54" i="2" s="1"/>
  <c r="Y31" i="2"/>
  <c r="Y54" i="2" s="1"/>
  <c r="M25" i="2"/>
  <c r="M53" i="2" s="1"/>
  <c r="G34" i="2"/>
  <c r="G36" i="2" s="1"/>
  <c r="W55" i="2"/>
  <c r="M52" i="2"/>
  <c r="U34" i="2"/>
  <c r="U54" i="2"/>
  <c r="Z21" i="2"/>
  <c r="Z22" i="2" s="1"/>
  <c r="Z50" i="2" s="1"/>
  <c r="AB15" i="2"/>
  <c r="AB19" i="2" s="1"/>
  <c r="AA48" i="2"/>
  <c r="AA44" i="2"/>
  <c r="Z48" i="2"/>
  <c r="E34" i="2"/>
  <c r="E54" i="2"/>
  <c r="Z45" i="2"/>
  <c r="N21" i="2"/>
  <c r="N22" i="2" s="1"/>
  <c r="N50" i="2" s="1"/>
  <c r="N52" i="2"/>
  <c r="H34" i="2"/>
  <c r="J34" i="2"/>
  <c r="J54" i="2"/>
  <c r="K53" i="2"/>
  <c r="K31" i="2"/>
  <c r="K54" i="2" s="1"/>
  <c r="T34" i="2"/>
  <c r="T54" i="2"/>
  <c r="I34" i="2"/>
  <c r="I54" i="2"/>
  <c r="AE30" i="2"/>
  <c r="AF26" i="2"/>
  <c r="AE51" i="2"/>
  <c r="AE46" i="2"/>
  <c r="G55" i="2" l="1"/>
  <c r="L34" i="2"/>
  <c r="L55" i="2" s="1"/>
  <c r="V55" i="2"/>
  <c r="X34" i="2"/>
  <c r="X55" i="2" s="1"/>
  <c r="Y34" i="2"/>
  <c r="Y55" i="2" s="1"/>
  <c r="M31" i="2"/>
  <c r="M34" i="2" s="1"/>
  <c r="N25" i="2"/>
  <c r="N53" i="2" s="1"/>
  <c r="Z52" i="2"/>
  <c r="I36" i="2"/>
  <c r="I55" i="2"/>
  <c r="Z49" i="2"/>
  <c r="AB16" i="2"/>
  <c r="AB18" i="2" s="1"/>
  <c r="AA20" i="2"/>
  <c r="AA49" i="2" s="1"/>
  <c r="AA45" i="2"/>
  <c r="T36" i="2"/>
  <c r="T55" i="2"/>
  <c r="U36" i="2"/>
  <c r="U55" i="2"/>
  <c r="H36" i="2"/>
  <c r="H55" i="2"/>
  <c r="E36" i="2"/>
  <c r="E55" i="2"/>
  <c r="AB48" i="2"/>
  <c r="AC15" i="2"/>
  <c r="AC19" i="2" s="1"/>
  <c r="AB44" i="2"/>
  <c r="J36" i="2"/>
  <c r="J55" i="2"/>
  <c r="AA18" i="2"/>
  <c r="K34" i="2"/>
  <c r="AF30" i="2"/>
  <c r="AG26" i="2"/>
  <c r="AF51" i="2"/>
  <c r="AF46" i="2"/>
  <c r="L36" i="2"/>
  <c r="Y36" i="2" l="1"/>
  <c r="X36" i="2"/>
  <c r="N31" i="2"/>
  <c r="N54" i="2" s="1"/>
  <c r="AA24" i="2"/>
  <c r="AA52" i="2" s="1"/>
  <c r="AA47" i="2"/>
  <c r="AB24" i="2"/>
  <c r="AB52" i="2" s="1"/>
  <c r="AB47" i="2"/>
  <c r="AA21" i="2"/>
  <c r="AA22" i="2" s="1"/>
  <c r="AA50" i="2" s="1"/>
  <c r="Z25" i="2"/>
  <c r="M36" i="2"/>
  <c r="M55" i="2"/>
  <c r="AC16" i="2"/>
  <c r="AC18" i="2" s="1"/>
  <c r="AC47" i="2" s="1"/>
  <c r="AB20" i="2"/>
  <c r="AB21" i="2" s="1"/>
  <c r="AB22" i="2" s="1"/>
  <c r="AB45" i="2"/>
  <c r="AD15" i="2"/>
  <c r="AD19" i="2" s="1"/>
  <c r="AC48" i="2"/>
  <c r="AC44" i="2"/>
  <c r="M54" i="2"/>
  <c r="K36" i="2"/>
  <c r="K55" i="2"/>
  <c r="AH26" i="2"/>
  <c r="AG30" i="2"/>
  <c r="AG51" i="2"/>
  <c r="AG46" i="2"/>
  <c r="AB25" i="2" l="1"/>
  <c r="AB31" i="2" s="1"/>
  <c r="AB32" i="2" s="1"/>
  <c r="AB50" i="2"/>
  <c r="AA25" i="2"/>
  <c r="AA31" i="2" s="1"/>
  <c r="AA32" i="2" s="1"/>
  <c r="AB49" i="2"/>
  <c r="N34" i="2"/>
  <c r="N36" i="2" s="1"/>
  <c r="Z53" i="2"/>
  <c r="Z31" i="2"/>
  <c r="AC24" i="2"/>
  <c r="AD16" i="2"/>
  <c r="AD18" i="2" s="1"/>
  <c r="AD47" i="2" s="1"/>
  <c r="AC20" i="2"/>
  <c r="AC21" i="2" s="1"/>
  <c r="AC22" i="2" s="1"/>
  <c r="AC50" i="2" s="1"/>
  <c r="AC45" i="2"/>
  <c r="AE15" i="2"/>
  <c r="AE19" i="2" s="1"/>
  <c r="AD44" i="2"/>
  <c r="AH30" i="2"/>
  <c r="AI26" i="2"/>
  <c r="AH51" i="2"/>
  <c r="AH46" i="2"/>
  <c r="N55" i="2" l="1"/>
  <c r="AB53" i="2"/>
  <c r="AC49" i="2"/>
  <c r="AA54" i="2"/>
  <c r="AA53" i="2"/>
  <c r="AD24" i="2"/>
  <c r="AD52" i="2" s="1"/>
  <c r="AE48" i="2"/>
  <c r="AF15" i="2"/>
  <c r="AF19" i="2" s="1"/>
  <c r="AE44" i="2"/>
  <c r="AE16" i="2"/>
  <c r="AE18" i="2" s="1"/>
  <c r="AD20" i="2"/>
  <c r="AD21" i="2" s="1"/>
  <c r="AD22" i="2" s="1"/>
  <c r="AD45" i="2"/>
  <c r="AC25" i="2"/>
  <c r="AC52" i="2"/>
  <c r="Z54" i="2"/>
  <c r="Z34" i="2"/>
  <c r="AB54" i="2"/>
  <c r="AD48" i="2"/>
  <c r="AJ26" i="2"/>
  <c r="AJ30" i="2" s="1"/>
  <c r="AI30" i="2"/>
  <c r="AI51" i="2"/>
  <c r="AI46" i="2"/>
  <c r="AD25" i="2" l="1"/>
  <c r="AD53" i="2" s="1"/>
  <c r="AD50" i="2"/>
  <c r="AE24" i="2"/>
  <c r="AE52" i="2" s="1"/>
  <c r="AE47" i="2"/>
  <c r="AD49" i="2"/>
  <c r="AA34" i="2"/>
  <c r="AC53" i="2"/>
  <c r="AC31" i="2"/>
  <c r="AC32" i="2" s="1"/>
  <c r="AG15" i="2"/>
  <c r="AG19" i="2" s="1"/>
  <c r="AF48" i="2"/>
  <c r="AF44" i="2"/>
  <c r="AF16" i="2"/>
  <c r="AE20" i="2"/>
  <c r="AE21" i="2" s="1"/>
  <c r="AE22" i="2" s="1"/>
  <c r="AE45" i="2"/>
  <c r="Z55" i="2"/>
  <c r="Z36" i="2"/>
  <c r="AB34" i="2"/>
  <c r="AD31" i="2" l="1"/>
  <c r="AE25" i="2"/>
  <c r="AE31" i="2" s="1"/>
  <c r="AE32" i="2" s="1"/>
  <c r="AE50" i="2"/>
  <c r="AA36" i="2"/>
  <c r="AA55" i="2"/>
  <c r="AE49" i="2"/>
  <c r="AB36" i="2"/>
  <c r="AB55" i="2"/>
  <c r="AC54" i="2"/>
  <c r="AG16" i="2"/>
  <c r="AF20" i="2"/>
  <c r="AF49" i="2" s="1"/>
  <c r="AF45" i="2"/>
  <c r="AH15" i="2"/>
  <c r="AH19" i="2" s="1"/>
  <c r="AG48" i="2"/>
  <c r="AG44" i="2"/>
  <c r="AF18" i="2"/>
  <c r="AD32" i="2" l="1"/>
  <c r="AD54" i="2" s="1"/>
  <c r="AF21" i="2"/>
  <c r="AF22" i="2" s="1"/>
  <c r="AE53" i="2"/>
  <c r="AF24" i="2"/>
  <c r="AF52" i="2" s="1"/>
  <c r="AF47" i="2"/>
  <c r="AC34" i="2"/>
  <c r="AH16" i="2"/>
  <c r="AH18" i="2" s="1"/>
  <c r="AG20" i="2"/>
  <c r="AG21" i="2" s="1"/>
  <c r="AG45" i="2"/>
  <c r="AI15" i="2"/>
  <c r="AI19" i="2" s="1"/>
  <c r="AH48" i="2"/>
  <c r="AH44" i="2"/>
  <c r="AE54" i="2"/>
  <c r="AG18" i="2"/>
  <c r="AC36" i="2" l="1"/>
  <c r="AD34" i="2"/>
  <c r="AD36" i="2" s="1"/>
  <c r="AG22" i="2"/>
  <c r="AG50" i="2" s="1"/>
  <c r="AG49" i="2"/>
  <c r="AF25" i="2"/>
  <c r="AF31" i="2" s="1"/>
  <c r="AF50" i="2"/>
  <c r="AC55" i="2"/>
  <c r="AE34" i="2"/>
  <c r="AE55" i="2" s="1"/>
  <c r="AH24" i="2"/>
  <c r="AH52" i="2" s="1"/>
  <c r="AH47" i="2"/>
  <c r="AG24" i="2"/>
  <c r="AG47" i="2"/>
  <c r="AJ15" i="2"/>
  <c r="AJ19" i="2" s="1"/>
  <c r="AI48" i="2"/>
  <c r="AI44" i="2"/>
  <c r="AI16" i="2"/>
  <c r="AH20" i="2"/>
  <c r="AH49" i="2" s="1"/>
  <c r="AH45" i="2"/>
  <c r="AD55" i="2" l="1"/>
  <c r="AF32" i="2"/>
  <c r="AF34" i="2" s="1"/>
  <c r="AG25" i="2"/>
  <c r="AG53" i="2" s="1"/>
  <c r="AE36" i="2"/>
  <c r="AG52" i="2"/>
  <c r="AF53" i="2"/>
  <c r="AH21" i="2"/>
  <c r="AH22" i="2" s="1"/>
  <c r="AJ16" i="2"/>
  <c r="AJ18" i="2" s="1"/>
  <c r="AI20" i="2"/>
  <c r="AI21" i="2" s="1"/>
  <c r="AI45" i="2"/>
  <c r="AJ44" i="2"/>
  <c r="AI18" i="2"/>
  <c r="AF54" i="2" l="1"/>
  <c r="AG31" i="2"/>
  <c r="AI49" i="2"/>
  <c r="AH25" i="2"/>
  <c r="AH50" i="2"/>
  <c r="AJ24" i="2"/>
  <c r="AJ52" i="2" s="1"/>
  <c r="AJ47" i="2"/>
  <c r="AI24" i="2"/>
  <c r="AI52" i="2" s="1"/>
  <c r="AI47" i="2"/>
  <c r="AI22" i="2"/>
  <c r="AI50" i="2" s="1"/>
  <c r="AJ20" i="2"/>
  <c r="AJ49" i="2" s="1"/>
  <c r="AJ45" i="2"/>
  <c r="AF55" i="2"/>
  <c r="AF36" i="2"/>
  <c r="AJ48" i="2"/>
  <c r="AG32" i="2" l="1"/>
  <c r="AG54" i="2" s="1"/>
  <c r="AI25" i="2"/>
  <c r="AI53" i="2" s="1"/>
  <c r="AH53" i="2"/>
  <c r="AH31" i="2"/>
  <c r="AJ21" i="2"/>
  <c r="AJ22" i="2" s="1"/>
  <c r="AG34" i="2" l="1"/>
  <c r="AG36" i="2" s="1"/>
  <c r="AH32" i="2"/>
  <c r="AH54" i="2" s="1"/>
  <c r="AI31" i="2"/>
  <c r="AJ25" i="2"/>
  <c r="AJ50" i="2"/>
  <c r="AG55" i="2" l="1"/>
  <c r="AH34" i="2"/>
  <c r="AH36" i="2" s="1"/>
  <c r="AI32" i="2"/>
  <c r="AI54" i="2" s="1"/>
  <c r="AJ53" i="2"/>
  <c r="AJ31" i="2"/>
  <c r="AH55" i="2" l="1"/>
  <c r="AJ32" i="2"/>
  <c r="AJ54" i="2" s="1"/>
  <c r="AI34" i="2"/>
  <c r="AI36" i="2" s="1"/>
  <c r="AI55" i="2" l="1"/>
  <c r="AJ34" i="2"/>
  <c r="AJ36" i="2" s="1"/>
  <c r="AK34" i="2" l="1"/>
  <c r="AL34" i="2" s="1"/>
  <c r="AM34" i="2" s="1"/>
  <c r="AN34" i="2" s="1"/>
  <c r="AO34" i="2" s="1"/>
  <c r="AP34" i="2" s="1"/>
  <c r="AQ34" i="2" s="1"/>
  <c r="AR34" i="2" s="1"/>
  <c r="AS34" i="2" s="1"/>
  <c r="AT34" i="2" s="1"/>
  <c r="AU34" i="2" s="1"/>
  <c r="AV34" i="2" s="1"/>
  <c r="AW34" i="2" s="1"/>
  <c r="AX34" i="2" s="1"/>
  <c r="AY34" i="2" s="1"/>
  <c r="AZ34" i="2" s="1"/>
  <c r="BA34" i="2" s="1"/>
  <c r="BB34" i="2" s="1"/>
  <c r="BC34" i="2" s="1"/>
  <c r="BD34" i="2" s="1"/>
  <c r="BE34" i="2" s="1"/>
  <c r="BF34" i="2" s="1"/>
  <c r="BG34" i="2" s="1"/>
  <c r="BH34" i="2" s="1"/>
  <c r="BI34" i="2" s="1"/>
  <c r="BJ34" i="2" s="1"/>
  <c r="BK34" i="2" s="1"/>
  <c r="BL34" i="2" s="1"/>
  <c r="BM34" i="2" s="1"/>
  <c r="BN34" i="2" s="1"/>
  <c r="BO34" i="2" s="1"/>
  <c r="BP34" i="2" s="1"/>
  <c r="BQ34" i="2" s="1"/>
  <c r="BR34" i="2" s="1"/>
  <c r="BS34" i="2" s="1"/>
  <c r="BT34" i="2" s="1"/>
  <c r="BU34" i="2" s="1"/>
  <c r="BV34" i="2" s="1"/>
  <c r="BW34" i="2" s="1"/>
  <c r="BX34" i="2" s="1"/>
  <c r="BY34" i="2" s="1"/>
  <c r="BZ34" i="2" s="1"/>
  <c r="CA34" i="2" s="1"/>
  <c r="CB34" i="2" s="1"/>
  <c r="CC34" i="2" s="1"/>
  <c r="CD34" i="2" s="1"/>
  <c r="CE34" i="2" s="1"/>
  <c r="CF34" i="2" s="1"/>
  <c r="CG34" i="2" s="1"/>
  <c r="CH34" i="2" s="1"/>
  <c r="CI34" i="2" s="1"/>
  <c r="CJ34" i="2" s="1"/>
  <c r="CK34" i="2" s="1"/>
  <c r="CL34" i="2" s="1"/>
  <c r="CM34" i="2" s="1"/>
  <c r="CN34" i="2" s="1"/>
  <c r="CO34" i="2" s="1"/>
  <c r="CP34" i="2" s="1"/>
  <c r="CQ34" i="2" s="1"/>
  <c r="CR34" i="2" s="1"/>
  <c r="CS34" i="2" s="1"/>
  <c r="CT34" i="2" s="1"/>
  <c r="CU34" i="2" s="1"/>
  <c r="CV34" i="2" s="1"/>
  <c r="CW34" i="2" s="1"/>
  <c r="CX34" i="2" s="1"/>
  <c r="CY34" i="2" s="1"/>
  <c r="CZ34" i="2" s="1"/>
  <c r="DA34" i="2" s="1"/>
  <c r="DB34" i="2" s="1"/>
  <c r="DC34" i="2" s="1"/>
  <c r="DD34" i="2" s="1"/>
  <c r="DE34" i="2" s="1"/>
  <c r="DF34" i="2" s="1"/>
  <c r="DG34" i="2" s="1"/>
  <c r="DH34" i="2" s="1"/>
  <c r="DI34" i="2" s="1"/>
  <c r="DJ34" i="2" s="1"/>
  <c r="DK34" i="2" s="1"/>
  <c r="DL34" i="2" s="1"/>
  <c r="DM34" i="2" s="1"/>
  <c r="DN34" i="2" s="1"/>
  <c r="DO34" i="2" s="1"/>
  <c r="DP34" i="2" s="1"/>
  <c r="DQ34" i="2" s="1"/>
  <c r="DR34" i="2" s="1"/>
  <c r="DS34" i="2" s="1"/>
  <c r="DT34" i="2" s="1"/>
  <c r="DU34" i="2" s="1"/>
  <c r="DV34" i="2" s="1"/>
  <c r="DW34" i="2" s="1"/>
  <c r="DX34" i="2" s="1"/>
  <c r="DY34" i="2" s="1"/>
  <c r="DZ34" i="2" s="1"/>
  <c r="EA34" i="2" s="1"/>
  <c r="EB34" i="2" s="1"/>
  <c r="EC34" i="2" s="1"/>
  <c r="ED34" i="2" s="1"/>
  <c r="EE34" i="2" s="1"/>
  <c r="EF34" i="2" s="1"/>
  <c r="EG34" i="2" s="1"/>
  <c r="EH34" i="2" s="1"/>
  <c r="EI34" i="2" s="1"/>
  <c r="EJ34" i="2" s="1"/>
  <c r="EK34" i="2" s="1"/>
  <c r="EL34" i="2" s="1"/>
  <c r="EM34" i="2" s="1"/>
  <c r="EN34" i="2" s="1"/>
  <c r="EO34" i="2" s="1"/>
  <c r="EP34" i="2" s="1"/>
  <c r="EQ34" i="2" s="1"/>
  <c r="AJ55" i="2"/>
  <c r="AN48" i="2" l="1"/>
  <c r="AN50" i="2" s="1"/>
  <c r="AN51" i="2" s="1"/>
  <c r="AN5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M4" authorId="0" shapeId="0" xr:uid="{D888B577-5DAF-4967-9D94-6F3B37904A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MV-75 increase</t>
        </r>
      </text>
    </comment>
    <comment ref="J8" authorId="0" shapeId="0" xr:uid="{6B57C472-E865-4C3B-8ED2-B7AEF149343C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Revenues at Textron Aviation of $1.3 billion were down $242 million from the fourth quarter of 2023, reflecting lower volume and mix of $282 million, which was principally a result of production disruptions related to the strike.</t>
        </r>
      </text>
    </comment>
  </commentList>
</comments>
</file>

<file path=xl/sharedStrings.xml><?xml version="1.0" encoding="utf-8"?>
<sst xmlns="http://schemas.openxmlformats.org/spreadsheetml/2006/main" count="92" uniqueCount="87">
  <si>
    <t>TXT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</si>
  <si>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</si>
  <si>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</si>
  <si>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</si>
  <si>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</si>
  <si>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</si>
  <si>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</si>
  <si>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</si>
  <si>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</si>
  <si>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</si>
  <si>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</si>
  <si>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</si>
  <si>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Product revenue</t>
  </si>
  <si>
    <t>Service revenue</t>
  </si>
  <si>
    <t>Finance revenue</t>
  </si>
  <si>
    <t>Total revenue</t>
  </si>
  <si>
    <t>Product cost</t>
  </si>
  <si>
    <t>Service cost</t>
  </si>
  <si>
    <t>Total cost of sales</t>
  </si>
  <si>
    <t>Gross profit</t>
  </si>
  <si>
    <t>R&amp;D</t>
  </si>
  <si>
    <t>S&amp;M</t>
  </si>
  <si>
    <t>Operating profit</t>
  </si>
  <si>
    <t>Interest expense</t>
  </si>
  <si>
    <t>Other expense</t>
  </si>
  <si>
    <t>Pension income</t>
  </si>
  <si>
    <t>Pretax profit</t>
  </si>
  <si>
    <t>Taxes</t>
  </si>
  <si>
    <t>MI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</si>
  <si>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</si>
  <si>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</si>
  <si>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</si>
  <si>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</si>
  <si>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</si>
  <si>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</si>
  <si>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</si>
  <si>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</si>
  <si>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</si>
  <si>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</si>
  <si>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</si>
  <si>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</si>
  <si>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</si>
  <si>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Total operating expense</t>
  </si>
  <si>
    <t>Gross Margin</t>
  </si>
  <si>
    <t>Product revenue y/y</t>
  </si>
  <si>
    <t>Service revenue y/y</t>
  </si>
  <si>
    <t>Finance revenue y/y</t>
  </si>
  <si>
    <t>Product Margin</t>
  </si>
  <si>
    <t>Service Margin</t>
  </si>
  <si>
    <t>R&amp;D y/y</t>
  </si>
  <si>
    <t>S&amp;M Margin</t>
  </si>
  <si>
    <t>Operating Margin</t>
  </si>
  <si>
    <t>Net Margin</t>
  </si>
  <si>
    <t>Restructuring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</si>
  <si>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</si>
  <si>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</si>
  <si>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</si>
  <si>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</si>
  <si>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</si>
  <si>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</si>
  <si>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</si>
  <si>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</si>
  <si>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</si>
  <si>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Revenue y/y</t>
  </si>
  <si>
    <t>L+S/E</t>
  </si>
  <si>
    <t>EV/B</t>
  </si>
  <si>
    <t>B/EV</t>
  </si>
  <si>
    <t>Textron Aviation</t>
  </si>
  <si>
    <t>Bell</t>
  </si>
  <si>
    <t>Textron Systems</t>
  </si>
  <si>
    <t>Industrial</t>
  </si>
  <si>
    <t>Textron eAviation</t>
  </si>
  <si>
    <t>Manufacturing revenue</t>
  </si>
  <si>
    <t>Textron Aviation y/y</t>
  </si>
  <si>
    <t>Bell y/y</t>
  </si>
  <si>
    <t>Textron Systems y/y</t>
  </si>
  <si>
    <t>Industrial y/y</t>
  </si>
  <si>
    <t>Textron eAviation y/y</t>
  </si>
  <si>
    <t>Textron Aviation backlog</t>
  </si>
  <si>
    <t>Bell backlog</t>
  </si>
  <si>
    <t>Textron Systems backlog</t>
  </si>
  <si>
    <t>Backlog</t>
  </si>
  <si>
    <t>Q126</t>
  </si>
  <si>
    <t>Q226</t>
  </si>
  <si>
    <t>Q326</t>
  </si>
  <si>
    <t>Q426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</si>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</sst>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3" fontId="5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3" fontId="8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</xdr:colOff>
      <xdr:row>0</xdr:row>
      <xdr:rowOff>0</xdr:rowOff>
    </xdr:from>
    <xdr:to>
      <xdr:col>14</xdr:col>
      <xdr:colOff>38100</xdr:colOff>
      <xdr:row>61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CA33743-82ED-3EA5-E9C0-25A45D458B6D}"/>
            </a:ext>
          </a:extLst>
        </xdr:cNvPr>
        <xdr:cNvCxnSpPr/>
      </xdr:nvCxnSpPr>
      <xdr:spPr>
        <a:xfrm>
          <a:off x="9502140" y="0"/>
          <a:ext cx="0" cy="11262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30480</xdr:colOff>
      <xdr:row>0</xdr:row>
      <xdr:rowOff>7620</xdr:rowOff>
    </xdr:from>
    <xdr:to>
      <xdr:col>26</xdr:col>
      <xdr:colOff>30480</xdr:colOff>
      <xdr:row>61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C11F25E-ABA9-2023-2CDF-29F261AB932B}"/>
            </a:ext>
          </a:extLst>
        </xdr:cNvPr>
        <xdr:cNvCxnSpPr/>
      </xdr:nvCxnSpPr>
      <xdr:spPr>
        <a:xfrm>
          <a:off x="16809720" y="7620"/>
          <a:ext cx="0" cy="11254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8912-EEFA-42C6-83E8-ED57D022B3D8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5" width="11.88671875" style="4" bestFit="1" customWidth="1"/>
    <col min="6" max="7" width="11.21875" style="4" bestFit="1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2" t="s">
        <v>0</v>
      </c>
      <c r="C3" s="1" t="s">
        <v>1</v>
      </c>
      <c r="D3" s="7">
        <v>98.09</v>
      </c>
      <c r="E3" s="5">
        <v>46067</v>
      </c>
      <c r="F3" s="5">
        <f ca="1">TODAY()</f>
        <v>46072</v>
      </c>
      <c r="G3" s="5">
        <v>46135</v>
      </c>
    </row>
    <row r="4" spans="2:7" x14ac:dyDescent="0.3">
      <c r="C4" s="1" t="s">
        <v>2</v>
      </c>
      <c r="D4" s="6">
        <f>174.2</f>
        <v>174.2</v>
      </c>
      <c r="E4" s="4" t="s">
        <v>41</v>
      </c>
    </row>
    <row r="5" spans="2:7" x14ac:dyDescent="0.3">
      <c r="C5" s="1" t="s">
        <v>3</v>
      </c>
      <c r="D5" s="6">
        <f>D3*D4</f>
        <v>17087.277999999998</v>
      </c>
    </row>
    <row r="6" spans="2:7" x14ac:dyDescent="0.3">
      <c r="C6" s="1" t="s">
        <v>4</v>
      </c>
      <c r="D6" s="6">
        <f>1940</f>
        <v>1940</v>
      </c>
      <c r="E6" s="4" t="s">
        <v>41</v>
      </c>
    </row>
    <row r="7" spans="2:7" x14ac:dyDescent="0.3">
      <c r="C7" s="1" t="s">
        <v>5</v>
      </c>
      <c r="D7" s="6">
        <f>5+3534</f>
        <v>3539</v>
      </c>
      <c r="E7" s="4" t="s">
        <v>41</v>
      </c>
    </row>
    <row r="8" spans="2:7" x14ac:dyDescent="0.3">
      <c r="C8" s="1" t="s">
        <v>6</v>
      </c>
      <c r="D8" s="6">
        <f>D6-D7</f>
        <v>-1599</v>
      </c>
    </row>
    <row r="9" spans="2:7" x14ac:dyDescent="0.3">
      <c r="C9" s="1" t="s">
        <v>7</v>
      </c>
      <c r="D9" s="6">
        <f>D5-D8</f>
        <v>18686.277999999998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FA5CA-858D-4D33-97A4-C210F9582581}">
  <dimension ref="B2:EQ61"/>
  <sheetViews>
    <sheetView tabSelected="1" workbookViewId="0">
      <pane xSplit="2" ySplit="2" topLeftCell="Z33" activePane="bottomRight" state="frozen"/>
      <selection pane="topRight" activeCell="C1" sqref="C1"/>
      <selection pane="bottomLeft" activeCell="A3" sqref="A3"/>
      <selection pane="bottomRight" activeCell="AN54" sqref="AN54"/>
    </sheetView>
  </sheetViews>
  <sheetFormatPr defaultRowHeight="14.4" x14ac:dyDescent="0.3"/>
  <cols>
    <col min="1" max="1" width="8.88671875" style="1"/>
    <col min="2" max="2" width="22.44140625" style="1" bestFit="1" customWidth="1"/>
    <col min="3" max="38" width="8.88671875" style="1"/>
    <col min="39" max="39" width="11.88671875" style="1" bestFit="1" customWidth="1"/>
    <col min="40" max="40" width="16.21875" style="1" bestFit="1" customWidth="1"/>
    <col min="41" max="16384" width="8.88671875" style="1"/>
  </cols>
  <sheetData>
    <row r="2" spans="2:36" x14ac:dyDescent="0.3">
      <c r="C2" s="3" t="s">
        <v>31</v>
      </c>
      <c r="D2" s="3" t="s">
        <v>32</v>
      </c>
      <c r="E2" s="3" t="s">
        <v>33</v>
      </c>
      <c r="F2" s="3" t="s">
        <v>34</v>
      </c>
      <c r="G2" s="3" t="s">
        <v>35</v>
      </c>
      <c r="H2" s="3" t="s">
        <v>36</v>
      </c>
      <c r="I2" s="3" t="s">
        <v>37</v>
      </c>
      <c r="J2" s="3" t="s">
        <v>38</v>
      </c>
      <c r="K2" s="3" t="s">
        <v>39</v>
      </c>
      <c r="L2" s="3" t="s">
        <v>11</v>
      </c>
      <c r="M2" s="3" t="s">
        <v>40</v>
      </c>
      <c r="N2" s="3" t="s">
        <v>41</v>
      </c>
      <c r="O2" s="3" t="s">
        <v>82</v>
      </c>
      <c r="P2" s="3" t="s">
        <v>83</v>
      </c>
      <c r="Q2" s="3" t="s">
        <v>84</v>
      </c>
      <c r="R2" s="3" t="s">
        <v>85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78</v>
      </c>
      <c r="C3" s="3"/>
      <c r="D3" s="3"/>
      <c r="E3" s="3"/>
      <c r="F3" s="3"/>
      <c r="G3" s="3"/>
      <c r="H3" s="3"/>
      <c r="I3" s="3"/>
      <c r="J3" s="3"/>
      <c r="K3" s="3"/>
      <c r="L3" s="14">
        <v>7850</v>
      </c>
      <c r="M3" s="14">
        <v>7700</v>
      </c>
      <c r="N3" s="14">
        <v>7700</v>
      </c>
      <c r="O3" s="3"/>
      <c r="P3" s="3"/>
      <c r="Q3" s="3"/>
      <c r="R3" s="3"/>
      <c r="X3" s="6">
        <v>7169</v>
      </c>
      <c r="Y3" s="6">
        <v>7845</v>
      </c>
      <c r="Z3" s="14">
        <v>7700</v>
      </c>
    </row>
    <row r="4" spans="2:36" x14ac:dyDescent="0.3">
      <c r="B4" s="1" t="s">
        <v>79</v>
      </c>
      <c r="C4" s="3"/>
      <c r="D4" s="3"/>
      <c r="E4" s="3"/>
      <c r="F4" s="3"/>
      <c r="G4" s="3"/>
      <c r="H4" s="3"/>
      <c r="I4" s="3"/>
      <c r="J4" s="3"/>
      <c r="K4" s="3"/>
      <c r="L4" s="14">
        <f>M4-1300</f>
        <v>6900</v>
      </c>
      <c r="M4" s="14">
        <v>8200</v>
      </c>
      <c r="N4" s="14">
        <v>7800</v>
      </c>
      <c r="O4" s="3"/>
      <c r="P4" s="3"/>
      <c r="Q4" s="3"/>
      <c r="R4" s="3"/>
      <c r="X4" s="6">
        <v>4780</v>
      </c>
      <c r="Y4" s="6">
        <v>7469</v>
      </c>
      <c r="Z4" s="14">
        <v>7800</v>
      </c>
    </row>
    <row r="5" spans="2:36" x14ac:dyDescent="0.3">
      <c r="B5" s="1" t="s">
        <v>80</v>
      </c>
      <c r="C5" s="3"/>
      <c r="D5" s="3"/>
      <c r="E5" s="3"/>
      <c r="F5" s="3"/>
      <c r="G5" s="3"/>
      <c r="H5" s="3"/>
      <c r="I5" s="3"/>
      <c r="J5" s="3"/>
      <c r="K5" s="3"/>
      <c r="L5" s="14">
        <f>M5-980</f>
        <v>2220</v>
      </c>
      <c r="M5" s="14">
        <v>3200</v>
      </c>
      <c r="N5" s="14">
        <v>3300</v>
      </c>
      <c r="O5" s="3"/>
      <c r="P5" s="3"/>
      <c r="Q5" s="3"/>
      <c r="R5" s="3"/>
      <c r="X5" s="6">
        <v>1950</v>
      </c>
      <c r="Y5" s="6">
        <v>2594</v>
      </c>
      <c r="Z5" s="14">
        <v>3300</v>
      </c>
    </row>
    <row r="6" spans="2:36" s="2" customFormat="1" x14ac:dyDescent="0.3">
      <c r="B6" s="2" t="s">
        <v>81</v>
      </c>
      <c r="C6" s="16"/>
      <c r="D6" s="16"/>
      <c r="E6" s="16"/>
      <c r="F6" s="16"/>
      <c r="G6" s="16"/>
      <c r="H6" s="16"/>
      <c r="I6" s="16"/>
      <c r="J6" s="16"/>
      <c r="K6" s="16"/>
      <c r="L6" s="17">
        <f>SUM(L3:L5)</f>
        <v>16970</v>
      </c>
      <c r="M6" s="17">
        <f>SUM(M3:M5)</f>
        <v>19100</v>
      </c>
      <c r="N6" s="17">
        <f>SUM(N3:N5)</f>
        <v>18800</v>
      </c>
      <c r="O6" s="16"/>
      <c r="P6" s="16"/>
      <c r="Q6" s="16"/>
      <c r="R6" s="16"/>
      <c r="X6" s="9">
        <f>SUM(X3:X5)</f>
        <v>13899</v>
      </c>
      <c r="Y6" s="9">
        <f>SUM(Y3:Y5)</f>
        <v>17908</v>
      </c>
      <c r="Z6" s="17">
        <f>SUM(Z3:Z5)</f>
        <v>18800</v>
      </c>
    </row>
    <row r="7" spans="2:36" x14ac:dyDescent="0.3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2:36" x14ac:dyDescent="0.3">
      <c r="B8" s="1" t="s">
        <v>67</v>
      </c>
      <c r="C8" s="3"/>
      <c r="D8" s="3"/>
      <c r="E8" s="14">
        <v>1338</v>
      </c>
      <c r="F8" s="14">
        <v>1524</v>
      </c>
      <c r="G8" s="14">
        <v>1188</v>
      </c>
      <c r="H8" s="14">
        <v>1475</v>
      </c>
      <c r="I8" s="14">
        <v>1339</v>
      </c>
      <c r="J8" s="14">
        <v>1282</v>
      </c>
      <c r="K8" s="14">
        <v>1212</v>
      </c>
      <c r="L8" s="14">
        <v>1517</v>
      </c>
      <c r="M8" s="14">
        <v>1477</v>
      </c>
      <c r="N8" s="14">
        <v>1749</v>
      </c>
      <c r="O8" s="14"/>
      <c r="P8" s="14"/>
      <c r="Q8" s="14"/>
      <c r="R8" s="14"/>
      <c r="Y8" s="14">
        <f>SUM(G8:J8)</f>
        <v>5284</v>
      </c>
      <c r="Z8" s="14">
        <f>SUM(K8:N8)</f>
        <v>5955</v>
      </c>
      <c r="AA8" s="18">
        <f>Z8*1.04</f>
        <v>6193.2</v>
      </c>
    </row>
    <row r="9" spans="2:36" x14ac:dyDescent="0.3">
      <c r="B9" s="1" t="s">
        <v>68</v>
      </c>
      <c r="C9" s="3"/>
      <c r="D9" s="3"/>
      <c r="E9" s="14">
        <v>754</v>
      </c>
      <c r="F9" s="14">
        <v>1071</v>
      </c>
      <c r="G9" s="14">
        <v>727</v>
      </c>
      <c r="H9" s="14">
        <v>794</v>
      </c>
      <c r="I9" s="14">
        <v>929</v>
      </c>
      <c r="J9" s="14">
        <v>1129</v>
      </c>
      <c r="K9" s="14">
        <v>983</v>
      </c>
      <c r="L9" s="14">
        <v>1016</v>
      </c>
      <c r="M9" s="14">
        <v>1026</v>
      </c>
      <c r="N9" s="14">
        <v>1257</v>
      </c>
      <c r="O9" s="14"/>
      <c r="P9" s="14"/>
      <c r="Q9" s="14"/>
      <c r="R9" s="14"/>
      <c r="Y9" s="14">
        <f t="shared" ref="Y9:Y12" si="0">SUM(G9:J9)</f>
        <v>3579</v>
      </c>
      <c r="Z9" s="14">
        <f t="shared" ref="Z9:Z12" si="1">SUM(K9:N9)</f>
        <v>4282</v>
      </c>
      <c r="AA9" s="18">
        <f>Z9*1.15</f>
        <v>4924.2999999999993</v>
      </c>
    </row>
    <row r="10" spans="2:36" x14ac:dyDescent="0.3">
      <c r="B10" s="1" t="s">
        <v>69</v>
      </c>
      <c r="C10" s="3"/>
      <c r="D10" s="3"/>
      <c r="E10" s="14">
        <v>309</v>
      </c>
      <c r="F10" s="14">
        <v>314</v>
      </c>
      <c r="G10" s="14">
        <v>306</v>
      </c>
      <c r="H10" s="14">
        <v>323</v>
      </c>
      <c r="I10" s="14">
        <v>301</v>
      </c>
      <c r="J10" s="14">
        <v>311</v>
      </c>
      <c r="K10" s="14">
        <v>296</v>
      </c>
      <c r="L10" s="14">
        <v>321</v>
      </c>
      <c r="M10" s="14">
        <v>307</v>
      </c>
      <c r="N10" s="14">
        <v>323</v>
      </c>
      <c r="O10" s="14"/>
      <c r="P10" s="14"/>
      <c r="Q10" s="14"/>
      <c r="R10" s="14"/>
      <c r="Y10" s="14">
        <f t="shared" si="0"/>
        <v>1241</v>
      </c>
      <c r="Z10" s="14">
        <f t="shared" si="1"/>
        <v>1247</v>
      </c>
      <c r="AA10" s="18">
        <f>Z10*1.01</f>
        <v>1259.47</v>
      </c>
    </row>
    <row r="11" spans="2:36" x14ac:dyDescent="0.3">
      <c r="B11" s="1" t="s">
        <v>70</v>
      </c>
      <c r="C11" s="3"/>
      <c r="D11" s="3"/>
      <c r="E11" s="14">
        <v>922</v>
      </c>
      <c r="F11" s="14">
        <v>961</v>
      </c>
      <c r="G11" s="14">
        <v>892</v>
      </c>
      <c r="H11" s="14">
        <v>914</v>
      </c>
      <c r="I11" s="14">
        <v>840</v>
      </c>
      <c r="J11" s="14">
        <v>869</v>
      </c>
      <c r="K11" s="14">
        <v>792</v>
      </c>
      <c r="L11" s="14">
        <v>839</v>
      </c>
      <c r="M11" s="14">
        <v>761</v>
      </c>
      <c r="N11" s="14">
        <v>821</v>
      </c>
      <c r="O11" s="14"/>
      <c r="P11" s="14"/>
      <c r="Q11" s="14"/>
      <c r="R11" s="14"/>
      <c r="Y11" s="14">
        <f t="shared" si="0"/>
        <v>3515</v>
      </c>
      <c r="Z11" s="14">
        <f t="shared" si="1"/>
        <v>3213</v>
      </c>
      <c r="AA11" s="18">
        <f>Z11*0.97</f>
        <v>3116.61</v>
      </c>
    </row>
    <row r="12" spans="2:36" x14ac:dyDescent="0.3">
      <c r="B12" s="1" t="s">
        <v>71</v>
      </c>
      <c r="C12" s="3"/>
      <c r="D12" s="3"/>
      <c r="E12" s="14">
        <v>7</v>
      </c>
      <c r="F12" s="14">
        <v>10</v>
      </c>
      <c r="G12" s="14">
        <v>7</v>
      </c>
      <c r="H12" s="14">
        <v>9</v>
      </c>
      <c r="I12" s="14">
        <v>6</v>
      </c>
      <c r="J12" s="14">
        <v>11</v>
      </c>
      <c r="K12" s="14">
        <v>7</v>
      </c>
      <c r="L12" s="14">
        <v>8</v>
      </c>
      <c r="M12" s="14">
        <v>5</v>
      </c>
      <c r="N12" s="14">
        <v>7</v>
      </c>
      <c r="O12" s="14"/>
      <c r="P12" s="14"/>
      <c r="Q12" s="14"/>
      <c r="R12" s="14"/>
      <c r="Y12" s="14">
        <f t="shared" si="0"/>
        <v>33</v>
      </c>
      <c r="Z12" s="14">
        <f t="shared" si="1"/>
        <v>27</v>
      </c>
      <c r="AA12" s="18">
        <f>Z12*1.3</f>
        <v>35.1</v>
      </c>
    </row>
    <row r="13" spans="2:36" s="2" customFormat="1" x14ac:dyDescent="0.3">
      <c r="B13" s="2" t="s">
        <v>72</v>
      </c>
      <c r="C13" s="16"/>
      <c r="D13" s="16"/>
      <c r="E13" s="17">
        <f t="shared" ref="E13:L13" si="2">SUM(E8:E12)</f>
        <v>3330</v>
      </c>
      <c r="F13" s="17">
        <f t="shared" si="2"/>
        <v>3880</v>
      </c>
      <c r="G13" s="17">
        <f t="shared" si="2"/>
        <v>3120</v>
      </c>
      <c r="H13" s="17">
        <f t="shared" si="2"/>
        <v>3515</v>
      </c>
      <c r="I13" s="17">
        <f t="shared" si="2"/>
        <v>3415</v>
      </c>
      <c r="J13" s="17">
        <f t="shared" si="2"/>
        <v>3602</v>
      </c>
      <c r="K13" s="17">
        <f t="shared" si="2"/>
        <v>3290</v>
      </c>
      <c r="L13" s="17">
        <f t="shared" si="2"/>
        <v>3701</v>
      </c>
      <c r="M13" s="17">
        <f t="shared" ref="M13:N13" si="3">SUM(M8:M12)</f>
        <v>3576</v>
      </c>
      <c r="N13" s="17">
        <f t="shared" si="3"/>
        <v>4157</v>
      </c>
      <c r="O13" s="17"/>
      <c r="P13" s="17"/>
      <c r="Q13" s="17"/>
      <c r="R13" s="17"/>
      <c r="Y13" s="17">
        <f t="shared" ref="Y13:AA13" si="4">SUM(Y8:Y12)</f>
        <v>13652</v>
      </c>
      <c r="Z13" s="17">
        <f t="shared" si="4"/>
        <v>14724</v>
      </c>
      <c r="AA13" s="19">
        <f t="shared" si="4"/>
        <v>15528.68</v>
      </c>
    </row>
    <row r="14" spans="2:36" x14ac:dyDescent="0.3">
      <c r="C14" s="3"/>
      <c r="D14" s="3"/>
      <c r="E14" s="3"/>
      <c r="F14" s="3"/>
      <c r="G14" s="3"/>
      <c r="H14" s="14"/>
      <c r="I14" s="3"/>
      <c r="J14" s="3"/>
      <c r="K14" s="3"/>
      <c r="L14" s="14"/>
      <c r="M14" s="3"/>
      <c r="N14" s="3"/>
      <c r="O14" s="3"/>
      <c r="P14" s="3"/>
      <c r="Q14" s="3"/>
      <c r="R14" s="3"/>
    </row>
    <row r="15" spans="2:36" x14ac:dyDescent="0.3">
      <c r="B15" s="1" t="s">
        <v>12</v>
      </c>
      <c r="E15" s="6">
        <v>2791</v>
      </c>
      <c r="G15" s="6">
        <v>2432</v>
      </c>
      <c r="H15" s="6">
        <v>2842</v>
      </c>
      <c r="I15" s="6">
        <v>2955</v>
      </c>
      <c r="J15" s="6">
        <f>Y15-I15-H15-G15</f>
        <v>3146</v>
      </c>
      <c r="K15" s="6">
        <v>2771</v>
      </c>
      <c r="L15" s="6">
        <v>3197</v>
      </c>
      <c r="M15" s="6">
        <v>3114</v>
      </c>
      <c r="N15" s="6">
        <f>Z15-M15-L15-K15</f>
        <v>3650</v>
      </c>
      <c r="O15" s="6"/>
      <c r="P15" s="6"/>
      <c r="Q15" s="6"/>
      <c r="R15" s="6"/>
      <c r="T15" s="6">
        <v>11690</v>
      </c>
      <c r="U15" s="6">
        <v>9720</v>
      </c>
      <c r="V15" s="6">
        <v>10541</v>
      </c>
      <c r="W15" s="6">
        <v>10945</v>
      </c>
      <c r="X15" s="6">
        <v>11573</v>
      </c>
      <c r="Y15" s="6">
        <v>11375</v>
      </c>
      <c r="Z15" s="6">
        <v>12732</v>
      </c>
      <c r="AA15" s="6">
        <f>Z15*1.05</f>
        <v>13368.6</v>
      </c>
      <c r="AB15" s="6">
        <f>AA15*1.05</f>
        <v>14037.03</v>
      </c>
      <c r="AC15" s="6">
        <f>AB15*1.04</f>
        <v>14598.511200000001</v>
      </c>
      <c r="AD15" s="6">
        <f>AC15*1.03</f>
        <v>15036.466536000002</v>
      </c>
      <c r="AE15" s="6">
        <f>AD15*1.02</f>
        <v>15337.195866720002</v>
      </c>
      <c r="AF15" s="6">
        <f t="shared" ref="AF15:AJ15" si="5">AE15*1.02</f>
        <v>15643.939784054402</v>
      </c>
      <c r="AG15" s="6">
        <f t="shared" si="5"/>
        <v>15956.818579735491</v>
      </c>
      <c r="AH15" s="6">
        <f t="shared" si="5"/>
        <v>16275.954951330201</v>
      </c>
      <c r="AI15" s="6">
        <f t="shared" si="5"/>
        <v>16601.474050356806</v>
      </c>
      <c r="AJ15" s="6">
        <f t="shared" si="5"/>
        <v>16933.503531363942</v>
      </c>
    </row>
    <row r="16" spans="2:36" x14ac:dyDescent="0.3">
      <c r="B16" s="1" t="s">
        <v>13</v>
      </c>
      <c r="E16" s="6">
        <v>539</v>
      </c>
      <c r="G16" s="6">
        <v>688</v>
      </c>
      <c r="H16" s="6">
        <v>673</v>
      </c>
      <c r="I16" s="6">
        <v>460</v>
      </c>
      <c r="J16" s="6">
        <f>Y16-I16-H16-G16</f>
        <v>456</v>
      </c>
      <c r="K16" s="6">
        <v>519</v>
      </c>
      <c r="L16" s="6">
        <v>504</v>
      </c>
      <c r="M16" s="6">
        <v>462</v>
      </c>
      <c r="N16" s="6">
        <f>Z16-M16-L16-K16</f>
        <v>507</v>
      </c>
      <c r="O16" s="6"/>
      <c r="P16" s="6"/>
      <c r="Q16" s="6"/>
      <c r="R16" s="6"/>
      <c r="T16" s="6">
        <v>1874</v>
      </c>
      <c r="U16" s="6">
        <v>1876</v>
      </c>
      <c r="V16" s="6">
        <v>1792</v>
      </c>
      <c r="W16" s="6">
        <v>1872</v>
      </c>
      <c r="X16" s="6">
        <v>2055</v>
      </c>
      <c r="Y16" s="6">
        <v>2277</v>
      </c>
      <c r="Z16" s="6">
        <v>1992</v>
      </c>
      <c r="AA16" s="6">
        <f>Z16*1.04</f>
        <v>2071.6800000000003</v>
      </c>
      <c r="AB16" s="6">
        <f>AA16*1.03</f>
        <v>2133.8304000000003</v>
      </c>
      <c r="AC16" s="6">
        <f>AB16*1.02</f>
        <v>2176.5070080000005</v>
      </c>
      <c r="AD16" s="6">
        <f t="shared" ref="AD16:AJ16" si="6">AC16*1.02</f>
        <v>2220.0371481600005</v>
      </c>
      <c r="AE16" s="6">
        <f t="shared" si="6"/>
        <v>2264.4378911232006</v>
      </c>
      <c r="AF16" s="6">
        <f t="shared" si="6"/>
        <v>2309.7266489456647</v>
      </c>
      <c r="AG16" s="6">
        <f t="shared" si="6"/>
        <v>2355.9211819245779</v>
      </c>
      <c r="AH16" s="6">
        <f t="shared" si="6"/>
        <v>2403.0396055630695</v>
      </c>
      <c r="AI16" s="6">
        <f t="shared" si="6"/>
        <v>2451.1003976743309</v>
      </c>
      <c r="AJ16" s="6">
        <f t="shared" si="6"/>
        <v>2500.1224056278174</v>
      </c>
    </row>
    <row r="17" spans="2:36" x14ac:dyDescent="0.3">
      <c r="B17" s="1" t="s">
        <v>14</v>
      </c>
      <c r="E17" s="6">
        <v>13</v>
      </c>
      <c r="G17" s="6">
        <v>15</v>
      </c>
      <c r="H17" s="6">
        <v>12</v>
      </c>
      <c r="I17" s="6">
        <v>12</v>
      </c>
      <c r="J17" s="6">
        <f>Y17-I17-H17-G17</f>
        <v>11</v>
      </c>
      <c r="K17" s="6">
        <v>16</v>
      </c>
      <c r="L17" s="6">
        <v>15</v>
      </c>
      <c r="M17" s="6">
        <v>26</v>
      </c>
      <c r="N17" s="6">
        <v>18</v>
      </c>
      <c r="O17" s="6"/>
      <c r="P17" s="6"/>
      <c r="Q17" s="6"/>
      <c r="R17" s="6"/>
      <c r="T17" s="6">
        <v>66</v>
      </c>
      <c r="U17" s="6">
        <v>55</v>
      </c>
      <c r="V17" s="6">
        <v>49</v>
      </c>
      <c r="W17" s="6">
        <v>52</v>
      </c>
      <c r="X17" s="6">
        <v>55</v>
      </c>
      <c r="Y17" s="6">
        <v>50</v>
      </c>
      <c r="Z17" s="6">
        <v>75</v>
      </c>
      <c r="AA17" s="6">
        <f>Z17*1.06</f>
        <v>79.5</v>
      </c>
      <c r="AB17" s="6">
        <f t="shared" ref="AB17:AJ17" si="7">AA17*1.06</f>
        <v>84.27000000000001</v>
      </c>
      <c r="AC17" s="6">
        <f t="shared" si="7"/>
        <v>89.326200000000014</v>
      </c>
      <c r="AD17" s="6">
        <f t="shared" si="7"/>
        <v>94.685772000000014</v>
      </c>
      <c r="AE17" s="6">
        <f t="shared" si="7"/>
        <v>100.36691832000002</v>
      </c>
      <c r="AF17" s="6">
        <f t="shared" si="7"/>
        <v>106.38893341920003</v>
      </c>
      <c r="AG17" s="6">
        <f t="shared" si="7"/>
        <v>112.77226942435203</v>
      </c>
      <c r="AH17" s="6">
        <f t="shared" si="7"/>
        <v>119.53860558981316</v>
      </c>
      <c r="AI17" s="6">
        <f t="shared" si="7"/>
        <v>126.71092192520196</v>
      </c>
      <c r="AJ17" s="6">
        <f t="shared" si="7"/>
        <v>134.3135772407141</v>
      </c>
    </row>
    <row r="18" spans="2:36" s="2" customFormat="1" x14ac:dyDescent="0.3">
      <c r="B18" s="2" t="s">
        <v>15</v>
      </c>
      <c r="E18" s="9">
        <f>SUM(E15:E17)</f>
        <v>3343</v>
      </c>
      <c r="G18" s="9">
        <f t="shared" ref="G18:L18" si="8">SUM(G15:G17)</f>
        <v>3135</v>
      </c>
      <c r="H18" s="9">
        <f t="shared" si="8"/>
        <v>3527</v>
      </c>
      <c r="I18" s="9">
        <f t="shared" si="8"/>
        <v>3427</v>
      </c>
      <c r="J18" s="9">
        <f t="shared" si="8"/>
        <v>3613</v>
      </c>
      <c r="K18" s="9">
        <f t="shared" si="8"/>
        <v>3306</v>
      </c>
      <c r="L18" s="9">
        <f t="shared" si="8"/>
        <v>3716</v>
      </c>
      <c r="M18" s="9">
        <f t="shared" ref="M18:N18" si="9">SUM(M15:M17)</f>
        <v>3602</v>
      </c>
      <c r="N18" s="9">
        <f t="shared" si="9"/>
        <v>4175</v>
      </c>
      <c r="O18" s="9"/>
      <c r="P18" s="9"/>
      <c r="Q18" s="9"/>
      <c r="R18" s="9"/>
      <c r="T18" s="9">
        <f t="shared" ref="T18:Z18" si="10">SUM(T15:T17)</f>
        <v>13630</v>
      </c>
      <c r="U18" s="9">
        <f t="shared" si="10"/>
        <v>11651</v>
      </c>
      <c r="V18" s="9">
        <f t="shared" si="10"/>
        <v>12382</v>
      </c>
      <c r="W18" s="9">
        <f t="shared" si="10"/>
        <v>12869</v>
      </c>
      <c r="X18" s="9">
        <f t="shared" si="10"/>
        <v>13683</v>
      </c>
      <c r="Y18" s="9">
        <f t="shared" si="10"/>
        <v>13702</v>
      </c>
      <c r="Z18" s="9">
        <f t="shared" si="10"/>
        <v>14799</v>
      </c>
      <c r="AA18" s="9">
        <f t="shared" ref="AA18:AJ18" si="11">SUM(AA15:AA17)</f>
        <v>15519.78</v>
      </c>
      <c r="AB18" s="9">
        <f t="shared" si="11"/>
        <v>16255.130400000002</v>
      </c>
      <c r="AC18" s="9">
        <f t="shared" si="11"/>
        <v>16864.344408000001</v>
      </c>
      <c r="AD18" s="9">
        <f t="shared" si="11"/>
        <v>17351.189456160002</v>
      </c>
      <c r="AE18" s="9">
        <f t="shared" si="11"/>
        <v>17702.000676163203</v>
      </c>
      <c r="AF18" s="9">
        <f t="shared" si="11"/>
        <v>18060.055366419267</v>
      </c>
      <c r="AG18" s="9">
        <f t="shared" si="11"/>
        <v>18425.512031084421</v>
      </c>
      <c r="AH18" s="9">
        <f t="shared" si="11"/>
        <v>18798.533162483083</v>
      </c>
      <c r="AI18" s="9">
        <f t="shared" si="11"/>
        <v>19179.285369956338</v>
      </c>
      <c r="AJ18" s="9">
        <f t="shared" si="11"/>
        <v>19567.939514232476</v>
      </c>
    </row>
    <row r="19" spans="2:36" x14ac:dyDescent="0.3">
      <c r="B19" s="1" t="s">
        <v>16</v>
      </c>
      <c r="E19" s="6">
        <v>2355</v>
      </c>
      <c r="G19" s="6">
        <v>1925</v>
      </c>
      <c r="H19" s="6">
        <v>2281</v>
      </c>
      <c r="I19" s="6">
        <v>2462</v>
      </c>
      <c r="J19" s="6">
        <f>Y19-I19-H19-G19</f>
        <v>2735</v>
      </c>
      <c r="K19" s="6">
        <v>2277</v>
      </c>
      <c r="L19" s="6">
        <v>2630</v>
      </c>
      <c r="M19" s="6">
        <v>2597</v>
      </c>
      <c r="N19" s="6">
        <f>Z19-M19-L19-K19</f>
        <v>3104</v>
      </c>
      <c r="O19" s="6"/>
      <c r="P19" s="6"/>
      <c r="Q19" s="6"/>
      <c r="R19" s="6"/>
      <c r="T19" s="6">
        <v>9982</v>
      </c>
      <c r="U19" s="6">
        <v>8715</v>
      </c>
      <c r="V19" s="6">
        <v>8955</v>
      </c>
      <c r="W19" s="6">
        <v>8787</v>
      </c>
      <c r="X19" s="6">
        <v>9206</v>
      </c>
      <c r="Y19" s="6">
        <v>9403</v>
      </c>
      <c r="Z19" s="6">
        <v>10608</v>
      </c>
      <c r="AA19" s="6">
        <f>AA15*0.82</f>
        <v>10962.252</v>
      </c>
      <c r="AB19" s="6">
        <f>AB15*0.81</f>
        <v>11369.994300000002</v>
      </c>
      <c r="AC19" s="6">
        <f t="shared" ref="AC19:AJ19" si="12">AC15*0.81</f>
        <v>11824.794072000001</v>
      </c>
      <c r="AD19" s="6">
        <f t="shared" si="12"/>
        <v>12179.537894160003</v>
      </c>
      <c r="AE19" s="6">
        <f t="shared" si="12"/>
        <v>12423.128652043202</v>
      </c>
      <c r="AF19" s="6">
        <f t="shared" si="12"/>
        <v>12671.591225084067</v>
      </c>
      <c r="AG19" s="6">
        <f t="shared" si="12"/>
        <v>12925.023049585749</v>
      </c>
      <c r="AH19" s="6">
        <f t="shared" si="12"/>
        <v>13183.523510577463</v>
      </c>
      <c r="AI19" s="6">
        <f t="shared" si="12"/>
        <v>13447.193980789014</v>
      </c>
      <c r="AJ19" s="6">
        <f t="shared" si="12"/>
        <v>13716.137860404793</v>
      </c>
    </row>
    <row r="20" spans="2:36" x14ac:dyDescent="0.3">
      <c r="B20" s="1" t="s">
        <v>17</v>
      </c>
      <c r="E20" s="6">
        <v>424</v>
      </c>
      <c r="G20" s="6">
        <v>545</v>
      </c>
      <c r="H20" s="6">
        <v>553</v>
      </c>
      <c r="I20" s="6">
        <v>347</v>
      </c>
      <c r="J20" s="6">
        <f>Y20-I20-H20-G20</f>
        <v>352</v>
      </c>
      <c r="K20" s="6">
        <v>395</v>
      </c>
      <c r="L20" s="6">
        <v>377</v>
      </c>
      <c r="M20" s="6">
        <v>351</v>
      </c>
      <c r="N20" s="6">
        <f>Z20-M20-L20-K20</f>
        <v>373</v>
      </c>
      <c r="O20" s="6"/>
      <c r="P20" s="6"/>
      <c r="Q20" s="6"/>
      <c r="R20" s="6"/>
      <c r="T20" s="6">
        <v>1424</v>
      </c>
      <c r="U20" s="6">
        <v>1379</v>
      </c>
      <c r="V20" s="6">
        <v>1342</v>
      </c>
      <c r="W20" s="6">
        <v>1412</v>
      </c>
      <c r="X20" s="6">
        <v>1629</v>
      </c>
      <c r="Y20" s="6">
        <v>1797</v>
      </c>
      <c r="Z20" s="6">
        <v>1496</v>
      </c>
      <c r="AA20" s="6">
        <f>AA16*0.75</f>
        <v>1553.7600000000002</v>
      </c>
      <c r="AB20" s="6">
        <f t="shared" ref="AB20:AJ20" si="13">AB16*0.75</f>
        <v>1600.3728000000001</v>
      </c>
      <c r="AC20" s="6">
        <f t="shared" si="13"/>
        <v>1632.3802560000004</v>
      </c>
      <c r="AD20" s="6">
        <f t="shared" si="13"/>
        <v>1665.0278611200004</v>
      </c>
      <c r="AE20" s="6">
        <f t="shared" si="13"/>
        <v>1698.3284183424005</v>
      </c>
      <c r="AF20" s="6">
        <f t="shared" si="13"/>
        <v>1732.2949867092484</v>
      </c>
      <c r="AG20" s="6">
        <f t="shared" si="13"/>
        <v>1766.9408864434336</v>
      </c>
      <c r="AH20" s="6">
        <f t="shared" si="13"/>
        <v>1802.279704172302</v>
      </c>
      <c r="AI20" s="6">
        <f t="shared" si="13"/>
        <v>1838.3252982557483</v>
      </c>
      <c r="AJ20" s="6">
        <f t="shared" si="13"/>
        <v>1875.0918042208632</v>
      </c>
    </row>
    <row r="21" spans="2:36" x14ac:dyDescent="0.3">
      <c r="B21" s="1" t="s">
        <v>18</v>
      </c>
      <c r="E21" s="6">
        <f>SUM(E19:E20)</f>
        <v>2779</v>
      </c>
      <c r="G21" s="6">
        <f t="shared" ref="G21:L21" si="14">SUM(G19:G20)</f>
        <v>2470</v>
      </c>
      <c r="H21" s="6">
        <f t="shared" si="14"/>
        <v>2834</v>
      </c>
      <c r="I21" s="6">
        <f t="shared" si="14"/>
        <v>2809</v>
      </c>
      <c r="J21" s="6">
        <f t="shared" si="14"/>
        <v>3087</v>
      </c>
      <c r="K21" s="6">
        <f t="shared" si="14"/>
        <v>2672</v>
      </c>
      <c r="L21" s="6">
        <f t="shared" si="14"/>
        <v>3007</v>
      </c>
      <c r="M21" s="6">
        <f t="shared" ref="M21:N21" si="15">SUM(M19:M20)</f>
        <v>2948</v>
      </c>
      <c r="N21" s="6">
        <f t="shared" si="15"/>
        <v>3477</v>
      </c>
      <c r="O21" s="6"/>
      <c r="P21" s="6"/>
      <c r="Q21" s="6"/>
      <c r="R21" s="6"/>
      <c r="T21" s="6">
        <f t="shared" ref="T21:Z21" si="16">SUM(T19:T20)</f>
        <v>11406</v>
      </c>
      <c r="U21" s="6">
        <f t="shared" si="16"/>
        <v>10094</v>
      </c>
      <c r="V21" s="6">
        <f t="shared" si="16"/>
        <v>10297</v>
      </c>
      <c r="W21" s="6">
        <f t="shared" si="16"/>
        <v>10199</v>
      </c>
      <c r="X21" s="6">
        <f t="shared" si="16"/>
        <v>10835</v>
      </c>
      <c r="Y21" s="6">
        <f t="shared" si="16"/>
        <v>11200</v>
      </c>
      <c r="Z21" s="6">
        <f t="shared" si="16"/>
        <v>12104</v>
      </c>
      <c r="AA21" s="6">
        <f t="shared" ref="AA21:AJ21" si="17">SUM(AA19:AA20)</f>
        <v>12516.012000000001</v>
      </c>
      <c r="AB21" s="6">
        <f t="shared" si="17"/>
        <v>12970.367100000003</v>
      </c>
      <c r="AC21" s="6">
        <f t="shared" si="17"/>
        <v>13457.174328000001</v>
      </c>
      <c r="AD21" s="6">
        <f t="shared" si="17"/>
        <v>13844.565755280004</v>
      </c>
      <c r="AE21" s="6">
        <f t="shared" si="17"/>
        <v>14121.457070385602</v>
      </c>
      <c r="AF21" s="6">
        <f t="shared" si="17"/>
        <v>14403.886211793315</v>
      </c>
      <c r="AG21" s="6">
        <f t="shared" si="17"/>
        <v>14691.963936029182</v>
      </c>
      <c r="AH21" s="6">
        <f t="shared" si="17"/>
        <v>14985.803214749765</v>
      </c>
      <c r="AI21" s="6">
        <f t="shared" si="17"/>
        <v>15285.519279044762</v>
      </c>
      <c r="AJ21" s="6">
        <f t="shared" si="17"/>
        <v>15591.229664625656</v>
      </c>
    </row>
    <row r="22" spans="2:36" s="2" customFormat="1" x14ac:dyDescent="0.3">
      <c r="B22" s="2" t="s">
        <v>19</v>
      </c>
      <c r="E22" s="9">
        <f>E18-E21</f>
        <v>564</v>
      </c>
      <c r="G22" s="9">
        <f t="shared" ref="G22:L22" si="18">G18-G21</f>
        <v>665</v>
      </c>
      <c r="H22" s="9">
        <f t="shared" si="18"/>
        <v>693</v>
      </c>
      <c r="I22" s="9">
        <f t="shared" si="18"/>
        <v>618</v>
      </c>
      <c r="J22" s="9">
        <f t="shared" si="18"/>
        <v>526</v>
      </c>
      <c r="K22" s="9">
        <f t="shared" si="18"/>
        <v>634</v>
      </c>
      <c r="L22" s="9">
        <f t="shared" si="18"/>
        <v>709</v>
      </c>
      <c r="M22" s="9">
        <f t="shared" ref="M22:N22" si="19">M18-M21</f>
        <v>654</v>
      </c>
      <c r="N22" s="9">
        <f t="shared" si="19"/>
        <v>698</v>
      </c>
      <c r="O22" s="9"/>
      <c r="P22" s="9"/>
      <c r="Q22" s="9"/>
      <c r="R22" s="9"/>
      <c r="T22" s="9">
        <f t="shared" ref="T22:Z22" si="20">T18-T21</f>
        <v>2224</v>
      </c>
      <c r="U22" s="9">
        <f t="shared" si="20"/>
        <v>1557</v>
      </c>
      <c r="V22" s="9">
        <f t="shared" si="20"/>
        <v>2085</v>
      </c>
      <c r="W22" s="9">
        <f t="shared" si="20"/>
        <v>2670</v>
      </c>
      <c r="X22" s="9">
        <f t="shared" si="20"/>
        <v>2848</v>
      </c>
      <c r="Y22" s="9">
        <f t="shared" si="20"/>
        <v>2502</v>
      </c>
      <c r="Z22" s="9">
        <f t="shared" si="20"/>
        <v>2695</v>
      </c>
      <c r="AA22" s="9">
        <f t="shared" ref="AA22:AJ22" si="21">AA18-AA21</f>
        <v>3003.768</v>
      </c>
      <c r="AB22" s="9">
        <f t="shared" si="21"/>
        <v>3284.7632999999987</v>
      </c>
      <c r="AC22" s="9">
        <f t="shared" si="21"/>
        <v>3407.1700799999999</v>
      </c>
      <c r="AD22" s="9">
        <f t="shared" si="21"/>
        <v>3506.6237008799981</v>
      </c>
      <c r="AE22" s="9">
        <f t="shared" si="21"/>
        <v>3580.5436057776005</v>
      </c>
      <c r="AF22" s="9">
        <f t="shared" si="21"/>
        <v>3656.1691546259517</v>
      </c>
      <c r="AG22" s="9">
        <f t="shared" si="21"/>
        <v>3733.5480950552392</v>
      </c>
      <c r="AH22" s="9">
        <f t="shared" si="21"/>
        <v>3812.7299477333181</v>
      </c>
      <c r="AI22" s="9">
        <f t="shared" si="21"/>
        <v>3893.7660909115766</v>
      </c>
      <c r="AJ22" s="9">
        <f t="shared" si="21"/>
        <v>3976.7098496068193</v>
      </c>
    </row>
    <row r="23" spans="2:36" x14ac:dyDescent="0.3">
      <c r="B23" s="1" t="s">
        <v>20</v>
      </c>
      <c r="E23" s="6"/>
      <c r="G23" s="6">
        <v>144</v>
      </c>
      <c r="H23" s="6">
        <v>105</v>
      </c>
      <c r="I23" s="6">
        <v>126</v>
      </c>
      <c r="J23" s="6">
        <f>Y23-I23-H23-G23</f>
        <v>116</v>
      </c>
      <c r="K23" s="6">
        <v>132</v>
      </c>
      <c r="L23" s="6">
        <f>137</f>
        <v>137</v>
      </c>
      <c r="M23" s="6">
        <v>118</v>
      </c>
      <c r="N23" s="6">
        <f t="shared" ref="N23:N24" si="22">Z23-M23-L23-K23</f>
        <v>134</v>
      </c>
      <c r="O23" s="6"/>
      <c r="P23" s="6"/>
      <c r="Q23" s="6"/>
      <c r="R23" s="6"/>
      <c r="T23" s="6"/>
      <c r="U23" s="6"/>
      <c r="V23" s="6"/>
      <c r="W23" s="6">
        <v>601</v>
      </c>
      <c r="X23" s="6">
        <v>570</v>
      </c>
      <c r="Y23" s="6">
        <v>491</v>
      </c>
      <c r="Z23" s="6">
        <v>521</v>
      </c>
      <c r="AA23" s="6">
        <f>Z23*1.05</f>
        <v>547.05000000000007</v>
      </c>
      <c r="AB23" s="6">
        <f>AA23*1.04</f>
        <v>568.93200000000013</v>
      </c>
      <c r="AC23" s="6">
        <f>AB23*1.03</f>
        <v>585.9999600000001</v>
      </c>
      <c r="AD23" s="6">
        <f>AC23*1.02</f>
        <v>597.71995920000006</v>
      </c>
      <c r="AE23" s="6">
        <f t="shared" ref="AE23:AJ23" si="23">AD23*1.02</f>
        <v>609.67435838400013</v>
      </c>
      <c r="AF23" s="6">
        <f t="shared" si="23"/>
        <v>621.86784555168015</v>
      </c>
      <c r="AG23" s="6">
        <f t="shared" si="23"/>
        <v>634.30520246271374</v>
      </c>
      <c r="AH23" s="6">
        <f t="shared" si="23"/>
        <v>646.99130651196799</v>
      </c>
      <c r="AI23" s="6">
        <f t="shared" si="23"/>
        <v>659.93113264220733</v>
      </c>
      <c r="AJ23" s="6">
        <f t="shared" si="23"/>
        <v>673.1297552950515</v>
      </c>
    </row>
    <row r="24" spans="2:36" x14ac:dyDescent="0.3">
      <c r="B24" s="1" t="s">
        <v>21</v>
      </c>
      <c r="E24" s="6">
        <v>303</v>
      </c>
      <c r="G24" s="6">
        <v>316</v>
      </c>
      <c r="H24" s="6">
        <v>293</v>
      </c>
      <c r="I24" s="6">
        <v>282</v>
      </c>
      <c r="J24" s="6">
        <f>Y24-I24-H24-G24</f>
        <v>265</v>
      </c>
      <c r="K24" s="6">
        <v>298</v>
      </c>
      <c r="L24" s="6">
        <v>303</v>
      </c>
      <c r="M24" s="6">
        <v>257</v>
      </c>
      <c r="N24" s="6">
        <f t="shared" si="22"/>
        <v>315</v>
      </c>
      <c r="O24" s="6"/>
      <c r="P24" s="6"/>
      <c r="Q24" s="6"/>
      <c r="R24" s="6"/>
      <c r="T24" s="6">
        <v>1152</v>
      </c>
      <c r="U24" s="6">
        <v>1045</v>
      </c>
      <c r="V24" s="6">
        <v>1221</v>
      </c>
      <c r="W24" s="6">
        <v>1186</v>
      </c>
      <c r="X24" s="6">
        <v>1225</v>
      </c>
      <c r="Y24" s="6">
        <v>1156</v>
      </c>
      <c r="Z24" s="6">
        <v>1173</v>
      </c>
      <c r="AA24" s="6">
        <f>AA18*0.08</f>
        <v>1241.5824</v>
      </c>
      <c r="AB24" s="6">
        <f t="shared" ref="AB24:AJ24" si="24">AB18*0.08</f>
        <v>1300.4104320000001</v>
      </c>
      <c r="AC24" s="6">
        <f t="shared" si="24"/>
        <v>1349.1475526400002</v>
      </c>
      <c r="AD24" s="6">
        <f t="shared" si="24"/>
        <v>1388.0951564928002</v>
      </c>
      <c r="AE24" s="6">
        <f t="shared" si="24"/>
        <v>1416.1600540930563</v>
      </c>
      <c r="AF24" s="6">
        <f t="shared" si="24"/>
        <v>1444.8044293135413</v>
      </c>
      <c r="AG24" s="6">
        <f t="shared" si="24"/>
        <v>1474.0409624867536</v>
      </c>
      <c r="AH24" s="6">
        <f t="shared" si="24"/>
        <v>1503.8826529986468</v>
      </c>
      <c r="AI24" s="6">
        <f t="shared" si="24"/>
        <v>1534.342829596507</v>
      </c>
      <c r="AJ24" s="6">
        <f t="shared" si="24"/>
        <v>1565.435161138598</v>
      </c>
    </row>
    <row r="25" spans="2:36" s="2" customFormat="1" x14ac:dyDescent="0.3">
      <c r="B25" s="2" t="s">
        <v>22</v>
      </c>
      <c r="E25" s="9">
        <f>E22-E23-E24</f>
        <v>261</v>
      </c>
      <c r="G25" s="9">
        <f t="shared" ref="G25:L25" si="25">G22-G23-G24</f>
        <v>205</v>
      </c>
      <c r="H25" s="9">
        <f t="shared" si="25"/>
        <v>295</v>
      </c>
      <c r="I25" s="9">
        <f t="shared" si="25"/>
        <v>210</v>
      </c>
      <c r="J25" s="9">
        <f t="shared" si="25"/>
        <v>145</v>
      </c>
      <c r="K25" s="9">
        <f t="shared" si="25"/>
        <v>204</v>
      </c>
      <c r="L25" s="9">
        <f t="shared" si="25"/>
        <v>269</v>
      </c>
      <c r="M25" s="9">
        <f t="shared" ref="M25:N25" si="26">M22-M23-M24</f>
        <v>279</v>
      </c>
      <c r="N25" s="9">
        <f t="shared" si="26"/>
        <v>249</v>
      </c>
      <c r="O25" s="9"/>
      <c r="P25" s="9"/>
      <c r="Q25" s="9"/>
      <c r="R25" s="9"/>
      <c r="T25" s="9">
        <f t="shared" ref="T25:AA25" si="27">T22-T23-T24</f>
        <v>1072</v>
      </c>
      <c r="U25" s="9">
        <f t="shared" si="27"/>
        <v>512</v>
      </c>
      <c r="V25" s="9">
        <f t="shared" si="27"/>
        <v>864</v>
      </c>
      <c r="W25" s="9">
        <f t="shared" si="27"/>
        <v>883</v>
      </c>
      <c r="X25" s="9">
        <f t="shared" si="27"/>
        <v>1053</v>
      </c>
      <c r="Y25" s="9">
        <f t="shared" si="27"/>
        <v>855</v>
      </c>
      <c r="Z25" s="9">
        <f t="shared" si="27"/>
        <v>1001</v>
      </c>
      <c r="AA25" s="9">
        <f t="shared" si="27"/>
        <v>1215.1355999999998</v>
      </c>
      <c r="AB25" s="9">
        <f t="shared" ref="AB25:AJ25" si="28">AB22-AB23-AB24</f>
        <v>1415.4208679999983</v>
      </c>
      <c r="AC25" s="9">
        <f t="shared" si="28"/>
        <v>1472.0225673599996</v>
      </c>
      <c r="AD25" s="9">
        <f t="shared" si="28"/>
        <v>1520.8085851871977</v>
      </c>
      <c r="AE25" s="9">
        <f t="shared" si="28"/>
        <v>1554.709193300544</v>
      </c>
      <c r="AF25" s="9">
        <f t="shared" si="28"/>
        <v>1589.4968797607303</v>
      </c>
      <c r="AG25" s="9">
        <f t="shared" si="28"/>
        <v>1625.2019301057719</v>
      </c>
      <c r="AH25" s="9">
        <f t="shared" si="28"/>
        <v>1661.8559882227032</v>
      </c>
      <c r="AI25" s="9">
        <f t="shared" si="28"/>
        <v>1699.492128672862</v>
      </c>
      <c r="AJ25" s="9">
        <f t="shared" si="28"/>
        <v>1738.1449331731699</v>
      </c>
    </row>
    <row r="26" spans="2:36" x14ac:dyDescent="0.3">
      <c r="B26" s="1" t="s">
        <v>23</v>
      </c>
      <c r="E26" s="6">
        <v>19</v>
      </c>
      <c r="G26" s="6">
        <v>20</v>
      </c>
      <c r="H26" s="6">
        <v>25</v>
      </c>
      <c r="I26" s="6">
        <v>26</v>
      </c>
      <c r="J26" s="6">
        <f t="shared" ref="J26:J28" si="29">Y26-I26-H26-G26</f>
        <v>26</v>
      </c>
      <c r="K26" s="6">
        <v>29</v>
      </c>
      <c r="L26" s="6">
        <v>31</v>
      </c>
      <c r="M26" s="6">
        <v>30</v>
      </c>
      <c r="N26" s="6">
        <f t="shared" ref="N26:N28" si="30">Z26-M26-L26-K26</f>
        <v>36</v>
      </c>
      <c r="O26" s="6"/>
      <c r="P26" s="6"/>
      <c r="Q26" s="6"/>
      <c r="R26" s="6"/>
      <c r="T26" s="6">
        <v>171</v>
      </c>
      <c r="U26" s="6">
        <v>166</v>
      </c>
      <c r="V26" s="6">
        <v>142</v>
      </c>
      <c r="W26" s="6">
        <v>107</v>
      </c>
      <c r="X26" s="6">
        <v>77</v>
      </c>
      <c r="Y26" s="6">
        <v>97</v>
      </c>
      <c r="Z26" s="6">
        <v>126</v>
      </c>
      <c r="AA26" s="6">
        <f>Z26*1.03</f>
        <v>129.78</v>
      </c>
      <c r="AB26" s="6">
        <f t="shared" ref="AB26:AJ26" si="31">AA26*1.03</f>
        <v>133.67340000000002</v>
      </c>
      <c r="AC26" s="6">
        <f t="shared" si="31"/>
        <v>137.68360200000001</v>
      </c>
      <c r="AD26" s="6">
        <f t="shared" si="31"/>
        <v>141.81411006000002</v>
      </c>
      <c r="AE26" s="6">
        <f t="shared" si="31"/>
        <v>146.06853336180004</v>
      </c>
      <c r="AF26" s="6">
        <f t="shared" si="31"/>
        <v>150.45058936265403</v>
      </c>
      <c r="AG26" s="6">
        <f t="shared" si="31"/>
        <v>154.96410704353366</v>
      </c>
      <c r="AH26" s="6">
        <f t="shared" si="31"/>
        <v>159.61303025483969</v>
      </c>
      <c r="AI26" s="6">
        <f t="shared" si="31"/>
        <v>164.40142116248489</v>
      </c>
      <c r="AJ26" s="6">
        <f t="shared" si="31"/>
        <v>169.33346379735946</v>
      </c>
    </row>
    <row r="27" spans="2:36" x14ac:dyDescent="0.3">
      <c r="B27" s="1" t="s">
        <v>24</v>
      </c>
      <c r="E27" s="6">
        <v>0</v>
      </c>
      <c r="G27" s="6">
        <v>14</v>
      </c>
      <c r="H27" s="6">
        <v>13</v>
      </c>
      <c r="I27" s="6">
        <v>-2</v>
      </c>
      <c r="J27" s="6">
        <f t="shared" si="29"/>
        <v>53</v>
      </c>
      <c r="K27" s="6">
        <v>0</v>
      </c>
      <c r="L27" s="6">
        <v>4</v>
      </c>
      <c r="M27" s="6">
        <v>0</v>
      </c>
      <c r="N27" s="6">
        <f t="shared" si="30"/>
        <v>0</v>
      </c>
      <c r="O27" s="6"/>
      <c r="P27" s="6"/>
      <c r="Q27" s="6"/>
      <c r="R27" s="6"/>
      <c r="T27" s="6">
        <v>72</v>
      </c>
      <c r="U27" s="6">
        <v>147</v>
      </c>
      <c r="V27" s="6">
        <v>25</v>
      </c>
      <c r="W27" s="6">
        <v>0</v>
      </c>
      <c r="X27" s="6">
        <v>126</v>
      </c>
      <c r="Y27" s="6">
        <v>78</v>
      </c>
      <c r="Z27" s="6">
        <v>4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</row>
    <row r="28" spans="2:36" x14ac:dyDescent="0.3">
      <c r="B28" s="1" t="s">
        <v>25</v>
      </c>
      <c r="E28" s="6">
        <v>-59</v>
      </c>
      <c r="G28" s="6">
        <v>-66</v>
      </c>
      <c r="H28" s="6">
        <v>-66</v>
      </c>
      <c r="I28" s="6">
        <v>-66</v>
      </c>
      <c r="J28" s="6">
        <f t="shared" si="29"/>
        <v>-65</v>
      </c>
      <c r="K28" s="6">
        <v>-66</v>
      </c>
      <c r="L28" s="6">
        <v>-67</v>
      </c>
      <c r="M28" s="6">
        <v>-67</v>
      </c>
      <c r="N28" s="6">
        <f t="shared" si="30"/>
        <v>-66</v>
      </c>
      <c r="O28" s="6"/>
      <c r="P28" s="6"/>
      <c r="Q28" s="6"/>
      <c r="R28" s="6"/>
      <c r="T28" s="6">
        <v>-113</v>
      </c>
      <c r="U28" s="6">
        <v>-83</v>
      </c>
      <c r="V28" s="6">
        <v>-159</v>
      </c>
      <c r="W28" s="6">
        <v>-240</v>
      </c>
      <c r="X28" s="6">
        <v>-237</v>
      </c>
      <c r="Y28" s="6">
        <v>-263</v>
      </c>
      <c r="Z28" s="6">
        <v>-266</v>
      </c>
      <c r="AA28" s="6">
        <f>Z28*1.03</f>
        <v>-273.98</v>
      </c>
      <c r="AB28" s="6">
        <f t="shared" ref="AB28:AJ28" si="32">AA28*1.03</f>
        <v>-282.19940000000003</v>
      </c>
      <c r="AC28" s="6">
        <f t="shared" si="32"/>
        <v>-290.66538200000002</v>
      </c>
      <c r="AD28" s="6">
        <f t="shared" si="32"/>
        <v>-299.38534346000006</v>
      </c>
      <c r="AE28" s="6">
        <f t="shared" si="32"/>
        <v>-308.36690376380005</v>
      </c>
      <c r="AF28" s="6">
        <f t="shared" si="32"/>
        <v>-317.61791087671406</v>
      </c>
      <c r="AG28" s="6">
        <f t="shared" si="32"/>
        <v>-327.1464482030155</v>
      </c>
      <c r="AH28" s="6">
        <f t="shared" si="32"/>
        <v>-336.96084164910599</v>
      </c>
      <c r="AI28" s="6">
        <f t="shared" si="32"/>
        <v>-347.06966689857916</v>
      </c>
      <c r="AJ28" s="6">
        <f t="shared" si="32"/>
        <v>-357.48175690553654</v>
      </c>
    </row>
    <row r="29" spans="2:36" x14ac:dyDescent="0.3">
      <c r="B29" s="1" t="s">
        <v>53</v>
      </c>
      <c r="E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T29" s="6">
        <v>0</v>
      </c>
      <c r="U29" s="6">
        <v>0</v>
      </c>
      <c r="V29" s="6">
        <v>-17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</row>
    <row r="30" spans="2:36" x14ac:dyDescent="0.3">
      <c r="B30" s="1" t="s">
        <v>42</v>
      </c>
      <c r="E30" s="6">
        <f t="shared" ref="E30" si="33">SUM(E26:E29)</f>
        <v>-40</v>
      </c>
      <c r="G30" s="6">
        <f>SUM(G26:G29)</f>
        <v>-32</v>
      </c>
      <c r="H30" s="6">
        <f>SUM(H26:H29)</f>
        <v>-28</v>
      </c>
      <c r="I30" s="6">
        <f t="shared" ref="I30:L30" si="34">SUM(I26:I29)</f>
        <v>-42</v>
      </c>
      <c r="J30" s="6">
        <f t="shared" si="34"/>
        <v>14</v>
      </c>
      <c r="K30" s="6">
        <f t="shared" si="34"/>
        <v>-37</v>
      </c>
      <c r="L30" s="6">
        <f t="shared" si="34"/>
        <v>-32</v>
      </c>
      <c r="M30" s="6">
        <f t="shared" ref="M30" si="35">SUM(M26:M29)</f>
        <v>-37</v>
      </c>
      <c r="N30" s="6">
        <f t="shared" ref="N30" si="36">SUM(N26:N29)</f>
        <v>-30</v>
      </c>
      <c r="O30" s="6"/>
      <c r="P30" s="6"/>
      <c r="Q30" s="6"/>
      <c r="R30" s="6"/>
      <c r="T30" s="6">
        <f t="shared" ref="T30:AA30" si="37">SUM(T26:T29)</f>
        <v>130</v>
      </c>
      <c r="U30" s="6">
        <f t="shared" si="37"/>
        <v>230</v>
      </c>
      <c r="V30" s="6">
        <f t="shared" si="37"/>
        <v>-9</v>
      </c>
      <c r="W30" s="6">
        <f t="shared" si="37"/>
        <v>-133</v>
      </c>
      <c r="X30" s="6">
        <f t="shared" si="37"/>
        <v>-34</v>
      </c>
      <c r="Y30" s="6">
        <f t="shared" si="37"/>
        <v>-88</v>
      </c>
      <c r="Z30" s="6">
        <f t="shared" si="37"/>
        <v>-136</v>
      </c>
      <c r="AA30" s="6">
        <f t="shared" si="37"/>
        <v>-144.20000000000002</v>
      </c>
      <c r="AB30" s="6">
        <f t="shared" ref="AB30" si="38">SUM(AB26:AB29)</f>
        <v>-148.52600000000001</v>
      </c>
      <c r="AC30" s="6">
        <f t="shared" ref="AC30" si="39">SUM(AC26:AC29)</f>
        <v>-152.98178000000001</v>
      </c>
      <c r="AD30" s="6">
        <f t="shared" ref="AD30" si="40">SUM(AD26:AD29)</f>
        <v>-157.57123340000004</v>
      </c>
      <c r="AE30" s="6">
        <f t="shared" ref="AE30" si="41">SUM(AE26:AE29)</f>
        <v>-162.29837040200002</v>
      </c>
      <c r="AF30" s="6">
        <f t="shared" ref="AF30" si="42">SUM(AF26:AF29)</f>
        <v>-167.16732151406003</v>
      </c>
      <c r="AG30" s="6">
        <f t="shared" ref="AG30" si="43">SUM(AG26:AG29)</f>
        <v>-172.18234115948184</v>
      </c>
      <c r="AH30" s="6">
        <f t="shared" ref="AH30" si="44">SUM(AH26:AH29)</f>
        <v>-177.3478113942663</v>
      </c>
      <c r="AI30" s="6">
        <f t="shared" ref="AI30" si="45">SUM(AI26:AI29)</f>
        <v>-182.66824573609426</v>
      </c>
      <c r="AJ30" s="6">
        <f t="shared" ref="AJ30" si="46">SUM(AJ26:AJ29)</f>
        <v>-188.14829310817709</v>
      </c>
    </row>
    <row r="31" spans="2:36" s="2" customFormat="1" x14ac:dyDescent="0.3">
      <c r="B31" s="2" t="s">
        <v>26</v>
      </c>
      <c r="E31" s="9">
        <f t="shared" ref="E31" si="47">E25-E30</f>
        <v>301</v>
      </c>
      <c r="G31" s="9">
        <f>G25-G30</f>
        <v>237</v>
      </c>
      <c r="H31" s="9">
        <f>H25-H30</f>
        <v>323</v>
      </c>
      <c r="I31" s="9">
        <f t="shared" ref="I31:L31" si="48">I25-I30</f>
        <v>252</v>
      </c>
      <c r="J31" s="9">
        <f t="shared" si="48"/>
        <v>131</v>
      </c>
      <c r="K31" s="9">
        <f t="shared" si="48"/>
        <v>241</v>
      </c>
      <c r="L31" s="9">
        <f t="shared" si="48"/>
        <v>301</v>
      </c>
      <c r="M31" s="9">
        <f t="shared" ref="M31" si="49">M25-M30</f>
        <v>316</v>
      </c>
      <c r="N31" s="9">
        <f t="shared" ref="N31" si="50">N25-N30</f>
        <v>279</v>
      </c>
      <c r="O31" s="9"/>
      <c r="P31" s="9"/>
      <c r="Q31" s="9"/>
      <c r="R31" s="9"/>
      <c r="T31" s="9">
        <f t="shared" ref="T31:V31" si="51">T25-T30</f>
        <v>942</v>
      </c>
      <c r="U31" s="9">
        <f t="shared" si="51"/>
        <v>282</v>
      </c>
      <c r="V31" s="9">
        <f t="shared" si="51"/>
        <v>873</v>
      </c>
      <c r="W31" s="9">
        <f t="shared" ref="W31" si="52">W25-W30</f>
        <v>1016</v>
      </c>
      <c r="X31" s="9">
        <f t="shared" ref="X31" si="53">X25-X30</f>
        <v>1087</v>
      </c>
      <c r="Y31" s="9">
        <f t="shared" ref="Y31:AA31" si="54">Y25-Y30</f>
        <v>943</v>
      </c>
      <c r="Z31" s="9">
        <f t="shared" si="54"/>
        <v>1137</v>
      </c>
      <c r="AA31" s="9">
        <f t="shared" si="54"/>
        <v>1359.3355999999999</v>
      </c>
      <c r="AB31" s="9">
        <f t="shared" ref="AB31" si="55">AB25-AB30</f>
        <v>1563.9468679999984</v>
      </c>
      <c r="AC31" s="9">
        <f t="shared" ref="AC31" si="56">AC25-AC30</f>
        <v>1625.0043473599997</v>
      </c>
      <c r="AD31" s="9">
        <f t="shared" ref="AD31" si="57">AD25-AD30</f>
        <v>1678.3798185871976</v>
      </c>
      <c r="AE31" s="9">
        <f t="shared" ref="AE31" si="58">AE25-AE30</f>
        <v>1717.0075637025441</v>
      </c>
      <c r="AF31" s="9">
        <f t="shared" ref="AF31" si="59">AF25-AF30</f>
        <v>1756.6642012747902</v>
      </c>
      <c r="AG31" s="9">
        <f t="shared" ref="AG31" si="60">AG25-AG30</f>
        <v>1797.3842712652538</v>
      </c>
      <c r="AH31" s="9">
        <f t="shared" ref="AH31" si="61">AH25-AH30</f>
        <v>1839.2037996169695</v>
      </c>
      <c r="AI31" s="9">
        <f t="shared" ref="AI31" si="62">AI25-AI30</f>
        <v>1882.1603744089562</v>
      </c>
      <c r="AJ31" s="9">
        <f t="shared" ref="AJ31" si="63">AJ25-AJ30</f>
        <v>1926.293226281347</v>
      </c>
    </row>
    <row r="32" spans="2:36" x14ac:dyDescent="0.3">
      <c r="B32" s="1" t="s">
        <v>27</v>
      </c>
      <c r="E32" s="6">
        <v>32</v>
      </c>
      <c r="G32" s="6">
        <v>36</v>
      </c>
      <c r="H32" s="6">
        <v>63</v>
      </c>
      <c r="I32" s="6">
        <v>29</v>
      </c>
      <c r="J32" s="6">
        <f>Y32-I32-H32-G32</f>
        <v>-10</v>
      </c>
      <c r="K32" s="6">
        <v>34</v>
      </c>
      <c r="L32" s="6">
        <v>56</v>
      </c>
      <c r="M32" s="6">
        <v>81</v>
      </c>
      <c r="N32" s="6">
        <f t="shared" ref="N32:N33" si="64">Z32-M32-L32-K32</f>
        <v>43</v>
      </c>
      <c r="O32" s="6"/>
      <c r="P32" s="6"/>
      <c r="Q32" s="6"/>
      <c r="R32" s="6"/>
      <c r="T32" s="6">
        <v>127</v>
      </c>
      <c r="U32" s="6">
        <v>-27</v>
      </c>
      <c r="V32" s="6">
        <v>126</v>
      </c>
      <c r="W32" s="6">
        <v>154</v>
      </c>
      <c r="X32" s="6">
        <v>165</v>
      </c>
      <c r="Y32" s="6">
        <v>118</v>
      </c>
      <c r="Z32" s="6">
        <v>214</v>
      </c>
      <c r="AA32" s="6">
        <f>AA31*0.15</f>
        <v>203.90033999999997</v>
      </c>
      <c r="AB32" s="6">
        <f t="shared" ref="AB32:AJ32" si="65">AB31*0.15</f>
        <v>234.59203019999975</v>
      </c>
      <c r="AC32" s="6">
        <f t="shared" si="65"/>
        <v>243.75065210399993</v>
      </c>
      <c r="AD32" s="6">
        <f t="shared" si="65"/>
        <v>251.75697278807962</v>
      </c>
      <c r="AE32" s="6">
        <f t="shared" si="65"/>
        <v>257.55113455538162</v>
      </c>
      <c r="AF32" s="6">
        <f t="shared" si="65"/>
        <v>263.4996301912185</v>
      </c>
      <c r="AG32" s="6">
        <f t="shared" si="65"/>
        <v>269.60764068978807</v>
      </c>
      <c r="AH32" s="6">
        <f t="shared" si="65"/>
        <v>275.88056994254543</v>
      </c>
      <c r="AI32" s="6">
        <f t="shared" si="65"/>
        <v>282.32405616134344</v>
      </c>
      <c r="AJ32" s="6">
        <f t="shared" si="65"/>
        <v>288.94398394220201</v>
      </c>
    </row>
    <row r="33" spans="2:147" x14ac:dyDescent="0.3">
      <c r="B33" s="1" t="s">
        <v>28</v>
      </c>
      <c r="E33" s="6">
        <v>0</v>
      </c>
      <c r="G33" s="6">
        <v>0</v>
      </c>
      <c r="H33" s="6">
        <v>1</v>
      </c>
      <c r="I33" s="6">
        <v>0</v>
      </c>
      <c r="J33" s="6">
        <f>Y33-I33-H33-G33</f>
        <v>0</v>
      </c>
      <c r="K33" s="6">
        <v>0</v>
      </c>
      <c r="L33" s="6">
        <v>0</v>
      </c>
      <c r="M33" s="6">
        <v>1</v>
      </c>
      <c r="N33" s="6">
        <f t="shared" si="64"/>
        <v>1</v>
      </c>
      <c r="O33" s="6"/>
      <c r="P33" s="6"/>
      <c r="Q33" s="6"/>
      <c r="R33" s="6"/>
      <c r="T33" s="6">
        <v>0</v>
      </c>
      <c r="U33" s="6">
        <v>0</v>
      </c>
      <c r="V33" s="6">
        <v>1</v>
      </c>
      <c r="W33" s="6">
        <v>1</v>
      </c>
      <c r="X33" s="6">
        <v>1</v>
      </c>
      <c r="Y33" s="6">
        <v>1</v>
      </c>
      <c r="Z33" s="6">
        <v>2</v>
      </c>
      <c r="AA33" s="6">
        <v>0</v>
      </c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>
        <v>0</v>
      </c>
      <c r="AJ33" s="6">
        <v>0</v>
      </c>
    </row>
    <row r="34" spans="2:147" s="2" customFormat="1" x14ac:dyDescent="0.3">
      <c r="B34" s="2" t="s">
        <v>29</v>
      </c>
      <c r="E34" s="9">
        <f>E31-E32-E33</f>
        <v>269</v>
      </c>
      <c r="G34" s="9">
        <f t="shared" ref="G34:L34" si="66">G31-G32-G33</f>
        <v>201</v>
      </c>
      <c r="H34" s="9">
        <f t="shared" si="66"/>
        <v>259</v>
      </c>
      <c r="I34" s="9">
        <f t="shared" si="66"/>
        <v>223</v>
      </c>
      <c r="J34" s="9">
        <f t="shared" si="66"/>
        <v>141</v>
      </c>
      <c r="K34" s="9">
        <f t="shared" si="66"/>
        <v>207</v>
      </c>
      <c r="L34" s="9">
        <f t="shared" si="66"/>
        <v>245</v>
      </c>
      <c r="M34" s="9">
        <f t="shared" ref="M34:N34" si="67">M31-M32-M33</f>
        <v>234</v>
      </c>
      <c r="N34" s="9">
        <f t="shared" si="67"/>
        <v>235</v>
      </c>
      <c r="O34" s="9"/>
      <c r="P34" s="9"/>
      <c r="Q34" s="9"/>
      <c r="R34" s="9"/>
      <c r="T34" s="9">
        <f t="shared" ref="T34:AA34" si="68">T31-T32-T33</f>
        <v>815</v>
      </c>
      <c r="U34" s="9">
        <f t="shared" si="68"/>
        <v>309</v>
      </c>
      <c r="V34" s="9">
        <f t="shared" si="68"/>
        <v>746</v>
      </c>
      <c r="W34" s="9">
        <f t="shared" si="68"/>
        <v>861</v>
      </c>
      <c r="X34" s="9">
        <f t="shared" si="68"/>
        <v>921</v>
      </c>
      <c r="Y34" s="9">
        <f t="shared" si="68"/>
        <v>824</v>
      </c>
      <c r="Z34" s="9">
        <f t="shared" si="68"/>
        <v>921</v>
      </c>
      <c r="AA34" s="9">
        <f t="shared" si="68"/>
        <v>1155.43526</v>
      </c>
      <c r="AB34" s="9">
        <f t="shared" ref="AB34:AJ34" si="69">AB31-AB32-AB33</f>
        <v>1329.3548377999987</v>
      </c>
      <c r="AC34" s="9">
        <f t="shared" si="69"/>
        <v>1381.2536952559997</v>
      </c>
      <c r="AD34" s="9">
        <f t="shared" si="69"/>
        <v>1426.6228457991181</v>
      </c>
      <c r="AE34" s="9">
        <f t="shared" si="69"/>
        <v>1459.4564291471625</v>
      </c>
      <c r="AF34" s="9">
        <f t="shared" si="69"/>
        <v>1493.1645710835717</v>
      </c>
      <c r="AG34" s="9">
        <f t="shared" si="69"/>
        <v>1527.7766305754658</v>
      </c>
      <c r="AH34" s="9">
        <f t="shared" si="69"/>
        <v>1563.3232296744241</v>
      </c>
      <c r="AI34" s="9">
        <f t="shared" si="69"/>
        <v>1599.8363182476128</v>
      </c>
      <c r="AJ34" s="9">
        <f t="shared" si="69"/>
        <v>1637.3492423391449</v>
      </c>
      <c r="AK34" s="2">
        <f>AJ34*(1+$AN$46)</f>
        <v>1620.9757499157533</v>
      </c>
      <c r="AL34" s="2">
        <f t="shared" ref="AL34:CW34" si="70">AK34*(1+$AN$46)</f>
        <v>1604.7659924165957</v>
      </c>
      <c r="AM34" s="2">
        <f t="shared" si="70"/>
        <v>1588.7183324924297</v>
      </c>
      <c r="AN34" s="2">
        <f t="shared" si="70"/>
        <v>1572.8311491675054</v>
      </c>
      <c r="AO34" s="2">
        <f t="shared" si="70"/>
        <v>1557.1028376758304</v>
      </c>
      <c r="AP34" s="2">
        <f t="shared" si="70"/>
        <v>1541.5318092990722</v>
      </c>
      <c r="AQ34" s="2">
        <f t="shared" si="70"/>
        <v>1526.1164912060815</v>
      </c>
      <c r="AR34" s="2">
        <f t="shared" si="70"/>
        <v>1510.8553262940206</v>
      </c>
      <c r="AS34" s="2">
        <f t="shared" si="70"/>
        <v>1495.7467730310805</v>
      </c>
      <c r="AT34" s="2">
        <f t="shared" si="70"/>
        <v>1480.7893053007697</v>
      </c>
      <c r="AU34" s="2">
        <f t="shared" si="70"/>
        <v>1465.9814122477619</v>
      </c>
      <c r="AV34" s="2">
        <f t="shared" si="70"/>
        <v>1451.3215981252843</v>
      </c>
      <c r="AW34" s="2">
        <f t="shared" si="70"/>
        <v>1436.8083821440314</v>
      </c>
      <c r="AX34" s="2">
        <f t="shared" si="70"/>
        <v>1422.4402983225912</v>
      </c>
      <c r="AY34" s="2">
        <f t="shared" si="70"/>
        <v>1408.2158953393653</v>
      </c>
      <c r="AZ34" s="2">
        <f t="shared" si="70"/>
        <v>1394.1337363859716</v>
      </c>
      <c r="BA34" s="2">
        <f t="shared" si="70"/>
        <v>1380.1923990221119</v>
      </c>
      <c r="BB34" s="2">
        <f t="shared" si="70"/>
        <v>1366.3904750318907</v>
      </c>
      <c r="BC34" s="2">
        <f t="shared" si="70"/>
        <v>1352.7265702815719</v>
      </c>
      <c r="BD34" s="2">
        <f t="shared" si="70"/>
        <v>1339.199304578756</v>
      </c>
      <c r="BE34" s="2">
        <f t="shared" si="70"/>
        <v>1325.8073115329685</v>
      </c>
      <c r="BF34" s="2">
        <f t="shared" si="70"/>
        <v>1312.5492384176387</v>
      </c>
      <c r="BG34" s="2">
        <f t="shared" si="70"/>
        <v>1299.4237460334623</v>
      </c>
      <c r="BH34" s="2">
        <f t="shared" si="70"/>
        <v>1286.4295085731276</v>
      </c>
      <c r="BI34" s="2">
        <f t="shared" si="70"/>
        <v>1273.5652134873962</v>
      </c>
      <c r="BJ34" s="2">
        <f t="shared" si="70"/>
        <v>1260.8295613525222</v>
      </c>
      <c r="BK34" s="2">
        <f t="shared" si="70"/>
        <v>1248.2212657389969</v>
      </c>
      <c r="BL34" s="2">
        <f t="shared" si="70"/>
        <v>1235.7390530816069</v>
      </c>
      <c r="BM34" s="2">
        <f t="shared" si="70"/>
        <v>1223.3816625507909</v>
      </c>
      <c r="BN34" s="2">
        <f t="shared" si="70"/>
        <v>1211.147845925283</v>
      </c>
      <c r="BO34" s="2">
        <f t="shared" si="70"/>
        <v>1199.0363674660302</v>
      </c>
      <c r="BP34" s="2">
        <f t="shared" si="70"/>
        <v>1187.0460037913699</v>
      </c>
      <c r="BQ34" s="2">
        <f t="shared" si="70"/>
        <v>1175.1755437534562</v>
      </c>
      <c r="BR34" s="2">
        <f t="shared" si="70"/>
        <v>1163.4237883159217</v>
      </c>
      <c r="BS34" s="2">
        <f t="shared" si="70"/>
        <v>1151.7895504327626</v>
      </c>
      <c r="BT34" s="2">
        <f t="shared" si="70"/>
        <v>1140.2716549284348</v>
      </c>
      <c r="BU34" s="2">
        <f t="shared" si="70"/>
        <v>1128.8689383791504</v>
      </c>
      <c r="BV34" s="2">
        <f t="shared" si="70"/>
        <v>1117.5802489953589</v>
      </c>
      <c r="BW34" s="2">
        <f t="shared" si="70"/>
        <v>1106.4044465054053</v>
      </c>
      <c r="BX34" s="2">
        <f t="shared" si="70"/>
        <v>1095.3404020403511</v>
      </c>
      <c r="BY34" s="2">
        <f t="shared" si="70"/>
        <v>1084.3869980199477</v>
      </c>
      <c r="BZ34" s="2">
        <f t="shared" si="70"/>
        <v>1073.5431280397481</v>
      </c>
      <c r="CA34" s="2">
        <f t="shared" si="70"/>
        <v>1062.8076967593506</v>
      </c>
      <c r="CB34" s="2">
        <f t="shared" si="70"/>
        <v>1052.1796197917572</v>
      </c>
      <c r="CC34" s="2">
        <f t="shared" si="70"/>
        <v>1041.6578235938396</v>
      </c>
      <c r="CD34" s="2">
        <f t="shared" si="70"/>
        <v>1031.2412453579011</v>
      </c>
      <c r="CE34" s="2">
        <f t="shared" si="70"/>
        <v>1020.9288329043221</v>
      </c>
      <c r="CF34" s="2">
        <f t="shared" si="70"/>
        <v>1010.7195445752789</v>
      </c>
      <c r="CG34" s="2">
        <f t="shared" si="70"/>
        <v>1000.612349129526</v>
      </c>
      <c r="CH34" s="2">
        <f t="shared" si="70"/>
        <v>990.60622563823074</v>
      </c>
      <c r="CI34" s="2">
        <f t="shared" si="70"/>
        <v>980.70016338184837</v>
      </c>
      <c r="CJ34" s="2">
        <f t="shared" si="70"/>
        <v>970.89316174802991</v>
      </c>
      <c r="CK34" s="2">
        <f t="shared" si="70"/>
        <v>961.18423013054962</v>
      </c>
      <c r="CL34" s="2">
        <f t="shared" si="70"/>
        <v>951.57238782924412</v>
      </c>
      <c r="CM34" s="2">
        <f t="shared" si="70"/>
        <v>942.0566639509517</v>
      </c>
      <c r="CN34" s="2">
        <f t="shared" si="70"/>
        <v>932.6360973114422</v>
      </c>
      <c r="CO34" s="2">
        <f t="shared" si="70"/>
        <v>923.30973633832775</v>
      </c>
      <c r="CP34" s="2">
        <f t="shared" si="70"/>
        <v>914.07663897494444</v>
      </c>
      <c r="CQ34" s="2">
        <f t="shared" si="70"/>
        <v>904.93587258519494</v>
      </c>
      <c r="CR34" s="2">
        <f t="shared" si="70"/>
        <v>895.88651385934304</v>
      </c>
      <c r="CS34" s="2">
        <f t="shared" si="70"/>
        <v>886.92764872074963</v>
      </c>
      <c r="CT34" s="2">
        <f t="shared" si="70"/>
        <v>878.05837223354217</v>
      </c>
      <c r="CU34" s="2">
        <f t="shared" si="70"/>
        <v>869.27778851120672</v>
      </c>
      <c r="CV34" s="2">
        <f t="shared" si="70"/>
        <v>860.58501062609469</v>
      </c>
      <c r="CW34" s="2">
        <f t="shared" si="70"/>
        <v>851.97916051983373</v>
      </c>
      <c r="CX34" s="2">
        <f t="shared" ref="CX34:EQ34" si="71">CW34*(1+$AN$46)</f>
        <v>843.45936891463543</v>
      </c>
      <c r="CY34" s="2">
        <f t="shared" si="71"/>
        <v>835.02477522548907</v>
      </c>
      <c r="CZ34" s="2">
        <f t="shared" si="71"/>
        <v>826.67452747323421</v>
      </c>
      <c r="DA34" s="2">
        <f t="shared" si="71"/>
        <v>818.40778219850188</v>
      </c>
      <c r="DB34" s="2">
        <f t="shared" si="71"/>
        <v>810.22370437651682</v>
      </c>
      <c r="DC34" s="2">
        <f t="shared" si="71"/>
        <v>802.12146733275165</v>
      </c>
      <c r="DD34" s="2">
        <f t="shared" si="71"/>
        <v>794.10025265942409</v>
      </c>
      <c r="DE34" s="2">
        <f t="shared" si="71"/>
        <v>786.15925013282981</v>
      </c>
      <c r="DF34" s="2">
        <f t="shared" si="71"/>
        <v>778.29765763150147</v>
      </c>
      <c r="DG34" s="2">
        <f t="shared" si="71"/>
        <v>770.51468105518643</v>
      </c>
      <c r="DH34" s="2">
        <f t="shared" si="71"/>
        <v>762.80953424463451</v>
      </c>
      <c r="DI34" s="2">
        <f t="shared" si="71"/>
        <v>755.18143890218812</v>
      </c>
      <c r="DJ34" s="2">
        <f t="shared" si="71"/>
        <v>747.62962451316628</v>
      </c>
      <c r="DK34" s="2">
        <f t="shared" si="71"/>
        <v>740.15332826803456</v>
      </c>
      <c r="DL34" s="2">
        <f t="shared" si="71"/>
        <v>732.75179498535419</v>
      </c>
      <c r="DM34" s="2">
        <f t="shared" si="71"/>
        <v>725.42427703550061</v>
      </c>
      <c r="DN34" s="2">
        <f t="shared" si="71"/>
        <v>718.17003426514555</v>
      </c>
      <c r="DO34" s="2">
        <f t="shared" si="71"/>
        <v>710.98833392249412</v>
      </c>
      <c r="DP34" s="2">
        <f t="shared" si="71"/>
        <v>703.87845058326923</v>
      </c>
      <c r="DQ34" s="2">
        <f t="shared" si="71"/>
        <v>696.8396660774365</v>
      </c>
      <c r="DR34" s="2">
        <f t="shared" si="71"/>
        <v>689.87126941666213</v>
      </c>
      <c r="DS34" s="2">
        <f t="shared" si="71"/>
        <v>682.97255672249548</v>
      </c>
      <c r="DT34" s="2">
        <f t="shared" si="71"/>
        <v>676.14283115527053</v>
      </c>
      <c r="DU34" s="2">
        <f t="shared" si="71"/>
        <v>669.38140284371786</v>
      </c>
      <c r="DV34" s="2">
        <f t="shared" si="71"/>
        <v>662.68758881528072</v>
      </c>
      <c r="DW34" s="2">
        <f t="shared" si="71"/>
        <v>656.06071292712795</v>
      </c>
      <c r="DX34" s="2">
        <f t="shared" si="71"/>
        <v>649.50010579785669</v>
      </c>
      <c r="DY34" s="2">
        <f t="shared" si="71"/>
        <v>643.00510473987811</v>
      </c>
      <c r="DZ34" s="2">
        <f t="shared" si="71"/>
        <v>636.57505369247929</v>
      </c>
      <c r="EA34" s="2">
        <f t="shared" si="71"/>
        <v>630.20930315555449</v>
      </c>
      <c r="EB34" s="2">
        <f t="shared" si="71"/>
        <v>623.90721012399899</v>
      </c>
      <c r="EC34" s="2">
        <f t="shared" si="71"/>
        <v>617.66813802275897</v>
      </c>
      <c r="ED34" s="2">
        <f t="shared" si="71"/>
        <v>611.49145664253138</v>
      </c>
      <c r="EE34" s="2">
        <f t="shared" si="71"/>
        <v>605.37654207610603</v>
      </c>
      <c r="EF34" s="2">
        <f t="shared" si="71"/>
        <v>599.32277665534502</v>
      </c>
      <c r="EG34" s="2">
        <f t="shared" si="71"/>
        <v>593.32954888879158</v>
      </c>
      <c r="EH34" s="2">
        <f t="shared" si="71"/>
        <v>587.39625339990369</v>
      </c>
      <c r="EI34" s="2">
        <f t="shared" si="71"/>
        <v>581.52229086590467</v>
      </c>
      <c r="EJ34" s="2">
        <f t="shared" si="71"/>
        <v>575.70706795724561</v>
      </c>
      <c r="EK34" s="2">
        <f t="shared" si="71"/>
        <v>569.94999727767311</v>
      </c>
      <c r="EL34" s="2">
        <f t="shared" si="71"/>
        <v>564.25049730489638</v>
      </c>
      <c r="EM34" s="2">
        <f t="shared" si="71"/>
        <v>558.60799233184741</v>
      </c>
      <c r="EN34" s="2">
        <f t="shared" si="71"/>
        <v>553.02191240852892</v>
      </c>
      <c r="EO34" s="2">
        <f t="shared" si="71"/>
        <v>547.49169328444361</v>
      </c>
      <c r="EP34" s="2">
        <f t="shared" si="71"/>
        <v>542.01677635159922</v>
      </c>
      <c r="EQ34" s="2">
        <f t="shared" si="71"/>
        <v>536.5966085880832</v>
      </c>
    </row>
    <row r="35" spans="2:147" x14ac:dyDescent="0.3">
      <c r="B35" s="1" t="s">
        <v>2</v>
      </c>
      <c r="E35" s="6">
        <v>178.2</v>
      </c>
      <c r="G35" s="6">
        <v>178.2</v>
      </c>
      <c r="H35" s="6">
        <v>178.2</v>
      </c>
      <c r="I35" s="6">
        <v>178.2</v>
      </c>
      <c r="J35" s="6">
        <v>178.2</v>
      </c>
      <c r="K35" s="6">
        <v>178.2</v>
      </c>
      <c r="L35" s="6">
        <v>178.2</v>
      </c>
      <c r="M35" s="6">
        <v>176.2</v>
      </c>
      <c r="N35" s="6">
        <f>174.2</f>
        <v>174.2</v>
      </c>
      <c r="O35" s="6"/>
      <c r="P35" s="6"/>
      <c r="Q35" s="6"/>
      <c r="R35" s="6"/>
      <c r="T35" s="6">
        <v>178.2</v>
      </c>
      <c r="U35" s="6">
        <v>178.2</v>
      </c>
      <c r="V35" s="6">
        <v>178.2</v>
      </c>
      <c r="W35" s="6">
        <v>178.2</v>
      </c>
      <c r="X35" s="6">
        <v>178.2</v>
      </c>
      <c r="Y35" s="6">
        <v>178.2</v>
      </c>
      <c r="Z35" s="6">
        <f t="shared" ref="Z35:AJ35" si="72">174.2</f>
        <v>174.2</v>
      </c>
      <c r="AA35" s="6">
        <f t="shared" si="72"/>
        <v>174.2</v>
      </c>
      <c r="AB35" s="6">
        <f t="shared" si="72"/>
        <v>174.2</v>
      </c>
      <c r="AC35" s="6">
        <f t="shared" si="72"/>
        <v>174.2</v>
      </c>
      <c r="AD35" s="6">
        <f t="shared" si="72"/>
        <v>174.2</v>
      </c>
      <c r="AE35" s="6">
        <f t="shared" si="72"/>
        <v>174.2</v>
      </c>
      <c r="AF35" s="6">
        <f t="shared" si="72"/>
        <v>174.2</v>
      </c>
      <c r="AG35" s="6">
        <f t="shared" si="72"/>
        <v>174.2</v>
      </c>
      <c r="AH35" s="6">
        <f t="shared" si="72"/>
        <v>174.2</v>
      </c>
      <c r="AI35" s="6">
        <f t="shared" si="72"/>
        <v>174.2</v>
      </c>
      <c r="AJ35" s="6">
        <f t="shared" si="72"/>
        <v>174.2</v>
      </c>
    </row>
    <row r="36" spans="2:147" x14ac:dyDescent="0.3">
      <c r="B36" s="1" t="s">
        <v>30</v>
      </c>
      <c r="E36" s="8">
        <f>E34/E35</f>
        <v>1.5095398428731763</v>
      </c>
      <c r="G36" s="8">
        <f t="shared" ref="G36:L36" si="73">G34/G35</f>
        <v>1.127946127946128</v>
      </c>
      <c r="H36" s="8">
        <f t="shared" si="73"/>
        <v>1.4534231200897869</v>
      </c>
      <c r="I36" s="8">
        <f t="shared" si="73"/>
        <v>1.2514029180695849</v>
      </c>
      <c r="J36" s="8">
        <f t="shared" si="73"/>
        <v>0.79124579124579131</v>
      </c>
      <c r="K36" s="8">
        <f t="shared" si="73"/>
        <v>1.1616161616161618</v>
      </c>
      <c r="L36" s="8">
        <f t="shared" si="73"/>
        <v>1.3748597081930416</v>
      </c>
      <c r="M36" s="8">
        <f t="shared" ref="M36:N36" si="74">M34/M35</f>
        <v>1.3280363223609535</v>
      </c>
      <c r="N36" s="8">
        <f t="shared" si="74"/>
        <v>1.3490241102181402</v>
      </c>
      <c r="O36" s="8"/>
      <c r="P36" s="8"/>
      <c r="Q36" s="8"/>
      <c r="R36" s="8"/>
      <c r="T36" s="8">
        <f t="shared" ref="T36:AA36" si="75">T34/T35</f>
        <v>4.5735129068462408</v>
      </c>
      <c r="U36" s="8">
        <f t="shared" si="75"/>
        <v>1.7340067340067342</v>
      </c>
      <c r="V36" s="8">
        <f t="shared" si="75"/>
        <v>4.1863075196408532</v>
      </c>
      <c r="W36" s="8">
        <f t="shared" si="75"/>
        <v>4.8316498316498322</v>
      </c>
      <c r="X36" s="8">
        <f t="shared" si="75"/>
        <v>5.1683501683501687</v>
      </c>
      <c r="Y36" s="8">
        <f t="shared" si="75"/>
        <v>4.624017957351291</v>
      </c>
      <c r="Z36" s="8">
        <f t="shared" si="75"/>
        <v>5.2870264064293915</v>
      </c>
      <c r="AA36" s="8">
        <f t="shared" si="75"/>
        <v>6.6328086107921935</v>
      </c>
      <c r="AB36" s="8">
        <f t="shared" ref="AB36:AJ36" si="76">AB34/AB35</f>
        <v>7.6311988392652053</v>
      </c>
      <c r="AC36" s="8">
        <f t="shared" si="76"/>
        <v>7.929125690332949</v>
      </c>
      <c r="AD36" s="8">
        <f t="shared" si="76"/>
        <v>8.1895685751958567</v>
      </c>
      <c r="AE36" s="8">
        <f t="shared" si="76"/>
        <v>8.3780506839676381</v>
      </c>
      <c r="AF36" s="8">
        <f t="shared" si="76"/>
        <v>8.5715532209160266</v>
      </c>
      <c r="AG36" s="8">
        <f t="shared" si="76"/>
        <v>8.7702447220175994</v>
      </c>
      <c r="AH36" s="8">
        <f t="shared" si="76"/>
        <v>8.9743009740208048</v>
      </c>
      <c r="AI36" s="8">
        <f t="shared" si="76"/>
        <v>9.1839053860368125</v>
      </c>
      <c r="AJ36" s="8">
        <f t="shared" si="76"/>
        <v>9.3992493819698328</v>
      </c>
    </row>
    <row r="38" spans="2:147" x14ac:dyDescent="0.3">
      <c r="B38" s="1" t="s">
        <v>73</v>
      </c>
      <c r="I38" s="10">
        <f t="shared" ref="I38:J42" si="77">I8/E8-1</f>
        <v>7.473841554559435E-4</v>
      </c>
      <c r="J38" s="10">
        <f t="shared" si="77"/>
        <v>-0.15879265091863515</v>
      </c>
      <c r="K38" s="10">
        <f>K8/G8-1</f>
        <v>2.020202020202011E-2</v>
      </c>
      <c r="L38" s="10">
        <f>L8/H8-1</f>
        <v>2.8474576271186436E-2</v>
      </c>
      <c r="M38" s="10">
        <f>M8/I8-1</f>
        <v>0.10306198655713228</v>
      </c>
      <c r="N38" s="10">
        <f>N8/J8-1</f>
        <v>0.36427457098283922</v>
      </c>
      <c r="O38" s="10"/>
      <c r="P38" s="10"/>
      <c r="Q38" s="10"/>
      <c r="R38" s="10"/>
      <c r="Z38" s="10">
        <f>Z8/Y8-1</f>
        <v>0.1269871309613928</v>
      </c>
      <c r="AA38" s="10">
        <f>AA8/Z8-1</f>
        <v>4.0000000000000036E-2</v>
      </c>
    </row>
    <row r="39" spans="2:147" x14ac:dyDescent="0.3">
      <c r="B39" s="1" t="s">
        <v>74</v>
      </c>
      <c r="I39" s="10">
        <f t="shared" si="77"/>
        <v>0.2320954907161803</v>
      </c>
      <c r="J39" s="10">
        <f t="shared" si="77"/>
        <v>5.4154995331465949E-2</v>
      </c>
      <c r="K39" s="10">
        <f t="shared" ref="K39:N42" si="78">K9/G9-1</f>
        <v>0.35213204951856936</v>
      </c>
      <c r="L39" s="10">
        <f t="shared" si="78"/>
        <v>0.27959697732997491</v>
      </c>
      <c r="M39" s="10">
        <f t="shared" si="78"/>
        <v>0.10441334768568344</v>
      </c>
      <c r="N39" s="10">
        <f t="shared" si="78"/>
        <v>0.11337466784765282</v>
      </c>
      <c r="O39" s="10"/>
      <c r="P39" s="10"/>
      <c r="Q39" s="10"/>
      <c r="R39" s="10"/>
      <c r="Z39" s="10">
        <f t="shared" ref="Z39:AA42" si="79">Z9/Y9-1</f>
        <v>0.19642358200614707</v>
      </c>
      <c r="AA39" s="10">
        <f t="shared" si="79"/>
        <v>0.14999999999999991</v>
      </c>
    </row>
    <row r="40" spans="2:147" x14ac:dyDescent="0.3">
      <c r="B40" s="1" t="s">
        <v>75</v>
      </c>
      <c r="I40" s="10">
        <f t="shared" si="77"/>
        <v>-2.5889967637540479E-2</v>
      </c>
      <c r="J40" s="10">
        <f t="shared" si="77"/>
        <v>-9.5541401273885329E-3</v>
      </c>
      <c r="K40" s="10">
        <f t="shared" si="78"/>
        <v>-3.2679738562091498E-2</v>
      </c>
      <c r="L40" s="10">
        <f t="shared" si="78"/>
        <v>-6.1919504643962453E-3</v>
      </c>
      <c r="M40" s="10">
        <f t="shared" si="78"/>
        <v>1.9933554817275656E-2</v>
      </c>
      <c r="N40" s="10">
        <f t="shared" si="78"/>
        <v>3.8585209003215493E-2</v>
      </c>
      <c r="O40" s="10"/>
      <c r="P40" s="10"/>
      <c r="Q40" s="10"/>
      <c r="R40" s="10"/>
      <c r="Z40" s="10">
        <f t="shared" si="79"/>
        <v>4.8348106365834198E-3</v>
      </c>
      <c r="AA40" s="10">
        <f t="shared" si="79"/>
        <v>1.0000000000000009E-2</v>
      </c>
    </row>
    <row r="41" spans="2:147" x14ac:dyDescent="0.3">
      <c r="B41" s="1" t="s">
        <v>76</v>
      </c>
      <c r="I41" s="10">
        <f t="shared" si="77"/>
        <v>-8.8937093275488044E-2</v>
      </c>
      <c r="J41" s="10">
        <f t="shared" si="77"/>
        <v>-9.5733610822060333E-2</v>
      </c>
      <c r="K41" s="10">
        <f t="shared" si="78"/>
        <v>-0.11210762331838564</v>
      </c>
      <c r="L41" s="10">
        <f t="shared" si="78"/>
        <v>-8.2056892778993418E-2</v>
      </c>
      <c r="M41" s="10">
        <f t="shared" si="78"/>
        <v>-9.4047619047619047E-2</v>
      </c>
      <c r="N41" s="10">
        <f t="shared" si="78"/>
        <v>-5.5235903337169212E-2</v>
      </c>
      <c r="O41" s="10"/>
      <c r="P41" s="10"/>
      <c r="Q41" s="10"/>
      <c r="R41" s="10"/>
      <c r="Z41" s="10">
        <f t="shared" si="79"/>
        <v>-8.5917496443812191E-2</v>
      </c>
      <c r="AA41" s="10">
        <f t="shared" si="79"/>
        <v>-2.9999999999999916E-2</v>
      </c>
    </row>
    <row r="42" spans="2:147" x14ac:dyDescent="0.3">
      <c r="B42" s="1" t="s">
        <v>77</v>
      </c>
      <c r="I42" s="10">
        <f t="shared" si="77"/>
        <v>-0.1428571428571429</v>
      </c>
      <c r="J42" s="10">
        <f t="shared" si="77"/>
        <v>0.10000000000000009</v>
      </c>
      <c r="K42" s="10">
        <f t="shared" si="78"/>
        <v>0</v>
      </c>
      <c r="L42" s="10">
        <f t="shared" si="78"/>
        <v>-0.11111111111111116</v>
      </c>
      <c r="M42" s="10">
        <f t="shared" si="78"/>
        <v>-0.16666666666666663</v>
      </c>
      <c r="N42" s="10">
        <f t="shared" si="78"/>
        <v>-0.36363636363636365</v>
      </c>
      <c r="O42" s="10"/>
      <c r="P42" s="10"/>
      <c r="Q42" s="10"/>
      <c r="R42" s="10"/>
      <c r="Z42" s="10">
        <f t="shared" si="79"/>
        <v>-0.18181818181818177</v>
      </c>
      <c r="AA42" s="10">
        <f t="shared" si="79"/>
        <v>0.30000000000000004</v>
      </c>
    </row>
    <row r="44" spans="2:147" x14ac:dyDescent="0.3">
      <c r="B44" s="1" t="s">
        <v>44</v>
      </c>
      <c r="E44" s="10"/>
      <c r="G44" s="10"/>
      <c r="H44" s="10"/>
      <c r="I44" s="10">
        <f t="shared" ref="I44:K47" si="80">I15/E15-1</f>
        <v>5.8760300967395152E-2</v>
      </c>
      <c r="J44" s="10"/>
      <c r="K44" s="10">
        <f t="shared" si="80"/>
        <v>0.13939144736842102</v>
      </c>
      <c r="L44" s="10">
        <f>L15/H15-1</f>
        <v>0.12491203377902882</v>
      </c>
      <c r="M44" s="10">
        <f t="shared" ref="M44:N47" si="81">M15/I15-1</f>
        <v>5.3807106598984689E-2</v>
      </c>
      <c r="N44" s="10">
        <f t="shared" si="81"/>
        <v>0.1602034329307056</v>
      </c>
      <c r="O44" s="10"/>
      <c r="P44" s="10"/>
      <c r="Q44" s="10"/>
      <c r="R44" s="10"/>
      <c r="T44" s="10"/>
      <c r="U44" s="10">
        <f>U15/T15-1</f>
        <v>-0.16852010265183914</v>
      </c>
      <c r="V44" s="10">
        <f t="shared" ref="V44:AI44" si="82">V15/U15-1</f>
        <v>8.44650205761317E-2</v>
      </c>
      <c r="W44" s="10">
        <f t="shared" si="82"/>
        <v>3.8326534484394159E-2</v>
      </c>
      <c r="X44" s="10">
        <f t="shared" si="82"/>
        <v>5.7377798081315712E-2</v>
      </c>
      <c r="Y44" s="10">
        <f t="shared" si="82"/>
        <v>-1.7108787695498173E-2</v>
      </c>
      <c r="Z44" s="10">
        <f t="shared" si="82"/>
        <v>0.11929670329670339</v>
      </c>
      <c r="AA44" s="10">
        <f t="shared" si="82"/>
        <v>5.0000000000000044E-2</v>
      </c>
      <c r="AB44" s="10">
        <f t="shared" si="82"/>
        <v>5.0000000000000044E-2</v>
      </c>
      <c r="AC44" s="10">
        <f t="shared" si="82"/>
        <v>4.0000000000000036E-2</v>
      </c>
      <c r="AD44" s="10">
        <f t="shared" si="82"/>
        <v>3.0000000000000027E-2</v>
      </c>
      <c r="AE44" s="10">
        <f t="shared" si="82"/>
        <v>2.0000000000000018E-2</v>
      </c>
      <c r="AF44" s="10">
        <f t="shared" si="82"/>
        <v>2.0000000000000018E-2</v>
      </c>
      <c r="AG44" s="10">
        <f t="shared" si="82"/>
        <v>2.0000000000000018E-2</v>
      </c>
      <c r="AH44" s="10">
        <f t="shared" si="82"/>
        <v>2.0000000000000018E-2</v>
      </c>
      <c r="AI44" s="10">
        <f t="shared" si="82"/>
        <v>2.0000000000000018E-2</v>
      </c>
      <c r="AJ44" s="10">
        <f t="shared" ref="AJ44" si="83">AJ15/AI15-1</f>
        <v>2.0000000000000018E-2</v>
      </c>
    </row>
    <row r="45" spans="2:147" x14ac:dyDescent="0.3">
      <c r="B45" s="1" t="s">
        <v>45</v>
      </c>
      <c r="E45" s="10"/>
      <c r="G45" s="10"/>
      <c r="H45" s="10"/>
      <c r="I45" s="10">
        <f t="shared" si="80"/>
        <v>-0.14656771799628943</v>
      </c>
      <c r="J45" s="10"/>
      <c r="K45" s="10">
        <f t="shared" si="80"/>
        <v>-0.24563953488372092</v>
      </c>
      <c r="L45" s="10">
        <f t="shared" ref="L45:L47" si="84">L16/H16-1</f>
        <v>-0.25111441307578009</v>
      </c>
      <c r="M45" s="10">
        <f t="shared" si="81"/>
        <v>4.3478260869564966E-3</v>
      </c>
      <c r="N45" s="10">
        <f t="shared" si="81"/>
        <v>0.11184210526315796</v>
      </c>
      <c r="O45" s="10"/>
      <c r="P45" s="10"/>
      <c r="Q45" s="10"/>
      <c r="R45" s="10"/>
      <c r="T45" s="10"/>
      <c r="U45" s="10">
        <f t="shared" ref="U45:AI45" si="85">U16/T16-1</f>
        <v>1.0672358591248265E-3</v>
      </c>
      <c r="V45" s="10">
        <f t="shared" si="85"/>
        <v>-4.4776119402985093E-2</v>
      </c>
      <c r="W45" s="10">
        <f t="shared" si="85"/>
        <v>4.4642857142857206E-2</v>
      </c>
      <c r="X45" s="10">
        <f t="shared" si="85"/>
        <v>9.7756410256410353E-2</v>
      </c>
      <c r="Y45" s="10">
        <f t="shared" si="85"/>
        <v>0.10802919708029202</v>
      </c>
      <c r="Z45" s="10">
        <f t="shared" si="85"/>
        <v>-0.12516469038208167</v>
      </c>
      <c r="AA45" s="10">
        <f t="shared" si="85"/>
        <v>4.0000000000000036E-2</v>
      </c>
      <c r="AB45" s="10">
        <f t="shared" si="85"/>
        <v>3.0000000000000027E-2</v>
      </c>
      <c r="AC45" s="10">
        <f t="shared" si="85"/>
        <v>2.0000000000000018E-2</v>
      </c>
      <c r="AD45" s="10">
        <f t="shared" si="85"/>
        <v>2.0000000000000018E-2</v>
      </c>
      <c r="AE45" s="10">
        <f t="shared" si="85"/>
        <v>2.0000000000000018E-2</v>
      </c>
      <c r="AF45" s="10">
        <f t="shared" si="85"/>
        <v>2.0000000000000018E-2</v>
      </c>
      <c r="AG45" s="10">
        <f t="shared" si="85"/>
        <v>2.0000000000000018E-2</v>
      </c>
      <c r="AH45" s="10">
        <f t="shared" si="85"/>
        <v>2.0000000000000018E-2</v>
      </c>
      <c r="AI45" s="10">
        <f t="shared" si="85"/>
        <v>2.0000000000000018E-2</v>
      </c>
      <c r="AJ45" s="10">
        <f t="shared" ref="AJ45" si="86">AJ16/AI16-1</f>
        <v>2.0000000000000018E-2</v>
      </c>
    </row>
    <row r="46" spans="2:147" x14ac:dyDescent="0.3">
      <c r="B46" s="1" t="s">
        <v>46</v>
      </c>
      <c r="E46" s="10"/>
      <c r="G46" s="10"/>
      <c r="H46" s="10"/>
      <c r="I46" s="10">
        <f t="shared" si="80"/>
        <v>-7.6923076923076872E-2</v>
      </c>
      <c r="J46" s="10"/>
      <c r="K46" s="10">
        <f t="shared" si="80"/>
        <v>6.6666666666666652E-2</v>
      </c>
      <c r="L46" s="10">
        <f t="shared" si="84"/>
        <v>0.25</v>
      </c>
      <c r="M46" s="10">
        <f t="shared" si="81"/>
        <v>1.1666666666666665</v>
      </c>
      <c r="N46" s="10">
        <f t="shared" si="81"/>
        <v>0.63636363636363646</v>
      </c>
      <c r="O46" s="10"/>
      <c r="P46" s="10"/>
      <c r="Q46" s="10"/>
      <c r="R46" s="10"/>
      <c r="T46" s="10"/>
      <c r="U46" s="10">
        <f t="shared" ref="U46:AJ47" si="87">U17/T17-1</f>
        <v>-0.16666666666666663</v>
      </c>
      <c r="V46" s="10">
        <f t="shared" si="87"/>
        <v>-0.10909090909090913</v>
      </c>
      <c r="W46" s="10">
        <f t="shared" si="87"/>
        <v>6.1224489795918435E-2</v>
      </c>
      <c r="X46" s="10">
        <f t="shared" si="87"/>
        <v>5.7692307692307709E-2</v>
      </c>
      <c r="Y46" s="10">
        <f t="shared" si="87"/>
        <v>-9.0909090909090939E-2</v>
      </c>
      <c r="Z46" s="10">
        <f t="shared" si="87"/>
        <v>0.5</v>
      </c>
      <c r="AA46" s="10">
        <f t="shared" si="87"/>
        <v>6.0000000000000053E-2</v>
      </c>
      <c r="AB46" s="10">
        <f t="shared" si="87"/>
        <v>6.0000000000000053E-2</v>
      </c>
      <c r="AC46" s="10">
        <f t="shared" si="87"/>
        <v>6.0000000000000053E-2</v>
      </c>
      <c r="AD46" s="10">
        <f t="shared" si="87"/>
        <v>6.0000000000000053E-2</v>
      </c>
      <c r="AE46" s="10">
        <f t="shared" si="87"/>
        <v>6.0000000000000053E-2</v>
      </c>
      <c r="AF46" s="10">
        <f t="shared" si="87"/>
        <v>6.0000000000000053E-2</v>
      </c>
      <c r="AG46" s="10">
        <f t="shared" si="87"/>
        <v>6.0000000000000053E-2</v>
      </c>
      <c r="AH46" s="10">
        <f t="shared" si="87"/>
        <v>6.0000000000000053E-2</v>
      </c>
      <c r="AI46" s="10">
        <f t="shared" si="87"/>
        <v>6.0000000000000053E-2</v>
      </c>
      <c r="AJ46" s="10">
        <f t="shared" ref="AJ46" si="88">AJ17/AI17-1</f>
        <v>6.0000000000000053E-2</v>
      </c>
      <c r="AM46" s="1" t="s">
        <v>54</v>
      </c>
      <c r="AN46" s="10">
        <v>-0.01</v>
      </c>
    </row>
    <row r="47" spans="2:147" s="2" customFormat="1" x14ac:dyDescent="0.3">
      <c r="B47" s="2" t="s">
        <v>63</v>
      </c>
      <c r="E47" s="11"/>
      <c r="G47" s="11"/>
      <c r="H47" s="11"/>
      <c r="I47" s="11">
        <f t="shared" si="80"/>
        <v>2.5127131319174323E-2</v>
      </c>
      <c r="J47" s="11"/>
      <c r="K47" s="11">
        <f t="shared" ref="K47" si="89">K18/G18-1</f>
        <v>5.4545454545454453E-2</v>
      </c>
      <c r="L47" s="11">
        <f t="shared" si="84"/>
        <v>5.3586617521973245E-2</v>
      </c>
      <c r="M47" s="11">
        <f t="shared" si="81"/>
        <v>5.1065071491100067E-2</v>
      </c>
      <c r="N47" s="11">
        <f t="shared" si="81"/>
        <v>0.1555494049266537</v>
      </c>
      <c r="O47" s="11"/>
      <c r="P47" s="11"/>
      <c r="Q47" s="11"/>
      <c r="R47" s="11"/>
      <c r="T47" s="11"/>
      <c r="U47" s="11">
        <f t="shared" si="87"/>
        <v>-0.14519442406456351</v>
      </c>
      <c r="V47" s="11">
        <f t="shared" si="87"/>
        <v>6.2741395588361559E-2</v>
      </c>
      <c r="W47" s="11">
        <f t="shared" si="87"/>
        <v>3.9331287352608602E-2</v>
      </c>
      <c r="X47" s="11">
        <f t="shared" si="87"/>
        <v>6.3252777993628051E-2</v>
      </c>
      <c r="Y47" s="11">
        <f t="shared" si="87"/>
        <v>1.3885843747716287E-3</v>
      </c>
      <c r="Z47" s="11">
        <f t="shared" si="87"/>
        <v>8.0061304918989995E-2</v>
      </c>
      <c r="AA47" s="11">
        <f t="shared" si="87"/>
        <v>4.8704642205554372E-2</v>
      </c>
      <c r="AB47" s="11">
        <f t="shared" si="87"/>
        <v>4.7381496387191024E-2</v>
      </c>
      <c r="AC47" s="11">
        <f t="shared" si="87"/>
        <v>3.7478260278982489E-2</v>
      </c>
      <c r="AD47" s="11">
        <f t="shared" si="87"/>
        <v>2.8868305602739897E-2</v>
      </c>
      <c r="AE47" s="11">
        <f t="shared" si="87"/>
        <v>2.0218280763377727E-2</v>
      </c>
      <c r="AF47" s="11">
        <f t="shared" si="87"/>
        <v>2.0226792259600668E-2</v>
      </c>
      <c r="AG47" s="11">
        <f t="shared" si="87"/>
        <v>2.0235633681648713E-2</v>
      </c>
      <c r="AH47" s="11">
        <f t="shared" si="87"/>
        <v>2.024481766202002E-2</v>
      </c>
      <c r="AI47" s="11">
        <f t="shared" si="87"/>
        <v>2.0254357304490878E-2</v>
      </c>
      <c r="AJ47" s="11">
        <f t="shared" si="87"/>
        <v>2.0264266200707981E-2</v>
      </c>
      <c r="AM47" s="1" t="s">
        <v>55</v>
      </c>
      <c r="AN47" s="10">
        <v>0.08</v>
      </c>
    </row>
    <row r="48" spans="2:147" x14ac:dyDescent="0.3">
      <c r="B48" s="1" t="s">
        <v>47</v>
      </c>
      <c r="E48" s="10"/>
      <c r="G48" s="10">
        <f t="shared" ref="G48:K48" si="90">(G15-G19)/G15</f>
        <v>0.20847039473684212</v>
      </c>
      <c r="H48" s="10">
        <f t="shared" si="90"/>
        <v>0.19739619985925405</v>
      </c>
      <c r="I48" s="10"/>
      <c r="J48" s="10"/>
      <c r="K48" s="10">
        <f t="shared" si="90"/>
        <v>0.1782749909779863</v>
      </c>
      <c r="L48" s="10">
        <f>(L15-L19)/L15</f>
        <v>0.17735376915858617</v>
      </c>
      <c r="M48" s="10">
        <f t="shared" ref="M48:N48" si="91">(M15-M19)/M15</f>
        <v>0.16602440590879897</v>
      </c>
      <c r="N48" s="10">
        <f t="shared" si="91"/>
        <v>0.14958904109589041</v>
      </c>
      <c r="O48" s="10"/>
      <c r="P48" s="10"/>
      <c r="Q48" s="10"/>
      <c r="R48" s="10"/>
      <c r="T48" s="10"/>
      <c r="U48" s="10"/>
      <c r="V48" s="10"/>
      <c r="W48" s="10">
        <f t="shared" ref="W48:AI48" si="92">(W15-W19)/W15</f>
        <v>0.19716765646413886</v>
      </c>
      <c r="X48" s="10">
        <f t="shared" si="92"/>
        <v>0.20452778017800052</v>
      </c>
      <c r="Y48" s="10">
        <f t="shared" si="92"/>
        <v>0.17336263736263735</v>
      </c>
      <c r="Z48" s="10">
        <f t="shared" si="92"/>
        <v>0.16682375117813383</v>
      </c>
      <c r="AA48" s="10">
        <f t="shared" si="92"/>
        <v>0.18</v>
      </c>
      <c r="AB48" s="10">
        <f t="shared" si="92"/>
        <v>0.18999999999999989</v>
      </c>
      <c r="AC48" s="10">
        <f t="shared" si="92"/>
        <v>0.19</v>
      </c>
      <c r="AD48" s="10">
        <f t="shared" si="92"/>
        <v>0.18999999999999989</v>
      </c>
      <c r="AE48" s="10">
        <f t="shared" si="92"/>
        <v>0.18999999999999995</v>
      </c>
      <c r="AF48" s="10">
        <f t="shared" si="92"/>
        <v>0.18999999999999997</v>
      </c>
      <c r="AG48" s="10">
        <f t="shared" si="92"/>
        <v>0.18999999999999995</v>
      </c>
      <c r="AH48" s="10">
        <f t="shared" si="92"/>
        <v>0.19</v>
      </c>
      <c r="AI48" s="10">
        <f t="shared" si="92"/>
        <v>0.18999999999999995</v>
      </c>
      <c r="AJ48" s="10">
        <f t="shared" ref="AJ48" si="93">(AJ15-AJ19)/AJ15</f>
        <v>0.18999999999999997</v>
      </c>
      <c r="AM48" s="1" t="s">
        <v>56</v>
      </c>
      <c r="AN48" s="6">
        <f>NPV(AN47,AA34:EQ34)</f>
        <v>17925.632937802238</v>
      </c>
    </row>
    <row r="49" spans="2:40" x14ac:dyDescent="0.3">
      <c r="B49" s="1" t="s">
        <v>48</v>
      </c>
      <c r="E49" s="10">
        <f>(E16-E20)/E16</f>
        <v>0.21335807050092764</v>
      </c>
      <c r="G49" s="10">
        <f t="shared" ref="G49:K49" si="94">(G16-G20)/G16</f>
        <v>0.20784883720930233</v>
      </c>
      <c r="H49" s="10">
        <f t="shared" si="94"/>
        <v>0.17830609212481427</v>
      </c>
      <c r="I49" s="10">
        <f t="shared" si="94"/>
        <v>0.24565217391304348</v>
      </c>
      <c r="J49" s="10">
        <f t="shared" si="94"/>
        <v>0.22807017543859648</v>
      </c>
      <c r="K49" s="10">
        <f t="shared" si="94"/>
        <v>0.23892100192678228</v>
      </c>
      <c r="L49" s="10">
        <f>(L16-L20)/L16</f>
        <v>0.25198412698412698</v>
      </c>
      <c r="M49" s="10">
        <f t="shared" ref="M49:N49" si="95">(M16-M20)/M16</f>
        <v>0.24025974025974026</v>
      </c>
      <c r="N49" s="10">
        <f t="shared" si="95"/>
        <v>0.26429980276134124</v>
      </c>
      <c r="O49" s="10"/>
      <c r="P49" s="10"/>
      <c r="Q49" s="10"/>
      <c r="R49" s="10"/>
      <c r="T49" s="10">
        <f t="shared" ref="T49:AI49" si="96">(T16-T20)/T16</f>
        <v>0.24012806830309499</v>
      </c>
      <c r="U49" s="10">
        <f t="shared" si="96"/>
        <v>0.26492537313432835</v>
      </c>
      <c r="V49" s="10">
        <f t="shared" si="96"/>
        <v>0.25111607142857145</v>
      </c>
      <c r="W49" s="10">
        <f t="shared" si="96"/>
        <v>0.24572649572649571</v>
      </c>
      <c r="X49" s="10">
        <f t="shared" si="96"/>
        <v>0.2072992700729927</v>
      </c>
      <c r="Y49" s="10">
        <f t="shared" si="96"/>
        <v>0.21080368906455862</v>
      </c>
      <c r="Z49" s="10">
        <f t="shared" si="96"/>
        <v>0.24899598393574296</v>
      </c>
      <c r="AA49" s="10">
        <f t="shared" si="96"/>
        <v>0.25</v>
      </c>
      <c r="AB49" s="10">
        <f t="shared" si="96"/>
        <v>0.25000000000000006</v>
      </c>
      <c r="AC49" s="10">
        <f t="shared" si="96"/>
        <v>0.25</v>
      </c>
      <c r="AD49" s="10">
        <f t="shared" si="96"/>
        <v>0.25</v>
      </c>
      <c r="AE49" s="10">
        <f t="shared" si="96"/>
        <v>0.25</v>
      </c>
      <c r="AF49" s="10">
        <f t="shared" si="96"/>
        <v>0.25000000000000006</v>
      </c>
      <c r="AG49" s="10">
        <f t="shared" si="96"/>
        <v>0.24999999999999994</v>
      </c>
      <c r="AH49" s="10">
        <f t="shared" si="96"/>
        <v>0.25000000000000006</v>
      </c>
      <c r="AI49" s="10">
        <f t="shared" si="96"/>
        <v>0.24999999999999994</v>
      </c>
      <c r="AJ49" s="10">
        <f t="shared" ref="AJ49" si="97">(AJ16-AJ20)/AJ16</f>
        <v>0.24999999999999994</v>
      </c>
      <c r="AM49" s="1" t="s">
        <v>57</v>
      </c>
      <c r="AN49" s="6">
        <f>Main!D8</f>
        <v>-1599</v>
      </c>
    </row>
    <row r="50" spans="2:40" x14ac:dyDescent="0.3">
      <c r="B50" s="1" t="s">
        <v>43</v>
      </c>
      <c r="E50" s="10"/>
      <c r="G50" s="10"/>
      <c r="H50" s="10"/>
      <c r="I50" s="10"/>
      <c r="J50" s="10"/>
      <c r="K50" s="10">
        <f t="shared" ref="K50:N50" si="98">K22/K18</f>
        <v>0.19177253478523895</v>
      </c>
      <c r="L50" s="10">
        <f t="shared" si="98"/>
        <v>0.19079655543595264</v>
      </c>
      <c r="M50" s="10">
        <f t="shared" si="98"/>
        <v>0.18156579677956691</v>
      </c>
      <c r="N50" s="10">
        <f t="shared" si="98"/>
        <v>0.16718562874251497</v>
      </c>
      <c r="O50" s="10"/>
      <c r="P50" s="10"/>
      <c r="Q50" s="10"/>
      <c r="R50" s="10"/>
      <c r="T50" s="10"/>
      <c r="U50" s="10"/>
      <c r="V50" s="10"/>
      <c r="W50" s="10"/>
      <c r="X50" s="10">
        <f t="shared" ref="X50:AJ50" si="99">X22/X18</f>
        <v>0.20814148943945041</v>
      </c>
      <c r="Y50" s="10">
        <f t="shared" si="99"/>
        <v>0.18260108013428697</v>
      </c>
      <c r="Z50" s="10">
        <f t="shared" si="99"/>
        <v>0.18210689911480504</v>
      </c>
      <c r="AA50" s="10">
        <f t="shared" si="99"/>
        <v>0.1935444961204347</v>
      </c>
      <c r="AB50" s="10">
        <f t="shared" si="99"/>
        <v>0.20207548135079853</v>
      </c>
      <c r="AC50" s="10">
        <f t="shared" si="99"/>
        <v>0.20203394793003207</v>
      </c>
      <c r="AD50" s="10">
        <f t="shared" si="99"/>
        <v>0.2020970210566792</v>
      </c>
      <c r="AE50" s="10">
        <f t="shared" si="99"/>
        <v>0.20226773635812903</v>
      </c>
      <c r="AF50" s="10">
        <f t="shared" si="99"/>
        <v>0.20244506899044207</v>
      </c>
      <c r="AG50" s="10">
        <f t="shared" si="99"/>
        <v>0.20262927232397263</v>
      </c>
      <c r="AH50" s="10">
        <f t="shared" si="99"/>
        <v>0.20282060918149306</v>
      </c>
      <c r="AI50" s="10">
        <f t="shared" si="99"/>
        <v>0.20301935217101577</v>
      </c>
      <c r="AJ50" s="10">
        <f t="shared" si="99"/>
        <v>0.20322578402873809</v>
      </c>
      <c r="AM50" s="1" t="s">
        <v>58</v>
      </c>
      <c r="AN50" s="6">
        <f>AN48+AN49</f>
        <v>16326.632937802238</v>
      </c>
    </row>
    <row r="51" spans="2:40" x14ac:dyDescent="0.3">
      <c r="B51" s="1" t="s">
        <v>49</v>
      </c>
      <c r="E51" s="10"/>
      <c r="G51" s="10"/>
      <c r="H51" s="10"/>
      <c r="I51" s="10"/>
      <c r="J51" s="10"/>
      <c r="K51" s="10">
        <f t="shared" ref="K51" si="100">K23/G23-1</f>
        <v>-8.333333333333337E-2</v>
      </c>
      <c r="L51" s="10">
        <f>L23/H23-1</f>
        <v>0.30476190476190479</v>
      </c>
      <c r="M51" s="10">
        <f t="shared" ref="M51:N51" si="101">M23/I23-1</f>
        <v>-6.3492063492063489E-2</v>
      </c>
      <c r="N51" s="10">
        <f t="shared" si="101"/>
        <v>0.15517241379310343</v>
      </c>
      <c r="O51" s="10"/>
      <c r="P51" s="10"/>
      <c r="Q51" s="10"/>
      <c r="R51" s="10"/>
      <c r="T51" s="10"/>
      <c r="U51" s="10"/>
      <c r="V51" s="10"/>
      <c r="W51" s="10"/>
      <c r="X51" s="10">
        <f t="shared" ref="X51:AI51" si="102">X23/W23-1</f>
        <v>-5.1580698835274497E-2</v>
      </c>
      <c r="Y51" s="10">
        <f t="shared" si="102"/>
        <v>-0.13859649122807016</v>
      </c>
      <c r="Z51" s="10">
        <f t="shared" si="102"/>
        <v>6.1099796334012302E-2</v>
      </c>
      <c r="AA51" s="10">
        <f t="shared" si="102"/>
        <v>5.0000000000000044E-2</v>
      </c>
      <c r="AB51" s="10">
        <f t="shared" si="102"/>
        <v>4.0000000000000036E-2</v>
      </c>
      <c r="AC51" s="10">
        <f t="shared" si="102"/>
        <v>3.0000000000000027E-2</v>
      </c>
      <c r="AD51" s="10">
        <f t="shared" si="102"/>
        <v>2.0000000000000018E-2</v>
      </c>
      <c r="AE51" s="10">
        <f t="shared" si="102"/>
        <v>2.0000000000000018E-2</v>
      </c>
      <c r="AF51" s="10">
        <f t="shared" si="102"/>
        <v>2.0000000000000018E-2</v>
      </c>
      <c r="AG51" s="10">
        <f t="shared" si="102"/>
        <v>2.0000000000000018E-2</v>
      </c>
      <c r="AH51" s="10">
        <f t="shared" si="102"/>
        <v>2.0000000000000018E-2</v>
      </c>
      <c r="AI51" s="10">
        <f t="shared" si="102"/>
        <v>2.0000000000000018E-2</v>
      </c>
      <c r="AJ51" s="10">
        <f t="shared" ref="AJ51" si="103">AJ23/AI23-1</f>
        <v>2.0000000000000018E-2</v>
      </c>
      <c r="AM51" s="1" t="s">
        <v>59</v>
      </c>
      <c r="AN51" s="7">
        <f>AN50/AJ35</f>
        <v>93.723495624582313</v>
      </c>
    </row>
    <row r="52" spans="2:40" x14ac:dyDescent="0.3">
      <c r="B52" s="1" t="s">
        <v>50</v>
      </c>
      <c r="E52" s="10">
        <f>E24/E18</f>
        <v>9.0637152258450496E-2</v>
      </c>
      <c r="G52" s="10">
        <f t="shared" ref="G52:K52" si="104">G24/G18</f>
        <v>0.10079744816586922</v>
      </c>
      <c r="H52" s="10">
        <f t="shared" si="104"/>
        <v>8.3073433512900488E-2</v>
      </c>
      <c r="I52" s="10">
        <f t="shared" si="104"/>
        <v>8.2287715202801287E-2</v>
      </c>
      <c r="J52" s="10">
        <f t="shared" si="104"/>
        <v>7.3346249654027126E-2</v>
      </c>
      <c r="K52" s="10">
        <f t="shared" si="104"/>
        <v>9.0139140955837874E-2</v>
      </c>
      <c r="L52" s="10">
        <f>L24/L18</f>
        <v>8.1539289558665226E-2</v>
      </c>
      <c r="M52" s="10">
        <f t="shared" ref="M52:N52" si="105">M24/M18</f>
        <v>7.134925041643532E-2</v>
      </c>
      <c r="N52" s="10">
        <f t="shared" si="105"/>
        <v>7.5449101796407181E-2</v>
      </c>
      <c r="O52" s="10"/>
      <c r="P52" s="10"/>
      <c r="Q52" s="10"/>
      <c r="R52" s="10"/>
      <c r="T52" s="10">
        <f t="shared" ref="T52:AI52" si="106">T24/T18</f>
        <v>8.4519442406456341E-2</v>
      </c>
      <c r="U52" s="10">
        <f t="shared" si="106"/>
        <v>8.9691871942322546E-2</v>
      </c>
      <c r="V52" s="10">
        <f t="shared" si="106"/>
        <v>9.8610886771119372E-2</v>
      </c>
      <c r="W52" s="10">
        <f t="shared" si="106"/>
        <v>9.2159452948947077E-2</v>
      </c>
      <c r="X52" s="10">
        <f t="shared" si="106"/>
        <v>8.9527150478696194E-2</v>
      </c>
      <c r="Y52" s="10">
        <f t="shared" si="106"/>
        <v>8.4367245657568243E-2</v>
      </c>
      <c r="Z52" s="10">
        <f t="shared" si="106"/>
        <v>7.926211230488546E-2</v>
      </c>
      <c r="AA52" s="10">
        <f t="shared" si="106"/>
        <v>0.08</v>
      </c>
      <c r="AB52" s="10">
        <f t="shared" si="106"/>
        <v>0.08</v>
      </c>
      <c r="AC52" s="10">
        <f t="shared" si="106"/>
        <v>0.08</v>
      </c>
      <c r="AD52" s="10">
        <f t="shared" si="106"/>
        <v>0.08</v>
      </c>
      <c r="AE52" s="10">
        <f t="shared" si="106"/>
        <v>0.08</v>
      </c>
      <c r="AF52" s="10">
        <f t="shared" si="106"/>
        <v>0.08</v>
      </c>
      <c r="AG52" s="10">
        <f t="shared" si="106"/>
        <v>0.08</v>
      </c>
      <c r="AH52" s="10">
        <f t="shared" si="106"/>
        <v>0.08</v>
      </c>
      <c r="AI52" s="10">
        <f t="shared" si="106"/>
        <v>0.08</v>
      </c>
      <c r="AJ52" s="10">
        <f t="shared" ref="AJ52" si="107">AJ24/AJ18</f>
        <v>0.08</v>
      </c>
      <c r="AM52" s="1" t="s">
        <v>60</v>
      </c>
      <c r="AN52" s="7">
        <f>Main!D3</f>
        <v>98.09</v>
      </c>
    </row>
    <row r="53" spans="2:40" x14ac:dyDescent="0.3">
      <c r="B53" s="1" t="s">
        <v>51</v>
      </c>
      <c r="E53" s="10">
        <f>E25/E18</f>
        <v>7.8073586598863293E-2</v>
      </c>
      <c r="G53" s="10">
        <f t="shared" ref="G53:K53" si="108">G25/G18</f>
        <v>6.5390749601275916E-2</v>
      </c>
      <c r="H53" s="10">
        <f t="shared" si="108"/>
        <v>8.3640487666572158E-2</v>
      </c>
      <c r="I53" s="10">
        <f t="shared" si="108"/>
        <v>6.1278085789320105E-2</v>
      </c>
      <c r="J53" s="10">
        <f t="shared" si="108"/>
        <v>4.0132853584278989E-2</v>
      </c>
      <c r="K53" s="10">
        <f t="shared" si="108"/>
        <v>6.1705989110707807E-2</v>
      </c>
      <c r="L53" s="10">
        <f>L25/L18</f>
        <v>7.2389666307857911E-2</v>
      </c>
      <c r="M53" s="10">
        <f t="shared" ref="M53:N53" si="109">M25/M18</f>
        <v>7.7456968350916158E-2</v>
      </c>
      <c r="N53" s="10">
        <f t="shared" si="109"/>
        <v>5.9640718562874249E-2</v>
      </c>
      <c r="O53" s="10"/>
      <c r="P53" s="10"/>
      <c r="Q53" s="10"/>
      <c r="R53" s="10"/>
      <c r="T53" s="10">
        <f t="shared" ref="T53:AI53" si="110">T25/T18</f>
        <v>7.8650036683785771E-2</v>
      </c>
      <c r="U53" s="10">
        <f t="shared" si="110"/>
        <v>4.3944725774611622E-2</v>
      </c>
      <c r="V53" s="10">
        <f t="shared" si="110"/>
        <v>6.9778711032143434E-2</v>
      </c>
      <c r="W53" s="10">
        <f t="shared" si="110"/>
        <v>6.8614499961146949E-2</v>
      </c>
      <c r="X53" s="10">
        <f t="shared" si="110"/>
        <v>7.6956807717605782E-2</v>
      </c>
      <c r="Y53" s="10">
        <f t="shared" si="110"/>
        <v>6.23996496861772E-2</v>
      </c>
      <c r="Z53" s="10">
        <f t="shared" si="110"/>
        <v>6.7639705385499016E-2</v>
      </c>
      <c r="AA53" s="10">
        <f t="shared" si="110"/>
        <v>7.8295929452608201E-2</v>
      </c>
      <c r="AB53" s="10">
        <f t="shared" si="110"/>
        <v>8.7075331490419669E-2</v>
      </c>
      <c r="AC53" s="10">
        <f t="shared" si="110"/>
        <v>8.7286083096222281E-2</v>
      </c>
      <c r="AD53" s="10">
        <f t="shared" si="110"/>
        <v>8.7648664607675161E-2</v>
      </c>
      <c r="AE53" s="10">
        <f t="shared" si="110"/>
        <v>8.7826750305916121E-2</v>
      </c>
      <c r="AF53" s="10">
        <f t="shared" si="110"/>
        <v>8.8011739029118866E-2</v>
      </c>
      <c r="AG53" s="10">
        <f t="shared" si="110"/>
        <v>8.8203895086551992E-2</v>
      </c>
      <c r="AH53" s="10">
        <f t="shared" si="110"/>
        <v>8.8403492647997114E-2</v>
      </c>
      <c r="AI53" s="10">
        <f t="shared" si="110"/>
        <v>8.861081609094025E-2</v>
      </c>
      <c r="AJ53" s="10">
        <f t="shared" ref="AJ53" si="111">AJ25/AJ18</f>
        <v>8.882616035832254E-2</v>
      </c>
      <c r="AM53" s="2" t="s">
        <v>61</v>
      </c>
      <c r="AN53" s="11">
        <f>AN51/AN52-1</f>
        <v>-4.4515285711262065E-2</v>
      </c>
    </row>
    <row r="54" spans="2:40" x14ac:dyDescent="0.3">
      <c r="B54" s="1" t="s">
        <v>27</v>
      </c>
      <c r="E54" s="10">
        <f>E32/E31</f>
        <v>0.10631229235880399</v>
      </c>
      <c r="G54" s="10">
        <f t="shared" ref="G54:K54" si="112">G32/G31</f>
        <v>0.15189873417721519</v>
      </c>
      <c r="H54" s="10">
        <f t="shared" si="112"/>
        <v>0.19504643962848298</v>
      </c>
      <c r="I54" s="10">
        <f t="shared" si="112"/>
        <v>0.11507936507936507</v>
      </c>
      <c r="J54" s="10">
        <f t="shared" si="112"/>
        <v>-7.6335877862595422E-2</v>
      </c>
      <c r="K54" s="10">
        <f t="shared" si="112"/>
        <v>0.14107883817427386</v>
      </c>
      <c r="L54" s="10">
        <f>L32/L31</f>
        <v>0.18604651162790697</v>
      </c>
      <c r="M54" s="10">
        <f t="shared" ref="M54:N54" si="113">M32/M31</f>
        <v>0.25632911392405061</v>
      </c>
      <c r="N54" s="10">
        <f t="shared" si="113"/>
        <v>0.15412186379928317</v>
      </c>
      <c r="O54" s="10"/>
      <c r="P54" s="10"/>
      <c r="Q54" s="10"/>
      <c r="R54" s="10"/>
      <c r="T54" s="10">
        <f t="shared" ref="T54:AI54" si="114">T32/T31</f>
        <v>0.13481953290870488</v>
      </c>
      <c r="U54" s="10">
        <f t="shared" si="114"/>
        <v>-9.5744680851063829E-2</v>
      </c>
      <c r="V54" s="10">
        <f t="shared" si="114"/>
        <v>0.14432989690721648</v>
      </c>
      <c r="W54" s="10">
        <f t="shared" si="114"/>
        <v>0.15157480314960631</v>
      </c>
      <c r="X54" s="10">
        <f t="shared" si="114"/>
        <v>0.15179392824287027</v>
      </c>
      <c r="Y54" s="10">
        <f t="shared" si="114"/>
        <v>0.12513255567338283</v>
      </c>
      <c r="Z54" s="10">
        <f t="shared" si="114"/>
        <v>0.18821459982409849</v>
      </c>
      <c r="AA54" s="10">
        <f t="shared" si="114"/>
        <v>0.15</v>
      </c>
      <c r="AB54" s="10">
        <f t="shared" si="114"/>
        <v>0.15</v>
      </c>
      <c r="AC54" s="10">
        <f t="shared" si="114"/>
        <v>0.15</v>
      </c>
      <c r="AD54" s="10">
        <f t="shared" si="114"/>
        <v>0.15</v>
      </c>
      <c r="AE54" s="10">
        <f t="shared" si="114"/>
        <v>0.15</v>
      </c>
      <c r="AF54" s="10">
        <f t="shared" si="114"/>
        <v>0.15</v>
      </c>
      <c r="AG54" s="10">
        <f t="shared" si="114"/>
        <v>0.15</v>
      </c>
      <c r="AH54" s="10">
        <f t="shared" si="114"/>
        <v>0.15</v>
      </c>
      <c r="AI54" s="10">
        <f t="shared" si="114"/>
        <v>0.15</v>
      </c>
      <c r="AJ54" s="10">
        <f t="shared" ref="AJ54" si="115">AJ32/AJ31</f>
        <v>0.15</v>
      </c>
      <c r="AM54" s="1" t="s">
        <v>62</v>
      </c>
      <c r="AN54" s="3" t="s">
        <v>86</v>
      </c>
    </row>
    <row r="55" spans="2:40" x14ac:dyDescent="0.3">
      <c r="B55" s="1" t="s">
        <v>52</v>
      </c>
      <c r="E55" s="10">
        <f>E34/E18</f>
        <v>8.046664672449895E-2</v>
      </c>
      <c r="G55" s="10">
        <f t="shared" ref="G55:K55" si="116">G34/G18</f>
        <v>6.4114832535885166E-2</v>
      </c>
      <c r="H55" s="10">
        <f t="shared" si="116"/>
        <v>7.3433512900482001E-2</v>
      </c>
      <c r="I55" s="10">
        <f t="shared" si="116"/>
        <v>6.5071491100087545E-2</v>
      </c>
      <c r="J55" s="10">
        <f t="shared" si="116"/>
        <v>3.9025740381954055E-2</v>
      </c>
      <c r="K55" s="10">
        <f t="shared" si="116"/>
        <v>6.2613430127041736E-2</v>
      </c>
      <c r="L55" s="10">
        <f>L34/L18</f>
        <v>6.593110871905275E-2</v>
      </c>
      <c r="M55" s="10">
        <f t="shared" ref="M55:N55" si="117">M34/M18</f>
        <v>6.4963908939478066E-2</v>
      </c>
      <c r="N55" s="10">
        <f t="shared" si="117"/>
        <v>5.6287425149700601E-2</v>
      </c>
      <c r="O55" s="10"/>
      <c r="P55" s="10"/>
      <c r="Q55" s="10"/>
      <c r="R55" s="10"/>
      <c r="T55" s="10">
        <f t="shared" ref="T55:AI55" si="118">T34/T18</f>
        <v>5.9794570799706528E-2</v>
      </c>
      <c r="U55" s="10">
        <f t="shared" si="118"/>
        <v>2.6521328641318342E-2</v>
      </c>
      <c r="V55" s="10">
        <f t="shared" si="118"/>
        <v>6.0248748182846069E-2</v>
      </c>
      <c r="W55" s="10">
        <f t="shared" si="118"/>
        <v>6.6904965420778617E-2</v>
      </c>
      <c r="X55" s="10">
        <f t="shared" si="118"/>
        <v>6.7309800482350357E-2</v>
      </c>
      <c r="Y55" s="10">
        <f t="shared" si="118"/>
        <v>6.0137206247263174E-2</v>
      </c>
      <c r="Z55" s="10">
        <f t="shared" si="118"/>
        <v>6.2233934725319282E-2</v>
      </c>
      <c r="AA55" s="10">
        <f t="shared" si="118"/>
        <v>7.4449203532524294E-2</v>
      </c>
      <c r="AB55" s="10">
        <f t="shared" si="118"/>
        <v>8.1780632027412009E-2</v>
      </c>
      <c r="AC55" s="10">
        <f t="shared" si="118"/>
        <v>8.1903788361957872E-2</v>
      </c>
      <c r="AD55" s="10">
        <f t="shared" si="118"/>
        <v>8.2220463871002222E-2</v>
      </c>
      <c r="AE55" s="10">
        <f t="shared" si="118"/>
        <v>8.2445846424150648E-2</v>
      </c>
      <c r="AF55" s="10">
        <f t="shared" si="118"/>
        <v>8.2677740504602817E-2</v>
      </c>
      <c r="AG55" s="10">
        <f t="shared" si="118"/>
        <v>8.2916373124288664E-2</v>
      </c>
      <c r="AH55" s="10">
        <f t="shared" si="118"/>
        <v>8.3161979509890974E-2</v>
      </c>
      <c r="AI55" s="10">
        <f t="shared" si="118"/>
        <v>8.3414803387497377E-2</v>
      </c>
      <c r="AJ55" s="10">
        <f t="shared" ref="AJ55" si="119">AJ34/AJ18</f>
        <v>8.3675097275737242E-2</v>
      </c>
    </row>
    <row r="58" spans="2:40" s="12" customFormat="1" x14ac:dyDescent="0.3">
      <c r="B58" s="12" t="s">
        <v>64</v>
      </c>
      <c r="L58" s="15">
        <f>17076</f>
        <v>17076</v>
      </c>
      <c r="M58" s="15">
        <v>17381</v>
      </c>
      <c r="N58" s="15">
        <v>18129</v>
      </c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>
        <v>18129</v>
      </c>
    </row>
    <row r="60" spans="2:40" x14ac:dyDescent="0.3">
      <c r="B60" s="1" t="s">
        <v>65</v>
      </c>
      <c r="L60" s="13"/>
      <c r="Z60" s="13">
        <f>Main!$D$9/Model!Z58</f>
        <v>1.0307395885046058</v>
      </c>
    </row>
    <row r="61" spans="2:40" x14ac:dyDescent="0.3">
      <c r="B61" s="1" t="s">
        <v>66</v>
      </c>
      <c r="L61" s="10"/>
      <c r="Z61" s="10">
        <f>Z58/Main!$D$9-1</f>
        <v>-2.9822846475900611E-2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2025-07-29T16:31:58Z</dcterms:created>
  <dcterms:modified xsi:type="dcterms:W3CDTF">2026-02-19T09:15:02Z</dcterms:modified>
</cp:coreProperties>
</file>