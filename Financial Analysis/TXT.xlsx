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0B108C0-CA4A-49D0-8375-6E45E631DE2D}" xr6:coauthVersionLast="47" xr6:coauthVersionMax="47" xr10:uidLastSave="{00000000-0000-0000-0000-000000000000}"/>
  <bookViews>
    <workbookView xWindow="-108" yWindow="-108" windowWidth="23256" windowHeight="12576" activeTab="1" xr2:uid="{9C792900-F1FE-492A-AE3E-893D8A7E159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2" i="2" l="1"/>
  <c r="AE32" i="2"/>
  <c r="AD32" i="2"/>
  <c r="AC32" i="2"/>
  <c r="AB32" i="2"/>
  <c r="AA32" i="2"/>
  <c r="Z32" i="2"/>
  <c r="Y32" i="2"/>
  <c r="X32" i="2"/>
  <c r="W32" i="2"/>
  <c r="W42" i="2"/>
  <c r="W41" i="2"/>
  <c r="W40" i="2"/>
  <c r="W39" i="2"/>
  <c r="W38" i="2"/>
  <c r="W13" i="2"/>
  <c r="W12" i="2"/>
  <c r="W11" i="2"/>
  <c r="W10" i="2"/>
  <c r="W9" i="2"/>
  <c r="W8" i="2"/>
  <c r="V42" i="2"/>
  <c r="V41" i="2"/>
  <c r="V40" i="2"/>
  <c r="V39" i="2"/>
  <c r="V38" i="2"/>
  <c r="V12" i="2"/>
  <c r="V11" i="2"/>
  <c r="V10" i="2"/>
  <c r="V9" i="2"/>
  <c r="V8" i="2"/>
  <c r="U12" i="2"/>
  <c r="U11" i="2"/>
  <c r="U10" i="2"/>
  <c r="U9" i="2"/>
  <c r="U8" i="2"/>
  <c r="V6" i="2"/>
  <c r="X23" i="2"/>
  <c r="W23" i="2"/>
  <c r="W15" i="2"/>
  <c r="T6" i="2"/>
  <c r="U6" i="2"/>
  <c r="L6" i="2"/>
  <c r="M6" i="2"/>
  <c r="L5" i="2"/>
  <c r="L4" i="2"/>
  <c r="V13" i="2" l="1"/>
  <c r="U13" i="2"/>
  <c r="N9" i="2"/>
  <c r="N39" i="2" s="1"/>
  <c r="N42" i="2"/>
  <c r="N8" i="2"/>
  <c r="N38" i="2" s="1"/>
  <c r="M42" i="2"/>
  <c r="M41" i="2"/>
  <c r="M40" i="2"/>
  <c r="M39" i="2"/>
  <c r="M38" i="2"/>
  <c r="V61" i="2"/>
  <c r="V60" i="2"/>
  <c r="D7" i="1"/>
  <c r="D6" i="1"/>
  <c r="M13" i="2"/>
  <c r="N10" i="2"/>
  <c r="N40" i="2" s="1"/>
  <c r="N11" i="2"/>
  <c r="N41" i="2" s="1"/>
  <c r="J42" i="2"/>
  <c r="I42" i="2"/>
  <c r="J41" i="2"/>
  <c r="I41" i="2"/>
  <c r="J40" i="2"/>
  <c r="I40" i="2"/>
  <c r="J39" i="2"/>
  <c r="I39" i="2"/>
  <c r="J38" i="2"/>
  <c r="I38" i="2"/>
  <c r="E13" i="2"/>
  <c r="I13" i="2"/>
  <c r="F13" i="2"/>
  <c r="J13" i="2"/>
  <c r="K42" i="2"/>
  <c r="K41" i="2"/>
  <c r="K40" i="2"/>
  <c r="K39" i="2"/>
  <c r="K38" i="2"/>
  <c r="G13" i="2"/>
  <c r="K13" i="2"/>
  <c r="L42" i="2"/>
  <c r="L41" i="2"/>
  <c r="L40" i="2"/>
  <c r="L39" i="2"/>
  <c r="L38" i="2"/>
  <c r="L13" i="2"/>
  <c r="H13" i="2"/>
  <c r="N13" i="2" l="1"/>
  <c r="L58" i="2"/>
  <c r="AJ52" i="2"/>
  <c r="V33" i="2"/>
  <c r="V28" i="2"/>
  <c r="V27" i="2"/>
  <c r="V26" i="2"/>
  <c r="W26" i="2" s="1"/>
  <c r="V17" i="2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F46" i="2" s="1"/>
  <c r="U51" i="2"/>
  <c r="T51" i="2"/>
  <c r="U46" i="2"/>
  <c r="T46" i="2"/>
  <c r="S46" i="2"/>
  <c r="R46" i="2"/>
  <c r="Q46" i="2"/>
  <c r="U45" i="2"/>
  <c r="T45" i="2"/>
  <c r="S45" i="2"/>
  <c r="R45" i="2"/>
  <c r="Q45" i="2"/>
  <c r="U44" i="2"/>
  <c r="T44" i="2"/>
  <c r="S44" i="2"/>
  <c r="R44" i="2"/>
  <c r="Q44" i="2"/>
  <c r="U49" i="2"/>
  <c r="T49" i="2"/>
  <c r="S49" i="2"/>
  <c r="R49" i="2"/>
  <c r="Q49" i="2"/>
  <c r="P49" i="2"/>
  <c r="U48" i="2"/>
  <c r="T48" i="2"/>
  <c r="S48" i="2"/>
  <c r="N30" i="2"/>
  <c r="M30" i="2"/>
  <c r="N51" i="2"/>
  <c r="M51" i="2"/>
  <c r="M46" i="2"/>
  <c r="M44" i="2"/>
  <c r="E49" i="2"/>
  <c r="K51" i="2"/>
  <c r="K49" i="2"/>
  <c r="I49" i="2"/>
  <c r="H49" i="2"/>
  <c r="G49" i="2"/>
  <c r="K48" i="2"/>
  <c r="H48" i="2"/>
  <c r="G48" i="2"/>
  <c r="K46" i="2"/>
  <c r="I46" i="2"/>
  <c r="K45" i="2"/>
  <c r="I45" i="2"/>
  <c r="K44" i="2"/>
  <c r="I44" i="2"/>
  <c r="L49" i="2"/>
  <c r="L48" i="2"/>
  <c r="L46" i="2"/>
  <c r="L45" i="2"/>
  <c r="L44" i="2"/>
  <c r="J19" i="2"/>
  <c r="J33" i="2"/>
  <c r="J32" i="2"/>
  <c r="J28" i="2"/>
  <c r="J27" i="2"/>
  <c r="J26" i="2"/>
  <c r="J24" i="2"/>
  <c r="J20" i="2"/>
  <c r="J17" i="2"/>
  <c r="N46" i="2" s="1"/>
  <c r="J16" i="2"/>
  <c r="N16" i="2" s="1"/>
  <c r="J15" i="2"/>
  <c r="N15" i="2" s="1"/>
  <c r="E30" i="2"/>
  <c r="E21" i="2"/>
  <c r="E18" i="2"/>
  <c r="E52" i="2" s="1"/>
  <c r="I30" i="2"/>
  <c r="I21" i="2"/>
  <c r="I18" i="2"/>
  <c r="I52" i="2" s="1"/>
  <c r="P30" i="2"/>
  <c r="P21" i="2"/>
  <c r="P18" i="2"/>
  <c r="P52" i="2" s="1"/>
  <c r="Q30" i="2"/>
  <c r="Q21" i="2"/>
  <c r="Q18" i="2"/>
  <c r="Q52" i="2" s="1"/>
  <c r="U30" i="2"/>
  <c r="T30" i="2"/>
  <c r="S30" i="2"/>
  <c r="R30" i="2"/>
  <c r="L30" i="2"/>
  <c r="K30" i="2"/>
  <c r="H30" i="2"/>
  <c r="G30" i="2"/>
  <c r="R18" i="2"/>
  <c r="R52" i="2" s="1"/>
  <c r="R21" i="2"/>
  <c r="S21" i="2"/>
  <c r="S18" i="2"/>
  <c r="S52" i="2" s="1"/>
  <c r="T21" i="2"/>
  <c r="T18" i="2"/>
  <c r="T52" i="2" s="1"/>
  <c r="U21" i="2"/>
  <c r="U18" i="2"/>
  <c r="G21" i="2"/>
  <c r="G18" i="2"/>
  <c r="G52" i="2" s="1"/>
  <c r="K21" i="2"/>
  <c r="K18" i="2"/>
  <c r="K52" i="2" s="1"/>
  <c r="H21" i="2"/>
  <c r="H18" i="2"/>
  <c r="H52" i="2" s="1"/>
  <c r="L23" i="2"/>
  <c r="V23" i="2" s="1"/>
  <c r="Y23" i="2" s="1"/>
  <c r="Z23" i="2" s="1"/>
  <c r="AA23" i="2" s="1"/>
  <c r="AB23" i="2" s="1"/>
  <c r="AC23" i="2" s="1"/>
  <c r="AD23" i="2" s="1"/>
  <c r="AE23" i="2" s="1"/>
  <c r="AF23" i="2" s="1"/>
  <c r="AF51" i="2" s="1"/>
  <c r="L21" i="2"/>
  <c r="L18" i="2"/>
  <c r="L52" i="2" s="1"/>
  <c r="D8" i="1"/>
  <c r="AJ49" i="2" s="1"/>
  <c r="D5" i="1"/>
  <c r="F3" i="1"/>
  <c r="D9" i="1" l="1"/>
  <c r="V46" i="2"/>
  <c r="R47" i="2"/>
  <c r="S47" i="2"/>
  <c r="V30" i="2"/>
  <c r="I47" i="2"/>
  <c r="T47" i="2"/>
  <c r="L51" i="2"/>
  <c r="K47" i="2"/>
  <c r="U47" i="2"/>
  <c r="L47" i="2"/>
  <c r="J21" i="2"/>
  <c r="Q47" i="2"/>
  <c r="J49" i="2"/>
  <c r="R22" i="2"/>
  <c r="R25" i="2" s="1"/>
  <c r="R53" i="2" s="1"/>
  <c r="J30" i="2"/>
  <c r="V15" i="2"/>
  <c r="N19" i="2"/>
  <c r="N48" i="2" s="1"/>
  <c r="N44" i="2"/>
  <c r="W28" i="2"/>
  <c r="X28" i="2" s="1"/>
  <c r="Y28" i="2" s="1"/>
  <c r="Z28" i="2" s="1"/>
  <c r="AA28" i="2" s="1"/>
  <c r="AB28" i="2" s="1"/>
  <c r="AC28" i="2" s="1"/>
  <c r="AD28" i="2" s="1"/>
  <c r="AE28" i="2" s="1"/>
  <c r="AF28" i="2" s="1"/>
  <c r="U52" i="2"/>
  <c r="X26" i="2"/>
  <c r="Y26" i="2" s="1"/>
  <c r="Z26" i="2" s="1"/>
  <c r="M45" i="2"/>
  <c r="M18" i="2"/>
  <c r="M47" i="2" s="1"/>
  <c r="X51" i="2"/>
  <c r="Y51" i="2"/>
  <c r="W51" i="2"/>
  <c r="Y46" i="2"/>
  <c r="X46" i="2"/>
  <c r="W46" i="2"/>
  <c r="V51" i="2"/>
  <c r="J18" i="2"/>
  <c r="E22" i="2"/>
  <c r="E25" i="2" s="1"/>
  <c r="I22" i="2"/>
  <c r="I25" i="2" s="1"/>
  <c r="P22" i="2"/>
  <c r="P25" i="2" s="1"/>
  <c r="Q22" i="2"/>
  <c r="Q25" i="2" s="1"/>
  <c r="L22" i="2"/>
  <c r="S22" i="2"/>
  <c r="S25" i="2" s="1"/>
  <c r="S31" i="2" s="1"/>
  <c r="S54" i="2" s="1"/>
  <c r="T22" i="2"/>
  <c r="U22" i="2"/>
  <c r="G22" i="2"/>
  <c r="G25" i="2" s="1"/>
  <c r="K22" i="2"/>
  <c r="K50" i="2" s="1"/>
  <c r="H22" i="2"/>
  <c r="H25" i="2" s="1"/>
  <c r="J22" i="2" l="1"/>
  <c r="J25" i="2" s="1"/>
  <c r="J31" i="2" s="1"/>
  <c r="R31" i="2"/>
  <c r="R54" i="2" s="1"/>
  <c r="L25" i="2"/>
  <c r="L53" i="2" s="1"/>
  <c r="L50" i="2"/>
  <c r="U25" i="2"/>
  <c r="U53" i="2" s="1"/>
  <c r="U50" i="2"/>
  <c r="T25" i="2"/>
  <c r="T53" i="2" s="1"/>
  <c r="T50" i="2"/>
  <c r="J52" i="2"/>
  <c r="X30" i="2"/>
  <c r="Y30" i="2"/>
  <c r="I31" i="2"/>
  <c r="I53" i="2"/>
  <c r="H53" i="2"/>
  <c r="H31" i="2"/>
  <c r="H54" i="2" s="1"/>
  <c r="V44" i="2"/>
  <c r="G53" i="2"/>
  <c r="G31" i="2"/>
  <c r="G54" i="2" s="1"/>
  <c r="E31" i="2"/>
  <c r="E53" i="2"/>
  <c r="S34" i="2"/>
  <c r="S36" i="2" s="1"/>
  <c r="S53" i="2"/>
  <c r="M48" i="2"/>
  <c r="V19" i="2"/>
  <c r="M21" i="2"/>
  <c r="M22" i="2" s="1"/>
  <c r="M50" i="2" s="1"/>
  <c r="N20" i="2"/>
  <c r="N49" i="2" s="1"/>
  <c r="V16" i="2"/>
  <c r="V18" i="2" s="1"/>
  <c r="V47" i="2" s="1"/>
  <c r="N45" i="2"/>
  <c r="N18" i="2"/>
  <c r="N47" i="2" s="1"/>
  <c r="M49" i="2"/>
  <c r="Q31" i="2"/>
  <c r="Q53" i="2"/>
  <c r="P31" i="2"/>
  <c r="P53" i="2"/>
  <c r="W30" i="2"/>
  <c r="Z30" i="2"/>
  <c r="AA26" i="2"/>
  <c r="Z51" i="2"/>
  <c r="Z46" i="2"/>
  <c r="K25" i="2"/>
  <c r="L31" i="2" l="1"/>
  <c r="L54" i="2" s="1"/>
  <c r="R34" i="2"/>
  <c r="R36" i="2" s="1"/>
  <c r="J53" i="2"/>
  <c r="T31" i="2"/>
  <c r="T54" i="2" s="1"/>
  <c r="U31" i="2"/>
  <c r="U54" i="2" s="1"/>
  <c r="M25" i="2"/>
  <c r="M53" i="2" s="1"/>
  <c r="G34" i="2"/>
  <c r="G36" i="2" s="1"/>
  <c r="S55" i="2"/>
  <c r="M52" i="2"/>
  <c r="Q34" i="2"/>
  <c r="Q54" i="2"/>
  <c r="V20" i="2"/>
  <c r="V21" i="2" s="1"/>
  <c r="V22" i="2" s="1"/>
  <c r="V50" i="2" s="1"/>
  <c r="X15" i="2"/>
  <c r="W19" i="2"/>
  <c r="W48" i="2" s="1"/>
  <c r="W44" i="2"/>
  <c r="V48" i="2"/>
  <c r="E34" i="2"/>
  <c r="E54" i="2"/>
  <c r="W16" i="2"/>
  <c r="V45" i="2"/>
  <c r="N21" i="2"/>
  <c r="N22" i="2" s="1"/>
  <c r="N50" i="2" s="1"/>
  <c r="N24" i="2"/>
  <c r="N52" i="2" s="1"/>
  <c r="H34" i="2"/>
  <c r="J34" i="2"/>
  <c r="J54" i="2"/>
  <c r="K53" i="2"/>
  <c r="K31" i="2"/>
  <c r="K54" i="2" s="1"/>
  <c r="P34" i="2"/>
  <c r="P54" i="2"/>
  <c r="I34" i="2"/>
  <c r="I54" i="2"/>
  <c r="AA30" i="2"/>
  <c r="AB26" i="2"/>
  <c r="AA51" i="2"/>
  <c r="AA46" i="2"/>
  <c r="G55" i="2" l="1"/>
  <c r="L34" i="2"/>
  <c r="L55" i="2" s="1"/>
  <c r="R55" i="2"/>
  <c r="T34" i="2"/>
  <c r="T55" i="2" s="1"/>
  <c r="U34" i="2"/>
  <c r="U55" i="2" s="1"/>
  <c r="M31" i="2"/>
  <c r="M34" i="2" s="1"/>
  <c r="N25" i="2"/>
  <c r="N53" i="2" s="1"/>
  <c r="V24" i="2"/>
  <c r="V52" i="2" s="1"/>
  <c r="I36" i="2"/>
  <c r="I55" i="2"/>
  <c r="V49" i="2"/>
  <c r="X16" i="2"/>
  <c r="X18" i="2" s="1"/>
  <c r="W20" i="2"/>
  <c r="W49" i="2" s="1"/>
  <c r="W45" i="2"/>
  <c r="P36" i="2"/>
  <c r="P55" i="2"/>
  <c r="Q36" i="2"/>
  <c r="Q55" i="2"/>
  <c r="H36" i="2"/>
  <c r="H55" i="2"/>
  <c r="E36" i="2"/>
  <c r="E55" i="2"/>
  <c r="X19" i="2"/>
  <c r="X48" i="2" s="1"/>
  <c r="Y15" i="2"/>
  <c r="X44" i="2"/>
  <c r="J36" i="2"/>
  <c r="J55" i="2"/>
  <c r="W18" i="2"/>
  <c r="K34" i="2"/>
  <c r="AB30" i="2"/>
  <c r="AC26" i="2"/>
  <c r="AB51" i="2"/>
  <c r="AB46" i="2"/>
  <c r="L36" i="2"/>
  <c r="U36" i="2" l="1"/>
  <c r="T36" i="2"/>
  <c r="N31" i="2"/>
  <c r="N32" i="2" s="1"/>
  <c r="N54" i="2" s="1"/>
  <c r="W24" i="2"/>
  <c r="W52" i="2" s="1"/>
  <c r="W47" i="2"/>
  <c r="X24" i="2"/>
  <c r="X52" i="2" s="1"/>
  <c r="X47" i="2"/>
  <c r="W21" i="2"/>
  <c r="W22" i="2" s="1"/>
  <c r="W50" i="2" s="1"/>
  <c r="V25" i="2"/>
  <c r="M36" i="2"/>
  <c r="M55" i="2"/>
  <c r="Y16" i="2"/>
  <c r="Y18" i="2" s="1"/>
  <c r="Y47" i="2" s="1"/>
  <c r="X20" i="2"/>
  <c r="X21" i="2" s="1"/>
  <c r="X22" i="2" s="1"/>
  <c r="X45" i="2"/>
  <c r="Z15" i="2"/>
  <c r="Y19" i="2"/>
  <c r="Y48" i="2" s="1"/>
  <c r="Y44" i="2"/>
  <c r="M54" i="2"/>
  <c r="K36" i="2"/>
  <c r="K55" i="2"/>
  <c r="AD26" i="2"/>
  <c r="AC30" i="2"/>
  <c r="AC51" i="2"/>
  <c r="AC46" i="2"/>
  <c r="X25" i="2" l="1"/>
  <c r="X31" i="2" s="1"/>
  <c r="X50" i="2"/>
  <c r="W25" i="2"/>
  <c r="W31" i="2" s="1"/>
  <c r="X49" i="2"/>
  <c r="N34" i="2"/>
  <c r="N36" i="2" s="1"/>
  <c r="V53" i="2"/>
  <c r="V31" i="2"/>
  <c r="Y24" i="2"/>
  <c r="Z16" i="2"/>
  <c r="Z18" i="2" s="1"/>
  <c r="Z47" i="2" s="1"/>
  <c r="Y20" i="2"/>
  <c r="Y21" i="2" s="1"/>
  <c r="Y22" i="2" s="1"/>
  <c r="Y50" i="2" s="1"/>
  <c r="Y45" i="2"/>
  <c r="Z19" i="2"/>
  <c r="AA15" i="2"/>
  <c r="Z44" i="2"/>
  <c r="V32" i="2"/>
  <c r="AD30" i="2"/>
  <c r="AE26" i="2"/>
  <c r="AD51" i="2"/>
  <c r="AD46" i="2"/>
  <c r="N55" i="2" l="1"/>
  <c r="X53" i="2"/>
  <c r="Y49" i="2"/>
  <c r="W54" i="2"/>
  <c r="W53" i="2"/>
  <c r="Z24" i="2"/>
  <c r="Z52" i="2" s="1"/>
  <c r="AA19" i="2"/>
  <c r="AA48" i="2" s="1"/>
  <c r="AB15" i="2"/>
  <c r="AA44" i="2"/>
  <c r="AA16" i="2"/>
  <c r="AA18" i="2" s="1"/>
  <c r="Z20" i="2"/>
  <c r="Z21" i="2" s="1"/>
  <c r="Z22" i="2" s="1"/>
  <c r="Z45" i="2"/>
  <c r="Y25" i="2"/>
  <c r="Y52" i="2"/>
  <c r="V54" i="2"/>
  <c r="V34" i="2"/>
  <c r="X54" i="2"/>
  <c r="Z48" i="2"/>
  <c r="AF26" i="2"/>
  <c r="AF30" i="2" s="1"/>
  <c r="AE30" i="2"/>
  <c r="AE51" i="2"/>
  <c r="AE46" i="2"/>
  <c r="Z25" i="2" l="1"/>
  <c r="Z53" i="2" s="1"/>
  <c r="Z50" i="2"/>
  <c r="AA24" i="2"/>
  <c r="AA52" i="2" s="1"/>
  <c r="AA47" i="2"/>
  <c r="Z49" i="2"/>
  <c r="W34" i="2"/>
  <c r="Y53" i="2"/>
  <c r="Y31" i="2"/>
  <c r="AC15" i="2"/>
  <c r="AB19" i="2"/>
  <c r="AB48" i="2" s="1"/>
  <c r="AB44" i="2"/>
  <c r="AB16" i="2"/>
  <c r="AA20" i="2"/>
  <c r="AA21" i="2" s="1"/>
  <c r="AA22" i="2" s="1"/>
  <c r="AA45" i="2"/>
  <c r="V55" i="2"/>
  <c r="V36" i="2"/>
  <c r="X34" i="2"/>
  <c r="Z31" i="2" l="1"/>
  <c r="Z54" i="2" s="1"/>
  <c r="AA25" i="2"/>
  <c r="AA31" i="2" s="1"/>
  <c r="AA50" i="2"/>
  <c r="W36" i="2"/>
  <c r="W55" i="2"/>
  <c r="AA49" i="2"/>
  <c r="X36" i="2"/>
  <c r="X55" i="2"/>
  <c r="Y54" i="2"/>
  <c r="AC16" i="2"/>
  <c r="AB20" i="2"/>
  <c r="AB49" i="2" s="1"/>
  <c r="AB45" i="2"/>
  <c r="AD15" i="2"/>
  <c r="AC19" i="2"/>
  <c r="AC48" i="2" s="1"/>
  <c r="AC44" i="2"/>
  <c r="AB18" i="2"/>
  <c r="AB21" i="2" l="1"/>
  <c r="AB22" i="2" s="1"/>
  <c r="AA53" i="2"/>
  <c r="Z34" i="2"/>
  <c r="Z36" i="2" s="1"/>
  <c r="AB24" i="2"/>
  <c r="AB52" i="2" s="1"/>
  <c r="AB47" i="2"/>
  <c r="Y34" i="2"/>
  <c r="Y36" i="2" s="1"/>
  <c r="AD16" i="2"/>
  <c r="AD18" i="2" s="1"/>
  <c r="AC20" i="2"/>
  <c r="AC21" i="2" s="1"/>
  <c r="AC45" i="2"/>
  <c r="AE15" i="2"/>
  <c r="AD19" i="2"/>
  <c r="AD48" i="2" s="1"/>
  <c r="AD44" i="2"/>
  <c r="AA54" i="2"/>
  <c r="AC18" i="2"/>
  <c r="AC22" i="2" l="1"/>
  <c r="AC50" i="2" s="1"/>
  <c r="AC49" i="2"/>
  <c r="AB25" i="2"/>
  <c r="AB31" i="2" s="1"/>
  <c r="AB54" i="2" s="1"/>
  <c r="AB50" i="2"/>
  <c r="Y55" i="2"/>
  <c r="AA34" i="2"/>
  <c r="AA55" i="2" s="1"/>
  <c r="Z55" i="2"/>
  <c r="AD24" i="2"/>
  <c r="AD52" i="2" s="1"/>
  <c r="AD47" i="2"/>
  <c r="AC24" i="2"/>
  <c r="AC47" i="2"/>
  <c r="AF15" i="2"/>
  <c r="AE19" i="2"/>
  <c r="AE48" i="2" s="1"/>
  <c r="AE44" i="2"/>
  <c r="AE16" i="2"/>
  <c r="AD20" i="2"/>
  <c r="AD49" i="2" s="1"/>
  <c r="AD45" i="2"/>
  <c r="AC25" i="2" l="1"/>
  <c r="AC53" i="2" s="1"/>
  <c r="AA36" i="2"/>
  <c r="AC52" i="2"/>
  <c r="AB53" i="2"/>
  <c r="AD21" i="2"/>
  <c r="AD22" i="2" s="1"/>
  <c r="AF16" i="2"/>
  <c r="AF18" i="2" s="1"/>
  <c r="AE20" i="2"/>
  <c r="AE21" i="2" s="1"/>
  <c r="AE45" i="2"/>
  <c r="AF44" i="2"/>
  <c r="AF19" i="2"/>
  <c r="AE18" i="2"/>
  <c r="AB34" i="2"/>
  <c r="AC31" i="2" l="1"/>
  <c r="AC54" i="2" s="1"/>
  <c r="AE49" i="2"/>
  <c r="AD25" i="2"/>
  <c r="AD50" i="2"/>
  <c r="AF24" i="2"/>
  <c r="AF52" i="2" s="1"/>
  <c r="AF47" i="2"/>
  <c r="AE24" i="2"/>
  <c r="AE52" i="2" s="1"/>
  <c r="AE47" i="2"/>
  <c r="AE22" i="2"/>
  <c r="AE50" i="2" s="1"/>
  <c r="AF20" i="2"/>
  <c r="AF49" i="2" s="1"/>
  <c r="AF45" i="2"/>
  <c r="AB55" i="2"/>
  <c r="AB36" i="2"/>
  <c r="AF48" i="2"/>
  <c r="AC34" i="2" l="1"/>
  <c r="AC36" i="2" s="1"/>
  <c r="AE25" i="2"/>
  <c r="AE53" i="2" s="1"/>
  <c r="AD53" i="2"/>
  <c r="AD31" i="2"/>
  <c r="AD54" i="2" s="1"/>
  <c r="AF21" i="2"/>
  <c r="AF22" i="2" s="1"/>
  <c r="AD34" i="2" l="1"/>
  <c r="AD36" i="2" s="1"/>
  <c r="AC55" i="2"/>
  <c r="AE31" i="2"/>
  <c r="AE54" i="2" s="1"/>
  <c r="AF25" i="2"/>
  <c r="AF50" i="2"/>
  <c r="AD55" i="2" l="1"/>
  <c r="AE34" i="2"/>
  <c r="AE36" i="2" s="1"/>
  <c r="AF53" i="2"/>
  <c r="AF31" i="2"/>
  <c r="AF54" i="2" s="1"/>
  <c r="AF34" i="2" l="1"/>
  <c r="AF36" i="2" s="1"/>
  <c r="AE55" i="2"/>
  <c r="AF55" i="2" l="1"/>
  <c r="AG34" i="2"/>
  <c r="AH34" i="2" s="1"/>
  <c r="AI34" i="2" s="1"/>
  <c r="AJ34" i="2" s="1"/>
  <c r="AK34" i="2" s="1"/>
  <c r="AL34" i="2" s="1"/>
  <c r="AM34" i="2" s="1"/>
  <c r="AN34" i="2" s="1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Y34" i="2" s="1"/>
  <c r="AZ34" i="2" s="1"/>
  <c r="BA34" i="2" s="1"/>
  <c r="BB34" i="2" s="1"/>
  <c r="BC34" i="2" s="1"/>
  <c r="BD34" i="2" s="1"/>
  <c r="BE34" i="2" s="1"/>
  <c r="BF34" i="2" s="1"/>
  <c r="BG34" i="2" s="1"/>
  <c r="BH34" i="2" s="1"/>
  <c r="BI34" i="2" s="1"/>
  <c r="BJ34" i="2" s="1"/>
  <c r="BK34" i="2" s="1"/>
  <c r="BL34" i="2" s="1"/>
  <c r="BM34" i="2" s="1"/>
  <c r="BN34" i="2" s="1"/>
  <c r="BO34" i="2" s="1"/>
  <c r="BP34" i="2" s="1"/>
  <c r="BQ34" i="2" s="1"/>
  <c r="BR34" i="2" s="1"/>
  <c r="BS34" i="2" s="1"/>
  <c r="BT34" i="2" s="1"/>
  <c r="BU34" i="2" s="1"/>
  <c r="BV34" i="2" s="1"/>
  <c r="BW34" i="2" s="1"/>
  <c r="BX34" i="2" s="1"/>
  <c r="BY34" i="2" s="1"/>
  <c r="BZ34" i="2" s="1"/>
  <c r="CA34" i="2" s="1"/>
  <c r="CB34" i="2" s="1"/>
  <c r="CC34" i="2" s="1"/>
  <c r="CD34" i="2" s="1"/>
  <c r="CE34" i="2" s="1"/>
  <c r="CF34" i="2" s="1"/>
  <c r="CG34" i="2" s="1"/>
  <c r="CH34" i="2" s="1"/>
  <c r="CI34" i="2" s="1"/>
  <c r="CJ34" i="2" s="1"/>
  <c r="CK34" i="2" s="1"/>
  <c r="CL34" i="2" s="1"/>
  <c r="CM34" i="2" s="1"/>
  <c r="CN34" i="2" s="1"/>
  <c r="CO34" i="2" s="1"/>
  <c r="CP34" i="2" s="1"/>
  <c r="CQ34" i="2" s="1"/>
  <c r="CR34" i="2" s="1"/>
  <c r="CS34" i="2" s="1"/>
  <c r="CT34" i="2" s="1"/>
  <c r="CU34" i="2" s="1"/>
  <c r="CV34" i="2" s="1"/>
  <c r="CW34" i="2" s="1"/>
  <c r="CX34" i="2" s="1"/>
  <c r="CY34" i="2" s="1"/>
  <c r="CZ34" i="2" s="1"/>
  <c r="DA34" i="2" s="1"/>
  <c r="DB34" i="2" s="1"/>
  <c r="DC34" i="2" s="1"/>
  <c r="DD34" i="2" s="1"/>
  <c r="DE34" i="2" s="1"/>
  <c r="DF34" i="2" s="1"/>
  <c r="DG34" i="2" s="1"/>
  <c r="DH34" i="2" s="1"/>
  <c r="DI34" i="2" s="1"/>
  <c r="DJ34" i="2" s="1"/>
  <c r="DK34" i="2" s="1"/>
  <c r="DL34" i="2" s="1"/>
  <c r="DM34" i="2" s="1"/>
  <c r="DN34" i="2" s="1"/>
  <c r="DO34" i="2" s="1"/>
  <c r="DP34" i="2" s="1"/>
  <c r="DQ34" i="2" s="1"/>
  <c r="DR34" i="2" s="1"/>
  <c r="DS34" i="2" s="1"/>
  <c r="DT34" i="2" s="1"/>
  <c r="DU34" i="2" s="1"/>
  <c r="DV34" i="2" s="1"/>
  <c r="DW34" i="2" s="1"/>
  <c r="DX34" i="2" s="1"/>
  <c r="DY34" i="2" s="1"/>
  <c r="DZ34" i="2" s="1"/>
  <c r="EA34" i="2" s="1"/>
  <c r="EB34" i="2" s="1"/>
  <c r="EC34" i="2" s="1"/>
  <c r="ED34" i="2" s="1"/>
  <c r="EE34" i="2" s="1"/>
  <c r="EF34" i="2" s="1"/>
  <c r="EG34" i="2" s="1"/>
  <c r="EH34" i="2" s="1"/>
  <c r="EI34" i="2" s="1"/>
  <c r="EJ34" i="2" s="1"/>
  <c r="EK34" i="2" s="1"/>
  <c r="EL34" i="2" s="1"/>
  <c r="EM34" i="2" s="1"/>
  <c r="AJ48" i="2" s="1"/>
  <c r="AJ50" i="2" s="1"/>
  <c r="AJ51" i="2" s="1"/>
  <c r="AJ5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M4" authorId="0" shapeId="0" xr:uid="{D888B577-5DAF-4967-9D94-6F3B37904A7D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MV-75 increase</t>
        </r>
      </text>
    </comment>
    <comment ref="J8" authorId="0" shapeId="0" xr:uid="{6B57C472-E865-4C3B-8ED2-B7AEF149343C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Revenues at Textron Aviation of $1.3 billion were down $242 million from the fourth quarter of 2023, reflecting lower volume and mix of $282 million, which was principally a result of production disruptions related to the strike.</t>
        </r>
      </text>
    </comment>
  </commentList>
</comments>
</file>

<file path=xl/sharedStrings.xml><?xml version="1.0" encoding="utf-8"?>
<sst xmlns="http://schemas.openxmlformats.org/spreadsheetml/2006/main" count="88" uniqueCount="83">
  <si>
    <t>TXT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</si>
  <si>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</si>
  <si>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</si>
  <si>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</si>
  <si>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</si>
  <si>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</si>
  <si>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</si>
  <si>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</si>
  <si>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</si>
  <si>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</si>
  <si>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</si>
  <si>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</si>
  <si>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Product revenue</t>
  </si>
  <si>
    <t>Service revenue</t>
  </si>
  <si>
    <t>Finance revenue</t>
  </si>
  <si>
    <t>Total revenue</t>
  </si>
  <si>
    <t>Product cost</t>
  </si>
  <si>
    <t>Service cost</t>
  </si>
  <si>
    <t>Total cost of sales</t>
  </si>
  <si>
    <t>Gross profit</t>
  </si>
  <si>
    <t>R&amp;D</t>
  </si>
  <si>
    <t>S&amp;M</t>
  </si>
  <si>
    <t>Operating profit</t>
  </si>
  <si>
    <t>Interest expense</t>
  </si>
  <si>
    <t>Other expense</t>
  </si>
  <si>
    <t>Pension income</t>
  </si>
  <si>
    <t>Pretax profit</t>
  </si>
  <si>
    <t>Taxes</t>
  </si>
  <si>
    <t>MI</t>
  </si>
  <si>
    <t>Net profit</t>
  </si>
  <si>
    <t>EPS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</si>
  <si>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</si>
  <si>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</si>
  <si>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</si>
  <si>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</si>
  <si>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</si>
  <si>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</si>
  <si>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</si>
  <si>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</si>
  <si>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</si>
  <si>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</si>
  <si>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</si>
  <si>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Total operating expense</t>
  </si>
  <si>
    <t>Gross Margin</t>
  </si>
  <si>
    <t>Product revenue y/y</t>
  </si>
  <si>
    <t>Service revenue y/y</t>
  </si>
  <si>
    <t>Finance revenue y/y</t>
  </si>
  <si>
    <t>Product Margin</t>
  </si>
  <si>
    <t>Service Margin</t>
  </si>
  <si>
    <t>R&amp;D y/y</t>
  </si>
  <si>
    <t>S&amp;M Margin</t>
  </si>
  <si>
    <t>Operating Margin</t>
  </si>
  <si>
    <t>Net Margin</t>
  </si>
  <si>
    <t>Restructuring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</si>
  <si>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</si>
  <si>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</si>
  <si>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</si>
  <si>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</si>
  <si>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</si>
  <si>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</si>
  <si>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</si>
  <si>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</si>
  <si>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</si>
  <si>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Fairly valued</t>
  </si>
  <si>
    <t>Revenue y/y</t>
  </si>
  <si>
    <t>L+S/E</t>
  </si>
  <si>
    <t>EV/B</t>
  </si>
  <si>
    <t>B/EV</t>
  </si>
  <si>
    <t>Textron Aviation</t>
  </si>
  <si>
    <t>Bell</t>
  </si>
  <si>
    <t>Textron Systems</t>
  </si>
  <si>
    <t>Industrial</t>
  </si>
  <si>
    <t>Textron eAviation</t>
  </si>
  <si>
    <t>Manufacturing revenue</t>
  </si>
  <si>
    <t>Textron Aviation y/y</t>
  </si>
  <si>
    <t>Bell y/y</t>
  </si>
  <si>
    <t>Textron Systems y/y</t>
  </si>
  <si>
    <t>Industrial y/y</t>
  </si>
  <si>
    <t>Textron eAviation y/y</t>
  </si>
  <si>
    <t>Textron Aviation backlog</t>
  </si>
  <si>
    <t>Bell backlog</t>
  </si>
  <si>
    <t>Textron Systems backlog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</si>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</sst>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5" fillId="2" borderId="1" xfId="0" applyFont="1" applyFill="1" applyBorder="1"/>
    <xf numFmtId="165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  <xf numFmtId="3" fontId="5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3" fontId="8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0</xdr:row>
      <xdr:rowOff>0</xdr:rowOff>
    </xdr:from>
    <xdr:to>
      <xdr:col>13</xdr:col>
      <xdr:colOff>22860</xdr:colOff>
      <xdr:row>61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CA33743-82ED-3EA5-E9C0-25A45D458B6D}"/>
            </a:ext>
          </a:extLst>
        </xdr:cNvPr>
        <xdr:cNvCxnSpPr/>
      </xdr:nvCxnSpPr>
      <xdr:spPr>
        <a:xfrm>
          <a:off x="8763000" y="0"/>
          <a:ext cx="0" cy="103479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</xdr:colOff>
      <xdr:row>0</xdr:row>
      <xdr:rowOff>7620</xdr:rowOff>
    </xdr:from>
    <xdr:to>
      <xdr:col>21</xdr:col>
      <xdr:colOff>38100</xdr:colOff>
      <xdr:row>61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C11F25E-ABA9-2023-2CDF-29F261AB932B}"/>
            </a:ext>
          </a:extLst>
        </xdr:cNvPr>
        <xdr:cNvCxnSpPr/>
      </xdr:nvCxnSpPr>
      <xdr:spPr>
        <a:xfrm>
          <a:off x="13655040" y="7620"/>
          <a:ext cx="0" cy="7597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8912-EEFA-42C6-83E8-ED57D022B3D8}">
  <dimension ref="B2:G9"/>
  <sheetViews>
    <sheetView workbookViewId="0">
      <selection activeCell="E7" sqref="E7"/>
    </sheetView>
  </sheetViews>
  <sheetFormatPr defaultRowHeight="14.4" x14ac:dyDescent="0.3"/>
  <cols>
    <col min="1" max="4" width="8.88671875" style="1"/>
    <col min="5" max="5" width="11.88671875" style="4" bestFit="1" customWidth="1"/>
    <col min="6" max="7" width="11.21875" style="4" bestFit="1" customWidth="1"/>
    <col min="8" max="16384" width="8.88671875" style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2" t="s">
        <v>0</v>
      </c>
      <c r="C3" s="1" t="s">
        <v>1</v>
      </c>
      <c r="D3" s="7">
        <v>81.22</v>
      </c>
      <c r="E3" s="5">
        <v>45955</v>
      </c>
      <c r="F3" s="5">
        <f ca="1">TODAY()</f>
        <v>46002</v>
      </c>
      <c r="G3" s="5">
        <v>46050</v>
      </c>
    </row>
    <row r="4" spans="2:7" x14ac:dyDescent="0.3">
      <c r="C4" s="1" t="s">
        <v>2</v>
      </c>
      <c r="D4" s="6">
        <v>176.2</v>
      </c>
      <c r="E4" s="4" t="s">
        <v>40</v>
      </c>
    </row>
    <row r="5" spans="2:7" x14ac:dyDescent="0.3">
      <c r="C5" s="1" t="s">
        <v>3</v>
      </c>
      <c r="D5" s="6">
        <f>D3*D4</f>
        <v>14310.963999999998</v>
      </c>
    </row>
    <row r="6" spans="2:7" x14ac:dyDescent="0.3">
      <c r="C6" s="1" t="s">
        <v>4</v>
      </c>
      <c r="D6" s="6">
        <f>1446</f>
        <v>1446</v>
      </c>
      <c r="E6" s="4" t="s">
        <v>40</v>
      </c>
    </row>
    <row r="7" spans="2:7" x14ac:dyDescent="0.3">
      <c r="C7" s="1" t="s">
        <v>5</v>
      </c>
      <c r="D7" s="6">
        <f>356+3038</f>
        <v>3394</v>
      </c>
      <c r="E7" s="4" t="s">
        <v>40</v>
      </c>
    </row>
    <row r="8" spans="2:7" x14ac:dyDescent="0.3">
      <c r="C8" s="1" t="s">
        <v>6</v>
      </c>
      <c r="D8" s="6">
        <f>D6-D7</f>
        <v>-1948</v>
      </c>
    </row>
    <row r="9" spans="2:7" x14ac:dyDescent="0.3">
      <c r="C9" s="1" t="s">
        <v>7</v>
      </c>
      <c r="D9" s="6">
        <f>D5-D8</f>
        <v>16258.963999999998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A5CA-858D-4D33-97A4-C210F9582581}">
  <dimension ref="B2:EM61"/>
  <sheetViews>
    <sheetView tabSelected="1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V3" sqref="V3"/>
    </sheetView>
  </sheetViews>
  <sheetFormatPr defaultRowHeight="14.4" x14ac:dyDescent="0.3"/>
  <cols>
    <col min="1" max="1" width="8.88671875" style="1"/>
    <col min="2" max="2" width="22.44140625" style="1" bestFit="1" customWidth="1"/>
    <col min="3" max="34" width="8.88671875" style="1"/>
    <col min="35" max="35" width="11.88671875" style="1" bestFit="1" customWidth="1"/>
    <col min="36" max="36" width="13.21875" style="1" customWidth="1"/>
    <col min="37" max="16384" width="8.88671875" style="1"/>
  </cols>
  <sheetData>
    <row r="2" spans="2:32" x14ac:dyDescent="0.3"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11</v>
      </c>
      <c r="M2" s="3" t="s">
        <v>40</v>
      </c>
      <c r="N2" s="3" t="s">
        <v>41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</row>
    <row r="3" spans="2:32" x14ac:dyDescent="0.3">
      <c r="B3" s="1" t="s">
        <v>79</v>
      </c>
      <c r="C3" s="3"/>
      <c r="D3" s="3"/>
      <c r="E3" s="3"/>
      <c r="F3" s="3"/>
      <c r="G3" s="3"/>
      <c r="H3" s="3"/>
      <c r="I3" s="3"/>
      <c r="J3" s="3"/>
      <c r="K3" s="3"/>
      <c r="L3" s="14">
        <v>7850</v>
      </c>
      <c r="M3" s="14">
        <v>7700</v>
      </c>
      <c r="N3" s="3"/>
      <c r="T3" s="6">
        <v>7169</v>
      </c>
      <c r="U3" s="6">
        <v>7845</v>
      </c>
      <c r="V3" s="14">
        <v>7700</v>
      </c>
    </row>
    <row r="4" spans="2:32" x14ac:dyDescent="0.3">
      <c r="B4" s="1" t="s">
        <v>80</v>
      </c>
      <c r="C4" s="3"/>
      <c r="D4" s="3"/>
      <c r="E4" s="3"/>
      <c r="F4" s="3"/>
      <c r="G4" s="3"/>
      <c r="H4" s="3"/>
      <c r="I4" s="3"/>
      <c r="J4" s="3"/>
      <c r="K4" s="3"/>
      <c r="L4" s="14">
        <f>M4-1300</f>
        <v>6900</v>
      </c>
      <c r="M4" s="14">
        <v>8200</v>
      </c>
      <c r="N4" s="3"/>
      <c r="T4" s="6">
        <v>4780</v>
      </c>
      <c r="U4" s="6">
        <v>7469</v>
      </c>
      <c r="V4" s="14">
        <v>8200</v>
      </c>
    </row>
    <row r="5" spans="2:32" x14ac:dyDescent="0.3">
      <c r="B5" s="1" t="s">
        <v>81</v>
      </c>
      <c r="C5" s="3"/>
      <c r="D5" s="3"/>
      <c r="E5" s="3"/>
      <c r="F5" s="3"/>
      <c r="G5" s="3"/>
      <c r="H5" s="3"/>
      <c r="I5" s="3"/>
      <c r="J5" s="3"/>
      <c r="K5" s="3"/>
      <c r="L5" s="14">
        <f>M5-980</f>
        <v>2220</v>
      </c>
      <c r="M5" s="14">
        <v>3200</v>
      </c>
      <c r="N5" s="3"/>
      <c r="T5" s="6">
        <v>1950</v>
      </c>
      <c r="U5" s="6">
        <v>2594</v>
      </c>
      <c r="V5" s="14">
        <v>3200</v>
      </c>
    </row>
    <row r="6" spans="2:32" s="2" customFormat="1" x14ac:dyDescent="0.3">
      <c r="B6" s="2" t="s">
        <v>82</v>
      </c>
      <c r="C6" s="16"/>
      <c r="D6" s="16"/>
      <c r="E6" s="16"/>
      <c r="F6" s="16"/>
      <c r="G6" s="16"/>
      <c r="H6" s="16"/>
      <c r="I6" s="16"/>
      <c r="J6" s="16"/>
      <c r="K6" s="16"/>
      <c r="L6" s="17">
        <f>SUM(L3:L5)</f>
        <v>16970</v>
      </c>
      <c r="M6" s="17">
        <f>SUM(M3:M5)</f>
        <v>19100</v>
      </c>
      <c r="N6" s="16"/>
      <c r="T6" s="9">
        <f>SUM(T3:T5)</f>
        <v>13899</v>
      </c>
      <c r="U6" s="9">
        <f>SUM(U3:U5)</f>
        <v>17908</v>
      </c>
      <c r="V6" s="17">
        <f>SUM(V3:V5)</f>
        <v>19100</v>
      </c>
    </row>
    <row r="7" spans="2:32" x14ac:dyDescent="0.3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32" x14ac:dyDescent="0.3">
      <c r="B8" s="1" t="s">
        <v>68</v>
      </c>
      <c r="C8" s="3"/>
      <c r="D8" s="3"/>
      <c r="E8" s="14">
        <v>1338</v>
      </c>
      <c r="F8" s="14">
        <v>1524</v>
      </c>
      <c r="G8" s="14">
        <v>1188</v>
      </c>
      <c r="H8" s="14">
        <v>1475</v>
      </c>
      <c r="I8" s="14">
        <v>1339</v>
      </c>
      <c r="J8" s="14">
        <v>1282</v>
      </c>
      <c r="K8" s="14">
        <v>1212</v>
      </c>
      <c r="L8" s="14">
        <v>1517</v>
      </c>
      <c r="M8" s="14">
        <v>1477</v>
      </c>
      <c r="N8" s="14">
        <f>J8*1.17</f>
        <v>1499.9399999999998</v>
      </c>
      <c r="U8" s="14">
        <f>SUM(G8:J8)</f>
        <v>5284</v>
      </c>
      <c r="V8" s="14">
        <f>SUM(K8:N8)</f>
        <v>5705.94</v>
      </c>
      <c r="W8" s="18">
        <f>V8*1.04</f>
        <v>5934.1776</v>
      </c>
    </row>
    <row r="9" spans="2:32" x14ac:dyDescent="0.3">
      <c r="B9" s="1" t="s">
        <v>69</v>
      </c>
      <c r="C9" s="3"/>
      <c r="D9" s="3"/>
      <c r="E9" s="14">
        <v>754</v>
      </c>
      <c r="F9" s="14">
        <v>1071</v>
      </c>
      <c r="G9" s="14">
        <v>727</v>
      </c>
      <c r="H9" s="14">
        <v>794</v>
      </c>
      <c r="I9" s="14">
        <v>929</v>
      </c>
      <c r="J9" s="14">
        <v>1129</v>
      </c>
      <c r="K9" s="14">
        <v>983</v>
      </c>
      <c r="L9" s="14">
        <v>1016</v>
      </c>
      <c r="M9" s="14">
        <v>1026</v>
      </c>
      <c r="N9" s="14">
        <f>J9*1.15</f>
        <v>1298.3499999999999</v>
      </c>
      <c r="U9" s="14">
        <f t="shared" ref="U9:U12" si="0">SUM(G9:J9)</f>
        <v>3579</v>
      </c>
      <c r="V9" s="14">
        <f t="shared" ref="V9:V12" si="1">SUM(K9:N9)</f>
        <v>4323.3500000000004</v>
      </c>
      <c r="W9" s="18">
        <f>V9*1.15</f>
        <v>4971.8525</v>
      </c>
    </row>
    <row r="10" spans="2:32" x14ac:dyDescent="0.3">
      <c r="B10" s="1" t="s">
        <v>70</v>
      </c>
      <c r="C10" s="3"/>
      <c r="D10" s="3"/>
      <c r="E10" s="14">
        <v>309</v>
      </c>
      <c r="F10" s="14">
        <v>314</v>
      </c>
      <c r="G10" s="14">
        <v>306</v>
      </c>
      <c r="H10" s="14">
        <v>323</v>
      </c>
      <c r="I10" s="14">
        <v>301</v>
      </c>
      <c r="J10" s="14">
        <v>311</v>
      </c>
      <c r="K10" s="14">
        <v>296</v>
      </c>
      <c r="L10" s="14">
        <v>321</v>
      </c>
      <c r="M10" s="14">
        <v>307</v>
      </c>
      <c r="N10" s="14">
        <f>J10*1.03</f>
        <v>320.33</v>
      </c>
      <c r="U10" s="14">
        <f t="shared" si="0"/>
        <v>1241</v>
      </c>
      <c r="V10" s="14">
        <f t="shared" si="1"/>
        <v>1244.33</v>
      </c>
      <c r="W10" s="18">
        <f>V10*1.01</f>
        <v>1256.7732999999998</v>
      </c>
    </row>
    <row r="11" spans="2:32" x14ac:dyDescent="0.3">
      <c r="B11" s="1" t="s">
        <v>71</v>
      </c>
      <c r="C11" s="3"/>
      <c r="D11" s="3"/>
      <c r="E11" s="14">
        <v>922</v>
      </c>
      <c r="F11" s="14">
        <v>961</v>
      </c>
      <c r="G11" s="14">
        <v>892</v>
      </c>
      <c r="H11" s="14">
        <v>914</v>
      </c>
      <c r="I11" s="14">
        <v>840</v>
      </c>
      <c r="J11" s="14">
        <v>869</v>
      </c>
      <c r="K11" s="14">
        <v>792</v>
      </c>
      <c r="L11" s="14">
        <v>839</v>
      </c>
      <c r="M11" s="14">
        <v>761</v>
      </c>
      <c r="N11" s="14">
        <f>J11*0.92</f>
        <v>799.48</v>
      </c>
      <c r="U11" s="14">
        <f t="shared" si="0"/>
        <v>3515</v>
      </c>
      <c r="V11" s="14">
        <f t="shared" si="1"/>
        <v>3191.48</v>
      </c>
      <c r="W11" s="18">
        <f>V11*0.97</f>
        <v>3095.7356</v>
      </c>
    </row>
    <row r="12" spans="2:32" x14ac:dyDescent="0.3">
      <c r="B12" s="1" t="s">
        <v>72</v>
      </c>
      <c r="C12" s="3"/>
      <c r="D12" s="3"/>
      <c r="E12" s="14">
        <v>7</v>
      </c>
      <c r="F12" s="14">
        <v>10</v>
      </c>
      <c r="G12" s="14">
        <v>7</v>
      </c>
      <c r="H12" s="14">
        <v>9</v>
      </c>
      <c r="I12" s="14">
        <v>6</v>
      </c>
      <c r="J12" s="14">
        <v>11</v>
      </c>
      <c r="K12" s="14">
        <v>7</v>
      </c>
      <c r="L12" s="14">
        <v>8</v>
      </c>
      <c r="M12" s="14">
        <v>5</v>
      </c>
      <c r="N12" s="14">
        <v>9</v>
      </c>
      <c r="U12" s="14">
        <f t="shared" si="0"/>
        <v>33</v>
      </c>
      <c r="V12" s="14">
        <f t="shared" si="1"/>
        <v>29</v>
      </c>
      <c r="W12" s="18">
        <f>V12*1.3</f>
        <v>37.700000000000003</v>
      </c>
    </row>
    <row r="13" spans="2:32" s="2" customFormat="1" x14ac:dyDescent="0.3">
      <c r="B13" s="2" t="s">
        <v>73</v>
      </c>
      <c r="C13" s="16"/>
      <c r="D13" s="16"/>
      <c r="E13" s="17">
        <f t="shared" ref="E13:L13" si="2">SUM(E8:E12)</f>
        <v>3330</v>
      </c>
      <c r="F13" s="17">
        <f t="shared" si="2"/>
        <v>3880</v>
      </c>
      <c r="G13" s="17">
        <f t="shared" si="2"/>
        <v>3120</v>
      </c>
      <c r="H13" s="17">
        <f t="shared" si="2"/>
        <v>3515</v>
      </c>
      <c r="I13" s="17">
        <f t="shared" si="2"/>
        <v>3415</v>
      </c>
      <c r="J13" s="17">
        <f t="shared" si="2"/>
        <v>3602</v>
      </c>
      <c r="K13" s="17">
        <f t="shared" si="2"/>
        <v>3290</v>
      </c>
      <c r="L13" s="17">
        <f t="shared" si="2"/>
        <v>3701</v>
      </c>
      <c r="M13" s="17">
        <f t="shared" ref="M13:N13" si="3">SUM(M8:M12)</f>
        <v>3576</v>
      </c>
      <c r="N13" s="17">
        <f t="shared" si="3"/>
        <v>3927.1</v>
      </c>
      <c r="U13" s="17">
        <f t="shared" ref="U13:W13" si="4">SUM(U8:U12)</f>
        <v>13652</v>
      </c>
      <c r="V13" s="17">
        <f t="shared" si="4"/>
        <v>14494.1</v>
      </c>
      <c r="W13" s="19">
        <f t="shared" si="4"/>
        <v>15296.239000000001</v>
      </c>
    </row>
    <row r="14" spans="2:32" x14ac:dyDescent="0.3">
      <c r="C14" s="3"/>
      <c r="D14" s="3"/>
      <c r="E14" s="3"/>
      <c r="F14" s="3"/>
      <c r="G14" s="3"/>
      <c r="H14" s="14"/>
      <c r="I14" s="3"/>
      <c r="J14" s="3"/>
      <c r="K14" s="3"/>
      <c r="L14" s="14"/>
      <c r="M14" s="3"/>
      <c r="N14" s="3"/>
    </row>
    <row r="15" spans="2:32" x14ac:dyDescent="0.3">
      <c r="B15" s="1" t="s">
        <v>12</v>
      </c>
      <c r="E15" s="6">
        <v>2791</v>
      </c>
      <c r="G15" s="6">
        <v>2432</v>
      </c>
      <c r="H15" s="6">
        <v>2842</v>
      </c>
      <c r="I15" s="6">
        <v>2955</v>
      </c>
      <c r="J15" s="6">
        <f>U15-I15-H15-G15</f>
        <v>3146</v>
      </c>
      <c r="K15" s="6">
        <v>2771</v>
      </c>
      <c r="L15" s="6">
        <v>3197</v>
      </c>
      <c r="M15" s="6">
        <v>3114</v>
      </c>
      <c r="N15" s="6">
        <f>J15*1.11</f>
        <v>3492.0600000000004</v>
      </c>
      <c r="P15" s="6">
        <v>11690</v>
      </c>
      <c r="Q15" s="6">
        <v>9720</v>
      </c>
      <c r="R15" s="6">
        <v>10541</v>
      </c>
      <c r="S15" s="6">
        <v>10945</v>
      </c>
      <c r="T15" s="6">
        <v>11573</v>
      </c>
      <c r="U15" s="6">
        <v>11375</v>
      </c>
      <c r="V15" s="6">
        <f>SUM(K15:N15)</f>
        <v>12574.060000000001</v>
      </c>
      <c r="W15" s="6">
        <f>V15*1.09</f>
        <v>13705.725400000003</v>
      </c>
      <c r="X15" s="6">
        <f>W15*1.05</f>
        <v>14391.011670000004</v>
      </c>
      <c r="Y15" s="6">
        <f>X15*1.04</f>
        <v>14966.652136800005</v>
      </c>
      <c r="Z15" s="6">
        <f>Y15*1.03</f>
        <v>15415.651700904005</v>
      </c>
      <c r="AA15" s="6">
        <f>Z15*1.02</f>
        <v>15723.964734922085</v>
      </c>
      <c r="AB15" s="6">
        <f t="shared" ref="AB15:AF15" si="5">AA15*1.02</f>
        <v>16038.444029620527</v>
      </c>
      <c r="AC15" s="6">
        <f t="shared" si="5"/>
        <v>16359.212910212937</v>
      </c>
      <c r="AD15" s="6">
        <f t="shared" si="5"/>
        <v>16686.397168417196</v>
      </c>
      <c r="AE15" s="6">
        <f t="shared" si="5"/>
        <v>17020.125111785539</v>
      </c>
      <c r="AF15" s="6">
        <f t="shared" si="5"/>
        <v>17360.527614021252</v>
      </c>
    </row>
    <row r="16" spans="2:32" x14ac:dyDescent="0.3">
      <c r="B16" s="1" t="s">
        <v>13</v>
      </c>
      <c r="E16" s="6">
        <v>539</v>
      </c>
      <c r="G16" s="6">
        <v>688</v>
      </c>
      <c r="H16" s="6">
        <v>673</v>
      </c>
      <c r="I16" s="6">
        <v>460</v>
      </c>
      <c r="J16" s="6">
        <f>U16-I16-H16-G16</f>
        <v>456</v>
      </c>
      <c r="K16" s="6">
        <v>519</v>
      </c>
      <c r="L16" s="6">
        <v>504</v>
      </c>
      <c r="M16" s="6">
        <v>462</v>
      </c>
      <c r="N16" s="6">
        <f>J16*0.98</f>
        <v>446.88</v>
      </c>
      <c r="P16" s="6">
        <v>1874</v>
      </c>
      <c r="Q16" s="6">
        <v>1876</v>
      </c>
      <c r="R16" s="6">
        <v>1792</v>
      </c>
      <c r="S16" s="6">
        <v>1872</v>
      </c>
      <c r="T16" s="6">
        <v>2055</v>
      </c>
      <c r="U16" s="6">
        <v>2277</v>
      </c>
      <c r="V16" s="6">
        <f t="shared" ref="V16:V17" si="6">SUM(K16:N16)</f>
        <v>1931.88</v>
      </c>
      <c r="W16" s="6">
        <f>V16*1.04</f>
        <v>2009.1552000000001</v>
      </c>
      <c r="X16" s="6">
        <f>W16*1.03</f>
        <v>2069.4298560000002</v>
      </c>
      <c r="Y16" s="6">
        <f>X16*1.02</f>
        <v>2110.8184531200004</v>
      </c>
      <c r="Z16" s="6">
        <f t="shared" ref="Z16:AF16" si="7">Y16*1.02</f>
        <v>2153.0348221824006</v>
      </c>
      <c r="AA16" s="6">
        <f t="shared" si="7"/>
        <v>2196.0955186260485</v>
      </c>
      <c r="AB16" s="6">
        <f t="shared" si="7"/>
        <v>2240.0174289985694</v>
      </c>
      <c r="AC16" s="6">
        <f t="shared" si="7"/>
        <v>2284.8177775785407</v>
      </c>
      <c r="AD16" s="6">
        <f t="shared" si="7"/>
        <v>2330.5141331301115</v>
      </c>
      <c r="AE16" s="6">
        <f t="shared" si="7"/>
        <v>2377.124415792714</v>
      </c>
      <c r="AF16" s="6">
        <f t="shared" si="7"/>
        <v>2424.6669041085684</v>
      </c>
    </row>
    <row r="17" spans="2:32" x14ac:dyDescent="0.3">
      <c r="B17" s="1" t="s">
        <v>14</v>
      </c>
      <c r="E17" s="6">
        <v>13</v>
      </c>
      <c r="G17" s="6">
        <v>15</v>
      </c>
      <c r="H17" s="6">
        <v>12</v>
      </c>
      <c r="I17" s="6">
        <v>12</v>
      </c>
      <c r="J17" s="6">
        <f>U17-I17-H17-G17</f>
        <v>11</v>
      </c>
      <c r="K17" s="6">
        <v>16</v>
      </c>
      <c r="L17" s="6">
        <v>15</v>
      </c>
      <c r="M17" s="6">
        <v>26</v>
      </c>
      <c r="N17" s="6">
        <v>15</v>
      </c>
      <c r="P17" s="6">
        <v>66</v>
      </c>
      <c r="Q17" s="6">
        <v>55</v>
      </c>
      <c r="R17" s="6">
        <v>49</v>
      </c>
      <c r="S17" s="6">
        <v>52</v>
      </c>
      <c r="T17" s="6">
        <v>55</v>
      </c>
      <c r="U17" s="6">
        <v>50</v>
      </c>
      <c r="V17" s="6">
        <f t="shared" si="6"/>
        <v>72</v>
      </c>
      <c r="W17" s="6">
        <f>V17*1.06</f>
        <v>76.320000000000007</v>
      </c>
      <c r="X17" s="6">
        <f t="shared" ref="X17:AF17" si="8">W17*1.06</f>
        <v>80.899200000000008</v>
      </c>
      <c r="Y17" s="6">
        <f t="shared" si="8"/>
        <v>85.753152000000014</v>
      </c>
      <c r="Z17" s="6">
        <f t="shared" si="8"/>
        <v>90.898341120000026</v>
      </c>
      <c r="AA17" s="6">
        <f t="shared" si="8"/>
        <v>96.352241587200027</v>
      </c>
      <c r="AB17" s="6">
        <f t="shared" si="8"/>
        <v>102.13337608243204</v>
      </c>
      <c r="AC17" s="6">
        <f t="shared" si="8"/>
        <v>108.26137864737797</v>
      </c>
      <c r="AD17" s="6">
        <f t="shared" si="8"/>
        <v>114.75706136622065</v>
      </c>
      <c r="AE17" s="6">
        <f t="shared" si="8"/>
        <v>121.6424850481939</v>
      </c>
      <c r="AF17" s="6">
        <f t="shared" si="8"/>
        <v>128.94103415108555</v>
      </c>
    </row>
    <row r="18" spans="2:32" s="2" customFormat="1" x14ac:dyDescent="0.3">
      <c r="B18" s="2" t="s">
        <v>15</v>
      </c>
      <c r="E18" s="9">
        <f>SUM(E15:E17)</f>
        <v>3343</v>
      </c>
      <c r="G18" s="9">
        <f t="shared" ref="G18:L18" si="9">SUM(G15:G17)</f>
        <v>3135</v>
      </c>
      <c r="H18" s="9">
        <f t="shared" si="9"/>
        <v>3527</v>
      </c>
      <c r="I18" s="9">
        <f t="shared" si="9"/>
        <v>3427</v>
      </c>
      <c r="J18" s="9">
        <f t="shared" si="9"/>
        <v>3613</v>
      </c>
      <c r="K18" s="9">
        <f t="shared" si="9"/>
        <v>3306</v>
      </c>
      <c r="L18" s="9">
        <f t="shared" si="9"/>
        <v>3716</v>
      </c>
      <c r="M18" s="9">
        <f t="shared" ref="M18:N18" si="10">SUM(M15:M17)</f>
        <v>3602</v>
      </c>
      <c r="N18" s="9">
        <f t="shared" si="10"/>
        <v>3953.9400000000005</v>
      </c>
      <c r="P18" s="9">
        <f t="shared" ref="P18:V18" si="11">SUM(P15:P17)</f>
        <v>13630</v>
      </c>
      <c r="Q18" s="9">
        <f t="shared" si="11"/>
        <v>11651</v>
      </c>
      <c r="R18" s="9">
        <f t="shared" si="11"/>
        <v>12382</v>
      </c>
      <c r="S18" s="9">
        <f t="shared" si="11"/>
        <v>12869</v>
      </c>
      <c r="T18" s="9">
        <f t="shared" si="11"/>
        <v>13683</v>
      </c>
      <c r="U18" s="9">
        <f t="shared" si="11"/>
        <v>13702</v>
      </c>
      <c r="V18" s="9">
        <f t="shared" si="11"/>
        <v>14577.940000000002</v>
      </c>
      <c r="W18" s="9">
        <f t="shared" ref="W18:AF18" si="12">SUM(W15:W17)</f>
        <v>15791.200600000004</v>
      </c>
      <c r="X18" s="9">
        <f t="shared" si="12"/>
        <v>16541.340726000002</v>
      </c>
      <c r="Y18" s="9">
        <f t="shared" si="12"/>
        <v>17163.223741920006</v>
      </c>
      <c r="Z18" s="9">
        <f t="shared" si="12"/>
        <v>17659.584864206405</v>
      </c>
      <c r="AA18" s="9">
        <f t="shared" si="12"/>
        <v>18016.412495135333</v>
      </c>
      <c r="AB18" s="9">
        <f t="shared" si="12"/>
        <v>18380.594834701526</v>
      </c>
      <c r="AC18" s="9">
        <f t="shared" si="12"/>
        <v>18752.292066438855</v>
      </c>
      <c r="AD18" s="9">
        <f t="shared" si="12"/>
        <v>19131.66836291353</v>
      </c>
      <c r="AE18" s="9">
        <f t="shared" si="12"/>
        <v>19518.892012626446</v>
      </c>
      <c r="AF18" s="9">
        <f t="shared" si="12"/>
        <v>19914.135552280906</v>
      </c>
    </row>
    <row r="19" spans="2:32" x14ac:dyDescent="0.3">
      <c r="B19" s="1" t="s">
        <v>16</v>
      </c>
      <c r="E19" s="6">
        <v>2355</v>
      </c>
      <c r="G19" s="6">
        <v>1925</v>
      </c>
      <c r="H19" s="6">
        <v>2281</v>
      </c>
      <c r="I19" s="6">
        <v>2462</v>
      </c>
      <c r="J19" s="6">
        <f>U19-I19-H19-G19</f>
        <v>2735</v>
      </c>
      <c r="K19" s="6">
        <v>2277</v>
      </c>
      <c r="L19" s="6">
        <v>2630</v>
      </c>
      <c r="M19" s="6">
        <v>2597</v>
      </c>
      <c r="N19" s="6">
        <f>N15*0.82</f>
        <v>2863.4892</v>
      </c>
      <c r="P19" s="6">
        <v>9982</v>
      </c>
      <c r="Q19" s="6">
        <v>8715</v>
      </c>
      <c r="R19" s="6">
        <v>8955</v>
      </c>
      <c r="S19" s="6">
        <v>8787</v>
      </c>
      <c r="T19" s="6">
        <v>9206</v>
      </c>
      <c r="U19" s="6">
        <v>9403</v>
      </c>
      <c r="V19" s="6">
        <f t="shared" ref="V19:V20" si="13">SUM(K19:N19)</f>
        <v>10367.4892</v>
      </c>
      <c r="W19" s="6">
        <f>W15*0.81</f>
        <v>11101.637574000004</v>
      </c>
      <c r="X19" s="6">
        <f>X15*0.8</f>
        <v>11512.809336000004</v>
      </c>
      <c r="Y19" s="6">
        <f t="shared" ref="Y19:AF19" si="14">Y15*0.8</f>
        <v>11973.321709440004</v>
      </c>
      <c r="Z19" s="6">
        <f t="shared" si="14"/>
        <v>12332.521360723205</v>
      </c>
      <c r="AA19" s="6">
        <f t="shared" si="14"/>
        <v>12579.171787937668</v>
      </c>
      <c r="AB19" s="6">
        <f t="shared" si="14"/>
        <v>12830.755223696422</v>
      </c>
      <c r="AC19" s="6">
        <f t="shared" si="14"/>
        <v>13087.370328170349</v>
      </c>
      <c r="AD19" s="6">
        <f t="shared" si="14"/>
        <v>13349.117734733758</v>
      </c>
      <c r="AE19" s="6">
        <f t="shared" si="14"/>
        <v>13616.100089428432</v>
      </c>
      <c r="AF19" s="6">
        <f t="shared" si="14"/>
        <v>13888.422091217002</v>
      </c>
    </row>
    <row r="20" spans="2:32" x14ac:dyDescent="0.3">
      <c r="B20" s="1" t="s">
        <v>17</v>
      </c>
      <c r="E20" s="6">
        <v>424</v>
      </c>
      <c r="G20" s="6">
        <v>545</v>
      </c>
      <c r="H20" s="6">
        <v>553</v>
      </c>
      <c r="I20" s="6">
        <v>347</v>
      </c>
      <c r="J20" s="6">
        <f>U20-I20-H20-G20</f>
        <v>352</v>
      </c>
      <c r="K20" s="6">
        <v>395</v>
      </c>
      <c r="L20" s="6">
        <v>377</v>
      </c>
      <c r="M20" s="6">
        <v>351</v>
      </c>
      <c r="N20" s="6">
        <f>N16*0.75</f>
        <v>335.15999999999997</v>
      </c>
      <c r="P20" s="6">
        <v>1424</v>
      </c>
      <c r="Q20" s="6">
        <v>1379</v>
      </c>
      <c r="R20" s="6">
        <v>1342</v>
      </c>
      <c r="S20" s="6">
        <v>1412</v>
      </c>
      <c r="T20" s="6">
        <v>1629</v>
      </c>
      <c r="U20" s="6">
        <v>1797</v>
      </c>
      <c r="V20" s="6">
        <f t="shared" si="13"/>
        <v>1458.1599999999999</v>
      </c>
      <c r="W20" s="6">
        <f>W16*0.75</f>
        <v>1506.8664000000001</v>
      </c>
      <c r="X20" s="6">
        <f t="shared" ref="X20:AF20" si="15">X16*0.75</f>
        <v>1552.072392</v>
      </c>
      <c r="Y20" s="6">
        <f t="shared" si="15"/>
        <v>1583.1138398400003</v>
      </c>
      <c r="Z20" s="6">
        <f t="shared" si="15"/>
        <v>1614.7761166368005</v>
      </c>
      <c r="AA20" s="6">
        <f t="shared" si="15"/>
        <v>1647.0716389695363</v>
      </c>
      <c r="AB20" s="6">
        <f t="shared" si="15"/>
        <v>1680.0130717489269</v>
      </c>
      <c r="AC20" s="6">
        <f t="shared" si="15"/>
        <v>1713.6133331839055</v>
      </c>
      <c r="AD20" s="6">
        <f t="shared" si="15"/>
        <v>1747.8855998475838</v>
      </c>
      <c r="AE20" s="6">
        <f t="shared" si="15"/>
        <v>1782.8433118445355</v>
      </c>
      <c r="AF20" s="6">
        <f t="shared" si="15"/>
        <v>1818.5001780814264</v>
      </c>
    </row>
    <row r="21" spans="2:32" x14ac:dyDescent="0.3">
      <c r="B21" s="1" t="s">
        <v>18</v>
      </c>
      <c r="E21" s="6">
        <f>SUM(E19:E20)</f>
        <v>2779</v>
      </c>
      <c r="G21" s="6">
        <f t="shared" ref="G21:L21" si="16">SUM(G19:G20)</f>
        <v>2470</v>
      </c>
      <c r="H21" s="6">
        <f t="shared" si="16"/>
        <v>2834</v>
      </c>
      <c r="I21" s="6">
        <f t="shared" si="16"/>
        <v>2809</v>
      </c>
      <c r="J21" s="6">
        <f t="shared" si="16"/>
        <v>3087</v>
      </c>
      <c r="K21" s="6">
        <f t="shared" si="16"/>
        <v>2672</v>
      </c>
      <c r="L21" s="6">
        <f t="shared" si="16"/>
        <v>3007</v>
      </c>
      <c r="M21" s="6">
        <f t="shared" ref="M21:N21" si="17">SUM(M19:M20)</f>
        <v>2948</v>
      </c>
      <c r="N21" s="6">
        <f t="shared" si="17"/>
        <v>3198.6491999999998</v>
      </c>
      <c r="P21" s="6">
        <f t="shared" ref="P21:V21" si="18">SUM(P19:P20)</f>
        <v>11406</v>
      </c>
      <c r="Q21" s="6">
        <f t="shared" si="18"/>
        <v>10094</v>
      </c>
      <c r="R21" s="6">
        <f t="shared" si="18"/>
        <v>10297</v>
      </c>
      <c r="S21" s="6">
        <f t="shared" si="18"/>
        <v>10199</v>
      </c>
      <c r="T21" s="6">
        <f t="shared" si="18"/>
        <v>10835</v>
      </c>
      <c r="U21" s="6">
        <f t="shared" si="18"/>
        <v>11200</v>
      </c>
      <c r="V21" s="6">
        <f t="shared" si="18"/>
        <v>11825.6492</v>
      </c>
      <c r="W21" s="6">
        <f t="shared" ref="W21:AF21" si="19">SUM(W19:W20)</f>
        <v>12608.503974000005</v>
      </c>
      <c r="X21" s="6">
        <f t="shared" si="19"/>
        <v>13064.881728000004</v>
      </c>
      <c r="Y21" s="6">
        <f t="shared" si="19"/>
        <v>13556.435549280004</v>
      </c>
      <c r="Z21" s="6">
        <f t="shared" si="19"/>
        <v>13947.297477360005</v>
      </c>
      <c r="AA21" s="6">
        <f t="shared" si="19"/>
        <v>14226.243426907204</v>
      </c>
      <c r="AB21" s="6">
        <f t="shared" si="19"/>
        <v>14510.768295445348</v>
      </c>
      <c r="AC21" s="6">
        <f t="shared" si="19"/>
        <v>14800.983661354254</v>
      </c>
      <c r="AD21" s="6">
        <f t="shared" si="19"/>
        <v>15097.003334581343</v>
      </c>
      <c r="AE21" s="6">
        <f t="shared" si="19"/>
        <v>15398.943401272967</v>
      </c>
      <c r="AF21" s="6">
        <f t="shared" si="19"/>
        <v>15706.922269298429</v>
      </c>
    </row>
    <row r="22" spans="2:32" s="2" customFormat="1" x14ac:dyDescent="0.3">
      <c r="B22" s="2" t="s">
        <v>19</v>
      </c>
      <c r="E22" s="9">
        <f>E18-E21</f>
        <v>564</v>
      </c>
      <c r="G22" s="9">
        <f t="shared" ref="G22:L22" si="20">G18-G21</f>
        <v>665</v>
      </c>
      <c r="H22" s="9">
        <f t="shared" si="20"/>
        <v>693</v>
      </c>
      <c r="I22" s="9">
        <f t="shared" si="20"/>
        <v>618</v>
      </c>
      <c r="J22" s="9">
        <f t="shared" si="20"/>
        <v>526</v>
      </c>
      <c r="K22" s="9">
        <f t="shared" si="20"/>
        <v>634</v>
      </c>
      <c r="L22" s="9">
        <f t="shared" si="20"/>
        <v>709</v>
      </c>
      <c r="M22" s="9">
        <f t="shared" ref="M22:N22" si="21">M18-M21</f>
        <v>654</v>
      </c>
      <c r="N22" s="9">
        <f t="shared" si="21"/>
        <v>755.29080000000067</v>
      </c>
      <c r="P22" s="9">
        <f t="shared" ref="P22:V22" si="22">P18-P21</f>
        <v>2224</v>
      </c>
      <c r="Q22" s="9">
        <f t="shared" si="22"/>
        <v>1557</v>
      </c>
      <c r="R22" s="9">
        <f t="shared" si="22"/>
        <v>2085</v>
      </c>
      <c r="S22" s="9">
        <f t="shared" si="22"/>
        <v>2670</v>
      </c>
      <c r="T22" s="9">
        <f t="shared" si="22"/>
        <v>2848</v>
      </c>
      <c r="U22" s="9">
        <f t="shared" si="22"/>
        <v>2502</v>
      </c>
      <c r="V22" s="9">
        <f t="shared" si="22"/>
        <v>2752.2908000000025</v>
      </c>
      <c r="W22" s="9">
        <f t="shared" ref="W22:AF22" si="23">W18-W21</f>
        <v>3182.696625999999</v>
      </c>
      <c r="X22" s="9">
        <f t="shared" si="23"/>
        <v>3476.4589979999982</v>
      </c>
      <c r="Y22" s="9">
        <f t="shared" si="23"/>
        <v>3606.7881926400023</v>
      </c>
      <c r="Z22" s="9">
        <f t="shared" si="23"/>
        <v>3712.2873868463994</v>
      </c>
      <c r="AA22" s="9">
        <f t="shared" si="23"/>
        <v>3790.1690682281296</v>
      </c>
      <c r="AB22" s="9">
        <f t="shared" si="23"/>
        <v>3869.8265392561771</v>
      </c>
      <c r="AC22" s="9">
        <f t="shared" si="23"/>
        <v>3951.308405084601</v>
      </c>
      <c r="AD22" s="9">
        <f t="shared" si="23"/>
        <v>4034.6650283321869</v>
      </c>
      <c r="AE22" s="9">
        <f t="shared" si="23"/>
        <v>4119.9486113534786</v>
      </c>
      <c r="AF22" s="9">
        <f t="shared" si="23"/>
        <v>4207.2132829824768</v>
      </c>
    </row>
    <row r="23" spans="2:32" x14ac:dyDescent="0.3">
      <c r="B23" s="1" t="s">
        <v>20</v>
      </c>
      <c r="E23" s="6"/>
      <c r="G23" s="6">
        <v>144</v>
      </c>
      <c r="H23" s="6">
        <v>105</v>
      </c>
      <c r="I23" s="6">
        <v>126</v>
      </c>
      <c r="J23" s="6"/>
      <c r="K23" s="6">
        <v>132</v>
      </c>
      <c r="L23" s="6">
        <f>137</f>
        <v>137</v>
      </c>
      <c r="M23" s="6">
        <v>118</v>
      </c>
      <c r="N23" s="6">
        <v>150</v>
      </c>
      <c r="P23" s="6"/>
      <c r="Q23" s="6"/>
      <c r="R23" s="6"/>
      <c r="S23" s="6">
        <v>601</v>
      </c>
      <c r="T23" s="6">
        <v>570</v>
      </c>
      <c r="U23" s="6">
        <v>491</v>
      </c>
      <c r="V23" s="6">
        <f t="shared" ref="V23:V24" si="24">SUM(K23:N23)</f>
        <v>537</v>
      </c>
      <c r="W23" s="6">
        <f>V23*1.07</f>
        <v>574.59</v>
      </c>
      <c r="X23" s="6">
        <f>W23*1.04</f>
        <v>597.57360000000006</v>
      </c>
      <c r="Y23" s="6">
        <f>X23*1.03</f>
        <v>615.50080800000012</v>
      </c>
      <c r="Z23" s="6">
        <f>Y23*1.02</f>
        <v>627.81082416000015</v>
      </c>
      <c r="AA23" s="6">
        <f t="shared" ref="AA23:AF23" si="25">Z23*1.02</f>
        <v>640.3670406432002</v>
      </c>
      <c r="AB23" s="6">
        <f t="shared" si="25"/>
        <v>653.17438145606422</v>
      </c>
      <c r="AC23" s="6">
        <f t="shared" si="25"/>
        <v>666.23786908518548</v>
      </c>
      <c r="AD23" s="6">
        <f t="shared" si="25"/>
        <v>679.56262646688924</v>
      </c>
      <c r="AE23" s="6">
        <f t="shared" si="25"/>
        <v>693.15387899622704</v>
      </c>
      <c r="AF23" s="6">
        <f t="shared" si="25"/>
        <v>707.01695657615164</v>
      </c>
    </row>
    <row r="24" spans="2:32" x14ac:dyDescent="0.3">
      <c r="B24" s="1" t="s">
        <v>21</v>
      </c>
      <c r="E24" s="6">
        <v>303</v>
      </c>
      <c r="G24" s="6">
        <v>316</v>
      </c>
      <c r="H24" s="6">
        <v>293</v>
      </c>
      <c r="I24" s="6">
        <v>282</v>
      </c>
      <c r="J24" s="6">
        <f>U24-I24-H24-G24</f>
        <v>265</v>
      </c>
      <c r="K24" s="6">
        <v>298</v>
      </c>
      <c r="L24" s="6">
        <v>303</v>
      </c>
      <c r="M24" s="6">
        <v>257</v>
      </c>
      <c r="N24" s="6">
        <f t="shared" ref="N24" si="26">N18*0.08</f>
        <v>316.31520000000006</v>
      </c>
      <c r="P24" s="6">
        <v>1152</v>
      </c>
      <c r="Q24" s="6">
        <v>1045</v>
      </c>
      <c r="R24" s="6">
        <v>1221</v>
      </c>
      <c r="S24" s="6">
        <v>1186</v>
      </c>
      <c r="T24" s="6">
        <v>1225</v>
      </c>
      <c r="U24" s="6">
        <v>1156</v>
      </c>
      <c r="V24" s="6">
        <f t="shared" si="24"/>
        <v>1174.3152</v>
      </c>
      <c r="W24" s="6">
        <f>W18*0.08</f>
        <v>1263.2960480000004</v>
      </c>
      <c r="X24" s="6">
        <f t="shared" ref="X24:AF24" si="27">X18*0.08</f>
        <v>1323.3072580800001</v>
      </c>
      <c r="Y24" s="6">
        <f t="shared" si="27"/>
        <v>1373.0578993536005</v>
      </c>
      <c r="Z24" s="6">
        <f t="shared" si="27"/>
        <v>1412.7667891365124</v>
      </c>
      <c r="AA24" s="6">
        <f t="shared" si="27"/>
        <v>1441.3129996108266</v>
      </c>
      <c r="AB24" s="6">
        <f t="shared" si="27"/>
        <v>1470.4475867761221</v>
      </c>
      <c r="AC24" s="6">
        <f t="shared" si="27"/>
        <v>1500.1833653151084</v>
      </c>
      <c r="AD24" s="6">
        <f t="shared" si="27"/>
        <v>1530.5334690330824</v>
      </c>
      <c r="AE24" s="6">
        <f t="shared" si="27"/>
        <v>1561.5113610101157</v>
      </c>
      <c r="AF24" s="6">
        <f t="shared" si="27"/>
        <v>1593.1308441824726</v>
      </c>
    </row>
    <row r="25" spans="2:32" s="2" customFormat="1" x14ac:dyDescent="0.3">
      <c r="B25" s="2" t="s">
        <v>22</v>
      </c>
      <c r="E25" s="9">
        <f>E22-E23-E24</f>
        <v>261</v>
      </c>
      <c r="G25" s="9">
        <f t="shared" ref="G25:L25" si="28">G22-G23-G24</f>
        <v>205</v>
      </c>
      <c r="H25" s="9">
        <f t="shared" si="28"/>
        <v>295</v>
      </c>
      <c r="I25" s="9">
        <f t="shared" si="28"/>
        <v>210</v>
      </c>
      <c r="J25" s="9">
        <f t="shared" si="28"/>
        <v>261</v>
      </c>
      <c r="K25" s="9">
        <f t="shared" si="28"/>
        <v>204</v>
      </c>
      <c r="L25" s="9">
        <f t="shared" si="28"/>
        <v>269</v>
      </c>
      <c r="M25" s="9">
        <f t="shared" ref="M25:N25" si="29">M22-M23-M24</f>
        <v>279</v>
      </c>
      <c r="N25" s="9">
        <f t="shared" si="29"/>
        <v>288.97560000000061</v>
      </c>
      <c r="P25" s="9">
        <f t="shared" ref="P25:W25" si="30">P22-P23-P24</f>
        <v>1072</v>
      </c>
      <c r="Q25" s="9">
        <f t="shared" si="30"/>
        <v>512</v>
      </c>
      <c r="R25" s="9">
        <f t="shared" si="30"/>
        <v>864</v>
      </c>
      <c r="S25" s="9">
        <f t="shared" si="30"/>
        <v>883</v>
      </c>
      <c r="T25" s="9">
        <f t="shared" si="30"/>
        <v>1053</v>
      </c>
      <c r="U25" s="9">
        <f t="shared" si="30"/>
        <v>855</v>
      </c>
      <c r="V25" s="9">
        <f t="shared" si="30"/>
        <v>1040.9756000000025</v>
      </c>
      <c r="W25" s="9">
        <f t="shared" si="30"/>
        <v>1344.8105779999985</v>
      </c>
      <c r="X25" s="9">
        <f t="shared" ref="X25:AF25" si="31">X22-X23-X24</f>
        <v>1555.578139919998</v>
      </c>
      <c r="Y25" s="9">
        <f t="shared" si="31"/>
        <v>1618.2294852864015</v>
      </c>
      <c r="Z25" s="9">
        <f t="shared" si="31"/>
        <v>1671.7097735498867</v>
      </c>
      <c r="AA25" s="9">
        <f t="shared" si="31"/>
        <v>1708.4890279741028</v>
      </c>
      <c r="AB25" s="9">
        <f t="shared" si="31"/>
        <v>1746.2045710239909</v>
      </c>
      <c r="AC25" s="9">
        <f t="shared" si="31"/>
        <v>1784.887170684307</v>
      </c>
      <c r="AD25" s="9">
        <f t="shared" si="31"/>
        <v>1824.5689328322155</v>
      </c>
      <c r="AE25" s="9">
        <f t="shared" si="31"/>
        <v>1865.2833713471359</v>
      </c>
      <c r="AF25" s="9">
        <f t="shared" si="31"/>
        <v>1907.0654822238525</v>
      </c>
    </row>
    <row r="26" spans="2:32" x14ac:dyDescent="0.3">
      <c r="B26" s="1" t="s">
        <v>23</v>
      </c>
      <c r="E26" s="6">
        <v>19</v>
      </c>
      <c r="G26" s="6">
        <v>20</v>
      </c>
      <c r="H26" s="6">
        <v>25</v>
      </c>
      <c r="I26" s="6">
        <v>26</v>
      </c>
      <c r="J26" s="6">
        <f t="shared" ref="J26:J28" si="32">U26-I26-H26-G26</f>
        <v>26</v>
      </c>
      <c r="K26" s="6">
        <v>29</v>
      </c>
      <c r="L26" s="6">
        <v>31</v>
      </c>
      <c r="M26" s="6">
        <v>30</v>
      </c>
      <c r="N26" s="6">
        <v>33</v>
      </c>
      <c r="P26" s="6">
        <v>171</v>
      </c>
      <c r="Q26" s="6">
        <v>166</v>
      </c>
      <c r="R26" s="6">
        <v>142</v>
      </c>
      <c r="S26" s="6">
        <v>107</v>
      </c>
      <c r="T26" s="6">
        <v>77</v>
      </c>
      <c r="U26" s="6">
        <v>97</v>
      </c>
      <c r="V26" s="6">
        <f t="shared" ref="V26:V28" si="33">SUM(K26:N26)</f>
        <v>123</v>
      </c>
      <c r="W26" s="6">
        <f>V26*1.03</f>
        <v>126.69</v>
      </c>
      <c r="X26" s="6">
        <f t="shared" ref="X26:AF26" si="34">W26*1.03</f>
        <v>130.4907</v>
      </c>
      <c r="Y26" s="6">
        <f t="shared" si="34"/>
        <v>134.40542100000002</v>
      </c>
      <c r="Z26" s="6">
        <f t="shared" si="34"/>
        <v>138.43758363000003</v>
      </c>
      <c r="AA26" s="6">
        <f t="shared" si="34"/>
        <v>142.59071113890005</v>
      </c>
      <c r="AB26" s="6">
        <f t="shared" si="34"/>
        <v>146.86843247306706</v>
      </c>
      <c r="AC26" s="6">
        <f t="shared" si="34"/>
        <v>151.27448544725908</v>
      </c>
      <c r="AD26" s="6">
        <f t="shared" si="34"/>
        <v>155.81272001067686</v>
      </c>
      <c r="AE26" s="6">
        <f t="shared" si="34"/>
        <v>160.48710161099717</v>
      </c>
      <c r="AF26" s="6">
        <f t="shared" si="34"/>
        <v>165.3017146593271</v>
      </c>
    </row>
    <row r="27" spans="2:32" x14ac:dyDescent="0.3">
      <c r="B27" s="1" t="s">
        <v>24</v>
      </c>
      <c r="E27" s="6">
        <v>0</v>
      </c>
      <c r="G27" s="6">
        <v>14</v>
      </c>
      <c r="H27" s="6">
        <v>13</v>
      </c>
      <c r="I27" s="6">
        <v>-2</v>
      </c>
      <c r="J27" s="6">
        <f t="shared" si="32"/>
        <v>53</v>
      </c>
      <c r="K27" s="6">
        <v>0</v>
      </c>
      <c r="L27" s="6">
        <v>4</v>
      </c>
      <c r="M27" s="6">
        <v>0</v>
      </c>
      <c r="N27" s="6">
        <v>0</v>
      </c>
      <c r="P27" s="6">
        <v>72</v>
      </c>
      <c r="Q27" s="6">
        <v>147</v>
      </c>
      <c r="R27" s="6">
        <v>25</v>
      </c>
      <c r="S27" s="6">
        <v>0</v>
      </c>
      <c r="T27" s="6">
        <v>126</v>
      </c>
      <c r="U27" s="6">
        <v>78</v>
      </c>
      <c r="V27" s="6">
        <f t="shared" si="33"/>
        <v>4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</row>
    <row r="28" spans="2:32" x14ac:dyDescent="0.3">
      <c r="B28" s="1" t="s">
        <v>25</v>
      </c>
      <c r="E28" s="6">
        <v>-59</v>
      </c>
      <c r="G28" s="6">
        <v>-66</v>
      </c>
      <c r="H28" s="6">
        <v>-66</v>
      </c>
      <c r="I28" s="6">
        <v>-66</v>
      </c>
      <c r="J28" s="6">
        <f t="shared" si="32"/>
        <v>-65</v>
      </c>
      <c r="K28" s="6">
        <v>-66</v>
      </c>
      <c r="L28" s="6">
        <v>-67</v>
      </c>
      <c r="M28" s="6">
        <v>-67</v>
      </c>
      <c r="N28" s="6">
        <v>-67</v>
      </c>
      <c r="P28" s="6">
        <v>-113</v>
      </c>
      <c r="Q28" s="6">
        <v>-83</v>
      </c>
      <c r="R28" s="6">
        <v>-159</v>
      </c>
      <c r="S28" s="6">
        <v>-240</v>
      </c>
      <c r="T28" s="6">
        <v>-237</v>
      </c>
      <c r="U28" s="6">
        <v>-263</v>
      </c>
      <c r="V28" s="6">
        <f t="shared" si="33"/>
        <v>-267</v>
      </c>
      <c r="W28" s="6">
        <f>V28*1.03</f>
        <v>-275.01</v>
      </c>
      <c r="X28" s="6">
        <f t="shared" ref="X28:AF28" si="35">W28*1.03</f>
        <v>-283.26029999999997</v>
      </c>
      <c r="Y28" s="6">
        <f t="shared" si="35"/>
        <v>-291.75810899999999</v>
      </c>
      <c r="Z28" s="6">
        <f t="shared" si="35"/>
        <v>-300.51085226999999</v>
      </c>
      <c r="AA28" s="6">
        <f t="shared" si="35"/>
        <v>-309.52617783810001</v>
      </c>
      <c r="AB28" s="6">
        <f t="shared" si="35"/>
        <v>-318.81196317324304</v>
      </c>
      <c r="AC28" s="6">
        <f t="shared" si="35"/>
        <v>-328.37632206844034</v>
      </c>
      <c r="AD28" s="6">
        <f t="shared" si="35"/>
        <v>-338.22761173049355</v>
      </c>
      <c r="AE28" s="6">
        <f t="shared" si="35"/>
        <v>-348.37444008240834</v>
      </c>
      <c r="AF28" s="6">
        <f t="shared" si="35"/>
        <v>-358.82567328488062</v>
      </c>
    </row>
    <row r="29" spans="2:32" x14ac:dyDescent="0.3">
      <c r="B29" s="1" t="s">
        <v>53</v>
      </c>
      <c r="E29" s="6"/>
      <c r="G29" s="6"/>
      <c r="H29" s="6"/>
      <c r="I29" s="6"/>
      <c r="J29" s="6"/>
      <c r="K29" s="6"/>
      <c r="L29" s="6"/>
      <c r="M29" s="6"/>
      <c r="N29" s="6"/>
      <c r="P29" s="6">
        <v>0</v>
      </c>
      <c r="Q29" s="6">
        <v>0</v>
      </c>
      <c r="R29" s="6">
        <v>-17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</row>
    <row r="30" spans="2:32" x14ac:dyDescent="0.3">
      <c r="B30" s="1" t="s">
        <v>42</v>
      </c>
      <c r="E30" s="6">
        <f t="shared" ref="E30" si="36">SUM(E26:E29)</f>
        <v>-40</v>
      </c>
      <c r="G30" s="6">
        <f>SUM(G26:G29)</f>
        <v>-32</v>
      </c>
      <c r="H30" s="6">
        <f>SUM(H26:H29)</f>
        <v>-28</v>
      </c>
      <c r="I30" s="6">
        <f t="shared" ref="I30:L30" si="37">SUM(I26:I29)</f>
        <v>-42</v>
      </c>
      <c r="J30" s="6">
        <f t="shared" si="37"/>
        <v>14</v>
      </c>
      <c r="K30" s="6">
        <f t="shared" si="37"/>
        <v>-37</v>
      </c>
      <c r="L30" s="6">
        <f t="shared" si="37"/>
        <v>-32</v>
      </c>
      <c r="M30" s="6">
        <f t="shared" ref="M30" si="38">SUM(M26:M29)</f>
        <v>-37</v>
      </c>
      <c r="N30" s="6">
        <f t="shared" ref="N30" si="39">SUM(N26:N29)</f>
        <v>-34</v>
      </c>
      <c r="P30" s="6">
        <f t="shared" ref="P30:W30" si="40">SUM(P26:P29)</f>
        <v>130</v>
      </c>
      <c r="Q30" s="6">
        <f t="shared" si="40"/>
        <v>230</v>
      </c>
      <c r="R30" s="6">
        <f t="shared" si="40"/>
        <v>-9</v>
      </c>
      <c r="S30" s="6">
        <f t="shared" si="40"/>
        <v>-133</v>
      </c>
      <c r="T30" s="6">
        <f t="shared" si="40"/>
        <v>-34</v>
      </c>
      <c r="U30" s="6">
        <f t="shared" si="40"/>
        <v>-88</v>
      </c>
      <c r="V30" s="6">
        <f t="shared" si="40"/>
        <v>-140</v>
      </c>
      <c r="W30" s="6">
        <f t="shared" si="40"/>
        <v>-148.32</v>
      </c>
      <c r="X30" s="6">
        <f t="shared" ref="X30" si="41">SUM(X26:X29)</f>
        <v>-152.76959999999997</v>
      </c>
      <c r="Y30" s="6">
        <f t="shared" ref="Y30" si="42">SUM(Y26:Y29)</f>
        <v>-157.35268799999997</v>
      </c>
      <c r="Z30" s="6">
        <f t="shared" ref="Z30" si="43">SUM(Z26:Z29)</f>
        <v>-162.07326863999995</v>
      </c>
      <c r="AA30" s="6">
        <f t="shared" ref="AA30" si="44">SUM(AA26:AA29)</f>
        <v>-166.93546669919996</v>
      </c>
      <c r="AB30" s="6">
        <f t="shared" ref="AB30" si="45">SUM(AB26:AB29)</f>
        <v>-171.94353070017598</v>
      </c>
      <c r="AC30" s="6">
        <f t="shared" ref="AC30" si="46">SUM(AC26:AC29)</f>
        <v>-177.10183662118126</v>
      </c>
      <c r="AD30" s="6">
        <f t="shared" ref="AD30" si="47">SUM(AD26:AD29)</f>
        <v>-182.41489171981669</v>
      </c>
      <c r="AE30" s="6">
        <f t="shared" ref="AE30" si="48">SUM(AE26:AE29)</f>
        <v>-187.88733847141117</v>
      </c>
      <c r="AF30" s="6">
        <f t="shared" ref="AF30" si="49">SUM(AF26:AF29)</f>
        <v>-193.52395862555352</v>
      </c>
    </row>
    <row r="31" spans="2:32" s="2" customFormat="1" x14ac:dyDescent="0.3">
      <c r="B31" s="2" t="s">
        <v>26</v>
      </c>
      <c r="E31" s="9">
        <f t="shared" ref="E31" si="50">E25-E30</f>
        <v>301</v>
      </c>
      <c r="G31" s="9">
        <f>G25-G30</f>
        <v>237</v>
      </c>
      <c r="H31" s="9">
        <f>H25-H30</f>
        <v>323</v>
      </c>
      <c r="I31" s="9">
        <f t="shared" ref="I31:L31" si="51">I25-I30</f>
        <v>252</v>
      </c>
      <c r="J31" s="9">
        <f t="shared" si="51"/>
        <v>247</v>
      </c>
      <c r="K31" s="9">
        <f t="shared" si="51"/>
        <v>241</v>
      </c>
      <c r="L31" s="9">
        <f t="shared" si="51"/>
        <v>301</v>
      </c>
      <c r="M31" s="9">
        <f t="shared" ref="M31" si="52">M25-M30</f>
        <v>316</v>
      </c>
      <c r="N31" s="9">
        <f t="shared" ref="N31" si="53">N25-N30</f>
        <v>322.97560000000061</v>
      </c>
      <c r="P31" s="9">
        <f t="shared" ref="P31:R31" si="54">P25-P30</f>
        <v>942</v>
      </c>
      <c r="Q31" s="9">
        <f t="shared" si="54"/>
        <v>282</v>
      </c>
      <c r="R31" s="9">
        <f t="shared" si="54"/>
        <v>873</v>
      </c>
      <c r="S31" s="9">
        <f t="shared" ref="S31" si="55">S25-S30</f>
        <v>1016</v>
      </c>
      <c r="T31" s="9">
        <f t="shared" ref="T31" si="56">T25-T30</f>
        <v>1087</v>
      </c>
      <c r="U31" s="9">
        <f t="shared" ref="U31:W31" si="57">U25-U30</f>
        <v>943</v>
      </c>
      <c r="V31" s="9">
        <f t="shared" si="57"/>
        <v>1180.9756000000025</v>
      </c>
      <c r="W31" s="9">
        <f t="shared" si="57"/>
        <v>1493.1305779999984</v>
      </c>
      <c r="X31" s="9">
        <f t="shared" ref="X31" si="58">X25-X30</f>
        <v>1708.3477399199978</v>
      </c>
      <c r="Y31" s="9">
        <f t="shared" ref="Y31" si="59">Y25-Y30</f>
        <v>1775.5821732864015</v>
      </c>
      <c r="Z31" s="9">
        <f t="shared" ref="Z31" si="60">Z25-Z30</f>
        <v>1833.7830421898866</v>
      </c>
      <c r="AA31" s="9">
        <f t="shared" ref="AA31" si="61">AA25-AA30</f>
        <v>1875.4244946733027</v>
      </c>
      <c r="AB31" s="9">
        <f t="shared" ref="AB31" si="62">AB25-AB30</f>
        <v>1918.1481017241667</v>
      </c>
      <c r="AC31" s="9">
        <f t="shared" ref="AC31" si="63">AC25-AC30</f>
        <v>1961.9890073054883</v>
      </c>
      <c r="AD31" s="9">
        <f t="shared" ref="AD31" si="64">AD25-AD30</f>
        <v>2006.9838245520323</v>
      </c>
      <c r="AE31" s="9">
        <f t="shared" ref="AE31" si="65">AE25-AE30</f>
        <v>2053.170709818547</v>
      </c>
      <c r="AF31" s="9">
        <f t="shared" ref="AF31" si="66">AF25-AF30</f>
        <v>2100.5894408494059</v>
      </c>
    </row>
    <row r="32" spans="2:32" x14ac:dyDescent="0.3">
      <c r="B32" s="1" t="s">
        <v>27</v>
      </c>
      <c r="E32" s="6">
        <v>32</v>
      </c>
      <c r="G32" s="6">
        <v>36</v>
      </c>
      <c r="H32" s="6">
        <v>63</v>
      </c>
      <c r="I32" s="6">
        <v>29</v>
      </c>
      <c r="J32" s="6">
        <f>U32-I32-H32-G32</f>
        <v>-10</v>
      </c>
      <c r="K32" s="6">
        <v>34</v>
      </c>
      <c r="L32" s="6">
        <v>56</v>
      </c>
      <c r="M32" s="6">
        <v>81</v>
      </c>
      <c r="N32" s="6">
        <f>N31*0.14</f>
        <v>45.21658400000009</v>
      </c>
      <c r="P32" s="6">
        <v>127</v>
      </c>
      <c r="Q32" s="6">
        <v>-27</v>
      </c>
      <c r="R32" s="6">
        <v>126</v>
      </c>
      <c r="S32" s="6">
        <v>154</v>
      </c>
      <c r="T32" s="6">
        <v>165</v>
      </c>
      <c r="U32" s="6">
        <v>118</v>
      </c>
      <c r="V32" s="6">
        <f t="shared" ref="V32:V33" si="67">SUM(K32:N32)</f>
        <v>216.2165840000001</v>
      </c>
      <c r="W32" s="6">
        <f>W31*0.15</f>
        <v>223.96958669999975</v>
      </c>
      <c r="X32" s="6">
        <f t="shared" ref="X32:AF32" si="68">X31*0.15</f>
        <v>256.25216098799967</v>
      </c>
      <c r="Y32" s="6">
        <f t="shared" si="68"/>
        <v>266.33732599296019</v>
      </c>
      <c r="Z32" s="6">
        <f t="shared" si="68"/>
        <v>275.06745632848299</v>
      </c>
      <c r="AA32" s="6">
        <f t="shared" si="68"/>
        <v>281.31367420099537</v>
      </c>
      <c r="AB32" s="6">
        <f t="shared" si="68"/>
        <v>287.722215258625</v>
      </c>
      <c r="AC32" s="6">
        <f t="shared" si="68"/>
        <v>294.29835109582325</v>
      </c>
      <c r="AD32" s="6">
        <f t="shared" si="68"/>
        <v>301.04757368280485</v>
      </c>
      <c r="AE32" s="6">
        <f t="shared" si="68"/>
        <v>307.97560647278203</v>
      </c>
      <c r="AF32" s="6">
        <f t="shared" si="68"/>
        <v>315.08841612741088</v>
      </c>
    </row>
    <row r="33" spans="2:143" x14ac:dyDescent="0.3">
      <c r="B33" s="1" t="s">
        <v>28</v>
      </c>
      <c r="E33" s="6">
        <v>0</v>
      </c>
      <c r="G33" s="6">
        <v>0</v>
      </c>
      <c r="H33" s="6">
        <v>1</v>
      </c>
      <c r="I33" s="6">
        <v>0</v>
      </c>
      <c r="J33" s="6">
        <f>U33-I33-H33-G33</f>
        <v>0</v>
      </c>
      <c r="K33" s="6">
        <v>0</v>
      </c>
      <c r="L33" s="6">
        <v>0</v>
      </c>
      <c r="M33" s="6">
        <v>1</v>
      </c>
      <c r="N33" s="6">
        <v>0</v>
      </c>
      <c r="P33" s="6">
        <v>0</v>
      </c>
      <c r="Q33" s="6">
        <v>0</v>
      </c>
      <c r="R33" s="6">
        <v>1</v>
      </c>
      <c r="S33" s="6">
        <v>1</v>
      </c>
      <c r="T33" s="6">
        <v>1</v>
      </c>
      <c r="U33" s="6">
        <v>1</v>
      </c>
      <c r="V33" s="6">
        <f t="shared" si="67"/>
        <v>1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</row>
    <row r="34" spans="2:143" s="2" customFormat="1" x14ac:dyDescent="0.3">
      <c r="B34" s="2" t="s">
        <v>29</v>
      </c>
      <c r="E34" s="9">
        <f>E31-E32-E33</f>
        <v>269</v>
      </c>
      <c r="G34" s="9">
        <f t="shared" ref="G34:L34" si="69">G31-G32-G33</f>
        <v>201</v>
      </c>
      <c r="H34" s="9">
        <f t="shared" si="69"/>
        <v>259</v>
      </c>
      <c r="I34" s="9">
        <f t="shared" si="69"/>
        <v>223</v>
      </c>
      <c r="J34" s="9">
        <f t="shared" si="69"/>
        <v>257</v>
      </c>
      <c r="K34" s="9">
        <f t="shared" si="69"/>
        <v>207</v>
      </c>
      <c r="L34" s="9">
        <f t="shared" si="69"/>
        <v>245</v>
      </c>
      <c r="M34" s="9">
        <f t="shared" ref="M34:N34" si="70">M31-M32-M33</f>
        <v>234</v>
      </c>
      <c r="N34" s="9">
        <f t="shared" si="70"/>
        <v>277.75901600000054</v>
      </c>
      <c r="P34" s="9">
        <f t="shared" ref="P34:W34" si="71">P31-P32-P33</f>
        <v>815</v>
      </c>
      <c r="Q34" s="9">
        <f t="shared" si="71"/>
        <v>309</v>
      </c>
      <c r="R34" s="9">
        <f t="shared" si="71"/>
        <v>746</v>
      </c>
      <c r="S34" s="9">
        <f t="shared" si="71"/>
        <v>861</v>
      </c>
      <c r="T34" s="9">
        <f t="shared" si="71"/>
        <v>921</v>
      </c>
      <c r="U34" s="9">
        <f t="shared" si="71"/>
        <v>824</v>
      </c>
      <c r="V34" s="9">
        <f t="shared" si="71"/>
        <v>963.75901600000236</v>
      </c>
      <c r="W34" s="9">
        <f t="shared" si="71"/>
        <v>1269.1609912999986</v>
      </c>
      <c r="X34" s="9">
        <f t="shared" ref="X34:AF34" si="72">X31-X32-X33</f>
        <v>1452.0955789319983</v>
      </c>
      <c r="Y34" s="9">
        <f t="shared" si="72"/>
        <v>1509.2448472934414</v>
      </c>
      <c r="Z34" s="9">
        <f t="shared" si="72"/>
        <v>1558.7155858614037</v>
      </c>
      <c r="AA34" s="9">
        <f t="shared" si="72"/>
        <v>1594.1108204723073</v>
      </c>
      <c r="AB34" s="9">
        <f t="shared" si="72"/>
        <v>1630.4258864655417</v>
      </c>
      <c r="AC34" s="9">
        <f t="shared" si="72"/>
        <v>1667.6906562096651</v>
      </c>
      <c r="AD34" s="9">
        <f t="shared" si="72"/>
        <v>1705.9362508692275</v>
      </c>
      <c r="AE34" s="9">
        <f t="shared" si="72"/>
        <v>1745.1951033457649</v>
      </c>
      <c r="AF34" s="9">
        <f t="shared" si="72"/>
        <v>1785.501024721995</v>
      </c>
      <c r="AG34" s="2">
        <f>AF34*(1+$AJ$46)</f>
        <v>1767.646014474775</v>
      </c>
      <c r="AH34" s="2">
        <f t="shared" ref="AH34:CS34" si="73">AG34*(1+$AJ$46)</f>
        <v>1749.9695543300272</v>
      </c>
      <c r="AI34" s="2">
        <f t="shared" si="73"/>
        <v>1732.4698587867269</v>
      </c>
      <c r="AJ34" s="2">
        <f t="shared" si="73"/>
        <v>1715.1451601988597</v>
      </c>
      <c r="AK34" s="2">
        <f t="shared" si="73"/>
        <v>1697.9937085968711</v>
      </c>
      <c r="AL34" s="2">
        <f t="shared" si="73"/>
        <v>1681.0137715109024</v>
      </c>
      <c r="AM34" s="2">
        <f t="shared" si="73"/>
        <v>1664.2036337957934</v>
      </c>
      <c r="AN34" s="2">
        <f t="shared" si="73"/>
        <v>1647.5615974578354</v>
      </c>
      <c r="AO34" s="2">
        <f t="shared" si="73"/>
        <v>1631.085981483257</v>
      </c>
      <c r="AP34" s="2">
        <f t="shared" si="73"/>
        <v>1614.7751216684244</v>
      </c>
      <c r="AQ34" s="2">
        <f t="shared" si="73"/>
        <v>1598.62737045174</v>
      </c>
      <c r="AR34" s="2">
        <f t="shared" si="73"/>
        <v>1582.6410967472227</v>
      </c>
      <c r="AS34" s="2">
        <f t="shared" si="73"/>
        <v>1566.8146857797506</v>
      </c>
      <c r="AT34" s="2">
        <f t="shared" si="73"/>
        <v>1551.1465389219532</v>
      </c>
      <c r="AU34" s="2">
        <f t="shared" si="73"/>
        <v>1535.6350735327337</v>
      </c>
      <c r="AV34" s="2">
        <f t="shared" si="73"/>
        <v>1520.2787227974063</v>
      </c>
      <c r="AW34" s="2">
        <f t="shared" si="73"/>
        <v>1505.0759355694322</v>
      </c>
      <c r="AX34" s="2">
        <f t="shared" si="73"/>
        <v>1490.025176213738</v>
      </c>
      <c r="AY34" s="2">
        <f t="shared" si="73"/>
        <v>1475.1249244516005</v>
      </c>
      <c r="AZ34" s="2">
        <f t="shared" si="73"/>
        <v>1460.3736752070845</v>
      </c>
      <c r="BA34" s="2">
        <f t="shared" si="73"/>
        <v>1445.7699384550137</v>
      </c>
      <c r="BB34" s="2">
        <f t="shared" si="73"/>
        <v>1431.3122390704636</v>
      </c>
      <c r="BC34" s="2">
        <f t="shared" si="73"/>
        <v>1416.999116679759</v>
      </c>
      <c r="BD34" s="2">
        <f t="shared" si="73"/>
        <v>1402.8291255129614</v>
      </c>
      <c r="BE34" s="2">
        <f t="shared" si="73"/>
        <v>1388.8008342578316</v>
      </c>
      <c r="BF34" s="2">
        <f t="shared" si="73"/>
        <v>1374.9128259152533</v>
      </c>
      <c r="BG34" s="2">
        <f t="shared" si="73"/>
        <v>1361.1636976561008</v>
      </c>
      <c r="BH34" s="2">
        <f t="shared" si="73"/>
        <v>1347.5520606795399</v>
      </c>
      <c r="BI34" s="2">
        <f t="shared" si="73"/>
        <v>1334.0765400727444</v>
      </c>
      <c r="BJ34" s="2">
        <f t="shared" si="73"/>
        <v>1320.735774672017</v>
      </c>
      <c r="BK34" s="2">
        <f t="shared" si="73"/>
        <v>1307.5284169252968</v>
      </c>
      <c r="BL34" s="2">
        <f t="shared" si="73"/>
        <v>1294.4531327560439</v>
      </c>
      <c r="BM34" s="2">
        <f t="shared" si="73"/>
        <v>1281.5086014284834</v>
      </c>
      <c r="BN34" s="2">
        <f t="shared" si="73"/>
        <v>1268.6935154141986</v>
      </c>
      <c r="BO34" s="2">
        <f t="shared" si="73"/>
        <v>1256.0065802600566</v>
      </c>
      <c r="BP34" s="2">
        <f t="shared" si="73"/>
        <v>1243.446514457456</v>
      </c>
      <c r="BQ34" s="2">
        <f t="shared" si="73"/>
        <v>1231.0120493128816</v>
      </c>
      <c r="BR34" s="2">
        <f t="shared" si="73"/>
        <v>1218.7019288197528</v>
      </c>
      <c r="BS34" s="2">
        <f t="shared" si="73"/>
        <v>1206.5149095315553</v>
      </c>
      <c r="BT34" s="2">
        <f t="shared" si="73"/>
        <v>1194.4497604362398</v>
      </c>
      <c r="BU34" s="2">
        <f t="shared" si="73"/>
        <v>1182.5052628318774</v>
      </c>
      <c r="BV34" s="2">
        <f t="shared" si="73"/>
        <v>1170.6802102035585</v>
      </c>
      <c r="BW34" s="2">
        <f t="shared" si="73"/>
        <v>1158.9734081015229</v>
      </c>
      <c r="BX34" s="2">
        <f t="shared" si="73"/>
        <v>1147.3836740205077</v>
      </c>
      <c r="BY34" s="2">
        <f t="shared" si="73"/>
        <v>1135.9098372803026</v>
      </c>
      <c r="BZ34" s="2">
        <f t="shared" si="73"/>
        <v>1124.5507389074994</v>
      </c>
      <c r="CA34" s="2">
        <f t="shared" si="73"/>
        <v>1113.3052315184243</v>
      </c>
      <c r="CB34" s="2">
        <f t="shared" si="73"/>
        <v>1102.1721792032401</v>
      </c>
      <c r="CC34" s="2">
        <f t="shared" si="73"/>
        <v>1091.1504574112078</v>
      </c>
      <c r="CD34" s="2">
        <f t="shared" si="73"/>
        <v>1080.2389528370957</v>
      </c>
      <c r="CE34" s="2">
        <f t="shared" si="73"/>
        <v>1069.4365633087248</v>
      </c>
      <c r="CF34" s="2">
        <f t="shared" si="73"/>
        <v>1058.7421976756375</v>
      </c>
      <c r="CG34" s="2">
        <f t="shared" si="73"/>
        <v>1048.1547756988812</v>
      </c>
      <c r="CH34" s="2">
        <f t="shared" si="73"/>
        <v>1037.6732279418923</v>
      </c>
      <c r="CI34" s="2">
        <f t="shared" si="73"/>
        <v>1027.2964956624733</v>
      </c>
      <c r="CJ34" s="2">
        <f t="shared" si="73"/>
        <v>1017.0235307058485</v>
      </c>
      <c r="CK34" s="2">
        <f t="shared" si="73"/>
        <v>1006.85329539879</v>
      </c>
      <c r="CL34" s="2">
        <f t="shared" si="73"/>
        <v>996.78476244480214</v>
      </c>
      <c r="CM34" s="2">
        <f t="shared" si="73"/>
        <v>986.8169148203541</v>
      </c>
      <c r="CN34" s="2">
        <f t="shared" si="73"/>
        <v>976.94874567215049</v>
      </c>
      <c r="CO34" s="2">
        <f t="shared" si="73"/>
        <v>967.17925821542894</v>
      </c>
      <c r="CP34" s="2">
        <f t="shared" si="73"/>
        <v>957.50746563327459</v>
      </c>
      <c r="CQ34" s="2">
        <f t="shared" si="73"/>
        <v>947.93239097694186</v>
      </c>
      <c r="CR34" s="2">
        <f t="shared" si="73"/>
        <v>938.45306706717247</v>
      </c>
      <c r="CS34" s="2">
        <f t="shared" si="73"/>
        <v>929.06853639650069</v>
      </c>
      <c r="CT34" s="2">
        <f t="shared" ref="CT34:EM34" si="74">CS34*(1+$AJ$46)</f>
        <v>919.77785103253564</v>
      </c>
      <c r="CU34" s="2">
        <f t="shared" si="74"/>
        <v>910.58007252221023</v>
      </c>
      <c r="CV34" s="2">
        <f t="shared" si="74"/>
        <v>901.47427179698809</v>
      </c>
      <c r="CW34" s="2">
        <f t="shared" si="74"/>
        <v>892.45952907901824</v>
      </c>
      <c r="CX34" s="2">
        <f t="shared" si="74"/>
        <v>883.53493378822805</v>
      </c>
      <c r="CY34" s="2">
        <f t="shared" si="74"/>
        <v>874.69958445034581</v>
      </c>
      <c r="CZ34" s="2">
        <f t="shared" si="74"/>
        <v>865.95258860584238</v>
      </c>
      <c r="DA34" s="2">
        <f t="shared" si="74"/>
        <v>857.29306271978396</v>
      </c>
      <c r="DB34" s="2">
        <f t="shared" si="74"/>
        <v>848.72013209258614</v>
      </c>
      <c r="DC34" s="2">
        <f t="shared" si="74"/>
        <v>840.23293077166022</v>
      </c>
      <c r="DD34" s="2">
        <f t="shared" si="74"/>
        <v>831.83060146394359</v>
      </c>
      <c r="DE34" s="2">
        <f t="shared" si="74"/>
        <v>823.51229544930413</v>
      </c>
      <c r="DF34" s="2">
        <f t="shared" si="74"/>
        <v>815.27717249481111</v>
      </c>
      <c r="DG34" s="2">
        <f t="shared" si="74"/>
        <v>807.12440076986297</v>
      </c>
      <c r="DH34" s="2">
        <f t="shared" si="74"/>
        <v>799.05315676216435</v>
      </c>
      <c r="DI34" s="2">
        <f t="shared" si="74"/>
        <v>791.06262519454265</v>
      </c>
      <c r="DJ34" s="2">
        <f t="shared" si="74"/>
        <v>783.15199894259717</v>
      </c>
      <c r="DK34" s="2">
        <f t="shared" si="74"/>
        <v>775.32047895317123</v>
      </c>
      <c r="DL34" s="2">
        <f t="shared" si="74"/>
        <v>767.56727416363947</v>
      </c>
      <c r="DM34" s="2">
        <f t="shared" si="74"/>
        <v>759.89160142200308</v>
      </c>
      <c r="DN34" s="2">
        <f t="shared" si="74"/>
        <v>752.2926854077831</v>
      </c>
      <c r="DO34" s="2">
        <f t="shared" si="74"/>
        <v>744.76975855370529</v>
      </c>
      <c r="DP34" s="2">
        <f t="shared" si="74"/>
        <v>737.32206096816822</v>
      </c>
      <c r="DQ34" s="2">
        <f t="shared" si="74"/>
        <v>729.94884035848656</v>
      </c>
      <c r="DR34" s="2">
        <f t="shared" si="74"/>
        <v>722.6493519549017</v>
      </c>
      <c r="DS34" s="2">
        <f t="shared" si="74"/>
        <v>715.42285843535274</v>
      </c>
      <c r="DT34" s="2">
        <f t="shared" si="74"/>
        <v>708.26862985099922</v>
      </c>
      <c r="DU34" s="2">
        <f t="shared" si="74"/>
        <v>701.18594355248922</v>
      </c>
      <c r="DV34" s="2">
        <f t="shared" si="74"/>
        <v>694.17408411696431</v>
      </c>
      <c r="DW34" s="2">
        <f t="shared" si="74"/>
        <v>687.23234327579462</v>
      </c>
      <c r="DX34" s="2">
        <f t="shared" si="74"/>
        <v>680.36001984303664</v>
      </c>
      <c r="DY34" s="2">
        <f t="shared" si="74"/>
        <v>673.55641964460631</v>
      </c>
      <c r="DZ34" s="2">
        <f t="shared" si="74"/>
        <v>666.82085544816027</v>
      </c>
      <c r="EA34" s="2">
        <f t="shared" si="74"/>
        <v>660.15264689367871</v>
      </c>
      <c r="EB34" s="2">
        <f t="shared" si="74"/>
        <v>653.55112042474195</v>
      </c>
      <c r="EC34" s="2">
        <f t="shared" si="74"/>
        <v>647.01560922049453</v>
      </c>
      <c r="ED34" s="2">
        <f t="shared" si="74"/>
        <v>640.54545312828952</v>
      </c>
      <c r="EE34" s="2">
        <f t="shared" si="74"/>
        <v>634.13999859700664</v>
      </c>
      <c r="EF34" s="2">
        <f t="shared" si="74"/>
        <v>627.7985986110366</v>
      </c>
      <c r="EG34" s="2">
        <f t="shared" si="74"/>
        <v>621.52061262492623</v>
      </c>
      <c r="EH34" s="2">
        <f t="shared" si="74"/>
        <v>615.30540649867692</v>
      </c>
      <c r="EI34" s="2">
        <f t="shared" si="74"/>
        <v>609.15235243369011</v>
      </c>
      <c r="EJ34" s="2">
        <f t="shared" si="74"/>
        <v>603.06082890935318</v>
      </c>
      <c r="EK34" s="2">
        <f t="shared" si="74"/>
        <v>597.03022062025968</v>
      </c>
      <c r="EL34" s="2">
        <f t="shared" si="74"/>
        <v>591.05991841405705</v>
      </c>
      <c r="EM34" s="2">
        <f t="shared" si="74"/>
        <v>585.1493192299165</v>
      </c>
    </row>
    <row r="35" spans="2:143" x14ac:dyDescent="0.3">
      <c r="B35" s="1" t="s">
        <v>2</v>
      </c>
      <c r="E35" s="6">
        <v>178.2</v>
      </c>
      <c r="G35" s="6">
        <v>178.2</v>
      </c>
      <c r="H35" s="6">
        <v>178.2</v>
      </c>
      <c r="I35" s="6">
        <v>178.2</v>
      </c>
      <c r="J35" s="6">
        <v>178.2</v>
      </c>
      <c r="K35" s="6">
        <v>178.2</v>
      </c>
      <c r="L35" s="6">
        <v>178.2</v>
      </c>
      <c r="M35" s="6">
        <v>176.2</v>
      </c>
      <c r="N35" s="6">
        <v>176.2</v>
      </c>
      <c r="P35" s="6">
        <v>178.2</v>
      </c>
      <c r="Q35" s="6">
        <v>178.2</v>
      </c>
      <c r="R35" s="6">
        <v>178.2</v>
      </c>
      <c r="S35" s="6">
        <v>178.2</v>
      </c>
      <c r="T35" s="6">
        <v>178.2</v>
      </c>
      <c r="U35" s="6">
        <v>178.2</v>
      </c>
      <c r="V35" s="6">
        <v>176.2</v>
      </c>
      <c r="W35" s="6">
        <v>176.2</v>
      </c>
      <c r="X35" s="6">
        <v>176.2</v>
      </c>
      <c r="Y35" s="6">
        <v>176.2</v>
      </c>
      <c r="Z35" s="6">
        <v>176.2</v>
      </c>
      <c r="AA35" s="6">
        <v>176.2</v>
      </c>
      <c r="AB35" s="6">
        <v>176.2</v>
      </c>
      <c r="AC35" s="6">
        <v>176.2</v>
      </c>
      <c r="AD35" s="6">
        <v>176.2</v>
      </c>
      <c r="AE35" s="6">
        <v>176.2</v>
      </c>
      <c r="AF35" s="6">
        <v>176.2</v>
      </c>
    </row>
    <row r="36" spans="2:143" x14ac:dyDescent="0.3">
      <c r="B36" s="1" t="s">
        <v>30</v>
      </c>
      <c r="E36" s="8">
        <f>E34/E35</f>
        <v>1.5095398428731763</v>
      </c>
      <c r="G36" s="8">
        <f t="shared" ref="G36:L36" si="75">G34/G35</f>
        <v>1.127946127946128</v>
      </c>
      <c r="H36" s="8">
        <f t="shared" si="75"/>
        <v>1.4534231200897869</v>
      </c>
      <c r="I36" s="8">
        <f t="shared" si="75"/>
        <v>1.2514029180695849</v>
      </c>
      <c r="J36" s="8">
        <f t="shared" si="75"/>
        <v>1.4421997755331089</v>
      </c>
      <c r="K36" s="8">
        <f t="shared" si="75"/>
        <v>1.1616161616161618</v>
      </c>
      <c r="L36" s="8">
        <f t="shared" si="75"/>
        <v>1.3748597081930416</v>
      </c>
      <c r="M36" s="8">
        <f t="shared" ref="M36:N36" si="76">M34/M35</f>
        <v>1.3280363223609535</v>
      </c>
      <c r="N36" s="8">
        <f t="shared" si="76"/>
        <v>1.5763848808172563</v>
      </c>
      <c r="P36" s="8">
        <f t="shared" ref="P36:W36" si="77">P34/P35</f>
        <v>4.5735129068462408</v>
      </c>
      <c r="Q36" s="8">
        <f t="shared" si="77"/>
        <v>1.7340067340067342</v>
      </c>
      <c r="R36" s="8">
        <f t="shared" si="77"/>
        <v>4.1863075196408532</v>
      </c>
      <c r="S36" s="8">
        <f t="shared" si="77"/>
        <v>4.8316498316498322</v>
      </c>
      <c r="T36" s="8">
        <f t="shared" si="77"/>
        <v>5.1683501683501687</v>
      </c>
      <c r="U36" s="8">
        <f t="shared" si="77"/>
        <v>4.624017957351291</v>
      </c>
      <c r="V36" s="8">
        <f t="shared" si="77"/>
        <v>5.4696879455164726</v>
      </c>
      <c r="W36" s="8">
        <f t="shared" si="77"/>
        <v>7.2029568178206507</v>
      </c>
      <c r="X36" s="8">
        <f t="shared" ref="X36:AF36" si="78">X34/X35</f>
        <v>8.2411780870147471</v>
      </c>
      <c r="Y36" s="8">
        <f t="shared" si="78"/>
        <v>8.5655212672726524</v>
      </c>
      <c r="Z36" s="8">
        <f t="shared" si="78"/>
        <v>8.8462859583507587</v>
      </c>
      <c r="AA36" s="8">
        <f t="shared" si="78"/>
        <v>9.0471669720335264</v>
      </c>
      <c r="AB36" s="8">
        <f t="shared" si="78"/>
        <v>9.2532683681358776</v>
      </c>
      <c r="AC36" s="8">
        <f t="shared" si="78"/>
        <v>9.4647596833692695</v>
      </c>
      <c r="AD36" s="8">
        <f t="shared" si="78"/>
        <v>9.6818175418230847</v>
      </c>
      <c r="AE36" s="8">
        <f t="shared" si="78"/>
        <v>9.9046260121780083</v>
      </c>
      <c r="AF36" s="8">
        <f t="shared" si="78"/>
        <v>10.133376984801334</v>
      </c>
    </row>
    <row r="38" spans="2:143" x14ac:dyDescent="0.3">
      <c r="B38" s="1" t="s">
        <v>74</v>
      </c>
      <c r="I38" s="10">
        <f t="shared" ref="I38:J42" si="79">I8/E8-1</f>
        <v>7.473841554559435E-4</v>
      </c>
      <c r="J38" s="10">
        <f t="shared" si="79"/>
        <v>-0.15879265091863515</v>
      </c>
      <c r="K38" s="10">
        <f>K8/G8-1</f>
        <v>2.020202020202011E-2</v>
      </c>
      <c r="L38" s="10">
        <f>L8/H8-1</f>
        <v>2.8474576271186436E-2</v>
      </c>
      <c r="M38" s="10">
        <f>M8/I8-1</f>
        <v>0.10306198655713228</v>
      </c>
      <c r="N38" s="10">
        <f>N8/J8-1</f>
        <v>0.16999999999999993</v>
      </c>
      <c r="V38" s="10">
        <f>V8/U8-1</f>
        <v>7.9852384557153488E-2</v>
      </c>
      <c r="W38" s="10">
        <f>W8/V8-1</f>
        <v>4.0000000000000036E-2</v>
      </c>
    </row>
    <row r="39" spans="2:143" x14ac:dyDescent="0.3">
      <c r="B39" s="1" t="s">
        <v>75</v>
      </c>
      <c r="I39" s="10">
        <f t="shared" si="79"/>
        <v>0.2320954907161803</v>
      </c>
      <c r="J39" s="10">
        <f t="shared" si="79"/>
        <v>5.4154995331465949E-2</v>
      </c>
      <c r="K39" s="10">
        <f t="shared" ref="K39:N42" si="80">K9/G9-1</f>
        <v>0.35213204951856936</v>
      </c>
      <c r="L39" s="10">
        <f t="shared" si="80"/>
        <v>0.27959697732997491</v>
      </c>
      <c r="M39" s="10">
        <f t="shared" si="80"/>
        <v>0.10441334768568344</v>
      </c>
      <c r="N39" s="10">
        <f t="shared" si="80"/>
        <v>0.14999999999999991</v>
      </c>
      <c r="V39" s="10">
        <f t="shared" ref="V39:W42" si="81">V9/U9-1</f>
        <v>0.20797708857222696</v>
      </c>
      <c r="W39" s="10">
        <f t="shared" si="81"/>
        <v>0.14999999999999991</v>
      </c>
    </row>
    <row r="40" spans="2:143" x14ac:dyDescent="0.3">
      <c r="B40" s="1" t="s">
        <v>76</v>
      </c>
      <c r="I40" s="10">
        <f t="shared" si="79"/>
        <v>-2.5889967637540479E-2</v>
      </c>
      <c r="J40" s="10">
        <f t="shared" si="79"/>
        <v>-9.5541401273885329E-3</v>
      </c>
      <c r="K40" s="10">
        <f t="shared" si="80"/>
        <v>-3.2679738562091498E-2</v>
      </c>
      <c r="L40" s="10">
        <f t="shared" si="80"/>
        <v>-6.1919504643962453E-3</v>
      </c>
      <c r="M40" s="10">
        <f t="shared" si="80"/>
        <v>1.9933554817275656E-2</v>
      </c>
      <c r="N40" s="10">
        <f t="shared" si="80"/>
        <v>3.0000000000000027E-2</v>
      </c>
      <c r="V40" s="10">
        <f t="shared" si="81"/>
        <v>2.683319903303838E-3</v>
      </c>
      <c r="W40" s="10">
        <f t="shared" si="81"/>
        <v>1.0000000000000009E-2</v>
      </c>
    </row>
    <row r="41" spans="2:143" x14ac:dyDescent="0.3">
      <c r="B41" s="1" t="s">
        <v>77</v>
      </c>
      <c r="I41" s="10">
        <f t="shared" si="79"/>
        <v>-8.8937093275488044E-2</v>
      </c>
      <c r="J41" s="10">
        <f t="shared" si="79"/>
        <v>-9.5733610822060333E-2</v>
      </c>
      <c r="K41" s="10">
        <f t="shared" si="80"/>
        <v>-0.11210762331838564</v>
      </c>
      <c r="L41" s="10">
        <f t="shared" si="80"/>
        <v>-8.2056892778993418E-2</v>
      </c>
      <c r="M41" s="10">
        <f t="shared" si="80"/>
        <v>-9.4047619047619047E-2</v>
      </c>
      <c r="N41" s="10">
        <f t="shared" si="80"/>
        <v>-7.999999999999996E-2</v>
      </c>
      <c r="V41" s="10">
        <f t="shared" si="81"/>
        <v>-9.2039829302987153E-2</v>
      </c>
      <c r="W41" s="10">
        <f t="shared" si="81"/>
        <v>-3.0000000000000027E-2</v>
      </c>
    </row>
    <row r="42" spans="2:143" x14ac:dyDescent="0.3">
      <c r="B42" s="1" t="s">
        <v>78</v>
      </c>
      <c r="I42" s="10">
        <f t="shared" si="79"/>
        <v>-0.1428571428571429</v>
      </c>
      <c r="J42" s="10">
        <f t="shared" si="79"/>
        <v>0.10000000000000009</v>
      </c>
      <c r="K42" s="10">
        <f t="shared" si="80"/>
        <v>0</v>
      </c>
      <c r="L42" s="10">
        <f t="shared" si="80"/>
        <v>-0.11111111111111116</v>
      </c>
      <c r="M42" s="10">
        <f t="shared" si="80"/>
        <v>-0.16666666666666663</v>
      </c>
      <c r="N42" s="10">
        <f t="shared" si="80"/>
        <v>-0.18181818181818177</v>
      </c>
      <c r="V42" s="10">
        <f t="shared" si="81"/>
        <v>-0.12121212121212122</v>
      </c>
      <c r="W42" s="10">
        <f t="shared" si="81"/>
        <v>0.30000000000000004</v>
      </c>
    </row>
    <row r="44" spans="2:143" x14ac:dyDescent="0.3">
      <c r="B44" s="1" t="s">
        <v>44</v>
      </c>
      <c r="E44" s="10"/>
      <c r="G44" s="10"/>
      <c r="H44" s="10"/>
      <c r="I44" s="10">
        <f t="shared" ref="I44:K47" si="82">I15/E15-1</f>
        <v>5.8760300967395152E-2</v>
      </c>
      <c r="J44" s="10"/>
      <c r="K44" s="10">
        <f t="shared" si="82"/>
        <v>0.13939144736842102</v>
      </c>
      <c r="L44" s="10">
        <f>L15/H15-1</f>
        <v>0.12491203377902882</v>
      </c>
      <c r="M44" s="10">
        <f t="shared" ref="M44:N47" si="83">M15/I15-1</f>
        <v>5.3807106598984689E-2</v>
      </c>
      <c r="N44" s="10">
        <f t="shared" si="83"/>
        <v>0.1100000000000001</v>
      </c>
      <c r="P44" s="10"/>
      <c r="Q44" s="10">
        <f>Q15/P15-1</f>
        <v>-0.16852010265183914</v>
      </c>
      <c r="R44" s="10">
        <f t="shared" ref="R44:AE44" si="84">R15/Q15-1</f>
        <v>8.44650205761317E-2</v>
      </c>
      <c r="S44" s="10">
        <f t="shared" si="84"/>
        <v>3.8326534484394159E-2</v>
      </c>
      <c r="T44" s="10">
        <f t="shared" si="84"/>
        <v>5.7377798081315712E-2</v>
      </c>
      <c r="U44" s="10">
        <f t="shared" si="84"/>
        <v>-1.7108787695498173E-2</v>
      </c>
      <c r="V44" s="10">
        <f t="shared" si="84"/>
        <v>0.10541186813186831</v>
      </c>
      <c r="W44" s="10">
        <f t="shared" si="84"/>
        <v>9.000000000000008E-2</v>
      </c>
      <c r="X44" s="10">
        <f t="shared" si="84"/>
        <v>5.0000000000000044E-2</v>
      </c>
      <c r="Y44" s="10">
        <f t="shared" si="84"/>
        <v>4.0000000000000036E-2</v>
      </c>
      <c r="Z44" s="10">
        <f t="shared" si="84"/>
        <v>3.0000000000000027E-2</v>
      </c>
      <c r="AA44" s="10">
        <f t="shared" si="84"/>
        <v>2.0000000000000018E-2</v>
      </c>
      <c r="AB44" s="10">
        <f t="shared" si="84"/>
        <v>2.0000000000000018E-2</v>
      </c>
      <c r="AC44" s="10">
        <f t="shared" si="84"/>
        <v>2.0000000000000018E-2</v>
      </c>
      <c r="AD44" s="10">
        <f t="shared" si="84"/>
        <v>2.0000000000000018E-2</v>
      </c>
      <c r="AE44" s="10">
        <f t="shared" si="84"/>
        <v>2.0000000000000018E-2</v>
      </c>
      <c r="AF44" s="10">
        <f t="shared" ref="AF44" si="85">AF15/AE15-1</f>
        <v>2.0000000000000018E-2</v>
      </c>
    </row>
    <row r="45" spans="2:143" x14ac:dyDescent="0.3">
      <c r="B45" s="1" t="s">
        <v>45</v>
      </c>
      <c r="E45" s="10"/>
      <c r="G45" s="10"/>
      <c r="H45" s="10"/>
      <c r="I45" s="10">
        <f t="shared" si="82"/>
        <v>-0.14656771799628943</v>
      </c>
      <c r="J45" s="10"/>
      <c r="K45" s="10">
        <f t="shared" si="82"/>
        <v>-0.24563953488372092</v>
      </c>
      <c r="L45" s="10">
        <f t="shared" ref="L45:L47" si="86">L16/H16-1</f>
        <v>-0.25111441307578009</v>
      </c>
      <c r="M45" s="10">
        <f t="shared" si="83"/>
        <v>4.3478260869564966E-3</v>
      </c>
      <c r="N45" s="10">
        <f t="shared" si="83"/>
        <v>-2.0000000000000018E-2</v>
      </c>
      <c r="P45" s="10"/>
      <c r="Q45" s="10">
        <f t="shared" ref="Q45:AE45" si="87">Q16/P16-1</f>
        <v>1.0672358591248265E-3</v>
      </c>
      <c r="R45" s="10">
        <f t="shared" si="87"/>
        <v>-4.4776119402985093E-2</v>
      </c>
      <c r="S45" s="10">
        <f t="shared" si="87"/>
        <v>4.4642857142857206E-2</v>
      </c>
      <c r="T45" s="10">
        <f t="shared" si="87"/>
        <v>9.7756410256410353E-2</v>
      </c>
      <c r="U45" s="10">
        <f t="shared" si="87"/>
        <v>0.10802919708029202</v>
      </c>
      <c r="V45" s="10">
        <f t="shared" si="87"/>
        <v>-0.15156785243741766</v>
      </c>
      <c r="W45" s="10">
        <f t="shared" si="87"/>
        <v>4.0000000000000036E-2</v>
      </c>
      <c r="X45" s="10">
        <f t="shared" si="87"/>
        <v>3.0000000000000027E-2</v>
      </c>
      <c r="Y45" s="10">
        <f t="shared" si="87"/>
        <v>2.0000000000000018E-2</v>
      </c>
      <c r="Z45" s="10">
        <f t="shared" si="87"/>
        <v>2.0000000000000018E-2</v>
      </c>
      <c r="AA45" s="10">
        <f t="shared" si="87"/>
        <v>2.0000000000000018E-2</v>
      </c>
      <c r="AB45" s="10">
        <f t="shared" si="87"/>
        <v>2.0000000000000018E-2</v>
      </c>
      <c r="AC45" s="10">
        <f t="shared" si="87"/>
        <v>2.0000000000000018E-2</v>
      </c>
      <c r="AD45" s="10">
        <f t="shared" si="87"/>
        <v>2.0000000000000018E-2</v>
      </c>
      <c r="AE45" s="10">
        <f t="shared" si="87"/>
        <v>2.0000000000000018E-2</v>
      </c>
      <c r="AF45" s="10">
        <f t="shared" ref="AF45" si="88">AF16/AE16-1</f>
        <v>2.0000000000000018E-2</v>
      </c>
    </row>
    <row r="46" spans="2:143" x14ac:dyDescent="0.3">
      <c r="B46" s="1" t="s">
        <v>46</v>
      </c>
      <c r="E46" s="10"/>
      <c r="G46" s="10"/>
      <c r="H46" s="10"/>
      <c r="I46" s="10">
        <f t="shared" si="82"/>
        <v>-7.6923076923076872E-2</v>
      </c>
      <c r="J46" s="10"/>
      <c r="K46" s="10">
        <f t="shared" si="82"/>
        <v>6.6666666666666652E-2</v>
      </c>
      <c r="L46" s="10">
        <f t="shared" si="86"/>
        <v>0.25</v>
      </c>
      <c r="M46" s="10">
        <f t="shared" si="83"/>
        <v>1.1666666666666665</v>
      </c>
      <c r="N46" s="10">
        <f t="shared" si="83"/>
        <v>0.36363636363636354</v>
      </c>
      <c r="P46" s="10"/>
      <c r="Q46" s="10">
        <f t="shared" ref="Q46:AF47" si="89">Q17/P17-1</f>
        <v>-0.16666666666666663</v>
      </c>
      <c r="R46" s="10">
        <f t="shared" si="89"/>
        <v>-0.10909090909090913</v>
      </c>
      <c r="S46" s="10">
        <f t="shared" si="89"/>
        <v>6.1224489795918435E-2</v>
      </c>
      <c r="T46" s="10">
        <f t="shared" si="89"/>
        <v>5.7692307692307709E-2</v>
      </c>
      <c r="U46" s="10">
        <f t="shared" si="89"/>
        <v>-9.0909090909090939E-2</v>
      </c>
      <c r="V46" s="10">
        <f t="shared" si="89"/>
        <v>0.43999999999999995</v>
      </c>
      <c r="W46" s="10">
        <f t="shared" si="89"/>
        <v>6.0000000000000053E-2</v>
      </c>
      <c r="X46" s="10">
        <f t="shared" si="89"/>
        <v>6.0000000000000053E-2</v>
      </c>
      <c r="Y46" s="10">
        <f t="shared" si="89"/>
        <v>6.0000000000000053E-2</v>
      </c>
      <c r="Z46" s="10">
        <f t="shared" si="89"/>
        <v>6.0000000000000053E-2</v>
      </c>
      <c r="AA46" s="10">
        <f t="shared" si="89"/>
        <v>6.0000000000000053E-2</v>
      </c>
      <c r="AB46" s="10">
        <f t="shared" si="89"/>
        <v>6.0000000000000053E-2</v>
      </c>
      <c r="AC46" s="10">
        <f t="shared" si="89"/>
        <v>6.0000000000000053E-2</v>
      </c>
      <c r="AD46" s="10">
        <f t="shared" si="89"/>
        <v>6.0000000000000053E-2</v>
      </c>
      <c r="AE46" s="10">
        <f t="shared" si="89"/>
        <v>6.0000000000000053E-2</v>
      </c>
      <c r="AF46" s="10">
        <f t="shared" ref="AF46" si="90">AF17/AE17-1</f>
        <v>6.0000000000000053E-2</v>
      </c>
      <c r="AI46" s="1" t="s">
        <v>54</v>
      </c>
      <c r="AJ46" s="10">
        <v>-0.01</v>
      </c>
    </row>
    <row r="47" spans="2:143" x14ac:dyDescent="0.3">
      <c r="B47" s="1" t="s">
        <v>64</v>
      </c>
      <c r="E47" s="10"/>
      <c r="G47" s="10"/>
      <c r="H47" s="10"/>
      <c r="I47" s="10">
        <f t="shared" si="82"/>
        <v>2.5127131319174323E-2</v>
      </c>
      <c r="J47" s="10"/>
      <c r="K47" s="10">
        <f t="shared" ref="K47" si="91">K18/G18-1</f>
        <v>5.4545454545454453E-2</v>
      </c>
      <c r="L47" s="10">
        <f t="shared" si="86"/>
        <v>5.3586617521973245E-2</v>
      </c>
      <c r="M47" s="10">
        <f t="shared" si="83"/>
        <v>5.1065071491100067E-2</v>
      </c>
      <c r="N47" s="10">
        <f t="shared" si="83"/>
        <v>9.4364793800166158E-2</v>
      </c>
      <c r="P47" s="10"/>
      <c r="Q47" s="10">
        <f t="shared" si="89"/>
        <v>-0.14519442406456351</v>
      </c>
      <c r="R47" s="10">
        <f t="shared" si="89"/>
        <v>6.2741395588361559E-2</v>
      </c>
      <c r="S47" s="10">
        <f t="shared" si="89"/>
        <v>3.9331287352608602E-2</v>
      </c>
      <c r="T47" s="10">
        <f t="shared" si="89"/>
        <v>6.3252777993628051E-2</v>
      </c>
      <c r="U47" s="10">
        <f t="shared" si="89"/>
        <v>1.3885843747716287E-3</v>
      </c>
      <c r="V47" s="10">
        <f t="shared" si="89"/>
        <v>6.3927893738140673E-2</v>
      </c>
      <c r="W47" s="10">
        <f t="shared" si="89"/>
        <v>8.3225791847133523E-2</v>
      </c>
      <c r="X47" s="10">
        <f t="shared" si="89"/>
        <v>4.7503679105944441E-2</v>
      </c>
      <c r="Y47" s="10">
        <f t="shared" si="89"/>
        <v>3.759568382159717E-2</v>
      </c>
      <c r="Z47" s="10">
        <f t="shared" si="89"/>
        <v>2.8920040299542871E-2</v>
      </c>
      <c r="AA47" s="10">
        <f t="shared" si="89"/>
        <v>2.0205890097233725E-2</v>
      </c>
      <c r="AB47" s="10">
        <f t="shared" si="89"/>
        <v>2.0213921038082727E-2</v>
      </c>
      <c r="AC47" s="10">
        <f t="shared" si="89"/>
        <v>2.0222263483855585E-2</v>
      </c>
      <c r="AD47" s="10">
        <f t="shared" si="89"/>
        <v>2.0230929378155738E-2</v>
      </c>
      <c r="AE47" s="10">
        <f t="shared" si="89"/>
        <v>2.0239931111472931E-2</v>
      </c>
      <c r="AF47" s="10">
        <f t="shared" si="89"/>
        <v>2.0249281537024988E-2</v>
      </c>
      <c r="AI47" s="1" t="s">
        <v>55</v>
      </c>
      <c r="AJ47" s="10">
        <v>0.09</v>
      </c>
    </row>
    <row r="48" spans="2:143" x14ac:dyDescent="0.3">
      <c r="B48" s="1" t="s">
        <v>47</v>
      </c>
      <c r="E48" s="10"/>
      <c r="G48" s="10">
        <f t="shared" ref="G48:K48" si="92">(G15-G19)/G15</f>
        <v>0.20847039473684212</v>
      </c>
      <c r="H48" s="10">
        <f t="shared" si="92"/>
        <v>0.19739619985925405</v>
      </c>
      <c r="I48" s="10"/>
      <c r="J48" s="10"/>
      <c r="K48" s="10">
        <f t="shared" si="92"/>
        <v>0.1782749909779863</v>
      </c>
      <c r="L48" s="10">
        <f>(L15-L19)/L15</f>
        <v>0.17735376915858617</v>
      </c>
      <c r="M48" s="10">
        <f t="shared" ref="M48:N48" si="93">(M15-M19)/M15</f>
        <v>0.16602440590879897</v>
      </c>
      <c r="N48" s="10">
        <f t="shared" si="93"/>
        <v>0.1800000000000001</v>
      </c>
      <c r="P48" s="10"/>
      <c r="Q48" s="10"/>
      <c r="R48" s="10"/>
      <c r="S48" s="10">
        <f t="shared" ref="S48:AE48" si="94">(S15-S19)/S15</f>
        <v>0.19716765646413886</v>
      </c>
      <c r="T48" s="10">
        <f t="shared" si="94"/>
        <v>0.20452778017800052</v>
      </c>
      <c r="U48" s="10">
        <f t="shared" si="94"/>
        <v>0.17336263736263735</v>
      </c>
      <c r="V48" s="10">
        <f t="shared" si="94"/>
        <v>0.17548594487381172</v>
      </c>
      <c r="W48" s="10">
        <f t="shared" si="94"/>
        <v>0.18999999999999989</v>
      </c>
      <c r="X48" s="10">
        <f t="shared" si="94"/>
        <v>0.19999999999999993</v>
      </c>
      <c r="Y48" s="10">
        <f t="shared" si="94"/>
        <v>0.19999999999999998</v>
      </c>
      <c r="Z48" s="10">
        <f t="shared" si="94"/>
        <v>0.19999999999999993</v>
      </c>
      <c r="AA48" s="10">
        <f t="shared" si="94"/>
        <v>0.19999999999999998</v>
      </c>
      <c r="AB48" s="10">
        <f t="shared" si="94"/>
        <v>0.19999999999999996</v>
      </c>
      <c r="AC48" s="10">
        <f t="shared" si="94"/>
        <v>0.2</v>
      </c>
      <c r="AD48" s="10">
        <f t="shared" si="94"/>
        <v>0.1999999999999999</v>
      </c>
      <c r="AE48" s="10">
        <f t="shared" si="94"/>
        <v>0.19999999999999998</v>
      </c>
      <c r="AF48" s="10">
        <f t="shared" ref="AF48" si="95">(AF15-AF19)/AF15</f>
        <v>0.19999999999999996</v>
      </c>
      <c r="AI48" s="1" t="s">
        <v>56</v>
      </c>
      <c r="AJ48" s="6">
        <f>NPV(AJ47,V34:EM34)</f>
        <v>16899.953839767586</v>
      </c>
    </row>
    <row r="49" spans="2:36" x14ac:dyDescent="0.3">
      <c r="B49" s="1" t="s">
        <v>48</v>
      </c>
      <c r="E49" s="10">
        <f>(E16-E20)/E16</f>
        <v>0.21335807050092764</v>
      </c>
      <c r="G49" s="10">
        <f t="shared" ref="G49:K49" si="96">(G16-G20)/G16</f>
        <v>0.20784883720930233</v>
      </c>
      <c r="H49" s="10">
        <f t="shared" si="96"/>
        <v>0.17830609212481427</v>
      </c>
      <c r="I49" s="10">
        <f t="shared" si="96"/>
        <v>0.24565217391304348</v>
      </c>
      <c r="J49" s="10">
        <f t="shared" si="96"/>
        <v>0.22807017543859648</v>
      </c>
      <c r="K49" s="10">
        <f t="shared" si="96"/>
        <v>0.23892100192678228</v>
      </c>
      <c r="L49" s="10">
        <f>(L16-L20)/L16</f>
        <v>0.25198412698412698</v>
      </c>
      <c r="M49" s="10">
        <f t="shared" ref="M49:N49" si="97">(M16-M20)/M16</f>
        <v>0.24025974025974026</v>
      </c>
      <c r="N49" s="10">
        <f t="shared" si="97"/>
        <v>0.25000000000000006</v>
      </c>
      <c r="P49" s="10">
        <f t="shared" ref="P49:AE49" si="98">(P16-P20)/P16</f>
        <v>0.24012806830309499</v>
      </c>
      <c r="Q49" s="10">
        <f t="shared" si="98"/>
        <v>0.26492537313432835</v>
      </c>
      <c r="R49" s="10">
        <f t="shared" si="98"/>
        <v>0.25111607142857145</v>
      </c>
      <c r="S49" s="10">
        <f t="shared" si="98"/>
        <v>0.24572649572649571</v>
      </c>
      <c r="T49" s="10">
        <f t="shared" si="98"/>
        <v>0.2072992700729927</v>
      </c>
      <c r="U49" s="10">
        <f t="shared" si="98"/>
        <v>0.21080368906455862</v>
      </c>
      <c r="V49" s="10">
        <f t="shared" si="98"/>
        <v>0.24521191792450889</v>
      </c>
      <c r="W49" s="10">
        <f t="shared" si="98"/>
        <v>0.25</v>
      </c>
      <c r="X49" s="10">
        <f t="shared" si="98"/>
        <v>0.25000000000000006</v>
      </c>
      <c r="Y49" s="10">
        <f t="shared" si="98"/>
        <v>0.25</v>
      </c>
      <c r="Z49" s="10">
        <f t="shared" si="98"/>
        <v>0.25</v>
      </c>
      <c r="AA49" s="10">
        <f t="shared" si="98"/>
        <v>0.25000000000000006</v>
      </c>
      <c r="AB49" s="10">
        <f t="shared" si="98"/>
        <v>0.25000000000000006</v>
      </c>
      <c r="AC49" s="10">
        <f t="shared" si="98"/>
        <v>0.25</v>
      </c>
      <c r="AD49" s="10">
        <f t="shared" si="98"/>
        <v>0.24999999999999994</v>
      </c>
      <c r="AE49" s="10">
        <f t="shared" si="98"/>
        <v>0.25</v>
      </c>
      <c r="AF49" s="10">
        <f t="shared" ref="AF49" si="99">(AF16-AF20)/AF16</f>
        <v>0.24999999999999994</v>
      </c>
      <c r="AI49" s="1" t="s">
        <v>57</v>
      </c>
      <c r="AJ49" s="6">
        <f>Main!D8</f>
        <v>-1948</v>
      </c>
    </row>
    <row r="50" spans="2:36" x14ac:dyDescent="0.3">
      <c r="B50" s="1" t="s">
        <v>43</v>
      </c>
      <c r="E50" s="10"/>
      <c r="G50" s="10"/>
      <c r="H50" s="10"/>
      <c r="I50" s="10"/>
      <c r="J50" s="10"/>
      <c r="K50" s="10">
        <f t="shared" ref="K50:N50" si="100">K22/K18</f>
        <v>0.19177253478523895</v>
      </c>
      <c r="L50" s="10">
        <f t="shared" si="100"/>
        <v>0.19079655543595264</v>
      </c>
      <c r="M50" s="10">
        <f t="shared" si="100"/>
        <v>0.18156579677956691</v>
      </c>
      <c r="N50" s="10">
        <f t="shared" si="100"/>
        <v>0.19102232203827083</v>
      </c>
      <c r="P50" s="10"/>
      <c r="Q50" s="10"/>
      <c r="R50" s="10"/>
      <c r="S50" s="10"/>
      <c r="T50" s="10">
        <f t="shared" ref="T50:AF50" si="101">T22/T18</f>
        <v>0.20814148943945041</v>
      </c>
      <c r="U50" s="10">
        <f t="shared" si="101"/>
        <v>0.18260108013428697</v>
      </c>
      <c r="V50" s="10">
        <f t="shared" si="101"/>
        <v>0.18879833501852814</v>
      </c>
      <c r="W50" s="10">
        <f t="shared" si="101"/>
        <v>0.201548742658617</v>
      </c>
      <c r="X50" s="10">
        <f t="shared" si="101"/>
        <v>0.21016790933612969</v>
      </c>
      <c r="Y50" s="10">
        <f t="shared" si="101"/>
        <v>0.21014631323780203</v>
      </c>
      <c r="Z50" s="10">
        <f t="shared" si="101"/>
        <v>0.21021374032244128</v>
      </c>
      <c r="AA50" s="10">
        <f t="shared" si="101"/>
        <v>0.21037312890407703</v>
      </c>
      <c r="AB50" s="10">
        <f t="shared" si="101"/>
        <v>0.21053869986569548</v>
      </c>
      <c r="AC50" s="10">
        <f t="shared" si="101"/>
        <v>0.21071069024976916</v>
      </c>
      <c r="AD50" s="10">
        <f t="shared" si="101"/>
        <v>0.2108893459680353</v>
      </c>
      <c r="AE50" s="10">
        <f t="shared" si="101"/>
        <v>0.21107492211588405</v>
      </c>
      <c r="AF50" s="10">
        <f t="shared" si="101"/>
        <v>0.21126768329648107</v>
      </c>
      <c r="AI50" s="1" t="s">
        <v>58</v>
      </c>
      <c r="AJ50" s="6">
        <f>AJ48+AJ49</f>
        <v>14951.953839767586</v>
      </c>
    </row>
    <row r="51" spans="2:36" x14ac:dyDescent="0.3">
      <c r="B51" s="1" t="s">
        <v>49</v>
      </c>
      <c r="E51" s="10"/>
      <c r="G51" s="10"/>
      <c r="H51" s="10"/>
      <c r="I51" s="10"/>
      <c r="J51" s="10"/>
      <c r="K51" s="10">
        <f t="shared" ref="K51" si="102">K23/G23-1</f>
        <v>-8.333333333333337E-2</v>
      </c>
      <c r="L51" s="10">
        <f>L23/H23-1</f>
        <v>0.30476190476190479</v>
      </c>
      <c r="M51" s="10">
        <f t="shared" ref="M51:N51" si="103">M23/I23-1</f>
        <v>-6.3492063492063489E-2</v>
      </c>
      <c r="N51" s="10" t="e">
        <f t="shared" si="103"/>
        <v>#DIV/0!</v>
      </c>
      <c r="P51" s="10"/>
      <c r="Q51" s="10"/>
      <c r="R51" s="10"/>
      <c r="S51" s="10"/>
      <c r="T51" s="10">
        <f t="shared" ref="T51:AE51" si="104">T23/S23-1</f>
        <v>-5.1580698835274497E-2</v>
      </c>
      <c r="U51" s="10">
        <f t="shared" si="104"/>
        <v>-0.13859649122807016</v>
      </c>
      <c r="V51" s="10">
        <f t="shared" si="104"/>
        <v>9.368635437881867E-2</v>
      </c>
      <c r="W51" s="10">
        <f t="shared" si="104"/>
        <v>7.0000000000000062E-2</v>
      </c>
      <c r="X51" s="10">
        <f t="shared" si="104"/>
        <v>4.0000000000000036E-2</v>
      </c>
      <c r="Y51" s="10">
        <f t="shared" si="104"/>
        <v>3.0000000000000027E-2</v>
      </c>
      <c r="Z51" s="10">
        <f t="shared" si="104"/>
        <v>2.0000000000000018E-2</v>
      </c>
      <c r="AA51" s="10">
        <f t="shared" si="104"/>
        <v>2.0000000000000018E-2</v>
      </c>
      <c r="AB51" s="10">
        <f t="shared" si="104"/>
        <v>2.0000000000000018E-2</v>
      </c>
      <c r="AC51" s="10">
        <f t="shared" si="104"/>
        <v>2.0000000000000018E-2</v>
      </c>
      <c r="AD51" s="10">
        <f t="shared" si="104"/>
        <v>2.0000000000000018E-2</v>
      </c>
      <c r="AE51" s="10">
        <f t="shared" si="104"/>
        <v>2.0000000000000018E-2</v>
      </c>
      <c r="AF51" s="10">
        <f t="shared" ref="AF51" si="105">AF23/AE23-1</f>
        <v>2.0000000000000018E-2</v>
      </c>
      <c r="AI51" s="1" t="s">
        <v>59</v>
      </c>
      <c r="AJ51" s="7">
        <f>AJ50/AF35</f>
        <v>84.857853801178138</v>
      </c>
    </row>
    <row r="52" spans="2:36" x14ac:dyDescent="0.3">
      <c r="B52" s="1" t="s">
        <v>50</v>
      </c>
      <c r="E52" s="10">
        <f>E24/E18</f>
        <v>9.0637152258450496E-2</v>
      </c>
      <c r="G52" s="10">
        <f t="shared" ref="G52:K52" si="106">G24/G18</f>
        <v>0.10079744816586922</v>
      </c>
      <c r="H52" s="10">
        <f t="shared" si="106"/>
        <v>8.3073433512900488E-2</v>
      </c>
      <c r="I52" s="10">
        <f t="shared" si="106"/>
        <v>8.2287715202801287E-2</v>
      </c>
      <c r="J52" s="10">
        <f t="shared" si="106"/>
        <v>7.3346249654027126E-2</v>
      </c>
      <c r="K52" s="10">
        <f t="shared" si="106"/>
        <v>9.0139140955837874E-2</v>
      </c>
      <c r="L52" s="10">
        <f>L24/L18</f>
        <v>8.1539289558665226E-2</v>
      </c>
      <c r="M52" s="10">
        <f t="shared" ref="M52:N52" si="107">M24/M18</f>
        <v>7.134925041643532E-2</v>
      </c>
      <c r="N52" s="10">
        <f t="shared" si="107"/>
        <v>0.08</v>
      </c>
      <c r="P52" s="10">
        <f t="shared" ref="P52:AE52" si="108">P24/P18</f>
        <v>8.4519442406456341E-2</v>
      </c>
      <c r="Q52" s="10">
        <f t="shared" si="108"/>
        <v>8.9691871942322546E-2</v>
      </c>
      <c r="R52" s="10">
        <f t="shared" si="108"/>
        <v>9.8610886771119372E-2</v>
      </c>
      <c r="S52" s="10">
        <f t="shared" si="108"/>
        <v>9.2159452948947077E-2</v>
      </c>
      <c r="T52" s="10">
        <f t="shared" si="108"/>
        <v>8.9527150478696194E-2</v>
      </c>
      <c r="U52" s="10">
        <f t="shared" si="108"/>
        <v>8.4367245657568243E-2</v>
      </c>
      <c r="V52" s="10">
        <f t="shared" si="108"/>
        <v>8.0554262124826956E-2</v>
      </c>
      <c r="W52" s="10">
        <f t="shared" si="108"/>
        <v>0.08</v>
      </c>
      <c r="X52" s="10">
        <f t="shared" si="108"/>
        <v>0.08</v>
      </c>
      <c r="Y52" s="10">
        <f t="shared" si="108"/>
        <v>0.08</v>
      </c>
      <c r="Z52" s="10">
        <f t="shared" si="108"/>
        <v>0.08</v>
      </c>
      <c r="AA52" s="10">
        <f t="shared" si="108"/>
        <v>0.08</v>
      </c>
      <c r="AB52" s="10">
        <f t="shared" si="108"/>
        <v>0.08</v>
      </c>
      <c r="AC52" s="10">
        <f t="shared" si="108"/>
        <v>0.08</v>
      </c>
      <c r="AD52" s="10">
        <f t="shared" si="108"/>
        <v>0.08</v>
      </c>
      <c r="AE52" s="10">
        <f t="shared" si="108"/>
        <v>0.08</v>
      </c>
      <c r="AF52" s="10">
        <f t="shared" ref="AF52" si="109">AF24/AF18</f>
        <v>0.08</v>
      </c>
      <c r="AI52" s="1" t="s">
        <v>60</v>
      </c>
      <c r="AJ52" s="7">
        <f>Main!D3</f>
        <v>81.22</v>
      </c>
    </row>
    <row r="53" spans="2:36" x14ac:dyDescent="0.3">
      <c r="B53" s="1" t="s">
        <v>51</v>
      </c>
      <c r="E53" s="10">
        <f>E25/E18</f>
        <v>7.8073586598863293E-2</v>
      </c>
      <c r="G53" s="10">
        <f t="shared" ref="G53:K53" si="110">G25/G18</f>
        <v>6.5390749601275916E-2</v>
      </c>
      <c r="H53" s="10">
        <f t="shared" si="110"/>
        <v>8.3640487666572158E-2</v>
      </c>
      <c r="I53" s="10">
        <f t="shared" si="110"/>
        <v>6.1278085789320105E-2</v>
      </c>
      <c r="J53" s="10">
        <f t="shared" si="110"/>
        <v>7.2239136451702185E-2</v>
      </c>
      <c r="K53" s="10">
        <f t="shared" si="110"/>
        <v>6.1705989110707807E-2</v>
      </c>
      <c r="L53" s="10">
        <f>L25/L18</f>
        <v>7.2389666307857911E-2</v>
      </c>
      <c r="M53" s="10">
        <f t="shared" ref="M53:N53" si="111">M25/M18</f>
        <v>7.7456968350916158E-2</v>
      </c>
      <c r="N53" s="10">
        <f t="shared" si="111"/>
        <v>7.3085479294071373E-2</v>
      </c>
      <c r="P53" s="10">
        <f t="shared" ref="P53:AE53" si="112">P25/P18</f>
        <v>7.8650036683785771E-2</v>
      </c>
      <c r="Q53" s="10">
        <f t="shared" si="112"/>
        <v>4.3944725774611622E-2</v>
      </c>
      <c r="R53" s="10">
        <f t="shared" si="112"/>
        <v>6.9778711032143434E-2</v>
      </c>
      <c r="S53" s="10">
        <f t="shared" si="112"/>
        <v>6.8614499961146949E-2</v>
      </c>
      <c r="T53" s="10">
        <f t="shared" si="112"/>
        <v>7.6956807717605782E-2</v>
      </c>
      <c r="U53" s="10">
        <f t="shared" si="112"/>
        <v>6.23996496861772E-2</v>
      </c>
      <c r="V53" s="10">
        <f t="shared" si="112"/>
        <v>7.1407592567948722E-2</v>
      </c>
      <c r="W53" s="10">
        <f t="shared" si="112"/>
        <v>8.5162022322735745E-2</v>
      </c>
      <c r="X53" s="10">
        <f t="shared" si="112"/>
        <v>9.4041841328793258E-2</v>
      </c>
      <c r="Y53" s="10">
        <f t="shared" si="112"/>
        <v>9.4284704879421116E-2</v>
      </c>
      <c r="Z53" s="10">
        <f t="shared" si="112"/>
        <v>9.4663027834715224E-2</v>
      </c>
      <c r="AA53" s="10">
        <f t="shared" si="112"/>
        <v>9.4829590987407578E-2</v>
      </c>
      <c r="AB53" s="10">
        <f t="shared" si="112"/>
        <v>9.5002614808050459E-2</v>
      </c>
      <c r="AC53" s="10">
        <f t="shared" si="112"/>
        <v>9.518234700912831E-2</v>
      </c>
      <c r="AD53" s="10">
        <f t="shared" si="112"/>
        <v>9.536904457162329E-2</v>
      </c>
      <c r="AE53" s="10">
        <f t="shared" si="112"/>
        <v>9.5562974073554754E-2</v>
      </c>
      <c r="AF53" s="10">
        <f t="shared" ref="AF53" si="113">AF25/AF18</f>
        <v>9.5764412028692E-2</v>
      </c>
      <c r="AI53" s="2" t="s">
        <v>61</v>
      </c>
      <c r="AJ53" s="11">
        <f>AJ51/AJ52-1</f>
        <v>4.4790123136889237E-2</v>
      </c>
    </row>
    <row r="54" spans="2:36" x14ac:dyDescent="0.3">
      <c r="B54" s="1" t="s">
        <v>27</v>
      </c>
      <c r="E54" s="10">
        <f>E32/E31</f>
        <v>0.10631229235880399</v>
      </c>
      <c r="G54" s="10">
        <f t="shared" ref="G54:K54" si="114">G32/G31</f>
        <v>0.15189873417721519</v>
      </c>
      <c r="H54" s="10">
        <f t="shared" si="114"/>
        <v>0.19504643962848298</v>
      </c>
      <c r="I54" s="10">
        <f t="shared" si="114"/>
        <v>0.11507936507936507</v>
      </c>
      <c r="J54" s="10">
        <f t="shared" si="114"/>
        <v>-4.048582995951417E-2</v>
      </c>
      <c r="K54" s="10">
        <f t="shared" si="114"/>
        <v>0.14107883817427386</v>
      </c>
      <c r="L54" s="10">
        <f>L32/L31</f>
        <v>0.18604651162790697</v>
      </c>
      <c r="M54" s="10">
        <f t="shared" ref="M54:N54" si="115">M32/M31</f>
        <v>0.25632911392405061</v>
      </c>
      <c r="N54" s="10">
        <f t="shared" si="115"/>
        <v>0.14000000000000001</v>
      </c>
      <c r="P54" s="10">
        <f t="shared" ref="P54:AE54" si="116">P32/P31</f>
        <v>0.13481953290870488</v>
      </c>
      <c r="Q54" s="10">
        <f t="shared" si="116"/>
        <v>-9.5744680851063829E-2</v>
      </c>
      <c r="R54" s="10">
        <f t="shared" si="116"/>
        <v>0.14432989690721648</v>
      </c>
      <c r="S54" s="10">
        <f t="shared" si="116"/>
        <v>0.15157480314960631</v>
      </c>
      <c r="T54" s="10">
        <f t="shared" si="116"/>
        <v>0.15179392824287027</v>
      </c>
      <c r="U54" s="10">
        <f t="shared" si="116"/>
        <v>0.12513255567338283</v>
      </c>
      <c r="V54" s="10">
        <f t="shared" si="116"/>
        <v>0.18308302389990075</v>
      </c>
      <c r="W54" s="10">
        <f t="shared" si="116"/>
        <v>0.15</v>
      </c>
      <c r="X54" s="10">
        <f t="shared" si="116"/>
        <v>0.15</v>
      </c>
      <c r="Y54" s="10">
        <f t="shared" si="116"/>
        <v>0.15</v>
      </c>
      <c r="Z54" s="10">
        <f t="shared" si="116"/>
        <v>0.15</v>
      </c>
      <c r="AA54" s="10">
        <f t="shared" si="116"/>
        <v>0.15</v>
      </c>
      <c r="AB54" s="10">
        <f t="shared" si="116"/>
        <v>0.15</v>
      </c>
      <c r="AC54" s="10">
        <f t="shared" si="116"/>
        <v>0.15</v>
      </c>
      <c r="AD54" s="10">
        <f t="shared" si="116"/>
        <v>0.15</v>
      </c>
      <c r="AE54" s="10">
        <f t="shared" si="116"/>
        <v>0.15</v>
      </c>
      <c r="AF54" s="10">
        <f t="shared" ref="AF54" si="117">AF32/AF31</f>
        <v>0.15</v>
      </c>
      <c r="AI54" s="1" t="s">
        <v>62</v>
      </c>
      <c r="AJ54" s="3" t="s">
        <v>63</v>
      </c>
    </row>
    <row r="55" spans="2:36" x14ac:dyDescent="0.3">
      <c r="B55" s="1" t="s">
        <v>52</v>
      </c>
      <c r="E55" s="10">
        <f>E34/E18</f>
        <v>8.046664672449895E-2</v>
      </c>
      <c r="G55" s="10">
        <f t="shared" ref="G55:K55" si="118">G34/G18</f>
        <v>6.4114832535885166E-2</v>
      </c>
      <c r="H55" s="10">
        <f t="shared" si="118"/>
        <v>7.3433512900482001E-2</v>
      </c>
      <c r="I55" s="10">
        <f t="shared" si="118"/>
        <v>6.5071491100087545E-2</v>
      </c>
      <c r="J55" s="10">
        <f t="shared" si="118"/>
        <v>7.1132023249377244E-2</v>
      </c>
      <c r="K55" s="10">
        <f t="shared" si="118"/>
        <v>6.2613430127041736E-2</v>
      </c>
      <c r="L55" s="10">
        <f>L34/L18</f>
        <v>6.593110871905275E-2</v>
      </c>
      <c r="M55" s="10">
        <f t="shared" ref="M55:N55" si="119">M34/M18</f>
        <v>6.4963908939478066E-2</v>
      </c>
      <c r="N55" s="10">
        <f t="shared" si="119"/>
        <v>7.0248667405170662E-2</v>
      </c>
      <c r="P55" s="10">
        <f t="shared" ref="P55:AE55" si="120">P34/P18</f>
        <v>5.9794570799706528E-2</v>
      </c>
      <c r="Q55" s="10">
        <f t="shared" si="120"/>
        <v>2.6521328641318342E-2</v>
      </c>
      <c r="R55" s="10">
        <f t="shared" si="120"/>
        <v>6.0248748182846069E-2</v>
      </c>
      <c r="S55" s="10">
        <f t="shared" si="120"/>
        <v>6.6904965420778617E-2</v>
      </c>
      <c r="T55" s="10">
        <f t="shared" si="120"/>
        <v>6.7309800482350357E-2</v>
      </c>
      <c r="U55" s="10">
        <f t="shared" si="120"/>
        <v>6.0137206247263174E-2</v>
      </c>
      <c r="V55" s="10">
        <f t="shared" si="120"/>
        <v>6.6110782181844768E-2</v>
      </c>
      <c r="W55" s="10">
        <f t="shared" si="120"/>
        <v>8.0371405787853664E-2</v>
      </c>
      <c r="X55" s="10">
        <f t="shared" si="120"/>
        <v>8.7785845354697647E-2</v>
      </c>
      <c r="Y55" s="10">
        <f t="shared" si="120"/>
        <v>8.7934811664035675E-2</v>
      </c>
      <c r="Z55" s="10">
        <f t="shared" si="120"/>
        <v>8.8264565551634783E-2</v>
      </c>
      <c r="AA55" s="10">
        <f t="shared" si="120"/>
        <v>8.8481034773306724E-2</v>
      </c>
      <c r="AB55" s="10">
        <f t="shared" si="120"/>
        <v>8.8703651929011001E-2</v>
      </c>
      <c r="AC55" s="10">
        <f t="shared" si="120"/>
        <v>8.8932630224672432E-2</v>
      </c>
      <c r="AD55" s="10">
        <f t="shared" si="120"/>
        <v>8.9168190588969284E-2</v>
      </c>
      <c r="AE55" s="10">
        <f t="shared" si="120"/>
        <v>8.9410561942595265E-2</v>
      </c>
      <c r="AF55" s="10">
        <f t="shared" ref="AF55" si="121">AF34/AF18</f>
        <v>8.9659981475695483E-2</v>
      </c>
    </row>
    <row r="58" spans="2:36" s="12" customFormat="1" x14ac:dyDescent="0.3">
      <c r="B58" s="12" t="s">
        <v>65</v>
      </c>
      <c r="L58" s="15">
        <f>17076</f>
        <v>17076</v>
      </c>
      <c r="M58" s="15">
        <v>17381</v>
      </c>
      <c r="N58" s="15"/>
      <c r="O58" s="15"/>
      <c r="P58" s="15"/>
      <c r="Q58" s="15"/>
      <c r="R58" s="15"/>
      <c r="S58" s="15"/>
      <c r="T58" s="15"/>
      <c r="U58" s="15"/>
      <c r="V58" s="15">
        <v>17381</v>
      </c>
    </row>
    <row r="60" spans="2:36" x14ac:dyDescent="0.3">
      <c r="B60" s="1" t="s">
        <v>66</v>
      </c>
      <c r="L60" s="13"/>
      <c r="V60" s="13">
        <f>Main!$D$9/Model!V58</f>
        <v>0.93544468097347666</v>
      </c>
    </row>
    <row r="61" spans="2:36" x14ac:dyDescent="0.3">
      <c r="B61" s="1" t="s">
        <v>67</v>
      </c>
      <c r="L61" s="10"/>
      <c r="V61" s="10">
        <f>V58/Main!$D$9-1</f>
        <v>6.9010301025330012E-2</v>
      </c>
    </row>
  </sheetData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2025-07-29T16:31:58Z</dcterms:created>
  <dcterms:modified xsi:type="dcterms:W3CDTF">2025-12-11T13:39:11Z</dcterms:modified>
</cp:coreProperties>
</file>