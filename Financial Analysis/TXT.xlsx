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B97B29E-1D08-4604-90B1-22DF75FCC2E2}" xr6:coauthVersionLast="47" xr6:coauthVersionMax="47" xr10:uidLastSave="{00000000-0000-0000-0000-000000000000}"/>
  <bookViews>
    <workbookView xWindow="-108" yWindow="-108" windowWidth="23256" windowHeight="12576" activeTab="1" xr2:uid="{9C792900-F1FE-492A-AE3E-893D8A7E159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0" i="2" l="1"/>
  <c r="N3" i="2"/>
  <c r="N8" i="2" s="1"/>
  <c r="N4" i="2"/>
  <c r="M4" i="2"/>
  <c r="M8" i="2" s="1"/>
  <c r="N5" i="2"/>
  <c r="M5" i="2"/>
  <c r="N6" i="2"/>
  <c r="M6" i="2"/>
  <c r="M3" i="2"/>
  <c r="J37" i="2"/>
  <c r="I37" i="2"/>
  <c r="J36" i="2"/>
  <c r="I36" i="2"/>
  <c r="J35" i="2"/>
  <c r="I35" i="2"/>
  <c r="J34" i="2"/>
  <c r="I34" i="2"/>
  <c r="J33" i="2"/>
  <c r="I33" i="2"/>
  <c r="E8" i="2"/>
  <c r="I8" i="2"/>
  <c r="F8" i="2"/>
  <c r="J8" i="2"/>
  <c r="K37" i="2"/>
  <c r="K36" i="2"/>
  <c r="K35" i="2"/>
  <c r="K34" i="2"/>
  <c r="K33" i="2"/>
  <c r="G8" i="2"/>
  <c r="K8" i="2"/>
  <c r="L37" i="2"/>
  <c r="L36" i="2"/>
  <c r="L35" i="2"/>
  <c r="L34" i="2"/>
  <c r="L33" i="2"/>
  <c r="L8" i="2"/>
  <c r="H8" i="2"/>
  <c r="M11" i="2" l="1"/>
  <c r="L53" i="2"/>
  <c r="L55" i="2" s="1"/>
  <c r="AJ47" i="2"/>
  <c r="AJ44" i="2"/>
  <c r="V28" i="2"/>
  <c r="V23" i="2"/>
  <c r="V22" i="2"/>
  <c r="V21" i="2"/>
  <c r="W21" i="2" s="1"/>
  <c r="V12" i="2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AF41" i="2" s="1"/>
  <c r="U46" i="2"/>
  <c r="T46" i="2"/>
  <c r="U41" i="2"/>
  <c r="T41" i="2"/>
  <c r="S41" i="2"/>
  <c r="R41" i="2"/>
  <c r="Q41" i="2"/>
  <c r="U40" i="2"/>
  <c r="T40" i="2"/>
  <c r="S40" i="2"/>
  <c r="R40" i="2"/>
  <c r="Q40" i="2"/>
  <c r="U39" i="2"/>
  <c r="T39" i="2"/>
  <c r="S39" i="2"/>
  <c r="R39" i="2"/>
  <c r="Q39" i="2"/>
  <c r="U44" i="2"/>
  <c r="T44" i="2"/>
  <c r="S44" i="2"/>
  <c r="R44" i="2"/>
  <c r="Q44" i="2"/>
  <c r="P44" i="2"/>
  <c r="U43" i="2"/>
  <c r="T43" i="2"/>
  <c r="S43" i="2"/>
  <c r="N25" i="2"/>
  <c r="M25" i="2"/>
  <c r="N46" i="2"/>
  <c r="M46" i="2"/>
  <c r="M41" i="2"/>
  <c r="M10" i="2"/>
  <c r="M39" i="2" s="1"/>
  <c r="E44" i="2"/>
  <c r="K46" i="2"/>
  <c r="K44" i="2"/>
  <c r="I44" i="2"/>
  <c r="H44" i="2"/>
  <c r="G44" i="2"/>
  <c r="K43" i="2"/>
  <c r="H43" i="2"/>
  <c r="G43" i="2"/>
  <c r="K41" i="2"/>
  <c r="I41" i="2"/>
  <c r="K40" i="2"/>
  <c r="I40" i="2"/>
  <c r="K39" i="2"/>
  <c r="I39" i="2"/>
  <c r="L44" i="2"/>
  <c r="L43" i="2"/>
  <c r="L41" i="2"/>
  <c r="L40" i="2"/>
  <c r="L39" i="2"/>
  <c r="J14" i="2"/>
  <c r="J28" i="2"/>
  <c r="J27" i="2"/>
  <c r="J23" i="2"/>
  <c r="J22" i="2"/>
  <c r="J21" i="2"/>
  <c r="J19" i="2"/>
  <c r="J15" i="2"/>
  <c r="J12" i="2"/>
  <c r="N41" i="2" s="1"/>
  <c r="J11" i="2"/>
  <c r="N11" i="2" s="1"/>
  <c r="J10" i="2"/>
  <c r="E25" i="2"/>
  <c r="E16" i="2"/>
  <c r="E13" i="2"/>
  <c r="E47" i="2" s="1"/>
  <c r="I25" i="2"/>
  <c r="I16" i="2"/>
  <c r="I13" i="2"/>
  <c r="I47" i="2" s="1"/>
  <c r="P25" i="2"/>
  <c r="P16" i="2"/>
  <c r="P13" i="2"/>
  <c r="P47" i="2" s="1"/>
  <c r="Q25" i="2"/>
  <c r="Q16" i="2"/>
  <c r="Q13" i="2"/>
  <c r="Q47" i="2" s="1"/>
  <c r="U25" i="2"/>
  <c r="T25" i="2"/>
  <c r="S25" i="2"/>
  <c r="R25" i="2"/>
  <c r="L25" i="2"/>
  <c r="K25" i="2"/>
  <c r="H25" i="2"/>
  <c r="G25" i="2"/>
  <c r="R13" i="2"/>
  <c r="R47" i="2" s="1"/>
  <c r="R16" i="2"/>
  <c r="S16" i="2"/>
  <c r="S13" i="2"/>
  <c r="S47" i="2" s="1"/>
  <c r="T16" i="2"/>
  <c r="T13" i="2"/>
  <c r="T47" i="2" s="1"/>
  <c r="U16" i="2"/>
  <c r="U13" i="2"/>
  <c r="G16" i="2"/>
  <c r="G13" i="2"/>
  <c r="G47" i="2" s="1"/>
  <c r="K16" i="2"/>
  <c r="K13" i="2"/>
  <c r="K47" i="2" s="1"/>
  <c r="H16" i="2"/>
  <c r="H13" i="2"/>
  <c r="H47" i="2" s="1"/>
  <c r="L18" i="2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F46" i="2" s="1"/>
  <c r="L16" i="2"/>
  <c r="L13" i="2"/>
  <c r="L47" i="2" s="1"/>
  <c r="D8" i="1"/>
  <c r="D7" i="1"/>
  <c r="D6" i="1"/>
  <c r="D5" i="1"/>
  <c r="D9" i="1" s="1"/>
  <c r="F3" i="1"/>
  <c r="L56" i="2" l="1"/>
  <c r="V41" i="2"/>
  <c r="R42" i="2"/>
  <c r="S42" i="2"/>
  <c r="V25" i="2"/>
  <c r="I42" i="2"/>
  <c r="T42" i="2"/>
  <c r="L46" i="2"/>
  <c r="K42" i="2"/>
  <c r="U42" i="2"/>
  <c r="L42" i="2"/>
  <c r="J16" i="2"/>
  <c r="Q42" i="2"/>
  <c r="J44" i="2"/>
  <c r="R17" i="2"/>
  <c r="R20" i="2" s="1"/>
  <c r="R48" i="2" s="1"/>
  <c r="J25" i="2"/>
  <c r="V10" i="2"/>
  <c r="N14" i="2"/>
  <c r="N43" i="2" s="1"/>
  <c r="N39" i="2"/>
  <c r="M15" i="2"/>
  <c r="W23" i="2"/>
  <c r="X23" i="2" s="1"/>
  <c r="Y23" i="2" s="1"/>
  <c r="Z23" i="2" s="1"/>
  <c r="AA23" i="2" s="1"/>
  <c r="AB23" i="2" s="1"/>
  <c r="AC23" i="2" s="1"/>
  <c r="AD23" i="2" s="1"/>
  <c r="AE23" i="2" s="1"/>
  <c r="AF23" i="2" s="1"/>
  <c r="U47" i="2"/>
  <c r="X21" i="2"/>
  <c r="Y21" i="2" s="1"/>
  <c r="Z21" i="2" s="1"/>
  <c r="M40" i="2"/>
  <c r="M13" i="2"/>
  <c r="M42" i="2" s="1"/>
  <c r="M14" i="2"/>
  <c r="X46" i="2"/>
  <c r="Y46" i="2"/>
  <c r="W46" i="2"/>
  <c r="Y41" i="2"/>
  <c r="X41" i="2"/>
  <c r="W41" i="2"/>
  <c r="V46" i="2"/>
  <c r="J13" i="2"/>
  <c r="E17" i="2"/>
  <c r="E20" i="2" s="1"/>
  <c r="I17" i="2"/>
  <c r="I20" i="2" s="1"/>
  <c r="P17" i="2"/>
  <c r="P20" i="2" s="1"/>
  <c r="Q17" i="2"/>
  <c r="Q20" i="2" s="1"/>
  <c r="L17" i="2"/>
  <c r="S17" i="2"/>
  <c r="S20" i="2" s="1"/>
  <c r="S26" i="2" s="1"/>
  <c r="S49" i="2" s="1"/>
  <c r="T17" i="2"/>
  <c r="U17" i="2"/>
  <c r="G17" i="2"/>
  <c r="G20" i="2" s="1"/>
  <c r="K17" i="2"/>
  <c r="K45" i="2" s="1"/>
  <c r="H17" i="2"/>
  <c r="H20" i="2" s="1"/>
  <c r="J17" i="2" l="1"/>
  <c r="J20" i="2" s="1"/>
  <c r="J26" i="2" s="1"/>
  <c r="R26" i="2"/>
  <c r="R49" i="2" s="1"/>
  <c r="L20" i="2"/>
  <c r="L48" i="2" s="1"/>
  <c r="L45" i="2"/>
  <c r="U20" i="2"/>
  <c r="U48" i="2" s="1"/>
  <c r="U45" i="2"/>
  <c r="T20" i="2"/>
  <c r="T48" i="2" s="1"/>
  <c r="T45" i="2"/>
  <c r="J47" i="2"/>
  <c r="X25" i="2"/>
  <c r="Y25" i="2"/>
  <c r="I26" i="2"/>
  <c r="I48" i="2"/>
  <c r="H48" i="2"/>
  <c r="H26" i="2"/>
  <c r="H49" i="2" s="1"/>
  <c r="W10" i="2"/>
  <c r="V39" i="2"/>
  <c r="G48" i="2"/>
  <c r="G26" i="2"/>
  <c r="G49" i="2" s="1"/>
  <c r="E26" i="2"/>
  <c r="E48" i="2"/>
  <c r="S29" i="2"/>
  <c r="S31" i="2" s="1"/>
  <c r="S48" i="2"/>
  <c r="M43" i="2"/>
  <c r="V14" i="2"/>
  <c r="M16" i="2"/>
  <c r="M17" i="2" s="1"/>
  <c r="M45" i="2" s="1"/>
  <c r="N15" i="2"/>
  <c r="N44" i="2" s="1"/>
  <c r="V11" i="2"/>
  <c r="V13" i="2" s="1"/>
  <c r="V42" i="2" s="1"/>
  <c r="N40" i="2"/>
  <c r="N13" i="2"/>
  <c r="N42" i="2" s="1"/>
  <c r="M44" i="2"/>
  <c r="Q26" i="2"/>
  <c r="Q48" i="2"/>
  <c r="P26" i="2"/>
  <c r="P48" i="2"/>
  <c r="M19" i="2"/>
  <c r="W25" i="2"/>
  <c r="Z25" i="2"/>
  <c r="AA21" i="2"/>
  <c r="Z46" i="2"/>
  <c r="Z41" i="2"/>
  <c r="K20" i="2"/>
  <c r="L26" i="2" l="1"/>
  <c r="L49" i="2" s="1"/>
  <c r="R29" i="2"/>
  <c r="R31" i="2" s="1"/>
  <c r="J48" i="2"/>
  <c r="T26" i="2"/>
  <c r="T49" i="2" s="1"/>
  <c r="U26" i="2"/>
  <c r="U49" i="2" s="1"/>
  <c r="M20" i="2"/>
  <c r="M48" i="2" s="1"/>
  <c r="G29" i="2"/>
  <c r="G31" i="2" s="1"/>
  <c r="S50" i="2"/>
  <c r="M47" i="2"/>
  <c r="Q29" i="2"/>
  <c r="Q49" i="2"/>
  <c r="V15" i="2"/>
  <c r="V16" i="2" s="1"/>
  <c r="V17" i="2" s="1"/>
  <c r="V45" i="2" s="1"/>
  <c r="X10" i="2"/>
  <c r="W14" i="2"/>
  <c r="W43" i="2" s="1"/>
  <c r="W39" i="2"/>
  <c r="V43" i="2"/>
  <c r="E29" i="2"/>
  <c r="E49" i="2"/>
  <c r="W11" i="2"/>
  <c r="V40" i="2"/>
  <c r="N16" i="2"/>
  <c r="N17" i="2" s="1"/>
  <c r="N45" i="2" s="1"/>
  <c r="N19" i="2"/>
  <c r="N47" i="2" s="1"/>
  <c r="H29" i="2"/>
  <c r="J29" i="2"/>
  <c r="J49" i="2"/>
  <c r="K48" i="2"/>
  <c r="K26" i="2"/>
  <c r="K49" i="2" s="1"/>
  <c r="P29" i="2"/>
  <c r="P49" i="2"/>
  <c r="I29" i="2"/>
  <c r="I49" i="2"/>
  <c r="AA25" i="2"/>
  <c r="AB21" i="2"/>
  <c r="AA46" i="2"/>
  <c r="AA41" i="2"/>
  <c r="G50" i="2" l="1"/>
  <c r="L29" i="2"/>
  <c r="L50" i="2" s="1"/>
  <c r="R50" i="2"/>
  <c r="T29" i="2"/>
  <c r="T50" i="2" s="1"/>
  <c r="U29" i="2"/>
  <c r="U50" i="2" s="1"/>
  <c r="M26" i="2"/>
  <c r="M27" i="2" s="1"/>
  <c r="M29" i="2" s="1"/>
  <c r="N20" i="2"/>
  <c r="N48" i="2" s="1"/>
  <c r="V19" i="2"/>
  <c r="V47" i="2" s="1"/>
  <c r="I31" i="2"/>
  <c r="I50" i="2"/>
  <c r="V44" i="2"/>
  <c r="X11" i="2"/>
  <c r="X13" i="2" s="1"/>
  <c r="W15" i="2"/>
  <c r="W44" i="2" s="1"/>
  <c r="W40" i="2"/>
  <c r="P31" i="2"/>
  <c r="P50" i="2"/>
  <c r="Q31" i="2"/>
  <c r="Q50" i="2"/>
  <c r="H31" i="2"/>
  <c r="H50" i="2"/>
  <c r="E31" i="2"/>
  <c r="E50" i="2"/>
  <c r="X14" i="2"/>
  <c r="X43" i="2" s="1"/>
  <c r="Y10" i="2"/>
  <c r="X39" i="2"/>
  <c r="J31" i="2"/>
  <c r="J50" i="2"/>
  <c r="W13" i="2"/>
  <c r="K29" i="2"/>
  <c r="AB25" i="2"/>
  <c r="AC21" i="2"/>
  <c r="AB46" i="2"/>
  <c r="AB41" i="2"/>
  <c r="L31" i="2"/>
  <c r="U31" i="2" l="1"/>
  <c r="T31" i="2"/>
  <c r="N26" i="2"/>
  <c r="N27" i="2" s="1"/>
  <c r="N49" i="2" s="1"/>
  <c r="W19" i="2"/>
  <c r="W47" i="2" s="1"/>
  <c r="W42" i="2"/>
  <c r="X19" i="2"/>
  <c r="X47" i="2" s="1"/>
  <c r="X42" i="2"/>
  <c r="W16" i="2"/>
  <c r="W17" i="2" s="1"/>
  <c r="W45" i="2" s="1"/>
  <c r="V20" i="2"/>
  <c r="M31" i="2"/>
  <c r="M50" i="2"/>
  <c r="Y11" i="2"/>
  <c r="Y13" i="2" s="1"/>
  <c r="Y42" i="2" s="1"/>
  <c r="X15" i="2"/>
  <c r="X16" i="2" s="1"/>
  <c r="X17" i="2" s="1"/>
  <c r="X40" i="2"/>
  <c r="Z10" i="2"/>
  <c r="Y14" i="2"/>
  <c r="Y43" i="2" s="1"/>
  <c r="Y39" i="2"/>
  <c r="M49" i="2"/>
  <c r="K31" i="2"/>
  <c r="K50" i="2"/>
  <c r="AD21" i="2"/>
  <c r="AC25" i="2"/>
  <c r="AC46" i="2"/>
  <c r="AC41" i="2"/>
  <c r="X20" i="2" l="1"/>
  <c r="X26" i="2" s="1"/>
  <c r="X45" i="2"/>
  <c r="W20" i="2"/>
  <c r="W26" i="2" s="1"/>
  <c r="X44" i="2"/>
  <c r="N29" i="2"/>
  <c r="N31" i="2" s="1"/>
  <c r="V48" i="2"/>
  <c r="V26" i="2"/>
  <c r="Y19" i="2"/>
  <c r="Z11" i="2"/>
  <c r="Z13" i="2" s="1"/>
  <c r="Z42" i="2" s="1"/>
  <c r="Y15" i="2"/>
  <c r="Y16" i="2" s="1"/>
  <c r="Y17" i="2" s="1"/>
  <c r="Y45" i="2" s="1"/>
  <c r="Y40" i="2"/>
  <c r="Z14" i="2"/>
  <c r="AA10" i="2"/>
  <c r="Z39" i="2"/>
  <c r="V27" i="2"/>
  <c r="AD25" i="2"/>
  <c r="AE21" i="2"/>
  <c r="AD46" i="2"/>
  <c r="AD41" i="2"/>
  <c r="N50" i="2" l="1"/>
  <c r="X48" i="2"/>
  <c r="Y44" i="2"/>
  <c r="W27" i="2"/>
  <c r="W49" i="2" s="1"/>
  <c r="W48" i="2"/>
  <c r="Z19" i="2"/>
  <c r="Z47" i="2" s="1"/>
  <c r="AA14" i="2"/>
  <c r="AA43" i="2" s="1"/>
  <c r="AB10" i="2"/>
  <c r="AA39" i="2"/>
  <c r="AA11" i="2"/>
  <c r="AA13" i="2" s="1"/>
  <c r="Z15" i="2"/>
  <c r="Z16" i="2" s="1"/>
  <c r="Z17" i="2" s="1"/>
  <c r="Z40" i="2"/>
  <c r="Y20" i="2"/>
  <c r="Y47" i="2"/>
  <c r="V49" i="2"/>
  <c r="V29" i="2"/>
  <c r="X27" i="2"/>
  <c r="X49" i="2" s="1"/>
  <c r="Z43" i="2"/>
  <c r="AF21" i="2"/>
  <c r="AF25" i="2" s="1"/>
  <c r="AE25" i="2"/>
  <c r="AE46" i="2"/>
  <c r="AE41" i="2"/>
  <c r="Z20" i="2" l="1"/>
  <c r="Z48" i="2" s="1"/>
  <c r="Z45" i="2"/>
  <c r="AA19" i="2"/>
  <c r="AA47" i="2" s="1"/>
  <c r="AA42" i="2"/>
  <c r="Z44" i="2"/>
  <c r="W29" i="2"/>
  <c r="Y48" i="2"/>
  <c r="Y26" i="2"/>
  <c r="AC10" i="2"/>
  <c r="AB14" i="2"/>
  <c r="AB43" i="2" s="1"/>
  <c r="AB39" i="2"/>
  <c r="AB11" i="2"/>
  <c r="AA15" i="2"/>
  <c r="AA16" i="2" s="1"/>
  <c r="AA17" i="2" s="1"/>
  <c r="AA40" i="2"/>
  <c r="V50" i="2"/>
  <c r="V31" i="2"/>
  <c r="X29" i="2"/>
  <c r="Z26" i="2" l="1"/>
  <c r="Z27" i="2" s="1"/>
  <c r="Z49" i="2" s="1"/>
  <c r="AA20" i="2"/>
  <c r="AA26" i="2" s="1"/>
  <c r="AA45" i="2"/>
  <c r="W31" i="2"/>
  <c r="W50" i="2"/>
  <c r="AA44" i="2"/>
  <c r="X31" i="2"/>
  <c r="X50" i="2"/>
  <c r="Y27" i="2"/>
  <c r="Y49" i="2" s="1"/>
  <c r="AC11" i="2"/>
  <c r="AB15" i="2"/>
  <c r="AB44" i="2" s="1"/>
  <c r="AB40" i="2"/>
  <c r="AD10" i="2"/>
  <c r="AC14" i="2"/>
  <c r="AC43" i="2" s="1"/>
  <c r="AC39" i="2"/>
  <c r="AB13" i="2"/>
  <c r="AB16" i="2" l="1"/>
  <c r="AB17" i="2" s="1"/>
  <c r="AA48" i="2"/>
  <c r="Z29" i="2"/>
  <c r="Z31" i="2" s="1"/>
  <c r="AB19" i="2"/>
  <c r="AB47" i="2" s="1"/>
  <c r="AB42" i="2"/>
  <c r="Y29" i="2"/>
  <c r="Y31" i="2" s="1"/>
  <c r="AD11" i="2"/>
  <c r="AD13" i="2" s="1"/>
  <c r="AC15" i="2"/>
  <c r="AC16" i="2" s="1"/>
  <c r="AC40" i="2"/>
  <c r="AE10" i="2"/>
  <c r="AD14" i="2"/>
  <c r="AD43" i="2" s="1"/>
  <c r="AD39" i="2"/>
  <c r="AA27" i="2"/>
  <c r="AA49" i="2" s="1"/>
  <c r="AC13" i="2"/>
  <c r="AC17" i="2" l="1"/>
  <c r="AC45" i="2" s="1"/>
  <c r="AC44" i="2"/>
  <c r="AB20" i="2"/>
  <c r="AB26" i="2" s="1"/>
  <c r="AB27" i="2" s="1"/>
  <c r="AB49" i="2" s="1"/>
  <c r="AB45" i="2"/>
  <c r="Y50" i="2"/>
  <c r="AA29" i="2"/>
  <c r="AA50" i="2" s="1"/>
  <c r="Z50" i="2"/>
  <c r="AD19" i="2"/>
  <c r="AD47" i="2" s="1"/>
  <c r="AD42" i="2"/>
  <c r="AC19" i="2"/>
  <c r="AC42" i="2"/>
  <c r="AF10" i="2"/>
  <c r="AE14" i="2"/>
  <c r="AE43" i="2" s="1"/>
  <c r="AE39" i="2"/>
  <c r="AE11" i="2"/>
  <c r="AD15" i="2"/>
  <c r="AD44" i="2" s="1"/>
  <c r="AD40" i="2"/>
  <c r="AC20" i="2" l="1"/>
  <c r="AC48" i="2" s="1"/>
  <c r="AA31" i="2"/>
  <c r="AC47" i="2"/>
  <c r="AB48" i="2"/>
  <c r="AD16" i="2"/>
  <c r="AD17" i="2" s="1"/>
  <c r="AF11" i="2"/>
  <c r="AF13" i="2" s="1"/>
  <c r="AE15" i="2"/>
  <c r="AE16" i="2" s="1"/>
  <c r="AE40" i="2"/>
  <c r="AF39" i="2"/>
  <c r="AF14" i="2"/>
  <c r="AE13" i="2"/>
  <c r="AB29" i="2"/>
  <c r="AC26" i="2" l="1"/>
  <c r="AC27" i="2" s="1"/>
  <c r="AC49" i="2" s="1"/>
  <c r="AE44" i="2"/>
  <c r="AD20" i="2"/>
  <c r="AD45" i="2"/>
  <c r="AF19" i="2"/>
  <c r="AF47" i="2" s="1"/>
  <c r="AF42" i="2"/>
  <c r="AE19" i="2"/>
  <c r="AE47" i="2" s="1"/>
  <c r="AE42" i="2"/>
  <c r="AE17" i="2"/>
  <c r="AE45" i="2" s="1"/>
  <c r="AF15" i="2"/>
  <c r="AF44" i="2" s="1"/>
  <c r="AF40" i="2"/>
  <c r="AB50" i="2"/>
  <c r="AB31" i="2"/>
  <c r="AF43" i="2"/>
  <c r="AC29" i="2" l="1"/>
  <c r="AC31" i="2" s="1"/>
  <c r="AE20" i="2"/>
  <c r="AE48" i="2" s="1"/>
  <c r="AD48" i="2"/>
  <c r="AD26" i="2"/>
  <c r="AD27" i="2" s="1"/>
  <c r="AD49" i="2" s="1"/>
  <c r="AF16" i="2"/>
  <c r="AF17" i="2" s="1"/>
  <c r="AD29" i="2" l="1"/>
  <c r="AD31" i="2" s="1"/>
  <c r="AC50" i="2"/>
  <c r="AE26" i="2"/>
  <c r="AE27" i="2" s="1"/>
  <c r="AE49" i="2" s="1"/>
  <c r="AF20" i="2"/>
  <c r="AF45" i="2"/>
  <c r="AD50" i="2" l="1"/>
  <c r="AE29" i="2"/>
  <c r="AE31" i="2" s="1"/>
  <c r="AF48" i="2"/>
  <c r="AF26" i="2"/>
  <c r="AF27" i="2" s="1"/>
  <c r="AF49" i="2" s="1"/>
  <c r="AF29" i="2" l="1"/>
  <c r="AF31" i="2" s="1"/>
  <c r="AE50" i="2"/>
  <c r="AF50" i="2" l="1"/>
  <c r="AG29" i="2"/>
  <c r="AH29" i="2" s="1"/>
  <c r="AI29" i="2" s="1"/>
  <c r="AJ29" i="2" s="1"/>
  <c r="AK29" i="2" s="1"/>
  <c r="AL29" i="2" s="1"/>
  <c r="AM29" i="2" s="1"/>
  <c r="AN29" i="2" s="1"/>
  <c r="AO29" i="2" s="1"/>
  <c r="AP29" i="2" s="1"/>
  <c r="AQ29" i="2" s="1"/>
  <c r="AR29" i="2" s="1"/>
  <c r="AS29" i="2" s="1"/>
  <c r="AT29" i="2" s="1"/>
  <c r="AU29" i="2" s="1"/>
  <c r="AV29" i="2" s="1"/>
  <c r="AW29" i="2" s="1"/>
  <c r="AX29" i="2" s="1"/>
  <c r="AY29" i="2" s="1"/>
  <c r="AZ29" i="2" s="1"/>
  <c r="BA29" i="2" s="1"/>
  <c r="BB29" i="2" s="1"/>
  <c r="BC29" i="2" s="1"/>
  <c r="BD29" i="2" s="1"/>
  <c r="BE29" i="2" s="1"/>
  <c r="BF29" i="2" s="1"/>
  <c r="BG29" i="2" s="1"/>
  <c r="BH29" i="2" s="1"/>
  <c r="BI29" i="2" s="1"/>
  <c r="BJ29" i="2" s="1"/>
  <c r="BK29" i="2" s="1"/>
  <c r="BL29" i="2" s="1"/>
  <c r="BM29" i="2" s="1"/>
  <c r="BN29" i="2" s="1"/>
  <c r="BO29" i="2" s="1"/>
  <c r="BP29" i="2" s="1"/>
  <c r="BQ29" i="2" s="1"/>
  <c r="BR29" i="2" s="1"/>
  <c r="BS29" i="2" s="1"/>
  <c r="BT29" i="2" s="1"/>
  <c r="BU29" i="2" s="1"/>
  <c r="BV29" i="2" s="1"/>
  <c r="BW29" i="2" s="1"/>
  <c r="BX29" i="2" s="1"/>
  <c r="BY29" i="2" s="1"/>
  <c r="BZ29" i="2" s="1"/>
  <c r="CA29" i="2" s="1"/>
  <c r="CB29" i="2" s="1"/>
  <c r="CC29" i="2" s="1"/>
  <c r="CD29" i="2" s="1"/>
  <c r="CE29" i="2" s="1"/>
  <c r="CF29" i="2" s="1"/>
  <c r="CG29" i="2" s="1"/>
  <c r="CH29" i="2" s="1"/>
  <c r="CI29" i="2" s="1"/>
  <c r="CJ29" i="2" s="1"/>
  <c r="CK29" i="2" s="1"/>
  <c r="CL29" i="2" s="1"/>
  <c r="CM29" i="2" s="1"/>
  <c r="CN29" i="2" s="1"/>
  <c r="CO29" i="2" s="1"/>
  <c r="CP29" i="2" s="1"/>
  <c r="CQ29" i="2" s="1"/>
  <c r="CR29" i="2" s="1"/>
  <c r="CS29" i="2" s="1"/>
  <c r="CT29" i="2" s="1"/>
  <c r="CU29" i="2" s="1"/>
  <c r="CV29" i="2" s="1"/>
  <c r="CW29" i="2" s="1"/>
  <c r="CX29" i="2" s="1"/>
  <c r="CY29" i="2" s="1"/>
  <c r="CZ29" i="2" s="1"/>
  <c r="DA29" i="2" s="1"/>
  <c r="DB29" i="2" s="1"/>
  <c r="DC29" i="2" s="1"/>
  <c r="DD29" i="2" s="1"/>
  <c r="DE29" i="2" s="1"/>
  <c r="DF29" i="2" s="1"/>
  <c r="DG29" i="2" s="1"/>
  <c r="DH29" i="2" s="1"/>
  <c r="DI29" i="2" s="1"/>
  <c r="DJ29" i="2" s="1"/>
  <c r="DK29" i="2" s="1"/>
  <c r="DL29" i="2" s="1"/>
  <c r="DM29" i="2" s="1"/>
  <c r="DN29" i="2" s="1"/>
  <c r="DO29" i="2" s="1"/>
  <c r="DP29" i="2" s="1"/>
  <c r="DQ29" i="2" s="1"/>
  <c r="DR29" i="2" s="1"/>
  <c r="DS29" i="2" s="1"/>
  <c r="DT29" i="2" s="1"/>
  <c r="DU29" i="2" s="1"/>
  <c r="DV29" i="2" s="1"/>
  <c r="DW29" i="2" s="1"/>
  <c r="DX29" i="2" s="1"/>
  <c r="DY29" i="2" s="1"/>
  <c r="DZ29" i="2" s="1"/>
  <c r="EA29" i="2" s="1"/>
  <c r="EB29" i="2" s="1"/>
  <c r="EC29" i="2" s="1"/>
  <c r="ED29" i="2" s="1"/>
  <c r="EE29" i="2" s="1"/>
  <c r="EF29" i="2" s="1"/>
  <c r="EG29" i="2" s="1"/>
  <c r="EH29" i="2" s="1"/>
  <c r="EI29" i="2" s="1"/>
  <c r="EJ29" i="2" s="1"/>
  <c r="EK29" i="2" s="1"/>
  <c r="EL29" i="2" s="1"/>
  <c r="EM29" i="2" s="1"/>
  <c r="AJ43" i="2" s="1"/>
  <c r="AJ45" i="2" s="1"/>
  <c r="AJ46" i="2" s="1"/>
  <c r="AJ4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J3" authorId="0" shapeId="0" xr:uid="{6B57C472-E865-4C3B-8ED2-B7AEF149343C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Revenues at Textron Aviation of $1.3 billion were down $242 million from the fourth quarter of 2023, reflecting lower volume and mix of $282 million, which was principally a result of production disruptions related to the strike.</t>
        </r>
      </text>
    </comment>
  </commentList>
</comments>
</file>

<file path=xl/sharedStrings.xml><?xml version="1.0" encoding="utf-8"?>
<sst xmlns="http://schemas.openxmlformats.org/spreadsheetml/2006/main" count="84" uniqueCount="79">
  <si>
    <t>TXT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</si>
  <si>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</si>
  <si>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</si>
  <si>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</si>
  <si>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</si>
  <si>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</si>
  <si>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</si>
  <si>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</si>
  <si>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</si>
  <si>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</si>
  <si>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</si>
  <si>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</si>
  <si>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Product revenue</t>
  </si>
  <si>
    <t>Service revenue</t>
  </si>
  <si>
    <t>Finance revenue</t>
  </si>
  <si>
    <t>Total revenue</t>
  </si>
  <si>
    <t>Product cost</t>
  </si>
  <si>
    <t>Service cost</t>
  </si>
  <si>
    <t>Total cost of sales</t>
  </si>
  <si>
    <t>Gross profit</t>
  </si>
  <si>
    <t>R&amp;D</t>
  </si>
  <si>
    <t>S&amp;M</t>
  </si>
  <si>
    <t>Operating profit</t>
  </si>
  <si>
    <t>Interest expense</t>
  </si>
  <si>
    <t>Other expense</t>
  </si>
  <si>
    <t>Pension income</t>
  </si>
  <si>
    <t>Pretax profit</t>
  </si>
  <si>
    <t>Taxes</t>
  </si>
  <si>
    <t>MI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</si>
  <si>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</si>
  <si>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</si>
  <si>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</si>
  <si>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</si>
  <si>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</si>
  <si>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</si>
  <si>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</si>
  <si>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</si>
  <si>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</si>
  <si>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</si>
  <si>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</si>
  <si>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</si>
  <si>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</si>
  <si>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Total operating expense</t>
  </si>
  <si>
    <t>Gross Margin</t>
  </si>
  <si>
    <t>Product revenue y/y</t>
  </si>
  <si>
    <t>Service revenue y/y</t>
  </si>
  <si>
    <t>Finance revenue y/y</t>
  </si>
  <si>
    <t>Product Margin</t>
  </si>
  <si>
    <t>Service Margin</t>
  </si>
  <si>
    <t>R&amp;D y/y</t>
  </si>
  <si>
    <t>S&amp;M Margin</t>
  </si>
  <si>
    <t>Operating Margin</t>
  </si>
  <si>
    <t>Net Margin</t>
  </si>
  <si>
    <t>Restructuring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</si>
  <si>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</si>
  <si>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</si>
  <si>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</si>
  <si>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</si>
  <si>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</si>
  <si>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</si>
  <si>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</si>
  <si>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</si>
  <si>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</si>
  <si>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Fairly valued</t>
  </si>
  <si>
    <t>Revenue y/y</t>
  </si>
  <si>
    <t>L+S/E</t>
  </si>
  <si>
    <t>EV/B</t>
  </si>
  <si>
    <t>B/EV</t>
  </si>
  <si>
    <t>Textron Aviation</t>
  </si>
  <si>
    <t>Bell</t>
  </si>
  <si>
    <t>Textron Systems</t>
  </si>
  <si>
    <t>Industrial</t>
  </si>
  <si>
    <t>Textron eAviation</t>
  </si>
  <si>
    <t>Manufacturing revenue</t>
  </si>
  <si>
    <t>Textron Aviation y/y</t>
  </si>
  <si>
    <t>Bell y/y</t>
  </si>
  <si>
    <t>Textron Systems y/y</t>
  </si>
  <si>
    <t>Industrial y/y</t>
  </si>
  <si>
    <t>Textron eAviation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</si>
</sst>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164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30480</xdr:colOff>
      <xdr:row>0</xdr:row>
      <xdr:rowOff>0</xdr:rowOff>
    </xdr:from>
    <xdr:to>
      <xdr:col>12</xdr:col>
      <xdr:colOff>30480</xdr:colOff>
      <xdr:row>56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CA33743-82ED-3EA5-E9C0-25A45D458B6D}"/>
            </a:ext>
          </a:extLst>
        </xdr:cNvPr>
        <xdr:cNvCxnSpPr/>
      </xdr:nvCxnSpPr>
      <xdr:spPr>
        <a:xfrm>
          <a:off x="8161020" y="0"/>
          <a:ext cx="0" cy="7604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38100</xdr:colOff>
      <xdr:row>0</xdr:row>
      <xdr:rowOff>7620</xdr:rowOff>
    </xdr:from>
    <xdr:to>
      <xdr:col>21</xdr:col>
      <xdr:colOff>38100</xdr:colOff>
      <xdr:row>56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C11F25E-ABA9-2023-2CDF-29F261AB932B}"/>
            </a:ext>
          </a:extLst>
        </xdr:cNvPr>
        <xdr:cNvCxnSpPr/>
      </xdr:nvCxnSpPr>
      <xdr:spPr>
        <a:xfrm>
          <a:off x="13655040" y="7620"/>
          <a:ext cx="0" cy="7597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D8912-EEFA-42C6-83E8-ED57D022B3D8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5" width="11.88671875" style="4" bestFit="1" customWidth="1"/>
    <col min="6" max="7" width="11.21875" style="4" bestFit="1" customWidth="1"/>
    <col min="8" max="16384" width="8.88671875" style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2" t="s">
        <v>0</v>
      </c>
      <c r="C3" s="1" t="s">
        <v>1</v>
      </c>
      <c r="D3" s="7">
        <v>86.85</v>
      </c>
      <c r="E3" s="5">
        <v>45934</v>
      </c>
      <c r="F3" s="5">
        <f ca="1">TODAY()</f>
        <v>45934</v>
      </c>
      <c r="G3" s="5">
        <v>45953</v>
      </c>
    </row>
    <row r="4" spans="2:7" x14ac:dyDescent="0.3">
      <c r="C4" s="1" t="s">
        <v>2</v>
      </c>
      <c r="D4" s="6">
        <v>178.2</v>
      </c>
      <c r="E4" s="4" t="s">
        <v>11</v>
      </c>
    </row>
    <row r="5" spans="2:7" x14ac:dyDescent="0.3">
      <c r="C5" s="1" t="s">
        <v>3</v>
      </c>
      <c r="D5" s="6">
        <f>D3*D4</f>
        <v>15476.669999999998</v>
      </c>
    </row>
    <row r="6" spans="2:7" x14ac:dyDescent="0.3">
      <c r="C6" s="1" t="s">
        <v>4</v>
      </c>
      <c r="D6" s="6">
        <f>1352+82</f>
        <v>1434</v>
      </c>
      <c r="E6" s="4" t="s">
        <v>11</v>
      </c>
    </row>
    <row r="7" spans="2:7" x14ac:dyDescent="0.3">
      <c r="C7" s="1" t="s">
        <v>5</v>
      </c>
      <c r="D7" s="6">
        <f>356+3038+340</f>
        <v>3734</v>
      </c>
      <c r="E7" s="4" t="s">
        <v>11</v>
      </c>
    </row>
    <row r="8" spans="2:7" x14ac:dyDescent="0.3">
      <c r="C8" s="1" t="s">
        <v>6</v>
      </c>
      <c r="D8" s="6">
        <f>D6-D7</f>
        <v>-2300</v>
      </c>
    </row>
    <row r="9" spans="2:7" x14ac:dyDescent="0.3">
      <c r="C9" s="1" t="s">
        <v>7</v>
      </c>
      <c r="D9" s="6">
        <f>D5-D8</f>
        <v>17776.669999999998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FA5CA-858D-4D33-97A4-C210F9582581}">
  <dimension ref="B2:EM56"/>
  <sheetViews>
    <sheetView tabSelected="1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W1" sqref="W1"/>
    </sheetView>
  </sheetViews>
  <sheetFormatPr defaultRowHeight="14.4" x14ac:dyDescent="0.3"/>
  <cols>
    <col min="1" max="1" width="8.88671875" style="1"/>
    <col min="2" max="2" width="20.77734375" style="1" bestFit="1" customWidth="1"/>
    <col min="3" max="34" width="8.88671875" style="1"/>
    <col min="35" max="35" width="11.88671875" style="1" bestFit="1" customWidth="1"/>
    <col min="36" max="36" width="13.21875" style="1" customWidth="1"/>
    <col min="37" max="16384" width="8.88671875" style="1"/>
  </cols>
  <sheetData>
    <row r="2" spans="2:32" x14ac:dyDescent="0.3">
      <c r="C2" s="3" t="s">
        <v>31</v>
      </c>
      <c r="D2" s="3" t="s">
        <v>32</v>
      </c>
      <c r="E2" s="3" t="s">
        <v>33</v>
      </c>
      <c r="F2" s="3" t="s">
        <v>34</v>
      </c>
      <c r="G2" s="3" t="s">
        <v>35</v>
      </c>
      <c r="H2" s="3" t="s">
        <v>36</v>
      </c>
      <c r="I2" s="3" t="s">
        <v>37</v>
      </c>
      <c r="J2" s="3" t="s">
        <v>38</v>
      </c>
      <c r="K2" s="3" t="s">
        <v>39</v>
      </c>
      <c r="L2" s="3" t="s">
        <v>11</v>
      </c>
      <c r="M2" s="3" t="s">
        <v>40</v>
      </c>
      <c r="N2" s="3" t="s">
        <v>41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2:32" x14ac:dyDescent="0.3">
      <c r="B3" s="1" t="s">
        <v>68</v>
      </c>
      <c r="C3" s="3"/>
      <c r="D3" s="3"/>
      <c r="E3" s="14">
        <v>1338</v>
      </c>
      <c r="F3" s="14">
        <v>1524</v>
      </c>
      <c r="G3" s="14">
        <v>1188</v>
      </c>
      <c r="H3" s="14">
        <v>1475</v>
      </c>
      <c r="I3" s="14">
        <v>1339</v>
      </c>
      <c r="J3" s="14">
        <v>1282</v>
      </c>
      <c r="K3" s="14">
        <v>1212</v>
      </c>
      <c r="L3" s="14">
        <v>1517</v>
      </c>
      <c r="M3" s="14">
        <f>I3*1.03</f>
        <v>1379.17</v>
      </c>
      <c r="N3" s="14">
        <f>J3*1.15</f>
        <v>1474.3</v>
      </c>
    </row>
    <row r="4" spans="2:32" x14ac:dyDescent="0.3">
      <c r="B4" s="1" t="s">
        <v>69</v>
      </c>
      <c r="C4" s="3"/>
      <c r="D4" s="3"/>
      <c r="E4" s="14">
        <v>754</v>
      </c>
      <c r="F4" s="14">
        <v>1071</v>
      </c>
      <c r="G4" s="14">
        <v>727</v>
      </c>
      <c r="H4" s="14">
        <v>794</v>
      </c>
      <c r="I4" s="14">
        <v>929</v>
      </c>
      <c r="J4" s="14">
        <v>1129</v>
      </c>
      <c r="K4" s="14">
        <v>983</v>
      </c>
      <c r="L4" s="14">
        <v>1016</v>
      </c>
      <c r="M4" s="14">
        <f>I4*1.3</f>
        <v>1207.7</v>
      </c>
      <c r="N4" s="14">
        <f>J4*1.2</f>
        <v>1354.8</v>
      </c>
    </row>
    <row r="5" spans="2:32" x14ac:dyDescent="0.3">
      <c r="B5" s="1" t="s">
        <v>70</v>
      </c>
      <c r="C5" s="3"/>
      <c r="D5" s="3"/>
      <c r="E5" s="14">
        <v>309</v>
      </c>
      <c r="F5" s="14">
        <v>314</v>
      </c>
      <c r="G5" s="14">
        <v>306</v>
      </c>
      <c r="H5" s="14">
        <v>323</v>
      </c>
      <c r="I5" s="14">
        <v>301</v>
      </c>
      <c r="J5" s="14">
        <v>311</v>
      </c>
      <c r="K5" s="14">
        <v>296</v>
      </c>
      <c r="L5" s="14">
        <v>321</v>
      </c>
      <c r="M5" s="14">
        <f>I5*1.03</f>
        <v>310.03000000000003</v>
      </c>
      <c r="N5" s="14">
        <f>J5*1.03</f>
        <v>320.33</v>
      </c>
    </row>
    <row r="6" spans="2:32" x14ac:dyDescent="0.3">
      <c r="B6" s="1" t="s">
        <v>71</v>
      </c>
      <c r="C6" s="3"/>
      <c r="D6" s="3"/>
      <c r="E6" s="14">
        <v>922</v>
      </c>
      <c r="F6" s="14">
        <v>961</v>
      </c>
      <c r="G6" s="14">
        <v>892</v>
      </c>
      <c r="H6" s="14">
        <v>914</v>
      </c>
      <c r="I6" s="14">
        <v>840</v>
      </c>
      <c r="J6" s="14">
        <v>869</v>
      </c>
      <c r="K6" s="14">
        <v>792</v>
      </c>
      <c r="L6" s="14">
        <v>839</v>
      </c>
      <c r="M6" s="14">
        <f>I6*0.92</f>
        <v>772.80000000000007</v>
      </c>
      <c r="N6" s="14">
        <f>J6*0.92</f>
        <v>799.48</v>
      </c>
    </row>
    <row r="7" spans="2:32" x14ac:dyDescent="0.3">
      <c r="B7" s="1" t="s">
        <v>72</v>
      </c>
      <c r="C7" s="3"/>
      <c r="D7" s="3"/>
      <c r="E7" s="14">
        <v>7</v>
      </c>
      <c r="F7" s="14">
        <v>10</v>
      </c>
      <c r="G7" s="14">
        <v>7</v>
      </c>
      <c r="H7" s="14">
        <v>9</v>
      </c>
      <c r="I7" s="14">
        <v>6</v>
      </c>
      <c r="J7" s="14">
        <v>11</v>
      </c>
      <c r="K7" s="14">
        <v>7</v>
      </c>
      <c r="L7" s="14">
        <v>8</v>
      </c>
      <c r="M7" s="14">
        <v>9</v>
      </c>
      <c r="N7" s="14">
        <v>13</v>
      </c>
    </row>
    <row r="8" spans="2:32" x14ac:dyDescent="0.3">
      <c r="B8" s="1" t="s">
        <v>73</v>
      </c>
      <c r="C8" s="3"/>
      <c r="D8" s="3"/>
      <c r="E8" s="14">
        <f>SUM(E3:E7)</f>
        <v>3330</v>
      </c>
      <c r="F8" s="14">
        <f>SUM(F3:F7)</f>
        <v>3880</v>
      </c>
      <c r="G8" s="14">
        <f>SUM(G3:G7)</f>
        <v>3120</v>
      </c>
      <c r="H8" s="14">
        <f>SUM(H3:H7)</f>
        <v>3515</v>
      </c>
      <c r="I8" s="14">
        <f>SUM(I3:I7)</f>
        <v>3415</v>
      </c>
      <c r="J8" s="14">
        <f>SUM(J3:J7)</f>
        <v>3602</v>
      </c>
      <c r="K8" s="14">
        <f>SUM(K3:K7)</f>
        <v>3290</v>
      </c>
      <c r="L8" s="14">
        <f>SUM(L3:L7)</f>
        <v>3701</v>
      </c>
      <c r="M8" s="14">
        <f t="shared" ref="M8:N8" si="0">SUM(M3:M7)</f>
        <v>3678.7000000000003</v>
      </c>
      <c r="N8" s="14">
        <f t="shared" si="0"/>
        <v>3961.91</v>
      </c>
    </row>
    <row r="9" spans="2:32" x14ac:dyDescent="0.3">
      <c r="C9" s="3"/>
      <c r="D9" s="3"/>
      <c r="E9" s="3"/>
      <c r="F9" s="3"/>
      <c r="G9" s="3"/>
      <c r="H9" s="14"/>
      <c r="I9" s="3"/>
      <c r="J9" s="3"/>
      <c r="K9" s="3"/>
      <c r="L9" s="14"/>
      <c r="M9" s="3"/>
      <c r="N9" s="3"/>
    </row>
    <row r="10" spans="2:32" x14ac:dyDescent="0.3">
      <c r="B10" s="1" t="s">
        <v>12</v>
      </c>
      <c r="E10" s="6">
        <v>2791</v>
      </c>
      <c r="G10" s="6">
        <v>2432</v>
      </c>
      <c r="H10" s="6">
        <v>2842</v>
      </c>
      <c r="I10" s="6">
        <v>2955</v>
      </c>
      <c r="J10" s="6">
        <f>U10-I10-H10-G10</f>
        <v>3146</v>
      </c>
      <c r="K10" s="6">
        <v>2771</v>
      </c>
      <c r="L10" s="6">
        <v>3197</v>
      </c>
      <c r="M10" s="6">
        <f>I10*1.1</f>
        <v>3250.5000000000005</v>
      </c>
      <c r="N10" s="6">
        <f>J10*1.12</f>
        <v>3523.5200000000004</v>
      </c>
      <c r="P10" s="6">
        <v>11690</v>
      </c>
      <c r="Q10" s="6">
        <v>9720</v>
      </c>
      <c r="R10" s="6">
        <v>10541</v>
      </c>
      <c r="S10" s="6">
        <v>10945</v>
      </c>
      <c r="T10" s="6">
        <v>11573</v>
      </c>
      <c r="U10" s="6">
        <v>11375</v>
      </c>
      <c r="V10" s="6">
        <f>SUM(K10:N10)</f>
        <v>12742.02</v>
      </c>
      <c r="W10" s="6">
        <f>V10*1.08</f>
        <v>13761.381600000001</v>
      </c>
      <c r="X10" s="6">
        <f>W10*1.05</f>
        <v>14449.450680000002</v>
      </c>
      <c r="Y10" s="6">
        <f>X10*1.04</f>
        <v>15027.428707200002</v>
      </c>
      <c r="Z10" s="6">
        <f>Y10*1.03</f>
        <v>15478.251568416003</v>
      </c>
      <c r="AA10" s="6">
        <f>Z10*1.02</f>
        <v>15787.816599784323</v>
      </c>
      <c r="AB10" s="6">
        <f t="shared" ref="AB10:AF10" si="1">AA10*1.02</f>
        <v>16103.572931780009</v>
      </c>
      <c r="AC10" s="6">
        <f t="shared" si="1"/>
        <v>16425.644390415608</v>
      </c>
      <c r="AD10" s="6">
        <f t="shared" si="1"/>
        <v>16754.15727822392</v>
      </c>
      <c r="AE10" s="6">
        <f t="shared" si="1"/>
        <v>17089.2404237884</v>
      </c>
      <c r="AF10" s="6">
        <f t="shared" si="1"/>
        <v>17431.025232264168</v>
      </c>
    </row>
    <row r="11" spans="2:32" x14ac:dyDescent="0.3">
      <c r="B11" s="1" t="s">
        <v>13</v>
      </c>
      <c r="E11" s="6">
        <v>539</v>
      </c>
      <c r="G11" s="6">
        <v>688</v>
      </c>
      <c r="H11" s="6">
        <v>673</v>
      </c>
      <c r="I11" s="6">
        <v>460</v>
      </c>
      <c r="J11" s="6">
        <f>U11-I11-H11-G11</f>
        <v>456</v>
      </c>
      <c r="K11" s="6">
        <v>519</v>
      </c>
      <c r="L11" s="6">
        <v>504</v>
      </c>
      <c r="M11" s="6">
        <f>I11*0.95</f>
        <v>437</v>
      </c>
      <c r="N11" s="6">
        <f>J11*0.95</f>
        <v>433.2</v>
      </c>
      <c r="P11" s="6">
        <v>1874</v>
      </c>
      <c r="Q11" s="6">
        <v>1876</v>
      </c>
      <c r="R11" s="6">
        <v>1792</v>
      </c>
      <c r="S11" s="6">
        <v>1872</v>
      </c>
      <c r="T11" s="6">
        <v>2055</v>
      </c>
      <c r="U11" s="6">
        <v>2277</v>
      </c>
      <c r="V11" s="6">
        <f t="shared" ref="V11:V12" si="2">SUM(K11:N11)</f>
        <v>1893.2</v>
      </c>
      <c r="W11" s="6">
        <f>V11*1.04</f>
        <v>1968.9280000000001</v>
      </c>
      <c r="X11" s="6">
        <f>W11*1.03</f>
        <v>2027.9958400000003</v>
      </c>
      <c r="Y11" s="6">
        <f>X11*1.02</f>
        <v>2068.5557568000004</v>
      </c>
      <c r="Z11" s="6">
        <f t="shared" ref="Z11:AF11" si="3">Y11*1.02</f>
        <v>2109.9268719360002</v>
      </c>
      <c r="AA11" s="6">
        <f t="shared" si="3"/>
        <v>2152.1254093747202</v>
      </c>
      <c r="AB11" s="6">
        <f t="shared" si="3"/>
        <v>2195.1679175622148</v>
      </c>
      <c r="AC11" s="6">
        <f t="shared" si="3"/>
        <v>2239.071275913459</v>
      </c>
      <c r="AD11" s="6">
        <f t="shared" si="3"/>
        <v>2283.8527014317283</v>
      </c>
      <c r="AE11" s="6">
        <f t="shared" si="3"/>
        <v>2329.529755460363</v>
      </c>
      <c r="AF11" s="6">
        <f t="shared" si="3"/>
        <v>2376.1203505695703</v>
      </c>
    </row>
    <row r="12" spans="2:32" x14ac:dyDescent="0.3">
      <c r="B12" s="1" t="s">
        <v>14</v>
      </c>
      <c r="E12" s="6">
        <v>13</v>
      </c>
      <c r="G12" s="6">
        <v>15</v>
      </c>
      <c r="H12" s="6">
        <v>12</v>
      </c>
      <c r="I12" s="6">
        <v>12</v>
      </c>
      <c r="J12" s="6">
        <f>U12-I12-H12-G12</f>
        <v>11</v>
      </c>
      <c r="K12" s="6">
        <v>16</v>
      </c>
      <c r="L12" s="6">
        <v>15</v>
      </c>
      <c r="M12" s="6">
        <v>15</v>
      </c>
      <c r="N12" s="6">
        <v>15</v>
      </c>
      <c r="P12" s="6">
        <v>66</v>
      </c>
      <c r="Q12" s="6">
        <v>55</v>
      </c>
      <c r="R12" s="6">
        <v>49</v>
      </c>
      <c r="S12" s="6">
        <v>52</v>
      </c>
      <c r="T12" s="6">
        <v>55</v>
      </c>
      <c r="U12" s="6">
        <v>50</v>
      </c>
      <c r="V12" s="6">
        <f t="shared" si="2"/>
        <v>61</v>
      </c>
      <c r="W12" s="6">
        <f>V12*1.06</f>
        <v>64.66</v>
      </c>
      <c r="X12" s="6">
        <f t="shared" ref="X12:AF12" si="4">W12*1.06</f>
        <v>68.539599999999993</v>
      </c>
      <c r="Y12" s="6">
        <f t="shared" si="4"/>
        <v>72.651975999999991</v>
      </c>
      <c r="Z12" s="6">
        <f t="shared" si="4"/>
        <v>77.011094559999989</v>
      </c>
      <c r="AA12" s="6">
        <f t="shared" si="4"/>
        <v>81.631760233599991</v>
      </c>
      <c r="AB12" s="6">
        <f t="shared" si="4"/>
        <v>86.529665847615988</v>
      </c>
      <c r="AC12" s="6">
        <f t="shared" si="4"/>
        <v>91.721445798472956</v>
      </c>
      <c r="AD12" s="6">
        <f t="shared" si="4"/>
        <v>97.224732546381333</v>
      </c>
      <c r="AE12" s="6">
        <f t="shared" si="4"/>
        <v>103.05821649916422</v>
      </c>
      <c r="AF12" s="6">
        <f t="shared" si="4"/>
        <v>109.24170948911407</v>
      </c>
    </row>
    <row r="13" spans="2:32" s="2" customFormat="1" x14ac:dyDescent="0.3">
      <c r="B13" s="2" t="s">
        <v>15</v>
      </c>
      <c r="E13" s="9">
        <f>SUM(E10:E12)</f>
        <v>3343</v>
      </c>
      <c r="G13" s="9">
        <f t="shared" ref="G13:L13" si="5">SUM(G10:G12)</f>
        <v>3135</v>
      </c>
      <c r="H13" s="9">
        <f t="shared" si="5"/>
        <v>3527</v>
      </c>
      <c r="I13" s="9">
        <f t="shared" si="5"/>
        <v>3427</v>
      </c>
      <c r="J13" s="9">
        <f t="shared" si="5"/>
        <v>3613</v>
      </c>
      <c r="K13" s="9">
        <f t="shared" si="5"/>
        <v>3306</v>
      </c>
      <c r="L13" s="9">
        <f t="shared" si="5"/>
        <v>3716</v>
      </c>
      <c r="M13" s="9">
        <f t="shared" ref="M13:N13" si="6">SUM(M10:M12)</f>
        <v>3702.5000000000005</v>
      </c>
      <c r="N13" s="9">
        <f t="shared" si="6"/>
        <v>3971.7200000000003</v>
      </c>
      <c r="P13" s="9">
        <f t="shared" ref="P13:V13" si="7">SUM(P10:P12)</f>
        <v>13630</v>
      </c>
      <c r="Q13" s="9">
        <f t="shared" si="7"/>
        <v>11651</v>
      </c>
      <c r="R13" s="9">
        <f t="shared" si="7"/>
        <v>12382</v>
      </c>
      <c r="S13" s="9">
        <f t="shared" si="7"/>
        <v>12869</v>
      </c>
      <c r="T13" s="9">
        <f t="shared" si="7"/>
        <v>13683</v>
      </c>
      <c r="U13" s="9">
        <f t="shared" si="7"/>
        <v>13702</v>
      </c>
      <c r="V13" s="9">
        <f t="shared" si="7"/>
        <v>14696.220000000001</v>
      </c>
      <c r="W13" s="9">
        <f t="shared" ref="W13:AF13" si="8">SUM(W10:W12)</f>
        <v>15794.9696</v>
      </c>
      <c r="X13" s="9">
        <f t="shared" si="8"/>
        <v>16545.986120000001</v>
      </c>
      <c r="Y13" s="9">
        <f t="shared" si="8"/>
        <v>17168.636440000002</v>
      </c>
      <c r="Z13" s="9">
        <f t="shared" si="8"/>
        <v>17665.189534912002</v>
      </c>
      <c r="AA13" s="9">
        <f t="shared" si="8"/>
        <v>18021.573769392642</v>
      </c>
      <c r="AB13" s="9">
        <f t="shared" si="8"/>
        <v>18385.270515189837</v>
      </c>
      <c r="AC13" s="9">
        <f t="shared" si="8"/>
        <v>18756.43711212754</v>
      </c>
      <c r="AD13" s="9">
        <f t="shared" si="8"/>
        <v>19135.234712202029</v>
      </c>
      <c r="AE13" s="9">
        <f t="shared" si="8"/>
        <v>19521.828395747929</v>
      </c>
      <c r="AF13" s="9">
        <f t="shared" si="8"/>
        <v>19916.387292322852</v>
      </c>
    </row>
    <row r="14" spans="2:32" x14ac:dyDescent="0.3">
      <c r="B14" s="1" t="s">
        <v>16</v>
      </c>
      <c r="E14" s="6">
        <v>2355</v>
      </c>
      <c r="G14" s="6">
        <v>1925</v>
      </c>
      <c r="H14" s="6">
        <v>2281</v>
      </c>
      <c r="I14" s="6">
        <v>2587</v>
      </c>
      <c r="J14" s="6">
        <f>U14-I14-H14-G14</f>
        <v>2610</v>
      </c>
      <c r="K14" s="6">
        <v>2277</v>
      </c>
      <c r="L14" s="6">
        <v>2630</v>
      </c>
      <c r="M14" s="6">
        <f>M10*0.82</f>
        <v>2665.4100000000003</v>
      </c>
      <c r="N14" s="6">
        <f>N10*0.82</f>
        <v>2889.2864000000004</v>
      </c>
      <c r="P14" s="6">
        <v>9982</v>
      </c>
      <c r="Q14" s="6">
        <v>8715</v>
      </c>
      <c r="R14" s="6">
        <v>8955</v>
      </c>
      <c r="S14" s="6">
        <v>8787</v>
      </c>
      <c r="T14" s="6">
        <v>9206</v>
      </c>
      <c r="U14" s="6">
        <v>9403</v>
      </c>
      <c r="V14" s="6">
        <f t="shared" ref="V14:V15" si="9">SUM(K14:N14)</f>
        <v>10461.696400000001</v>
      </c>
      <c r="W14" s="6">
        <f>W10*0.81</f>
        <v>11146.719096000001</v>
      </c>
      <c r="X14" s="6">
        <f>X10*0.8</f>
        <v>11559.560544000002</v>
      </c>
      <c r="Y14" s="6">
        <f t="shared" ref="Y14:AF14" si="10">Y10*0.8</f>
        <v>12021.942965760003</v>
      </c>
      <c r="Z14" s="6">
        <f t="shared" si="10"/>
        <v>12382.601254732803</v>
      </c>
      <c r="AA14" s="6">
        <f t="shared" si="10"/>
        <v>12630.253279827459</v>
      </c>
      <c r="AB14" s="6">
        <f t="shared" si="10"/>
        <v>12882.858345424007</v>
      </c>
      <c r="AC14" s="6">
        <f t="shared" si="10"/>
        <v>13140.515512332488</v>
      </c>
      <c r="AD14" s="6">
        <f t="shared" si="10"/>
        <v>13403.325822579136</v>
      </c>
      <c r="AE14" s="6">
        <f t="shared" si="10"/>
        <v>13671.392339030721</v>
      </c>
      <c r="AF14" s="6">
        <f t="shared" si="10"/>
        <v>13944.820185811335</v>
      </c>
    </row>
    <row r="15" spans="2:32" x14ac:dyDescent="0.3">
      <c r="B15" s="1" t="s">
        <v>17</v>
      </c>
      <c r="E15" s="6">
        <v>424</v>
      </c>
      <c r="G15" s="6">
        <v>545</v>
      </c>
      <c r="H15" s="6">
        <v>553</v>
      </c>
      <c r="I15" s="6">
        <v>348</v>
      </c>
      <c r="J15" s="6">
        <f>U15-I15-H15-G15</f>
        <v>351</v>
      </c>
      <c r="K15" s="6">
        <v>395</v>
      </c>
      <c r="L15" s="6">
        <v>377</v>
      </c>
      <c r="M15" s="6">
        <f>M11*0.75</f>
        <v>327.75</v>
      </c>
      <c r="N15" s="6">
        <f>N11*0.75</f>
        <v>324.89999999999998</v>
      </c>
      <c r="P15" s="6">
        <v>1424</v>
      </c>
      <c r="Q15" s="6">
        <v>1379</v>
      </c>
      <c r="R15" s="6">
        <v>1342</v>
      </c>
      <c r="S15" s="6">
        <v>1412</v>
      </c>
      <c r="T15" s="6">
        <v>1629</v>
      </c>
      <c r="U15" s="6">
        <v>1797</v>
      </c>
      <c r="V15" s="6">
        <f t="shared" si="9"/>
        <v>1424.65</v>
      </c>
      <c r="W15" s="6">
        <f>W11*0.75</f>
        <v>1476.6960000000001</v>
      </c>
      <c r="X15" s="6">
        <f t="shared" ref="X15:AF15" si="11">X11*0.75</f>
        <v>1520.9968800000001</v>
      </c>
      <c r="Y15" s="6">
        <f t="shared" si="11"/>
        <v>1551.4168176000003</v>
      </c>
      <c r="Z15" s="6">
        <f t="shared" si="11"/>
        <v>1582.4451539520001</v>
      </c>
      <c r="AA15" s="6">
        <f t="shared" si="11"/>
        <v>1614.0940570310402</v>
      </c>
      <c r="AB15" s="6">
        <f t="shared" si="11"/>
        <v>1646.3759381716611</v>
      </c>
      <c r="AC15" s="6">
        <f t="shared" si="11"/>
        <v>1679.3034569350943</v>
      </c>
      <c r="AD15" s="6">
        <f t="shared" si="11"/>
        <v>1712.8895260737963</v>
      </c>
      <c r="AE15" s="6">
        <f t="shared" si="11"/>
        <v>1747.1473165952723</v>
      </c>
      <c r="AF15" s="6">
        <f t="shared" si="11"/>
        <v>1782.0902629271777</v>
      </c>
    </row>
    <row r="16" spans="2:32" x14ac:dyDescent="0.3">
      <c r="B16" s="1" t="s">
        <v>18</v>
      </c>
      <c r="E16" s="6">
        <f>SUM(E14:E15)</f>
        <v>2779</v>
      </c>
      <c r="G16" s="6">
        <f t="shared" ref="G16:L16" si="12">SUM(G14:G15)</f>
        <v>2470</v>
      </c>
      <c r="H16" s="6">
        <f t="shared" si="12"/>
        <v>2834</v>
      </c>
      <c r="I16" s="6">
        <f t="shared" si="12"/>
        <v>2935</v>
      </c>
      <c r="J16" s="6">
        <f t="shared" si="12"/>
        <v>2961</v>
      </c>
      <c r="K16" s="6">
        <f t="shared" si="12"/>
        <v>2672</v>
      </c>
      <c r="L16" s="6">
        <f t="shared" si="12"/>
        <v>3007</v>
      </c>
      <c r="M16" s="6">
        <f t="shared" ref="M16:N16" si="13">SUM(M14:M15)</f>
        <v>2993.1600000000003</v>
      </c>
      <c r="N16" s="6">
        <f t="shared" si="13"/>
        <v>3214.1864000000005</v>
      </c>
      <c r="P16" s="6">
        <f t="shared" ref="P16:V16" si="14">SUM(P14:P15)</f>
        <v>11406</v>
      </c>
      <c r="Q16" s="6">
        <f t="shared" si="14"/>
        <v>10094</v>
      </c>
      <c r="R16" s="6">
        <f t="shared" si="14"/>
        <v>10297</v>
      </c>
      <c r="S16" s="6">
        <f t="shared" si="14"/>
        <v>10199</v>
      </c>
      <c r="T16" s="6">
        <f t="shared" si="14"/>
        <v>10835</v>
      </c>
      <c r="U16" s="6">
        <f t="shared" si="14"/>
        <v>11200</v>
      </c>
      <c r="V16" s="6">
        <f t="shared" si="14"/>
        <v>11886.3464</v>
      </c>
      <c r="W16" s="6">
        <f t="shared" ref="W16:AF16" si="15">SUM(W14:W15)</f>
        <v>12623.415096000001</v>
      </c>
      <c r="X16" s="6">
        <f t="shared" si="15"/>
        <v>13080.557424000002</v>
      </c>
      <c r="Y16" s="6">
        <f t="shared" si="15"/>
        <v>13573.359783360003</v>
      </c>
      <c r="Z16" s="6">
        <f t="shared" si="15"/>
        <v>13965.046408684802</v>
      </c>
      <c r="AA16" s="6">
        <f t="shared" si="15"/>
        <v>14244.347336858498</v>
      </c>
      <c r="AB16" s="6">
        <f t="shared" si="15"/>
        <v>14529.234283595668</v>
      </c>
      <c r="AC16" s="6">
        <f t="shared" si="15"/>
        <v>14819.818969267582</v>
      </c>
      <c r="AD16" s="6">
        <f t="shared" si="15"/>
        <v>15116.215348652931</v>
      </c>
      <c r="AE16" s="6">
        <f t="shared" si="15"/>
        <v>15418.539655625993</v>
      </c>
      <c r="AF16" s="6">
        <f t="shared" si="15"/>
        <v>15726.910448738512</v>
      </c>
    </row>
    <row r="17" spans="2:143" s="2" customFormat="1" x14ac:dyDescent="0.3">
      <c r="B17" s="2" t="s">
        <v>19</v>
      </c>
      <c r="E17" s="9">
        <f>E13-E16</f>
        <v>564</v>
      </c>
      <c r="G17" s="9">
        <f t="shared" ref="G17:L17" si="16">G13-G16</f>
        <v>665</v>
      </c>
      <c r="H17" s="9">
        <f t="shared" si="16"/>
        <v>693</v>
      </c>
      <c r="I17" s="9">
        <f t="shared" si="16"/>
        <v>492</v>
      </c>
      <c r="J17" s="9">
        <f t="shared" si="16"/>
        <v>652</v>
      </c>
      <c r="K17" s="9">
        <f t="shared" si="16"/>
        <v>634</v>
      </c>
      <c r="L17" s="9">
        <f t="shared" si="16"/>
        <v>709</v>
      </c>
      <c r="M17" s="9">
        <f t="shared" ref="M17:N17" si="17">M13-M16</f>
        <v>709.34000000000015</v>
      </c>
      <c r="N17" s="9">
        <f t="shared" si="17"/>
        <v>757.53359999999975</v>
      </c>
      <c r="P17" s="9">
        <f t="shared" ref="P17:V17" si="18">P13-P16</f>
        <v>2224</v>
      </c>
      <c r="Q17" s="9">
        <f t="shared" si="18"/>
        <v>1557</v>
      </c>
      <c r="R17" s="9">
        <f t="shared" si="18"/>
        <v>2085</v>
      </c>
      <c r="S17" s="9">
        <f t="shared" si="18"/>
        <v>2670</v>
      </c>
      <c r="T17" s="9">
        <f t="shared" si="18"/>
        <v>2848</v>
      </c>
      <c r="U17" s="9">
        <f t="shared" si="18"/>
        <v>2502</v>
      </c>
      <c r="V17" s="9">
        <f t="shared" si="18"/>
        <v>2809.8736000000008</v>
      </c>
      <c r="W17" s="9">
        <f t="shared" ref="W17:AF17" si="19">W13-W16</f>
        <v>3171.5545039999997</v>
      </c>
      <c r="X17" s="9">
        <f t="shared" si="19"/>
        <v>3465.428695999999</v>
      </c>
      <c r="Y17" s="9">
        <f t="shared" si="19"/>
        <v>3595.2766566399987</v>
      </c>
      <c r="Z17" s="9">
        <f t="shared" si="19"/>
        <v>3700.1431262271999</v>
      </c>
      <c r="AA17" s="9">
        <f t="shared" si="19"/>
        <v>3777.2264325341439</v>
      </c>
      <c r="AB17" s="9">
        <f t="shared" si="19"/>
        <v>3856.0362315941693</v>
      </c>
      <c r="AC17" s="9">
        <f t="shared" si="19"/>
        <v>3936.6181428599575</v>
      </c>
      <c r="AD17" s="9">
        <f t="shared" si="19"/>
        <v>4019.0193635490978</v>
      </c>
      <c r="AE17" s="9">
        <f t="shared" si="19"/>
        <v>4103.2887401219359</v>
      </c>
      <c r="AF17" s="9">
        <f t="shared" si="19"/>
        <v>4189.4768435843398</v>
      </c>
    </row>
    <row r="18" spans="2:143" x14ac:dyDescent="0.3">
      <c r="B18" s="1" t="s">
        <v>20</v>
      </c>
      <c r="E18" s="6"/>
      <c r="G18" s="6">
        <v>144</v>
      </c>
      <c r="H18" s="6">
        <v>105</v>
      </c>
      <c r="I18" s="6"/>
      <c r="J18" s="6"/>
      <c r="K18" s="6">
        <v>132</v>
      </c>
      <c r="L18" s="6">
        <f>137</f>
        <v>137</v>
      </c>
      <c r="M18" s="6">
        <v>140</v>
      </c>
      <c r="N18" s="6">
        <v>150</v>
      </c>
      <c r="P18" s="6"/>
      <c r="Q18" s="6"/>
      <c r="R18" s="6"/>
      <c r="S18" s="6">
        <v>601</v>
      </c>
      <c r="T18" s="6">
        <v>570</v>
      </c>
      <c r="U18" s="6">
        <v>491</v>
      </c>
      <c r="V18" s="6">
        <f t="shared" ref="V18:V19" si="20">SUM(K18:N18)</f>
        <v>559</v>
      </c>
      <c r="W18" s="6">
        <f>V18*1.08</f>
        <v>603.72</v>
      </c>
      <c r="X18" s="6">
        <f>W18*1.05</f>
        <v>633.90600000000006</v>
      </c>
      <c r="Y18" s="6">
        <f>X18*1.03</f>
        <v>652.92318000000012</v>
      </c>
      <c r="Z18" s="6">
        <f>Y18*1.02</f>
        <v>665.9816436000001</v>
      </c>
      <c r="AA18" s="6">
        <f t="shared" ref="AA18:AF18" si="21">Z18*1.02</f>
        <v>679.30127647200015</v>
      </c>
      <c r="AB18" s="6">
        <f t="shared" si="21"/>
        <v>692.88730200144016</v>
      </c>
      <c r="AC18" s="6">
        <f t="shared" si="21"/>
        <v>706.74504804146898</v>
      </c>
      <c r="AD18" s="6">
        <f t="shared" si="21"/>
        <v>720.87994900229842</v>
      </c>
      <c r="AE18" s="6">
        <f t="shared" si="21"/>
        <v>735.29754798234444</v>
      </c>
      <c r="AF18" s="6">
        <f t="shared" si="21"/>
        <v>750.00349894199132</v>
      </c>
    </row>
    <row r="19" spans="2:143" x14ac:dyDescent="0.3">
      <c r="B19" s="1" t="s">
        <v>21</v>
      </c>
      <c r="E19" s="6">
        <v>303</v>
      </c>
      <c r="G19" s="6">
        <v>316</v>
      </c>
      <c r="H19" s="6">
        <v>293</v>
      </c>
      <c r="I19" s="6">
        <v>282</v>
      </c>
      <c r="J19" s="6">
        <f>U19-I19-H19-G19</f>
        <v>265</v>
      </c>
      <c r="K19" s="6">
        <v>298</v>
      </c>
      <c r="L19" s="6">
        <v>303</v>
      </c>
      <c r="M19" s="6">
        <f>M13*0.08</f>
        <v>296.20000000000005</v>
      </c>
      <c r="N19" s="6">
        <f t="shared" ref="N19" si="22">N13*0.08</f>
        <v>317.73760000000004</v>
      </c>
      <c r="P19" s="6">
        <v>1152</v>
      </c>
      <c r="Q19" s="6">
        <v>1045</v>
      </c>
      <c r="R19" s="6">
        <v>1221</v>
      </c>
      <c r="S19" s="6">
        <v>1186</v>
      </c>
      <c r="T19" s="6">
        <v>1225</v>
      </c>
      <c r="U19" s="6">
        <v>1156</v>
      </c>
      <c r="V19" s="6">
        <f t="shared" si="20"/>
        <v>1214.9376000000002</v>
      </c>
      <c r="W19" s="6">
        <f>W13*0.08</f>
        <v>1263.5975680000001</v>
      </c>
      <c r="X19" s="6">
        <f t="shared" ref="X19:AF19" si="23">X13*0.08</f>
        <v>1323.6788896</v>
      </c>
      <c r="Y19" s="6">
        <f t="shared" si="23"/>
        <v>1373.4909152000002</v>
      </c>
      <c r="Z19" s="6">
        <f t="shared" si="23"/>
        <v>1413.2151627929602</v>
      </c>
      <c r="AA19" s="6">
        <f t="shared" si="23"/>
        <v>1441.7259015514114</v>
      </c>
      <c r="AB19" s="6">
        <f t="shared" si="23"/>
        <v>1470.8216412151869</v>
      </c>
      <c r="AC19" s="6">
        <f t="shared" si="23"/>
        <v>1500.5149689702032</v>
      </c>
      <c r="AD19" s="6">
        <f t="shared" si="23"/>
        <v>1530.8187769761623</v>
      </c>
      <c r="AE19" s="6">
        <f t="shared" si="23"/>
        <v>1561.7462716598343</v>
      </c>
      <c r="AF19" s="6">
        <f t="shared" si="23"/>
        <v>1593.3109833858282</v>
      </c>
    </row>
    <row r="20" spans="2:143" s="2" customFormat="1" x14ac:dyDescent="0.3">
      <c r="B20" s="2" t="s">
        <v>22</v>
      </c>
      <c r="E20" s="9">
        <f>E17-E18-E19</f>
        <v>261</v>
      </c>
      <c r="G20" s="9">
        <f t="shared" ref="G20:L20" si="24">G17-G18-G19</f>
        <v>205</v>
      </c>
      <c r="H20" s="9">
        <f t="shared" si="24"/>
        <v>295</v>
      </c>
      <c r="I20" s="9">
        <f t="shared" si="24"/>
        <v>210</v>
      </c>
      <c r="J20" s="9">
        <f t="shared" si="24"/>
        <v>387</v>
      </c>
      <c r="K20" s="9">
        <f t="shared" si="24"/>
        <v>204</v>
      </c>
      <c r="L20" s="9">
        <f t="shared" si="24"/>
        <v>269</v>
      </c>
      <c r="M20" s="9">
        <f t="shared" ref="M20:N20" si="25">M17-M18-M19</f>
        <v>273.1400000000001</v>
      </c>
      <c r="N20" s="9">
        <f t="shared" si="25"/>
        <v>289.79599999999971</v>
      </c>
      <c r="P20" s="9">
        <f t="shared" ref="P20:W20" si="26">P17-P18-P19</f>
        <v>1072</v>
      </c>
      <c r="Q20" s="9">
        <f t="shared" si="26"/>
        <v>512</v>
      </c>
      <c r="R20" s="9">
        <f t="shared" si="26"/>
        <v>864</v>
      </c>
      <c r="S20" s="9">
        <f t="shared" si="26"/>
        <v>883</v>
      </c>
      <c r="T20" s="9">
        <f t="shared" si="26"/>
        <v>1053</v>
      </c>
      <c r="U20" s="9">
        <f t="shared" si="26"/>
        <v>855</v>
      </c>
      <c r="V20" s="9">
        <f t="shared" si="26"/>
        <v>1035.9360000000006</v>
      </c>
      <c r="W20" s="9">
        <f t="shared" si="26"/>
        <v>1304.2369359999993</v>
      </c>
      <c r="X20" s="9">
        <f t="shared" ref="X20:AF20" si="27">X17-X18-X19</f>
        <v>1507.843806399999</v>
      </c>
      <c r="Y20" s="9">
        <f t="shared" si="27"/>
        <v>1568.8625614399982</v>
      </c>
      <c r="Z20" s="9">
        <f t="shared" si="27"/>
        <v>1620.9463198342396</v>
      </c>
      <c r="AA20" s="9">
        <f t="shared" si="27"/>
        <v>1656.1992545107323</v>
      </c>
      <c r="AB20" s="9">
        <f t="shared" si="27"/>
        <v>1692.3272883775421</v>
      </c>
      <c r="AC20" s="9">
        <f t="shared" si="27"/>
        <v>1729.3581258482852</v>
      </c>
      <c r="AD20" s="9">
        <f t="shared" si="27"/>
        <v>1767.320637570637</v>
      </c>
      <c r="AE20" s="9">
        <f t="shared" si="27"/>
        <v>1806.2449204797572</v>
      </c>
      <c r="AF20" s="9">
        <f t="shared" si="27"/>
        <v>1846.1623612565202</v>
      </c>
    </row>
    <row r="21" spans="2:143" x14ac:dyDescent="0.3">
      <c r="B21" s="1" t="s">
        <v>23</v>
      </c>
      <c r="E21" s="6">
        <v>19</v>
      </c>
      <c r="G21" s="6">
        <v>20</v>
      </c>
      <c r="H21" s="6">
        <v>25</v>
      </c>
      <c r="I21" s="6">
        <v>26</v>
      </c>
      <c r="J21" s="6">
        <f t="shared" ref="J21:J23" si="28">U21-I21-H21-G21</f>
        <v>26</v>
      </c>
      <c r="K21" s="6">
        <v>29</v>
      </c>
      <c r="L21" s="6">
        <v>31</v>
      </c>
      <c r="M21" s="6">
        <v>32</v>
      </c>
      <c r="N21" s="6">
        <v>33</v>
      </c>
      <c r="P21" s="6">
        <v>171</v>
      </c>
      <c r="Q21" s="6">
        <v>166</v>
      </c>
      <c r="R21" s="6">
        <v>142</v>
      </c>
      <c r="S21" s="6">
        <v>107</v>
      </c>
      <c r="T21" s="6">
        <v>77</v>
      </c>
      <c r="U21" s="6">
        <v>97</v>
      </c>
      <c r="V21" s="6">
        <f t="shared" ref="V21:V23" si="29">SUM(K21:N21)</f>
        <v>125</v>
      </c>
      <c r="W21" s="6">
        <f>V21*1.03</f>
        <v>128.75</v>
      </c>
      <c r="X21" s="6">
        <f t="shared" ref="X21:AF21" si="30">W21*1.03</f>
        <v>132.61250000000001</v>
      </c>
      <c r="Y21" s="6">
        <f t="shared" si="30"/>
        <v>136.59087500000001</v>
      </c>
      <c r="Z21" s="6">
        <f t="shared" si="30"/>
        <v>140.68860125</v>
      </c>
      <c r="AA21" s="6">
        <f t="shared" si="30"/>
        <v>144.90925928750002</v>
      </c>
      <c r="AB21" s="6">
        <f t="shared" si="30"/>
        <v>149.25653706612502</v>
      </c>
      <c r="AC21" s="6">
        <f t="shared" si="30"/>
        <v>153.73423317810878</v>
      </c>
      <c r="AD21" s="6">
        <f t="shared" si="30"/>
        <v>158.34626017345204</v>
      </c>
      <c r="AE21" s="6">
        <f t="shared" si="30"/>
        <v>163.0966479786556</v>
      </c>
      <c r="AF21" s="6">
        <f t="shared" si="30"/>
        <v>167.98954741801526</v>
      </c>
    </row>
    <row r="22" spans="2:143" x14ac:dyDescent="0.3">
      <c r="B22" s="1" t="s">
        <v>24</v>
      </c>
      <c r="E22" s="6">
        <v>0</v>
      </c>
      <c r="G22" s="6">
        <v>14</v>
      </c>
      <c r="H22" s="6">
        <v>13</v>
      </c>
      <c r="I22" s="6">
        <v>-2</v>
      </c>
      <c r="J22" s="6">
        <f t="shared" si="28"/>
        <v>53</v>
      </c>
      <c r="K22" s="6">
        <v>0</v>
      </c>
      <c r="L22" s="6">
        <v>4</v>
      </c>
      <c r="M22" s="6">
        <v>0</v>
      </c>
      <c r="N22" s="6">
        <v>0</v>
      </c>
      <c r="P22" s="6">
        <v>72</v>
      </c>
      <c r="Q22" s="6">
        <v>147</v>
      </c>
      <c r="R22" s="6">
        <v>25</v>
      </c>
      <c r="S22" s="6">
        <v>0</v>
      </c>
      <c r="T22" s="6">
        <v>126</v>
      </c>
      <c r="U22" s="6">
        <v>78</v>
      </c>
      <c r="V22" s="6">
        <f t="shared" si="29"/>
        <v>4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  <c r="AF22" s="6">
        <v>0</v>
      </c>
    </row>
    <row r="23" spans="2:143" x14ac:dyDescent="0.3">
      <c r="B23" s="1" t="s">
        <v>25</v>
      </c>
      <c r="E23" s="6">
        <v>-59</v>
      </c>
      <c r="G23" s="6">
        <v>-66</v>
      </c>
      <c r="H23" s="6">
        <v>-66</v>
      </c>
      <c r="I23" s="6">
        <v>-66</v>
      </c>
      <c r="J23" s="6">
        <f t="shared" si="28"/>
        <v>-65</v>
      </c>
      <c r="K23" s="6">
        <v>-66</v>
      </c>
      <c r="L23" s="6">
        <v>-67</v>
      </c>
      <c r="M23" s="6">
        <v>-67</v>
      </c>
      <c r="N23" s="6">
        <v>-67</v>
      </c>
      <c r="P23" s="6">
        <v>-113</v>
      </c>
      <c r="Q23" s="6">
        <v>-83</v>
      </c>
      <c r="R23" s="6">
        <v>-159</v>
      </c>
      <c r="S23" s="6">
        <v>-240</v>
      </c>
      <c r="T23" s="6">
        <v>-237</v>
      </c>
      <c r="U23" s="6">
        <v>-263</v>
      </c>
      <c r="V23" s="6">
        <f t="shared" si="29"/>
        <v>-267</v>
      </c>
      <c r="W23" s="6">
        <f>V23*1.03</f>
        <v>-275.01</v>
      </c>
      <c r="X23" s="6">
        <f t="shared" ref="X23:AF23" si="31">W23*1.03</f>
        <v>-283.26029999999997</v>
      </c>
      <c r="Y23" s="6">
        <f t="shared" si="31"/>
        <v>-291.75810899999999</v>
      </c>
      <c r="Z23" s="6">
        <f t="shared" si="31"/>
        <v>-300.51085226999999</v>
      </c>
      <c r="AA23" s="6">
        <f t="shared" si="31"/>
        <v>-309.52617783810001</v>
      </c>
      <c r="AB23" s="6">
        <f t="shared" si="31"/>
        <v>-318.81196317324304</v>
      </c>
      <c r="AC23" s="6">
        <f t="shared" si="31"/>
        <v>-328.37632206844034</v>
      </c>
      <c r="AD23" s="6">
        <f t="shared" si="31"/>
        <v>-338.22761173049355</v>
      </c>
      <c r="AE23" s="6">
        <f t="shared" si="31"/>
        <v>-348.37444008240834</v>
      </c>
      <c r="AF23" s="6">
        <f t="shared" si="31"/>
        <v>-358.82567328488062</v>
      </c>
    </row>
    <row r="24" spans="2:143" x14ac:dyDescent="0.3">
      <c r="B24" s="1" t="s">
        <v>53</v>
      </c>
      <c r="E24" s="6"/>
      <c r="G24" s="6"/>
      <c r="H24" s="6"/>
      <c r="I24" s="6"/>
      <c r="J24" s="6"/>
      <c r="K24" s="6"/>
      <c r="L24" s="6"/>
      <c r="M24" s="6"/>
      <c r="N24" s="6"/>
      <c r="P24" s="6">
        <v>0</v>
      </c>
      <c r="Q24" s="6">
        <v>0</v>
      </c>
      <c r="R24" s="6">
        <v>-17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  <c r="AB24" s="6">
        <v>0</v>
      </c>
      <c r="AC24" s="6">
        <v>0</v>
      </c>
      <c r="AD24" s="6">
        <v>0</v>
      </c>
      <c r="AE24" s="6">
        <v>0</v>
      </c>
      <c r="AF24" s="6">
        <v>0</v>
      </c>
    </row>
    <row r="25" spans="2:143" x14ac:dyDescent="0.3">
      <c r="B25" s="1" t="s">
        <v>42</v>
      </c>
      <c r="E25" s="6">
        <f t="shared" ref="E25" si="32">SUM(E21:E24)</f>
        <v>-40</v>
      </c>
      <c r="G25" s="6">
        <f>SUM(G21:G24)</f>
        <v>-32</v>
      </c>
      <c r="H25" s="6">
        <f>SUM(H21:H24)</f>
        <v>-28</v>
      </c>
      <c r="I25" s="6">
        <f t="shared" ref="I25:L25" si="33">SUM(I21:I24)</f>
        <v>-42</v>
      </c>
      <c r="J25" s="6">
        <f t="shared" si="33"/>
        <v>14</v>
      </c>
      <c r="K25" s="6">
        <f t="shared" si="33"/>
        <v>-37</v>
      </c>
      <c r="L25" s="6">
        <f t="shared" si="33"/>
        <v>-32</v>
      </c>
      <c r="M25" s="6">
        <f t="shared" ref="M25" si="34">SUM(M21:M24)</f>
        <v>-35</v>
      </c>
      <c r="N25" s="6">
        <f t="shared" ref="N25" si="35">SUM(N21:N24)</f>
        <v>-34</v>
      </c>
      <c r="P25" s="6">
        <f t="shared" ref="P25:W25" si="36">SUM(P21:P24)</f>
        <v>130</v>
      </c>
      <c r="Q25" s="6">
        <f t="shared" si="36"/>
        <v>230</v>
      </c>
      <c r="R25" s="6">
        <f t="shared" si="36"/>
        <v>-9</v>
      </c>
      <c r="S25" s="6">
        <f t="shared" si="36"/>
        <v>-133</v>
      </c>
      <c r="T25" s="6">
        <f t="shared" si="36"/>
        <v>-34</v>
      </c>
      <c r="U25" s="6">
        <f t="shared" si="36"/>
        <v>-88</v>
      </c>
      <c r="V25" s="6">
        <f t="shared" si="36"/>
        <v>-138</v>
      </c>
      <c r="W25" s="6">
        <f t="shared" si="36"/>
        <v>-146.26</v>
      </c>
      <c r="X25" s="6">
        <f t="shared" ref="X25" si="37">SUM(X21:X24)</f>
        <v>-150.64779999999996</v>
      </c>
      <c r="Y25" s="6">
        <f t="shared" ref="Y25" si="38">SUM(Y21:Y24)</f>
        <v>-155.16723399999998</v>
      </c>
      <c r="Z25" s="6">
        <f t="shared" ref="Z25" si="39">SUM(Z21:Z24)</f>
        <v>-159.82225101999998</v>
      </c>
      <c r="AA25" s="6">
        <f t="shared" ref="AA25" si="40">SUM(AA21:AA24)</f>
        <v>-164.61691855059999</v>
      </c>
      <c r="AB25" s="6">
        <f t="shared" ref="AB25" si="41">SUM(AB21:AB24)</f>
        <v>-169.55542610711802</v>
      </c>
      <c r="AC25" s="6">
        <f t="shared" ref="AC25" si="42">SUM(AC21:AC24)</f>
        <v>-174.64208889033156</v>
      </c>
      <c r="AD25" s="6">
        <f t="shared" ref="AD25" si="43">SUM(AD21:AD24)</f>
        <v>-179.88135155704151</v>
      </c>
      <c r="AE25" s="6">
        <f t="shared" ref="AE25" si="44">SUM(AE21:AE24)</f>
        <v>-185.27779210375274</v>
      </c>
      <c r="AF25" s="6">
        <f t="shared" ref="AF25" si="45">SUM(AF21:AF24)</f>
        <v>-190.83612586686536</v>
      </c>
    </row>
    <row r="26" spans="2:143" s="2" customFormat="1" x14ac:dyDescent="0.3">
      <c r="B26" s="2" t="s">
        <v>26</v>
      </c>
      <c r="E26" s="9">
        <f t="shared" ref="E26" si="46">E20-E25</f>
        <v>301</v>
      </c>
      <c r="G26" s="9">
        <f>G20-G25</f>
        <v>237</v>
      </c>
      <c r="H26" s="9">
        <f>H20-H25</f>
        <v>323</v>
      </c>
      <c r="I26" s="9">
        <f t="shared" ref="I26:L26" si="47">I20-I25</f>
        <v>252</v>
      </c>
      <c r="J26" s="9">
        <f t="shared" si="47"/>
        <v>373</v>
      </c>
      <c r="K26" s="9">
        <f t="shared" si="47"/>
        <v>241</v>
      </c>
      <c r="L26" s="9">
        <f t="shared" si="47"/>
        <v>301</v>
      </c>
      <c r="M26" s="9">
        <f t="shared" ref="M26" si="48">M20-M25</f>
        <v>308.1400000000001</v>
      </c>
      <c r="N26" s="9">
        <f t="shared" ref="N26" si="49">N20-N25</f>
        <v>323.79599999999971</v>
      </c>
      <c r="P26" s="9">
        <f t="shared" ref="P26:R26" si="50">P20-P25</f>
        <v>942</v>
      </c>
      <c r="Q26" s="9">
        <f t="shared" si="50"/>
        <v>282</v>
      </c>
      <c r="R26" s="9">
        <f t="shared" si="50"/>
        <v>873</v>
      </c>
      <c r="S26" s="9">
        <f t="shared" ref="S26" si="51">S20-S25</f>
        <v>1016</v>
      </c>
      <c r="T26" s="9">
        <f t="shared" ref="T26" si="52">T20-T25</f>
        <v>1087</v>
      </c>
      <c r="U26" s="9">
        <f t="shared" ref="U26:W26" si="53">U20-U25</f>
        <v>943</v>
      </c>
      <c r="V26" s="9">
        <f t="shared" si="53"/>
        <v>1173.9360000000006</v>
      </c>
      <c r="W26" s="9">
        <f t="shared" si="53"/>
        <v>1450.4969359999993</v>
      </c>
      <c r="X26" s="9">
        <f t="shared" ref="X26" si="54">X20-X25</f>
        <v>1658.491606399999</v>
      </c>
      <c r="Y26" s="9">
        <f t="shared" ref="Y26" si="55">Y20-Y25</f>
        <v>1724.0297954399982</v>
      </c>
      <c r="Z26" s="9">
        <f t="shared" ref="Z26" si="56">Z20-Z25</f>
        <v>1780.7685708542397</v>
      </c>
      <c r="AA26" s="9">
        <f t="shared" ref="AA26" si="57">AA20-AA25</f>
        <v>1820.8161730613324</v>
      </c>
      <c r="AB26" s="9">
        <f t="shared" ref="AB26" si="58">AB20-AB25</f>
        <v>1861.88271448466</v>
      </c>
      <c r="AC26" s="9">
        <f t="shared" ref="AC26" si="59">AC20-AC25</f>
        <v>1904.0002147386167</v>
      </c>
      <c r="AD26" s="9">
        <f t="shared" ref="AD26" si="60">AD20-AD25</f>
        <v>1947.2019891276786</v>
      </c>
      <c r="AE26" s="9">
        <f t="shared" ref="AE26" si="61">AE20-AE25</f>
        <v>1991.5227125835099</v>
      </c>
      <c r="AF26" s="9">
        <f t="shared" ref="AF26" si="62">AF20-AF25</f>
        <v>2036.9984871233855</v>
      </c>
    </row>
    <row r="27" spans="2:143" x14ac:dyDescent="0.3">
      <c r="B27" s="1" t="s">
        <v>27</v>
      </c>
      <c r="E27" s="6">
        <v>32</v>
      </c>
      <c r="G27" s="6">
        <v>36</v>
      </c>
      <c r="H27" s="6">
        <v>63</v>
      </c>
      <c r="I27" s="6">
        <v>29</v>
      </c>
      <c r="J27" s="6">
        <f>U27-I27-H27-G27</f>
        <v>-10</v>
      </c>
      <c r="K27" s="6">
        <v>34</v>
      </c>
      <c r="L27" s="6">
        <v>56</v>
      </c>
      <c r="M27" s="6">
        <f>M26*0.14</f>
        <v>43.139600000000016</v>
      </c>
      <c r="N27" s="6">
        <f>N26*0.14</f>
        <v>45.331439999999965</v>
      </c>
      <c r="P27" s="6">
        <v>127</v>
      </c>
      <c r="Q27" s="6">
        <v>-27</v>
      </c>
      <c r="R27" s="6">
        <v>126</v>
      </c>
      <c r="S27" s="6">
        <v>154</v>
      </c>
      <c r="T27" s="6">
        <v>165</v>
      </c>
      <c r="U27" s="6">
        <v>118</v>
      </c>
      <c r="V27" s="6">
        <f t="shared" ref="V27:V28" si="63">SUM(K27:N27)</f>
        <v>178.47103999999999</v>
      </c>
      <c r="W27" s="6">
        <f>W26*0.14</f>
        <v>203.06957103999991</v>
      </c>
      <c r="X27" s="6">
        <f t="shared" ref="X27:AF27" si="64">X26*0.14</f>
        <v>232.18882489599989</v>
      </c>
      <c r="Y27" s="6">
        <f t="shared" si="64"/>
        <v>241.36417136159977</v>
      </c>
      <c r="Z27" s="6">
        <f t="shared" si="64"/>
        <v>249.30759991959357</v>
      </c>
      <c r="AA27" s="6">
        <f t="shared" si="64"/>
        <v>254.91426422858655</v>
      </c>
      <c r="AB27" s="6">
        <f t="shared" si="64"/>
        <v>260.66358002785245</v>
      </c>
      <c r="AC27" s="6">
        <f t="shared" si="64"/>
        <v>266.56003006340637</v>
      </c>
      <c r="AD27" s="6">
        <f t="shared" si="64"/>
        <v>272.60827847787505</v>
      </c>
      <c r="AE27" s="6">
        <f t="shared" si="64"/>
        <v>278.8131797616914</v>
      </c>
      <c r="AF27" s="6">
        <f t="shared" si="64"/>
        <v>285.17978819727398</v>
      </c>
    </row>
    <row r="28" spans="2:143" x14ac:dyDescent="0.3">
      <c r="B28" s="1" t="s">
        <v>28</v>
      </c>
      <c r="E28" s="6">
        <v>0</v>
      </c>
      <c r="G28" s="6">
        <v>0</v>
      </c>
      <c r="H28" s="6">
        <v>1</v>
      </c>
      <c r="I28" s="6">
        <v>0</v>
      </c>
      <c r="J28" s="6">
        <f>U28-I28-H28-G28</f>
        <v>0</v>
      </c>
      <c r="K28" s="6">
        <v>0</v>
      </c>
      <c r="L28" s="6">
        <v>0</v>
      </c>
      <c r="M28" s="6">
        <v>0</v>
      </c>
      <c r="N28" s="6">
        <v>0</v>
      </c>
      <c r="P28" s="6">
        <v>0</v>
      </c>
      <c r="Q28" s="6">
        <v>0</v>
      </c>
      <c r="R28" s="6">
        <v>1</v>
      </c>
      <c r="S28" s="6">
        <v>1</v>
      </c>
      <c r="T28" s="6">
        <v>1</v>
      </c>
      <c r="U28" s="6">
        <v>1</v>
      </c>
      <c r="V28" s="6">
        <f t="shared" si="63"/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</row>
    <row r="29" spans="2:143" s="2" customFormat="1" x14ac:dyDescent="0.3">
      <c r="B29" s="2" t="s">
        <v>29</v>
      </c>
      <c r="E29" s="9">
        <f>E26-E27-E28</f>
        <v>269</v>
      </c>
      <c r="G29" s="9">
        <f t="shared" ref="G29:L29" si="65">G26-G27-G28</f>
        <v>201</v>
      </c>
      <c r="H29" s="9">
        <f t="shared" si="65"/>
        <v>259</v>
      </c>
      <c r="I29" s="9">
        <f t="shared" si="65"/>
        <v>223</v>
      </c>
      <c r="J29" s="9">
        <f t="shared" si="65"/>
        <v>383</v>
      </c>
      <c r="K29" s="9">
        <f t="shared" si="65"/>
        <v>207</v>
      </c>
      <c r="L29" s="9">
        <f t="shared" si="65"/>
        <v>245</v>
      </c>
      <c r="M29" s="9">
        <f t="shared" ref="M29:N29" si="66">M26-M27-M28</f>
        <v>265.00040000000007</v>
      </c>
      <c r="N29" s="9">
        <f t="shared" si="66"/>
        <v>278.46455999999972</v>
      </c>
      <c r="P29" s="9">
        <f t="shared" ref="P29:W29" si="67">P26-P27-P28</f>
        <v>815</v>
      </c>
      <c r="Q29" s="9">
        <f t="shared" si="67"/>
        <v>309</v>
      </c>
      <c r="R29" s="9">
        <f t="shared" si="67"/>
        <v>746</v>
      </c>
      <c r="S29" s="9">
        <f t="shared" si="67"/>
        <v>861</v>
      </c>
      <c r="T29" s="9">
        <f t="shared" si="67"/>
        <v>921</v>
      </c>
      <c r="U29" s="9">
        <f t="shared" si="67"/>
        <v>824</v>
      </c>
      <c r="V29" s="9">
        <f t="shared" si="67"/>
        <v>995.46496000000059</v>
      </c>
      <c r="W29" s="9">
        <f t="shared" si="67"/>
        <v>1247.4273649599995</v>
      </c>
      <c r="X29" s="9">
        <f t="shared" ref="X29:AF29" si="68">X26-X27-X28</f>
        <v>1426.3027815039991</v>
      </c>
      <c r="Y29" s="9">
        <f t="shared" si="68"/>
        <v>1482.6656240783984</v>
      </c>
      <c r="Z29" s="9">
        <f t="shared" si="68"/>
        <v>1531.4609709346462</v>
      </c>
      <c r="AA29" s="9">
        <f t="shared" si="68"/>
        <v>1565.9019088327459</v>
      </c>
      <c r="AB29" s="9">
        <f t="shared" si="68"/>
        <v>1601.2191344568075</v>
      </c>
      <c r="AC29" s="9">
        <f t="shared" si="68"/>
        <v>1637.4401846752103</v>
      </c>
      <c r="AD29" s="9">
        <f t="shared" si="68"/>
        <v>1674.5937106498036</v>
      </c>
      <c r="AE29" s="9">
        <f t="shared" si="68"/>
        <v>1712.7095328218186</v>
      </c>
      <c r="AF29" s="9">
        <f t="shared" si="68"/>
        <v>1751.8186989261117</v>
      </c>
      <c r="AG29" s="2">
        <f>AF29*(1+$AJ$41)</f>
        <v>1734.3005119368506</v>
      </c>
      <c r="AH29" s="2">
        <f t="shared" ref="AH29:CS29" si="69">AG29*(1+$AJ$41)</f>
        <v>1716.957506817482</v>
      </c>
      <c r="AI29" s="2">
        <f t="shared" si="69"/>
        <v>1699.7879317493071</v>
      </c>
      <c r="AJ29" s="2">
        <f t="shared" si="69"/>
        <v>1682.790052431814</v>
      </c>
      <c r="AK29" s="2">
        <f t="shared" si="69"/>
        <v>1665.9621519074958</v>
      </c>
      <c r="AL29" s="2">
        <f t="shared" si="69"/>
        <v>1649.3025303884208</v>
      </c>
      <c r="AM29" s="2">
        <f t="shared" si="69"/>
        <v>1632.8095050845366</v>
      </c>
      <c r="AN29" s="2">
        <f t="shared" si="69"/>
        <v>1616.4814100336912</v>
      </c>
      <c r="AO29" s="2">
        <f t="shared" si="69"/>
        <v>1600.3165959333542</v>
      </c>
      <c r="AP29" s="2">
        <f t="shared" si="69"/>
        <v>1584.3134299740207</v>
      </c>
      <c r="AQ29" s="2">
        <f t="shared" si="69"/>
        <v>1568.4702956742804</v>
      </c>
      <c r="AR29" s="2">
        <f t="shared" si="69"/>
        <v>1552.7855927175376</v>
      </c>
      <c r="AS29" s="2">
        <f t="shared" si="69"/>
        <v>1537.2577367903623</v>
      </c>
      <c r="AT29" s="2">
        <f t="shared" si="69"/>
        <v>1521.8851594224586</v>
      </c>
      <c r="AU29" s="2">
        <f t="shared" si="69"/>
        <v>1506.666307828234</v>
      </c>
      <c r="AV29" s="2">
        <f t="shared" si="69"/>
        <v>1491.5996447499517</v>
      </c>
      <c r="AW29" s="2">
        <f t="shared" si="69"/>
        <v>1476.6836483024522</v>
      </c>
      <c r="AX29" s="2">
        <f t="shared" si="69"/>
        <v>1461.9168118194277</v>
      </c>
      <c r="AY29" s="2">
        <f t="shared" si="69"/>
        <v>1447.2976437012335</v>
      </c>
      <c r="AZ29" s="2">
        <f t="shared" si="69"/>
        <v>1432.824667264221</v>
      </c>
      <c r="BA29" s="2">
        <f t="shared" si="69"/>
        <v>1418.4964205915787</v>
      </c>
      <c r="BB29" s="2">
        <f t="shared" si="69"/>
        <v>1404.311456385663</v>
      </c>
      <c r="BC29" s="2">
        <f t="shared" si="69"/>
        <v>1390.2683418218064</v>
      </c>
      <c r="BD29" s="2">
        <f t="shared" si="69"/>
        <v>1376.3656584035884</v>
      </c>
      <c r="BE29" s="2">
        <f t="shared" si="69"/>
        <v>1362.6020018195525</v>
      </c>
      <c r="BF29" s="2">
        <f t="shared" si="69"/>
        <v>1348.975981801357</v>
      </c>
      <c r="BG29" s="2">
        <f t="shared" si="69"/>
        <v>1335.4862219833433</v>
      </c>
      <c r="BH29" s="2">
        <f t="shared" si="69"/>
        <v>1322.1313597635099</v>
      </c>
      <c r="BI29" s="2">
        <f t="shared" si="69"/>
        <v>1308.9100461658747</v>
      </c>
      <c r="BJ29" s="2">
        <f t="shared" si="69"/>
        <v>1295.820945704216</v>
      </c>
      <c r="BK29" s="2">
        <f t="shared" si="69"/>
        <v>1282.8627362471739</v>
      </c>
      <c r="BL29" s="2">
        <f t="shared" si="69"/>
        <v>1270.0341088847022</v>
      </c>
      <c r="BM29" s="2">
        <f t="shared" si="69"/>
        <v>1257.3337677958552</v>
      </c>
      <c r="BN29" s="2">
        <f t="shared" si="69"/>
        <v>1244.7604301178967</v>
      </c>
      <c r="BO29" s="2">
        <f t="shared" si="69"/>
        <v>1232.3128258167178</v>
      </c>
      <c r="BP29" s="2">
        <f t="shared" si="69"/>
        <v>1219.9896975585507</v>
      </c>
      <c r="BQ29" s="2">
        <f t="shared" si="69"/>
        <v>1207.7898005829652</v>
      </c>
      <c r="BR29" s="2">
        <f t="shared" si="69"/>
        <v>1195.7119025771356</v>
      </c>
      <c r="BS29" s="2">
        <f t="shared" si="69"/>
        <v>1183.7547835513642</v>
      </c>
      <c r="BT29" s="2">
        <f t="shared" si="69"/>
        <v>1171.9172357158504</v>
      </c>
      <c r="BU29" s="2">
        <f t="shared" si="69"/>
        <v>1160.198063358692</v>
      </c>
      <c r="BV29" s="2">
        <f t="shared" si="69"/>
        <v>1148.5960827251051</v>
      </c>
      <c r="BW29" s="2">
        <f t="shared" si="69"/>
        <v>1137.110121897854</v>
      </c>
      <c r="BX29" s="2">
        <f t="shared" si="69"/>
        <v>1125.7390206788755</v>
      </c>
      <c r="BY29" s="2">
        <f t="shared" si="69"/>
        <v>1114.4816304720866</v>
      </c>
      <c r="BZ29" s="2">
        <f t="shared" si="69"/>
        <v>1103.3368141673657</v>
      </c>
      <c r="CA29" s="2">
        <f t="shared" si="69"/>
        <v>1092.303446025692</v>
      </c>
      <c r="CB29" s="2">
        <f t="shared" si="69"/>
        <v>1081.380411565435</v>
      </c>
      <c r="CC29" s="2">
        <f t="shared" si="69"/>
        <v>1070.5666074497806</v>
      </c>
      <c r="CD29" s="2">
        <f t="shared" si="69"/>
        <v>1059.8609413752827</v>
      </c>
      <c r="CE29" s="2">
        <f t="shared" si="69"/>
        <v>1049.2623319615298</v>
      </c>
      <c r="CF29" s="2">
        <f t="shared" si="69"/>
        <v>1038.7697086419143</v>
      </c>
      <c r="CG29" s="2">
        <f t="shared" si="69"/>
        <v>1028.3820115554952</v>
      </c>
      <c r="CH29" s="2">
        <f t="shared" si="69"/>
        <v>1018.0981914399403</v>
      </c>
      <c r="CI29" s="2">
        <f t="shared" si="69"/>
        <v>1007.9172095255408</v>
      </c>
      <c r="CJ29" s="2">
        <f t="shared" si="69"/>
        <v>997.83803743028534</v>
      </c>
      <c r="CK29" s="2">
        <f t="shared" si="69"/>
        <v>987.85965705598244</v>
      </c>
      <c r="CL29" s="2">
        <f t="shared" si="69"/>
        <v>977.98106048542263</v>
      </c>
      <c r="CM29" s="2">
        <f t="shared" si="69"/>
        <v>968.20124988056841</v>
      </c>
      <c r="CN29" s="2">
        <f t="shared" si="69"/>
        <v>958.51923738176276</v>
      </c>
      <c r="CO29" s="2">
        <f t="shared" si="69"/>
        <v>948.93404500794509</v>
      </c>
      <c r="CP29" s="2">
        <f t="shared" si="69"/>
        <v>939.44470455786563</v>
      </c>
      <c r="CQ29" s="2">
        <f t="shared" si="69"/>
        <v>930.05025751228698</v>
      </c>
      <c r="CR29" s="2">
        <f t="shared" si="69"/>
        <v>920.74975493716408</v>
      </c>
      <c r="CS29" s="2">
        <f t="shared" si="69"/>
        <v>911.54225738779246</v>
      </c>
      <c r="CT29" s="2">
        <f t="shared" ref="CT29:EM29" si="70">CS29*(1+$AJ$41)</f>
        <v>902.42683481391452</v>
      </c>
      <c r="CU29" s="2">
        <f t="shared" si="70"/>
        <v>893.40256646577541</v>
      </c>
      <c r="CV29" s="2">
        <f t="shared" si="70"/>
        <v>884.46854080111768</v>
      </c>
      <c r="CW29" s="2">
        <f t="shared" si="70"/>
        <v>875.62385539310651</v>
      </c>
      <c r="CX29" s="2">
        <f t="shared" si="70"/>
        <v>866.86761683917541</v>
      </c>
      <c r="CY29" s="2">
        <f t="shared" si="70"/>
        <v>858.1989406707836</v>
      </c>
      <c r="CZ29" s="2">
        <f t="shared" si="70"/>
        <v>849.61695126407574</v>
      </c>
      <c r="DA29" s="2">
        <f t="shared" si="70"/>
        <v>841.12078175143495</v>
      </c>
      <c r="DB29" s="2">
        <f t="shared" si="70"/>
        <v>832.70957393392064</v>
      </c>
      <c r="DC29" s="2">
        <f t="shared" si="70"/>
        <v>824.38247819458138</v>
      </c>
      <c r="DD29" s="2">
        <f t="shared" si="70"/>
        <v>816.13865341263556</v>
      </c>
      <c r="DE29" s="2">
        <f t="shared" si="70"/>
        <v>807.97726687850923</v>
      </c>
      <c r="DF29" s="2">
        <f t="shared" si="70"/>
        <v>799.89749420972407</v>
      </c>
      <c r="DG29" s="2">
        <f t="shared" si="70"/>
        <v>791.89851926762685</v>
      </c>
      <c r="DH29" s="2">
        <f t="shared" si="70"/>
        <v>783.97953407495061</v>
      </c>
      <c r="DI29" s="2">
        <f t="shared" si="70"/>
        <v>776.13973873420105</v>
      </c>
      <c r="DJ29" s="2">
        <f t="shared" si="70"/>
        <v>768.37834134685897</v>
      </c>
      <c r="DK29" s="2">
        <f t="shared" si="70"/>
        <v>760.69455793339034</v>
      </c>
      <c r="DL29" s="2">
        <f t="shared" si="70"/>
        <v>753.08761235405643</v>
      </c>
      <c r="DM29" s="2">
        <f t="shared" si="70"/>
        <v>745.55673623051587</v>
      </c>
      <c r="DN29" s="2">
        <f t="shared" si="70"/>
        <v>738.10116886821072</v>
      </c>
      <c r="DO29" s="2">
        <f t="shared" si="70"/>
        <v>730.72015717952866</v>
      </c>
      <c r="DP29" s="2">
        <f t="shared" si="70"/>
        <v>723.41295560773335</v>
      </c>
      <c r="DQ29" s="2">
        <f t="shared" si="70"/>
        <v>716.17882605165596</v>
      </c>
      <c r="DR29" s="2">
        <f t="shared" si="70"/>
        <v>709.01703779113939</v>
      </c>
      <c r="DS29" s="2">
        <f t="shared" si="70"/>
        <v>701.92686741322802</v>
      </c>
      <c r="DT29" s="2">
        <f t="shared" si="70"/>
        <v>694.90759873909576</v>
      </c>
      <c r="DU29" s="2">
        <f t="shared" si="70"/>
        <v>687.95852275170478</v>
      </c>
      <c r="DV29" s="2">
        <f t="shared" si="70"/>
        <v>681.07893752418772</v>
      </c>
      <c r="DW29" s="2">
        <f t="shared" si="70"/>
        <v>674.26814814894578</v>
      </c>
      <c r="DX29" s="2">
        <f t="shared" si="70"/>
        <v>667.52546666745627</v>
      </c>
      <c r="DY29" s="2">
        <f t="shared" si="70"/>
        <v>660.85021200078165</v>
      </c>
      <c r="DZ29" s="2">
        <f t="shared" si="70"/>
        <v>654.24170988077378</v>
      </c>
      <c r="EA29" s="2">
        <f t="shared" si="70"/>
        <v>647.69929278196605</v>
      </c>
      <c r="EB29" s="2">
        <f t="shared" si="70"/>
        <v>641.2222998541464</v>
      </c>
      <c r="EC29" s="2">
        <f t="shared" si="70"/>
        <v>634.81007685560496</v>
      </c>
      <c r="ED29" s="2">
        <f t="shared" si="70"/>
        <v>628.46197608704892</v>
      </c>
      <c r="EE29" s="2">
        <f t="shared" si="70"/>
        <v>622.17735632617848</v>
      </c>
      <c r="EF29" s="2">
        <f t="shared" si="70"/>
        <v>615.95558276291672</v>
      </c>
      <c r="EG29" s="2">
        <f t="shared" si="70"/>
        <v>609.7960269352875</v>
      </c>
      <c r="EH29" s="2">
        <f t="shared" si="70"/>
        <v>603.69806666593468</v>
      </c>
      <c r="EI29" s="2">
        <f t="shared" si="70"/>
        <v>597.66108599927531</v>
      </c>
      <c r="EJ29" s="2">
        <f t="shared" si="70"/>
        <v>591.68447513928254</v>
      </c>
      <c r="EK29" s="2">
        <f t="shared" si="70"/>
        <v>585.76763038788965</v>
      </c>
      <c r="EL29" s="2">
        <f t="shared" si="70"/>
        <v>579.90995408401079</v>
      </c>
      <c r="EM29" s="2">
        <f t="shared" si="70"/>
        <v>574.11085454317072</v>
      </c>
    </row>
    <row r="30" spans="2:143" x14ac:dyDescent="0.3">
      <c r="B30" s="1" t="s">
        <v>2</v>
      </c>
      <c r="E30" s="6">
        <v>178.2</v>
      </c>
      <c r="G30" s="6">
        <v>178.2</v>
      </c>
      <c r="H30" s="6">
        <v>178.2</v>
      </c>
      <c r="I30" s="6">
        <v>178.2</v>
      </c>
      <c r="J30" s="6">
        <v>178.2</v>
      </c>
      <c r="K30" s="6">
        <v>178.2</v>
      </c>
      <c r="L30" s="6">
        <v>178.2</v>
      </c>
      <c r="M30" s="6">
        <v>178.2</v>
      </c>
      <c r="N30" s="6">
        <v>178.2</v>
      </c>
      <c r="P30" s="6">
        <v>178.2</v>
      </c>
      <c r="Q30" s="6">
        <v>178.2</v>
      </c>
      <c r="R30" s="6">
        <v>178.2</v>
      </c>
      <c r="S30" s="6">
        <v>178.2</v>
      </c>
      <c r="T30" s="6">
        <v>178.2</v>
      </c>
      <c r="U30" s="6">
        <v>178.2</v>
      </c>
      <c r="V30" s="6">
        <v>178.2</v>
      </c>
      <c r="W30" s="6">
        <v>178.2</v>
      </c>
      <c r="X30" s="6">
        <v>178.2</v>
      </c>
      <c r="Y30" s="6">
        <v>178.2</v>
      </c>
      <c r="Z30" s="6">
        <v>178.2</v>
      </c>
      <c r="AA30" s="6">
        <v>178.2</v>
      </c>
      <c r="AB30" s="6">
        <v>178.2</v>
      </c>
      <c r="AC30" s="6">
        <v>178.2</v>
      </c>
      <c r="AD30" s="6">
        <v>178.2</v>
      </c>
      <c r="AE30" s="6">
        <v>178.2</v>
      </c>
      <c r="AF30" s="6">
        <v>178.2</v>
      </c>
    </row>
    <row r="31" spans="2:143" x14ac:dyDescent="0.3">
      <c r="B31" s="1" t="s">
        <v>30</v>
      </c>
      <c r="E31" s="8">
        <f>E29/E30</f>
        <v>1.5095398428731763</v>
      </c>
      <c r="G31" s="8">
        <f t="shared" ref="G31:L31" si="71">G29/G30</f>
        <v>1.127946127946128</v>
      </c>
      <c r="H31" s="8">
        <f t="shared" si="71"/>
        <v>1.4534231200897869</v>
      </c>
      <c r="I31" s="8">
        <f t="shared" si="71"/>
        <v>1.2514029180695849</v>
      </c>
      <c r="J31" s="8">
        <f t="shared" si="71"/>
        <v>2.149270482603816</v>
      </c>
      <c r="K31" s="8">
        <f t="shared" si="71"/>
        <v>1.1616161616161618</v>
      </c>
      <c r="L31" s="8">
        <f t="shared" si="71"/>
        <v>1.3748597081930416</v>
      </c>
      <c r="M31" s="8">
        <f t="shared" ref="M31:N31" si="72">M29/M30</f>
        <v>1.4870953984287323</v>
      </c>
      <c r="N31" s="8">
        <f t="shared" si="72"/>
        <v>1.5626518518518504</v>
      </c>
      <c r="P31" s="8">
        <f t="shared" ref="P31:W31" si="73">P29/P30</f>
        <v>4.5735129068462408</v>
      </c>
      <c r="Q31" s="8">
        <f t="shared" si="73"/>
        <v>1.7340067340067342</v>
      </c>
      <c r="R31" s="8">
        <f t="shared" si="73"/>
        <v>4.1863075196408532</v>
      </c>
      <c r="S31" s="8">
        <f t="shared" si="73"/>
        <v>4.8316498316498322</v>
      </c>
      <c r="T31" s="8">
        <f t="shared" si="73"/>
        <v>5.1683501683501687</v>
      </c>
      <c r="U31" s="8">
        <f t="shared" si="73"/>
        <v>4.624017957351291</v>
      </c>
      <c r="V31" s="8">
        <f t="shared" si="73"/>
        <v>5.5862231200897901</v>
      </c>
      <c r="W31" s="8">
        <f t="shared" si="73"/>
        <v>7.0001535631874274</v>
      </c>
      <c r="X31" s="8">
        <f t="shared" ref="X31:AF31" si="74">X29/X30</f>
        <v>8.0039437794837216</v>
      </c>
      <c r="Y31" s="8">
        <f t="shared" si="74"/>
        <v>8.3202335806868604</v>
      </c>
      <c r="Z31" s="8">
        <f t="shared" si="74"/>
        <v>8.5940570759519996</v>
      </c>
      <c r="AA31" s="8">
        <f t="shared" si="74"/>
        <v>8.7873283323947593</v>
      </c>
      <c r="AB31" s="8">
        <f t="shared" si="74"/>
        <v>8.9855170283771475</v>
      </c>
      <c r="AC31" s="8">
        <f t="shared" si="74"/>
        <v>9.1887776917800803</v>
      </c>
      <c r="AD31" s="8">
        <f t="shared" si="74"/>
        <v>9.3972711035342513</v>
      </c>
      <c r="AE31" s="8">
        <f t="shared" si="74"/>
        <v>9.6111646061830456</v>
      </c>
      <c r="AF31" s="8">
        <f t="shared" si="74"/>
        <v>9.8306324294394596</v>
      </c>
    </row>
    <row r="33" spans="2:36" x14ac:dyDescent="0.3">
      <c r="B33" s="1" t="s">
        <v>74</v>
      </c>
      <c r="I33" s="10">
        <f t="shared" ref="I33:J37" si="75">I3/E3-1</f>
        <v>7.473841554559435E-4</v>
      </c>
      <c r="J33" s="10">
        <f t="shared" si="75"/>
        <v>-0.15879265091863515</v>
      </c>
      <c r="K33" s="10">
        <f>K3/G3-1</f>
        <v>2.020202020202011E-2</v>
      </c>
      <c r="L33" s="10">
        <f>L3/H3-1</f>
        <v>2.8474576271186436E-2</v>
      </c>
    </row>
    <row r="34" spans="2:36" x14ac:dyDescent="0.3">
      <c r="B34" s="1" t="s">
        <v>75</v>
      </c>
      <c r="I34" s="10">
        <f t="shared" si="75"/>
        <v>0.2320954907161803</v>
      </c>
      <c r="J34" s="10">
        <f t="shared" si="75"/>
        <v>5.4154995331465949E-2</v>
      </c>
      <c r="K34" s="10">
        <f t="shared" ref="K34:L37" si="76">K4/G4-1</f>
        <v>0.35213204951856936</v>
      </c>
      <c r="L34" s="10">
        <f t="shared" si="76"/>
        <v>0.27959697732997491</v>
      </c>
    </row>
    <row r="35" spans="2:36" x14ac:dyDescent="0.3">
      <c r="B35" s="1" t="s">
        <v>76</v>
      </c>
      <c r="I35" s="10">
        <f t="shared" si="75"/>
        <v>-2.5889967637540479E-2</v>
      </c>
      <c r="J35" s="10">
        <f t="shared" si="75"/>
        <v>-9.5541401273885329E-3</v>
      </c>
      <c r="K35" s="10">
        <f t="shared" si="76"/>
        <v>-3.2679738562091498E-2</v>
      </c>
      <c r="L35" s="10">
        <f t="shared" si="76"/>
        <v>-6.1919504643962453E-3</v>
      </c>
    </row>
    <row r="36" spans="2:36" x14ac:dyDescent="0.3">
      <c r="B36" s="1" t="s">
        <v>77</v>
      </c>
      <c r="I36" s="10">
        <f t="shared" si="75"/>
        <v>-8.8937093275488044E-2</v>
      </c>
      <c r="J36" s="10">
        <f t="shared" si="75"/>
        <v>-9.5733610822060333E-2</v>
      </c>
      <c r="K36" s="10">
        <f t="shared" si="76"/>
        <v>-0.11210762331838564</v>
      </c>
      <c r="L36" s="10">
        <f t="shared" si="76"/>
        <v>-8.2056892778993418E-2</v>
      </c>
    </row>
    <row r="37" spans="2:36" x14ac:dyDescent="0.3">
      <c r="B37" s="1" t="s">
        <v>78</v>
      </c>
      <c r="I37" s="10">
        <f t="shared" si="75"/>
        <v>-0.1428571428571429</v>
      </c>
      <c r="J37" s="10">
        <f t="shared" si="75"/>
        <v>0.10000000000000009</v>
      </c>
      <c r="K37" s="10">
        <f t="shared" si="76"/>
        <v>0</v>
      </c>
      <c r="L37" s="10">
        <f t="shared" si="76"/>
        <v>-0.11111111111111116</v>
      </c>
    </row>
    <row r="39" spans="2:36" x14ac:dyDescent="0.3">
      <c r="B39" s="1" t="s">
        <v>44</v>
      </c>
      <c r="E39" s="10"/>
      <c r="G39" s="10"/>
      <c r="H39" s="10"/>
      <c r="I39" s="10">
        <f t="shared" ref="I39:K42" si="77">I10/E10-1</f>
        <v>5.8760300967395152E-2</v>
      </c>
      <c r="J39" s="10"/>
      <c r="K39" s="10">
        <f t="shared" si="77"/>
        <v>0.13939144736842102</v>
      </c>
      <c r="L39" s="10">
        <f>L10/H10-1</f>
        <v>0.12491203377902882</v>
      </c>
      <c r="M39" s="10">
        <f t="shared" ref="M39:N42" si="78">M10/I10-1</f>
        <v>0.10000000000000009</v>
      </c>
      <c r="N39" s="10">
        <f t="shared" si="78"/>
        <v>0.12000000000000011</v>
      </c>
      <c r="P39" s="10"/>
      <c r="Q39" s="10">
        <f>Q10/P10-1</f>
        <v>-0.16852010265183914</v>
      </c>
      <c r="R39" s="10">
        <f t="shared" ref="R39:AE39" si="79">R10/Q10-1</f>
        <v>8.44650205761317E-2</v>
      </c>
      <c r="S39" s="10">
        <f t="shared" si="79"/>
        <v>3.8326534484394159E-2</v>
      </c>
      <c r="T39" s="10">
        <f t="shared" si="79"/>
        <v>5.7377798081315712E-2</v>
      </c>
      <c r="U39" s="10">
        <f t="shared" si="79"/>
        <v>-1.7108787695498173E-2</v>
      </c>
      <c r="V39" s="10">
        <f t="shared" si="79"/>
        <v>0.12017758241758236</v>
      </c>
      <c r="W39" s="10">
        <f t="shared" si="79"/>
        <v>8.0000000000000071E-2</v>
      </c>
      <c r="X39" s="10">
        <f t="shared" si="79"/>
        <v>5.0000000000000044E-2</v>
      </c>
      <c r="Y39" s="10">
        <f t="shared" si="79"/>
        <v>4.0000000000000036E-2</v>
      </c>
      <c r="Z39" s="10">
        <f t="shared" si="79"/>
        <v>3.0000000000000027E-2</v>
      </c>
      <c r="AA39" s="10">
        <f t="shared" si="79"/>
        <v>2.0000000000000018E-2</v>
      </c>
      <c r="AB39" s="10">
        <f t="shared" si="79"/>
        <v>2.0000000000000018E-2</v>
      </c>
      <c r="AC39" s="10">
        <f t="shared" si="79"/>
        <v>2.0000000000000018E-2</v>
      </c>
      <c r="AD39" s="10">
        <f t="shared" si="79"/>
        <v>2.0000000000000018E-2</v>
      </c>
      <c r="AE39" s="10">
        <f t="shared" si="79"/>
        <v>2.0000000000000018E-2</v>
      </c>
      <c r="AF39" s="10">
        <f t="shared" ref="AF39" si="80">AF10/AE10-1</f>
        <v>2.0000000000000018E-2</v>
      </c>
    </row>
    <row r="40" spans="2:36" x14ac:dyDescent="0.3">
      <c r="B40" s="1" t="s">
        <v>45</v>
      </c>
      <c r="E40" s="10"/>
      <c r="G40" s="10"/>
      <c r="H40" s="10"/>
      <c r="I40" s="10">
        <f t="shared" si="77"/>
        <v>-0.14656771799628943</v>
      </c>
      <c r="J40" s="10"/>
      <c r="K40" s="10">
        <f t="shared" si="77"/>
        <v>-0.24563953488372092</v>
      </c>
      <c r="L40" s="10">
        <f t="shared" ref="L40:L42" si="81">L11/H11-1</f>
        <v>-0.25111441307578009</v>
      </c>
      <c r="M40" s="10">
        <f t="shared" si="78"/>
        <v>-5.0000000000000044E-2</v>
      </c>
      <c r="N40" s="10">
        <f t="shared" si="78"/>
        <v>-5.0000000000000044E-2</v>
      </c>
      <c r="P40" s="10"/>
      <c r="Q40" s="10">
        <f t="shared" ref="Q40:AE40" si="82">Q11/P11-1</f>
        <v>1.0672358591248265E-3</v>
      </c>
      <c r="R40" s="10">
        <f t="shared" si="82"/>
        <v>-4.4776119402985093E-2</v>
      </c>
      <c r="S40" s="10">
        <f t="shared" si="82"/>
        <v>4.4642857142857206E-2</v>
      </c>
      <c r="T40" s="10">
        <f t="shared" si="82"/>
        <v>9.7756410256410353E-2</v>
      </c>
      <c r="U40" s="10">
        <f t="shared" si="82"/>
        <v>0.10802919708029202</v>
      </c>
      <c r="V40" s="10">
        <f t="shared" si="82"/>
        <v>-0.16855511638120335</v>
      </c>
      <c r="W40" s="10">
        <f t="shared" si="82"/>
        <v>4.0000000000000036E-2</v>
      </c>
      <c r="X40" s="10">
        <f t="shared" si="82"/>
        <v>3.0000000000000027E-2</v>
      </c>
      <c r="Y40" s="10">
        <f t="shared" si="82"/>
        <v>2.0000000000000018E-2</v>
      </c>
      <c r="Z40" s="10">
        <f t="shared" si="82"/>
        <v>2.0000000000000018E-2</v>
      </c>
      <c r="AA40" s="10">
        <f t="shared" si="82"/>
        <v>2.0000000000000018E-2</v>
      </c>
      <c r="AB40" s="10">
        <f t="shared" si="82"/>
        <v>2.0000000000000018E-2</v>
      </c>
      <c r="AC40" s="10">
        <f t="shared" si="82"/>
        <v>2.0000000000000018E-2</v>
      </c>
      <c r="AD40" s="10">
        <f t="shared" si="82"/>
        <v>2.0000000000000018E-2</v>
      </c>
      <c r="AE40" s="10">
        <f t="shared" si="82"/>
        <v>2.0000000000000018E-2</v>
      </c>
      <c r="AF40" s="10">
        <f t="shared" ref="AF40" si="83">AF11/AE11-1</f>
        <v>2.0000000000000018E-2</v>
      </c>
    </row>
    <row r="41" spans="2:36" x14ac:dyDescent="0.3">
      <c r="B41" s="1" t="s">
        <v>46</v>
      </c>
      <c r="E41" s="10"/>
      <c r="G41" s="10"/>
      <c r="H41" s="10"/>
      <c r="I41" s="10">
        <f t="shared" si="77"/>
        <v>-7.6923076923076872E-2</v>
      </c>
      <c r="J41" s="10"/>
      <c r="K41" s="10">
        <f t="shared" si="77"/>
        <v>6.6666666666666652E-2</v>
      </c>
      <c r="L41" s="10">
        <f t="shared" si="81"/>
        <v>0.25</v>
      </c>
      <c r="M41" s="10">
        <f t="shared" si="78"/>
        <v>0.25</v>
      </c>
      <c r="N41" s="10">
        <f t="shared" si="78"/>
        <v>0.36363636363636354</v>
      </c>
      <c r="P41" s="10"/>
      <c r="Q41" s="10">
        <f t="shared" ref="Q41:AF42" si="84">Q12/P12-1</f>
        <v>-0.16666666666666663</v>
      </c>
      <c r="R41" s="10">
        <f t="shared" si="84"/>
        <v>-0.10909090909090913</v>
      </c>
      <c r="S41" s="10">
        <f t="shared" si="84"/>
        <v>6.1224489795918435E-2</v>
      </c>
      <c r="T41" s="10">
        <f t="shared" si="84"/>
        <v>5.7692307692307709E-2</v>
      </c>
      <c r="U41" s="10">
        <f t="shared" si="84"/>
        <v>-9.0909090909090939E-2</v>
      </c>
      <c r="V41" s="10">
        <f t="shared" si="84"/>
        <v>0.21999999999999997</v>
      </c>
      <c r="W41" s="10">
        <f t="shared" si="84"/>
        <v>6.0000000000000053E-2</v>
      </c>
      <c r="X41" s="10">
        <f t="shared" si="84"/>
        <v>6.0000000000000053E-2</v>
      </c>
      <c r="Y41" s="10">
        <f t="shared" si="84"/>
        <v>6.0000000000000053E-2</v>
      </c>
      <c r="Z41" s="10">
        <f t="shared" si="84"/>
        <v>6.0000000000000053E-2</v>
      </c>
      <c r="AA41" s="10">
        <f t="shared" si="84"/>
        <v>6.0000000000000053E-2</v>
      </c>
      <c r="AB41" s="10">
        <f t="shared" si="84"/>
        <v>6.0000000000000053E-2</v>
      </c>
      <c r="AC41" s="10">
        <f t="shared" si="84"/>
        <v>6.0000000000000053E-2</v>
      </c>
      <c r="AD41" s="10">
        <f t="shared" si="84"/>
        <v>6.0000000000000053E-2</v>
      </c>
      <c r="AE41" s="10">
        <f t="shared" si="84"/>
        <v>6.0000000000000053E-2</v>
      </c>
      <c r="AF41" s="10">
        <f t="shared" ref="AF41" si="85">AF12/AE12-1</f>
        <v>6.0000000000000053E-2</v>
      </c>
      <c r="AI41" s="1" t="s">
        <v>54</v>
      </c>
      <c r="AJ41" s="10">
        <v>-0.01</v>
      </c>
    </row>
    <row r="42" spans="2:36" x14ac:dyDescent="0.3">
      <c r="B42" s="1" t="s">
        <v>64</v>
      </c>
      <c r="E42" s="10"/>
      <c r="G42" s="10"/>
      <c r="H42" s="10"/>
      <c r="I42" s="10">
        <f t="shared" si="77"/>
        <v>2.5127131319174323E-2</v>
      </c>
      <c r="J42" s="10"/>
      <c r="K42" s="10">
        <f t="shared" ref="K42" si="86">K13/G13-1</f>
        <v>5.4545454545454453E-2</v>
      </c>
      <c r="L42" s="10">
        <f t="shared" si="81"/>
        <v>5.3586617521973245E-2</v>
      </c>
      <c r="M42" s="10">
        <f t="shared" si="78"/>
        <v>8.0391012547417651E-2</v>
      </c>
      <c r="N42" s="10">
        <f t="shared" si="78"/>
        <v>9.928591198450043E-2</v>
      </c>
      <c r="P42" s="10"/>
      <c r="Q42" s="10">
        <f t="shared" si="84"/>
        <v>-0.14519442406456351</v>
      </c>
      <c r="R42" s="10">
        <f t="shared" si="84"/>
        <v>6.2741395588361559E-2</v>
      </c>
      <c r="S42" s="10">
        <f t="shared" si="84"/>
        <v>3.9331287352608602E-2</v>
      </c>
      <c r="T42" s="10">
        <f t="shared" si="84"/>
        <v>6.3252777993628051E-2</v>
      </c>
      <c r="U42" s="10">
        <f t="shared" si="84"/>
        <v>1.3885843747716287E-3</v>
      </c>
      <c r="V42" s="10">
        <f t="shared" si="84"/>
        <v>7.2560210188293839E-2</v>
      </c>
      <c r="W42" s="10">
        <f t="shared" si="84"/>
        <v>7.4764095801505448E-2</v>
      </c>
      <c r="X42" s="10">
        <f t="shared" si="84"/>
        <v>4.7547829405129249E-2</v>
      </c>
      <c r="Y42" s="10">
        <f t="shared" si="84"/>
        <v>3.7631502618473256E-2</v>
      </c>
      <c r="Z42" s="10">
        <f t="shared" si="84"/>
        <v>2.892210436439302E-2</v>
      </c>
      <c r="AA42" s="10">
        <f t="shared" si="84"/>
        <v>2.0174379322469793E-2</v>
      </c>
      <c r="AB42" s="10">
        <f t="shared" si="84"/>
        <v>2.0181186751563773E-2</v>
      </c>
      <c r="AC42" s="10">
        <f t="shared" si="84"/>
        <v>2.0188258673216053E-2</v>
      </c>
      <c r="AD42" s="10">
        <f t="shared" si="84"/>
        <v>2.0195605263942484E-2</v>
      </c>
      <c r="AE42" s="10">
        <f t="shared" si="84"/>
        <v>2.0203237083858738E-2</v>
      </c>
      <c r="AF42" s="10">
        <f t="shared" si="84"/>
        <v>2.0211165090502581E-2</v>
      </c>
      <c r="AI42" s="1" t="s">
        <v>55</v>
      </c>
      <c r="AJ42" s="10">
        <v>0.09</v>
      </c>
    </row>
    <row r="43" spans="2:36" x14ac:dyDescent="0.3">
      <c r="B43" s="1" t="s">
        <v>47</v>
      </c>
      <c r="E43" s="10"/>
      <c r="G43" s="10">
        <f t="shared" ref="G43:K43" si="87">(G10-G14)/G10</f>
        <v>0.20847039473684212</v>
      </c>
      <c r="H43" s="10">
        <f t="shared" si="87"/>
        <v>0.19739619985925405</v>
      </c>
      <c r="I43" s="10"/>
      <c r="J43" s="10"/>
      <c r="K43" s="10">
        <f t="shared" si="87"/>
        <v>0.1782749909779863</v>
      </c>
      <c r="L43" s="10">
        <f>(L10-L14)/L10</f>
        <v>0.17735376915858617</v>
      </c>
      <c r="M43" s="10">
        <f t="shared" ref="M43:N43" si="88">(M10-M14)/M10</f>
        <v>0.18000000000000002</v>
      </c>
      <c r="N43" s="10">
        <f t="shared" si="88"/>
        <v>0.18</v>
      </c>
      <c r="P43" s="10"/>
      <c r="Q43" s="10"/>
      <c r="R43" s="10"/>
      <c r="S43" s="10">
        <f t="shared" ref="S43:AE43" si="89">(S10-S14)/S10</f>
        <v>0.19716765646413886</v>
      </c>
      <c r="T43" s="10">
        <f t="shared" si="89"/>
        <v>0.20452778017800052</v>
      </c>
      <c r="U43" s="10">
        <f t="shared" si="89"/>
        <v>0.17336263736263735</v>
      </c>
      <c r="V43" s="10">
        <f t="shared" si="89"/>
        <v>0.17896091828454197</v>
      </c>
      <c r="W43" s="10">
        <f t="shared" si="89"/>
        <v>0.18999999999999997</v>
      </c>
      <c r="X43" s="10">
        <f t="shared" si="89"/>
        <v>0.19999999999999998</v>
      </c>
      <c r="Y43" s="10">
        <f t="shared" si="89"/>
        <v>0.19999999999999993</v>
      </c>
      <c r="Z43" s="10">
        <f t="shared" si="89"/>
        <v>0.19999999999999996</v>
      </c>
      <c r="AA43" s="10">
        <f t="shared" si="89"/>
        <v>0.19999999999999996</v>
      </c>
      <c r="AB43" s="10">
        <f t="shared" si="89"/>
        <v>0.2</v>
      </c>
      <c r="AC43" s="10">
        <f t="shared" si="89"/>
        <v>0.1999999999999999</v>
      </c>
      <c r="AD43" s="10">
        <f t="shared" si="89"/>
        <v>0.2</v>
      </c>
      <c r="AE43" s="10">
        <f t="shared" si="89"/>
        <v>0.19999999999999996</v>
      </c>
      <c r="AF43" s="10">
        <f t="shared" ref="AF43" si="90">(AF10-AF14)/AF10</f>
        <v>0.19999999999999996</v>
      </c>
      <c r="AI43" s="1" t="s">
        <v>56</v>
      </c>
      <c r="AJ43" s="6">
        <f>NPV(AJ42,V29:EM29)</f>
        <v>16635.88242417523</v>
      </c>
    </row>
    <row r="44" spans="2:36" x14ac:dyDescent="0.3">
      <c r="B44" s="1" t="s">
        <v>48</v>
      </c>
      <c r="E44" s="10">
        <f>(E11-E15)/E11</f>
        <v>0.21335807050092764</v>
      </c>
      <c r="G44" s="10">
        <f t="shared" ref="G44:K44" si="91">(G11-G15)/G11</f>
        <v>0.20784883720930233</v>
      </c>
      <c r="H44" s="10">
        <f t="shared" si="91"/>
        <v>0.17830609212481427</v>
      </c>
      <c r="I44" s="10">
        <f t="shared" si="91"/>
        <v>0.24347826086956523</v>
      </c>
      <c r="J44" s="10">
        <f t="shared" si="91"/>
        <v>0.23026315789473684</v>
      </c>
      <c r="K44" s="10">
        <f t="shared" si="91"/>
        <v>0.23892100192678228</v>
      </c>
      <c r="L44" s="10">
        <f>(L11-L15)/L11</f>
        <v>0.25198412698412698</v>
      </c>
      <c r="M44" s="10">
        <f t="shared" ref="M44:N44" si="92">(M11-M15)/M11</f>
        <v>0.25</v>
      </c>
      <c r="N44" s="10">
        <f t="shared" si="92"/>
        <v>0.25000000000000006</v>
      </c>
      <c r="P44" s="10">
        <f t="shared" ref="P44:AE44" si="93">(P11-P15)/P11</f>
        <v>0.24012806830309499</v>
      </c>
      <c r="Q44" s="10">
        <f t="shared" si="93"/>
        <v>0.26492537313432835</v>
      </c>
      <c r="R44" s="10">
        <f t="shared" si="93"/>
        <v>0.25111607142857145</v>
      </c>
      <c r="S44" s="10">
        <f t="shared" si="93"/>
        <v>0.24572649572649571</v>
      </c>
      <c r="T44" s="10">
        <f t="shared" si="93"/>
        <v>0.2072992700729927</v>
      </c>
      <c r="U44" s="10">
        <f t="shared" si="93"/>
        <v>0.21080368906455862</v>
      </c>
      <c r="V44" s="10">
        <f t="shared" si="93"/>
        <v>0.24749102049440097</v>
      </c>
      <c r="W44" s="10">
        <f t="shared" si="93"/>
        <v>0.24999999999999997</v>
      </c>
      <c r="X44" s="10">
        <f t="shared" si="93"/>
        <v>0.25000000000000006</v>
      </c>
      <c r="Y44" s="10">
        <f t="shared" si="93"/>
        <v>0.25</v>
      </c>
      <c r="Z44" s="10">
        <f t="shared" si="93"/>
        <v>0.25000000000000006</v>
      </c>
      <c r="AA44" s="10">
        <f t="shared" si="93"/>
        <v>0.25</v>
      </c>
      <c r="AB44" s="10">
        <f t="shared" si="93"/>
        <v>0.25</v>
      </c>
      <c r="AC44" s="10">
        <f t="shared" si="93"/>
        <v>0.24999999999999994</v>
      </c>
      <c r="AD44" s="10">
        <f t="shared" si="93"/>
        <v>0.24999999999999994</v>
      </c>
      <c r="AE44" s="10">
        <f t="shared" si="93"/>
        <v>0.25</v>
      </c>
      <c r="AF44" s="10">
        <f t="shared" ref="AF44" si="94">(AF11-AF15)/AF11</f>
        <v>0.25</v>
      </c>
      <c r="AI44" s="1" t="s">
        <v>57</v>
      </c>
      <c r="AJ44" s="6">
        <f>Main!D8</f>
        <v>-2300</v>
      </c>
    </row>
    <row r="45" spans="2:36" x14ac:dyDescent="0.3">
      <c r="B45" s="1" t="s">
        <v>43</v>
      </c>
      <c r="E45" s="10"/>
      <c r="G45" s="10"/>
      <c r="H45" s="10"/>
      <c r="I45" s="10"/>
      <c r="J45" s="10"/>
      <c r="K45" s="10">
        <f t="shared" ref="K45:N45" si="95">K17/K13</f>
        <v>0.19177253478523895</v>
      </c>
      <c r="L45" s="10">
        <f t="shared" si="95"/>
        <v>0.19079655543595264</v>
      </c>
      <c r="M45" s="10">
        <f t="shared" si="95"/>
        <v>0.19158406482106685</v>
      </c>
      <c r="N45" s="10">
        <f t="shared" si="95"/>
        <v>0.19073187435166619</v>
      </c>
      <c r="P45" s="10"/>
      <c r="Q45" s="10"/>
      <c r="R45" s="10"/>
      <c r="S45" s="10"/>
      <c r="T45" s="10">
        <f t="shared" ref="T45:AF45" si="96">T17/T13</f>
        <v>0.20814148943945041</v>
      </c>
      <c r="U45" s="10">
        <f t="shared" si="96"/>
        <v>0.18260108013428697</v>
      </c>
      <c r="V45" s="10">
        <f t="shared" si="96"/>
        <v>0.19119702889586579</v>
      </c>
      <c r="W45" s="10">
        <f t="shared" si="96"/>
        <v>0.20079522685501083</v>
      </c>
      <c r="X45" s="10">
        <f t="shared" si="96"/>
        <v>0.20944225813239101</v>
      </c>
      <c r="Y45" s="10">
        <f t="shared" si="96"/>
        <v>0.20940956314175399</v>
      </c>
      <c r="Z45" s="10">
        <f t="shared" si="96"/>
        <v>0.20945957692186357</v>
      </c>
      <c r="AA45" s="10">
        <f t="shared" si="96"/>
        <v>0.20959470470604982</v>
      </c>
      <c r="AB45" s="10">
        <f t="shared" si="96"/>
        <v>0.20973508267981847</v>
      </c>
      <c r="AC45" s="10">
        <f t="shared" si="96"/>
        <v>0.20988091284749483</v>
      </c>
      <c r="AD45" s="10">
        <f t="shared" si="96"/>
        <v>0.21003240482784757</v>
      </c>
      <c r="AE45" s="10">
        <f t="shared" si="96"/>
        <v>0.21018977612853507</v>
      </c>
      <c r="AF45" s="10">
        <f t="shared" si="96"/>
        <v>0.21035325242943298</v>
      </c>
      <c r="AI45" s="1" t="s">
        <v>58</v>
      </c>
      <c r="AJ45" s="6">
        <f>AJ43+AJ44</f>
        <v>14335.88242417523</v>
      </c>
    </row>
    <row r="46" spans="2:36" x14ac:dyDescent="0.3">
      <c r="B46" s="1" t="s">
        <v>49</v>
      </c>
      <c r="E46" s="10"/>
      <c r="G46" s="10"/>
      <c r="H46" s="10"/>
      <c r="I46" s="10"/>
      <c r="J46" s="10"/>
      <c r="K46" s="10">
        <f t="shared" ref="K46" si="97">K18/G18-1</f>
        <v>-8.333333333333337E-2</v>
      </c>
      <c r="L46" s="10">
        <f>L18/H18-1</f>
        <v>0.30476190476190479</v>
      </c>
      <c r="M46" s="10" t="e">
        <f t="shared" ref="M46:N46" si="98">M18/I18-1</f>
        <v>#DIV/0!</v>
      </c>
      <c r="N46" s="10" t="e">
        <f t="shared" si="98"/>
        <v>#DIV/0!</v>
      </c>
      <c r="P46" s="10"/>
      <c r="Q46" s="10"/>
      <c r="R46" s="10"/>
      <c r="S46" s="10"/>
      <c r="T46" s="10">
        <f t="shared" ref="T46:AE46" si="99">T18/S18-1</f>
        <v>-5.1580698835274497E-2</v>
      </c>
      <c r="U46" s="10">
        <f t="shared" si="99"/>
        <v>-0.13859649122807016</v>
      </c>
      <c r="V46" s="10">
        <f t="shared" si="99"/>
        <v>0.13849287169042768</v>
      </c>
      <c r="W46" s="10">
        <f t="shared" si="99"/>
        <v>8.0000000000000071E-2</v>
      </c>
      <c r="X46" s="10">
        <f t="shared" si="99"/>
        <v>5.0000000000000044E-2</v>
      </c>
      <c r="Y46" s="10">
        <f t="shared" si="99"/>
        <v>3.0000000000000027E-2</v>
      </c>
      <c r="Z46" s="10">
        <f t="shared" si="99"/>
        <v>2.0000000000000018E-2</v>
      </c>
      <c r="AA46" s="10">
        <f t="shared" si="99"/>
        <v>2.0000000000000018E-2</v>
      </c>
      <c r="AB46" s="10">
        <f t="shared" si="99"/>
        <v>2.0000000000000018E-2</v>
      </c>
      <c r="AC46" s="10">
        <f t="shared" si="99"/>
        <v>2.0000000000000018E-2</v>
      </c>
      <c r="AD46" s="10">
        <f t="shared" si="99"/>
        <v>2.0000000000000018E-2</v>
      </c>
      <c r="AE46" s="10">
        <f t="shared" si="99"/>
        <v>2.0000000000000018E-2</v>
      </c>
      <c r="AF46" s="10">
        <f t="shared" ref="AF46" si="100">AF18/AE18-1</f>
        <v>2.0000000000000018E-2</v>
      </c>
      <c r="AI46" s="1" t="s">
        <v>59</v>
      </c>
      <c r="AJ46" s="7">
        <f>AJ45/AF30</f>
        <v>80.44827398527066</v>
      </c>
    </row>
    <row r="47" spans="2:36" x14ac:dyDescent="0.3">
      <c r="B47" s="1" t="s">
        <v>50</v>
      </c>
      <c r="E47" s="10">
        <f>E19/E13</f>
        <v>9.0637152258450496E-2</v>
      </c>
      <c r="G47" s="10">
        <f t="shared" ref="G47:K47" si="101">G19/G13</f>
        <v>0.10079744816586922</v>
      </c>
      <c r="H47" s="10">
        <f t="shared" si="101"/>
        <v>8.3073433512900488E-2</v>
      </c>
      <c r="I47" s="10">
        <f t="shared" si="101"/>
        <v>8.2287715202801287E-2</v>
      </c>
      <c r="J47" s="10">
        <f t="shared" si="101"/>
        <v>7.3346249654027126E-2</v>
      </c>
      <c r="K47" s="10">
        <f t="shared" si="101"/>
        <v>9.0139140955837874E-2</v>
      </c>
      <c r="L47" s="10">
        <f>L19/L13</f>
        <v>8.1539289558665226E-2</v>
      </c>
      <c r="M47" s="10">
        <f t="shared" ref="M47:N47" si="102">M19/M13</f>
        <v>0.08</v>
      </c>
      <c r="N47" s="10">
        <f t="shared" si="102"/>
        <v>0.08</v>
      </c>
      <c r="P47" s="10">
        <f t="shared" ref="P47:AE47" si="103">P19/P13</f>
        <v>8.4519442406456341E-2</v>
      </c>
      <c r="Q47" s="10">
        <f t="shared" si="103"/>
        <v>8.9691871942322546E-2</v>
      </c>
      <c r="R47" s="10">
        <f t="shared" si="103"/>
        <v>9.8610886771119372E-2</v>
      </c>
      <c r="S47" s="10">
        <f t="shared" si="103"/>
        <v>9.2159452948947077E-2</v>
      </c>
      <c r="T47" s="10">
        <f t="shared" si="103"/>
        <v>8.9527150478696194E-2</v>
      </c>
      <c r="U47" s="10">
        <f t="shared" si="103"/>
        <v>8.4367245657568243E-2</v>
      </c>
      <c r="V47" s="10">
        <f t="shared" si="103"/>
        <v>8.2670074345648076E-2</v>
      </c>
      <c r="W47" s="10">
        <f t="shared" si="103"/>
        <v>0.08</v>
      </c>
      <c r="X47" s="10">
        <f t="shared" si="103"/>
        <v>0.08</v>
      </c>
      <c r="Y47" s="10">
        <f t="shared" si="103"/>
        <v>0.08</v>
      </c>
      <c r="Z47" s="10">
        <f t="shared" si="103"/>
        <v>0.08</v>
      </c>
      <c r="AA47" s="10">
        <f t="shared" si="103"/>
        <v>0.08</v>
      </c>
      <c r="AB47" s="10">
        <f t="shared" si="103"/>
        <v>0.08</v>
      </c>
      <c r="AC47" s="10">
        <f t="shared" si="103"/>
        <v>0.08</v>
      </c>
      <c r="AD47" s="10">
        <f t="shared" si="103"/>
        <v>0.08</v>
      </c>
      <c r="AE47" s="10">
        <f t="shared" si="103"/>
        <v>0.08</v>
      </c>
      <c r="AF47" s="10">
        <f t="shared" ref="AF47" si="104">AF19/AF13</f>
        <v>0.08</v>
      </c>
      <c r="AI47" s="1" t="s">
        <v>60</v>
      </c>
      <c r="AJ47" s="7">
        <f>Main!D3</f>
        <v>86.85</v>
      </c>
    </row>
    <row r="48" spans="2:36" x14ac:dyDescent="0.3">
      <c r="B48" s="1" t="s">
        <v>51</v>
      </c>
      <c r="E48" s="10">
        <f>E20/E13</f>
        <v>7.8073586598863293E-2</v>
      </c>
      <c r="G48" s="10">
        <f t="shared" ref="G48:K48" si="105">G20/G13</f>
        <v>6.5390749601275916E-2</v>
      </c>
      <c r="H48" s="10">
        <f t="shared" si="105"/>
        <v>8.3640487666572158E-2</v>
      </c>
      <c r="I48" s="10">
        <f t="shared" si="105"/>
        <v>6.1278085789320105E-2</v>
      </c>
      <c r="J48" s="10">
        <f t="shared" si="105"/>
        <v>0.10711320232493772</v>
      </c>
      <c r="K48" s="10">
        <f t="shared" si="105"/>
        <v>6.1705989110707807E-2</v>
      </c>
      <c r="L48" s="10">
        <f>L20/L13</f>
        <v>7.2389666307857911E-2</v>
      </c>
      <c r="M48" s="10">
        <f t="shared" ref="M48:N48" si="106">M20/M13</f>
        <v>7.3771775827143837E-2</v>
      </c>
      <c r="N48" s="10">
        <f t="shared" si="106"/>
        <v>7.2964861571309075E-2</v>
      </c>
      <c r="P48" s="10">
        <f t="shared" ref="P48:AE48" si="107">P20/P13</f>
        <v>7.8650036683785771E-2</v>
      </c>
      <c r="Q48" s="10">
        <f t="shared" si="107"/>
        <v>4.3944725774611622E-2</v>
      </c>
      <c r="R48" s="10">
        <f t="shared" si="107"/>
        <v>6.9778711032143434E-2</v>
      </c>
      <c r="S48" s="10">
        <f t="shared" si="107"/>
        <v>6.8614499961146949E-2</v>
      </c>
      <c r="T48" s="10">
        <f t="shared" si="107"/>
        <v>7.6956807717605782E-2</v>
      </c>
      <c r="U48" s="10">
        <f t="shared" si="107"/>
        <v>6.23996496861772E-2</v>
      </c>
      <c r="V48" s="10">
        <f t="shared" si="107"/>
        <v>7.0489962725108934E-2</v>
      </c>
      <c r="W48" s="10">
        <f t="shared" si="107"/>
        <v>8.2572931067876151E-2</v>
      </c>
      <c r="X48" s="10">
        <f t="shared" si="107"/>
        <v>9.1130489017961225E-2</v>
      </c>
      <c r="Y48" s="10">
        <f t="shared" si="107"/>
        <v>9.1379566858601269E-2</v>
      </c>
      <c r="Z48" s="10">
        <f t="shared" si="107"/>
        <v>9.1759350593478603E-2</v>
      </c>
      <c r="AA48" s="10">
        <f t="shared" si="107"/>
        <v>9.1900922511194708E-2</v>
      </c>
      <c r="AB48" s="10">
        <f t="shared" si="107"/>
        <v>9.2047994995741192E-2</v>
      </c>
      <c r="AC48" s="10">
        <f t="shared" si="107"/>
        <v>9.2200779684864384E-2</v>
      </c>
      <c r="AD48" s="10">
        <f t="shared" si="107"/>
        <v>9.2359496193880689E-2</v>
      </c>
      <c r="AE48" s="10">
        <f t="shared" si="107"/>
        <v>9.2524372403210833E-2</v>
      </c>
      <c r="AF48" s="10">
        <f t="shared" ref="AF48" si="108">AF20/AF13</f>
        <v>9.2695644755219159E-2</v>
      </c>
      <c r="AI48" s="2" t="s">
        <v>61</v>
      </c>
      <c r="AJ48" s="11">
        <f>AJ46/AJ47-1</f>
        <v>-7.3710144095904817E-2</v>
      </c>
    </row>
    <row r="49" spans="2:36" x14ac:dyDescent="0.3">
      <c r="B49" s="1" t="s">
        <v>27</v>
      </c>
      <c r="E49" s="10">
        <f>E27/E26</f>
        <v>0.10631229235880399</v>
      </c>
      <c r="G49" s="10">
        <f t="shared" ref="G49:K49" si="109">G27/G26</f>
        <v>0.15189873417721519</v>
      </c>
      <c r="H49" s="10">
        <f t="shared" si="109"/>
        <v>0.19504643962848298</v>
      </c>
      <c r="I49" s="10">
        <f t="shared" si="109"/>
        <v>0.11507936507936507</v>
      </c>
      <c r="J49" s="10">
        <f t="shared" si="109"/>
        <v>-2.6809651474530832E-2</v>
      </c>
      <c r="K49" s="10">
        <f t="shared" si="109"/>
        <v>0.14107883817427386</v>
      </c>
      <c r="L49" s="10">
        <f>L27/L26</f>
        <v>0.18604651162790697</v>
      </c>
      <c r="M49" s="10">
        <f t="shared" ref="M49:N49" si="110">M27/M26</f>
        <v>0.14000000000000001</v>
      </c>
      <c r="N49" s="10">
        <f t="shared" si="110"/>
        <v>0.14000000000000001</v>
      </c>
      <c r="P49" s="10">
        <f t="shared" ref="P49:AE49" si="111">P27/P26</f>
        <v>0.13481953290870488</v>
      </c>
      <c r="Q49" s="10">
        <f t="shared" si="111"/>
        <v>-9.5744680851063829E-2</v>
      </c>
      <c r="R49" s="10">
        <f t="shared" si="111"/>
        <v>0.14432989690721648</v>
      </c>
      <c r="S49" s="10">
        <f t="shared" si="111"/>
        <v>0.15157480314960631</v>
      </c>
      <c r="T49" s="10">
        <f t="shared" si="111"/>
        <v>0.15179392824287027</v>
      </c>
      <c r="U49" s="10">
        <f t="shared" si="111"/>
        <v>0.12513255567338283</v>
      </c>
      <c r="V49" s="10">
        <f t="shared" si="111"/>
        <v>0.15202791293562842</v>
      </c>
      <c r="W49" s="10">
        <f t="shared" si="111"/>
        <v>0.14000000000000001</v>
      </c>
      <c r="X49" s="10">
        <f t="shared" si="111"/>
        <v>0.14000000000000001</v>
      </c>
      <c r="Y49" s="10">
        <f t="shared" si="111"/>
        <v>0.14000000000000001</v>
      </c>
      <c r="Z49" s="10">
        <f t="shared" si="111"/>
        <v>0.14000000000000001</v>
      </c>
      <c r="AA49" s="10">
        <f t="shared" si="111"/>
        <v>0.14000000000000001</v>
      </c>
      <c r="AB49" s="10">
        <f t="shared" si="111"/>
        <v>0.14000000000000001</v>
      </c>
      <c r="AC49" s="10">
        <f t="shared" si="111"/>
        <v>0.14000000000000001</v>
      </c>
      <c r="AD49" s="10">
        <f t="shared" si="111"/>
        <v>0.14000000000000001</v>
      </c>
      <c r="AE49" s="10">
        <f t="shared" si="111"/>
        <v>0.14000000000000001</v>
      </c>
      <c r="AF49" s="10">
        <f t="shared" ref="AF49" si="112">AF27/AF26</f>
        <v>0.14000000000000001</v>
      </c>
      <c r="AI49" s="1" t="s">
        <v>62</v>
      </c>
      <c r="AJ49" s="3" t="s">
        <v>63</v>
      </c>
    </row>
    <row r="50" spans="2:36" x14ac:dyDescent="0.3">
      <c r="B50" s="1" t="s">
        <v>52</v>
      </c>
      <c r="E50" s="10">
        <f>E29/E13</f>
        <v>8.046664672449895E-2</v>
      </c>
      <c r="G50" s="10">
        <f t="shared" ref="G50:K50" si="113">G29/G13</f>
        <v>6.4114832535885166E-2</v>
      </c>
      <c r="H50" s="10">
        <f t="shared" si="113"/>
        <v>7.3433512900482001E-2</v>
      </c>
      <c r="I50" s="10">
        <f t="shared" si="113"/>
        <v>6.5071491100087545E-2</v>
      </c>
      <c r="J50" s="10">
        <f t="shared" si="113"/>
        <v>0.10600608912261279</v>
      </c>
      <c r="K50" s="10">
        <f t="shared" si="113"/>
        <v>6.2613430127041736E-2</v>
      </c>
      <c r="L50" s="10">
        <f>L29/L13</f>
        <v>6.593110871905275E-2</v>
      </c>
      <c r="M50" s="10">
        <f t="shared" ref="M50:N50" si="114">M29/M13</f>
        <v>7.1573369345037149E-2</v>
      </c>
      <c r="N50" s="10">
        <f t="shared" si="114"/>
        <v>7.0111830642643411E-2</v>
      </c>
      <c r="P50" s="10">
        <f t="shared" ref="P50:AE50" si="115">P29/P13</f>
        <v>5.9794570799706528E-2</v>
      </c>
      <c r="Q50" s="10">
        <f t="shared" si="115"/>
        <v>2.6521328641318342E-2</v>
      </c>
      <c r="R50" s="10">
        <f t="shared" si="115"/>
        <v>6.0248748182846069E-2</v>
      </c>
      <c r="S50" s="10">
        <f t="shared" si="115"/>
        <v>6.6904965420778617E-2</v>
      </c>
      <c r="T50" s="10">
        <f t="shared" si="115"/>
        <v>6.7309800482350357E-2</v>
      </c>
      <c r="U50" s="10">
        <f t="shared" si="115"/>
        <v>6.0137206247263174E-2</v>
      </c>
      <c r="V50" s="10">
        <f t="shared" si="115"/>
        <v>6.7736122622007594E-2</v>
      </c>
      <c r="W50" s="10">
        <f t="shared" si="115"/>
        <v>7.8976243484507852E-2</v>
      </c>
      <c r="X50" s="10">
        <f t="shared" si="115"/>
        <v>8.6202343647560062E-2</v>
      </c>
      <c r="Y50" s="10">
        <f t="shared" si="115"/>
        <v>8.6358962126080074E-2</v>
      </c>
      <c r="Z50" s="10">
        <f t="shared" si="115"/>
        <v>8.6693718621472751E-2</v>
      </c>
      <c r="AA50" s="10">
        <f t="shared" si="115"/>
        <v>8.6890408621927998E-2</v>
      </c>
      <c r="AB50" s="10">
        <f t="shared" si="115"/>
        <v>8.7092497939254512E-2</v>
      </c>
      <c r="AC50" s="10">
        <f t="shared" si="115"/>
        <v>8.7300171929586459E-2</v>
      </c>
      <c r="AD50" s="10">
        <f t="shared" si="115"/>
        <v>8.7513622687991371E-2</v>
      </c>
      <c r="AE50" s="10">
        <f t="shared" si="115"/>
        <v>8.7733049287271977E-2</v>
      </c>
      <c r="AF50" s="10">
        <f t="shared" ref="AF50" si="116">AF29/AF13</f>
        <v>8.795865802435883E-2</v>
      </c>
    </row>
    <row r="53" spans="2:36" s="12" customFormat="1" x14ac:dyDescent="0.3">
      <c r="B53" s="12" t="s">
        <v>65</v>
      </c>
      <c r="L53" s="12">
        <f>17076</f>
        <v>17076</v>
      </c>
    </row>
    <row r="55" spans="2:36" x14ac:dyDescent="0.3">
      <c r="B55" s="1" t="s">
        <v>66</v>
      </c>
      <c r="L55" s="13">
        <f>Main!D9/Model!L53</f>
        <v>1.0410324431951277</v>
      </c>
    </row>
    <row r="56" spans="2:36" x14ac:dyDescent="0.3">
      <c r="B56" s="1" t="s">
        <v>67</v>
      </c>
      <c r="L56" s="10">
        <f>L53/Main!D9-1</f>
        <v>-3.9415143556132737E-2</v>
      </c>
    </row>
  </sheetData>
  <phoneticPr fontId="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2025-07-29T16:31:58Z</dcterms:created>
  <dcterms:modified xsi:type="dcterms:W3CDTF">2025-10-04T10:41:15Z</dcterms:modified>
</cp:coreProperties>
</file>