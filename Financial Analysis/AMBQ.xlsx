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9C7DCD6-F19B-4B37-9F44-C6D65F0FB319}" xr6:coauthVersionLast="47" xr6:coauthVersionMax="47" xr10:uidLastSave="{00000000-0000-0000-0000-000000000000}"/>
  <bookViews>
    <workbookView xWindow="-108" yWindow="-108" windowWidth="23256" windowHeight="12576" activeTab="1" xr2:uid="{752363E1-E984-4A0D-A60C-623CC0252B9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" i="2" l="1"/>
  <c r="W5" i="2"/>
  <c r="V5" i="2"/>
  <c r="U5" i="2"/>
  <c r="T5" i="2"/>
  <c r="S5" i="2"/>
  <c r="R5" i="2"/>
  <c r="Q5" i="2"/>
  <c r="P5" i="2"/>
  <c r="O5" i="2"/>
  <c r="N5" i="2"/>
  <c r="N13" i="2"/>
  <c r="N12" i="2"/>
  <c r="N10" i="2"/>
  <c r="N7" i="2"/>
  <c r="N6" i="2"/>
  <c r="N4" i="2"/>
  <c r="J15" i="2"/>
  <c r="J14" i="2"/>
  <c r="J16" i="2" s="1"/>
  <c r="J11" i="2"/>
  <c r="J24" i="2" s="1"/>
  <c r="J9" i="2"/>
  <c r="J23" i="2" s="1"/>
  <c r="J8" i="2"/>
  <c r="J22" i="2"/>
  <c r="J21" i="2"/>
  <c r="J20" i="2"/>
  <c r="J19" i="2"/>
  <c r="L19" i="2"/>
  <c r="L22" i="2"/>
  <c r="L23" i="2"/>
  <c r="L24" i="2"/>
  <c r="L25" i="2"/>
  <c r="J5" i="2"/>
  <c r="J4" i="2" s="1"/>
  <c r="F25" i="2"/>
  <c r="F24" i="2"/>
  <c r="F23" i="2"/>
  <c r="F22" i="2"/>
  <c r="F19" i="2"/>
  <c r="F13" i="2"/>
  <c r="F12" i="2"/>
  <c r="F10" i="2"/>
  <c r="F7" i="2"/>
  <c r="F6" i="2"/>
  <c r="F8" i="2" s="1"/>
  <c r="F4" i="2"/>
  <c r="F3" i="2"/>
  <c r="F5" i="2" s="1"/>
  <c r="F15" i="2"/>
  <c r="E25" i="2"/>
  <c r="E24" i="2"/>
  <c r="E23" i="2"/>
  <c r="E22" i="2"/>
  <c r="E19" i="2"/>
  <c r="D25" i="2"/>
  <c r="D24" i="2"/>
  <c r="D23" i="2"/>
  <c r="D22" i="2"/>
  <c r="D19" i="2"/>
  <c r="E15" i="2"/>
  <c r="E8" i="2"/>
  <c r="E5" i="2"/>
  <c r="I25" i="2"/>
  <c r="I24" i="2"/>
  <c r="I23" i="2"/>
  <c r="I22" i="2"/>
  <c r="I21" i="2"/>
  <c r="I20" i="2"/>
  <c r="I19" i="2"/>
  <c r="I16" i="2"/>
  <c r="I14" i="2"/>
  <c r="I11" i="2"/>
  <c r="I9" i="2"/>
  <c r="I8" i="2"/>
  <c r="I5" i="2"/>
  <c r="D6" i="1"/>
  <c r="X15" i="2"/>
  <c r="W15" i="2"/>
  <c r="V15" i="2"/>
  <c r="U15" i="2"/>
  <c r="T15" i="2"/>
  <c r="S15" i="2"/>
  <c r="R15" i="2"/>
  <c r="Q15" i="2"/>
  <c r="P15" i="2"/>
  <c r="O15" i="2"/>
  <c r="N15" i="2"/>
  <c r="I15" i="2"/>
  <c r="D4" i="1"/>
  <c r="O7" i="2"/>
  <c r="P7" i="2" s="1"/>
  <c r="Q7" i="2" s="1"/>
  <c r="O6" i="2"/>
  <c r="H25" i="2"/>
  <c r="H24" i="2"/>
  <c r="H23" i="2"/>
  <c r="H22" i="2"/>
  <c r="H21" i="2"/>
  <c r="H20" i="2"/>
  <c r="H19" i="2"/>
  <c r="H15" i="2"/>
  <c r="D15" i="2"/>
  <c r="D8" i="2"/>
  <c r="D5" i="2"/>
  <c r="H8" i="2"/>
  <c r="H5" i="2"/>
  <c r="G15" i="2"/>
  <c r="J25" i="2" l="1"/>
  <c r="F9" i="2"/>
  <c r="F11" i="2" s="1"/>
  <c r="F14" i="2" s="1"/>
  <c r="F16" i="2" s="1"/>
  <c r="E9" i="2"/>
  <c r="E11" i="2" s="1"/>
  <c r="E14" i="2" s="1"/>
  <c r="E16" i="2" s="1"/>
  <c r="D9" i="2"/>
  <c r="D11" i="2" s="1"/>
  <c r="D14" i="2" s="1"/>
  <c r="D16" i="2" s="1"/>
  <c r="H9" i="2"/>
  <c r="H11" i="2" s="1"/>
  <c r="H14" i="2" s="1"/>
  <c r="H16" i="2" s="1"/>
  <c r="AA25" i="2"/>
  <c r="R7" i="2"/>
  <c r="S7" i="2" s="1"/>
  <c r="T7" i="2" s="1"/>
  <c r="U7" i="2" s="1"/>
  <c r="V7" i="2" s="1"/>
  <c r="W7" i="2" s="1"/>
  <c r="X7" i="2" s="1"/>
  <c r="N8" i="2"/>
  <c r="P6" i="2"/>
  <c r="Q6" i="2" s="1"/>
  <c r="R6" i="2" s="1"/>
  <c r="S6" i="2" s="1"/>
  <c r="T6" i="2" s="1"/>
  <c r="U6" i="2" s="1"/>
  <c r="V6" i="2" s="1"/>
  <c r="W6" i="2" s="1"/>
  <c r="X6" i="2" s="1"/>
  <c r="N3" i="2"/>
  <c r="P3" i="2" s="1"/>
  <c r="Q3" i="2" s="1"/>
  <c r="Q4" i="2" s="1"/>
  <c r="N20" i="2"/>
  <c r="J18" i="2"/>
  <c r="I18" i="2"/>
  <c r="H18" i="2"/>
  <c r="M21" i="2"/>
  <c r="M20" i="2"/>
  <c r="M18" i="2"/>
  <c r="M22" i="2"/>
  <c r="M19" i="2"/>
  <c r="C25" i="2"/>
  <c r="C24" i="2"/>
  <c r="C23" i="2"/>
  <c r="C22" i="2"/>
  <c r="C19" i="2"/>
  <c r="G25" i="2"/>
  <c r="G24" i="2"/>
  <c r="G23" i="2"/>
  <c r="G22" i="2"/>
  <c r="G21" i="2"/>
  <c r="G20" i="2"/>
  <c r="G19" i="2"/>
  <c r="G18" i="2"/>
  <c r="L15" i="2"/>
  <c r="L8" i="2"/>
  <c r="L5" i="2"/>
  <c r="M15" i="2"/>
  <c r="M8" i="2"/>
  <c r="M5" i="2"/>
  <c r="C15" i="2"/>
  <c r="C8" i="2"/>
  <c r="C5" i="2"/>
  <c r="G16" i="2"/>
  <c r="G14" i="2"/>
  <c r="G11" i="2"/>
  <c r="G9" i="2"/>
  <c r="G8" i="2"/>
  <c r="G5" i="2"/>
  <c r="D8" i="1"/>
  <c r="AA22" i="2" s="1"/>
  <c r="D5" i="1"/>
  <c r="F3" i="1"/>
  <c r="N18" i="2" l="1"/>
  <c r="N19" i="2"/>
  <c r="O4" i="2"/>
  <c r="D9" i="1"/>
  <c r="P4" i="2"/>
  <c r="P8" i="2"/>
  <c r="O8" i="2"/>
  <c r="O9" i="2" s="1"/>
  <c r="P21" i="2"/>
  <c r="Q8" i="2"/>
  <c r="Q9" i="2" s="1"/>
  <c r="Q11" i="2" s="1"/>
  <c r="Q12" i="2" s="1"/>
  <c r="Q24" i="2" s="1"/>
  <c r="O21" i="2"/>
  <c r="N21" i="2"/>
  <c r="P20" i="2"/>
  <c r="O20" i="2"/>
  <c r="R3" i="2"/>
  <c r="O19" i="2"/>
  <c r="O22" i="2"/>
  <c r="O18" i="2"/>
  <c r="N22" i="2"/>
  <c r="L9" i="2"/>
  <c r="L11" i="2" s="1"/>
  <c r="L14" i="2" s="1"/>
  <c r="L16" i="2" s="1"/>
  <c r="M9" i="2"/>
  <c r="C9" i="2"/>
  <c r="C11" i="2" s="1"/>
  <c r="C14" i="2" s="1"/>
  <c r="C16" i="2" s="1"/>
  <c r="N9" i="2" l="1"/>
  <c r="P9" i="2"/>
  <c r="P11" i="2" s="1"/>
  <c r="P12" i="2" s="1"/>
  <c r="O23" i="2"/>
  <c r="O11" i="2"/>
  <c r="Q13" i="2"/>
  <c r="Q14" i="2" s="1"/>
  <c r="R4" i="2"/>
  <c r="M11" i="2"/>
  <c r="M23" i="2"/>
  <c r="R8" i="2"/>
  <c r="Q21" i="2"/>
  <c r="Q20" i="2"/>
  <c r="P22" i="2"/>
  <c r="P19" i="2"/>
  <c r="P18" i="2"/>
  <c r="N11" i="2" l="1"/>
  <c r="N23" i="2"/>
  <c r="P13" i="2"/>
  <c r="P14" i="2" s="1"/>
  <c r="P23" i="2"/>
  <c r="R9" i="2"/>
  <c r="R11" i="2" s="1"/>
  <c r="R12" i="2" s="1"/>
  <c r="R24" i="2" s="1"/>
  <c r="Q16" i="2"/>
  <c r="O12" i="2"/>
  <c r="O24" i="2" s="1"/>
  <c r="O13" i="2"/>
  <c r="P24" i="2"/>
  <c r="M14" i="2"/>
  <c r="M24" i="2"/>
  <c r="S8" i="2"/>
  <c r="R21" i="2"/>
  <c r="R20" i="2"/>
  <c r="Q19" i="2"/>
  <c r="Q18" i="2"/>
  <c r="Q25" i="2"/>
  <c r="Q22" i="2"/>
  <c r="Q23" i="2"/>
  <c r="O14" i="2" l="1"/>
  <c r="O16" i="2" s="1"/>
  <c r="R13" i="2"/>
  <c r="R14" i="2" s="1"/>
  <c r="R16" i="2" s="1"/>
  <c r="P16" i="2"/>
  <c r="P25" i="2"/>
  <c r="M16" i="2"/>
  <c r="M25" i="2"/>
  <c r="S21" i="2"/>
  <c r="T8" i="2"/>
  <c r="S20" i="2"/>
  <c r="S3" i="2"/>
  <c r="R23" i="2"/>
  <c r="R19" i="2"/>
  <c r="R22" i="2"/>
  <c r="R18" i="2"/>
  <c r="O25" i="2" l="1"/>
  <c r="N14" i="2"/>
  <c r="N24" i="2"/>
  <c r="R25" i="2"/>
  <c r="S4" i="2"/>
  <c r="T3" i="2"/>
  <c r="U3" i="2" s="1"/>
  <c r="V3" i="2" s="1"/>
  <c r="W3" i="2" s="1"/>
  <c r="U8" i="2"/>
  <c r="T21" i="2"/>
  <c r="T20" i="2"/>
  <c r="S22" i="2"/>
  <c r="S18" i="2"/>
  <c r="N16" i="2" l="1"/>
  <c r="N25" i="2"/>
  <c r="S19" i="2"/>
  <c r="S9" i="2"/>
  <c r="S11" i="2" s="1"/>
  <c r="S12" i="2" s="1"/>
  <c r="S24" i="2" s="1"/>
  <c r="T19" i="2"/>
  <c r="V8" i="2"/>
  <c r="U21" i="2"/>
  <c r="U20" i="2"/>
  <c r="T22" i="2"/>
  <c r="T18" i="2"/>
  <c r="S13" i="2" l="1"/>
  <c r="S14" i="2" s="1"/>
  <c r="S23" i="2"/>
  <c r="U9" i="2"/>
  <c r="U11" i="2" s="1"/>
  <c r="T4" i="2"/>
  <c r="T9" i="2"/>
  <c r="W8" i="2"/>
  <c r="V21" i="2"/>
  <c r="V20" i="2"/>
  <c r="U22" i="2"/>
  <c r="U18" i="2"/>
  <c r="U23" i="2" l="1"/>
  <c r="S16" i="2"/>
  <c r="S25" i="2"/>
  <c r="T11" i="2"/>
  <c r="T23" i="2"/>
  <c r="U19" i="2"/>
  <c r="U13" i="2"/>
  <c r="U12" i="2"/>
  <c r="U24" i="2" s="1"/>
  <c r="U4" i="2"/>
  <c r="V9" i="2"/>
  <c r="V11" i="2" s="1"/>
  <c r="W21" i="2"/>
  <c r="X20" i="2"/>
  <c r="W20" i="2"/>
  <c r="V18" i="2"/>
  <c r="V22" i="2"/>
  <c r="V19" i="2" l="1"/>
  <c r="V23" i="2"/>
  <c r="X3" i="2"/>
  <c r="X4" i="2" s="1"/>
  <c r="W19" i="2"/>
  <c r="V4" i="2"/>
  <c r="V13" i="2"/>
  <c r="V12" i="2"/>
  <c r="V24" i="2" s="1"/>
  <c r="T13" i="2"/>
  <c r="T12" i="2"/>
  <c r="T24" i="2" s="1"/>
  <c r="U14" i="2"/>
  <c r="X21" i="2"/>
  <c r="X8" i="2"/>
  <c r="W18" i="2"/>
  <c r="W22" i="2"/>
  <c r="V14" i="2" l="1"/>
  <c r="V16" i="2" s="1"/>
  <c r="T14" i="2"/>
  <c r="T16" i="2" s="1"/>
  <c r="X9" i="2"/>
  <c r="X11" i="2" s="1"/>
  <c r="U16" i="2"/>
  <c r="U25" i="2"/>
  <c r="W4" i="2"/>
  <c r="W9" i="2"/>
  <c r="X19" i="2"/>
  <c r="X18" i="2"/>
  <c r="X22" i="2"/>
  <c r="V25" i="2" l="1"/>
  <c r="T25" i="2"/>
  <c r="W11" i="2"/>
  <c r="W23" i="2"/>
  <c r="X12" i="2"/>
  <c r="X24" i="2" s="1"/>
  <c r="X13" i="2"/>
  <c r="X23" i="2"/>
  <c r="X14" i="2" l="1"/>
  <c r="W12" i="2"/>
  <c r="W24" i="2" s="1"/>
  <c r="W13" i="2"/>
  <c r="X25" i="2" l="1"/>
  <c r="Y14" i="2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X16" i="2"/>
  <c r="W14" i="2"/>
  <c r="W16" i="2" s="1"/>
  <c r="AA21" i="2" l="1"/>
  <c r="AA23" i="2" s="1"/>
  <c r="AA24" i="2" s="1"/>
  <c r="AA26" i="2" s="1"/>
  <c r="W25" i="2"/>
</calcChain>
</file>

<file path=xl/sharedStrings.xml><?xml version="1.0" encoding="utf-8"?>
<sst xmlns="http://schemas.openxmlformats.org/spreadsheetml/2006/main" count="54" uniqueCount="49">
  <si>
    <t>AMBQ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</si>
  <si>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</si>
  <si>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</si>
  <si>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</si>
  <si>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</si>
  <si>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</si>
  <si>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</si>
  <si>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</si>
  <si>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</si>
  <si>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</si>
  <si>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</si>
  <si>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</si>
  <si>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Revenue</t>
  </si>
  <si>
    <t>Cost of sales</t>
  </si>
  <si>
    <t>Gross profit</t>
  </si>
  <si>
    <t>R&amp;D</t>
  </si>
  <si>
    <t>SG&amp;A</t>
  </si>
  <si>
    <t>Total operating expense</t>
  </si>
  <si>
    <t>Operating profit</t>
  </si>
  <si>
    <t>Other income</t>
  </si>
  <si>
    <t>Pretax profit</t>
  </si>
  <si>
    <t>Taxes</t>
  </si>
  <si>
    <t>MI</t>
  </si>
  <si>
    <t>Net profit</t>
  </si>
  <si>
    <t>EPS</t>
  </si>
  <si>
    <t>Q124</t>
  </si>
  <si>
    <t>Q224</t>
  </si>
  <si>
    <t>Q324</t>
  </si>
  <si>
    <t>Q424</t>
  </si>
  <si>
    <t>Q125</t>
  </si>
  <si>
    <t>Q325</t>
  </si>
  <si>
    <t>Q425</t>
  </si>
  <si>
    <t>Revenue y/y</t>
  </si>
  <si>
    <t>Gross Margin</t>
  </si>
  <si>
    <t>R&amp;D y/y</t>
  </si>
  <si>
    <t>SG&amp;A y/y</t>
  </si>
  <si>
    <t>SG&amp;A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</si>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</sst>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0</xdr:row>
      <xdr:rowOff>15240</xdr:rowOff>
    </xdr:from>
    <xdr:to>
      <xdr:col>13</xdr:col>
      <xdr:colOff>38100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47CF10F-1922-D3E5-2B29-F834AC5A877A}"/>
            </a:ext>
          </a:extLst>
        </xdr:cNvPr>
        <xdr:cNvCxnSpPr/>
      </xdr:nvCxnSpPr>
      <xdr:spPr>
        <a:xfrm>
          <a:off x="877824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F728-60A7-45DF-96FF-92127D4E80B4}">
  <dimension ref="B2:G9"/>
  <sheetViews>
    <sheetView workbookViewId="0">
      <selection activeCell="E7" sqref="E7"/>
    </sheetView>
  </sheetViews>
  <sheetFormatPr defaultRowHeight="14.4" x14ac:dyDescent="0.3"/>
  <cols>
    <col min="5" max="7" width="11.77734375" style="4" customWidth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1" t="s">
        <v>0</v>
      </c>
      <c r="C3" t="s">
        <v>1</v>
      </c>
      <c r="D3" s="2">
        <v>25.87</v>
      </c>
      <c r="E3" s="5">
        <v>45975</v>
      </c>
      <c r="F3" s="5">
        <f ca="1">TODAY()</f>
        <v>45975</v>
      </c>
      <c r="G3" s="5">
        <v>46078</v>
      </c>
    </row>
    <row r="4" spans="2:7" x14ac:dyDescent="0.3">
      <c r="C4" t="s">
        <v>2</v>
      </c>
      <c r="D4" s="3">
        <f>18.3</f>
        <v>18.3</v>
      </c>
      <c r="E4" s="4" t="s">
        <v>30</v>
      </c>
    </row>
    <row r="5" spans="2:7" x14ac:dyDescent="0.3">
      <c r="C5" t="s">
        <v>3</v>
      </c>
      <c r="D5" s="3">
        <f>D3*D4</f>
        <v>473.42100000000005</v>
      </c>
    </row>
    <row r="6" spans="2:7" x14ac:dyDescent="0.3">
      <c r="C6" t="s">
        <v>4</v>
      </c>
      <c r="D6" s="3">
        <f>146.5</f>
        <v>146.5</v>
      </c>
      <c r="E6" s="4" t="s">
        <v>30</v>
      </c>
    </row>
    <row r="7" spans="2:7" x14ac:dyDescent="0.3">
      <c r="C7" t="s">
        <v>5</v>
      </c>
      <c r="D7" s="3">
        <v>0</v>
      </c>
      <c r="E7" s="4" t="s">
        <v>30</v>
      </c>
    </row>
    <row r="8" spans="2:7" x14ac:dyDescent="0.3">
      <c r="C8" t="s">
        <v>6</v>
      </c>
      <c r="D8" s="3">
        <f>D6-D7</f>
        <v>146.5</v>
      </c>
    </row>
    <row r="9" spans="2:7" x14ac:dyDescent="0.3">
      <c r="C9" t="s">
        <v>7</v>
      </c>
      <c r="D9" s="3">
        <f>D5-D8</f>
        <v>326.92100000000005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6341-A9E1-4A88-8421-CD28BB7A8F16}">
  <dimension ref="B2:EJ27"/>
  <sheetViews>
    <sheetView tabSelected="1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AA21" sqref="AA21"/>
    </sheetView>
  </sheetViews>
  <sheetFormatPr defaultRowHeight="14.4" x14ac:dyDescent="0.3"/>
  <cols>
    <col min="2" max="2" width="20.77734375" bestFit="1" customWidth="1"/>
    <col min="26" max="26" width="12" bestFit="1" customWidth="1"/>
    <col min="27" max="27" width="17.5546875" bestFit="1" customWidth="1"/>
  </cols>
  <sheetData>
    <row r="2" spans="2:140" x14ac:dyDescent="0.3"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11</v>
      </c>
      <c r="I2" s="6" t="s">
        <v>30</v>
      </c>
      <c r="J2" s="6" t="s">
        <v>31</v>
      </c>
      <c r="L2">
        <v>2023</v>
      </c>
      <c r="M2">
        <v>2024</v>
      </c>
      <c r="N2">
        <v>2025</v>
      </c>
      <c r="O2">
        <v>2026</v>
      </c>
      <c r="P2">
        <v>2027</v>
      </c>
      <c r="Q2">
        <v>2028</v>
      </c>
      <c r="R2">
        <v>2029</v>
      </c>
      <c r="S2">
        <v>2030</v>
      </c>
      <c r="T2">
        <v>2031</v>
      </c>
      <c r="U2">
        <v>2032</v>
      </c>
      <c r="V2">
        <v>2033</v>
      </c>
      <c r="W2">
        <v>2034</v>
      </c>
      <c r="X2">
        <v>2035</v>
      </c>
    </row>
    <row r="3" spans="2:140" s="1" customFormat="1" x14ac:dyDescent="0.3">
      <c r="B3" s="1" t="s">
        <v>12</v>
      </c>
      <c r="C3" s="8">
        <v>15.2</v>
      </c>
      <c r="D3" s="8">
        <v>20.3</v>
      </c>
      <c r="E3" s="8">
        <v>20.3</v>
      </c>
      <c r="F3" s="8">
        <f>M3-E3-D3-C3</f>
        <v>20.3</v>
      </c>
      <c r="G3" s="8">
        <v>15.7</v>
      </c>
      <c r="H3" s="8">
        <v>17.899999999999999</v>
      </c>
      <c r="I3" s="8">
        <v>18.2</v>
      </c>
      <c r="J3" s="1">
        <v>19</v>
      </c>
      <c r="L3" s="8">
        <v>65.5</v>
      </c>
      <c r="M3" s="8">
        <v>76.099999999999994</v>
      </c>
      <c r="N3" s="8">
        <f>SUM(G3:J3)</f>
        <v>70.8</v>
      </c>
      <c r="O3" s="8">
        <v>82</v>
      </c>
      <c r="P3" s="8">
        <f>O3*1.7</f>
        <v>139.4</v>
      </c>
      <c r="Q3" s="8">
        <f>P3*1.6</f>
        <v>223.04000000000002</v>
      </c>
      <c r="R3" s="8">
        <f>Q3*1.5</f>
        <v>334.56000000000006</v>
      </c>
      <c r="S3" s="8">
        <f t="shared" ref="S3" si="0">R3*1.4</f>
        <v>468.38400000000007</v>
      </c>
      <c r="T3" s="8">
        <f>S3*1.3</f>
        <v>608.89920000000006</v>
      </c>
      <c r="U3" s="8">
        <f>T3*1.2</f>
        <v>730.6790400000001</v>
      </c>
      <c r="V3" s="8">
        <f>U3*1.1</f>
        <v>803.74694400000021</v>
      </c>
      <c r="W3" s="8">
        <f>V3*1.05</f>
        <v>843.9342912000003</v>
      </c>
      <c r="X3" s="8">
        <f>W3*1.05</f>
        <v>886.13100576000033</v>
      </c>
    </row>
    <row r="4" spans="2:140" x14ac:dyDescent="0.3">
      <c r="B4" t="s">
        <v>13</v>
      </c>
      <c r="C4" s="3">
        <v>9</v>
      </c>
      <c r="D4" s="3">
        <v>13.8</v>
      </c>
      <c r="E4" s="3">
        <v>13.7</v>
      </c>
      <c r="F4" s="11">
        <f>M4-E4-D4-C4</f>
        <v>15.299999999999994</v>
      </c>
      <c r="G4" s="3">
        <v>7.3</v>
      </c>
      <c r="H4" s="3">
        <v>10.7</v>
      </c>
      <c r="I4" s="3">
        <v>10.5</v>
      </c>
      <c r="J4">
        <f>J3-J5</f>
        <v>10.83</v>
      </c>
      <c r="L4" s="3">
        <v>46.1</v>
      </c>
      <c r="M4" s="3">
        <v>51.8</v>
      </c>
      <c r="N4" s="11">
        <f>SUM(G4:J4)</f>
        <v>39.33</v>
      </c>
      <c r="O4" s="3">
        <f t="shared" ref="O4:X4" si="1">O3-O5</f>
        <v>47.56</v>
      </c>
      <c r="P4" s="3">
        <f t="shared" si="1"/>
        <v>79.457999999999998</v>
      </c>
      <c r="Q4" s="3">
        <f t="shared" si="1"/>
        <v>124.90240000000001</v>
      </c>
      <c r="R4" s="3">
        <f t="shared" si="1"/>
        <v>187.35360000000003</v>
      </c>
      <c r="S4" s="3">
        <f t="shared" si="1"/>
        <v>262.29504000000003</v>
      </c>
      <c r="T4" s="3">
        <f t="shared" si="1"/>
        <v>340.98355200000003</v>
      </c>
      <c r="U4" s="3">
        <f t="shared" si="1"/>
        <v>409.18026240000006</v>
      </c>
      <c r="V4" s="3">
        <f t="shared" si="1"/>
        <v>450.09828864000013</v>
      </c>
      <c r="W4" s="3">
        <f t="shared" si="1"/>
        <v>472.60320307200016</v>
      </c>
      <c r="X4" s="3">
        <f t="shared" si="1"/>
        <v>496.23336322560016</v>
      </c>
    </row>
    <row r="5" spans="2:140" s="1" customFormat="1" x14ac:dyDescent="0.3">
      <c r="B5" s="1" t="s">
        <v>14</v>
      </c>
      <c r="C5" s="8">
        <f>C3-C4</f>
        <v>6.1999999999999993</v>
      </c>
      <c r="D5" s="8">
        <f>D3-D4</f>
        <v>6.5</v>
      </c>
      <c r="E5" s="8">
        <f>E3-E4</f>
        <v>6.6000000000000014</v>
      </c>
      <c r="F5" s="8">
        <f>F3-F4</f>
        <v>5.0000000000000071</v>
      </c>
      <c r="G5" s="8">
        <f>G3-G4</f>
        <v>8.3999999999999986</v>
      </c>
      <c r="H5" s="8">
        <f>H3-H4</f>
        <v>7.1999999999999993</v>
      </c>
      <c r="I5" s="8">
        <f>I3-I4</f>
        <v>7.6999999999999993</v>
      </c>
      <c r="J5" s="1">
        <f>J3*0.43</f>
        <v>8.17</v>
      </c>
      <c r="L5" s="8">
        <f>L3-L4</f>
        <v>19.399999999999999</v>
      </c>
      <c r="M5" s="8">
        <f>M3-M4</f>
        <v>24.299999999999997</v>
      </c>
      <c r="N5" s="8">
        <f>N3-N4</f>
        <v>31.47</v>
      </c>
      <c r="O5" s="8">
        <f>O3*0.42</f>
        <v>34.44</v>
      </c>
      <c r="P5" s="8">
        <f>P3*0.43</f>
        <v>59.942</v>
      </c>
      <c r="Q5" s="8">
        <f>Q3*0.44</f>
        <v>98.137600000000006</v>
      </c>
      <c r="R5" s="8">
        <f t="shared" ref="R5:X5" si="2">R3*0.44</f>
        <v>147.20640000000003</v>
      </c>
      <c r="S5" s="8">
        <f t="shared" si="2"/>
        <v>206.08896000000004</v>
      </c>
      <c r="T5" s="8">
        <f t="shared" si="2"/>
        <v>267.91564800000003</v>
      </c>
      <c r="U5" s="8">
        <f t="shared" si="2"/>
        <v>321.49877760000004</v>
      </c>
      <c r="V5" s="8">
        <f t="shared" si="2"/>
        <v>353.64865536000008</v>
      </c>
      <c r="W5" s="8">
        <f t="shared" si="2"/>
        <v>371.33108812800015</v>
      </c>
      <c r="X5" s="8">
        <f t="shared" si="2"/>
        <v>389.89764253440018</v>
      </c>
    </row>
    <row r="6" spans="2:140" x14ac:dyDescent="0.3">
      <c r="B6" t="s">
        <v>15</v>
      </c>
      <c r="C6" s="3">
        <v>9.4</v>
      </c>
      <c r="D6" s="3">
        <v>9.4</v>
      </c>
      <c r="E6" s="3">
        <v>9.6</v>
      </c>
      <c r="F6" s="11">
        <f t="shared" ref="F6:F7" si="3">M6-E6-D6-C6</f>
        <v>8.8000000000000025</v>
      </c>
      <c r="G6" s="3">
        <v>8.6999999999999993</v>
      </c>
      <c r="H6" s="3">
        <v>8.9</v>
      </c>
      <c r="I6" s="3">
        <v>8.9</v>
      </c>
      <c r="J6" s="3">
        <v>9.1</v>
      </c>
      <c r="L6" s="3">
        <v>44</v>
      </c>
      <c r="M6" s="3">
        <v>37.200000000000003</v>
      </c>
      <c r="N6" s="11">
        <f t="shared" ref="N6:N7" si="4">SUM(G6:J6)</f>
        <v>35.6</v>
      </c>
      <c r="O6" s="3">
        <f>N6*0.95</f>
        <v>33.82</v>
      </c>
      <c r="P6" s="3">
        <f t="shared" ref="P6:T6" si="5">O6*1.25</f>
        <v>42.274999999999999</v>
      </c>
      <c r="Q6" s="3">
        <f t="shared" si="5"/>
        <v>52.84375</v>
      </c>
      <c r="R6" s="3">
        <f t="shared" si="5"/>
        <v>66.0546875</v>
      </c>
      <c r="S6" s="3">
        <f t="shared" si="5"/>
        <v>82.568359375</v>
      </c>
      <c r="T6" s="3">
        <f t="shared" si="5"/>
        <v>103.21044921875</v>
      </c>
      <c r="U6" s="3">
        <f>T6*1.2</f>
        <v>123.8525390625</v>
      </c>
      <c r="V6" s="3">
        <f>U6*1.15</f>
        <v>142.430419921875</v>
      </c>
      <c r="W6" s="3">
        <f>V6*1.1</f>
        <v>156.6734619140625</v>
      </c>
      <c r="X6" s="3">
        <f>W6*1.05</f>
        <v>164.50713500976562</v>
      </c>
    </row>
    <row r="7" spans="2:140" x14ac:dyDescent="0.3">
      <c r="B7" t="s">
        <v>16</v>
      </c>
      <c r="C7" s="3">
        <v>6</v>
      </c>
      <c r="D7" s="3">
        <v>8</v>
      </c>
      <c r="E7" s="3">
        <v>7.1</v>
      </c>
      <c r="F7" s="11">
        <f t="shared" si="3"/>
        <v>6.6000000000000014</v>
      </c>
      <c r="G7" s="3">
        <v>8.4</v>
      </c>
      <c r="H7" s="3">
        <v>7.1</v>
      </c>
      <c r="I7" s="3">
        <v>8.8000000000000007</v>
      </c>
      <c r="J7" s="3">
        <v>9.5</v>
      </c>
      <c r="L7" s="3">
        <v>26.7</v>
      </c>
      <c r="M7" s="3">
        <v>27.7</v>
      </c>
      <c r="N7" s="11">
        <f t="shared" si="4"/>
        <v>33.799999999999997</v>
      </c>
      <c r="O7" s="3">
        <f>N7*0.85</f>
        <v>28.729999999999997</v>
      </c>
      <c r="P7" s="3">
        <f>O7*1.6</f>
        <v>45.967999999999996</v>
      </c>
      <c r="Q7" s="3">
        <f>P7*1.5</f>
        <v>68.951999999999998</v>
      </c>
      <c r="R7" s="3">
        <f>Q7*1.4</f>
        <v>96.532799999999995</v>
      </c>
      <c r="S7" s="3">
        <f>R7*1.3</f>
        <v>125.49263999999999</v>
      </c>
      <c r="T7" s="3">
        <f>S7*1.2</f>
        <v>150.59116799999998</v>
      </c>
      <c r="U7" s="3">
        <f>T7*1.1</f>
        <v>165.65028479999998</v>
      </c>
      <c r="V7" s="3">
        <f>U7*1.05</f>
        <v>173.93279903999999</v>
      </c>
      <c r="W7" s="3">
        <f t="shared" ref="W7:X7" si="6">V7*1.05</f>
        <v>182.62943899199999</v>
      </c>
      <c r="X7" s="3">
        <f t="shared" si="6"/>
        <v>191.7609109416</v>
      </c>
    </row>
    <row r="8" spans="2:140" x14ac:dyDescent="0.3">
      <c r="B8" t="s">
        <v>17</v>
      </c>
      <c r="C8" s="3">
        <f>SUM(C6:C7)</f>
        <v>15.4</v>
      </c>
      <c r="D8" s="3">
        <f>SUM(D6:D7)</f>
        <v>17.399999999999999</v>
      </c>
      <c r="E8" s="3">
        <f>SUM(E6:E7)</f>
        <v>16.7</v>
      </c>
      <c r="F8" s="3">
        <f>SUM(F6:F7)</f>
        <v>15.400000000000004</v>
      </c>
      <c r="G8" s="3">
        <f>SUM(G6:G7)</f>
        <v>17.100000000000001</v>
      </c>
      <c r="H8" s="3">
        <f>SUM(H6:H7)</f>
        <v>16</v>
      </c>
      <c r="I8" s="3">
        <f>SUM(I6:I7)</f>
        <v>17.700000000000003</v>
      </c>
      <c r="J8" s="3">
        <f>SUM(J6:J7)</f>
        <v>18.600000000000001</v>
      </c>
      <c r="L8" s="3">
        <f>SUM(L6:L7)</f>
        <v>70.7</v>
      </c>
      <c r="M8" s="3">
        <f>SUM(M6:M7)</f>
        <v>64.900000000000006</v>
      </c>
      <c r="N8" s="3">
        <f t="shared" ref="N8:X8" si="7">SUM(N6:N7)</f>
        <v>69.400000000000006</v>
      </c>
      <c r="O8" s="3">
        <f t="shared" si="7"/>
        <v>62.55</v>
      </c>
      <c r="P8" s="3">
        <f t="shared" si="7"/>
        <v>88.242999999999995</v>
      </c>
      <c r="Q8" s="3">
        <f t="shared" si="7"/>
        <v>121.79575</v>
      </c>
      <c r="R8" s="3">
        <f t="shared" si="7"/>
        <v>162.58748750000001</v>
      </c>
      <c r="S8" s="3">
        <f t="shared" si="7"/>
        <v>208.06099937499999</v>
      </c>
      <c r="T8" s="3">
        <f t="shared" si="7"/>
        <v>253.80161721874998</v>
      </c>
      <c r="U8" s="3">
        <f t="shared" si="7"/>
        <v>289.50282386250001</v>
      </c>
      <c r="V8" s="3">
        <f t="shared" si="7"/>
        <v>316.36321896187496</v>
      </c>
      <c r="W8" s="3">
        <f t="shared" si="7"/>
        <v>339.30290090606252</v>
      </c>
      <c r="X8" s="3">
        <f t="shared" si="7"/>
        <v>356.26804595136559</v>
      </c>
    </row>
    <row r="9" spans="2:140" s="1" customFormat="1" x14ac:dyDescent="0.3">
      <c r="B9" s="1" t="s">
        <v>18</v>
      </c>
      <c r="C9" s="8">
        <f>C5-C8</f>
        <v>-9.2000000000000011</v>
      </c>
      <c r="D9" s="8">
        <f>D5-D8</f>
        <v>-10.899999999999999</v>
      </c>
      <c r="E9" s="8">
        <f>E5-E8</f>
        <v>-10.099999999999998</v>
      </c>
      <c r="F9" s="8">
        <f>F5-F8</f>
        <v>-10.399999999999997</v>
      </c>
      <c r="G9" s="8">
        <f>G5-G8</f>
        <v>-8.7000000000000028</v>
      </c>
      <c r="H9" s="8">
        <f>H5-H8</f>
        <v>-8.8000000000000007</v>
      </c>
      <c r="I9" s="8">
        <f>I5-I8</f>
        <v>-10.000000000000004</v>
      </c>
      <c r="J9" s="8">
        <f>J5-J8</f>
        <v>-10.430000000000001</v>
      </c>
      <c r="L9" s="8">
        <f>L5-L8</f>
        <v>-51.300000000000004</v>
      </c>
      <c r="M9" s="8">
        <f>M5-M8</f>
        <v>-40.600000000000009</v>
      </c>
      <c r="N9" s="8">
        <f t="shared" ref="N9:X9" si="8">N5-N8</f>
        <v>-37.930000000000007</v>
      </c>
      <c r="O9" s="8">
        <f t="shared" si="8"/>
        <v>-28.11</v>
      </c>
      <c r="P9" s="8">
        <f t="shared" si="8"/>
        <v>-28.300999999999995</v>
      </c>
      <c r="Q9" s="8">
        <f t="shared" si="8"/>
        <v>-23.658149999999992</v>
      </c>
      <c r="R9" s="8">
        <f t="shared" si="8"/>
        <v>-15.381087499999978</v>
      </c>
      <c r="S9" s="8">
        <f t="shared" si="8"/>
        <v>-1.9720393749999516</v>
      </c>
      <c r="T9" s="8">
        <f t="shared" si="8"/>
        <v>14.114030781250051</v>
      </c>
      <c r="U9" s="8">
        <f t="shared" si="8"/>
        <v>31.995953737500031</v>
      </c>
      <c r="V9" s="8">
        <f t="shared" si="8"/>
        <v>37.285436398125114</v>
      </c>
      <c r="W9" s="8">
        <f t="shared" si="8"/>
        <v>32.028187221937628</v>
      </c>
      <c r="X9" s="8">
        <f t="shared" si="8"/>
        <v>33.629596583034584</v>
      </c>
    </row>
    <row r="10" spans="2:140" x14ac:dyDescent="0.3">
      <c r="B10" t="s">
        <v>19</v>
      </c>
      <c r="C10" s="3">
        <v>0.2</v>
      </c>
      <c r="D10" s="3">
        <v>-0.3</v>
      </c>
      <c r="E10" s="3">
        <v>-0.7</v>
      </c>
      <c r="F10" s="11">
        <f>M10-E10-D10-C10</f>
        <v>-0.20000000000000007</v>
      </c>
      <c r="G10" s="3">
        <v>-0.5</v>
      </c>
      <c r="H10" s="3">
        <v>-0.3</v>
      </c>
      <c r="I10" s="3">
        <v>-1</v>
      </c>
      <c r="J10" s="3">
        <v>-1</v>
      </c>
      <c r="L10" s="3">
        <v>-1</v>
      </c>
      <c r="M10" s="3">
        <v>-1</v>
      </c>
      <c r="N10" s="11">
        <f>SUM(G10:J10)</f>
        <v>-2.8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2:140" s="1" customFormat="1" x14ac:dyDescent="0.3">
      <c r="B11" s="1" t="s">
        <v>20</v>
      </c>
      <c r="C11" s="8">
        <f>C9-C10</f>
        <v>-9.4</v>
      </c>
      <c r="D11" s="8">
        <f>D9-D10</f>
        <v>-10.599999999999998</v>
      </c>
      <c r="E11" s="8">
        <f>E9-E10</f>
        <v>-9.3999999999999986</v>
      </c>
      <c r="F11" s="8">
        <f>F9-F10</f>
        <v>-10.199999999999998</v>
      </c>
      <c r="G11" s="8">
        <f>G9-G10</f>
        <v>-8.2000000000000028</v>
      </c>
      <c r="H11" s="8">
        <f>H9-H10</f>
        <v>-8.5</v>
      </c>
      <c r="I11" s="8">
        <f>I9-I10</f>
        <v>-9.0000000000000036</v>
      </c>
      <c r="J11" s="8">
        <f>J9-J10</f>
        <v>-9.4300000000000015</v>
      </c>
      <c r="L11" s="8">
        <f>L9-L10</f>
        <v>-50.300000000000004</v>
      </c>
      <c r="M11" s="8">
        <f>M9-M10</f>
        <v>-39.600000000000009</v>
      </c>
      <c r="N11" s="8">
        <f>N9-N10</f>
        <v>-35.13000000000001</v>
      </c>
      <c r="O11" s="8">
        <f t="shared" ref="O11:X11" si="9">O9-O10</f>
        <v>-28.11</v>
      </c>
      <c r="P11" s="8">
        <f t="shared" si="9"/>
        <v>-28.300999999999995</v>
      </c>
      <c r="Q11" s="8">
        <f t="shared" si="9"/>
        <v>-23.658149999999992</v>
      </c>
      <c r="R11" s="8">
        <f t="shared" si="9"/>
        <v>-15.381087499999978</v>
      </c>
      <c r="S11" s="8">
        <f t="shared" si="9"/>
        <v>-1.9720393749999516</v>
      </c>
      <c r="T11" s="8">
        <f t="shared" si="9"/>
        <v>14.114030781250051</v>
      </c>
      <c r="U11" s="8">
        <f t="shared" si="9"/>
        <v>31.995953737500031</v>
      </c>
      <c r="V11" s="8">
        <f t="shared" si="9"/>
        <v>37.285436398125114</v>
      </c>
      <c r="W11" s="8">
        <f t="shared" si="9"/>
        <v>32.028187221937628</v>
      </c>
      <c r="X11" s="8">
        <f t="shared" si="9"/>
        <v>33.629596583034584</v>
      </c>
    </row>
    <row r="12" spans="2:140" x14ac:dyDescent="0.3">
      <c r="B12" t="s">
        <v>21</v>
      </c>
      <c r="C12" s="3">
        <v>0</v>
      </c>
      <c r="D12" s="3">
        <v>0</v>
      </c>
      <c r="E12" s="3">
        <v>0</v>
      </c>
      <c r="F12" s="11">
        <f t="shared" ref="F12:F13" si="10">M12-E12-D12-C12</f>
        <v>0</v>
      </c>
      <c r="G12" s="3">
        <v>0</v>
      </c>
      <c r="H12" s="3">
        <v>0</v>
      </c>
      <c r="I12" s="3">
        <v>0</v>
      </c>
      <c r="J12" s="3">
        <v>0</v>
      </c>
      <c r="L12" s="3">
        <v>0</v>
      </c>
      <c r="M12" s="3">
        <v>0</v>
      </c>
      <c r="N12" s="11">
        <f t="shared" ref="N12:N13" si="11">SUM(G12:J12)</f>
        <v>0</v>
      </c>
      <c r="O12" s="3">
        <f t="shared" ref="O12:X12" si="12">O11*0.2</f>
        <v>-5.6219999999999999</v>
      </c>
      <c r="P12" s="3">
        <f t="shared" si="12"/>
        <v>-5.6601999999999997</v>
      </c>
      <c r="Q12" s="3">
        <f t="shared" si="12"/>
        <v>-4.7316299999999982</v>
      </c>
      <c r="R12" s="3">
        <f t="shared" si="12"/>
        <v>-3.0762174999999958</v>
      </c>
      <c r="S12" s="3">
        <f t="shared" si="12"/>
        <v>-0.39440787499999036</v>
      </c>
      <c r="T12" s="3">
        <f t="shared" si="12"/>
        <v>2.8228061562500102</v>
      </c>
      <c r="U12" s="3">
        <f t="shared" si="12"/>
        <v>6.3991907475000067</v>
      </c>
      <c r="V12" s="3">
        <f t="shared" si="12"/>
        <v>7.4570872796250232</v>
      </c>
      <c r="W12" s="3">
        <f t="shared" si="12"/>
        <v>6.4056374443875264</v>
      </c>
      <c r="X12" s="3">
        <f t="shared" si="12"/>
        <v>6.7259193166069169</v>
      </c>
    </row>
    <row r="13" spans="2:140" x14ac:dyDescent="0.3">
      <c r="B13" t="s">
        <v>22</v>
      </c>
      <c r="C13" s="3">
        <v>0.4</v>
      </c>
      <c r="D13" s="3">
        <v>2</v>
      </c>
      <c r="E13" s="3">
        <v>0.3</v>
      </c>
      <c r="F13" s="11">
        <f t="shared" si="10"/>
        <v>0</v>
      </c>
      <c r="G13" s="3">
        <v>0</v>
      </c>
      <c r="H13" s="3">
        <v>0</v>
      </c>
      <c r="I13" s="3">
        <v>0</v>
      </c>
      <c r="J13" s="3">
        <v>0</v>
      </c>
      <c r="L13" s="3">
        <v>1.9</v>
      </c>
      <c r="M13" s="3">
        <v>2.7</v>
      </c>
      <c r="N13" s="11">
        <f t="shared" si="11"/>
        <v>0</v>
      </c>
      <c r="O13" s="3">
        <f t="shared" ref="O13:X13" si="13">O11*0.1</f>
        <v>-2.8109999999999999</v>
      </c>
      <c r="P13" s="3">
        <f t="shared" si="13"/>
        <v>-2.8300999999999998</v>
      </c>
      <c r="Q13" s="3">
        <f t="shared" si="13"/>
        <v>-2.3658149999999991</v>
      </c>
      <c r="R13" s="3">
        <f t="shared" si="13"/>
        <v>-1.5381087499999979</v>
      </c>
      <c r="S13" s="3">
        <f t="shared" si="13"/>
        <v>-0.19720393749999518</v>
      </c>
      <c r="T13" s="3">
        <f t="shared" si="13"/>
        <v>1.4114030781250051</v>
      </c>
      <c r="U13" s="3">
        <f t="shared" si="13"/>
        <v>3.1995953737500034</v>
      </c>
      <c r="V13" s="3">
        <f t="shared" si="13"/>
        <v>3.7285436398125116</v>
      </c>
      <c r="W13" s="3">
        <f t="shared" si="13"/>
        <v>3.2028187221937632</v>
      </c>
      <c r="X13" s="3">
        <f t="shared" si="13"/>
        <v>3.3629596583034584</v>
      </c>
    </row>
    <row r="14" spans="2:140" s="1" customFormat="1" x14ac:dyDescent="0.3">
      <c r="B14" s="1" t="s">
        <v>23</v>
      </c>
      <c r="C14" s="8">
        <f>C11-C12-C13</f>
        <v>-9.8000000000000007</v>
      </c>
      <c r="D14" s="8">
        <f>D11-D12-D13</f>
        <v>-12.599999999999998</v>
      </c>
      <c r="E14" s="8">
        <f>E11-E12-E13</f>
        <v>-9.6999999999999993</v>
      </c>
      <c r="F14" s="8">
        <f>F11-F12-F13</f>
        <v>-10.199999999999998</v>
      </c>
      <c r="G14" s="8">
        <f>G11-G12-G13</f>
        <v>-8.2000000000000028</v>
      </c>
      <c r="H14" s="8">
        <f>H11-H12-H13</f>
        <v>-8.5</v>
      </c>
      <c r="I14" s="8">
        <f>I11-I12-I13</f>
        <v>-9.0000000000000036</v>
      </c>
      <c r="J14" s="8">
        <f>J11-J12-J13</f>
        <v>-9.4300000000000015</v>
      </c>
      <c r="L14" s="8">
        <f>L11-L12-L13</f>
        <v>-52.2</v>
      </c>
      <c r="M14" s="8">
        <f>M11-M12-M13</f>
        <v>-42.300000000000011</v>
      </c>
      <c r="N14" s="8">
        <f>N11-N12-N13</f>
        <v>-35.13000000000001</v>
      </c>
      <c r="O14" s="8">
        <f t="shared" ref="O14:X14" si="14">O11-O12-O13</f>
        <v>-19.677</v>
      </c>
      <c r="P14" s="8">
        <f t="shared" si="14"/>
        <v>-19.810699999999997</v>
      </c>
      <c r="Q14" s="8">
        <f t="shared" si="14"/>
        <v>-16.560704999999995</v>
      </c>
      <c r="R14" s="8">
        <f t="shared" si="14"/>
        <v>-10.766761249999986</v>
      </c>
      <c r="S14" s="8">
        <f t="shared" si="14"/>
        <v>-1.380427562499966</v>
      </c>
      <c r="T14" s="8">
        <f t="shared" si="14"/>
        <v>9.8798215468750357</v>
      </c>
      <c r="U14" s="8">
        <f t="shared" si="14"/>
        <v>22.39716761625002</v>
      </c>
      <c r="V14" s="8">
        <f t="shared" si="14"/>
        <v>26.099805478687582</v>
      </c>
      <c r="W14" s="8">
        <f t="shared" si="14"/>
        <v>22.419731055356337</v>
      </c>
      <c r="X14" s="8">
        <f t="shared" si="14"/>
        <v>23.540717608124208</v>
      </c>
      <c r="Y14" s="1">
        <f>X14*(1+$AA$19)</f>
        <v>23.305310432042965</v>
      </c>
      <c r="Z14" s="1">
        <f t="shared" ref="Z14:CK14" si="15">Y14*(1+$AA$19)</f>
        <v>23.072257327722536</v>
      </c>
      <c r="AA14" s="1">
        <f t="shared" si="15"/>
        <v>22.841534754445309</v>
      </c>
      <c r="AB14" s="1">
        <f t="shared" si="15"/>
        <v>22.613119406900857</v>
      </c>
      <c r="AC14" s="1">
        <f t="shared" si="15"/>
        <v>22.386988212831849</v>
      </c>
      <c r="AD14" s="1">
        <f t="shared" si="15"/>
        <v>22.163118330703529</v>
      </c>
      <c r="AE14" s="1">
        <f t="shared" si="15"/>
        <v>21.941487147396494</v>
      </c>
      <c r="AF14" s="1">
        <f t="shared" si="15"/>
        <v>21.722072275922528</v>
      </c>
      <c r="AG14" s="1">
        <f t="shared" si="15"/>
        <v>21.504851553163302</v>
      </c>
      <c r="AH14" s="1">
        <f t="shared" si="15"/>
        <v>21.289803037631668</v>
      </c>
      <c r="AI14" s="1">
        <f t="shared" si="15"/>
        <v>21.076905007255352</v>
      </c>
      <c r="AJ14" s="1">
        <f t="shared" si="15"/>
        <v>20.866135957182799</v>
      </c>
      <c r="AK14" s="1">
        <f t="shared" si="15"/>
        <v>20.657474597610971</v>
      </c>
      <c r="AL14" s="1">
        <f t="shared" si="15"/>
        <v>20.450899851634862</v>
      </c>
      <c r="AM14" s="1">
        <f t="shared" si="15"/>
        <v>20.246390853118513</v>
      </c>
      <c r="AN14" s="1">
        <f t="shared" si="15"/>
        <v>20.043926944587326</v>
      </c>
      <c r="AO14" s="1">
        <f t="shared" si="15"/>
        <v>19.843487675141454</v>
      </c>
      <c r="AP14" s="1">
        <f t="shared" si="15"/>
        <v>19.64505279839004</v>
      </c>
      <c r="AQ14" s="1">
        <f t="shared" si="15"/>
        <v>19.448602270406141</v>
      </c>
      <c r="AR14" s="1">
        <f t="shared" si="15"/>
        <v>19.254116247702079</v>
      </c>
      <c r="AS14" s="1">
        <f t="shared" si="15"/>
        <v>19.061575085225059</v>
      </c>
      <c r="AT14" s="1">
        <f t="shared" si="15"/>
        <v>18.870959334372809</v>
      </c>
      <c r="AU14" s="1">
        <f t="shared" si="15"/>
        <v>18.682249741029082</v>
      </c>
      <c r="AV14" s="1">
        <f t="shared" si="15"/>
        <v>18.495427243618792</v>
      </c>
      <c r="AW14" s="1">
        <f t="shared" si="15"/>
        <v>18.310472971182605</v>
      </c>
      <c r="AX14" s="1">
        <f t="shared" si="15"/>
        <v>18.12736824147078</v>
      </c>
      <c r="AY14" s="1">
        <f t="shared" si="15"/>
        <v>17.946094559056071</v>
      </c>
      <c r="AZ14" s="1">
        <f t="shared" si="15"/>
        <v>17.766633613465512</v>
      </c>
      <c r="BA14" s="1">
        <f t="shared" si="15"/>
        <v>17.588967277330855</v>
      </c>
      <c r="BB14" s="1">
        <f t="shared" si="15"/>
        <v>17.413077604557547</v>
      </c>
      <c r="BC14" s="1">
        <f t="shared" si="15"/>
        <v>17.23894682851197</v>
      </c>
      <c r="BD14" s="1">
        <f t="shared" si="15"/>
        <v>17.066557360226852</v>
      </c>
      <c r="BE14" s="1">
        <f t="shared" si="15"/>
        <v>16.895891786624585</v>
      </c>
      <c r="BF14" s="1">
        <f t="shared" si="15"/>
        <v>16.72693286875834</v>
      </c>
      <c r="BG14" s="1">
        <f t="shared" si="15"/>
        <v>16.559663540070755</v>
      </c>
      <c r="BH14" s="1">
        <f t="shared" si="15"/>
        <v>16.394066904670048</v>
      </c>
      <c r="BI14" s="1">
        <f t="shared" si="15"/>
        <v>16.230126235623349</v>
      </c>
      <c r="BJ14" s="1">
        <f t="shared" si="15"/>
        <v>16.067824973267115</v>
      </c>
      <c r="BK14" s="1">
        <f t="shared" si="15"/>
        <v>15.907146723534444</v>
      </c>
      <c r="BL14" s="1">
        <f t="shared" si="15"/>
        <v>15.748075256299099</v>
      </c>
      <c r="BM14" s="1">
        <f t="shared" si="15"/>
        <v>15.590594503736108</v>
      </c>
      <c r="BN14" s="1">
        <f t="shared" si="15"/>
        <v>15.434688558698747</v>
      </c>
      <c r="BO14" s="1">
        <f t="shared" si="15"/>
        <v>15.28034167311176</v>
      </c>
      <c r="BP14" s="1">
        <f t="shared" si="15"/>
        <v>15.127538256380642</v>
      </c>
      <c r="BQ14" s="1">
        <f t="shared" si="15"/>
        <v>14.976262873816836</v>
      </c>
      <c r="BR14" s="1">
        <f t="shared" si="15"/>
        <v>14.826500245078668</v>
      </c>
      <c r="BS14" s="1">
        <f t="shared" si="15"/>
        <v>14.678235242627881</v>
      </c>
      <c r="BT14" s="1">
        <f t="shared" si="15"/>
        <v>14.531452890201603</v>
      </c>
      <c r="BU14" s="1">
        <f t="shared" si="15"/>
        <v>14.386138361299587</v>
      </c>
      <c r="BV14" s="1">
        <f t="shared" si="15"/>
        <v>14.24227697768659</v>
      </c>
      <c r="BW14" s="1">
        <f t="shared" si="15"/>
        <v>14.099854207909724</v>
      </c>
      <c r="BX14" s="1">
        <f t="shared" si="15"/>
        <v>13.958855665830626</v>
      </c>
      <c r="BY14" s="1">
        <f t="shared" si="15"/>
        <v>13.819267109172319</v>
      </c>
      <c r="BZ14" s="1">
        <f t="shared" si="15"/>
        <v>13.681074438080596</v>
      </c>
      <c r="CA14" s="1">
        <f t="shared" si="15"/>
        <v>13.54426369369979</v>
      </c>
      <c r="CB14" s="1">
        <f t="shared" si="15"/>
        <v>13.408821056762791</v>
      </c>
      <c r="CC14" s="1">
        <f t="shared" si="15"/>
        <v>13.274732846195164</v>
      </c>
      <c r="CD14" s="1">
        <f t="shared" si="15"/>
        <v>13.141985517733213</v>
      </c>
      <c r="CE14" s="1">
        <f t="shared" si="15"/>
        <v>13.01056566255588</v>
      </c>
      <c r="CF14" s="1">
        <f t="shared" si="15"/>
        <v>12.88046000593032</v>
      </c>
      <c r="CG14" s="1">
        <f t="shared" si="15"/>
        <v>12.751655405871016</v>
      </c>
      <c r="CH14" s="1">
        <f t="shared" si="15"/>
        <v>12.624138851812306</v>
      </c>
      <c r="CI14" s="1">
        <f t="shared" si="15"/>
        <v>12.497897463294183</v>
      </c>
      <c r="CJ14" s="1">
        <f t="shared" si="15"/>
        <v>12.372918488661242</v>
      </c>
      <c r="CK14" s="1">
        <f t="shared" si="15"/>
        <v>12.24918930377463</v>
      </c>
      <c r="CL14" s="1">
        <f t="shared" ref="CL14:EJ14" si="16">CK14*(1+$AA$19)</f>
        <v>12.126697410736883</v>
      </c>
      <c r="CM14" s="1">
        <f t="shared" si="16"/>
        <v>12.005430436629513</v>
      </c>
      <c r="CN14" s="1">
        <f t="shared" si="16"/>
        <v>11.885376132263218</v>
      </c>
      <c r="CO14" s="1">
        <f t="shared" si="16"/>
        <v>11.766522370940585</v>
      </c>
      <c r="CP14" s="1">
        <f t="shared" si="16"/>
        <v>11.64885714723118</v>
      </c>
      <c r="CQ14" s="1">
        <f t="shared" si="16"/>
        <v>11.532368575758868</v>
      </c>
      <c r="CR14" s="1">
        <f t="shared" si="16"/>
        <v>11.417044890001279</v>
      </c>
      <c r="CS14" s="1">
        <f t="shared" si="16"/>
        <v>11.302874441101265</v>
      </c>
      <c r="CT14" s="1">
        <f t="shared" si="16"/>
        <v>11.189845696690252</v>
      </c>
      <c r="CU14" s="1">
        <f t="shared" si="16"/>
        <v>11.077947239723349</v>
      </c>
      <c r="CV14" s="1">
        <f t="shared" si="16"/>
        <v>10.967167767326115</v>
      </c>
      <c r="CW14" s="1">
        <f t="shared" si="16"/>
        <v>10.857496089652853</v>
      </c>
      <c r="CX14" s="1">
        <f t="shared" si="16"/>
        <v>10.748921128756324</v>
      </c>
      <c r="CY14" s="1">
        <f t="shared" si="16"/>
        <v>10.641431917468761</v>
      </c>
      <c r="CZ14" s="1">
        <f t="shared" si="16"/>
        <v>10.535017598294074</v>
      </c>
      <c r="DA14" s="1">
        <f t="shared" si="16"/>
        <v>10.429667422311132</v>
      </c>
      <c r="DB14" s="1">
        <f t="shared" si="16"/>
        <v>10.325370748088021</v>
      </c>
      <c r="DC14" s="1">
        <f t="shared" si="16"/>
        <v>10.222117040607142</v>
      </c>
      <c r="DD14" s="1">
        <f t="shared" si="16"/>
        <v>10.11989587020107</v>
      </c>
      <c r="DE14" s="1">
        <f t="shared" si="16"/>
        <v>10.01869691149906</v>
      </c>
      <c r="DF14" s="1">
        <f t="shared" si="16"/>
        <v>9.9185099423840697</v>
      </c>
      <c r="DG14" s="1">
        <f t="shared" si="16"/>
        <v>9.8193248429602296</v>
      </c>
      <c r="DH14" s="1">
        <f t="shared" si="16"/>
        <v>9.7211315945306271</v>
      </c>
      <c r="DI14" s="1">
        <f t="shared" si="16"/>
        <v>9.6239202785853202</v>
      </c>
      <c r="DJ14" s="1">
        <f t="shared" si="16"/>
        <v>9.5276810757994674</v>
      </c>
      <c r="DK14" s="1">
        <f t="shared" si="16"/>
        <v>9.4324042650414732</v>
      </c>
      <c r="DL14" s="1">
        <f t="shared" si="16"/>
        <v>9.3380802223910582</v>
      </c>
      <c r="DM14" s="1">
        <f t="shared" si="16"/>
        <v>9.244699420167148</v>
      </c>
      <c r="DN14" s="1">
        <f t="shared" si="16"/>
        <v>9.1522524259654769</v>
      </c>
      <c r="DO14" s="1">
        <f t="shared" si="16"/>
        <v>9.0607299017058214</v>
      </c>
      <c r="DP14" s="1">
        <f t="shared" si="16"/>
        <v>8.9701226026887628</v>
      </c>
      <c r="DQ14" s="1">
        <f t="shared" si="16"/>
        <v>8.8804213766618751</v>
      </c>
      <c r="DR14" s="1">
        <f t="shared" si="16"/>
        <v>8.7916171628952569</v>
      </c>
      <c r="DS14" s="1">
        <f t="shared" si="16"/>
        <v>8.7037009912663041</v>
      </c>
      <c r="DT14" s="1">
        <f t="shared" si="16"/>
        <v>8.616663981353641</v>
      </c>
      <c r="DU14" s="1">
        <f t="shared" si="16"/>
        <v>8.5304973415401051</v>
      </c>
      <c r="DV14" s="1">
        <f t="shared" si="16"/>
        <v>8.4451923681247045</v>
      </c>
      <c r="DW14" s="1">
        <f t="shared" si="16"/>
        <v>8.3607404444434579</v>
      </c>
      <c r="DX14" s="1">
        <f t="shared" si="16"/>
        <v>8.2771330399990237</v>
      </c>
      <c r="DY14" s="1">
        <f t="shared" si="16"/>
        <v>8.1943617095990327</v>
      </c>
      <c r="DZ14" s="1">
        <f t="shared" si="16"/>
        <v>8.1124180925030416</v>
      </c>
      <c r="EA14" s="1">
        <f t="shared" si="16"/>
        <v>8.0312939115780111</v>
      </c>
      <c r="EB14" s="1">
        <f t="shared" si="16"/>
        <v>7.9509809724622311</v>
      </c>
      <c r="EC14" s="1">
        <f t="shared" si="16"/>
        <v>7.8714711627376088</v>
      </c>
      <c r="ED14" s="1">
        <f t="shared" si="16"/>
        <v>7.7927564511102325</v>
      </c>
      <c r="EE14" s="1">
        <f t="shared" si="16"/>
        <v>7.7148288865991299</v>
      </c>
      <c r="EF14" s="1">
        <f t="shared" si="16"/>
        <v>7.6376805977331381</v>
      </c>
      <c r="EG14" s="1">
        <f t="shared" si="16"/>
        <v>7.5613037917558064</v>
      </c>
      <c r="EH14" s="1">
        <f t="shared" si="16"/>
        <v>7.4856907538382487</v>
      </c>
      <c r="EI14" s="1">
        <f t="shared" si="16"/>
        <v>7.410833846299866</v>
      </c>
      <c r="EJ14" s="1">
        <f t="shared" si="16"/>
        <v>7.3367255078368672</v>
      </c>
    </row>
    <row r="15" spans="2:140" x14ac:dyDescent="0.3">
      <c r="B15" t="s">
        <v>2</v>
      </c>
      <c r="C15" s="3">
        <f>17.5</f>
        <v>17.5</v>
      </c>
      <c r="D15" s="3">
        <f>17.5</f>
        <v>17.5</v>
      </c>
      <c r="E15" s="3">
        <f>18.3</f>
        <v>18.3</v>
      </c>
      <c r="F15" s="3">
        <f>18.3</f>
        <v>18.3</v>
      </c>
      <c r="G15" s="3">
        <f>17.5</f>
        <v>17.5</v>
      </c>
      <c r="H15" s="3">
        <f>18.2</f>
        <v>18.2</v>
      </c>
      <c r="I15" s="3">
        <f>18.3</f>
        <v>18.3</v>
      </c>
      <c r="J15" s="3">
        <f>18.3</f>
        <v>18.3</v>
      </c>
      <c r="L15" s="3">
        <f>17.5</f>
        <v>17.5</v>
      </c>
      <c r="M15" s="3">
        <f>17.5</f>
        <v>17.5</v>
      </c>
      <c r="N15" s="3">
        <f>18.3</f>
        <v>18.3</v>
      </c>
      <c r="O15" s="3">
        <f>18.3</f>
        <v>18.3</v>
      </c>
      <c r="P15" s="3">
        <f>18.3</f>
        <v>18.3</v>
      </c>
      <c r="Q15" s="3">
        <f>18.3</f>
        <v>18.3</v>
      </c>
      <c r="R15" s="3">
        <f>18.3</f>
        <v>18.3</v>
      </c>
      <c r="S15" s="3">
        <f>18.3</f>
        <v>18.3</v>
      </c>
      <c r="T15" s="3">
        <f>18.3</f>
        <v>18.3</v>
      </c>
      <c r="U15" s="3">
        <f>18.3</f>
        <v>18.3</v>
      </c>
      <c r="V15" s="3">
        <f>18.3</f>
        <v>18.3</v>
      </c>
      <c r="W15" s="3">
        <f>18.3</f>
        <v>18.3</v>
      </c>
      <c r="X15" s="3">
        <f>18.3</f>
        <v>18.3</v>
      </c>
    </row>
    <row r="16" spans="2:140" x14ac:dyDescent="0.3">
      <c r="B16" t="s">
        <v>24</v>
      </c>
      <c r="C16" s="7">
        <f>C14/C15</f>
        <v>-0.56000000000000005</v>
      </c>
      <c r="D16" s="7">
        <f>D14/D15</f>
        <v>-0.71999999999999986</v>
      </c>
      <c r="E16" s="7">
        <f>E14/E15</f>
        <v>-0.53005464480874309</v>
      </c>
      <c r="F16" s="7">
        <f>F14/F15</f>
        <v>-0.55737704918032771</v>
      </c>
      <c r="G16" s="7">
        <f>G14/G15</f>
        <v>-0.46857142857142875</v>
      </c>
      <c r="H16" s="7">
        <f>H14/H15</f>
        <v>-0.46703296703296704</v>
      </c>
      <c r="I16" s="7">
        <f>I14/I15</f>
        <v>-0.49180327868852475</v>
      </c>
      <c r="J16" s="7">
        <f>J14/J15</f>
        <v>-0.51530054644808754</v>
      </c>
      <c r="L16" s="7">
        <f>L14/L15</f>
        <v>-2.9828571428571431</v>
      </c>
      <c r="M16" s="7">
        <f>M14/M15</f>
        <v>-2.4171428571428577</v>
      </c>
      <c r="N16" s="7">
        <f>N14/N15</f>
        <v>-1.9196721311475415</v>
      </c>
      <c r="O16" s="7">
        <f t="shared" ref="O16:X16" si="17">O14/O15</f>
        <v>-1.0752459016393443</v>
      </c>
      <c r="P16" s="7">
        <f t="shared" si="17"/>
        <v>-1.0825519125683059</v>
      </c>
      <c r="Q16" s="7">
        <f t="shared" si="17"/>
        <v>-0.90495655737704883</v>
      </c>
      <c r="R16" s="7">
        <f t="shared" si="17"/>
        <v>-0.58834760928961671</v>
      </c>
      <c r="S16" s="7">
        <f t="shared" si="17"/>
        <v>-7.543320013661016E-2</v>
      </c>
      <c r="T16" s="7">
        <f t="shared" si="17"/>
        <v>0.53988095884563037</v>
      </c>
      <c r="U16" s="7">
        <f t="shared" si="17"/>
        <v>1.2238889407786895</v>
      </c>
      <c r="V16" s="7">
        <f t="shared" si="17"/>
        <v>1.4262188786168077</v>
      </c>
      <c r="W16" s="7">
        <f t="shared" si="17"/>
        <v>1.2251219155932425</v>
      </c>
      <c r="X16" s="7">
        <f t="shared" si="17"/>
        <v>1.2863780113729075</v>
      </c>
    </row>
    <row r="18" spans="2:27" x14ac:dyDescent="0.3">
      <c r="B18" t="s">
        <v>32</v>
      </c>
      <c r="C18" s="9"/>
      <c r="G18" s="9">
        <f>G3/C3-1</f>
        <v>3.289473684210531E-2</v>
      </c>
      <c r="H18" s="9">
        <f t="shared" ref="H18:J18" si="18">H3/D3-1</f>
        <v>-0.11822660098522175</v>
      </c>
      <c r="I18" s="9">
        <f t="shared" si="18"/>
        <v>-0.10344827586206906</v>
      </c>
      <c r="J18" s="9">
        <f t="shared" si="18"/>
        <v>-6.4039408866995107E-2</v>
      </c>
      <c r="L18" s="9"/>
      <c r="M18" s="9">
        <f>M3/L3-1</f>
        <v>0.16183206106870229</v>
      </c>
      <c r="N18" s="9">
        <f t="shared" ref="N18:X18" si="19">N3/M3-1</f>
        <v>-6.9645203679369216E-2</v>
      </c>
      <c r="O18" s="9">
        <f t="shared" si="19"/>
        <v>0.15819209039548032</v>
      </c>
      <c r="P18" s="9">
        <f t="shared" si="19"/>
        <v>0.70000000000000018</v>
      </c>
      <c r="Q18" s="9">
        <f t="shared" si="19"/>
        <v>0.60000000000000009</v>
      </c>
      <c r="R18" s="9">
        <f t="shared" si="19"/>
        <v>0.50000000000000022</v>
      </c>
      <c r="S18" s="9">
        <f t="shared" si="19"/>
        <v>0.39999999999999991</v>
      </c>
      <c r="T18" s="9">
        <f t="shared" si="19"/>
        <v>0.30000000000000004</v>
      </c>
      <c r="U18" s="9">
        <f t="shared" si="19"/>
        <v>0.19999999999999996</v>
      </c>
      <c r="V18" s="9">
        <f t="shared" si="19"/>
        <v>0.10000000000000009</v>
      </c>
      <c r="W18" s="9">
        <f t="shared" si="19"/>
        <v>5.0000000000000044E-2</v>
      </c>
      <c r="X18" s="9">
        <f t="shared" si="19"/>
        <v>5.0000000000000044E-2</v>
      </c>
    </row>
    <row r="19" spans="2:27" x14ac:dyDescent="0.3">
      <c r="B19" t="s">
        <v>33</v>
      </c>
      <c r="C19" s="9">
        <f>C5/C3</f>
        <v>0.40789473684210525</v>
      </c>
      <c r="D19" s="9">
        <f>D5/D3</f>
        <v>0.32019704433497537</v>
      </c>
      <c r="E19" s="9">
        <f>E5/E3</f>
        <v>0.32512315270935965</v>
      </c>
      <c r="F19" s="9">
        <f>F5/F3</f>
        <v>0.24630541871921216</v>
      </c>
      <c r="G19" s="9">
        <f>G5/G3</f>
        <v>0.53503184713375784</v>
      </c>
      <c r="H19" s="9">
        <f>H5/H3</f>
        <v>0.4022346368715084</v>
      </c>
      <c r="I19" s="9">
        <f>I5/I3</f>
        <v>0.42307692307692307</v>
      </c>
      <c r="J19" s="9">
        <f>J5/J3</f>
        <v>0.43</v>
      </c>
      <c r="L19" s="9">
        <f>L5/L3</f>
        <v>0.29618320610687021</v>
      </c>
      <c r="M19" s="9">
        <f>M5/M3</f>
        <v>0.31931668856767409</v>
      </c>
      <c r="N19" s="9">
        <f t="shared" ref="N19:X19" si="20">N5/N3</f>
        <v>0.44449152542372883</v>
      </c>
      <c r="O19" s="9">
        <f t="shared" si="20"/>
        <v>0.42</v>
      </c>
      <c r="P19" s="9">
        <f t="shared" si="20"/>
        <v>0.43</v>
      </c>
      <c r="Q19" s="9">
        <f t="shared" si="20"/>
        <v>0.44</v>
      </c>
      <c r="R19" s="9">
        <f t="shared" si="20"/>
        <v>0.44</v>
      </c>
      <c r="S19" s="9">
        <f t="shared" si="20"/>
        <v>0.44</v>
      </c>
      <c r="T19" s="9">
        <f t="shared" si="20"/>
        <v>0.44</v>
      </c>
      <c r="U19" s="9">
        <f t="shared" si="20"/>
        <v>0.44</v>
      </c>
      <c r="V19" s="9">
        <f t="shared" si="20"/>
        <v>0.44</v>
      </c>
      <c r="W19" s="9">
        <f t="shared" si="20"/>
        <v>0.44</v>
      </c>
      <c r="X19" s="9">
        <f t="shared" si="20"/>
        <v>0.44000000000000006</v>
      </c>
      <c r="Z19" t="s">
        <v>39</v>
      </c>
      <c r="AA19" s="9">
        <v>-0.01</v>
      </c>
    </row>
    <row r="20" spans="2:27" x14ac:dyDescent="0.3">
      <c r="B20" t="s">
        <v>34</v>
      </c>
      <c r="C20" s="9"/>
      <c r="D20" s="9"/>
      <c r="E20" s="9"/>
      <c r="F20" s="9"/>
      <c r="G20" s="9">
        <f>G6/C6-1</f>
        <v>-7.4468085106383142E-2</v>
      </c>
      <c r="H20" s="9">
        <f>H6/D6-1</f>
        <v>-5.3191489361702149E-2</v>
      </c>
      <c r="I20" s="9">
        <f>I6/E6-1</f>
        <v>-7.291666666666663E-2</v>
      </c>
      <c r="J20" s="9">
        <f>J6/F6-1</f>
        <v>3.4090909090908728E-2</v>
      </c>
      <c r="L20" s="9"/>
      <c r="M20" s="9">
        <f>M6/L6-1</f>
        <v>-0.15454545454545443</v>
      </c>
      <c r="N20" s="9">
        <f t="shared" ref="N20:X20" si="21">N6/M6-1</f>
        <v>-4.3010752688172116E-2</v>
      </c>
      <c r="O20" s="9">
        <f t="shared" si="21"/>
        <v>-5.0000000000000044E-2</v>
      </c>
      <c r="P20" s="9">
        <f t="shared" si="21"/>
        <v>0.25</v>
      </c>
      <c r="Q20" s="9">
        <f t="shared" si="21"/>
        <v>0.25</v>
      </c>
      <c r="R20" s="9">
        <f t="shared" si="21"/>
        <v>0.25</v>
      </c>
      <c r="S20" s="9">
        <f t="shared" si="21"/>
        <v>0.25</v>
      </c>
      <c r="T20" s="9">
        <f t="shared" si="21"/>
        <v>0.25</v>
      </c>
      <c r="U20" s="9">
        <f t="shared" si="21"/>
        <v>0.19999999999999996</v>
      </c>
      <c r="V20" s="9">
        <f t="shared" si="21"/>
        <v>0.14999999999999991</v>
      </c>
      <c r="W20" s="9">
        <f t="shared" si="21"/>
        <v>0.10000000000000009</v>
      </c>
      <c r="X20" s="9">
        <f t="shared" si="21"/>
        <v>5.0000000000000044E-2</v>
      </c>
      <c r="Z20" t="s">
        <v>40</v>
      </c>
      <c r="AA20" s="9">
        <v>0.11</v>
      </c>
    </row>
    <row r="21" spans="2:27" x14ac:dyDescent="0.3">
      <c r="B21" t="s">
        <v>35</v>
      </c>
      <c r="C21" s="9"/>
      <c r="D21" s="9"/>
      <c r="E21" s="9"/>
      <c r="F21" s="9"/>
      <c r="G21" s="9">
        <f>G7/C7-1</f>
        <v>0.40000000000000013</v>
      </c>
      <c r="H21" s="9">
        <f>H7/D7-1</f>
        <v>-0.11250000000000004</v>
      </c>
      <c r="I21" s="9">
        <f>I7/E7-1</f>
        <v>0.23943661971830998</v>
      </c>
      <c r="J21" s="9">
        <f>J7/F7-1</f>
        <v>0.439393939393939</v>
      </c>
      <c r="L21" s="9"/>
      <c r="M21" s="9">
        <f>M7/L7-1</f>
        <v>3.7453183520599342E-2</v>
      </c>
      <c r="N21" s="9">
        <f t="shared" ref="N21:X21" si="22">N7/M7-1</f>
        <v>0.22021660649819497</v>
      </c>
      <c r="O21" s="9">
        <f t="shared" si="22"/>
        <v>-0.15000000000000002</v>
      </c>
      <c r="P21" s="9">
        <f t="shared" si="22"/>
        <v>0.60000000000000009</v>
      </c>
      <c r="Q21" s="9">
        <f t="shared" si="22"/>
        <v>0.5</v>
      </c>
      <c r="R21" s="9">
        <f t="shared" si="22"/>
        <v>0.39999999999999991</v>
      </c>
      <c r="S21" s="9">
        <f t="shared" si="22"/>
        <v>0.30000000000000004</v>
      </c>
      <c r="T21" s="9">
        <f t="shared" si="22"/>
        <v>0.19999999999999996</v>
      </c>
      <c r="U21" s="9">
        <f t="shared" si="22"/>
        <v>0.10000000000000009</v>
      </c>
      <c r="V21" s="9">
        <f t="shared" si="22"/>
        <v>5.0000000000000044E-2</v>
      </c>
      <c r="W21" s="9">
        <f t="shared" si="22"/>
        <v>5.0000000000000044E-2</v>
      </c>
      <c r="X21" s="9">
        <f t="shared" si="22"/>
        <v>5.0000000000000044E-2</v>
      </c>
      <c r="Z21" t="s">
        <v>41</v>
      </c>
      <c r="AA21" s="3">
        <f>NPV(AA20,N14:EJ14)</f>
        <v>21.524233178627995</v>
      </c>
    </row>
    <row r="22" spans="2:27" x14ac:dyDescent="0.3">
      <c r="B22" t="s">
        <v>36</v>
      </c>
      <c r="C22" s="9">
        <f>C7/C3</f>
        <v>0.39473684210526316</v>
      </c>
      <c r="D22" s="9">
        <f>D7/D3</f>
        <v>0.39408866995073888</v>
      </c>
      <c r="E22" s="9">
        <f>E7/E3</f>
        <v>0.34975369458128075</v>
      </c>
      <c r="F22" s="9">
        <f>F7/F3</f>
        <v>0.32512315270935965</v>
      </c>
      <c r="G22" s="9">
        <f>G7/G3</f>
        <v>0.53503184713375795</v>
      </c>
      <c r="H22" s="9">
        <f>H7/H3</f>
        <v>0.39664804469273746</v>
      </c>
      <c r="I22" s="9">
        <f>I7/I3</f>
        <v>0.48351648351648358</v>
      </c>
      <c r="J22" s="9">
        <f>J7/J3</f>
        <v>0.5</v>
      </c>
      <c r="L22" s="9">
        <f>L7/L3</f>
        <v>0.40763358778625952</v>
      </c>
      <c r="M22" s="9">
        <f>M7/M3</f>
        <v>0.36399474375821289</v>
      </c>
      <c r="N22" s="9">
        <f t="shared" ref="N22:X22" si="23">N7/N3</f>
        <v>0.47740112994350281</v>
      </c>
      <c r="O22" s="9">
        <f t="shared" si="23"/>
        <v>0.35036585365853656</v>
      </c>
      <c r="P22" s="9">
        <f t="shared" si="23"/>
        <v>0.32975609756097557</v>
      </c>
      <c r="Q22" s="9">
        <f t="shared" si="23"/>
        <v>0.30914634146341458</v>
      </c>
      <c r="R22" s="9">
        <f t="shared" si="23"/>
        <v>0.28853658536585358</v>
      </c>
      <c r="S22" s="9">
        <f t="shared" si="23"/>
        <v>0.26792682926829264</v>
      </c>
      <c r="T22" s="9">
        <f t="shared" si="23"/>
        <v>0.24731707317073165</v>
      </c>
      <c r="U22" s="9">
        <f t="shared" si="23"/>
        <v>0.22670731707317068</v>
      </c>
      <c r="V22" s="9">
        <f t="shared" si="23"/>
        <v>0.21640243902439019</v>
      </c>
      <c r="W22" s="9">
        <f t="shared" si="23"/>
        <v>0.21640243902439016</v>
      </c>
      <c r="X22" s="9">
        <f t="shared" si="23"/>
        <v>0.21640243902439016</v>
      </c>
      <c r="Z22" t="s">
        <v>42</v>
      </c>
      <c r="AA22" s="3">
        <f>Main!D8</f>
        <v>146.5</v>
      </c>
    </row>
    <row r="23" spans="2:27" x14ac:dyDescent="0.3">
      <c r="B23" t="s">
        <v>37</v>
      </c>
      <c r="C23" s="9">
        <f>C9/C3</f>
        <v>-0.60526315789473695</v>
      </c>
      <c r="D23" s="9">
        <f>D9/D3</f>
        <v>-0.53694581280788167</v>
      </c>
      <c r="E23" s="9">
        <f>E9/E3</f>
        <v>-0.49753694581280777</v>
      </c>
      <c r="F23" s="9">
        <f>F9/F3</f>
        <v>-0.51231527093596041</v>
      </c>
      <c r="G23" s="9">
        <f>G9/G3</f>
        <v>-0.55414012738853524</v>
      </c>
      <c r="H23" s="9">
        <f>H9/H3</f>
        <v>-0.49162011173184367</v>
      </c>
      <c r="I23" s="9">
        <f>I9/I3</f>
        <v>-0.54945054945054972</v>
      </c>
      <c r="J23" s="9">
        <f>J9/J3</f>
        <v>-0.54894736842105274</v>
      </c>
      <c r="L23" s="9">
        <f>L9/L3</f>
        <v>-0.78320610687022907</v>
      </c>
      <c r="M23" s="9">
        <f>M9/M3</f>
        <v>-0.53350854139290427</v>
      </c>
      <c r="N23" s="9">
        <f t="shared" ref="N23:X23" si="24">N9/N3</f>
        <v>-0.53573446327683627</v>
      </c>
      <c r="O23" s="9">
        <f t="shared" si="24"/>
        <v>-0.34280487804878046</v>
      </c>
      <c r="P23" s="9">
        <f t="shared" si="24"/>
        <v>-0.20302008608321373</v>
      </c>
      <c r="Q23" s="9">
        <f t="shared" si="24"/>
        <v>-0.10607133249641315</v>
      </c>
      <c r="R23" s="9">
        <f t="shared" si="24"/>
        <v>-4.5974077893352387E-2</v>
      </c>
      <c r="S23" s="9">
        <f t="shared" si="24"/>
        <v>-4.2103047392736542E-3</v>
      </c>
      <c r="T23" s="9">
        <f t="shared" si="24"/>
        <v>2.3179585030248109E-2</v>
      </c>
      <c r="U23" s="9">
        <f t="shared" si="24"/>
        <v>4.3789341127809037E-2</v>
      </c>
      <c r="V23" s="9">
        <f t="shared" si="24"/>
        <v>4.6389521822088699E-2</v>
      </c>
      <c r="W23" s="9">
        <f t="shared" si="24"/>
        <v>3.7951043767159132E-2</v>
      </c>
      <c r="X23" s="9">
        <f t="shared" si="24"/>
        <v>3.7951043767159208E-2</v>
      </c>
      <c r="Z23" t="s">
        <v>43</v>
      </c>
      <c r="AA23" s="3">
        <f>AA21+AA22</f>
        <v>168.02423317862798</v>
      </c>
    </row>
    <row r="24" spans="2:27" x14ac:dyDescent="0.3">
      <c r="B24" t="s">
        <v>21</v>
      </c>
      <c r="C24" s="9">
        <f>C12/C11</f>
        <v>0</v>
      </c>
      <c r="D24" s="9">
        <f>D12/D11</f>
        <v>0</v>
      </c>
      <c r="E24" s="9">
        <f>E12/E11</f>
        <v>0</v>
      </c>
      <c r="F24" s="9">
        <f>F12/F11</f>
        <v>0</v>
      </c>
      <c r="G24" s="9">
        <f>G12/G11</f>
        <v>0</v>
      </c>
      <c r="H24" s="9">
        <f>H12/H11</f>
        <v>0</v>
      </c>
      <c r="I24" s="9">
        <f>I12/I11</f>
        <v>0</v>
      </c>
      <c r="J24" s="9">
        <f>J12/J11</f>
        <v>0</v>
      </c>
      <c r="L24" s="9">
        <f>L12/L11</f>
        <v>0</v>
      </c>
      <c r="M24" s="9">
        <f>M12/M11</f>
        <v>0</v>
      </c>
      <c r="N24" s="9">
        <f t="shared" ref="N24:X24" si="25">N12/N11</f>
        <v>0</v>
      </c>
      <c r="O24" s="9">
        <f t="shared" si="25"/>
        <v>0.2</v>
      </c>
      <c r="P24" s="9">
        <f t="shared" si="25"/>
        <v>0.20000000000000004</v>
      </c>
      <c r="Q24" s="9">
        <f t="shared" si="25"/>
        <v>0.19999999999999998</v>
      </c>
      <c r="R24" s="9">
        <f t="shared" si="25"/>
        <v>0.2</v>
      </c>
      <c r="S24" s="9">
        <f t="shared" si="25"/>
        <v>0.2</v>
      </c>
      <c r="T24" s="9">
        <f t="shared" si="25"/>
        <v>0.2</v>
      </c>
      <c r="U24" s="9">
        <f t="shared" si="25"/>
        <v>0.2</v>
      </c>
      <c r="V24" s="9">
        <f t="shared" si="25"/>
        <v>0.2</v>
      </c>
      <c r="W24" s="9">
        <f t="shared" si="25"/>
        <v>0.2</v>
      </c>
      <c r="X24" s="9">
        <f t="shared" si="25"/>
        <v>0.2</v>
      </c>
      <c r="Z24" t="s">
        <v>44</v>
      </c>
      <c r="AA24" s="2">
        <f>AA23/X15</f>
        <v>9.1816520862638242</v>
      </c>
    </row>
    <row r="25" spans="2:27" x14ac:dyDescent="0.3">
      <c r="B25" t="s">
        <v>38</v>
      </c>
      <c r="C25" s="9">
        <f>C14/C3</f>
        <v>-0.64473684210526327</v>
      </c>
      <c r="D25" s="9">
        <f>D14/D3</f>
        <v>-0.6206896551724137</v>
      </c>
      <c r="E25" s="9">
        <f>E14/E3</f>
        <v>-0.47783251231527091</v>
      </c>
      <c r="F25" s="9">
        <f>F14/F3</f>
        <v>-0.50246305418719195</v>
      </c>
      <c r="G25" s="9">
        <f>G14/G3</f>
        <v>-0.52229299363057347</v>
      </c>
      <c r="H25" s="9">
        <f>H14/H3</f>
        <v>-0.47486033519553078</v>
      </c>
      <c r="I25" s="9">
        <f>I14/I3</f>
        <v>-0.49450549450549475</v>
      </c>
      <c r="J25" s="9">
        <f>J14/J3</f>
        <v>-0.49631578947368427</v>
      </c>
      <c r="L25" s="9">
        <f>L14/L3</f>
        <v>-0.7969465648854962</v>
      </c>
      <c r="M25" s="9">
        <f>M14/M3</f>
        <v>-0.55584756898817367</v>
      </c>
      <c r="N25" s="9">
        <f t="shared" ref="N25:X25" si="26">N14/N3</f>
        <v>-0.49618644067796625</v>
      </c>
      <c r="O25" s="9">
        <f t="shared" si="26"/>
        <v>-0.23996341463414633</v>
      </c>
      <c r="P25" s="9">
        <f t="shared" si="26"/>
        <v>-0.1421140602582496</v>
      </c>
      <c r="Q25" s="9">
        <f t="shared" si="26"/>
        <v>-7.4249932747489214E-2</v>
      </c>
      <c r="R25" s="9">
        <f t="shared" si="26"/>
        <v>-3.2181854525346679E-2</v>
      </c>
      <c r="S25" s="9">
        <f t="shared" si="26"/>
        <v>-2.947213317491558E-3</v>
      </c>
      <c r="T25" s="9">
        <f t="shared" si="26"/>
        <v>1.6225709521173675E-2</v>
      </c>
      <c r="U25" s="9">
        <f t="shared" si="26"/>
        <v>3.0652538789466326E-2</v>
      </c>
      <c r="V25" s="9">
        <f t="shared" si="26"/>
        <v>3.2472665275462095E-2</v>
      </c>
      <c r="W25" s="9">
        <f t="shared" si="26"/>
        <v>2.6565730637011387E-2</v>
      </c>
      <c r="X25" s="9">
        <f t="shared" si="26"/>
        <v>2.6565730637011446E-2</v>
      </c>
      <c r="Z25" t="s">
        <v>45</v>
      </c>
      <c r="AA25" s="2">
        <f>Main!D3</f>
        <v>25.87</v>
      </c>
    </row>
    <row r="26" spans="2:27" x14ac:dyDescent="0.3">
      <c r="Z26" s="1" t="s">
        <v>46</v>
      </c>
      <c r="AA26" s="10">
        <f>AA24/AA25-1</f>
        <v>-0.64508495994341608</v>
      </c>
    </row>
    <row r="27" spans="2:27" x14ac:dyDescent="0.3">
      <c r="Z27" t="s">
        <v>47</v>
      </c>
      <c r="AA27" s="6" t="s">
        <v>48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2025-07-30T09:04:42Z</dcterms:created>
  <dcterms:modified xsi:type="dcterms:W3CDTF">2025-11-14T10:25:57Z</dcterms:modified>
</cp:coreProperties>
</file>