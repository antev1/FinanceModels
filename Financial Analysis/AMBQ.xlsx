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78AC463-2BB1-4D9C-A2B8-45E492235D83}" xr6:coauthVersionLast="47" xr6:coauthVersionMax="47" xr10:uidLastSave="{00000000-0000-0000-0000-000000000000}"/>
  <bookViews>
    <workbookView xWindow="-108" yWindow="-108" windowWidth="23256" windowHeight="12576" activeTab="1" xr2:uid="{752363E1-E984-4A0D-A60C-623CC0252B9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" i="2" l="1"/>
  <c r="P7" i="2" s="1"/>
  <c r="Q7" i="2" s="1"/>
  <c r="O6" i="2"/>
  <c r="H25" i="2"/>
  <c r="H24" i="2"/>
  <c r="H23" i="2"/>
  <c r="H22" i="2"/>
  <c r="H21" i="2"/>
  <c r="H20" i="2"/>
  <c r="H19" i="2"/>
  <c r="H15" i="2"/>
  <c r="D15" i="2"/>
  <c r="D8" i="2"/>
  <c r="D5" i="2"/>
  <c r="H8" i="2"/>
  <c r="H5" i="2"/>
  <c r="D6" i="1"/>
  <c r="X15" i="2"/>
  <c r="W15" i="2"/>
  <c r="V15" i="2"/>
  <c r="U15" i="2"/>
  <c r="T15" i="2"/>
  <c r="S15" i="2"/>
  <c r="R15" i="2"/>
  <c r="Q15" i="2"/>
  <c r="P15" i="2"/>
  <c r="O15" i="2"/>
  <c r="N15" i="2"/>
  <c r="G15" i="2"/>
  <c r="D4" i="1"/>
  <c r="D9" i="2" l="1"/>
  <c r="D11" i="2" s="1"/>
  <c r="D14" i="2" s="1"/>
  <c r="D16" i="2" s="1"/>
  <c r="H9" i="2"/>
  <c r="H11" i="2" s="1"/>
  <c r="H14" i="2" s="1"/>
  <c r="H16" i="2" s="1"/>
  <c r="AA25" i="2"/>
  <c r="R7" i="2"/>
  <c r="S7" i="2" s="1"/>
  <c r="T7" i="2" s="1"/>
  <c r="U7" i="2" s="1"/>
  <c r="V7" i="2" s="1"/>
  <c r="W7" i="2" s="1"/>
  <c r="X7" i="2" s="1"/>
  <c r="N8" i="2"/>
  <c r="P6" i="2"/>
  <c r="Q6" i="2" s="1"/>
  <c r="R6" i="2" s="1"/>
  <c r="S6" i="2" s="1"/>
  <c r="T6" i="2" s="1"/>
  <c r="U6" i="2" s="1"/>
  <c r="V6" i="2" s="1"/>
  <c r="W6" i="2" s="1"/>
  <c r="X6" i="2" s="1"/>
  <c r="N7" i="2"/>
  <c r="N3" i="2"/>
  <c r="P3" i="2" s="1"/>
  <c r="Q3" i="2" s="1"/>
  <c r="Q5" i="2" s="1"/>
  <c r="Q4" i="2" s="1"/>
  <c r="N20" i="2"/>
  <c r="J18" i="2"/>
  <c r="I18" i="2"/>
  <c r="H18" i="2"/>
  <c r="M21" i="2"/>
  <c r="M20" i="2"/>
  <c r="M18" i="2"/>
  <c r="M22" i="2"/>
  <c r="M19" i="2"/>
  <c r="L25" i="2"/>
  <c r="L24" i="2"/>
  <c r="L23" i="2"/>
  <c r="L22" i="2"/>
  <c r="L19" i="2"/>
  <c r="C25" i="2"/>
  <c r="C24" i="2"/>
  <c r="C23" i="2"/>
  <c r="C22" i="2"/>
  <c r="C19" i="2"/>
  <c r="G25" i="2"/>
  <c r="G24" i="2"/>
  <c r="G23" i="2"/>
  <c r="G22" i="2"/>
  <c r="G21" i="2"/>
  <c r="G20" i="2"/>
  <c r="G19" i="2"/>
  <c r="G18" i="2"/>
  <c r="L15" i="2"/>
  <c r="L8" i="2"/>
  <c r="L5" i="2"/>
  <c r="M15" i="2"/>
  <c r="M8" i="2"/>
  <c r="M5" i="2"/>
  <c r="C15" i="2"/>
  <c r="C8" i="2"/>
  <c r="C5" i="2"/>
  <c r="G16" i="2"/>
  <c r="G14" i="2"/>
  <c r="G11" i="2"/>
  <c r="G9" i="2"/>
  <c r="G8" i="2"/>
  <c r="G5" i="2"/>
  <c r="D8" i="1"/>
  <c r="AA22" i="2" s="1"/>
  <c r="D5" i="1"/>
  <c r="F3" i="1"/>
  <c r="N18" i="2" l="1"/>
  <c r="N5" i="2"/>
  <c r="N19" i="2" s="1"/>
  <c r="O5" i="2"/>
  <c r="O4" i="2" s="1"/>
  <c r="D9" i="1"/>
  <c r="P5" i="2"/>
  <c r="P4" i="2" s="1"/>
  <c r="P8" i="2"/>
  <c r="O8" i="2"/>
  <c r="O9" i="2" s="1"/>
  <c r="P21" i="2"/>
  <c r="Q8" i="2"/>
  <c r="Q9" i="2" s="1"/>
  <c r="Q11" i="2" s="1"/>
  <c r="Q12" i="2" s="1"/>
  <c r="Q24" i="2" s="1"/>
  <c r="O21" i="2"/>
  <c r="N21" i="2"/>
  <c r="P20" i="2"/>
  <c r="O20" i="2"/>
  <c r="R3" i="2"/>
  <c r="O19" i="2"/>
  <c r="O22" i="2"/>
  <c r="O18" i="2"/>
  <c r="N22" i="2"/>
  <c r="L9" i="2"/>
  <c r="L11" i="2" s="1"/>
  <c r="L14" i="2" s="1"/>
  <c r="L16" i="2" s="1"/>
  <c r="M9" i="2"/>
  <c r="C9" i="2"/>
  <c r="C11" i="2" s="1"/>
  <c r="C14" i="2" s="1"/>
  <c r="C16" i="2" s="1"/>
  <c r="N9" i="2" l="1"/>
  <c r="N4" i="2"/>
  <c r="P9" i="2"/>
  <c r="P11" i="2" s="1"/>
  <c r="P12" i="2" s="1"/>
  <c r="O23" i="2"/>
  <c r="O11" i="2"/>
  <c r="Q13" i="2"/>
  <c r="Q14" i="2" s="1"/>
  <c r="R5" i="2"/>
  <c r="R4" i="2" s="1"/>
  <c r="M11" i="2"/>
  <c r="M23" i="2"/>
  <c r="R8" i="2"/>
  <c r="Q21" i="2"/>
  <c r="Q20" i="2"/>
  <c r="P22" i="2"/>
  <c r="P19" i="2"/>
  <c r="P18" i="2"/>
  <c r="N11" i="2" l="1"/>
  <c r="N23" i="2"/>
  <c r="P13" i="2"/>
  <c r="P14" i="2" s="1"/>
  <c r="P23" i="2"/>
  <c r="R9" i="2"/>
  <c r="R11" i="2" s="1"/>
  <c r="R12" i="2" s="1"/>
  <c r="R24" i="2" s="1"/>
  <c r="Q16" i="2"/>
  <c r="O12" i="2"/>
  <c r="O24" i="2" s="1"/>
  <c r="O13" i="2"/>
  <c r="P24" i="2"/>
  <c r="M14" i="2"/>
  <c r="M24" i="2"/>
  <c r="S8" i="2"/>
  <c r="R21" i="2"/>
  <c r="R20" i="2"/>
  <c r="Q19" i="2"/>
  <c r="Q18" i="2"/>
  <c r="Q25" i="2"/>
  <c r="Q22" i="2"/>
  <c r="Q23" i="2"/>
  <c r="O14" i="2" l="1"/>
  <c r="O16" i="2" s="1"/>
  <c r="N12" i="2"/>
  <c r="N13" i="2"/>
  <c r="R13" i="2"/>
  <c r="R14" i="2" s="1"/>
  <c r="R16" i="2" s="1"/>
  <c r="P16" i="2"/>
  <c r="P25" i="2"/>
  <c r="M16" i="2"/>
  <c r="M25" i="2"/>
  <c r="S21" i="2"/>
  <c r="T8" i="2"/>
  <c r="S20" i="2"/>
  <c r="S3" i="2"/>
  <c r="R23" i="2"/>
  <c r="R19" i="2"/>
  <c r="R22" i="2"/>
  <c r="R18" i="2"/>
  <c r="O25" i="2" l="1"/>
  <c r="N14" i="2"/>
  <c r="N24" i="2"/>
  <c r="R25" i="2"/>
  <c r="S5" i="2"/>
  <c r="S4" i="2" s="1"/>
  <c r="T3" i="2"/>
  <c r="U3" i="2" s="1"/>
  <c r="V3" i="2" s="1"/>
  <c r="W3" i="2" s="1"/>
  <c r="U8" i="2"/>
  <c r="T21" i="2"/>
  <c r="T20" i="2"/>
  <c r="S22" i="2"/>
  <c r="S18" i="2"/>
  <c r="N16" i="2" l="1"/>
  <c r="N25" i="2"/>
  <c r="S19" i="2"/>
  <c r="S9" i="2"/>
  <c r="S11" i="2" s="1"/>
  <c r="S12" i="2" s="1"/>
  <c r="S24" i="2" s="1"/>
  <c r="T5" i="2"/>
  <c r="T19" i="2" s="1"/>
  <c r="V8" i="2"/>
  <c r="U21" i="2"/>
  <c r="U20" i="2"/>
  <c r="T22" i="2"/>
  <c r="T18" i="2"/>
  <c r="S13" i="2" l="1"/>
  <c r="S14" i="2" s="1"/>
  <c r="S23" i="2"/>
  <c r="U5" i="2"/>
  <c r="U9" i="2" s="1"/>
  <c r="U11" i="2" s="1"/>
  <c r="T4" i="2"/>
  <c r="T9" i="2"/>
  <c r="W8" i="2"/>
  <c r="V21" i="2"/>
  <c r="V20" i="2"/>
  <c r="U22" i="2"/>
  <c r="U18" i="2"/>
  <c r="U23" i="2" l="1"/>
  <c r="S16" i="2"/>
  <c r="S25" i="2"/>
  <c r="T11" i="2"/>
  <c r="T23" i="2"/>
  <c r="U19" i="2"/>
  <c r="U13" i="2"/>
  <c r="U12" i="2"/>
  <c r="U24" i="2" s="1"/>
  <c r="U4" i="2"/>
  <c r="V5" i="2"/>
  <c r="V9" i="2" s="1"/>
  <c r="V11" i="2" s="1"/>
  <c r="W21" i="2"/>
  <c r="X20" i="2"/>
  <c r="W20" i="2"/>
  <c r="V18" i="2"/>
  <c r="V22" i="2"/>
  <c r="V19" i="2" l="1"/>
  <c r="V23" i="2"/>
  <c r="X3" i="2"/>
  <c r="X5" i="2" s="1"/>
  <c r="X4" i="2" s="1"/>
  <c r="W5" i="2"/>
  <c r="W19" i="2" s="1"/>
  <c r="V4" i="2"/>
  <c r="V13" i="2"/>
  <c r="V12" i="2"/>
  <c r="V24" i="2" s="1"/>
  <c r="T13" i="2"/>
  <c r="T12" i="2"/>
  <c r="T24" i="2" s="1"/>
  <c r="U14" i="2"/>
  <c r="X21" i="2"/>
  <c r="X8" i="2"/>
  <c r="W18" i="2"/>
  <c r="W22" i="2"/>
  <c r="V14" i="2" l="1"/>
  <c r="V16" i="2" s="1"/>
  <c r="T14" i="2"/>
  <c r="T16" i="2" s="1"/>
  <c r="X9" i="2"/>
  <c r="X11" i="2" s="1"/>
  <c r="U16" i="2"/>
  <c r="U25" i="2"/>
  <c r="W4" i="2"/>
  <c r="W9" i="2"/>
  <c r="X19" i="2"/>
  <c r="X18" i="2"/>
  <c r="X22" i="2"/>
  <c r="V25" i="2" l="1"/>
  <c r="T25" i="2"/>
  <c r="W11" i="2"/>
  <c r="W23" i="2"/>
  <c r="X12" i="2"/>
  <c r="X24" i="2" s="1"/>
  <c r="X13" i="2"/>
  <c r="X23" i="2"/>
  <c r="X14" i="2" l="1"/>
  <c r="W12" i="2"/>
  <c r="W24" i="2" s="1"/>
  <c r="W13" i="2"/>
  <c r="X25" i="2" l="1"/>
  <c r="Y14" i="2"/>
  <c r="Z14" i="2" s="1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X16" i="2"/>
  <c r="W14" i="2"/>
  <c r="W16" i="2" s="1"/>
  <c r="AA21" i="2" l="1"/>
  <c r="AA23" i="2" s="1"/>
  <c r="AA24" i="2" s="1"/>
  <c r="AA26" i="2" s="1"/>
  <c r="W25" i="2"/>
</calcChain>
</file>

<file path=xl/sharedStrings.xml><?xml version="1.0" encoding="utf-8"?>
<sst xmlns="http://schemas.openxmlformats.org/spreadsheetml/2006/main" count="54" uniqueCount="49">
  <si>
    <t>AMBQ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</si>
  <si>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</si>
  <si>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</si>
  <si>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</si>
  <si>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</si>
  <si>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</si>
  <si>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</si>
  <si>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</si>
  <si>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</si>
  <si>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</si>
  <si>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</si>
  <si>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</si>
  <si>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</si>
  <si>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</si>
  <si>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</si>
  <si>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</si>
  <si>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SG&amp;A</t>
  </si>
  <si>
    <t>Total operating expense</t>
  </si>
  <si>
    <t>Operating profit</t>
  </si>
  <si>
    <t>Other income</t>
  </si>
  <si>
    <t>Pretax profit</t>
  </si>
  <si>
    <t>Taxes</t>
  </si>
  <si>
    <t>MI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</si>
  <si>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</si>
  <si>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</si>
  <si>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</si>
  <si>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</si>
  <si>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</si>
  <si>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</si>
  <si>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</si>
  <si>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</si>
  <si>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</si>
  <si>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Revenue y/y</t>
  </si>
  <si>
    <t>Gross Margin</t>
  </si>
  <si>
    <t>R&amp;D y/y</t>
  </si>
  <si>
    <t>SG&amp;A y/y</t>
  </si>
  <si>
    <t>SG&amp;A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</si>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</sst>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0" fontId="4" fillId="0" borderId="0" xfId="0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0</xdr:row>
      <xdr:rowOff>15240</xdr:rowOff>
    </xdr:from>
    <xdr:to>
      <xdr:col>13</xdr:col>
      <xdr:colOff>38100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47CF10F-1922-D3E5-2B29-F834AC5A877A}"/>
            </a:ext>
          </a:extLst>
        </xdr:cNvPr>
        <xdr:cNvCxnSpPr/>
      </xdr:nvCxnSpPr>
      <xdr:spPr>
        <a:xfrm>
          <a:off x="877824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CF728-60A7-45DF-96FF-92127D4E80B4}">
  <dimension ref="B2:G9"/>
  <sheetViews>
    <sheetView workbookViewId="0">
      <selection activeCell="G4" sqref="G4"/>
    </sheetView>
  </sheetViews>
  <sheetFormatPr defaultRowHeight="14.4" x14ac:dyDescent="0.3"/>
  <cols>
    <col min="5" max="7" width="11.77734375" style="4" customWidth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1" t="s">
        <v>0</v>
      </c>
      <c r="C3" t="s">
        <v>1</v>
      </c>
      <c r="D3" s="2">
        <v>35.03</v>
      </c>
      <c r="E3" s="5">
        <v>45905</v>
      </c>
      <c r="F3" s="5">
        <f ca="1">TODAY()</f>
        <v>45905</v>
      </c>
      <c r="G3" s="5">
        <v>45994</v>
      </c>
    </row>
    <row r="4" spans="2:7" x14ac:dyDescent="0.3">
      <c r="C4" t="s">
        <v>2</v>
      </c>
      <c r="D4" s="3">
        <f>18.2</f>
        <v>18.2</v>
      </c>
      <c r="E4" s="4" t="s">
        <v>11</v>
      </c>
    </row>
    <row r="5" spans="2:7" x14ac:dyDescent="0.3">
      <c r="C5" t="s">
        <v>3</v>
      </c>
      <c r="D5" s="3">
        <f>D3*D4</f>
        <v>637.54600000000005</v>
      </c>
    </row>
    <row r="6" spans="2:7" x14ac:dyDescent="0.3">
      <c r="C6" t="s">
        <v>4</v>
      </c>
      <c r="D6" s="3">
        <f>47.5</f>
        <v>47.5</v>
      </c>
      <c r="E6" s="4" t="s">
        <v>11</v>
      </c>
    </row>
    <row r="7" spans="2:7" x14ac:dyDescent="0.3">
      <c r="C7" t="s">
        <v>5</v>
      </c>
      <c r="D7" s="3">
        <v>0</v>
      </c>
      <c r="E7" s="4" t="s">
        <v>11</v>
      </c>
    </row>
    <row r="8" spans="2:7" x14ac:dyDescent="0.3">
      <c r="C8" t="s">
        <v>6</v>
      </c>
      <c r="D8" s="3">
        <f>D6-D7</f>
        <v>47.5</v>
      </c>
    </row>
    <row r="9" spans="2:7" x14ac:dyDescent="0.3">
      <c r="C9" t="s">
        <v>7</v>
      </c>
      <c r="D9" s="3">
        <f>D5-D8</f>
        <v>590.04600000000005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6341-A9E1-4A88-8421-CD28BB7A8F16}">
  <dimension ref="B2:EJ27"/>
  <sheetViews>
    <sheetView tabSelected="1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defaultRowHeight="14.4" x14ac:dyDescent="0.3"/>
  <cols>
    <col min="2" max="2" width="20.77734375" bestFit="1" customWidth="1"/>
    <col min="26" max="26" width="12" bestFit="1" customWidth="1"/>
    <col min="27" max="27" width="17.5546875" bestFit="1" customWidth="1"/>
  </cols>
  <sheetData>
    <row r="2" spans="2:140" x14ac:dyDescent="0.3">
      <c r="C2" s="6" t="s">
        <v>25</v>
      </c>
      <c r="D2" s="6" t="s">
        <v>26</v>
      </c>
      <c r="E2" s="6" t="s">
        <v>27</v>
      </c>
      <c r="F2" s="6" t="s">
        <v>28</v>
      </c>
      <c r="G2" s="6" t="s">
        <v>29</v>
      </c>
      <c r="H2" s="6" t="s">
        <v>11</v>
      </c>
      <c r="I2" s="6" t="s">
        <v>30</v>
      </c>
      <c r="J2" s="6" t="s">
        <v>31</v>
      </c>
      <c r="L2">
        <v>2023</v>
      </c>
      <c r="M2">
        <v>2024</v>
      </c>
      <c r="N2">
        <v>2025</v>
      </c>
      <c r="O2">
        <v>2026</v>
      </c>
      <c r="P2">
        <v>2027</v>
      </c>
      <c r="Q2">
        <v>2028</v>
      </c>
      <c r="R2">
        <v>2029</v>
      </c>
      <c r="S2">
        <v>2030</v>
      </c>
      <c r="T2">
        <v>2031</v>
      </c>
      <c r="U2">
        <v>2032</v>
      </c>
      <c r="V2">
        <v>2033</v>
      </c>
      <c r="W2">
        <v>2034</v>
      </c>
      <c r="X2">
        <v>2035</v>
      </c>
    </row>
    <row r="3" spans="2:140" s="1" customFormat="1" x14ac:dyDescent="0.3">
      <c r="B3" s="1" t="s">
        <v>12</v>
      </c>
      <c r="C3" s="8">
        <v>15.2</v>
      </c>
      <c r="D3" s="8">
        <v>20.3</v>
      </c>
      <c r="E3" s="10">
        <v>19</v>
      </c>
      <c r="F3" s="10">
        <v>25</v>
      </c>
      <c r="G3" s="8">
        <v>15.7</v>
      </c>
      <c r="H3" s="8">
        <v>17.899999999999999</v>
      </c>
      <c r="I3" s="1">
        <v>18</v>
      </c>
      <c r="J3" s="1">
        <v>19</v>
      </c>
      <c r="L3" s="8">
        <v>65.5</v>
      </c>
      <c r="M3" s="8">
        <v>76.099999999999994</v>
      </c>
      <c r="N3" s="8">
        <f>SUM(G3:J3)</f>
        <v>70.599999999999994</v>
      </c>
      <c r="O3" s="8">
        <v>82</v>
      </c>
      <c r="P3" s="8">
        <f>O3*1.7</f>
        <v>139.4</v>
      </c>
      <c r="Q3" s="8">
        <f>P3*1.6</f>
        <v>223.04000000000002</v>
      </c>
      <c r="R3" s="8">
        <f>Q3*1.5</f>
        <v>334.56000000000006</v>
      </c>
      <c r="S3" s="8">
        <f t="shared" ref="S3" si="0">R3*1.4</f>
        <v>468.38400000000007</v>
      </c>
      <c r="T3" s="8">
        <f>S3*1.3</f>
        <v>608.89920000000006</v>
      </c>
      <c r="U3" s="8">
        <f>T3*1.2</f>
        <v>730.6790400000001</v>
      </c>
      <c r="V3" s="8">
        <f>U3*1.1</f>
        <v>803.74694400000021</v>
      </c>
      <c r="W3" s="8">
        <f>V3*1.05</f>
        <v>843.9342912000003</v>
      </c>
      <c r="X3" s="8">
        <f>W3*1.05</f>
        <v>886.13100576000033</v>
      </c>
    </row>
    <row r="4" spans="2:140" x14ac:dyDescent="0.3">
      <c r="B4" t="s">
        <v>13</v>
      </c>
      <c r="C4" s="3">
        <v>9</v>
      </c>
      <c r="D4" s="3">
        <v>13.8</v>
      </c>
      <c r="F4" s="3"/>
      <c r="G4" s="3">
        <v>7.3</v>
      </c>
      <c r="H4" s="3">
        <v>10.7</v>
      </c>
      <c r="L4" s="3">
        <v>46.1</v>
      </c>
      <c r="M4" s="3">
        <v>51.8</v>
      </c>
      <c r="N4" s="3">
        <f>N3-N5</f>
        <v>32.475999999999992</v>
      </c>
      <c r="O4" s="3">
        <f t="shared" ref="O4:X4" si="1">O3-O5</f>
        <v>37.72</v>
      </c>
      <c r="P4" s="3">
        <f t="shared" si="1"/>
        <v>64.123999999999995</v>
      </c>
      <c r="Q4" s="3">
        <f t="shared" si="1"/>
        <v>102.5984</v>
      </c>
      <c r="R4" s="3">
        <f t="shared" si="1"/>
        <v>153.89760000000001</v>
      </c>
      <c r="S4" s="3">
        <f t="shared" si="1"/>
        <v>215.45664000000002</v>
      </c>
      <c r="T4" s="3">
        <f t="shared" si="1"/>
        <v>280.09363200000001</v>
      </c>
      <c r="U4" s="3">
        <f t="shared" si="1"/>
        <v>336.11235840000001</v>
      </c>
      <c r="V4" s="3">
        <f t="shared" si="1"/>
        <v>369.72359424000007</v>
      </c>
      <c r="W4" s="3">
        <f t="shared" si="1"/>
        <v>388.20977395200009</v>
      </c>
      <c r="X4" s="3">
        <f t="shared" si="1"/>
        <v>407.62026264960014</v>
      </c>
    </row>
    <row r="5" spans="2:140" s="1" customFormat="1" x14ac:dyDescent="0.3">
      <c r="B5" s="1" t="s">
        <v>14</v>
      </c>
      <c r="C5" s="8">
        <f>C3-C4</f>
        <v>6.1999999999999993</v>
      </c>
      <c r="D5" s="8">
        <f>D3-D4</f>
        <v>6.5</v>
      </c>
      <c r="G5" s="8">
        <f>G3-G4</f>
        <v>8.3999999999999986</v>
      </c>
      <c r="H5" s="8">
        <f>H3-H4</f>
        <v>7.1999999999999993</v>
      </c>
      <c r="L5" s="8">
        <f>L3-L4</f>
        <v>19.399999999999999</v>
      </c>
      <c r="M5" s="8">
        <f>M3-M4</f>
        <v>24.299999999999997</v>
      </c>
      <c r="N5" s="8">
        <f>N3*0.54</f>
        <v>38.124000000000002</v>
      </c>
      <c r="O5" s="8">
        <f t="shared" ref="O5:X5" si="2">O3*0.54</f>
        <v>44.28</v>
      </c>
      <c r="P5" s="8">
        <f t="shared" si="2"/>
        <v>75.27600000000001</v>
      </c>
      <c r="Q5" s="8">
        <f t="shared" si="2"/>
        <v>120.44160000000002</v>
      </c>
      <c r="R5" s="8">
        <f t="shared" si="2"/>
        <v>180.66240000000005</v>
      </c>
      <c r="S5" s="8">
        <f t="shared" si="2"/>
        <v>252.92736000000005</v>
      </c>
      <c r="T5" s="8">
        <f t="shared" si="2"/>
        <v>328.80556800000005</v>
      </c>
      <c r="U5" s="8">
        <f t="shared" si="2"/>
        <v>394.56668160000009</v>
      </c>
      <c r="V5" s="8">
        <f t="shared" si="2"/>
        <v>434.02334976000014</v>
      </c>
      <c r="W5" s="8">
        <f t="shared" si="2"/>
        <v>455.72451724800021</v>
      </c>
      <c r="X5" s="8">
        <f t="shared" si="2"/>
        <v>478.5107431104002</v>
      </c>
    </row>
    <row r="6" spans="2:140" x14ac:dyDescent="0.3">
      <c r="B6" t="s">
        <v>15</v>
      </c>
      <c r="C6" s="3">
        <v>9.4</v>
      </c>
      <c r="D6" s="3">
        <v>9.4</v>
      </c>
      <c r="G6" s="3">
        <v>8.6999999999999993</v>
      </c>
      <c r="H6" s="3">
        <v>8.9</v>
      </c>
      <c r="L6" s="3">
        <v>44</v>
      </c>
      <c r="M6" s="3">
        <v>37.200000000000003</v>
      </c>
      <c r="N6" s="3">
        <v>36</v>
      </c>
      <c r="O6" s="3">
        <f>N6*0.95</f>
        <v>34.199999999999996</v>
      </c>
      <c r="P6" s="3">
        <f t="shared" ref="P6:T6" si="3">O6*1.25</f>
        <v>42.749999999999993</v>
      </c>
      <c r="Q6" s="3">
        <f t="shared" si="3"/>
        <v>53.437499999999993</v>
      </c>
      <c r="R6" s="3">
        <f t="shared" si="3"/>
        <v>66.796874999999986</v>
      </c>
      <c r="S6" s="3">
        <f t="shared" si="3"/>
        <v>83.496093749999986</v>
      </c>
      <c r="T6" s="3">
        <f t="shared" si="3"/>
        <v>104.37011718749999</v>
      </c>
      <c r="U6" s="3">
        <f>T6*1.2</f>
        <v>125.24414062499997</v>
      </c>
      <c r="V6" s="3">
        <f>U6*1.15</f>
        <v>144.03076171874994</v>
      </c>
      <c r="W6" s="3">
        <f>V6*1.1</f>
        <v>158.43383789062494</v>
      </c>
      <c r="X6" s="3">
        <f>W6*1.05</f>
        <v>166.35552978515619</v>
      </c>
    </row>
    <row r="7" spans="2:140" x14ac:dyDescent="0.3">
      <c r="B7" t="s">
        <v>16</v>
      </c>
      <c r="C7" s="3">
        <v>6</v>
      </c>
      <c r="D7" s="3">
        <v>8</v>
      </c>
      <c r="G7" s="3">
        <v>8.4</v>
      </c>
      <c r="H7" s="3">
        <v>7.1</v>
      </c>
      <c r="L7" s="3">
        <v>26.7</v>
      </c>
      <c r="M7" s="3">
        <v>27.7</v>
      </c>
      <c r="N7" s="3">
        <f>M7*1.15</f>
        <v>31.854999999999997</v>
      </c>
      <c r="O7" s="3">
        <f>N7*0.85</f>
        <v>27.076749999999997</v>
      </c>
      <c r="P7" s="3">
        <f>O7*1.6</f>
        <v>43.322800000000001</v>
      </c>
      <c r="Q7" s="3">
        <f>P7*1.5</f>
        <v>64.984200000000001</v>
      </c>
      <c r="R7" s="3">
        <f>Q7*1.4</f>
        <v>90.977879999999999</v>
      </c>
      <c r="S7" s="3">
        <f>R7*1.3</f>
        <v>118.271244</v>
      </c>
      <c r="T7" s="3">
        <f>S7*1.2</f>
        <v>141.9254928</v>
      </c>
      <c r="U7" s="3">
        <f>T7*1.1</f>
        <v>156.11804208000001</v>
      </c>
      <c r="V7" s="3">
        <f>U7*1.05</f>
        <v>163.92394418400002</v>
      </c>
      <c r="W7" s="3">
        <f t="shared" ref="W7:X7" si="4">V7*1.05</f>
        <v>172.12014139320004</v>
      </c>
      <c r="X7" s="3">
        <f t="shared" si="4"/>
        <v>180.72614846286007</v>
      </c>
    </row>
    <row r="8" spans="2:140" x14ac:dyDescent="0.3">
      <c r="B8" t="s">
        <v>17</v>
      </c>
      <c r="C8" s="3">
        <f>SUM(C6:C7)</f>
        <v>15.4</v>
      </c>
      <c r="D8" s="3">
        <f>SUM(D6:D7)</f>
        <v>17.399999999999999</v>
      </c>
      <c r="G8" s="3">
        <f>SUM(G6:G7)</f>
        <v>17.100000000000001</v>
      </c>
      <c r="H8" s="3">
        <f>SUM(H6:H7)</f>
        <v>16</v>
      </c>
      <c r="L8" s="3">
        <f>SUM(L6:L7)</f>
        <v>70.7</v>
      </c>
      <c r="M8" s="3">
        <f>SUM(M6:M7)</f>
        <v>64.900000000000006</v>
      </c>
      <c r="N8" s="3">
        <f t="shared" ref="N8:X8" si="5">SUM(N6:N7)</f>
        <v>67.85499999999999</v>
      </c>
      <c r="O8" s="3">
        <f t="shared" si="5"/>
        <v>61.276749999999993</v>
      </c>
      <c r="P8" s="3">
        <f t="shared" si="5"/>
        <v>86.072800000000001</v>
      </c>
      <c r="Q8" s="3">
        <f t="shared" si="5"/>
        <v>118.42169999999999</v>
      </c>
      <c r="R8" s="3">
        <f t="shared" si="5"/>
        <v>157.77475499999997</v>
      </c>
      <c r="S8" s="3">
        <f t="shared" si="5"/>
        <v>201.76733774999997</v>
      </c>
      <c r="T8" s="3">
        <f t="shared" si="5"/>
        <v>246.29560998749997</v>
      </c>
      <c r="U8" s="3">
        <f t="shared" si="5"/>
        <v>281.36218270500001</v>
      </c>
      <c r="V8" s="3">
        <f t="shared" si="5"/>
        <v>307.95470590274999</v>
      </c>
      <c r="W8" s="3">
        <f t="shared" si="5"/>
        <v>330.55397928382502</v>
      </c>
      <c r="X8" s="3">
        <f t="shared" si="5"/>
        <v>347.08167824801626</v>
      </c>
    </row>
    <row r="9" spans="2:140" s="1" customFormat="1" x14ac:dyDescent="0.3">
      <c r="B9" s="1" t="s">
        <v>18</v>
      </c>
      <c r="C9" s="8">
        <f>C5-C8</f>
        <v>-9.2000000000000011</v>
      </c>
      <c r="D9" s="8">
        <f>D5-D8</f>
        <v>-10.899999999999999</v>
      </c>
      <c r="G9" s="8">
        <f>G5-G8</f>
        <v>-8.7000000000000028</v>
      </c>
      <c r="H9" s="8">
        <f>H5-H8</f>
        <v>-8.8000000000000007</v>
      </c>
      <c r="L9" s="8">
        <f>L5-L8</f>
        <v>-51.300000000000004</v>
      </c>
      <c r="M9" s="8">
        <f>M5-M8</f>
        <v>-40.600000000000009</v>
      </c>
      <c r="N9" s="8">
        <f t="shared" ref="N9:X9" si="6">N5-N8</f>
        <v>-29.730999999999987</v>
      </c>
      <c r="O9" s="8">
        <f t="shared" si="6"/>
        <v>-16.996749999999992</v>
      </c>
      <c r="P9" s="8">
        <f t="shared" si="6"/>
        <v>-10.79679999999999</v>
      </c>
      <c r="Q9" s="8">
        <f t="shared" si="6"/>
        <v>2.0199000000000353</v>
      </c>
      <c r="R9" s="8">
        <f t="shared" si="6"/>
        <v>22.887645000000077</v>
      </c>
      <c r="S9" s="8">
        <f t="shared" si="6"/>
        <v>51.160022250000083</v>
      </c>
      <c r="T9" s="8">
        <f t="shared" si="6"/>
        <v>82.509958012500078</v>
      </c>
      <c r="U9" s="8">
        <f t="shared" si="6"/>
        <v>113.20449889500009</v>
      </c>
      <c r="V9" s="8">
        <f t="shared" si="6"/>
        <v>126.06864385725015</v>
      </c>
      <c r="W9" s="8">
        <f t="shared" si="6"/>
        <v>125.1705379641752</v>
      </c>
      <c r="X9" s="8">
        <f t="shared" si="6"/>
        <v>131.42906486238394</v>
      </c>
    </row>
    <row r="10" spans="2:140" x14ac:dyDescent="0.3">
      <c r="B10" t="s">
        <v>19</v>
      </c>
      <c r="C10" s="3">
        <v>0.2</v>
      </c>
      <c r="D10" s="3">
        <v>-0.3</v>
      </c>
      <c r="G10" s="3">
        <v>-0.5</v>
      </c>
      <c r="H10" s="3">
        <v>-0.3</v>
      </c>
      <c r="L10" s="3">
        <v>-1</v>
      </c>
      <c r="M10" s="3">
        <v>-1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</row>
    <row r="11" spans="2:140" s="1" customFormat="1" x14ac:dyDescent="0.3">
      <c r="B11" s="1" t="s">
        <v>20</v>
      </c>
      <c r="C11" s="8">
        <f>C9-C10</f>
        <v>-9.4</v>
      </c>
      <c r="D11" s="8">
        <f>D9-D10</f>
        <v>-10.599999999999998</v>
      </c>
      <c r="G11" s="8">
        <f>G9-G10</f>
        <v>-8.2000000000000028</v>
      </c>
      <c r="H11" s="8">
        <f>H9-H10</f>
        <v>-8.5</v>
      </c>
      <c r="L11" s="8">
        <f>L9-L10</f>
        <v>-50.300000000000004</v>
      </c>
      <c r="M11" s="8">
        <f>M9-M10</f>
        <v>-39.600000000000009</v>
      </c>
      <c r="N11" s="8">
        <f>N9-N10</f>
        <v>-29.730999999999987</v>
      </c>
      <c r="O11" s="8">
        <f t="shared" ref="O11:X11" si="7">O9-O10</f>
        <v>-16.996749999999992</v>
      </c>
      <c r="P11" s="8">
        <f t="shared" si="7"/>
        <v>-10.79679999999999</v>
      </c>
      <c r="Q11" s="8">
        <f t="shared" si="7"/>
        <v>2.0199000000000353</v>
      </c>
      <c r="R11" s="8">
        <f t="shared" si="7"/>
        <v>22.887645000000077</v>
      </c>
      <c r="S11" s="8">
        <f t="shared" si="7"/>
        <v>51.160022250000083</v>
      </c>
      <c r="T11" s="8">
        <f t="shared" si="7"/>
        <v>82.509958012500078</v>
      </c>
      <c r="U11" s="8">
        <f t="shared" si="7"/>
        <v>113.20449889500009</v>
      </c>
      <c r="V11" s="8">
        <f t="shared" si="7"/>
        <v>126.06864385725015</v>
      </c>
      <c r="W11" s="8">
        <f t="shared" si="7"/>
        <v>125.1705379641752</v>
      </c>
      <c r="X11" s="8">
        <f t="shared" si="7"/>
        <v>131.42906486238394</v>
      </c>
    </row>
    <row r="12" spans="2:140" x14ac:dyDescent="0.3">
      <c r="B12" t="s">
        <v>21</v>
      </c>
      <c r="C12" s="3">
        <v>0</v>
      </c>
      <c r="D12" s="3">
        <v>0</v>
      </c>
      <c r="G12" s="3">
        <v>0</v>
      </c>
      <c r="H12" s="3">
        <v>0</v>
      </c>
      <c r="L12" s="3">
        <v>0</v>
      </c>
      <c r="M12" s="3">
        <v>0</v>
      </c>
      <c r="N12" s="3">
        <f>N11*0.2</f>
        <v>-5.9461999999999975</v>
      </c>
      <c r="O12" s="3">
        <f t="shared" ref="O12:X12" si="8">O11*0.2</f>
        <v>-3.3993499999999983</v>
      </c>
      <c r="P12" s="3">
        <f t="shared" si="8"/>
        <v>-2.1593599999999982</v>
      </c>
      <c r="Q12" s="3">
        <f t="shared" si="8"/>
        <v>0.40398000000000711</v>
      </c>
      <c r="R12" s="3">
        <f t="shared" si="8"/>
        <v>4.5775290000000153</v>
      </c>
      <c r="S12" s="3">
        <f t="shared" si="8"/>
        <v>10.232004450000018</v>
      </c>
      <c r="T12" s="3">
        <f t="shared" si="8"/>
        <v>16.501991602500016</v>
      </c>
      <c r="U12" s="3">
        <f t="shared" si="8"/>
        <v>22.640899779000019</v>
      </c>
      <c r="V12" s="3">
        <f t="shared" si="8"/>
        <v>25.213728771450032</v>
      </c>
      <c r="W12" s="3">
        <f t="shared" si="8"/>
        <v>25.034107592835042</v>
      </c>
      <c r="X12" s="3">
        <f t="shared" si="8"/>
        <v>26.285812972476791</v>
      </c>
    </row>
    <row r="13" spans="2:140" x14ac:dyDescent="0.3">
      <c r="B13" t="s">
        <v>22</v>
      </c>
      <c r="C13" s="3">
        <v>0.4</v>
      </c>
      <c r="D13" s="3">
        <v>2</v>
      </c>
      <c r="G13" s="3">
        <v>0</v>
      </c>
      <c r="H13" s="3">
        <v>0</v>
      </c>
      <c r="L13" s="3">
        <v>1.9</v>
      </c>
      <c r="M13" s="3">
        <v>2.7</v>
      </c>
      <c r="N13" s="3">
        <f>N11*0.1</f>
        <v>-2.9730999999999987</v>
      </c>
      <c r="O13" s="3">
        <f t="shared" ref="O13:X13" si="9">O11*0.1</f>
        <v>-1.6996749999999992</v>
      </c>
      <c r="P13" s="3">
        <f t="shared" si="9"/>
        <v>-1.0796799999999991</v>
      </c>
      <c r="Q13" s="3">
        <f t="shared" si="9"/>
        <v>0.20199000000000356</v>
      </c>
      <c r="R13" s="3">
        <f t="shared" si="9"/>
        <v>2.2887645000000076</v>
      </c>
      <c r="S13" s="3">
        <f t="shared" si="9"/>
        <v>5.1160022250000088</v>
      </c>
      <c r="T13" s="3">
        <f t="shared" si="9"/>
        <v>8.2509958012500082</v>
      </c>
      <c r="U13" s="3">
        <f t="shared" si="9"/>
        <v>11.32044988950001</v>
      </c>
      <c r="V13" s="3">
        <f t="shared" si="9"/>
        <v>12.606864385725016</v>
      </c>
      <c r="W13" s="3">
        <f t="shared" si="9"/>
        <v>12.517053796417521</v>
      </c>
      <c r="X13" s="3">
        <f t="shared" si="9"/>
        <v>13.142906486238395</v>
      </c>
    </row>
    <row r="14" spans="2:140" s="1" customFormat="1" x14ac:dyDescent="0.3">
      <c r="B14" s="1" t="s">
        <v>23</v>
      </c>
      <c r="C14" s="8">
        <f>C11-C12-C13</f>
        <v>-9.8000000000000007</v>
      </c>
      <c r="D14" s="8">
        <f>D11-D12-D13</f>
        <v>-12.599999999999998</v>
      </c>
      <c r="G14" s="8">
        <f>G11-G12-G13</f>
        <v>-8.2000000000000028</v>
      </c>
      <c r="H14" s="8">
        <f>H11-H12-H13</f>
        <v>-8.5</v>
      </c>
      <c r="L14" s="8">
        <f>L11-L12-L13</f>
        <v>-52.2</v>
      </c>
      <c r="M14" s="8">
        <f>M11-M12-M13</f>
        <v>-42.300000000000011</v>
      </c>
      <c r="N14" s="8">
        <f>N11-N12-N13</f>
        <v>-20.811699999999991</v>
      </c>
      <c r="O14" s="8">
        <f t="shared" ref="O14:X14" si="10">O11-O12-O13</f>
        <v>-11.897724999999994</v>
      </c>
      <c r="P14" s="8">
        <f t="shared" si="10"/>
        <v>-7.5577599999999938</v>
      </c>
      <c r="Q14" s="8">
        <f t="shared" si="10"/>
        <v>1.4139300000000246</v>
      </c>
      <c r="R14" s="8">
        <f t="shared" si="10"/>
        <v>16.021351500000055</v>
      </c>
      <c r="S14" s="8">
        <f t="shared" si="10"/>
        <v>35.812015575000054</v>
      </c>
      <c r="T14" s="8">
        <f t="shared" si="10"/>
        <v>57.756970608750059</v>
      </c>
      <c r="U14" s="8">
        <f t="shared" si="10"/>
        <v>79.243149226500051</v>
      </c>
      <c r="V14" s="8">
        <f t="shared" si="10"/>
        <v>88.248050700075098</v>
      </c>
      <c r="W14" s="8">
        <f t="shared" si="10"/>
        <v>87.619376574922626</v>
      </c>
      <c r="X14" s="8">
        <f t="shared" si="10"/>
        <v>92.000345403668746</v>
      </c>
      <c r="Y14" s="1">
        <f>X14*(1+$AA$19)</f>
        <v>91.080341949632057</v>
      </c>
      <c r="Z14" s="1">
        <f t="shared" ref="Z14:CK14" si="11">Y14*(1+$AA$19)</f>
        <v>90.169538530135739</v>
      </c>
      <c r="AA14" s="1">
        <f t="shared" si="11"/>
        <v>89.267843144834387</v>
      </c>
      <c r="AB14" s="1">
        <f t="shared" si="11"/>
        <v>88.375164713386042</v>
      </c>
      <c r="AC14" s="1">
        <f t="shared" si="11"/>
        <v>87.491413066252179</v>
      </c>
      <c r="AD14" s="1">
        <f t="shared" si="11"/>
        <v>86.616498935589661</v>
      </c>
      <c r="AE14" s="1">
        <f t="shared" si="11"/>
        <v>85.750333946233766</v>
      </c>
      <c r="AF14" s="1">
        <f t="shared" si="11"/>
        <v>84.892830606771426</v>
      </c>
      <c r="AG14" s="1">
        <f t="shared" si="11"/>
        <v>84.043902300703706</v>
      </c>
      <c r="AH14" s="1">
        <f t="shared" si="11"/>
        <v>83.20346327769667</v>
      </c>
      <c r="AI14" s="1">
        <f t="shared" si="11"/>
        <v>82.371428644919703</v>
      </c>
      <c r="AJ14" s="1">
        <f t="shared" si="11"/>
        <v>81.5477143584705</v>
      </c>
      <c r="AK14" s="1">
        <f t="shared" si="11"/>
        <v>80.732237214885799</v>
      </c>
      <c r="AL14" s="1">
        <f t="shared" si="11"/>
        <v>79.924914842736939</v>
      </c>
      <c r="AM14" s="1">
        <f t="shared" si="11"/>
        <v>79.125665694309575</v>
      </c>
      <c r="AN14" s="1">
        <f t="shared" si="11"/>
        <v>78.334409037366484</v>
      </c>
      <c r="AO14" s="1">
        <f t="shared" si="11"/>
        <v>77.551064946992824</v>
      </c>
      <c r="AP14" s="1">
        <f t="shared" si="11"/>
        <v>76.775554297522902</v>
      </c>
      <c r="AQ14" s="1">
        <f t="shared" si="11"/>
        <v>76.007798754547679</v>
      </c>
      <c r="AR14" s="1">
        <f t="shared" si="11"/>
        <v>75.247720767002207</v>
      </c>
      <c r="AS14" s="1">
        <f t="shared" si="11"/>
        <v>74.495243559332181</v>
      </c>
      <c r="AT14" s="1">
        <f t="shared" si="11"/>
        <v>73.750291123738862</v>
      </c>
      <c r="AU14" s="1">
        <f t="shared" si="11"/>
        <v>73.012788212501476</v>
      </c>
      <c r="AV14" s="1">
        <f t="shared" si="11"/>
        <v>72.282660330376459</v>
      </c>
      <c r="AW14" s="1">
        <f t="shared" si="11"/>
        <v>71.5598337270727</v>
      </c>
      <c r="AX14" s="1">
        <f t="shared" si="11"/>
        <v>70.844235389801966</v>
      </c>
      <c r="AY14" s="1">
        <f t="shared" si="11"/>
        <v>70.135793035903944</v>
      </c>
      <c r="AZ14" s="1">
        <f t="shared" si="11"/>
        <v>69.434435105544907</v>
      </c>
      <c r="BA14" s="1">
        <f t="shared" si="11"/>
        <v>68.740090754489458</v>
      </c>
      <c r="BB14" s="1">
        <f t="shared" si="11"/>
        <v>68.05268984694456</v>
      </c>
      <c r="BC14" s="1">
        <f t="shared" si="11"/>
        <v>67.372162948475108</v>
      </c>
      <c r="BD14" s="1">
        <f t="shared" si="11"/>
        <v>66.698441318990362</v>
      </c>
      <c r="BE14" s="1">
        <f t="shared" si="11"/>
        <v>66.031456905800454</v>
      </c>
      <c r="BF14" s="1">
        <f t="shared" si="11"/>
        <v>65.371142336742452</v>
      </c>
      <c r="BG14" s="1">
        <f t="shared" si="11"/>
        <v>64.717430913375026</v>
      </c>
      <c r="BH14" s="1">
        <f t="shared" si="11"/>
        <v>64.07025660424128</v>
      </c>
      <c r="BI14" s="1">
        <f t="shared" si="11"/>
        <v>63.429554038198866</v>
      </c>
      <c r="BJ14" s="1">
        <f t="shared" si="11"/>
        <v>62.795258497816874</v>
      </c>
      <c r="BK14" s="1">
        <f t="shared" si="11"/>
        <v>62.167305912838707</v>
      </c>
      <c r="BL14" s="1">
        <f t="shared" si="11"/>
        <v>61.545632853710316</v>
      </c>
      <c r="BM14" s="1">
        <f t="shared" si="11"/>
        <v>60.930176525173209</v>
      </c>
      <c r="BN14" s="1">
        <f t="shared" si="11"/>
        <v>60.320874759921473</v>
      </c>
      <c r="BO14" s="1">
        <f t="shared" si="11"/>
        <v>59.717666012322255</v>
      </c>
      <c r="BP14" s="1">
        <f t="shared" si="11"/>
        <v>59.12048935219903</v>
      </c>
      <c r="BQ14" s="1">
        <f t="shared" si="11"/>
        <v>58.52928445867704</v>
      </c>
      <c r="BR14" s="1">
        <f t="shared" si="11"/>
        <v>57.943991614090272</v>
      </c>
      <c r="BS14" s="1">
        <f t="shared" si="11"/>
        <v>57.364551697949366</v>
      </c>
      <c r="BT14" s="1">
        <f t="shared" si="11"/>
        <v>56.79090618096987</v>
      </c>
      <c r="BU14" s="1">
        <f t="shared" si="11"/>
        <v>56.222997119160169</v>
      </c>
      <c r="BV14" s="1">
        <f t="shared" si="11"/>
        <v>55.660767147968564</v>
      </c>
      <c r="BW14" s="1">
        <f t="shared" si="11"/>
        <v>55.104159476488874</v>
      </c>
      <c r="BX14" s="1">
        <f t="shared" si="11"/>
        <v>54.553117881723985</v>
      </c>
      <c r="BY14" s="1">
        <f t="shared" si="11"/>
        <v>54.007586702906742</v>
      </c>
      <c r="BZ14" s="1">
        <f t="shared" si="11"/>
        <v>53.467510835877675</v>
      </c>
      <c r="CA14" s="1">
        <f t="shared" si="11"/>
        <v>52.932835727518899</v>
      </c>
      <c r="CB14" s="1">
        <f t="shared" si="11"/>
        <v>52.403507370243709</v>
      </c>
      <c r="CC14" s="1">
        <f t="shared" si="11"/>
        <v>51.879472296541273</v>
      </c>
      <c r="CD14" s="1">
        <f t="shared" si="11"/>
        <v>51.360677573575863</v>
      </c>
      <c r="CE14" s="1">
        <f t="shared" si="11"/>
        <v>50.847070797840104</v>
      </c>
      <c r="CF14" s="1">
        <f t="shared" si="11"/>
        <v>50.3386000898617</v>
      </c>
      <c r="CG14" s="1">
        <f t="shared" si="11"/>
        <v>49.835214088963085</v>
      </c>
      <c r="CH14" s="1">
        <f t="shared" si="11"/>
        <v>49.336861948073455</v>
      </c>
      <c r="CI14" s="1">
        <f t="shared" si="11"/>
        <v>48.843493328592722</v>
      </c>
      <c r="CJ14" s="1">
        <f t="shared" si="11"/>
        <v>48.355058395306791</v>
      </c>
      <c r="CK14" s="1">
        <f t="shared" si="11"/>
        <v>47.871507811353723</v>
      </c>
      <c r="CL14" s="1">
        <f t="shared" ref="CL14:EJ14" si="12">CK14*(1+$AA$19)</f>
        <v>47.392792733240185</v>
      </c>
      <c r="CM14" s="1">
        <f t="shared" si="12"/>
        <v>46.918864805907781</v>
      </c>
      <c r="CN14" s="1">
        <f t="shared" si="12"/>
        <v>46.4496761578487</v>
      </c>
      <c r="CO14" s="1">
        <f t="shared" si="12"/>
        <v>45.985179396270212</v>
      </c>
      <c r="CP14" s="1">
        <f t="shared" si="12"/>
        <v>45.525327602307506</v>
      </c>
      <c r="CQ14" s="1">
        <f t="shared" si="12"/>
        <v>45.070074326284427</v>
      </c>
      <c r="CR14" s="1">
        <f t="shared" si="12"/>
        <v>44.619373583021584</v>
      </c>
      <c r="CS14" s="1">
        <f t="shared" si="12"/>
        <v>44.173179847191371</v>
      </c>
      <c r="CT14" s="1">
        <f t="shared" si="12"/>
        <v>43.731448048719457</v>
      </c>
      <c r="CU14" s="1">
        <f t="shared" si="12"/>
        <v>43.294133568232262</v>
      </c>
      <c r="CV14" s="1">
        <f t="shared" si="12"/>
        <v>42.861192232549939</v>
      </c>
      <c r="CW14" s="1">
        <f t="shared" si="12"/>
        <v>42.432580310224438</v>
      </c>
      <c r="CX14" s="1">
        <f t="shared" si="12"/>
        <v>42.008254507122196</v>
      </c>
      <c r="CY14" s="1">
        <f t="shared" si="12"/>
        <v>41.588171962050971</v>
      </c>
      <c r="CZ14" s="1">
        <f t="shared" si="12"/>
        <v>41.172290242430464</v>
      </c>
      <c r="DA14" s="1">
        <f t="shared" si="12"/>
        <v>40.760567340006162</v>
      </c>
      <c r="DB14" s="1">
        <f t="shared" si="12"/>
        <v>40.352961666606099</v>
      </c>
      <c r="DC14" s="1">
        <f t="shared" si="12"/>
        <v>39.949432049940036</v>
      </c>
      <c r="DD14" s="1">
        <f t="shared" si="12"/>
        <v>39.549937729440636</v>
      </c>
      <c r="DE14" s="1">
        <f t="shared" si="12"/>
        <v>39.154438352146229</v>
      </c>
      <c r="DF14" s="1">
        <f t="shared" si="12"/>
        <v>38.762893968624766</v>
      </c>
      <c r="DG14" s="1">
        <f t="shared" si="12"/>
        <v>38.375265028938522</v>
      </c>
      <c r="DH14" s="1">
        <f t="shared" si="12"/>
        <v>37.991512378649134</v>
      </c>
      <c r="DI14" s="1">
        <f t="shared" si="12"/>
        <v>37.611597254862644</v>
      </c>
      <c r="DJ14" s="1">
        <f t="shared" si="12"/>
        <v>37.235481282314019</v>
      </c>
      <c r="DK14" s="1">
        <f t="shared" si="12"/>
        <v>36.863126469490879</v>
      </c>
      <c r="DL14" s="1">
        <f t="shared" si="12"/>
        <v>36.494495204795967</v>
      </c>
      <c r="DM14" s="1">
        <f t="shared" si="12"/>
        <v>36.129550252748004</v>
      </c>
      <c r="DN14" s="1">
        <f t="shared" si="12"/>
        <v>35.768254750220521</v>
      </c>
      <c r="DO14" s="1">
        <f t="shared" si="12"/>
        <v>35.410572202718313</v>
      </c>
      <c r="DP14" s="1">
        <f t="shared" si="12"/>
        <v>35.056466480691128</v>
      </c>
      <c r="DQ14" s="1">
        <f t="shared" si="12"/>
        <v>34.705901815884218</v>
      </c>
      <c r="DR14" s="1">
        <f t="shared" si="12"/>
        <v>34.358842797725373</v>
      </c>
      <c r="DS14" s="1">
        <f t="shared" si="12"/>
        <v>34.015254369748121</v>
      </c>
      <c r="DT14" s="1">
        <f t="shared" si="12"/>
        <v>33.675101826050636</v>
      </c>
      <c r="DU14" s="1">
        <f t="shared" si="12"/>
        <v>33.338350807790128</v>
      </c>
      <c r="DV14" s="1">
        <f t="shared" si="12"/>
        <v>33.004967299712227</v>
      </c>
      <c r="DW14" s="1">
        <f t="shared" si="12"/>
        <v>32.674917626715107</v>
      </c>
      <c r="DX14" s="1">
        <f t="shared" si="12"/>
        <v>32.348168450447957</v>
      </c>
      <c r="DY14" s="1">
        <f t="shared" si="12"/>
        <v>32.024686765943478</v>
      </c>
      <c r="DZ14" s="1">
        <f t="shared" si="12"/>
        <v>31.704439898284043</v>
      </c>
      <c r="EA14" s="1">
        <f t="shared" si="12"/>
        <v>31.387395499301203</v>
      </c>
      <c r="EB14" s="1">
        <f t="shared" si="12"/>
        <v>31.073521544308189</v>
      </c>
      <c r="EC14" s="1">
        <f t="shared" si="12"/>
        <v>30.762786328865108</v>
      </c>
      <c r="ED14" s="1">
        <f t="shared" si="12"/>
        <v>30.455158465576456</v>
      </c>
      <c r="EE14" s="1">
        <f t="shared" si="12"/>
        <v>30.150606880920691</v>
      </c>
      <c r="EF14" s="1">
        <f t="shared" si="12"/>
        <v>29.849100812111484</v>
      </c>
      <c r="EG14" s="1">
        <f t="shared" si="12"/>
        <v>29.550609803990369</v>
      </c>
      <c r="EH14" s="1">
        <f t="shared" si="12"/>
        <v>29.255103705950464</v>
      </c>
      <c r="EI14" s="1">
        <f t="shared" si="12"/>
        <v>28.962552668890961</v>
      </c>
      <c r="EJ14" s="1">
        <f t="shared" si="12"/>
        <v>28.672927142202052</v>
      </c>
    </row>
    <row r="15" spans="2:140" x14ac:dyDescent="0.3">
      <c r="B15" t="s">
        <v>2</v>
      </c>
      <c r="C15" s="3">
        <f>17.5</f>
        <v>17.5</v>
      </c>
      <c r="D15" s="3">
        <f>17.5</f>
        <v>17.5</v>
      </c>
      <c r="G15" s="3">
        <f>17.5</f>
        <v>17.5</v>
      </c>
      <c r="H15" s="3">
        <f>18.2</f>
        <v>18.2</v>
      </c>
      <c r="L15" s="3">
        <f>17.5</f>
        <v>17.5</v>
      </c>
      <c r="M15" s="3">
        <f>17.5</f>
        <v>17.5</v>
      </c>
      <c r="N15" s="3">
        <f>18.2</f>
        <v>18.2</v>
      </c>
      <c r="O15" s="3">
        <f>18.2</f>
        <v>18.2</v>
      </c>
      <c r="P15" s="3">
        <f>18.2</f>
        <v>18.2</v>
      </c>
      <c r="Q15" s="3">
        <f>18.2</f>
        <v>18.2</v>
      </c>
      <c r="R15" s="3">
        <f>18.2</f>
        <v>18.2</v>
      </c>
      <c r="S15" s="3">
        <f>18.2</f>
        <v>18.2</v>
      </c>
      <c r="T15" s="3">
        <f>18.2</f>
        <v>18.2</v>
      </c>
      <c r="U15" s="3">
        <f>18.2</f>
        <v>18.2</v>
      </c>
      <c r="V15" s="3">
        <f>18.2</f>
        <v>18.2</v>
      </c>
      <c r="W15" s="3">
        <f>18.2</f>
        <v>18.2</v>
      </c>
      <c r="X15" s="3">
        <f>18.2</f>
        <v>18.2</v>
      </c>
    </row>
    <row r="16" spans="2:140" x14ac:dyDescent="0.3">
      <c r="B16" t="s">
        <v>24</v>
      </c>
      <c r="C16" s="7">
        <f>C14/C15</f>
        <v>-0.56000000000000005</v>
      </c>
      <c r="D16" s="7">
        <f>D14/D15</f>
        <v>-0.71999999999999986</v>
      </c>
      <c r="G16" s="7">
        <f>G14/G15</f>
        <v>-0.46857142857142875</v>
      </c>
      <c r="H16" s="7">
        <f>H14/H15</f>
        <v>-0.46703296703296704</v>
      </c>
      <c r="L16" s="7">
        <f>L14/L15</f>
        <v>-2.9828571428571431</v>
      </c>
      <c r="M16" s="7">
        <f>M14/M15</f>
        <v>-2.4171428571428577</v>
      </c>
      <c r="N16" s="7">
        <f>N14/N15</f>
        <v>-1.1434999999999995</v>
      </c>
      <c r="O16" s="7">
        <f t="shared" ref="O16:X16" si="13">O14/O15</f>
        <v>-0.65372115384615359</v>
      </c>
      <c r="P16" s="7">
        <f t="shared" si="13"/>
        <v>-0.41526153846153813</v>
      </c>
      <c r="Q16" s="7">
        <f t="shared" si="13"/>
        <v>7.7688461538462886E-2</v>
      </c>
      <c r="R16" s="7">
        <f t="shared" si="13"/>
        <v>0.88029403846154153</v>
      </c>
      <c r="S16" s="7">
        <f t="shared" si="13"/>
        <v>1.9676931634615416</v>
      </c>
      <c r="T16" s="7">
        <f t="shared" si="13"/>
        <v>3.1734599235576955</v>
      </c>
      <c r="U16" s="7">
        <f t="shared" si="13"/>
        <v>4.3540191882692341</v>
      </c>
      <c r="V16" s="7">
        <f t="shared" si="13"/>
        <v>4.848793994509621</v>
      </c>
      <c r="W16" s="7">
        <f t="shared" si="13"/>
        <v>4.8142514601605839</v>
      </c>
      <c r="X16" s="7">
        <f t="shared" si="13"/>
        <v>5.0549640331686128</v>
      </c>
    </row>
    <row r="18" spans="2:27" x14ac:dyDescent="0.3">
      <c r="B18" t="s">
        <v>32</v>
      </c>
      <c r="C18" s="9"/>
      <c r="G18" s="9">
        <f>G3/C3-1</f>
        <v>3.289473684210531E-2</v>
      </c>
      <c r="H18" s="9">
        <f t="shared" ref="H18:J18" si="14">H3/D3-1</f>
        <v>-0.11822660098522175</v>
      </c>
      <c r="I18" s="9">
        <f t="shared" si="14"/>
        <v>-5.2631578947368474E-2</v>
      </c>
      <c r="J18" s="9">
        <f t="shared" si="14"/>
        <v>-0.24</v>
      </c>
      <c r="L18" s="9"/>
      <c r="M18" s="9">
        <f>M3/L3-1</f>
        <v>0.16183206106870229</v>
      </c>
      <c r="N18" s="9">
        <f t="shared" ref="N18:X18" si="15">N3/M3-1</f>
        <v>-7.2273324572930342E-2</v>
      </c>
      <c r="O18" s="9">
        <f t="shared" si="15"/>
        <v>0.16147308781869696</v>
      </c>
      <c r="P18" s="9">
        <f t="shared" si="15"/>
        <v>0.70000000000000018</v>
      </c>
      <c r="Q18" s="9">
        <f t="shared" si="15"/>
        <v>0.60000000000000009</v>
      </c>
      <c r="R18" s="9">
        <f t="shared" si="15"/>
        <v>0.50000000000000022</v>
      </c>
      <c r="S18" s="9">
        <f t="shared" si="15"/>
        <v>0.39999999999999991</v>
      </c>
      <c r="T18" s="9">
        <f t="shared" si="15"/>
        <v>0.30000000000000004</v>
      </c>
      <c r="U18" s="9">
        <f t="shared" si="15"/>
        <v>0.19999999999999996</v>
      </c>
      <c r="V18" s="9">
        <f t="shared" si="15"/>
        <v>0.10000000000000009</v>
      </c>
      <c r="W18" s="9">
        <f t="shared" si="15"/>
        <v>5.0000000000000044E-2</v>
      </c>
      <c r="X18" s="9">
        <f t="shared" si="15"/>
        <v>5.0000000000000044E-2</v>
      </c>
    </row>
    <row r="19" spans="2:27" x14ac:dyDescent="0.3">
      <c r="B19" t="s">
        <v>33</v>
      </c>
      <c r="C19" s="9">
        <f>C5/C3</f>
        <v>0.40789473684210525</v>
      </c>
      <c r="G19" s="9">
        <f>G5/G3</f>
        <v>0.53503184713375784</v>
      </c>
      <c r="H19" s="9">
        <f>H5/H3</f>
        <v>0.4022346368715084</v>
      </c>
      <c r="L19" s="9">
        <f>L5/L3</f>
        <v>0.29618320610687021</v>
      </c>
      <c r="M19" s="9">
        <f>M5/M3</f>
        <v>0.31931668856767409</v>
      </c>
      <c r="N19" s="9">
        <f t="shared" ref="N19:X19" si="16">N5/N3</f>
        <v>0.54</v>
      </c>
      <c r="O19" s="9">
        <f t="shared" si="16"/>
        <v>0.54</v>
      </c>
      <c r="P19" s="9">
        <f t="shared" si="16"/>
        <v>0.54</v>
      </c>
      <c r="Q19" s="9">
        <f t="shared" si="16"/>
        <v>0.54</v>
      </c>
      <c r="R19" s="9">
        <f t="shared" si="16"/>
        <v>0.54</v>
      </c>
      <c r="S19" s="9">
        <f t="shared" si="16"/>
        <v>0.54</v>
      </c>
      <c r="T19" s="9">
        <f t="shared" si="16"/>
        <v>0.54</v>
      </c>
      <c r="U19" s="9">
        <f t="shared" si="16"/>
        <v>0.54</v>
      </c>
      <c r="V19" s="9">
        <f t="shared" si="16"/>
        <v>0.54</v>
      </c>
      <c r="W19" s="9">
        <f t="shared" si="16"/>
        <v>0.54</v>
      </c>
      <c r="X19" s="9">
        <f t="shared" si="16"/>
        <v>0.54</v>
      </c>
      <c r="Z19" t="s">
        <v>39</v>
      </c>
      <c r="AA19" s="9">
        <v>-0.01</v>
      </c>
    </row>
    <row r="20" spans="2:27" x14ac:dyDescent="0.3">
      <c r="B20" t="s">
        <v>34</v>
      </c>
      <c r="C20" s="9"/>
      <c r="G20" s="9">
        <f>G6/C6-1</f>
        <v>-7.4468085106383142E-2</v>
      </c>
      <c r="H20" s="9">
        <f>H6/D6-1</f>
        <v>-5.3191489361702149E-2</v>
      </c>
      <c r="L20" s="9"/>
      <c r="M20" s="9">
        <f>M6/L6-1</f>
        <v>-0.15454545454545443</v>
      </c>
      <c r="N20" s="9">
        <f t="shared" ref="N20:X20" si="17">N6/M6-1</f>
        <v>-3.2258064516129115E-2</v>
      </c>
      <c r="O20" s="9">
        <f t="shared" si="17"/>
        <v>-5.0000000000000155E-2</v>
      </c>
      <c r="P20" s="9">
        <f t="shared" si="17"/>
        <v>0.25</v>
      </c>
      <c r="Q20" s="9">
        <f t="shared" si="17"/>
        <v>0.25</v>
      </c>
      <c r="R20" s="9">
        <f t="shared" si="17"/>
        <v>0.25</v>
      </c>
      <c r="S20" s="9">
        <f t="shared" si="17"/>
        <v>0.25</v>
      </c>
      <c r="T20" s="9">
        <f t="shared" si="17"/>
        <v>0.25</v>
      </c>
      <c r="U20" s="9">
        <f t="shared" si="17"/>
        <v>0.19999999999999996</v>
      </c>
      <c r="V20" s="9">
        <f t="shared" si="17"/>
        <v>0.14999999999999991</v>
      </c>
      <c r="W20" s="9">
        <f t="shared" si="17"/>
        <v>0.10000000000000009</v>
      </c>
      <c r="X20" s="9">
        <f t="shared" si="17"/>
        <v>5.0000000000000044E-2</v>
      </c>
      <c r="Z20" t="s">
        <v>40</v>
      </c>
      <c r="AA20" s="9">
        <v>0.11</v>
      </c>
    </row>
    <row r="21" spans="2:27" x14ac:dyDescent="0.3">
      <c r="B21" t="s">
        <v>35</v>
      </c>
      <c r="C21" s="9"/>
      <c r="G21" s="9">
        <f>G7/C7-1</f>
        <v>0.40000000000000013</v>
      </c>
      <c r="H21" s="9">
        <f>H7/D7-1</f>
        <v>-0.11250000000000004</v>
      </c>
      <c r="L21" s="9"/>
      <c r="M21" s="9">
        <f>M7/L7-1</f>
        <v>3.7453183520599342E-2</v>
      </c>
      <c r="N21" s="9">
        <f t="shared" ref="N21:X21" si="18">N7/M7-1</f>
        <v>0.14999999999999991</v>
      </c>
      <c r="O21" s="9">
        <f t="shared" si="18"/>
        <v>-0.15000000000000002</v>
      </c>
      <c r="P21" s="9">
        <f t="shared" si="18"/>
        <v>0.60000000000000031</v>
      </c>
      <c r="Q21" s="9">
        <f t="shared" si="18"/>
        <v>0.5</v>
      </c>
      <c r="R21" s="9">
        <f t="shared" si="18"/>
        <v>0.39999999999999991</v>
      </c>
      <c r="S21" s="9">
        <f t="shared" si="18"/>
        <v>0.30000000000000004</v>
      </c>
      <c r="T21" s="9">
        <f t="shared" si="18"/>
        <v>0.19999999999999996</v>
      </c>
      <c r="U21" s="9">
        <f t="shared" si="18"/>
        <v>0.10000000000000009</v>
      </c>
      <c r="V21" s="9">
        <f t="shared" si="18"/>
        <v>5.0000000000000044E-2</v>
      </c>
      <c r="W21" s="9">
        <f t="shared" si="18"/>
        <v>5.0000000000000044E-2</v>
      </c>
      <c r="X21" s="9">
        <f t="shared" si="18"/>
        <v>5.0000000000000044E-2</v>
      </c>
      <c r="Z21" t="s">
        <v>41</v>
      </c>
      <c r="AA21" s="3">
        <f>NPV(AA20,N14:EJ14)</f>
        <v>393.22401453576623</v>
      </c>
    </row>
    <row r="22" spans="2:27" x14ac:dyDescent="0.3">
      <c r="B22" t="s">
        <v>36</v>
      </c>
      <c r="C22" s="9">
        <f>C7/C3</f>
        <v>0.39473684210526316</v>
      </c>
      <c r="G22" s="9">
        <f>G7/G3</f>
        <v>0.53503184713375795</v>
      </c>
      <c r="H22" s="9">
        <f>H7/H3</f>
        <v>0.39664804469273746</v>
      </c>
      <c r="L22" s="9">
        <f>L7/L3</f>
        <v>0.40763358778625952</v>
      </c>
      <c r="M22" s="9">
        <f>M7/M3</f>
        <v>0.36399474375821289</v>
      </c>
      <c r="N22" s="9">
        <f t="shared" ref="N22:X22" si="19">N7/N3</f>
        <v>0.4512039660056657</v>
      </c>
      <c r="O22" s="9">
        <f t="shared" si="19"/>
        <v>0.3302042682926829</v>
      </c>
      <c r="P22" s="9">
        <f t="shared" si="19"/>
        <v>0.31078048780487805</v>
      </c>
      <c r="Q22" s="9">
        <f t="shared" si="19"/>
        <v>0.29135670731707314</v>
      </c>
      <c r="R22" s="9">
        <f t="shared" si="19"/>
        <v>0.27193292682926823</v>
      </c>
      <c r="S22" s="9">
        <f t="shared" si="19"/>
        <v>0.25250914634146338</v>
      </c>
      <c r="T22" s="9">
        <f t="shared" si="19"/>
        <v>0.23308536585365852</v>
      </c>
      <c r="U22" s="9">
        <f t="shared" si="19"/>
        <v>0.21366158536585364</v>
      </c>
      <c r="V22" s="9">
        <f t="shared" si="19"/>
        <v>0.20394969512195119</v>
      </c>
      <c r="W22" s="9">
        <f t="shared" si="19"/>
        <v>0.20394969512195119</v>
      </c>
      <c r="X22" s="9">
        <f t="shared" si="19"/>
        <v>0.20394969512195121</v>
      </c>
      <c r="Z22" t="s">
        <v>42</v>
      </c>
      <c r="AA22" s="3">
        <f>Main!D8</f>
        <v>47.5</v>
      </c>
    </row>
    <row r="23" spans="2:27" x14ac:dyDescent="0.3">
      <c r="B23" t="s">
        <v>37</v>
      </c>
      <c r="C23" s="9">
        <f>C9/C3</f>
        <v>-0.60526315789473695</v>
      </c>
      <c r="G23" s="9">
        <f>G9/G3</f>
        <v>-0.55414012738853524</v>
      </c>
      <c r="H23" s="9">
        <f>H9/H3</f>
        <v>-0.49162011173184367</v>
      </c>
      <c r="L23" s="9">
        <f>L9/L3</f>
        <v>-0.78320610687022907</v>
      </c>
      <c r="M23" s="9">
        <f>M9/M3</f>
        <v>-0.53350854139290427</v>
      </c>
      <c r="N23" s="9">
        <f t="shared" ref="N23:X23" si="20">N9/N3</f>
        <v>-0.42111898016997151</v>
      </c>
      <c r="O23" s="9">
        <f t="shared" si="20"/>
        <v>-0.20727743902439014</v>
      </c>
      <c r="P23" s="9">
        <f t="shared" si="20"/>
        <v>-7.7451936872309834E-2</v>
      </c>
      <c r="Q23" s="9">
        <f t="shared" si="20"/>
        <v>9.0562230989958536E-3</v>
      </c>
      <c r="R23" s="9">
        <f t="shared" si="20"/>
        <v>6.8411181850789315E-2</v>
      </c>
      <c r="S23" s="9">
        <f t="shared" si="20"/>
        <v>0.10922666498001656</v>
      </c>
      <c r="T23" s="9">
        <f t="shared" si="20"/>
        <v>0.13550676041699525</v>
      </c>
      <c r="U23" s="9">
        <f t="shared" si="20"/>
        <v>0.1549305409048001</v>
      </c>
      <c r="V23" s="9">
        <f t="shared" si="20"/>
        <v>0.15685116416100503</v>
      </c>
      <c r="W23" s="9">
        <f t="shared" si="20"/>
        <v>0.14831787174590774</v>
      </c>
      <c r="X23" s="9">
        <f t="shared" si="20"/>
        <v>0.14831787174590771</v>
      </c>
      <c r="Z23" t="s">
        <v>43</v>
      </c>
      <c r="AA23" s="3">
        <f>AA21+AA22</f>
        <v>440.72401453576623</v>
      </c>
    </row>
    <row r="24" spans="2:27" x14ac:dyDescent="0.3">
      <c r="B24" t="s">
        <v>21</v>
      </c>
      <c r="C24" s="9">
        <f>C12/C11</f>
        <v>0</v>
      </c>
      <c r="G24" s="9">
        <f>G12/G11</f>
        <v>0</v>
      </c>
      <c r="H24" s="9">
        <f>H12/H11</f>
        <v>0</v>
      </c>
      <c r="L24" s="9">
        <f>L12/L11</f>
        <v>0</v>
      </c>
      <c r="M24" s="9">
        <f>M12/M11</f>
        <v>0</v>
      </c>
      <c r="N24" s="9">
        <f t="shared" ref="N24:X24" si="21">N12/N11</f>
        <v>0.2</v>
      </c>
      <c r="O24" s="9">
        <f t="shared" si="21"/>
        <v>0.2</v>
      </c>
      <c r="P24" s="9">
        <f t="shared" si="21"/>
        <v>0.2</v>
      </c>
      <c r="Q24" s="9">
        <f t="shared" si="21"/>
        <v>0.2</v>
      </c>
      <c r="R24" s="9">
        <f t="shared" si="21"/>
        <v>0.19999999999999998</v>
      </c>
      <c r="S24" s="9">
        <f t="shared" si="21"/>
        <v>0.2</v>
      </c>
      <c r="T24" s="9">
        <f t="shared" si="21"/>
        <v>0.2</v>
      </c>
      <c r="U24" s="9">
        <f t="shared" si="21"/>
        <v>0.2</v>
      </c>
      <c r="V24" s="9">
        <f t="shared" si="21"/>
        <v>0.2</v>
      </c>
      <c r="W24" s="9">
        <f t="shared" si="21"/>
        <v>0.2</v>
      </c>
      <c r="X24" s="9">
        <f t="shared" si="21"/>
        <v>0.2</v>
      </c>
      <c r="Z24" t="s">
        <v>44</v>
      </c>
      <c r="AA24" s="2">
        <f>AA23/X15</f>
        <v>24.215605194272872</v>
      </c>
    </row>
    <row r="25" spans="2:27" x14ac:dyDescent="0.3">
      <c r="B25" t="s">
        <v>38</v>
      </c>
      <c r="C25" s="9">
        <f>C14/C3</f>
        <v>-0.64473684210526327</v>
      </c>
      <c r="G25" s="9">
        <f>G14/G3</f>
        <v>-0.52229299363057347</v>
      </c>
      <c r="H25" s="9">
        <f>H14/H3</f>
        <v>-0.47486033519553078</v>
      </c>
      <c r="L25" s="9">
        <f>L14/L3</f>
        <v>-0.7969465648854962</v>
      </c>
      <c r="M25" s="9">
        <f>M14/M3</f>
        <v>-0.55584756898817367</v>
      </c>
      <c r="N25" s="9">
        <f t="shared" ref="N25:X25" si="22">N14/N3</f>
        <v>-0.29478328611898008</v>
      </c>
      <c r="O25" s="9">
        <f t="shared" si="22"/>
        <v>-0.14509420731707309</v>
      </c>
      <c r="P25" s="9">
        <f t="shared" si="22"/>
        <v>-5.421635581061688E-2</v>
      </c>
      <c r="Q25" s="9">
        <f t="shared" si="22"/>
        <v>6.3393561692970963E-3</v>
      </c>
      <c r="R25" s="9">
        <f t="shared" si="22"/>
        <v>4.7887827295552521E-2</v>
      </c>
      <c r="S25" s="9">
        <f t="shared" si="22"/>
        <v>7.6458665486011587E-2</v>
      </c>
      <c r="T25" s="9">
        <f t="shared" si="22"/>
        <v>9.4854732291896671E-2</v>
      </c>
      <c r="U25" s="9">
        <f t="shared" si="22"/>
        <v>0.10845137863336006</v>
      </c>
      <c r="V25" s="9">
        <f t="shared" si="22"/>
        <v>0.10979581491270352</v>
      </c>
      <c r="W25" s="9">
        <f t="shared" si="22"/>
        <v>0.1038225102221354</v>
      </c>
      <c r="X25" s="9">
        <f t="shared" si="22"/>
        <v>0.10382251022213539</v>
      </c>
      <c r="Z25" t="s">
        <v>45</v>
      </c>
      <c r="AA25" s="2">
        <f>Main!D3</f>
        <v>35.03</v>
      </c>
    </row>
    <row r="26" spans="2:27" x14ac:dyDescent="0.3">
      <c r="Z26" s="1" t="s">
        <v>46</v>
      </c>
      <c r="AA26" s="11">
        <f>AA24/AA25-1</f>
        <v>-0.30871809322658095</v>
      </c>
    </row>
    <row r="27" spans="2:27" x14ac:dyDescent="0.3">
      <c r="Z27" t="s">
        <v>47</v>
      </c>
      <c r="AA27" s="6" t="s">
        <v>48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2025-07-30T09:04:42Z</dcterms:created>
  <dcterms:modified xsi:type="dcterms:W3CDTF">2025-09-05T18:19:05Z</dcterms:modified>
</cp:coreProperties>
</file>