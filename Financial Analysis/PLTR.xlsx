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B9320AA0-3BA0-4ED5-8BF6-9FB9A4179135}" xr6:coauthVersionLast="47" xr6:coauthVersionMax="47" xr10:uidLastSave="{00000000-0000-0000-0000-000000000000}"/>
  <bookViews>
    <workbookView xWindow="-108" yWindow="-108" windowWidth="23256" windowHeight="12576" activeTab="1" xr2:uid="{F38281D2-A2D5-4B11-829A-E3DB86132867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AW6" i="2"/>
  <c r="AV6" i="2"/>
  <c r="AU6" i="2"/>
  <c r="AT6" i="2"/>
  <c r="AS6" i="2"/>
  <c r="AR6" i="2"/>
  <c r="AQ6" i="2"/>
  <c r="AP6" i="2"/>
  <c r="AO6" i="2"/>
  <c r="AN6" i="2"/>
  <c r="AR7" i="2"/>
  <c r="AS7" i="2" s="1"/>
  <c r="AT7" i="2" s="1"/>
  <c r="AU7" i="2" s="1"/>
  <c r="AV7" i="2" s="1"/>
  <c r="AW7" i="2" s="1"/>
  <c r="AN7" i="2"/>
  <c r="AW5" i="2"/>
  <c r="AV5" i="2"/>
  <c r="AU5" i="2"/>
  <c r="AT5" i="2"/>
  <c r="AS5" i="2"/>
  <c r="AR5" i="2"/>
  <c r="AQ5" i="2"/>
  <c r="AP5" i="2"/>
  <c r="AO5" i="2"/>
  <c r="AN5" i="2"/>
  <c r="AS3" i="2"/>
  <c r="AR3" i="2"/>
  <c r="AQ3" i="2"/>
  <c r="AP3" i="2"/>
  <c r="AD8" i="2"/>
  <c r="AD7" i="2"/>
  <c r="AD6" i="2"/>
  <c r="AO3" i="2"/>
  <c r="AN3" i="2"/>
  <c r="AC5" i="2"/>
  <c r="AW19" i="2"/>
  <c r="AV19" i="2"/>
  <c r="AU19" i="2"/>
  <c r="AT19" i="2"/>
  <c r="AS19" i="2"/>
  <c r="AR19" i="2"/>
  <c r="AQ19" i="2"/>
  <c r="AP19" i="2"/>
  <c r="AO19" i="2"/>
  <c r="AN19" i="2"/>
  <c r="AM19" i="2"/>
  <c r="AD19" i="2"/>
  <c r="AC19" i="2"/>
  <c r="D4" i="1"/>
  <c r="AA53" i="2"/>
  <c r="X50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49" i="2" s="1"/>
  <c r="X35" i="2"/>
  <c r="X34" i="2"/>
  <c r="X33" i="2"/>
  <c r="AB53" i="2"/>
  <c r="AB50" i="2"/>
  <c r="AC50" i="2" s="1"/>
  <c r="AD50" i="2" s="1"/>
  <c r="AB48" i="2"/>
  <c r="AM48" i="2" s="1"/>
  <c r="AB47" i="2"/>
  <c r="AB46" i="2"/>
  <c r="AM46" i="2" s="1"/>
  <c r="AB45" i="2"/>
  <c r="AB44" i="2"/>
  <c r="AM44" i="2" s="1"/>
  <c r="AB43" i="2"/>
  <c r="AB42" i="2"/>
  <c r="AB41" i="2"/>
  <c r="AM41" i="2" s="1"/>
  <c r="AB40" i="2"/>
  <c r="AM40" i="2" s="1"/>
  <c r="AB39" i="2"/>
  <c r="AB38" i="2"/>
  <c r="AB37" i="2"/>
  <c r="AM37" i="2" s="1"/>
  <c r="AB36" i="2"/>
  <c r="AM36" i="2" s="1"/>
  <c r="AN36" i="2" s="1"/>
  <c r="AO36" i="2" s="1"/>
  <c r="AP36" i="2" s="1"/>
  <c r="AQ36" i="2" s="1"/>
  <c r="AR36" i="2" s="1"/>
  <c r="AS36" i="2" s="1"/>
  <c r="AT36" i="2" s="1"/>
  <c r="AU36" i="2" s="1"/>
  <c r="AV36" i="2" s="1"/>
  <c r="AW36" i="2" s="1"/>
  <c r="AB35" i="2"/>
  <c r="AC35" i="2" s="1"/>
  <c r="AD35" i="2" s="1"/>
  <c r="AB34" i="2"/>
  <c r="AB5" i="2"/>
  <c r="AB19" i="2"/>
  <c r="AM47" i="2"/>
  <c r="AM45" i="2"/>
  <c r="AM43" i="2"/>
  <c r="AM42" i="2"/>
  <c r="AM39" i="2"/>
  <c r="AA19" i="2"/>
  <c r="AA5" i="2"/>
  <c r="AZ59" i="2"/>
  <c r="X51" i="2" l="1"/>
  <c r="AC34" i="2"/>
  <c r="AD34" i="2" s="1"/>
  <c r="AC38" i="2"/>
  <c r="AD38" i="2" s="1"/>
  <c r="AM35" i="2"/>
  <c r="AN35" i="2" s="1"/>
  <c r="AO35" i="2" s="1"/>
  <c r="AP35" i="2" s="1"/>
  <c r="AQ35" i="2" s="1"/>
  <c r="AR35" i="2" s="1"/>
  <c r="AS35" i="2" s="1"/>
  <c r="AT35" i="2" s="1"/>
  <c r="AU35" i="2" s="1"/>
  <c r="AV35" i="2" s="1"/>
  <c r="AW35" i="2" s="1"/>
  <c r="AM50" i="2"/>
  <c r="AN50" i="2" s="1"/>
  <c r="AO50" i="2" s="1"/>
  <c r="AP50" i="2" s="1"/>
  <c r="AQ50" i="2" s="1"/>
  <c r="AR50" i="2" s="1"/>
  <c r="AS50" i="2" s="1"/>
  <c r="AT50" i="2" s="1"/>
  <c r="AU50" i="2" s="1"/>
  <c r="AV50" i="2" s="1"/>
  <c r="AW50" i="2" s="1"/>
  <c r="AL50" i="2"/>
  <c r="AD9" i="2"/>
  <c r="AM14" i="2"/>
  <c r="AM13" i="2"/>
  <c r="AM12" i="2"/>
  <c r="AD27" i="2"/>
  <c r="AB27" i="2"/>
  <c r="AA27" i="2"/>
  <c r="AD26" i="2"/>
  <c r="AB26" i="2"/>
  <c r="AA26" i="2"/>
  <c r="AC22" i="2"/>
  <c r="AB22" i="2"/>
  <c r="AA22" i="2"/>
  <c r="AD11" i="2"/>
  <c r="AM8" i="2"/>
  <c r="AN8" i="2" s="1"/>
  <c r="AO8" i="2" s="1"/>
  <c r="AP8" i="2" s="1"/>
  <c r="AQ8" i="2" s="1"/>
  <c r="AC26" i="2"/>
  <c r="AC25" i="2"/>
  <c r="AB9" i="2"/>
  <c r="AA9" i="2"/>
  <c r="AL19" i="2"/>
  <c r="Z19" i="2"/>
  <c r="Z5" i="2"/>
  <c r="AM7" i="2" l="1"/>
  <c r="AO7" i="2" s="1"/>
  <c r="AP7" i="2" s="1"/>
  <c r="AQ7" i="2" s="1"/>
  <c r="AM11" i="2"/>
  <c r="AN11" i="2" s="1"/>
  <c r="AO11" i="2" s="1"/>
  <c r="AP11" i="2" s="1"/>
  <c r="AQ11" i="2" s="1"/>
  <c r="AR11" i="2" s="1"/>
  <c r="AS11" i="2" s="1"/>
  <c r="AT11" i="2" s="1"/>
  <c r="AU11" i="2" s="1"/>
  <c r="AV11" i="2" s="1"/>
  <c r="AW11" i="2" s="1"/>
  <c r="AM34" i="2"/>
  <c r="AN34" i="2" s="1"/>
  <c r="AO34" i="2" s="1"/>
  <c r="AP34" i="2" s="1"/>
  <c r="AQ34" i="2" s="1"/>
  <c r="AR34" i="2" s="1"/>
  <c r="AS34" i="2" s="1"/>
  <c r="AT34" i="2" s="1"/>
  <c r="AU34" i="2" s="1"/>
  <c r="AV34" i="2" s="1"/>
  <c r="AW34" i="2" s="1"/>
  <c r="AM38" i="2"/>
  <c r="AN38" i="2" s="1"/>
  <c r="AO38" i="2" s="1"/>
  <c r="AP38" i="2" s="1"/>
  <c r="AQ38" i="2" s="1"/>
  <c r="AR38" i="2" s="1"/>
  <c r="AS38" i="2" s="1"/>
  <c r="AT38" i="2" s="1"/>
  <c r="AU38" i="2" s="1"/>
  <c r="AV38" i="2" s="1"/>
  <c r="AW38" i="2" s="1"/>
  <c r="AC27" i="2"/>
  <c r="AC9" i="2"/>
  <c r="AC10" i="2" s="1"/>
  <c r="AB10" i="2"/>
  <c r="AB24" i="2" s="1"/>
  <c r="AA23" i="2"/>
  <c r="AA10" i="2"/>
  <c r="AA24" i="2" s="1"/>
  <c r="AC23" i="2"/>
  <c r="AD5" i="2"/>
  <c r="AD22" i="2"/>
  <c r="AD25" i="2"/>
  <c r="AM3" i="2"/>
  <c r="AB25" i="2"/>
  <c r="AB23" i="2"/>
  <c r="AA25" i="2"/>
  <c r="AM6" i="2"/>
  <c r="AL17" i="2"/>
  <c r="Z27" i="2"/>
  <c r="Y5" i="2"/>
  <c r="Y19" i="2"/>
  <c r="Y22" i="2"/>
  <c r="AL14" i="2"/>
  <c r="AL13" i="2"/>
  <c r="AL12" i="2"/>
  <c r="AL11" i="2"/>
  <c r="Y27" i="2"/>
  <c r="Z26" i="2"/>
  <c r="Y26" i="2"/>
  <c r="AK16" i="2"/>
  <c r="AK14" i="2"/>
  <c r="AK13" i="2"/>
  <c r="AK12" i="2"/>
  <c r="AK11" i="2"/>
  <c r="AK8" i="2"/>
  <c r="AK7" i="2"/>
  <c r="AK6" i="2"/>
  <c r="AK4" i="2"/>
  <c r="AK3" i="2"/>
  <c r="AJ16" i="2"/>
  <c r="AJ14" i="2"/>
  <c r="AJ13" i="2"/>
  <c r="AJ12" i="2"/>
  <c r="AJ11" i="2"/>
  <c r="AJ8" i="2"/>
  <c r="AJ7" i="2"/>
  <c r="AJ6" i="2"/>
  <c r="AJ4" i="2"/>
  <c r="AJ3" i="2"/>
  <c r="X19" i="2"/>
  <c r="X27" i="2"/>
  <c r="W27" i="2"/>
  <c r="V27" i="2"/>
  <c r="U27" i="2"/>
  <c r="T27" i="2"/>
  <c r="S27" i="2"/>
  <c r="R27" i="2"/>
  <c r="Q27" i="2"/>
  <c r="P27" i="2"/>
  <c r="O27" i="2"/>
  <c r="X26" i="2"/>
  <c r="W26" i="2"/>
  <c r="V26" i="2"/>
  <c r="U26" i="2"/>
  <c r="T26" i="2"/>
  <c r="S26" i="2"/>
  <c r="R26" i="2"/>
  <c r="Q26" i="2"/>
  <c r="P26" i="2"/>
  <c r="O26" i="2"/>
  <c r="X25" i="2"/>
  <c r="W25" i="2"/>
  <c r="V25" i="2"/>
  <c r="U25" i="2"/>
  <c r="T25" i="2"/>
  <c r="S25" i="2"/>
  <c r="R25" i="2"/>
  <c r="Q25" i="2"/>
  <c r="P25" i="2"/>
  <c r="O25" i="2"/>
  <c r="X22" i="2"/>
  <c r="W22" i="2"/>
  <c r="V22" i="2"/>
  <c r="U22" i="2"/>
  <c r="T22" i="2"/>
  <c r="S22" i="2"/>
  <c r="R22" i="2"/>
  <c r="Q22" i="2"/>
  <c r="P22" i="2"/>
  <c r="O22" i="2"/>
  <c r="M9" i="2"/>
  <c r="M5" i="2"/>
  <c r="N9" i="2"/>
  <c r="N5" i="2"/>
  <c r="O9" i="2"/>
  <c r="O5" i="2"/>
  <c r="O23" i="2" s="1"/>
  <c r="L9" i="2"/>
  <c r="L5" i="2"/>
  <c r="P9" i="2"/>
  <c r="P5" i="2"/>
  <c r="P23" i="2" s="1"/>
  <c r="Q9" i="2"/>
  <c r="Q5" i="2"/>
  <c r="Q23" i="2" s="1"/>
  <c r="U9" i="2"/>
  <c r="U5" i="2"/>
  <c r="U23" i="2" s="1"/>
  <c r="R9" i="2"/>
  <c r="R5" i="2"/>
  <c r="R23" i="2" s="1"/>
  <c r="V9" i="2"/>
  <c r="V5" i="2"/>
  <c r="V23" i="2" s="1"/>
  <c r="S9" i="2"/>
  <c r="S5" i="2"/>
  <c r="S23" i="2" s="1"/>
  <c r="W9" i="2"/>
  <c r="W5" i="2"/>
  <c r="W23" i="2" s="1"/>
  <c r="T9" i="2"/>
  <c r="T5" i="2"/>
  <c r="T23" i="2" s="1"/>
  <c r="X9" i="2"/>
  <c r="X5" i="2"/>
  <c r="X23" i="2" s="1"/>
  <c r="C9" i="2"/>
  <c r="C5" i="2"/>
  <c r="G27" i="2"/>
  <c r="G26" i="2"/>
  <c r="G25" i="2"/>
  <c r="G22" i="2"/>
  <c r="G9" i="2"/>
  <c r="G5" i="2"/>
  <c r="K5" i="2"/>
  <c r="K23" i="2" s="1"/>
  <c r="N27" i="2"/>
  <c r="AG27" i="2"/>
  <c r="AG26" i="2"/>
  <c r="AI14" i="2"/>
  <c r="AI13" i="2"/>
  <c r="AI12" i="2"/>
  <c r="AI11" i="2"/>
  <c r="K27" i="2"/>
  <c r="K26" i="2"/>
  <c r="N26" i="2"/>
  <c r="F25" i="2"/>
  <c r="F9" i="2"/>
  <c r="F5" i="2"/>
  <c r="F23" i="2" s="1"/>
  <c r="J27" i="2"/>
  <c r="I27" i="2"/>
  <c r="J26" i="2"/>
  <c r="I26" i="2"/>
  <c r="J5" i="2"/>
  <c r="AZ31" i="2"/>
  <c r="AB15" i="2" l="1"/>
  <c r="AB28" i="2" s="1"/>
  <c r="AA15" i="2"/>
  <c r="AD4" i="2"/>
  <c r="AM4" i="2" s="1"/>
  <c r="AM5" i="2" s="1"/>
  <c r="AD23" i="2"/>
  <c r="AD10" i="2"/>
  <c r="AC24" i="2"/>
  <c r="AC15" i="2"/>
  <c r="AK5" i="2"/>
  <c r="AJ5" i="2"/>
  <c r="Z22" i="2"/>
  <c r="Y25" i="2"/>
  <c r="AL6" i="2"/>
  <c r="Y9" i="2"/>
  <c r="Y10" i="2" s="1"/>
  <c r="Z9" i="2"/>
  <c r="Z25" i="2"/>
  <c r="AL3" i="2"/>
  <c r="AL7" i="2"/>
  <c r="AL8" i="2"/>
  <c r="M10" i="2"/>
  <c r="M15" i="2" s="1"/>
  <c r="M18" i="2" s="1"/>
  <c r="M20" i="2" s="1"/>
  <c r="M23" i="2"/>
  <c r="N10" i="2"/>
  <c r="N15" i="2" s="1"/>
  <c r="N18" i="2" s="1"/>
  <c r="N20" i="2" s="1"/>
  <c r="N23" i="2"/>
  <c r="O10" i="2"/>
  <c r="L10" i="2"/>
  <c r="L15" i="2" s="1"/>
  <c r="L18" i="2" s="1"/>
  <c r="L20" i="2" s="1"/>
  <c r="L23" i="2"/>
  <c r="P10" i="2"/>
  <c r="Q10" i="2"/>
  <c r="U10" i="2"/>
  <c r="R10" i="2"/>
  <c r="V10" i="2"/>
  <c r="S10" i="2"/>
  <c r="W10" i="2"/>
  <c r="T10" i="2"/>
  <c r="X10" i="2"/>
  <c r="G10" i="2"/>
  <c r="G15" i="2" s="1"/>
  <c r="G18" i="2" s="1"/>
  <c r="G20" i="2" s="1"/>
  <c r="C10" i="2"/>
  <c r="C15" i="2" s="1"/>
  <c r="C18" i="2" s="1"/>
  <c r="C20" i="2" s="1"/>
  <c r="G23" i="2"/>
  <c r="N25" i="2"/>
  <c r="M25" i="2"/>
  <c r="K22" i="2"/>
  <c r="M27" i="2"/>
  <c r="L25" i="2"/>
  <c r="N22" i="2"/>
  <c r="AI3" i="2"/>
  <c r="M22" i="2"/>
  <c r="F10" i="2"/>
  <c r="AN13" i="2"/>
  <c r="AO13" i="2" s="1"/>
  <c r="AP13" i="2" s="1"/>
  <c r="AQ13" i="2" s="1"/>
  <c r="AR13" i="2" s="1"/>
  <c r="AS13" i="2" s="1"/>
  <c r="AT13" i="2" s="1"/>
  <c r="AU13" i="2" s="1"/>
  <c r="AV13" i="2" s="1"/>
  <c r="AW13" i="2" s="1"/>
  <c r="AN12" i="2"/>
  <c r="AO12" i="2" s="1"/>
  <c r="AP12" i="2" s="1"/>
  <c r="AQ12" i="2" s="1"/>
  <c r="AR12" i="2" s="1"/>
  <c r="AS12" i="2" s="1"/>
  <c r="AT12" i="2" s="1"/>
  <c r="AU12" i="2" s="1"/>
  <c r="AV12" i="2" s="1"/>
  <c r="AW12" i="2" s="1"/>
  <c r="AG25" i="2"/>
  <c r="AF25" i="2"/>
  <c r="AG22" i="2"/>
  <c r="J22" i="2"/>
  <c r="I25" i="2"/>
  <c r="E25" i="2"/>
  <c r="I22" i="2"/>
  <c r="H16" i="2"/>
  <c r="AH16" i="2" s="1"/>
  <c r="H14" i="2"/>
  <c r="AH14" i="2" s="1"/>
  <c r="H13" i="2"/>
  <c r="AH13" i="2" s="1"/>
  <c r="H12" i="2"/>
  <c r="AH12" i="2" s="1"/>
  <c r="H11" i="2"/>
  <c r="AH11" i="2" s="1"/>
  <c r="H8" i="2"/>
  <c r="H7" i="2"/>
  <c r="H6" i="2"/>
  <c r="H4" i="2"/>
  <c r="H3" i="2"/>
  <c r="L22" i="2" s="1"/>
  <c r="D16" i="2"/>
  <c r="D14" i="2"/>
  <c r="D13" i="2"/>
  <c r="D12" i="2"/>
  <c r="D11" i="2"/>
  <c r="D8" i="2"/>
  <c r="D7" i="2"/>
  <c r="D6" i="2"/>
  <c r="D4" i="2"/>
  <c r="AG9" i="2"/>
  <c r="AG5" i="2"/>
  <c r="AG23" i="2" s="1"/>
  <c r="AF9" i="2"/>
  <c r="AF5" i="2"/>
  <c r="AF23" i="2" s="1"/>
  <c r="E9" i="2"/>
  <c r="E5" i="2"/>
  <c r="E23" i="2" s="1"/>
  <c r="I9" i="2"/>
  <c r="I5" i="2"/>
  <c r="I23" i="2" s="1"/>
  <c r="D5" i="1"/>
  <c r="D8" i="1"/>
  <c r="F3" i="1"/>
  <c r="AZ28" i="2" l="1"/>
  <c r="AZ56" i="2"/>
  <c r="AB29" i="2"/>
  <c r="AA28" i="2"/>
  <c r="AD24" i="2"/>
  <c r="AD15" i="2"/>
  <c r="AC29" i="2"/>
  <c r="AC28" i="2"/>
  <c r="AA29" i="2"/>
  <c r="AA18" i="2"/>
  <c r="AA33" i="2" s="1"/>
  <c r="AA49" i="2" s="1"/>
  <c r="AA51" i="2" s="1"/>
  <c r="O15" i="2"/>
  <c r="O24" i="2"/>
  <c r="Y23" i="2"/>
  <c r="R15" i="2"/>
  <c r="R24" i="2"/>
  <c r="U15" i="2"/>
  <c r="U24" i="2"/>
  <c r="W15" i="2"/>
  <c r="W18" i="2" s="1"/>
  <c r="W33" i="2" s="1"/>
  <c r="W49" i="2" s="1"/>
  <c r="W51" i="2" s="1"/>
  <c r="W24" i="2"/>
  <c r="Q15" i="2"/>
  <c r="Q24" i="2"/>
  <c r="Y24" i="2"/>
  <c r="Y15" i="2"/>
  <c r="P15" i="2"/>
  <c r="P24" i="2"/>
  <c r="T15" i="2"/>
  <c r="T24" i="2"/>
  <c r="S15" i="2"/>
  <c r="S24" i="2"/>
  <c r="V15" i="2"/>
  <c r="V24" i="2"/>
  <c r="X15" i="2"/>
  <c r="X24" i="2"/>
  <c r="G28" i="2"/>
  <c r="G30" i="2"/>
  <c r="G24" i="2"/>
  <c r="AI8" i="2"/>
  <c r="H27" i="2"/>
  <c r="H26" i="2"/>
  <c r="K25" i="2"/>
  <c r="K9" i="2"/>
  <c r="K10" i="2" s="1"/>
  <c r="AI4" i="2"/>
  <c r="AI5" i="2" s="1"/>
  <c r="AI6" i="2"/>
  <c r="F15" i="2"/>
  <c r="F24" i="2"/>
  <c r="L26" i="2"/>
  <c r="L27" i="2"/>
  <c r="L24" i="2"/>
  <c r="D9" i="1"/>
  <c r="AH4" i="2"/>
  <c r="AH8" i="2"/>
  <c r="AH27" i="2" s="1"/>
  <c r="D9" i="2"/>
  <c r="H25" i="2"/>
  <c r="AH6" i="2"/>
  <c r="J9" i="2"/>
  <c r="J10" i="2" s="1"/>
  <c r="AH3" i="2"/>
  <c r="AI22" i="2" s="1"/>
  <c r="J25" i="2"/>
  <c r="AH7" i="2"/>
  <c r="AH26" i="2" s="1"/>
  <c r="J23" i="2"/>
  <c r="AG10" i="2"/>
  <c r="I10" i="2"/>
  <c r="AF10" i="2"/>
  <c r="H9" i="2"/>
  <c r="H5" i="2"/>
  <c r="E10" i="2"/>
  <c r="AB18" i="2" l="1"/>
  <c r="AB33" i="2" s="1"/>
  <c r="AB49" i="2" s="1"/>
  <c r="AB51" i="2" s="1"/>
  <c r="AC18" i="2"/>
  <c r="AD17" i="2"/>
  <c r="AD16" i="2"/>
  <c r="AA20" i="2"/>
  <c r="AA30" i="2"/>
  <c r="Y18" i="2"/>
  <c r="Y30" i="2" s="1"/>
  <c r="Y29" i="2"/>
  <c r="W28" i="2"/>
  <c r="V18" i="2"/>
  <c r="V28" i="2"/>
  <c r="Y28" i="2"/>
  <c r="U18" i="2"/>
  <c r="U28" i="2"/>
  <c r="S18" i="2"/>
  <c r="S28" i="2"/>
  <c r="R18" i="2"/>
  <c r="R28" i="2"/>
  <c r="P18" i="2"/>
  <c r="P28" i="2"/>
  <c r="Q18" i="2"/>
  <c r="Q28" i="2"/>
  <c r="T18" i="2"/>
  <c r="T28" i="2"/>
  <c r="O18" i="2"/>
  <c r="O28" i="2"/>
  <c r="W20" i="2"/>
  <c r="W30" i="2"/>
  <c r="X18" i="2"/>
  <c r="X28" i="2"/>
  <c r="N24" i="2"/>
  <c r="AI27" i="2"/>
  <c r="K15" i="2"/>
  <c r="K24" i="2"/>
  <c r="AJ27" i="2"/>
  <c r="M26" i="2"/>
  <c r="AI7" i="2"/>
  <c r="F18" i="2"/>
  <c r="F28" i="2"/>
  <c r="N28" i="2"/>
  <c r="AH9" i="2"/>
  <c r="AH5" i="2"/>
  <c r="AH23" i="2" s="1"/>
  <c r="AI25" i="2"/>
  <c r="AH25" i="2"/>
  <c r="AH22" i="2"/>
  <c r="E15" i="2"/>
  <c r="E24" i="2"/>
  <c r="AF15" i="2"/>
  <c r="AF24" i="2"/>
  <c r="H10" i="2"/>
  <c r="H23" i="2"/>
  <c r="I15" i="2"/>
  <c r="I24" i="2"/>
  <c r="AG15" i="2"/>
  <c r="AG24" i="2"/>
  <c r="J24" i="2"/>
  <c r="J15" i="2"/>
  <c r="AB30" i="2" l="1"/>
  <c r="AB20" i="2"/>
  <c r="AC20" i="2"/>
  <c r="AC33" i="2"/>
  <c r="AC49" i="2" s="1"/>
  <c r="AC51" i="2" s="1"/>
  <c r="AC30" i="2"/>
  <c r="AD29" i="2"/>
  <c r="AM17" i="2"/>
  <c r="AD28" i="2"/>
  <c r="AD18" i="2"/>
  <c r="AD33" i="2" s="1"/>
  <c r="AD49" i="2" s="1"/>
  <c r="AD51" i="2" s="1"/>
  <c r="AM16" i="2"/>
  <c r="R20" i="2"/>
  <c r="R30" i="2"/>
  <c r="S20" i="2"/>
  <c r="S30" i="2"/>
  <c r="Y20" i="2"/>
  <c r="Q20" i="2"/>
  <c r="Q30" i="2"/>
  <c r="P20" i="2"/>
  <c r="P30" i="2"/>
  <c r="V20" i="2"/>
  <c r="V30" i="2"/>
  <c r="T20" i="2"/>
  <c r="T30" i="2"/>
  <c r="U20" i="2"/>
  <c r="U30" i="2"/>
  <c r="O20" i="2"/>
  <c r="O30" i="2"/>
  <c r="X20" i="2"/>
  <c r="X30" i="2"/>
  <c r="F20" i="2"/>
  <c r="F30" i="2"/>
  <c r="AL22" i="2"/>
  <c r="L30" i="2"/>
  <c r="AI26" i="2"/>
  <c r="K18" i="2"/>
  <c r="K28" i="2"/>
  <c r="AK25" i="2"/>
  <c r="AK27" i="2"/>
  <c r="AL27" i="2"/>
  <c r="M24" i="2"/>
  <c r="M28" i="2"/>
  <c r="L28" i="2"/>
  <c r="AJ25" i="2"/>
  <c r="AK22" i="2"/>
  <c r="AJ22" i="2"/>
  <c r="AI9" i="2"/>
  <c r="AI10" i="2" s="1"/>
  <c r="AI23" i="2"/>
  <c r="AH10" i="2"/>
  <c r="AH24" i="2" s="1"/>
  <c r="H15" i="2"/>
  <c r="H24" i="2"/>
  <c r="AG18" i="2"/>
  <c r="AG28" i="2"/>
  <c r="AF18" i="2"/>
  <c r="AF28" i="2"/>
  <c r="I18" i="2"/>
  <c r="I28" i="2"/>
  <c r="E18" i="2"/>
  <c r="E28" i="2"/>
  <c r="J18" i="2"/>
  <c r="J28" i="2"/>
  <c r="AT3" i="2" l="1"/>
  <c r="AU3" i="2" s="1"/>
  <c r="AV3" i="2" s="1"/>
  <c r="AW3" i="2" s="1"/>
  <c r="AD20" i="2"/>
  <c r="AD30" i="2"/>
  <c r="AI16" i="2"/>
  <c r="I20" i="2"/>
  <c r="I30" i="2"/>
  <c r="AG20" i="2"/>
  <c r="AG30" i="2"/>
  <c r="AF20" i="2"/>
  <c r="AF30" i="2"/>
  <c r="E20" i="2"/>
  <c r="E30" i="2"/>
  <c r="J20" i="2"/>
  <c r="J30" i="2"/>
  <c r="M30" i="2"/>
  <c r="N30" i="2"/>
  <c r="AK9" i="2"/>
  <c r="AJ26" i="2"/>
  <c r="K30" i="2"/>
  <c r="K20" i="2"/>
  <c r="AL25" i="2"/>
  <c r="AR8" i="2"/>
  <c r="AS8" i="2" s="1"/>
  <c r="AT8" i="2" s="1"/>
  <c r="AU8" i="2" s="1"/>
  <c r="AV8" i="2" s="1"/>
  <c r="AW8" i="2" s="1"/>
  <c r="AM27" i="2"/>
  <c r="AJ9" i="2"/>
  <c r="AI24" i="2"/>
  <c r="AI15" i="2"/>
  <c r="AH15" i="2"/>
  <c r="AH28" i="2" s="1"/>
  <c r="H18" i="2"/>
  <c r="H28" i="2"/>
  <c r="AS27" i="2" l="1"/>
  <c r="AM22" i="2"/>
  <c r="H20" i="2"/>
  <c r="H30" i="2"/>
  <c r="AL9" i="2"/>
  <c r="AK26" i="2"/>
  <c r="AM25" i="2"/>
  <c r="AN27" i="2"/>
  <c r="AI28" i="2"/>
  <c r="AH18" i="2"/>
  <c r="AT27" i="2" l="1"/>
  <c r="AH20" i="2"/>
  <c r="AH30" i="2"/>
  <c r="AL26" i="2"/>
  <c r="AN22" i="2"/>
  <c r="AO27" i="2"/>
  <c r="AI18" i="2"/>
  <c r="AI30" i="2" s="1"/>
  <c r="AU27" i="2" l="1"/>
  <c r="AO22" i="2"/>
  <c r="AN9" i="2"/>
  <c r="AM26" i="2"/>
  <c r="AM9" i="2"/>
  <c r="AN25" i="2"/>
  <c r="AI20" i="2"/>
  <c r="AP27" i="2"/>
  <c r="AW27" i="2" l="1"/>
  <c r="AV27" i="2"/>
  <c r="AP22" i="2"/>
  <c r="AO9" i="2"/>
  <c r="AN26" i="2"/>
  <c r="AO25" i="2"/>
  <c r="AR27" i="2"/>
  <c r="AQ27" i="2"/>
  <c r="AP9" i="2" l="1"/>
  <c r="AO26" i="2"/>
  <c r="AP25" i="2"/>
  <c r="AQ22" i="2"/>
  <c r="AQ9" i="2" l="1"/>
  <c r="AP26" i="2"/>
  <c r="AQ25" i="2"/>
  <c r="AR22" i="2"/>
  <c r="AS4" i="2" l="1"/>
  <c r="AR9" i="2"/>
  <c r="AQ26" i="2"/>
  <c r="AR25" i="2"/>
  <c r="AS22" i="2"/>
  <c r="AT23" i="2" l="1"/>
  <c r="AT25" i="2"/>
  <c r="AT22" i="2"/>
  <c r="AR26" i="2"/>
  <c r="AS23" i="2"/>
  <c r="AS25" i="2"/>
  <c r="AT4" i="2" l="1"/>
  <c r="AU23" i="2"/>
  <c r="AU25" i="2"/>
  <c r="AU22" i="2"/>
  <c r="AS26" i="2"/>
  <c r="AS9" i="2"/>
  <c r="AS10" i="2" s="1"/>
  <c r="AS24" i="2" s="1"/>
  <c r="AU4" i="2" l="1"/>
  <c r="AV23" i="2"/>
  <c r="AV25" i="2"/>
  <c r="AV22" i="2"/>
  <c r="AV4" i="2"/>
  <c r="AT9" i="2"/>
  <c r="AT10" i="2" s="1"/>
  <c r="AT26" i="2"/>
  <c r="AS15" i="2"/>
  <c r="AS17" i="2" s="1"/>
  <c r="AS29" i="2" l="1"/>
  <c r="AS16" i="2"/>
  <c r="AS28" i="2" s="1"/>
  <c r="AW23" i="2"/>
  <c r="AW25" i="2"/>
  <c r="AW22" i="2"/>
  <c r="AT24" i="2"/>
  <c r="AT15" i="2"/>
  <c r="AT17" i="2" s="1"/>
  <c r="AU26" i="2"/>
  <c r="AU9" i="2"/>
  <c r="AU10" i="2" s="1"/>
  <c r="AR10" i="2"/>
  <c r="AR24" i="2" s="1"/>
  <c r="AQ10" i="2"/>
  <c r="AQ15" i="2" s="1"/>
  <c r="AR4" i="2"/>
  <c r="AR23" i="2"/>
  <c r="AP10" i="2"/>
  <c r="AP15" i="2" s="1"/>
  <c r="AO10" i="2"/>
  <c r="AO15" i="2" s="1"/>
  <c r="AN10" i="2"/>
  <c r="AN15" i="2" s="1"/>
  <c r="AQ4" i="2"/>
  <c r="AQ23" i="2"/>
  <c r="AO4" i="2"/>
  <c r="AO23" i="2"/>
  <c r="AP4" i="2"/>
  <c r="AP23" i="2"/>
  <c r="AN4" i="2"/>
  <c r="AN23" i="2"/>
  <c r="AM23" i="2"/>
  <c r="AJ23" i="2"/>
  <c r="AK23" i="2"/>
  <c r="AK10" i="2"/>
  <c r="AK15" i="2" s="1"/>
  <c r="AM10" i="2"/>
  <c r="AM24" i="2" s="1"/>
  <c r="AJ10" i="2"/>
  <c r="AJ15" i="2" s="1"/>
  <c r="AP17" i="2" l="1"/>
  <c r="AP29" i="2" s="1"/>
  <c r="AO17" i="2"/>
  <c r="AO29" i="2" s="1"/>
  <c r="AQ17" i="2"/>
  <c r="AQ29" i="2" s="1"/>
  <c r="AN17" i="2"/>
  <c r="AN29" i="2" s="1"/>
  <c r="AT29" i="2"/>
  <c r="AT16" i="2"/>
  <c r="AT28" i="2" s="1"/>
  <c r="AO16" i="2"/>
  <c r="AQ16" i="2"/>
  <c r="AQ28" i="2" s="1"/>
  <c r="AP16" i="2"/>
  <c r="AP28" i="2" s="1"/>
  <c r="AN16" i="2"/>
  <c r="AN28" i="2" s="1"/>
  <c r="AS18" i="2"/>
  <c r="AW4" i="2"/>
  <c r="AU15" i="2"/>
  <c r="AU17" i="2" s="1"/>
  <c r="AU24" i="2"/>
  <c r="AV26" i="2"/>
  <c r="AV9" i="2"/>
  <c r="AV10" i="2" s="1"/>
  <c r="AP24" i="2"/>
  <c r="AO24" i="2"/>
  <c r="AM15" i="2"/>
  <c r="AK24" i="2"/>
  <c r="AN24" i="2"/>
  <c r="AQ24" i="2"/>
  <c r="AK28" i="2"/>
  <c r="AJ28" i="2"/>
  <c r="AJ24" i="2"/>
  <c r="AR15" i="2"/>
  <c r="AR17" i="2" s="1"/>
  <c r="AS30" i="2" l="1"/>
  <c r="AS33" i="2"/>
  <c r="AS49" i="2" s="1"/>
  <c r="AS51" i="2" s="1"/>
  <c r="AM29" i="2"/>
  <c r="AO18" i="2"/>
  <c r="AO33" i="2" s="1"/>
  <c r="AO49" i="2" s="1"/>
  <c r="AO51" i="2" s="1"/>
  <c r="AR16" i="2"/>
  <c r="AR28" i="2" s="1"/>
  <c r="AR29" i="2"/>
  <c r="AU29" i="2"/>
  <c r="AU16" i="2"/>
  <c r="AU28" i="2" s="1"/>
  <c r="AT18" i="2"/>
  <c r="AQ18" i="2"/>
  <c r="AQ33" i="2" s="1"/>
  <c r="AQ49" i="2" s="1"/>
  <c r="AQ51" i="2" s="1"/>
  <c r="AS20" i="2"/>
  <c r="AN18" i="2"/>
  <c r="AN33" i="2" s="1"/>
  <c r="AN49" i="2" s="1"/>
  <c r="AN51" i="2" s="1"/>
  <c r="AO28" i="2"/>
  <c r="AP18" i="2"/>
  <c r="AP33" i="2" s="1"/>
  <c r="AP49" i="2" s="1"/>
  <c r="AP51" i="2" s="1"/>
  <c r="AM28" i="2"/>
  <c r="AV24" i="2"/>
  <c r="AV15" i="2"/>
  <c r="AV17" i="2" s="1"/>
  <c r="AW26" i="2"/>
  <c r="AW9" i="2"/>
  <c r="AW10" i="2" s="1"/>
  <c r="AJ18" i="2"/>
  <c r="AK18" i="2"/>
  <c r="AK30" i="2" l="1"/>
  <c r="AK33" i="2"/>
  <c r="AK49" i="2" s="1"/>
  <c r="AK51" i="2" s="1"/>
  <c r="AJ30" i="2"/>
  <c r="AJ33" i="2"/>
  <c r="AJ49" i="2" s="1"/>
  <c r="AJ51" i="2" s="1"/>
  <c r="AT30" i="2"/>
  <c r="AT33" i="2"/>
  <c r="AT49" i="2" s="1"/>
  <c r="AT51" i="2" s="1"/>
  <c r="AV29" i="2"/>
  <c r="AV16" i="2"/>
  <c r="AR18" i="2"/>
  <c r="AU18" i="2"/>
  <c r="AM18" i="2"/>
  <c r="AT20" i="2"/>
  <c r="AW15" i="2"/>
  <c r="AW17" i="2" s="1"/>
  <c r="AW24" i="2"/>
  <c r="AO20" i="2"/>
  <c r="AO30" i="2"/>
  <c r="AP20" i="2"/>
  <c r="AP30" i="2"/>
  <c r="AQ20" i="2"/>
  <c r="AQ30" i="2"/>
  <c r="AN20" i="2"/>
  <c r="AN30" i="2"/>
  <c r="AJ20" i="2"/>
  <c r="AK20" i="2"/>
  <c r="AM30" i="2" l="1"/>
  <c r="AM33" i="2"/>
  <c r="AM49" i="2" s="1"/>
  <c r="AM51" i="2" s="1"/>
  <c r="AR30" i="2"/>
  <c r="AR33" i="2"/>
  <c r="AR49" i="2" s="1"/>
  <c r="AR51" i="2" s="1"/>
  <c r="AU30" i="2"/>
  <c r="AU33" i="2"/>
  <c r="AU49" i="2" s="1"/>
  <c r="AU51" i="2" s="1"/>
  <c r="AV18" i="2"/>
  <c r="AW16" i="2"/>
  <c r="AW29" i="2"/>
  <c r="AV28" i="2"/>
  <c r="AM20" i="2"/>
  <c r="AU20" i="2"/>
  <c r="AR20" i="2"/>
  <c r="AV20" i="2" l="1"/>
  <c r="AV33" i="2"/>
  <c r="AV49" i="2" s="1"/>
  <c r="AV51" i="2" s="1"/>
  <c r="AV30" i="2"/>
  <c r="AW18" i="2"/>
  <c r="AW28" i="2"/>
  <c r="D3" i="2"/>
  <c r="H22" i="2" s="1"/>
  <c r="AX18" i="2" l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Q18" i="2" s="1"/>
  <c r="ER18" i="2" s="1"/>
  <c r="ES18" i="2" s="1"/>
  <c r="ET18" i="2" s="1"/>
  <c r="EU18" i="2" s="1"/>
  <c r="EV18" i="2" s="1"/>
  <c r="EW18" i="2" s="1"/>
  <c r="EX18" i="2" s="1"/>
  <c r="EY18" i="2" s="1"/>
  <c r="EZ18" i="2" s="1"/>
  <c r="FA18" i="2" s="1"/>
  <c r="FB18" i="2" s="1"/>
  <c r="FC18" i="2" s="1"/>
  <c r="FD18" i="2" s="1"/>
  <c r="FE18" i="2" s="1"/>
  <c r="FF18" i="2" s="1"/>
  <c r="FG18" i="2" s="1"/>
  <c r="FH18" i="2" s="1"/>
  <c r="FI18" i="2" s="1"/>
  <c r="FJ18" i="2" s="1"/>
  <c r="AW33" i="2"/>
  <c r="AW49" i="2" s="1"/>
  <c r="AW51" i="2" s="1"/>
  <c r="AW20" i="2"/>
  <c r="AW30" i="2"/>
  <c r="D25" i="2"/>
  <c r="D5" i="2"/>
  <c r="AZ27" i="2" l="1"/>
  <c r="AX51" i="2"/>
  <c r="AY51" i="2" s="1"/>
  <c r="AZ51" i="2" s="1"/>
  <c r="BA51" i="2" s="1"/>
  <c r="BB51" i="2" s="1"/>
  <c r="BC51" i="2" s="1"/>
  <c r="BD51" i="2" s="1"/>
  <c r="BE51" i="2" s="1"/>
  <c r="BF51" i="2" s="1"/>
  <c r="BG51" i="2" s="1"/>
  <c r="BH51" i="2" s="1"/>
  <c r="BI51" i="2" s="1"/>
  <c r="BJ51" i="2" s="1"/>
  <c r="BK51" i="2" s="1"/>
  <c r="BL51" i="2" s="1"/>
  <c r="BM51" i="2" s="1"/>
  <c r="BN51" i="2" s="1"/>
  <c r="BO51" i="2" s="1"/>
  <c r="BP51" i="2" s="1"/>
  <c r="BQ51" i="2" s="1"/>
  <c r="BR51" i="2" s="1"/>
  <c r="BS51" i="2" s="1"/>
  <c r="BT51" i="2" s="1"/>
  <c r="BU51" i="2" s="1"/>
  <c r="BV51" i="2" s="1"/>
  <c r="BW51" i="2" s="1"/>
  <c r="BX51" i="2" s="1"/>
  <c r="BY51" i="2" s="1"/>
  <c r="BZ51" i="2" s="1"/>
  <c r="CA51" i="2" s="1"/>
  <c r="CB51" i="2" s="1"/>
  <c r="CC51" i="2" s="1"/>
  <c r="CD51" i="2" s="1"/>
  <c r="CE51" i="2" s="1"/>
  <c r="CF51" i="2" s="1"/>
  <c r="CG51" i="2" s="1"/>
  <c r="CH51" i="2" s="1"/>
  <c r="CI51" i="2" s="1"/>
  <c r="CJ51" i="2" s="1"/>
  <c r="CK51" i="2" s="1"/>
  <c r="CL51" i="2" s="1"/>
  <c r="CM51" i="2" s="1"/>
  <c r="CN51" i="2" s="1"/>
  <c r="CO51" i="2" s="1"/>
  <c r="CP51" i="2" s="1"/>
  <c r="CQ51" i="2" s="1"/>
  <c r="CR51" i="2" s="1"/>
  <c r="CS51" i="2" s="1"/>
  <c r="CT51" i="2" s="1"/>
  <c r="CU51" i="2" s="1"/>
  <c r="CV51" i="2" s="1"/>
  <c r="CW51" i="2" s="1"/>
  <c r="CX51" i="2" s="1"/>
  <c r="CY51" i="2" s="1"/>
  <c r="CZ51" i="2" s="1"/>
  <c r="DA51" i="2" s="1"/>
  <c r="DB51" i="2" s="1"/>
  <c r="DC51" i="2" s="1"/>
  <c r="DD51" i="2" s="1"/>
  <c r="DE51" i="2" s="1"/>
  <c r="DF51" i="2" s="1"/>
  <c r="DG51" i="2" s="1"/>
  <c r="DH51" i="2" s="1"/>
  <c r="DI51" i="2" s="1"/>
  <c r="DJ51" i="2" s="1"/>
  <c r="DK51" i="2" s="1"/>
  <c r="DL51" i="2" s="1"/>
  <c r="DM51" i="2" s="1"/>
  <c r="DN51" i="2" s="1"/>
  <c r="DO51" i="2" s="1"/>
  <c r="DP51" i="2" s="1"/>
  <c r="DQ51" i="2" s="1"/>
  <c r="DR51" i="2" s="1"/>
  <c r="DS51" i="2" s="1"/>
  <c r="DT51" i="2" s="1"/>
  <c r="DU51" i="2" s="1"/>
  <c r="DV51" i="2" s="1"/>
  <c r="DW51" i="2" s="1"/>
  <c r="DX51" i="2" s="1"/>
  <c r="DY51" i="2" s="1"/>
  <c r="DZ51" i="2" s="1"/>
  <c r="EA51" i="2" s="1"/>
  <c r="EB51" i="2" s="1"/>
  <c r="EC51" i="2" s="1"/>
  <c r="ED51" i="2" s="1"/>
  <c r="EE51" i="2" s="1"/>
  <c r="EF51" i="2" s="1"/>
  <c r="EG51" i="2" s="1"/>
  <c r="EH51" i="2" s="1"/>
  <c r="EI51" i="2" s="1"/>
  <c r="EJ51" i="2" s="1"/>
  <c r="EK51" i="2" s="1"/>
  <c r="D23" i="2"/>
  <c r="D10" i="2"/>
  <c r="AZ55" i="2" l="1"/>
  <c r="AZ57" i="2" s="1"/>
  <c r="AZ58" i="2" s="1"/>
  <c r="AZ60" i="2" s="1"/>
  <c r="D15" i="2"/>
  <c r="D24" i="2"/>
  <c r="D18" i="2" l="1"/>
  <c r="D28" i="2"/>
  <c r="D30" i="2" l="1"/>
  <c r="D20" i="2"/>
  <c r="Z10" i="2" l="1"/>
  <c r="Z15" i="2" s="1"/>
  <c r="AL4" i="2"/>
  <c r="AL5" i="2" s="1"/>
  <c r="Z23" i="2"/>
  <c r="Z18" i="2" l="1"/>
  <c r="Z29" i="2"/>
  <c r="AL10" i="2"/>
  <c r="AL23" i="2"/>
  <c r="Z24" i="2"/>
  <c r="Z28" i="2" l="1"/>
  <c r="AL16" i="2"/>
  <c r="AL24" i="2"/>
  <c r="AL15" i="2"/>
  <c r="AL29" i="2" s="1"/>
  <c r="AL18" i="2" l="1"/>
  <c r="Z20" i="2"/>
  <c r="Z30" i="2"/>
  <c r="AL28" i="2"/>
  <c r="AZ29" i="2" l="1"/>
  <c r="AZ30" i="2" s="1"/>
  <c r="AZ32" i="2" s="1"/>
  <c r="AL33" i="2"/>
  <c r="AL49" i="2" s="1"/>
  <c r="AL51" i="2" s="1"/>
  <c r="AL30" i="2"/>
  <c r="AL20" i="2"/>
</calcChain>
</file>

<file path=xl/sharedStrings.xml><?xml version="1.0" encoding="utf-8"?>
<sst xmlns="http://schemas.openxmlformats.org/spreadsheetml/2006/main" count="115" uniqueCount="92">
  <si>
    <t>PLTR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</si>
  <si>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</si>
  <si>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</si>
  <si>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</si>
  <si>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</si>
  <si>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</si>
  <si>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</si>
  <si>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</si>
  <si>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</si>
  <si>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</si>
  <si>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Q119</t>
  </si>
  <si>
    <t>Q219</t>
  </si>
  <si>
    <t>Q319</t>
  </si>
  <si>
    <t>Q419</t>
  </si>
  <si>
    <t>Q120</t>
  </si>
  <si>
    <t>Q220</t>
  </si>
  <si>
    <t>Q320</t>
  </si>
  <si>
    <t>Q420</t>
  </si>
  <si>
    <t>Cost of sales</t>
  </si>
  <si>
    <t>Revenue</t>
  </si>
  <si>
    <t>Gross profit</t>
  </si>
  <si>
    <t>S&amp;M</t>
  </si>
  <si>
    <t>R&amp;D</t>
  </si>
  <si>
    <t>G&amp;A</t>
  </si>
  <si>
    <t>Operating expenses</t>
  </si>
  <si>
    <t>Operating profit</t>
  </si>
  <si>
    <t>Interest income</t>
  </si>
  <si>
    <t>Interest expense</t>
  </si>
  <si>
    <t>Other income</t>
  </si>
  <si>
    <t>Pretax profit</t>
  </si>
  <si>
    <t>Taxes</t>
  </si>
  <si>
    <t>Net profit</t>
  </si>
  <si>
    <t>EPS</t>
  </si>
  <si>
    <t>Finance expense</t>
  </si>
  <si>
    <t>Revenue y/y</t>
  </si>
  <si>
    <t>Gross Margin</t>
  </si>
  <si>
    <t>S&amp;M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</si>
  <si>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</si>
  <si>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</si>
  <si>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</si>
  <si>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</si>
  <si>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</si>
  <si>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</si>
  <si>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</si>
  <si>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</si>
  <si>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</si>
  <si>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Operating Margin</t>
  </si>
  <si>
    <t>Earnings</t>
  </si>
  <si>
    <t>R&amp;D y/y</t>
  </si>
  <si>
    <t>G&amp;A y/y</t>
  </si>
  <si>
    <t>Q121</t>
  </si>
  <si>
    <t>Q221</t>
  </si>
  <si>
    <t>Q321</t>
  </si>
  <si>
    <t>Q421</t>
  </si>
  <si>
    <t>Net Margin</t>
  </si>
  <si>
    <t>Q224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</si>
  <si>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</si>
  <si>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</si>
  <si>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</si>
  <si>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</si>
  <si>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</si>
  <si>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</si>
  <si>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</si>
  <si>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</si>
  <si>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</si>
  <si>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</si>
  <si>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</si>
  <si>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Heavily overvalued</t>
  </si>
  <si>
    <t>MI</t>
  </si>
  <si>
    <t>Q125</t>
  </si>
  <si>
    <t>Q225</t>
  </si>
  <si>
    <t>Q325</t>
  </si>
  <si>
    <t>Q425</t>
  </si>
  <si>
    <t>Net income</t>
  </si>
  <si>
    <t>D&amp;A</t>
  </si>
  <si>
    <t>SBC</t>
  </si>
  <si>
    <t>Leases</t>
  </si>
  <si>
    <t>Securities</t>
  </si>
  <si>
    <t>Consideration</t>
  </si>
  <si>
    <t>Other</t>
  </si>
  <si>
    <t>A/R</t>
  </si>
  <si>
    <t>Prepaids</t>
  </si>
  <si>
    <t>Other assets</t>
  </si>
  <si>
    <t>A/P</t>
  </si>
  <si>
    <t>A/L</t>
  </si>
  <si>
    <t>D/R</t>
  </si>
  <si>
    <t>Deposits</t>
  </si>
  <si>
    <t>ONCL</t>
  </si>
  <si>
    <t>CFFO</t>
  </si>
  <si>
    <t>PP&amp;E</t>
  </si>
  <si>
    <t>FCF</t>
  </si>
  <si>
    <t>SBC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</si>
</sst>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1" fillId="0" borderId="0" xfId="0" applyNumberFormat="1" applyFon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  <xf numFmtId="3" fontId="4" fillId="0" borderId="0" xfId="0" applyNumberFormat="1" applyFont="1"/>
    <xf numFmtId="3" fontId="2" fillId="0" borderId="0" xfId="0" applyNumberFormat="1" applyFont="1"/>
    <xf numFmtId="4" fontId="4" fillId="0" borderId="0" xfId="0" applyNumberFormat="1" applyFont="1"/>
    <xf numFmtId="0" fontId="2" fillId="0" borderId="0" xfId="0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22860</xdr:colOff>
      <xdr:row>0</xdr:row>
      <xdr:rowOff>0</xdr:rowOff>
    </xdr:from>
    <xdr:to>
      <xdr:col>29</xdr:col>
      <xdr:colOff>22860</xdr:colOff>
      <xdr:row>62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BB68F7D-399D-4E7E-9A11-CE0CC1F2806B}"/>
            </a:ext>
          </a:extLst>
        </xdr:cNvPr>
        <xdr:cNvCxnSpPr/>
      </xdr:nvCxnSpPr>
      <xdr:spPr>
        <a:xfrm>
          <a:off x="18775680" y="0"/>
          <a:ext cx="0" cy="11445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</xdr:colOff>
      <xdr:row>0</xdr:row>
      <xdr:rowOff>0</xdr:rowOff>
    </xdr:from>
    <xdr:to>
      <xdr:col>38</xdr:col>
      <xdr:colOff>15240</xdr:colOff>
      <xdr:row>62</xdr:row>
      <xdr:rowOff>106680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CE740F1-9147-453A-9989-8493F3DE2534}"/>
            </a:ext>
          </a:extLst>
        </xdr:cNvPr>
        <xdr:cNvCxnSpPr/>
      </xdr:nvCxnSpPr>
      <xdr:spPr>
        <a:xfrm>
          <a:off x="24254460" y="0"/>
          <a:ext cx="0" cy="11079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9E33-C75C-477D-AB42-77DD2078D3B8}">
  <dimension ref="B2:G9"/>
  <sheetViews>
    <sheetView workbookViewId="0">
      <selection activeCell="D7" sqref="D7"/>
    </sheetView>
  </sheetViews>
  <sheetFormatPr defaultRowHeight="14.4" x14ac:dyDescent="0.3"/>
  <cols>
    <col min="4" max="4" width="9.6640625" bestFit="1" customWidth="1"/>
    <col min="5" max="7" width="15.77734375" style="2" customWidth="1"/>
  </cols>
  <sheetData>
    <row r="2" spans="2:7" x14ac:dyDescent="0.3">
      <c r="E2" s="2" t="s">
        <v>8</v>
      </c>
      <c r="F2" s="2" t="s">
        <v>9</v>
      </c>
      <c r="G2" s="2" t="s">
        <v>47</v>
      </c>
    </row>
    <row r="3" spans="2:7" x14ac:dyDescent="0.3">
      <c r="B3" s="1" t="s">
        <v>0</v>
      </c>
      <c r="C3" t="s">
        <v>1</v>
      </c>
      <c r="D3" s="4">
        <v>192.48</v>
      </c>
      <c r="E3" s="3">
        <v>45965</v>
      </c>
      <c r="F3" s="3">
        <f ca="1">TODAY()</f>
        <v>45965</v>
      </c>
      <c r="G3" s="3">
        <v>45692</v>
      </c>
    </row>
    <row r="4" spans="2:7" x14ac:dyDescent="0.3">
      <c r="C4" t="s">
        <v>2</v>
      </c>
      <c r="D4" s="5">
        <f>2377.2</f>
        <v>2377.1999999999998</v>
      </c>
      <c r="E4" s="2" t="s">
        <v>71</v>
      </c>
    </row>
    <row r="5" spans="2:7" x14ac:dyDescent="0.3">
      <c r="C5" t="s">
        <v>3</v>
      </c>
      <c r="D5" s="5">
        <f>D3*D4</f>
        <v>457563.45599999995</v>
      </c>
    </row>
    <row r="6" spans="2:7" x14ac:dyDescent="0.3">
      <c r="C6" t="s">
        <v>4</v>
      </c>
      <c r="D6" s="5">
        <f>1616+4821.9</f>
        <v>6437.9</v>
      </c>
      <c r="E6" s="2" t="s">
        <v>71</v>
      </c>
    </row>
    <row r="7" spans="2:7" x14ac:dyDescent="0.3">
      <c r="C7" t="s">
        <v>5</v>
      </c>
      <c r="D7" s="5">
        <v>0</v>
      </c>
      <c r="E7" s="2" t="s">
        <v>70</v>
      </c>
    </row>
    <row r="8" spans="2:7" x14ac:dyDescent="0.3">
      <c r="C8" t="s">
        <v>6</v>
      </c>
      <c r="D8" s="5">
        <f>D6-D7</f>
        <v>6437.9</v>
      </c>
    </row>
    <row r="9" spans="2:7" x14ac:dyDescent="0.3">
      <c r="C9" t="s">
        <v>7</v>
      </c>
      <c r="D9" s="5">
        <f>D5-D8</f>
        <v>451125.55599999992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8081B-9184-4400-8759-A5F68341B1D3}">
  <dimension ref="B2:FJ73"/>
  <sheetViews>
    <sheetView tabSelected="1" workbookViewId="0">
      <pane xSplit="2" ySplit="2" topLeftCell="AI7" activePane="bottomRight" state="frozen"/>
      <selection pane="topRight" activeCell="C1" sqref="C1"/>
      <selection pane="bottomLeft" activeCell="A3" sqref="A3"/>
      <selection pane="bottomRight" activeCell="AZ29" sqref="AZ29"/>
    </sheetView>
  </sheetViews>
  <sheetFormatPr defaultRowHeight="14.4" x14ac:dyDescent="0.3"/>
  <cols>
    <col min="2" max="2" width="24.5546875" bestFit="1" customWidth="1"/>
    <col min="34" max="34" width="8.88671875" customWidth="1"/>
    <col min="46" max="49" width="8.88671875" customWidth="1"/>
    <col min="51" max="51" width="12" bestFit="1" customWidth="1"/>
    <col min="52" max="52" width="17.109375" customWidth="1"/>
  </cols>
  <sheetData>
    <row r="2" spans="2:49" x14ac:dyDescent="0.3"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6" t="s">
        <v>50</v>
      </c>
      <c r="L2" s="6" t="s">
        <v>51</v>
      </c>
      <c r="M2" s="6" t="s">
        <v>52</v>
      </c>
      <c r="N2" s="6" t="s">
        <v>53</v>
      </c>
      <c r="O2" s="6" t="s">
        <v>56</v>
      </c>
      <c r="P2" s="6" t="s">
        <v>57</v>
      </c>
      <c r="Q2" s="6" t="s">
        <v>58</v>
      </c>
      <c r="R2" s="6" t="s">
        <v>59</v>
      </c>
      <c r="S2" s="6" t="s">
        <v>60</v>
      </c>
      <c r="T2" s="6" t="s">
        <v>61</v>
      </c>
      <c r="U2" s="6" t="s">
        <v>62</v>
      </c>
      <c r="V2" s="6" t="s">
        <v>63</v>
      </c>
      <c r="W2" s="6" t="s">
        <v>64</v>
      </c>
      <c r="X2" s="6" t="s">
        <v>55</v>
      </c>
      <c r="Y2" s="6" t="s">
        <v>65</v>
      </c>
      <c r="Z2" s="6" t="s">
        <v>66</v>
      </c>
      <c r="AA2" s="6" t="s">
        <v>69</v>
      </c>
      <c r="AB2" s="6" t="s">
        <v>70</v>
      </c>
      <c r="AC2" s="6" t="s">
        <v>71</v>
      </c>
      <c r="AD2" s="6" t="s">
        <v>72</v>
      </c>
      <c r="AF2">
        <v>2018</v>
      </c>
      <c r="AG2">
        <v>2019</v>
      </c>
      <c r="AH2">
        <v>2020</v>
      </c>
      <c r="AI2">
        <v>2021</v>
      </c>
      <c r="AJ2">
        <v>2022</v>
      </c>
      <c r="AK2">
        <v>2023</v>
      </c>
      <c r="AL2">
        <v>2024</v>
      </c>
      <c r="AM2">
        <v>2025</v>
      </c>
      <c r="AN2">
        <v>2026</v>
      </c>
      <c r="AO2">
        <v>2027</v>
      </c>
      <c r="AP2">
        <v>2028</v>
      </c>
      <c r="AQ2">
        <v>2029</v>
      </c>
      <c r="AR2">
        <v>2030</v>
      </c>
      <c r="AS2">
        <v>2031</v>
      </c>
      <c r="AT2">
        <v>2032</v>
      </c>
      <c r="AU2">
        <v>2033</v>
      </c>
      <c r="AV2">
        <v>2034</v>
      </c>
      <c r="AW2">
        <v>2035</v>
      </c>
    </row>
    <row r="3" spans="2:49" s="1" customFormat="1" x14ac:dyDescent="0.3">
      <c r="B3" s="1" t="s">
        <v>19</v>
      </c>
      <c r="C3" s="11">
        <v>150</v>
      </c>
      <c r="D3" s="11">
        <f>322.7-C3</f>
        <v>172.7</v>
      </c>
      <c r="E3" s="8">
        <v>190.5</v>
      </c>
      <c r="F3" s="8">
        <v>229.4</v>
      </c>
      <c r="G3" s="8">
        <v>229.3</v>
      </c>
      <c r="H3" s="11">
        <f>481.2-G3</f>
        <v>251.89999999999998</v>
      </c>
      <c r="I3" s="8">
        <v>289.39999999999998</v>
      </c>
      <c r="J3" s="8">
        <v>322.10000000000002</v>
      </c>
      <c r="K3" s="8">
        <v>341.2</v>
      </c>
      <c r="L3" s="8">
        <v>375.6</v>
      </c>
      <c r="M3" s="8">
        <v>392.1</v>
      </c>
      <c r="N3" s="8">
        <v>432.9</v>
      </c>
      <c r="O3" s="8">
        <v>446.4</v>
      </c>
      <c r="P3" s="8">
        <v>473</v>
      </c>
      <c r="Q3" s="8">
        <v>477.9</v>
      </c>
      <c r="R3" s="8">
        <v>508.6</v>
      </c>
      <c r="S3" s="8">
        <v>525.20000000000005</v>
      </c>
      <c r="T3" s="8">
        <v>533.29999999999995</v>
      </c>
      <c r="U3" s="8">
        <v>558.20000000000005</v>
      </c>
      <c r="V3" s="8">
        <v>608.4</v>
      </c>
      <c r="W3" s="8">
        <v>634.29999999999995</v>
      </c>
      <c r="X3" s="8">
        <v>678.1</v>
      </c>
      <c r="Y3" s="8">
        <v>725.5</v>
      </c>
      <c r="Z3" s="8">
        <v>827.5</v>
      </c>
      <c r="AA3" s="8">
        <v>883.9</v>
      </c>
      <c r="AB3" s="8">
        <v>1003.7</v>
      </c>
      <c r="AC3" s="8">
        <v>1181.0999999999999</v>
      </c>
      <c r="AD3" s="8">
        <v>1329</v>
      </c>
      <c r="AF3" s="8">
        <v>595.4</v>
      </c>
      <c r="AG3" s="8">
        <v>742.6</v>
      </c>
      <c r="AH3" s="8">
        <f>SUM(G3:J3)</f>
        <v>1092.6999999999998</v>
      </c>
      <c r="AI3" s="8">
        <f>SUM(K3:N3)</f>
        <v>1541.8000000000002</v>
      </c>
      <c r="AJ3" s="8">
        <f>SUM(O3:R3)</f>
        <v>1905.9</v>
      </c>
      <c r="AK3" s="8">
        <f>SUM(S3:V3)</f>
        <v>2225.1</v>
      </c>
      <c r="AL3" s="8">
        <f>SUM(W3:Z3)</f>
        <v>2865.4</v>
      </c>
      <c r="AM3" s="8">
        <f>SUM(AA3:AD3)</f>
        <v>4397.7</v>
      </c>
      <c r="AN3" s="8">
        <f>AM3*1.45</f>
        <v>6376.665</v>
      </c>
      <c r="AO3" s="8">
        <f>AN3*1.35</f>
        <v>8608.4977500000005</v>
      </c>
      <c r="AP3" s="8">
        <f>AO3*1.3</f>
        <v>11191.047075</v>
      </c>
      <c r="AQ3" s="8">
        <f>AP3*1.25</f>
        <v>13988.808843750001</v>
      </c>
      <c r="AR3" s="8">
        <f>AQ3*1.2</f>
        <v>16786.5706125</v>
      </c>
      <c r="AS3" s="8">
        <f>AR3*1.15</f>
        <v>19304.556204375</v>
      </c>
      <c r="AT3" s="8">
        <f t="shared" ref="AT3:AW3" si="0">AS3*1.1</f>
        <v>21235.0118248125</v>
      </c>
      <c r="AU3" s="8">
        <f t="shared" si="0"/>
        <v>23358.513007293754</v>
      </c>
      <c r="AV3" s="8">
        <f t="shared" si="0"/>
        <v>25694.36430802313</v>
      </c>
      <c r="AW3" s="8">
        <f t="shared" si="0"/>
        <v>28263.800738825445</v>
      </c>
    </row>
    <row r="4" spans="2:49" x14ac:dyDescent="0.3">
      <c r="B4" t="s">
        <v>18</v>
      </c>
      <c r="C4" s="14">
        <v>45</v>
      </c>
      <c r="D4" s="12">
        <f>101.4-C4</f>
        <v>56.400000000000006</v>
      </c>
      <c r="E4" s="5">
        <v>65.099999999999994</v>
      </c>
      <c r="F4" s="5">
        <v>75.900000000000006</v>
      </c>
      <c r="G4" s="5">
        <v>64.3</v>
      </c>
      <c r="H4" s="12">
        <f>132.7-G4</f>
        <v>68.399999999999991</v>
      </c>
      <c r="I4" s="5">
        <v>149.30000000000001</v>
      </c>
      <c r="J4" s="5">
        <v>70.5</v>
      </c>
      <c r="K4" s="5">
        <v>74.099999999999994</v>
      </c>
      <c r="L4" s="5">
        <v>90.9</v>
      </c>
      <c r="M4" s="5">
        <v>86.8</v>
      </c>
      <c r="N4" s="5">
        <v>87.6</v>
      </c>
      <c r="O4" s="5">
        <v>94.4</v>
      </c>
      <c r="P4" s="5">
        <v>102.2</v>
      </c>
      <c r="Q4" s="5">
        <v>107.6</v>
      </c>
      <c r="R4" s="5">
        <v>104.3</v>
      </c>
      <c r="S4" s="5">
        <v>107.6</v>
      </c>
      <c r="T4" s="5">
        <v>106.9</v>
      </c>
      <c r="U4" s="5">
        <v>107.9</v>
      </c>
      <c r="V4" s="5">
        <v>108.6</v>
      </c>
      <c r="W4" s="5">
        <v>116.3</v>
      </c>
      <c r="X4" s="5">
        <v>128.6</v>
      </c>
      <c r="Y4" s="5">
        <v>146.6</v>
      </c>
      <c r="Z4" s="5">
        <v>174.5</v>
      </c>
      <c r="AA4" s="5">
        <v>173</v>
      </c>
      <c r="AB4" s="5">
        <v>192.9</v>
      </c>
      <c r="AC4" s="5">
        <v>207.3</v>
      </c>
      <c r="AD4" s="5">
        <f t="shared" ref="AC4:AD4" si="1">AD3-AD5</f>
        <v>279.08999999999992</v>
      </c>
      <c r="AF4" s="5">
        <v>165.4</v>
      </c>
      <c r="AG4" s="5">
        <v>242.4</v>
      </c>
      <c r="AH4" s="5">
        <f>SUM(G4:J4)</f>
        <v>352.5</v>
      </c>
      <c r="AI4" s="5">
        <f>SUM(K4:N4)</f>
        <v>339.4</v>
      </c>
      <c r="AJ4" s="5">
        <f>SUM(O4:R4)</f>
        <v>408.50000000000006</v>
      </c>
      <c r="AK4" s="5">
        <f>SUM(S4:V4)</f>
        <v>431</v>
      </c>
      <c r="AL4" s="5">
        <f>SUM(W4:Z4)</f>
        <v>566</v>
      </c>
      <c r="AM4" s="5">
        <f>SUM(AA4:AD4)</f>
        <v>852.29</v>
      </c>
      <c r="AN4" s="5">
        <f t="shared" ref="AN4:AR4" si="2">AN3-AN5</f>
        <v>1211.5663500000001</v>
      </c>
      <c r="AO4" s="5">
        <f t="shared" si="2"/>
        <v>1635.6145724999997</v>
      </c>
      <c r="AP4" s="5">
        <f t="shared" si="2"/>
        <v>2126.2989442500002</v>
      </c>
      <c r="AQ4" s="5">
        <f t="shared" si="2"/>
        <v>2657.8736803124993</v>
      </c>
      <c r="AR4" s="5">
        <f t="shared" si="2"/>
        <v>3189.4484163749985</v>
      </c>
      <c r="AS4" s="5">
        <f t="shared" ref="AS4:AW4" si="3">AS3-AS5</f>
        <v>3667.8656788312492</v>
      </c>
      <c r="AT4" s="5">
        <f t="shared" si="3"/>
        <v>4034.6522467143732</v>
      </c>
      <c r="AU4" s="5">
        <f t="shared" si="3"/>
        <v>4438.1174713858127</v>
      </c>
      <c r="AV4" s="5">
        <f t="shared" si="3"/>
        <v>4881.9292185243939</v>
      </c>
      <c r="AW4" s="5">
        <f t="shared" si="3"/>
        <v>5370.1221403768322</v>
      </c>
    </row>
    <row r="5" spans="2:49" s="1" customFormat="1" x14ac:dyDescent="0.3">
      <c r="B5" s="1" t="s">
        <v>20</v>
      </c>
      <c r="C5" s="11">
        <f t="shared" ref="C5:M5" si="4">C3-C4</f>
        <v>105</v>
      </c>
      <c r="D5" s="11">
        <f t="shared" si="4"/>
        <v>116.29999999999998</v>
      </c>
      <c r="E5" s="8">
        <f t="shared" si="4"/>
        <v>125.4</v>
      </c>
      <c r="F5" s="8">
        <f t="shared" si="4"/>
        <v>153.5</v>
      </c>
      <c r="G5" s="8">
        <f t="shared" si="4"/>
        <v>165</v>
      </c>
      <c r="H5" s="11">
        <f t="shared" si="4"/>
        <v>183.5</v>
      </c>
      <c r="I5" s="8">
        <f t="shared" si="4"/>
        <v>140.09999999999997</v>
      </c>
      <c r="J5" s="8">
        <f t="shared" si="4"/>
        <v>251.60000000000002</v>
      </c>
      <c r="K5" s="8">
        <f t="shared" si="4"/>
        <v>267.10000000000002</v>
      </c>
      <c r="L5" s="8">
        <f t="shared" si="4"/>
        <v>284.70000000000005</v>
      </c>
      <c r="M5" s="8">
        <f t="shared" si="4"/>
        <v>305.3</v>
      </c>
      <c r="N5" s="8">
        <f t="shared" ref="N5:O5" si="5">N3-N4</f>
        <v>345.29999999999995</v>
      </c>
      <c r="O5" s="8">
        <f t="shared" si="5"/>
        <v>352</v>
      </c>
      <c r="P5" s="8">
        <f t="shared" ref="P5:Q5" si="6">P3-P4</f>
        <v>370.8</v>
      </c>
      <c r="Q5" s="8">
        <f t="shared" si="6"/>
        <v>370.29999999999995</v>
      </c>
      <c r="R5" s="8">
        <f t="shared" ref="R5" si="7">R3-R4</f>
        <v>404.3</v>
      </c>
      <c r="S5" s="8">
        <f t="shared" ref="S5" si="8">S3-S4</f>
        <v>417.6</v>
      </c>
      <c r="T5" s="8">
        <f t="shared" ref="T5:U5" si="9">T3-T4</f>
        <v>426.4</v>
      </c>
      <c r="U5" s="8">
        <f t="shared" si="9"/>
        <v>450.30000000000007</v>
      </c>
      <c r="V5" s="8">
        <f t="shared" ref="V5" si="10">V3-V4</f>
        <v>499.79999999999995</v>
      </c>
      <c r="W5" s="8">
        <f t="shared" ref="W5:AC5" si="11">W3-W4</f>
        <v>518</v>
      </c>
      <c r="X5" s="8">
        <f t="shared" si="11"/>
        <v>549.5</v>
      </c>
      <c r="Y5" s="8">
        <f t="shared" si="11"/>
        <v>578.9</v>
      </c>
      <c r="Z5" s="8">
        <f t="shared" si="11"/>
        <v>653</v>
      </c>
      <c r="AA5" s="8">
        <f t="shared" si="11"/>
        <v>710.9</v>
      </c>
      <c r="AB5" s="8">
        <f t="shared" si="11"/>
        <v>810.80000000000007</v>
      </c>
      <c r="AC5" s="8">
        <f t="shared" si="11"/>
        <v>973.8</v>
      </c>
      <c r="AD5" s="8">
        <f>AD3*0.79</f>
        <v>1049.9100000000001</v>
      </c>
      <c r="AF5" s="8">
        <f>AF3-AF4</f>
        <v>430</v>
      </c>
      <c r="AG5" s="8">
        <f>AG3-AG4</f>
        <v>500.20000000000005</v>
      </c>
      <c r="AH5" s="8">
        <f>AH3-AH4</f>
        <v>740.19999999999982</v>
      </c>
      <c r="AI5" s="8">
        <f>AI3-AI4</f>
        <v>1202.4000000000001</v>
      </c>
      <c r="AJ5" s="8">
        <f t="shared" ref="AJ5:AM5" si="12">AJ3-AJ4</f>
        <v>1497.4</v>
      </c>
      <c r="AK5" s="8">
        <f t="shared" si="12"/>
        <v>1794.1</v>
      </c>
      <c r="AL5" s="8">
        <f t="shared" si="12"/>
        <v>2299.4</v>
      </c>
      <c r="AM5" s="8">
        <f t="shared" si="12"/>
        <v>3545.41</v>
      </c>
      <c r="AN5" s="8">
        <f>AN3*0.81</f>
        <v>5165.0986499999999</v>
      </c>
      <c r="AO5" s="8">
        <f t="shared" ref="AO5:AW5" si="13">AO3*0.81</f>
        <v>6972.8831775000008</v>
      </c>
      <c r="AP5" s="8">
        <f t="shared" si="13"/>
        <v>9064.7481307500002</v>
      </c>
      <c r="AQ5" s="8">
        <f t="shared" si="13"/>
        <v>11330.935163437502</v>
      </c>
      <c r="AR5" s="8">
        <f t="shared" si="13"/>
        <v>13597.122196125001</v>
      </c>
      <c r="AS5" s="8">
        <f t="shared" si="13"/>
        <v>15636.69052554375</v>
      </c>
      <c r="AT5" s="8">
        <f t="shared" si="13"/>
        <v>17200.359578098127</v>
      </c>
      <c r="AU5" s="8">
        <f t="shared" si="13"/>
        <v>18920.395535907941</v>
      </c>
      <c r="AV5" s="8">
        <f t="shared" si="13"/>
        <v>20812.435089498736</v>
      </c>
      <c r="AW5" s="8">
        <f t="shared" si="13"/>
        <v>22893.678598448612</v>
      </c>
    </row>
    <row r="6" spans="2:49" x14ac:dyDescent="0.3">
      <c r="B6" t="s">
        <v>21</v>
      </c>
      <c r="C6" s="14">
        <v>100</v>
      </c>
      <c r="D6" s="12">
        <f>217.6-C6</f>
        <v>117.6</v>
      </c>
      <c r="E6" s="5">
        <v>119.7</v>
      </c>
      <c r="F6" s="5">
        <v>112.9</v>
      </c>
      <c r="G6" s="5">
        <v>98.7</v>
      </c>
      <c r="H6" s="12">
        <f>201.2-G6</f>
        <v>102.49999999999999</v>
      </c>
      <c r="I6" s="5">
        <v>334.9</v>
      </c>
      <c r="J6" s="5">
        <v>147.6</v>
      </c>
      <c r="K6" s="5">
        <v>136.1</v>
      </c>
      <c r="L6" s="5">
        <v>162.4</v>
      </c>
      <c r="M6" s="5">
        <v>153.4</v>
      </c>
      <c r="N6" s="5">
        <v>162.6</v>
      </c>
      <c r="O6" s="5">
        <v>160.5</v>
      </c>
      <c r="P6" s="5">
        <v>168.9</v>
      </c>
      <c r="Q6" s="5">
        <v>182.9</v>
      </c>
      <c r="R6" s="5">
        <v>190.2</v>
      </c>
      <c r="S6" s="5">
        <v>187.1</v>
      </c>
      <c r="T6" s="5">
        <v>184.2</v>
      </c>
      <c r="U6" s="5">
        <v>176.4</v>
      </c>
      <c r="V6" s="5">
        <v>197.4</v>
      </c>
      <c r="W6" s="5">
        <v>193.2</v>
      </c>
      <c r="X6" s="5">
        <v>196.8</v>
      </c>
      <c r="Y6" s="5">
        <v>209.5</v>
      </c>
      <c r="Z6" s="5">
        <v>288.3</v>
      </c>
      <c r="AA6" s="5">
        <v>236.3</v>
      </c>
      <c r="AB6" s="5">
        <v>243.8</v>
      </c>
      <c r="AC6" s="5">
        <v>274.60000000000002</v>
      </c>
      <c r="AD6" s="5">
        <f>AD3*0.29</f>
        <v>385.40999999999997</v>
      </c>
      <c r="AF6" s="5">
        <v>461.8</v>
      </c>
      <c r="AG6" s="5">
        <v>450.1</v>
      </c>
      <c r="AH6" s="5">
        <f>SUM(G6:J6)</f>
        <v>683.69999999999993</v>
      </c>
      <c r="AI6" s="5">
        <f>SUM(K6:N6)</f>
        <v>614.5</v>
      </c>
      <c r="AJ6" s="5">
        <f>SUM(O6:R6)</f>
        <v>702.5</v>
      </c>
      <c r="AK6" s="5">
        <f>SUM(S6:V6)</f>
        <v>745.09999999999991</v>
      </c>
      <c r="AL6" s="5">
        <f>SUM(W6:Z6)</f>
        <v>887.8</v>
      </c>
      <c r="AM6" s="5">
        <f>SUM(AA6:AD6)</f>
        <v>1140.1100000000001</v>
      </c>
      <c r="AN6" s="5">
        <f>AN3*0.23</f>
        <v>1466.6329500000002</v>
      </c>
      <c r="AO6" s="5">
        <f>AO3*0.21</f>
        <v>1807.7845275</v>
      </c>
      <c r="AP6" s="5">
        <f>AP3*0.18</f>
        <v>2014.3884734999999</v>
      </c>
      <c r="AQ6" s="5">
        <f>AQ3*0.16</f>
        <v>2238.2094150000003</v>
      </c>
      <c r="AR6" s="5">
        <f>AR3*0.14</f>
        <v>2350.1198857500003</v>
      </c>
      <c r="AS6" s="5">
        <f>AS3*0.13</f>
        <v>2509.5923065687502</v>
      </c>
      <c r="AT6" s="5">
        <f>AT3*0.12</f>
        <v>2548.2014189775</v>
      </c>
      <c r="AU6" s="5">
        <f>AU3*0.12</f>
        <v>2803.0215608752505</v>
      </c>
      <c r="AV6" s="5">
        <f t="shared" ref="AV6:AW6" si="14">AV3*0.12</f>
        <v>3083.3237169627755</v>
      </c>
      <c r="AW6" s="5">
        <f t="shared" si="14"/>
        <v>3391.6560886590532</v>
      </c>
    </row>
    <row r="7" spans="2:49" x14ac:dyDescent="0.3">
      <c r="B7" t="s">
        <v>22</v>
      </c>
      <c r="C7" s="14">
        <v>76</v>
      </c>
      <c r="D7" s="12">
        <f>153.8-C7</f>
        <v>77.800000000000011</v>
      </c>
      <c r="E7" s="5">
        <v>75.900000000000006</v>
      </c>
      <c r="F7" s="5">
        <v>75.8</v>
      </c>
      <c r="G7" s="5">
        <v>65.8</v>
      </c>
      <c r="H7" s="12">
        <f>152.6-G7</f>
        <v>86.8</v>
      </c>
      <c r="I7" s="5">
        <v>313.89999999999998</v>
      </c>
      <c r="J7" s="5">
        <v>94.1</v>
      </c>
      <c r="K7" s="5">
        <v>98.5</v>
      </c>
      <c r="L7" s="5">
        <v>110.5</v>
      </c>
      <c r="M7" s="5">
        <v>94.3</v>
      </c>
      <c r="N7" s="5">
        <v>84.2</v>
      </c>
      <c r="O7" s="5">
        <v>88.6</v>
      </c>
      <c r="P7" s="5">
        <v>88.2</v>
      </c>
      <c r="Q7" s="5">
        <v>100.9</v>
      </c>
      <c r="R7" s="5">
        <v>82</v>
      </c>
      <c r="S7" s="5">
        <v>90.1</v>
      </c>
      <c r="T7" s="5">
        <v>99.5</v>
      </c>
      <c r="U7" s="5">
        <v>105.7</v>
      </c>
      <c r="V7" s="5">
        <v>109.3</v>
      </c>
      <c r="W7" s="5">
        <v>110</v>
      </c>
      <c r="X7" s="5">
        <v>108.8</v>
      </c>
      <c r="Y7" s="5">
        <v>117.6</v>
      </c>
      <c r="Z7" s="5">
        <v>171.5</v>
      </c>
      <c r="AA7" s="5">
        <v>134.9</v>
      </c>
      <c r="AB7" s="5">
        <v>135</v>
      </c>
      <c r="AC7" s="5">
        <v>144.19999999999999</v>
      </c>
      <c r="AD7" s="5">
        <f>Z7*1.17</f>
        <v>200.655</v>
      </c>
      <c r="AF7" s="5">
        <v>285.5</v>
      </c>
      <c r="AG7" s="5">
        <v>305.60000000000002</v>
      </c>
      <c r="AH7" s="5">
        <f>SUM(G7:J7)</f>
        <v>560.6</v>
      </c>
      <c r="AI7" s="5">
        <f>SUM(K7:N7)</f>
        <v>387.5</v>
      </c>
      <c r="AJ7" s="5">
        <f>SUM(O7:R7)</f>
        <v>359.70000000000005</v>
      </c>
      <c r="AK7" s="5">
        <f>SUM(S7:V7)</f>
        <v>404.6</v>
      </c>
      <c r="AL7" s="5">
        <f>SUM(W7:Z7)</f>
        <v>507.9</v>
      </c>
      <c r="AM7" s="5">
        <f>SUM(AA7:AD7)</f>
        <v>614.755</v>
      </c>
      <c r="AN7" s="5">
        <f>AM7*1.14</f>
        <v>700.82069999999999</v>
      </c>
      <c r="AO7" s="5">
        <f>AN7*1.07</f>
        <v>749.87814900000001</v>
      </c>
      <c r="AP7" s="5">
        <f>AO7*1.04</f>
        <v>779.87327496</v>
      </c>
      <c r="AQ7" s="5">
        <f>AP7*1.03</f>
        <v>803.26947320880004</v>
      </c>
      <c r="AR7" s="5">
        <f t="shared" ref="AR7:AW7" si="15">AQ7*1.03</f>
        <v>827.36755740506408</v>
      </c>
      <c r="AS7" s="5">
        <f t="shared" si="15"/>
        <v>852.18858412721602</v>
      </c>
      <c r="AT7" s="5">
        <f t="shared" si="15"/>
        <v>877.75424165103254</v>
      </c>
      <c r="AU7" s="5">
        <f t="shared" si="15"/>
        <v>904.08686890056356</v>
      </c>
      <c r="AV7" s="5">
        <f t="shared" si="15"/>
        <v>931.20947496758049</v>
      </c>
      <c r="AW7" s="5">
        <f t="shared" si="15"/>
        <v>959.14575921660798</v>
      </c>
    </row>
    <row r="8" spans="2:49" x14ac:dyDescent="0.3">
      <c r="B8" t="s">
        <v>23</v>
      </c>
      <c r="C8" s="14">
        <v>63</v>
      </c>
      <c r="D8" s="12">
        <f>134.7-C8</f>
        <v>71.699999999999989</v>
      </c>
      <c r="E8" s="5">
        <v>74.099999999999994</v>
      </c>
      <c r="F8" s="5">
        <v>112.2</v>
      </c>
      <c r="G8" s="5">
        <v>70.8</v>
      </c>
      <c r="H8" s="12">
        <f>164.1-G8</f>
        <v>93.3</v>
      </c>
      <c r="I8" s="5">
        <v>339</v>
      </c>
      <c r="J8" s="5">
        <v>166.4</v>
      </c>
      <c r="K8" s="5">
        <v>146.6</v>
      </c>
      <c r="L8" s="5">
        <v>158</v>
      </c>
      <c r="M8" s="5">
        <v>149.5</v>
      </c>
      <c r="N8" s="5">
        <v>157.5</v>
      </c>
      <c r="O8" s="5">
        <v>142.30000000000001</v>
      </c>
      <c r="P8" s="5">
        <v>155.5</v>
      </c>
      <c r="Q8" s="5">
        <v>148.69999999999999</v>
      </c>
      <c r="R8" s="5">
        <v>149.9</v>
      </c>
      <c r="S8" s="5">
        <v>136.19999999999999</v>
      </c>
      <c r="T8" s="5">
        <v>132.6</v>
      </c>
      <c r="U8" s="5">
        <v>128.19999999999999</v>
      </c>
      <c r="V8" s="5">
        <v>127.3</v>
      </c>
      <c r="W8" s="5">
        <v>134</v>
      </c>
      <c r="X8" s="5">
        <v>138.6</v>
      </c>
      <c r="Y8" s="5">
        <v>138.69999999999999</v>
      </c>
      <c r="Z8" s="5">
        <v>182.1</v>
      </c>
      <c r="AA8" s="5">
        <v>163.6</v>
      </c>
      <c r="AB8" s="5">
        <v>162.6</v>
      </c>
      <c r="AC8" s="5">
        <v>161.69999999999999</v>
      </c>
      <c r="AD8" s="5">
        <f>Z8*1.12</f>
        <v>203.95200000000003</v>
      </c>
      <c r="AF8" s="5">
        <v>306.2</v>
      </c>
      <c r="AG8" s="5">
        <v>320.89999999999998</v>
      </c>
      <c r="AH8" s="5">
        <f>SUM(G8:J8)</f>
        <v>669.5</v>
      </c>
      <c r="AI8" s="5">
        <f>SUM(K8:N8)</f>
        <v>611.6</v>
      </c>
      <c r="AJ8" s="5">
        <f>SUM(O8:R8)</f>
        <v>596.4</v>
      </c>
      <c r="AK8" s="5">
        <f>SUM(S8:V8)</f>
        <v>524.29999999999995</v>
      </c>
      <c r="AL8" s="5">
        <f>SUM(W8:Z8)</f>
        <v>593.4</v>
      </c>
      <c r="AM8" s="5">
        <f>SUM(AA8:AD8)</f>
        <v>691.85199999999998</v>
      </c>
      <c r="AN8" s="5">
        <f>AM8*1.09</f>
        <v>754.11868000000004</v>
      </c>
      <c r="AO8" s="5">
        <f>AN8*1.05</f>
        <v>791.82461400000011</v>
      </c>
      <c r="AP8" s="5">
        <f>AO8*1.04</f>
        <v>823.49759856000014</v>
      </c>
      <c r="AQ8" s="5">
        <f>AP8*1.03</f>
        <v>848.20252651680016</v>
      </c>
      <c r="AR8" s="5">
        <f t="shared" ref="AR7:AR8" si="16">AQ8*1.02</f>
        <v>865.16657704713623</v>
      </c>
      <c r="AS8" s="5">
        <f t="shared" ref="AS7:AS8" si="17">AR8*1.02</f>
        <v>882.46990858807897</v>
      </c>
      <c r="AT8" s="5">
        <f t="shared" ref="AT7:AT8" si="18">AS8*1.02</f>
        <v>900.11930675984058</v>
      </c>
      <c r="AU8" s="5">
        <f t="shared" ref="AU7:AU8" si="19">AT8*1.02</f>
        <v>918.12169289503743</v>
      </c>
      <c r="AV8" s="5">
        <f t="shared" ref="AV7:AV8" si="20">AU8*1.02</f>
        <v>936.48412675293821</v>
      </c>
      <c r="AW8" s="5">
        <f t="shared" ref="AW7:AW8" si="21">AV8*1.02</f>
        <v>955.21380928799704</v>
      </c>
    </row>
    <row r="9" spans="2:49" x14ac:dyDescent="0.3">
      <c r="B9" t="s">
        <v>24</v>
      </c>
      <c r="C9" s="12">
        <f>C6+C7+C8</f>
        <v>239</v>
      </c>
      <c r="D9" s="12">
        <f>D6+D7+D8</f>
        <v>267.10000000000002</v>
      </c>
      <c r="E9" s="5">
        <f>E6+E7+E8</f>
        <v>269.70000000000005</v>
      </c>
      <c r="F9" s="5">
        <f>F6+F7+F8</f>
        <v>300.89999999999998</v>
      </c>
      <c r="G9" s="5">
        <f t="shared" ref="G9" si="22">G6+G7+G8</f>
        <v>235.3</v>
      </c>
      <c r="H9" s="12">
        <f>H6+H7+H8</f>
        <v>282.59999999999997</v>
      </c>
      <c r="I9" s="5">
        <f>I6+I7+I8</f>
        <v>987.8</v>
      </c>
      <c r="J9" s="5">
        <f>J6+J7+J8</f>
        <v>408.1</v>
      </c>
      <c r="K9" s="5">
        <f t="shared" ref="K9:M9" si="23">K6+K7+K8</f>
        <v>381.2</v>
      </c>
      <c r="L9" s="5">
        <f t="shared" si="23"/>
        <v>430.9</v>
      </c>
      <c r="M9" s="5">
        <f t="shared" si="23"/>
        <v>397.2</v>
      </c>
      <c r="N9" s="5">
        <f t="shared" ref="N9:O9" si="24">N6+N7+N8</f>
        <v>404.3</v>
      </c>
      <c r="O9" s="5">
        <f t="shared" si="24"/>
        <v>391.4</v>
      </c>
      <c r="P9" s="5">
        <f t="shared" ref="P9:Q9" si="25">P6+P7+P8</f>
        <v>412.6</v>
      </c>
      <c r="Q9" s="5">
        <f t="shared" si="25"/>
        <v>432.5</v>
      </c>
      <c r="R9" s="5">
        <f t="shared" ref="R9" si="26">R6+R7+R8</f>
        <v>422.1</v>
      </c>
      <c r="S9" s="5">
        <f t="shared" ref="S9" si="27">S6+S7+S8</f>
        <v>413.4</v>
      </c>
      <c r="T9" s="5">
        <f t="shared" ref="T9:U9" si="28">T6+T7+T8</f>
        <v>416.29999999999995</v>
      </c>
      <c r="U9" s="5">
        <f t="shared" si="28"/>
        <v>410.3</v>
      </c>
      <c r="V9" s="5">
        <f t="shared" ref="V9" si="29">V6+V7+V8</f>
        <v>434</v>
      </c>
      <c r="W9" s="5">
        <f t="shared" ref="W9:X9" si="30">W6+W7+W8</f>
        <v>437.2</v>
      </c>
      <c r="X9" s="5">
        <f t="shared" si="30"/>
        <v>444.20000000000005</v>
      </c>
      <c r="Y9" s="5">
        <f t="shared" ref="Y9:AD9" si="31">Y6+Y7+Y8</f>
        <v>465.8</v>
      </c>
      <c r="Z9" s="5">
        <f t="shared" si="31"/>
        <v>641.9</v>
      </c>
      <c r="AA9" s="5">
        <f t="shared" si="31"/>
        <v>534.80000000000007</v>
      </c>
      <c r="AB9" s="5">
        <f t="shared" si="31"/>
        <v>541.4</v>
      </c>
      <c r="AC9" s="5">
        <f t="shared" si="31"/>
        <v>580.5</v>
      </c>
      <c r="AD9" s="5">
        <f t="shared" si="31"/>
        <v>790.01699999999994</v>
      </c>
      <c r="AF9" s="5">
        <f>AF6+AF7+AF8</f>
        <v>1053.5</v>
      </c>
      <c r="AG9" s="5">
        <f>AG6+AG7+AG8</f>
        <v>1076.5999999999999</v>
      </c>
      <c r="AH9" s="5">
        <f>AH6+AH7+AH8</f>
        <v>1913.8</v>
      </c>
      <c r="AI9" s="5">
        <f t="shared" ref="AI9:AR9" si="32">AI6+AI7+AI8</f>
        <v>1613.6</v>
      </c>
      <c r="AJ9" s="5">
        <f t="shared" si="32"/>
        <v>1658.6</v>
      </c>
      <c r="AK9" s="5">
        <f t="shared" si="32"/>
        <v>1673.9999999999998</v>
      </c>
      <c r="AL9" s="5">
        <f t="shared" si="32"/>
        <v>1989.1</v>
      </c>
      <c r="AM9" s="5">
        <f t="shared" si="32"/>
        <v>2446.7170000000001</v>
      </c>
      <c r="AN9" s="5">
        <f t="shared" si="32"/>
        <v>2921.5723300000004</v>
      </c>
      <c r="AO9" s="5">
        <f t="shared" si="32"/>
        <v>3349.4872905000002</v>
      </c>
      <c r="AP9" s="5">
        <f t="shared" si="32"/>
        <v>3617.75934702</v>
      </c>
      <c r="AQ9" s="5">
        <f t="shared" si="32"/>
        <v>3889.6814147256009</v>
      </c>
      <c r="AR9" s="5">
        <f t="shared" si="32"/>
        <v>4042.6540202022006</v>
      </c>
      <c r="AS9" s="5">
        <f t="shared" ref="AS9:AW9" si="33">AS6+AS7+AS8</f>
        <v>4244.2507992840456</v>
      </c>
      <c r="AT9" s="5">
        <f t="shared" si="33"/>
        <v>4326.0749673883729</v>
      </c>
      <c r="AU9" s="5">
        <f t="shared" si="33"/>
        <v>4625.2301226708514</v>
      </c>
      <c r="AV9" s="5">
        <f t="shared" si="33"/>
        <v>4951.0173186832944</v>
      </c>
      <c r="AW9" s="5">
        <f t="shared" si="33"/>
        <v>5306.015657163658</v>
      </c>
    </row>
    <row r="10" spans="2:49" s="1" customFormat="1" x14ac:dyDescent="0.3">
      <c r="B10" s="1" t="s">
        <v>25</v>
      </c>
      <c r="C10" s="11">
        <f>C5-C9</f>
        <v>-134</v>
      </c>
      <c r="D10" s="11">
        <f>D5-D9</f>
        <v>-150.80000000000004</v>
      </c>
      <c r="E10" s="8">
        <f>E5-E9</f>
        <v>-144.30000000000004</v>
      </c>
      <c r="F10" s="8">
        <f>F5-F9</f>
        <v>-147.39999999999998</v>
      </c>
      <c r="G10" s="8">
        <f t="shared" ref="G10" si="34">G5-G9</f>
        <v>-70.300000000000011</v>
      </c>
      <c r="H10" s="11">
        <f>H5-H9</f>
        <v>-99.099999999999966</v>
      </c>
      <c r="I10" s="8">
        <f>I5-I9</f>
        <v>-847.7</v>
      </c>
      <c r="J10" s="8">
        <f>J5-J9</f>
        <v>-156.5</v>
      </c>
      <c r="K10" s="8">
        <f t="shared" ref="K10:M10" si="35">K5-K9</f>
        <v>-114.09999999999997</v>
      </c>
      <c r="L10" s="8">
        <f t="shared" si="35"/>
        <v>-146.19999999999993</v>
      </c>
      <c r="M10" s="8">
        <f t="shared" si="35"/>
        <v>-91.899999999999977</v>
      </c>
      <c r="N10" s="8">
        <f t="shared" ref="N10:O10" si="36">N5-N9</f>
        <v>-59.000000000000057</v>
      </c>
      <c r="O10" s="8">
        <f t="shared" si="36"/>
        <v>-39.399999999999977</v>
      </c>
      <c r="P10" s="8">
        <f t="shared" ref="P10:Q10" si="37">P5-P9</f>
        <v>-41.800000000000011</v>
      </c>
      <c r="Q10" s="8">
        <f t="shared" si="37"/>
        <v>-62.200000000000045</v>
      </c>
      <c r="R10" s="8">
        <f t="shared" ref="R10" si="38">R5-R9</f>
        <v>-17.800000000000011</v>
      </c>
      <c r="S10" s="8">
        <f t="shared" ref="S10" si="39">S5-S9</f>
        <v>4.2000000000000455</v>
      </c>
      <c r="T10" s="8">
        <f t="shared" ref="T10:U10" si="40">T5-T9</f>
        <v>10.100000000000023</v>
      </c>
      <c r="U10" s="8">
        <f t="shared" si="40"/>
        <v>40.000000000000057</v>
      </c>
      <c r="V10" s="8">
        <f t="shared" ref="V10" si="41">V5-V9</f>
        <v>65.799999999999955</v>
      </c>
      <c r="W10" s="8">
        <f t="shared" ref="W10:X10" si="42">W5-W9</f>
        <v>80.800000000000011</v>
      </c>
      <c r="X10" s="8">
        <f t="shared" si="42"/>
        <v>105.29999999999995</v>
      </c>
      <c r="Y10" s="8">
        <f t="shared" ref="Y10:AD10" si="43">Y5-Y9</f>
        <v>113.09999999999997</v>
      </c>
      <c r="Z10" s="8">
        <f t="shared" si="43"/>
        <v>11.100000000000023</v>
      </c>
      <c r="AA10" s="8">
        <f t="shared" si="43"/>
        <v>176.09999999999991</v>
      </c>
      <c r="AB10" s="8">
        <f t="shared" si="43"/>
        <v>269.40000000000009</v>
      </c>
      <c r="AC10" s="8">
        <f t="shared" si="43"/>
        <v>393.29999999999995</v>
      </c>
      <c r="AD10" s="8">
        <f t="shared" si="43"/>
        <v>259.89300000000014</v>
      </c>
      <c r="AF10" s="8">
        <f>AF5-AF9</f>
        <v>-623.5</v>
      </c>
      <c r="AG10" s="8">
        <f>AG5-AG9</f>
        <v>-576.39999999999986</v>
      </c>
      <c r="AH10" s="8">
        <f>AH5-AH9</f>
        <v>-1173.6000000000001</v>
      </c>
      <c r="AI10" s="8">
        <f t="shared" ref="AI10:AR10" si="44">AI5-AI9</f>
        <v>-411.19999999999982</v>
      </c>
      <c r="AJ10" s="8">
        <f t="shared" si="44"/>
        <v>-161.19999999999982</v>
      </c>
      <c r="AK10" s="8">
        <f t="shared" si="44"/>
        <v>120.10000000000014</v>
      </c>
      <c r="AL10" s="8">
        <f t="shared" si="44"/>
        <v>310.30000000000018</v>
      </c>
      <c r="AM10" s="8">
        <f t="shared" si="44"/>
        <v>1098.6929999999998</v>
      </c>
      <c r="AN10" s="8">
        <f t="shared" si="44"/>
        <v>2243.5263199999995</v>
      </c>
      <c r="AO10" s="8">
        <f t="shared" si="44"/>
        <v>3623.3958870000006</v>
      </c>
      <c r="AP10" s="8">
        <f t="shared" si="44"/>
        <v>5446.9887837300003</v>
      </c>
      <c r="AQ10" s="8">
        <f t="shared" si="44"/>
        <v>7441.2537487119007</v>
      </c>
      <c r="AR10" s="8">
        <f t="shared" si="44"/>
        <v>9554.4681759228006</v>
      </c>
      <c r="AS10" s="8">
        <f t="shared" ref="AS10:AW10" si="45">AS5-AS9</f>
        <v>11392.439726259705</v>
      </c>
      <c r="AT10" s="8">
        <f t="shared" si="45"/>
        <v>12874.284610709754</v>
      </c>
      <c r="AU10" s="8">
        <f t="shared" si="45"/>
        <v>14295.16541323709</v>
      </c>
      <c r="AV10" s="8">
        <f t="shared" si="45"/>
        <v>15861.417770815442</v>
      </c>
      <c r="AW10" s="8">
        <f t="shared" si="45"/>
        <v>17587.662941284954</v>
      </c>
    </row>
    <row r="11" spans="2:49" x14ac:dyDescent="0.3">
      <c r="B11" t="s">
        <v>26</v>
      </c>
      <c r="C11" s="14">
        <v>-5</v>
      </c>
      <c r="D11" s="12">
        <f>-9.6-C11</f>
        <v>-4.5999999999999996</v>
      </c>
      <c r="E11" s="5">
        <v>-3.4</v>
      </c>
      <c r="F11" s="5">
        <v>-2.1</v>
      </c>
      <c r="G11" s="5">
        <v>-3.3</v>
      </c>
      <c r="H11" s="12">
        <f>-3.8-G11</f>
        <v>-0.5</v>
      </c>
      <c r="I11" s="5">
        <v>-0.5</v>
      </c>
      <c r="J11" s="5">
        <v>-0.4</v>
      </c>
      <c r="K11" s="5">
        <v>-0.4</v>
      </c>
      <c r="L11" s="5">
        <v>-0.4</v>
      </c>
      <c r="M11" s="5">
        <v>-0.4</v>
      </c>
      <c r="N11" s="5">
        <v>-0.5</v>
      </c>
      <c r="O11" s="5">
        <v>-0.5</v>
      </c>
      <c r="P11" s="5">
        <v>-1.5</v>
      </c>
      <c r="Q11" s="5">
        <v>-5.5</v>
      </c>
      <c r="R11" s="5">
        <v>-12.8</v>
      </c>
      <c r="S11" s="5">
        <v>-20.9</v>
      </c>
      <c r="T11" s="5">
        <v>-30.3</v>
      </c>
      <c r="U11" s="5">
        <v>-36.9</v>
      </c>
      <c r="V11" s="5">
        <v>-44.5</v>
      </c>
      <c r="W11" s="5">
        <v>-43.4</v>
      </c>
      <c r="X11" s="5">
        <v>-46.6</v>
      </c>
      <c r="Y11" s="5">
        <v>-52.1</v>
      </c>
      <c r="Z11" s="5">
        <v>-54.7</v>
      </c>
      <c r="AA11" s="5">
        <v>-50.4</v>
      </c>
      <c r="AB11" s="5">
        <v>-56.3</v>
      </c>
      <c r="AC11" s="5">
        <v>-59.8</v>
      </c>
      <c r="AD11" s="5">
        <f t="shared" ref="AC11:AD11" si="46">Z11*1.2</f>
        <v>-65.64</v>
      </c>
      <c r="AF11" s="5">
        <v>-10.5</v>
      </c>
      <c r="AG11" s="5">
        <v>-15.1</v>
      </c>
      <c r="AH11" s="5">
        <f>SUM(G11:J11)</f>
        <v>-4.7</v>
      </c>
      <c r="AI11" s="5">
        <f>SUM(K11:N11)</f>
        <v>-1.7000000000000002</v>
      </c>
      <c r="AJ11" s="5">
        <f>SUM(O11:R11)</f>
        <v>-20.3</v>
      </c>
      <c r="AK11" s="5">
        <f>SUM(S11:V11)</f>
        <v>-132.6</v>
      </c>
      <c r="AL11" s="5">
        <f>SUM(W11:Z11)</f>
        <v>-196.8</v>
      </c>
      <c r="AM11" s="5">
        <f>SUM(AA11:AD11)</f>
        <v>-232.14</v>
      </c>
      <c r="AN11" s="5">
        <f>AM11*1.15</f>
        <v>-266.96099999999996</v>
      </c>
      <c r="AO11" s="5">
        <f t="shared" ref="AO11:AW11" si="47">AN11*1.15</f>
        <v>-307.0051499999999</v>
      </c>
      <c r="AP11" s="5">
        <f t="shared" si="47"/>
        <v>-353.05592249999984</v>
      </c>
      <c r="AQ11" s="5">
        <f t="shared" si="47"/>
        <v>-406.01431087499981</v>
      </c>
      <c r="AR11" s="5">
        <f t="shared" si="47"/>
        <v>-466.91645750624974</v>
      </c>
      <c r="AS11" s="5">
        <f t="shared" si="47"/>
        <v>-536.95392613218712</v>
      </c>
      <c r="AT11" s="5">
        <f t="shared" si="47"/>
        <v>-617.49701505201517</v>
      </c>
      <c r="AU11" s="5">
        <f t="shared" si="47"/>
        <v>-710.12156730981735</v>
      </c>
      <c r="AV11" s="5">
        <f t="shared" si="47"/>
        <v>-816.63980240628985</v>
      </c>
      <c r="AW11" s="5">
        <f t="shared" si="47"/>
        <v>-939.13577276723322</v>
      </c>
    </row>
    <row r="12" spans="2:49" x14ac:dyDescent="0.3">
      <c r="B12" t="s">
        <v>27</v>
      </c>
      <c r="C12" s="14">
        <v>0</v>
      </c>
      <c r="D12" s="12">
        <f>0.2-C12</f>
        <v>0.2</v>
      </c>
      <c r="E12" s="5">
        <v>0.2</v>
      </c>
      <c r="F12" s="5">
        <v>2.7</v>
      </c>
      <c r="G12" s="5">
        <v>4.5999999999999996</v>
      </c>
      <c r="H12" s="12">
        <f>10.2-G12</f>
        <v>5.6</v>
      </c>
      <c r="I12" s="5">
        <v>2.1</v>
      </c>
      <c r="J12" s="5">
        <v>1.8</v>
      </c>
      <c r="K12" s="5">
        <v>1.8</v>
      </c>
      <c r="L12" s="5">
        <v>0.6</v>
      </c>
      <c r="M12" s="5">
        <v>0.6</v>
      </c>
      <c r="N12" s="5">
        <v>0.6</v>
      </c>
      <c r="O12" s="5">
        <v>0.6</v>
      </c>
      <c r="P12" s="5">
        <v>0.7</v>
      </c>
      <c r="Q12" s="5">
        <v>1.1000000000000001</v>
      </c>
      <c r="R12" s="5">
        <v>1.7</v>
      </c>
      <c r="S12" s="5">
        <v>0</v>
      </c>
      <c r="T12" s="5">
        <v>0</v>
      </c>
      <c r="U12" s="5">
        <v>0.7</v>
      </c>
      <c r="V12" s="5">
        <v>0.1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F12" s="5">
        <v>3.4</v>
      </c>
      <c r="AG12" s="5">
        <v>3.1</v>
      </c>
      <c r="AH12" s="5">
        <f>SUM(G12:J12)</f>
        <v>14.1</v>
      </c>
      <c r="AI12" s="5">
        <f>SUM(K12:N12)</f>
        <v>3.6</v>
      </c>
      <c r="AJ12" s="5">
        <f>SUM(O12:R12)</f>
        <v>4.0999999999999996</v>
      </c>
      <c r="AK12" s="5">
        <f>SUM(S12:V12)</f>
        <v>0.79999999999999993</v>
      </c>
      <c r="AL12" s="5">
        <f>SUM(W12:Z12)</f>
        <v>0</v>
      </c>
      <c r="AM12" s="5">
        <f>SUM(AA12:AD12)</f>
        <v>0</v>
      </c>
      <c r="AN12" s="5">
        <f t="shared" ref="AN12:AS12" si="48">AM12*0.9</f>
        <v>0</v>
      </c>
      <c r="AO12" s="5">
        <f t="shared" si="48"/>
        <v>0</v>
      </c>
      <c r="AP12" s="5">
        <f t="shared" si="48"/>
        <v>0</v>
      </c>
      <c r="AQ12" s="5">
        <f t="shared" si="48"/>
        <v>0</v>
      </c>
      <c r="AR12" s="5">
        <f t="shared" si="48"/>
        <v>0</v>
      </c>
      <c r="AS12" s="5">
        <f t="shared" si="48"/>
        <v>0</v>
      </c>
      <c r="AT12" s="5">
        <f t="shared" ref="AT12" si="49">AS12*0.9</f>
        <v>0</v>
      </c>
      <c r="AU12" s="5">
        <f t="shared" ref="AU12" si="50">AT12*0.9</f>
        <v>0</v>
      </c>
      <c r="AV12" s="5">
        <f t="shared" ref="AV12" si="51">AU12*0.9</f>
        <v>0</v>
      </c>
      <c r="AW12" s="5">
        <f t="shared" ref="AW12" si="52">AV12*0.9</f>
        <v>0</v>
      </c>
    </row>
    <row r="13" spans="2:49" x14ac:dyDescent="0.3">
      <c r="B13" t="s">
        <v>33</v>
      </c>
      <c r="C13" s="14">
        <v>-1</v>
      </c>
      <c r="D13" s="12">
        <f>-2-C13</f>
        <v>-1</v>
      </c>
      <c r="E13" s="5">
        <v>-0.8</v>
      </c>
      <c r="F13" s="5">
        <v>2.7</v>
      </c>
      <c r="G13" s="5">
        <v>-13.7</v>
      </c>
      <c r="H13" s="12">
        <f>-10-G13</f>
        <v>3.6999999999999993</v>
      </c>
      <c r="I13" s="5">
        <v>9.1999999999999993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F13" s="5">
        <v>-48.1</v>
      </c>
      <c r="AG13" s="5">
        <v>0</v>
      </c>
      <c r="AH13" s="5">
        <f>SUM(G13:J13)</f>
        <v>-0.80000000000000071</v>
      </c>
      <c r="AI13" s="5">
        <f>SUM(K13:N13)</f>
        <v>0</v>
      </c>
      <c r="AJ13" s="5">
        <f>SUM(O13:R13)</f>
        <v>0</v>
      </c>
      <c r="AK13" s="5">
        <f>SUM(S13:V13)</f>
        <v>0</v>
      </c>
      <c r="AL13" s="5">
        <f>SUM(W13:Z13)</f>
        <v>0</v>
      </c>
      <c r="AM13" s="5">
        <f>SUM(AA13:AD13)</f>
        <v>0</v>
      </c>
      <c r="AN13" s="5">
        <f t="shared" ref="AN13:AS13" si="53">AM13*1.5</f>
        <v>0</v>
      </c>
      <c r="AO13" s="5">
        <f t="shared" si="53"/>
        <v>0</v>
      </c>
      <c r="AP13" s="5">
        <f t="shared" si="53"/>
        <v>0</v>
      </c>
      <c r="AQ13" s="5">
        <f t="shared" si="53"/>
        <v>0</v>
      </c>
      <c r="AR13" s="5">
        <f t="shared" si="53"/>
        <v>0</v>
      </c>
      <c r="AS13" s="5">
        <f t="shared" si="53"/>
        <v>0</v>
      </c>
      <c r="AT13" s="5">
        <f t="shared" ref="AT13" si="54">AS13*1.5</f>
        <v>0</v>
      </c>
      <c r="AU13" s="5">
        <f t="shared" ref="AU13" si="55">AT13*1.5</f>
        <v>0</v>
      </c>
      <c r="AV13" s="5">
        <f t="shared" ref="AV13" si="56">AU13*1.5</f>
        <v>0</v>
      </c>
      <c r="AW13" s="5">
        <f t="shared" ref="AW13" si="57">AV13*1.5</f>
        <v>0</v>
      </c>
    </row>
    <row r="14" spans="2:49" x14ac:dyDescent="0.3">
      <c r="B14" t="s">
        <v>28</v>
      </c>
      <c r="C14" s="14">
        <v>0</v>
      </c>
      <c r="D14" s="12">
        <f>0.4-C14</f>
        <v>0.4</v>
      </c>
      <c r="E14" s="5">
        <v>-2.2999999999999998</v>
      </c>
      <c r="F14" s="5">
        <v>4.7</v>
      </c>
      <c r="G14" s="5">
        <v>-6.1</v>
      </c>
      <c r="H14" s="12">
        <f>-4.5-G14</f>
        <v>1.5999999999999996</v>
      </c>
      <c r="I14" s="5">
        <v>3.3</v>
      </c>
      <c r="J14" s="5">
        <v>-2.1</v>
      </c>
      <c r="K14" s="5">
        <v>4.9000000000000004</v>
      </c>
      <c r="L14" s="5">
        <v>2.1</v>
      </c>
      <c r="M14" s="5">
        <v>8.5</v>
      </c>
      <c r="N14" s="5">
        <v>64.099999999999994</v>
      </c>
      <c r="O14" s="5">
        <v>59.9</v>
      </c>
      <c r="P14" s="5">
        <v>135.80000000000001</v>
      </c>
      <c r="Q14" s="5">
        <v>65</v>
      </c>
      <c r="R14" s="5">
        <v>-44.6</v>
      </c>
      <c r="S14" s="5">
        <v>4.0999999999999996</v>
      </c>
      <c r="T14" s="5">
        <v>10.3</v>
      </c>
      <c r="U14" s="5">
        <v>-3.9</v>
      </c>
      <c r="V14" s="5">
        <v>4</v>
      </c>
      <c r="W14" s="5">
        <v>13.5</v>
      </c>
      <c r="X14" s="5">
        <v>11.2</v>
      </c>
      <c r="Y14" s="5">
        <v>8.1</v>
      </c>
      <c r="Z14" s="5">
        <v>-14.8</v>
      </c>
      <c r="AA14" s="5">
        <v>3.2</v>
      </c>
      <c r="AB14" s="5">
        <v>-6.6</v>
      </c>
      <c r="AC14" s="5">
        <v>-27.5</v>
      </c>
      <c r="AD14" s="5">
        <v>-10</v>
      </c>
      <c r="AF14" s="5">
        <v>2.6</v>
      </c>
      <c r="AG14" s="5">
        <v>2.9</v>
      </c>
      <c r="AH14" s="5">
        <f>SUM(G14:J14)</f>
        <v>-3.3000000000000003</v>
      </c>
      <c r="AI14" s="5">
        <f>SUM(K14:N14)</f>
        <v>79.599999999999994</v>
      </c>
      <c r="AJ14" s="5">
        <f>SUM(O14:R14)</f>
        <v>216.10000000000005</v>
      </c>
      <c r="AK14" s="5">
        <f>SUM(S14:V14)</f>
        <v>14.5</v>
      </c>
      <c r="AL14" s="5">
        <f>SUM(W14:Z14)</f>
        <v>17.999999999999996</v>
      </c>
      <c r="AM14" s="5">
        <f>SUM(AA14:AD14)</f>
        <v>-40.9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</row>
    <row r="15" spans="2:49" s="1" customFormat="1" x14ac:dyDescent="0.3">
      <c r="B15" s="1" t="s">
        <v>29</v>
      </c>
      <c r="C15" s="11">
        <f>C10-C11-C12-C13-C14</f>
        <v>-128</v>
      </c>
      <c r="D15" s="11">
        <f>D10-D11-D12-D13-D14</f>
        <v>-145.80000000000004</v>
      </c>
      <c r="E15" s="8">
        <f>E10-E11-E12-E13-E14</f>
        <v>-138</v>
      </c>
      <c r="F15" s="8">
        <f>F10-F11-F12-F13-F14</f>
        <v>-155.39999999999995</v>
      </c>
      <c r="G15" s="8">
        <f t="shared" ref="G15" si="58">G10-G11-G12-G13-G14</f>
        <v>-51.800000000000004</v>
      </c>
      <c r="H15" s="11">
        <f>H10-H11-H12-H13-H14</f>
        <v>-109.49999999999996</v>
      </c>
      <c r="I15" s="8">
        <f>I10-I11-I12-I13-I14</f>
        <v>-861.80000000000007</v>
      </c>
      <c r="J15" s="8">
        <f>J10-J11-J12-J13-J14</f>
        <v>-155.80000000000001</v>
      </c>
      <c r="K15" s="8">
        <f t="shared" ref="K15:M15" si="59">K10-K11-K12-K13-K14</f>
        <v>-120.39999999999996</v>
      </c>
      <c r="L15" s="8">
        <f t="shared" si="59"/>
        <v>-148.49999999999991</v>
      </c>
      <c r="M15" s="8">
        <f t="shared" si="59"/>
        <v>-100.59999999999997</v>
      </c>
      <c r="N15" s="8">
        <f t="shared" ref="N15:O15" si="60">N10-N11-N12-N13-N14</f>
        <v>-123.20000000000005</v>
      </c>
      <c r="O15" s="8">
        <f t="shared" si="60"/>
        <v>-99.399999999999977</v>
      </c>
      <c r="P15" s="8">
        <f t="shared" ref="P15:Q15" si="61">P10-P11-P12-P13-P14</f>
        <v>-176.8</v>
      </c>
      <c r="Q15" s="8">
        <f t="shared" si="61"/>
        <v>-122.80000000000004</v>
      </c>
      <c r="R15" s="8">
        <f t="shared" ref="R15" si="62">R10-R11-R12-R13-R14</f>
        <v>37.899999999999991</v>
      </c>
      <c r="S15" s="8">
        <f t="shared" ref="S15" si="63">S10-S11-S12-S13-S14</f>
        <v>21.000000000000043</v>
      </c>
      <c r="T15" s="8">
        <f t="shared" ref="T15:U15" si="64">T10-T11-T12-T13-T14</f>
        <v>30.100000000000019</v>
      </c>
      <c r="U15" s="8">
        <f t="shared" si="64"/>
        <v>80.100000000000065</v>
      </c>
      <c r="V15" s="8">
        <f t="shared" ref="V15" si="65">V10-V11-V12-V13-V14</f>
        <v>106.19999999999996</v>
      </c>
      <c r="W15" s="8">
        <f t="shared" ref="W15:AA15" si="66">W10-W11-W12-W13-W14</f>
        <v>110.70000000000002</v>
      </c>
      <c r="X15" s="8">
        <f t="shared" si="66"/>
        <v>140.69999999999996</v>
      </c>
      <c r="Y15" s="8">
        <f t="shared" si="66"/>
        <v>157.09999999999997</v>
      </c>
      <c r="Z15" s="8">
        <f t="shared" si="66"/>
        <v>80.600000000000023</v>
      </c>
      <c r="AA15" s="8">
        <f t="shared" si="66"/>
        <v>223.29999999999993</v>
      </c>
      <c r="AB15" s="8">
        <f t="shared" ref="AB15:AD15" si="67">AB10-AB11-AB12-AB13-AB14</f>
        <v>332.30000000000013</v>
      </c>
      <c r="AC15" s="8">
        <f t="shared" si="67"/>
        <v>480.59999999999997</v>
      </c>
      <c r="AD15" s="8">
        <f t="shared" si="67"/>
        <v>335.53300000000013</v>
      </c>
      <c r="AF15" s="8">
        <f>AF10-AF11-AF12-AF13-AF14</f>
        <v>-570.9</v>
      </c>
      <c r="AG15" s="8">
        <f>AG10-AG11-AG12-AG13-AG14</f>
        <v>-567.29999999999984</v>
      </c>
      <c r="AH15" s="8">
        <f>AH10-AH11-AH12-AH13-AH14</f>
        <v>-1178.9000000000001</v>
      </c>
      <c r="AI15" s="8">
        <f>AI10-AI11-AI12-AI13-AI14</f>
        <v>-492.69999999999982</v>
      </c>
      <c r="AJ15" s="8">
        <f t="shared" ref="AJ15:AR15" si="68">AJ10-AJ11-AJ12-AJ13-AJ14</f>
        <v>-361.09999999999985</v>
      </c>
      <c r="AK15" s="8">
        <f t="shared" si="68"/>
        <v>237.40000000000012</v>
      </c>
      <c r="AL15" s="8">
        <f t="shared" si="68"/>
        <v>489.10000000000019</v>
      </c>
      <c r="AM15" s="8">
        <f t="shared" si="68"/>
        <v>1371.7329999999997</v>
      </c>
      <c r="AN15" s="8">
        <f t="shared" si="68"/>
        <v>2510.4873199999993</v>
      </c>
      <c r="AO15" s="8">
        <f t="shared" si="68"/>
        <v>3930.4010370000005</v>
      </c>
      <c r="AP15" s="8">
        <f t="shared" si="68"/>
        <v>5800.04470623</v>
      </c>
      <c r="AQ15" s="8">
        <f t="shared" si="68"/>
        <v>7847.2680595869006</v>
      </c>
      <c r="AR15" s="8">
        <f t="shared" si="68"/>
        <v>10021.38463342905</v>
      </c>
      <c r="AS15" s="8">
        <f t="shared" ref="AS15:AW15" si="69">AS10-AS11-AS12-AS13-AS14</f>
        <v>11929.393652391893</v>
      </c>
      <c r="AT15" s="8">
        <f t="shared" si="69"/>
        <v>13491.781625761769</v>
      </c>
      <c r="AU15" s="8">
        <f t="shared" si="69"/>
        <v>15005.286980546907</v>
      </c>
      <c r="AV15" s="8">
        <f t="shared" si="69"/>
        <v>16678.057573221733</v>
      </c>
      <c r="AW15" s="8">
        <f t="shared" si="69"/>
        <v>18526.798714052187</v>
      </c>
    </row>
    <row r="16" spans="2:49" x14ac:dyDescent="0.3">
      <c r="B16" t="s">
        <v>30</v>
      </c>
      <c r="C16" s="14">
        <v>3</v>
      </c>
      <c r="D16" s="12">
        <f>6.5-C16</f>
        <v>3.5</v>
      </c>
      <c r="E16" s="5">
        <v>2</v>
      </c>
      <c r="F16" s="5">
        <v>3.9</v>
      </c>
      <c r="G16" s="5">
        <v>2.6</v>
      </c>
      <c r="H16" s="12">
        <f>3.5-G16</f>
        <v>0.89999999999999991</v>
      </c>
      <c r="I16" s="5">
        <v>-8.5</v>
      </c>
      <c r="J16" s="5">
        <v>-7.6</v>
      </c>
      <c r="K16" s="5">
        <v>3.1</v>
      </c>
      <c r="L16" s="5">
        <v>-5.7</v>
      </c>
      <c r="M16" s="5">
        <v>1.4</v>
      </c>
      <c r="N16" s="5">
        <v>33</v>
      </c>
      <c r="O16" s="5">
        <v>2</v>
      </c>
      <c r="P16" s="5">
        <v>2.6</v>
      </c>
      <c r="Q16" s="5">
        <v>1.1000000000000001</v>
      </c>
      <c r="R16" s="5">
        <v>4.4000000000000004</v>
      </c>
      <c r="S16" s="5">
        <v>1.7</v>
      </c>
      <c r="T16" s="5">
        <v>2.2000000000000002</v>
      </c>
      <c r="U16" s="5">
        <v>6.5</v>
      </c>
      <c r="V16" s="5">
        <v>9.3000000000000007</v>
      </c>
      <c r="W16" s="5">
        <v>4.7</v>
      </c>
      <c r="X16" s="5">
        <v>5.2</v>
      </c>
      <c r="Y16" s="5">
        <v>7.8</v>
      </c>
      <c r="Z16" s="5">
        <v>3.6</v>
      </c>
      <c r="AA16" s="5">
        <v>5.6</v>
      </c>
      <c r="AB16" s="5">
        <v>3.6</v>
      </c>
      <c r="AC16" s="5">
        <v>3.8</v>
      </c>
      <c r="AD16" s="5">
        <f t="shared" ref="AC16:AD16" si="70">AD15*0.04</f>
        <v>13.421320000000005</v>
      </c>
      <c r="AF16" s="5">
        <v>9.1</v>
      </c>
      <c r="AG16" s="5">
        <v>12.4</v>
      </c>
      <c r="AH16" s="5">
        <f>SUM(G16:J16)</f>
        <v>-12.6</v>
      </c>
      <c r="AI16" s="5">
        <f>SUM(K16:N16)</f>
        <v>31.8</v>
      </c>
      <c r="AJ16" s="5">
        <f>SUM(O16:R16)</f>
        <v>10.1</v>
      </c>
      <c r="AK16" s="5">
        <f>SUM(S16:V16)</f>
        <v>19.700000000000003</v>
      </c>
      <c r="AL16" s="5">
        <f>SUM(W16:Z16)</f>
        <v>21.3</v>
      </c>
      <c r="AM16" s="5">
        <f>SUM(AA16:AD16)</f>
        <v>26.421320000000005</v>
      </c>
      <c r="AN16" s="5">
        <f t="shared" ref="AN16:AQ16" si="71">AN15*0.1</f>
        <v>251.04873199999994</v>
      </c>
      <c r="AO16" s="5">
        <f t="shared" si="71"/>
        <v>393.04010370000009</v>
      </c>
      <c r="AP16" s="5">
        <f t="shared" si="71"/>
        <v>580.00447062299997</v>
      </c>
      <c r="AQ16" s="5">
        <f t="shared" si="71"/>
        <v>784.72680595869008</v>
      </c>
      <c r="AR16" s="5">
        <f>AR15*0.15</f>
        <v>1503.2076950143576</v>
      </c>
      <c r="AS16" s="5">
        <f t="shared" ref="AS16:AW16" si="72">AS15*0.15</f>
        <v>1789.4090478587839</v>
      </c>
      <c r="AT16" s="5">
        <f t="shared" si="72"/>
        <v>2023.7672438642653</v>
      </c>
      <c r="AU16" s="5">
        <f t="shared" si="72"/>
        <v>2250.7930470820361</v>
      </c>
      <c r="AV16" s="5">
        <f t="shared" si="72"/>
        <v>2501.7086359832597</v>
      </c>
      <c r="AW16" s="5">
        <f t="shared" si="72"/>
        <v>2779.019807107828</v>
      </c>
    </row>
    <row r="17" spans="2:166" x14ac:dyDescent="0.3">
      <c r="B17" t="s">
        <v>68</v>
      </c>
      <c r="C17" s="14"/>
      <c r="D17" s="12"/>
      <c r="E17" s="5"/>
      <c r="F17" s="5"/>
      <c r="G17" s="5"/>
      <c r="H17" s="12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5.8</v>
      </c>
      <c r="Z17" s="5">
        <v>-2.1</v>
      </c>
      <c r="AA17" s="5">
        <v>3.7</v>
      </c>
      <c r="AB17" s="5">
        <v>1.8</v>
      </c>
      <c r="AC17" s="5">
        <v>1.1000000000000001</v>
      </c>
      <c r="AD17" s="5">
        <f t="shared" ref="AC17:AD17" si="73">AD15*0.01</f>
        <v>3.3553300000000013</v>
      </c>
      <c r="AF17" s="5"/>
      <c r="AG17" s="5"/>
      <c r="AH17" s="5"/>
      <c r="AI17" s="5"/>
      <c r="AJ17" s="5"/>
      <c r="AK17" s="5"/>
      <c r="AL17" s="5">
        <f>SUM(W17:Z17)</f>
        <v>3.6999999999999997</v>
      </c>
      <c r="AM17" s="5">
        <f>SUM(AA17:AD17)</f>
        <v>9.95533</v>
      </c>
      <c r="AN17" s="5">
        <f t="shared" ref="AN17:AW17" si="74">AN15*0.02</f>
        <v>50.209746399999986</v>
      </c>
      <c r="AO17" s="5">
        <f t="shared" si="74"/>
        <v>78.608020740000015</v>
      </c>
      <c r="AP17" s="5">
        <f t="shared" si="74"/>
        <v>116.00089412459999</v>
      </c>
      <c r="AQ17" s="5">
        <f t="shared" si="74"/>
        <v>156.94536119173802</v>
      </c>
      <c r="AR17" s="5">
        <f t="shared" si="74"/>
        <v>200.42769266858102</v>
      </c>
      <c r="AS17" s="5">
        <f t="shared" si="74"/>
        <v>238.58787304783786</v>
      </c>
      <c r="AT17" s="5">
        <f t="shared" si="74"/>
        <v>269.83563251523537</v>
      </c>
      <c r="AU17" s="5">
        <f t="shared" si="74"/>
        <v>300.10573961093814</v>
      </c>
      <c r="AV17" s="5">
        <f t="shared" si="74"/>
        <v>333.56115146443466</v>
      </c>
      <c r="AW17" s="5">
        <f t="shared" si="74"/>
        <v>370.53597428104376</v>
      </c>
    </row>
    <row r="18" spans="2:166" s="1" customFormat="1" x14ac:dyDescent="0.3">
      <c r="B18" s="1" t="s">
        <v>31</v>
      </c>
      <c r="C18" s="11">
        <f>C15-C16</f>
        <v>-131</v>
      </c>
      <c r="D18" s="11">
        <f>D15-D16</f>
        <v>-149.30000000000004</v>
      </c>
      <c r="E18" s="8">
        <f>E15-E16</f>
        <v>-140</v>
      </c>
      <c r="F18" s="8">
        <f>F15-F16</f>
        <v>-159.29999999999995</v>
      </c>
      <c r="G18" s="8">
        <f t="shared" ref="G18" si="75">G15-G16</f>
        <v>-54.400000000000006</v>
      </c>
      <c r="H18" s="11">
        <f>H15-H16</f>
        <v>-110.39999999999996</v>
      </c>
      <c r="I18" s="8">
        <f>I15-I16</f>
        <v>-853.30000000000007</v>
      </c>
      <c r="J18" s="8">
        <f>J15-J16</f>
        <v>-148.20000000000002</v>
      </c>
      <c r="K18" s="8">
        <f t="shared" ref="K18:M18" si="76">K15-K16</f>
        <v>-123.49999999999996</v>
      </c>
      <c r="L18" s="8">
        <f t="shared" si="76"/>
        <v>-142.79999999999993</v>
      </c>
      <c r="M18" s="8">
        <f t="shared" si="76"/>
        <v>-101.99999999999997</v>
      </c>
      <c r="N18" s="8">
        <f t="shared" ref="N18:O18" si="77">N15-N16</f>
        <v>-156.20000000000005</v>
      </c>
      <c r="O18" s="8">
        <f t="shared" si="77"/>
        <v>-101.39999999999998</v>
      </c>
      <c r="P18" s="8">
        <f t="shared" ref="P18:Q18" si="78">P15-P16</f>
        <v>-179.4</v>
      </c>
      <c r="Q18" s="8">
        <f t="shared" si="78"/>
        <v>-123.90000000000003</v>
      </c>
      <c r="R18" s="8">
        <f t="shared" ref="R18" si="79">R15-R16</f>
        <v>33.499999999999993</v>
      </c>
      <c r="S18" s="8">
        <f t="shared" ref="S18" si="80">S15-S16</f>
        <v>19.300000000000043</v>
      </c>
      <c r="T18" s="8">
        <f t="shared" ref="T18:U18" si="81">T15-T16</f>
        <v>27.90000000000002</v>
      </c>
      <c r="U18" s="8">
        <f t="shared" si="81"/>
        <v>73.600000000000065</v>
      </c>
      <c r="V18" s="8">
        <f t="shared" ref="V18" si="82">V15-V16</f>
        <v>96.899999999999963</v>
      </c>
      <c r="W18" s="8">
        <f t="shared" ref="W18:X18" si="83">W15-W16</f>
        <v>106.00000000000001</v>
      </c>
      <c r="X18" s="8">
        <f t="shared" si="83"/>
        <v>135.49999999999997</v>
      </c>
      <c r="Y18" s="8">
        <f>Y15-Y16-Y17</f>
        <v>143.49999999999994</v>
      </c>
      <c r="Z18" s="8">
        <f t="shared" ref="Z18:AD18" si="84">Z15-Z16-Z17</f>
        <v>79.100000000000023</v>
      </c>
      <c r="AA18" s="8">
        <f t="shared" si="84"/>
        <v>213.99999999999994</v>
      </c>
      <c r="AB18" s="8">
        <f t="shared" si="84"/>
        <v>326.90000000000009</v>
      </c>
      <c r="AC18" s="8">
        <f t="shared" si="84"/>
        <v>475.69999999999993</v>
      </c>
      <c r="AD18" s="8">
        <f t="shared" si="84"/>
        <v>318.75635000000017</v>
      </c>
      <c r="AF18" s="8">
        <f>AF15-AF16</f>
        <v>-580</v>
      </c>
      <c r="AG18" s="8">
        <f>AG15-AG16</f>
        <v>-579.69999999999982</v>
      </c>
      <c r="AH18" s="8">
        <f>AH15-AH16</f>
        <v>-1166.3000000000002</v>
      </c>
      <c r="AI18" s="8">
        <f t="shared" ref="AI18" si="85">AI15-AI16</f>
        <v>-524.49999999999977</v>
      </c>
      <c r="AJ18" s="8">
        <f t="shared" ref="AJ18" si="86">AJ15-AJ16</f>
        <v>-371.19999999999987</v>
      </c>
      <c r="AK18" s="8">
        <f t="shared" ref="AK18" si="87">AK15-AK16</f>
        <v>217.7000000000001</v>
      </c>
      <c r="AL18" s="8">
        <f t="shared" ref="AL18:AW18" si="88">AL15-AL16-AL17</f>
        <v>464.10000000000019</v>
      </c>
      <c r="AM18" s="8">
        <f t="shared" si="88"/>
        <v>1335.3563499999998</v>
      </c>
      <c r="AN18" s="8">
        <f t="shared" si="88"/>
        <v>2209.2288415999997</v>
      </c>
      <c r="AO18" s="8">
        <f t="shared" si="88"/>
        <v>3458.7529125600004</v>
      </c>
      <c r="AP18" s="8">
        <f t="shared" si="88"/>
        <v>5104.0393414824002</v>
      </c>
      <c r="AQ18" s="8">
        <f t="shared" si="88"/>
        <v>6905.5958924364722</v>
      </c>
      <c r="AR18" s="8">
        <f t="shared" si="88"/>
        <v>8317.7492457461103</v>
      </c>
      <c r="AS18" s="8">
        <f t="shared" si="88"/>
        <v>9901.3967314852707</v>
      </c>
      <c r="AT18" s="8">
        <f t="shared" si="88"/>
        <v>11198.178749382267</v>
      </c>
      <c r="AU18" s="8">
        <f t="shared" si="88"/>
        <v>12454.388193853934</v>
      </c>
      <c r="AV18" s="8">
        <f t="shared" si="88"/>
        <v>13842.787785774039</v>
      </c>
      <c r="AW18" s="8">
        <f t="shared" si="88"/>
        <v>15377.242932663316</v>
      </c>
      <c r="AX18" s="1">
        <f t="shared" ref="AX18:CC18" si="89">AW18*(1+$AZ$25)</f>
        <v>15223.470503336683</v>
      </c>
      <c r="AY18" s="1">
        <f t="shared" si="89"/>
        <v>15071.235798303316</v>
      </c>
      <c r="AZ18" s="1">
        <f t="shared" si="89"/>
        <v>14920.523440320283</v>
      </c>
      <c r="BA18" s="1">
        <f t="shared" si="89"/>
        <v>14771.318205917079</v>
      </c>
      <c r="BB18" s="1">
        <f t="shared" si="89"/>
        <v>14623.605023857908</v>
      </c>
      <c r="BC18" s="1">
        <f t="shared" si="89"/>
        <v>14477.368973619328</v>
      </c>
      <c r="BD18" s="1">
        <f t="shared" si="89"/>
        <v>14332.595283883134</v>
      </c>
      <c r="BE18" s="1">
        <f t="shared" si="89"/>
        <v>14189.269331044303</v>
      </c>
      <c r="BF18" s="1">
        <f t="shared" si="89"/>
        <v>14047.37663773386</v>
      </c>
      <c r="BG18" s="1">
        <f t="shared" si="89"/>
        <v>13906.90287135652</v>
      </c>
      <c r="BH18" s="1">
        <f t="shared" si="89"/>
        <v>13767.833842642955</v>
      </c>
      <c r="BI18" s="1">
        <f t="shared" si="89"/>
        <v>13630.155504216526</v>
      </c>
      <c r="BJ18" s="1">
        <f t="shared" si="89"/>
        <v>13493.85394917436</v>
      </c>
      <c r="BK18" s="1">
        <f t="shared" si="89"/>
        <v>13358.915409682615</v>
      </c>
      <c r="BL18" s="1">
        <f t="shared" si="89"/>
        <v>13225.326255585789</v>
      </c>
      <c r="BM18" s="1">
        <f t="shared" si="89"/>
        <v>13093.072993029931</v>
      </c>
      <c r="BN18" s="1">
        <f t="shared" si="89"/>
        <v>12962.142263099631</v>
      </c>
      <c r="BO18" s="1">
        <f t="shared" si="89"/>
        <v>12832.520840468635</v>
      </c>
      <c r="BP18" s="1">
        <f t="shared" si="89"/>
        <v>12704.195632063947</v>
      </c>
      <c r="BQ18" s="1">
        <f t="shared" si="89"/>
        <v>12577.153675743308</v>
      </c>
      <c r="BR18" s="1">
        <f t="shared" si="89"/>
        <v>12451.382138985875</v>
      </c>
      <c r="BS18" s="1">
        <f t="shared" si="89"/>
        <v>12326.868317596016</v>
      </c>
      <c r="BT18" s="1">
        <f t="shared" si="89"/>
        <v>12203.599634420056</v>
      </c>
      <c r="BU18" s="1">
        <f t="shared" si="89"/>
        <v>12081.563638075855</v>
      </c>
      <c r="BV18" s="1">
        <f t="shared" si="89"/>
        <v>11960.748001695096</v>
      </c>
      <c r="BW18" s="1">
        <f t="shared" si="89"/>
        <v>11841.140521678144</v>
      </c>
      <c r="BX18" s="1">
        <f t="shared" si="89"/>
        <v>11722.729116461362</v>
      </c>
      <c r="BY18" s="1">
        <f t="shared" si="89"/>
        <v>11605.501825296747</v>
      </c>
      <c r="BZ18" s="1">
        <f t="shared" si="89"/>
        <v>11489.44680704378</v>
      </c>
      <c r="CA18" s="1">
        <f t="shared" si="89"/>
        <v>11374.552338973343</v>
      </c>
      <c r="CB18" s="1">
        <f t="shared" si="89"/>
        <v>11260.80681558361</v>
      </c>
      <c r="CC18" s="1">
        <f t="shared" si="89"/>
        <v>11148.198747427774</v>
      </c>
      <c r="CD18" s="1">
        <f t="shared" ref="CD18:DI18" si="90">CC18*(1+$AZ$25)</f>
        <v>11036.716759953497</v>
      </c>
      <c r="CE18" s="1">
        <f t="shared" si="90"/>
        <v>10926.349592353961</v>
      </c>
      <c r="CF18" s="1">
        <f t="shared" si="90"/>
        <v>10817.086096430421</v>
      </c>
      <c r="CG18" s="1">
        <f t="shared" si="90"/>
        <v>10708.915235466116</v>
      </c>
      <c r="CH18" s="1">
        <f t="shared" si="90"/>
        <v>10601.826083111455</v>
      </c>
      <c r="CI18" s="1">
        <f t="shared" si="90"/>
        <v>10495.80782228034</v>
      </c>
      <c r="CJ18" s="1">
        <f t="shared" si="90"/>
        <v>10390.849744057536</v>
      </c>
      <c r="CK18" s="1">
        <f t="shared" si="90"/>
        <v>10286.94124661696</v>
      </c>
      <c r="CL18" s="1">
        <f t="shared" si="90"/>
        <v>10184.071834150791</v>
      </c>
      <c r="CM18" s="1">
        <f t="shared" si="90"/>
        <v>10082.231115809283</v>
      </c>
      <c r="CN18" s="1">
        <f t="shared" si="90"/>
        <v>9981.4088046511897</v>
      </c>
      <c r="CO18" s="1">
        <f t="shared" si="90"/>
        <v>9881.5947166046772</v>
      </c>
      <c r="CP18" s="1">
        <f t="shared" si="90"/>
        <v>9782.7787694386298</v>
      </c>
      <c r="CQ18" s="1">
        <f t="shared" si="90"/>
        <v>9684.9509817442431</v>
      </c>
      <c r="CR18" s="1">
        <f t="shared" si="90"/>
        <v>9588.1014719268005</v>
      </c>
      <c r="CS18" s="1">
        <f t="shared" si="90"/>
        <v>9492.2204572075316</v>
      </c>
      <c r="CT18" s="1">
        <f t="shared" si="90"/>
        <v>9397.2982526354554</v>
      </c>
      <c r="CU18" s="1">
        <f t="shared" si="90"/>
        <v>9303.3252701091005</v>
      </c>
      <c r="CV18" s="1">
        <f t="shared" si="90"/>
        <v>9210.29201740801</v>
      </c>
      <c r="CW18" s="1">
        <f t="shared" si="90"/>
        <v>9118.1890972339297</v>
      </c>
      <c r="CX18" s="1">
        <f t="shared" si="90"/>
        <v>9027.0072062615909</v>
      </c>
      <c r="CY18" s="1">
        <f t="shared" si="90"/>
        <v>8936.7371341989747</v>
      </c>
      <c r="CZ18" s="1">
        <f t="shared" si="90"/>
        <v>8847.3697628569844</v>
      </c>
      <c r="DA18" s="1">
        <f t="shared" si="90"/>
        <v>8758.896065228415</v>
      </c>
      <c r="DB18" s="1">
        <f t="shared" si="90"/>
        <v>8671.3071045761299</v>
      </c>
      <c r="DC18" s="1">
        <f t="shared" si="90"/>
        <v>8584.5940335303676</v>
      </c>
      <c r="DD18" s="1">
        <f t="shared" si="90"/>
        <v>8498.7480931950631</v>
      </c>
      <c r="DE18" s="1">
        <f t="shared" si="90"/>
        <v>8413.7606122631132</v>
      </c>
      <c r="DF18" s="1">
        <f t="shared" si="90"/>
        <v>8329.6230061404822</v>
      </c>
      <c r="DG18" s="1">
        <f t="shared" si="90"/>
        <v>8246.3267760790768</v>
      </c>
      <c r="DH18" s="1">
        <f t="shared" si="90"/>
        <v>8163.8635083182862</v>
      </c>
      <c r="DI18" s="1">
        <f t="shared" si="90"/>
        <v>8082.2248732351036</v>
      </c>
      <c r="DJ18" s="1">
        <f t="shared" ref="DJ18:EO18" si="91">DI18*(1+$AZ$25)</f>
        <v>8001.4026245027526</v>
      </c>
      <c r="DK18" s="1">
        <f t="shared" si="91"/>
        <v>7921.3885982577249</v>
      </c>
      <c r="DL18" s="1">
        <f t="shared" si="91"/>
        <v>7842.1747122751476</v>
      </c>
      <c r="DM18" s="1">
        <f t="shared" si="91"/>
        <v>7763.7529651523964</v>
      </c>
      <c r="DN18" s="1">
        <f t="shared" si="91"/>
        <v>7686.1154355008721</v>
      </c>
      <c r="DO18" s="1">
        <f t="shared" si="91"/>
        <v>7609.2542811458634</v>
      </c>
      <c r="DP18" s="1">
        <f t="shared" si="91"/>
        <v>7533.1617383344046</v>
      </c>
      <c r="DQ18" s="1">
        <f t="shared" si="91"/>
        <v>7457.8301209510601</v>
      </c>
      <c r="DR18" s="1">
        <f t="shared" si="91"/>
        <v>7383.2518197415493</v>
      </c>
      <c r="DS18" s="1">
        <f t="shared" si="91"/>
        <v>7309.4193015441333</v>
      </c>
      <c r="DT18" s="1">
        <f t="shared" si="91"/>
        <v>7236.325108528692</v>
      </c>
      <c r="DU18" s="1">
        <f t="shared" si="91"/>
        <v>7163.9618574434053</v>
      </c>
      <c r="DV18" s="1">
        <f t="shared" si="91"/>
        <v>7092.322238868971</v>
      </c>
      <c r="DW18" s="1">
        <f t="shared" si="91"/>
        <v>7021.3990164802808</v>
      </c>
      <c r="DX18" s="1">
        <f t="shared" si="91"/>
        <v>6951.1850263154784</v>
      </c>
      <c r="DY18" s="1">
        <f t="shared" si="91"/>
        <v>6881.6731760523235</v>
      </c>
      <c r="DZ18" s="1">
        <f t="shared" si="91"/>
        <v>6812.8564442918005</v>
      </c>
      <c r="EA18" s="1">
        <f t="shared" si="91"/>
        <v>6744.7278798488824</v>
      </c>
      <c r="EB18" s="1">
        <f t="shared" si="91"/>
        <v>6677.2806010503937</v>
      </c>
      <c r="EC18" s="1">
        <f t="shared" si="91"/>
        <v>6610.50779503989</v>
      </c>
      <c r="ED18" s="1">
        <f t="shared" si="91"/>
        <v>6544.4027170894906</v>
      </c>
      <c r="EE18" s="1">
        <f t="shared" si="91"/>
        <v>6478.9586899185961</v>
      </c>
      <c r="EF18" s="1">
        <f t="shared" si="91"/>
        <v>6414.1691030194097</v>
      </c>
      <c r="EG18" s="1">
        <f t="shared" si="91"/>
        <v>6350.0274119892156</v>
      </c>
      <c r="EH18" s="1">
        <f t="shared" si="91"/>
        <v>6286.5271378693233</v>
      </c>
      <c r="EI18" s="1">
        <f t="shared" si="91"/>
        <v>6223.66186649063</v>
      </c>
      <c r="EJ18" s="1">
        <f t="shared" si="91"/>
        <v>6161.425247825724</v>
      </c>
      <c r="EK18" s="1">
        <f t="shared" si="91"/>
        <v>6099.8109953474668</v>
      </c>
      <c r="EL18" s="1">
        <f t="shared" si="91"/>
        <v>6038.8128853939925</v>
      </c>
      <c r="EM18" s="1">
        <f t="shared" si="91"/>
        <v>5978.4247565400528</v>
      </c>
      <c r="EN18" s="1">
        <f t="shared" si="91"/>
        <v>5918.6405089746522</v>
      </c>
      <c r="EO18" s="1">
        <f t="shared" si="91"/>
        <v>5859.4541038849056</v>
      </c>
      <c r="EP18" s="1">
        <f t="shared" ref="EP18:FJ18" si="92">EO18*(1+$AZ$25)</f>
        <v>5800.8595628460562</v>
      </c>
      <c r="EQ18" s="1">
        <f t="shared" si="92"/>
        <v>5742.850967217596</v>
      </c>
      <c r="ER18" s="1">
        <f t="shared" si="92"/>
        <v>5685.42245754542</v>
      </c>
      <c r="ES18" s="1">
        <f t="shared" si="92"/>
        <v>5628.5682329699657</v>
      </c>
      <c r="ET18" s="1">
        <f t="shared" si="92"/>
        <v>5572.282550640266</v>
      </c>
      <c r="EU18" s="1">
        <f t="shared" si="92"/>
        <v>5516.5597251338631</v>
      </c>
      <c r="EV18" s="1">
        <f t="shared" si="92"/>
        <v>5461.3941278825241</v>
      </c>
      <c r="EW18" s="1">
        <f t="shared" si="92"/>
        <v>5406.7801866036989</v>
      </c>
      <c r="EX18" s="1">
        <f t="shared" si="92"/>
        <v>5352.7123847376615</v>
      </c>
      <c r="EY18" s="1">
        <f t="shared" si="92"/>
        <v>5299.1852608902846</v>
      </c>
      <c r="EZ18" s="1">
        <f t="shared" si="92"/>
        <v>5246.1934082813814</v>
      </c>
      <c r="FA18" s="1">
        <f t="shared" si="92"/>
        <v>5193.7314741985674</v>
      </c>
      <c r="FB18" s="1">
        <f t="shared" si="92"/>
        <v>5141.7941594565818</v>
      </c>
      <c r="FC18" s="1">
        <f t="shared" si="92"/>
        <v>5090.3762178620163</v>
      </c>
      <c r="FD18" s="1">
        <f t="shared" si="92"/>
        <v>5039.4724556833962</v>
      </c>
      <c r="FE18" s="1">
        <f t="shared" si="92"/>
        <v>4989.077731126562</v>
      </c>
      <c r="FF18" s="1">
        <f t="shared" si="92"/>
        <v>4939.186953815296</v>
      </c>
      <c r="FG18" s="1">
        <f t="shared" si="92"/>
        <v>4889.7950842771434</v>
      </c>
      <c r="FH18" s="1">
        <f t="shared" si="92"/>
        <v>4840.8971334343723</v>
      </c>
      <c r="FI18" s="1">
        <f t="shared" si="92"/>
        <v>4792.4881621000286</v>
      </c>
      <c r="FJ18" s="1">
        <f t="shared" si="92"/>
        <v>4744.5632804790284</v>
      </c>
    </row>
    <row r="19" spans="2:166" x14ac:dyDescent="0.3">
      <c r="B19" t="s">
        <v>2</v>
      </c>
      <c r="C19" s="12">
        <v>1742</v>
      </c>
      <c r="D19" s="12">
        <v>1742</v>
      </c>
      <c r="E19" s="5">
        <v>1742</v>
      </c>
      <c r="F19" s="5">
        <v>1742</v>
      </c>
      <c r="G19" s="5">
        <v>1821.2</v>
      </c>
      <c r="H19" s="12">
        <v>1742</v>
      </c>
      <c r="I19" s="5">
        <v>1742</v>
      </c>
      <c r="J19" s="5">
        <v>1742</v>
      </c>
      <c r="K19" s="5">
        <v>1821.2</v>
      </c>
      <c r="L19" s="5">
        <v>1821.2</v>
      </c>
      <c r="M19" s="5">
        <v>1821.2</v>
      </c>
      <c r="N19" s="5">
        <v>1821.2</v>
      </c>
      <c r="O19" s="5">
        <v>1821.2</v>
      </c>
      <c r="P19" s="5">
        <v>1821.2</v>
      </c>
      <c r="Q19" s="5">
        <v>1821.2</v>
      </c>
      <c r="R19" s="5">
        <v>1821.2</v>
      </c>
      <c r="S19" s="5">
        <v>1821.2</v>
      </c>
      <c r="T19" s="5">
        <v>1821.2</v>
      </c>
      <c r="U19" s="5">
        <v>1821.2</v>
      </c>
      <c r="V19" s="5">
        <v>1821.2</v>
      </c>
      <c r="W19" s="5">
        <v>1821.2</v>
      </c>
      <c r="X19" s="5">
        <f>2142.3+96.1+1</f>
        <v>2239.4</v>
      </c>
      <c r="Y19" s="5">
        <f>2180.7+96.4+1</f>
        <v>2278.1</v>
      </c>
      <c r="Z19" s="5">
        <f>2249+95.4+1</f>
        <v>2345.4</v>
      </c>
      <c r="AA19" s="5">
        <f>2348.7</f>
        <v>2348.6999999999998</v>
      </c>
      <c r="AB19" s="5">
        <f>2365.2</f>
        <v>2365.1999999999998</v>
      </c>
      <c r="AC19" s="5">
        <f>2377.2</f>
        <v>2377.1999999999998</v>
      </c>
      <c r="AD19" s="5">
        <f>2377.2</f>
        <v>2377.1999999999998</v>
      </c>
      <c r="AF19" s="5">
        <v>1742</v>
      </c>
      <c r="AG19" s="5">
        <v>1742</v>
      </c>
      <c r="AH19" s="5">
        <v>1742</v>
      </c>
      <c r="AI19" s="5">
        <v>1821.2</v>
      </c>
      <c r="AJ19" s="5">
        <v>1821.2</v>
      </c>
      <c r="AK19" s="5">
        <v>1821.2</v>
      </c>
      <c r="AL19" s="5">
        <f t="shared" ref="AL19" si="93">2249+95.4+1</f>
        <v>2345.4</v>
      </c>
      <c r="AM19" s="5">
        <f>2377.2</f>
        <v>2377.1999999999998</v>
      </c>
      <c r="AN19" s="5">
        <f>2377.2</f>
        <v>2377.1999999999998</v>
      </c>
      <c r="AO19" s="5">
        <f>2377.2</f>
        <v>2377.1999999999998</v>
      </c>
      <c r="AP19" s="5">
        <f>2377.2</f>
        <v>2377.1999999999998</v>
      </c>
      <c r="AQ19" s="5">
        <f>2377.2</f>
        <v>2377.1999999999998</v>
      </c>
      <c r="AR19" s="5">
        <f>2377.2</f>
        <v>2377.1999999999998</v>
      </c>
      <c r="AS19" s="5">
        <f>2377.2</f>
        <v>2377.1999999999998</v>
      </c>
      <c r="AT19" s="5">
        <f>2377.2</f>
        <v>2377.1999999999998</v>
      </c>
      <c r="AU19" s="5">
        <f>2377.2</f>
        <v>2377.1999999999998</v>
      </c>
      <c r="AV19" s="5">
        <f>2377.2</f>
        <v>2377.1999999999998</v>
      </c>
      <c r="AW19" s="5">
        <f>2377.2</f>
        <v>2377.1999999999998</v>
      </c>
    </row>
    <row r="20" spans="2:166" s="1" customFormat="1" x14ac:dyDescent="0.3">
      <c r="B20" s="1" t="s">
        <v>32</v>
      </c>
      <c r="C20" s="13">
        <f>C18/C19</f>
        <v>-7.520091848450057E-2</v>
      </c>
      <c r="D20" s="13">
        <f>D18/D19</f>
        <v>-8.5706084959816325E-2</v>
      </c>
      <c r="E20" s="7">
        <f>E18/E19</f>
        <v>-8.0367393800229628E-2</v>
      </c>
      <c r="F20" s="7">
        <f>F18/F19</f>
        <v>-9.1446613088404113E-2</v>
      </c>
      <c r="G20" s="7">
        <f t="shared" ref="G20" si="94">G18/G19</f>
        <v>-2.9870415110915882E-2</v>
      </c>
      <c r="H20" s="13">
        <f>H18/H19</f>
        <v>-6.3375430539609617E-2</v>
      </c>
      <c r="I20" s="7">
        <f>I18/I19</f>
        <v>-0.48983926521239957</v>
      </c>
      <c r="J20" s="7">
        <f>J18/J19</f>
        <v>-8.5074626865671646E-2</v>
      </c>
      <c r="K20" s="7">
        <f t="shared" ref="K20:M20" si="95">K18/K19</f>
        <v>-6.7812431363935846E-2</v>
      </c>
      <c r="L20" s="7">
        <f t="shared" si="95"/>
        <v>-7.8409839666154141E-2</v>
      </c>
      <c r="M20" s="7">
        <f t="shared" si="95"/>
        <v>-5.6007028332967258E-2</v>
      </c>
      <c r="N20" s="7">
        <f t="shared" ref="N20:O20" si="96">N18/N19</f>
        <v>-8.5767625741269518E-2</v>
      </c>
      <c r="O20" s="7">
        <f t="shared" si="96"/>
        <v>-5.5677575225126279E-2</v>
      </c>
      <c r="P20" s="7">
        <f t="shared" ref="P20:Q20" si="97">P18/P19</f>
        <v>-9.8506479244454201E-2</v>
      </c>
      <c r="Q20" s="7">
        <f t="shared" si="97"/>
        <v>-6.8032066769163207E-2</v>
      </c>
      <c r="R20" s="7">
        <f t="shared" ref="R20" si="98">R18/R19</f>
        <v>1.8394465187788266E-2</v>
      </c>
      <c r="S20" s="7">
        <f t="shared" ref="S20" si="99">S18/S19</f>
        <v>1.0597408302218341E-2</v>
      </c>
      <c r="T20" s="7">
        <f t="shared" ref="T20:U20" si="100">T18/T19</f>
        <v>1.5319569514605764E-2</v>
      </c>
      <c r="U20" s="7">
        <f t="shared" si="100"/>
        <v>4.0412914561827398E-2</v>
      </c>
      <c r="V20" s="7">
        <f t="shared" ref="V20" si="101">V18/V19</f>
        <v>5.320667691631889E-2</v>
      </c>
      <c r="W20" s="7">
        <f t="shared" ref="W20:X20" si="102">W18/W19</f>
        <v>5.8203382385240504E-2</v>
      </c>
      <c r="X20" s="7">
        <f t="shared" si="102"/>
        <v>6.0507278735375529E-2</v>
      </c>
      <c r="Y20" s="7">
        <f t="shared" ref="Y20:Z20" si="103">Y18/Y19</f>
        <v>6.2991089065449257E-2</v>
      </c>
      <c r="Z20" s="7">
        <f t="shared" si="103"/>
        <v>3.3725590517608948E-2</v>
      </c>
      <c r="AA20" s="7">
        <f t="shared" ref="AA20:AD20" si="104">AA18/AA19</f>
        <v>9.1114233405713785E-2</v>
      </c>
      <c r="AB20" s="7">
        <f t="shared" si="104"/>
        <v>0.13821241332656864</v>
      </c>
      <c r="AC20" s="7">
        <f t="shared" si="104"/>
        <v>0.20010937237085646</v>
      </c>
      <c r="AD20" s="7">
        <f t="shared" si="104"/>
        <v>0.1340889912502104</v>
      </c>
      <c r="AF20" s="7">
        <f>AF18/AF19</f>
        <v>-0.33295063145809417</v>
      </c>
      <c r="AG20" s="7">
        <f>AG18/AG19</f>
        <v>-0.33277841561423638</v>
      </c>
      <c r="AH20" s="7">
        <f>AH18/AH19</f>
        <v>-0.66951779563719871</v>
      </c>
      <c r="AI20" s="7">
        <f t="shared" ref="AI20" si="105">AI18/AI19</f>
        <v>-0.28799692510432667</v>
      </c>
      <c r="AJ20" s="7">
        <f t="shared" ref="AJ20" si="106">AJ18/AJ19</f>
        <v>-0.20382165605095534</v>
      </c>
      <c r="AK20" s="7">
        <f t="shared" ref="AK20" si="107">AK18/AK19</f>
        <v>0.1195365692949704</v>
      </c>
      <c r="AL20" s="7">
        <f t="shared" ref="AL20" si="108">AL18/AL19</f>
        <v>0.19787669480685605</v>
      </c>
      <c r="AM20" s="7">
        <f t="shared" ref="AM20" si="109">AM18/AM19</f>
        <v>0.56173496129900724</v>
      </c>
      <c r="AN20" s="7">
        <f t="shared" ref="AN20" si="110">AN18/AN19</f>
        <v>0.92934075450109366</v>
      </c>
      <c r="AO20" s="7">
        <f t="shared" ref="AO20" si="111">AO18/AO19</f>
        <v>1.4549692548207978</v>
      </c>
      <c r="AP20" s="7">
        <f t="shared" ref="AP20" si="112">AP18/AP19</f>
        <v>2.1470803220100962</v>
      </c>
      <c r="AQ20" s="7">
        <f t="shared" ref="AQ20" si="113">AQ18/AQ19</f>
        <v>2.9049284420479862</v>
      </c>
      <c r="AR20" s="7">
        <f t="shared" ref="AR20:AS20" si="114">AR18/AR19</f>
        <v>3.4989690584494828</v>
      </c>
      <c r="AS20" s="7">
        <f t="shared" si="114"/>
        <v>4.1651509050501732</v>
      </c>
      <c r="AT20" s="7">
        <f t="shared" ref="AT20:AW20" si="115">AT18/AT19</f>
        <v>4.7106590734402944</v>
      </c>
      <c r="AU20" s="7">
        <f t="shared" si="115"/>
        <v>5.2390998628024299</v>
      </c>
      <c r="AV20" s="7">
        <f t="shared" si="115"/>
        <v>5.8231481515118793</v>
      </c>
      <c r="AW20" s="7">
        <f t="shared" si="115"/>
        <v>6.4686366030049287</v>
      </c>
    </row>
    <row r="21" spans="2:166" x14ac:dyDescent="0.3">
      <c r="D21" s="14"/>
      <c r="H21" s="14"/>
    </row>
    <row r="22" spans="2:166" x14ac:dyDescent="0.3">
      <c r="B22" s="1" t="s">
        <v>34</v>
      </c>
      <c r="D22" s="14"/>
      <c r="G22" s="15">
        <f>G3/C3-1</f>
        <v>0.52866666666666684</v>
      </c>
      <c r="H22" s="15">
        <f>H3/D3-1</f>
        <v>0.45859872611464958</v>
      </c>
      <c r="I22" s="9">
        <f>I3/E3-1</f>
        <v>0.51916010498687659</v>
      </c>
      <c r="J22" s="9">
        <f t="shared" ref="J22" si="116">J3/F3-1</f>
        <v>0.40409764603313003</v>
      </c>
      <c r="K22" s="9">
        <f t="shared" ref="K22" si="117">K3/G3-1</f>
        <v>0.48800697775839508</v>
      </c>
      <c r="L22" s="9">
        <f t="shared" ref="L22" si="118">L3/H3-1</f>
        <v>0.49106788408098478</v>
      </c>
      <c r="M22" s="9">
        <f t="shared" ref="M22" si="119">M3/I3-1</f>
        <v>0.35487214927436095</v>
      </c>
      <c r="N22" s="9">
        <f t="shared" ref="N22" si="120">N3/J3-1</f>
        <v>0.34399254889785769</v>
      </c>
      <c r="O22" s="9">
        <f t="shared" ref="O22" si="121">O3/K3-1</f>
        <v>0.30832356389214532</v>
      </c>
      <c r="P22" s="9">
        <f t="shared" ref="P22" si="122">P3/L3-1</f>
        <v>0.2593184238551649</v>
      </c>
      <c r="Q22" s="9">
        <f t="shared" ref="Q22" si="123">Q3/M3-1</f>
        <v>0.21882172915072662</v>
      </c>
      <c r="R22" s="9">
        <f t="shared" ref="R22" si="124">R3/N3-1</f>
        <v>0.17486717486717507</v>
      </c>
      <c r="S22" s="9">
        <f t="shared" ref="S22" si="125">S3/O3-1</f>
        <v>0.17652329749103957</v>
      </c>
      <c r="T22" s="9">
        <f t="shared" ref="T22" si="126">T3/P3-1</f>
        <v>0.12748414376321349</v>
      </c>
      <c r="U22" s="9">
        <f t="shared" ref="U22" si="127">U3/Q3-1</f>
        <v>0.16802678384599301</v>
      </c>
      <c r="V22" s="9">
        <f t="shared" ref="V22" si="128">V3/R3-1</f>
        <v>0.19622493118364126</v>
      </c>
      <c r="W22" s="9">
        <f t="shared" ref="W22" si="129">W3/S3-1</f>
        <v>0.20773038842345759</v>
      </c>
      <c r="X22" s="9">
        <f t="shared" ref="X22" si="130">X3/T3-1</f>
        <v>0.27151696981061324</v>
      </c>
      <c r="Y22" s="9">
        <f t="shared" ref="Y22" si="131">Y3/U3-1</f>
        <v>0.29971336438552476</v>
      </c>
      <c r="Z22" s="9">
        <f t="shared" ref="Z22" si="132">Z3/V3-1</f>
        <v>0.36012491781722566</v>
      </c>
      <c r="AA22" s="9">
        <f t="shared" ref="AA22" si="133">AA3/W3-1</f>
        <v>0.39350465079615327</v>
      </c>
      <c r="AB22" s="9">
        <f t="shared" ref="AB22" si="134">AB3/X3-1</f>
        <v>0.48016516737944248</v>
      </c>
      <c r="AC22" s="9">
        <f t="shared" ref="AC22" si="135">AC3/Y3-1</f>
        <v>0.62798070296347341</v>
      </c>
      <c r="AD22" s="9">
        <f t="shared" ref="AD22" si="136">AD3/Z3-1</f>
        <v>0.60604229607250759</v>
      </c>
      <c r="AG22" s="9">
        <f>AG3/AF3-1</f>
        <v>0.24722875377897213</v>
      </c>
      <c r="AH22" s="9">
        <f>AH3/AG3-1</f>
        <v>0.47145165634257991</v>
      </c>
      <c r="AI22" s="9">
        <f t="shared" ref="AI22:AR22" si="137">AI3/AH3-1</f>
        <v>0.41100027454928201</v>
      </c>
      <c r="AJ22" s="9">
        <f t="shared" si="137"/>
        <v>0.23615254896873772</v>
      </c>
      <c r="AK22" s="9">
        <f t="shared" si="137"/>
        <v>0.1674799307413819</v>
      </c>
      <c r="AL22" s="9">
        <f t="shared" si="137"/>
        <v>0.28776234775965137</v>
      </c>
      <c r="AM22" s="9">
        <f t="shared" si="137"/>
        <v>0.53475954491519495</v>
      </c>
      <c r="AN22" s="9">
        <f t="shared" si="137"/>
        <v>0.44999999999999996</v>
      </c>
      <c r="AO22" s="9">
        <f t="shared" si="137"/>
        <v>0.35000000000000009</v>
      </c>
      <c r="AP22" s="9">
        <f t="shared" si="137"/>
        <v>0.30000000000000004</v>
      </c>
      <c r="AQ22" s="9">
        <f t="shared" si="137"/>
        <v>0.25</v>
      </c>
      <c r="AR22" s="9">
        <f t="shared" si="137"/>
        <v>0.19999999999999996</v>
      </c>
      <c r="AS22" s="9">
        <f t="shared" ref="AS22" si="138">AS3/AR3-1</f>
        <v>0.14999999999999991</v>
      </c>
      <c r="AT22" s="9">
        <f t="shared" ref="AT22" si="139">AT3/AS3-1</f>
        <v>0.10000000000000009</v>
      </c>
      <c r="AU22" s="9">
        <f t="shared" ref="AU22" si="140">AU3/AT3-1</f>
        <v>0.10000000000000009</v>
      </c>
      <c r="AV22" s="9">
        <f t="shared" ref="AV22" si="141">AV3/AU3-1</f>
        <v>0.10000000000000009</v>
      </c>
      <c r="AW22" s="9">
        <f t="shared" ref="AW22" si="142">AW3/AV3-1</f>
        <v>0.10000000000000009</v>
      </c>
    </row>
    <row r="23" spans="2:166" x14ac:dyDescent="0.3">
      <c r="B23" s="1" t="s">
        <v>35</v>
      </c>
      <c r="D23" s="15">
        <f t="shared" ref="D23:I23" si="143">D5/D3</f>
        <v>0.6734221192819918</v>
      </c>
      <c r="E23" s="9">
        <f t="shared" si="143"/>
        <v>0.65826771653543314</v>
      </c>
      <c r="F23" s="9">
        <f t="shared" si="143"/>
        <v>0.66913687881429817</v>
      </c>
      <c r="G23" s="15">
        <f t="shared" si="143"/>
        <v>0.71958133449629302</v>
      </c>
      <c r="H23" s="15">
        <f t="shared" si="143"/>
        <v>0.72846367606192941</v>
      </c>
      <c r="I23" s="9">
        <f t="shared" si="143"/>
        <v>0.48410504492052514</v>
      </c>
      <c r="J23" s="9">
        <f t="shared" ref="J23:N23" si="144">J5/J3</f>
        <v>0.78112387457311394</v>
      </c>
      <c r="K23" s="9">
        <f t="shared" si="144"/>
        <v>0.78282532239155933</v>
      </c>
      <c r="L23" s="9">
        <f t="shared" si="144"/>
        <v>0.75798722044728439</v>
      </c>
      <c r="M23" s="9">
        <f t="shared" si="144"/>
        <v>0.7786279010456516</v>
      </c>
      <c r="N23" s="9">
        <f t="shared" si="144"/>
        <v>0.79764379764379756</v>
      </c>
      <c r="O23" s="9">
        <f t="shared" ref="O23:Z23" si="145">O5/O3</f>
        <v>0.78853046594982079</v>
      </c>
      <c r="P23" s="9">
        <f t="shared" si="145"/>
        <v>0.78393234672304446</v>
      </c>
      <c r="Q23" s="9">
        <f t="shared" si="145"/>
        <v>0.77484829462230587</v>
      </c>
      <c r="R23" s="9">
        <f t="shared" si="145"/>
        <v>0.79492725127801811</v>
      </c>
      <c r="S23" s="9">
        <f t="shared" si="145"/>
        <v>0.79512566641279514</v>
      </c>
      <c r="T23" s="9">
        <f t="shared" si="145"/>
        <v>0.79954997187324206</v>
      </c>
      <c r="U23" s="9">
        <f t="shared" si="145"/>
        <v>0.80670010748835552</v>
      </c>
      <c r="V23" s="9">
        <f t="shared" si="145"/>
        <v>0.82149901380670609</v>
      </c>
      <c r="W23" s="9">
        <f t="shared" si="145"/>
        <v>0.81664827368752957</v>
      </c>
      <c r="X23" s="9">
        <f t="shared" si="145"/>
        <v>0.8103524553900604</v>
      </c>
      <c r="Y23" s="9">
        <f t="shared" si="145"/>
        <v>0.79793246037215715</v>
      </c>
      <c r="Z23" s="9">
        <f t="shared" si="145"/>
        <v>0.78912386706948645</v>
      </c>
      <c r="AA23" s="9">
        <f t="shared" ref="AA23:AD23" si="146">AA5/AA3</f>
        <v>0.80427650186672694</v>
      </c>
      <c r="AB23" s="9">
        <f t="shared" si="146"/>
        <v>0.80781109893394443</v>
      </c>
      <c r="AC23" s="9">
        <f t="shared" si="146"/>
        <v>0.82448564897129795</v>
      </c>
      <c r="AD23" s="9">
        <f t="shared" si="146"/>
        <v>0.79</v>
      </c>
      <c r="AF23" s="9">
        <f t="shared" ref="AF23:AH23" si="147">AF5/AF3</f>
        <v>0.72220356063150826</v>
      </c>
      <c r="AG23" s="9">
        <f t="shared" si="147"/>
        <v>0.67357931591704823</v>
      </c>
      <c r="AH23" s="9">
        <f t="shared" si="147"/>
        <v>0.67740459412464527</v>
      </c>
      <c r="AI23" s="9">
        <f t="shared" ref="AI23:AR23" si="148">AI5/AI3</f>
        <v>0.77986768711895182</v>
      </c>
      <c r="AJ23" s="9">
        <f t="shared" si="148"/>
        <v>0.78566556482501704</v>
      </c>
      <c r="AK23" s="9">
        <f t="shared" si="148"/>
        <v>0.80630084041166683</v>
      </c>
      <c r="AL23" s="9">
        <f t="shared" si="148"/>
        <v>0.80247085921686323</v>
      </c>
      <c r="AM23" s="9">
        <f t="shared" si="148"/>
        <v>0.80619642085635668</v>
      </c>
      <c r="AN23" s="9">
        <f t="shared" si="148"/>
        <v>0.80999999999999994</v>
      </c>
      <c r="AO23" s="9">
        <f t="shared" si="148"/>
        <v>0.81</v>
      </c>
      <c r="AP23" s="9">
        <f t="shared" si="148"/>
        <v>0.80999999999999994</v>
      </c>
      <c r="AQ23" s="9">
        <f t="shared" si="148"/>
        <v>0.81</v>
      </c>
      <c r="AR23" s="9">
        <f t="shared" si="148"/>
        <v>0.81</v>
      </c>
      <c r="AS23" s="9">
        <f t="shared" ref="AS23:AW23" si="149">AS5/AS3</f>
        <v>0.81</v>
      </c>
      <c r="AT23" s="9">
        <f t="shared" si="149"/>
        <v>0.81</v>
      </c>
      <c r="AU23" s="9">
        <f t="shared" si="149"/>
        <v>0.81</v>
      </c>
      <c r="AV23" s="9">
        <f t="shared" si="149"/>
        <v>0.81</v>
      </c>
      <c r="AW23" s="9">
        <f t="shared" si="149"/>
        <v>0.81</v>
      </c>
    </row>
    <row r="24" spans="2:166" x14ac:dyDescent="0.3">
      <c r="B24" t="s">
        <v>46</v>
      </c>
      <c r="D24" s="15">
        <f>D10/D3</f>
        <v>-0.87319050376375251</v>
      </c>
      <c r="E24" s="9">
        <f t="shared" ref="E24:G24" si="150">E10/E3</f>
        <v>-0.75748031496063017</v>
      </c>
      <c r="F24" s="9">
        <f t="shared" si="150"/>
        <v>-0.6425457715780295</v>
      </c>
      <c r="G24" s="15">
        <f t="shared" si="150"/>
        <v>-0.30658525948539034</v>
      </c>
      <c r="H24" s="15">
        <f t="shared" ref="H24:J24" si="151">H10/H3</f>
        <v>-0.39341008336641514</v>
      </c>
      <c r="I24" s="9">
        <f t="shared" si="151"/>
        <v>-2.9291637871458192</v>
      </c>
      <c r="J24" s="9">
        <f t="shared" si="151"/>
        <v>-0.48587395218876123</v>
      </c>
      <c r="K24" s="9">
        <f t="shared" ref="K24:N24" si="152">K10/K3</f>
        <v>-0.33440797186400928</v>
      </c>
      <c r="L24" s="9">
        <f t="shared" si="152"/>
        <v>-0.38924387646432357</v>
      </c>
      <c r="M24" s="9">
        <f t="shared" si="152"/>
        <v>-0.23437898495281809</v>
      </c>
      <c r="N24" s="9">
        <f t="shared" si="152"/>
        <v>-0.13629013629013642</v>
      </c>
      <c r="O24" s="9">
        <f t="shared" ref="O24:Z24" si="153">O10/O3</f>
        <v>-8.8261648745519672E-2</v>
      </c>
      <c r="P24" s="9">
        <f t="shared" si="153"/>
        <v>-8.837209302325584E-2</v>
      </c>
      <c r="Q24" s="9">
        <f t="shared" si="153"/>
        <v>-0.13015275162167828</v>
      </c>
      <c r="R24" s="9">
        <f t="shared" si="153"/>
        <v>-3.4998033818324836E-2</v>
      </c>
      <c r="S24" s="9">
        <f t="shared" si="153"/>
        <v>7.9969535415080825E-3</v>
      </c>
      <c r="T24" s="9">
        <f t="shared" si="153"/>
        <v>1.8938683667729276E-2</v>
      </c>
      <c r="U24" s="9">
        <f t="shared" si="153"/>
        <v>7.1658903618774722E-2</v>
      </c>
      <c r="V24" s="9">
        <f t="shared" si="153"/>
        <v>0.10815253122945423</v>
      </c>
      <c r="W24" s="9">
        <f t="shared" si="153"/>
        <v>0.12738451836670348</v>
      </c>
      <c r="X24" s="9">
        <f t="shared" si="153"/>
        <v>0.15528683085090689</v>
      </c>
      <c r="Y24" s="9">
        <f t="shared" si="153"/>
        <v>0.15589248793935212</v>
      </c>
      <c r="Z24" s="9">
        <f t="shared" si="153"/>
        <v>1.3413897280966794E-2</v>
      </c>
      <c r="AA24" s="9">
        <f t="shared" ref="AA24:AD24" si="154">AA10/AA3</f>
        <v>0.19923068220386911</v>
      </c>
      <c r="AB24" s="9">
        <f t="shared" si="154"/>
        <v>0.26840689449038563</v>
      </c>
      <c r="AC24" s="9">
        <f t="shared" si="154"/>
        <v>0.33299466598933197</v>
      </c>
      <c r="AD24" s="9">
        <f t="shared" si="154"/>
        <v>0.19555530474040642</v>
      </c>
      <c r="AF24" s="9">
        <f t="shared" ref="AF24:AR24" si="155">AF10/AF3</f>
        <v>-1.047195162915687</v>
      </c>
      <c r="AG24" s="9">
        <f t="shared" si="155"/>
        <v>-0.77619175868569867</v>
      </c>
      <c r="AH24" s="9">
        <f t="shared" si="155"/>
        <v>-1.0740367896037342</v>
      </c>
      <c r="AI24" s="9">
        <f t="shared" si="155"/>
        <v>-0.26670125826955493</v>
      </c>
      <c r="AJ24" s="9">
        <f t="shared" si="155"/>
        <v>-8.4579463770397087E-2</v>
      </c>
      <c r="AK24" s="9">
        <f t="shared" si="155"/>
        <v>5.3975102242595899E-2</v>
      </c>
      <c r="AL24" s="9">
        <f t="shared" si="155"/>
        <v>0.10829203601591407</v>
      </c>
      <c r="AM24" s="9">
        <f t="shared" si="155"/>
        <v>0.2498335493553448</v>
      </c>
      <c r="AN24" s="9">
        <f t="shared" si="155"/>
        <v>0.35183380654307533</v>
      </c>
      <c r="AO24" s="9">
        <f t="shared" si="155"/>
        <v>0.42090919835577589</v>
      </c>
      <c r="AP24" s="9">
        <f t="shared" si="155"/>
        <v>0.48672735868462069</v>
      </c>
      <c r="AQ24" s="9">
        <f t="shared" si="155"/>
        <v>0.53194334355612749</v>
      </c>
      <c r="AR24" s="9">
        <f t="shared" si="155"/>
        <v>0.56917332291850808</v>
      </c>
      <c r="AS24" s="9">
        <f t="shared" ref="AS24:AW24" si="156">AS10/AS3</f>
        <v>0.59014253452134946</v>
      </c>
      <c r="AT24" s="9">
        <f t="shared" si="156"/>
        <v>0.60627630994142057</v>
      </c>
      <c r="AU24" s="9">
        <f t="shared" si="156"/>
        <v>0.61198953070229212</v>
      </c>
      <c r="AV24" s="9">
        <f t="shared" si="156"/>
        <v>0.61731115744563003</v>
      </c>
      <c r="AW24" s="9">
        <f t="shared" si="156"/>
        <v>0.62226814800336161</v>
      </c>
    </row>
    <row r="25" spans="2:166" x14ac:dyDescent="0.3">
      <c r="B25" t="s">
        <v>36</v>
      </c>
      <c r="D25" s="15">
        <f>D6/D3</f>
        <v>0.68094962362478284</v>
      </c>
      <c r="E25" s="9">
        <f t="shared" ref="E25:G25" si="157">E6/E3</f>
        <v>0.62834645669291345</v>
      </c>
      <c r="F25" s="9">
        <f t="shared" si="157"/>
        <v>0.49215344376634701</v>
      </c>
      <c r="G25" s="15">
        <f t="shared" si="157"/>
        <v>0.43044047099869165</v>
      </c>
      <c r="H25" s="15">
        <f t="shared" ref="H25:J25" si="158">H6/H3</f>
        <v>0.40690750297737194</v>
      </c>
      <c r="I25" s="9">
        <f t="shared" si="158"/>
        <v>1.1572218382861093</v>
      </c>
      <c r="J25" s="9">
        <f t="shared" si="158"/>
        <v>0.45824278174479971</v>
      </c>
      <c r="K25" s="9">
        <f t="shared" ref="K25:N25" si="159">K6/K3</f>
        <v>0.39888628370457208</v>
      </c>
      <c r="L25" s="9">
        <f t="shared" si="159"/>
        <v>0.4323748668796592</v>
      </c>
      <c r="M25" s="9">
        <f t="shared" si="159"/>
        <v>0.39122672787554197</v>
      </c>
      <c r="N25" s="9">
        <f t="shared" si="159"/>
        <v>0.37560637560637561</v>
      </c>
      <c r="O25" s="9">
        <f t="shared" ref="O25:Z25" si="160">O6/O3</f>
        <v>0.35954301075268819</v>
      </c>
      <c r="P25" s="9">
        <f t="shared" si="160"/>
        <v>0.35708245243128967</v>
      </c>
      <c r="Q25" s="9">
        <f t="shared" si="160"/>
        <v>0.38271604938271608</v>
      </c>
      <c r="R25" s="9">
        <f t="shared" si="160"/>
        <v>0.37396775462052689</v>
      </c>
      <c r="S25" s="9">
        <f t="shared" si="160"/>
        <v>0.35624523990860618</v>
      </c>
      <c r="T25" s="9">
        <f t="shared" si="160"/>
        <v>0.34539658728670541</v>
      </c>
      <c r="U25" s="9">
        <f t="shared" si="160"/>
        <v>0.31601576495879613</v>
      </c>
      <c r="V25" s="9">
        <f t="shared" si="160"/>
        <v>0.32445759368836297</v>
      </c>
      <c r="W25" s="9">
        <f t="shared" si="160"/>
        <v>0.30458773451048399</v>
      </c>
      <c r="X25" s="9">
        <f t="shared" si="160"/>
        <v>0.29022268102049847</v>
      </c>
      <c r="Y25" s="9">
        <f t="shared" si="160"/>
        <v>0.28876636802205374</v>
      </c>
      <c r="Z25" s="9">
        <f t="shared" si="160"/>
        <v>0.34839879154078551</v>
      </c>
      <c r="AA25" s="9">
        <f t="shared" ref="AA25:AD25" si="161">AA6/AA3</f>
        <v>0.26733793415544749</v>
      </c>
      <c r="AB25" s="9">
        <f t="shared" si="161"/>
        <v>0.24290126531832221</v>
      </c>
      <c r="AC25" s="9">
        <f t="shared" si="161"/>
        <v>0.23249513165693</v>
      </c>
      <c r="AD25" s="9">
        <f t="shared" si="161"/>
        <v>0.28999999999999998</v>
      </c>
      <c r="AF25" s="9">
        <f t="shared" ref="AF25:AH25" si="162">AF6/AF3</f>
        <v>0.77561303325495468</v>
      </c>
      <c r="AG25" s="9">
        <f t="shared" si="162"/>
        <v>0.60611365472663614</v>
      </c>
      <c r="AH25" s="9">
        <f t="shared" si="162"/>
        <v>0.62569781275739</v>
      </c>
      <c r="AI25" s="9">
        <f t="shared" ref="AI25:AR25" si="163">AI6/AI3</f>
        <v>0.39856012452977035</v>
      </c>
      <c r="AJ25" s="9">
        <f t="shared" si="163"/>
        <v>0.36859226612099266</v>
      </c>
      <c r="AK25" s="9">
        <f t="shared" si="163"/>
        <v>0.33486135454586308</v>
      </c>
      <c r="AL25" s="9">
        <f t="shared" si="163"/>
        <v>0.30983457806937947</v>
      </c>
      <c r="AM25" s="9">
        <f t="shared" si="163"/>
        <v>0.25925142688223396</v>
      </c>
      <c r="AN25" s="9">
        <f t="shared" si="163"/>
        <v>0.23000000000000004</v>
      </c>
      <c r="AO25" s="9">
        <f t="shared" si="163"/>
        <v>0.21</v>
      </c>
      <c r="AP25" s="9">
        <f t="shared" si="163"/>
        <v>0.18</v>
      </c>
      <c r="AQ25" s="9">
        <f t="shared" si="163"/>
        <v>0.16</v>
      </c>
      <c r="AR25" s="9">
        <f t="shared" si="163"/>
        <v>0.14000000000000001</v>
      </c>
      <c r="AS25" s="9">
        <f t="shared" ref="AS25:AW25" si="164">AS6/AS3</f>
        <v>0.13</v>
      </c>
      <c r="AT25" s="9">
        <f t="shared" si="164"/>
        <v>0.12</v>
      </c>
      <c r="AU25" s="9">
        <f t="shared" si="164"/>
        <v>0.12000000000000001</v>
      </c>
      <c r="AV25" s="9">
        <f t="shared" si="164"/>
        <v>0.12</v>
      </c>
      <c r="AW25" s="9">
        <f t="shared" si="164"/>
        <v>0.12</v>
      </c>
      <c r="AY25" t="s">
        <v>37</v>
      </c>
      <c r="AZ25" s="9">
        <v>-0.01</v>
      </c>
    </row>
    <row r="26" spans="2:166" x14ac:dyDescent="0.3">
      <c r="B26" t="s">
        <v>48</v>
      </c>
      <c r="D26" s="15"/>
      <c r="E26" s="9"/>
      <c r="F26" s="9"/>
      <c r="G26" s="15">
        <f t="shared" ref="G26:J26" si="165">G7/C7-1</f>
        <v>-0.13421052631578956</v>
      </c>
      <c r="H26" s="15">
        <f t="shared" si="165"/>
        <v>0.11568123393316165</v>
      </c>
      <c r="I26" s="9">
        <f t="shared" si="165"/>
        <v>3.1357048748353087</v>
      </c>
      <c r="J26" s="9">
        <f t="shared" si="165"/>
        <v>0.24142480211081785</v>
      </c>
      <c r="K26" s="9">
        <f t="shared" ref="K26:Z27" si="166">K7/G7-1</f>
        <v>0.49696048632218859</v>
      </c>
      <c r="L26" s="9">
        <f t="shared" si="166"/>
        <v>0.27304147465437789</v>
      </c>
      <c r="M26" s="9">
        <f t="shared" si="166"/>
        <v>-0.69958585536795148</v>
      </c>
      <c r="N26" s="9">
        <f t="shared" si="166"/>
        <v>-0.10520722635494151</v>
      </c>
      <c r="O26" s="9">
        <f t="shared" si="166"/>
        <v>-0.10050761421319798</v>
      </c>
      <c r="P26" s="9">
        <f t="shared" si="166"/>
        <v>-0.20180995475113117</v>
      </c>
      <c r="Q26" s="9">
        <f t="shared" si="166"/>
        <v>6.9989395546129485E-2</v>
      </c>
      <c r="R26" s="9">
        <f t="shared" si="166"/>
        <v>-2.6128266033254244E-2</v>
      </c>
      <c r="S26" s="9">
        <f t="shared" si="166"/>
        <v>1.6930022573363512E-2</v>
      </c>
      <c r="T26" s="9">
        <f t="shared" si="166"/>
        <v>0.1281179138321995</v>
      </c>
      <c r="U26" s="9">
        <f t="shared" si="166"/>
        <v>4.7571853320118818E-2</v>
      </c>
      <c r="V26" s="9">
        <f t="shared" si="166"/>
        <v>0.33292682926829276</v>
      </c>
      <c r="W26" s="9">
        <f t="shared" si="166"/>
        <v>0.22086570477247514</v>
      </c>
      <c r="X26" s="9">
        <f t="shared" si="166"/>
        <v>9.3467336683417113E-2</v>
      </c>
      <c r="Y26" s="9">
        <f t="shared" si="166"/>
        <v>0.11258278145695355</v>
      </c>
      <c r="Z26" s="9">
        <f t="shared" si="166"/>
        <v>0.56907593778591048</v>
      </c>
      <c r="AA26" s="9">
        <f t="shared" ref="AA26:AA27" si="167">AA7/W7-1</f>
        <v>0.22636363636363632</v>
      </c>
      <c r="AB26" s="9">
        <f t="shared" ref="AB26:AB27" si="168">AB7/X7-1</f>
        <v>0.24080882352941169</v>
      </c>
      <c r="AC26" s="9">
        <f t="shared" ref="AC26:AC27" si="169">AC7/Y7-1</f>
        <v>0.22619047619047605</v>
      </c>
      <c r="AD26" s="9">
        <f t="shared" ref="AD26:AD27" si="170">AD7/Z7-1</f>
        <v>0.16999999999999993</v>
      </c>
      <c r="AF26" s="9"/>
      <c r="AG26" s="9">
        <f t="shared" ref="AG26:AR26" si="171">AG7/AF7-1</f>
        <v>7.0402802101576345E-2</v>
      </c>
      <c r="AH26" s="9">
        <f t="shared" si="171"/>
        <v>0.83442408376963351</v>
      </c>
      <c r="AI26" s="9">
        <f t="shared" si="171"/>
        <v>-0.30877631109525516</v>
      </c>
      <c r="AJ26" s="9">
        <f t="shared" si="171"/>
        <v>-7.1741935483870867E-2</v>
      </c>
      <c r="AK26" s="9">
        <f t="shared" si="171"/>
        <v>0.12482624409229914</v>
      </c>
      <c r="AL26" s="9">
        <f t="shared" si="171"/>
        <v>0.25531389026198692</v>
      </c>
      <c r="AM26" s="9">
        <f t="shared" si="171"/>
        <v>0.21038590273675917</v>
      </c>
      <c r="AN26" s="9">
        <f t="shared" si="171"/>
        <v>0.1399999999999999</v>
      </c>
      <c r="AO26" s="9">
        <f t="shared" si="171"/>
        <v>7.0000000000000062E-2</v>
      </c>
      <c r="AP26" s="9">
        <f t="shared" si="171"/>
        <v>4.0000000000000036E-2</v>
      </c>
      <c r="AQ26" s="9">
        <f t="shared" si="171"/>
        <v>3.0000000000000027E-2</v>
      </c>
      <c r="AR26" s="9">
        <f t="shared" si="171"/>
        <v>3.0000000000000027E-2</v>
      </c>
      <c r="AS26" s="9">
        <f t="shared" ref="AS26:AW27" si="172">AS7/AR7-1</f>
        <v>3.0000000000000027E-2</v>
      </c>
      <c r="AT26" s="9">
        <f t="shared" si="172"/>
        <v>3.0000000000000027E-2</v>
      </c>
      <c r="AU26" s="9">
        <f t="shared" si="172"/>
        <v>3.0000000000000027E-2</v>
      </c>
      <c r="AV26" s="9">
        <f t="shared" si="172"/>
        <v>3.0000000000000027E-2</v>
      </c>
      <c r="AW26" s="9">
        <f t="shared" si="172"/>
        <v>3.0000000000000027E-2</v>
      </c>
      <c r="AY26" t="s">
        <v>38</v>
      </c>
      <c r="AZ26" s="9">
        <v>0.05</v>
      </c>
    </row>
    <row r="27" spans="2:166" x14ac:dyDescent="0.3">
      <c r="B27" t="s">
        <v>49</v>
      </c>
      <c r="D27" s="15"/>
      <c r="E27" s="9"/>
      <c r="F27" s="9"/>
      <c r="G27" s="15">
        <f t="shared" ref="G27:J27" si="173">G8/C8-1</f>
        <v>0.12380952380952381</v>
      </c>
      <c r="H27" s="15">
        <f t="shared" si="173"/>
        <v>0.30125523012552313</v>
      </c>
      <c r="I27" s="9">
        <f t="shared" si="173"/>
        <v>3.574898785425102</v>
      </c>
      <c r="J27" s="9">
        <f t="shared" si="173"/>
        <v>0.48306595365418903</v>
      </c>
      <c r="K27" s="9">
        <f t="shared" si="166"/>
        <v>1.0706214689265536</v>
      </c>
      <c r="L27" s="9">
        <f t="shared" si="166"/>
        <v>0.69346195069667749</v>
      </c>
      <c r="M27" s="9">
        <f t="shared" si="166"/>
        <v>-0.55899705014749257</v>
      </c>
      <c r="N27" s="9">
        <f t="shared" si="166"/>
        <v>-5.3485576923076983E-2</v>
      </c>
      <c r="O27" s="9">
        <f t="shared" si="166"/>
        <v>-2.9331514324692942E-2</v>
      </c>
      <c r="P27" s="9">
        <f t="shared" si="166"/>
        <v>-1.5822784810126556E-2</v>
      </c>
      <c r="Q27" s="9">
        <f t="shared" si="166"/>
        <v>-5.351170568561936E-3</v>
      </c>
      <c r="R27" s="9">
        <f t="shared" si="166"/>
        <v>-4.8253968253968216E-2</v>
      </c>
      <c r="S27" s="9">
        <f t="shared" si="166"/>
        <v>-4.2867182009838523E-2</v>
      </c>
      <c r="T27" s="9">
        <f t="shared" si="166"/>
        <v>-0.14726688102893892</v>
      </c>
      <c r="U27" s="9">
        <f t="shared" si="166"/>
        <v>-0.13786146603900473</v>
      </c>
      <c r="V27" s="9">
        <f t="shared" si="166"/>
        <v>-0.15076717811874585</v>
      </c>
      <c r="W27" s="9">
        <f t="shared" si="166"/>
        <v>-1.6152716593245131E-2</v>
      </c>
      <c r="X27" s="9">
        <f t="shared" si="166"/>
        <v>4.5248868778280604E-2</v>
      </c>
      <c r="Y27" s="9">
        <f t="shared" si="166"/>
        <v>8.19032761310452E-2</v>
      </c>
      <c r="Z27" s="9">
        <f t="shared" si="166"/>
        <v>0.43047918303220745</v>
      </c>
      <c r="AA27" s="9">
        <f t="shared" si="167"/>
        <v>0.22089552238805976</v>
      </c>
      <c r="AB27" s="9">
        <f t="shared" si="168"/>
        <v>0.17316017316017307</v>
      </c>
      <c r="AC27" s="9">
        <f t="shared" si="169"/>
        <v>0.16582552271088691</v>
      </c>
      <c r="AD27" s="9">
        <f t="shared" si="170"/>
        <v>0.12000000000000011</v>
      </c>
      <c r="AF27" s="9"/>
      <c r="AG27" s="9">
        <f t="shared" ref="AG27:AR27" si="174">AG8/AF8-1</f>
        <v>4.8007838014369586E-2</v>
      </c>
      <c r="AH27" s="9">
        <f t="shared" si="174"/>
        <v>1.0863197257712685</v>
      </c>
      <c r="AI27" s="9">
        <f t="shared" si="174"/>
        <v>-8.6482449589245669E-2</v>
      </c>
      <c r="AJ27" s="9">
        <f t="shared" si="174"/>
        <v>-2.4852844996730017E-2</v>
      </c>
      <c r="AK27" s="9">
        <f t="shared" si="174"/>
        <v>-0.12089201877934275</v>
      </c>
      <c r="AL27" s="9">
        <f t="shared" si="174"/>
        <v>0.13179477398436013</v>
      </c>
      <c r="AM27" s="9">
        <f t="shared" si="174"/>
        <v>0.16591169531513317</v>
      </c>
      <c r="AN27" s="9">
        <f t="shared" si="174"/>
        <v>9.000000000000008E-2</v>
      </c>
      <c r="AO27" s="9">
        <f t="shared" si="174"/>
        <v>5.0000000000000044E-2</v>
      </c>
      <c r="AP27" s="9">
        <f t="shared" si="174"/>
        <v>4.0000000000000036E-2</v>
      </c>
      <c r="AQ27" s="9">
        <f t="shared" si="174"/>
        <v>3.0000000000000027E-2</v>
      </c>
      <c r="AR27" s="9">
        <f t="shared" si="174"/>
        <v>2.0000000000000018E-2</v>
      </c>
      <c r="AS27" s="9">
        <f t="shared" si="172"/>
        <v>2.0000000000000018E-2</v>
      </c>
      <c r="AT27" s="9">
        <f t="shared" si="172"/>
        <v>2.0000000000000018E-2</v>
      </c>
      <c r="AU27" s="9">
        <f t="shared" si="172"/>
        <v>2.0000000000000018E-2</v>
      </c>
      <c r="AV27" s="9">
        <f t="shared" si="172"/>
        <v>2.0000000000000018E-2</v>
      </c>
      <c r="AW27" s="9">
        <f t="shared" si="172"/>
        <v>2.0000000000000018E-2</v>
      </c>
      <c r="AY27" t="s">
        <v>39</v>
      </c>
      <c r="AZ27" s="5">
        <f>NPV(AZ26,AM18:FJ18)</f>
        <v>210409.00277446004</v>
      </c>
    </row>
    <row r="28" spans="2:166" x14ac:dyDescent="0.3">
      <c r="B28" t="s">
        <v>30</v>
      </c>
      <c r="D28" s="15">
        <f t="shared" ref="D28:J28" si="175">D16/D15</f>
        <v>-2.4005486968449924E-2</v>
      </c>
      <c r="E28" s="9">
        <f t="shared" si="175"/>
        <v>-1.4492753623188406E-2</v>
      </c>
      <c r="F28" s="9">
        <f t="shared" si="175"/>
        <v>-2.5096525096525105E-2</v>
      </c>
      <c r="G28" s="15">
        <f t="shared" si="175"/>
        <v>-5.019305019305019E-2</v>
      </c>
      <c r="H28" s="15">
        <f t="shared" si="175"/>
        <v>-8.2191780821917835E-3</v>
      </c>
      <c r="I28" s="9">
        <f t="shared" si="175"/>
        <v>9.8630772801113938E-3</v>
      </c>
      <c r="J28" s="9">
        <f t="shared" si="175"/>
        <v>4.8780487804878044E-2</v>
      </c>
      <c r="K28" s="9">
        <f t="shared" ref="K28:N28" si="176">K16/K15</f>
        <v>-2.574750830564785E-2</v>
      </c>
      <c r="L28" s="9">
        <f t="shared" si="176"/>
        <v>3.8383838383838409E-2</v>
      </c>
      <c r="M28" s="9">
        <f t="shared" si="176"/>
        <v>-1.3916500994035789E-2</v>
      </c>
      <c r="N28" s="9">
        <f t="shared" si="176"/>
        <v>-0.26785714285714274</v>
      </c>
      <c r="O28" s="9">
        <f t="shared" ref="O28:Z28" si="177">O16/O15</f>
        <v>-2.0120724346076462E-2</v>
      </c>
      <c r="P28" s="9">
        <f t="shared" si="177"/>
        <v>-1.4705882352941176E-2</v>
      </c>
      <c r="Q28" s="9">
        <f t="shared" si="177"/>
        <v>-8.9576547231270329E-3</v>
      </c>
      <c r="R28" s="9">
        <f t="shared" si="177"/>
        <v>0.1160949868073879</v>
      </c>
      <c r="S28" s="9">
        <f t="shared" si="177"/>
        <v>8.095238095238079E-2</v>
      </c>
      <c r="T28" s="9">
        <f t="shared" si="177"/>
        <v>7.3089700996677706E-2</v>
      </c>
      <c r="U28" s="9">
        <f t="shared" si="177"/>
        <v>8.1148564294631645E-2</v>
      </c>
      <c r="V28" s="9">
        <f t="shared" si="177"/>
        <v>8.7570621468926593E-2</v>
      </c>
      <c r="W28" s="9">
        <f t="shared" si="177"/>
        <v>4.2457091237579035E-2</v>
      </c>
      <c r="X28" s="9">
        <f t="shared" si="177"/>
        <v>3.6958066808813091E-2</v>
      </c>
      <c r="Y28" s="9">
        <f t="shared" si="177"/>
        <v>4.9649904519414395E-2</v>
      </c>
      <c r="Z28" s="9">
        <f t="shared" si="177"/>
        <v>4.4665012406947882E-2</v>
      </c>
      <c r="AA28" s="9">
        <f t="shared" ref="AA28:AD28" si="178">AA16/AA15</f>
        <v>2.5078369905956119E-2</v>
      </c>
      <c r="AB28" s="9">
        <f t="shared" si="178"/>
        <v>1.08335841107433E-2</v>
      </c>
      <c r="AC28" s="9">
        <f t="shared" si="178"/>
        <v>7.9067831876820649E-3</v>
      </c>
      <c r="AD28" s="9">
        <f t="shared" si="178"/>
        <v>0.04</v>
      </c>
      <c r="AF28" s="9">
        <f t="shared" ref="AF28:AH28" si="179">AF16/AF15</f>
        <v>-1.5939744263443686E-2</v>
      </c>
      <c r="AG28" s="9">
        <f t="shared" si="179"/>
        <v>-2.1857923497267766E-2</v>
      </c>
      <c r="AH28" s="9">
        <f t="shared" si="179"/>
        <v>1.0687929425735855E-2</v>
      </c>
      <c r="AI28" s="9">
        <f t="shared" ref="AI28:AR28" si="180">AI16/AI15</f>
        <v>-6.4542317840470903E-2</v>
      </c>
      <c r="AJ28" s="9">
        <f t="shared" si="180"/>
        <v>-2.7970091387427315E-2</v>
      </c>
      <c r="AK28" s="9">
        <f t="shared" si="180"/>
        <v>8.2982308340353805E-2</v>
      </c>
      <c r="AL28" s="9">
        <f t="shared" si="180"/>
        <v>4.3549376405642999E-2</v>
      </c>
      <c r="AM28" s="9">
        <f t="shared" si="180"/>
        <v>1.9261270232618161E-2</v>
      </c>
      <c r="AN28" s="9">
        <f t="shared" si="180"/>
        <v>0.1</v>
      </c>
      <c r="AO28" s="9">
        <f t="shared" si="180"/>
        <v>0.1</v>
      </c>
      <c r="AP28" s="9">
        <f t="shared" si="180"/>
        <v>9.9999999999999992E-2</v>
      </c>
      <c r="AQ28" s="9">
        <f t="shared" si="180"/>
        <v>0.1</v>
      </c>
      <c r="AR28" s="9">
        <f t="shared" si="180"/>
        <v>0.15</v>
      </c>
      <c r="AS28" s="9">
        <f t="shared" ref="AS28:AW28" si="181">AS16/AS15</f>
        <v>0.15</v>
      </c>
      <c r="AT28" s="9">
        <f t="shared" si="181"/>
        <v>0.15</v>
      </c>
      <c r="AU28" s="9">
        <f t="shared" si="181"/>
        <v>0.15</v>
      </c>
      <c r="AV28" s="9">
        <f t="shared" si="181"/>
        <v>0.15</v>
      </c>
      <c r="AW28" s="9">
        <f t="shared" si="181"/>
        <v>0.15</v>
      </c>
      <c r="AY28" t="s">
        <v>40</v>
      </c>
      <c r="AZ28" s="5">
        <f>Main!D8</f>
        <v>6437.9</v>
      </c>
    </row>
    <row r="29" spans="2:166" x14ac:dyDescent="0.3">
      <c r="B29" t="s">
        <v>68</v>
      </c>
      <c r="D29" s="15"/>
      <c r="E29" s="9"/>
      <c r="F29" s="9"/>
      <c r="G29" s="15"/>
      <c r="H29" s="15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>
        <f>Y17/Y15</f>
        <v>3.6919159770846602E-2</v>
      </c>
      <c r="Z29" s="9">
        <f>Z17/Z15</f>
        <v>-2.6054590570719596E-2</v>
      </c>
      <c r="AA29" s="9">
        <f t="shared" ref="AA29:AD29" si="182">AA17/AA15</f>
        <v>1.6569637259292436E-2</v>
      </c>
      <c r="AB29" s="9">
        <f t="shared" si="182"/>
        <v>5.4167920553716501E-3</v>
      </c>
      <c r="AC29" s="9">
        <f t="shared" si="182"/>
        <v>2.288805659592177E-3</v>
      </c>
      <c r="AD29" s="9">
        <f t="shared" si="182"/>
        <v>0.01</v>
      </c>
      <c r="AF29" s="9"/>
      <c r="AG29" s="9"/>
      <c r="AH29" s="9"/>
      <c r="AI29" s="9"/>
      <c r="AJ29" s="9"/>
      <c r="AK29" s="9"/>
      <c r="AL29" s="9">
        <f t="shared" ref="AL29:AW29" si="183">AL17/AL15</f>
        <v>7.564915150276014E-3</v>
      </c>
      <c r="AM29" s="9">
        <f t="shared" si="183"/>
        <v>7.2574837814647622E-3</v>
      </c>
      <c r="AN29" s="9">
        <f t="shared" si="183"/>
        <v>0.02</v>
      </c>
      <c r="AO29" s="9">
        <f t="shared" si="183"/>
        <v>0.02</v>
      </c>
      <c r="AP29" s="9">
        <f t="shared" si="183"/>
        <v>0.02</v>
      </c>
      <c r="AQ29" s="9">
        <f t="shared" si="183"/>
        <v>0.02</v>
      </c>
      <c r="AR29" s="9">
        <f t="shared" si="183"/>
        <v>0.02</v>
      </c>
      <c r="AS29" s="9">
        <f t="shared" si="183"/>
        <v>0.02</v>
      </c>
      <c r="AT29" s="9">
        <f t="shared" si="183"/>
        <v>0.02</v>
      </c>
      <c r="AU29" s="9">
        <f t="shared" si="183"/>
        <v>0.02</v>
      </c>
      <c r="AV29" s="9">
        <f t="shared" si="183"/>
        <v>0.02</v>
      </c>
      <c r="AW29" s="9">
        <f t="shared" si="183"/>
        <v>0.02</v>
      </c>
      <c r="AY29" t="s">
        <v>41</v>
      </c>
      <c r="AZ29" s="5">
        <f>AZ27+AZ28</f>
        <v>216846.90277446003</v>
      </c>
    </row>
    <row r="30" spans="2:166" x14ac:dyDescent="0.3">
      <c r="B30" t="s">
        <v>54</v>
      </c>
      <c r="C30" s="9"/>
      <c r="D30" s="9">
        <f t="shared" ref="D30:N30" si="184">D18/D3</f>
        <v>-0.86450492182976291</v>
      </c>
      <c r="E30" s="9">
        <f t="shared" si="184"/>
        <v>-0.73490813648293962</v>
      </c>
      <c r="F30" s="9">
        <f t="shared" si="184"/>
        <v>-0.69442022667829095</v>
      </c>
      <c r="G30" s="9">
        <f t="shared" ref="G30" si="185">G18/G3</f>
        <v>-0.23724378543392935</v>
      </c>
      <c r="H30" s="9">
        <f t="shared" si="184"/>
        <v>-0.43826915442635955</v>
      </c>
      <c r="I30" s="9">
        <f t="shared" si="184"/>
        <v>-2.9485141672425712</v>
      </c>
      <c r="J30" s="9">
        <f t="shared" si="184"/>
        <v>-0.46010555728034774</v>
      </c>
      <c r="K30" s="9">
        <f t="shared" si="184"/>
        <v>-0.36195779601406786</v>
      </c>
      <c r="L30" s="9">
        <f t="shared" si="184"/>
        <v>-0.3801916932907346</v>
      </c>
      <c r="M30" s="9">
        <f t="shared" si="184"/>
        <v>-0.2601377199693955</v>
      </c>
      <c r="N30" s="9">
        <f t="shared" si="184"/>
        <v>-0.36082236082236097</v>
      </c>
      <c r="O30" s="9">
        <f t="shared" ref="O30:Z30" si="186">O18/O3</f>
        <v>-0.22715053763440857</v>
      </c>
      <c r="P30" s="9">
        <f t="shared" si="186"/>
        <v>-0.37928118393234672</v>
      </c>
      <c r="Q30" s="9">
        <f t="shared" si="186"/>
        <v>-0.25925925925925936</v>
      </c>
      <c r="R30" s="9">
        <f t="shared" si="186"/>
        <v>6.5867086118757356E-2</v>
      </c>
      <c r="S30" s="9">
        <f t="shared" si="186"/>
        <v>3.6747905559786825E-2</v>
      </c>
      <c r="T30" s="9">
        <f t="shared" si="186"/>
        <v>5.2315769735608517E-2</v>
      </c>
      <c r="U30" s="9">
        <f t="shared" si="186"/>
        <v>0.13185238265854543</v>
      </c>
      <c r="V30" s="9">
        <f t="shared" si="186"/>
        <v>0.15927021696252461</v>
      </c>
      <c r="W30" s="9">
        <f t="shared" si="186"/>
        <v>0.16711335330285357</v>
      </c>
      <c r="X30" s="9">
        <f t="shared" si="186"/>
        <v>0.19982303495059719</v>
      </c>
      <c r="Y30" s="9">
        <f t="shared" si="186"/>
        <v>0.19779462439696752</v>
      </c>
      <c r="Z30" s="9">
        <f t="shared" si="186"/>
        <v>9.5589123867069511E-2</v>
      </c>
      <c r="AA30" s="9">
        <f t="shared" ref="AA30:AD30" si="187">AA18/AA3</f>
        <v>0.24210883584115844</v>
      </c>
      <c r="AB30" s="9">
        <f t="shared" si="187"/>
        <v>0.32569492876357486</v>
      </c>
      <c r="AC30" s="9">
        <f t="shared" si="187"/>
        <v>0.402760138853611</v>
      </c>
      <c r="AD30" s="9">
        <f t="shared" si="187"/>
        <v>0.23984676448457498</v>
      </c>
      <c r="AF30" s="9">
        <f t="shared" ref="AF30:AS30" si="188">AF18/AF3</f>
        <v>-0.97413503527040646</v>
      </c>
      <c r="AG30" s="9">
        <f t="shared" si="188"/>
        <v>-0.78063560463237247</v>
      </c>
      <c r="AH30" s="9">
        <f t="shared" si="188"/>
        <v>-1.0673560904182304</v>
      </c>
      <c r="AI30" s="9">
        <f t="shared" si="188"/>
        <v>-0.34018679465559715</v>
      </c>
      <c r="AJ30" s="9">
        <f t="shared" si="188"/>
        <v>-0.19476362873183264</v>
      </c>
      <c r="AK30" s="9">
        <f t="shared" si="188"/>
        <v>9.7838299402274106E-2</v>
      </c>
      <c r="AL30" s="9">
        <f t="shared" si="188"/>
        <v>0.16196691561387597</v>
      </c>
      <c r="AM30" s="9">
        <f t="shared" si="188"/>
        <v>0.30364880505718894</v>
      </c>
      <c r="AN30" s="9">
        <f t="shared" si="188"/>
        <v>0.34645521469294682</v>
      </c>
      <c r="AO30" s="9">
        <f t="shared" si="188"/>
        <v>0.40178356468293208</v>
      </c>
      <c r="AP30" s="9">
        <f t="shared" si="188"/>
        <v>0.4560823761419483</v>
      </c>
      <c r="AQ30" s="9">
        <f t="shared" si="188"/>
        <v>0.49365145878891564</v>
      </c>
      <c r="AR30" s="9">
        <f t="shared" si="188"/>
        <v>0.49550020893203511</v>
      </c>
      <c r="AS30" s="9">
        <f t="shared" si="188"/>
        <v>0.51290465456239354</v>
      </c>
      <c r="AT30" s="9">
        <f t="shared" ref="AT30:AW30" si="189">AT18/AT3</f>
        <v>0.52734506774785583</v>
      </c>
      <c r="AU30" s="9">
        <f t="shared" si="189"/>
        <v>0.53318411963831003</v>
      </c>
      <c r="AV30" s="9">
        <f t="shared" si="189"/>
        <v>0.53874801570598085</v>
      </c>
      <c r="AW30" s="9">
        <f t="shared" si="189"/>
        <v>0.54406139764281203</v>
      </c>
      <c r="AY30" t="s">
        <v>42</v>
      </c>
      <c r="AZ30" s="4">
        <f>AZ29/AR19</f>
        <v>91.219461035865748</v>
      </c>
    </row>
    <row r="31" spans="2:166" x14ac:dyDescent="0.3">
      <c r="AY31" t="s">
        <v>43</v>
      </c>
      <c r="AZ31" s="4">
        <f>Main!D3</f>
        <v>192.48</v>
      </c>
    </row>
    <row r="32" spans="2:166" x14ac:dyDescent="0.3">
      <c r="AY32" s="1" t="s">
        <v>44</v>
      </c>
      <c r="AZ32" s="10">
        <f>AZ30/AZ31-1</f>
        <v>-0.52608343185855277</v>
      </c>
    </row>
    <row r="33" spans="2:52" s="1" customFormat="1" x14ac:dyDescent="0.3">
      <c r="B33" s="1" t="s">
        <v>73</v>
      </c>
      <c r="W33" s="8">
        <f t="shared" ref="W33:X33" si="190">W18</f>
        <v>106.00000000000001</v>
      </c>
      <c r="X33" s="8">
        <f t="shared" si="190"/>
        <v>135.49999999999997</v>
      </c>
      <c r="AA33" s="8">
        <f t="shared" ref="AA33:AD33" si="191">AA18</f>
        <v>213.99999999999994</v>
      </c>
      <c r="AB33" s="8">
        <f t="shared" si="191"/>
        <v>326.90000000000009</v>
      </c>
      <c r="AC33" s="8">
        <f t="shared" si="191"/>
        <v>475.69999999999993</v>
      </c>
      <c r="AD33" s="8">
        <f t="shared" si="191"/>
        <v>318.75635000000017</v>
      </c>
      <c r="AJ33" s="8">
        <f t="shared" ref="AJ33:AK33" si="192">AJ18</f>
        <v>-371.19999999999987</v>
      </c>
      <c r="AK33" s="8">
        <f t="shared" si="192"/>
        <v>217.7000000000001</v>
      </c>
      <c r="AL33" s="8">
        <f>AL18</f>
        <v>464.10000000000019</v>
      </c>
      <c r="AM33" s="8">
        <f t="shared" ref="AM33:AW33" si="193">AM18</f>
        <v>1335.3563499999998</v>
      </c>
      <c r="AN33" s="8">
        <f t="shared" si="193"/>
        <v>2209.2288415999997</v>
      </c>
      <c r="AO33" s="8">
        <f t="shared" si="193"/>
        <v>3458.7529125600004</v>
      </c>
      <c r="AP33" s="8">
        <f t="shared" si="193"/>
        <v>5104.0393414824002</v>
      </c>
      <c r="AQ33" s="8">
        <f t="shared" si="193"/>
        <v>6905.5958924364722</v>
      </c>
      <c r="AR33" s="8">
        <f t="shared" si="193"/>
        <v>8317.7492457461103</v>
      </c>
      <c r="AS33" s="8">
        <f t="shared" si="193"/>
        <v>9901.3967314852707</v>
      </c>
      <c r="AT33" s="8">
        <f t="shared" si="193"/>
        <v>11198.178749382267</v>
      </c>
      <c r="AU33" s="8">
        <f t="shared" si="193"/>
        <v>12454.388193853934</v>
      </c>
      <c r="AV33" s="8">
        <f t="shared" si="193"/>
        <v>13842.787785774039</v>
      </c>
      <c r="AW33" s="8">
        <f t="shared" si="193"/>
        <v>15377.242932663316</v>
      </c>
      <c r="AY33" t="s">
        <v>45</v>
      </c>
      <c r="AZ33" s="6" t="s">
        <v>67</v>
      </c>
    </row>
    <row r="34" spans="2:52" x14ac:dyDescent="0.3">
      <c r="B34" t="s">
        <v>74</v>
      </c>
      <c r="W34" s="5">
        <v>8.4</v>
      </c>
      <c r="X34" s="5">
        <f t="shared" ref="X34:X48" si="194">X56-W34</f>
        <v>8.1</v>
      </c>
      <c r="AA34" s="5">
        <v>6.6</v>
      </c>
      <c r="AB34" s="5">
        <f t="shared" ref="AB34:AB48" si="195">AB56-AA34</f>
        <v>6.6</v>
      </c>
      <c r="AC34" s="5">
        <f t="shared" ref="AC34:AD34" si="196">AB34*1.05</f>
        <v>6.93</v>
      </c>
      <c r="AD34" s="5">
        <f t="shared" si="196"/>
        <v>7.2765000000000004</v>
      </c>
      <c r="AJ34" s="5">
        <v>22.5</v>
      </c>
      <c r="AK34" s="5">
        <v>33.4</v>
      </c>
      <c r="AL34" s="5">
        <v>31.6</v>
      </c>
      <c r="AM34" s="5">
        <f>SUM(AA34:AD34)</f>
        <v>27.406500000000001</v>
      </c>
      <c r="AN34" s="5">
        <f t="shared" ref="AN34:AW34" si="197">AM34*1.05</f>
        <v>28.776825000000002</v>
      </c>
      <c r="AO34" s="5">
        <f t="shared" si="197"/>
        <v>30.215666250000005</v>
      </c>
      <c r="AP34" s="5">
        <f t="shared" si="197"/>
        <v>31.726449562500008</v>
      </c>
      <c r="AQ34" s="5">
        <f t="shared" si="197"/>
        <v>33.312772040625006</v>
      </c>
      <c r="AR34" s="5">
        <f t="shared" si="197"/>
        <v>34.978410642656257</v>
      </c>
      <c r="AS34" s="5">
        <f t="shared" si="197"/>
        <v>36.727331174789072</v>
      </c>
      <c r="AT34" s="5">
        <f t="shared" si="197"/>
        <v>38.563697733528528</v>
      </c>
      <c r="AU34" s="5">
        <f t="shared" si="197"/>
        <v>40.491882620204954</v>
      </c>
      <c r="AV34" s="5">
        <f t="shared" si="197"/>
        <v>42.516476751215201</v>
      </c>
      <c r="AW34" s="5">
        <f t="shared" si="197"/>
        <v>44.64230058877596</v>
      </c>
    </row>
    <row r="35" spans="2:52" x14ac:dyDescent="0.3">
      <c r="B35" t="s">
        <v>75</v>
      </c>
      <c r="W35" s="5">
        <v>125.7</v>
      </c>
      <c r="X35" s="5">
        <f t="shared" si="194"/>
        <v>141.69999999999999</v>
      </c>
      <c r="AA35" s="5">
        <v>155.30000000000001</v>
      </c>
      <c r="AB35" s="5">
        <f t="shared" si="195"/>
        <v>160</v>
      </c>
      <c r="AC35" s="5">
        <f t="shared" ref="AC35:AD35" si="198">AB35*1.1</f>
        <v>176</v>
      </c>
      <c r="AD35" s="5">
        <f t="shared" si="198"/>
        <v>193.60000000000002</v>
      </c>
      <c r="AJ35" s="5">
        <v>564.79999999999995</v>
      </c>
      <c r="AK35" s="5">
        <v>475.9</v>
      </c>
      <c r="AL35" s="5">
        <v>691.6</v>
      </c>
      <c r="AM35" s="5">
        <f t="shared" ref="AM35:AM50" si="199">SUM(AA35:AD35)</f>
        <v>684.90000000000009</v>
      </c>
      <c r="AN35" s="5">
        <f>AM35*1.07</f>
        <v>732.84300000000019</v>
      </c>
      <c r="AO35" s="5">
        <f>AN35*1.05</f>
        <v>769.4851500000002</v>
      </c>
      <c r="AP35" s="5">
        <f>AO35*1.03</f>
        <v>792.56970450000028</v>
      </c>
      <c r="AQ35" s="5">
        <f>AP35*1.02</f>
        <v>808.42109859000027</v>
      </c>
      <c r="AR35" s="5">
        <f t="shared" ref="AR35:AW35" si="200">AQ35*1.02</f>
        <v>824.58952056180033</v>
      </c>
      <c r="AS35" s="5">
        <f t="shared" si="200"/>
        <v>841.08131097303635</v>
      </c>
      <c r="AT35" s="5">
        <f t="shared" si="200"/>
        <v>857.90293719249712</v>
      </c>
      <c r="AU35" s="5">
        <f t="shared" si="200"/>
        <v>875.06099593634713</v>
      </c>
      <c r="AV35" s="5">
        <f t="shared" si="200"/>
        <v>892.5622158550741</v>
      </c>
      <c r="AW35" s="5">
        <f t="shared" si="200"/>
        <v>910.41346017217563</v>
      </c>
    </row>
    <row r="36" spans="2:52" x14ac:dyDescent="0.3">
      <c r="B36" t="s">
        <v>76</v>
      </c>
      <c r="W36" s="5">
        <v>0</v>
      </c>
      <c r="X36" s="5">
        <f t="shared" si="194"/>
        <v>0</v>
      </c>
      <c r="AA36" s="5">
        <v>0</v>
      </c>
      <c r="AB36" s="5">
        <f t="shared" si="195"/>
        <v>0</v>
      </c>
      <c r="AC36" s="5">
        <v>0</v>
      </c>
      <c r="AD36" s="5">
        <v>0</v>
      </c>
      <c r="AJ36" s="5">
        <v>40.299999999999997</v>
      </c>
      <c r="AK36" s="5">
        <v>47</v>
      </c>
      <c r="AL36" s="5">
        <v>41.2</v>
      </c>
      <c r="AM36" s="5">
        <f t="shared" si="199"/>
        <v>0</v>
      </c>
      <c r="AN36" s="5">
        <f t="shared" ref="AN36:AW36" si="201">AM36*1.05</f>
        <v>0</v>
      </c>
      <c r="AO36" s="5">
        <f t="shared" si="201"/>
        <v>0</v>
      </c>
      <c r="AP36" s="5">
        <f t="shared" si="201"/>
        <v>0</v>
      </c>
      <c r="AQ36" s="5">
        <f t="shared" si="201"/>
        <v>0</v>
      </c>
      <c r="AR36" s="5">
        <f t="shared" si="201"/>
        <v>0</v>
      </c>
      <c r="AS36" s="5">
        <f t="shared" si="201"/>
        <v>0</v>
      </c>
      <c r="AT36" s="5">
        <f t="shared" si="201"/>
        <v>0</v>
      </c>
      <c r="AU36" s="5">
        <f t="shared" si="201"/>
        <v>0</v>
      </c>
      <c r="AV36" s="5">
        <f t="shared" si="201"/>
        <v>0</v>
      </c>
      <c r="AW36" s="5">
        <f t="shared" si="201"/>
        <v>0</v>
      </c>
    </row>
    <row r="37" spans="2:52" x14ac:dyDescent="0.3">
      <c r="B37" t="s">
        <v>77</v>
      </c>
      <c r="W37" s="5">
        <v>12.4</v>
      </c>
      <c r="X37" s="5">
        <f t="shared" si="194"/>
        <v>7.6</v>
      </c>
      <c r="AA37" s="5">
        <v>10.7</v>
      </c>
      <c r="AB37" s="5">
        <f t="shared" si="195"/>
        <v>-11.2</v>
      </c>
      <c r="AC37" s="5">
        <v>11</v>
      </c>
      <c r="AD37" s="5">
        <v>11</v>
      </c>
      <c r="AJ37" s="5">
        <v>272.10000000000002</v>
      </c>
      <c r="AK37" s="5">
        <v>13.2</v>
      </c>
      <c r="AL37" s="5">
        <v>19.3</v>
      </c>
      <c r="AM37" s="5">
        <f t="shared" si="199"/>
        <v>21.5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</row>
    <row r="38" spans="2:52" x14ac:dyDescent="0.3">
      <c r="B38" t="s">
        <v>78</v>
      </c>
      <c r="W38" s="5">
        <v>-11.9</v>
      </c>
      <c r="X38" s="5">
        <f t="shared" si="194"/>
        <v>-14.6</v>
      </c>
      <c r="AA38" s="5">
        <v>-15.5</v>
      </c>
      <c r="AB38" s="5">
        <f t="shared" si="195"/>
        <v>-8.8999999999999986</v>
      </c>
      <c r="AC38" s="5">
        <f t="shared" ref="AC38:AD38" si="202">AB38*1.03</f>
        <v>-9.166999999999998</v>
      </c>
      <c r="AD38" s="5">
        <f t="shared" si="202"/>
        <v>-9.442009999999998</v>
      </c>
      <c r="AJ38" s="5">
        <v>-15.5</v>
      </c>
      <c r="AK38" s="5">
        <v>-46.6</v>
      </c>
      <c r="AL38" s="5">
        <v>-52.5</v>
      </c>
      <c r="AM38" s="5">
        <f t="shared" si="199"/>
        <v>-43.009009999999989</v>
      </c>
      <c r="AN38" s="5">
        <f t="shared" ref="AN38:AW38" si="203">AM38*1.05</f>
        <v>-45.159460499999987</v>
      </c>
      <c r="AO38" s="5">
        <f t="shared" si="203"/>
        <v>-47.417433524999986</v>
      </c>
      <c r="AP38" s="5">
        <f t="shared" si="203"/>
        <v>-49.78830520124999</v>
      </c>
      <c r="AQ38" s="5">
        <f t="shared" si="203"/>
        <v>-52.277720461312491</v>
      </c>
      <c r="AR38" s="5">
        <f t="shared" si="203"/>
        <v>-54.891606484378116</v>
      </c>
      <c r="AS38" s="5">
        <f t="shared" si="203"/>
        <v>-57.636186808597024</v>
      </c>
      <c r="AT38" s="5">
        <f t="shared" si="203"/>
        <v>-60.517996149026878</v>
      </c>
      <c r="AU38" s="5">
        <f t="shared" si="203"/>
        <v>-63.543895956478224</v>
      </c>
      <c r="AV38" s="5">
        <f t="shared" si="203"/>
        <v>-66.721090754302139</v>
      </c>
      <c r="AW38" s="5">
        <f t="shared" si="203"/>
        <v>-70.057145292017253</v>
      </c>
    </row>
    <row r="39" spans="2:52" x14ac:dyDescent="0.3">
      <c r="B39" t="s">
        <v>79</v>
      </c>
      <c r="W39" s="5">
        <v>5.6</v>
      </c>
      <c r="X39" s="5">
        <f t="shared" si="194"/>
        <v>5.8000000000000007</v>
      </c>
      <c r="AA39" s="5">
        <v>3.5</v>
      </c>
      <c r="AB39" s="5">
        <f t="shared" si="195"/>
        <v>23</v>
      </c>
      <c r="AC39" s="5">
        <v>0</v>
      </c>
      <c r="AD39" s="5">
        <v>0</v>
      </c>
      <c r="AJ39" s="5">
        <v>-28.2</v>
      </c>
      <c r="AK39" s="5">
        <v>-34.299999999999997</v>
      </c>
      <c r="AL39" s="5">
        <v>24.8</v>
      </c>
      <c r="AM39" s="5">
        <f t="shared" si="199"/>
        <v>26.5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</row>
    <row r="40" spans="2:52" x14ac:dyDescent="0.3">
      <c r="B40" t="s">
        <v>80</v>
      </c>
      <c r="W40" s="5">
        <v>-121.9</v>
      </c>
      <c r="X40" s="5">
        <f t="shared" si="194"/>
        <v>-176.4</v>
      </c>
      <c r="AA40" s="5">
        <v>-135</v>
      </c>
      <c r="AB40" s="5">
        <f t="shared" si="195"/>
        <v>-28.5</v>
      </c>
      <c r="AC40" s="5">
        <v>0</v>
      </c>
      <c r="AD40" s="5">
        <v>0</v>
      </c>
      <c r="AJ40" s="5">
        <v>-72.8</v>
      </c>
      <c r="AK40" s="5">
        <v>-106.2</v>
      </c>
      <c r="AL40" s="5">
        <v>-211.2</v>
      </c>
      <c r="AM40" s="5">
        <f t="shared" si="199"/>
        <v>-163.5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</row>
    <row r="41" spans="2:52" x14ac:dyDescent="0.3">
      <c r="B41" t="s">
        <v>81</v>
      </c>
      <c r="W41" s="5"/>
      <c r="X41" s="5">
        <f t="shared" si="194"/>
        <v>0</v>
      </c>
      <c r="AA41" s="5"/>
      <c r="AB41" s="5">
        <f t="shared" si="195"/>
        <v>0</v>
      </c>
      <c r="AC41" s="5">
        <v>0</v>
      </c>
      <c r="AD41" s="5">
        <v>0</v>
      </c>
      <c r="AJ41" s="5">
        <v>-24.8</v>
      </c>
      <c r="AK41" s="5">
        <v>-6.2</v>
      </c>
      <c r="AL41" s="5">
        <v>7.2</v>
      </c>
      <c r="AM41" s="5">
        <f t="shared" si="199"/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</row>
    <row r="42" spans="2:52" x14ac:dyDescent="0.3">
      <c r="B42" t="s">
        <v>82</v>
      </c>
      <c r="W42" s="5">
        <v>22.9</v>
      </c>
      <c r="X42" s="5">
        <f t="shared" si="194"/>
        <v>-20.099999999999998</v>
      </c>
      <c r="AA42" s="5">
        <v>40.700000000000003</v>
      </c>
      <c r="AB42" s="5">
        <f t="shared" si="195"/>
        <v>-48</v>
      </c>
      <c r="AC42" s="5">
        <v>0</v>
      </c>
      <c r="AD42" s="5">
        <v>0</v>
      </c>
      <c r="AJ42" s="5">
        <v>6</v>
      </c>
      <c r="AK42" s="5">
        <v>3.2</v>
      </c>
      <c r="AL42" s="5">
        <v>4.7</v>
      </c>
      <c r="AM42" s="5">
        <f t="shared" si="199"/>
        <v>-7.2999999999999972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</row>
    <row r="43" spans="2:52" x14ac:dyDescent="0.3">
      <c r="B43" t="s">
        <v>83</v>
      </c>
      <c r="W43" s="5">
        <v>4.7</v>
      </c>
      <c r="X43" s="5">
        <f t="shared" si="194"/>
        <v>18.100000000000001</v>
      </c>
      <c r="AA43" s="5">
        <v>22.4</v>
      </c>
      <c r="AB43" s="5">
        <f t="shared" si="195"/>
        <v>25.800000000000004</v>
      </c>
      <c r="AC43" s="5">
        <v>0</v>
      </c>
      <c r="AD43" s="5">
        <v>0</v>
      </c>
      <c r="AJ43" s="5">
        <v>-29.9</v>
      </c>
      <c r="AK43" s="5">
        <v>-31.8</v>
      </c>
      <c r="AL43" s="5">
        <v>-18.8</v>
      </c>
      <c r="AM43" s="5">
        <f t="shared" si="199"/>
        <v>48.2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</row>
    <row r="44" spans="2:52" x14ac:dyDescent="0.3">
      <c r="B44" t="s">
        <v>84</v>
      </c>
      <c r="W44" s="5"/>
      <c r="X44" s="5">
        <f t="shared" si="194"/>
        <v>0</v>
      </c>
      <c r="AA44" s="5"/>
      <c r="AB44" s="5">
        <f t="shared" si="195"/>
        <v>0</v>
      </c>
      <c r="AC44" s="5">
        <v>0</v>
      </c>
      <c r="AD44" s="5">
        <v>0</v>
      </c>
      <c r="AJ44" s="5">
        <v>5.5</v>
      </c>
      <c r="AK44" s="5">
        <v>52.9</v>
      </c>
      <c r="AL44" s="5">
        <v>115.6</v>
      </c>
      <c r="AM44" s="5">
        <f t="shared" si="199"/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</row>
    <row r="45" spans="2:52" x14ac:dyDescent="0.3">
      <c r="B45" t="s">
        <v>85</v>
      </c>
      <c r="W45" s="5">
        <v>-6.8</v>
      </c>
      <c r="X45" s="5">
        <f t="shared" si="194"/>
        <v>40.099999999999994</v>
      </c>
      <c r="AA45" s="5">
        <v>18.8</v>
      </c>
      <c r="AB45" s="5">
        <f t="shared" si="195"/>
        <v>101.9</v>
      </c>
      <c r="AC45" s="5">
        <v>0</v>
      </c>
      <c r="AD45" s="5">
        <v>0</v>
      </c>
      <c r="AJ45" s="5">
        <v>-61.2</v>
      </c>
      <c r="AK45" s="5">
        <v>79.5</v>
      </c>
      <c r="AL45" s="5">
        <v>22.4</v>
      </c>
      <c r="AM45" s="5">
        <f t="shared" si="199"/>
        <v>120.7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</row>
    <row r="46" spans="2:52" x14ac:dyDescent="0.3">
      <c r="B46" t="s">
        <v>86</v>
      </c>
      <c r="W46" s="5"/>
      <c r="X46" s="5">
        <f t="shared" si="194"/>
        <v>0</v>
      </c>
      <c r="AA46" s="5"/>
      <c r="AB46" s="5">
        <f t="shared" si="195"/>
        <v>0</v>
      </c>
      <c r="AC46" s="5">
        <v>0</v>
      </c>
      <c r="AD46" s="5">
        <v>0</v>
      </c>
      <c r="AJ46" s="5">
        <v>-49.5</v>
      </c>
      <c r="AK46" s="5">
        <v>64.3</v>
      </c>
      <c r="AL46" s="5">
        <v>54.4</v>
      </c>
      <c r="AM46" s="5">
        <f t="shared" si="199"/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</row>
    <row r="47" spans="2:52" x14ac:dyDescent="0.3">
      <c r="B47" t="s">
        <v>76</v>
      </c>
      <c r="W47" s="5"/>
      <c r="X47" s="5">
        <f t="shared" si="194"/>
        <v>0</v>
      </c>
      <c r="AA47" s="5"/>
      <c r="AB47" s="5">
        <f t="shared" si="195"/>
        <v>0</v>
      </c>
      <c r="AC47" s="5">
        <v>0</v>
      </c>
      <c r="AD47" s="5">
        <v>0</v>
      </c>
      <c r="AJ47" s="5">
        <v>-34.6</v>
      </c>
      <c r="AK47" s="5">
        <v>-49.6</v>
      </c>
      <c r="AL47" s="5">
        <v>-49</v>
      </c>
      <c r="AM47" s="5">
        <f t="shared" si="199"/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</row>
    <row r="48" spans="2:52" x14ac:dyDescent="0.3">
      <c r="B48" t="s">
        <v>87</v>
      </c>
      <c r="W48" s="5">
        <v>-15.5</v>
      </c>
      <c r="X48" s="5">
        <f t="shared" si="194"/>
        <v>-1.8000000000000007</v>
      </c>
      <c r="AA48" s="5">
        <v>-13.2</v>
      </c>
      <c r="AB48" s="5">
        <f t="shared" si="195"/>
        <v>-11.7</v>
      </c>
      <c r="AC48" s="5">
        <v>0</v>
      </c>
      <c r="AD48" s="5">
        <v>0</v>
      </c>
      <c r="AJ48" s="5">
        <v>-0.1</v>
      </c>
      <c r="AK48" s="5">
        <v>0.1</v>
      </c>
      <c r="AL48" s="5">
        <v>4.5999999999999996</v>
      </c>
      <c r="AM48" s="5">
        <f t="shared" si="199"/>
        <v>-24.9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</row>
    <row r="49" spans="2:141" s="1" customFormat="1" x14ac:dyDescent="0.3">
      <c r="B49" s="1" t="s">
        <v>88</v>
      </c>
      <c r="W49" s="8">
        <f>W33+SUM(W34:W48)</f>
        <v>129.6</v>
      </c>
      <c r="X49" s="8">
        <f>X33+SUM(X34:X48)</f>
        <v>143.99999999999997</v>
      </c>
      <c r="AA49" s="8">
        <f>AA33+SUM(AA34:AA48)</f>
        <v>308.29999999999995</v>
      </c>
      <c r="AB49" s="8">
        <f>AB33+SUM(AB34:AB48)</f>
        <v>535.90000000000009</v>
      </c>
      <c r="AC49" s="8">
        <f t="shared" ref="AC49:AD49" si="204">AC33+SUM(AC34:AC48)</f>
        <v>660.46299999999997</v>
      </c>
      <c r="AD49" s="8">
        <f t="shared" si="204"/>
        <v>521.19084000000021</v>
      </c>
      <c r="AJ49" s="8">
        <f>AJ33+SUM(AJ34:AJ48)</f>
        <v>223.40000000000003</v>
      </c>
      <c r="AK49" s="8">
        <f>AK33+SUM(AK34:AK48)</f>
        <v>712.5</v>
      </c>
      <c r="AL49" s="8">
        <f>AL33+SUM(AL34:AL48)</f>
        <v>1150.0000000000002</v>
      </c>
      <c r="AM49" s="8">
        <f t="shared" ref="AM49:AW49" si="205">AM33+SUM(AM34:AM48)</f>
        <v>2025.8538400000002</v>
      </c>
      <c r="AN49" s="8">
        <f t="shared" si="205"/>
        <v>2925.6892060999999</v>
      </c>
      <c r="AO49" s="8">
        <f t="shared" si="205"/>
        <v>4211.036295285001</v>
      </c>
      <c r="AP49" s="8">
        <f t="shared" si="205"/>
        <v>5878.5471903436501</v>
      </c>
      <c r="AQ49" s="8">
        <f t="shared" si="205"/>
        <v>7695.0520426057847</v>
      </c>
      <c r="AR49" s="8">
        <f t="shared" si="205"/>
        <v>9122.4255704661882</v>
      </c>
      <c r="AS49" s="8">
        <f t="shared" si="205"/>
        <v>10721.569186824499</v>
      </c>
      <c r="AT49" s="8">
        <f t="shared" si="205"/>
        <v>12034.127388159266</v>
      </c>
      <c r="AU49" s="8">
        <f t="shared" si="205"/>
        <v>13306.397176454007</v>
      </c>
      <c r="AV49" s="8">
        <f t="shared" si="205"/>
        <v>14711.145387626026</v>
      </c>
      <c r="AW49" s="8">
        <f t="shared" si="205"/>
        <v>16262.24154813225</v>
      </c>
    </row>
    <row r="50" spans="2:141" x14ac:dyDescent="0.3">
      <c r="B50" t="s">
        <v>89</v>
      </c>
      <c r="W50" s="5">
        <v>2.7</v>
      </c>
      <c r="X50" s="5">
        <f>X72-W50</f>
        <v>2.8</v>
      </c>
      <c r="AA50" s="5">
        <v>6.2</v>
      </c>
      <c r="AB50" s="5">
        <f>AB72-AA50</f>
        <v>7.6000000000000005</v>
      </c>
      <c r="AC50" s="5">
        <f>AB50*1.15</f>
        <v>8.74</v>
      </c>
      <c r="AD50" s="5">
        <f>AC50*1.15</f>
        <v>10.051</v>
      </c>
      <c r="AJ50" s="5">
        <v>40</v>
      </c>
      <c r="AK50" s="5">
        <v>15.1</v>
      </c>
      <c r="AL50" s="5">
        <f>12.6</f>
        <v>12.6</v>
      </c>
      <c r="AM50" s="5">
        <f t="shared" si="199"/>
        <v>32.591000000000001</v>
      </c>
      <c r="AN50" s="5">
        <f>AM50*1.15</f>
        <v>37.479649999999999</v>
      </c>
      <c r="AO50" s="5">
        <f t="shared" ref="AO50:AW50" si="206">AN50*1.15</f>
        <v>43.101597499999997</v>
      </c>
      <c r="AP50" s="5">
        <f t="shared" si="206"/>
        <v>49.566837124999992</v>
      </c>
      <c r="AQ50" s="5">
        <f t="shared" si="206"/>
        <v>57.001862693749985</v>
      </c>
      <c r="AR50" s="5">
        <f t="shared" si="206"/>
        <v>65.552142097812478</v>
      </c>
      <c r="AS50" s="5">
        <f t="shared" si="206"/>
        <v>75.384963412484339</v>
      </c>
      <c r="AT50" s="5">
        <f t="shared" si="206"/>
        <v>86.692707924356981</v>
      </c>
      <c r="AU50" s="5">
        <f t="shared" si="206"/>
        <v>99.696614113010526</v>
      </c>
      <c r="AV50" s="5">
        <f t="shared" si="206"/>
        <v>114.6511062299621</v>
      </c>
      <c r="AW50" s="5">
        <f t="shared" si="206"/>
        <v>131.84877216445639</v>
      </c>
    </row>
    <row r="51" spans="2:141" s="1" customFormat="1" x14ac:dyDescent="0.3">
      <c r="B51" s="1" t="s">
        <v>90</v>
      </c>
      <c r="W51" s="8">
        <f>W49-W50</f>
        <v>126.89999999999999</v>
      </c>
      <c r="X51" s="8">
        <f>X49-X50</f>
        <v>141.19999999999996</v>
      </c>
      <c r="AA51" s="8">
        <f>AA49-AA50</f>
        <v>302.09999999999997</v>
      </c>
      <c r="AB51" s="8">
        <f>AB49-AB50</f>
        <v>528.30000000000007</v>
      </c>
      <c r="AC51" s="8">
        <f t="shared" ref="AC51:AD51" si="207">AC49-AC50</f>
        <v>651.72299999999996</v>
      </c>
      <c r="AD51" s="8">
        <f t="shared" si="207"/>
        <v>511.13984000000022</v>
      </c>
      <c r="AJ51" s="8">
        <f>AJ49-AJ50</f>
        <v>183.40000000000003</v>
      </c>
      <c r="AK51" s="8">
        <f>AK49-AK50</f>
        <v>697.4</v>
      </c>
      <c r="AL51" s="8">
        <f>AL49-AL50</f>
        <v>1137.4000000000003</v>
      </c>
      <c r="AM51" s="8">
        <f t="shared" ref="AM51:AW51" si="208">AM49-AM50</f>
        <v>1993.2628400000003</v>
      </c>
      <c r="AN51" s="8">
        <f t="shared" si="208"/>
        <v>2888.2095560999996</v>
      </c>
      <c r="AO51" s="8">
        <f t="shared" si="208"/>
        <v>4167.9346977850009</v>
      </c>
      <c r="AP51" s="8">
        <f t="shared" si="208"/>
        <v>5828.9803532186497</v>
      </c>
      <c r="AQ51" s="8">
        <f t="shared" si="208"/>
        <v>7638.0501799120348</v>
      </c>
      <c r="AR51" s="8">
        <f t="shared" si="208"/>
        <v>9056.8734283683752</v>
      </c>
      <c r="AS51" s="8">
        <f t="shared" si="208"/>
        <v>10646.184223412016</v>
      </c>
      <c r="AT51" s="8">
        <f t="shared" si="208"/>
        <v>11947.434680234908</v>
      </c>
      <c r="AU51" s="8">
        <f t="shared" si="208"/>
        <v>13206.700562340997</v>
      </c>
      <c r="AV51" s="8">
        <f t="shared" si="208"/>
        <v>14596.494281396064</v>
      </c>
      <c r="AW51" s="8">
        <f t="shared" si="208"/>
        <v>16130.392775967794</v>
      </c>
      <c r="AX51" s="1">
        <f>AW51*(1+$AZ$25)</f>
        <v>15969.088848208115</v>
      </c>
      <c r="AY51" s="1">
        <f t="shared" ref="AY51:DJ51" si="209">AX51*(1+$AZ$25)</f>
        <v>15809.397959726035</v>
      </c>
      <c r="AZ51" s="1">
        <f t="shared" si="209"/>
        <v>15651.303980128774</v>
      </c>
      <c r="BA51" s="1">
        <f t="shared" si="209"/>
        <v>15494.790940327486</v>
      </c>
      <c r="BB51" s="1">
        <f t="shared" si="209"/>
        <v>15339.84303092421</v>
      </c>
      <c r="BC51" s="1">
        <f t="shared" si="209"/>
        <v>15186.444600614968</v>
      </c>
      <c r="BD51" s="1">
        <f t="shared" si="209"/>
        <v>15034.580154608819</v>
      </c>
      <c r="BE51" s="1">
        <f t="shared" si="209"/>
        <v>14884.234353062729</v>
      </c>
      <c r="BF51" s="1">
        <f t="shared" si="209"/>
        <v>14735.392009532103</v>
      </c>
      <c r="BG51" s="1">
        <f t="shared" si="209"/>
        <v>14588.038089436781</v>
      </c>
      <c r="BH51" s="1">
        <f t="shared" si="209"/>
        <v>14442.157708542412</v>
      </c>
      <c r="BI51" s="1">
        <f t="shared" si="209"/>
        <v>14297.736131456988</v>
      </c>
      <c r="BJ51" s="1">
        <f t="shared" si="209"/>
        <v>14154.758770142418</v>
      </c>
      <c r="BK51" s="1">
        <f t="shared" si="209"/>
        <v>14013.211182440993</v>
      </c>
      <c r="BL51" s="1">
        <f t="shared" si="209"/>
        <v>13873.079070616583</v>
      </c>
      <c r="BM51" s="1">
        <f t="shared" si="209"/>
        <v>13734.348279910417</v>
      </c>
      <c r="BN51" s="1">
        <f t="shared" si="209"/>
        <v>13597.004797111313</v>
      </c>
      <c r="BO51" s="1">
        <f t="shared" si="209"/>
        <v>13461.034749140199</v>
      </c>
      <c r="BP51" s="1">
        <f t="shared" si="209"/>
        <v>13326.424401648797</v>
      </c>
      <c r="BQ51" s="1">
        <f t="shared" si="209"/>
        <v>13193.16015763231</v>
      </c>
      <c r="BR51" s="1">
        <f t="shared" si="209"/>
        <v>13061.228556055987</v>
      </c>
      <c r="BS51" s="1">
        <f t="shared" si="209"/>
        <v>12930.616270495426</v>
      </c>
      <c r="BT51" s="1">
        <f t="shared" si="209"/>
        <v>12801.310107790472</v>
      </c>
      <c r="BU51" s="1">
        <f t="shared" si="209"/>
        <v>12673.297006712568</v>
      </c>
      <c r="BV51" s="1">
        <f t="shared" si="209"/>
        <v>12546.564036645443</v>
      </c>
      <c r="BW51" s="1">
        <f t="shared" si="209"/>
        <v>12421.098396278989</v>
      </c>
      <c r="BX51" s="1">
        <f t="shared" si="209"/>
        <v>12296.887412316199</v>
      </c>
      <c r="BY51" s="1">
        <f t="shared" si="209"/>
        <v>12173.918538193037</v>
      </c>
      <c r="BZ51" s="1">
        <f t="shared" si="209"/>
        <v>12052.179352811107</v>
      </c>
      <c r="CA51" s="1">
        <f t="shared" si="209"/>
        <v>11931.657559282996</v>
      </c>
      <c r="CB51" s="1">
        <f t="shared" si="209"/>
        <v>11812.340983690166</v>
      </c>
      <c r="CC51" s="1">
        <f t="shared" si="209"/>
        <v>11694.217573853264</v>
      </c>
      <c r="CD51" s="1">
        <f t="shared" si="209"/>
        <v>11577.275398114731</v>
      </c>
      <c r="CE51" s="1">
        <f t="shared" si="209"/>
        <v>11461.502644133583</v>
      </c>
      <c r="CF51" s="1">
        <f t="shared" si="209"/>
        <v>11346.887617692248</v>
      </c>
      <c r="CG51" s="1">
        <f t="shared" si="209"/>
        <v>11233.418741515325</v>
      </c>
      <c r="CH51" s="1">
        <f t="shared" si="209"/>
        <v>11121.084554100171</v>
      </c>
      <c r="CI51" s="1">
        <f t="shared" si="209"/>
        <v>11009.873708559169</v>
      </c>
      <c r="CJ51" s="1">
        <f t="shared" si="209"/>
        <v>10899.774971473578</v>
      </c>
      <c r="CK51" s="1">
        <f t="shared" si="209"/>
        <v>10790.777221758843</v>
      </c>
      <c r="CL51" s="1">
        <f t="shared" si="209"/>
        <v>10682.869449541255</v>
      </c>
      <c r="CM51" s="1">
        <f t="shared" si="209"/>
        <v>10576.040755045842</v>
      </c>
      <c r="CN51" s="1">
        <f t="shared" si="209"/>
        <v>10470.280347495383</v>
      </c>
      <c r="CO51" s="1">
        <f t="shared" si="209"/>
        <v>10365.577544020429</v>
      </c>
      <c r="CP51" s="1">
        <f t="shared" si="209"/>
        <v>10261.921768580225</v>
      </c>
      <c r="CQ51" s="1">
        <f t="shared" si="209"/>
        <v>10159.302550894423</v>
      </c>
      <c r="CR51" s="1">
        <f t="shared" si="209"/>
        <v>10057.709525385479</v>
      </c>
      <c r="CS51" s="1">
        <f t="shared" si="209"/>
        <v>9957.1324301316236</v>
      </c>
      <c r="CT51" s="1">
        <f t="shared" si="209"/>
        <v>9857.5611058303075</v>
      </c>
      <c r="CU51" s="1">
        <f t="shared" si="209"/>
        <v>9758.985494772005</v>
      </c>
      <c r="CV51" s="1">
        <f t="shared" si="209"/>
        <v>9661.3956398242844</v>
      </c>
      <c r="CW51" s="1">
        <f t="shared" si="209"/>
        <v>9564.7816834260411</v>
      </c>
      <c r="CX51" s="1">
        <f t="shared" si="209"/>
        <v>9469.133866591781</v>
      </c>
      <c r="CY51" s="1">
        <f t="shared" si="209"/>
        <v>9374.442527925863</v>
      </c>
      <c r="CZ51" s="1">
        <f t="shared" si="209"/>
        <v>9280.6981026466037</v>
      </c>
      <c r="DA51" s="1">
        <f t="shared" si="209"/>
        <v>9187.8911216201377</v>
      </c>
      <c r="DB51" s="1">
        <f t="shared" si="209"/>
        <v>9096.0122104039365</v>
      </c>
      <c r="DC51" s="1">
        <f t="shared" si="209"/>
        <v>9005.0520882998972</v>
      </c>
      <c r="DD51" s="1">
        <f t="shared" si="209"/>
        <v>8915.001567416899</v>
      </c>
      <c r="DE51" s="1">
        <f t="shared" si="209"/>
        <v>8825.8515517427295</v>
      </c>
      <c r="DF51" s="1">
        <f t="shared" si="209"/>
        <v>8737.5930362253021</v>
      </c>
      <c r="DG51" s="1">
        <f t="shared" si="209"/>
        <v>8650.2171058630483</v>
      </c>
      <c r="DH51" s="1">
        <f t="shared" si="209"/>
        <v>8563.7149348044186</v>
      </c>
      <c r="DI51" s="1">
        <f t="shared" si="209"/>
        <v>8478.0777854563748</v>
      </c>
      <c r="DJ51" s="1">
        <f t="shared" si="209"/>
        <v>8393.2970076018119</v>
      </c>
      <c r="DK51" s="1">
        <f t="shared" ref="DK51:EK51" si="210">DJ51*(1+$AZ$25)</f>
        <v>8309.3640375257928</v>
      </c>
      <c r="DL51" s="1">
        <f t="shared" si="210"/>
        <v>8226.2703971505343</v>
      </c>
      <c r="DM51" s="1">
        <f t="shared" si="210"/>
        <v>8144.007693179029</v>
      </c>
      <c r="DN51" s="1">
        <f t="shared" si="210"/>
        <v>8062.5676162472391</v>
      </c>
      <c r="DO51" s="1">
        <f t="shared" si="210"/>
        <v>7981.9419400847664</v>
      </c>
      <c r="DP51" s="1">
        <f t="shared" si="210"/>
        <v>7902.122520683919</v>
      </c>
      <c r="DQ51" s="1">
        <f t="shared" si="210"/>
        <v>7823.1012954770795</v>
      </c>
      <c r="DR51" s="1">
        <f t="shared" si="210"/>
        <v>7744.870282522309</v>
      </c>
      <c r="DS51" s="1">
        <f t="shared" si="210"/>
        <v>7667.4215796970857</v>
      </c>
      <c r="DT51" s="1">
        <f t="shared" si="210"/>
        <v>7590.7473639001146</v>
      </c>
      <c r="DU51" s="1">
        <f t="shared" si="210"/>
        <v>7514.8398902611134</v>
      </c>
      <c r="DV51" s="1">
        <f t="shared" si="210"/>
        <v>7439.6914913585024</v>
      </c>
      <c r="DW51" s="1">
        <f t="shared" si="210"/>
        <v>7365.2945764449169</v>
      </c>
      <c r="DX51" s="1">
        <f t="shared" si="210"/>
        <v>7291.6416306804676</v>
      </c>
      <c r="DY51" s="1">
        <f t="shared" si="210"/>
        <v>7218.7252143736632</v>
      </c>
      <c r="DZ51" s="1">
        <f t="shared" si="210"/>
        <v>7146.537962229927</v>
      </c>
      <c r="EA51" s="1">
        <f t="shared" si="210"/>
        <v>7075.0725826076277</v>
      </c>
      <c r="EB51" s="1">
        <f t="shared" si="210"/>
        <v>7004.3218567815511</v>
      </c>
      <c r="EC51" s="1">
        <f t="shared" si="210"/>
        <v>6934.2786382137356</v>
      </c>
      <c r="ED51" s="1">
        <f t="shared" si="210"/>
        <v>6864.9358518315985</v>
      </c>
      <c r="EE51" s="1">
        <f t="shared" si="210"/>
        <v>6796.2864933132823</v>
      </c>
      <c r="EF51" s="1">
        <f t="shared" si="210"/>
        <v>6728.3236283801498</v>
      </c>
      <c r="EG51" s="1">
        <f t="shared" si="210"/>
        <v>6661.0403920963481</v>
      </c>
      <c r="EH51" s="1">
        <f t="shared" si="210"/>
        <v>6594.429988175385</v>
      </c>
      <c r="EI51" s="1">
        <f t="shared" si="210"/>
        <v>6528.485688293631</v>
      </c>
      <c r="EJ51" s="1">
        <f t="shared" si="210"/>
        <v>6463.2008314106943</v>
      </c>
      <c r="EK51" s="1">
        <f t="shared" si="210"/>
        <v>6398.568823096587</v>
      </c>
    </row>
    <row r="53" spans="2:141" x14ac:dyDescent="0.3">
      <c r="B53" t="s">
        <v>91</v>
      </c>
      <c r="AA53" s="9">
        <f>AA35/W35-1</f>
        <v>0.2354813046937152</v>
      </c>
      <c r="AB53" s="9">
        <f>AB35/X35-1</f>
        <v>0.1291460832745237</v>
      </c>
    </row>
    <row r="55" spans="2:141" x14ac:dyDescent="0.3">
      <c r="AZ55" s="5">
        <f>NPV(AZ26,AM51:EK51)</f>
        <v>223134.46847264559</v>
      </c>
    </row>
    <row r="56" spans="2:141" x14ac:dyDescent="0.3">
      <c r="B56" t="s">
        <v>74</v>
      </c>
      <c r="W56" s="5"/>
      <c r="X56" s="5">
        <v>16.5</v>
      </c>
      <c r="AB56" s="5">
        <v>13.2</v>
      </c>
      <c r="AZ56" s="5">
        <f>Main!D8</f>
        <v>6437.9</v>
      </c>
    </row>
    <row r="57" spans="2:141" x14ac:dyDescent="0.3">
      <c r="B57" t="s">
        <v>75</v>
      </c>
      <c r="W57" s="5"/>
      <c r="X57" s="5">
        <v>267.39999999999998</v>
      </c>
      <c r="AB57" s="5">
        <v>315.3</v>
      </c>
      <c r="AZ57" s="5">
        <f>AZ55+AZ56</f>
        <v>229572.36847264558</v>
      </c>
    </row>
    <row r="58" spans="2:141" x14ac:dyDescent="0.3">
      <c r="B58" t="s">
        <v>76</v>
      </c>
      <c r="W58" s="5"/>
      <c r="X58" s="5">
        <v>0</v>
      </c>
      <c r="AB58" s="5">
        <v>0</v>
      </c>
      <c r="AZ58" s="4">
        <f>AZ57/AW19</f>
        <v>96.572593165339725</v>
      </c>
    </row>
    <row r="59" spans="2:141" x14ac:dyDescent="0.3">
      <c r="B59" t="s">
        <v>77</v>
      </c>
      <c r="W59" s="5"/>
      <c r="X59" s="5">
        <v>20</v>
      </c>
      <c r="AB59" s="5">
        <v>-0.5</v>
      </c>
      <c r="AZ59" s="4">
        <f>Main!D3</f>
        <v>192.48</v>
      </c>
    </row>
    <row r="60" spans="2:141" x14ac:dyDescent="0.3">
      <c r="B60" t="s">
        <v>78</v>
      </c>
      <c r="W60" s="5"/>
      <c r="X60" s="5">
        <v>-26.5</v>
      </c>
      <c r="AB60" s="5">
        <v>-24.4</v>
      </c>
      <c r="AZ60" s="10">
        <f>AZ58/AZ59-1</f>
        <v>-0.49827206377109445</v>
      </c>
    </row>
    <row r="61" spans="2:141" x14ac:dyDescent="0.3">
      <c r="B61" t="s">
        <v>79</v>
      </c>
      <c r="W61" s="5"/>
      <c r="X61" s="5">
        <v>11.4</v>
      </c>
      <c r="AB61" s="5">
        <v>26.5</v>
      </c>
    </row>
    <row r="62" spans="2:141" x14ac:dyDescent="0.3">
      <c r="B62" t="s">
        <v>80</v>
      </c>
      <c r="W62" s="5"/>
      <c r="X62" s="5">
        <v>-298.3</v>
      </c>
      <c r="AB62" s="5">
        <v>-163.5</v>
      </c>
    </row>
    <row r="63" spans="2:141" x14ac:dyDescent="0.3">
      <c r="B63" t="s">
        <v>81</v>
      </c>
      <c r="W63" s="5"/>
      <c r="X63" s="5"/>
      <c r="AB63" s="5"/>
    </row>
    <row r="64" spans="2:141" x14ac:dyDescent="0.3">
      <c r="B64" t="s">
        <v>82</v>
      </c>
      <c r="W64" s="5"/>
      <c r="X64" s="5">
        <v>2.8</v>
      </c>
      <c r="AB64" s="5">
        <v>-7.3</v>
      </c>
    </row>
    <row r="65" spans="2:28" x14ac:dyDescent="0.3">
      <c r="B65" t="s">
        <v>83</v>
      </c>
      <c r="W65" s="5"/>
      <c r="X65" s="5">
        <v>22.8</v>
      </c>
      <c r="AB65" s="5">
        <v>48.2</v>
      </c>
    </row>
    <row r="66" spans="2:28" x14ac:dyDescent="0.3">
      <c r="B66" t="s">
        <v>84</v>
      </c>
      <c r="W66" s="5"/>
      <c r="X66" s="5"/>
      <c r="AB66" s="5"/>
    </row>
    <row r="67" spans="2:28" x14ac:dyDescent="0.3">
      <c r="B67" t="s">
        <v>85</v>
      </c>
      <c r="W67" s="5"/>
      <c r="X67" s="5">
        <v>33.299999999999997</v>
      </c>
      <c r="AB67" s="5">
        <v>120.7</v>
      </c>
    </row>
    <row r="68" spans="2:28" x14ac:dyDescent="0.3">
      <c r="B68" t="s">
        <v>86</v>
      </c>
      <c r="W68" s="5"/>
      <c r="X68" s="5"/>
      <c r="AB68" s="5"/>
    </row>
    <row r="69" spans="2:28" x14ac:dyDescent="0.3">
      <c r="B69" t="s">
        <v>76</v>
      </c>
      <c r="W69" s="5"/>
      <c r="X69" s="5"/>
      <c r="AB69" s="5"/>
    </row>
    <row r="70" spans="2:28" x14ac:dyDescent="0.3">
      <c r="B70" t="s">
        <v>87</v>
      </c>
      <c r="W70" s="5"/>
      <c r="X70" s="5">
        <v>-17.3</v>
      </c>
      <c r="AB70" s="5">
        <v>-24.9</v>
      </c>
    </row>
    <row r="71" spans="2:28" x14ac:dyDescent="0.3">
      <c r="W71" s="8"/>
      <c r="X71" s="8"/>
      <c r="AB71" s="5"/>
    </row>
    <row r="72" spans="2:28" x14ac:dyDescent="0.3">
      <c r="B72" t="s">
        <v>89</v>
      </c>
      <c r="W72" s="5"/>
      <c r="X72" s="5">
        <v>5.5</v>
      </c>
      <c r="AB72" s="5">
        <v>13.8</v>
      </c>
    </row>
    <row r="73" spans="2:28" x14ac:dyDescent="0.3">
      <c r="W73" s="8"/>
    </row>
  </sheetData>
  <phoneticPr fontId="3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2020-11-19T11:19:44Z</dcterms:created>
  <dcterms:modified xsi:type="dcterms:W3CDTF">2025-11-04T16:23:22Z</dcterms:modified>
</cp:coreProperties>
</file>