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BFCBB37-F7A2-4B71-AB8B-5D813227F99B}" xr6:coauthVersionLast="47" xr6:coauthVersionMax="47" xr10:uidLastSave="{00000000-0000-0000-0000-000000000000}"/>
  <bookViews>
    <workbookView xWindow="-108" yWindow="-108" windowWidth="23256" windowHeight="12576" activeTab="1" xr2:uid="{BF427BEE-D598-4325-938D-FB62EE8A4E7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" l="1"/>
  <c r="AD37" i="2"/>
  <c r="AD34" i="2"/>
  <c r="AA25" i="2"/>
  <c r="Z25" i="2"/>
  <c r="Y25" i="2"/>
  <c r="X25" i="2"/>
  <c r="W25" i="2"/>
  <c r="V25" i="2"/>
  <c r="U25" i="2"/>
  <c r="T25" i="2"/>
  <c r="S25" i="2"/>
  <c r="R25" i="2"/>
  <c r="P31" i="2"/>
  <c r="O31" i="2"/>
  <c r="N31" i="2"/>
  <c r="M31" i="2"/>
  <c r="L31" i="2"/>
  <c r="P32" i="2"/>
  <c r="O32" i="2"/>
  <c r="N32" i="2"/>
  <c r="M32" i="2"/>
  <c r="L32" i="2"/>
  <c r="K32" i="2"/>
  <c r="P33" i="2"/>
  <c r="O33" i="2"/>
  <c r="N33" i="2"/>
  <c r="M33" i="2"/>
  <c r="L33" i="2"/>
  <c r="L29" i="2"/>
  <c r="P29" i="2"/>
  <c r="O29" i="2"/>
  <c r="N29" i="2"/>
  <c r="M29" i="2"/>
  <c r="H25" i="2"/>
  <c r="G14" i="2"/>
  <c r="F32" i="2"/>
  <c r="E32" i="2"/>
  <c r="G32" i="2"/>
  <c r="G33" i="2"/>
  <c r="G31" i="2"/>
  <c r="G29" i="2"/>
  <c r="Q13" i="2"/>
  <c r="Q12" i="2"/>
  <c r="Q11" i="2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Q25" i="2"/>
  <c r="G25" i="2"/>
  <c r="D4" i="1"/>
  <c r="D5" i="1" s="1"/>
  <c r="D9" i="1" s="1"/>
  <c r="G43" i="2" s="1"/>
  <c r="F23" i="2"/>
  <c r="F20" i="2"/>
  <c r="H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F19" i="2"/>
  <c r="H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F18" i="2"/>
  <c r="F17" i="2"/>
  <c r="H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F16" i="2"/>
  <c r="H16" i="2" s="1"/>
  <c r="F13" i="2"/>
  <c r="F12" i="2"/>
  <c r="F11" i="2"/>
  <c r="F10" i="2"/>
  <c r="H10" i="2" s="1"/>
  <c r="F9" i="2"/>
  <c r="H9" i="2" s="1"/>
  <c r="F8" i="2"/>
  <c r="F6" i="2"/>
  <c r="F5" i="2"/>
  <c r="H5" i="2" s="1"/>
  <c r="F25" i="2"/>
  <c r="E25" i="2"/>
  <c r="E21" i="2"/>
  <c r="E14" i="2"/>
  <c r="E7" i="2"/>
  <c r="E30" i="2" s="1"/>
  <c r="G21" i="2"/>
  <c r="G7" i="2"/>
  <c r="G30" i="2" s="1"/>
  <c r="K25" i="2"/>
  <c r="K21" i="2"/>
  <c r="K14" i="2"/>
  <c r="K7" i="2"/>
  <c r="K30" i="2" s="1"/>
  <c r="L25" i="2"/>
  <c r="L21" i="2"/>
  <c r="L14" i="2"/>
  <c r="L7" i="2"/>
  <c r="L30" i="2" s="1"/>
  <c r="M25" i="2"/>
  <c r="M21" i="2"/>
  <c r="M14" i="2"/>
  <c r="M7" i="2"/>
  <c r="M30" i="2" s="1"/>
  <c r="N25" i="2"/>
  <c r="N21" i="2"/>
  <c r="N14" i="2"/>
  <c r="N7" i="2"/>
  <c r="N30" i="2" s="1"/>
  <c r="O25" i="2"/>
  <c r="O21" i="2"/>
  <c r="O14" i="2"/>
  <c r="O7" i="2"/>
  <c r="O30" i="2" s="1"/>
  <c r="P25" i="2"/>
  <c r="P21" i="2"/>
  <c r="P14" i="2"/>
  <c r="P7" i="2"/>
  <c r="P30" i="2" s="1"/>
  <c r="D8" i="1"/>
  <c r="D7" i="1"/>
  <c r="D6" i="1"/>
  <c r="F3" i="1"/>
  <c r="G42" i="2" l="1"/>
  <c r="F14" i="2"/>
  <c r="Q5" i="2"/>
  <c r="H7" i="2"/>
  <c r="H29" i="2"/>
  <c r="Q9" i="2"/>
  <c r="H32" i="2"/>
  <c r="F21" i="2"/>
  <c r="H8" i="2"/>
  <c r="H18" i="2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Q16" i="2"/>
  <c r="R16" i="2" s="1"/>
  <c r="Q10" i="2"/>
  <c r="H33" i="2"/>
  <c r="F7" i="2"/>
  <c r="E15" i="2"/>
  <c r="G15" i="2"/>
  <c r="P15" i="2"/>
  <c r="K15" i="2"/>
  <c r="L15" i="2"/>
  <c r="M15" i="2"/>
  <c r="N15" i="2"/>
  <c r="O15" i="2"/>
  <c r="R21" i="2" l="1"/>
  <c r="S16" i="2"/>
  <c r="R5" i="2"/>
  <c r="Q29" i="2"/>
  <c r="Q8" i="2"/>
  <c r="H31" i="2"/>
  <c r="N22" i="2"/>
  <c r="N34" i="2"/>
  <c r="M22" i="2"/>
  <c r="M34" i="2"/>
  <c r="H21" i="2"/>
  <c r="E22" i="2"/>
  <c r="E34" i="2"/>
  <c r="F15" i="2"/>
  <c r="F30" i="2"/>
  <c r="L22" i="2"/>
  <c r="L34" i="2"/>
  <c r="K22" i="2"/>
  <c r="K34" i="2"/>
  <c r="Q32" i="2"/>
  <c r="O22" i="2"/>
  <c r="O34" i="2"/>
  <c r="H14" i="2"/>
  <c r="H15" i="2" s="1"/>
  <c r="Q21" i="2"/>
  <c r="P22" i="2"/>
  <c r="P34" i="2"/>
  <c r="R10" i="2"/>
  <c r="Q33" i="2"/>
  <c r="H6" i="2"/>
  <c r="Q6" i="2" s="1"/>
  <c r="Q7" i="2" s="1"/>
  <c r="Q30" i="2" s="1"/>
  <c r="H30" i="2"/>
  <c r="Q14" i="2"/>
  <c r="G22" i="2"/>
  <c r="G34" i="2"/>
  <c r="N24" i="2" l="1"/>
  <c r="N35" i="2"/>
  <c r="H34" i="2"/>
  <c r="H22" i="2"/>
  <c r="F22" i="2"/>
  <c r="F34" i="2"/>
  <c r="O24" i="2"/>
  <c r="O35" i="2"/>
  <c r="R8" i="2"/>
  <c r="Q31" i="2"/>
  <c r="Q15" i="2"/>
  <c r="Q34" i="2" s="1"/>
  <c r="S5" i="2"/>
  <c r="R29" i="2"/>
  <c r="R7" i="2"/>
  <c r="R9" i="2"/>
  <c r="R32" i="2" s="1"/>
  <c r="L24" i="2"/>
  <c r="L35" i="2"/>
  <c r="R33" i="2"/>
  <c r="S10" i="2"/>
  <c r="E24" i="2"/>
  <c r="E35" i="2"/>
  <c r="P24" i="2"/>
  <c r="P35" i="2"/>
  <c r="K24" i="2"/>
  <c r="K35" i="2"/>
  <c r="S21" i="2"/>
  <c r="T16" i="2"/>
  <c r="M24" i="2"/>
  <c r="M35" i="2"/>
  <c r="G24" i="2"/>
  <c r="G35" i="2"/>
  <c r="Q22" i="2"/>
  <c r="H23" i="2" l="1"/>
  <c r="H24" i="2"/>
  <c r="U16" i="2"/>
  <c r="T21" i="2"/>
  <c r="R14" i="2"/>
  <c r="R15" i="2" s="1"/>
  <c r="S8" i="2"/>
  <c r="R31" i="2"/>
  <c r="K26" i="2"/>
  <c r="K36" i="2"/>
  <c r="L26" i="2"/>
  <c r="L36" i="2"/>
  <c r="E26" i="2"/>
  <c r="E36" i="2"/>
  <c r="P26" i="2"/>
  <c r="P36" i="2"/>
  <c r="R6" i="2"/>
  <c r="R30" i="2"/>
  <c r="M26" i="2"/>
  <c r="M36" i="2"/>
  <c r="S29" i="2"/>
  <c r="S9" i="2"/>
  <c r="S32" i="2" s="1"/>
  <c r="S7" i="2"/>
  <c r="T5" i="2"/>
  <c r="T10" i="2"/>
  <c r="U10" i="2" s="1"/>
  <c r="S33" i="2"/>
  <c r="N26" i="2"/>
  <c r="N36" i="2"/>
  <c r="O26" i="2"/>
  <c r="O36" i="2"/>
  <c r="F24" i="2"/>
  <c r="F35" i="2"/>
  <c r="G26" i="2"/>
  <c r="G36" i="2"/>
  <c r="V10" i="2" l="1"/>
  <c r="U33" i="2"/>
  <c r="H26" i="2"/>
  <c r="H36" i="2"/>
  <c r="H35" i="2"/>
  <c r="Q23" i="2"/>
  <c r="F26" i="2"/>
  <c r="F36" i="2"/>
  <c r="T29" i="2"/>
  <c r="T9" i="2"/>
  <c r="T32" i="2" s="1"/>
  <c r="T7" i="2"/>
  <c r="U5" i="2"/>
  <c r="S14" i="2"/>
  <c r="S15" i="2" s="1"/>
  <c r="T8" i="2"/>
  <c r="S31" i="2"/>
  <c r="U21" i="2"/>
  <c r="V16" i="2"/>
  <c r="T33" i="2"/>
  <c r="S30" i="2"/>
  <c r="S6" i="2"/>
  <c r="R22" i="2"/>
  <c r="R34" i="2"/>
  <c r="T6" i="2" l="1"/>
  <c r="T30" i="2"/>
  <c r="W10" i="2"/>
  <c r="V33" i="2"/>
  <c r="R23" i="2"/>
  <c r="R35" i="2" s="1"/>
  <c r="T31" i="2"/>
  <c r="T14" i="2"/>
  <c r="T15" i="2" s="1"/>
  <c r="U8" i="2"/>
  <c r="Q35" i="2"/>
  <c r="Q24" i="2"/>
  <c r="U29" i="2"/>
  <c r="U9" i="2"/>
  <c r="U32" i="2" s="1"/>
  <c r="U7" i="2"/>
  <c r="U30" i="2" s="1"/>
  <c r="V5" i="2"/>
  <c r="W16" i="2"/>
  <c r="V21" i="2"/>
  <c r="S22" i="2"/>
  <c r="S34" i="2"/>
  <c r="Q26" i="2" l="1"/>
  <c r="Q36" i="2"/>
  <c r="W21" i="2"/>
  <c r="X16" i="2"/>
  <c r="U14" i="2"/>
  <c r="U15" i="2" s="1"/>
  <c r="V8" i="2"/>
  <c r="U31" i="2"/>
  <c r="T34" i="2"/>
  <c r="T22" i="2"/>
  <c r="X10" i="2"/>
  <c r="W33" i="2"/>
  <c r="U6" i="2"/>
  <c r="S23" i="2"/>
  <c r="S35" i="2" s="1"/>
  <c r="S24" i="2"/>
  <c r="V9" i="2"/>
  <c r="V32" i="2" s="1"/>
  <c r="V7" i="2"/>
  <c r="V6" i="2" s="1"/>
  <c r="W5" i="2"/>
  <c r="V29" i="2"/>
  <c r="R24" i="2"/>
  <c r="U34" i="2" l="1"/>
  <c r="U22" i="2"/>
  <c r="R36" i="2"/>
  <c r="R26" i="2"/>
  <c r="X21" i="2"/>
  <c r="Y16" i="2"/>
  <c r="S36" i="2"/>
  <c r="S26" i="2"/>
  <c r="X5" i="2"/>
  <c r="W7" i="2"/>
  <c r="W30" i="2" s="1"/>
  <c r="W29" i="2"/>
  <c r="W9" i="2"/>
  <c r="W32" i="2" s="1"/>
  <c r="V30" i="2"/>
  <c r="Y10" i="2"/>
  <c r="X33" i="2"/>
  <c r="W8" i="2"/>
  <c r="V31" i="2"/>
  <c r="V14" i="2"/>
  <c r="V15" i="2" s="1"/>
  <c r="T23" i="2"/>
  <c r="T35" i="2" s="1"/>
  <c r="W6" i="2" l="1"/>
  <c r="T24" i="2"/>
  <c r="T26" i="2" s="1"/>
  <c r="Y5" i="2"/>
  <c r="X9" i="2"/>
  <c r="X32" i="2" s="1"/>
  <c r="X29" i="2"/>
  <c r="X7" i="2"/>
  <c r="Z10" i="2"/>
  <c r="Y33" i="2"/>
  <c r="V34" i="2"/>
  <c r="V22" i="2"/>
  <c r="Z16" i="2"/>
  <c r="Y21" i="2"/>
  <c r="X8" i="2"/>
  <c r="W14" i="2"/>
  <c r="W15" i="2" s="1"/>
  <c r="W31" i="2"/>
  <c r="U23" i="2"/>
  <c r="U35" i="2" s="1"/>
  <c r="T36" i="2" l="1"/>
  <c r="U24" i="2"/>
  <c r="AA10" i="2"/>
  <c r="AA33" i="2" s="1"/>
  <c r="Z33" i="2"/>
  <c r="AA16" i="2"/>
  <c r="AA21" i="2" s="1"/>
  <c r="Z21" i="2"/>
  <c r="Y8" i="2"/>
  <c r="X14" i="2"/>
  <c r="X15" i="2" s="1"/>
  <c r="X31" i="2"/>
  <c r="V23" i="2"/>
  <c r="V35" i="2" s="1"/>
  <c r="V24" i="2"/>
  <c r="Z5" i="2"/>
  <c r="Y7" i="2"/>
  <c r="Y30" i="2" s="1"/>
  <c r="Y29" i="2"/>
  <c r="Y9" i="2"/>
  <c r="Y32" i="2" s="1"/>
  <c r="W34" i="2"/>
  <c r="W22" i="2"/>
  <c r="X6" i="2"/>
  <c r="X30" i="2"/>
  <c r="U26" i="2"/>
  <c r="U36" i="2"/>
  <c r="Z8" i="2" l="1"/>
  <c r="Y14" i="2"/>
  <c r="Y15" i="2" s="1"/>
  <c r="Y31" i="2"/>
  <c r="AA5" i="2"/>
  <c r="Z29" i="2"/>
  <c r="Z9" i="2"/>
  <c r="Z32" i="2" s="1"/>
  <c r="Z7" i="2"/>
  <c r="Y6" i="2"/>
  <c r="V36" i="2"/>
  <c r="V26" i="2"/>
  <c r="X34" i="2"/>
  <c r="X22" i="2"/>
  <c r="W23" i="2"/>
  <c r="W35" i="2" s="1"/>
  <c r="X23" i="2" l="1"/>
  <c r="X35" i="2" s="1"/>
  <c r="Y34" i="2"/>
  <c r="Y22" i="2"/>
  <c r="Z6" i="2"/>
  <c r="Z30" i="2"/>
  <c r="AA29" i="2"/>
  <c r="AA9" i="2"/>
  <c r="AA32" i="2" s="1"/>
  <c r="AA7" i="2"/>
  <c r="W24" i="2"/>
  <c r="AA8" i="2"/>
  <c r="Z14" i="2"/>
  <c r="Z15" i="2" s="1"/>
  <c r="Z31" i="2"/>
  <c r="AA30" i="2" l="1"/>
  <c r="AA14" i="2"/>
  <c r="AA15" i="2" s="1"/>
  <c r="AA31" i="2"/>
  <c r="W26" i="2"/>
  <c r="W36" i="2"/>
  <c r="Z34" i="2"/>
  <c r="Z22" i="2"/>
  <c r="Y23" i="2"/>
  <c r="Y35" i="2" s="1"/>
  <c r="AA6" i="2"/>
  <c r="X24" i="2"/>
  <c r="Y24" i="2" l="1"/>
  <c r="AA34" i="2"/>
  <c r="AA22" i="2"/>
  <c r="Y26" i="2"/>
  <c r="Y36" i="2"/>
  <c r="X26" i="2"/>
  <c r="X36" i="2"/>
  <c r="Z23" i="2"/>
  <c r="Z35" i="2" s="1"/>
  <c r="Z24" i="2" l="1"/>
  <c r="Z26" i="2" s="1"/>
  <c r="AA23" i="2"/>
  <c r="AA35" i="2" s="1"/>
  <c r="AA24" i="2" l="1"/>
  <c r="AA26" i="2" s="1"/>
  <c r="Z36" i="2"/>
  <c r="AB24" i="2" l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AA36" i="2"/>
  <c r="AD33" i="2" l="1"/>
  <c r="AD35" i="2" s="1"/>
  <c r="AD36" i="2" s="1"/>
  <c r="AD38" i="2" s="1"/>
</calcChain>
</file>

<file path=xl/sharedStrings.xml><?xml version="1.0" encoding="utf-8"?>
<sst xmlns="http://schemas.openxmlformats.org/spreadsheetml/2006/main" count="65" uniqueCount="60">
  <si>
    <t>HO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</si>
  <si>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</si>
  <si>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</si>
  <si>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</si>
  <si>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</si>
  <si>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</si>
  <si>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</si>
  <si>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</si>
  <si>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</si>
  <si>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</si>
  <si>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</si>
  <si>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H224</t>
  </si>
  <si>
    <t>Revenue</t>
  </si>
  <si>
    <t>Cost of sales</t>
  </si>
  <si>
    <t>Gross profit</t>
  </si>
  <si>
    <t>R&amp;D</t>
  </si>
  <si>
    <t>S&amp;M</t>
  </si>
  <si>
    <t>G&amp;A</t>
  </si>
  <si>
    <t>Restructuring</t>
  </si>
  <si>
    <t>Total operating expense</t>
  </si>
  <si>
    <t>Impairment</t>
  </si>
  <si>
    <t>Disposal</t>
  </si>
  <si>
    <t>Operating profit</t>
  </si>
  <si>
    <t>Investment income</t>
  </si>
  <si>
    <t>Interest expense</t>
  </si>
  <si>
    <t>Interest income</t>
  </si>
  <si>
    <t>Net finance expense</t>
  </si>
  <si>
    <t>Pretax profit</t>
  </si>
  <si>
    <t>Other expense</t>
  </si>
  <si>
    <t>Pension expense</t>
  </si>
  <si>
    <t>Taxes</t>
  </si>
  <si>
    <t>Net profit</t>
  </si>
  <si>
    <t>EPS</t>
  </si>
  <si>
    <t>H123</t>
  </si>
  <si>
    <t>H223</t>
  </si>
  <si>
    <t>H124</t>
  </si>
  <si>
    <t>H125</t>
  </si>
  <si>
    <t>H225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</si>
  <si>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</si>
  <si>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</si>
  <si>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</si>
  <si>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</si>
  <si>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</si>
  <si>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</si>
  <si>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</si>
  <si>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</si>
  <si>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</si>
  <si>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</si>
  <si>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</si>
  <si>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</si>
  <si>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</si>
  <si>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</si>
  <si>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</si>
  <si>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</si>
  <si>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</si>
  <si>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L+S/E</t>
  </si>
  <si>
    <t>Backlog</t>
  </si>
  <si>
    <t>Backlog y/y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</si>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</sst>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#,##0.00\ [$€-1]"/>
    <numFmt numFmtId="166" formatCode="0.0\x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9" fontId="2" fillId="2" borderId="1" xfId="0" applyNumberFormat="1" applyFont="1" applyFill="1" applyBorder="1"/>
    <xf numFmtId="165" fontId="2" fillId="2" borderId="1" xfId="0" applyNumberFormat="1" applyFont="1" applyFill="1" applyBorder="1"/>
    <xf numFmtId="9" fontId="1" fillId="2" borderId="1" xfId="0" applyNumberFormat="1" applyFont="1" applyFill="1" applyBorder="1"/>
    <xf numFmtId="0" fontId="4" fillId="2" borderId="1" xfId="0" applyFont="1" applyFill="1" applyBorder="1"/>
    <xf numFmtId="3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15240</xdr:rowOff>
    </xdr:from>
    <xdr:to>
      <xdr:col>16</xdr:col>
      <xdr:colOff>15240</xdr:colOff>
      <xdr:row>36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AB1E6A-D11F-631A-E35C-98677CF88E2C}"/>
            </a:ext>
          </a:extLst>
        </xdr:cNvPr>
        <xdr:cNvCxnSpPr/>
      </xdr:nvCxnSpPr>
      <xdr:spPr>
        <a:xfrm>
          <a:off x="753618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</xdr:colOff>
      <xdr:row>0</xdr:row>
      <xdr:rowOff>7620</xdr:rowOff>
    </xdr:from>
    <xdr:to>
      <xdr:col>7</xdr:col>
      <xdr:colOff>30480</xdr:colOff>
      <xdr:row>36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94185C3-F043-A1A3-38F2-4BEBEA16D511}"/>
            </a:ext>
          </a:extLst>
        </xdr:cNvPr>
        <xdr:cNvCxnSpPr/>
      </xdr:nvCxnSpPr>
      <xdr:spPr>
        <a:xfrm>
          <a:off x="511302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003F-7EA5-40C8-9951-EC22F9CFDCA7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7" width="11.777343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226.9</v>
      </c>
      <c r="E3" s="4">
        <v>45983</v>
      </c>
      <c r="F3" s="4">
        <f ca="1">TODAY()</f>
        <v>45983</v>
      </c>
      <c r="G3" s="4">
        <v>45953</v>
      </c>
    </row>
    <row r="4" spans="2:7" x14ac:dyDescent="0.3">
      <c r="C4" s="1" t="s">
        <v>2</v>
      </c>
      <c r="D4" s="6">
        <f>205.4</f>
        <v>205.4</v>
      </c>
      <c r="E4" s="3" t="s">
        <v>11</v>
      </c>
    </row>
    <row r="5" spans="2:7" x14ac:dyDescent="0.3">
      <c r="C5" s="1" t="s">
        <v>3</v>
      </c>
      <c r="D5" s="6">
        <f>D3*D4</f>
        <v>46605.26</v>
      </c>
    </row>
    <row r="6" spans="2:7" x14ac:dyDescent="0.3">
      <c r="C6" s="1" t="s">
        <v>4</v>
      </c>
      <c r="D6" s="6">
        <f>4767.1+1648.2</f>
        <v>6415.3</v>
      </c>
      <c r="E6" s="3" t="s">
        <v>11</v>
      </c>
    </row>
    <row r="7" spans="2:7" x14ac:dyDescent="0.3">
      <c r="C7" s="1" t="s">
        <v>5</v>
      </c>
      <c r="D7" s="6">
        <f>3272.5+4550.9</f>
        <v>7823.4</v>
      </c>
      <c r="E7" s="3" t="s">
        <v>11</v>
      </c>
    </row>
    <row r="8" spans="2:7" x14ac:dyDescent="0.3">
      <c r="C8" s="1" t="s">
        <v>6</v>
      </c>
      <c r="D8" s="6">
        <f>D6-D7</f>
        <v>-1408.0999999999995</v>
      </c>
    </row>
    <row r="9" spans="2:7" x14ac:dyDescent="0.3">
      <c r="C9" s="1" t="s">
        <v>7</v>
      </c>
      <c r="D9" s="6">
        <f>D5-D8</f>
        <v>48013.36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E5D7-45A0-46DA-8340-176ADFE7702B}">
  <dimension ref="B2:EG43"/>
  <sheetViews>
    <sheetView tabSelected="1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42" sqref="AE42"/>
    </sheetView>
  </sheetViews>
  <sheetFormatPr defaultRowHeight="14.4" x14ac:dyDescent="0.3"/>
  <cols>
    <col min="1" max="1" width="8.88671875" style="1"/>
    <col min="2" max="2" width="20.77734375" style="1" bestFit="1" customWidth="1"/>
    <col min="3" max="28" width="8.88671875" style="1"/>
    <col min="29" max="29" width="13.109375" style="1" customWidth="1"/>
    <col min="30" max="30" width="16.88671875" style="1" customWidth="1"/>
    <col min="31" max="16384" width="8.88671875" style="1"/>
  </cols>
  <sheetData>
    <row r="2" spans="2:27" x14ac:dyDescent="0.3">
      <c r="C2" s="9" t="s">
        <v>33</v>
      </c>
      <c r="D2" s="9" t="s">
        <v>34</v>
      </c>
      <c r="E2" s="9" t="s">
        <v>35</v>
      </c>
      <c r="F2" s="9" t="s">
        <v>11</v>
      </c>
      <c r="G2" s="9" t="s">
        <v>36</v>
      </c>
      <c r="H2" s="9" t="s">
        <v>37</v>
      </c>
      <c r="I2" s="9"/>
      <c r="K2" s="1">
        <v>2019</v>
      </c>
      <c r="L2" s="1">
        <v>2020</v>
      </c>
      <c r="M2" s="1">
        <v>2021</v>
      </c>
      <c r="N2" s="1">
        <v>2022</v>
      </c>
      <c r="O2" s="1">
        <v>2023</v>
      </c>
      <c r="P2" s="1">
        <v>2024</v>
      </c>
      <c r="Q2" s="1">
        <v>2025</v>
      </c>
      <c r="R2" s="1">
        <v>2026</v>
      </c>
      <c r="S2" s="1">
        <v>2027</v>
      </c>
      <c r="T2" s="1">
        <v>2028</v>
      </c>
      <c r="U2" s="1">
        <v>2029</v>
      </c>
      <c r="V2" s="1">
        <v>2030</v>
      </c>
      <c r="W2" s="1">
        <v>2031</v>
      </c>
      <c r="X2" s="1">
        <v>2032</v>
      </c>
      <c r="Y2" s="1">
        <v>2033</v>
      </c>
      <c r="Z2" s="1">
        <v>2034</v>
      </c>
      <c r="AA2" s="1">
        <v>2035</v>
      </c>
    </row>
    <row r="3" spans="2:27" x14ac:dyDescent="0.3">
      <c r="B3" s="1" t="s">
        <v>56</v>
      </c>
      <c r="C3" s="9"/>
      <c r="D3" s="9"/>
      <c r="E3" s="14">
        <v>46958</v>
      </c>
      <c r="F3" s="14"/>
      <c r="G3" s="14">
        <v>50038</v>
      </c>
      <c r="H3" s="14"/>
      <c r="I3" s="9"/>
    </row>
    <row r="4" spans="2:27" x14ac:dyDescent="0.3">
      <c r="C4" s="9"/>
      <c r="D4" s="9"/>
      <c r="E4" s="9"/>
      <c r="F4" s="9"/>
      <c r="G4" s="9"/>
      <c r="H4" s="9"/>
      <c r="I4" s="9"/>
    </row>
    <row r="5" spans="2:27" s="2" customFormat="1" x14ac:dyDescent="0.3">
      <c r="B5" s="2" t="s">
        <v>12</v>
      </c>
      <c r="E5" s="8">
        <v>9492.5</v>
      </c>
      <c r="F5" s="8">
        <f>P5-E5</f>
        <v>11084.099999999999</v>
      </c>
      <c r="G5" s="8">
        <v>10264.799999999999</v>
      </c>
      <c r="H5" s="8">
        <f>F5*1.08</f>
        <v>11970.828</v>
      </c>
      <c r="K5" s="8">
        <v>18401</v>
      </c>
      <c r="L5" s="8">
        <v>16988.900000000001</v>
      </c>
      <c r="M5" s="8">
        <v>16192</v>
      </c>
      <c r="N5" s="8">
        <v>17568.8</v>
      </c>
      <c r="O5" s="8">
        <v>18428.400000000001</v>
      </c>
      <c r="P5" s="8">
        <v>20576.599999999999</v>
      </c>
      <c r="Q5" s="8">
        <f>SUM(G5:H5)</f>
        <v>22235.627999999997</v>
      </c>
      <c r="R5" s="8">
        <f>Q5*1.06</f>
        <v>23569.765679999997</v>
      </c>
      <c r="S5" s="8">
        <f>R5*1.05</f>
        <v>24748.253963999996</v>
      </c>
      <c r="T5" s="8">
        <f>S5*1.04</f>
        <v>25738.184122559996</v>
      </c>
      <c r="U5" s="8">
        <f>T5*1.03</f>
        <v>26510.329646236798</v>
      </c>
      <c r="V5" s="8">
        <f>U5*1.02</f>
        <v>27040.536239161534</v>
      </c>
      <c r="W5" s="8">
        <f t="shared" ref="W5:AA5" si="0">V5*1.02</f>
        <v>27581.346963944765</v>
      </c>
      <c r="X5" s="8">
        <f t="shared" si="0"/>
        <v>28132.973903223661</v>
      </c>
      <c r="Y5" s="8">
        <f t="shared" si="0"/>
        <v>28695.633381288135</v>
      </c>
      <c r="Z5" s="8">
        <f t="shared" si="0"/>
        <v>29269.546048913897</v>
      </c>
      <c r="AA5" s="8">
        <f t="shared" si="0"/>
        <v>29854.936969892176</v>
      </c>
    </row>
    <row r="6" spans="2:27" x14ac:dyDescent="0.3">
      <c r="B6" s="1" t="s">
        <v>13</v>
      </c>
      <c r="E6" s="6">
        <v>6984.9</v>
      </c>
      <c r="F6" s="6">
        <f>P6-E6</f>
        <v>8217.8000000000011</v>
      </c>
      <c r="G6" s="6">
        <v>7556</v>
      </c>
      <c r="H6" s="6">
        <f>H5-H7</f>
        <v>8858.4127200000003</v>
      </c>
      <c r="K6" s="6">
        <v>13877.3</v>
      </c>
      <c r="L6" s="6">
        <v>13053.7</v>
      </c>
      <c r="M6" s="6">
        <v>12158.9</v>
      </c>
      <c r="N6" s="6">
        <v>13113.4</v>
      </c>
      <c r="O6" s="6">
        <v>13662</v>
      </c>
      <c r="P6" s="6">
        <v>15202.7</v>
      </c>
      <c r="Q6" s="6">
        <f>SUM(G6:H6)</f>
        <v>16414.41272</v>
      </c>
      <c r="R6" s="6">
        <f>R5-R7</f>
        <v>17441.626603199998</v>
      </c>
      <c r="S6" s="6">
        <f t="shared" ref="S6:AA6" si="1">S5-S7</f>
        <v>18313.707933359998</v>
      </c>
      <c r="T6" s="6">
        <f t="shared" si="1"/>
        <v>19046.256250694398</v>
      </c>
      <c r="U6" s="6">
        <f t="shared" si="1"/>
        <v>19617.643938215231</v>
      </c>
      <c r="V6" s="6">
        <f t="shared" si="1"/>
        <v>20009.996816979536</v>
      </c>
      <c r="W6" s="6">
        <f t="shared" si="1"/>
        <v>20410.196753319127</v>
      </c>
      <c r="X6" s="6">
        <f t="shared" si="1"/>
        <v>20818.400688385511</v>
      </c>
      <c r="Y6" s="6">
        <f t="shared" si="1"/>
        <v>21234.768702153218</v>
      </c>
      <c r="Z6" s="6">
        <f t="shared" si="1"/>
        <v>21659.464076196284</v>
      </c>
      <c r="AA6" s="6">
        <f t="shared" si="1"/>
        <v>22092.65335772021</v>
      </c>
    </row>
    <row r="7" spans="2:27" s="2" customFormat="1" x14ac:dyDescent="0.3">
      <c r="B7" s="2" t="s">
        <v>14</v>
      </c>
      <c r="E7" s="8">
        <f>E5-E6</f>
        <v>2507.6000000000004</v>
      </c>
      <c r="F7" s="8">
        <f>F5-F6</f>
        <v>2866.2999999999975</v>
      </c>
      <c r="G7" s="8">
        <f>G5-G6</f>
        <v>2708.7999999999993</v>
      </c>
      <c r="H7" s="8">
        <f>H5*0.26</f>
        <v>3112.4152800000002</v>
      </c>
      <c r="K7" s="8">
        <f t="shared" ref="K7:Q7" si="2">K5-K6</f>
        <v>4523.7000000000007</v>
      </c>
      <c r="L7" s="8">
        <f t="shared" si="2"/>
        <v>3935.2000000000007</v>
      </c>
      <c r="M7" s="8">
        <f t="shared" si="2"/>
        <v>4033.1000000000004</v>
      </c>
      <c r="N7" s="8">
        <f t="shared" si="2"/>
        <v>4455.3999999999996</v>
      </c>
      <c r="O7" s="8">
        <f t="shared" si="2"/>
        <v>4766.4000000000015</v>
      </c>
      <c r="P7" s="8">
        <f t="shared" si="2"/>
        <v>5373.8999999999978</v>
      </c>
      <c r="Q7" s="8">
        <f t="shared" si="2"/>
        <v>5821.2152799999967</v>
      </c>
      <c r="R7" s="8">
        <f>R5*0.26</f>
        <v>6128.1390767999992</v>
      </c>
      <c r="S7" s="8">
        <f t="shared" ref="S7:AA7" si="3">S5*0.26</f>
        <v>6434.5460306399991</v>
      </c>
      <c r="T7" s="8">
        <f t="shared" si="3"/>
        <v>6691.9278718655996</v>
      </c>
      <c r="U7" s="8">
        <f t="shared" si="3"/>
        <v>6892.6857080215677</v>
      </c>
      <c r="V7" s="8">
        <f t="shared" si="3"/>
        <v>7030.5394221819988</v>
      </c>
      <c r="W7" s="8">
        <f t="shared" si="3"/>
        <v>7171.1502106256394</v>
      </c>
      <c r="X7" s="8">
        <f t="shared" si="3"/>
        <v>7314.5732148381521</v>
      </c>
      <c r="Y7" s="8">
        <f t="shared" si="3"/>
        <v>7460.8646791349156</v>
      </c>
      <c r="Z7" s="8">
        <f t="shared" si="3"/>
        <v>7610.0819727176131</v>
      </c>
      <c r="AA7" s="8">
        <f t="shared" si="3"/>
        <v>7762.2836121719665</v>
      </c>
    </row>
    <row r="8" spans="2:27" x14ac:dyDescent="0.3">
      <c r="B8" s="1" t="s">
        <v>15</v>
      </c>
      <c r="E8" s="6">
        <v>599.29999999999995</v>
      </c>
      <c r="F8" s="6">
        <f t="shared" ref="F8:F13" si="4">P8-E8</f>
        <v>674.40000000000009</v>
      </c>
      <c r="G8" s="6">
        <v>627.29999999999995</v>
      </c>
      <c r="H8" s="6">
        <f>F8*1.05</f>
        <v>708.12000000000012</v>
      </c>
      <c r="K8" s="6">
        <v>1098.5</v>
      </c>
      <c r="L8" s="6">
        <v>1024.7</v>
      </c>
      <c r="M8" s="6">
        <v>1026.9000000000001</v>
      </c>
      <c r="N8" s="6">
        <v>1063.5999999999999</v>
      </c>
      <c r="O8" s="6">
        <v>1107.7</v>
      </c>
      <c r="P8" s="6">
        <v>1273.7</v>
      </c>
      <c r="Q8" s="6">
        <f t="shared" ref="Q8:Q13" si="5">SUM(G8:H8)</f>
        <v>1335.42</v>
      </c>
      <c r="R8" s="6">
        <f>Q8*1.06</f>
        <v>1415.5452000000002</v>
      </c>
      <c r="S8" s="6">
        <f>R8*1.04</f>
        <v>1472.1670080000004</v>
      </c>
      <c r="T8" s="6">
        <f>S8*1.03</f>
        <v>1516.3320182400005</v>
      </c>
      <c r="U8" s="6">
        <f>T8*1.02</f>
        <v>1546.6586586048006</v>
      </c>
      <c r="V8" s="6">
        <f t="shared" ref="V8:AA8" si="6">U8*1.02</f>
        <v>1577.5918317768967</v>
      </c>
      <c r="W8" s="6">
        <f t="shared" si="6"/>
        <v>1609.1436684124346</v>
      </c>
      <c r="X8" s="6">
        <f t="shared" si="6"/>
        <v>1641.3265417806833</v>
      </c>
      <c r="Y8" s="6">
        <f t="shared" si="6"/>
        <v>1674.1530726162971</v>
      </c>
      <c r="Z8" s="6">
        <f t="shared" si="6"/>
        <v>1707.6361340686231</v>
      </c>
      <c r="AA8" s="6">
        <f t="shared" si="6"/>
        <v>1741.7888567499956</v>
      </c>
    </row>
    <row r="9" spans="2:27" x14ac:dyDescent="0.3">
      <c r="B9" s="1" t="s">
        <v>16</v>
      </c>
      <c r="E9" s="6">
        <v>775.9</v>
      </c>
      <c r="F9" s="6">
        <f t="shared" si="4"/>
        <v>814.4</v>
      </c>
      <c r="G9" s="6">
        <v>773.6</v>
      </c>
      <c r="H9" s="6">
        <f>F9*1.05</f>
        <v>855.12</v>
      </c>
      <c r="K9" s="6">
        <v>1382.9</v>
      </c>
      <c r="L9" s="6">
        <v>1306.2</v>
      </c>
      <c r="M9" s="6">
        <v>1225.9000000000001</v>
      </c>
      <c r="N9" s="6">
        <v>1350.4</v>
      </c>
      <c r="O9" s="6">
        <v>1384</v>
      </c>
      <c r="P9" s="6">
        <v>1590.3</v>
      </c>
      <c r="Q9" s="6">
        <f t="shared" si="5"/>
        <v>1628.72</v>
      </c>
      <c r="R9" s="6">
        <f>R5*0.07</f>
        <v>1649.8835976</v>
      </c>
      <c r="S9" s="6">
        <f t="shared" ref="S9:AA9" si="7">S5*0.07</f>
        <v>1732.3777774799998</v>
      </c>
      <c r="T9" s="6">
        <f t="shared" si="7"/>
        <v>1801.6728885791999</v>
      </c>
      <c r="U9" s="6">
        <f t="shared" si="7"/>
        <v>1855.7230752365761</v>
      </c>
      <c r="V9" s="6">
        <f t="shared" si="7"/>
        <v>1892.8375367413075</v>
      </c>
      <c r="W9" s="6">
        <f t="shared" si="7"/>
        <v>1930.6942874761337</v>
      </c>
      <c r="X9" s="6">
        <f t="shared" si="7"/>
        <v>1969.3081732256564</v>
      </c>
      <c r="Y9" s="6">
        <f t="shared" si="7"/>
        <v>2008.6943366901696</v>
      </c>
      <c r="Z9" s="6">
        <f t="shared" si="7"/>
        <v>2048.8682234239732</v>
      </c>
      <c r="AA9" s="6">
        <f t="shared" si="7"/>
        <v>2089.8455878924524</v>
      </c>
    </row>
    <row r="10" spans="2:27" x14ac:dyDescent="0.3">
      <c r="B10" s="1" t="s">
        <v>17</v>
      </c>
      <c r="E10" s="6">
        <v>335.1</v>
      </c>
      <c r="F10" s="6">
        <f t="shared" si="4"/>
        <v>357.79999999999995</v>
      </c>
      <c r="G10" s="6">
        <v>355.3</v>
      </c>
      <c r="H10" s="6">
        <f>F10*1.05</f>
        <v>375.68999999999994</v>
      </c>
      <c r="K10" s="6">
        <v>636.70000000000005</v>
      </c>
      <c r="L10" s="6">
        <v>613.1</v>
      </c>
      <c r="M10" s="6">
        <v>545</v>
      </c>
      <c r="N10" s="6">
        <v>598.5</v>
      </c>
      <c r="O10" s="6">
        <v>621</v>
      </c>
      <c r="P10" s="6">
        <v>692.9</v>
      </c>
      <c r="Q10" s="6">
        <f t="shared" si="5"/>
        <v>730.99</v>
      </c>
      <c r="R10" s="6">
        <f>Q10*1.04</f>
        <v>760.2296</v>
      </c>
      <c r="S10" s="6">
        <f>R10*1.03</f>
        <v>783.03648800000008</v>
      </c>
      <c r="T10" s="6">
        <f t="shared" ref="T10:AA10" si="8">S10*1.03</f>
        <v>806.52758264000011</v>
      </c>
      <c r="U10" s="6">
        <f t="shared" si="8"/>
        <v>830.72341011920014</v>
      </c>
      <c r="V10" s="6">
        <f t="shared" si="8"/>
        <v>855.64511242277615</v>
      </c>
      <c r="W10" s="6">
        <f t="shared" si="8"/>
        <v>881.31446579545945</v>
      </c>
      <c r="X10" s="6">
        <f t="shared" si="8"/>
        <v>907.75389976932331</v>
      </c>
      <c r="Y10" s="6">
        <f t="shared" si="8"/>
        <v>934.98651676240308</v>
      </c>
      <c r="Z10" s="6">
        <f t="shared" si="8"/>
        <v>963.03611226527516</v>
      </c>
      <c r="AA10" s="6">
        <f t="shared" si="8"/>
        <v>991.9271956332334</v>
      </c>
    </row>
    <row r="11" spans="2:27" x14ac:dyDescent="0.3">
      <c r="B11" s="1" t="s">
        <v>18</v>
      </c>
      <c r="E11" s="6">
        <v>32</v>
      </c>
      <c r="F11" s="6">
        <f t="shared" si="4"/>
        <v>86.3</v>
      </c>
      <c r="G11" s="6">
        <v>54.7</v>
      </c>
      <c r="H11" s="6">
        <v>45</v>
      </c>
      <c r="K11" s="6">
        <v>122.2</v>
      </c>
      <c r="L11" s="6">
        <v>173.6</v>
      </c>
      <c r="M11" s="6">
        <v>91.8</v>
      </c>
      <c r="N11" s="6">
        <v>98.5</v>
      </c>
      <c r="O11" s="6">
        <v>91.4</v>
      </c>
      <c r="P11" s="6">
        <v>118.3</v>
      </c>
      <c r="Q11" s="6">
        <f t="shared" si="5"/>
        <v>99.7</v>
      </c>
      <c r="R11" s="6">
        <f>Q11*0.7</f>
        <v>69.789999999999992</v>
      </c>
      <c r="S11" s="6">
        <f t="shared" ref="S11:AA11" si="9">R11*0.7</f>
        <v>48.852999999999994</v>
      </c>
      <c r="T11" s="6">
        <f t="shared" si="9"/>
        <v>34.197099999999992</v>
      </c>
      <c r="U11" s="6">
        <f t="shared" si="9"/>
        <v>23.937969999999993</v>
      </c>
      <c r="V11" s="6">
        <f t="shared" si="9"/>
        <v>16.756578999999995</v>
      </c>
      <c r="W11" s="6">
        <f t="shared" si="9"/>
        <v>11.729605299999996</v>
      </c>
      <c r="X11" s="6">
        <f t="shared" si="9"/>
        <v>8.2107237099999963</v>
      </c>
      <c r="Y11" s="6">
        <f t="shared" si="9"/>
        <v>5.7475065969999974</v>
      </c>
      <c r="Z11" s="6">
        <f t="shared" si="9"/>
        <v>4.0232546178999984</v>
      </c>
      <c r="AA11" s="6">
        <f t="shared" si="9"/>
        <v>2.8162782325299989</v>
      </c>
    </row>
    <row r="12" spans="2:27" x14ac:dyDescent="0.3">
      <c r="B12" s="1" t="s">
        <v>21</v>
      </c>
      <c r="E12" s="6">
        <v>19.600000000000001</v>
      </c>
      <c r="F12" s="6">
        <f t="shared" si="4"/>
        <v>259.29999999999995</v>
      </c>
      <c r="G12" s="6">
        <v>22.4</v>
      </c>
      <c r="H12" s="6">
        <v>20</v>
      </c>
      <c r="K12" s="6">
        <v>-218.6</v>
      </c>
      <c r="L12" s="6">
        <v>-42</v>
      </c>
      <c r="M12" s="6">
        <v>-48.7</v>
      </c>
      <c r="N12" s="6">
        <v>23.9</v>
      </c>
      <c r="O12" s="6">
        <v>387.9</v>
      </c>
      <c r="P12" s="6">
        <v>278.89999999999998</v>
      </c>
      <c r="Q12" s="6">
        <f t="shared" si="5"/>
        <v>42.4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2:27" x14ac:dyDescent="0.3">
      <c r="B13" s="1" t="s">
        <v>20</v>
      </c>
      <c r="E13" s="6">
        <v>0</v>
      </c>
      <c r="F13" s="6">
        <f t="shared" si="4"/>
        <v>157.6</v>
      </c>
      <c r="G13" s="6">
        <v>0</v>
      </c>
      <c r="H13" s="6">
        <v>0</v>
      </c>
      <c r="K13" s="6">
        <v>0</v>
      </c>
      <c r="L13" s="6">
        <v>135.4</v>
      </c>
      <c r="M13" s="6">
        <v>0</v>
      </c>
      <c r="N13" s="6">
        <v>0</v>
      </c>
      <c r="O13" s="6">
        <v>0</v>
      </c>
      <c r="P13" s="6">
        <v>157.6</v>
      </c>
      <c r="Q13" s="6">
        <f t="shared" si="5"/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</row>
    <row r="14" spans="2:27" x14ac:dyDescent="0.3">
      <c r="B14" s="1" t="s">
        <v>19</v>
      </c>
      <c r="E14" s="6">
        <f>SUM(E8:E13)</f>
        <v>1761.8999999999996</v>
      </c>
      <c r="F14" s="6">
        <f>SUM(F8:F13)</f>
        <v>2349.7999999999997</v>
      </c>
      <c r="G14" s="6">
        <f>SUM(G8:G13)</f>
        <v>1833.3000000000002</v>
      </c>
      <c r="H14" s="6">
        <f>SUM(H8:H13)</f>
        <v>2003.9300000000003</v>
      </c>
      <c r="K14" s="6">
        <f t="shared" ref="K14:R14" si="10">SUM(K8:K13)</f>
        <v>3021.7000000000003</v>
      </c>
      <c r="L14" s="6">
        <f t="shared" si="10"/>
        <v>3211</v>
      </c>
      <c r="M14" s="6">
        <f t="shared" si="10"/>
        <v>2840.9000000000005</v>
      </c>
      <c r="N14" s="6">
        <f t="shared" si="10"/>
        <v>3134.9</v>
      </c>
      <c r="O14" s="6">
        <f t="shared" si="10"/>
        <v>3592</v>
      </c>
      <c r="P14" s="6">
        <f t="shared" si="10"/>
        <v>4111.7000000000007</v>
      </c>
      <c r="Q14" s="6">
        <f t="shared" si="10"/>
        <v>3837.23</v>
      </c>
      <c r="R14" s="6">
        <f t="shared" si="10"/>
        <v>3895.4483976000006</v>
      </c>
      <c r="S14" s="6">
        <f t="shared" ref="S14:AA14" si="11">SUM(S8:S13)</f>
        <v>4036.4342734800007</v>
      </c>
      <c r="T14" s="6">
        <f t="shared" si="11"/>
        <v>4158.7295894592007</v>
      </c>
      <c r="U14" s="6">
        <f t="shared" si="11"/>
        <v>4257.0431139605762</v>
      </c>
      <c r="V14" s="6">
        <f t="shared" si="11"/>
        <v>4342.8310599409806</v>
      </c>
      <c r="W14" s="6">
        <f t="shared" si="11"/>
        <v>4432.882026984028</v>
      </c>
      <c r="X14" s="6">
        <f t="shared" si="11"/>
        <v>4526.5993384856629</v>
      </c>
      <c r="Y14" s="6">
        <f t="shared" si="11"/>
        <v>4623.5814326658701</v>
      </c>
      <c r="Z14" s="6">
        <f t="shared" si="11"/>
        <v>4723.5637243757719</v>
      </c>
      <c r="AA14" s="6">
        <f t="shared" si="11"/>
        <v>4826.3779185082112</v>
      </c>
    </row>
    <row r="15" spans="2:27" s="2" customFormat="1" x14ac:dyDescent="0.3">
      <c r="B15" s="2" t="s">
        <v>22</v>
      </c>
      <c r="E15" s="8">
        <f>E7-E14</f>
        <v>745.70000000000073</v>
      </c>
      <c r="F15" s="8">
        <f>F7-F14</f>
        <v>516.49999999999773</v>
      </c>
      <c r="G15" s="8">
        <f>G7-G14</f>
        <v>875.49999999999909</v>
      </c>
      <c r="H15" s="8">
        <f>H7-H14</f>
        <v>1108.4852799999999</v>
      </c>
      <c r="K15" s="8">
        <f t="shared" ref="K15:R15" si="12">K7-K14</f>
        <v>1502.0000000000005</v>
      </c>
      <c r="L15" s="8">
        <f t="shared" si="12"/>
        <v>724.20000000000073</v>
      </c>
      <c r="M15" s="8">
        <f t="shared" si="12"/>
        <v>1192.1999999999998</v>
      </c>
      <c r="N15" s="8">
        <f t="shared" si="12"/>
        <v>1320.4999999999995</v>
      </c>
      <c r="O15" s="8">
        <f t="shared" si="12"/>
        <v>1174.4000000000015</v>
      </c>
      <c r="P15" s="8">
        <f t="shared" si="12"/>
        <v>1262.1999999999971</v>
      </c>
      <c r="Q15" s="8">
        <f t="shared" si="12"/>
        <v>1983.9852799999967</v>
      </c>
      <c r="R15" s="8">
        <f t="shared" si="12"/>
        <v>2232.6906791999986</v>
      </c>
      <c r="S15" s="8">
        <f t="shared" ref="S15:AA15" si="13">S7-S14</f>
        <v>2398.1117571599984</v>
      </c>
      <c r="T15" s="8">
        <f t="shared" si="13"/>
        <v>2533.1982824063989</v>
      </c>
      <c r="U15" s="8">
        <f t="shared" si="13"/>
        <v>2635.6425940609915</v>
      </c>
      <c r="V15" s="8">
        <f t="shared" si="13"/>
        <v>2687.7083622410182</v>
      </c>
      <c r="W15" s="8">
        <f t="shared" si="13"/>
        <v>2738.2681836416114</v>
      </c>
      <c r="X15" s="8">
        <f t="shared" si="13"/>
        <v>2787.9738763524892</v>
      </c>
      <c r="Y15" s="8">
        <f t="shared" si="13"/>
        <v>2837.2832464690455</v>
      </c>
      <c r="Z15" s="8">
        <f t="shared" si="13"/>
        <v>2886.5182483418412</v>
      </c>
      <c r="AA15" s="8">
        <f t="shared" si="13"/>
        <v>2935.9056936637553</v>
      </c>
    </row>
    <row r="16" spans="2:27" x14ac:dyDescent="0.3">
      <c r="B16" s="1" t="s">
        <v>23</v>
      </c>
      <c r="E16" s="6">
        <v>-59.2</v>
      </c>
      <c r="F16" s="6">
        <f t="shared" ref="F16:F20" si="14">P16-E16</f>
        <v>-35.899999999999991</v>
      </c>
      <c r="G16" s="6">
        <v>-92.8</v>
      </c>
      <c r="H16" s="6">
        <f>F16*1.01</f>
        <v>-36.258999999999993</v>
      </c>
      <c r="K16" s="6">
        <v>-142</v>
      </c>
      <c r="L16" s="6">
        <v>-44.3</v>
      </c>
      <c r="M16" s="6">
        <v>-103.6</v>
      </c>
      <c r="N16" s="6">
        <v>-180</v>
      </c>
      <c r="O16" s="6">
        <v>-147.4</v>
      </c>
      <c r="P16" s="6">
        <v>-95.1</v>
      </c>
      <c r="Q16" s="6">
        <f t="shared" ref="Q16:Q20" si="15">SUM(G16:H16)</f>
        <v>-129.059</v>
      </c>
      <c r="R16" s="6">
        <f>Q16*1.02</f>
        <v>-131.64017999999999</v>
      </c>
      <c r="S16" s="6">
        <f t="shared" ref="S16:AA16" si="16">R16*1.02</f>
        <v>-134.27298359999998</v>
      </c>
      <c r="T16" s="6">
        <f t="shared" si="16"/>
        <v>-136.95844327199998</v>
      </c>
      <c r="U16" s="6">
        <f t="shared" si="16"/>
        <v>-139.69761213743999</v>
      </c>
      <c r="V16" s="6">
        <f t="shared" si="16"/>
        <v>-142.49156438018881</v>
      </c>
      <c r="W16" s="6">
        <f t="shared" si="16"/>
        <v>-145.3413956677926</v>
      </c>
      <c r="X16" s="6">
        <f t="shared" si="16"/>
        <v>-148.24822358114844</v>
      </c>
      <c r="Y16" s="6">
        <f t="shared" si="16"/>
        <v>-151.21318805277141</v>
      </c>
      <c r="Z16" s="6">
        <f t="shared" si="16"/>
        <v>-154.23745181382685</v>
      </c>
      <c r="AA16" s="6">
        <f t="shared" si="16"/>
        <v>-157.3222008501034</v>
      </c>
    </row>
    <row r="17" spans="2:137" x14ac:dyDescent="0.3">
      <c r="B17" s="1" t="s">
        <v>24</v>
      </c>
      <c r="E17" s="6">
        <v>153.69999999999999</v>
      </c>
      <c r="F17" s="6">
        <f t="shared" si="14"/>
        <v>135.60000000000002</v>
      </c>
      <c r="G17" s="6">
        <v>116.2</v>
      </c>
      <c r="H17" s="6">
        <f t="shared" ref="H17:H20" si="17">F17*1.01</f>
        <v>136.95600000000002</v>
      </c>
      <c r="K17" s="6">
        <v>62.9</v>
      </c>
      <c r="L17" s="6">
        <v>67.3</v>
      </c>
      <c r="M17" s="6">
        <v>54.1</v>
      </c>
      <c r="N17" s="6">
        <v>75.900000000000006</v>
      </c>
      <c r="O17" s="6">
        <v>159.6</v>
      </c>
      <c r="P17" s="6">
        <v>289.3</v>
      </c>
      <c r="Q17" s="6">
        <f t="shared" si="15"/>
        <v>253.15600000000001</v>
      </c>
      <c r="R17" s="6">
        <f t="shared" ref="R17:AA20" si="18">Q17*1.02</f>
        <v>258.21912000000003</v>
      </c>
      <c r="S17" s="6">
        <f t="shared" si="18"/>
        <v>263.38350240000005</v>
      </c>
      <c r="T17" s="6">
        <f t="shared" si="18"/>
        <v>268.65117244800007</v>
      </c>
      <c r="U17" s="6">
        <f t="shared" si="18"/>
        <v>274.02419589696007</v>
      </c>
      <c r="V17" s="6">
        <f t="shared" si="18"/>
        <v>279.50467981489925</v>
      </c>
      <c r="W17" s="6">
        <f t="shared" si="18"/>
        <v>285.09477341119725</v>
      </c>
      <c r="X17" s="6">
        <f t="shared" si="18"/>
        <v>290.79666887942119</v>
      </c>
      <c r="Y17" s="6">
        <f t="shared" si="18"/>
        <v>296.6126022570096</v>
      </c>
      <c r="Z17" s="6">
        <f t="shared" si="18"/>
        <v>302.54485430214982</v>
      </c>
      <c r="AA17" s="6">
        <f t="shared" si="18"/>
        <v>308.59575138819281</v>
      </c>
    </row>
    <row r="18" spans="2:137" x14ac:dyDescent="0.3">
      <c r="B18" s="1" t="s">
        <v>25</v>
      </c>
      <c r="E18" s="6">
        <v>-67</v>
      </c>
      <c r="F18" s="6">
        <f t="shared" si="14"/>
        <v>-56.5</v>
      </c>
      <c r="G18" s="6">
        <v>-60.5</v>
      </c>
      <c r="H18" s="6">
        <f t="shared" si="17"/>
        <v>-57.064999999999998</v>
      </c>
      <c r="K18" s="6">
        <v>-19.600000000000001</v>
      </c>
      <c r="L18" s="6">
        <v>-7.6</v>
      </c>
      <c r="M18" s="6">
        <v>2.5</v>
      </c>
      <c r="N18" s="6">
        <v>-25.8</v>
      </c>
      <c r="O18" s="6">
        <v>-161.4</v>
      </c>
      <c r="P18" s="6">
        <v>-123.5</v>
      </c>
      <c r="Q18" s="6">
        <f t="shared" si="15"/>
        <v>-117.565</v>
      </c>
      <c r="R18" s="6">
        <f t="shared" si="18"/>
        <v>-119.91630000000001</v>
      </c>
      <c r="S18" s="6">
        <f t="shared" si="18"/>
        <v>-122.314626</v>
      </c>
      <c r="T18" s="6">
        <f t="shared" si="18"/>
        <v>-124.76091852</v>
      </c>
      <c r="U18" s="6">
        <f t="shared" si="18"/>
        <v>-127.2561368904</v>
      </c>
      <c r="V18" s="6">
        <f t="shared" si="18"/>
        <v>-129.80125962820802</v>
      </c>
      <c r="W18" s="6">
        <f t="shared" si="18"/>
        <v>-132.39728482077217</v>
      </c>
      <c r="X18" s="6">
        <f t="shared" si="18"/>
        <v>-135.0452305171876</v>
      </c>
      <c r="Y18" s="6">
        <f t="shared" si="18"/>
        <v>-137.74613512753135</v>
      </c>
      <c r="Z18" s="6">
        <f t="shared" si="18"/>
        <v>-140.50105783008198</v>
      </c>
      <c r="AA18" s="6">
        <f t="shared" si="18"/>
        <v>-143.31107898668361</v>
      </c>
    </row>
    <row r="19" spans="2:137" x14ac:dyDescent="0.3">
      <c r="B19" s="1" t="s">
        <v>28</v>
      </c>
      <c r="E19" s="6">
        <v>-29.9</v>
      </c>
      <c r="F19" s="6">
        <f t="shared" si="14"/>
        <v>-9.5</v>
      </c>
      <c r="G19" s="6">
        <v>43.9</v>
      </c>
      <c r="H19" s="6">
        <f t="shared" si="17"/>
        <v>-9.5950000000000006</v>
      </c>
      <c r="K19" s="6">
        <v>84.4</v>
      </c>
      <c r="L19" s="6">
        <v>81.5</v>
      </c>
      <c r="M19" s="6">
        <v>52.8</v>
      </c>
      <c r="N19" s="6">
        <v>98.5</v>
      </c>
      <c r="O19" s="6">
        <v>65</v>
      </c>
      <c r="P19" s="6">
        <v>-39.4</v>
      </c>
      <c r="Q19" s="6">
        <f t="shared" si="15"/>
        <v>34.305</v>
      </c>
      <c r="R19" s="6">
        <f t="shared" si="18"/>
        <v>34.991100000000003</v>
      </c>
      <c r="S19" s="6">
        <f t="shared" si="18"/>
        <v>35.690922</v>
      </c>
      <c r="T19" s="6">
        <f t="shared" si="18"/>
        <v>36.404740439999998</v>
      </c>
      <c r="U19" s="6">
        <f t="shared" si="18"/>
        <v>37.132835248799999</v>
      </c>
      <c r="V19" s="6">
        <f t="shared" si="18"/>
        <v>37.875491953775999</v>
      </c>
      <c r="W19" s="6">
        <f t="shared" si="18"/>
        <v>38.633001792851516</v>
      </c>
      <c r="X19" s="6">
        <f t="shared" si="18"/>
        <v>39.405661828708546</v>
      </c>
      <c r="Y19" s="6">
        <f t="shared" si="18"/>
        <v>40.193775065282715</v>
      </c>
      <c r="Z19" s="6">
        <f t="shared" si="18"/>
        <v>40.997650566588369</v>
      </c>
      <c r="AA19" s="6">
        <f t="shared" si="18"/>
        <v>41.817603577920138</v>
      </c>
    </row>
    <row r="20" spans="2:137" x14ac:dyDescent="0.3">
      <c r="B20" s="1" t="s">
        <v>29</v>
      </c>
      <c r="E20" s="6">
        <v>29.5</v>
      </c>
      <c r="F20" s="6">
        <f t="shared" si="14"/>
        <v>21.799999999999997</v>
      </c>
      <c r="G20" s="6">
        <v>21.8</v>
      </c>
      <c r="H20" s="6">
        <f t="shared" si="17"/>
        <v>22.017999999999997</v>
      </c>
      <c r="K20" s="6">
        <v>68.900000000000006</v>
      </c>
      <c r="L20" s="6">
        <v>45.1</v>
      </c>
      <c r="M20" s="6">
        <v>21.9</v>
      </c>
      <c r="N20" s="6">
        <v>4.9000000000000004</v>
      </c>
      <c r="O20" s="6">
        <v>77.8</v>
      </c>
      <c r="P20" s="6">
        <v>51.3</v>
      </c>
      <c r="Q20" s="6">
        <f t="shared" si="15"/>
        <v>43.817999999999998</v>
      </c>
      <c r="R20" s="6">
        <f t="shared" si="18"/>
        <v>44.694359999999996</v>
      </c>
      <c r="S20" s="6">
        <f t="shared" si="18"/>
        <v>45.588247199999998</v>
      </c>
      <c r="T20" s="6">
        <f t="shared" si="18"/>
        <v>46.500012143999996</v>
      </c>
      <c r="U20" s="6">
        <f t="shared" si="18"/>
        <v>47.430012386879994</v>
      </c>
      <c r="V20" s="6">
        <f t="shared" si="18"/>
        <v>48.378612634617596</v>
      </c>
      <c r="W20" s="6">
        <f t="shared" si="18"/>
        <v>49.346184887309946</v>
      </c>
      <c r="X20" s="6">
        <f t="shared" si="18"/>
        <v>50.333108585056145</v>
      </c>
      <c r="Y20" s="6">
        <f t="shared" si="18"/>
        <v>51.339770756757268</v>
      </c>
      <c r="Z20" s="6">
        <f t="shared" si="18"/>
        <v>52.366566171892416</v>
      </c>
      <c r="AA20" s="6">
        <f t="shared" si="18"/>
        <v>53.413897495330268</v>
      </c>
    </row>
    <row r="21" spans="2:137" x14ac:dyDescent="0.3">
      <c r="B21" s="1" t="s">
        <v>26</v>
      </c>
      <c r="E21" s="6">
        <f>SUM(E16:E20)</f>
        <v>27.099999999999987</v>
      </c>
      <c r="F21" s="6">
        <f>SUM(F16:F20)</f>
        <v>55.500000000000028</v>
      </c>
      <c r="G21" s="6">
        <f>SUM(G16:G20)</f>
        <v>28.600000000000005</v>
      </c>
      <c r="H21" s="6">
        <f>SUM(H16:H20)</f>
        <v>56.055000000000035</v>
      </c>
      <c r="K21" s="6">
        <f t="shared" ref="K21:R21" si="19">SUM(K16:K20)</f>
        <v>54.600000000000023</v>
      </c>
      <c r="L21" s="6">
        <f t="shared" si="19"/>
        <v>142</v>
      </c>
      <c r="M21" s="6">
        <f t="shared" si="19"/>
        <v>27.700000000000003</v>
      </c>
      <c r="N21" s="6">
        <f t="shared" si="19"/>
        <v>-26.500000000000007</v>
      </c>
      <c r="O21" s="6">
        <f t="shared" si="19"/>
        <v>-6.4000000000000199</v>
      </c>
      <c r="P21" s="6">
        <f t="shared" si="19"/>
        <v>82.600000000000023</v>
      </c>
      <c r="Q21" s="6">
        <f t="shared" si="19"/>
        <v>84.655000000000001</v>
      </c>
      <c r="R21" s="6">
        <f t="shared" si="19"/>
        <v>86.348100000000045</v>
      </c>
      <c r="S21" s="6">
        <f t="shared" ref="S21:AA21" si="20">SUM(S16:S20)</f>
        <v>88.075062000000074</v>
      </c>
      <c r="T21" s="6">
        <f t="shared" si="20"/>
        <v>89.836563240000075</v>
      </c>
      <c r="U21" s="6">
        <f t="shared" si="20"/>
        <v>91.633294504800062</v>
      </c>
      <c r="V21" s="6">
        <f t="shared" si="20"/>
        <v>93.46596039489603</v>
      </c>
      <c r="W21" s="6">
        <f t="shared" si="20"/>
        <v>95.335279602793946</v>
      </c>
      <c r="X21" s="6">
        <f t="shared" si="20"/>
        <v>97.241985194849832</v>
      </c>
      <c r="Y21" s="6">
        <f t="shared" si="20"/>
        <v>99.186824898746821</v>
      </c>
      <c r="Z21" s="6">
        <f t="shared" si="20"/>
        <v>101.17056139672178</v>
      </c>
      <c r="AA21" s="6">
        <f t="shared" si="20"/>
        <v>103.1939726246562</v>
      </c>
    </row>
    <row r="22" spans="2:137" s="2" customFormat="1" x14ac:dyDescent="0.3">
      <c r="B22" s="2" t="s">
        <v>27</v>
      </c>
      <c r="E22" s="8">
        <f>E15-E21</f>
        <v>718.6000000000007</v>
      </c>
      <c r="F22" s="8">
        <f>F15-F21</f>
        <v>460.99999999999773</v>
      </c>
      <c r="G22" s="8">
        <f>G15-G21</f>
        <v>846.89999999999907</v>
      </c>
      <c r="H22" s="8">
        <f>H15-H21</f>
        <v>1052.4302799999998</v>
      </c>
      <c r="K22" s="8">
        <f t="shared" ref="K22:R22" si="21">K15-K21</f>
        <v>1447.4000000000005</v>
      </c>
      <c r="L22" s="8">
        <f t="shared" si="21"/>
        <v>582.20000000000073</v>
      </c>
      <c r="M22" s="8">
        <f t="shared" si="21"/>
        <v>1164.4999999999998</v>
      </c>
      <c r="N22" s="8">
        <f t="shared" si="21"/>
        <v>1346.9999999999995</v>
      </c>
      <c r="O22" s="8">
        <f t="shared" si="21"/>
        <v>1180.8000000000015</v>
      </c>
      <c r="P22" s="8">
        <f t="shared" si="21"/>
        <v>1179.5999999999972</v>
      </c>
      <c r="Q22" s="8">
        <f t="shared" si="21"/>
        <v>1899.3302799999967</v>
      </c>
      <c r="R22" s="8">
        <f t="shared" si="21"/>
        <v>2146.3425791999985</v>
      </c>
      <c r="S22" s="8">
        <f t="shared" ref="S22:AA22" si="22">S15-S21</f>
        <v>2310.0366951599985</v>
      </c>
      <c r="T22" s="8">
        <f t="shared" si="22"/>
        <v>2443.3617191663989</v>
      </c>
      <c r="U22" s="8">
        <f t="shared" si="22"/>
        <v>2544.0092995561913</v>
      </c>
      <c r="V22" s="8">
        <f t="shared" si="22"/>
        <v>2594.242401846122</v>
      </c>
      <c r="W22" s="8">
        <f t="shared" si="22"/>
        <v>2642.9329040388175</v>
      </c>
      <c r="X22" s="8">
        <f t="shared" si="22"/>
        <v>2690.7318911576394</v>
      </c>
      <c r="Y22" s="8">
        <f t="shared" si="22"/>
        <v>2738.0964215702988</v>
      </c>
      <c r="Z22" s="8">
        <f t="shared" si="22"/>
        <v>2785.3476869451192</v>
      </c>
      <c r="AA22" s="8">
        <f t="shared" si="22"/>
        <v>2832.7117210390993</v>
      </c>
    </row>
    <row r="23" spans="2:137" x14ac:dyDescent="0.3">
      <c r="B23" s="1" t="s">
        <v>30</v>
      </c>
      <c r="E23" s="6">
        <v>124.1</v>
      </c>
      <c r="F23" s="6">
        <f>P23-E23</f>
        <v>123.20000000000002</v>
      </c>
      <c r="G23" s="6">
        <v>204.9</v>
      </c>
      <c r="H23" s="6">
        <f>H22*0.21</f>
        <v>221.01035879999995</v>
      </c>
      <c r="K23" s="6">
        <v>301</v>
      </c>
      <c r="L23" s="6">
        <v>90.3</v>
      </c>
      <c r="M23" s="6">
        <v>147.69999999999999</v>
      </c>
      <c r="N23" s="6">
        <v>225.1</v>
      </c>
      <c r="O23" s="6">
        <v>252.2</v>
      </c>
      <c r="P23" s="6">
        <v>247.3</v>
      </c>
      <c r="Q23" s="6">
        <f>SUM(G23:H23)</f>
        <v>425.91035879999993</v>
      </c>
      <c r="R23" s="6">
        <f>R22*0.22</f>
        <v>472.19536742399964</v>
      </c>
      <c r="S23" s="6">
        <f t="shared" ref="S23:AA23" si="23">S22*0.22</f>
        <v>508.20807293519971</v>
      </c>
      <c r="T23" s="6">
        <f t="shared" si="23"/>
        <v>537.53957821660777</v>
      </c>
      <c r="U23" s="6">
        <f t="shared" si="23"/>
        <v>559.68204590236212</v>
      </c>
      <c r="V23" s="6">
        <f t="shared" si="23"/>
        <v>570.73332840614682</v>
      </c>
      <c r="W23" s="6">
        <f t="shared" si="23"/>
        <v>581.44523888853985</v>
      </c>
      <c r="X23" s="6">
        <f t="shared" si="23"/>
        <v>591.96101605468073</v>
      </c>
      <c r="Y23" s="6">
        <f t="shared" si="23"/>
        <v>602.38121274546575</v>
      </c>
      <c r="Z23" s="6">
        <f t="shared" si="23"/>
        <v>612.77649112792619</v>
      </c>
      <c r="AA23" s="6">
        <f t="shared" si="23"/>
        <v>623.19657862860186</v>
      </c>
    </row>
    <row r="24" spans="2:137" s="2" customFormat="1" x14ac:dyDescent="0.3">
      <c r="B24" s="2" t="s">
        <v>31</v>
      </c>
      <c r="E24" s="8">
        <f>E22-E23</f>
        <v>594.50000000000068</v>
      </c>
      <c r="F24" s="8">
        <f>F22-F23</f>
        <v>337.79999999999768</v>
      </c>
      <c r="G24" s="8">
        <f>G22-G23</f>
        <v>641.99999999999909</v>
      </c>
      <c r="H24" s="8">
        <f>H22-H23</f>
        <v>831.41992119999986</v>
      </c>
      <c r="K24" s="8">
        <f t="shared" ref="K24:R24" si="24">K22-K23</f>
        <v>1146.4000000000005</v>
      </c>
      <c r="L24" s="8">
        <f t="shared" si="24"/>
        <v>491.90000000000072</v>
      </c>
      <c r="M24" s="8">
        <f t="shared" si="24"/>
        <v>1016.7999999999997</v>
      </c>
      <c r="N24" s="8">
        <f t="shared" si="24"/>
        <v>1121.8999999999996</v>
      </c>
      <c r="O24" s="8">
        <f t="shared" si="24"/>
        <v>928.6000000000015</v>
      </c>
      <c r="P24" s="8">
        <f t="shared" si="24"/>
        <v>932.29999999999723</v>
      </c>
      <c r="Q24" s="8">
        <f t="shared" si="24"/>
        <v>1473.4199211999967</v>
      </c>
      <c r="R24" s="8">
        <f t="shared" si="24"/>
        <v>1674.1472117759988</v>
      </c>
      <c r="S24" s="8">
        <f t="shared" ref="S24:AA24" si="25">S22-S23</f>
        <v>1801.8286222247989</v>
      </c>
      <c r="T24" s="8">
        <f t="shared" si="25"/>
        <v>1905.822140949791</v>
      </c>
      <c r="U24" s="8">
        <f t="shared" si="25"/>
        <v>1984.3272536538293</v>
      </c>
      <c r="V24" s="8">
        <f t="shared" si="25"/>
        <v>2023.5090734399751</v>
      </c>
      <c r="W24" s="8">
        <f t="shared" si="25"/>
        <v>2061.4876651502777</v>
      </c>
      <c r="X24" s="8">
        <f t="shared" si="25"/>
        <v>2098.7708751029586</v>
      </c>
      <c r="Y24" s="8">
        <f t="shared" si="25"/>
        <v>2135.7152088248331</v>
      </c>
      <c r="Z24" s="8">
        <f t="shared" si="25"/>
        <v>2172.5711958171933</v>
      </c>
      <c r="AA24" s="8">
        <f t="shared" si="25"/>
        <v>2209.5151424104974</v>
      </c>
      <c r="AB24" s="2">
        <f>AA24*(1+$AD$31)</f>
        <v>2187.4199909863923</v>
      </c>
      <c r="AC24" s="2">
        <f t="shared" ref="AC24:CN24" si="26">AB24*(1+$AD$31)</f>
        <v>2165.5457910765285</v>
      </c>
      <c r="AD24" s="2">
        <f t="shared" si="26"/>
        <v>2143.8903331657634</v>
      </c>
      <c r="AE24" s="2">
        <f t="shared" si="26"/>
        <v>2122.451429834106</v>
      </c>
      <c r="AF24" s="2">
        <f t="shared" si="26"/>
        <v>2101.2269155357649</v>
      </c>
      <c r="AG24" s="2">
        <f t="shared" si="26"/>
        <v>2080.2146463804074</v>
      </c>
      <c r="AH24" s="2">
        <f t="shared" si="26"/>
        <v>2059.4124999166033</v>
      </c>
      <c r="AI24" s="2">
        <f t="shared" si="26"/>
        <v>2038.8183749174373</v>
      </c>
      <c r="AJ24" s="2">
        <f t="shared" si="26"/>
        <v>2018.4301911682628</v>
      </c>
      <c r="AK24" s="2">
        <f t="shared" si="26"/>
        <v>1998.2458892565801</v>
      </c>
      <c r="AL24" s="2">
        <f t="shared" si="26"/>
        <v>1978.2634303640143</v>
      </c>
      <c r="AM24" s="2">
        <f t="shared" si="26"/>
        <v>1958.4807960603741</v>
      </c>
      <c r="AN24" s="2">
        <f t="shared" si="26"/>
        <v>1938.8959880997704</v>
      </c>
      <c r="AO24" s="2">
        <f t="shared" si="26"/>
        <v>1919.5070282187728</v>
      </c>
      <c r="AP24" s="2">
        <f t="shared" si="26"/>
        <v>1900.311957936585</v>
      </c>
      <c r="AQ24" s="2">
        <f t="shared" si="26"/>
        <v>1881.3088383572192</v>
      </c>
      <c r="AR24" s="2">
        <f t="shared" si="26"/>
        <v>1862.495749973647</v>
      </c>
      <c r="AS24" s="2">
        <f t="shared" si="26"/>
        <v>1843.8707924739106</v>
      </c>
      <c r="AT24" s="2">
        <f t="shared" si="26"/>
        <v>1825.4320845491713</v>
      </c>
      <c r="AU24" s="2">
        <f t="shared" si="26"/>
        <v>1807.1777637036796</v>
      </c>
      <c r="AV24" s="2">
        <f t="shared" si="26"/>
        <v>1789.1059860666428</v>
      </c>
      <c r="AW24" s="2">
        <f t="shared" si="26"/>
        <v>1771.2149262059763</v>
      </c>
      <c r="AX24" s="2">
        <f t="shared" si="26"/>
        <v>1753.5027769439166</v>
      </c>
      <c r="AY24" s="2">
        <f t="shared" si="26"/>
        <v>1735.9677491744774</v>
      </c>
      <c r="AZ24" s="2">
        <f t="shared" si="26"/>
        <v>1718.6080716827325</v>
      </c>
      <c r="BA24" s="2">
        <f t="shared" si="26"/>
        <v>1701.4219909659053</v>
      </c>
      <c r="BB24" s="2">
        <f t="shared" si="26"/>
        <v>1684.4077710562462</v>
      </c>
      <c r="BC24" s="2">
        <f t="shared" si="26"/>
        <v>1667.5636933456838</v>
      </c>
      <c r="BD24" s="2">
        <f t="shared" si="26"/>
        <v>1650.8880564122269</v>
      </c>
      <c r="BE24" s="2">
        <f t="shared" si="26"/>
        <v>1634.3791758481045</v>
      </c>
      <c r="BF24" s="2">
        <f t="shared" si="26"/>
        <v>1618.0353840896234</v>
      </c>
      <c r="BG24" s="2">
        <f t="shared" si="26"/>
        <v>1601.8550302487272</v>
      </c>
      <c r="BH24" s="2">
        <f t="shared" si="26"/>
        <v>1585.8364799462399</v>
      </c>
      <c r="BI24" s="2">
        <f t="shared" si="26"/>
        <v>1569.9781151467776</v>
      </c>
      <c r="BJ24" s="2">
        <f t="shared" si="26"/>
        <v>1554.2783339953098</v>
      </c>
      <c r="BK24" s="2">
        <f t="shared" si="26"/>
        <v>1538.7355506553567</v>
      </c>
      <c r="BL24" s="2">
        <f t="shared" si="26"/>
        <v>1523.3481951488031</v>
      </c>
      <c r="BM24" s="2">
        <f t="shared" si="26"/>
        <v>1508.114713197315</v>
      </c>
      <c r="BN24" s="2">
        <f t="shared" si="26"/>
        <v>1493.0335660653418</v>
      </c>
      <c r="BO24" s="2">
        <f t="shared" si="26"/>
        <v>1478.1032304046885</v>
      </c>
      <c r="BP24" s="2">
        <f t="shared" si="26"/>
        <v>1463.3221981006416</v>
      </c>
      <c r="BQ24" s="2">
        <f t="shared" si="26"/>
        <v>1448.6889761196351</v>
      </c>
      <c r="BR24" s="2">
        <f t="shared" si="26"/>
        <v>1434.2020863584387</v>
      </c>
      <c r="BS24" s="2">
        <f t="shared" si="26"/>
        <v>1419.8600654948543</v>
      </c>
      <c r="BT24" s="2">
        <f t="shared" si="26"/>
        <v>1405.6614648399059</v>
      </c>
      <c r="BU24" s="2">
        <f t="shared" si="26"/>
        <v>1391.6048501915068</v>
      </c>
      <c r="BV24" s="2">
        <f t="shared" si="26"/>
        <v>1377.6888016895916</v>
      </c>
      <c r="BW24" s="2">
        <f t="shared" si="26"/>
        <v>1363.9119136726956</v>
      </c>
      <c r="BX24" s="2">
        <f t="shared" si="26"/>
        <v>1350.2727945359686</v>
      </c>
      <c r="BY24" s="2">
        <f t="shared" si="26"/>
        <v>1336.7700665906088</v>
      </c>
      <c r="BZ24" s="2">
        <f t="shared" si="26"/>
        <v>1323.4023659247027</v>
      </c>
      <c r="CA24" s="2">
        <f t="shared" si="26"/>
        <v>1310.1683422654557</v>
      </c>
      <c r="CB24" s="2">
        <f t="shared" si="26"/>
        <v>1297.0666588428012</v>
      </c>
      <c r="CC24" s="2">
        <f t="shared" si="26"/>
        <v>1284.0959922543732</v>
      </c>
      <c r="CD24" s="2">
        <f t="shared" si="26"/>
        <v>1271.2550323318294</v>
      </c>
      <c r="CE24" s="2">
        <f t="shared" si="26"/>
        <v>1258.5424820085111</v>
      </c>
      <c r="CF24" s="2">
        <f t="shared" si="26"/>
        <v>1245.957057188426</v>
      </c>
      <c r="CG24" s="2">
        <f t="shared" si="26"/>
        <v>1233.4974866165417</v>
      </c>
      <c r="CH24" s="2">
        <f t="shared" si="26"/>
        <v>1221.1625117503763</v>
      </c>
      <c r="CI24" s="2">
        <f t="shared" si="26"/>
        <v>1208.9508866328727</v>
      </c>
      <c r="CJ24" s="2">
        <f t="shared" si="26"/>
        <v>1196.8613777665439</v>
      </c>
      <c r="CK24" s="2">
        <f t="shared" si="26"/>
        <v>1184.8927639888784</v>
      </c>
      <c r="CL24" s="2">
        <f t="shared" si="26"/>
        <v>1173.0438363489895</v>
      </c>
      <c r="CM24" s="2">
        <f t="shared" si="26"/>
        <v>1161.3133979854997</v>
      </c>
      <c r="CN24" s="2">
        <f t="shared" si="26"/>
        <v>1149.7002640056446</v>
      </c>
      <c r="CO24" s="2">
        <f t="shared" ref="CO24:EG24" si="27">CN24*(1+$AD$31)</f>
        <v>1138.2032613655881</v>
      </c>
      <c r="CP24" s="2">
        <f t="shared" si="27"/>
        <v>1126.8212287519323</v>
      </c>
      <c r="CQ24" s="2">
        <f t="shared" si="27"/>
        <v>1115.5530164644128</v>
      </c>
      <c r="CR24" s="2">
        <f t="shared" si="27"/>
        <v>1104.3974862997686</v>
      </c>
      <c r="CS24" s="2">
        <f t="shared" si="27"/>
        <v>1093.353511436771</v>
      </c>
      <c r="CT24" s="2">
        <f t="shared" si="27"/>
        <v>1082.4199763224033</v>
      </c>
      <c r="CU24" s="2">
        <f t="shared" si="27"/>
        <v>1071.5957765591793</v>
      </c>
      <c r="CV24" s="2">
        <f t="shared" si="27"/>
        <v>1060.8798187935874</v>
      </c>
      <c r="CW24" s="2">
        <f t="shared" si="27"/>
        <v>1050.2710206056515</v>
      </c>
      <c r="CX24" s="2">
        <f t="shared" si="27"/>
        <v>1039.7683103995951</v>
      </c>
      <c r="CY24" s="2">
        <f t="shared" si="27"/>
        <v>1029.3706272955992</v>
      </c>
      <c r="CZ24" s="2">
        <f t="shared" si="27"/>
        <v>1019.0769210226432</v>
      </c>
      <c r="DA24" s="2">
        <f t="shared" si="27"/>
        <v>1008.8861518124168</v>
      </c>
      <c r="DB24" s="2">
        <f t="shared" si="27"/>
        <v>998.79729029429257</v>
      </c>
      <c r="DC24" s="2">
        <f t="shared" si="27"/>
        <v>988.80931739134962</v>
      </c>
      <c r="DD24" s="2">
        <f t="shared" si="27"/>
        <v>978.92122421743613</v>
      </c>
      <c r="DE24" s="2">
        <f t="shared" si="27"/>
        <v>969.13201197526178</v>
      </c>
      <c r="DF24" s="2">
        <f t="shared" si="27"/>
        <v>959.44069185550916</v>
      </c>
      <c r="DG24" s="2">
        <f t="shared" si="27"/>
        <v>949.84628493695402</v>
      </c>
      <c r="DH24" s="2">
        <f t="shared" si="27"/>
        <v>940.34782208758452</v>
      </c>
      <c r="DI24" s="2">
        <f t="shared" si="27"/>
        <v>930.94434386670866</v>
      </c>
      <c r="DJ24" s="2">
        <f t="shared" si="27"/>
        <v>921.63490042804153</v>
      </c>
      <c r="DK24" s="2">
        <f t="shared" si="27"/>
        <v>912.41855142376107</v>
      </c>
      <c r="DL24" s="2">
        <f t="shared" si="27"/>
        <v>903.29436590952344</v>
      </c>
      <c r="DM24" s="2">
        <f t="shared" si="27"/>
        <v>894.26142225042815</v>
      </c>
      <c r="DN24" s="2">
        <f t="shared" si="27"/>
        <v>885.31880802792386</v>
      </c>
      <c r="DO24" s="2">
        <f t="shared" si="27"/>
        <v>876.46561994764465</v>
      </c>
      <c r="DP24" s="2">
        <f t="shared" si="27"/>
        <v>867.70096374816819</v>
      </c>
      <c r="DQ24" s="2">
        <f t="shared" si="27"/>
        <v>859.02395411068653</v>
      </c>
      <c r="DR24" s="2">
        <f t="shared" si="27"/>
        <v>850.43371456957971</v>
      </c>
      <c r="DS24" s="2">
        <f t="shared" si="27"/>
        <v>841.92937742388392</v>
      </c>
      <c r="DT24" s="2">
        <f t="shared" si="27"/>
        <v>833.51008364964503</v>
      </c>
      <c r="DU24" s="2">
        <f t="shared" si="27"/>
        <v>825.17498281314852</v>
      </c>
      <c r="DV24" s="2">
        <f t="shared" si="27"/>
        <v>816.92323298501708</v>
      </c>
      <c r="DW24" s="2">
        <f t="shared" si="27"/>
        <v>808.75400065516692</v>
      </c>
      <c r="DX24" s="2">
        <f t="shared" si="27"/>
        <v>800.66646064861527</v>
      </c>
      <c r="DY24" s="2">
        <f t="shared" si="27"/>
        <v>792.65979604212907</v>
      </c>
      <c r="DZ24" s="2">
        <f t="shared" si="27"/>
        <v>784.73319808170777</v>
      </c>
      <c r="EA24" s="2">
        <f t="shared" si="27"/>
        <v>776.88586610089067</v>
      </c>
      <c r="EB24" s="2">
        <f t="shared" si="27"/>
        <v>769.11700743988172</v>
      </c>
      <c r="EC24" s="2">
        <f t="shared" si="27"/>
        <v>761.42583736548295</v>
      </c>
      <c r="ED24" s="2">
        <f t="shared" si="27"/>
        <v>753.81157899182813</v>
      </c>
      <c r="EE24" s="2">
        <f t="shared" si="27"/>
        <v>746.27346320190986</v>
      </c>
      <c r="EF24" s="2">
        <f t="shared" si="27"/>
        <v>738.81072856989078</v>
      </c>
      <c r="EG24" s="2">
        <f t="shared" si="27"/>
        <v>731.42262128419191</v>
      </c>
    </row>
    <row r="25" spans="2:137" x14ac:dyDescent="0.3">
      <c r="B25" s="1" t="s">
        <v>2</v>
      </c>
      <c r="E25" s="6">
        <f>205.5</f>
        <v>205.5</v>
      </c>
      <c r="F25" s="6">
        <f>205.5</f>
        <v>205.5</v>
      </c>
      <c r="G25" s="6">
        <f>205.4</f>
        <v>205.4</v>
      </c>
      <c r="H25" s="6">
        <f>205.4</f>
        <v>205.4</v>
      </c>
      <c r="K25" s="6">
        <f t="shared" ref="K25:P25" si="28">205.5</f>
        <v>205.5</v>
      </c>
      <c r="L25" s="6">
        <f t="shared" si="28"/>
        <v>205.5</v>
      </c>
      <c r="M25" s="6">
        <f t="shared" si="28"/>
        <v>205.5</v>
      </c>
      <c r="N25" s="6">
        <f t="shared" si="28"/>
        <v>205.5</v>
      </c>
      <c r="O25" s="6">
        <f t="shared" si="28"/>
        <v>205.5</v>
      </c>
      <c r="P25" s="6">
        <f t="shared" si="28"/>
        <v>205.5</v>
      </c>
      <c r="Q25" s="6">
        <f>205.4</f>
        <v>205.4</v>
      </c>
      <c r="R25" s="6">
        <f>205.4</f>
        <v>205.4</v>
      </c>
      <c r="S25" s="6">
        <f t="shared" ref="S25:AA25" si="29">205.4</f>
        <v>205.4</v>
      </c>
      <c r="T25" s="6">
        <f t="shared" si="29"/>
        <v>205.4</v>
      </c>
      <c r="U25" s="6">
        <f t="shared" si="29"/>
        <v>205.4</v>
      </c>
      <c r="V25" s="6">
        <f t="shared" si="29"/>
        <v>205.4</v>
      </c>
      <c r="W25" s="6">
        <f t="shared" si="29"/>
        <v>205.4</v>
      </c>
      <c r="X25" s="6">
        <f t="shared" si="29"/>
        <v>205.4</v>
      </c>
      <c r="Y25" s="6">
        <f t="shared" si="29"/>
        <v>205.4</v>
      </c>
      <c r="Z25" s="6">
        <f t="shared" si="29"/>
        <v>205.4</v>
      </c>
      <c r="AA25" s="6">
        <f t="shared" si="29"/>
        <v>205.4</v>
      </c>
    </row>
    <row r="26" spans="2:137" x14ac:dyDescent="0.3">
      <c r="B26" s="1" t="s">
        <v>32</v>
      </c>
      <c r="E26" s="7">
        <f>E24/E25</f>
        <v>2.8929440389294436</v>
      </c>
      <c r="F26" s="7">
        <f>F24/F25</f>
        <v>1.6437956204379449</v>
      </c>
      <c r="G26" s="7">
        <f>G24/G25</f>
        <v>3.1256085686465389</v>
      </c>
      <c r="H26" s="7">
        <f>H24/H25</f>
        <v>4.0478087692307687</v>
      </c>
      <c r="K26" s="7">
        <f t="shared" ref="K26:R26" si="30">K24/K25</f>
        <v>5.5785888077858905</v>
      </c>
      <c r="L26" s="7">
        <f t="shared" si="30"/>
        <v>2.3936739659367432</v>
      </c>
      <c r="M26" s="7">
        <f t="shared" si="30"/>
        <v>4.9479318734793178</v>
      </c>
      <c r="N26" s="7">
        <f t="shared" si="30"/>
        <v>5.459367396593672</v>
      </c>
      <c r="O26" s="7">
        <f t="shared" si="30"/>
        <v>4.5187347931873552</v>
      </c>
      <c r="P26" s="7">
        <f t="shared" si="30"/>
        <v>4.5367396593673828</v>
      </c>
      <c r="Q26" s="7">
        <f t="shared" si="30"/>
        <v>7.1734173378772965</v>
      </c>
      <c r="R26" s="7">
        <f t="shared" si="30"/>
        <v>8.1506680222784755</v>
      </c>
      <c r="S26" s="7">
        <f t="shared" ref="S26:AA26" si="31">S24/S25</f>
        <v>8.7722912474430323</v>
      </c>
      <c r="T26" s="7">
        <f t="shared" si="31"/>
        <v>9.2785888069610074</v>
      </c>
      <c r="U26" s="7">
        <f t="shared" si="31"/>
        <v>9.6607948084412332</v>
      </c>
      <c r="V26" s="7">
        <f t="shared" si="31"/>
        <v>9.8515534247321082</v>
      </c>
      <c r="W26" s="7">
        <f t="shared" si="31"/>
        <v>10.036454065970194</v>
      </c>
      <c r="X26" s="7">
        <f t="shared" si="31"/>
        <v>10.217969206927744</v>
      </c>
      <c r="Y26" s="7">
        <f t="shared" si="31"/>
        <v>10.397834512292274</v>
      </c>
      <c r="Z26" s="7">
        <f t="shared" si="31"/>
        <v>10.577269697259947</v>
      </c>
      <c r="AA26" s="7">
        <f t="shared" si="31"/>
        <v>10.757133117869998</v>
      </c>
    </row>
    <row r="28" spans="2:137" x14ac:dyDescent="0.3">
      <c r="B28" s="1" t="s">
        <v>57</v>
      </c>
      <c r="G28" s="10">
        <f>G3/E3-1</f>
        <v>6.5590527705609247E-2</v>
      </c>
    </row>
    <row r="29" spans="2:137" x14ac:dyDescent="0.3">
      <c r="B29" s="1" t="s">
        <v>38</v>
      </c>
      <c r="E29" s="10"/>
      <c r="F29" s="10"/>
      <c r="G29" s="10">
        <f>G5/E5-1</f>
        <v>8.1358967606004695E-2</v>
      </c>
      <c r="H29" s="10">
        <f>H5/F5-1</f>
        <v>8.0000000000000071E-2</v>
      </c>
      <c r="K29" s="10"/>
      <c r="L29" s="10">
        <f>L5/K5-1</f>
        <v>-7.6740394543774682E-2</v>
      </c>
      <c r="M29" s="10">
        <f t="shared" ref="M29:P29" si="32">M5/L5-1</f>
        <v>-4.690709816409544E-2</v>
      </c>
      <c r="N29" s="10">
        <f t="shared" si="32"/>
        <v>8.5029644268774573E-2</v>
      </c>
      <c r="O29" s="10">
        <f t="shared" si="32"/>
        <v>4.89276444606348E-2</v>
      </c>
      <c r="P29" s="10">
        <f t="shared" si="32"/>
        <v>0.11657007662086771</v>
      </c>
      <c r="Q29" s="10">
        <f>Q5/P5-1</f>
        <v>8.0626925731170251E-2</v>
      </c>
      <c r="R29" s="10">
        <f t="shared" ref="R29:AA29" si="33">R5/Q5-1</f>
        <v>6.0000000000000053E-2</v>
      </c>
      <c r="S29" s="10">
        <f t="shared" si="33"/>
        <v>5.0000000000000044E-2</v>
      </c>
      <c r="T29" s="10">
        <f t="shared" si="33"/>
        <v>4.0000000000000036E-2</v>
      </c>
      <c r="U29" s="10">
        <f t="shared" si="33"/>
        <v>3.0000000000000027E-2</v>
      </c>
      <c r="V29" s="10">
        <f t="shared" si="33"/>
        <v>2.0000000000000018E-2</v>
      </c>
      <c r="W29" s="10">
        <f t="shared" si="33"/>
        <v>2.0000000000000018E-2</v>
      </c>
      <c r="X29" s="10">
        <f t="shared" si="33"/>
        <v>2.0000000000000018E-2</v>
      </c>
      <c r="Y29" s="10">
        <f t="shared" si="33"/>
        <v>2.0000000000000018E-2</v>
      </c>
      <c r="Z29" s="10">
        <f t="shared" si="33"/>
        <v>2.0000000000000018E-2</v>
      </c>
      <c r="AA29" s="10">
        <f t="shared" si="33"/>
        <v>2.0000000000000018E-2</v>
      </c>
    </row>
    <row r="30" spans="2:137" x14ac:dyDescent="0.3">
      <c r="B30" s="1" t="s">
        <v>39</v>
      </c>
      <c r="E30" s="10">
        <f t="shared" ref="E30:F30" si="34">E7/E5</f>
        <v>0.26416644719515409</v>
      </c>
      <c r="F30" s="10">
        <f t="shared" si="34"/>
        <v>0.25859564601546342</v>
      </c>
      <c r="G30" s="10">
        <f>G7/G5</f>
        <v>0.26389213623256169</v>
      </c>
      <c r="H30" s="10">
        <f>H7/H5</f>
        <v>0.26</v>
      </c>
      <c r="K30" s="10">
        <f t="shared" ref="K30:Q30" si="35">K7/K5</f>
        <v>0.24583990000543451</v>
      </c>
      <c r="L30" s="10">
        <f t="shared" si="35"/>
        <v>0.23163359605389403</v>
      </c>
      <c r="M30" s="10">
        <f t="shared" si="35"/>
        <v>0.24907979249011861</v>
      </c>
      <c r="N30" s="10">
        <f t="shared" si="35"/>
        <v>0.25359728609808296</v>
      </c>
      <c r="O30" s="10">
        <f t="shared" si="35"/>
        <v>0.25864426645829269</v>
      </c>
      <c r="P30" s="10">
        <f t="shared" si="35"/>
        <v>0.26116559587103788</v>
      </c>
      <c r="Q30" s="10">
        <f t="shared" si="35"/>
        <v>0.26179675608892167</v>
      </c>
      <c r="R30" s="10">
        <f t="shared" ref="R30:AA30" si="36">R7/R5</f>
        <v>0.26</v>
      </c>
      <c r="S30" s="10">
        <f t="shared" si="36"/>
        <v>0.26</v>
      </c>
      <c r="T30" s="10">
        <f t="shared" si="36"/>
        <v>0.26</v>
      </c>
      <c r="U30" s="10">
        <f t="shared" si="36"/>
        <v>0.26</v>
      </c>
      <c r="V30" s="10">
        <f t="shared" si="36"/>
        <v>0.26</v>
      </c>
      <c r="W30" s="10">
        <f t="shared" si="36"/>
        <v>0.26</v>
      </c>
      <c r="X30" s="10">
        <f t="shared" si="36"/>
        <v>0.26</v>
      </c>
      <c r="Y30" s="10">
        <f t="shared" si="36"/>
        <v>0.26</v>
      </c>
      <c r="Z30" s="10">
        <f t="shared" si="36"/>
        <v>0.26</v>
      </c>
      <c r="AA30" s="10">
        <f t="shared" si="36"/>
        <v>0.26</v>
      </c>
    </row>
    <row r="31" spans="2:137" x14ac:dyDescent="0.3">
      <c r="B31" s="1" t="s">
        <v>40</v>
      </c>
      <c r="E31" s="10"/>
      <c r="F31" s="10"/>
      <c r="G31" s="10">
        <f>G8/E8-1</f>
        <v>4.67211747038212E-2</v>
      </c>
      <c r="H31" s="10">
        <f>H8/F8-1</f>
        <v>5.0000000000000044E-2</v>
      </c>
      <c r="K31" s="10"/>
      <c r="L31" s="10">
        <f t="shared" ref="L31:AA31" si="37">L8/K8-1</f>
        <v>-6.71825216203914E-2</v>
      </c>
      <c r="M31" s="10">
        <f t="shared" si="37"/>
        <v>2.1469698448326469E-3</v>
      </c>
      <c r="N31" s="10">
        <f t="shared" si="37"/>
        <v>3.5738630830655094E-2</v>
      </c>
      <c r="O31" s="10">
        <f t="shared" si="37"/>
        <v>4.146295599849581E-2</v>
      </c>
      <c r="P31" s="10">
        <f t="shared" si="37"/>
        <v>0.14986007041617766</v>
      </c>
      <c r="Q31" s="10">
        <f t="shared" si="37"/>
        <v>4.8457250529952089E-2</v>
      </c>
      <c r="R31" s="10">
        <f t="shared" si="37"/>
        <v>6.0000000000000053E-2</v>
      </c>
      <c r="S31" s="10">
        <f t="shared" si="37"/>
        <v>4.0000000000000036E-2</v>
      </c>
      <c r="T31" s="10">
        <f t="shared" si="37"/>
        <v>3.0000000000000027E-2</v>
      </c>
      <c r="U31" s="10">
        <f t="shared" si="37"/>
        <v>2.0000000000000018E-2</v>
      </c>
      <c r="V31" s="10">
        <f t="shared" si="37"/>
        <v>2.0000000000000018E-2</v>
      </c>
      <c r="W31" s="10">
        <f t="shared" si="37"/>
        <v>2.0000000000000018E-2</v>
      </c>
      <c r="X31" s="10">
        <f t="shared" si="37"/>
        <v>2.0000000000000018E-2</v>
      </c>
      <c r="Y31" s="10">
        <f t="shared" si="37"/>
        <v>2.0000000000000018E-2</v>
      </c>
      <c r="Z31" s="10">
        <f t="shared" si="37"/>
        <v>2.0000000000000018E-2</v>
      </c>
      <c r="AA31" s="10">
        <f t="shared" si="37"/>
        <v>2.0000000000000018E-2</v>
      </c>
      <c r="AC31" s="1" t="s">
        <v>45</v>
      </c>
      <c r="AD31" s="10">
        <v>-0.01</v>
      </c>
    </row>
    <row r="32" spans="2:137" x14ac:dyDescent="0.3">
      <c r="B32" s="1" t="s">
        <v>41</v>
      </c>
      <c r="E32" s="10">
        <f t="shared" ref="E32:F32" si="38">E9/E5</f>
        <v>8.1738214379773508E-2</v>
      </c>
      <c r="F32" s="10">
        <f t="shared" si="38"/>
        <v>7.3474616793424818E-2</v>
      </c>
      <c r="G32" s="10">
        <f>G9/G5</f>
        <v>7.5364351960096651E-2</v>
      </c>
      <c r="H32" s="10">
        <f>H9/H5</f>
        <v>7.1433655215829686E-2</v>
      </c>
      <c r="K32" s="10">
        <f t="shared" ref="K32:P32" si="39">K9/K5</f>
        <v>7.5153524264985602E-2</v>
      </c>
      <c r="L32" s="10">
        <f t="shared" si="39"/>
        <v>7.6885495823743738E-2</v>
      </c>
      <c r="M32" s="10">
        <f t="shared" si="39"/>
        <v>7.5710227272727276E-2</v>
      </c>
      <c r="N32" s="10">
        <f t="shared" si="39"/>
        <v>7.6863530804608171E-2</v>
      </c>
      <c r="O32" s="10">
        <f t="shared" si="39"/>
        <v>7.510147381215948E-2</v>
      </c>
      <c r="P32" s="10">
        <f t="shared" si="39"/>
        <v>7.7286820951955132E-2</v>
      </c>
      <c r="Q32" s="10">
        <f>Q9/Q5</f>
        <v>7.3248212283457889E-2</v>
      </c>
      <c r="R32" s="10">
        <f t="shared" ref="R32:AA32" si="40">R9/R5</f>
        <v>7.0000000000000007E-2</v>
      </c>
      <c r="S32" s="10">
        <f t="shared" si="40"/>
        <v>7.0000000000000007E-2</v>
      </c>
      <c r="T32" s="10">
        <f t="shared" si="40"/>
        <v>7.0000000000000007E-2</v>
      </c>
      <c r="U32" s="10">
        <f t="shared" si="40"/>
        <v>7.0000000000000007E-2</v>
      </c>
      <c r="V32" s="10">
        <f t="shared" si="40"/>
        <v>7.0000000000000007E-2</v>
      </c>
      <c r="W32" s="10">
        <f t="shared" si="40"/>
        <v>7.0000000000000007E-2</v>
      </c>
      <c r="X32" s="10">
        <f t="shared" si="40"/>
        <v>7.0000000000000007E-2</v>
      </c>
      <c r="Y32" s="10">
        <f t="shared" si="40"/>
        <v>7.0000000000000007E-2</v>
      </c>
      <c r="Z32" s="10">
        <f t="shared" si="40"/>
        <v>7.0000000000000021E-2</v>
      </c>
      <c r="AA32" s="10">
        <f t="shared" si="40"/>
        <v>7.0000000000000007E-2</v>
      </c>
      <c r="AC32" s="1" t="s">
        <v>46</v>
      </c>
      <c r="AD32" s="10">
        <v>0.08</v>
      </c>
    </row>
    <row r="33" spans="2:30" x14ac:dyDescent="0.3">
      <c r="B33" s="1" t="s">
        <v>42</v>
      </c>
      <c r="E33" s="10"/>
      <c r="F33" s="10"/>
      <c r="G33" s="10">
        <f>G10/E10-1</f>
        <v>6.0280513279618031E-2</v>
      </c>
      <c r="H33" s="10">
        <f>H10/F10-1</f>
        <v>5.0000000000000044E-2</v>
      </c>
      <c r="K33" s="10"/>
      <c r="L33" s="10">
        <f t="shared" ref="L33:P33" si="41">L10/K10-1</f>
        <v>-3.7066122192555451E-2</v>
      </c>
      <c r="M33" s="10">
        <f t="shared" si="41"/>
        <v>-0.11107486543793843</v>
      </c>
      <c r="N33" s="10">
        <f t="shared" si="41"/>
        <v>9.8165137614678821E-2</v>
      </c>
      <c r="O33" s="10">
        <f t="shared" si="41"/>
        <v>3.7593984962406068E-2</v>
      </c>
      <c r="P33" s="10">
        <f t="shared" si="41"/>
        <v>0.11578099838969402</v>
      </c>
      <c r="Q33" s="10">
        <f>Q10/P10-1</f>
        <v>5.4971857410881952E-2</v>
      </c>
      <c r="R33" s="10">
        <f t="shared" ref="R33:AA33" si="42">R10/Q10-1</f>
        <v>4.0000000000000036E-2</v>
      </c>
      <c r="S33" s="10">
        <f t="shared" si="42"/>
        <v>3.0000000000000027E-2</v>
      </c>
      <c r="T33" s="10">
        <f t="shared" si="42"/>
        <v>3.0000000000000027E-2</v>
      </c>
      <c r="U33" s="10">
        <f t="shared" si="42"/>
        <v>3.0000000000000027E-2</v>
      </c>
      <c r="V33" s="10">
        <f t="shared" si="42"/>
        <v>3.0000000000000027E-2</v>
      </c>
      <c r="W33" s="10">
        <f t="shared" si="42"/>
        <v>3.0000000000000027E-2</v>
      </c>
      <c r="X33" s="10">
        <f t="shared" si="42"/>
        <v>3.0000000000000027E-2</v>
      </c>
      <c r="Y33" s="10">
        <f t="shared" si="42"/>
        <v>3.0000000000000027E-2</v>
      </c>
      <c r="Z33" s="10">
        <f t="shared" si="42"/>
        <v>3.0000000000000027E-2</v>
      </c>
      <c r="AA33" s="10">
        <f t="shared" si="42"/>
        <v>3.0000000000000027E-2</v>
      </c>
      <c r="AC33" s="1" t="s">
        <v>47</v>
      </c>
      <c r="AD33" s="6">
        <f>NPV(AD32,Q24:EG24)</f>
        <v>24038.64915388478</v>
      </c>
    </row>
    <row r="34" spans="2:30" x14ac:dyDescent="0.3">
      <c r="B34" s="1" t="s">
        <v>43</v>
      </c>
      <c r="E34" s="10">
        <f t="shared" ref="E34:F34" si="43">E15/E5</f>
        <v>7.8556755333157827E-2</v>
      </c>
      <c r="F34" s="10">
        <f t="shared" si="43"/>
        <v>4.6598280419700093E-2</v>
      </c>
      <c r="G34" s="10">
        <f>G15/G5</f>
        <v>8.5291481568077226E-2</v>
      </c>
      <c r="H34" s="10">
        <f>H15/H5</f>
        <v>9.2598881213563494E-2</v>
      </c>
      <c r="K34" s="10">
        <f t="shared" ref="K34:Q34" si="44">K15/K5</f>
        <v>8.1625998587033344E-2</v>
      </c>
      <c r="L34" s="10">
        <f t="shared" si="44"/>
        <v>4.2627833467734855E-2</v>
      </c>
      <c r="M34" s="10">
        <f t="shared" si="44"/>
        <v>7.3628952569169945E-2</v>
      </c>
      <c r="N34" s="10">
        <f t="shared" si="44"/>
        <v>7.5161650198078384E-2</v>
      </c>
      <c r="O34" s="10">
        <f t="shared" si="44"/>
        <v>6.3727724598988594E-2</v>
      </c>
      <c r="P34" s="10">
        <f t="shared" si="44"/>
        <v>6.1341523866916652E-2</v>
      </c>
      <c r="Q34" s="10">
        <f t="shared" si="44"/>
        <v>8.9225511417981851E-2</v>
      </c>
      <c r="R34" s="10">
        <f t="shared" ref="R34:AA34" si="45">R15/R5</f>
        <v>9.4726893322258893E-2</v>
      </c>
      <c r="S34" s="10">
        <f t="shared" si="45"/>
        <v>9.6900240342143229E-2</v>
      </c>
      <c r="T34" s="10">
        <f t="shared" si="45"/>
        <v>9.8421795039767529E-2</v>
      </c>
      <c r="U34" s="10">
        <f t="shared" si="45"/>
        <v>9.9419457593773339E-2</v>
      </c>
      <c r="V34" s="10">
        <f t="shared" si="45"/>
        <v>9.9395527458088523E-2</v>
      </c>
      <c r="W34" s="10">
        <f t="shared" si="45"/>
        <v>9.9279712017733029E-2</v>
      </c>
      <c r="X34" s="10">
        <f t="shared" si="45"/>
        <v>9.9099863595758175E-2</v>
      </c>
      <c r="Y34" s="10">
        <f t="shared" si="45"/>
        <v>9.8875086978187518E-2</v>
      </c>
      <c r="Z34" s="10">
        <f t="shared" si="45"/>
        <v>9.8618483645698737E-2</v>
      </c>
      <c r="AA34" s="10">
        <f t="shared" si="45"/>
        <v>9.8339035068957928E-2</v>
      </c>
      <c r="AC34" s="1" t="s">
        <v>48</v>
      </c>
      <c r="AD34" s="6">
        <f>Main!D8</f>
        <v>-1408.0999999999995</v>
      </c>
    </row>
    <row r="35" spans="2:30" x14ac:dyDescent="0.3">
      <c r="B35" s="1" t="s">
        <v>30</v>
      </c>
      <c r="E35" s="10">
        <f t="shared" ref="E35:F35" si="46">E23/E22</f>
        <v>0.17269691065961573</v>
      </c>
      <c r="F35" s="10">
        <f t="shared" si="46"/>
        <v>0.2672451193058582</v>
      </c>
      <c r="G35" s="10">
        <f>G23/G22</f>
        <v>0.24194119730782881</v>
      </c>
      <c r="H35" s="10">
        <f>H23/H22</f>
        <v>0.21</v>
      </c>
      <c r="K35" s="10">
        <f t="shared" ref="K35:Q35" si="47">K23/K22</f>
        <v>0.20795909907420193</v>
      </c>
      <c r="L35" s="10">
        <f t="shared" si="47"/>
        <v>0.15510133974579163</v>
      </c>
      <c r="M35" s="10">
        <f t="shared" si="47"/>
        <v>0.12683555173894376</v>
      </c>
      <c r="N35" s="10">
        <f t="shared" si="47"/>
        <v>0.1671121009651077</v>
      </c>
      <c r="O35" s="10">
        <f t="shared" si="47"/>
        <v>0.21358401084010811</v>
      </c>
      <c r="P35" s="10">
        <f t="shared" si="47"/>
        <v>0.20964733808070585</v>
      </c>
      <c r="Q35" s="10">
        <f t="shared" si="47"/>
        <v>0.22424238863816812</v>
      </c>
      <c r="R35" s="10">
        <f t="shared" ref="R35:AA35" si="48">R23/R22</f>
        <v>0.22</v>
      </c>
      <c r="S35" s="10">
        <f t="shared" si="48"/>
        <v>0.22</v>
      </c>
      <c r="T35" s="10">
        <f t="shared" si="48"/>
        <v>0.22</v>
      </c>
      <c r="U35" s="10">
        <f t="shared" si="48"/>
        <v>0.22</v>
      </c>
      <c r="V35" s="10">
        <f t="shared" si="48"/>
        <v>0.22</v>
      </c>
      <c r="W35" s="10">
        <f t="shared" si="48"/>
        <v>0.22</v>
      </c>
      <c r="X35" s="10">
        <f t="shared" si="48"/>
        <v>0.22000000000000003</v>
      </c>
      <c r="Y35" s="10">
        <f t="shared" si="48"/>
        <v>0.22</v>
      </c>
      <c r="Z35" s="10">
        <f t="shared" si="48"/>
        <v>0.21999999999999997</v>
      </c>
      <c r="AA35" s="10">
        <f t="shared" si="48"/>
        <v>0.22</v>
      </c>
      <c r="AC35" s="1" t="s">
        <v>49</v>
      </c>
      <c r="AD35" s="6">
        <f>AD33+AD34</f>
        <v>22630.549153884782</v>
      </c>
    </row>
    <row r="36" spans="2:30" x14ac:dyDescent="0.3">
      <c r="B36" s="1" t="s">
        <v>44</v>
      </c>
      <c r="E36" s="10">
        <f t="shared" ref="E36:F36" si="49">E24/E5</f>
        <v>6.2628390834869707E-2</v>
      </c>
      <c r="F36" s="10">
        <f t="shared" si="49"/>
        <v>3.0476087368392357E-2</v>
      </c>
      <c r="G36" s="10">
        <f>G24/G5</f>
        <v>6.2543839139583737E-2</v>
      </c>
      <c r="H36" s="10">
        <f>H24/H5</f>
        <v>6.9453835707939324E-2</v>
      </c>
      <c r="K36" s="10">
        <f t="shared" ref="K36:Q36" si="50">K24/K5</f>
        <v>6.2300961904244362E-2</v>
      </c>
      <c r="L36" s="10">
        <f t="shared" si="50"/>
        <v>2.8954199506736791E-2</v>
      </c>
      <c r="M36" s="10">
        <f t="shared" si="50"/>
        <v>6.279644268774702E-2</v>
      </c>
      <c r="N36" s="10">
        <f t="shared" si="50"/>
        <v>6.3857520149355654E-2</v>
      </c>
      <c r="O36" s="10">
        <f t="shared" si="50"/>
        <v>5.0389616027435989E-2</v>
      </c>
      <c r="P36" s="10">
        <f t="shared" si="50"/>
        <v>4.5308748772877799E-2</v>
      </c>
      <c r="Q36" s="10">
        <f t="shared" si="50"/>
        <v>6.6263922080365661E-2</v>
      </c>
      <c r="R36" s="10">
        <f t="shared" ref="R36:AA36" si="51">R24/R5</f>
        <v>7.1029438073565057E-2</v>
      </c>
      <c r="S36" s="10">
        <f t="shared" si="51"/>
        <v>7.2806292712440476E-2</v>
      </c>
      <c r="T36" s="10">
        <f t="shared" si="51"/>
        <v>7.4046487968018784E-2</v>
      </c>
      <c r="U36" s="10">
        <f t="shared" si="51"/>
        <v>7.4851096917065651E-2</v>
      </c>
      <c r="V36" s="10">
        <f t="shared" si="51"/>
        <v>7.4832431411231484E-2</v>
      </c>
      <c r="W36" s="10">
        <f t="shared" si="51"/>
        <v>7.474209536775421E-2</v>
      </c>
      <c r="X36" s="10">
        <f t="shared" si="51"/>
        <v>7.4601813598613814E-2</v>
      </c>
      <c r="Y36" s="10">
        <f t="shared" si="51"/>
        <v>7.4426487836908722E-2</v>
      </c>
      <c r="Z36" s="10">
        <f t="shared" si="51"/>
        <v>7.4226337237567469E-2</v>
      </c>
      <c r="AA36" s="10">
        <f t="shared" si="51"/>
        <v>7.400836734770963E-2</v>
      </c>
      <c r="AC36" s="1" t="s">
        <v>50</v>
      </c>
      <c r="AD36" s="11">
        <f>AD35/AA25</f>
        <v>110.17794135289571</v>
      </c>
    </row>
    <row r="37" spans="2:30" x14ac:dyDescent="0.3">
      <c r="AC37" s="1" t="s">
        <v>51</v>
      </c>
      <c r="AD37" s="11">
        <f>Main!D3</f>
        <v>226.9</v>
      </c>
    </row>
    <row r="38" spans="2:30" x14ac:dyDescent="0.3">
      <c r="AC38" s="2" t="s">
        <v>52</v>
      </c>
      <c r="AD38" s="12">
        <f>AD36/AD37-1</f>
        <v>-0.51442070800839268</v>
      </c>
    </row>
    <row r="39" spans="2:30" x14ac:dyDescent="0.3">
      <c r="AC39" s="1" t="s">
        <v>53</v>
      </c>
      <c r="AD39" s="9" t="s">
        <v>54</v>
      </c>
    </row>
    <row r="40" spans="2:30" s="13" customFormat="1" x14ac:dyDescent="0.3">
      <c r="B40" s="13" t="s">
        <v>55</v>
      </c>
      <c r="G40" s="13">
        <v>38887</v>
      </c>
    </row>
    <row r="42" spans="2:30" x14ac:dyDescent="0.3">
      <c r="B42" s="1" t="s">
        <v>58</v>
      </c>
      <c r="G42" s="15">
        <f>Main!D9/Model!G40</f>
        <v>1.2346892277624912</v>
      </c>
    </row>
    <row r="43" spans="2:30" x14ac:dyDescent="0.3">
      <c r="B43" s="1" t="s">
        <v>59</v>
      </c>
      <c r="G43" s="10">
        <f>G40/Main!D9-1</f>
        <v>-0.19007959451286061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2025-07-30T14:25:37Z</dcterms:created>
  <dcterms:modified xsi:type="dcterms:W3CDTF">2025-11-22T12:19:06Z</dcterms:modified>
</cp:coreProperties>
</file>