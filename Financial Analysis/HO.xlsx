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44DE6C2-0AA0-4F23-9470-7125BE88F6B4}" xr6:coauthVersionLast="47" xr6:coauthVersionMax="47" xr10:uidLastSave="{00000000-0000-0000-0000-000000000000}"/>
  <bookViews>
    <workbookView xWindow="-108" yWindow="-108" windowWidth="23256" windowHeight="12576" xr2:uid="{BF427BEE-D598-4325-938D-FB62EE8A4E7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1" i="2" l="1"/>
  <c r="Z21" i="2"/>
  <c r="Y21" i="2"/>
  <c r="X21" i="2"/>
  <c r="W21" i="2"/>
  <c r="V21" i="2"/>
  <c r="U21" i="2"/>
  <c r="T21" i="2"/>
  <c r="S21" i="2"/>
  <c r="R21" i="2"/>
  <c r="AD34" i="2"/>
  <c r="AD31" i="2"/>
  <c r="AA23" i="2"/>
  <c r="Z23" i="2"/>
  <c r="Y23" i="2"/>
  <c r="X23" i="2"/>
  <c r="W23" i="2"/>
  <c r="V23" i="2"/>
  <c r="U23" i="2"/>
  <c r="T23" i="2"/>
  <c r="S23" i="2"/>
  <c r="S18" i="2"/>
  <c r="T18" i="2" s="1"/>
  <c r="U18" i="2" s="1"/>
  <c r="V18" i="2" s="1"/>
  <c r="W18" i="2" s="1"/>
  <c r="X18" i="2" s="1"/>
  <c r="Y18" i="2" s="1"/>
  <c r="Z18" i="2" s="1"/>
  <c r="AA18" i="2" s="1"/>
  <c r="S17" i="2"/>
  <c r="T17" i="2" s="1"/>
  <c r="U17" i="2" s="1"/>
  <c r="V17" i="2" s="1"/>
  <c r="W17" i="2" s="1"/>
  <c r="X17" i="2" s="1"/>
  <c r="Y17" i="2" s="1"/>
  <c r="Z17" i="2" s="1"/>
  <c r="AA17" i="2" s="1"/>
  <c r="S16" i="2"/>
  <c r="T16" i="2" s="1"/>
  <c r="U16" i="2" s="1"/>
  <c r="V16" i="2" s="1"/>
  <c r="W16" i="2" s="1"/>
  <c r="X16" i="2" s="1"/>
  <c r="Y16" i="2" s="1"/>
  <c r="Z16" i="2" s="1"/>
  <c r="AA16" i="2" s="1"/>
  <c r="T15" i="2"/>
  <c r="U15" i="2" s="1"/>
  <c r="V15" i="2" s="1"/>
  <c r="W15" i="2" s="1"/>
  <c r="X15" i="2" s="1"/>
  <c r="Y15" i="2" s="1"/>
  <c r="Z15" i="2" s="1"/>
  <c r="AA15" i="2" s="1"/>
  <c r="S15" i="2"/>
  <c r="U14" i="2"/>
  <c r="U19" i="2" s="1"/>
  <c r="T14" i="2"/>
  <c r="S14" i="2"/>
  <c r="S19" i="2" s="1"/>
  <c r="AA13" i="2"/>
  <c r="V13" i="2"/>
  <c r="S13" i="2"/>
  <c r="S20" i="2" s="1"/>
  <c r="AA12" i="2"/>
  <c r="Z12" i="2"/>
  <c r="Z13" i="2" s="1"/>
  <c r="Y12" i="2"/>
  <c r="Y13" i="2" s="1"/>
  <c r="X12" i="2"/>
  <c r="X13" i="2" s="1"/>
  <c r="W12" i="2"/>
  <c r="W13" i="2" s="1"/>
  <c r="V12" i="2"/>
  <c r="U12" i="2"/>
  <c r="U13" i="2" s="1"/>
  <c r="T12" i="2"/>
  <c r="T13" i="2" s="1"/>
  <c r="S12" i="2"/>
  <c r="R23" i="2"/>
  <c r="R19" i="2"/>
  <c r="R18" i="2"/>
  <c r="R17" i="2"/>
  <c r="R16" i="2"/>
  <c r="R15" i="2"/>
  <c r="R14" i="2"/>
  <c r="R12" i="2"/>
  <c r="R13" i="2" s="1"/>
  <c r="T9" i="2"/>
  <c r="U9" i="2" s="1"/>
  <c r="V9" i="2" s="1"/>
  <c r="W9" i="2" s="1"/>
  <c r="X9" i="2" s="1"/>
  <c r="Y9" i="2" s="1"/>
  <c r="Z9" i="2" s="1"/>
  <c r="AA9" i="2" s="1"/>
  <c r="S9" i="2"/>
  <c r="R9" i="2"/>
  <c r="T8" i="2"/>
  <c r="U8" i="2" s="1"/>
  <c r="V8" i="2" s="1"/>
  <c r="W8" i="2" s="1"/>
  <c r="X8" i="2" s="1"/>
  <c r="Y8" i="2" s="1"/>
  <c r="Z8" i="2" s="1"/>
  <c r="AA8" i="2" s="1"/>
  <c r="S8" i="2"/>
  <c r="T30" i="2" s="1"/>
  <c r="R8" i="2"/>
  <c r="R30" i="2" s="1"/>
  <c r="AA29" i="2"/>
  <c r="Z29" i="2"/>
  <c r="Y29" i="2"/>
  <c r="X29" i="2"/>
  <c r="W29" i="2"/>
  <c r="V29" i="2"/>
  <c r="U29" i="2"/>
  <c r="T29" i="2"/>
  <c r="S29" i="2"/>
  <c r="R29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P29" i="2"/>
  <c r="O29" i="2"/>
  <c r="N29" i="2"/>
  <c r="M29" i="2"/>
  <c r="L29" i="2"/>
  <c r="K29" i="2"/>
  <c r="Q29" i="2"/>
  <c r="P30" i="2"/>
  <c r="O30" i="2"/>
  <c r="N30" i="2"/>
  <c r="M30" i="2"/>
  <c r="L30" i="2"/>
  <c r="Q30" i="2"/>
  <c r="V6" i="2"/>
  <c r="W6" i="2" s="1"/>
  <c r="X6" i="2" s="1"/>
  <c r="Y6" i="2" s="1"/>
  <c r="Z6" i="2" s="1"/>
  <c r="AA6" i="2" s="1"/>
  <c r="U6" i="2"/>
  <c r="T6" i="2"/>
  <c r="S6" i="2"/>
  <c r="R6" i="2"/>
  <c r="AA7" i="2"/>
  <c r="Z7" i="2"/>
  <c r="Y7" i="2"/>
  <c r="X7" i="2"/>
  <c r="W7" i="2"/>
  <c r="V7" i="2"/>
  <c r="U7" i="2"/>
  <c r="T7" i="2"/>
  <c r="S7" i="2"/>
  <c r="R7" i="2"/>
  <c r="H8" i="2"/>
  <c r="H12" i="2" s="1"/>
  <c r="H13" i="2" s="1"/>
  <c r="H31" i="2" s="1"/>
  <c r="AA31" i="2"/>
  <c r="S31" i="2"/>
  <c r="AA27" i="2"/>
  <c r="Z27" i="2"/>
  <c r="Y27" i="2"/>
  <c r="X27" i="2"/>
  <c r="W27" i="2"/>
  <c r="V27" i="2"/>
  <c r="U27" i="2"/>
  <c r="T27" i="2"/>
  <c r="S27" i="2"/>
  <c r="R27" i="2"/>
  <c r="AA26" i="2"/>
  <c r="Z26" i="2"/>
  <c r="Y26" i="2"/>
  <c r="X26" i="2"/>
  <c r="W26" i="2"/>
  <c r="V26" i="2"/>
  <c r="U26" i="2"/>
  <c r="T26" i="2"/>
  <c r="S26" i="2"/>
  <c r="R26" i="2"/>
  <c r="AA5" i="2"/>
  <c r="Z5" i="2"/>
  <c r="Z4" i="2" s="1"/>
  <c r="Y5" i="2"/>
  <c r="X5" i="2"/>
  <c r="X4" i="2" s="1"/>
  <c r="W5" i="2"/>
  <c r="V5" i="2"/>
  <c r="U5" i="2"/>
  <c r="T5" i="2"/>
  <c r="T4" i="2" s="1"/>
  <c r="S5" i="2"/>
  <c r="AA4" i="2"/>
  <c r="Y4" i="2"/>
  <c r="W4" i="2"/>
  <c r="V4" i="2"/>
  <c r="U4" i="2"/>
  <c r="S4" i="2"/>
  <c r="R5" i="2"/>
  <c r="R4" i="2" s="1"/>
  <c r="W3" i="2"/>
  <c r="X3" i="2" s="1"/>
  <c r="Y3" i="2" s="1"/>
  <c r="Z3" i="2" s="1"/>
  <c r="AA3" i="2" s="1"/>
  <c r="V3" i="2"/>
  <c r="U3" i="2"/>
  <c r="T3" i="2"/>
  <c r="S3" i="2"/>
  <c r="R3" i="2"/>
  <c r="L26" i="2"/>
  <c r="P26" i="2"/>
  <c r="O26" i="2"/>
  <c r="N26" i="2"/>
  <c r="M26" i="2"/>
  <c r="Q26" i="2"/>
  <c r="H23" i="2"/>
  <c r="H19" i="2"/>
  <c r="H18" i="2"/>
  <c r="H17" i="2"/>
  <c r="H16" i="2"/>
  <c r="H15" i="2"/>
  <c r="H14" i="2"/>
  <c r="G12" i="2"/>
  <c r="H29" i="2"/>
  <c r="H28" i="2"/>
  <c r="H27" i="2"/>
  <c r="H26" i="2"/>
  <c r="H7" i="2"/>
  <c r="Q7" i="2" s="1"/>
  <c r="H6" i="2"/>
  <c r="Q6" i="2" s="1"/>
  <c r="H5" i="2"/>
  <c r="H4" i="2" s="1"/>
  <c r="Q4" i="2" s="1"/>
  <c r="H3" i="2"/>
  <c r="Q3" i="2" s="1"/>
  <c r="P33" i="2"/>
  <c r="O33" i="2"/>
  <c r="N33" i="2"/>
  <c r="M33" i="2"/>
  <c r="L33" i="2"/>
  <c r="K33" i="2"/>
  <c r="P32" i="2"/>
  <c r="O32" i="2"/>
  <c r="N32" i="2"/>
  <c r="M32" i="2"/>
  <c r="L32" i="2"/>
  <c r="K32" i="2"/>
  <c r="P31" i="2"/>
  <c r="O31" i="2"/>
  <c r="N31" i="2"/>
  <c r="M31" i="2"/>
  <c r="L31" i="2"/>
  <c r="K31" i="2"/>
  <c r="P27" i="2"/>
  <c r="O27" i="2"/>
  <c r="N27" i="2"/>
  <c r="M27" i="2"/>
  <c r="L27" i="2"/>
  <c r="K27" i="2"/>
  <c r="F33" i="2"/>
  <c r="E33" i="2"/>
  <c r="F32" i="2"/>
  <c r="E32" i="2"/>
  <c r="F31" i="2"/>
  <c r="E31" i="2"/>
  <c r="F29" i="2"/>
  <c r="E29" i="2"/>
  <c r="F27" i="2"/>
  <c r="E27" i="2"/>
  <c r="G29" i="2"/>
  <c r="G30" i="2"/>
  <c r="G28" i="2"/>
  <c r="G27" i="2"/>
  <c r="G26" i="2"/>
  <c r="Q18" i="2"/>
  <c r="Q17" i="2"/>
  <c r="Q16" i="2"/>
  <c r="Q15" i="2"/>
  <c r="Q14" i="2"/>
  <c r="Q11" i="2"/>
  <c r="Q10" i="2"/>
  <c r="Q9" i="2"/>
  <c r="Q23" i="2"/>
  <c r="G23" i="2"/>
  <c r="D4" i="1"/>
  <c r="D5" i="1" s="1"/>
  <c r="D9" i="1" s="1"/>
  <c r="F21" i="2"/>
  <c r="F18" i="2"/>
  <c r="F17" i="2"/>
  <c r="F16" i="2"/>
  <c r="F19" i="2" s="1"/>
  <c r="F15" i="2"/>
  <c r="F14" i="2"/>
  <c r="F11" i="2"/>
  <c r="F10" i="2"/>
  <c r="F9" i="2"/>
  <c r="F8" i="2"/>
  <c r="F7" i="2"/>
  <c r="F6" i="2"/>
  <c r="F12" i="2" s="1"/>
  <c r="F4" i="2"/>
  <c r="F3" i="2"/>
  <c r="F23" i="2"/>
  <c r="E23" i="2"/>
  <c r="E19" i="2"/>
  <c r="E12" i="2"/>
  <c r="E5" i="2"/>
  <c r="G19" i="2"/>
  <c r="G5" i="2"/>
  <c r="K23" i="2"/>
  <c r="K19" i="2"/>
  <c r="K12" i="2"/>
  <c r="K5" i="2"/>
  <c r="L23" i="2"/>
  <c r="L19" i="2"/>
  <c r="L12" i="2"/>
  <c r="L5" i="2"/>
  <c r="M23" i="2"/>
  <c r="M19" i="2"/>
  <c r="M12" i="2"/>
  <c r="M5" i="2"/>
  <c r="N23" i="2"/>
  <c r="N19" i="2"/>
  <c r="N12" i="2"/>
  <c r="N5" i="2"/>
  <c r="O23" i="2"/>
  <c r="O19" i="2"/>
  <c r="O12" i="2"/>
  <c r="O5" i="2"/>
  <c r="P23" i="2"/>
  <c r="P19" i="2"/>
  <c r="P12" i="2"/>
  <c r="P5" i="2"/>
  <c r="D8" i="1"/>
  <c r="D7" i="1"/>
  <c r="D6" i="1"/>
  <c r="F3" i="1"/>
  <c r="Z31" i="2" l="1"/>
  <c r="Y31" i="2"/>
  <c r="S22" i="2"/>
  <c r="S32" i="2"/>
  <c r="U20" i="2"/>
  <c r="U31" i="2"/>
  <c r="R20" i="2"/>
  <c r="R22" i="2" s="1"/>
  <c r="R31" i="2"/>
  <c r="T31" i="2"/>
  <c r="W31" i="2"/>
  <c r="X31" i="2"/>
  <c r="T19" i="2"/>
  <c r="T20" i="2" s="1"/>
  <c r="V14" i="2"/>
  <c r="R32" i="2"/>
  <c r="V31" i="2"/>
  <c r="S30" i="2"/>
  <c r="Q8" i="2"/>
  <c r="H20" i="2"/>
  <c r="H21" i="2" s="1"/>
  <c r="H32" i="2" s="1"/>
  <c r="Q19" i="2"/>
  <c r="H30" i="2"/>
  <c r="Q5" i="2"/>
  <c r="F5" i="2"/>
  <c r="F13" i="2" s="1"/>
  <c r="F20" i="2" s="1"/>
  <c r="F22" i="2" s="1"/>
  <c r="F24" i="2" s="1"/>
  <c r="E13" i="2"/>
  <c r="E20" i="2" s="1"/>
  <c r="E22" i="2" s="1"/>
  <c r="E24" i="2" s="1"/>
  <c r="G13" i="2"/>
  <c r="P13" i="2"/>
  <c r="P20" i="2" s="1"/>
  <c r="P22" i="2" s="1"/>
  <c r="P24" i="2" s="1"/>
  <c r="K13" i="2"/>
  <c r="K20" i="2" s="1"/>
  <c r="K22" i="2" s="1"/>
  <c r="K24" i="2" s="1"/>
  <c r="L13" i="2"/>
  <c r="L20" i="2" s="1"/>
  <c r="L22" i="2" s="1"/>
  <c r="L24" i="2" s="1"/>
  <c r="M13" i="2"/>
  <c r="M20" i="2" s="1"/>
  <c r="M22" i="2" s="1"/>
  <c r="M24" i="2" s="1"/>
  <c r="N13" i="2"/>
  <c r="N20" i="2" s="1"/>
  <c r="N22" i="2" s="1"/>
  <c r="N24" i="2" s="1"/>
  <c r="O13" i="2"/>
  <c r="O20" i="2" s="1"/>
  <c r="O22" i="2" s="1"/>
  <c r="O24" i="2" s="1"/>
  <c r="R33" i="2" l="1"/>
  <c r="T22" i="2"/>
  <c r="T32" i="2"/>
  <c r="S24" i="2"/>
  <c r="S33" i="2"/>
  <c r="R24" i="2"/>
  <c r="U22" i="2"/>
  <c r="U32" i="2"/>
  <c r="V19" i="2"/>
  <c r="V20" i="2" s="1"/>
  <c r="W14" i="2"/>
  <c r="U30" i="2"/>
  <c r="Q12" i="2"/>
  <c r="Q13" i="2" s="1"/>
  <c r="H22" i="2"/>
  <c r="Q21" i="2"/>
  <c r="G20" i="2"/>
  <c r="G31" i="2"/>
  <c r="Q27" i="2"/>
  <c r="T33" i="2" l="1"/>
  <c r="T24" i="2"/>
  <c r="W19" i="2"/>
  <c r="W20" i="2" s="1"/>
  <c r="X14" i="2"/>
  <c r="V22" i="2"/>
  <c r="V32" i="2"/>
  <c r="U33" i="2"/>
  <c r="U24" i="2"/>
  <c r="V30" i="2"/>
  <c r="H24" i="2"/>
  <c r="H33" i="2"/>
  <c r="G22" i="2"/>
  <c r="G32" i="2"/>
  <c r="Q20" i="2"/>
  <c r="Q31" i="2"/>
  <c r="V33" i="2" l="1"/>
  <c r="V24" i="2"/>
  <c r="Y14" i="2"/>
  <c r="X19" i="2"/>
  <c r="X20" i="2" s="1"/>
  <c r="W22" i="2"/>
  <c r="W32" i="2"/>
  <c r="W30" i="2"/>
  <c r="G24" i="2"/>
  <c r="G33" i="2"/>
  <c r="Q22" i="2"/>
  <c r="Q32" i="2"/>
  <c r="W33" i="2" l="1"/>
  <c r="W24" i="2"/>
  <c r="X22" i="2"/>
  <c r="X32" i="2"/>
  <c r="Z14" i="2"/>
  <c r="Y19" i="2"/>
  <c r="Y20" i="2" s="1"/>
  <c r="X30" i="2"/>
  <c r="Q24" i="2"/>
  <c r="Q33" i="2"/>
  <c r="Y22" i="2" l="1"/>
  <c r="Y32" i="2"/>
  <c r="AA14" i="2"/>
  <c r="AA19" i="2" s="1"/>
  <c r="AA20" i="2" s="1"/>
  <c r="Z19" i="2"/>
  <c r="Z20" i="2" s="1"/>
  <c r="X24" i="2"/>
  <c r="X33" i="2"/>
  <c r="Y30" i="2"/>
  <c r="Y33" i="2" l="1"/>
  <c r="Y24" i="2"/>
  <c r="Z32" i="2"/>
  <c r="Z22" i="2"/>
  <c r="AA22" i="2"/>
  <c r="AA32" i="2"/>
  <c r="AA30" i="2"/>
  <c r="Z30" i="2"/>
  <c r="AB22" i="2" l="1"/>
  <c r="AC22" i="2" s="1"/>
  <c r="AD22" i="2" s="1"/>
  <c r="AE22" i="2" s="1"/>
  <c r="AF22" i="2" s="1"/>
  <c r="AG22" i="2" s="1"/>
  <c r="AH22" i="2" s="1"/>
  <c r="AI22" i="2" s="1"/>
  <c r="AJ22" i="2" s="1"/>
  <c r="AK22" i="2" s="1"/>
  <c r="AL22" i="2" s="1"/>
  <c r="AM22" i="2" s="1"/>
  <c r="AN22" i="2" s="1"/>
  <c r="AO22" i="2" s="1"/>
  <c r="AP22" i="2" s="1"/>
  <c r="AQ22" i="2" s="1"/>
  <c r="AR22" i="2" s="1"/>
  <c r="AS22" i="2" s="1"/>
  <c r="AT22" i="2" s="1"/>
  <c r="AU22" i="2" s="1"/>
  <c r="AV22" i="2" s="1"/>
  <c r="AW22" i="2" s="1"/>
  <c r="AX22" i="2" s="1"/>
  <c r="AY22" i="2" s="1"/>
  <c r="AZ22" i="2" s="1"/>
  <c r="BA22" i="2" s="1"/>
  <c r="BB22" i="2" s="1"/>
  <c r="BC22" i="2" s="1"/>
  <c r="BD22" i="2" s="1"/>
  <c r="BE22" i="2" s="1"/>
  <c r="BF22" i="2" s="1"/>
  <c r="BG22" i="2" s="1"/>
  <c r="BH22" i="2" s="1"/>
  <c r="BI22" i="2" s="1"/>
  <c r="BJ22" i="2" s="1"/>
  <c r="BK22" i="2" s="1"/>
  <c r="BL22" i="2" s="1"/>
  <c r="BM22" i="2" s="1"/>
  <c r="BN22" i="2" s="1"/>
  <c r="BO22" i="2" s="1"/>
  <c r="BP22" i="2" s="1"/>
  <c r="BQ22" i="2" s="1"/>
  <c r="BR22" i="2" s="1"/>
  <c r="BS22" i="2" s="1"/>
  <c r="BT22" i="2" s="1"/>
  <c r="BU22" i="2" s="1"/>
  <c r="BV22" i="2" s="1"/>
  <c r="BW22" i="2" s="1"/>
  <c r="BX22" i="2" s="1"/>
  <c r="BY22" i="2" s="1"/>
  <c r="BZ22" i="2" s="1"/>
  <c r="CA22" i="2" s="1"/>
  <c r="CB22" i="2" s="1"/>
  <c r="CC22" i="2" s="1"/>
  <c r="CD22" i="2" s="1"/>
  <c r="CE22" i="2" s="1"/>
  <c r="CF22" i="2" s="1"/>
  <c r="CG22" i="2" s="1"/>
  <c r="CH22" i="2" s="1"/>
  <c r="CI22" i="2" s="1"/>
  <c r="CJ22" i="2" s="1"/>
  <c r="CK22" i="2" s="1"/>
  <c r="CL22" i="2" s="1"/>
  <c r="CM22" i="2" s="1"/>
  <c r="CN22" i="2" s="1"/>
  <c r="CO22" i="2" s="1"/>
  <c r="CP22" i="2" s="1"/>
  <c r="CQ22" i="2" s="1"/>
  <c r="CR22" i="2" s="1"/>
  <c r="CS22" i="2" s="1"/>
  <c r="CT22" i="2" s="1"/>
  <c r="CU22" i="2" s="1"/>
  <c r="CV22" i="2" s="1"/>
  <c r="CW22" i="2" s="1"/>
  <c r="CX22" i="2" s="1"/>
  <c r="CY22" i="2" s="1"/>
  <c r="CZ22" i="2" s="1"/>
  <c r="DA22" i="2" s="1"/>
  <c r="DB22" i="2" s="1"/>
  <c r="DC22" i="2" s="1"/>
  <c r="DD22" i="2" s="1"/>
  <c r="DE22" i="2" s="1"/>
  <c r="DF22" i="2" s="1"/>
  <c r="DG22" i="2" s="1"/>
  <c r="DH22" i="2" s="1"/>
  <c r="DI22" i="2" s="1"/>
  <c r="DJ22" i="2" s="1"/>
  <c r="DK22" i="2" s="1"/>
  <c r="DL22" i="2" s="1"/>
  <c r="DM22" i="2" s="1"/>
  <c r="DN22" i="2" s="1"/>
  <c r="DO22" i="2" s="1"/>
  <c r="DP22" i="2" s="1"/>
  <c r="DQ22" i="2" s="1"/>
  <c r="DR22" i="2" s="1"/>
  <c r="DS22" i="2" s="1"/>
  <c r="DT22" i="2" s="1"/>
  <c r="DU22" i="2" s="1"/>
  <c r="DV22" i="2" s="1"/>
  <c r="DW22" i="2" s="1"/>
  <c r="DX22" i="2" s="1"/>
  <c r="DY22" i="2" s="1"/>
  <c r="DZ22" i="2" s="1"/>
  <c r="EA22" i="2" s="1"/>
  <c r="EB22" i="2" s="1"/>
  <c r="EC22" i="2" s="1"/>
  <c r="ED22" i="2" s="1"/>
  <c r="EE22" i="2" s="1"/>
  <c r="EF22" i="2" s="1"/>
  <c r="EG22" i="2" s="1"/>
  <c r="AA24" i="2"/>
  <c r="AA33" i="2"/>
  <c r="Z24" i="2"/>
  <c r="Z33" i="2"/>
  <c r="AD30" i="2" l="1"/>
  <c r="AD32" i="2" s="1"/>
  <c r="AD33" i="2" s="1"/>
  <c r="AD35" i="2" s="1"/>
</calcChain>
</file>

<file path=xl/sharedStrings.xml><?xml version="1.0" encoding="utf-8"?>
<sst xmlns="http://schemas.openxmlformats.org/spreadsheetml/2006/main" count="60" uniqueCount="55">
  <si>
    <t>HO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</si>
  <si>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</si>
  <si>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</si>
  <si>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</si>
  <si>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</si>
  <si>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</si>
  <si>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</si>
  <si>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</si>
  <si>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</si>
  <si>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</si>
  <si>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</si>
  <si>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H224</t>
  </si>
  <si>
    <t>Revenue</t>
  </si>
  <si>
    <t>Cost of sales</t>
  </si>
  <si>
    <t>Gross profit</t>
  </si>
  <si>
    <t>R&amp;D</t>
  </si>
  <si>
    <t>S&amp;M</t>
  </si>
  <si>
    <t>G&amp;A</t>
  </si>
  <si>
    <t>Restructuring</t>
  </si>
  <si>
    <t>Total operating expense</t>
  </si>
  <si>
    <t>Impairment</t>
  </si>
  <si>
    <t>Disposal</t>
  </si>
  <si>
    <t>Operating profit</t>
  </si>
  <si>
    <t>Investment income</t>
  </si>
  <si>
    <t>Interest expense</t>
  </si>
  <si>
    <t>Interest income</t>
  </si>
  <si>
    <t>Net finance expense</t>
  </si>
  <si>
    <t>Pretax profit</t>
  </si>
  <si>
    <t>Other expense</t>
  </si>
  <si>
    <t>Pension expense</t>
  </si>
  <si>
    <t>Taxes</t>
  </si>
  <si>
    <t>Net profit</t>
  </si>
  <si>
    <t>EPS</t>
  </si>
  <si>
    <t>H123</t>
  </si>
  <si>
    <t>H223</t>
  </si>
  <si>
    <t>H124</t>
  </si>
  <si>
    <t>H125</t>
  </si>
  <si>
    <t>H225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</si>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</sst>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#,##0.00"/>
    <numFmt numFmtId="165" formatCode="#,##0.00\ [$€-1]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9" fontId="2" fillId="2" borderId="1" xfId="0" applyNumberFormat="1" applyFont="1" applyFill="1" applyBorder="1"/>
    <xf numFmtId="165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</xdr:colOff>
      <xdr:row>0</xdr:row>
      <xdr:rowOff>15240</xdr:rowOff>
    </xdr:from>
    <xdr:to>
      <xdr:col>16</xdr:col>
      <xdr:colOff>15240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3AB1E6A-D11F-631A-E35C-98677CF88E2C}"/>
            </a:ext>
          </a:extLst>
        </xdr:cNvPr>
        <xdr:cNvCxnSpPr/>
      </xdr:nvCxnSpPr>
      <xdr:spPr>
        <a:xfrm>
          <a:off x="753618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30480</xdr:colOff>
      <xdr:row>0</xdr:row>
      <xdr:rowOff>7620</xdr:rowOff>
    </xdr:from>
    <xdr:to>
      <xdr:col>7</xdr:col>
      <xdr:colOff>30480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394185C3-F043-A1A3-38F2-4BEBEA16D511}"/>
            </a:ext>
          </a:extLst>
        </xdr:cNvPr>
        <xdr:cNvCxnSpPr/>
      </xdr:nvCxnSpPr>
      <xdr:spPr>
        <a:xfrm>
          <a:off x="511302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003F-7EA5-40C8-9951-EC22F9CFDCA7}">
  <dimension ref="B2:G9"/>
  <sheetViews>
    <sheetView tabSelected="1" workbookViewId="0">
      <selection activeCell="G4" sqref="G4"/>
    </sheetView>
  </sheetViews>
  <sheetFormatPr defaultRowHeight="14.4" x14ac:dyDescent="0.3"/>
  <cols>
    <col min="1" max="4" width="8.88671875" style="1"/>
    <col min="5" max="7" width="11.777343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235.1</v>
      </c>
      <c r="E3" s="4">
        <v>45868</v>
      </c>
      <c r="F3" s="4">
        <f ca="1">TODAY()</f>
        <v>45868</v>
      </c>
      <c r="G3" s="4">
        <v>46079</v>
      </c>
    </row>
    <row r="4" spans="2:7" x14ac:dyDescent="0.3">
      <c r="C4" s="1" t="s">
        <v>2</v>
      </c>
      <c r="D4" s="6">
        <f>205.4</f>
        <v>205.4</v>
      </c>
      <c r="E4" s="3" t="s">
        <v>11</v>
      </c>
    </row>
    <row r="5" spans="2:7" x14ac:dyDescent="0.3">
      <c r="C5" s="1" t="s">
        <v>3</v>
      </c>
      <c r="D5" s="6">
        <f>D3*D4</f>
        <v>48289.54</v>
      </c>
    </row>
    <row r="6" spans="2:7" x14ac:dyDescent="0.3">
      <c r="C6" s="1" t="s">
        <v>4</v>
      </c>
      <c r="D6" s="6">
        <f>4767.1+1648.2</f>
        <v>6415.3</v>
      </c>
      <c r="E6" s="3" t="s">
        <v>11</v>
      </c>
    </row>
    <row r="7" spans="2:7" x14ac:dyDescent="0.3">
      <c r="C7" s="1" t="s">
        <v>5</v>
      </c>
      <c r="D7" s="6">
        <f>3272.5+4550.9</f>
        <v>7823.4</v>
      </c>
      <c r="E7" s="3" t="s">
        <v>11</v>
      </c>
    </row>
    <row r="8" spans="2:7" x14ac:dyDescent="0.3">
      <c r="C8" s="1" t="s">
        <v>6</v>
      </c>
      <c r="D8" s="6">
        <f>D6-D7</f>
        <v>-1408.0999999999995</v>
      </c>
    </row>
    <row r="9" spans="2:7" x14ac:dyDescent="0.3">
      <c r="C9" s="1" t="s">
        <v>7</v>
      </c>
      <c r="D9" s="6">
        <f>D5-D8</f>
        <v>49697.64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CE5D7-45A0-46DA-8340-176ADFE7702B}">
  <dimension ref="B2:EG36"/>
  <sheetViews>
    <sheetView workbookViewId="0">
      <pane xSplit="2" ySplit="2" topLeftCell="L12" activePane="bottomRight" state="frozen"/>
      <selection pane="topRight" activeCell="C1" sqref="C1"/>
      <selection pane="bottomLeft" activeCell="A3" sqref="A3"/>
      <selection pane="bottomRight" activeCell="U35" sqref="U35"/>
    </sheetView>
  </sheetViews>
  <sheetFormatPr defaultRowHeight="14.4" x14ac:dyDescent="0.3"/>
  <cols>
    <col min="1" max="1" width="8.88671875" style="1"/>
    <col min="2" max="2" width="20.77734375" style="1" bestFit="1" customWidth="1"/>
    <col min="3" max="28" width="8.88671875" style="1"/>
    <col min="29" max="29" width="13.109375" style="1" customWidth="1"/>
    <col min="30" max="30" width="16.88671875" style="1" customWidth="1"/>
    <col min="31" max="16384" width="8.88671875" style="1"/>
  </cols>
  <sheetData>
    <row r="2" spans="2:27" x14ac:dyDescent="0.3">
      <c r="C2" s="9" t="s">
        <v>33</v>
      </c>
      <c r="D2" s="9" t="s">
        <v>34</v>
      </c>
      <c r="E2" s="9" t="s">
        <v>35</v>
      </c>
      <c r="F2" s="9" t="s">
        <v>11</v>
      </c>
      <c r="G2" s="9" t="s">
        <v>36</v>
      </c>
      <c r="H2" s="9" t="s">
        <v>37</v>
      </c>
      <c r="I2" s="9"/>
      <c r="K2" s="1">
        <v>2019</v>
      </c>
      <c r="L2" s="1">
        <v>2020</v>
      </c>
      <c r="M2" s="1">
        <v>2021</v>
      </c>
      <c r="N2" s="1">
        <v>2022</v>
      </c>
      <c r="O2" s="1">
        <v>2023</v>
      </c>
      <c r="P2" s="1">
        <v>2024</v>
      </c>
      <c r="Q2" s="1">
        <v>2025</v>
      </c>
      <c r="R2" s="1">
        <v>2026</v>
      </c>
      <c r="S2" s="1">
        <v>2027</v>
      </c>
      <c r="T2" s="1">
        <v>2028</v>
      </c>
      <c r="U2" s="1">
        <v>2029</v>
      </c>
      <c r="V2" s="1">
        <v>2030</v>
      </c>
      <c r="W2" s="1">
        <v>2031</v>
      </c>
      <c r="X2" s="1">
        <v>2032</v>
      </c>
      <c r="Y2" s="1">
        <v>2033</v>
      </c>
      <c r="Z2" s="1">
        <v>2034</v>
      </c>
      <c r="AA2" s="1">
        <v>2035</v>
      </c>
    </row>
    <row r="3" spans="2:27" s="2" customFormat="1" x14ac:dyDescent="0.3">
      <c r="B3" s="2" t="s">
        <v>12</v>
      </c>
      <c r="E3" s="8">
        <v>9492.5</v>
      </c>
      <c r="F3" s="8">
        <f>P3-E3</f>
        <v>11084.099999999999</v>
      </c>
      <c r="G3" s="8">
        <v>10264.799999999999</v>
      </c>
      <c r="H3" s="8">
        <f>F3*1.08</f>
        <v>11970.828</v>
      </c>
      <c r="K3" s="8">
        <v>18401</v>
      </c>
      <c r="L3" s="8">
        <v>16988.900000000001</v>
      </c>
      <c r="M3" s="8">
        <v>16192</v>
      </c>
      <c r="N3" s="8">
        <v>17568.8</v>
      </c>
      <c r="O3" s="8">
        <v>18428.400000000001</v>
      </c>
      <c r="P3" s="8">
        <v>20576.599999999999</v>
      </c>
      <c r="Q3" s="8">
        <f>SUM(G3:H3)</f>
        <v>22235.627999999997</v>
      </c>
      <c r="R3" s="8">
        <f>Q3*1.06</f>
        <v>23569.765679999997</v>
      </c>
      <c r="S3" s="8">
        <f>R3*1.05</f>
        <v>24748.253963999996</v>
      </c>
      <c r="T3" s="8">
        <f>S3*1.04</f>
        <v>25738.184122559996</v>
      </c>
      <c r="U3" s="8">
        <f>T3*1.03</f>
        <v>26510.329646236798</v>
      </c>
      <c r="V3" s="8">
        <f>U3*1.02</f>
        <v>27040.536239161534</v>
      </c>
      <c r="W3" s="8">
        <f t="shared" ref="W3:AA3" si="0">V3*1.02</f>
        <v>27581.346963944765</v>
      </c>
      <c r="X3" s="8">
        <f t="shared" si="0"/>
        <v>28132.973903223661</v>
      </c>
      <c r="Y3" s="8">
        <f t="shared" si="0"/>
        <v>28695.633381288135</v>
      </c>
      <c r="Z3" s="8">
        <f t="shared" si="0"/>
        <v>29269.546048913897</v>
      </c>
      <c r="AA3" s="8">
        <f t="shared" si="0"/>
        <v>29854.936969892176</v>
      </c>
    </row>
    <row r="4" spans="2:27" x14ac:dyDescent="0.3">
      <c r="B4" s="1" t="s">
        <v>13</v>
      </c>
      <c r="E4" s="6">
        <v>6984.9</v>
      </c>
      <c r="F4" s="6">
        <f>P4-E4</f>
        <v>8217.8000000000011</v>
      </c>
      <c r="G4" s="6">
        <v>7556</v>
      </c>
      <c r="H4" s="6">
        <f>H3-H5</f>
        <v>8858.4127200000003</v>
      </c>
      <c r="K4" s="6">
        <v>13877.3</v>
      </c>
      <c r="L4" s="6">
        <v>13053.7</v>
      </c>
      <c r="M4" s="6">
        <v>12158.9</v>
      </c>
      <c r="N4" s="6">
        <v>13113.4</v>
      </c>
      <c r="O4" s="6">
        <v>13662</v>
      </c>
      <c r="P4" s="6">
        <v>15202.7</v>
      </c>
      <c r="Q4" s="6">
        <f>SUM(G4:H4)</f>
        <v>16414.41272</v>
      </c>
      <c r="R4" s="6">
        <f>R3-R5</f>
        <v>17441.626603199998</v>
      </c>
      <c r="S4" s="6">
        <f t="shared" ref="S4:AA4" si="1">S3-S5</f>
        <v>18313.707933359998</v>
      </c>
      <c r="T4" s="6">
        <f t="shared" si="1"/>
        <v>19046.256250694398</v>
      </c>
      <c r="U4" s="6">
        <f t="shared" si="1"/>
        <v>19617.643938215231</v>
      </c>
      <c r="V4" s="6">
        <f t="shared" si="1"/>
        <v>20009.996816979536</v>
      </c>
      <c r="W4" s="6">
        <f t="shared" si="1"/>
        <v>20410.196753319127</v>
      </c>
      <c r="X4" s="6">
        <f t="shared" si="1"/>
        <v>20818.400688385511</v>
      </c>
      <c r="Y4" s="6">
        <f t="shared" si="1"/>
        <v>21234.768702153218</v>
      </c>
      <c r="Z4" s="6">
        <f t="shared" si="1"/>
        <v>21659.464076196284</v>
      </c>
      <c r="AA4" s="6">
        <f t="shared" si="1"/>
        <v>22092.65335772021</v>
      </c>
    </row>
    <row r="5" spans="2:27" s="2" customFormat="1" x14ac:dyDescent="0.3">
      <c r="B5" s="2" t="s">
        <v>14</v>
      </c>
      <c r="E5" s="8">
        <f>E3-E4</f>
        <v>2507.6000000000004</v>
      </c>
      <c r="F5" s="8">
        <f>F3-F4</f>
        <v>2866.2999999999975</v>
      </c>
      <c r="G5" s="8">
        <f>G3-G4</f>
        <v>2708.7999999999993</v>
      </c>
      <c r="H5" s="8">
        <f>H3*0.26</f>
        <v>3112.4152800000002</v>
      </c>
      <c r="K5" s="8">
        <f>K3-K4</f>
        <v>4523.7000000000007</v>
      </c>
      <c r="L5" s="8">
        <f>L3-L4</f>
        <v>3935.2000000000007</v>
      </c>
      <c r="M5" s="8">
        <f>M3-M4</f>
        <v>4033.1000000000004</v>
      </c>
      <c r="N5" s="8">
        <f>N3-N4</f>
        <v>4455.3999999999996</v>
      </c>
      <c r="O5" s="8">
        <f>O3-O4</f>
        <v>4766.4000000000015</v>
      </c>
      <c r="P5" s="8">
        <f>P3-P4</f>
        <v>5373.8999999999978</v>
      </c>
      <c r="Q5" s="8">
        <f>Q3-Q4</f>
        <v>5821.2152799999967</v>
      </c>
      <c r="R5" s="8">
        <f>R3*0.26</f>
        <v>6128.1390767999992</v>
      </c>
      <c r="S5" s="8">
        <f t="shared" ref="S5:AA5" si="2">S3*0.26</f>
        <v>6434.5460306399991</v>
      </c>
      <c r="T5" s="8">
        <f t="shared" si="2"/>
        <v>6691.9278718655996</v>
      </c>
      <c r="U5" s="8">
        <f t="shared" si="2"/>
        <v>6892.6857080215677</v>
      </c>
      <c r="V5" s="8">
        <f t="shared" si="2"/>
        <v>7030.5394221819988</v>
      </c>
      <c r="W5" s="8">
        <f t="shared" si="2"/>
        <v>7171.1502106256394</v>
      </c>
      <c r="X5" s="8">
        <f t="shared" si="2"/>
        <v>7314.5732148381521</v>
      </c>
      <c r="Y5" s="8">
        <f t="shared" si="2"/>
        <v>7460.8646791349156</v>
      </c>
      <c r="Z5" s="8">
        <f t="shared" si="2"/>
        <v>7610.0819727176131</v>
      </c>
      <c r="AA5" s="8">
        <f t="shared" si="2"/>
        <v>7762.2836121719665</v>
      </c>
    </row>
    <row r="6" spans="2:27" x14ac:dyDescent="0.3">
      <c r="B6" s="1" t="s">
        <v>15</v>
      </c>
      <c r="E6" s="6">
        <v>599.29999999999995</v>
      </c>
      <c r="F6" s="6">
        <f t="shared" ref="F6:F11" si="3">P6-E6</f>
        <v>674.40000000000009</v>
      </c>
      <c r="G6" s="6">
        <v>627.29999999999995</v>
      </c>
      <c r="H6" s="6">
        <f>F6*1.05</f>
        <v>708.12000000000012</v>
      </c>
      <c r="K6" s="6">
        <v>1098.5</v>
      </c>
      <c r="L6" s="6">
        <v>1024.7</v>
      </c>
      <c r="M6" s="6">
        <v>1026.9000000000001</v>
      </c>
      <c r="N6" s="6">
        <v>1063.5999999999999</v>
      </c>
      <c r="O6" s="6">
        <v>1107.7</v>
      </c>
      <c r="P6" s="6">
        <v>1273.7</v>
      </c>
      <c r="Q6" s="6">
        <f t="shared" ref="Q6:Q11" si="4">SUM(G6:H6)</f>
        <v>1335.42</v>
      </c>
      <c r="R6" s="6">
        <f>Q6*1.06</f>
        <v>1415.5452000000002</v>
      </c>
      <c r="S6" s="6">
        <f>R6*1.04</f>
        <v>1472.1670080000004</v>
      </c>
      <c r="T6" s="6">
        <f>S6*1.03</f>
        <v>1516.3320182400005</v>
      </c>
      <c r="U6" s="6">
        <f>T6*1.02</f>
        <v>1546.6586586048006</v>
      </c>
      <c r="V6" s="6">
        <f t="shared" ref="V6:AA6" si="5">U6*1.02</f>
        <v>1577.5918317768967</v>
      </c>
      <c r="W6" s="6">
        <f t="shared" si="5"/>
        <v>1609.1436684124346</v>
      </c>
      <c r="X6" s="6">
        <f t="shared" si="5"/>
        <v>1641.3265417806833</v>
      </c>
      <c r="Y6" s="6">
        <f t="shared" si="5"/>
        <v>1674.1530726162971</v>
      </c>
      <c r="Z6" s="6">
        <f t="shared" si="5"/>
        <v>1707.6361340686231</v>
      </c>
      <c r="AA6" s="6">
        <f t="shared" si="5"/>
        <v>1741.7888567499956</v>
      </c>
    </row>
    <row r="7" spans="2:27" x14ac:dyDescent="0.3">
      <c r="B7" s="1" t="s">
        <v>16</v>
      </c>
      <c r="E7" s="6">
        <v>775.9</v>
      </c>
      <c r="F7" s="6">
        <f t="shared" si="3"/>
        <v>814.4</v>
      </c>
      <c r="G7" s="6">
        <v>773.6</v>
      </c>
      <c r="H7" s="6">
        <f>F7*1.05</f>
        <v>855.12</v>
      </c>
      <c r="K7" s="6">
        <v>1382.9</v>
      </c>
      <c r="L7" s="6">
        <v>1306.2</v>
      </c>
      <c r="M7" s="6">
        <v>1225.9000000000001</v>
      </c>
      <c r="N7" s="6">
        <v>1350.4</v>
      </c>
      <c r="O7" s="6">
        <v>1384</v>
      </c>
      <c r="P7" s="6">
        <v>1590.3</v>
      </c>
      <c r="Q7" s="6">
        <f t="shared" si="4"/>
        <v>1628.72</v>
      </c>
      <c r="R7" s="6">
        <f>R3*0.07</f>
        <v>1649.8835976</v>
      </c>
      <c r="S7" s="6">
        <f t="shared" ref="S7:AA7" si="6">S3*0.07</f>
        <v>1732.3777774799998</v>
      </c>
      <c r="T7" s="6">
        <f t="shared" si="6"/>
        <v>1801.6728885791999</v>
      </c>
      <c r="U7" s="6">
        <f t="shared" si="6"/>
        <v>1855.7230752365761</v>
      </c>
      <c r="V7" s="6">
        <f t="shared" si="6"/>
        <v>1892.8375367413075</v>
      </c>
      <c r="W7" s="6">
        <f t="shared" si="6"/>
        <v>1930.6942874761337</v>
      </c>
      <c r="X7" s="6">
        <f t="shared" si="6"/>
        <v>1969.3081732256564</v>
      </c>
      <c r="Y7" s="6">
        <f t="shared" si="6"/>
        <v>2008.6943366901696</v>
      </c>
      <c r="Z7" s="6">
        <f t="shared" si="6"/>
        <v>2048.8682234239732</v>
      </c>
      <c r="AA7" s="6">
        <f t="shared" si="6"/>
        <v>2089.8455878924524</v>
      </c>
    </row>
    <row r="8" spans="2:27" x14ac:dyDescent="0.3">
      <c r="B8" s="1" t="s">
        <v>17</v>
      </c>
      <c r="E8" s="6">
        <v>335.1</v>
      </c>
      <c r="F8" s="6">
        <f t="shared" si="3"/>
        <v>357.79999999999995</v>
      </c>
      <c r="G8" s="6">
        <v>355.3</v>
      </c>
      <c r="H8" s="6">
        <f>F8*1.05</f>
        <v>375.68999999999994</v>
      </c>
      <c r="K8" s="6">
        <v>636.70000000000005</v>
      </c>
      <c r="L8" s="6">
        <v>613.1</v>
      </c>
      <c r="M8" s="6">
        <v>545</v>
      </c>
      <c r="N8" s="6">
        <v>598.5</v>
      </c>
      <c r="O8" s="6">
        <v>621</v>
      </c>
      <c r="P8" s="6">
        <v>692.9</v>
      </c>
      <c r="Q8" s="6">
        <f t="shared" si="4"/>
        <v>730.99</v>
      </c>
      <c r="R8" s="6">
        <f>Q8*1.04</f>
        <v>760.2296</v>
      </c>
      <c r="S8" s="6">
        <f>R8*1.03</f>
        <v>783.03648800000008</v>
      </c>
      <c r="T8" s="6">
        <f t="shared" ref="T8:AA8" si="7">S8*1.03</f>
        <v>806.52758264000011</v>
      </c>
      <c r="U8" s="6">
        <f t="shared" si="7"/>
        <v>830.72341011920014</v>
      </c>
      <c r="V8" s="6">
        <f t="shared" si="7"/>
        <v>855.64511242277615</v>
      </c>
      <c r="W8" s="6">
        <f t="shared" si="7"/>
        <v>881.31446579545945</v>
      </c>
      <c r="X8" s="6">
        <f t="shared" si="7"/>
        <v>907.75389976932331</v>
      </c>
      <c r="Y8" s="6">
        <f t="shared" si="7"/>
        <v>934.98651676240308</v>
      </c>
      <c r="Z8" s="6">
        <f t="shared" si="7"/>
        <v>963.03611226527516</v>
      </c>
      <c r="AA8" s="6">
        <f t="shared" si="7"/>
        <v>991.9271956332334</v>
      </c>
    </row>
    <row r="9" spans="2:27" x14ac:dyDescent="0.3">
      <c r="B9" s="1" t="s">
        <v>18</v>
      </c>
      <c r="E9" s="6">
        <v>32</v>
      </c>
      <c r="F9" s="6">
        <f t="shared" si="3"/>
        <v>86.3</v>
      </c>
      <c r="G9" s="6">
        <v>54.7</v>
      </c>
      <c r="H9" s="6">
        <v>45</v>
      </c>
      <c r="K9" s="6">
        <v>122.2</v>
      </c>
      <c r="L9" s="6">
        <v>173.6</v>
      </c>
      <c r="M9" s="6">
        <v>91.8</v>
      </c>
      <c r="N9" s="6">
        <v>98.5</v>
      </c>
      <c r="O9" s="6">
        <v>91.4</v>
      </c>
      <c r="P9" s="6">
        <v>118.3</v>
      </c>
      <c r="Q9" s="6">
        <f t="shared" si="4"/>
        <v>99.7</v>
      </c>
      <c r="R9" s="6">
        <f>Q9*0.7</f>
        <v>69.789999999999992</v>
      </c>
      <c r="S9" s="6">
        <f t="shared" ref="S9:AA9" si="8">R9*0.7</f>
        <v>48.852999999999994</v>
      </c>
      <c r="T9" s="6">
        <f t="shared" si="8"/>
        <v>34.197099999999992</v>
      </c>
      <c r="U9" s="6">
        <f t="shared" si="8"/>
        <v>23.937969999999993</v>
      </c>
      <c r="V9" s="6">
        <f t="shared" si="8"/>
        <v>16.756578999999995</v>
      </c>
      <c r="W9" s="6">
        <f t="shared" si="8"/>
        <v>11.729605299999996</v>
      </c>
      <c r="X9" s="6">
        <f t="shared" si="8"/>
        <v>8.2107237099999963</v>
      </c>
      <c r="Y9" s="6">
        <f t="shared" si="8"/>
        <v>5.7475065969999974</v>
      </c>
      <c r="Z9" s="6">
        <f t="shared" si="8"/>
        <v>4.0232546178999984</v>
      </c>
      <c r="AA9" s="6">
        <f t="shared" si="8"/>
        <v>2.8162782325299989</v>
      </c>
    </row>
    <row r="10" spans="2:27" x14ac:dyDescent="0.3">
      <c r="B10" s="1" t="s">
        <v>21</v>
      </c>
      <c r="E10" s="6">
        <v>19.600000000000001</v>
      </c>
      <c r="F10" s="6">
        <f t="shared" si="3"/>
        <v>259.29999999999995</v>
      </c>
      <c r="G10" s="6">
        <v>22.4</v>
      </c>
      <c r="H10" s="6">
        <v>20</v>
      </c>
      <c r="K10" s="6">
        <v>-218.6</v>
      </c>
      <c r="L10" s="6">
        <v>-42</v>
      </c>
      <c r="M10" s="6">
        <v>-48.7</v>
      </c>
      <c r="N10" s="6">
        <v>23.9</v>
      </c>
      <c r="O10" s="6">
        <v>387.9</v>
      </c>
      <c r="P10" s="6">
        <v>278.89999999999998</v>
      </c>
      <c r="Q10" s="6">
        <f t="shared" si="4"/>
        <v>42.4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</row>
    <row r="11" spans="2:27" x14ac:dyDescent="0.3">
      <c r="B11" s="1" t="s">
        <v>20</v>
      </c>
      <c r="E11" s="6">
        <v>0</v>
      </c>
      <c r="F11" s="6">
        <f t="shared" si="3"/>
        <v>157.6</v>
      </c>
      <c r="G11" s="6">
        <v>0</v>
      </c>
      <c r="H11" s="6">
        <v>0</v>
      </c>
      <c r="K11" s="6">
        <v>0</v>
      </c>
      <c r="L11" s="6">
        <v>135.4</v>
      </c>
      <c r="M11" s="6">
        <v>0</v>
      </c>
      <c r="N11" s="6">
        <v>0</v>
      </c>
      <c r="O11" s="6">
        <v>0</v>
      </c>
      <c r="P11" s="6">
        <v>157.6</v>
      </c>
      <c r="Q11" s="6">
        <f t="shared" si="4"/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</row>
    <row r="12" spans="2:27" x14ac:dyDescent="0.3">
      <c r="B12" s="1" t="s">
        <v>19</v>
      </c>
      <c r="E12" s="6">
        <f>SUM(E6:E11)</f>
        <v>1761.8999999999996</v>
      </c>
      <c r="F12" s="6">
        <f>SUM(F6:F11)</f>
        <v>2349.7999999999997</v>
      </c>
      <c r="G12" s="6">
        <f>SUM(G6:G11)</f>
        <v>1833.3000000000002</v>
      </c>
      <c r="H12" s="6">
        <f>SUM(H6:H11)</f>
        <v>2003.9300000000003</v>
      </c>
      <c r="K12" s="6">
        <f>SUM(K6:K11)</f>
        <v>3021.7000000000003</v>
      </c>
      <c r="L12" s="6">
        <f>SUM(L6:L11)</f>
        <v>3211</v>
      </c>
      <c r="M12" s="6">
        <f>SUM(M6:M11)</f>
        <v>2840.9000000000005</v>
      </c>
      <c r="N12" s="6">
        <f>SUM(N6:N11)</f>
        <v>3134.9</v>
      </c>
      <c r="O12" s="6">
        <f>SUM(O6:O11)</f>
        <v>3592</v>
      </c>
      <c r="P12" s="6">
        <f>SUM(P6:P11)</f>
        <v>4111.7000000000007</v>
      </c>
      <c r="Q12" s="6">
        <f>SUM(Q6:Q11)</f>
        <v>3837.23</v>
      </c>
      <c r="R12" s="6">
        <f>SUM(R6:R11)</f>
        <v>3895.4483976000006</v>
      </c>
      <c r="S12" s="6">
        <f t="shared" ref="S12:AA12" si="9">SUM(S6:S11)</f>
        <v>4036.4342734800007</v>
      </c>
      <c r="T12" s="6">
        <f t="shared" si="9"/>
        <v>4158.7295894592007</v>
      </c>
      <c r="U12" s="6">
        <f t="shared" si="9"/>
        <v>4257.0431139605762</v>
      </c>
      <c r="V12" s="6">
        <f t="shared" si="9"/>
        <v>4342.8310599409806</v>
      </c>
      <c r="W12" s="6">
        <f t="shared" si="9"/>
        <v>4432.882026984028</v>
      </c>
      <c r="X12" s="6">
        <f t="shared" si="9"/>
        <v>4526.5993384856629</v>
      </c>
      <c r="Y12" s="6">
        <f t="shared" si="9"/>
        <v>4623.5814326658701</v>
      </c>
      <c r="Z12" s="6">
        <f t="shared" si="9"/>
        <v>4723.5637243757719</v>
      </c>
      <c r="AA12" s="6">
        <f t="shared" si="9"/>
        <v>4826.3779185082112</v>
      </c>
    </row>
    <row r="13" spans="2:27" s="2" customFormat="1" x14ac:dyDescent="0.3">
      <c r="B13" s="2" t="s">
        <v>22</v>
      </c>
      <c r="E13" s="8">
        <f>E5-E12</f>
        <v>745.70000000000073</v>
      </c>
      <c r="F13" s="8">
        <f>F5-F12</f>
        <v>516.49999999999773</v>
      </c>
      <c r="G13" s="8">
        <f>G5-G12</f>
        <v>875.49999999999909</v>
      </c>
      <c r="H13" s="8">
        <f>H5-H12</f>
        <v>1108.4852799999999</v>
      </c>
      <c r="K13" s="8">
        <f>K5-K12</f>
        <v>1502.0000000000005</v>
      </c>
      <c r="L13" s="8">
        <f>L5-L12</f>
        <v>724.20000000000073</v>
      </c>
      <c r="M13" s="8">
        <f>M5-M12</f>
        <v>1192.1999999999998</v>
      </c>
      <c r="N13" s="8">
        <f>N5-N12</f>
        <v>1320.4999999999995</v>
      </c>
      <c r="O13" s="8">
        <f>O5-O12</f>
        <v>1174.4000000000015</v>
      </c>
      <c r="P13" s="8">
        <f>P5-P12</f>
        <v>1262.1999999999971</v>
      </c>
      <c r="Q13" s="8">
        <f>Q5-Q12</f>
        <v>1983.9852799999967</v>
      </c>
      <c r="R13" s="8">
        <f>R5-R12</f>
        <v>2232.6906791999986</v>
      </c>
      <c r="S13" s="8">
        <f t="shared" ref="S13:AA13" si="10">S5-S12</f>
        <v>2398.1117571599984</v>
      </c>
      <c r="T13" s="8">
        <f t="shared" si="10"/>
        <v>2533.1982824063989</v>
      </c>
      <c r="U13" s="8">
        <f t="shared" si="10"/>
        <v>2635.6425940609915</v>
      </c>
      <c r="V13" s="8">
        <f t="shared" si="10"/>
        <v>2687.7083622410182</v>
      </c>
      <c r="W13" s="8">
        <f t="shared" si="10"/>
        <v>2738.2681836416114</v>
      </c>
      <c r="X13" s="8">
        <f t="shared" si="10"/>
        <v>2787.9738763524892</v>
      </c>
      <c r="Y13" s="8">
        <f t="shared" si="10"/>
        <v>2837.2832464690455</v>
      </c>
      <c r="Z13" s="8">
        <f t="shared" si="10"/>
        <v>2886.5182483418412</v>
      </c>
      <c r="AA13" s="8">
        <f t="shared" si="10"/>
        <v>2935.9056936637553</v>
      </c>
    </row>
    <row r="14" spans="2:27" x14ac:dyDescent="0.3">
      <c r="B14" s="1" t="s">
        <v>23</v>
      </c>
      <c r="E14" s="6">
        <v>-59.2</v>
      </c>
      <c r="F14" s="6">
        <f t="shared" ref="F14:F18" si="11">P14-E14</f>
        <v>-35.899999999999991</v>
      </c>
      <c r="G14" s="6">
        <v>-92.8</v>
      </c>
      <c r="H14" s="6">
        <f>F14*1.01</f>
        <v>-36.258999999999993</v>
      </c>
      <c r="K14" s="6">
        <v>-142</v>
      </c>
      <c r="L14" s="6">
        <v>-44.3</v>
      </c>
      <c r="M14" s="6">
        <v>-103.6</v>
      </c>
      <c r="N14" s="6">
        <v>-180</v>
      </c>
      <c r="O14" s="6">
        <v>-147.4</v>
      </c>
      <c r="P14" s="6">
        <v>-95.1</v>
      </c>
      <c r="Q14" s="6">
        <f t="shared" ref="Q14:Q18" si="12">SUM(G14:H14)</f>
        <v>-129.059</v>
      </c>
      <c r="R14" s="6">
        <f>Q14*1.02</f>
        <v>-131.64017999999999</v>
      </c>
      <c r="S14" s="6">
        <f t="shared" ref="S14:AA14" si="13">R14*1.02</f>
        <v>-134.27298359999998</v>
      </c>
      <c r="T14" s="6">
        <f t="shared" si="13"/>
        <v>-136.95844327199998</v>
      </c>
      <c r="U14" s="6">
        <f t="shared" si="13"/>
        <v>-139.69761213743999</v>
      </c>
      <c r="V14" s="6">
        <f t="shared" si="13"/>
        <v>-142.49156438018881</v>
      </c>
      <c r="W14" s="6">
        <f t="shared" si="13"/>
        <v>-145.3413956677926</v>
      </c>
      <c r="X14" s="6">
        <f t="shared" si="13"/>
        <v>-148.24822358114844</v>
      </c>
      <c r="Y14" s="6">
        <f t="shared" si="13"/>
        <v>-151.21318805277141</v>
      </c>
      <c r="Z14" s="6">
        <f t="shared" si="13"/>
        <v>-154.23745181382685</v>
      </c>
      <c r="AA14" s="6">
        <f t="shared" si="13"/>
        <v>-157.3222008501034</v>
      </c>
    </row>
    <row r="15" spans="2:27" x14ac:dyDescent="0.3">
      <c r="B15" s="1" t="s">
        <v>24</v>
      </c>
      <c r="E15" s="6">
        <v>153.69999999999999</v>
      </c>
      <c r="F15" s="6">
        <f t="shared" si="11"/>
        <v>135.60000000000002</v>
      </c>
      <c r="G15" s="6">
        <v>116.2</v>
      </c>
      <c r="H15" s="6">
        <f t="shared" ref="H15:H18" si="14">F15*1.01</f>
        <v>136.95600000000002</v>
      </c>
      <c r="K15" s="6">
        <v>62.9</v>
      </c>
      <c r="L15" s="6">
        <v>67.3</v>
      </c>
      <c r="M15" s="6">
        <v>54.1</v>
      </c>
      <c r="N15" s="6">
        <v>75.900000000000006</v>
      </c>
      <c r="O15" s="6">
        <v>159.6</v>
      </c>
      <c r="P15" s="6">
        <v>289.3</v>
      </c>
      <c r="Q15" s="6">
        <f t="shared" si="12"/>
        <v>253.15600000000001</v>
      </c>
      <c r="R15" s="6">
        <f t="shared" ref="R15:AA18" si="15">Q15*1.02</f>
        <v>258.21912000000003</v>
      </c>
      <c r="S15" s="6">
        <f t="shared" si="15"/>
        <v>263.38350240000005</v>
      </c>
      <c r="T15" s="6">
        <f t="shared" si="15"/>
        <v>268.65117244800007</v>
      </c>
      <c r="U15" s="6">
        <f t="shared" si="15"/>
        <v>274.02419589696007</v>
      </c>
      <c r="V15" s="6">
        <f t="shared" si="15"/>
        <v>279.50467981489925</v>
      </c>
      <c r="W15" s="6">
        <f t="shared" si="15"/>
        <v>285.09477341119725</v>
      </c>
      <c r="X15" s="6">
        <f t="shared" si="15"/>
        <v>290.79666887942119</v>
      </c>
      <c r="Y15" s="6">
        <f t="shared" si="15"/>
        <v>296.6126022570096</v>
      </c>
      <c r="Z15" s="6">
        <f t="shared" si="15"/>
        <v>302.54485430214982</v>
      </c>
      <c r="AA15" s="6">
        <f t="shared" si="15"/>
        <v>308.59575138819281</v>
      </c>
    </row>
    <row r="16" spans="2:27" x14ac:dyDescent="0.3">
      <c r="B16" s="1" t="s">
        <v>25</v>
      </c>
      <c r="E16" s="6">
        <v>-67</v>
      </c>
      <c r="F16" s="6">
        <f t="shared" si="11"/>
        <v>-56.5</v>
      </c>
      <c r="G16" s="6">
        <v>-60.5</v>
      </c>
      <c r="H16" s="6">
        <f t="shared" si="14"/>
        <v>-57.064999999999998</v>
      </c>
      <c r="K16" s="6">
        <v>-19.600000000000001</v>
      </c>
      <c r="L16" s="6">
        <v>-7.6</v>
      </c>
      <c r="M16" s="6">
        <v>2.5</v>
      </c>
      <c r="N16" s="6">
        <v>-25.8</v>
      </c>
      <c r="O16" s="6">
        <v>-161.4</v>
      </c>
      <c r="P16" s="6">
        <v>-123.5</v>
      </c>
      <c r="Q16" s="6">
        <f t="shared" si="12"/>
        <v>-117.565</v>
      </c>
      <c r="R16" s="6">
        <f t="shared" si="15"/>
        <v>-119.91630000000001</v>
      </c>
      <c r="S16" s="6">
        <f t="shared" si="15"/>
        <v>-122.314626</v>
      </c>
      <c r="T16" s="6">
        <f t="shared" si="15"/>
        <v>-124.76091852</v>
      </c>
      <c r="U16" s="6">
        <f t="shared" si="15"/>
        <v>-127.2561368904</v>
      </c>
      <c r="V16" s="6">
        <f t="shared" si="15"/>
        <v>-129.80125962820802</v>
      </c>
      <c r="W16" s="6">
        <f t="shared" si="15"/>
        <v>-132.39728482077217</v>
      </c>
      <c r="X16" s="6">
        <f t="shared" si="15"/>
        <v>-135.0452305171876</v>
      </c>
      <c r="Y16" s="6">
        <f t="shared" si="15"/>
        <v>-137.74613512753135</v>
      </c>
      <c r="Z16" s="6">
        <f t="shared" si="15"/>
        <v>-140.50105783008198</v>
      </c>
      <c r="AA16" s="6">
        <f t="shared" si="15"/>
        <v>-143.31107898668361</v>
      </c>
    </row>
    <row r="17" spans="2:137" x14ac:dyDescent="0.3">
      <c r="B17" s="1" t="s">
        <v>28</v>
      </c>
      <c r="E17" s="6">
        <v>-29.9</v>
      </c>
      <c r="F17" s="6">
        <f t="shared" si="11"/>
        <v>-9.5</v>
      </c>
      <c r="G17" s="6">
        <v>43.9</v>
      </c>
      <c r="H17" s="6">
        <f t="shared" si="14"/>
        <v>-9.5950000000000006</v>
      </c>
      <c r="K17" s="6">
        <v>84.4</v>
      </c>
      <c r="L17" s="6">
        <v>81.5</v>
      </c>
      <c r="M17" s="6">
        <v>52.8</v>
      </c>
      <c r="N17" s="6">
        <v>98.5</v>
      </c>
      <c r="O17" s="6">
        <v>65</v>
      </c>
      <c r="P17" s="6">
        <v>-39.4</v>
      </c>
      <c r="Q17" s="6">
        <f t="shared" si="12"/>
        <v>34.305</v>
      </c>
      <c r="R17" s="6">
        <f t="shared" si="15"/>
        <v>34.991100000000003</v>
      </c>
      <c r="S17" s="6">
        <f t="shared" si="15"/>
        <v>35.690922</v>
      </c>
      <c r="T17" s="6">
        <f t="shared" si="15"/>
        <v>36.404740439999998</v>
      </c>
      <c r="U17" s="6">
        <f t="shared" si="15"/>
        <v>37.132835248799999</v>
      </c>
      <c r="V17" s="6">
        <f t="shared" si="15"/>
        <v>37.875491953775999</v>
      </c>
      <c r="W17" s="6">
        <f t="shared" si="15"/>
        <v>38.633001792851516</v>
      </c>
      <c r="X17" s="6">
        <f t="shared" si="15"/>
        <v>39.405661828708546</v>
      </c>
      <c r="Y17" s="6">
        <f t="shared" si="15"/>
        <v>40.193775065282715</v>
      </c>
      <c r="Z17" s="6">
        <f t="shared" si="15"/>
        <v>40.997650566588369</v>
      </c>
      <c r="AA17" s="6">
        <f t="shared" si="15"/>
        <v>41.817603577920138</v>
      </c>
    </row>
    <row r="18" spans="2:137" x14ac:dyDescent="0.3">
      <c r="B18" s="1" t="s">
        <v>29</v>
      </c>
      <c r="E18" s="6">
        <v>29.5</v>
      </c>
      <c r="F18" s="6">
        <f t="shared" si="11"/>
        <v>21.799999999999997</v>
      </c>
      <c r="G18" s="6">
        <v>21.8</v>
      </c>
      <c r="H18" s="6">
        <f t="shared" si="14"/>
        <v>22.017999999999997</v>
      </c>
      <c r="K18" s="6">
        <v>68.900000000000006</v>
      </c>
      <c r="L18" s="6">
        <v>45.1</v>
      </c>
      <c r="M18" s="6">
        <v>21.9</v>
      </c>
      <c r="N18" s="6">
        <v>4.9000000000000004</v>
      </c>
      <c r="O18" s="6">
        <v>77.8</v>
      </c>
      <c r="P18" s="6">
        <v>51.3</v>
      </c>
      <c r="Q18" s="6">
        <f t="shared" si="12"/>
        <v>43.817999999999998</v>
      </c>
      <c r="R18" s="6">
        <f t="shared" si="15"/>
        <v>44.694359999999996</v>
      </c>
      <c r="S18" s="6">
        <f t="shared" si="15"/>
        <v>45.588247199999998</v>
      </c>
      <c r="T18" s="6">
        <f t="shared" si="15"/>
        <v>46.500012143999996</v>
      </c>
      <c r="U18" s="6">
        <f t="shared" si="15"/>
        <v>47.430012386879994</v>
      </c>
      <c r="V18" s="6">
        <f t="shared" si="15"/>
        <v>48.378612634617596</v>
      </c>
      <c r="W18" s="6">
        <f t="shared" si="15"/>
        <v>49.346184887309946</v>
      </c>
      <c r="X18" s="6">
        <f t="shared" si="15"/>
        <v>50.333108585056145</v>
      </c>
      <c r="Y18" s="6">
        <f t="shared" si="15"/>
        <v>51.339770756757268</v>
      </c>
      <c r="Z18" s="6">
        <f t="shared" si="15"/>
        <v>52.366566171892416</v>
      </c>
      <c r="AA18" s="6">
        <f t="shared" si="15"/>
        <v>53.413897495330268</v>
      </c>
    </row>
    <row r="19" spans="2:137" x14ac:dyDescent="0.3">
      <c r="B19" s="1" t="s">
        <v>26</v>
      </c>
      <c r="E19" s="6">
        <f>SUM(E14:E18)</f>
        <v>27.099999999999987</v>
      </c>
      <c r="F19" s="6">
        <f>SUM(F14:F18)</f>
        <v>55.500000000000028</v>
      </c>
      <c r="G19" s="6">
        <f>SUM(G14:G18)</f>
        <v>28.600000000000005</v>
      </c>
      <c r="H19" s="6">
        <f>SUM(H14:H18)</f>
        <v>56.055000000000035</v>
      </c>
      <c r="K19" s="6">
        <f>SUM(K14:K18)</f>
        <v>54.600000000000023</v>
      </c>
      <c r="L19" s="6">
        <f>SUM(L14:L18)</f>
        <v>142</v>
      </c>
      <c r="M19" s="6">
        <f>SUM(M14:M18)</f>
        <v>27.700000000000003</v>
      </c>
      <c r="N19" s="6">
        <f>SUM(N14:N18)</f>
        <v>-26.500000000000007</v>
      </c>
      <c r="O19" s="6">
        <f>SUM(O14:O18)</f>
        <v>-6.4000000000000199</v>
      </c>
      <c r="P19" s="6">
        <f>SUM(P14:P18)</f>
        <v>82.600000000000023</v>
      </c>
      <c r="Q19" s="6">
        <f>SUM(Q14:Q18)</f>
        <v>84.655000000000001</v>
      </c>
      <c r="R19" s="6">
        <f>SUM(R14:R18)</f>
        <v>86.348100000000045</v>
      </c>
      <c r="S19" s="6">
        <f t="shared" ref="S19:AA19" si="16">SUM(S14:S18)</f>
        <v>88.075062000000074</v>
      </c>
      <c r="T19" s="6">
        <f t="shared" si="16"/>
        <v>89.836563240000075</v>
      </c>
      <c r="U19" s="6">
        <f t="shared" si="16"/>
        <v>91.633294504800062</v>
      </c>
      <c r="V19" s="6">
        <f t="shared" si="16"/>
        <v>93.46596039489603</v>
      </c>
      <c r="W19" s="6">
        <f t="shared" si="16"/>
        <v>95.335279602793946</v>
      </c>
      <c r="X19" s="6">
        <f t="shared" si="16"/>
        <v>97.241985194849832</v>
      </c>
      <c r="Y19" s="6">
        <f t="shared" si="16"/>
        <v>99.186824898746821</v>
      </c>
      <c r="Z19" s="6">
        <f t="shared" si="16"/>
        <v>101.17056139672178</v>
      </c>
      <c r="AA19" s="6">
        <f t="shared" si="16"/>
        <v>103.1939726246562</v>
      </c>
    </row>
    <row r="20" spans="2:137" s="2" customFormat="1" x14ac:dyDescent="0.3">
      <c r="B20" s="2" t="s">
        <v>27</v>
      </c>
      <c r="E20" s="8">
        <f>E13-E19</f>
        <v>718.6000000000007</v>
      </c>
      <c r="F20" s="8">
        <f>F13-F19</f>
        <v>460.99999999999773</v>
      </c>
      <c r="G20" s="8">
        <f>G13-G19</f>
        <v>846.89999999999907</v>
      </c>
      <c r="H20" s="8">
        <f>H13-H19</f>
        <v>1052.4302799999998</v>
      </c>
      <c r="K20" s="8">
        <f>K13-K19</f>
        <v>1447.4000000000005</v>
      </c>
      <c r="L20" s="8">
        <f>L13-L19</f>
        <v>582.20000000000073</v>
      </c>
      <c r="M20" s="8">
        <f>M13-M19</f>
        <v>1164.4999999999998</v>
      </c>
      <c r="N20" s="8">
        <f>N13-N19</f>
        <v>1346.9999999999995</v>
      </c>
      <c r="O20" s="8">
        <f>O13-O19</f>
        <v>1180.8000000000015</v>
      </c>
      <c r="P20" s="8">
        <f>P13-P19</f>
        <v>1179.5999999999972</v>
      </c>
      <c r="Q20" s="8">
        <f>Q13-Q19</f>
        <v>1899.3302799999967</v>
      </c>
      <c r="R20" s="8">
        <f>R13-R19</f>
        <v>2146.3425791999985</v>
      </c>
      <c r="S20" s="8">
        <f t="shared" ref="S20:AA20" si="17">S13-S19</f>
        <v>2310.0366951599985</v>
      </c>
      <c r="T20" s="8">
        <f t="shared" si="17"/>
        <v>2443.3617191663989</v>
      </c>
      <c r="U20" s="8">
        <f t="shared" si="17"/>
        <v>2544.0092995561913</v>
      </c>
      <c r="V20" s="8">
        <f t="shared" si="17"/>
        <v>2594.242401846122</v>
      </c>
      <c r="W20" s="8">
        <f t="shared" si="17"/>
        <v>2642.9329040388175</v>
      </c>
      <c r="X20" s="8">
        <f t="shared" si="17"/>
        <v>2690.7318911576394</v>
      </c>
      <c r="Y20" s="8">
        <f t="shared" si="17"/>
        <v>2738.0964215702988</v>
      </c>
      <c r="Z20" s="8">
        <f t="shared" si="17"/>
        <v>2785.3476869451192</v>
      </c>
      <c r="AA20" s="8">
        <f t="shared" si="17"/>
        <v>2832.7117210390993</v>
      </c>
    </row>
    <row r="21" spans="2:137" x14ac:dyDescent="0.3">
      <c r="B21" s="1" t="s">
        <v>30</v>
      </c>
      <c r="E21" s="6">
        <v>124.1</v>
      </c>
      <c r="F21" s="6">
        <f>P21-E21</f>
        <v>123.20000000000002</v>
      </c>
      <c r="G21" s="6">
        <v>204.9</v>
      </c>
      <c r="H21" s="6">
        <f>H20*0.21</f>
        <v>221.01035879999995</v>
      </c>
      <c r="K21" s="6">
        <v>301</v>
      </c>
      <c r="L21" s="6">
        <v>90.3</v>
      </c>
      <c r="M21" s="6">
        <v>147.69999999999999</v>
      </c>
      <c r="N21" s="6">
        <v>225.1</v>
      </c>
      <c r="O21" s="6">
        <v>252.2</v>
      </c>
      <c r="P21" s="6">
        <v>247.3</v>
      </c>
      <c r="Q21" s="6">
        <f>SUM(G21:H21)</f>
        <v>425.91035879999993</v>
      </c>
      <c r="R21" s="6">
        <f>R20*0.22</f>
        <v>472.19536742399964</v>
      </c>
      <c r="S21" s="6">
        <f t="shared" ref="S21:AA21" si="18">S20*0.22</f>
        <v>508.20807293519971</v>
      </c>
      <c r="T21" s="6">
        <f t="shared" si="18"/>
        <v>537.53957821660777</v>
      </c>
      <c r="U21" s="6">
        <f t="shared" si="18"/>
        <v>559.68204590236212</v>
      </c>
      <c r="V21" s="6">
        <f t="shared" si="18"/>
        <v>570.73332840614682</v>
      </c>
      <c r="W21" s="6">
        <f t="shared" si="18"/>
        <v>581.44523888853985</v>
      </c>
      <c r="X21" s="6">
        <f t="shared" si="18"/>
        <v>591.96101605468073</v>
      </c>
      <c r="Y21" s="6">
        <f t="shared" si="18"/>
        <v>602.38121274546575</v>
      </c>
      <c r="Z21" s="6">
        <f t="shared" si="18"/>
        <v>612.77649112792619</v>
      </c>
      <c r="AA21" s="6">
        <f t="shared" si="18"/>
        <v>623.19657862860186</v>
      </c>
    </row>
    <row r="22" spans="2:137" s="2" customFormat="1" x14ac:dyDescent="0.3">
      <c r="B22" s="2" t="s">
        <v>31</v>
      </c>
      <c r="E22" s="8">
        <f>E20-E21</f>
        <v>594.50000000000068</v>
      </c>
      <c r="F22" s="8">
        <f>F20-F21</f>
        <v>337.79999999999768</v>
      </c>
      <c r="G22" s="8">
        <f>G20-G21</f>
        <v>641.99999999999909</v>
      </c>
      <c r="H22" s="8">
        <f>H20-H21</f>
        <v>831.41992119999986</v>
      </c>
      <c r="K22" s="8">
        <f>K20-K21</f>
        <v>1146.4000000000005</v>
      </c>
      <c r="L22" s="8">
        <f>L20-L21</f>
        <v>491.90000000000072</v>
      </c>
      <c r="M22" s="8">
        <f>M20-M21</f>
        <v>1016.7999999999997</v>
      </c>
      <c r="N22" s="8">
        <f>N20-N21</f>
        <v>1121.8999999999996</v>
      </c>
      <c r="O22" s="8">
        <f>O20-O21</f>
        <v>928.6000000000015</v>
      </c>
      <c r="P22" s="8">
        <f>P20-P21</f>
        <v>932.29999999999723</v>
      </c>
      <c r="Q22" s="8">
        <f>Q20-Q21</f>
        <v>1473.4199211999967</v>
      </c>
      <c r="R22" s="8">
        <f>R20-R21</f>
        <v>1674.1472117759988</v>
      </c>
      <c r="S22" s="8">
        <f t="shared" ref="S22:AA22" si="19">S20-S21</f>
        <v>1801.8286222247989</v>
      </c>
      <c r="T22" s="8">
        <f t="shared" si="19"/>
        <v>1905.822140949791</v>
      </c>
      <c r="U22" s="8">
        <f t="shared" si="19"/>
        <v>1984.3272536538293</v>
      </c>
      <c r="V22" s="8">
        <f t="shared" si="19"/>
        <v>2023.5090734399751</v>
      </c>
      <c r="W22" s="8">
        <f t="shared" si="19"/>
        <v>2061.4876651502777</v>
      </c>
      <c r="X22" s="8">
        <f t="shared" si="19"/>
        <v>2098.7708751029586</v>
      </c>
      <c r="Y22" s="8">
        <f t="shared" si="19"/>
        <v>2135.7152088248331</v>
      </c>
      <c r="Z22" s="8">
        <f t="shared" si="19"/>
        <v>2172.5711958171933</v>
      </c>
      <c r="AA22" s="8">
        <f t="shared" si="19"/>
        <v>2209.5151424104974</v>
      </c>
      <c r="AB22" s="2">
        <f>AA22*(1+$AD$28)</f>
        <v>2187.4199909863923</v>
      </c>
      <c r="AC22" s="2">
        <f t="shared" ref="AC22:CN22" si="20">AB22*(1+$AD$28)</f>
        <v>2165.5457910765285</v>
      </c>
      <c r="AD22" s="2">
        <f t="shared" si="20"/>
        <v>2143.8903331657634</v>
      </c>
      <c r="AE22" s="2">
        <f t="shared" si="20"/>
        <v>2122.451429834106</v>
      </c>
      <c r="AF22" s="2">
        <f t="shared" si="20"/>
        <v>2101.2269155357649</v>
      </c>
      <c r="AG22" s="2">
        <f t="shared" si="20"/>
        <v>2080.2146463804074</v>
      </c>
      <c r="AH22" s="2">
        <f t="shared" si="20"/>
        <v>2059.4124999166033</v>
      </c>
      <c r="AI22" s="2">
        <f t="shared" si="20"/>
        <v>2038.8183749174373</v>
      </c>
      <c r="AJ22" s="2">
        <f t="shared" si="20"/>
        <v>2018.4301911682628</v>
      </c>
      <c r="AK22" s="2">
        <f t="shared" si="20"/>
        <v>1998.2458892565801</v>
      </c>
      <c r="AL22" s="2">
        <f t="shared" si="20"/>
        <v>1978.2634303640143</v>
      </c>
      <c r="AM22" s="2">
        <f t="shared" si="20"/>
        <v>1958.4807960603741</v>
      </c>
      <c r="AN22" s="2">
        <f t="shared" si="20"/>
        <v>1938.8959880997704</v>
      </c>
      <c r="AO22" s="2">
        <f t="shared" si="20"/>
        <v>1919.5070282187728</v>
      </c>
      <c r="AP22" s="2">
        <f t="shared" si="20"/>
        <v>1900.311957936585</v>
      </c>
      <c r="AQ22" s="2">
        <f t="shared" si="20"/>
        <v>1881.3088383572192</v>
      </c>
      <c r="AR22" s="2">
        <f t="shared" si="20"/>
        <v>1862.495749973647</v>
      </c>
      <c r="AS22" s="2">
        <f t="shared" si="20"/>
        <v>1843.8707924739106</v>
      </c>
      <c r="AT22" s="2">
        <f t="shared" si="20"/>
        <v>1825.4320845491713</v>
      </c>
      <c r="AU22" s="2">
        <f t="shared" si="20"/>
        <v>1807.1777637036796</v>
      </c>
      <c r="AV22" s="2">
        <f t="shared" si="20"/>
        <v>1789.1059860666428</v>
      </c>
      <c r="AW22" s="2">
        <f t="shared" si="20"/>
        <v>1771.2149262059763</v>
      </c>
      <c r="AX22" s="2">
        <f t="shared" si="20"/>
        <v>1753.5027769439166</v>
      </c>
      <c r="AY22" s="2">
        <f t="shared" si="20"/>
        <v>1735.9677491744774</v>
      </c>
      <c r="AZ22" s="2">
        <f t="shared" si="20"/>
        <v>1718.6080716827325</v>
      </c>
      <c r="BA22" s="2">
        <f t="shared" si="20"/>
        <v>1701.4219909659053</v>
      </c>
      <c r="BB22" s="2">
        <f t="shared" si="20"/>
        <v>1684.4077710562462</v>
      </c>
      <c r="BC22" s="2">
        <f t="shared" si="20"/>
        <v>1667.5636933456838</v>
      </c>
      <c r="BD22" s="2">
        <f t="shared" si="20"/>
        <v>1650.8880564122269</v>
      </c>
      <c r="BE22" s="2">
        <f t="shared" si="20"/>
        <v>1634.3791758481045</v>
      </c>
      <c r="BF22" s="2">
        <f t="shared" si="20"/>
        <v>1618.0353840896234</v>
      </c>
      <c r="BG22" s="2">
        <f t="shared" si="20"/>
        <v>1601.8550302487272</v>
      </c>
      <c r="BH22" s="2">
        <f t="shared" si="20"/>
        <v>1585.8364799462399</v>
      </c>
      <c r="BI22" s="2">
        <f t="shared" si="20"/>
        <v>1569.9781151467776</v>
      </c>
      <c r="BJ22" s="2">
        <f t="shared" si="20"/>
        <v>1554.2783339953098</v>
      </c>
      <c r="BK22" s="2">
        <f t="shared" si="20"/>
        <v>1538.7355506553567</v>
      </c>
      <c r="BL22" s="2">
        <f t="shared" si="20"/>
        <v>1523.3481951488031</v>
      </c>
      <c r="BM22" s="2">
        <f t="shared" si="20"/>
        <v>1508.114713197315</v>
      </c>
      <c r="BN22" s="2">
        <f t="shared" si="20"/>
        <v>1493.0335660653418</v>
      </c>
      <c r="BO22" s="2">
        <f t="shared" si="20"/>
        <v>1478.1032304046885</v>
      </c>
      <c r="BP22" s="2">
        <f t="shared" si="20"/>
        <v>1463.3221981006416</v>
      </c>
      <c r="BQ22" s="2">
        <f t="shared" si="20"/>
        <v>1448.6889761196351</v>
      </c>
      <c r="BR22" s="2">
        <f t="shared" si="20"/>
        <v>1434.2020863584387</v>
      </c>
      <c r="BS22" s="2">
        <f t="shared" si="20"/>
        <v>1419.8600654948543</v>
      </c>
      <c r="BT22" s="2">
        <f t="shared" si="20"/>
        <v>1405.6614648399059</v>
      </c>
      <c r="BU22" s="2">
        <f t="shared" si="20"/>
        <v>1391.6048501915068</v>
      </c>
      <c r="BV22" s="2">
        <f t="shared" si="20"/>
        <v>1377.6888016895916</v>
      </c>
      <c r="BW22" s="2">
        <f t="shared" si="20"/>
        <v>1363.9119136726956</v>
      </c>
      <c r="BX22" s="2">
        <f t="shared" si="20"/>
        <v>1350.2727945359686</v>
      </c>
      <c r="BY22" s="2">
        <f t="shared" si="20"/>
        <v>1336.7700665906088</v>
      </c>
      <c r="BZ22" s="2">
        <f t="shared" si="20"/>
        <v>1323.4023659247027</v>
      </c>
      <c r="CA22" s="2">
        <f t="shared" si="20"/>
        <v>1310.1683422654557</v>
      </c>
      <c r="CB22" s="2">
        <f t="shared" si="20"/>
        <v>1297.0666588428012</v>
      </c>
      <c r="CC22" s="2">
        <f t="shared" si="20"/>
        <v>1284.0959922543732</v>
      </c>
      <c r="CD22" s="2">
        <f t="shared" si="20"/>
        <v>1271.2550323318294</v>
      </c>
      <c r="CE22" s="2">
        <f t="shared" si="20"/>
        <v>1258.5424820085111</v>
      </c>
      <c r="CF22" s="2">
        <f t="shared" si="20"/>
        <v>1245.957057188426</v>
      </c>
      <c r="CG22" s="2">
        <f t="shared" si="20"/>
        <v>1233.4974866165417</v>
      </c>
      <c r="CH22" s="2">
        <f t="shared" si="20"/>
        <v>1221.1625117503763</v>
      </c>
      <c r="CI22" s="2">
        <f t="shared" si="20"/>
        <v>1208.9508866328727</v>
      </c>
      <c r="CJ22" s="2">
        <f t="shared" si="20"/>
        <v>1196.8613777665439</v>
      </c>
      <c r="CK22" s="2">
        <f t="shared" si="20"/>
        <v>1184.8927639888784</v>
      </c>
      <c r="CL22" s="2">
        <f t="shared" si="20"/>
        <v>1173.0438363489895</v>
      </c>
      <c r="CM22" s="2">
        <f t="shared" si="20"/>
        <v>1161.3133979854997</v>
      </c>
      <c r="CN22" s="2">
        <f t="shared" si="20"/>
        <v>1149.7002640056446</v>
      </c>
      <c r="CO22" s="2">
        <f t="shared" ref="CO22:EG22" si="21">CN22*(1+$AD$28)</f>
        <v>1138.2032613655881</v>
      </c>
      <c r="CP22" s="2">
        <f t="shared" si="21"/>
        <v>1126.8212287519323</v>
      </c>
      <c r="CQ22" s="2">
        <f t="shared" si="21"/>
        <v>1115.5530164644128</v>
      </c>
      <c r="CR22" s="2">
        <f t="shared" si="21"/>
        <v>1104.3974862997686</v>
      </c>
      <c r="CS22" s="2">
        <f t="shared" si="21"/>
        <v>1093.353511436771</v>
      </c>
      <c r="CT22" s="2">
        <f t="shared" si="21"/>
        <v>1082.4199763224033</v>
      </c>
      <c r="CU22" s="2">
        <f t="shared" si="21"/>
        <v>1071.5957765591793</v>
      </c>
      <c r="CV22" s="2">
        <f t="shared" si="21"/>
        <v>1060.8798187935874</v>
      </c>
      <c r="CW22" s="2">
        <f t="shared" si="21"/>
        <v>1050.2710206056515</v>
      </c>
      <c r="CX22" s="2">
        <f t="shared" si="21"/>
        <v>1039.7683103995951</v>
      </c>
      <c r="CY22" s="2">
        <f t="shared" si="21"/>
        <v>1029.3706272955992</v>
      </c>
      <c r="CZ22" s="2">
        <f t="shared" si="21"/>
        <v>1019.0769210226432</v>
      </c>
      <c r="DA22" s="2">
        <f t="shared" si="21"/>
        <v>1008.8861518124168</v>
      </c>
      <c r="DB22" s="2">
        <f t="shared" si="21"/>
        <v>998.79729029429257</v>
      </c>
      <c r="DC22" s="2">
        <f t="shared" si="21"/>
        <v>988.80931739134962</v>
      </c>
      <c r="DD22" s="2">
        <f t="shared" si="21"/>
        <v>978.92122421743613</v>
      </c>
      <c r="DE22" s="2">
        <f t="shared" si="21"/>
        <v>969.13201197526178</v>
      </c>
      <c r="DF22" s="2">
        <f t="shared" si="21"/>
        <v>959.44069185550916</v>
      </c>
      <c r="DG22" s="2">
        <f t="shared" si="21"/>
        <v>949.84628493695402</v>
      </c>
      <c r="DH22" s="2">
        <f t="shared" si="21"/>
        <v>940.34782208758452</v>
      </c>
      <c r="DI22" s="2">
        <f t="shared" si="21"/>
        <v>930.94434386670866</v>
      </c>
      <c r="DJ22" s="2">
        <f t="shared" si="21"/>
        <v>921.63490042804153</v>
      </c>
      <c r="DK22" s="2">
        <f t="shared" si="21"/>
        <v>912.41855142376107</v>
      </c>
      <c r="DL22" s="2">
        <f t="shared" si="21"/>
        <v>903.29436590952344</v>
      </c>
      <c r="DM22" s="2">
        <f t="shared" si="21"/>
        <v>894.26142225042815</v>
      </c>
      <c r="DN22" s="2">
        <f t="shared" si="21"/>
        <v>885.31880802792386</v>
      </c>
      <c r="DO22" s="2">
        <f t="shared" si="21"/>
        <v>876.46561994764465</v>
      </c>
      <c r="DP22" s="2">
        <f t="shared" si="21"/>
        <v>867.70096374816819</v>
      </c>
      <c r="DQ22" s="2">
        <f t="shared" si="21"/>
        <v>859.02395411068653</v>
      </c>
      <c r="DR22" s="2">
        <f t="shared" si="21"/>
        <v>850.43371456957971</v>
      </c>
      <c r="DS22" s="2">
        <f t="shared" si="21"/>
        <v>841.92937742388392</v>
      </c>
      <c r="DT22" s="2">
        <f t="shared" si="21"/>
        <v>833.51008364964503</v>
      </c>
      <c r="DU22" s="2">
        <f t="shared" si="21"/>
        <v>825.17498281314852</v>
      </c>
      <c r="DV22" s="2">
        <f t="shared" si="21"/>
        <v>816.92323298501708</v>
      </c>
      <c r="DW22" s="2">
        <f t="shared" si="21"/>
        <v>808.75400065516692</v>
      </c>
      <c r="DX22" s="2">
        <f t="shared" si="21"/>
        <v>800.66646064861527</v>
      </c>
      <c r="DY22" s="2">
        <f t="shared" si="21"/>
        <v>792.65979604212907</v>
      </c>
      <c r="DZ22" s="2">
        <f t="shared" si="21"/>
        <v>784.73319808170777</v>
      </c>
      <c r="EA22" s="2">
        <f t="shared" si="21"/>
        <v>776.88586610089067</v>
      </c>
      <c r="EB22" s="2">
        <f t="shared" si="21"/>
        <v>769.11700743988172</v>
      </c>
      <c r="EC22" s="2">
        <f t="shared" si="21"/>
        <v>761.42583736548295</v>
      </c>
      <c r="ED22" s="2">
        <f t="shared" si="21"/>
        <v>753.81157899182813</v>
      </c>
      <c r="EE22" s="2">
        <f t="shared" si="21"/>
        <v>746.27346320190986</v>
      </c>
      <c r="EF22" s="2">
        <f t="shared" si="21"/>
        <v>738.81072856989078</v>
      </c>
      <c r="EG22" s="2">
        <f t="shared" si="21"/>
        <v>731.42262128419191</v>
      </c>
    </row>
    <row r="23" spans="2:137" x14ac:dyDescent="0.3">
      <c r="B23" s="1" t="s">
        <v>2</v>
      </c>
      <c r="E23" s="6">
        <f>205.5</f>
        <v>205.5</v>
      </c>
      <c r="F23" s="6">
        <f>205.5</f>
        <v>205.5</v>
      </c>
      <c r="G23" s="6">
        <f>205.4</f>
        <v>205.4</v>
      </c>
      <c r="H23" s="6">
        <f>205.4</f>
        <v>205.4</v>
      </c>
      <c r="K23" s="6">
        <f>205.5</f>
        <v>205.5</v>
      </c>
      <c r="L23" s="6">
        <f>205.5</f>
        <v>205.5</v>
      </c>
      <c r="M23" s="6">
        <f>205.5</f>
        <v>205.5</v>
      </c>
      <c r="N23" s="6">
        <f>205.5</f>
        <v>205.5</v>
      </c>
      <c r="O23" s="6">
        <f>205.5</f>
        <v>205.5</v>
      </c>
      <c r="P23" s="6">
        <f>205.5</f>
        <v>205.5</v>
      </c>
      <c r="Q23" s="6">
        <f>205.4</f>
        <v>205.4</v>
      </c>
      <c r="R23" s="6">
        <f>205.4</f>
        <v>205.4</v>
      </c>
      <c r="S23" s="6">
        <f t="shared" ref="S23:AA23" si="22">205.4</f>
        <v>205.4</v>
      </c>
      <c r="T23" s="6">
        <f t="shared" si="22"/>
        <v>205.4</v>
      </c>
      <c r="U23" s="6">
        <f t="shared" si="22"/>
        <v>205.4</v>
      </c>
      <c r="V23" s="6">
        <f t="shared" si="22"/>
        <v>205.4</v>
      </c>
      <c r="W23" s="6">
        <f t="shared" si="22"/>
        <v>205.4</v>
      </c>
      <c r="X23" s="6">
        <f t="shared" si="22"/>
        <v>205.4</v>
      </c>
      <c r="Y23" s="6">
        <f t="shared" si="22"/>
        <v>205.4</v>
      </c>
      <c r="Z23" s="6">
        <f t="shared" si="22"/>
        <v>205.4</v>
      </c>
      <c r="AA23" s="6">
        <f t="shared" si="22"/>
        <v>205.4</v>
      </c>
    </row>
    <row r="24" spans="2:137" x14ac:dyDescent="0.3">
      <c r="B24" s="1" t="s">
        <v>32</v>
      </c>
      <c r="E24" s="7">
        <f>E22/E23</f>
        <v>2.8929440389294436</v>
      </c>
      <c r="F24" s="7">
        <f>F22/F23</f>
        <v>1.6437956204379449</v>
      </c>
      <c r="G24" s="7">
        <f>G22/G23</f>
        <v>3.1256085686465389</v>
      </c>
      <c r="H24" s="7">
        <f>H22/H23</f>
        <v>4.0478087692307687</v>
      </c>
      <c r="K24" s="7">
        <f>K22/K23</f>
        <v>5.5785888077858905</v>
      </c>
      <c r="L24" s="7">
        <f>L22/L23</f>
        <v>2.3936739659367432</v>
      </c>
      <c r="M24" s="7">
        <f>M22/M23</f>
        <v>4.9479318734793178</v>
      </c>
      <c r="N24" s="7">
        <f>N22/N23</f>
        <v>5.459367396593672</v>
      </c>
      <c r="O24" s="7">
        <f>O22/O23</f>
        <v>4.5187347931873552</v>
      </c>
      <c r="P24" s="7">
        <f>P22/P23</f>
        <v>4.5367396593673828</v>
      </c>
      <c r="Q24" s="7">
        <f>Q22/Q23</f>
        <v>7.1734173378772965</v>
      </c>
      <c r="R24" s="7">
        <f>R22/R23</f>
        <v>8.1506680222784755</v>
      </c>
      <c r="S24" s="7">
        <f t="shared" ref="S24:AA24" si="23">S22/S23</f>
        <v>8.7722912474430323</v>
      </c>
      <c r="T24" s="7">
        <f t="shared" si="23"/>
        <v>9.2785888069610074</v>
      </c>
      <c r="U24" s="7">
        <f t="shared" si="23"/>
        <v>9.6607948084412332</v>
      </c>
      <c r="V24" s="7">
        <f t="shared" si="23"/>
        <v>9.8515534247321082</v>
      </c>
      <c r="W24" s="7">
        <f t="shared" si="23"/>
        <v>10.036454065970194</v>
      </c>
      <c r="X24" s="7">
        <f t="shared" si="23"/>
        <v>10.217969206927744</v>
      </c>
      <c r="Y24" s="7">
        <f t="shared" si="23"/>
        <v>10.397834512292274</v>
      </c>
      <c r="Z24" s="7">
        <f t="shared" si="23"/>
        <v>10.577269697259947</v>
      </c>
      <c r="AA24" s="7">
        <f t="shared" si="23"/>
        <v>10.757133117869998</v>
      </c>
    </row>
    <row r="26" spans="2:137" x14ac:dyDescent="0.3">
      <c r="B26" s="1" t="s">
        <v>38</v>
      </c>
      <c r="E26" s="10"/>
      <c r="F26" s="10"/>
      <c r="G26" s="10">
        <f>G3/E3-1</f>
        <v>8.1358967606004695E-2</v>
      </c>
      <c r="H26" s="10">
        <f>H3/F3-1</f>
        <v>8.0000000000000071E-2</v>
      </c>
      <c r="K26" s="10"/>
      <c r="L26" s="10">
        <f>L3/K3-1</f>
        <v>-7.6740394543774682E-2</v>
      </c>
      <c r="M26" s="10">
        <f t="shared" ref="M26:Q26" si="24">M3/L3-1</f>
        <v>-4.690709816409544E-2</v>
      </c>
      <c r="N26" s="10">
        <f t="shared" si="24"/>
        <v>8.5029644268774573E-2</v>
      </c>
      <c r="O26" s="10">
        <f t="shared" si="24"/>
        <v>4.89276444606348E-2</v>
      </c>
      <c r="P26" s="10">
        <f t="shared" si="24"/>
        <v>0.11657007662086771</v>
      </c>
      <c r="Q26" s="10">
        <f>Q3/P3-1</f>
        <v>8.0626925731170251E-2</v>
      </c>
      <c r="R26" s="10">
        <f t="shared" ref="R26:AA26" si="25">R3/Q3-1</f>
        <v>6.0000000000000053E-2</v>
      </c>
      <c r="S26" s="10">
        <f t="shared" si="25"/>
        <v>5.0000000000000044E-2</v>
      </c>
      <c r="T26" s="10">
        <f t="shared" si="25"/>
        <v>4.0000000000000036E-2</v>
      </c>
      <c r="U26" s="10">
        <f t="shared" si="25"/>
        <v>3.0000000000000027E-2</v>
      </c>
      <c r="V26" s="10">
        <f t="shared" si="25"/>
        <v>2.0000000000000018E-2</v>
      </c>
      <c r="W26" s="10">
        <f t="shared" si="25"/>
        <v>2.0000000000000018E-2</v>
      </c>
      <c r="X26" s="10">
        <f t="shared" si="25"/>
        <v>2.0000000000000018E-2</v>
      </c>
      <c r="Y26" s="10">
        <f t="shared" si="25"/>
        <v>2.0000000000000018E-2</v>
      </c>
      <c r="Z26" s="10">
        <f t="shared" si="25"/>
        <v>2.0000000000000018E-2</v>
      </c>
      <c r="AA26" s="10">
        <f t="shared" si="25"/>
        <v>2.0000000000000018E-2</v>
      </c>
    </row>
    <row r="27" spans="2:137" x14ac:dyDescent="0.3">
      <c r="B27" s="1" t="s">
        <v>39</v>
      </c>
      <c r="E27" s="10">
        <f t="shared" ref="E27:F27" si="26">E5/E3</f>
        <v>0.26416644719515409</v>
      </c>
      <c r="F27" s="10">
        <f t="shared" si="26"/>
        <v>0.25859564601546342</v>
      </c>
      <c r="G27" s="10">
        <f>G5/G3</f>
        <v>0.26389213623256169</v>
      </c>
      <c r="H27" s="10">
        <f>H5/H3</f>
        <v>0.26</v>
      </c>
      <c r="K27" s="10">
        <f t="shared" ref="K27:Q27" si="27">K5/K3</f>
        <v>0.24583990000543451</v>
      </c>
      <c r="L27" s="10">
        <f t="shared" si="27"/>
        <v>0.23163359605389403</v>
      </c>
      <c r="M27" s="10">
        <f t="shared" si="27"/>
        <v>0.24907979249011861</v>
      </c>
      <c r="N27" s="10">
        <f t="shared" si="27"/>
        <v>0.25359728609808296</v>
      </c>
      <c r="O27" s="10">
        <f t="shared" si="27"/>
        <v>0.25864426645829269</v>
      </c>
      <c r="P27" s="10">
        <f t="shared" si="27"/>
        <v>0.26116559587103788</v>
      </c>
      <c r="Q27" s="10">
        <f t="shared" si="27"/>
        <v>0.26179675608892167</v>
      </c>
      <c r="R27" s="10">
        <f t="shared" ref="R27:AA27" si="28">R5/R3</f>
        <v>0.26</v>
      </c>
      <c r="S27" s="10">
        <f t="shared" si="28"/>
        <v>0.26</v>
      </c>
      <c r="T27" s="10">
        <f t="shared" si="28"/>
        <v>0.26</v>
      </c>
      <c r="U27" s="10">
        <f t="shared" si="28"/>
        <v>0.26</v>
      </c>
      <c r="V27" s="10">
        <f t="shared" si="28"/>
        <v>0.26</v>
      </c>
      <c r="W27" s="10">
        <f t="shared" si="28"/>
        <v>0.26</v>
      </c>
      <c r="X27" s="10">
        <f t="shared" si="28"/>
        <v>0.26</v>
      </c>
      <c r="Y27" s="10">
        <f t="shared" si="28"/>
        <v>0.26</v>
      </c>
      <c r="Z27" s="10">
        <f t="shared" si="28"/>
        <v>0.26</v>
      </c>
      <c r="AA27" s="10">
        <f t="shared" si="28"/>
        <v>0.26</v>
      </c>
    </row>
    <row r="28" spans="2:137" x14ac:dyDescent="0.3">
      <c r="B28" s="1" t="s">
        <v>40</v>
      </c>
      <c r="E28" s="10"/>
      <c r="F28" s="10"/>
      <c r="G28" s="10">
        <f>G6/E6-1</f>
        <v>4.67211747038212E-2</v>
      </c>
      <c r="H28" s="10">
        <f>H6/F6-1</f>
        <v>5.0000000000000044E-2</v>
      </c>
      <c r="K28" s="10"/>
      <c r="L28" s="10">
        <f t="shared" ref="L28:AA28" si="29">L6/K6-1</f>
        <v>-6.71825216203914E-2</v>
      </c>
      <c r="M28" s="10">
        <f t="shared" si="29"/>
        <v>2.1469698448326469E-3</v>
      </c>
      <c r="N28" s="10">
        <f t="shared" si="29"/>
        <v>3.5738630830655094E-2</v>
      </c>
      <c r="O28" s="10">
        <f t="shared" si="29"/>
        <v>4.146295599849581E-2</v>
      </c>
      <c r="P28" s="10">
        <f t="shared" si="29"/>
        <v>0.14986007041617766</v>
      </c>
      <c r="Q28" s="10">
        <f t="shared" si="29"/>
        <v>4.8457250529952089E-2</v>
      </c>
      <c r="R28" s="10">
        <f t="shared" si="29"/>
        <v>6.0000000000000053E-2</v>
      </c>
      <c r="S28" s="10">
        <f t="shared" si="29"/>
        <v>4.0000000000000036E-2</v>
      </c>
      <c r="T28" s="10">
        <f t="shared" si="29"/>
        <v>3.0000000000000027E-2</v>
      </c>
      <c r="U28" s="10">
        <f t="shared" si="29"/>
        <v>2.0000000000000018E-2</v>
      </c>
      <c r="V28" s="10">
        <f t="shared" si="29"/>
        <v>2.0000000000000018E-2</v>
      </c>
      <c r="W28" s="10">
        <f t="shared" si="29"/>
        <v>2.0000000000000018E-2</v>
      </c>
      <c r="X28" s="10">
        <f t="shared" si="29"/>
        <v>2.0000000000000018E-2</v>
      </c>
      <c r="Y28" s="10">
        <f t="shared" si="29"/>
        <v>2.0000000000000018E-2</v>
      </c>
      <c r="Z28" s="10">
        <f t="shared" si="29"/>
        <v>2.0000000000000018E-2</v>
      </c>
      <c r="AA28" s="10">
        <f t="shared" si="29"/>
        <v>2.0000000000000018E-2</v>
      </c>
      <c r="AC28" s="1" t="s">
        <v>45</v>
      </c>
      <c r="AD28" s="10">
        <v>-0.01</v>
      </c>
    </row>
    <row r="29" spans="2:137" x14ac:dyDescent="0.3">
      <c r="B29" s="1" t="s">
        <v>41</v>
      </c>
      <c r="E29" s="10">
        <f t="shared" ref="E29:F29" si="30">E7/E3</f>
        <v>8.1738214379773508E-2</v>
      </c>
      <c r="F29" s="10">
        <f t="shared" si="30"/>
        <v>7.3474616793424818E-2</v>
      </c>
      <c r="G29" s="10">
        <f>G7/G3</f>
        <v>7.5364351960096651E-2</v>
      </c>
      <c r="H29" s="10">
        <f>H7/H3</f>
        <v>7.1433655215829686E-2</v>
      </c>
      <c r="K29" s="10">
        <f t="shared" ref="K29:Q29" si="31">K7/K3</f>
        <v>7.5153524264985602E-2</v>
      </c>
      <c r="L29" s="10">
        <f t="shared" si="31"/>
        <v>7.6885495823743738E-2</v>
      </c>
      <c r="M29" s="10">
        <f t="shared" si="31"/>
        <v>7.5710227272727276E-2</v>
      </c>
      <c r="N29" s="10">
        <f t="shared" si="31"/>
        <v>7.6863530804608171E-2</v>
      </c>
      <c r="O29" s="10">
        <f t="shared" si="31"/>
        <v>7.510147381215948E-2</v>
      </c>
      <c r="P29" s="10">
        <f t="shared" si="31"/>
        <v>7.7286820951955132E-2</v>
      </c>
      <c r="Q29" s="10">
        <f>Q7/Q3</f>
        <v>7.3248212283457889E-2</v>
      </c>
      <c r="R29" s="10">
        <f t="shared" ref="R29:AA29" si="32">R7/R3</f>
        <v>7.0000000000000007E-2</v>
      </c>
      <c r="S29" s="10">
        <f t="shared" si="32"/>
        <v>7.0000000000000007E-2</v>
      </c>
      <c r="T29" s="10">
        <f t="shared" si="32"/>
        <v>7.0000000000000007E-2</v>
      </c>
      <c r="U29" s="10">
        <f t="shared" si="32"/>
        <v>7.0000000000000007E-2</v>
      </c>
      <c r="V29" s="10">
        <f t="shared" si="32"/>
        <v>7.0000000000000007E-2</v>
      </c>
      <c r="W29" s="10">
        <f t="shared" si="32"/>
        <v>7.0000000000000007E-2</v>
      </c>
      <c r="X29" s="10">
        <f t="shared" si="32"/>
        <v>7.0000000000000007E-2</v>
      </c>
      <c r="Y29" s="10">
        <f t="shared" si="32"/>
        <v>7.0000000000000007E-2</v>
      </c>
      <c r="Z29" s="10">
        <f t="shared" si="32"/>
        <v>7.0000000000000021E-2</v>
      </c>
      <c r="AA29" s="10">
        <f t="shared" si="32"/>
        <v>7.0000000000000007E-2</v>
      </c>
      <c r="AC29" s="1" t="s">
        <v>46</v>
      </c>
      <c r="AD29" s="10">
        <v>0.08</v>
      </c>
    </row>
    <row r="30" spans="2:137" x14ac:dyDescent="0.3">
      <c r="B30" s="1" t="s">
        <v>42</v>
      </c>
      <c r="E30" s="10"/>
      <c r="F30" s="10"/>
      <c r="G30" s="10">
        <f>G8/E8-1</f>
        <v>6.0280513279618031E-2</v>
      </c>
      <c r="H30" s="10">
        <f>H8/F8-1</f>
        <v>5.0000000000000044E-2</v>
      </c>
      <c r="K30" s="10"/>
      <c r="L30" s="10">
        <f t="shared" ref="L30:Q30" si="33">L8/K8-1</f>
        <v>-3.7066122192555451E-2</v>
      </c>
      <c r="M30" s="10">
        <f t="shared" si="33"/>
        <v>-0.11107486543793843</v>
      </c>
      <c r="N30" s="10">
        <f t="shared" si="33"/>
        <v>9.8165137614678821E-2</v>
      </c>
      <c r="O30" s="10">
        <f t="shared" si="33"/>
        <v>3.7593984962406068E-2</v>
      </c>
      <c r="P30" s="10">
        <f t="shared" si="33"/>
        <v>0.11578099838969402</v>
      </c>
      <c r="Q30" s="10">
        <f>Q8/P8-1</f>
        <v>5.4971857410881952E-2</v>
      </c>
      <c r="R30" s="10">
        <f t="shared" ref="R30:AA30" si="34">R8/Q8-1</f>
        <v>4.0000000000000036E-2</v>
      </c>
      <c r="S30" s="10">
        <f t="shared" si="34"/>
        <v>3.0000000000000027E-2</v>
      </c>
      <c r="T30" s="10">
        <f t="shared" si="34"/>
        <v>3.0000000000000027E-2</v>
      </c>
      <c r="U30" s="10">
        <f t="shared" si="34"/>
        <v>3.0000000000000027E-2</v>
      </c>
      <c r="V30" s="10">
        <f t="shared" si="34"/>
        <v>3.0000000000000027E-2</v>
      </c>
      <c r="W30" s="10">
        <f t="shared" si="34"/>
        <v>3.0000000000000027E-2</v>
      </c>
      <c r="X30" s="10">
        <f t="shared" si="34"/>
        <v>3.0000000000000027E-2</v>
      </c>
      <c r="Y30" s="10">
        <f t="shared" si="34"/>
        <v>3.0000000000000027E-2</v>
      </c>
      <c r="Z30" s="10">
        <f t="shared" si="34"/>
        <v>3.0000000000000027E-2</v>
      </c>
      <c r="AA30" s="10">
        <f t="shared" si="34"/>
        <v>3.0000000000000027E-2</v>
      </c>
      <c r="AC30" s="1" t="s">
        <v>47</v>
      </c>
      <c r="AD30" s="6">
        <f>NPV(AD29,Q22:EG22)</f>
        <v>24038.64915388478</v>
      </c>
    </row>
    <row r="31" spans="2:137" x14ac:dyDescent="0.3">
      <c r="B31" s="1" t="s">
        <v>43</v>
      </c>
      <c r="E31" s="10">
        <f t="shared" ref="E31:F31" si="35">E13/E3</f>
        <v>7.8556755333157827E-2</v>
      </c>
      <c r="F31" s="10">
        <f t="shared" si="35"/>
        <v>4.6598280419700093E-2</v>
      </c>
      <c r="G31" s="10">
        <f>G13/G3</f>
        <v>8.5291481568077226E-2</v>
      </c>
      <c r="H31" s="10">
        <f>H13/H3</f>
        <v>9.2598881213563494E-2</v>
      </c>
      <c r="K31" s="10">
        <f t="shared" ref="K31:Q31" si="36">K13/K3</f>
        <v>8.1625998587033344E-2</v>
      </c>
      <c r="L31" s="10">
        <f t="shared" si="36"/>
        <v>4.2627833467734855E-2</v>
      </c>
      <c r="M31" s="10">
        <f t="shared" si="36"/>
        <v>7.3628952569169945E-2</v>
      </c>
      <c r="N31" s="10">
        <f t="shared" si="36"/>
        <v>7.5161650198078384E-2</v>
      </c>
      <c r="O31" s="10">
        <f t="shared" si="36"/>
        <v>6.3727724598988594E-2</v>
      </c>
      <c r="P31" s="10">
        <f t="shared" si="36"/>
        <v>6.1341523866916652E-2</v>
      </c>
      <c r="Q31" s="10">
        <f t="shared" si="36"/>
        <v>8.9225511417981851E-2</v>
      </c>
      <c r="R31" s="10">
        <f t="shared" ref="R31:AA31" si="37">R13/R3</f>
        <v>9.4726893322258893E-2</v>
      </c>
      <c r="S31" s="10">
        <f t="shared" si="37"/>
        <v>9.6900240342143229E-2</v>
      </c>
      <c r="T31" s="10">
        <f t="shared" si="37"/>
        <v>9.8421795039767529E-2</v>
      </c>
      <c r="U31" s="10">
        <f t="shared" si="37"/>
        <v>9.9419457593773339E-2</v>
      </c>
      <c r="V31" s="10">
        <f t="shared" si="37"/>
        <v>9.9395527458088523E-2</v>
      </c>
      <c r="W31" s="10">
        <f t="shared" si="37"/>
        <v>9.9279712017733029E-2</v>
      </c>
      <c r="X31" s="10">
        <f t="shared" si="37"/>
        <v>9.9099863595758175E-2</v>
      </c>
      <c r="Y31" s="10">
        <f t="shared" si="37"/>
        <v>9.8875086978187518E-2</v>
      </c>
      <c r="Z31" s="10">
        <f t="shared" si="37"/>
        <v>9.8618483645698737E-2</v>
      </c>
      <c r="AA31" s="10">
        <f t="shared" si="37"/>
        <v>9.8339035068957928E-2</v>
      </c>
      <c r="AC31" s="1" t="s">
        <v>48</v>
      </c>
      <c r="AD31" s="6">
        <f>Main!D8</f>
        <v>-1408.0999999999995</v>
      </c>
    </row>
    <row r="32" spans="2:137" x14ac:dyDescent="0.3">
      <c r="B32" s="1" t="s">
        <v>30</v>
      </c>
      <c r="E32" s="10">
        <f t="shared" ref="E32:F32" si="38">E21/E20</f>
        <v>0.17269691065961573</v>
      </c>
      <c r="F32" s="10">
        <f t="shared" si="38"/>
        <v>0.2672451193058582</v>
      </c>
      <c r="G32" s="10">
        <f>G21/G20</f>
        <v>0.24194119730782881</v>
      </c>
      <c r="H32" s="10">
        <f>H21/H20</f>
        <v>0.21</v>
      </c>
      <c r="K32" s="10">
        <f t="shared" ref="K32:Q32" si="39">K21/K20</f>
        <v>0.20795909907420193</v>
      </c>
      <c r="L32" s="10">
        <f t="shared" si="39"/>
        <v>0.15510133974579163</v>
      </c>
      <c r="M32" s="10">
        <f t="shared" si="39"/>
        <v>0.12683555173894376</v>
      </c>
      <c r="N32" s="10">
        <f t="shared" si="39"/>
        <v>0.1671121009651077</v>
      </c>
      <c r="O32" s="10">
        <f t="shared" si="39"/>
        <v>0.21358401084010811</v>
      </c>
      <c r="P32" s="10">
        <f t="shared" si="39"/>
        <v>0.20964733808070585</v>
      </c>
      <c r="Q32" s="10">
        <f t="shared" si="39"/>
        <v>0.22424238863816812</v>
      </c>
      <c r="R32" s="10">
        <f t="shared" ref="R32:AA32" si="40">R21/R20</f>
        <v>0.22</v>
      </c>
      <c r="S32" s="10">
        <f t="shared" si="40"/>
        <v>0.22</v>
      </c>
      <c r="T32" s="10">
        <f t="shared" si="40"/>
        <v>0.22</v>
      </c>
      <c r="U32" s="10">
        <f t="shared" si="40"/>
        <v>0.22</v>
      </c>
      <c r="V32" s="10">
        <f t="shared" si="40"/>
        <v>0.22</v>
      </c>
      <c r="W32" s="10">
        <f t="shared" si="40"/>
        <v>0.22</v>
      </c>
      <c r="X32" s="10">
        <f t="shared" si="40"/>
        <v>0.22000000000000003</v>
      </c>
      <c r="Y32" s="10">
        <f t="shared" si="40"/>
        <v>0.22</v>
      </c>
      <c r="Z32" s="10">
        <f t="shared" si="40"/>
        <v>0.21999999999999997</v>
      </c>
      <c r="AA32" s="10">
        <f t="shared" si="40"/>
        <v>0.22</v>
      </c>
      <c r="AC32" s="1" t="s">
        <v>49</v>
      </c>
      <c r="AD32" s="6">
        <f>AD30+AD31</f>
        <v>22630.549153884782</v>
      </c>
    </row>
    <row r="33" spans="2:30" x14ac:dyDescent="0.3">
      <c r="B33" s="1" t="s">
        <v>44</v>
      </c>
      <c r="E33" s="10">
        <f t="shared" ref="E33:F33" si="41">E22/E3</f>
        <v>6.2628390834869707E-2</v>
      </c>
      <c r="F33" s="10">
        <f t="shared" si="41"/>
        <v>3.0476087368392357E-2</v>
      </c>
      <c r="G33" s="10">
        <f>G22/G3</f>
        <v>6.2543839139583737E-2</v>
      </c>
      <c r="H33" s="10">
        <f>H22/H3</f>
        <v>6.9453835707939324E-2</v>
      </c>
      <c r="K33" s="10">
        <f t="shared" ref="K33:Q33" si="42">K22/K3</f>
        <v>6.2300961904244362E-2</v>
      </c>
      <c r="L33" s="10">
        <f t="shared" si="42"/>
        <v>2.8954199506736791E-2</v>
      </c>
      <c r="M33" s="10">
        <f t="shared" si="42"/>
        <v>6.279644268774702E-2</v>
      </c>
      <c r="N33" s="10">
        <f t="shared" si="42"/>
        <v>6.3857520149355654E-2</v>
      </c>
      <c r="O33" s="10">
        <f t="shared" si="42"/>
        <v>5.0389616027435989E-2</v>
      </c>
      <c r="P33" s="10">
        <f t="shared" si="42"/>
        <v>4.5308748772877799E-2</v>
      </c>
      <c r="Q33" s="10">
        <f t="shared" si="42"/>
        <v>6.6263922080365661E-2</v>
      </c>
      <c r="R33" s="10">
        <f t="shared" ref="R33:AA33" si="43">R22/R3</f>
        <v>7.1029438073565057E-2</v>
      </c>
      <c r="S33" s="10">
        <f t="shared" si="43"/>
        <v>7.2806292712440476E-2</v>
      </c>
      <c r="T33" s="10">
        <f t="shared" si="43"/>
        <v>7.4046487968018784E-2</v>
      </c>
      <c r="U33" s="10">
        <f t="shared" si="43"/>
        <v>7.4851096917065651E-2</v>
      </c>
      <c r="V33" s="10">
        <f t="shared" si="43"/>
        <v>7.4832431411231484E-2</v>
      </c>
      <c r="W33" s="10">
        <f t="shared" si="43"/>
        <v>7.474209536775421E-2</v>
      </c>
      <c r="X33" s="10">
        <f t="shared" si="43"/>
        <v>7.4601813598613814E-2</v>
      </c>
      <c r="Y33" s="10">
        <f t="shared" si="43"/>
        <v>7.4426487836908722E-2</v>
      </c>
      <c r="Z33" s="10">
        <f t="shared" si="43"/>
        <v>7.4226337237567469E-2</v>
      </c>
      <c r="AA33" s="10">
        <f t="shared" si="43"/>
        <v>7.400836734770963E-2</v>
      </c>
      <c r="AC33" s="1" t="s">
        <v>50</v>
      </c>
      <c r="AD33" s="11">
        <f>AD32/AA23</f>
        <v>110.17794135289571</v>
      </c>
    </row>
    <row r="34" spans="2:30" x14ac:dyDescent="0.3">
      <c r="AC34" s="1" t="s">
        <v>51</v>
      </c>
      <c r="AD34" s="11">
        <f>Main!D3</f>
        <v>235.1</v>
      </c>
    </row>
    <row r="35" spans="2:30" x14ac:dyDescent="0.3">
      <c r="AC35" s="2" t="s">
        <v>52</v>
      </c>
      <c r="AD35" s="12">
        <f>AD33/AD34-1</f>
        <v>-0.53135711887326365</v>
      </c>
    </row>
    <row r="36" spans="2:30" x14ac:dyDescent="0.3">
      <c r="AC36" s="1" t="s">
        <v>53</v>
      </c>
      <c r="AD36" s="9" t="s">
        <v>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2025-07-30T14:25:37Z</dcterms:created>
  <dcterms:modified xsi:type="dcterms:W3CDTF">2025-07-30T15:07:05Z</dcterms:modified>
</cp:coreProperties>
</file>