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1A3690A7-1EA1-4209-B237-0D7C1F36B05D}" xr6:coauthVersionLast="47" xr6:coauthVersionMax="47" xr10:uidLastSave="{00000000-0000-0000-0000-000000000000}"/>
  <bookViews>
    <workbookView xWindow="-108" yWindow="-108" windowWidth="23256" windowHeight="12576" xr2:uid="{051CBDE9-D4CF-414F-808E-F0CC5F12692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0" i="2" l="1"/>
  <c r="AA10" i="2"/>
  <c r="Z10" i="2"/>
  <c r="Y10" i="2"/>
  <c r="X10" i="2"/>
  <c r="W10" i="2"/>
  <c r="V10" i="2"/>
  <c r="U10" i="2"/>
  <c r="T10" i="2"/>
  <c r="S10" i="2"/>
  <c r="S6" i="2"/>
  <c r="T6" i="2" s="1"/>
  <c r="U6" i="2" s="1"/>
  <c r="V6" i="2" s="1"/>
  <c r="W6" i="2" s="1"/>
  <c r="X6" i="2" s="1"/>
  <c r="Y6" i="2" s="1"/>
  <c r="Z6" i="2" s="1"/>
  <c r="AA6" i="2" s="1"/>
  <c r="AB6" i="2" s="1"/>
  <c r="S35" i="2"/>
  <c r="T35" i="2" s="1"/>
  <c r="U35" i="2" s="1"/>
  <c r="V35" i="2" s="1"/>
  <c r="W35" i="2" s="1"/>
  <c r="X35" i="2" s="1"/>
  <c r="Y35" i="2" s="1"/>
  <c r="Z35" i="2" s="1"/>
  <c r="AA35" i="2" s="1"/>
  <c r="AB35" i="2" s="1"/>
  <c r="R40" i="2"/>
  <c r="R39" i="2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R38" i="2"/>
  <c r="R35" i="2"/>
  <c r="R34" i="2"/>
  <c r="S34" i="2" s="1"/>
  <c r="T34" i="2" s="1"/>
  <c r="U34" i="2" s="1"/>
  <c r="V34" i="2" s="1"/>
  <c r="R33" i="2"/>
  <c r="J37" i="2"/>
  <c r="J47" i="2" s="1"/>
  <c r="I37" i="2"/>
  <c r="I47" i="2" s="1"/>
  <c r="J36" i="2"/>
  <c r="J46" i="2" s="1"/>
  <c r="I36" i="2"/>
  <c r="I46" i="2" s="1"/>
  <c r="J45" i="2"/>
  <c r="I45" i="2"/>
  <c r="H45" i="2"/>
  <c r="AE49" i="2"/>
  <c r="AE46" i="2"/>
  <c r="R45" i="2"/>
  <c r="O46" i="2"/>
  <c r="O45" i="2"/>
  <c r="P46" i="2"/>
  <c r="P45" i="2"/>
  <c r="P40" i="2"/>
  <c r="Q40" i="2"/>
  <c r="Q39" i="2"/>
  <c r="Q38" i="2"/>
  <c r="Q37" i="2"/>
  <c r="Q36" i="2"/>
  <c r="Q46" i="2" s="1"/>
  <c r="Q35" i="2"/>
  <c r="Q45" i="2" s="1"/>
  <c r="Q34" i="2"/>
  <c r="Q33" i="2"/>
  <c r="G47" i="2"/>
  <c r="G46" i="2"/>
  <c r="G45" i="2"/>
  <c r="H47" i="2"/>
  <c r="H46" i="2"/>
  <c r="AE28" i="2"/>
  <c r="AE25" i="2"/>
  <c r="AB18" i="2"/>
  <c r="AA18" i="2"/>
  <c r="Z18" i="2"/>
  <c r="Y18" i="2"/>
  <c r="X18" i="2"/>
  <c r="W18" i="2"/>
  <c r="V18" i="2"/>
  <c r="U18" i="2"/>
  <c r="T18" i="2"/>
  <c r="S18" i="2"/>
  <c r="I5" i="2"/>
  <c r="I4" i="2" s="1"/>
  <c r="J18" i="2"/>
  <c r="I18" i="2"/>
  <c r="J14" i="2"/>
  <c r="I14" i="2"/>
  <c r="I8" i="2"/>
  <c r="I25" i="2" s="1"/>
  <c r="I7" i="2"/>
  <c r="R16" i="2"/>
  <c r="R13" i="2"/>
  <c r="R12" i="2"/>
  <c r="S12" i="2" s="1"/>
  <c r="R11" i="2"/>
  <c r="R18" i="2"/>
  <c r="I21" i="2"/>
  <c r="I6" i="2"/>
  <c r="I9" i="2" s="1"/>
  <c r="F16" i="2"/>
  <c r="F13" i="2"/>
  <c r="F12" i="2"/>
  <c r="F11" i="2"/>
  <c r="F8" i="2"/>
  <c r="J8" i="2" s="1"/>
  <c r="J25" i="2" s="1"/>
  <c r="F7" i="2"/>
  <c r="F6" i="2"/>
  <c r="F4" i="2"/>
  <c r="F3" i="2"/>
  <c r="J3" i="2" s="1"/>
  <c r="J5" i="2" s="1"/>
  <c r="J4" i="2" s="1"/>
  <c r="F18" i="2"/>
  <c r="E24" i="2"/>
  <c r="E18" i="2"/>
  <c r="E14" i="2"/>
  <c r="E9" i="2"/>
  <c r="E5" i="2"/>
  <c r="L18" i="2"/>
  <c r="L14" i="2"/>
  <c r="L9" i="2"/>
  <c r="L5" i="2"/>
  <c r="M25" i="2"/>
  <c r="M24" i="2"/>
  <c r="L24" i="2"/>
  <c r="M23" i="2"/>
  <c r="M21" i="2"/>
  <c r="M18" i="2"/>
  <c r="M14" i="2"/>
  <c r="M9" i="2"/>
  <c r="M5" i="2"/>
  <c r="M22" i="2" s="1"/>
  <c r="N25" i="2"/>
  <c r="N24" i="2"/>
  <c r="N23" i="2"/>
  <c r="N21" i="2"/>
  <c r="N18" i="2"/>
  <c r="N14" i="2"/>
  <c r="N9" i="2"/>
  <c r="N5" i="2"/>
  <c r="O25" i="2"/>
  <c r="O24" i="2"/>
  <c r="O23" i="2"/>
  <c r="O21" i="2"/>
  <c r="O18" i="2"/>
  <c r="O14" i="2"/>
  <c r="O9" i="2"/>
  <c r="O5" i="2"/>
  <c r="O22" i="2" s="1"/>
  <c r="P11" i="2"/>
  <c r="P14" i="2" s="1"/>
  <c r="P25" i="2"/>
  <c r="P24" i="2"/>
  <c r="P23" i="2"/>
  <c r="P21" i="2"/>
  <c r="P18" i="2"/>
  <c r="P9" i="2"/>
  <c r="P5" i="2"/>
  <c r="Q25" i="2"/>
  <c r="Q23" i="2"/>
  <c r="Q21" i="2"/>
  <c r="Q24" i="2"/>
  <c r="Q18" i="2"/>
  <c r="Q14" i="2"/>
  <c r="Q9" i="2"/>
  <c r="Q5" i="2"/>
  <c r="Q22" i="2" s="1"/>
  <c r="C24" i="2"/>
  <c r="D24" i="2"/>
  <c r="G25" i="2"/>
  <c r="G24" i="2"/>
  <c r="G23" i="2"/>
  <c r="G21" i="2"/>
  <c r="H25" i="2"/>
  <c r="H24" i="2"/>
  <c r="H23" i="2"/>
  <c r="H21" i="2"/>
  <c r="C18" i="2"/>
  <c r="C14" i="2"/>
  <c r="C9" i="2"/>
  <c r="C5" i="2"/>
  <c r="C22" i="2" s="1"/>
  <c r="G18" i="2"/>
  <c r="G14" i="2"/>
  <c r="G9" i="2"/>
  <c r="G5" i="2"/>
  <c r="G22" i="2" s="1"/>
  <c r="D18" i="2"/>
  <c r="D14" i="2"/>
  <c r="D9" i="2"/>
  <c r="D5" i="2"/>
  <c r="D22" i="2" s="1"/>
  <c r="H18" i="2"/>
  <c r="H14" i="2"/>
  <c r="H9" i="2"/>
  <c r="H5" i="2"/>
  <c r="H22" i="2" s="1"/>
  <c r="D9" i="1"/>
  <c r="D8" i="1"/>
  <c r="D7" i="1"/>
  <c r="D6" i="1"/>
  <c r="D5" i="1"/>
  <c r="D4" i="1"/>
  <c r="F3" i="1"/>
  <c r="F9" i="2" l="1"/>
  <c r="R37" i="2"/>
  <c r="F14" i="2"/>
  <c r="R36" i="2"/>
  <c r="S45" i="2"/>
  <c r="W34" i="2"/>
  <c r="X34" i="2" s="1"/>
  <c r="Y34" i="2" s="1"/>
  <c r="Z34" i="2" s="1"/>
  <c r="AA34" i="2" s="1"/>
  <c r="AB34" i="2" s="1"/>
  <c r="T45" i="2"/>
  <c r="T12" i="2"/>
  <c r="T14" i="2" s="1"/>
  <c r="S14" i="2"/>
  <c r="I23" i="2"/>
  <c r="J6" i="2"/>
  <c r="R6" i="2" s="1"/>
  <c r="H10" i="2"/>
  <c r="J7" i="2"/>
  <c r="R7" i="2" s="1"/>
  <c r="I10" i="2"/>
  <c r="R14" i="2"/>
  <c r="R8" i="2"/>
  <c r="I24" i="2"/>
  <c r="J23" i="2"/>
  <c r="R4" i="2"/>
  <c r="I22" i="2"/>
  <c r="J24" i="2"/>
  <c r="R3" i="2"/>
  <c r="J21" i="2"/>
  <c r="J22" i="2"/>
  <c r="F5" i="2"/>
  <c r="F24" i="2"/>
  <c r="E10" i="2"/>
  <c r="E15" i="2" s="1"/>
  <c r="E17" i="2" s="1"/>
  <c r="E22" i="2"/>
  <c r="L10" i="2"/>
  <c r="L15" i="2" s="1"/>
  <c r="L22" i="2"/>
  <c r="M10" i="2"/>
  <c r="N10" i="2"/>
  <c r="N26" i="2" s="1"/>
  <c r="N22" i="2"/>
  <c r="O10" i="2"/>
  <c r="P10" i="2"/>
  <c r="P26" i="2" s="1"/>
  <c r="P22" i="2"/>
  <c r="Q10" i="2"/>
  <c r="Q26" i="2" s="1"/>
  <c r="C10" i="2"/>
  <c r="G10" i="2"/>
  <c r="D10" i="2"/>
  <c r="R24" i="2" l="1"/>
  <c r="U12" i="2"/>
  <c r="F10" i="2"/>
  <c r="F26" i="2" s="1"/>
  <c r="R23" i="2"/>
  <c r="F15" i="2"/>
  <c r="F27" i="2" s="1"/>
  <c r="S36" i="2"/>
  <c r="R46" i="2"/>
  <c r="U45" i="2"/>
  <c r="R25" i="2"/>
  <c r="S8" i="2"/>
  <c r="S3" i="2"/>
  <c r="R21" i="2"/>
  <c r="G15" i="2"/>
  <c r="G26" i="2"/>
  <c r="H15" i="2"/>
  <c r="H26" i="2"/>
  <c r="M15" i="2"/>
  <c r="M26" i="2"/>
  <c r="C15" i="2"/>
  <c r="C26" i="2"/>
  <c r="E19" i="2"/>
  <c r="E32" i="2"/>
  <c r="E41" i="2" s="1"/>
  <c r="R5" i="2"/>
  <c r="R22" i="2" s="1"/>
  <c r="J9" i="2"/>
  <c r="J10" i="2" s="1"/>
  <c r="V12" i="2"/>
  <c r="U14" i="2"/>
  <c r="I26" i="2"/>
  <c r="I15" i="2"/>
  <c r="R9" i="2"/>
  <c r="D15" i="2"/>
  <c r="D26" i="2"/>
  <c r="F22" i="2"/>
  <c r="E28" i="2"/>
  <c r="E27" i="2"/>
  <c r="E26" i="2"/>
  <c r="L26" i="2"/>
  <c r="L17" i="2"/>
  <c r="L27" i="2"/>
  <c r="N15" i="2"/>
  <c r="N27" i="2" s="1"/>
  <c r="O26" i="2"/>
  <c r="O15" i="2"/>
  <c r="P15" i="2"/>
  <c r="P27" i="2" s="1"/>
  <c r="Q15" i="2"/>
  <c r="Q27" i="2" s="1"/>
  <c r="F17" i="2" l="1"/>
  <c r="S23" i="2"/>
  <c r="T23" i="2"/>
  <c r="U23" i="2"/>
  <c r="S46" i="2"/>
  <c r="T36" i="2"/>
  <c r="V45" i="2"/>
  <c r="T8" i="2"/>
  <c r="S25" i="2"/>
  <c r="H17" i="2"/>
  <c r="H27" i="2"/>
  <c r="G17" i="2"/>
  <c r="G27" i="2"/>
  <c r="M17" i="2"/>
  <c r="M27" i="2"/>
  <c r="J26" i="2"/>
  <c r="J15" i="2"/>
  <c r="R10" i="2"/>
  <c r="R15" i="2" s="1"/>
  <c r="R17" i="2" s="1"/>
  <c r="R32" i="2" s="1"/>
  <c r="R41" i="2" s="1"/>
  <c r="F19" i="2"/>
  <c r="F32" i="2"/>
  <c r="F41" i="2" s="1"/>
  <c r="C17" i="2"/>
  <c r="C27" i="2"/>
  <c r="S7" i="2"/>
  <c r="S21" i="2"/>
  <c r="T3" i="2"/>
  <c r="S5" i="2"/>
  <c r="S4" i="2" s="1"/>
  <c r="V14" i="2"/>
  <c r="W12" i="2"/>
  <c r="I27" i="2"/>
  <c r="I17" i="2"/>
  <c r="I32" i="2" s="1"/>
  <c r="I41" i="2" s="1"/>
  <c r="R26" i="2"/>
  <c r="D17" i="2"/>
  <c r="D32" i="2" s="1"/>
  <c r="D41" i="2" s="1"/>
  <c r="D27" i="2"/>
  <c r="F28" i="2"/>
  <c r="L19" i="2"/>
  <c r="L28" i="2"/>
  <c r="N17" i="2"/>
  <c r="O27" i="2"/>
  <c r="O17" i="2"/>
  <c r="O32" i="2" s="1"/>
  <c r="O41" i="2" s="1"/>
  <c r="P17" i="2"/>
  <c r="Q17" i="2"/>
  <c r="T46" i="2" l="1"/>
  <c r="U36" i="2"/>
  <c r="N28" i="2"/>
  <c r="N32" i="2"/>
  <c r="N41" i="2" s="1"/>
  <c r="Q28" i="2"/>
  <c r="Q32" i="2"/>
  <c r="Q41" i="2" s="1"/>
  <c r="P28" i="2"/>
  <c r="P32" i="2"/>
  <c r="P41" i="2" s="1"/>
  <c r="W45" i="2"/>
  <c r="H32" i="2"/>
  <c r="H41" i="2" s="1"/>
  <c r="H28" i="2"/>
  <c r="H19" i="2"/>
  <c r="J17" i="2"/>
  <c r="J27" i="2"/>
  <c r="U8" i="2"/>
  <c r="T25" i="2"/>
  <c r="S9" i="2"/>
  <c r="S24" i="2"/>
  <c r="C19" i="2"/>
  <c r="C28" i="2"/>
  <c r="C32" i="2"/>
  <c r="C41" i="2" s="1"/>
  <c r="S22" i="2"/>
  <c r="U3" i="2"/>
  <c r="T7" i="2"/>
  <c r="T5" i="2"/>
  <c r="T22" i="2" s="1"/>
  <c r="T21" i="2"/>
  <c r="M19" i="2"/>
  <c r="M28" i="2"/>
  <c r="G19" i="2"/>
  <c r="G28" i="2"/>
  <c r="G32" i="2"/>
  <c r="G41" i="2" s="1"/>
  <c r="V23" i="2"/>
  <c r="W14" i="2"/>
  <c r="X12" i="2"/>
  <c r="I19" i="2"/>
  <c r="I28" i="2"/>
  <c r="R27" i="2"/>
  <c r="D19" i="2"/>
  <c r="D28" i="2"/>
  <c r="N19" i="2"/>
  <c r="O19" i="2"/>
  <c r="O28" i="2"/>
  <c r="P19" i="2"/>
  <c r="Q19" i="2"/>
  <c r="T4" i="2" l="1"/>
  <c r="V36" i="2"/>
  <c r="U46" i="2"/>
  <c r="X45" i="2"/>
  <c r="S26" i="2"/>
  <c r="S15" i="2"/>
  <c r="J32" i="2"/>
  <c r="J41" i="2" s="1"/>
  <c r="J28" i="2"/>
  <c r="J19" i="2"/>
  <c r="T24" i="2"/>
  <c r="T9" i="2"/>
  <c r="V8" i="2"/>
  <c r="U25" i="2"/>
  <c r="V3" i="2"/>
  <c r="U7" i="2"/>
  <c r="U5" i="2"/>
  <c r="U22" i="2" s="1"/>
  <c r="U21" i="2"/>
  <c r="W23" i="2"/>
  <c r="X14" i="2"/>
  <c r="Y12" i="2"/>
  <c r="R19" i="2"/>
  <c r="R28" i="2"/>
  <c r="W36" i="2" l="1"/>
  <c r="V46" i="2"/>
  <c r="Y45" i="2"/>
  <c r="W3" i="2"/>
  <c r="V5" i="2"/>
  <c r="V22" i="2" s="1"/>
  <c r="V4" i="2"/>
  <c r="V7" i="2"/>
  <c r="V21" i="2"/>
  <c r="W8" i="2"/>
  <c r="V25" i="2"/>
  <c r="U24" i="2"/>
  <c r="U9" i="2"/>
  <c r="T26" i="2"/>
  <c r="T15" i="2"/>
  <c r="U4" i="2"/>
  <c r="S17" i="2"/>
  <c r="S32" i="2" s="1"/>
  <c r="S41" i="2" s="1"/>
  <c r="S27" i="2"/>
  <c r="X23" i="2"/>
  <c r="Z12" i="2"/>
  <c r="Y14" i="2"/>
  <c r="X36" i="2" l="1"/>
  <c r="W46" i="2"/>
  <c r="Z45" i="2"/>
  <c r="U26" i="2"/>
  <c r="U15" i="2"/>
  <c r="T17" i="2"/>
  <c r="T32" i="2" s="1"/>
  <c r="T41" i="2" s="1"/>
  <c r="T27" i="2"/>
  <c r="X3" i="2"/>
  <c r="W21" i="2"/>
  <c r="W5" i="2"/>
  <c r="W22" i="2" s="1"/>
  <c r="W7" i="2"/>
  <c r="X8" i="2"/>
  <c r="W25" i="2"/>
  <c r="V24" i="2"/>
  <c r="V9" i="2"/>
  <c r="S19" i="2"/>
  <c r="S28" i="2"/>
  <c r="Y23" i="2"/>
  <c r="Z14" i="2"/>
  <c r="AA12" i="2"/>
  <c r="Y36" i="2" l="1"/>
  <c r="X46" i="2"/>
  <c r="AA45" i="2"/>
  <c r="U17" i="2"/>
  <c r="U32" i="2" s="1"/>
  <c r="U41" i="2" s="1"/>
  <c r="U27" i="2"/>
  <c r="W4" i="2"/>
  <c r="T19" i="2"/>
  <c r="T28" i="2"/>
  <c r="X25" i="2"/>
  <c r="Y8" i="2"/>
  <c r="W24" i="2"/>
  <c r="W9" i="2"/>
  <c r="V26" i="2"/>
  <c r="V15" i="2"/>
  <c r="Y3" i="2"/>
  <c r="X21" i="2"/>
  <c r="X5" i="2"/>
  <c r="X22" i="2" s="1"/>
  <c r="X4" i="2"/>
  <c r="X7" i="2"/>
  <c r="Z23" i="2"/>
  <c r="AA14" i="2"/>
  <c r="AB12" i="2"/>
  <c r="AB14" i="2" s="1"/>
  <c r="Z36" i="2" l="1"/>
  <c r="Y46" i="2"/>
  <c r="AB45" i="2"/>
  <c r="W26" i="2"/>
  <c r="W15" i="2"/>
  <c r="U19" i="2"/>
  <c r="U28" i="2"/>
  <c r="X24" i="2"/>
  <c r="X9" i="2"/>
  <c r="Z8" i="2"/>
  <c r="Y25" i="2"/>
  <c r="Z3" i="2"/>
  <c r="Y5" i="2"/>
  <c r="Y22" i="2" s="1"/>
  <c r="Y4" i="2"/>
  <c r="Y21" i="2"/>
  <c r="Y7" i="2"/>
  <c r="V17" i="2"/>
  <c r="V27" i="2"/>
  <c r="AA23" i="2"/>
  <c r="V28" i="2" l="1"/>
  <c r="V32" i="2"/>
  <c r="V41" i="2" s="1"/>
  <c r="AA36" i="2"/>
  <c r="Z46" i="2"/>
  <c r="W27" i="2"/>
  <c r="W17" i="2"/>
  <c r="W32" i="2" s="1"/>
  <c r="W41" i="2" s="1"/>
  <c r="AA3" i="2"/>
  <c r="Z7" i="2"/>
  <c r="Z21" i="2"/>
  <c r="Z5" i="2"/>
  <c r="Z22" i="2" s="1"/>
  <c r="Z4" i="2"/>
  <c r="V19" i="2"/>
  <c r="X26" i="2"/>
  <c r="X15" i="2"/>
  <c r="Z25" i="2"/>
  <c r="AA8" i="2"/>
  <c r="Y24" i="2"/>
  <c r="Y9" i="2"/>
  <c r="AB23" i="2"/>
  <c r="AB36" i="2" l="1"/>
  <c r="AB46" i="2" s="1"/>
  <c r="AA46" i="2"/>
  <c r="Z24" i="2"/>
  <c r="Z9" i="2"/>
  <c r="X17" i="2"/>
  <c r="X32" i="2" s="1"/>
  <c r="X41" i="2" s="1"/>
  <c r="X27" i="2"/>
  <c r="AB8" i="2"/>
  <c r="AB25" i="2" s="1"/>
  <c r="AA25" i="2"/>
  <c r="AB3" i="2"/>
  <c r="AA7" i="2"/>
  <c r="AA21" i="2"/>
  <c r="AA5" i="2"/>
  <c r="AA22" i="2" s="1"/>
  <c r="W28" i="2"/>
  <c r="W19" i="2"/>
  <c r="Y26" i="2"/>
  <c r="Y15" i="2"/>
  <c r="Y17" i="2" l="1"/>
  <c r="Y32" i="2" s="1"/>
  <c r="Y41" i="2" s="1"/>
  <c r="Y27" i="2"/>
  <c r="AB7" i="2"/>
  <c r="AB5" i="2"/>
  <c r="AB22" i="2" s="1"/>
  <c r="AB4" i="2"/>
  <c r="AB21" i="2"/>
  <c r="AA4" i="2"/>
  <c r="X19" i="2"/>
  <c r="X28" i="2"/>
  <c r="Z26" i="2"/>
  <c r="Z15" i="2"/>
  <c r="AA24" i="2"/>
  <c r="AA9" i="2"/>
  <c r="Z17" i="2" l="1"/>
  <c r="Z32" i="2" s="1"/>
  <c r="Z41" i="2" s="1"/>
  <c r="Z27" i="2"/>
  <c r="AB24" i="2"/>
  <c r="AB9" i="2"/>
  <c r="AA26" i="2"/>
  <c r="AA15" i="2"/>
  <c r="Y28" i="2"/>
  <c r="Y19" i="2"/>
  <c r="AA17" i="2" l="1"/>
  <c r="AA32" i="2" s="1"/>
  <c r="AA41" i="2" s="1"/>
  <c r="AA27" i="2"/>
  <c r="AB26" i="2"/>
  <c r="AB15" i="2"/>
  <c r="Z19" i="2"/>
  <c r="Z28" i="2"/>
  <c r="AB17" i="2" l="1"/>
  <c r="AB32" i="2" s="1"/>
  <c r="AB41" i="2" s="1"/>
  <c r="AC41" i="2" s="1"/>
  <c r="AD41" i="2" s="1"/>
  <c r="AE41" i="2" s="1"/>
  <c r="AF41" i="2" s="1"/>
  <c r="AG41" i="2" s="1"/>
  <c r="AH41" i="2" s="1"/>
  <c r="AI41" i="2" s="1"/>
  <c r="AJ41" i="2" s="1"/>
  <c r="AK41" i="2" s="1"/>
  <c r="AL41" i="2" s="1"/>
  <c r="AM41" i="2" s="1"/>
  <c r="AN41" i="2" s="1"/>
  <c r="AO41" i="2" s="1"/>
  <c r="AP41" i="2" s="1"/>
  <c r="AQ41" i="2" s="1"/>
  <c r="AR41" i="2" s="1"/>
  <c r="AS41" i="2" s="1"/>
  <c r="AT41" i="2" s="1"/>
  <c r="AU41" i="2" s="1"/>
  <c r="AV41" i="2" s="1"/>
  <c r="AW41" i="2" s="1"/>
  <c r="AX41" i="2" s="1"/>
  <c r="AY41" i="2" s="1"/>
  <c r="AZ41" i="2" s="1"/>
  <c r="BA41" i="2" s="1"/>
  <c r="BB41" i="2" s="1"/>
  <c r="BC41" i="2" s="1"/>
  <c r="BD41" i="2" s="1"/>
  <c r="BE41" i="2" s="1"/>
  <c r="BF41" i="2" s="1"/>
  <c r="BG41" i="2" s="1"/>
  <c r="BH41" i="2" s="1"/>
  <c r="BI41" i="2" s="1"/>
  <c r="BJ41" i="2" s="1"/>
  <c r="BK41" i="2" s="1"/>
  <c r="BL41" i="2" s="1"/>
  <c r="BM41" i="2" s="1"/>
  <c r="BN41" i="2" s="1"/>
  <c r="BO41" i="2" s="1"/>
  <c r="BP41" i="2" s="1"/>
  <c r="BQ41" i="2" s="1"/>
  <c r="BR41" i="2" s="1"/>
  <c r="BS41" i="2" s="1"/>
  <c r="BT41" i="2" s="1"/>
  <c r="BU41" i="2" s="1"/>
  <c r="BV41" i="2" s="1"/>
  <c r="BW41" i="2" s="1"/>
  <c r="BX41" i="2" s="1"/>
  <c r="BY41" i="2" s="1"/>
  <c r="BZ41" i="2" s="1"/>
  <c r="CA41" i="2" s="1"/>
  <c r="CB41" i="2" s="1"/>
  <c r="CC41" i="2" s="1"/>
  <c r="CD41" i="2" s="1"/>
  <c r="CE41" i="2" s="1"/>
  <c r="CF41" i="2" s="1"/>
  <c r="CG41" i="2" s="1"/>
  <c r="CH41" i="2" s="1"/>
  <c r="CI41" i="2" s="1"/>
  <c r="CJ41" i="2" s="1"/>
  <c r="CK41" i="2" s="1"/>
  <c r="CL41" i="2" s="1"/>
  <c r="CM41" i="2" s="1"/>
  <c r="CN41" i="2" s="1"/>
  <c r="CO41" i="2" s="1"/>
  <c r="CP41" i="2" s="1"/>
  <c r="CQ41" i="2" s="1"/>
  <c r="CR41" i="2" s="1"/>
  <c r="CS41" i="2" s="1"/>
  <c r="CT41" i="2" s="1"/>
  <c r="CU41" i="2" s="1"/>
  <c r="CV41" i="2" s="1"/>
  <c r="CW41" i="2" s="1"/>
  <c r="CX41" i="2" s="1"/>
  <c r="CY41" i="2" s="1"/>
  <c r="CZ41" i="2" s="1"/>
  <c r="DA41" i="2" s="1"/>
  <c r="DB41" i="2" s="1"/>
  <c r="DC41" i="2" s="1"/>
  <c r="DD41" i="2" s="1"/>
  <c r="DE41" i="2" s="1"/>
  <c r="DF41" i="2" s="1"/>
  <c r="DG41" i="2" s="1"/>
  <c r="DH41" i="2" s="1"/>
  <c r="DI41" i="2" s="1"/>
  <c r="DJ41" i="2" s="1"/>
  <c r="DK41" i="2" s="1"/>
  <c r="DL41" i="2" s="1"/>
  <c r="DM41" i="2" s="1"/>
  <c r="DN41" i="2" s="1"/>
  <c r="DO41" i="2" s="1"/>
  <c r="DP41" i="2" s="1"/>
  <c r="DQ41" i="2" s="1"/>
  <c r="DR41" i="2" s="1"/>
  <c r="DS41" i="2" s="1"/>
  <c r="DT41" i="2" s="1"/>
  <c r="DU41" i="2" s="1"/>
  <c r="DV41" i="2" s="1"/>
  <c r="DW41" i="2" s="1"/>
  <c r="DX41" i="2" s="1"/>
  <c r="DY41" i="2" s="1"/>
  <c r="DZ41" i="2" s="1"/>
  <c r="EA41" i="2" s="1"/>
  <c r="EB41" i="2" s="1"/>
  <c r="EC41" i="2" s="1"/>
  <c r="ED41" i="2" s="1"/>
  <c r="EE41" i="2" s="1"/>
  <c r="EF41" i="2" s="1"/>
  <c r="EG41" i="2" s="1"/>
  <c r="EH41" i="2" s="1"/>
  <c r="EI41" i="2" s="1"/>
  <c r="EJ41" i="2" s="1"/>
  <c r="EK41" i="2" s="1"/>
  <c r="EL41" i="2" s="1"/>
  <c r="EM41" i="2" s="1"/>
  <c r="EN41" i="2" s="1"/>
  <c r="EO41" i="2" s="1"/>
  <c r="EP41" i="2" s="1"/>
  <c r="EQ41" i="2" s="1"/>
  <c r="ER41" i="2" s="1"/>
  <c r="ES41" i="2" s="1"/>
  <c r="AE45" i="2" s="1"/>
  <c r="AE47" i="2" s="1"/>
  <c r="AE48" i="2" s="1"/>
  <c r="AB27" i="2"/>
  <c r="AA19" i="2"/>
  <c r="AA28" i="2"/>
  <c r="AC17" i="2" l="1"/>
  <c r="AD17" i="2" s="1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AB28" i="2"/>
  <c r="AB19" i="2"/>
  <c r="AE24" i="2" l="1"/>
  <c r="AE26" i="2" s="1"/>
  <c r="AE27" i="2" s="1"/>
  <c r="AE29" i="2" s="1"/>
</calcChain>
</file>

<file path=xl/sharedStrings.xml><?xml version="1.0" encoding="utf-8"?>
<sst xmlns="http://schemas.openxmlformats.org/spreadsheetml/2006/main" count="78" uniqueCount="64">
  <si>
    <t>BAND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</si>
  <si>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</si>
  <si>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</si>
  <si>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</si>
  <si>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</si>
  <si>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</si>
  <si>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</si>
  <si>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</si>
  <si>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</si>
  <si>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</si>
  <si>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</si>
  <si>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</si>
  <si>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Revenue</t>
  </si>
  <si>
    <t>Cost of sales</t>
  </si>
  <si>
    <t>Gross profit</t>
  </si>
  <si>
    <t>Q124</t>
  </si>
  <si>
    <t>R&amp;D</t>
  </si>
  <si>
    <t>S&amp;M</t>
  </si>
  <si>
    <t>G&amp;A</t>
  </si>
  <si>
    <t>Total opex</t>
  </si>
  <si>
    <t>Operating profit</t>
  </si>
  <si>
    <t>Finance expense</t>
  </si>
  <si>
    <t>Interest expense</t>
  </si>
  <si>
    <t>Other expense</t>
  </si>
  <si>
    <t>Total finex</t>
  </si>
  <si>
    <t>Pretax profit</t>
  </si>
  <si>
    <t>Taxes</t>
  </si>
  <si>
    <t>Net profit</t>
  </si>
  <si>
    <t>EPS</t>
  </si>
  <si>
    <t>Q224</t>
  </si>
  <si>
    <t>Q324</t>
  </si>
  <si>
    <t>Q424</t>
  </si>
  <si>
    <t>Q125</t>
  </si>
  <si>
    <t>Q325</t>
  </si>
  <si>
    <t>Q425</t>
  </si>
  <si>
    <t>Revenue y/y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</si>
  <si>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</si>
  <si>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</si>
  <si>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</si>
  <si>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</si>
  <si>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</si>
  <si>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</si>
  <si>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</si>
  <si>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</si>
  <si>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</si>
  <si>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</si>
  <si>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</si>
  <si>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</si>
  <si>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</si>
  <si>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</si>
  <si>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</si>
  <si>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SBC</t>
  </si>
  <si>
    <t>Net income</t>
  </si>
  <si>
    <t>Non-GAAP income</t>
  </si>
  <si>
    <t>Depreciation</t>
  </si>
  <si>
    <t>Amortisation</t>
  </si>
  <si>
    <t>Leases</t>
  </si>
  <si>
    <t>Other</t>
  </si>
  <si>
    <t>Depreciation y/y</t>
  </si>
  <si>
    <t>Amortisation y/y</t>
  </si>
  <si>
    <t>SBC y/y</t>
  </si>
  <si>
    <t>NPV (FCF)</t>
  </si>
  <si>
    <t>CapEx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</si>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</sst>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</xdr:colOff>
      <xdr:row>0</xdr:row>
      <xdr:rowOff>7620</xdr:rowOff>
    </xdr:from>
    <xdr:to>
      <xdr:col>17</xdr:col>
      <xdr:colOff>30480</xdr:colOff>
      <xdr:row>50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3B38CD-39DD-8D03-8338-C31F50830413}"/>
            </a:ext>
          </a:extLst>
        </xdr:cNvPr>
        <xdr:cNvCxnSpPr/>
      </xdr:nvCxnSpPr>
      <xdr:spPr>
        <a:xfrm>
          <a:off x="10934700" y="7620"/>
          <a:ext cx="0" cy="8877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0</xdr:row>
      <xdr:rowOff>7620</xdr:rowOff>
    </xdr:from>
    <xdr:to>
      <xdr:col>8</xdr:col>
      <xdr:colOff>22860</xdr:colOff>
      <xdr:row>51</xdr:row>
      <xdr:rowOff>106680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8F8A527-EB73-E946-9085-9F367B15CA95}"/>
            </a:ext>
          </a:extLst>
        </xdr:cNvPr>
        <xdr:cNvCxnSpPr/>
      </xdr:nvCxnSpPr>
      <xdr:spPr>
        <a:xfrm>
          <a:off x="5440680" y="7620"/>
          <a:ext cx="0" cy="9060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536A-9E18-4829-B39F-C45B0440F2EB}">
  <dimension ref="B2:G9"/>
  <sheetViews>
    <sheetView tabSelected="1" workbookViewId="0">
      <selection activeCell="D4" sqref="D4"/>
    </sheetView>
  </sheetViews>
  <sheetFormatPr defaultRowHeight="14.4" x14ac:dyDescent="0.3"/>
  <cols>
    <col min="5" max="5" width="11.88671875" style="2" bestFit="1" customWidth="1"/>
    <col min="6" max="7" width="11.21875" style="2" bestFit="1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17.52</v>
      </c>
      <c r="E3" s="3">
        <v>45927</v>
      </c>
      <c r="F3" s="3">
        <f ca="1">TODAY()</f>
        <v>45928</v>
      </c>
      <c r="G3" s="3">
        <v>45960</v>
      </c>
    </row>
    <row r="4" spans="2:7" x14ac:dyDescent="0.3">
      <c r="C4" t="s">
        <v>2</v>
      </c>
      <c r="D4" s="5">
        <f>28.1</f>
        <v>28.1</v>
      </c>
      <c r="E4" s="2" t="s">
        <v>11</v>
      </c>
    </row>
    <row r="5" spans="2:7" x14ac:dyDescent="0.3">
      <c r="C5" t="s">
        <v>3</v>
      </c>
      <c r="D5" s="5">
        <f>D3*D4</f>
        <v>492.31200000000001</v>
      </c>
    </row>
    <row r="6" spans="2:7" x14ac:dyDescent="0.3">
      <c r="C6" t="s">
        <v>4</v>
      </c>
      <c r="D6" s="5">
        <f>60.1+8</f>
        <v>68.099999999999994</v>
      </c>
      <c r="E6" s="2" t="s">
        <v>11</v>
      </c>
    </row>
    <row r="7" spans="2:7" x14ac:dyDescent="0.3">
      <c r="C7" t="s">
        <v>5</v>
      </c>
      <c r="D7" s="5">
        <f>7.6+247</f>
        <v>254.6</v>
      </c>
      <c r="E7" s="2" t="s">
        <v>11</v>
      </c>
    </row>
    <row r="8" spans="2:7" x14ac:dyDescent="0.3">
      <c r="C8" t="s">
        <v>6</v>
      </c>
      <c r="D8" s="5">
        <f>D6-D7</f>
        <v>-186.5</v>
      </c>
    </row>
    <row r="9" spans="2:7" x14ac:dyDescent="0.3">
      <c r="C9" t="s">
        <v>7</v>
      </c>
      <c r="D9" s="5">
        <f>D5-D8</f>
        <v>678.81200000000001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0487-8040-4A1D-96DD-D901D11C546C}">
  <dimension ref="B2:ES51"/>
  <sheetViews>
    <sheetView workbookViewId="0">
      <pane xSplit="2" ySplit="2" topLeftCell="P6" activePane="bottomRight" state="frozen"/>
      <selection pane="topRight" activeCell="C1" sqref="C1"/>
      <selection pane="bottomLeft" activeCell="A3" sqref="A3"/>
      <selection pane="bottomRight" activeCell="X6" sqref="X6"/>
    </sheetView>
  </sheetViews>
  <sheetFormatPr defaultRowHeight="14.4" x14ac:dyDescent="0.3"/>
  <cols>
    <col min="2" max="2" width="16.77734375" bestFit="1" customWidth="1"/>
    <col min="30" max="30" width="12" bestFit="1" customWidth="1"/>
    <col min="31" max="31" width="17.5546875" bestFit="1" customWidth="1"/>
  </cols>
  <sheetData>
    <row r="2" spans="2:28" x14ac:dyDescent="0.3">
      <c r="C2" s="6" t="s">
        <v>15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11</v>
      </c>
      <c r="I2" s="6" t="s">
        <v>33</v>
      </c>
      <c r="J2" s="6" t="s">
        <v>34</v>
      </c>
      <c r="K2" s="6"/>
      <c r="L2" s="6">
        <v>2019</v>
      </c>
      <c r="M2" s="6">
        <v>2020</v>
      </c>
      <c r="N2" s="6">
        <v>2021</v>
      </c>
      <c r="O2" s="6">
        <v>2022</v>
      </c>
      <c r="P2" s="6">
        <v>2023</v>
      </c>
      <c r="Q2" s="6">
        <v>2024</v>
      </c>
      <c r="R2" s="6">
        <v>2025</v>
      </c>
      <c r="S2" s="6">
        <v>2026</v>
      </c>
      <c r="T2" s="6">
        <v>2027</v>
      </c>
      <c r="U2" s="6">
        <v>2028</v>
      </c>
      <c r="V2" s="6">
        <v>2029</v>
      </c>
      <c r="W2" s="6">
        <v>2030</v>
      </c>
      <c r="X2" s="6">
        <v>2031</v>
      </c>
      <c r="Y2" s="6">
        <v>2032</v>
      </c>
      <c r="Z2" s="6">
        <v>2033</v>
      </c>
      <c r="AA2" s="6">
        <v>2034</v>
      </c>
      <c r="AB2" s="6">
        <v>2035</v>
      </c>
    </row>
    <row r="3" spans="2:28" s="1" customFormat="1" x14ac:dyDescent="0.3">
      <c r="B3" s="1" t="s">
        <v>12</v>
      </c>
      <c r="C3" s="8">
        <v>171</v>
      </c>
      <c r="D3" s="8">
        <v>173.6</v>
      </c>
      <c r="E3" s="8">
        <v>193.9</v>
      </c>
      <c r="F3" s="8">
        <f>Q3-E3-D3-C3</f>
        <v>210</v>
      </c>
      <c r="G3" s="8">
        <v>174.3</v>
      </c>
      <c r="H3" s="8">
        <v>180</v>
      </c>
      <c r="I3" s="8">
        <v>190</v>
      </c>
      <c r="J3" s="8">
        <f>F3*1.01</f>
        <v>212.1</v>
      </c>
      <c r="L3" s="8">
        <v>232.6</v>
      </c>
      <c r="M3" s="8">
        <v>343.1</v>
      </c>
      <c r="N3" s="8">
        <v>490.9</v>
      </c>
      <c r="O3" s="8">
        <v>573.20000000000005</v>
      </c>
      <c r="P3" s="8">
        <v>601.1</v>
      </c>
      <c r="Q3" s="8">
        <v>748.5</v>
      </c>
      <c r="R3" s="8">
        <f>SUM(G3:J3)</f>
        <v>756.4</v>
      </c>
      <c r="S3" s="8">
        <f>R3*1.03</f>
        <v>779.09199999999998</v>
      </c>
      <c r="T3" s="8">
        <f t="shared" ref="T3:AB3" si="0">S3*1.02</f>
        <v>794.67384000000004</v>
      </c>
      <c r="U3" s="8">
        <f t="shared" si="0"/>
        <v>810.56731680000007</v>
      </c>
      <c r="V3" s="8">
        <f t="shared" si="0"/>
        <v>826.77866313600009</v>
      </c>
      <c r="W3" s="8">
        <f t="shared" si="0"/>
        <v>843.31423639872014</v>
      </c>
      <c r="X3" s="8">
        <f t="shared" si="0"/>
        <v>860.18052112669454</v>
      </c>
      <c r="Y3" s="8">
        <f t="shared" si="0"/>
        <v>877.38413154922841</v>
      </c>
      <c r="Z3" s="8">
        <f t="shared" si="0"/>
        <v>894.931814180213</v>
      </c>
      <c r="AA3" s="8">
        <f t="shared" si="0"/>
        <v>912.83045046381721</v>
      </c>
      <c r="AB3" s="8">
        <f t="shared" si="0"/>
        <v>931.08705947309363</v>
      </c>
    </row>
    <row r="4" spans="2:28" x14ac:dyDescent="0.3">
      <c r="B4" t="s">
        <v>13</v>
      </c>
      <c r="C4" s="5">
        <v>105.5</v>
      </c>
      <c r="D4" s="5">
        <v>108.8</v>
      </c>
      <c r="E4" s="5">
        <v>120.7</v>
      </c>
      <c r="F4" s="5">
        <f>Q4-E4-D4-C4</f>
        <v>133.5</v>
      </c>
      <c r="G4" s="5">
        <v>102.7</v>
      </c>
      <c r="H4" s="5">
        <v>108.3</v>
      </c>
      <c r="I4" s="5">
        <f>I3-I5</f>
        <v>112.10000000000001</v>
      </c>
      <c r="J4" s="5">
        <f>J3-J5</f>
        <v>129.381</v>
      </c>
      <c r="L4" s="5">
        <v>125</v>
      </c>
      <c r="M4" s="5">
        <v>185.3</v>
      </c>
      <c r="N4" s="5">
        <v>272.39999999999998</v>
      </c>
      <c r="O4" s="5">
        <v>334.8</v>
      </c>
      <c r="P4" s="5">
        <v>365</v>
      </c>
      <c r="Q4" s="5">
        <v>468.5</v>
      </c>
      <c r="R4" s="5">
        <f>SUM(G4:J4)</f>
        <v>452.48099999999999</v>
      </c>
      <c r="S4" s="5">
        <f>S3-S5</f>
        <v>451.87335999999999</v>
      </c>
      <c r="T4" s="5">
        <f t="shared" ref="T4:AB4" si="1">T3-T5</f>
        <v>452.96408880000001</v>
      </c>
      <c r="U4" s="5">
        <f t="shared" si="1"/>
        <v>462.02337057600005</v>
      </c>
      <c r="V4" s="5">
        <f t="shared" si="1"/>
        <v>471.26383798752005</v>
      </c>
      <c r="W4" s="5">
        <f t="shared" si="1"/>
        <v>480.68911474727048</v>
      </c>
      <c r="X4" s="5">
        <f t="shared" si="1"/>
        <v>490.30289704221587</v>
      </c>
      <c r="Y4" s="5">
        <f t="shared" si="1"/>
        <v>500.10895498306019</v>
      </c>
      <c r="Z4" s="5">
        <f t="shared" si="1"/>
        <v>510.11113408272143</v>
      </c>
      <c r="AA4" s="5">
        <f t="shared" si="1"/>
        <v>520.31335676437584</v>
      </c>
      <c r="AB4" s="5">
        <f t="shared" si="1"/>
        <v>530.71962389966336</v>
      </c>
    </row>
    <row r="5" spans="2:28" s="1" customFormat="1" x14ac:dyDescent="0.3">
      <c r="B5" s="1" t="s">
        <v>14</v>
      </c>
      <c r="C5" s="8">
        <f t="shared" ref="C5:H5" si="2">C3-C4</f>
        <v>65.5</v>
      </c>
      <c r="D5" s="8">
        <f t="shared" si="2"/>
        <v>64.8</v>
      </c>
      <c r="E5" s="8">
        <f t="shared" si="2"/>
        <v>73.2</v>
      </c>
      <c r="F5" s="8">
        <f t="shared" si="2"/>
        <v>76.5</v>
      </c>
      <c r="G5" s="8">
        <f t="shared" si="2"/>
        <v>71.600000000000009</v>
      </c>
      <c r="H5" s="8">
        <f t="shared" si="2"/>
        <v>71.7</v>
      </c>
      <c r="I5" s="8">
        <f>I3*0.41</f>
        <v>77.899999999999991</v>
      </c>
      <c r="J5" s="8">
        <f>J3*0.39</f>
        <v>82.718999999999994</v>
      </c>
      <c r="L5" s="8">
        <f t="shared" ref="L5:R5" si="3">L3-L4</f>
        <v>107.6</v>
      </c>
      <c r="M5" s="8">
        <f t="shared" si="3"/>
        <v>157.80000000000001</v>
      </c>
      <c r="N5" s="8">
        <f t="shared" si="3"/>
        <v>218.5</v>
      </c>
      <c r="O5" s="8">
        <f t="shared" si="3"/>
        <v>238.40000000000003</v>
      </c>
      <c r="P5" s="8">
        <f t="shared" si="3"/>
        <v>236.10000000000002</v>
      </c>
      <c r="Q5" s="8">
        <f t="shared" si="3"/>
        <v>280</v>
      </c>
      <c r="R5" s="8">
        <f t="shared" si="3"/>
        <v>303.91899999999998</v>
      </c>
      <c r="S5" s="8">
        <f>S3*0.42</f>
        <v>327.21863999999999</v>
      </c>
      <c r="T5" s="8">
        <f>T3*0.43</f>
        <v>341.70975120000003</v>
      </c>
      <c r="U5" s="8">
        <f t="shared" ref="U5:AB5" si="4">U3*0.43</f>
        <v>348.54394622400002</v>
      </c>
      <c r="V5" s="8">
        <f t="shared" si="4"/>
        <v>355.51482514848004</v>
      </c>
      <c r="W5" s="8">
        <f t="shared" si="4"/>
        <v>362.62512165144966</v>
      </c>
      <c r="X5" s="8">
        <f t="shared" si="4"/>
        <v>369.87762408447867</v>
      </c>
      <c r="Y5" s="8">
        <f t="shared" si="4"/>
        <v>377.27517656616823</v>
      </c>
      <c r="Z5" s="8">
        <f t="shared" si="4"/>
        <v>384.82068009749156</v>
      </c>
      <c r="AA5" s="8">
        <f t="shared" si="4"/>
        <v>392.51709369944138</v>
      </c>
      <c r="AB5" s="8">
        <f t="shared" si="4"/>
        <v>400.36743557343027</v>
      </c>
    </row>
    <row r="6" spans="2:28" x14ac:dyDescent="0.3">
      <c r="B6" t="s">
        <v>16</v>
      </c>
      <c r="C6" s="5">
        <v>28.9</v>
      </c>
      <c r="D6" s="5">
        <v>28.1</v>
      </c>
      <c r="E6" s="5">
        <v>30.2</v>
      </c>
      <c r="F6" s="5">
        <f t="shared" ref="F6:F8" si="5">Q6-E6-D6-C6</f>
        <v>31.399999999999991</v>
      </c>
      <c r="G6" s="5">
        <v>30.6</v>
      </c>
      <c r="H6" s="5">
        <v>31.7</v>
      </c>
      <c r="I6" s="5">
        <f>E6*1.1</f>
        <v>33.22</v>
      </c>
      <c r="J6" s="5">
        <f>F6*1.07</f>
        <v>33.597999999999992</v>
      </c>
      <c r="L6" s="5">
        <v>31.5</v>
      </c>
      <c r="M6" s="5">
        <v>42.1</v>
      </c>
      <c r="N6" s="5">
        <v>55.2</v>
      </c>
      <c r="O6" s="5">
        <v>98</v>
      </c>
      <c r="P6" s="5">
        <v>104.2</v>
      </c>
      <c r="Q6" s="5">
        <v>118.6</v>
      </c>
      <c r="R6" s="5">
        <f t="shared" ref="R6:R8" si="6">SUM(G6:J6)</f>
        <v>129.11799999999999</v>
      </c>
      <c r="S6" s="5">
        <f>R6*1.04</f>
        <v>134.28272000000001</v>
      </c>
      <c r="T6" s="5">
        <f>S6*1.03</f>
        <v>138.3112016</v>
      </c>
      <c r="U6" s="5">
        <f>T6*1.02</f>
        <v>141.077425632</v>
      </c>
      <c r="V6" s="5">
        <f t="shared" ref="V6:W6" si="7">U6*1.02</f>
        <v>143.89897414463999</v>
      </c>
      <c r="W6" s="5">
        <f t="shared" si="7"/>
        <v>146.77695362753281</v>
      </c>
      <c r="X6" s="5">
        <f>W6*1.01</f>
        <v>148.24472316380815</v>
      </c>
      <c r="Y6" s="5">
        <f t="shared" ref="Y6:AB6" si="8">X6*1.01</f>
        <v>149.72717039544622</v>
      </c>
      <c r="Z6" s="5">
        <f t="shared" si="8"/>
        <v>151.22444209940068</v>
      </c>
      <c r="AA6" s="5">
        <f t="shared" si="8"/>
        <v>152.73668652039467</v>
      </c>
      <c r="AB6" s="5">
        <f t="shared" si="8"/>
        <v>154.26405338559863</v>
      </c>
    </row>
    <row r="7" spans="2:28" x14ac:dyDescent="0.3">
      <c r="B7" t="s">
        <v>17</v>
      </c>
      <c r="C7" s="5">
        <v>29.1</v>
      </c>
      <c r="D7" s="5">
        <v>26.1</v>
      </c>
      <c r="E7" s="5">
        <v>26.3</v>
      </c>
      <c r="F7" s="5">
        <f t="shared" si="5"/>
        <v>28.200000000000003</v>
      </c>
      <c r="G7" s="5">
        <v>26.5</v>
      </c>
      <c r="H7" s="5">
        <v>24.8</v>
      </c>
      <c r="I7" s="5">
        <f>I3*0.14</f>
        <v>26.6</v>
      </c>
      <c r="J7" s="5">
        <f>J3*0.13</f>
        <v>27.573</v>
      </c>
      <c r="L7" s="5">
        <v>35</v>
      </c>
      <c r="M7" s="5">
        <v>40.6</v>
      </c>
      <c r="N7" s="5">
        <v>51.8</v>
      </c>
      <c r="O7" s="5">
        <v>96.7</v>
      </c>
      <c r="P7" s="5">
        <v>102.1</v>
      </c>
      <c r="Q7" s="5">
        <v>109.7</v>
      </c>
      <c r="R7" s="5">
        <f t="shared" si="6"/>
        <v>105.47300000000001</v>
      </c>
      <c r="S7" s="5">
        <f>S3*0.13</f>
        <v>101.28196</v>
      </c>
      <c r="T7" s="5">
        <f t="shared" ref="T7:AB7" si="9">T3*0.13</f>
        <v>103.30759920000001</v>
      </c>
      <c r="U7" s="5">
        <f t="shared" si="9"/>
        <v>105.37375118400001</v>
      </c>
      <c r="V7" s="5">
        <f t="shared" si="9"/>
        <v>107.48122620768001</v>
      </c>
      <c r="W7" s="5">
        <f t="shared" si="9"/>
        <v>109.63085073183362</v>
      </c>
      <c r="X7" s="5">
        <f t="shared" si="9"/>
        <v>111.8234677464703</v>
      </c>
      <c r="Y7" s="5">
        <f t="shared" si="9"/>
        <v>114.0599371013997</v>
      </c>
      <c r="Z7" s="5">
        <f t="shared" si="9"/>
        <v>116.34113584342769</v>
      </c>
      <c r="AA7" s="5">
        <f t="shared" si="9"/>
        <v>118.66795856029624</v>
      </c>
      <c r="AB7" s="5">
        <f t="shared" si="9"/>
        <v>121.04131773150218</v>
      </c>
    </row>
    <row r="8" spans="2:28" x14ac:dyDescent="0.3">
      <c r="B8" t="s">
        <v>18</v>
      </c>
      <c r="C8" s="5">
        <v>17.8</v>
      </c>
      <c r="D8" s="5">
        <v>16.7</v>
      </c>
      <c r="E8" s="5">
        <v>17.600000000000001</v>
      </c>
      <c r="F8" s="5">
        <f t="shared" si="5"/>
        <v>19.600000000000005</v>
      </c>
      <c r="G8" s="5">
        <v>19.100000000000001</v>
      </c>
      <c r="H8" s="5">
        <v>18.8</v>
      </c>
      <c r="I8" s="5">
        <f>E8*1.1</f>
        <v>19.360000000000003</v>
      </c>
      <c r="J8" s="5">
        <f>F8*1.05</f>
        <v>20.580000000000005</v>
      </c>
      <c r="L8" s="5">
        <v>58.8</v>
      </c>
      <c r="M8" s="5">
        <v>88.8</v>
      </c>
      <c r="N8" s="5">
        <v>113.8</v>
      </c>
      <c r="O8" s="5">
        <v>68</v>
      </c>
      <c r="P8" s="5">
        <v>65.400000000000006</v>
      </c>
      <c r="Q8" s="5">
        <v>71.7</v>
      </c>
      <c r="R8" s="5">
        <f t="shared" si="6"/>
        <v>77.84</v>
      </c>
      <c r="S8" s="5">
        <f>R8*1.05</f>
        <v>81.732000000000014</v>
      </c>
      <c r="T8" s="5">
        <f>S8*1.04</f>
        <v>85.001280000000023</v>
      </c>
      <c r="U8" s="5">
        <f>T8*1.02</f>
        <v>86.701305600000026</v>
      </c>
      <c r="V8" s="5">
        <f>U8*1.02</f>
        <v>88.435331712000021</v>
      </c>
      <c r="W8" s="5">
        <f>V8*1.01</f>
        <v>89.319685029120024</v>
      </c>
      <c r="X8" s="5">
        <f t="shared" ref="X8:AB8" si="10">W8*1.01</f>
        <v>90.212881879411228</v>
      </c>
      <c r="Y8" s="5">
        <f t="shared" si="10"/>
        <v>91.115010698205339</v>
      </c>
      <c r="Z8" s="5">
        <f t="shared" si="10"/>
        <v>92.026160805187388</v>
      </c>
      <c r="AA8" s="5">
        <f t="shared" si="10"/>
        <v>92.946422413239262</v>
      </c>
      <c r="AB8" s="5">
        <f t="shared" si="10"/>
        <v>93.87588663737165</v>
      </c>
    </row>
    <row r="9" spans="2:28" x14ac:dyDescent="0.3">
      <c r="B9" t="s">
        <v>19</v>
      </c>
      <c r="C9" s="5">
        <f t="shared" ref="C9:H9" si="11">SUM(C6:C8)</f>
        <v>75.8</v>
      </c>
      <c r="D9" s="5">
        <f t="shared" si="11"/>
        <v>70.900000000000006</v>
      </c>
      <c r="E9" s="5">
        <f t="shared" si="11"/>
        <v>74.099999999999994</v>
      </c>
      <c r="F9" s="5">
        <f t="shared" si="11"/>
        <v>79.2</v>
      </c>
      <c r="G9" s="5">
        <f t="shared" si="11"/>
        <v>76.2</v>
      </c>
      <c r="H9" s="5">
        <f t="shared" si="11"/>
        <v>75.3</v>
      </c>
      <c r="I9" s="5">
        <f t="shared" ref="I9:J9" si="12">SUM(I6:I8)</f>
        <v>79.180000000000007</v>
      </c>
      <c r="J9" s="5">
        <f t="shared" si="12"/>
        <v>81.751000000000005</v>
      </c>
      <c r="L9" s="5">
        <f t="shared" ref="L9:R9" si="13">SUM(L6:L8)</f>
        <v>125.3</v>
      </c>
      <c r="M9" s="5">
        <f t="shared" si="13"/>
        <v>171.5</v>
      </c>
      <c r="N9" s="5">
        <f t="shared" si="13"/>
        <v>220.8</v>
      </c>
      <c r="O9" s="5">
        <f t="shared" si="13"/>
        <v>262.7</v>
      </c>
      <c r="P9" s="5">
        <f t="shared" si="13"/>
        <v>271.70000000000005</v>
      </c>
      <c r="Q9" s="5">
        <f t="shared" si="13"/>
        <v>300</v>
      </c>
      <c r="R9" s="5">
        <f t="shared" si="13"/>
        <v>312.43100000000004</v>
      </c>
      <c r="S9" s="5">
        <f t="shared" ref="S9:AB9" si="14">SUM(S6:S8)</f>
        <v>317.29668000000004</v>
      </c>
      <c r="T9" s="5">
        <f t="shared" si="14"/>
        <v>326.62008080000004</v>
      </c>
      <c r="U9" s="5">
        <f t="shared" si="14"/>
        <v>333.15248241600005</v>
      </c>
      <c r="V9" s="5">
        <f t="shared" si="14"/>
        <v>339.81553206432</v>
      </c>
      <c r="W9" s="5">
        <f t="shared" si="14"/>
        <v>345.72748938848645</v>
      </c>
      <c r="X9" s="5">
        <f t="shared" si="14"/>
        <v>350.28107278968963</v>
      </c>
      <c r="Y9" s="5">
        <f t="shared" si="14"/>
        <v>354.90211819505123</v>
      </c>
      <c r="Z9" s="5">
        <f t="shared" si="14"/>
        <v>359.59173874801576</v>
      </c>
      <c r="AA9" s="5">
        <f t="shared" si="14"/>
        <v>364.35106749393015</v>
      </c>
      <c r="AB9" s="5">
        <f t="shared" si="14"/>
        <v>369.18125775447243</v>
      </c>
    </row>
    <row r="10" spans="2:28" s="1" customFormat="1" x14ac:dyDescent="0.3">
      <c r="B10" s="1" t="s">
        <v>20</v>
      </c>
      <c r="C10" s="8">
        <f t="shared" ref="C10:H10" si="15">C5-C9</f>
        <v>-10.299999999999997</v>
      </c>
      <c r="D10" s="8">
        <f t="shared" si="15"/>
        <v>-6.1000000000000085</v>
      </c>
      <c r="E10" s="8">
        <f t="shared" si="15"/>
        <v>-0.89999999999999147</v>
      </c>
      <c r="F10" s="8">
        <f t="shared" si="15"/>
        <v>-2.7000000000000028</v>
      </c>
      <c r="G10" s="8">
        <f t="shared" si="15"/>
        <v>-4.5999999999999943</v>
      </c>
      <c r="H10" s="8">
        <f t="shared" si="15"/>
        <v>-3.5999999999999943</v>
      </c>
      <c r="I10" s="8">
        <f t="shared" ref="I10:J10" si="16">I5-I9</f>
        <v>-1.2800000000000153</v>
      </c>
      <c r="J10" s="8">
        <f t="shared" si="16"/>
        <v>0.96799999999998931</v>
      </c>
      <c r="L10" s="8">
        <f t="shared" ref="L10:R10" si="17">L5-L9</f>
        <v>-17.700000000000003</v>
      </c>
      <c r="M10" s="8">
        <f t="shared" si="17"/>
        <v>-13.699999999999989</v>
      </c>
      <c r="N10" s="8">
        <f t="shared" si="17"/>
        <v>-2.3000000000000114</v>
      </c>
      <c r="O10" s="8">
        <f t="shared" si="17"/>
        <v>-24.299999999999955</v>
      </c>
      <c r="P10" s="8">
        <f t="shared" si="17"/>
        <v>-35.600000000000023</v>
      </c>
      <c r="Q10" s="8">
        <f t="shared" si="17"/>
        <v>-20</v>
      </c>
      <c r="R10" s="8">
        <f t="shared" si="17"/>
        <v>-8.5120000000000573</v>
      </c>
      <c r="S10" s="8">
        <f>S5-S9+S35+S36</f>
        <v>65.174759999999964</v>
      </c>
      <c r="T10" s="8">
        <f t="shared" ref="T10:AB10" si="18">T5-T9+T35+T36</f>
        <v>71.997498399999984</v>
      </c>
      <c r="U10" s="8">
        <f t="shared" si="18"/>
        <v>73.632770087999972</v>
      </c>
      <c r="V10" s="8">
        <f t="shared" si="18"/>
        <v>74.916678426960047</v>
      </c>
      <c r="W10" s="8">
        <f t="shared" si="18"/>
        <v>77.108730779191205</v>
      </c>
      <c r="X10" s="8">
        <f t="shared" si="18"/>
        <v>80.409760796179313</v>
      </c>
      <c r="Y10" s="8">
        <f t="shared" si="18"/>
        <v>83.794399967521187</v>
      </c>
      <c r="Z10" s="8">
        <f t="shared" si="18"/>
        <v>87.264496361844039</v>
      </c>
      <c r="AA10" s="8">
        <f t="shared" si="18"/>
        <v>90.821936768003127</v>
      </c>
      <c r="AB10" s="8">
        <f t="shared" si="18"/>
        <v>94.468647487074691</v>
      </c>
    </row>
    <row r="11" spans="2:28" x14ac:dyDescent="0.3">
      <c r="B11" t="s">
        <v>21</v>
      </c>
      <c r="C11" s="5">
        <v>0</v>
      </c>
      <c r="D11" s="5">
        <v>-10.3</v>
      </c>
      <c r="E11" s="5">
        <v>0</v>
      </c>
      <c r="F11" s="5">
        <f t="shared" ref="F11:F13" si="19">Q11-E11-D11-C11</f>
        <v>0</v>
      </c>
      <c r="G11" s="5">
        <v>-1.1000000000000001</v>
      </c>
      <c r="H11" s="5">
        <v>0</v>
      </c>
      <c r="I11" s="5">
        <v>0</v>
      </c>
      <c r="J11" s="5">
        <v>0</v>
      </c>
      <c r="L11" s="5">
        <v>-2.4</v>
      </c>
      <c r="M11" s="5">
        <v>13.7</v>
      </c>
      <c r="N11" s="5">
        <v>28.8</v>
      </c>
      <c r="O11" s="5">
        <v>-40.200000000000003</v>
      </c>
      <c r="P11" s="5">
        <f>-12.8-4</f>
        <v>-16.8</v>
      </c>
      <c r="Q11" s="5">
        <v>-10.3</v>
      </c>
      <c r="R11" s="5">
        <f t="shared" ref="R11:R13" si="20">SUM(G11:J11)</f>
        <v>-1.1000000000000001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</row>
    <row r="12" spans="2:28" x14ac:dyDescent="0.3">
      <c r="B12" t="s">
        <v>22</v>
      </c>
      <c r="C12" s="5">
        <v>-0.6</v>
      </c>
      <c r="D12" s="5">
        <v>0.7</v>
      </c>
      <c r="E12" s="5">
        <v>0</v>
      </c>
      <c r="F12" s="5">
        <f t="shared" si="19"/>
        <v>1.7999999999999998</v>
      </c>
      <c r="G12" s="5">
        <v>0.5</v>
      </c>
      <c r="H12" s="5">
        <v>0.5</v>
      </c>
      <c r="I12" s="5">
        <v>1</v>
      </c>
      <c r="J12" s="5">
        <v>1</v>
      </c>
      <c r="L12" s="5">
        <v>0</v>
      </c>
      <c r="M12" s="5">
        <v>0</v>
      </c>
      <c r="N12" s="5">
        <v>0</v>
      </c>
      <c r="O12" s="5">
        <v>3</v>
      </c>
      <c r="P12" s="5">
        <v>0.8</v>
      </c>
      <c r="Q12" s="5">
        <v>1.9</v>
      </c>
      <c r="R12" s="5">
        <f t="shared" si="20"/>
        <v>3</v>
      </c>
      <c r="S12" s="5">
        <f>R12*1.05</f>
        <v>3.1500000000000004</v>
      </c>
      <c r="T12" s="5">
        <f t="shared" ref="T12:AB12" si="21">S12*1.05</f>
        <v>3.3075000000000006</v>
      </c>
      <c r="U12" s="5">
        <f t="shared" si="21"/>
        <v>3.4728750000000006</v>
      </c>
      <c r="V12" s="5">
        <f t="shared" si="21"/>
        <v>3.6465187500000007</v>
      </c>
      <c r="W12" s="5">
        <f t="shared" si="21"/>
        <v>3.8288446875000011</v>
      </c>
      <c r="X12" s="5">
        <f t="shared" si="21"/>
        <v>4.0202869218750017</v>
      </c>
      <c r="Y12" s="5">
        <f t="shared" si="21"/>
        <v>4.2213012679687516</v>
      </c>
      <c r="Z12" s="5">
        <f t="shared" si="21"/>
        <v>4.4323663313671897</v>
      </c>
      <c r="AA12" s="5">
        <f t="shared" si="21"/>
        <v>4.6539846479355491</v>
      </c>
      <c r="AB12" s="5">
        <f t="shared" si="21"/>
        <v>4.8866838803323267</v>
      </c>
    </row>
    <row r="13" spans="2:28" x14ac:dyDescent="0.3">
      <c r="B13" t="s">
        <v>23</v>
      </c>
      <c r="C13" s="5">
        <v>-0.4</v>
      </c>
      <c r="D13" s="5">
        <v>-0.2</v>
      </c>
      <c r="E13" s="5">
        <v>-0.6</v>
      </c>
      <c r="F13" s="5">
        <f t="shared" si="19"/>
        <v>-1.5</v>
      </c>
      <c r="G13" s="5">
        <v>-0.3</v>
      </c>
      <c r="H13" s="5">
        <v>0.5</v>
      </c>
      <c r="I13" s="5">
        <v>1</v>
      </c>
      <c r="J13" s="5">
        <v>1</v>
      </c>
      <c r="L13" s="5">
        <v>0</v>
      </c>
      <c r="M13" s="5">
        <v>1.8</v>
      </c>
      <c r="N13" s="5">
        <v>0.2</v>
      </c>
      <c r="O13" s="5">
        <v>-4.5</v>
      </c>
      <c r="P13" s="5">
        <v>-0.2</v>
      </c>
      <c r="Q13" s="5">
        <v>-2.7</v>
      </c>
      <c r="R13" s="5">
        <f t="shared" si="20"/>
        <v>2.2000000000000002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</row>
    <row r="14" spans="2:28" x14ac:dyDescent="0.3">
      <c r="B14" t="s">
        <v>24</v>
      </c>
      <c r="C14" s="5">
        <f t="shared" ref="C14:H14" si="22">SUM(C11:C13)</f>
        <v>-1</v>
      </c>
      <c r="D14" s="5">
        <f t="shared" si="22"/>
        <v>-9.8000000000000007</v>
      </c>
      <c r="E14" s="5">
        <f t="shared" si="22"/>
        <v>-0.6</v>
      </c>
      <c r="F14" s="5">
        <f t="shared" si="22"/>
        <v>0.29999999999999982</v>
      </c>
      <c r="G14" s="5">
        <f t="shared" si="22"/>
        <v>-0.90000000000000013</v>
      </c>
      <c r="H14" s="5">
        <f t="shared" si="22"/>
        <v>1</v>
      </c>
      <c r="I14" s="5">
        <f t="shared" ref="I14:J14" si="23">SUM(I11:I13)</f>
        <v>2</v>
      </c>
      <c r="J14" s="5">
        <f t="shared" si="23"/>
        <v>2</v>
      </c>
      <c r="L14" s="5">
        <f t="shared" ref="L14:S14" si="24">SUM(L11:L13)</f>
        <v>-2.4</v>
      </c>
      <c r="M14" s="5">
        <f t="shared" si="24"/>
        <v>15.5</v>
      </c>
      <c r="N14" s="5">
        <f t="shared" si="24"/>
        <v>29</v>
      </c>
      <c r="O14" s="5">
        <f t="shared" si="24"/>
        <v>-41.7</v>
      </c>
      <c r="P14" s="5">
        <f t="shared" si="24"/>
        <v>-16.2</v>
      </c>
      <c r="Q14" s="5">
        <f t="shared" si="24"/>
        <v>-11.100000000000001</v>
      </c>
      <c r="R14" s="5">
        <f t="shared" si="24"/>
        <v>4.0999999999999996</v>
      </c>
      <c r="S14" s="5">
        <f t="shared" si="24"/>
        <v>3.1500000000000004</v>
      </c>
      <c r="T14" s="5">
        <f t="shared" ref="T14:AB14" si="25">SUM(T11:T13)</f>
        <v>3.3075000000000006</v>
      </c>
      <c r="U14" s="5">
        <f t="shared" si="25"/>
        <v>3.4728750000000006</v>
      </c>
      <c r="V14" s="5">
        <f t="shared" si="25"/>
        <v>3.6465187500000007</v>
      </c>
      <c r="W14" s="5">
        <f t="shared" si="25"/>
        <v>3.8288446875000011</v>
      </c>
      <c r="X14" s="5">
        <f t="shared" si="25"/>
        <v>4.0202869218750017</v>
      </c>
      <c r="Y14" s="5">
        <f t="shared" si="25"/>
        <v>4.2213012679687516</v>
      </c>
      <c r="Z14" s="5">
        <f t="shared" si="25"/>
        <v>4.4323663313671897</v>
      </c>
      <c r="AA14" s="5">
        <f t="shared" si="25"/>
        <v>4.6539846479355491</v>
      </c>
      <c r="AB14" s="5">
        <f t="shared" si="25"/>
        <v>4.8866838803323267</v>
      </c>
    </row>
    <row r="15" spans="2:28" s="1" customFormat="1" x14ac:dyDescent="0.3">
      <c r="B15" s="1" t="s">
        <v>25</v>
      </c>
      <c r="C15" s="8">
        <f t="shared" ref="C15:H15" si="26">C10-C14</f>
        <v>-9.2999999999999972</v>
      </c>
      <c r="D15" s="8">
        <f t="shared" si="26"/>
        <v>3.6999999999999922</v>
      </c>
      <c r="E15" s="8">
        <f t="shared" si="26"/>
        <v>-0.2999999999999915</v>
      </c>
      <c r="F15" s="8">
        <f t="shared" si="26"/>
        <v>-3.0000000000000027</v>
      </c>
      <c r="G15" s="8">
        <f t="shared" si="26"/>
        <v>-3.699999999999994</v>
      </c>
      <c r="H15" s="8">
        <f t="shared" si="26"/>
        <v>-4.5999999999999943</v>
      </c>
      <c r="I15" s="8">
        <f t="shared" ref="I15:J15" si="27">I10-I14</f>
        <v>-3.2800000000000153</v>
      </c>
      <c r="J15" s="8">
        <f t="shared" si="27"/>
        <v>-1.0320000000000107</v>
      </c>
      <c r="L15" s="8">
        <f t="shared" ref="L15:S15" si="28">L10-L14</f>
        <v>-15.300000000000002</v>
      </c>
      <c r="M15" s="8">
        <f t="shared" si="28"/>
        <v>-29.199999999999989</v>
      </c>
      <c r="N15" s="8">
        <f t="shared" si="28"/>
        <v>-31.300000000000011</v>
      </c>
      <c r="O15" s="8">
        <f t="shared" si="28"/>
        <v>17.400000000000048</v>
      </c>
      <c r="P15" s="8">
        <f t="shared" si="28"/>
        <v>-19.400000000000023</v>
      </c>
      <c r="Q15" s="8">
        <f t="shared" si="28"/>
        <v>-8.8999999999999986</v>
      </c>
      <c r="R15" s="8">
        <f t="shared" si="28"/>
        <v>-12.612000000000057</v>
      </c>
      <c r="S15" s="8">
        <f t="shared" si="28"/>
        <v>62.024759999999965</v>
      </c>
      <c r="T15" s="8">
        <f t="shared" ref="T15:AB15" si="29">T10-T14</f>
        <v>68.689998399999979</v>
      </c>
      <c r="U15" s="8">
        <f t="shared" si="29"/>
        <v>70.159895087999971</v>
      </c>
      <c r="V15" s="8">
        <f t="shared" si="29"/>
        <v>71.270159676960049</v>
      </c>
      <c r="W15" s="8">
        <f t="shared" si="29"/>
        <v>73.27988609169121</v>
      </c>
      <c r="X15" s="8">
        <f t="shared" si="29"/>
        <v>76.389473874304315</v>
      </c>
      <c r="Y15" s="8">
        <f t="shared" si="29"/>
        <v>79.573098699552432</v>
      </c>
      <c r="Z15" s="8">
        <f t="shared" si="29"/>
        <v>82.832130030476847</v>
      </c>
      <c r="AA15" s="8">
        <f t="shared" si="29"/>
        <v>86.167952120067582</v>
      </c>
      <c r="AB15" s="8">
        <f t="shared" si="29"/>
        <v>89.581963606742363</v>
      </c>
    </row>
    <row r="16" spans="2:28" x14ac:dyDescent="0.3">
      <c r="B16" t="s">
        <v>26</v>
      </c>
      <c r="C16" s="5">
        <v>-0.2</v>
      </c>
      <c r="D16" s="5">
        <v>-0.3</v>
      </c>
      <c r="E16" s="5">
        <v>-0.7</v>
      </c>
      <c r="F16" s="5">
        <f>Q16-E16-D16-C16</f>
        <v>-1.2</v>
      </c>
      <c r="G16" s="5">
        <v>0.1</v>
      </c>
      <c r="H16" s="5">
        <v>0.1</v>
      </c>
      <c r="I16" s="5">
        <v>0</v>
      </c>
      <c r="J16" s="5">
        <v>0</v>
      </c>
      <c r="L16" s="5">
        <v>-17.7</v>
      </c>
      <c r="M16" s="5">
        <v>15</v>
      </c>
      <c r="N16" s="5">
        <v>-3.8</v>
      </c>
      <c r="O16" s="5">
        <v>-2.2999999999999998</v>
      </c>
      <c r="P16" s="5">
        <v>-3</v>
      </c>
      <c r="Q16" s="5">
        <v>-2.4</v>
      </c>
      <c r="R16" s="5">
        <f>SUM(G16:J16)</f>
        <v>0.2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</row>
    <row r="17" spans="2:141" s="1" customFormat="1" x14ac:dyDescent="0.3">
      <c r="B17" s="1" t="s">
        <v>27</v>
      </c>
      <c r="C17" s="8">
        <f t="shared" ref="C17:H17" si="30">C15-C16</f>
        <v>-9.0999999999999979</v>
      </c>
      <c r="D17" s="8">
        <f t="shared" si="30"/>
        <v>3.999999999999992</v>
      </c>
      <c r="E17" s="8">
        <f t="shared" si="30"/>
        <v>0.40000000000000846</v>
      </c>
      <c r="F17" s="8">
        <f t="shared" si="30"/>
        <v>-1.8000000000000027</v>
      </c>
      <c r="G17" s="8">
        <f t="shared" si="30"/>
        <v>-3.799999999999994</v>
      </c>
      <c r="H17" s="8">
        <f t="shared" si="30"/>
        <v>-4.699999999999994</v>
      </c>
      <c r="I17" s="8">
        <f t="shared" ref="I17:J17" si="31">I15-I16</f>
        <v>-3.2800000000000153</v>
      </c>
      <c r="J17" s="8">
        <f t="shared" si="31"/>
        <v>-1.0320000000000107</v>
      </c>
      <c r="L17" s="8">
        <f t="shared" ref="L17:S17" si="32">L15-L16</f>
        <v>2.3999999999999968</v>
      </c>
      <c r="M17" s="8">
        <f t="shared" si="32"/>
        <v>-44.199999999999989</v>
      </c>
      <c r="N17" s="8">
        <f t="shared" si="32"/>
        <v>-27.500000000000011</v>
      </c>
      <c r="O17" s="8">
        <f t="shared" si="32"/>
        <v>19.700000000000049</v>
      </c>
      <c r="P17" s="8">
        <f t="shared" si="32"/>
        <v>-16.400000000000023</v>
      </c>
      <c r="Q17" s="8">
        <f t="shared" si="32"/>
        <v>-6.4999999999999982</v>
      </c>
      <c r="R17" s="8">
        <f t="shared" si="32"/>
        <v>-12.812000000000056</v>
      </c>
      <c r="S17" s="8">
        <f t="shared" si="32"/>
        <v>62.024759999999965</v>
      </c>
      <c r="T17" s="8">
        <f t="shared" ref="T17:AB17" si="33">T15-T16</f>
        <v>68.689998399999979</v>
      </c>
      <c r="U17" s="8">
        <f t="shared" si="33"/>
        <v>70.159895087999971</v>
      </c>
      <c r="V17" s="8">
        <f t="shared" si="33"/>
        <v>71.270159676960049</v>
      </c>
      <c r="W17" s="8">
        <f t="shared" si="33"/>
        <v>73.27988609169121</v>
      </c>
      <c r="X17" s="8">
        <f t="shared" si="33"/>
        <v>76.389473874304315</v>
      </c>
      <c r="Y17" s="8">
        <f t="shared" si="33"/>
        <v>79.573098699552432</v>
      </c>
      <c r="Z17" s="8">
        <f t="shared" si="33"/>
        <v>82.832130030476847</v>
      </c>
      <c r="AA17" s="8">
        <f t="shared" si="33"/>
        <v>86.167952120067582</v>
      </c>
      <c r="AB17" s="8">
        <f t="shared" si="33"/>
        <v>89.581963606742363</v>
      </c>
      <c r="AC17" s="1">
        <f>AB17*(1+$AE$22)</f>
        <v>88.686143970674934</v>
      </c>
      <c r="AD17" s="1">
        <f t="shared" ref="AD17:CO17" si="34">AC17*(1+$AE$22)</f>
        <v>87.799282530968185</v>
      </c>
      <c r="AE17" s="1">
        <f t="shared" si="34"/>
        <v>86.921289705658509</v>
      </c>
      <c r="AF17" s="1">
        <f t="shared" si="34"/>
        <v>86.052076808601925</v>
      </c>
      <c r="AG17" s="1">
        <f t="shared" si="34"/>
        <v>85.191556040515906</v>
      </c>
      <c r="AH17" s="1">
        <f t="shared" si="34"/>
        <v>84.339640480110745</v>
      </c>
      <c r="AI17" s="1">
        <f t="shared" si="34"/>
        <v>83.496244075309633</v>
      </c>
      <c r="AJ17" s="1">
        <f t="shared" si="34"/>
        <v>82.661281634556531</v>
      </c>
      <c r="AK17" s="1">
        <f t="shared" si="34"/>
        <v>81.834668818210972</v>
      </c>
      <c r="AL17" s="1">
        <f t="shared" si="34"/>
        <v>81.016322130028854</v>
      </c>
      <c r="AM17" s="1">
        <f t="shared" si="34"/>
        <v>80.206158908728568</v>
      </c>
      <c r="AN17" s="1">
        <f t="shared" si="34"/>
        <v>79.404097319641281</v>
      </c>
      <c r="AO17" s="1">
        <f t="shared" si="34"/>
        <v>78.610056346444864</v>
      </c>
      <c r="AP17" s="1">
        <f t="shared" si="34"/>
        <v>77.82395578298042</v>
      </c>
      <c r="AQ17" s="1">
        <f t="shared" si="34"/>
        <v>77.045716225150613</v>
      </c>
      <c r="AR17" s="1">
        <f t="shared" si="34"/>
        <v>76.27525906289911</v>
      </c>
      <c r="AS17" s="1">
        <f t="shared" si="34"/>
        <v>75.512506472270118</v>
      </c>
      <c r="AT17" s="1">
        <f t="shared" si="34"/>
        <v>74.757381407547413</v>
      </c>
      <c r="AU17" s="1">
        <f t="shared" si="34"/>
        <v>74.009807593471933</v>
      </c>
      <c r="AV17" s="1">
        <f t="shared" si="34"/>
        <v>73.269709517537208</v>
      </c>
      <c r="AW17" s="1">
        <f t="shared" si="34"/>
        <v>72.53701242236184</v>
      </c>
      <c r="AX17" s="1">
        <f t="shared" si="34"/>
        <v>71.811642298138224</v>
      </c>
      <c r="AY17" s="1">
        <f t="shared" si="34"/>
        <v>71.093525875156843</v>
      </c>
      <c r="AZ17" s="1">
        <f t="shared" si="34"/>
        <v>70.382590616405267</v>
      </c>
      <c r="BA17" s="1">
        <f t="shared" si="34"/>
        <v>69.678764710241211</v>
      </c>
      <c r="BB17" s="1">
        <f t="shared" si="34"/>
        <v>68.9819770631388</v>
      </c>
      <c r="BC17" s="1">
        <f t="shared" si="34"/>
        <v>68.292157292507412</v>
      </c>
      <c r="BD17" s="1">
        <f t="shared" si="34"/>
        <v>67.609235719582344</v>
      </c>
      <c r="BE17" s="1">
        <f t="shared" si="34"/>
        <v>66.933143362386517</v>
      </c>
      <c r="BF17" s="1">
        <f t="shared" si="34"/>
        <v>66.263811928762649</v>
      </c>
      <c r="BG17" s="1">
        <f t="shared" si="34"/>
        <v>65.601173809475029</v>
      </c>
      <c r="BH17" s="1">
        <f t="shared" si="34"/>
        <v>64.945162071380281</v>
      </c>
      <c r="BI17" s="1">
        <f t="shared" si="34"/>
        <v>64.295710450666476</v>
      </c>
      <c r="BJ17" s="1">
        <f t="shared" si="34"/>
        <v>63.652753346159813</v>
      </c>
      <c r="BK17" s="1">
        <f t="shared" si="34"/>
        <v>63.016225812698217</v>
      </c>
      <c r="BL17" s="1">
        <f t="shared" si="34"/>
        <v>62.386063554571237</v>
      </c>
      <c r="BM17" s="1">
        <f t="shared" si="34"/>
        <v>61.762202919025526</v>
      </c>
      <c r="BN17" s="1">
        <f t="shared" si="34"/>
        <v>61.144580889835268</v>
      </c>
      <c r="BO17" s="1">
        <f t="shared" si="34"/>
        <v>60.533135080936916</v>
      </c>
      <c r="BP17" s="1">
        <f t="shared" si="34"/>
        <v>59.927803730127543</v>
      </c>
      <c r="BQ17" s="1">
        <f t="shared" si="34"/>
        <v>59.328525692826268</v>
      </c>
      <c r="BR17" s="1">
        <f t="shared" si="34"/>
        <v>58.735240435898007</v>
      </c>
      <c r="BS17" s="1">
        <f t="shared" si="34"/>
        <v>58.147888031539026</v>
      </c>
      <c r="BT17" s="1">
        <f t="shared" si="34"/>
        <v>57.566409151223638</v>
      </c>
      <c r="BU17" s="1">
        <f t="shared" si="34"/>
        <v>56.990745059711401</v>
      </c>
      <c r="BV17" s="1">
        <f t="shared" si="34"/>
        <v>56.420837609114287</v>
      </c>
      <c r="BW17" s="1">
        <f t="shared" si="34"/>
        <v>55.856629233023142</v>
      </c>
      <c r="BX17" s="1">
        <f t="shared" si="34"/>
        <v>55.298062940692908</v>
      </c>
      <c r="BY17" s="1">
        <f t="shared" si="34"/>
        <v>54.745082311285977</v>
      </c>
      <c r="BZ17" s="1">
        <f t="shared" si="34"/>
        <v>54.197631488173116</v>
      </c>
      <c r="CA17" s="1">
        <f t="shared" si="34"/>
        <v>53.655655173291386</v>
      </c>
      <c r="CB17" s="1">
        <f t="shared" si="34"/>
        <v>53.119098621558472</v>
      </c>
      <c r="CC17" s="1">
        <f t="shared" si="34"/>
        <v>52.587907635342887</v>
      </c>
      <c r="CD17" s="1">
        <f t="shared" si="34"/>
        <v>52.062028558989461</v>
      </c>
      <c r="CE17" s="1">
        <f t="shared" si="34"/>
        <v>51.541408273399568</v>
      </c>
      <c r="CF17" s="1">
        <f t="shared" si="34"/>
        <v>51.025994190665571</v>
      </c>
      <c r="CG17" s="1">
        <f t="shared" si="34"/>
        <v>50.515734248758918</v>
      </c>
      <c r="CH17" s="1">
        <f t="shared" si="34"/>
        <v>50.010576906271325</v>
      </c>
      <c r="CI17" s="1">
        <f t="shared" si="34"/>
        <v>49.510471137208611</v>
      </c>
      <c r="CJ17" s="1">
        <f t="shared" si="34"/>
        <v>49.015366425836525</v>
      </c>
      <c r="CK17" s="1">
        <f t="shared" si="34"/>
        <v>48.52521276157816</v>
      </c>
      <c r="CL17" s="1">
        <f t="shared" si="34"/>
        <v>48.03996063396238</v>
      </c>
      <c r="CM17" s="1">
        <f t="shared" si="34"/>
        <v>47.559561027622756</v>
      </c>
      <c r="CN17" s="1">
        <f t="shared" si="34"/>
        <v>47.083965417346526</v>
      </c>
      <c r="CO17" s="1">
        <f t="shared" si="34"/>
        <v>46.613125763173059</v>
      </c>
      <c r="CP17" s="1">
        <f t="shared" ref="CP17:EK17" si="35">CO17*(1+$AE$22)</f>
        <v>46.146994505541329</v>
      </c>
      <c r="CQ17" s="1">
        <f t="shared" si="35"/>
        <v>45.685524560485916</v>
      </c>
      <c r="CR17" s="1">
        <f t="shared" si="35"/>
        <v>45.22866931488106</v>
      </c>
      <c r="CS17" s="1">
        <f t="shared" si="35"/>
        <v>44.776382621732246</v>
      </c>
      <c r="CT17" s="1">
        <f t="shared" si="35"/>
        <v>44.32861879551492</v>
      </c>
      <c r="CU17" s="1">
        <f t="shared" si="35"/>
        <v>43.885332607559768</v>
      </c>
      <c r="CV17" s="1">
        <f t="shared" si="35"/>
        <v>43.446479281484173</v>
      </c>
      <c r="CW17" s="1">
        <f t="shared" si="35"/>
        <v>43.01201448866933</v>
      </c>
      <c r="CX17" s="1">
        <f t="shared" si="35"/>
        <v>42.581894343782636</v>
      </c>
      <c r="CY17" s="1">
        <f t="shared" si="35"/>
        <v>42.156075400344811</v>
      </c>
      <c r="CZ17" s="1">
        <f t="shared" si="35"/>
        <v>41.73451464634136</v>
      </c>
      <c r="DA17" s="1">
        <f t="shared" si="35"/>
        <v>41.317169499877949</v>
      </c>
      <c r="DB17" s="1">
        <f t="shared" si="35"/>
        <v>40.903997804879168</v>
      </c>
      <c r="DC17" s="1">
        <f t="shared" si="35"/>
        <v>40.49495782683038</v>
      </c>
      <c r="DD17" s="1">
        <f t="shared" si="35"/>
        <v>40.090008248562079</v>
      </c>
      <c r="DE17" s="1">
        <f t="shared" si="35"/>
        <v>39.689108166076458</v>
      </c>
      <c r="DF17" s="1">
        <f t="shared" si="35"/>
        <v>39.292217084415697</v>
      </c>
      <c r="DG17" s="1">
        <f t="shared" si="35"/>
        <v>38.899294913571538</v>
      </c>
      <c r="DH17" s="1">
        <f t="shared" si="35"/>
        <v>38.510301964435826</v>
      </c>
      <c r="DI17" s="1">
        <f t="shared" si="35"/>
        <v>38.125198944791464</v>
      </c>
      <c r="DJ17" s="1">
        <f t="shared" si="35"/>
        <v>37.743946955343546</v>
      </c>
      <c r="DK17" s="1">
        <f t="shared" si="35"/>
        <v>37.366507485790109</v>
      </c>
      <c r="DL17" s="1">
        <f t="shared" si="35"/>
        <v>36.992842410932205</v>
      </c>
      <c r="DM17" s="1">
        <f t="shared" si="35"/>
        <v>36.62291398682288</v>
      </c>
      <c r="DN17" s="1">
        <f t="shared" si="35"/>
        <v>36.256684846954649</v>
      </c>
      <c r="DO17" s="1">
        <f t="shared" si="35"/>
        <v>35.8941179984851</v>
      </c>
      <c r="DP17" s="1">
        <f t="shared" si="35"/>
        <v>35.535176818500247</v>
      </c>
      <c r="DQ17" s="1">
        <f t="shared" si="35"/>
        <v>35.179825050315245</v>
      </c>
      <c r="DR17" s="1">
        <f t="shared" si="35"/>
        <v>34.828026799812093</v>
      </c>
      <c r="DS17" s="1">
        <f t="shared" si="35"/>
        <v>34.479746531813973</v>
      </c>
      <c r="DT17" s="1">
        <f t="shared" si="35"/>
        <v>34.134949066495835</v>
      </c>
      <c r="DU17" s="1">
        <f t="shared" si="35"/>
        <v>33.793599575830875</v>
      </c>
      <c r="DV17" s="1">
        <f t="shared" si="35"/>
        <v>33.455663580072567</v>
      </c>
      <c r="DW17" s="1">
        <f t="shared" si="35"/>
        <v>33.121106944271844</v>
      </c>
      <c r="DX17" s="1">
        <f t="shared" si="35"/>
        <v>32.789895874829128</v>
      </c>
      <c r="DY17" s="1">
        <f t="shared" si="35"/>
        <v>32.461996916080835</v>
      </c>
      <c r="DZ17" s="1">
        <f t="shared" si="35"/>
        <v>32.137376946920028</v>
      </c>
      <c r="EA17" s="1">
        <f t="shared" si="35"/>
        <v>31.816003177450828</v>
      </c>
      <c r="EB17" s="1">
        <f t="shared" si="35"/>
        <v>31.49784314567632</v>
      </c>
      <c r="EC17" s="1">
        <f t="shared" si="35"/>
        <v>31.182864714219559</v>
      </c>
      <c r="ED17" s="1">
        <f t="shared" si="35"/>
        <v>30.871036067077362</v>
      </c>
      <c r="EE17" s="1">
        <f t="shared" si="35"/>
        <v>30.56232570640659</v>
      </c>
      <c r="EF17" s="1">
        <f t="shared" si="35"/>
        <v>30.256702449342523</v>
      </c>
      <c r="EG17" s="1">
        <f t="shared" si="35"/>
        <v>29.954135424849099</v>
      </c>
      <c r="EH17" s="1">
        <f t="shared" si="35"/>
        <v>29.654594070600609</v>
      </c>
      <c r="EI17" s="1">
        <f t="shared" si="35"/>
        <v>29.358048129894602</v>
      </c>
      <c r="EJ17" s="1">
        <f t="shared" si="35"/>
        <v>29.064467648595656</v>
      </c>
      <c r="EK17" s="1">
        <f t="shared" si="35"/>
        <v>28.773822972109699</v>
      </c>
    </row>
    <row r="18" spans="2:141" x14ac:dyDescent="0.3">
      <c r="B18" t="s">
        <v>2</v>
      </c>
      <c r="C18" s="5">
        <f t="shared" ref="C18:H18" si="36">28.1</f>
        <v>28.1</v>
      </c>
      <c r="D18" s="5">
        <f t="shared" si="36"/>
        <v>28.1</v>
      </c>
      <c r="E18" s="5">
        <f t="shared" si="36"/>
        <v>28.1</v>
      </c>
      <c r="F18" s="5">
        <f t="shared" si="36"/>
        <v>28.1</v>
      </c>
      <c r="G18" s="5">
        <f t="shared" si="36"/>
        <v>28.1</v>
      </c>
      <c r="H18" s="5">
        <f t="shared" si="36"/>
        <v>28.1</v>
      </c>
      <c r="I18" s="5">
        <f t="shared" ref="I18:J18" si="37">28.1</f>
        <v>28.1</v>
      </c>
      <c r="J18" s="5">
        <f t="shared" si="37"/>
        <v>28.1</v>
      </c>
      <c r="L18" s="5">
        <f t="shared" ref="L18:S18" si="38">28.1</f>
        <v>28.1</v>
      </c>
      <c r="M18" s="5">
        <f t="shared" si="38"/>
        <v>28.1</v>
      </c>
      <c r="N18" s="5">
        <f t="shared" si="38"/>
        <v>28.1</v>
      </c>
      <c r="O18" s="5">
        <f t="shared" si="38"/>
        <v>28.1</v>
      </c>
      <c r="P18" s="5">
        <f t="shared" si="38"/>
        <v>28.1</v>
      </c>
      <c r="Q18" s="5">
        <f t="shared" si="38"/>
        <v>28.1</v>
      </c>
      <c r="R18" s="5">
        <f t="shared" si="38"/>
        <v>28.1</v>
      </c>
      <c r="S18" s="5">
        <f t="shared" si="38"/>
        <v>28.1</v>
      </c>
      <c r="T18" s="5">
        <f t="shared" ref="T18:AB18" si="39">28.1</f>
        <v>28.1</v>
      </c>
      <c r="U18" s="5">
        <f t="shared" si="39"/>
        <v>28.1</v>
      </c>
      <c r="V18" s="5">
        <f t="shared" si="39"/>
        <v>28.1</v>
      </c>
      <c r="W18" s="5">
        <f t="shared" si="39"/>
        <v>28.1</v>
      </c>
      <c r="X18" s="5">
        <f t="shared" si="39"/>
        <v>28.1</v>
      </c>
      <c r="Y18" s="5">
        <f t="shared" si="39"/>
        <v>28.1</v>
      </c>
      <c r="Z18" s="5">
        <f t="shared" si="39"/>
        <v>28.1</v>
      </c>
      <c r="AA18" s="5">
        <f t="shared" si="39"/>
        <v>28.1</v>
      </c>
      <c r="AB18" s="5">
        <f t="shared" si="39"/>
        <v>28.1</v>
      </c>
    </row>
    <row r="19" spans="2:141" x14ac:dyDescent="0.3">
      <c r="B19" t="s">
        <v>28</v>
      </c>
      <c r="C19" s="7">
        <f t="shared" ref="C19:H19" si="40">C17/C18</f>
        <v>-0.32384341637010666</v>
      </c>
      <c r="D19" s="7">
        <f t="shared" si="40"/>
        <v>0.14234875444839828</v>
      </c>
      <c r="E19" s="7">
        <f t="shared" si="40"/>
        <v>1.4234875444840159E-2</v>
      </c>
      <c r="F19" s="7">
        <f t="shared" si="40"/>
        <v>-6.4056939501779459E-2</v>
      </c>
      <c r="G19" s="7">
        <f t="shared" si="40"/>
        <v>-0.13523131672597843</v>
      </c>
      <c r="H19" s="7">
        <f t="shared" si="40"/>
        <v>-0.16725978647686809</v>
      </c>
      <c r="I19" s="7">
        <f t="shared" ref="I19:J19" si="41">I17/I18</f>
        <v>-0.11672597864768737</v>
      </c>
      <c r="J19" s="7">
        <f t="shared" si="41"/>
        <v>-3.6725978647687209E-2</v>
      </c>
      <c r="L19" s="7">
        <f t="shared" ref="L19:S19" si="42">L17/L18</f>
        <v>8.5409252669039024E-2</v>
      </c>
      <c r="M19" s="7">
        <f t="shared" si="42"/>
        <v>-1.5729537366548039</v>
      </c>
      <c r="N19" s="7">
        <f t="shared" si="42"/>
        <v>-0.9786476868327405</v>
      </c>
      <c r="O19" s="7">
        <f t="shared" si="42"/>
        <v>0.70106761565836473</v>
      </c>
      <c r="P19" s="7">
        <f t="shared" si="42"/>
        <v>-0.58362989323843495</v>
      </c>
      <c r="Q19" s="7">
        <f t="shared" si="42"/>
        <v>-0.23131672597864761</v>
      </c>
      <c r="R19" s="7">
        <f t="shared" si="42"/>
        <v>-0.45594306049822264</v>
      </c>
      <c r="S19" s="7">
        <f t="shared" si="42"/>
        <v>2.2072868327402122</v>
      </c>
      <c r="T19" s="7">
        <f t="shared" ref="T19:AB19" si="43">T17/T18</f>
        <v>2.4444839288256217</v>
      </c>
      <c r="U19" s="7">
        <f t="shared" si="43"/>
        <v>2.496793419501778</v>
      </c>
      <c r="V19" s="7">
        <f t="shared" si="43"/>
        <v>2.5363046148384356</v>
      </c>
      <c r="W19" s="7">
        <f t="shared" si="43"/>
        <v>2.6078251278181925</v>
      </c>
      <c r="X19" s="7">
        <f t="shared" si="43"/>
        <v>2.7184866147439255</v>
      </c>
      <c r="Y19" s="7">
        <f t="shared" si="43"/>
        <v>2.831782871870193</v>
      </c>
      <c r="Z19" s="7">
        <f t="shared" si="43"/>
        <v>2.9477626345365424</v>
      </c>
      <c r="AA19" s="7">
        <f t="shared" si="43"/>
        <v>3.0664751644152162</v>
      </c>
      <c r="AB19" s="7">
        <f t="shared" si="43"/>
        <v>3.1879702351153862</v>
      </c>
    </row>
    <row r="21" spans="2:141" x14ac:dyDescent="0.3">
      <c r="B21" t="s">
        <v>35</v>
      </c>
      <c r="C21" s="9"/>
      <c r="D21" s="9"/>
      <c r="G21" s="9">
        <f>G3/C3-1</f>
        <v>1.9298245614035148E-2</v>
      </c>
      <c r="H21" s="9">
        <f>H3/D3-1</f>
        <v>3.6866359447004671E-2</v>
      </c>
      <c r="I21" s="9">
        <f t="shared" ref="I21:J21" si="44">I3/E3-1</f>
        <v>-2.0113460546673623E-2</v>
      </c>
      <c r="J21" s="9">
        <f t="shared" si="44"/>
        <v>1.0000000000000009E-2</v>
      </c>
      <c r="L21" s="9"/>
      <c r="M21" s="9">
        <f t="shared" ref="M21" si="45">M3/L3-1</f>
        <v>0.47506448839208959</v>
      </c>
      <c r="N21" s="9">
        <f>N3/M3-1</f>
        <v>0.43077819877586698</v>
      </c>
      <c r="O21" s="9">
        <f>O3/N3-1</f>
        <v>0.16765125280097792</v>
      </c>
      <c r="P21" s="9">
        <f>P3/O3-1</f>
        <v>4.8674110258199565E-2</v>
      </c>
      <c r="Q21" s="9">
        <f>Q3/P3-1</f>
        <v>0.24521710197970381</v>
      </c>
      <c r="R21" s="9">
        <f>R3/Q3-1</f>
        <v>1.05544422177688E-2</v>
      </c>
      <c r="S21" s="9">
        <f t="shared" ref="S21:AB21" si="46">S3/R3-1</f>
        <v>3.0000000000000027E-2</v>
      </c>
      <c r="T21" s="9">
        <f t="shared" si="46"/>
        <v>2.0000000000000018E-2</v>
      </c>
      <c r="U21" s="9">
        <f t="shared" si="46"/>
        <v>2.0000000000000018E-2</v>
      </c>
      <c r="V21" s="9">
        <f t="shared" si="46"/>
        <v>2.0000000000000018E-2</v>
      </c>
      <c r="W21" s="9">
        <f t="shared" si="46"/>
        <v>2.0000000000000018E-2</v>
      </c>
      <c r="X21" s="9">
        <f t="shared" si="46"/>
        <v>2.0000000000000018E-2</v>
      </c>
      <c r="Y21" s="9">
        <f t="shared" si="46"/>
        <v>2.0000000000000018E-2</v>
      </c>
      <c r="Z21" s="9">
        <f t="shared" si="46"/>
        <v>2.0000000000000018E-2</v>
      </c>
      <c r="AA21" s="9">
        <f t="shared" si="46"/>
        <v>2.0000000000000018E-2</v>
      </c>
      <c r="AB21" s="9">
        <f t="shared" si="46"/>
        <v>2.0000000000000018E-2</v>
      </c>
    </row>
    <row r="22" spans="2:141" x14ac:dyDescent="0.3">
      <c r="B22" t="s">
        <v>36</v>
      </c>
      <c r="C22" s="9">
        <f t="shared" ref="C22:H22" si="47">C5/C3</f>
        <v>0.38304093567251463</v>
      </c>
      <c r="D22" s="9">
        <f t="shared" si="47"/>
        <v>0.37327188940092165</v>
      </c>
      <c r="E22" s="9">
        <f t="shared" si="47"/>
        <v>0.37751418256833419</v>
      </c>
      <c r="F22" s="9">
        <f t="shared" si="47"/>
        <v>0.36428571428571427</v>
      </c>
      <c r="G22" s="9">
        <f t="shared" si="47"/>
        <v>0.41078600114744696</v>
      </c>
      <c r="H22" s="9">
        <f t="shared" si="47"/>
        <v>0.39833333333333337</v>
      </c>
      <c r="I22" s="9">
        <f t="shared" ref="I22:J22" si="48">I5/I3</f>
        <v>0.41</v>
      </c>
      <c r="J22" s="9">
        <f t="shared" si="48"/>
        <v>0.38999999999999996</v>
      </c>
      <c r="L22" s="9">
        <f t="shared" ref="L22:M22" si="49">L5/L3</f>
        <v>0.46259673258813411</v>
      </c>
      <c r="M22" s="9">
        <f t="shared" si="49"/>
        <v>0.45992422034392305</v>
      </c>
      <c r="N22" s="9">
        <f>N5/N3</f>
        <v>0.44510083520065191</v>
      </c>
      <c r="O22" s="9">
        <f>O5/O3</f>
        <v>0.41591067690160505</v>
      </c>
      <c r="P22" s="9">
        <f>P5/P3</f>
        <v>0.39277990351023129</v>
      </c>
      <c r="Q22" s="9">
        <f>Q5/Q3</f>
        <v>0.37408149632598531</v>
      </c>
      <c r="R22" s="9">
        <f>R5/R3</f>
        <v>0.40179666842940243</v>
      </c>
      <c r="S22" s="9">
        <f t="shared" ref="S22:AB22" si="50">S5/S3</f>
        <v>0.42</v>
      </c>
      <c r="T22" s="9">
        <f t="shared" si="50"/>
        <v>0.43</v>
      </c>
      <c r="U22" s="9">
        <f t="shared" si="50"/>
        <v>0.43</v>
      </c>
      <c r="V22" s="9">
        <f t="shared" si="50"/>
        <v>0.43</v>
      </c>
      <c r="W22" s="9">
        <f t="shared" si="50"/>
        <v>0.43</v>
      </c>
      <c r="X22" s="9">
        <f t="shared" si="50"/>
        <v>0.43</v>
      </c>
      <c r="Y22" s="9">
        <f t="shared" si="50"/>
        <v>0.43</v>
      </c>
      <c r="Z22" s="9">
        <f t="shared" si="50"/>
        <v>0.43</v>
      </c>
      <c r="AA22" s="9">
        <f t="shared" si="50"/>
        <v>0.43</v>
      </c>
      <c r="AB22" s="9">
        <f t="shared" si="50"/>
        <v>0.43</v>
      </c>
      <c r="AD22" t="s">
        <v>42</v>
      </c>
      <c r="AE22" s="9">
        <v>-0.01</v>
      </c>
    </row>
    <row r="23" spans="2:141" x14ac:dyDescent="0.3">
      <c r="B23" t="s">
        <v>37</v>
      </c>
      <c r="C23" s="9"/>
      <c r="D23" s="9"/>
      <c r="E23" s="9"/>
      <c r="F23" s="9"/>
      <c r="G23" s="9">
        <f>G6/C6-1</f>
        <v>5.8823529411764719E-2</v>
      </c>
      <c r="H23" s="9">
        <f>H6/D6-1</f>
        <v>0.12811387900355853</v>
      </c>
      <c r="I23" s="9">
        <f t="shared" ref="I23:J23" si="51">I6/E6-1</f>
        <v>0.10000000000000009</v>
      </c>
      <c r="J23" s="9">
        <f t="shared" si="51"/>
        <v>7.0000000000000062E-2</v>
      </c>
      <c r="L23" s="9"/>
      <c r="M23" s="9">
        <f t="shared" ref="M23" si="52">M6/L6-1</f>
        <v>0.33650793650793664</v>
      </c>
      <c r="N23" s="9">
        <f>N6/M6-1</f>
        <v>0.31116389548693579</v>
      </c>
      <c r="O23" s="9">
        <f>O6/N6-1</f>
        <v>0.7753623188405796</v>
      </c>
      <c r="P23" s="9">
        <f>P6/O6-1</f>
        <v>6.3265306122449072E-2</v>
      </c>
      <c r="Q23" s="9">
        <f>Q6/P6-1</f>
        <v>0.13819577735124744</v>
      </c>
      <c r="R23" s="9">
        <f>R6/Q6-1</f>
        <v>8.8684654300168697E-2</v>
      </c>
      <c r="S23" s="9">
        <f t="shared" ref="S23:AB23" si="53">S6/R6-1</f>
        <v>4.0000000000000036E-2</v>
      </c>
      <c r="T23" s="9">
        <f t="shared" si="53"/>
        <v>3.0000000000000027E-2</v>
      </c>
      <c r="U23" s="9">
        <f t="shared" si="53"/>
        <v>2.0000000000000018E-2</v>
      </c>
      <c r="V23" s="9">
        <f t="shared" si="53"/>
        <v>2.0000000000000018E-2</v>
      </c>
      <c r="W23" s="9">
        <f t="shared" si="53"/>
        <v>2.0000000000000018E-2</v>
      </c>
      <c r="X23" s="9">
        <f t="shared" si="53"/>
        <v>1.0000000000000009E-2</v>
      </c>
      <c r="Y23" s="9">
        <f t="shared" si="53"/>
        <v>1.0000000000000009E-2</v>
      </c>
      <c r="Z23" s="9">
        <f t="shared" si="53"/>
        <v>1.0000000000000009E-2</v>
      </c>
      <c r="AA23" s="9">
        <f t="shared" si="53"/>
        <v>1.0000000000000009E-2</v>
      </c>
      <c r="AB23" s="9">
        <f t="shared" si="53"/>
        <v>1.0000000000000009E-2</v>
      </c>
      <c r="AD23" t="s">
        <v>43</v>
      </c>
      <c r="AE23" s="9">
        <v>0.11</v>
      </c>
    </row>
    <row r="24" spans="2:141" x14ac:dyDescent="0.3">
      <c r="B24" t="s">
        <v>38</v>
      </c>
      <c r="C24" s="9">
        <f t="shared" ref="C24:H24" si="54">C7/C3</f>
        <v>0.17017543859649123</v>
      </c>
      <c r="D24" s="9">
        <f t="shared" si="54"/>
        <v>0.15034562211981567</v>
      </c>
      <c r="E24" s="9">
        <f t="shared" si="54"/>
        <v>0.13563692625064466</v>
      </c>
      <c r="F24" s="9">
        <f t="shared" si="54"/>
        <v>0.13428571428571429</v>
      </c>
      <c r="G24" s="9">
        <f t="shared" si="54"/>
        <v>0.15203671830177853</v>
      </c>
      <c r="H24" s="9">
        <f t="shared" si="54"/>
        <v>0.13777777777777778</v>
      </c>
      <c r="I24" s="9">
        <f t="shared" ref="I24:J24" si="55">I7/I3</f>
        <v>0.14000000000000001</v>
      </c>
      <c r="J24" s="9">
        <f t="shared" si="55"/>
        <v>0.13</v>
      </c>
      <c r="L24" s="9">
        <f t="shared" ref="L24:M24" si="56">L7/L3</f>
        <v>0.15047291487532244</v>
      </c>
      <c r="M24" s="9">
        <f t="shared" si="56"/>
        <v>0.1183328475663072</v>
      </c>
      <c r="N24" s="9">
        <f>N7/N3</f>
        <v>0.10552047260134446</v>
      </c>
      <c r="O24" s="9">
        <f>O7/O3</f>
        <v>0.16870202372644799</v>
      </c>
      <c r="P24" s="9">
        <f>P7/P3</f>
        <v>0.16985526534686407</v>
      </c>
      <c r="Q24" s="9">
        <f>Q7/Q3</f>
        <v>0.14655978623914495</v>
      </c>
      <c r="R24" s="9">
        <f>R7/R3</f>
        <v>0.1394407720782655</v>
      </c>
      <c r="S24" s="9">
        <f t="shared" ref="S24:AB24" si="57">S7/S3</f>
        <v>0.13</v>
      </c>
      <c r="T24" s="9">
        <f t="shared" si="57"/>
        <v>0.13</v>
      </c>
      <c r="U24" s="9">
        <f t="shared" si="57"/>
        <v>0.13</v>
      </c>
      <c r="V24" s="9">
        <f t="shared" si="57"/>
        <v>0.13</v>
      </c>
      <c r="W24" s="9">
        <f t="shared" si="57"/>
        <v>0.13</v>
      </c>
      <c r="X24" s="9">
        <f t="shared" si="57"/>
        <v>0.13</v>
      </c>
      <c r="Y24" s="9">
        <f t="shared" si="57"/>
        <v>0.13</v>
      </c>
      <c r="Z24" s="9">
        <f t="shared" si="57"/>
        <v>0.13</v>
      </c>
      <c r="AA24" s="9">
        <f t="shared" si="57"/>
        <v>0.13</v>
      </c>
      <c r="AB24" s="9">
        <f t="shared" si="57"/>
        <v>0.13</v>
      </c>
      <c r="AD24" t="s">
        <v>44</v>
      </c>
      <c r="AE24" s="5">
        <f>NPV(AE23,R17:EK17)</f>
        <v>613.67572789379051</v>
      </c>
    </row>
    <row r="25" spans="2:141" x14ac:dyDescent="0.3">
      <c r="B25" t="s">
        <v>39</v>
      </c>
      <c r="C25" s="9"/>
      <c r="D25" s="9"/>
      <c r="E25" s="9"/>
      <c r="F25" s="9"/>
      <c r="G25" s="9">
        <f>G8/C8-1</f>
        <v>7.3033707865168607E-2</v>
      </c>
      <c r="H25" s="9">
        <f>H8/D8-1</f>
        <v>0.12574850299401197</v>
      </c>
      <c r="I25" s="9">
        <f t="shared" ref="I25:J25" si="58">I8/E8-1</f>
        <v>0.10000000000000009</v>
      </c>
      <c r="J25" s="9">
        <f t="shared" si="58"/>
        <v>5.0000000000000044E-2</v>
      </c>
      <c r="L25" s="9"/>
      <c r="M25" s="9">
        <f t="shared" ref="M25" si="59">M8/L8-1</f>
        <v>0.51020408163265318</v>
      </c>
      <c r="N25" s="9">
        <f>N8/M8-1</f>
        <v>0.28153153153153143</v>
      </c>
      <c r="O25" s="9">
        <f>O8/N8-1</f>
        <v>-0.4024604569420035</v>
      </c>
      <c r="P25" s="9">
        <f>P8/O8-1</f>
        <v>-3.8235294117646923E-2</v>
      </c>
      <c r="Q25" s="9">
        <f>Q8/P8-1</f>
        <v>9.6330275229357776E-2</v>
      </c>
      <c r="R25" s="9">
        <f>R8/Q8-1</f>
        <v>8.5634588563458847E-2</v>
      </c>
      <c r="S25" s="9">
        <f t="shared" ref="S25:AB25" si="60">S8/R8-1</f>
        <v>5.0000000000000044E-2</v>
      </c>
      <c r="T25" s="9">
        <f t="shared" si="60"/>
        <v>4.0000000000000036E-2</v>
      </c>
      <c r="U25" s="9">
        <f t="shared" si="60"/>
        <v>2.0000000000000018E-2</v>
      </c>
      <c r="V25" s="9">
        <f t="shared" si="60"/>
        <v>2.0000000000000018E-2</v>
      </c>
      <c r="W25" s="9">
        <f t="shared" si="60"/>
        <v>1.0000000000000009E-2</v>
      </c>
      <c r="X25" s="9">
        <f t="shared" si="60"/>
        <v>1.0000000000000009E-2</v>
      </c>
      <c r="Y25" s="9">
        <f t="shared" si="60"/>
        <v>1.0000000000000009E-2</v>
      </c>
      <c r="Z25" s="9">
        <f t="shared" si="60"/>
        <v>1.0000000000000009E-2</v>
      </c>
      <c r="AA25" s="9">
        <f t="shared" si="60"/>
        <v>1.0000000000000009E-2</v>
      </c>
      <c r="AB25" s="9">
        <f t="shared" si="60"/>
        <v>1.0000000000000009E-2</v>
      </c>
      <c r="AD25" t="s">
        <v>45</v>
      </c>
      <c r="AE25" s="5">
        <f>Main!D8</f>
        <v>-186.5</v>
      </c>
    </row>
    <row r="26" spans="2:141" x14ac:dyDescent="0.3">
      <c r="B26" t="s">
        <v>40</v>
      </c>
      <c r="C26" s="9">
        <f t="shared" ref="C26:H26" si="61">C10/C3</f>
        <v>-6.0233918128654952E-2</v>
      </c>
      <c r="D26" s="9">
        <f t="shared" si="61"/>
        <v>-3.5138248847926316E-2</v>
      </c>
      <c r="E26" s="9">
        <f t="shared" si="61"/>
        <v>-4.6415678184630813E-3</v>
      </c>
      <c r="F26" s="9">
        <f t="shared" si="61"/>
        <v>-1.2857142857142871E-2</v>
      </c>
      <c r="G26" s="9">
        <f t="shared" si="61"/>
        <v>-2.6391279403327562E-2</v>
      </c>
      <c r="H26" s="9">
        <f t="shared" si="61"/>
        <v>-1.9999999999999969E-2</v>
      </c>
      <c r="I26" s="9">
        <f t="shared" ref="I26:J26" si="62">I10/I3</f>
        <v>-6.7368421052632389E-3</v>
      </c>
      <c r="J26" s="9">
        <f t="shared" si="62"/>
        <v>4.5638849599245138E-3</v>
      </c>
      <c r="L26" s="9">
        <f t="shared" ref="L26:M26" si="63">L10/L3</f>
        <v>-7.6096302665520227E-2</v>
      </c>
      <c r="M26" s="9">
        <f t="shared" si="63"/>
        <v>-3.9930049548236632E-2</v>
      </c>
      <c r="N26" s="9">
        <f>N10/N3</f>
        <v>-4.6852719494805692E-3</v>
      </c>
      <c r="O26" s="9">
        <f>O10/O3</f>
        <v>-4.2393579902302782E-2</v>
      </c>
      <c r="P26" s="9">
        <f>P10/P3</f>
        <v>-5.9224754616536389E-2</v>
      </c>
      <c r="Q26" s="9">
        <f>Q10/Q3</f>
        <v>-2.6720106880427523E-2</v>
      </c>
      <c r="R26" s="9">
        <f>R10/R3</f>
        <v>-1.1253305129561155E-2</v>
      </c>
      <c r="S26" s="9">
        <f t="shared" ref="S26:AB26" si="64">S10/S3</f>
        <v>8.3654767344549769E-2</v>
      </c>
      <c r="T26" s="9">
        <f t="shared" si="64"/>
        <v>9.060006102629474E-2</v>
      </c>
      <c r="U26" s="9">
        <f t="shared" si="64"/>
        <v>9.0841030179567642E-2</v>
      </c>
      <c r="V26" s="9">
        <f t="shared" si="64"/>
        <v>9.0612738048655606E-2</v>
      </c>
      <c r="W26" s="9">
        <f t="shared" si="64"/>
        <v>9.143534811943349E-2</v>
      </c>
      <c r="X26" s="9">
        <f t="shared" si="64"/>
        <v>9.3480099608458697E-2</v>
      </c>
      <c r="Y26" s="9">
        <f t="shared" si="64"/>
        <v>9.5504804514258121E-2</v>
      </c>
      <c r="Z26" s="9">
        <f t="shared" si="64"/>
        <v>9.7509659371961419E-2</v>
      </c>
      <c r="AA26" s="9">
        <f t="shared" si="64"/>
        <v>9.9494858789883373E-2</v>
      </c>
      <c r="AB26" s="9">
        <f t="shared" si="64"/>
        <v>0.10146059546841402</v>
      </c>
      <c r="AD26" t="s">
        <v>46</v>
      </c>
      <c r="AE26" s="5">
        <f>AE24+AE25</f>
        <v>427.17572789379051</v>
      </c>
    </row>
    <row r="27" spans="2:141" x14ac:dyDescent="0.3">
      <c r="B27" t="s">
        <v>26</v>
      </c>
      <c r="C27" s="9">
        <f t="shared" ref="C27:H27" si="65">C16/C15</f>
        <v>2.150537634408603E-2</v>
      </c>
      <c r="D27" s="9">
        <f t="shared" si="65"/>
        <v>-8.1081081081081252E-2</v>
      </c>
      <c r="E27" s="9">
        <f t="shared" si="65"/>
        <v>2.3333333333333992</v>
      </c>
      <c r="F27" s="9">
        <f t="shared" si="65"/>
        <v>0.39999999999999963</v>
      </c>
      <c r="G27" s="9">
        <f t="shared" si="65"/>
        <v>-2.7027027027027074E-2</v>
      </c>
      <c r="H27" s="9">
        <f t="shared" si="65"/>
        <v>-2.1739130434782636E-2</v>
      </c>
      <c r="I27" s="9">
        <f t="shared" ref="I27:J27" si="66">I16/I15</f>
        <v>0</v>
      </c>
      <c r="J27" s="9">
        <f t="shared" si="66"/>
        <v>0</v>
      </c>
      <c r="L27" s="9">
        <f t="shared" ref="L27:M27" si="67">L16/L15</f>
        <v>1.1568627450980389</v>
      </c>
      <c r="M27" s="9">
        <f t="shared" si="67"/>
        <v>-0.51369863013698647</v>
      </c>
      <c r="N27" s="9">
        <f>N16/N15</f>
        <v>0.121405750798722</v>
      </c>
      <c r="O27" s="9">
        <f>O16/O15</f>
        <v>-0.13218390804597663</v>
      </c>
      <c r="P27" s="9">
        <f>P16/P15</f>
        <v>0.15463917525773177</v>
      </c>
      <c r="Q27" s="9">
        <f>Q16/Q15</f>
        <v>0.26966292134831465</v>
      </c>
      <c r="R27" s="9">
        <f>R16/R15</f>
        <v>-1.5857913098636149E-2</v>
      </c>
      <c r="S27" s="9">
        <f t="shared" ref="S27:AB27" si="68">S16/S15</f>
        <v>0</v>
      </c>
      <c r="T27" s="9">
        <f t="shared" si="68"/>
        <v>0</v>
      </c>
      <c r="U27" s="9">
        <f t="shared" si="68"/>
        <v>0</v>
      </c>
      <c r="V27" s="9">
        <f t="shared" si="68"/>
        <v>0</v>
      </c>
      <c r="W27" s="9">
        <f t="shared" si="68"/>
        <v>0</v>
      </c>
      <c r="X27" s="9">
        <f t="shared" si="68"/>
        <v>0</v>
      </c>
      <c r="Y27" s="9">
        <f t="shared" si="68"/>
        <v>0</v>
      </c>
      <c r="Z27" s="9">
        <f t="shared" si="68"/>
        <v>0</v>
      </c>
      <c r="AA27" s="9">
        <f t="shared" si="68"/>
        <v>0</v>
      </c>
      <c r="AB27" s="9">
        <f t="shared" si="68"/>
        <v>0</v>
      </c>
      <c r="AD27" t="s">
        <v>47</v>
      </c>
      <c r="AE27" s="4">
        <f>AE26/AB18</f>
        <v>15.201983199067277</v>
      </c>
    </row>
    <row r="28" spans="2:141" x14ac:dyDescent="0.3">
      <c r="B28" t="s">
        <v>41</v>
      </c>
      <c r="C28" s="9">
        <f t="shared" ref="C28:H28" si="69">C17/C3</f>
        <v>-5.3216374269005835E-2</v>
      </c>
      <c r="D28" s="9">
        <f t="shared" si="69"/>
        <v>2.3041474654377836E-2</v>
      </c>
      <c r="E28" s="9">
        <f t="shared" si="69"/>
        <v>2.0629190304280991E-3</v>
      </c>
      <c r="F28" s="9">
        <f t="shared" si="69"/>
        <v>-8.571428571428584E-3</v>
      </c>
      <c r="G28" s="9">
        <f t="shared" si="69"/>
        <v>-2.1801491681009717E-2</v>
      </c>
      <c r="H28" s="9">
        <f t="shared" si="69"/>
        <v>-2.6111111111111078E-2</v>
      </c>
      <c r="I28" s="9">
        <f t="shared" ref="I28:J28" si="70">I17/I3</f>
        <v>-1.7263157894736921E-2</v>
      </c>
      <c r="J28" s="9">
        <f t="shared" si="70"/>
        <v>-4.8656294200849163E-3</v>
      </c>
      <c r="L28" s="9">
        <f t="shared" ref="L28:M28" si="71">L17/L3</f>
        <v>1.0318142734307811E-2</v>
      </c>
      <c r="M28" s="9">
        <f t="shared" si="71"/>
        <v>-0.1288254153308073</v>
      </c>
      <c r="N28" s="9">
        <f>N17/N3</f>
        <v>-5.6019555917702205E-2</v>
      </c>
      <c r="O28" s="9">
        <f>O17/O3</f>
        <v>3.4368457780879359E-2</v>
      </c>
      <c r="P28" s="9">
        <f>P17/P3</f>
        <v>-2.7283313924471839E-2</v>
      </c>
      <c r="Q28" s="9">
        <f>Q17/Q3</f>
        <v>-8.6840347361389417E-3</v>
      </c>
      <c r="R28" s="9">
        <f>R17/R3</f>
        <v>-1.693812797461668E-2</v>
      </c>
      <c r="S28" s="9">
        <f t="shared" ref="S28:AB28" si="72">S17/S3</f>
        <v>7.9611599143618428E-2</v>
      </c>
      <c r="T28" s="9">
        <f t="shared" si="72"/>
        <v>8.6437976113571291E-2</v>
      </c>
      <c r="U28" s="9">
        <f t="shared" si="72"/>
        <v>8.655653100470527E-2</v>
      </c>
      <c r="V28" s="9">
        <f t="shared" si="72"/>
        <v>8.6202224192179641E-2</v>
      </c>
      <c r="W28" s="9">
        <f t="shared" si="72"/>
        <v>8.6895113267178831E-2</v>
      </c>
      <c r="X28" s="9">
        <f t="shared" si="72"/>
        <v>8.8806328437020063E-2</v>
      </c>
      <c r="Y28" s="9">
        <f t="shared" si="72"/>
        <v>9.0693569484835992E-2</v>
      </c>
      <c r="Z28" s="9">
        <f t="shared" si="72"/>
        <v>9.2556917429909236E-2</v>
      </c>
      <c r="AA28" s="9">
        <f t="shared" si="72"/>
        <v>9.4396447967182606E-2</v>
      </c>
      <c r="AB28" s="9">
        <f t="shared" si="72"/>
        <v>9.6212231386222036E-2</v>
      </c>
      <c r="AD28" t="s">
        <v>48</v>
      </c>
      <c r="AE28" s="4">
        <f>Main!D3</f>
        <v>17.52</v>
      </c>
    </row>
    <row r="29" spans="2:141" x14ac:dyDescent="0.3">
      <c r="AD29" s="1" t="s">
        <v>49</v>
      </c>
      <c r="AE29" s="10">
        <f>AE27/AE28-1</f>
        <v>-0.1323068950304066</v>
      </c>
    </row>
    <row r="30" spans="2:141" x14ac:dyDescent="0.3">
      <c r="AD30" t="s">
        <v>50</v>
      </c>
      <c r="AE30" s="6" t="s">
        <v>63</v>
      </c>
    </row>
    <row r="32" spans="2:141" s="1" customFormat="1" x14ac:dyDescent="0.3">
      <c r="B32" s="1" t="s">
        <v>52</v>
      </c>
      <c r="C32" s="8">
        <f t="shared" ref="C32:G32" si="73">C17</f>
        <v>-9.0999999999999979</v>
      </c>
      <c r="D32" s="8">
        <f t="shared" si="73"/>
        <v>3.999999999999992</v>
      </c>
      <c r="E32" s="8">
        <f t="shared" si="73"/>
        <v>0.40000000000000846</v>
      </c>
      <c r="F32" s="8">
        <f t="shared" si="73"/>
        <v>-1.8000000000000027</v>
      </c>
      <c r="G32" s="8">
        <f t="shared" si="73"/>
        <v>-3.799999999999994</v>
      </c>
      <c r="H32" s="8">
        <f>H17</f>
        <v>-4.699999999999994</v>
      </c>
      <c r="I32" s="8">
        <f t="shared" ref="I32:J32" si="74">I17</f>
        <v>-3.2800000000000153</v>
      </c>
      <c r="J32" s="8">
        <f t="shared" si="74"/>
        <v>-1.0320000000000107</v>
      </c>
      <c r="N32" s="8">
        <f t="shared" ref="N32:O32" si="75">N17</f>
        <v>-27.500000000000011</v>
      </c>
      <c r="O32" s="8">
        <f t="shared" si="75"/>
        <v>19.700000000000049</v>
      </c>
      <c r="P32" s="8">
        <f t="shared" ref="P32:R32" si="76">P17</f>
        <v>-16.400000000000023</v>
      </c>
      <c r="Q32" s="8">
        <f t="shared" si="76"/>
        <v>-6.4999999999999982</v>
      </c>
      <c r="R32" s="8">
        <f t="shared" si="76"/>
        <v>-12.812000000000056</v>
      </c>
      <c r="S32" s="8">
        <f t="shared" ref="S32:AB32" si="77">S17</f>
        <v>62.024759999999965</v>
      </c>
      <c r="T32" s="8">
        <f t="shared" si="77"/>
        <v>68.689998399999979</v>
      </c>
      <c r="U32" s="8">
        <f t="shared" si="77"/>
        <v>70.159895087999971</v>
      </c>
      <c r="V32" s="8">
        <f t="shared" si="77"/>
        <v>71.270159676960049</v>
      </c>
      <c r="W32" s="8">
        <f t="shared" si="77"/>
        <v>73.27988609169121</v>
      </c>
      <c r="X32" s="8">
        <f t="shared" si="77"/>
        <v>76.389473874304315</v>
      </c>
      <c r="Y32" s="8">
        <f t="shared" si="77"/>
        <v>79.573098699552432</v>
      </c>
      <c r="Z32" s="8">
        <f t="shared" si="77"/>
        <v>82.832130030476847</v>
      </c>
      <c r="AA32" s="8">
        <f t="shared" si="77"/>
        <v>86.167952120067582</v>
      </c>
      <c r="AB32" s="8">
        <f t="shared" si="77"/>
        <v>89.581963606742363</v>
      </c>
    </row>
    <row r="33" spans="2:149" x14ac:dyDescent="0.3">
      <c r="B33" t="s">
        <v>26</v>
      </c>
      <c r="C33" s="5">
        <v>-0.2</v>
      </c>
      <c r="D33" s="5">
        <v>-0.3</v>
      </c>
      <c r="E33" s="5">
        <v>-0.7</v>
      </c>
      <c r="F33" s="5">
        <v>-1.2</v>
      </c>
      <c r="G33" s="5">
        <v>-0.1</v>
      </c>
      <c r="H33" s="5">
        <v>0.1</v>
      </c>
      <c r="I33" s="5">
        <v>0</v>
      </c>
      <c r="J33" s="5">
        <v>0</v>
      </c>
      <c r="N33" s="5">
        <v>-3.8</v>
      </c>
      <c r="O33" s="5">
        <v>-2.2999999999999998</v>
      </c>
      <c r="P33" s="5">
        <v>-3</v>
      </c>
      <c r="Q33" s="5">
        <f>SUM(C33:F33)</f>
        <v>-2.4</v>
      </c>
      <c r="R33" s="5">
        <f>SUM(G33:J33)</f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</row>
    <row r="34" spans="2:149" x14ac:dyDescent="0.3">
      <c r="B34" t="s">
        <v>22</v>
      </c>
      <c r="C34" s="5">
        <v>-0.6</v>
      </c>
      <c r="D34" s="5">
        <v>0.7</v>
      </c>
      <c r="E34" s="5">
        <v>1</v>
      </c>
      <c r="F34" s="5">
        <v>0.8</v>
      </c>
      <c r="G34" s="5">
        <v>0.5</v>
      </c>
      <c r="H34" s="5">
        <v>0.5</v>
      </c>
      <c r="I34" s="5">
        <v>0.8</v>
      </c>
      <c r="J34" s="5">
        <v>1</v>
      </c>
      <c r="N34" s="5">
        <v>28.8</v>
      </c>
      <c r="O34" s="5">
        <v>3</v>
      </c>
      <c r="P34" s="5">
        <v>0.8</v>
      </c>
      <c r="Q34" s="5">
        <f t="shared" ref="Q34:Q40" si="78">SUM(C34:F34)</f>
        <v>1.9000000000000001</v>
      </c>
      <c r="R34" s="5">
        <f t="shared" ref="R34:R40" si="79">SUM(G34:J34)</f>
        <v>2.8</v>
      </c>
      <c r="S34" s="5">
        <f t="shared" ref="S34:AB34" si="80">R34*1.05</f>
        <v>2.94</v>
      </c>
      <c r="T34" s="5">
        <f t="shared" si="80"/>
        <v>3.0870000000000002</v>
      </c>
      <c r="U34" s="5">
        <f t="shared" si="80"/>
        <v>3.2413500000000002</v>
      </c>
      <c r="V34" s="5">
        <f t="shared" si="80"/>
        <v>3.4034175000000002</v>
      </c>
      <c r="W34" s="5">
        <f t="shared" si="80"/>
        <v>3.5735883750000004</v>
      </c>
      <c r="X34" s="5">
        <f t="shared" si="80"/>
        <v>3.7522677937500006</v>
      </c>
      <c r="Y34" s="5">
        <f t="shared" si="80"/>
        <v>3.9398811834375009</v>
      </c>
      <c r="Z34" s="5">
        <f t="shared" si="80"/>
        <v>4.136875242609376</v>
      </c>
      <c r="AA34" s="5">
        <f t="shared" si="80"/>
        <v>4.3437190047398451</v>
      </c>
      <c r="AB34" s="5">
        <f t="shared" si="80"/>
        <v>4.5609049549768379</v>
      </c>
    </row>
    <row r="35" spans="2:149" x14ac:dyDescent="0.3">
      <c r="B35" t="s">
        <v>54</v>
      </c>
      <c r="C35" s="5">
        <v>8.1</v>
      </c>
      <c r="D35" s="5">
        <v>8</v>
      </c>
      <c r="E35" s="5">
        <v>8</v>
      </c>
      <c r="F35" s="5">
        <v>7.7</v>
      </c>
      <c r="G35" s="5">
        <v>8.1999999999999993</v>
      </c>
      <c r="H35" s="5">
        <v>8.8000000000000007</v>
      </c>
      <c r="I35" s="5">
        <v>9</v>
      </c>
      <c r="J35" s="5">
        <v>9</v>
      </c>
      <c r="N35" s="5">
        <v>17.5</v>
      </c>
      <c r="O35" s="5">
        <v>18.399999999999999</v>
      </c>
      <c r="P35" s="5">
        <v>24.4</v>
      </c>
      <c r="Q35" s="5">
        <f t="shared" si="78"/>
        <v>31.8</v>
      </c>
      <c r="R35" s="5">
        <f t="shared" si="79"/>
        <v>35</v>
      </c>
      <c r="S35" s="5">
        <f>R35*1.05</f>
        <v>36.75</v>
      </c>
      <c r="T35" s="5">
        <f>S35*1.04</f>
        <v>38.22</v>
      </c>
      <c r="U35" s="5">
        <f>T35*1.03</f>
        <v>39.366599999999998</v>
      </c>
      <c r="V35" s="5">
        <f>U35*1.02</f>
        <v>40.153931999999998</v>
      </c>
      <c r="W35" s="5">
        <f t="shared" ref="W35" si="81">V35*1.02</f>
        <v>40.95701064</v>
      </c>
      <c r="X35" s="5">
        <f>W35*1.01</f>
        <v>41.366580746400004</v>
      </c>
      <c r="Y35" s="5">
        <f t="shared" ref="Y35:AB35" si="82">X35*1.01</f>
        <v>41.780246553864004</v>
      </c>
      <c r="Z35" s="5">
        <f t="shared" si="82"/>
        <v>42.198049019402646</v>
      </c>
      <c r="AA35" s="5">
        <f t="shared" si="82"/>
        <v>42.620029509596669</v>
      </c>
      <c r="AB35" s="5">
        <f t="shared" si="82"/>
        <v>43.046229804692636</v>
      </c>
    </row>
    <row r="36" spans="2:149" x14ac:dyDescent="0.3">
      <c r="B36" t="s">
        <v>55</v>
      </c>
      <c r="C36" s="5">
        <v>4.4000000000000004</v>
      </c>
      <c r="D36" s="5">
        <v>4.3</v>
      </c>
      <c r="E36" s="5">
        <v>4.4000000000000004</v>
      </c>
      <c r="F36" s="5">
        <v>4.4000000000000004</v>
      </c>
      <c r="G36" s="5">
        <v>4.3</v>
      </c>
      <c r="H36" s="5">
        <v>4.5999999999999996</v>
      </c>
      <c r="I36" s="5">
        <f>E36*1.05</f>
        <v>4.620000000000001</v>
      </c>
      <c r="J36" s="5">
        <f>F36*1.05</f>
        <v>4.620000000000001</v>
      </c>
      <c r="N36" s="5">
        <v>19.100000000000001</v>
      </c>
      <c r="O36" s="5">
        <v>17.2</v>
      </c>
      <c r="P36" s="5">
        <v>17.3</v>
      </c>
      <c r="Q36" s="5">
        <f t="shared" si="78"/>
        <v>17.5</v>
      </c>
      <c r="R36" s="5">
        <f t="shared" si="79"/>
        <v>18.14</v>
      </c>
      <c r="S36" s="5">
        <f>R36*1.02</f>
        <v>18.502800000000001</v>
      </c>
      <c r="T36" s="5">
        <f t="shared" ref="T36:AB36" si="83">S36*1.01</f>
        <v>18.687828</v>
      </c>
      <c r="U36" s="5">
        <f t="shared" si="83"/>
        <v>18.874706279999998</v>
      </c>
      <c r="V36" s="5">
        <f t="shared" si="83"/>
        <v>19.063453342799999</v>
      </c>
      <c r="W36" s="5">
        <f t="shared" si="83"/>
        <v>19.254087876227999</v>
      </c>
      <c r="X36" s="5">
        <f t="shared" si="83"/>
        <v>19.446628754990279</v>
      </c>
      <c r="Y36" s="5">
        <f t="shared" si="83"/>
        <v>19.641095042540183</v>
      </c>
      <c r="Z36" s="5">
        <f t="shared" si="83"/>
        <v>19.837505992965585</v>
      </c>
      <c r="AA36" s="5">
        <f t="shared" si="83"/>
        <v>20.035881052895242</v>
      </c>
      <c r="AB36" s="5">
        <f t="shared" si="83"/>
        <v>20.236239863424196</v>
      </c>
    </row>
    <row r="37" spans="2:149" x14ac:dyDescent="0.3">
      <c r="B37" t="s">
        <v>51</v>
      </c>
      <c r="C37" s="5">
        <v>12.3</v>
      </c>
      <c r="D37" s="5">
        <v>11.4</v>
      </c>
      <c r="E37" s="5">
        <v>11.4</v>
      </c>
      <c r="F37" s="5">
        <v>13.2</v>
      </c>
      <c r="G37" s="5">
        <v>13.6</v>
      </c>
      <c r="H37" s="5">
        <v>12.5</v>
      </c>
      <c r="I37" s="5">
        <f>E37*1.1</f>
        <v>12.540000000000001</v>
      </c>
      <c r="J37" s="5">
        <f>F37*1.1</f>
        <v>14.52</v>
      </c>
      <c r="N37" s="5">
        <v>14.5</v>
      </c>
      <c r="O37" s="5">
        <v>20.7</v>
      </c>
      <c r="P37" s="5">
        <v>37</v>
      </c>
      <c r="Q37" s="5">
        <f t="shared" si="78"/>
        <v>48.3</v>
      </c>
      <c r="R37" s="5">
        <f t="shared" si="79"/>
        <v>53.16</v>
      </c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2:149" x14ac:dyDescent="0.3">
      <c r="B38" t="s">
        <v>56</v>
      </c>
      <c r="C38" s="5">
        <v>1.2</v>
      </c>
      <c r="D38" s="5">
        <v>0.9</v>
      </c>
      <c r="E38" s="5">
        <v>0.4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N38" s="5">
        <v>0</v>
      </c>
      <c r="O38" s="5">
        <v>-3.8</v>
      </c>
      <c r="P38" s="5">
        <v>4</v>
      </c>
      <c r="Q38" s="5">
        <f t="shared" si="78"/>
        <v>2.5</v>
      </c>
      <c r="R38" s="5">
        <f t="shared" si="79"/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</row>
    <row r="39" spans="2:149" x14ac:dyDescent="0.3">
      <c r="B39" t="s">
        <v>5</v>
      </c>
      <c r="C39" s="5">
        <v>0</v>
      </c>
      <c r="D39" s="5">
        <v>-10.3</v>
      </c>
      <c r="E39" s="5">
        <v>0</v>
      </c>
      <c r="F39" s="5">
        <v>0</v>
      </c>
      <c r="G39" s="5">
        <v>-1.1000000000000001</v>
      </c>
      <c r="H39" s="5">
        <v>0</v>
      </c>
      <c r="I39" s="5">
        <v>0</v>
      </c>
      <c r="J39" s="5">
        <v>0</v>
      </c>
      <c r="N39" s="5">
        <v>0</v>
      </c>
      <c r="O39" s="5">
        <v>-40.200000000000003</v>
      </c>
      <c r="P39" s="5">
        <v>-12.8</v>
      </c>
      <c r="Q39" s="5">
        <f t="shared" si="78"/>
        <v>-10.3</v>
      </c>
      <c r="R39" s="5">
        <f t="shared" si="79"/>
        <v>-1.1000000000000001</v>
      </c>
      <c r="S39" s="5">
        <f t="shared" ref="S39:AB39" si="84">R39*1.05</f>
        <v>-1.1550000000000002</v>
      </c>
      <c r="T39" s="5">
        <f t="shared" si="84"/>
        <v>-1.2127500000000002</v>
      </c>
      <c r="U39" s="5">
        <f t="shared" si="84"/>
        <v>-1.2733875000000003</v>
      </c>
      <c r="V39" s="5">
        <f t="shared" si="84"/>
        <v>-1.3370568750000005</v>
      </c>
      <c r="W39" s="5">
        <f t="shared" si="84"/>
        <v>-1.4039097187500005</v>
      </c>
      <c r="X39" s="5">
        <f t="shared" si="84"/>
        <v>-1.4741052046875005</v>
      </c>
      <c r="Y39" s="5">
        <f t="shared" si="84"/>
        <v>-1.5478104649218756</v>
      </c>
      <c r="Z39" s="5">
        <f t="shared" si="84"/>
        <v>-1.6252009881679694</v>
      </c>
      <c r="AA39" s="5">
        <f t="shared" si="84"/>
        <v>-1.706461037576368</v>
      </c>
      <c r="AB39" s="5">
        <f t="shared" si="84"/>
        <v>-1.7917840894551864</v>
      </c>
    </row>
    <row r="40" spans="2:149" x14ac:dyDescent="0.3">
      <c r="B40" t="s">
        <v>57</v>
      </c>
      <c r="C40" s="5">
        <v>0.1</v>
      </c>
      <c r="D40" s="5">
        <v>0.1</v>
      </c>
      <c r="E40" s="5">
        <v>-1</v>
      </c>
      <c r="F40" s="5">
        <v>0.3</v>
      </c>
      <c r="G40" s="5">
        <v>0.5</v>
      </c>
      <c r="H40" s="5">
        <v>0.3</v>
      </c>
      <c r="I40" s="5">
        <v>0</v>
      </c>
      <c r="J40" s="5">
        <v>0</v>
      </c>
      <c r="N40" s="5">
        <v>0.8</v>
      </c>
      <c r="O40" s="5">
        <v>2</v>
      </c>
      <c r="P40" s="5">
        <f>-4+0.8</f>
        <v>-3.2</v>
      </c>
      <c r="Q40" s="5">
        <f t="shared" si="78"/>
        <v>-0.5</v>
      </c>
      <c r="R40" s="5">
        <f t="shared" si="79"/>
        <v>0.8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</row>
    <row r="41" spans="2:149" s="1" customFormat="1" x14ac:dyDescent="0.3">
      <c r="B41" s="1" t="s">
        <v>53</v>
      </c>
      <c r="C41" s="8">
        <f>C32+SUM(C33:C40)</f>
        <v>16.200000000000003</v>
      </c>
      <c r="D41" s="8">
        <f>D32+SUM(D33:D40)</f>
        <v>18.79999999999999</v>
      </c>
      <c r="E41" s="8">
        <f t="shared" ref="E41:H41" si="85">E32+SUM(E33:E40)</f>
        <v>23.900000000000009</v>
      </c>
      <c r="F41" s="8">
        <f t="shared" si="85"/>
        <v>23.399999999999995</v>
      </c>
      <c r="G41" s="8">
        <f t="shared" si="85"/>
        <v>22.100000000000005</v>
      </c>
      <c r="H41" s="8">
        <f t="shared" si="85"/>
        <v>22.100000000000009</v>
      </c>
      <c r="I41" s="8">
        <f t="shared" ref="I41" si="86">I32+SUM(I33:I40)</f>
        <v>23.679999999999986</v>
      </c>
      <c r="J41" s="8">
        <f t="shared" ref="J41" si="87">J32+SUM(J33:J40)</f>
        <v>28.10799999999999</v>
      </c>
      <c r="N41" s="8">
        <f t="shared" ref="N41:R41" si="88">N32+SUM(N33:N40)</f>
        <v>49.399999999999977</v>
      </c>
      <c r="O41" s="8">
        <f t="shared" si="88"/>
        <v>34.700000000000045</v>
      </c>
      <c r="P41" s="8">
        <f t="shared" si="88"/>
        <v>48.09999999999998</v>
      </c>
      <c r="Q41" s="8">
        <f t="shared" si="88"/>
        <v>82.3</v>
      </c>
      <c r="R41" s="8">
        <f t="shared" si="88"/>
        <v>95.987999999999943</v>
      </c>
      <c r="S41" s="8">
        <f t="shared" ref="S41" si="89">S32+SUM(S33:S40)</f>
        <v>119.06255999999996</v>
      </c>
      <c r="T41" s="8">
        <f t="shared" ref="T41" si="90">T32+SUM(T33:T40)</f>
        <v>127.47207639999998</v>
      </c>
      <c r="U41" s="8">
        <f t="shared" ref="U41" si="91">U32+SUM(U33:U40)</f>
        <v>130.36916386799996</v>
      </c>
      <c r="V41" s="8">
        <f t="shared" ref="V41" si="92">V32+SUM(V33:V40)</f>
        <v>132.55390564476005</v>
      </c>
      <c r="W41" s="8">
        <f t="shared" ref="W41" si="93">W32+SUM(W33:W40)</f>
        <v>135.66066326416922</v>
      </c>
      <c r="X41" s="8">
        <f t="shared" ref="X41" si="94">X32+SUM(X33:X40)</f>
        <v>139.48084596475709</v>
      </c>
      <c r="Y41" s="8">
        <f t="shared" ref="Y41" si="95">Y32+SUM(Y33:Y40)</f>
        <v>143.38651101447223</v>
      </c>
      <c r="Z41" s="8">
        <f t="shared" ref="Z41" si="96">Z32+SUM(Z33:Z40)</f>
        <v>147.3793592972865</v>
      </c>
      <c r="AA41" s="8">
        <f t="shared" ref="AA41" si="97">AA32+SUM(AA33:AA40)</f>
        <v>151.46112064972294</v>
      </c>
      <c r="AB41" s="8">
        <f t="shared" ref="AB41" si="98">AB32+SUM(AB33:AB40)</f>
        <v>155.63355414038085</v>
      </c>
      <c r="AC41" s="1">
        <f>AB41*(1+$AE$22)</f>
        <v>154.07721859897705</v>
      </c>
      <c r="AD41" s="1">
        <f t="shared" ref="AD41:CO41" si="99">AC41*(1+$AE$22)</f>
        <v>152.53644641298729</v>
      </c>
      <c r="AE41" s="1">
        <f t="shared" si="99"/>
        <v>151.01108194885742</v>
      </c>
      <c r="AF41" s="1">
        <f t="shared" si="99"/>
        <v>149.50097112936885</v>
      </c>
      <c r="AG41" s="1">
        <f t="shared" si="99"/>
        <v>148.00596141807517</v>
      </c>
      <c r="AH41" s="1">
        <f t="shared" si="99"/>
        <v>146.52590180389441</v>
      </c>
      <c r="AI41" s="1">
        <f t="shared" si="99"/>
        <v>145.06064278585546</v>
      </c>
      <c r="AJ41" s="1">
        <f t="shared" si="99"/>
        <v>143.6100363579969</v>
      </c>
      <c r="AK41" s="1">
        <f t="shared" si="99"/>
        <v>142.17393599441692</v>
      </c>
      <c r="AL41" s="1">
        <f t="shared" si="99"/>
        <v>140.75219663447274</v>
      </c>
      <c r="AM41" s="1">
        <f t="shared" si="99"/>
        <v>139.34467466812802</v>
      </c>
      <c r="AN41" s="1">
        <f t="shared" si="99"/>
        <v>137.95122792144673</v>
      </c>
      <c r="AO41" s="1">
        <f t="shared" si="99"/>
        <v>136.57171564223225</v>
      </c>
      <c r="AP41" s="1">
        <f t="shared" si="99"/>
        <v>135.20599848580991</v>
      </c>
      <c r="AQ41" s="1">
        <f t="shared" si="99"/>
        <v>133.85393850095181</v>
      </c>
      <c r="AR41" s="1">
        <f t="shared" si="99"/>
        <v>132.5153991159423</v>
      </c>
      <c r="AS41" s="1">
        <f t="shared" si="99"/>
        <v>131.19024512478288</v>
      </c>
      <c r="AT41" s="1">
        <f t="shared" si="99"/>
        <v>129.87834267353506</v>
      </c>
      <c r="AU41" s="1">
        <f t="shared" si="99"/>
        <v>128.5795592467997</v>
      </c>
      <c r="AV41" s="1">
        <f t="shared" si="99"/>
        <v>127.29376365433171</v>
      </c>
      <c r="AW41" s="1">
        <f t="shared" si="99"/>
        <v>126.02082601778839</v>
      </c>
      <c r="AX41" s="1">
        <f t="shared" si="99"/>
        <v>124.7606177576105</v>
      </c>
      <c r="AY41" s="1">
        <f t="shared" si="99"/>
        <v>123.5130115800344</v>
      </c>
      <c r="AZ41" s="1">
        <f t="shared" si="99"/>
        <v>122.27788146423406</v>
      </c>
      <c r="BA41" s="1">
        <f t="shared" si="99"/>
        <v>121.05510264959172</v>
      </c>
      <c r="BB41" s="1">
        <f t="shared" si="99"/>
        <v>119.8445516230958</v>
      </c>
      <c r="BC41" s="1">
        <f t="shared" si="99"/>
        <v>118.64610610686483</v>
      </c>
      <c r="BD41" s="1">
        <f t="shared" si="99"/>
        <v>117.45964504579618</v>
      </c>
      <c r="BE41" s="1">
        <f t="shared" si="99"/>
        <v>116.28504859533821</v>
      </c>
      <c r="BF41" s="1">
        <f t="shared" si="99"/>
        <v>115.12219810938483</v>
      </c>
      <c r="BG41" s="1">
        <f t="shared" si="99"/>
        <v>113.97097612829097</v>
      </c>
      <c r="BH41" s="1">
        <f t="shared" si="99"/>
        <v>112.83126636700806</v>
      </c>
      <c r="BI41" s="1">
        <f t="shared" si="99"/>
        <v>111.70295370333797</v>
      </c>
      <c r="BJ41" s="1">
        <f t="shared" si="99"/>
        <v>110.58592416630459</v>
      </c>
      <c r="BK41" s="1">
        <f t="shared" si="99"/>
        <v>109.48006492464155</v>
      </c>
      <c r="BL41" s="1">
        <f t="shared" si="99"/>
        <v>108.38526427539513</v>
      </c>
      <c r="BM41" s="1">
        <f t="shared" si="99"/>
        <v>107.30141163264118</v>
      </c>
      <c r="BN41" s="1">
        <f t="shared" si="99"/>
        <v>106.22839751631476</v>
      </c>
      <c r="BO41" s="1">
        <f t="shared" si="99"/>
        <v>105.1661135411516</v>
      </c>
      <c r="BP41" s="1">
        <f t="shared" si="99"/>
        <v>104.11445240574008</v>
      </c>
      <c r="BQ41" s="1">
        <f t="shared" si="99"/>
        <v>103.07330788168268</v>
      </c>
      <c r="BR41" s="1">
        <f t="shared" si="99"/>
        <v>102.04257480286586</v>
      </c>
      <c r="BS41" s="1">
        <f t="shared" si="99"/>
        <v>101.0221490548372</v>
      </c>
      <c r="BT41" s="1">
        <f t="shared" si="99"/>
        <v>100.01192756428883</v>
      </c>
      <c r="BU41" s="1">
        <f t="shared" si="99"/>
        <v>99.011808288645938</v>
      </c>
      <c r="BV41" s="1">
        <f t="shared" si="99"/>
        <v>98.021690205759484</v>
      </c>
      <c r="BW41" s="1">
        <f t="shared" si="99"/>
        <v>97.041473303701892</v>
      </c>
      <c r="BX41" s="1">
        <f t="shared" si="99"/>
        <v>96.071058570664874</v>
      </c>
      <c r="BY41" s="1">
        <f t="shared" si="99"/>
        <v>95.110347984958224</v>
      </c>
      <c r="BZ41" s="1">
        <f t="shared" si="99"/>
        <v>94.159244505108646</v>
      </c>
      <c r="CA41" s="1">
        <f t="shared" si="99"/>
        <v>93.21765206005756</v>
      </c>
      <c r="CB41" s="1">
        <f t="shared" si="99"/>
        <v>92.285475539456982</v>
      </c>
      <c r="CC41" s="1">
        <f t="shared" si="99"/>
        <v>91.362620784062415</v>
      </c>
      <c r="CD41" s="1">
        <f t="shared" si="99"/>
        <v>90.448994576221793</v>
      </c>
      <c r="CE41" s="1">
        <f t="shared" si="99"/>
        <v>89.544504630459571</v>
      </c>
      <c r="CF41" s="1">
        <f t="shared" si="99"/>
        <v>88.649059584154969</v>
      </c>
      <c r="CG41" s="1">
        <f t="shared" si="99"/>
        <v>87.762568988313419</v>
      </c>
      <c r="CH41" s="1">
        <f t="shared" si="99"/>
        <v>86.884943298430287</v>
      </c>
      <c r="CI41" s="1">
        <f t="shared" si="99"/>
        <v>86.016093865445981</v>
      </c>
      <c r="CJ41" s="1">
        <f t="shared" si="99"/>
        <v>85.155932926791522</v>
      </c>
      <c r="CK41" s="1">
        <f t="shared" si="99"/>
        <v>84.304373597523607</v>
      </c>
      <c r="CL41" s="1">
        <f t="shared" si="99"/>
        <v>83.461329861548364</v>
      </c>
      <c r="CM41" s="1">
        <f t="shared" si="99"/>
        <v>82.626716562932884</v>
      </c>
      <c r="CN41" s="1">
        <f t="shared" si="99"/>
        <v>81.800449397303552</v>
      </c>
      <c r="CO41" s="1">
        <f t="shared" si="99"/>
        <v>80.982444903330517</v>
      </c>
      <c r="CP41" s="1">
        <f t="shared" ref="CP41:ES41" si="100">CO41*(1+$AE$22)</f>
        <v>80.172620454297217</v>
      </c>
      <c r="CQ41" s="1">
        <f t="shared" si="100"/>
        <v>79.370894249754244</v>
      </c>
      <c r="CR41" s="1">
        <f t="shared" si="100"/>
        <v>78.577185307256698</v>
      </c>
      <c r="CS41" s="1">
        <f t="shared" si="100"/>
        <v>77.791413454184138</v>
      </c>
      <c r="CT41" s="1">
        <f t="shared" si="100"/>
        <v>77.013499319642293</v>
      </c>
      <c r="CU41" s="1">
        <f t="shared" si="100"/>
        <v>76.243364326445871</v>
      </c>
      <c r="CV41" s="1">
        <f t="shared" si="100"/>
        <v>75.480930683181413</v>
      </c>
      <c r="CW41" s="1">
        <f t="shared" si="100"/>
        <v>74.726121376349596</v>
      </c>
      <c r="CX41" s="1">
        <f t="shared" si="100"/>
        <v>73.978860162586102</v>
      </c>
      <c r="CY41" s="1">
        <f t="shared" si="100"/>
        <v>73.239071560960241</v>
      </c>
      <c r="CZ41" s="1">
        <f t="shared" si="100"/>
        <v>72.506680845350644</v>
      </c>
      <c r="DA41" s="1">
        <f t="shared" si="100"/>
        <v>71.781614036897139</v>
      </c>
      <c r="DB41" s="1">
        <f t="shared" si="100"/>
        <v>71.063797896528172</v>
      </c>
      <c r="DC41" s="1">
        <f t="shared" si="100"/>
        <v>70.353159917562891</v>
      </c>
      <c r="DD41" s="1">
        <f t="shared" si="100"/>
        <v>69.649628318387258</v>
      </c>
      <c r="DE41" s="1">
        <f t="shared" si="100"/>
        <v>68.953132035203382</v>
      </c>
      <c r="DF41" s="1">
        <f t="shared" si="100"/>
        <v>68.26360071485135</v>
      </c>
      <c r="DG41" s="1">
        <f t="shared" si="100"/>
        <v>67.580964707702833</v>
      </c>
      <c r="DH41" s="1">
        <f t="shared" si="100"/>
        <v>66.905155060625802</v>
      </c>
      <c r="DI41" s="1">
        <f t="shared" si="100"/>
        <v>66.236103510019547</v>
      </c>
      <c r="DJ41" s="1">
        <f t="shared" si="100"/>
        <v>65.573742474919356</v>
      </c>
      <c r="DK41" s="1">
        <f t="shared" si="100"/>
        <v>64.918005050170166</v>
      </c>
      <c r="DL41" s="1">
        <f t="shared" si="100"/>
        <v>64.268824999668468</v>
      </c>
      <c r="DM41" s="1">
        <f t="shared" si="100"/>
        <v>63.62613674967178</v>
      </c>
      <c r="DN41" s="1">
        <f t="shared" si="100"/>
        <v>62.989875382175065</v>
      </c>
      <c r="DO41" s="1">
        <f t="shared" si="100"/>
        <v>62.359976628353316</v>
      </c>
      <c r="DP41" s="1">
        <f t="shared" si="100"/>
        <v>61.736376862069783</v>
      </c>
      <c r="DQ41" s="1">
        <f t="shared" si="100"/>
        <v>61.119013093449084</v>
      </c>
      <c r="DR41" s="1">
        <f t="shared" si="100"/>
        <v>60.507822962514595</v>
      </c>
      <c r="DS41" s="1">
        <f t="shared" si="100"/>
        <v>59.902744732889445</v>
      </c>
      <c r="DT41" s="1">
        <f t="shared" si="100"/>
        <v>59.303717285560552</v>
      </c>
      <c r="DU41" s="1">
        <f t="shared" si="100"/>
        <v>58.710680112704949</v>
      </c>
      <c r="DV41" s="1">
        <f t="shared" si="100"/>
        <v>58.1235733115779</v>
      </c>
      <c r="DW41" s="1">
        <f t="shared" si="100"/>
        <v>57.542337578462117</v>
      </c>
      <c r="DX41" s="1">
        <f t="shared" si="100"/>
        <v>56.966914202677494</v>
      </c>
      <c r="DY41" s="1">
        <f t="shared" si="100"/>
        <v>56.397245060650718</v>
      </c>
      <c r="DZ41" s="1">
        <f t="shared" si="100"/>
        <v>55.833272610044212</v>
      </c>
      <c r="EA41" s="1">
        <f t="shared" si="100"/>
        <v>55.274939883943766</v>
      </c>
      <c r="EB41" s="1">
        <f t="shared" si="100"/>
        <v>54.722190485104328</v>
      </c>
      <c r="EC41" s="1">
        <f t="shared" si="100"/>
        <v>54.174968580253285</v>
      </c>
      <c r="ED41" s="1">
        <f t="shared" si="100"/>
        <v>53.633218894450749</v>
      </c>
      <c r="EE41" s="1">
        <f t="shared" si="100"/>
        <v>53.096886705506243</v>
      </c>
      <c r="EF41" s="1">
        <f t="shared" si="100"/>
        <v>52.565917838451178</v>
      </c>
      <c r="EG41" s="1">
        <f t="shared" si="100"/>
        <v>52.040258660066662</v>
      </c>
      <c r="EH41" s="1">
        <f t="shared" si="100"/>
        <v>51.519856073465995</v>
      </c>
      <c r="EI41" s="1">
        <f t="shared" si="100"/>
        <v>51.004657512731335</v>
      </c>
      <c r="EJ41" s="1">
        <f t="shared" si="100"/>
        <v>50.494610937604023</v>
      </c>
      <c r="EK41" s="1">
        <f t="shared" si="100"/>
        <v>49.98966482822798</v>
      </c>
      <c r="EL41" s="1">
        <f t="shared" si="100"/>
        <v>49.489768179945699</v>
      </c>
      <c r="EM41" s="1">
        <f t="shared" si="100"/>
        <v>48.994870498146241</v>
      </c>
      <c r="EN41" s="1">
        <f t="shared" si="100"/>
        <v>48.504921793164776</v>
      </c>
      <c r="EO41" s="1">
        <f t="shared" si="100"/>
        <v>48.01987257523313</v>
      </c>
      <c r="EP41" s="1">
        <f t="shared" si="100"/>
        <v>47.539673849480799</v>
      </c>
      <c r="EQ41" s="1">
        <f t="shared" si="100"/>
        <v>47.064277110985991</v>
      </c>
      <c r="ER41" s="1">
        <f t="shared" si="100"/>
        <v>46.593634339876132</v>
      </c>
      <c r="ES41" s="1">
        <f t="shared" si="100"/>
        <v>46.127697996477373</v>
      </c>
    </row>
    <row r="42" spans="2:149" s="1" customFormat="1" x14ac:dyDescent="0.3">
      <c r="B42" t="s">
        <v>62</v>
      </c>
      <c r="C42" s="8"/>
      <c r="D42" s="8"/>
      <c r="E42" s="8"/>
      <c r="F42" s="8"/>
      <c r="G42" s="8"/>
      <c r="H42" s="8"/>
      <c r="I42" s="8"/>
      <c r="J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2:149" s="1" customFormat="1" x14ac:dyDescent="0.3">
      <c r="C43" s="8"/>
      <c r="D43" s="8"/>
      <c r="E43" s="8"/>
      <c r="F43" s="8"/>
      <c r="G43" s="8"/>
      <c r="H43" s="8"/>
      <c r="I43" s="8"/>
      <c r="J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5" spans="2:149" x14ac:dyDescent="0.3">
      <c r="B45" t="s">
        <v>58</v>
      </c>
      <c r="G45" s="9">
        <f>G35/C35-1</f>
        <v>1.2345679012345734E-2</v>
      </c>
      <c r="H45" s="9">
        <f>H35/D35-1</f>
        <v>0.10000000000000009</v>
      </c>
      <c r="I45" s="9">
        <f t="shared" ref="I45:J47" si="101">I35/E35-1</f>
        <v>0.125</v>
      </c>
      <c r="J45" s="9">
        <f t="shared" si="101"/>
        <v>0.16883116883116878</v>
      </c>
      <c r="O45" s="9">
        <f>O35/N35-1</f>
        <v>5.1428571428571379E-2</v>
      </c>
      <c r="P45" s="9">
        <f>P35/O35-1</f>
        <v>0.32608695652173925</v>
      </c>
      <c r="Q45" s="9">
        <f>Q35/P35-1</f>
        <v>0.30327868852459017</v>
      </c>
      <c r="R45" s="9">
        <f t="shared" ref="R45:AB45" si="102">R35/Q35-1</f>
        <v>0.10062893081761004</v>
      </c>
      <c r="S45" s="9">
        <f t="shared" si="102"/>
        <v>5.0000000000000044E-2</v>
      </c>
      <c r="T45" s="9">
        <f t="shared" si="102"/>
        <v>4.0000000000000036E-2</v>
      </c>
      <c r="U45" s="9">
        <f t="shared" si="102"/>
        <v>3.0000000000000027E-2</v>
      </c>
      <c r="V45" s="9">
        <f t="shared" si="102"/>
        <v>2.0000000000000018E-2</v>
      </c>
      <c r="W45" s="9">
        <f t="shared" si="102"/>
        <v>2.0000000000000018E-2</v>
      </c>
      <c r="X45" s="9">
        <f t="shared" si="102"/>
        <v>1.0000000000000009E-2</v>
      </c>
      <c r="Y45" s="9">
        <f t="shared" si="102"/>
        <v>1.0000000000000009E-2</v>
      </c>
      <c r="Z45" s="9">
        <f t="shared" si="102"/>
        <v>1.0000000000000009E-2</v>
      </c>
      <c r="AA45" s="9">
        <f t="shared" si="102"/>
        <v>1.0000000000000009E-2</v>
      </c>
      <c r="AB45" s="9">
        <f t="shared" si="102"/>
        <v>1.0000000000000009E-2</v>
      </c>
      <c r="AD45" t="s">
        <v>61</v>
      </c>
      <c r="AE45" s="5">
        <f>NPV(AE23,R41:ES41)</f>
        <v>1210.5100143041536</v>
      </c>
    </row>
    <row r="46" spans="2:149" x14ac:dyDescent="0.3">
      <c r="B46" t="s">
        <v>59</v>
      </c>
      <c r="G46" s="9">
        <f t="shared" ref="G46:H47" si="103">G36/C36-1</f>
        <v>-2.2727272727272818E-2</v>
      </c>
      <c r="H46" s="9">
        <f t="shared" si="103"/>
        <v>6.9767441860465018E-2</v>
      </c>
      <c r="I46" s="9">
        <f t="shared" si="101"/>
        <v>5.0000000000000044E-2</v>
      </c>
      <c r="J46" s="9">
        <f t="shared" si="101"/>
        <v>5.0000000000000044E-2</v>
      </c>
      <c r="O46" s="9">
        <f t="shared" ref="O46" si="104">O36/N36-1</f>
        <v>-9.9476439790575966E-2</v>
      </c>
      <c r="P46" s="9">
        <f>P36/O36-1</f>
        <v>5.8139534883721034E-3</v>
      </c>
      <c r="Q46" s="9">
        <f>Q36/P36-1</f>
        <v>1.156069364161838E-2</v>
      </c>
      <c r="R46" s="9">
        <f t="shared" ref="R46:AB46" si="105">R36/Q36-1</f>
        <v>3.6571428571428699E-2</v>
      </c>
      <c r="S46" s="9">
        <f t="shared" si="105"/>
        <v>2.0000000000000018E-2</v>
      </c>
      <c r="T46" s="9">
        <f t="shared" si="105"/>
        <v>1.0000000000000009E-2</v>
      </c>
      <c r="U46" s="9">
        <f t="shared" si="105"/>
        <v>1.0000000000000009E-2</v>
      </c>
      <c r="V46" s="9">
        <f t="shared" si="105"/>
        <v>1.0000000000000009E-2</v>
      </c>
      <c r="W46" s="9">
        <f t="shared" si="105"/>
        <v>1.0000000000000009E-2</v>
      </c>
      <c r="X46" s="9">
        <f t="shared" si="105"/>
        <v>1.0000000000000009E-2</v>
      </c>
      <c r="Y46" s="9">
        <f t="shared" si="105"/>
        <v>1.0000000000000009E-2</v>
      </c>
      <c r="Z46" s="9">
        <f t="shared" si="105"/>
        <v>1.0000000000000009E-2</v>
      </c>
      <c r="AA46" s="9">
        <f t="shared" si="105"/>
        <v>1.0000000000000009E-2</v>
      </c>
      <c r="AB46" s="9">
        <f t="shared" si="105"/>
        <v>1.0000000000000009E-2</v>
      </c>
      <c r="AD46" t="s">
        <v>45</v>
      </c>
      <c r="AE46" s="5">
        <f>Main!D8</f>
        <v>-186.5</v>
      </c>
    </row>
    <row r="47" spans="2:149" x14ac:dyDescent="0.3">
      <c r="B47" t="s">
        <v>60</v>
      </c>
      <c r="G47" s="9">
        <f t="shared" si="103"/>
        <v>0.1056910569105689</v>
      </c>
      <c r="H47" s="9">
        <f t="shared" si="103"/>
        <v>9.6491228070175294E-2</v>
      </c>
      <c r="I47" s="9">
        <f t="shared" si="101"/>
        <v>0.10000000000000009</v>
      </c>
      <c r="J47" s="9">
        <f t="shared" si="101"/>
        <v>0.10000000000000009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D47" t="s">
        <v>46</v>
      </c>
      <c r="AE47" s="5">
        <f>AE45+AE46</f>
        <v>1024.0100143041536</v>
      </c>
    </row>
    <row r="48" spans="2:149" x14ac:dyDescent="0.3">
      <c r="AD48" t="s">
        <v>47</v>
      </c>
      <c r="AE48" s="4">
        <f>AE47/AB18</f>
        <v>36.441637519720771</v>
      </c>
    </row>
    <row r="49" spans="30:31" x14ac:dyDescent="0.3">
      <c r="AD49" t="s">
        <v>48</v>
      </c>
      <c r="AE49" s="4">
        <f>Main!D3</f>
        <v>17.52</v>
      </c>
    </row>
    <row r="50" spans="30:31" x14ac:dyDescent="0.3">
      <c r="AD50" s="1" t="s">
        <v>49</v>
      </c>
      <c r="AE50" s="10"/>
    </row>
    <row r="51" spans="30:31" x14ac:dyDescent="0.3">
      <c r="AD51" t="s">
        <v>50</v>
      </c>
      <c r="AE51" s="6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2025-09-27T13:30:00Z</dcterms:created>
  <dcterms:modified xsi:type="dcterms:W3CDTF">2025-09-28T11:43:54Z</dcterms:modified>
</cp:coreProperties>
</file>