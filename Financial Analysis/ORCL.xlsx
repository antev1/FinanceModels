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C0A81A6-990A-4213-89FA-17888ACA9F33}" xr6:coauthVersionLast="47" xr6:coauthVersionMax="47" xr10:uidLastSave="{00000000-0000-0000-0000-000000000000}"/>
  <bookViews>
    <workbookView xWindow="-108" yWindow="-108" windowWidth="23256" windowHeight="12576" activeTab="1" xr2:uid="{C36A60D5-C62B-4A95-9BD8-233E77289DA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40" i="2" l="1"/>
  <c r="L30" i="2"/>
  <c r="L29" i="2"/>
  <c r="D7" i="1"/>
  <c r="D6" i="1"/>
  <c r="AC26" i="2"/>
  <c r="AB26" i="2"/>
  <c r="AA26" i="2"/>
  <c r="Z26" i="2"/>
  <c r="Y26" i="2"/>
  <c r="X26" i="2"/>
  <c r="W26" i="2"/>
  <c r="V26" i="2"/>
  <c r="U26" i="2"/>
  <c r="T26" i="2"/>
  <c r="N26" i="2"/>
  <c r="M26" i="2"/>
  <c r="L26" i="2"/>
  <c r="D4" i="1"/>
  <c r="N14" i="2"/>
  <c r="M14" i="2"/>
  <c r="M39" i="2"/>
  <c r="T22" i="2"/>
  <c r="T21" i="2"/>
  <c r="U21" i="2" s="1"/>
  <c r="V21" i="2" s="1"/>
  <c r="W21" i="2" s="1"/>
  <c r="X21" i="2" s="1"/>
  <c r="Y21" i="2" s="1"/>
  <c r="Z21" i="2" s="1"/>
  <c r="AA21" i="2" s="1"/>
  <c r="AB21" i="2" s="1"/>
  <c r="AC21" i="2" s="1"/>
  <c r="T18" i="2"/>
  <c r="T17" i="2"/>
  <c r="T16" i="2"/>
  <c r="T15" i="2"/>
  <c r="U15" i="2" s="1"/>
  <c r="V15" i="2" s="1"/>
  <c r="T6" i="2"/>
  <c r="U6" i="2" s="1"/>
  <c r="V6" i="2" s="1"/>
  <c r="T5" i="2"/>
  <c r="T4" i="2"/>
  <c r="U4" i="2" s="1"/>
  <c r="T3" i="2"/>
  <c r="K25" i="2"/>
  <c r="N21" i="2"/>
  <c r="M21" i="2"/>
  <c r="N15" i="2"/>
  <c r="M15" i="2"/>
  <c r="L40" i="2"/>
  <c r="N10" i="2"/>
  <c r="M10" i="2"/>
  <c r="L36" i="2"/>
  <c r="N9" i="2"/>
  <c r="M9" i="2"/>
  <c r="T9" i="2"/>
  <c r="L34" i="2"/>
  <c r="N40" i="2"/>
  <c r="M40" i="2"/>
  <c r="N39" i="2"/>
  <c r="L39" i="2"/>
  <c r="N36" i="2"/>
  <c r="M36" i="2"/>
  <c r="N35" i="2"/>
  <c r="M35" i="2"/>
  <c r="L35" i="2"/>
  <c r="N32" i="2"/>
  <c r="M32" i="2"/>
  <c r="L32" i="2"/>
  <c r="N31" i="2"/>
  <c r="M31" i="2"/>
  <c r="L31" i="2"/>
  <c r="L7" i="2"/>
  <c r="N6" i="2"/>
  <c r="M6" i="2"/>
  <c r="N5" i="2"/>
  <c r="M5" i="2"/>
  <c r="J32" i="2"/>
  <c r="I32" i="2"/>
  <c r="H32" i="2"/>
  <c r="G32" i="2"/>
  <c r="J31" i="2"/>
  <c r="I31" i="2"/>
  <c r="H31" i="2"/>
  <c r="G31" i="2"/>
  <c r="M4" i="2"/>
  <c r="N4" i="2" s="1"/>
  <c r="N7" i="2" s="1"/>
  <c r="N13" i="2" s="1"/>
  <c r="N38" i="2" s="1"/>
  <c r="N3" i="2"/>
  <c r="M3" i="2"/>
  <c r="H34" i="2"/>
  <c r="S32" i="2"/>
  <c r="R32" i="2"/>
  <c r="S31" i="2"/>
  <c r="R31" i="2"/>
  <c r="S30" i="2"/>
  <c r="R30" i="2"/>
  <c r="R29" i="2"/>
  <c r="S29" i="2"/>
  <c r="S36" i="2"/>
  <c r="R36" i="2"/>
  <c r="Q36" i="2"/>
  <c r="S35" i="2"/>
  <c r="R35" i="2"/>
  <c r="Q35" i="2"/>
  <c r="S34" i="2"/>
  <c r="R34" i="2"/>
  <c r="Q34" i="2"/>
  <c r="F36" i="2"/>
  <c r="E36" i="2"/>
  <c r="D36" i="2"/>
  <c r="C36" i="2"/>
  <c r="F35" i="2"/>
  <c r="E35" i="2"/>
  <c r="D35" i="2"/>
  <c r="C35" i="2"/>
  <c r="E34" i="2"/>
  <c r="D34" i="2"/>
  <c r="C34" i="2"/>
  <c r="J36" i="2"/>
  <c r="I36" i="2"/>
  <c r="H36" i="2"/>
  <c r="G36" i="2"/>
  <c r="J35" i="2"/>
  <c r="I35" i="2"/>
  <c r="H35" i="2"/>
  <c r="G35" i="2"/>
  <c r="I34" i="2"/>
  <c r="G34" i="2"/>
  <c r="K36" i="2"/>
  <c r="K35" i="2"/>
  <c r="K34" i="2"/>
  <c r="K32" i="2"/>
  <c r="K31" i="2"/>
  <c r="K30" i="2"/>
  <c r="K29" i="2"/>
  <c r="F24" i="2"/>
  <c r="F22" i="2"/>
  <c r="F21" i="2"/>
  <c r="F18" i="2"/>
  <c r="F17" i="2"/>
  <c r="F16" i="2"/>
  <c r="F15" i="2"/>
  <c r="F14" i="2"/>
  <c r="F13" i="2"/>
  <c r="F10" i="2"/>
  <c r="F9" i="2"/>
  <c r="F8" i="2"/>
  <c r="F5" i="2"/>
  <c r="F6" i="2"/>
  <c r="J24" i="2"/>
  <c r="J22" i="2"/>
  <c r="J21" i="2"/>
  <c r="J18" i="2"/>
  <c r="J17" i="2"/>
  <c r="J16" i="2"/>
  <c r="J15" i="2"/>
  <c r="J14" i="2"/>
  <c r="J13" i="2"/>
  <c r="J10" i="2"/>
  <c r="J9" i="2"/>
  <c r="J8" i="2"/>
  <c r="J6" i="2"/>
  <c r="J5" i="2"/>
  <c r="C26" i="2"/>
  <c r="C19" i="2"/>
  <c r="C11" i="2"/>
  <c r="C7" i="2"/>
  <c r="D19" i="2"/>
  <c r="D11" i="2"/>
  <c r="D7" i="2"/>
  <c r="D38" i="2" s="1"/>
  <c r="H40" i="2"/>
  <c r="H39" i="2"/>
  <c r="H19" i="2"/>
  <c r="H11" i="2"/>
  <c r="H7" i="2"/>
  <c r="E19" i="2"/>
  <c r="E11" i="2"/>
  <c r="E7" i="2"/>
  <c r="E38" i="2" s="1"/>
  <c r="I19" i="2"/>
  <c r="I11" i="2"/>
  <c r="I7" i="2"/>
  <c r="I38" i="2" s="1"/>
  <c r="I40" i="2"/>
  <c r="I39" i="2"/>
  <c r="G26" i="2"/>
  <c r="Q26" i="2"/>
  <c r="Q19" i="2"/>
  <c r="Q11" i="2"/>
  <c r="Q7" i="2"/>
  <c r="Q38" i="2" s="1"/>
  <c r="R26" i="2"/>
  <c r="R19" i="2"/>
  <c r="R11" i="2"/>
  <c r="R7" i="2"/>
  <c r="S19" i="2"/>
  <c r="S11" i="2"/>
  <c r="S7" i="2"/>
  <c r="K39" i="2"/>
  <c r="K40" i="2"/>
  <c r="G40" i="2"/>
  <c r="G39" i="2"/>
  <c r="G19" i="2"/>
  <c r="G11" i="2"/>
  <c r="G7" i="2"/>
  <c r="G38" i="2" s="1"/>
  <c r="K19" i="2"/>
  <c r="K11" i="2"/>
  <c r="K7" i="2"/>
  <c r="F3" i="1"/>
  <c r="AG44" i="2"/>
  <c r="T10" i="2" l="1"/>
  <c r="T36" i="2" s="1"/>
  <c r="U31" i="2"/>
  <c r="U5" i="2"/>
  <c r="V5" i="2" s="1"/>
  <c r="W5" i="2" s="1"/>
  <c r="X5" i="2" s="1"/>
  <c r="Y5" i="2" s="1"/>
  <c r="Z5" i="2" s="1"/>
  <c r="AA5" i="2" s="1"/>
  <c r="AB5" i="2" s="1"/>
  <c r="AC5" i="2" s="1"/>
  <c r="U30" i="2"/>
  <c r="V4" i="2"/>
  <c r="L38" i="2"/>
  <c r="L19" i="2"/>
  <c r="N8" i="2"/>
  <c r="M7" i="2"/>
  <c r="M13" i="2" s="1"/>
  <c r="L33" i="2"/>
  <c r="T7" i="2"/>
  <c r="M34" i="2"/>
  <c r="M8" i="2"/>
  <c r="M11" i="2" s="1"/>
  <c r="N34" i="2"/>
  <c r="N11" i="2"/>
  <c r="N12" i="2" s="1"/>
  <c r="N37" i="2" s="1"/>
  <c r="M38" i="2"/>
  <c r="T13" i="2"/>
  <c r="L11" i="2"/>
  <c r="L12" i="2" s="1"/>
  <c r="L37" i="2" s="1"/>
  <c r="U3" i="2"/>
  <c r="N19" i="2"/>
  <c r="T8" i="2"/>
  <c r="T14" i="2"/>
  <c r="U14" i="2" s="1"/>
  <c r="V14" i="2" s="1"/>
  <c r="W14" i="2" s="1"/>
  <c r="X14" i="2" s="1"/>
  <c r="M19" i="2"/>
  <c r="W6" i="2"/>
  <c r="V31" i="2"/>
  <c r="V32" i="2"/>
  <c r="U32" i="2"/>
  <c r="W31" i="2"/>
  <c r="T35" i="2"/>
  <c r="T31" i="2"/>
  <c r="T32" i="2"/>
  <c r="U29" i="2"/>
  <c r="J19" i="2"/>
  <c r="J11" i="2"/>
  <c r="F11" i="2"/>
  <c r="K33" i="2"/>
  <c r="S12" i="2"/>
  <c r="J40" i="2"/>
  <c r="K38" i="2"/>
  <c r="S20" i="2"/>
  <c r="F7" i="2"/>
  <c r="K12" i="2"/>
  <c r="J7" i="2"/>
  <c r="J38" i="2" s="1"/>
  <c r="F19" i="2"/>
  <c r="J39" i="2"/>
  <c r="C12" i="2"/>
  <c r="C37" i="2" s="1"/>
  <c r="C38" i="2"/>
  <c r="G33" i="2"/>
  <c r="D12" i="2"/>
  <c r="H33" i="2"/>
  <c r="H12" i="2"/>
  <c r="H38" i="2"/>
  <c r="E12" i="2"/>
  <c r="I12" i="2"/>
  <c r="I20" i="2" s="1"/>
  <c r="I23" i="2" s="1"/>
  <c r="I25" i="2" s="1"/>
  <c r="I27" i="2" s="1"/>
  <c r="I33" i="2"/>
  <c r="Q12" i="2"/>
  <c r="R12" i="2"/>
  <c r="R20" i="2" s="1"/>
  <c r="R23" i="2" s="1"/>
  <c r="R25" i="2" s="1"/>
  <c r="G12" i="2"/>
  <c r="R33" i="2"/>
  <c r="R38" i="2"/>
  <c r="S39" i="2"/>
  <c r="S40" i="2"/>
  <c r="U40" i="2"/>
  <c r="U22" i="2"/>
  <c r="V22" i="2" s="1"/>
  <c r="W22" i="2" s="1"/>
  <c r="X22" i="2" s="1"/>
  <c r="Y22" i="2" s="1"/>
  <c r="Z22" i="2" s="1"/>
  <c r="AA22" i="2" s="1"/>
  <c r="AB22" i="2" s="1"/>
  <c r="AC22" i="2" s="1"/>
  <c r="R39" i="2"/>
  <c r="R40" i="2"/>
  <c r="N33" i="2" l="1"/>
  <c r="T11" i="2"/>
  <c r="T12" i="2"/>
  <c r="M33" i="2"/>
  <c r="N20" i="2"/>
  <c r="L20" i="2"/>
  <c r="L41" i="2" s="1"/>
  <c r="M12" i="2"/>
  <c r="M37" i="2" s="1"/>
  <c r="W4" i="2"/>
  <c r="V30" i="2"/>
  <c r="V3" i="2"/>
  <c r="U7" i="2"/>
  <c r="T34" i="2"/>
  <c r="X6" i="2"/>
  <c r="W32" i="2"/>
  <c r="X31" i="2"/>
  <c r="F12" i="2"/>
  <c r="F37" i="2" s="1"/>
  <c r="F38" i="2"/>
  <c r="G20" i="2"/>
  <c r="G37" i="2"/>
  <c r="Q20" i="2"/>
  <c r="Q37" i="2"/>
  <c r="K20" i="2"/>
  <c r="K37" i="2"/>
  <c r="C20" i="2"/>
  <c r="C23" i="2" s="1"/>
  <c r="J33" i="2"/>
  <c r="J12" i="2"/>
  <c r="J20" i="2" s="1"/>
  <c r="D20" i="2"/>
  <c r="D37" i="2"/>
  <c r="H37" i="2"/>
  <c r="H20" i="2"/>
  <c r="E20" i="2"/>
  <c r="E37" i="2"/>
  <c r="I37" i="2"/>
  <c r="S33" i="2"/>
  <c r="S38" i="2"/>
  <c r="V40" i="2"/>
  <c r="T40" i="2"/>
  <c r="T39" i="2"/>
  <c r="T33" i="2"/>
  <c r="W30" i="2" l="1"/>
  <c r="X4" i="2"/>
  <c r="N41" i="2"/>
  <c r="N23" i="2"/>
  <c r="N24" i="2" s="1"/>
  <c r="N42" i="2" s="1"/>
  <c r="L23" i="2"/>
  <c r="L42" i="2" s="1"/>
  <c r="M20" i="2"/>
  <c r="U13" i="2"/>
  <c r="U12" i="2"/>
  <c r="W3" i="2"/>
  <c r="V29" i="2"/>
  <c r="V7" i="2"/>
  <c r="Y6" i="2"/>
  <c r="X32" i="2"/>
  <c r="Y31" i="2"/>
  <c r="F20" i="2"/>
  <c r="F23" i="2" s="1"/>
  <c r="F25" i="2" s="1"/>
  <c r="T38" i="2"/>
  <c r="T19" i="2"/>
  <c r="T20" i="2" s="1"/>
  <c r="K23" i="2"/>
  <c r="K41" i="2"/>
  <c r="Q23" i="2"/>
  <c r="Q41" i="2"/>
  <c r="G23" i="2"/>
  <c r="G41" i="2"/>
  <c r="J37" i="2"/>
  <c r="C41" i="2"/>
  <c r="C42" i="2"/>
  <c r="C25" i="2"/>
  <c r="J41" i="2"/>
  <c r="J23" i="2"/>
  <c r="D41" i="2"/>
  <c r="D23" i="2"/>
  <c r="H41" i="2"/>
  <c r="H23" i="2"/>
  <c r="E41" i="2"/>
  <c r="E23" i="2"/>
  <c r="I41" i="2"/>
  <c r="W15" i="2"/>
  <c r="X15" i="2" s="1"/>
  <c r="S37" i="2"/>
  <c r="T37" i="2"/>
  <c r="U39" i="2"/>
  <c r="U33" i="2"/>
  <c r="L25" i="2" l="1"/>
  <c r="L43" i="2" s="1"/>
  <c r="M23" i="2"/>
  <c r="M24" i="2" s="1"/>
  <c r="M42" i="2" s="1"/>
  <c r="M41" i="2"/>
  <c r="N25" i="2"/>
  <c r="Y4" i="2"/>
  <c r="X30" i="2"/>
  <c r="V12" i="2"/>
  <c r="V13" i="2"/>
  <c r="X3" i="2"/>
  <c r="W29" i="2"/>
  <c r="W7" i="2"/>
  <c r="Z6" i="2"/>
  <c r="Y32" i="2"/>
  <c r="Z31" i="2"/>
  <c r="F42" i="2"/>
  <c r="F41" i="2"/>
  <c r="G25" i="2"/>
  <c r="G42" i="2"/>
  <c r="Q25" i="2"/>
  <c r="Q42" i="2"/>
  <c r="K42" i="2"/>
  <c r="U38" i="2"/>
  <c r="U19" i="2"/>
  <c r="U20" i="2" s="1"/>
  <c r="F43" i="2"/>
  <c r="F27" i="2"/>
  <c r="C43" i="2"/>
  <c r="C27" i="2"/>
  <c r="J42" i="2"/>
  <c r="J25" i="2"/>
  <c r="D42" i="2"/>
  <c r="D25" i="2"/>
  <c r="H42" i="2"/>
  <c r="H25" i="2"/>
  <c r="E42" i="2"/>
  <c r="E25" i="2"/>
  <c r="I42" i="2"/>
  <c r="W40" i="2"/>
  <c r="S41" i="2"/>
  <c r="S23" i="2"/>
  <c r="S42" i="2" s="1"/>
  <c r="U11" i="2"/>
  <c r="U37" i="2"/>
  <c r="V33" i="2"/>
  <c r="T41" i="2"/>
  <c r="T23" i="2"/>
  <c r="V39" i="2"/>
  <c r="X40" i="2"/>
  <c r="Y15" i="2"/>
  <c r="L27" i="2" l="1"/>
  <c r="Z4" i="2"/>
  <c r="Y30" i="2"/>
  <c r="N27" i="2"/>
  <c r="N43" i="2"/>
  <c r="M25" i="2"/>
  <c r="T24" i="2"/>
  <c r="T42" i="2" s="1"/>
  <c r="W12" i="2"/>
  <c r="W13" i="2"/>
  <c r="Y3" i="2"/>
  <c r="X29" i="2"/>
  <c r="X7" i="2"/>
  <c r="AA6" i="2"/>
  <c r="Z32" i="2"/>
  <c r="AA31" i="2"/>
  <c r="G27" i="2"/>
  <c r="G43" i="2"/>
  <c r="K43" i="2"/>
  <c r="K27" i="2"/>
  <c r="Q27" i="2"/>
  <c r="Q43" i="2"/>
  <c r="V11" i="2"/>
  <c r="V38" i="2"/>
  <c r="V19" i="2"/>
  <c r="V20" i="2" s="1"/>
  <c r="J43" i="2"/>
  <c r="J27" i="2"/>
  <c r="D43" i="2"/>
  <c r="D27" i="2"/>
  <c r="H43" i="2"/>
  <c r="H27" i="2"/>
  <c r="E27" i="2"/>
  <c r="E43" i="2"/>
  <c r="I43" i="2"/>
  <c r="S25" i="2"/>
  <c r="S27" i="2" s="1"/>
  <c r="U41" i="2"/>
  <c r="U23" i="2"/>
  <c r="U24" i="2" s="1"/>
  <c r="V37" i="2"/>
  <c r="W33" i="2"/>
  <c r="W39" i="2"/>
  <c r="Y40" i="2"/>
  <c r="Z15" i="2"/>
  <c r="M27" i="2" l="1"/>
  <c r="M43" i="2"/>
  <c r="AA4" i="2"/>
  <c r="Z30" i="2"/>
  <c r="X12" i="2"/>
  <c r="X13" i="2"/>
  <c r="Z3" i="2"/>
  <c r="Y29" i="2"/>
  <c r="Y7" i="2"/>
  <c r="AB6" i="2"/>
  <c r="AA32" i="2"/>
  <c r="AB31" i="2"/>
  <c r="W38" i="2"/>
  <c r="W19" i="2"/>
  <c r="W20" i="2" s="1"/>
  <c r="W11" i="2"/>
  <c r="T25" i="2"/>
  <c r="T27" i="2" s="1"/>
  <c r="S43" i="2"/>
  <c r="X33" i="2"/>
  <c r="V41" i="2"/>
  <c r="V23" i="2"/>
  <c r="V24" i="2" s="1"/>
  <c r="Y14" i="2"/>
  <c r="X39" i="2"/>
  <c r="W37" i="2"/>
  <c r="U42" i="2"/>
  <c r="Z40" i="2"/>
  <c r="AA15" i="2"/>
  <c r="AB4" i="2" l="1"/>
  <c r="AA30" i="2"/>
  <c r="Y12" i="2"/>
  <c r="Y13" i="2"/>
  <c r="AA3" i="2"/>
  <c r="Z29" i="2"/>
  <c r="Z7" i="2"/>
  <c r="AC6" i="2"/>
  <c r="AB32" i="2"/>
  <c r="AC31" i="2"/>
  <c r="X38" i="2"/>
  <c r="X19" i="2"/>
  <c r="X20" i="2" s="1"/>
  <c r="T43" i="2"/>
  <c r="U25" i="2"/>
  <c r="V25" i="2"/>
  <c r="W41" i="2"/>
  <c r="W23" i="2"/>
  <c r="W24" i="2" s="1"/>
  <c r="Z14" i="2"/>
  <c r="Y39" i="2"/>
  <c r="X37" i="2"/>
  <c r="X11" i="2"/>
  <c r="Y33" i="2"/>
  <c r="AB15" i="2"/>
  <c r="AA40" i="2"/>
  <c r="AC4" i="2" l="1"/>
  <c r="AC30" i="2" s="1"/>
  <c r="AB30" i="2"/>
  <c r="Z12" i="2"/>
  <c r="Z13" i="2"/>
  <c r="AB3" i="2"/>
  <c r="AA29" i="2"/>
  <c r="AA7" i="2"/>
  <c r="AC32" i="2"/>
  <c r="Y38" i="2"/>
  <c r="Y19" i="2"/>
  <c r="Y20" i="2" s="1"/>
  <c r="V42" i="2"/>
  <c r="V27" i="2"/>
  <c r="V43" i="2"/>
  <c r="AA14" i="2"/>
  <c r="Z39" i="2"/>
  <c r="X41" i="2"/>
  <c r="X23" i="2"/>
  <c r="X24" i="2" s="1"/>
  <c r="U27" i="2"/>
  <c r="U43" i="2"/>
  <c r="W25" i="2"/>
  <c r="Y11" i="2"/>
  <c r="Y37" i="2"/>
  <c r="Z33" i="2"/>
  <c r="AC15" i="2"/>
  <c r="AC40" i="2" s="1"/>
  <c r="AB40" i="2"/>
  <c r="AA12" i="2" l="1"/>
  <c r="AA13" i="2"/>
  <c r="AC3" i="2"/>
  <c r="AB29" i="2"/>
  <c r="AB7" i="2"/>
  <c r="Z38" i="2"/>
  <c r="Z19" i="2"/>
  <c r="Z20" i="2" s="1"/>
  <c r="W42" i="2"/>
  <c r="W43" i="2"/>
  <c r="W27" i="2"/>
  <c r="Y41" i="2"/>
  <c r="Y23" i="2"/>
  <c r="Y24" i="2" s="1"/>
  <c r="X42" i="2"/>
  <c r="AA33" i="2"/>
  <c r="Z11" i="2"/>
  <c r="Z37" i="2"/>
  <c r="AB14" i="2"/>
  <c r="AA39" i="2"/>
  <c r="AB12" i="2" l="1"/>
  <c r="AB13" i="2"/>
  <c r="AC29" i="2"/>
  <c r="AC7" i="2"/>
  <c r="AA11" i="2"/>
  <c r="AA38" i="2"/>
  <c r="AA19" i="2"/>
  <c r="AA20" i="2" s="1"/>
  <c r="Z41" i="2"/>
  <c r="Z23" i="2"/>
  <c r="Z24" i="2" s="1"/>
  <c r="X25" i="2"/>
  <c r="AC14" i="2"/>
  <c r="AC39" i="2" s="1"/>
  <c r="AB39" i="2"/>
  <c r="AB33" i="2"/>
  <c r="Y25" i="2"/>
  <c r="AA37" i="2"/>
  <c r="AC12" i="2" l="1"/>
  <c r="AC13" i="2"/>
  <c r="AB38" i="2"/>
  <c r="AB19" i="2"/>
  <c r="AB20" i="2" s="1"/>
  <c r="Y42" i="2"/>
  <c r="Y27" i="2"/>
  <c r="Y43" i="2"/>
  <c r="Z42" i="2"/>
  <c r="AC33" i="2"/>
  <c r="AB11" i="2"/>
  <c r="AB37" i="2"/>
  <c r="AA41" i="2"/>
  <c r="AA23" i="2"/>
  <c r="AA24" i="2" s="1"/>
  <c r="X27" i="2"/>
  <c r="X43" i="2"/>
  <c r="AC38" i="2" l="1"/>
  <c r="AC19" i="2"/>
  <c r="AC20" i="2" s="1"/>
  <c r="Z25" i="2"/>
  <c r="Z27" i="2" s="1"/>
  <c r="AA42" i="2"/>
  <c r="AB41" i="2"/>
  <c r="AB23" i="2"/>
  <c r="AB24" i="2" s="1"/>
  <c r="AC11" i="2"/>
  <c r="AC37" i="2"/>
  <c r="Z43" i="2" l="1"/>
  <c r="AA25" i="2"/>
  <c r="AC41" i="2"/>
  <c r="AC23" i="2"/>
  <c r="AC24" i="2" s="1"/>
  <c r="AB42" i="2"/>
  <c r="AB25" i="2" l="1"/>
  <c r="AB43" i="2" s="1"/>
  <c r="AC42" i="2"/>
  <c r="AA43" i="2"/>
  <c r="AA27" i="2"/>
  <c r="AB27" i="2" l="1"/>
  <c r="AC25" i="2"/>
  <c r="AC27" i="2" l="1"/>
  <c r="AC43" i="2"/>
  <c r="AD25" i="2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CU25" i="2" s="1"/>
  <c r="CV25" i="2" s="1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DG25" i="2" s="1"/>
  <c r="DH25" i="2" s="1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S25" i="2" s="1"/>
  <c r="DT25" i="2" s="1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EE25" i="2" s="1"/>
  <c r="EF25" i="2" s="1"/>
  <c r="EG25" i="2" s="1"/>
  <c r="EH25" i="2" s="1"/>
  <c r="EI25" i="2" s="1"/>
  <c r="EJ25" i="2" s="1"/>
  <c r="EK25" i="2" s="1"/>
  <c r="EL25" i="2" s="1"/>
  <c r="EM25" i="2" s="1"/>
  <c r="EN25" i="2" s="1"/>
  <c r="EO25" i="2" s="1"/>
  <c r="EP25" i="2" s="1"/>
  <c r="EQ25" i="2" s="1"/>
  <c r="ER25" i="2" s="1"/>
  <c r="ES25" i="2" s="1"/>
  <c r="ET25" i="2" s="1"/>
  <c r="D8" i="1" l="1"/>
  <c r="AG41" i="2" s="1"/>
  <c r="AG42" i="2" s="1"/>
  <c r="AG43" i="2" s="1"/>
  <c r="AG45" i="2" s="1"/>
  <c r="D5" i="1"/>
  <c r="D9" i="1" l="1"/>
  <c r="R37" i="2" l="1"/>
  <c r="R41" i="2" l="1"/>
  <c r="R42" i="2" l="1"/>
  <c r="R43" i="2" l="1"/>
  <c r="R27" i="2"/>
</calcChain>
</file>

<file path=xl/sharedStrings.xml><?xml version="1.0" encoding="utf-8"?>
<sst xmlns="http://schemas.openxmlformats.org/spreadsheetml/2006/main" count="76" uniqueCount="68">
  <si>
    <t>Price</t>
  </si>
  <si>
    <t>Shares</t>
  </si>
  <si>
    <t>SPOT</t>
  </si>
  <si>
    <t>MC</t>
  </si>
  <si>
    <t>Cash</t>
  </si>
  <si>
    <t>Debt</t>
  </si>
  <si>
    <t>Net Cash</t>
  </si>
  <si>
    <t>EV</t>
  </si>
  <si>
    <t>Gross profit</t>
  </si>
  <si>
    <t>Q124</t>
  </si>
  <si>
    <t>Q224</t>
  </si>
  <si>
    <t>Q324</t>
  </si>
  <si>
    <t>Q424</t>
  </si>
  <si>
    <t>R&amp;D</t>
  </si>
  <si>
    <t>S&amp;M</t>
  </si>
  <si>
    <t>G&amp;A</t>
  </si>
  <si>
    <t>Operating profit</t>
  </si>
  <si>
    <t>Interest income</t>
  </si>
  <si>
    <t>Interest expense</t>
  </si>
  <si>
    <t>Pretax profit</t>
  </si>
  <si>
    <t>Taxes</t>
  </si>
  <si>
    <t>Net profit</t>
  </si>
  <si>
    <t>EPS</t>
  </si>
  <si>
    <t>Revenue y/y</t>
  </si>
  <si>
    <t>Gross Margin</t>
  </si>
  <si>
    <t>S&amp;M Margin</t>
  </si>
  <si>
    <t>R&amp;D y/y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</si>
  <si>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</si>
  <si>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</si>
  <si>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</si>
  <si>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</si>
  <si>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</si>
  <si>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</si>
  <si>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</si>
  <si>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</si>
  <si>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</si>
  <si>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</si>
  <si>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</si>
  <si>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Last checked</t>
  </si>
  <si>
    <t>Today</t>
  </si>
  <si>
    <t>Earnings</t>
  </si>
  <si>
    <t>Cloud revenue</t>
  </si>
  <si>
    <t>Software revenue</t>
  </si>
  <si>
    <t>Services revenue</t>
  </si>
  <si>
    <t>Hardware revenue</t>
  </si>
  <si>
    <t>Total revenue</t>
  </si>
  <si>
    <t>Hardware cost</t>
  </si>
  <si>
    <t>Services cost</t>
  </si>
  <si>
    <t>Total cost of sales</t>
  </si>
  <si>
    <t>Cloud &amp; software cost</t>
  </si>
  <si>
    <t>Amortisation</t>
  </si>
  <si>
    <t>Acquisition</t>
  </si>
  <si>
    <t>Restructuring</t>
  </si>
  <si>
    <t>Total opex</t>
  </si>
  <si>
    <t>Q125</t>
  </si>
  <si>
    <t>Q225</t>
  </si>
  <si>
    <t>Q325</t>
  </si>
  <si>
    <t>Q425</t>
  </si>
  <si>
    <t>Consensus</t>
  </si>
  <si>
    <t>Q126</t>
  </si>
  <si>
    <t>Q226</t>
  </si>
  <si>
    <t>Q326</t>
  </si>
  <si>
    <t>Q426</t>
  </si>
  <si>
    <t>Cloud revenue y/y</t>
  </si>
  <si>
    <t>Software revenue y/y</t>
  </si>
  <si>
    <t>Hardware revenue y/y</t>
  </si>
  <si>
    <t>Services revenue y/y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</si>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</sst>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4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</xdr:colOff>
      <xdr:row>0</xdr:row>
      <xdr:rowOff>22860</xdr:rowOff>
    </xdr:from>
    <xdr:to>
      <xdr:col>19</xdr:col>
      <xdr:colOff>22860</xdr:colOff>
      <xdr:row>50</xdr:row>
      <xdr:rowOff>137160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E28E6C7-55BC-708D-3B73-00611B1957FC}"/>
            </a:ext>
          </a:extLst>
        </xdr:cNvPr>
        <xdr:cNvCxnSpPr/>
      </xdr:nvCxnSpPr>
      <xdr:spPr>
        <a:xfrm>
          <a:off x="14150340" y="22860"/>
          <a:ext cx="0" cy="797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0</xdr:row>
      <xdr:rowOff>15240</xdr:rowOff>
    </xdr:from>
    <xdr:to>
      <xdr:col>12</xdr:col>
      <xdr:colOff>15240</xdr:colOff>
      <xdr:row>51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2C9095B-0420-0752-1ECB-AF37DF8E5823}"/>
            </a:ext>
          </a:extLst>
        </xdr:cNvPr>
        <xdr:cNvCxnSpPr/>
      </xdr:nvCxnSpPr>
      <xdr:spPr>
        <a:xfrm>
          <a:off x="9189720" y="15240"/>
          <a:ext cx="0" cy="9418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8CC4-E306-414A-97AD-350C733B6231}">
  <dimension ref="B2:G9"/>
  <sheetViews>
    <sheetView workbookViewId="0">
      <selection activeCell="D7" sqref="D7"/>
    </sheetView>
  </sheetViews>
  <sheetFormatPr defaultRowHeight="14.4" x14ac:dyDescent="0.3"/>
  <cols>
    <col min="4" max="4" width="8.88671875" customWidth="1"/>
    <col min="5" max="5" width="11.88671875" style="9" bestFit="1" customWidth="1"/>
    <col min="6" max="7" width="11.21875" style="9" bestFit="1" customWidth="1"/>
  </cols>
  <sheetData>
    <row r="2" spans="2:7" x14ac:dyDescent="0.3">
      <c r="E2" s="9" t="s">
        <v>38</v>
      </c>
      <c r="F2" s="9" t="s">
        <v>39</v>
      </c>
      <c r="G2" s="9" t="s">
        <v>40</v>
      </c>
    </row>
    <row r="3" spans="2:7" x14ac:dyDescent="0.3">
      <c r="B3" s="1" t="s">
        <v>2</v>
      </c>
      <c r="C3" t="s">
        <v>0</v>
      </c>
      <c r="D3" s="2">
        <v>169.01</v>
      </c>
      <c r="E3" s="10">
        <v>46052</v>
      </c>
      <c r="F3" s="10">
        <f ca="1">TODAY()</f>
        <v>46059</v>
      </c>
      <c r="G3" s="10">
        <v>46090</v>
      </c>
    </row>
    <row r="4" spans="2:7" x14ac:dyDescent="0.3">
      <c r="C4" t="s">
        <v>1</v>
      </c>
      <c r="D4" s="3">
        <f>2873.1</f>
        <v>2873.1</v>
      </c>
      <c r="E4" s="9" t="s">
        <v>60</v>
      </c>
    </row>
    <row r="5" spans="2:7" x14ac:dyDescent="0.3">
      <c r="C5" t="s">
        <v>3</v>
      </c>
      <c r="D5" s="3">
        <f>D3*D4</f>
        <v>485582.63099999994</v>
      </c>
    </row>
    <row r="6" spans="2:7" x14ac:dyDescent="0.3">
      <c r="C6" t="s">
        <v>4</v>
      </c>
      <c r="D6" s="3">
        <f>19241+525</f>
        <v>19766</v>
      </c>
      <c r="E6" s="9" t="s">
        <v>60</v>
      </c>
    </row>
    <row r="7" spans="2:7" x14ac:dyDescent="0.3">
      <c r="C7" t="s">
        <v>5</v>
      </c>
      <c r="D7" s="3">
        <f>8091+99984</f>
        <v>108075</v>
      </c>
      <c r="E7" s="9" t="s">
        <v>60</v>
      </c>
    </row>
    <row r="8" spans="2:7" x14ac:dyDescent="0.3">
      <c r="C8" t="s">
        <v>6</v>
      </c>
      <c r="D8" s="3">
        <f>D6-D7</f>
        <v>-88309</v>
      </c>
    </row>
    <row r="9" spans="2:7" x14ac:dyDescent="0.3">
      <c r="C9" t="s">
        <v>7</v>
      </c>
      <c r="D9" s="3">
        <f>D5-D8</f>
        <v>573891.63099999994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FFE6-9573-4939-BEB9-032C9BA8B7EC}">
  <dimension ref="B1:ET46"/>
  <sheetViews>
    <sheetView tabSelected="1" workbookViewId="0">
      <pane xSplit="2" ySplit="2" topLeftCell="R21" activePane="bottomRight" state="frozen"/>
      <selection pane="topRight" activeCell="C1" sqref="C1"/>
      <selection pane="bottomLeft" activeCell="A3" sqref="A3"/>
      <selection pane="bottomRight" activeCell="AG46" sqref="AG46"/>
    </sheetView>
  </sheetViews>
  <sheetFormatPr defaultRowHeight="14.4" x14ac:dyDescent="0.3"/>
  <cols>
    <col min="2" max="2" width="19.33203125" bestFit="1" customWidth="1"/>
    <col min="3" max="14" width="10.5546875" bestFit="1" customWidth="1"/>
    <col min="16" max="29" width="10.5546875" bestFit="1" customWidth="1"/>
    <col min="32" max="32" width="14.5546875" customWidth="1"/>
    <col min="33" max="33" width="16.44140625" bestFit="1" customWidth="1"/>
  </cols>
  <sheetData>
    <row r="1" spans="2:29" x14ac:dyDescent="0.3">
      <c r="C1" s="11">
        <v>45169</v>
      </c>
      <c r="D1" s="11">
        <v>45260</v>
      </c>
      <c r="E1" s="11">
        <v>45351</v>
      </c>
      <c r="F1" s="11">
        <v>45443</v>
      </c>
      <c r="G1" s="11">
        <v>45535</v>
      </c>
      <c r="H1" s="11">
        <v>45626</v>
      </c>
      <c r="I1" s="11">
        <v>45716</v>
      </c>
      <c r="J1" s="11">
        <v>45808</v>
      </c>
      <c r="K1" s="11">
        <v>45900</v>
      </c>
      <c r="L1" s="11">
        <v>45991</v>
      </c>
      <c r="M1" s="11">
        <v>46081</v>
      </c>
      <c r="N1" s="11">
        <v>46173</v>
      </c>
      <c r="P1" s="11">
        <v>44712</v>
      </c>
      <c r="Q1" s="11">
        <v>45077</v>
      </c>
      <c r="R1" s="11">
        <v>45443</v>
      </c>
      <c r="S1" s="11">
        <v>45808</v>
      </c>
      <c r="T1" s="11">
        <v>46173</v>
      </c>
      <c r="U1" s="11">
        <v>46538</v>
      </c>
      <c r="V1" s="11">
        <v>46904</v>
      </c>
      <c r="W1" s="11">
        <v>47269</v>
      </c>
      <c r="X1" s="11">
        <v>47634</v>
      </c>
      <c r="Y1" s="11">
        <v>47999</v>
      </c>
      <c r="Z1" s="11">
        <v>48365</v>
      </c>
      <c r="AA1" s="11">
        <v>48730</v>
      </c>
      <c r="AB1" s="11">
        <v>49095</v>
      </c>
      <c r="AC1" s="11">
        <v>49460</v>
      </c>
    </row>
    <row r="2" spans="2:29" x14ac:dyDescent="0.3">
      <c r="C2" s="4" t="s">
        <v>9</v>
      </c>
      <c r="D2" s="4" t="s">
        <v>10</v>
      </c>
      <c r="E2" s="4" t="s">
        <v>11</v>
      </c>
      <c r="F2" s="4" t="s">
        <v>12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59</v>
      </c>
      <c r="L2" s="4" t="s">
        <v>60</v>
      </c>
      <c r="M2" s="4" t="s">
        <v>61</v>
      </c>
      <c r="N2" s="4" t="s">
        <v>62</v>
      </c>
      <c r="P2">
        <v>2022</v>
      </c>
      <c r="Q2">
        <v>2023</v>
      </c>
      <c r="R2">
        <v>2024</v>
      </c>
      <c r="S2">
        <v>2025</v>
      </c>
      <c r="T2">
        <v>2026</v>
      </c>
      <c r="U2">
        <v>2027</v>
      </c>
      <c r="V2">
        <v>2028</v>
      </c>
      <c r="W2">
        <v>2029</v>
      </c>
      <c r="X2">
        <v>2030</v>
      </c>
      <c r="Y2">
        <v>2031</v>
      </c>
      <c r="Z2">
        <v>2032</v>
      </c>
      <c r="AA2">
        <v>2033</v>
      </c>
      <c r="AB2">
        <v>2034</v>
      </c>
      <c r="AC2">
        <v>2035</v>
      </c>
    </row>
    <row r="3" spans="2:29" x14ac:dyDescent="0.3">
      <c r="B3" t="s">
        <v>41</v>
      </c>
      <c r="C3" s="12">
        <v>9547</v>
      </c>
      <c r="D3" s="12">
        <v>9639</v>
      </c>
      <c r="E3" s="12">
        <v>9963</v>
      </c>
      <c r="F3" s="12"/>
      <c r="G3" s="12">
        <v>5623</v>
      </c>
      <c r="H3" s="12">
        <v>5937</v>
      </c>
      <c r="I3" s="14">
        <v>11007</v>
      </c>
      <c r="J3" s="12"/>
      <c r="K3" s="12">
        <v>7186</v>
      </c>
      <c r="L3" s="12">
        <v>7977</v>
      </c>
      <c r="M3" s="12">
        <f>L3*1.07</f>
        <v>8535.3900000000012</v>
      </c>
      <c r="N3" s="12">
        <f>M3*1.06</f>
        <v>9047.5134000000016</v>
      </c>
      <c r="Q3" s="3">
        <v>35307</v>
      </c>
      <c r="R3" s="3">
        <v>39383</v>
      </c>
      <c r="S3" s="3">
        <v>44029</v>
      </c>
      <c r="T3" s="3">
        <f>SUM(K3:N3)</f>
        <v>32745.903400000003</v>
      </c>
      <c r="U3" s="3">
        <f>T3*1.25</f>
        <v>40932.379250000005</v>
      </c>
      <c r="V3" s="3">
        <f>U3*1.15</f>
        <v>47072.236137500004</v>
      </c>
      <c r="W3" s="3">
        <f>V3*1.1</f>
        <v>51779.459751250011</v>
      </c>
      <c r="X3" s="3">
        <f>W3*1.05</f>
        <v>54368.432738812517</v>
      </c>
      <c r="Y3" s="3">
        <f>X3*1.04</f>
        <v>56543.17004836502</v>
      </c>
      <c r="Z3" s="3">
        <f>Y3*1.03</f>
        <v>58239.465149815973</v>
      </c>
      <c r="AA3" s="3">
        <f t="shared" ref="AA3:AC3" si="0">Z3*1.03</f>
        <v>59986.649104310454</v>
      </c>
      <c r="AB3" s="3">
        <f t="shared" si="0"/>
        <v>61786.248577439772</v>
      </c>
      <c r="AC3" s="3">
        <f t="shared" si="0"/>
        <v>63639.836034762964</v>
      </c>
    </row>
    <row r="4" spans="2:29" x14ac:dyDescent="0.3">
      <c r="B4" t="s">
        <v>42</v>
      </c>
      <c r="C4" s="12">
        <v>809</v>
      </c>
      <c r="D4" s="12">
        <v>1178</v>
      </c>
      <c r="E4" s="12">
        <v>1256</v>
      </c>
      <c r="F4" s="12"/>
      <c r="G4" s="12">
        <v>5766</v>
      </c>
      <c r="H4" s="12">
        <v>6064</v>
      </c>
      <c r="I4" s="14">
        <v>1129</v>
      </c>
      <c r="J4" s="12"/>
      <c r="K4" s="12">
        <v>5721</v>
      </c>
      <c r="L4" s="12">
        <v>5877</v>
      </c>
      <c r="M4" s="12">
        <f t="shared" ref="M4:N4" si="1">L4*1.01</f>
        <v>5935.77</v>
      </c>
      <c r="N4" s="12">
        <f t="shared" si="1"/>
        <v>5995.1277000000009</v>
      </c>
      <c r="Q4" s="3">
        <v>5779</v>
      </c>
      <c r="R4" s="3">
        <v>5081</v>
      </c>
      <c r="S4" s="3">
        <v>5201</v>
      </c>
      <c r="T4" s="3">
        <f t="shared" ref="T4:T6" si="2">SUM(K4:N4)</f>
        <v>23528.897700000001</v>
      </c>
      <c r="U4" s="3">
        <f>T4*1.02</f>
        <v>23999.475654000002</v>
      </c>
      <c r="V4" s="3">
        <f t="shared" ref="V4:X4" si="3">U4*1.02</f>
        <v>24479.465167080001</v>
      </c>
      <c r="W4" s="3">
        <f t="shared" si="3"/>
        <v>24969.054470421601</v>
      </c>
      <c r="X4" s="3">
        <f t="shared" si="3"/>
        <v>25468.435559830032</v>
      </c>
      <c r="Y4" s="3">
        <f>X4*1.01</f>
        <v>25723.119915428331</v>
      </c>
      <c r="Z4" s="3">
        <f t="shared" ref="Z4:AC4" si="4">Y4*1.01</f>
        <v>25980.351114582616</v>
      </c>
      <c r="AA4" s="3">
        <f t="shared" si="4"/>
        <v>26240.154625728443</v>
      </c>
      <c r="AB4" s="3">
        <f t="shared" si="4"/>
        <v>26502.556171985729</v>
      </c>
      <c r="AC4" s="3">
        <f t="shared" si="4"/>
        <v>26767.581733705585</v>
      </c>
    </row>
    <row r="5" spans="2:29" x14ac:dyDescent="0.3">
      <c r="B5" t="s">
        <v>44</v>
      </c>
      <c r="C5" s="12">
        <v>714</v>
      </c>
      <c r="D5" s="12">
        <v>756</v>
      </c>
      <c r="E5" s="12">
        <v>754</v>
      </c>
      <c r="F5" s="12">
        <f>R5-E5-D5-C5</f>
        <v>842</v>
      </c>
      <c r="G5" s="12">
        <v>655</v>
      </c>
      <c r="H5" s="12">
        <v>728</v>
      </c>
      <c r="I5" s="14">
        <v>703</v>
      </c>
      <c r="J5" s="12">
        <f>S5-I5-H5-G5</f>
        <v>850</v>
      </c>
      <c r="K5" s="12">
        <v>670</v>
      </c>
      <c r="L5" s="12">
        <v>776</v>
      </c>
      <c r="M5" s="12">
        <f t="shared" ref="M5:N5" si="5">I5*1.01</f>
        <v>710.03</v>
      </c>
      <c r="N5" s="12">
        <f t="shared" si="5"/>
        <v>858.5</v>
      </c>
      <c r="Q5" s="3">
        <v>3274</v>
      </c>
      <c r="R5" s="3">
        <v>3066</v>
      </c>
      <c r="S5" s="3">
        <v>2936</v>
      </c>
      <c r="T5" s="3">
        <f t="shared" si="2"/>
        <v>3014.5299999999997</v>
      </c>
      <c r="U5" s="3">
        <f t="shared" ref="U5" si="6">T5*1.02</f>
        <v>3074.8206</v>
      </c>
      <c r="V5" s="3">
        <f>U5*1.01</f>
        <v>3105.5688060000002</v>
      </c>
      <c r="W5" s="3">
        <f t="shared" ref="W5:AC5" si="7">V5*1.01</f>
        <v>3136.6244940600004</v>
      </c>
      <c r="X5" s="3">
        <f t="shared" si="7"/>
        <v>3167.9907390006006</v>
      </c>
      <c r="Y5" s="3">
        <f t="shared" si="7"/>
        <v>3199.6706463906066</v>
      </c>
      <c r="Z5" s="3">
        <f t="shared" si="7"/>
        <v>3231.667352854513</v>
      </c>
      <c r="AA5" s="3">
        <f t="shared" si="7"/>
        <v>3263.9840263830583</v>
      </c>
      <c r="AB5" s="3">
        <f t="shared" si="7"/>
        <v>3296.6238666468889</v>
      </c>
      <c r="AC5" s="3">
        <f t="shared" si="7"/>
        <v>3329.590105313358</v>
      </c>
    </row>
    <row r="6" spans="2:29" x14ac:dyDescent="0.3">
      <c r="B6" t="s">
        <v>43</v>
      </c>
      <c r="C6" s="12">
        <v>1383</v>
      </c>
      <c r="D6" s="12">
        <v>1368</v>
      </c>
      <c r="E6" s="12">
        <v>1307</v>
      </c>
      <c r="F6" s="12">
        <f>R6-E6-D6-C6</f>
        <v>1373</v>
      </c>
      <c r="G6" s="12">
        <v>1263</v>
      </c>
      <c r="H6" s="12">
        <v>1330</v>
      </c>
      <c r="I6" s="14">
        <v>1291</v>
      </c>
      <c r="J6" s="12">
        <f>S6-I6-H6-G6</f>
        <v>1349</v>
      </c>
      <c r="K6" s="12">
        <v>1349</v>
      </c>
      <c r="L6" s="12">
        <v>1428</v>
      </c>
      <c r="M6" s="12">
        <f>I6*1.04</f>
        <v>1342.64</v>
      </c>
      <c r="N6" s="12">
        <f>J6*1.03</f>
        <v>1389.47</v>
      </c>
      <c r="Q6" s="3">
        <v>5594</v>
      </c>
      <c r="R6" s="3">
        <v>5431</v>
      </c>
      <c r="S6" s="3">
        <v>5233</v>
      </c>
      <c r="T6" s="3">
        <f t="shared" si="2"/>
        <v>5509.1100000000006</v>
      </c>
      <c r="U6" s="3">
        <f>T6*1.05</f>
        <v>5784.5655000000006</v>
      </c>
      <c r="V6" s="3">
        <f>U6*1.05</f>
        <v>6073.793775000001</v>
      </c>
      <c r="W6" s="3">
        <f>V6*1.04</f>
        <v>6316.7455260000015</v>
      </c>
      <c r="X6" s="3">
        <f>W6*1.03</f>
        <v>6506.2478917800017</v>
      </c>
      <c r="Y6" s="3">
        <f t="shared" ref="Y6:AC6" si="8">X6*1.03</f>
        <v>6701.4353285334018</v>
      </c>
      <c r="Z6" s="3">
        <f t="shared" si="8"/>
        <v>6902.4783883894042</v>
      </c>
      <c r="AA6" s="3">
        <f t="shared" si="8"/>
        <v>7109.5527400410865</v>
      </c>
      <c r="AB6" s="3">
        <f t="shared" si="8"/>
        <v>7322.8393222423192</v>
      </c>
      <c r="AC6" s="3">
        <f t="shared" si="8"/>
        <v>7542.5245019095892</v>
      </c>
    </row>
    <row r="7" spans="2:29" s="1" customFormat="1" x14ac:dyDescent="0.3">
      <c r="B7" s="1" t="s">
        <v>45</v>
      </c>
      <c r="C7" s="5">
        <f>SUM(C3:C6)</f>
        <v>12453</v>
      </c>
      <c r="D7" s="5">
        <f>SUM(D3:D6)</f>
        <v>12941</v>
      </c>
      <c r="E7" s="5">
        <f>SUM(E3:E6)</f>
        <v>13280</v>
      </c>
      <c r="F7" s="13">
        <f>R7-E7-D7-C7</f>
        <v>14287</v>
      </c>
      <c r="G7" s="5">
        <f>SUM(G3:G6)</f>
        <v>13307</v>
      </c>
      <c r="H7" s="5">
        <f>SUM(H3:H6)</f>
        <v>14059</v>
      </c>
      <c r="I7" s="5">
        <f>SUM(I3:I6)</f>
        <v>14130</v>
      </c>
      <c r="J7" s="13">
        <f>S7-I7-H7-G7</f>
        <v>15903</v>
      </c>
      <c r="K7" s="5">
        <f>SUM(K3:K6)</f>
        <v>14926</v>
      </c>
      <c r="L7" s="5">
        <f t="shared" ref="L7:N7" si="9">SUM(L3:L6)</f>
        <v>16058</v>
      </c>
      <c r="M7" s="5">
        <f t="shared" si="9"/>
        <v>16523.830000000002</v>
      </c>
      <c r="N7" s="5">
        <f t="shared" si="9"/>
        <v>17290.611100000002</v>
      </c>
      <c r="Q7" s="5">
        <f>SUM(Q3:Q6)</f>
        <v>49954</v>
      </c>
      <c r="R7" s="5">
        <f>SUM(R3:R6)</f>
        <v>52961</v>
      </c>
      <c r="S7" s="5">
        <f>SUM(S3:S6)</f>
        <v>57399</v>
      </c>
      <c r="T7" s="5">
        <f>SUM(T3:T6)</f>
        <v>64798.441100000004</v>
      </c>
      <c r="U7" s="5">
        <f t="shared" ref="U7:AC7" si="10">SUM(U3:U6)</f>
        <v>73791.24100400001</v>
      </c>
      <c r="V7" s="5">
        <f t="shared" si="10"/>
        <v>80731.063885579992</v>
      </c>
      <c r="W7" s="5">
        <f t="shared" si="10"/>
        <v>86201.884241731619</v>
      </c>
      <c r="X7" s="5">
        <f t="shared" si="10"/>
        <v>89511.106929423142</v>
      </c>
      <c r="Y7" s="5">
        <f t="shared" si="10"/>
        <v>92167.395938717367</v>
      </c>
      <c r="Z7" s="5">
        <f t="shared" si="10"/>
        <v>94353.96200564249</v>
      </c>
      <c r="AA7" s="5">
        <f t="shared" si="10"/>
        <v>96600.340496463032</v>
      </c>
      <c r="AB7" s="5">
        <f t="shared" si="10"/>
        <v>98908.267938314704</v>
      </c>
      <c r="AC7" s="5">
        <f t="shared" si="10"/>
        <v>101279.5323756915</v>
      </c>
    </row>
    <row r="8" spans="2:29" x14ac:dyDescent="0.3">
      <c r="B8" t="s">
        <v>49</v>
      </c>
      <c r="C8" s="12">
        <v>2179</v>
      </c>
      <c r="D8" s="12">
        <v>2274</v>
      </c>
      <c r="E8" s="12">
        <v>2452</v>
      </c>
      <c r="F8" s="12">
        <f t="shared" ref="F8:F10" si="11">R8-E8-D8-C8</f>
        <v>2522</v>
      </c>
      <c r="G8" s="12">
        <v>2597</v>
      </c>
      <c r="H8" s="12">
        <v>2746</v>
      </c>
      <c r="I8" s="12">
        <v>2882</v>
      </c>
      <c r="J8" s="12">
        <f t="shared" ref="J8:J10" si="12">S8-I8-H8-G8</f>
        <v>3344</v>
      </c>
      <c r="K8" s="12">
        <v>3607</v>
      </c>
      <c r="L8" s="3">
        <v>3990</v>
      </c>
      <c r="M8" s="3">
        <f t="shared" ref="M8:N8" si="13">(M3+M4)*0.29</f>
        <v>4196.6364000000003</v>
      </c>
      <c r="N8" s="3">
        <f t="shared" si="13"/>
        <v>4362.3659190000008</v>
      </c>
      <c r="Q8" s="3">
        <v>7763</v>
      </c>
      <c r="R8" s="3">
        <v>9427</v>
      </c>
      <c r="S8" s="3">
        <v>11569</v>
      </c>
      <c r="T8" s="3">
        <f t="shared" ref="T8:T10" si="14">SUM(K8:N8)</f>
        <v>16156.002318999999</v>
      </c>
      <c r="U8" s="3"/>
      <c r="V8" s="3"/>
      <c r="W8" s="3"/>
      <c r="X8" s="3"/>
      <c r="Y8" s="3"/>
      <c r="Z8" s="3"/>
      <c r="AA8" s="3"/>
      <c r="AB8" s="3"/>
      <c r="AC8" s="3"/>
    </row>
    <row r="9" spans="2:29" x14ac:dyDescent="0.3">
      <c r="B9" t="s">
        <v>46</v>
      </c>
      <c r="C9" s="12">
        <v>219</v>
      </c>
      <c r="D9" s="12">
        <v>213</v>
      </c>
      <c r="E9" s="12">
        <v>217</v>
      </c>
      <c r="F9" s="12">
        <f t="shared" si="11"/>
        <v>242</v>
      </c>
      <c r="G9" s="12">
        <v>162</v>
      </c>
      <c r="H9" s="12">
        <v>172</v>
      </c>
      <c r="I9" s="12">
        <v>197</v>
      </c>
      <c r="J9" s="12">
        <f t="shared" si="12"/>
        <v>251</v>
      </c>
      <c r="K9" s="12">
        <v>178</v>
      </c>
      <c r="L9" s="3">
        <v>215</v>
      </c>
      <c r="M9" s="3">
        <f t="shared" ref="M9:N9" si="15">M5*0.28</f>
        <v>198.80840000000001</v>
      </c>
      <c r="N9" s="3">
        <f t="shared" si="15"/>
        <v>240.38000000000002</v>
      </c>
      <c r="Q9" s="3">
        <v>1040</v>
      </c>
      <c r="R9" s="3">
        <v>891</v>
      </c>
      <c r="S9" s="3">
        <v>782</v>
      </c>
      <c r="T9" s="3">
        <f t="shared" si="14"/>
        <v>832.1884</v>
      </c>
      <c r="U9" s="3"/>
      <c r="V9" s="3"/>
      <c r="W9" s="3"/>
      <c r="X9" s="3"/>
      <c r="Y9" s="3"/>
      <c r="Z9" s="3"/>
      <c r="AA9" s="3"/>
      <c r="AB9" s="3"/>
      <c r="AC9" s="3"/>
    </row>
    <row r="10" spans="2:29" x14ac:dyDescent="0.3">
      <c r="B10" t="s">
        <v>47</v>
      </c>
      <c r="C10" s="12">
        <v>1212</v>
      </c>
      <c r="D10" s="12">
        <v>1253</v>
      </c>
      <c r="E10" s="12">
        <v>1200</v>
      </c>
      <c r="F10" s="12">
        <f t="shared" si="11"/>
        <v>1160</v>
      </c>
      <c r="G10" s="12">
        <v>1147</v>
      </c>
      <c r="H10" s="12">
        <v>1167</v>
      </c>
      <c r="I10" s="12">
        <v>1116</v>
      </c>
      <c r="J10" s="12">
        <f t="shared" si="12"/>
        <v>1146</v>
      </c>
      <c r="K10" s="12">
        <v>1099</v>
      </c>
      <c r="L10" s="3">
        <v>1169</v>
      </c>
      <c r="M10" s="3">
        <f t="shared" ref="M10:N10" si="16">M6*0.86</f>
        <v>1154.6704</v>
      </c>
      <c r="N10" s="3">
        <f t="shared" si="16"/>
        <v>1194.9441999999999</v>
      </c>
      <c r="Q10" s="3">
        <v>4761</v>
      </c>
      <c r="R10" s="3">
        <v>4825</v>
      </c>
      <c r="S10" s="3">
        <v>4576</v>
      </c>
      <c r="T10" s="3">
        <f t="shared" si="14"/>
        <v>4617.6145999999999</v>
      </c>
      <c r="U10" s="3"/>
      <c r="V10" s="3"/>
      <c r="W10" s="3"/>
      <c r="X10" s="3"/>
      <c r="Y10" s="3"/>
      <c r="Z10" s="3"/>
      <c r="AA10" s="3"/>
      <c r="AB10" s="3"/>
      <c r="AC10" s="3"/>
    </row>
    <row r="11" spans="2:29" x14ac:dyDescent="0.3">
      <c r="B11" t="s">
        <v>48</v>
      </c>
      <c r="C11" s="3">
        <f t="shared" ref="C11:K11" si="17">SUM(C8:C10)</f>
        <v>3610</v>
      </c>
      <c r="D11" s="3">
        <f t="shared" si="17"/>
        <v>3740</v>
      </c>
      <c r="E11" s="3">
        <f t="shared" si="17"/>
        <v>3869</v>
      </c>
      <c r="F11" s="3">
        <f t="shared" si="17"/>
        <v>3924</v>
      </c>
      <c r="G11" s="3">
        <f t="shared" si="17"/>
        <v>3906</v>
      </c>
      <c r="H11" s="3">
        <f t="shared" si="17"/>
        <v>4085</v>
      </c>
      <c r="I11" s="3">
        <f t="shared" si="17"/>
        <v>4195</v>
      </c>
      <c r="J11" s="3">
        <f t="shared" si="17"/>
        <v>4741</v>
      </c>
      <c r="K11" s="3">
        <f t="shared" si="17"/>
        <v>4884</v>
      </c>
      <c r="L11" s="3">
        <f t="shared" ref="L11:N11" si="18">SUM(L8:L10)</f>
        <v>5374</v>
      </c>
      <c r="M11" s="3">
        <f t="shared" si="18"/>
        <v>5550.1152000000002</v>
      </c>
      <c r="N11" s="3">
        <f t="shared" si="18"/>
        <v>5797.6901190000008</v>
      </c>
      <c r="Q11" s="3">
        <f>SUM(Q8:Q10)</f>
        <v>13564</v>
      </c>
      <c r="R11" s="3">
        <f>SUM(R8:R10)</f>
        <v>15143</v>
      </c>
      <c r="S11" s="3">
        <f>SUM(S8:S10)</f>
        <v>16927</v>
      </c>
      <c r="T11" s="3">
        <f>SUM(T8:T10)</f>
        <v>21605.805318999999</v>
      </c>
      <c r="U11" s="3">
        <f t="shared" ref="U11:AC11" si="19">U7-U12</f>
        <v>25826.934351399999</v>
      </c>
      <c r="V11" s="3">
        <f t="shared" si="19"/>
        <v>27448.561721097198</v>
      </c>
      <c r="W11" s="3">
        <f t="shared" si="19"/>
        <v>28446.621799771434</v>
      </c>
      <c r="X11" s="3">
        <f t="shared" si="19"/>
        <v>28643.554217415403</v>
      </c>
      <c r="Y11" s="3">
        <f t="shared" si="19"/>
        <v>29493.566700389551</v>
      </c>
      <c r="Z11" s="3">
        <f t="shared" si="19"/>
        <v>30193.267841805595</v>
      </c>
      <c r="AA11" s="3">
        <f t="shared" si="19"/>
        <v>30912.108958868164</v>
      </c>
      <c r="AB11" s="3">
        <f t="shared" si="19"/>
        <v>31650.645740260705</v>
      </c>
      <c r="AC11" s="3">
        <f t="shared" si="19"/>
        <v>32409.450360221279</v>
      </c>
    </row>
    <row r="12" spans="2:29" s="1" customFormat="1" x14ac:dyDescent="0.3">
      <c r="B12" s="1" t="s">
        <v>8</v>
      </c>
      <c r="C12" s="5">
        <f t="shared" ref="C12:K12" si="20">C7-C11</f>
        <v>8843</v>
      </c>
      <c r="D12" s="5">
        <f t="shared" si="20"/>
        <v>9201</v>
      </c>
      <c r="E12" s="5">
        <f t="shared" si="20"/>
        <v>9411</v>
      </c>
      <c r="F12" s="5">
        <f t="shared" si="20"/>
        <v>10363</v>
      </c>
      <c r="G12" s="5">
        <f t="shared" si="20"/>
        <v>9401</v>
      </c>
      <c r="H12" s="5">
        <f t="shared" si="20"/>
        <v>9974</v>
      </c>
      <c r="I12" s="5">
        <f t="shared" si="20"/>
        <v>9935</v>
      </c>
      <c r="J12" s="5">
        <f t="shared" si="20"/>
        <v>11162</v>
      </c>
      <c r="K12" s="5">
        <f t="shared" si="20"/>
        <v>10042</v>
      </c>
      <c r="L12" s="5">
        <f t="shared" ref="L12:N12" si="21">L7-L11</f>
        <v>10684</v>
      </c>
      <c r="M12" s="5">
        <f t="shared" si="21"/>
        <v>10973.714800000002</v>
      </c>
      <c r="N12" s="5">
        <f t="shared" si="21"/>
        <v>11492.920981000001</v>
      </c>
      <c r="Q12" s="5">
        <f>Q7-Q11</f>
        <v>36390</v>
      </c>
      <c r="R12" s="5">
        <f>R7-R11</f>
        <v>37818</v>
      </c>
      <c r="S12" s="5">
        <f>S7-S11</f>
        <v>40472</v>
      </c>
      <c r="T12" s="5">
        <f>T7-T11</f>
        <v>43192.635781000004</v>
      </c>
      <c r="U12" s="5">
        <f>U7*0.65</f>
        <v>47964.306652600011</v>
      </c>
      <c r="V12" s="5">
        <f>V7*0.66</f>
        <v>53282.502164482794</v>
      </c>
      <c r="W12" s="5">
        <f>W7*0.67</f>
        <v>57755.262441960185</v>
      </c>
      <c r="X12" s="5">
        <f>X7*0.68</f>
        <v>60867.552712007739</v>
      </c>
      <c r="Y12" s="5">
        <f t="shared" ref="Y12:AC12" si="22">Y7*0.68</f>
        <v>62673.829238327817</v>
      </c>
      <c r="Z12" s="5">
        <f t="shared" si="22"/>
        <v>64160.694163836895</v>
      </c>
      <c r="AA12" s="5">
        <f t="shared" si="22"/>
        <v>65688.231537594867</v>
      </c>
      <c r="AB12" s="5">
        <f t="shared" si="22"/>
        <v>67257.622198053999</v>
      </c>
      <c r="AC12" s="5">
        <f t="shared" si="22"/>
        <v>68870.082015470223</v>
      </c>
    </row>
    <row r="13" spans="2:29" x14ac:dyDescent="0.3">
      <c r="B13" t="s">
        <v>14</v>
      </c>
      <c r="C13" s="12">
        <v>2026</v>
      </c>
      <c r="D13" s="12">
        <v>2093</v>
      </c>
      <c r="E13" s="12">
        <v>2042</v>
      </c>
      <c r="F13" s="12">
        <f t="shared" ref="F13:F18" si="23">R13-E13-D13-C13</f>
        <v>2113</v>
      </c>
      <c r="G13" s="12">
        <v>2036</v>
      </c>
      <c r="H13" s="12">
        <v>2190</v>
      </c>
      <c r="I13" s="12">
        <v>2119</v>
      </c>
      <c r="J13" s="12">
        <f t="shared" ref="J13:J18" si="24">S13-I13-H13-G13</f>
        <v>2306</v>
      </c>
      <c r="K13" s="12">
        <v>2063</v>
      </c>
      <c r="L13" s="3">
        <v>2149</v>
      </c>
      <c r="M13" s="3">
        <f t="shared" ref="M13:N13" si="25">M7*0.14</f>
        <v>2313.3362000000006</v>
      </c>
      <c r="N13" s="3">
        <f t="shared" si="25"/>
        <v>2420.6855540000006</v>
      </c>
      <c r="Q13" s="3">
        <v>8833</v>
      </c>
      <c r="R13" s="3">
        <v>8274</v>
      </c>
      <c r="S13" s="3">
        <v>8651</v>
      </c>
      <c r="T13" s="3">
        <f t="shared" ref="T13:T18" si="26">SUM(K13:N13)</f>
        <v>8946.0217540000012</v>
      </c>
      <c r="U13" s="3">
        <f>U7*0.14</f>
        <v>10330.773740560002</v>
      </c>
      <c r="V13" s="3">
        <f t="shared" ref="V13:AC13" si="27">V7*0.14</f>
        <v>11302.3489439812</v>
      </c>
      <c r="W13" s="3">
        <f t="shared" si="27"/>
        <v>12068.263793842429</v>
      </c>
      <c r="X13" s="3">
        <f t="shared" si="27"/>
        <v>12531.554970119241</v>
      </c>
      <c r="Y13" s="3">
        <f t="shared" si="27"/>
        <v>12903.435431420432</v>
      </c>
      <c r="Z13" s="3">
        <f t="shared" si="27"/>
        <v>13209.55468078995</v>
      </c>
      <c r="AA13" s="3">
        <f t="shared" si="27"/>
        <v>13524.047669504826</v>
      </c>
      <c r="AB13" s="3">
        <f t="shared" si="27"/>
        <v>13847.157511364059</v>
      </c>
      <c r="AC13" s="3">
        <f t="shared" si="27"/>
        <v>14179.134532596812</v>
      </c>
    </row>
    <row r="14" spans="2:29" x14ac:dyDescent="0.3">
      <c r="B14" t="s">
        <v>13</v>
      </c>
      <c r="C14" s="12">
        <v>2216</v>
      </c>
      <c r="D14" s="12">
        <v>2226</v>
      </c>
      <c r="E14" s="12">
        <v>2248</v>
      </c>
      <c r="F14" s="12">
        <f t="shared" si="23"/>
        <v>2225</v>
      </c>
      <c r="G14" s="12">
        <v>2306</v>
      </c>
      <c r="H14" s="12">
        <v>2471</v>
      </c>
      <c r="I14" s="12">
        <v>2429</v>
      </c>
      <c r="J14" s="12">
        <f t="shared" si="24"/>
        <v>2654</v>
      </c>
      <c r="K14" s="12">
        <v>2491</v>
      </c>
      <c r="L14" s="3">
        <v>2561</v>
      </c>
      <c r="M14" s="3">
        <f t="shared" ref="M14:N14" si="28">I14*1.1</f>
        <v>2671.9</v>
      </c>
      <c r="N14" s="3">
        <f t="shared" si="28"/>
        <v>2919.4</v>
      </c>
      <c r="Q14" s="3">
        <v>8623</v>
      </c>
      <c r="R14" s="3">
        <v>8915</v>
      </c>
      <c r="S14" s="3">
        <v>9860</v>
      </c>
      <c r="T14" s="3">
        <f t="shared" si="26"/>
        <v>10643.3</v>
      </c>
      <c r="U14" s="3">
        <f>T14*1.05</f>
        <v>11175.465</v>
      </c>
      <c r="V14" s="3">
        <f>U14*1.04</f>
        <v>11622.483600000001</v>
      </c>
      <c r="W14" s="3">
        <f>V14*1.03</f>
        <v>11971.158108000001</v>
      </c>
      <c r="X14" s="3">
        <f>W14*1.02</f>
        <v>12210.581270160003</v>
      </c>
      <c r="Y14" s="3">
        <f t="shared" ref="Y14:AC14" si="29">X14*1.01</f>
        <v>12332.687082861603</v>
      </c>
      <c r="Z14" s="3">
        <f t="shared" si="29"/>
        <v>12456.013953690219</v>
      </c>
      <c r="AA14" s="3">
        <f t="shared" si="29"/>
        <v>12580.574093227122</v>
      </c>
      <c r="AB14" s="3">
        <f t="shared" si="29"/>
        <v>12706.379834159394</v>
      </c>
      <c r="AC14" s="3">
        <f t="shared" si="29"/>
        <v>12833.443632500988</v>
      </c>
    </row>
    <row r="15" spans="2:29" x14ac:dyDescent="0.3">
      <c r="B15" t="s">
        <v>15</v>
      </c>
      <c r="C15" s="12">
        <v>393</v>
      </c>
      <c r="D15" s="12">
        <v>375</v>
      </c>
      <c r="E15" s="12">
        <v>377</v>
      </c>
      <c r="F15" s="12">
        <f t="shared" si="23"/>
        <v>403</v>
      </c>
      <c r="G15" s="12">
        <v>358</v>
      </c>
      <c r="H15" s="12">
        <v>387</v>
      </c>
      <c r="I15" s="12">
        <v>390</v>
      </c>
      <c r="J15" s="12">
        <f t="shared" si="24"/>
        <v>467</v>
      </c>
      <c r="K15" s="12">
        <v>376</v>
      </c>
      <c r="L15" s="3">
        <v>409</v>
      </c>
      <c r="M15" s="3">
        <f t="shared" ref="M15:N15" si="30">I15*1.04</f>
        <v>405.6</v>
      </c>
      <c r="N15" s="3">
        <f t="shared" si="30"/>
        <v>485.68</v>
      </c>
      <c r="Q15" s="3">
        <v>1579</v>
      </c>
      <c r="R15" s="3">
        <v>1548</v>
      </c>
      <c r="S15" s="3">
        <v>1602</v>
      </c>
      <c r="T15" s="3">
        <f t="shared" si="26"/>
        <v>1676.28</v>
      </c>
      <c r="U15" s="3">
        <f>T15*1.03</f>
        <v>1726.5684000000001</v>
      </c>
      <c r="V15" s="3">
        <f>U15*1.03</f>
        <v>1778.3654520000002</v>
      </c>
      <c r="W15" s="3">
        <f t="shared" ref="W15:AC15" si="31">V15*1.02</f>
        <v>1813.9327610400003</v>
      </c>
      <c r="X15" s="3">
        <f t="shared" si="31"/>
        <v>1850.2114162608004</v>
      </c>
      <c r="Y15" s="3">
        <f t="shared" si="31"/>
        <v>1887.2156445860164</v>
      </c>
      <c r="Z15" s="3">
        <f t="shared" si="31"/>
        <v>1924.9599574777367</v>
      </c>
      <c r="AA15" s="3">
        <f t="shared" si="31"/>
        <v>1963.4591566272913</v>
      </c>
      <c r="AB15" s="3">
        <f t="shared" si="31"/>
        <v>2002.7283397598371</v>
      </c>
      <c r="AC15" s="3">
        <f t="shared" si="31"/>
        <v>2042.7829065550338</v>
      </c>
    </row>
    <row r="16" spans="2:29" x14ac:dyDescent="0.3">
      <c r="B16" t="s">
        <v>50</v>
      </c>
      <c r="C16" s="12">
        <v>763</v>
      </c>
      <c r="D16" s="12">
        <v>755</v>
      </c>
      <c r="E16" s="12">
        <v>749</v>
      </c>
      <c r="F16" s="12">
        <f t="shared" si="23"/>
        <v>743</v>
      </c>
      <c r="G16" s="12">
        <v>624</v>
      </c>
      <c r="H16" s="12">
        <v>591</v>
      </c>
      <c r="I16" s="12">
        <v>548</v>
      </c>
      <c r="J16" s="12">
        <f t="shared" si="24"/>
        <v>544</v>
      </c>
      <c r="K16" s="12">
        <v>420</v>
      </c>
      <c r="L16" s="3">
        <v>407</v>
      </c>
      <c r="M16" s="3">
        <v>0</v>
      </c>
      <c r="N16" s="3">
        <v>0</v>
      </c>
      <c r="Q16" s="3">
        <v>3582</v>
      </c>
      <c r="R16" s="3">
        <v>3010</v>
      </c>
      <c r="S16" s="3">
        <v>2307</v>
      </c>
      <c r="T16" s="3">
        <f t="shared" si="26"/>
        <v>827</v>
      </c>
      <c r="U16" s="3"/>
      <c r="V16" s="3"/>
      <c r="W16" s="3"/>
      <c r="X16" s="3"/>
      <c r="Y16" s="3"/>
      <c r="Z16" s="3"/>
      <c r="AA16" s="3"/>
      <c r="AB16" s="3"/>
      <c r="AC16" s="3"/>
    </row>
    <row r="17" spans="2:150" x14ac:dyDescent="0.3">
      <c r="B17" t="s">
        <v>51</v>
      </c>
      <c r="C17" s="12">
        <v>11</v>
      </c>
      <c r="D17" s="12">
        <v>47</v>
      </c>
      <c r="E17" s="12">
        <v>155</v>
      </c>
      <c r="F17" s="12">
        <f t="shared" si="23"/>
        <v>101</v>
      </c>
      <c r="G17" s="12">
        <v>13</v>
      </c>
      <c r="H17" s="12">
        <v>31</v>
      </c>
      <c r="I17" s="12">
        <v>28</v>
      </c>
      <c r="J17" s="12">
        <f t="shared" si="24"/>
        <v>3</v>
      </c>
      <c r="K17" s="12">
        <v>13</v>
      </c>
      <c r="L17" s="3">
        <v>21</v>
      </c>
      <c r="M17" s="3">
        <v>0</v>
      </c>
      <c r="N17" s="3">
        <v>0</v>
      </c>
      <c r="Q17" s="3">
        <v>190</v>
      </c>
      <c r="R17" s="3">
        <v>314</v>
      </c>
      <c r="S17" s="3">
        <v>75</v>
      </c>
      <c r="T17" s="3">
        <f t="shared" si="26"/>
        <v>34</v>
      </c>
      <c r="U17" s="3"/>
      <c r="V17" s="3"/>
      <c r="W17" s="3"/>
      <c r="X17" s="3"/>
      <c r="Y17" s="3"/>
      <c r="Z17" s="3"/>
      <c r="AA17" s="3"/>
      <c r="AB17" s="3"/>
      <c r="AC17" s="3"/>
    </row>
    <row r="18" spans="2:150" x14ac:dyDescent="0.3">
      <c r="B18" t="s">
        <v>52</v>
      </c>
      <c r="C18" s="12">
        <v>138</v>
      </c>
      <c r="D18" s="12">
        <v>83</v>
      </c>
      <c r="E18" s="12">
        <v>90</v>
      </c>
      <c r="F18" s="12">
        <f t="shared" si="23"/>
        <v>93</v>
      </c>
      <c r="G18" s="12">
        <v>73</v>
      </c>
      <c r="H18" s="12">
        <v>84</v>
      </c>
      <c r="I18" s="12">
        <v>63</v>
      </c>
      <c r="J18" s="12">
        <f t="shared" si="24"/>
        <v>79</v>
      </c>
      <c r="K18" s="12">
        <v>402</v>
      </c>
      <c r="L18" s="3">
        <v>406</v>
      </c>
      <c r="M18" s="3">
        <v>50</v>
      </c>
      <c r="N18" s="3">
        <v>50</v>
      </c>
      <c r="Q18" s="3">
        <v>490</v>
      </c>
      <c r="R18" s="3">
        <v>404</v>
      </c>
      <c r="S18" s="3">
        <v>299</v>
      </c>
      <c r="T18" s="3">
        <f t="shared" si="26"/>
        <v>908</v>
      </c>
      <c r="U18" s="3"/>
      <c r="V18" s="3"/>
      <c r="W18" s="3"/>
      <c r="X18" s="3"/>
      <c r="Y18" s="3"/>
      <c r="Z18" s="3"/>
      <c r="AA18" s="3"/>
      <c r="AB18" s="3"/>
      <c r="AC18" s="3"/>
    </row>
    <row r="19" spans="2:150" x14ac:dyDescent="0.3">
      <c r="B19" t="s">
        <v>53</v>
      </c>
      <c r="C19" s="3">
        <f t="shared" ref="C19:K19" si="32">SUM(C13:C18)</f>
        <v>5547</v>
      </c>
      <c r="D19" s="3">
        <f t="shared" si="32"/>
        <v>5579</v>
      </c>
      <c r="E19" s="3">
        <f t="shared" si="32"/>
        <v>5661</v>
      </c>
      <c r="F19" s="3">
        <f t="shared" si="32"/>
        <v>5678</v>
      </c>
      <c r="G19" s="3">
        <f t="shared" si="32"/>
        <v>5410</v>
      </c>
      <c r="H19" s="3">
        <f t="shared" si="32"/>
        <v>5754</v>
      </c>
      <c r="I19" s="3">
        <f t="shared" si="32"/>
        <v>5577</v>
      </c>
      <c r="J19" s="3">
        <f t="shared" si="32"/>
        <v>6053</v>
      </c>
      <c r="K19" s="3">
        <f t="shared" si="32"/>
        <v>5765</v>
      </c>
      <c r="L19" s="3">
        <f t="shared" ref="L19:N19" si="33">SUM(L13:L18)</f>
        <v>5953</v>
      </c>
      <c r="M19" s="3">
        <f t="shared" si="33"/>
        <v>5440.8362000000016</v>
      </c>
      <c r="N19" s="3">
        <f t="shared" si="33"/>
        <v>5875.7655540000014</v>
      </c>
      <c r="Q19" s="3">
        <f>SUM(Q13:Q18)</f>
        <v>23297</v>
      </c>
      <c r="R19" s="3">
        <f>SUM(R13:R18)</f>
        <v>22465</v>
      </c>
      <c r="S19" s="3">
        <f>SUM(S13:S18)</f>
        <v>22794</v>
      </c>
      <c r="T19" s="3">
        <f t="shared" ref="T19:AC19" si="34">SUM(T13:T18)</f>
        <v>23034.601753999999</v>
      </c>
      <c r="U19" s="3">
        <f t="shared" si="34"/>
        <v>23232.807140560002</v>
      </c>
      <c r="V19" s="3">
        <f t="shared" si="34"/>
        <v>24703.197995981205</v>
      </c>
      <c r="W19" s="3">
        <f t="shared" si="34"/>
        <v>25853.35466288243</v>
      </c>
      <c r="X19" s="3">
        <f t="shared" si="34"/>
        <v>26592.347656540045</v>
      </c>
      <c r="Y19" s="3">
        <f t="shared" si="34"/>
        <v>27123.33815886805</v>
      </c>
      <c r="Z19" s="3">
        <f t="shared" si="34"/>
        <v>27590.528591957904</v>
      </c>
      <c r="AA19" s="3">
        <f t="shared" si="34"/>
        <v>28068.080919359239</v>
      </c>
      <c r="AB19" s="3">
        <f t="shared" si="34"/>
        <v>28556.265685283288</v>
      </c>
      <c r="AC19" s="3">
        <f t="shared" si="34"/>
        <v>29055.361071652835</v>
      </c>
    </row>
    <row r="20" spans="2:150" s="1" customFormat="1" x14ac:dyDescent="0.3">
      <c r="B20" s="1" t="s">
        <v>16</v>
      </c>
      <c r="C20" s="5">
        <f t="shared" ref="C20:K20" si="35">C12-C19</f>
        <v>3296</v>
      </c>
      <c r="D20" s="5">
        <f t="shared" si="35"/>
        <v>3622</v>
      </c>
      <c r="E20" s="5">
        <f t="shared" si="35"/>
        <v>3750</v>
      </c>
      <c r="F20" s="5">
        <f t="shared" si="35"/>
        <v>4685</v>
      </c>
      <c r="G20" s="5">
        <f t="shared" si="35"/>
        <v>3991</v>
      </c>
      <c r="H20" s="5">
        <f t="shared" si="35"/>
        <v>4220</v>
      </c>
      <c r="I20" s="5">
        <f t="shared" si="35"/>
        <v>4358</v>
      </c>
      <c r="J20" s="5">
        <f t="shared" si="35"/>
        <v>5109</v>
      </c>
      <c r="K20" s="5">
        <f t="shared" si="35"/>
        <v>4277</v>
      </c>
      <c r="L20" s="5">
        <f t="shared" ref="L20:N20" si="36">L12-L19</f>
        <v>4731</v>
      </c>
      <c r="M20" s="5">
        <f t="shared" si="36"/>
        <v>5532.8786</v>
      </c>
      <c r="N20" s="5">
        <f t="shared" si="36"/>
        <v>5617.1554269999997</v>
      </c>
      <c r="Q20" s="5">
        <f>Q12-Q19</f>
        <v>13093</v>
      </c>
      <c r="R20" s="5">
        <f>R12-R19</f>
        <v>15353</v>
      </c>
      <c r="S20" s="5">
        <f>S12-S19</f>
        <v>17678</v>
      </c>
      <c r="T20" s="5">
        <f t="shared" ref="T20:AC20" si="37">T12-T19</f>
        <v>20158.034027000005</v>
      </c>
      <c r="U20" s="5">
        <f t="shared" si="37"/>
        <v>24731.499512040009</v>
      </c>
      <c r="V20" s="5">
        <f t="shared" si="37"/>
        <v>28579.304168501589</v>
      </c>
      <c r="W20" s="5">
        <f t="shared" si="37"/>
        <v>31901.907779077756</v>
      </c>
      <c r="X20" s="5">
        <f t="shared" si="37"/>
        <v>34275.205055467697</v>
      </c>
      <c r="Y20" s="5">
        <f t="shared" si="37"/>
        <v>35550.491079459767</v>
      </c>
      <c r="Z20" s="5">
        <f t="shared" si="37"/>
        <v>36570.165571878992</v>
      </c>
      <c r="AA20" s="5">
        <f t="shared" si="37"/>
        <v>37620.150618235624</v>
      </c>
      <c r="AB20" s="5">
        <f t="shared" si="37"/>
        <v>38701.356512770712</v>
      </c>
      <c r="AC20" s="5">
        <f t="shared" si="37"/>
        <v>39814.720943817389</v>
      </c>
    </row>
    <row r="21" spans="2:150" x14ac:dyDescent="0.3">
      <c r="B21" t="s">
        <v>18</v>
      </c>
      <c r="C21" s="12">
        <v>872</v>
      </c>
      <c r="D21" s="12">
        <v>888</v>
      </c>
      <c r="E21" s="12">
        <v>876</v>
      </c>
      <c r="F21" s="12">
        <f t="shared" ref="F21:F22" si="38">R21-E21-D21-C21</f>
        <v>878</v>
      </c>
      <c r="G21" s="12">
        <v>842</v>
      </c>
      <c r="H21" s="12">
        <v>866</v>
      </c>
      <c r="I21" s="12">
        <v>892</v>
      </c>
      <c r="J21" s="12">
        <f t="shared" ref="J21:J22" si="39">S21-I21-H21-G21</f>
        <v>978</v>
      </c>
      <c r="K21" s="12">
        <v>923</v>
      </c>
      <c r="L21" s="3">
        <v>1057</v>
      </c>
      <c r="M21" s="3">
        <f t="shared" ref="M21:N21" si="40">I21*1.01</f>
        <v>900.92</v>
      </c>
      <c r="N21" s="3">
        <f t="shared" si="40"/>
        <v>987.78</v>
      </c>
      <c r="Q21" s="3">
        <v>3505</v>
      </c>
      <c r="R21" s="3">
        <v>3514</v>
      </c>
      <c r="S21" s="3">
        <v>3578</v>
      </c>
      <c r="T21" s="3">
        <f t="shared" ref="T21:T22" si="41">SUM(K21:N21)</f>
        <v>3868.7</v>
      </c>
      <c r="U21" s="3">
        <f t="shared" ref="U21:AC21" si="42">T21*1.03</f>
        <v>3984.761</v>
      </c>
      <c r="V21" s="3">
        <f t="shared" si="42"/>
        <v>4104.3038299999998</v>
      </c>
      <c r="W21" s="3">
        <f t="shared" si="42"/>
        <v>4227.4329448999997</v>
      </c>
      <c r="X21" s="3">
        <f t="shared" si="42"/>
        <v>4354.255933247</v>
      </c>
      <c r="Y21" s="3">
        <f t="shared" si="42"/>
        <v>4484.8836112444105</v>
      </c>
      <c r="Z21" s="3">
        <f t="shared" si="42"/>
        <v>4619.4301195817434</v>
      </c>
      <c r="AA21" s="3">
        <f t="shared" si="42"/>
        <v>4758.0130231691955</v>
      </c>
      <c r="AB21" s="3">
        <f t="shared" si="42"/>
        <v>4900.7534138642714</v>
      </c>
      <c r="AC21" s="3">
        <f t="shared" si="42"/>
        <v>5047.7760162801997</v>
      </c>
    </row>
    <row r="22" spans="2:150" x14ac:dyDescent="0.3">
      <c r="B22" t="s">
        <v>17</v>
      </c>
      <c r="C22" s="12">
        <v>49</v>
      </c>
      <c r="D22" s="12">
        <v>14</v>
      </c>
      <c r="E22" s="12">
        <v>9</v>
      </c>
      <c r="F22" s="12">
        <f t="shared" si="38"/>
        <v>26</v>
      </c>
      <c r="G22" s="12">
        <v>-20</v>
      </c>
      <c r="H22" s="12">
        <v>-36</v>
      </c>
      <c r="I22" s="12">
        <v>18</v>
      </c>
      <c r="J22" s="12">
        <f t="shared" si="39"/>
        <v>-22</v>
      </c>
      <c r="K22" s="12">
        <v>-73</v>
      </c>
      <c r="L22" s="3">
        <v>-2668</v>
      </c>
      <c r="M22" s="3">
        <v>0</v>
      </c>
      <c r="N22" s="3">
        <v>0</v>
      </c>
      <c r="Q22" s="3">
        <v>462</v>
      </c>
      <c r="R22" s="3">
        <v>98</v>
      </c>
      <c r="S22" s="3">
        <v>-60</v>
      </c>
      <c r="T22" s="3">
        <f t="shared" si="41"/>
        <v>-2741</v>
      </c>
      <c r="U22" s="3">
        <f t="shared" ref="U22:AC22" si="43">T22*1.02</f>
        <v>-2795.82</v>
      </c>
      <c r="V22" s="3">
        <f t="shared" si="43"/>
        <v>-2851.7364000000002</v>
      </c>
      <c r="W22" s="3">
        <f t="shared" si="43"/>
        <v>-2908.7711280000003</v>
      </c>
      <c r="X22" s="3">
        <f t="shared" si="43"/>
        <v>-2966.9465505600006</v>
      </c>
      <c r="Y22" s="3">
        <f t="shared" si="43"/>
        <v>-3026.2854815712008</v>
      </c>
      <c r="Z22" s="3">
        <f t="shared" si="43"/>
        <v>-3086.8111912026247</v>
      </c>
      <c r="AA22" s="3">
        <f t="shared" si="43"/>
        <v>-3148.5474150266773</v>
      </c>
      <c r="AB22" s="3">
        <f t="shared" si="43"/>
        <v>-3211.5183633272109</v>
      </c>
      <c r="AC22" s="3">
        <f t="shared" si="43"/>
        <v>-3275.7487305937552</v>
      </c>
    </row>
    <row r="23" spans="2:150" s="1" customFormat="1" x14ac:dyDescent="0.3">
      <c r="B23" s="1" t="s">
        <v>19</v>
      </c>
      <c r="C23" s="5">
        <f t="shared" ref="C23:K23" si="44">C20-C21-C22</f>
        <v>2375</v>
      </c>
      <c r="D23" s="5">
        <f t="shared" si="44"/>
        <v>2720</v>
      </c>
      <c r="E23" s="5">
        <f t="shared" si="44"/>
        <v>2865</v>
      </c>
      <c r="F23" s="5">
        <f t="shared" si="44"/>
        <v>3781</v>
      </c>
      <c r="G23" s="5">
        <f t="shared" si="44"/>
        <v>3169</v>
      </c>
      <c r="H23" s="5">
        <f t="shared" si="44"/>
        <v>3390</v>
      </c>
      <c r="I23" s="5">
        <f t="shared" si="44"/>
        <v>3448</v>
      </c>
      <c r="J23" s="5">
        <f t="shared" si="44"/>
        <v>4153</v>
      </c>
      <c r="K23" s="5">
        <f t="shared" si="44"/>
        <v>3427</v>
      </c>
      <c r="L23" s="5">
        <f t="shared" ref="L23:N23" si="45">L20-L21-L22</f>
        <v>6342</v>
      </c>
      <c r="M23" s="5">
        <f t="shared" si="45"/>
        <v>4631.9585999999999</v>
      </c>
      <c r="N23" s="5">
        <f t="shared" si="45"/>
        <v>4629.3754269999999</v>
      </c>
      <c r="Q23" s="5">
        <f t="shared" ref="Q23:R23" si="46">Q20-Q21-Q22</f>
        <v>9126</v>
      </c>
      <c r="R23" s="5">
        <f t="shared" si="46"/>
        <v>11741</v>
      </c>
      <c r="S23" s="5">
        <f t="shared" ref="S23:AC23" si="47">S20-S21-S22</f>
        <v>14160</v>
      </c>
      <c r="T23" s="5">
        <f t="shared" si="47"/>
        <v>19030.334027000004</v>
      </c>
      <c r="U23" s="5">
        <f t="shared" si="47"/>
        <v>23542.55851204001</v>
      </c>
      <c r="V23" s="5">
        <f t="shared" si="47"/>
        <v>27326.73673850159</v>
      </c>
      <c r="W23" s="5">
        <f t="shared" si="47"/>
        <v>30583.245962177756</v>
      </c>
      <c r="X23" s="5">
        <f t="shared" si="47"/>
        <v>32887.895672780694</v>
      </c>
      <c r="Y23" s="5">
        <f t="shared" si="47"/>
        <v>34091.892949786554</v>
      </c>
      <c r="Z23" s="5">
        <f t="shared" si="47"/>
        <v>35037.546643499874</v>
      </c>
      <c r="AA23" s="5">
        <f t="shared" si="47"/>
        <v>36010.685010093104</v>
      </c>
      <c r="AB23" s="5">
        <f t="shared" si="47"/>
        <v>37012.121462233648</v>
      </c>
      <c r="AC23" s="5">
        <f t="shared" si="47"/>
        <v>38042.693658130942</v>
      </c>
    </row>
    <row r="24" spans="2:150" x14ac:dyDescent="0.3">
      <c r="B24" t="s">
        <v>20</v>
      </c>
      <c r="C24" s="3">
        <v>-45</v>
      </c>
      <c r="D24" s="3">
        <v>217</v>
      </c>
      <c r="E24" s="3">
        <v>464</v>
      </c>
      <c r="F24" s="12">
        <f>R24-E24-D24-C24</f>
        <v>638</v>
      </c>
      <c r="G24" s="3">
        <v>240</v>
      </c>
      <c r="H24" s="3">
        <v>239</v>
      </c>
      <c r="I24" s="3">
        <v>512</v>
      </c>
      <c r="J24" s="12">
        <f>S24-I24-H24-G24</f>
        <v>726</v>
      </c>
      <c r="K24" s="3">
        <v>500</v>
      </c>
      <c r="L24" s="3">
        <v>207</v>
      </c>
      <c r="M24" s="3">
        <f t="shared" ref="M24:N24" si="48">M23*0.12</f>
        <v>555.83503199999996</v>
      </c>
      <c r="N24" s="3">
        <f t="shared" si="48"/>
        <v>555.52505123999993</v>
      </c>
      <c r="Q24" s="3">
        <v>623</v>
      </c>
      <c r="R24" s="3">
        <v>1274</v>
      </c>
      <c r="S24" s="3">
        <v>1717</v>
      </c>
      <c r="T24" s="3">
        <f t="shared" ref="T24" si="49">SUM(K24:N24)</f>
        <v>1818.3600832399998</v>
      </c>
      <c r="U24" s="3">
        <f t="shared" ref="U24:AC24" si="50">U23*0.12</f>
        <v>2825.1070214448009</v>
      </c>
      <c r="V24" s="3">
        <f t="shared" si="50"/>
        <v>3279.2084086201908</v>
      </c>
      <c r="W24" s="3">
        <f t="shared" si="50"/>
        <v>3669.9895154613305</v>
      </c>
      <c r="X24" s="3">
        <f t="shared" si="50"/>
        <v>3946.5474807336832</v>
      </c>
      <c r="Y24" s="3">
        <f t="shared" si="50"/>
        <v>4091.0271539743862</v>
      </c>
      <c r="Z24" s="3">
        <f t="shared" si="50"/>
        <v>4204.5055972199843</v>
      </c>
      <c r="AA24" s="3">
        <f t="shared" si="50"/>
        <v>4321.2822012111719</v>
      </c>
      <c r="AB24" s="3">
        <f t="shared" si="50"/>
        <v>4441.4545754680375</v>
      </c>
      <c r="AC24" s="3">
        <f t="shared" si="50"/>
        <v>4565.1232389757124</v>
      </c>
    </row>
    <row r="25" spans="2:150" s="1" customFormat="1" x14ac:dyDescent="0.3">
      <c r="B25" s="1" t="s">
        <v>21</v>
      </c>
      <c r="C25" s="5">
        <f t="shared" ref="C25:K25" si="51">C23-C24</f>
        <v>2420</v>
      </c>
      <c r="D25" s="5">
        <f t="shared" si="51"/>
        <v>2503</v>
      </c>
      <c r="E25" s="5">
        <f t="shared" si="51"/>
        <v>2401</v>
      </c>
      <c r="F25" s="5">
        <f t="shared" si="51"/>
        <v>3143</v>
      </c>
      <c r="G25" s="5">
        <f t="shared" si="51"/>
        <v>2929</v>
      </c>
      <c r="H25" s="5">
        <f t="shared" si="51"/>
        <v>3151</v>
      </c>
      <c r="I25" s="5">
        <f t="shared" si="51"/>
        <v>2936</v>
      </c>
      <c r="J25" s="5">
        <f t="shared" si="51"/>
        <v>3427</v>
      </c>
      <c r="K25" s="5">
        <f t="shared" si="51"/>
        <v>2927</v>
      </c>
      <c r="L25" s="5">
        <f t="shared" ref="L25:N25" si="52">L23-L24</f>
        <v>6135</v>
      </c>
      <c r="M25" s="5">
        <f t="shared" si="52"/>
        <v>4076.123568</v>
      </c>
      <c r="N25" s="5">
        <f t="shared" si="52"/>
        <v>4073.8503757600001</v>
      </c>
      <c r="Q25" s="5">
        <f t="shared" ref="Q25:R25" si="53">Q23-Q24</f>
        <v>8503</v>
      </c>
      <c r="R25" s="5">
        <f t="shared" si="53"/>
        <v>10467</v>
      </c>
      <c r="S25" s="5">
        <f t="shared" ref="S25:AC25" si="54">S23-S24</f>
        <v>12443</v>
      </c>
      <c r="T25" s="5">
        <f t="shared" si="54"/>
        <v>17211.973943760004</v>
      </c>
      <c r="U25" s="5">
        <f t="shared" si="54"/>
        <v>20717.451490595209</v>
      </c>
      <c r="V25" s="5">
        <f t="shared" si="54"/>
        <v>24047.528329881399</v>
      </c>
      <c r="W25" s="5">
        <f t="shared" si="54"/>
        <v>26913.256446716427</v>
      </c>
      <c r="X25" s="5">
        <f t="shared" si="54"/>
        <v>28941.348192047011</v>
      </c>
      <c r="Y25" s="5">
        <f t="shared" si="54"/>
        <v>30000.865795812169</v>
      </c>
      <c r="Z25" s="5">
        <f t="shared" si="54"/>
        <v>30833.04104627989</v>
      </c>
      <c r="AA25" s="5">
        <f t="shared" si="54"/>
        <v>31689.402808881932</v>
      </c>
      <c r="AB25" s="5">
        <f t="shared" si="54"/>
        <v>32570.666886765612</v>
      </c>
      <c r="AC25" s="5">
        <f t="shared" si="54"/>
        <v>33477.570419155229</v>
      </c>
      <c r="AD25" s="1">
        <f>AC25*(1+$AG$38)</f>
        <v>33142.794714963675</v>
      </c>
      <c r="AE25" s="1">
        <f t="shared" ref="AE25:CP25" si="55">AD25*(1+$AG$38)</f>
        <v>32811.366767814041</v>
      </c>
      <c r="AF25" s="1">
        <f t="shared" si="55"/>
        <v>32483.253100135902</v>
      </c>
      <c r="AG25" s="1">
        <f t="shared" si="55"/>
        <v>32158.420569134541</v>
      </c>
      <c r="AH25" s="1">
        <f t="shared" si="55"/>
        <v>31836.836363443195</v>
      </c>
      <c r="AI25" s="1">
        <f t="shared" si="55"/>
        <v>31518.467999808763</v>
      </c>
      <c r="AJ25" s="1">
        <f t="shared" si="55"/>
        <v>31203.283319810675</v>
      </c>
      <c r="AK25" s="1">
        <f t="shared" si="55"/>
        <v>30891.250486612567</v>
      </c>
      <c r="AL25" s="1">
        <f t="shared" si="55"/>
        <v>30582.337981746441</v>
      </c>
      <c r="AM25" s="1">
        <f t="shared" si="55"/>
        <v>30276.514601928975</v>
      </c>
      <c r="AN25" s="1">
        <f t="shared" si="55"/>
        <v>29973.749455909685</v>
      </c>
      <c r="AO25" s="1">
        <f t="shared" si="55"/>
        <v>29674.011961350589</v>
      </c>
      <c r="AP25" s="1">
        <f t="shared" si="55"/>
        <v>29377.271841737082</v>
      </c>
      <c r="AQ25" s="1">
        <f t="shared" si="55"/>
        <v>29083.499123319711</v>
      </c>
      <c r="AR25" s="1">
        <f t="shared" si="55"/>
        <v>28792.664132086513</v>
      </c>
      <c r="AS25" s="1">
        <f t="shared" si="55"/>
        <v>28504.737490765649</v>
      </c>
      <c r="AT25" s="1">
        <f t="shared" si="55"/>
        <v>28219.690115857993</v>
      </c>
      <c r="AU25" s="1">
        <f t="shared" si="55"/>
        <v>27937.493214699414</v>
      </c>
      <c r="AV25" s="1">
        <f t="shared" si="55"/>
        <v>27658.118282552419</v>
      </c>
      <c r="AW25" s="1">
        <f t="shared" si="55"/>
        <v>27381.537099726895</v>
      </c>
      <c r="AX25" s="1">
        <f t="shared" si="55"/>
        <v>27107.721728729626</v>
      </c>
      <c r="AY25" s="1">
        <f t="shared" si="55"/>
        <v>26836.64451144233</v>
      </c>
      <c r="AZ25" s="1">
        <f t="shared" si="55"/>
        <v>26568.278066327905</v>
      </c>
      <c r="BA25" s="1">
        <f t="shared" si="55"/>
        <v>26302.595285664625</v>
      </c>
      <c r="BB25" s="1">
        <f t="shared" si="55"/>
        <v>26039.56933280798</v>
      </c>
      <c r="BC25" s="1">
        <f t="shared" si="55"/>
        <v>25779.173639479901</v>
      </c>
      <c r="BD25" s="1">
        <f t="shared" si="55"/>
        <v>25521.381903085101</v>
      </c>
      <c r="BE25" s="1">
        <f t="shared" si="55"/>
        <v>25266.16808405425</v>
      </c>
      <c r="BF25" s="1">
        <f t="shared" si="55"/>
        <v>25013.506403213709</v>
      </c>
      <c r="BG25" s="1">
        <f t="shared" si="55"/>
        <v>24763.371339181573</v>
      </c>
      <c r="BH25" s="1">
        <f t="shared" si="55"/>
        <v>24515.737625789756</v>
      </c>
      <c r="BI25" s="1">
        <f t="shared" si="55"/>
        <v>24270.580249531857</v>
      </c>
      <c r="BJ25" s="1">
        <f t="shared" si="55"/>
        <v>24027.874447036538</v>
      </c>
      <c r="BK25" s="1">
        <f t="shared" si="55"/>
        <v>23787.595702566174</v>
      </c>
      <c r="BL25" s="1">
        <f t="shared" si="55"/>
        <v>23549.719745540511</v>
      </c>
      <c r="BM25" s="1">
        <f t="shared" si="55"/>
        <v>23314.222548085105</v>
      </c>
      <c r="BN25" s="1">
        <f t="shared" si="55"/>
        <v>23081.080322604255</v>
      </c>
      <c r="BO25" s="1">
        <f t="shared" si="55"/>
        <v>22850.269519378213</v>
      </c>
      <c r="BP25" s="1">
        <f t="shared" si="55"/>
        <v>22621.766824184429</v>
      </c>
      <c r="BQ25" s="1">
        <f t="shared" si="55"/>
        <v>22395.549155942586</v>
      </c>
      <c r="BR25" s="1">
        <f t="shared" si="55"/>
        <v>22171.593664383159</v>
      </c>
      <c r="BS25" s="1">
        <f t="shared" si="55"/>
        <v>21949.877727739327</v>
      </c>
      <c r="BT25" s="1">
        <f t="shared" si="55"/>
        <v>21730.378950461934</v>
      </c>
      <c r="BU25" s="1">
        <f t="shared" si="55"/>
        <v>21513.075160957316</v>
      </c>
      <c r="BV25" s="1">
        <f t="shared" si="55"/>
        <v>21297.944409347743</v>
      </c>
      <c r="BW25" s="1">
        <f t="shared" si="55"/>
        <v>21084.964965254265</v>
      </c>
      <c r="BX25" s="1">
        <f t="shared" si="55"/>
        <v>20874.115315601721</v>
      </c>
      <c r="BY25" s="1">
        <f t="shared" si="55"/>
        <v>20665.374162445703</v>
      </c>
      <c r="BZ25" s="1">
        <f t="shared" si="55"/>
        <v>20458.720420821246</v>
      </c>
      <c r="CA25" s="1">
        <f t="shared" si="55"/>
        <v>20254.133216613034</v>
      </c>
      <c r="CB25" s="1">
        <f t="shared" si="55"/>
        <v>20051.591884446905</v>
      </c>
      <c r="CC25" s="1">
        <f t="shared" si="55"/>
        <v>19851.075965602435</v>
      </c>
      <c r="CD25" s="1">
        <f t="shared" si="55"/>
        <v>19652.565205946412</v>
      </c>
      <c r="CE25" s="1">
        <f t="shared" si="55"/>
        <v>19456.039553886949</v>
      </c>
      <c r="CF25" s="1">
        <f t="shared" si="55"/>
        <v>19261.47915834808</v>
      </c>
      <c r="CG25" s="1">
        <f t="shared" si="55"/>
        <v>19068.864366764599</v>
      </c>
      <c r="CH25" s="1">
        <f t="shared" si="55"/>
        <v>18878.175723096952</v>
      </c>
      <c r="CI25" s="1">
        <f t="shared" si="55"/>
        <v>18689.393965865984</v>
      </c>
      <c r="CJ25" s="1">
        <f t="shared" si="55"/>
        <v>18502.500026207323</v>
      </c>
      <c r="CK25" s="1">
        <f t="shared" si="55"/>
        <v>18317.475025945248</v>
      </c>
      <c r="CL25" s="1">
        <f t="shared" si="55"/>
        <v>18134.300275685797</v>
      </c>
      <c r="CM25" s="1">
        <f t="shared" si="55"/>
        <v>17952.957272928939</v>
      </c>
      <c r="CN25" s="1">
        <f t="shared" si="55"/>
        <v>17773.427700199649</v>
      </c>
      <c r="CO25" s="1">
        <f t="shared" si="55"/>
        <v>17595.693423197652</v>
      </c>
      <c r="CP25" s="1">
        <f t="shared" si="55"/>
        <v>17419.736488965675</v>
      </c>
      <c r="CQ25" s="1">
        <f t="shared" ref="CQ25:ET25" si="56">CP25*(1+$AG$38)</f>
        <v>17245.539124076018</v>
      </c>
      <c r="CR25" s="1">
        <f t="shared" si="56"/>
        <v>17073.083732835257</v>
      </c>
      <c r="CS25" s="1">
        <f t="shared" si="56"/>
        <v>16902.352895506905</v>
      </c>
      <c r="CT25" s="1">
        <f t="shared" si="56"/>
        <v>16733.329366551836</v>
      </c>
      <c r="CU25" s="1">
        <f t="shared" si="56"/>
        <v>16565.996072886319</v>
      </c>
      <c r="CV25" s="1">
        <f t="shared" si="56"/>
        <v>16400.336112157456</v>
      </c>
      <c r="CW25" s="1">
        <f t="shared" si="56"/>
        <v>16236.332751035881</v>
      </c>
      <c r="CX25" s="1">
        <f t="shared" si="56"/>
        <v>16073.969423525523</v>
      </c>
      <c r="CY25" s="1">
        <f t="shared" si="56"/>
        <v>15913.229729290268</v>
      </c>
      <c r="CZ25" s="1">
        <f t="shared" si="56"/>
        <v>15754.097431997365</v>
      </c>
      <c r="DA25" s="1">
        <f t="shared" si="56"/>
        <v>15596.55645767739</v>
      </c>
      <c r="DB25" s="1">
        <f t="shared" si="56"/>
        <v>15440.590893100616</v>
      </c>
      <c r="DC25" s="1">
        <f t="shared" si="56"/>
        <v>15286.184984169609</v>
      </c>
      <c r="DD25" s="1">
        <f t="shared" si="56"/>
        <v>15133.323134327913</v>
      </c>
      <c r="DE25" s="1">
        <f t="shared" si="56"/>
        <v>14981.989902984635</v>
      </c>
      <c r="DF25" s="1">
        <f t="shared" si="56"/>
        <v>14832.170003954789</v>
      </c>
      <c r="DG25" s="1">
        <f t="shared" si="56"/>
        <v>14683.84830391524</v>
      </c>
      <c r="DH25" s="1">
        <f t="shared" si="56"/>
        <v>14537.009820876086</v>
      </c>
      <c r="DI25" s="1">
        <f t="shared" si="56"/>
        <v>14391.639722667325</v>
      </c>
      <c r="DJ25" s="1">
        <f t="shared" si="56"/>
        <v>14247.723325440651</v>
      </c>
      <c r="DK25" s="1">
        <f t="shared" si="56"/>
        <v>14105.246092186244</v>
      </c>
      <c r="DL25" s="1">
        <f t="shared" si="56"/>
        <v>13964.193631264381</v>
      </c>
      <c r="DM25" s="1">
        <f t="shared" si="56"/>
        <v>13824.551694951737</v>
      </c>
      <c r="DN25" s="1">
        <f t="shared" si="56"/>
        <v>13686.30617800222</v>
      </c>
      <c r="DO25" s="1">
        <f t="shared" si="56"/>
        <v>13549.443116222197</v>
      </c>
      <c r="DP25" s="1">
        <f t="shared" si="56"/>
        <v>13413.948685059975</v>
      </c>
      <c r="DQ25" s="1">
        <f t="shared" si="56"/>
        <v>13279.809198209376</v>
      </c>
      <c r="DR25" s="1">
        <f t="shared" si="56"/>
        <v>13147.011106227281</v>
      </c>
      <c r="DS25" s="1">
        <f t="shared" si="56"/>
        <v>13015.540995165007</v>
      </c>
      <c r="DT25" s="1">
        <f t="shared" si="56"/>
        <v>12885.385585213357</v>
      </c>
      <c r="DU25" s="1">
        <f t="shared" si="56"/>
        <v>12756.531729361222</v>
      </c>
      <c r="DV25" s="1">
        <f t="shared" si="56"/>
        <v>12628.96641206761</v>
      </c>
      <c r="DW25" s="1">
        <f t="shared" si="56"/>
        <v>12502.676747946933</v>
      </c>
      <c r="DX25" s="1">
        <f t="shared" si="56"/>
        <v>12377.649980467464</v>
      </c>
      <c r="DY25" s="1">
        <f t="shared" si="56"/>
        <v>12253.873480662789</v>
      </c>
      <c r="DZ25" s="1">
        <f t="shared" si="56"/>
        <v>12131.33474585616</v>
      </c>
      <c r="EA25" s="1">
        <f t="shared" si="56"/>
        <v>12010.021398397599</v>
      </c>
      <c r="EB25" s="1">
        <f t="shared" si="56"/>
        <v>11889.921184413623</v>
      </c>
      <c r="EC25" s="1">
        <f t="shared" si="56"/>
        <v>11771.021972569486</v>
      </c>
      <c r="ED25" s="1">
        <f t="shared" si="56"/>
        <v>11653.311752843791</v>
      </c>
      <c r="EE25" s="1">
        <f t="shared" si="56"/>
        <v>11536.778635315353</v>
      </c>
      <c r="EF25" s="1">
        <f t="shared" si="56"/>
        <v>11421.410848962199</v>
      </c>
      <c r="EG25" s="1">
        <f t="shared" si="56"/>
        <v>11307.196740472576</v>
      </c>
      <c r="EH25" s="1">
        <f t="shared" si="56"/>
        <v>11194.124773067851</v>
      </c>
      <c r="EI25" s="1">
        <f t="shared" si="56"/>
        <v>11082.183525337174</v>
      </c>
      <c r="EJ25" s="1">
        <f t="shared" si="56"/>
        <v>10971.361690083802</v>
      </c>
      <c r="EK25" s="1">
        <f t="shared" si="56"/>
        <v>10861.648073182965</v>
      </c>
      <c r="EL25" s="1">
        <f t="shared" si="56"/>
        <v>10753.031592451136</v>
      </c>
      <c r="EM25" s="1">
        <f t="shared" si="56"/>
        <v>10645.501276526624</v>
      </c>
      <c r="EN25" s="1">
        <f t="shared" si="56"/>
        <v>10539.046263761358</v>
      </c>
      <c r="EO25" s="1">
        <f t="shared" si="56"/>
        <v>10433.655801123745</v>
      </c>
      <c r="EP25" s="1">
        <f t="shared" si="56"/>
        <v>10329.319243112508</v>
      </c>
      <c r="EQ25" s="1">
        <f t="shared" si="56"/>
        <v>10226.026050681383</v>
      </c>
      <c r="ER25" s="1">
        <f t="shared" si="56"/>
        <v>10123.76579017457</v>
      </c>
      <c r="ES25" s="1">
        <f t="shared" si="56"/>
        <v>10022.528132272824</v>
      </c>
      <c r="ET25" s="1">
        <f t="shared" si="56"/>
        <v>9922.3028509500964</v>
      </c>
    </row>
    <row r="26" spans="2:150" x14ac:dyDescent="0.3">
      <c r="B26" t="s">
        <v>1</v>
      </c>
      <c r="C26" s="3">
        <f>2797</f>
        <v>2797</v>
      </c>
      <c r="D26" s="3">
        <v>2841.7</v>
      </c>
      <c r="E26" s="3">
        <v>2841.7</v>
      </c>
      <c r="F26" s="3">
        <v>2841.7</v>
      </c>
      <c r="G26" s="3">
        <f>2797</f>
        <v>2797</v>
      </c>
      <c r="H26" s="3">
        <v>2841.7</v>
      </c>
      <c r="I26" s="3">
        <v>2841.7</v>
      </c>
      <c r="J26" s="3">
        <v>2841.7</v>
      </c>
      <c r="K26" s="3">
        <v>2841.7</v>
      </c>
      <c r="L26" s="3">
        <f>2873.1</f>
        <v>2873.1</v>
      </c>
      <c r="M26" s="3">
        <f>2873.1</f>
        <v>2873.1</v>
      </c>
      <c r="N26" s="3">
        <f>2873.1</f>
        <v>2873.1</v>
      </c>
      <c r="Q26" s="3">
        <f>2797</f>
        <v>2797</v>
      </c>
      <c r="R26" s="3">
        <f>2797</f>
        <v>2797</v>
      </c>
      <c r="S26" s="3">
        <v>2841.7</v>
      </c>
      <c r="T26" s="3">
        <f t="shared" ref="T26:AC26" si="57">2873.1</f>
        <v>2873.1</v>
      </c>
      <c r="U26" s="3">
        <f t="shared" si="57"/>
        <v>2873.1</v>
      </c>
      <c r="V26" s="3">
        <f t="shared" si="57"/>
        <v>2873.1</v>
      </c>
      <c r="W26" s="3">
        <f t="shared" si="57"/>
        <v>2873.1</v>
      </c>
      <c r="X26" s="3">
        <f t="shared" si="57"/>
        <v>2873.1</v>
      </c>
      <c r="Y26" s="3">
        <f t="shared" si="57"/>
        <v>2873.1</v>
      </c>
      <c r="Z26" s="3">
        <f t="shared" si="57"/>
        <v>2873.1</v>
      </c>
      <c r="AA26" s="3">
        <f t="shared" si="57"/>
        <v>2873.1</v>
      </c>
      <c r="AB26" s="3">
        <f t="shared" si="57"/>
        <v>2873.1</v>
      </c>
      <c r="AC26" s="3">
        <f t="shared" si="57"/>
        <v>2873.1</v>
      </c>
    </row>
    <row r="27" spans="2:150" x14ac:dyDescent="0.3">
      <c r="B27" t="s">
        <v>22</v>
      </c>
      <c r="C27" s="6">
        <f t="shared" ref="C27:K27" si="58">C25/C26</f>
        <v>0.86521272792277437</v>
      </c>
      <c r="D27" s="6">
        <f t="shared" si="58"/>
        <v>0.88081078227821386</v>
      </c>
      <c r="E27" s="6">
        <f t="shared" si="58"/>
        <v>0.8449167751697928</v>
      </c>
      <c r="F27" s="6">
        <f t="shared" si="58"/>
        <v>1.106028081782032</v>
      </c>
      <c r="G27" s="6">
        <f t="shared" si="58"/>
        <v>1.0471934215230605</v>
      </c>
      <c r="H27" s="6">
        <f t="shared" si="58"/>
        <v>1.1088432980258296</v>
      </c>
      <c r="I27" s="6">
        <f t="shared" si="58"/>
        <v>1.0331843614737657</v>
      </c>
      <c r="J27" s="6">
        <f t="shared" si="58"/>
        <v>1.2059682584368512</v>
      </c>
      <c r="K27" s="6">
        <f t="shared" si="58"/>
        <v>1.0300172431994934</v>
      </c>
      <c r="L27" s="6">
        <f t="shared" ref="L27:N27" si="59">L25/L26</f>
        <v>2.1353242142633393</v>
      </c>
      <c r="M27" s="6">
        <f t="shared" si="59"/>
        <v>1.4187196992795239</v>
      </c>
      <c r="N27" s="6">
        <f t="shared" si="59"/>
        <v>1.4179285008388154</v>
      </c>
      <c r="Q27" s="6">
        <f>Q25/Q26</f>
        <v>3.0400429031104754</v>
      </c>
      <c r="R27" s="6">
        <f>R25/R26</f>
        <v>3.7422238112263138</v>
      </c>
      <c r="S27" s="6">
        <f t="shared" ref="S27:AC27" si="60">S25/S26</f>
        <v>4.3787169651968894</v>
      </c>
      <c r="T27" s="6">
        <f t="shared" si="60"/>
        <v>5.9907326385298125</v>
      </c>
      <c r="U27" s="6">
        <f t="shared" si="60"/>
        <v>7.2108355054106053</v>
      </c>
      <c r="V27" s="6">
        <f t="shared" si="60"/>
        <v>8.3698890849192153</v>
      </c>
      <c r="W27" s="6">
        <f t="shared" si="60"/>
        <v>9.3673232559661788</v>
      </c>
      <c r="X27" s="6">
        <f t="shared" si="60"/>
        <v>10.073212972763569</v>
      </c>
      <c r="Y27" s="6">
        <f t="shared" si="60"/>
        <v>10.441984544851266</v>
      </c>
      <c r="Z27" s="6">
        <f t="shared" si="60"/>
        <v>10.731628222574882</v>
      </c>
      <c r="AA27" s="6">
        <f t="shared" si="60"/>
        <v>11.029690163545276</v>
      </c>
      <c r="AB27" s="6">
        <f t="shared" si="60"/>
        <v>11.336419507419029</v>
      </c>
      <c r="AC27" s="6">
        <f t="shared" si="60"/>
        <v>11.652072820004605</v>
      </c>
    </row>
    <row r="29" spans="2:150" x14ac:dyDescent="0.3">
      <c r="B29" t="s">
        <v>63</v>
      </c>
      <c r="K29" s="7">
        <f t="shared" ref="K29:L32" si="61">K3/G3-1</f>
        <v>0.27796549884403343</v>
      </c>
      <c r="L29" s="7">
        <f t="shared" si="61"/>
        <v>0.34360788276907539</v>
      </c>
      <c r="M29" s="7"/>
      <c r="N29" s="7"/>
      <c r="R29" s="7">
        <f t="shared" ref="R29" si="62">R3/Q3-1</f>
        <v>0.11544452941343075</v>
      </c>
      <c r="S29" s="7">
        <f>S3/R3-1</f>
        <v>0.11796968235025274</v>
      </c>
      <c r="T29" s="7"/>
      <c r="U29" s="7">
        <f t="shared" ref="U29:AC29" si="63">U3/T3-1</f>
        <v>0.25</v>
      </c>
      <c r="V29" s="7">
        <f t="shared" si="63"/>
        <v>0.14999999999999991</v>
      </c>
      <c r="W29" s="7">
        <f t="shared" si="63"/>
        <v>0.10000000000000009</v>
      </c>
      <c r="X29" s="7">
        <f t="shared" si="63"/>
        <v>5.0000000000000044E-2</v>
      </c>
      <c r="Y29" s="7">
        <f t="shared" si="63"/>
        <v>4.0000000000000036E-2</v>
      </c>
      <c r="Z29" s="7">
        <f t="shared" si="63"/>
        <v>3.0000000000000027E-2</v>
      </c>
      <c r="AA29" s="7">
        <f t="shared" si="63"/>
        <v>3.0000000000000027E-2</v>
      </c>
      <c r="AB29" s="7">
        <f t="shared" si="63"/>
        <v>3.0000000000000027E-2</v>
      </c>
      <c r="AC29" s="7">
        <f t="shared" si="63"/>
        <v>3.0000000000000027E-2</v>
      </c>
    </row>
    <row r="30" spans="2:150" x14ac:dyDescent="0.3">
      <c r="B30" t="s">
        <v>64</v>
      </c>
      <c r="K30" s="7">
        <f t="shared" si="61"/>
        <v>-7.804370447450526E-3</v>
      </c>
      <c r="L30" s="7">
        <f t="shared" si="61"/>
        <v>-3.0837730870712399E-2</v>
      </c>
      <c r="M30" s="7"/>
      <c r="N30" s="7"/>
      <c r="R30" s="7">
        <f t="shared" ref="R30:AC30" si="64">R4/Q4-1</f>
        <v>-0.12078214223914174</v>
      </c>
      <c r="S30" s="7">
        <f t="shared" si="64"/>
        <v>2.3617398149970548E-2</v>
      </c>
      <c r="T30" s="7"/>
      <c r="U30" s="7">
        <f t="shared" si="64"/>
        <v>2.0000000000000018E-2</v>
      </c>
      <c r="V30" s="7">
        <f t="shared" si="64"/>
        <v>2.0000000000000018E-2</v>
      </c>
      <c r="W30" s="7">
        <f t="shared" si="64"/>
        <v>2.0000000000000018E-2</v>
      </c>
      <c r="X30" s="7">
        <f t="shared" si="64"/>
        <v>2.0000000000000018E-2</v>
      </c>
      <c r="Y30" s="7">
        <f t="shared" si="64"/>
        <v>1.0000000000000009E-2</v>
      </c>
      <c r="Z30" s="7">
        <f t="shared" si="64"/>
        <v>1.0000000000000009E-2</v>
      </c>
      <c r="AA30" s="7">
        <f t="shared" si="64"/>
        <v>1.0000000000000009E-2</v>
      </c>
      <c r="AB30" s="7">
        <f t="shared" si="64"/>
        <v>1.0000000000000009E-2</v>
      </c>
      <c r="AC30" s="7">
        <f t="shared" si="64"/>
        <v>1.0000000000000009E-2</v>
      </c>
    </row>
    <row r="31" spans="2:150" x14ac:dyDescent="0.3">
      <c r="B31" t="s">
        <v>65</v>
      </c>
      <c r="G31" s="7">
        <f t="shared" ref="G31:G32" si="65">G5/C5-1</f>
        <v>-8.2633053221288555E-2</v>
      </c>
      <c r="H31" s="7">
        <f t="shared" ref="H31:H32" si="66">H5/D5-1</f>
        <v>-3.703703703703709E-2</v>
      </c>
      <c r="I31" s="7">
        <f t="shared" ref="I31:I32" si="67">I5/E5-1</f>
        <v>-6.7639257294429656E-2</v>
      </c>
      <c r="J31" s="7">
        <f t="shared" ref="J31:J32" si="68">J5/F5-1</f>
        <v>9.5011876484560887E-3</v>
      </c>
      <c r="K31" s="7">
        <f t="shared" si="61"/>
        <v>2.2900763358778553E-2</v>
      </c>
      <c r="L31" s="7">
        <f t="shared" ref="L31:L33" si="69">L5/H5-1</f>
        <v>6.5934065934065922E-2</v>
      </c>
      <c r="M31" s="7">
        <f t="shared" ref="M31:M33" si="70">M5/I5-1</f>
        <v>1.0000000000000009E-2</v>
      </c>
      <c r="N31" s="7">
        <f t="shared" ref="N31:N33" si="71">N5/J5-1</f>
        <v>1.0000000000000009E-2</v>
      </c>
      <c r="R31" s="7">
        <f t="shared" ref="R31:AC31" si="72">R5/Q5-1</f>
        <v>-6.3530849114233345E-2</v>
      </c>
      <c r="S31" s="7">
        <f t="shared" si="72"/>
        <v>-4.24005218525767E-2</v>
      </c>
      <c r="T31" s="7">
        <f t="shared" si="72"/>
        <v>2.67472752043596E-2</v>
      </c>
      <c r="U31" s="7">
        <f t="shared" si="72"/>
        <v>2.0000000000000018E-2</v>
      </c>
      <c r="V31" s="7">
        <f t="shared" si="72"/>
        <v>1.0000000000000009E-2</v>
      </c>
      <c r="W31" s="7">
        <f t="shared" si="72"/>
        <v>1.0000000000000009E-2</v>
      </c>
      <c r="X31" s="7">
        <f t="shared" si="72"/>
        <v>1.0000000000000009E-2</v>
      </c>
      <c r="Y31" s="7">
        <f t="shared" si="72"/>
        <v>1.0000000000000009E-2</v>
      </c>
      <c r="Z31" s="7">
        <f t="shared" si="72"/>
        <v>1.0000000000000009E-2</v>
      </c>
      <c r="AA31" s="7">
        <f t="shared" si="72"/>
        <v>1.0000000000000009E-2</v>
      </c>
      <c r="AB31" s="7">
        <f t="shared" si="72"/>
        <v>1.0000000000000009E-2</v>
      </c>
      <c r="AC31" s="7">
        <f t="shared" si="72"/>
        <v>1.0000000000000009E-2</v>
      </c>
    </row>
    <row r="32" spans="2:150" x14ac:dyDescent="0.3">
      <c r="B32" t="s">
        <v>66</v>
      </c>
      <c r="G32" s="7">
        <f t="shared" si="65"/>
        <v>-8.6767895878524959E-2</v>
      </c>
      <c r="H32" s="7">
        <f t="shared" si="66"/>
        <v>-2.777777777777779E-2</v>
      </c>
      <c r="I32" s="7">
        <f t="shared" si="67"/>
        <v>-1.2241775057383331E-2</v>
      </c>
      <c r="J32" s="7">
        <f t="shared" si="68"/>
        <v>-1.7479970866715266E-2</v>
      </c>
      <c r="K32" s="7">
        <f t="shared" si="61"/>
        <v>6.8091844813935154E-2</v>
      </c>
      <c r="L32" s="7">
        <f t="shared" si="69"/>
        <v>7.3684210526315796E-2</v>
      </c>
      <c r="M32" s="7">
        <f t="shared" si="70"/>
        <v>4.0000000000000036E-2</v>
      </c>
      <c r="N32" s="7">
        <f t="shared" si="71"/>
        <v>3.0000000000000027E-2</v>
      </c>
      <c r="R32" s="7">
        <f t="shared" ref="R32:AC32" si="73">R6/Q6-1</f>
        <v>-2.9138362531283546E-2</v>
      </c>
      <c r="S32" s="7">
        <f t="shared" si="73"/>
        <v>-3.6457374332535486E-2</v>
      </c>
      <c r="T32" s="7">
        <f t="shared" si="73"/>
        <v>5.2763233326963643E-2</v>
      </c>
      <c r="U32" s="7">
        <f t="shared" si="73"/>
        <v>5.0000000000000044E-2</v>
      </c>
      <c r="V32" s="7">
        <f t="shared" si="73"/>
        <v>5.0000000000000044E-2</v>
      </c>
      <c r="W32" s="7">
        <f t="shared" si="73"/>
        <v>4.0000000000000036E-2</v>
      </c>
      <c r="X32" s="7">
        <f t="shared" si="73"/>
        <v>3.0000000000000027E-2</v>
      </c>
      <c r="Y32" s="7">
        <f t="shared" si="73"/>
        <v>3.0000000000000027E-2</v>
      </c>
      <c r="Z32" s="7">
        <f t="shared" si="73"/>
        <v>3.0000000000000027E-2</v>
      </c>
      <c r="AA32" s="7">
        <f t="shared" si="73"/>
        <v>3.0000000000000027E-2</v>
      </c>
      <c r="AB32" s="7">
        <f t="shared" si="73"/>
        <v>3.0000000000000027E-2</v>
      </c>
      <c r="AC32" s="7">
        <f t="shared" si="73"/>
        <v>3.0000000000000027E-2</v>
      </c>
    </row>
    <row r="33" spans="2:33" s="1" customFormat="1" x14ac:dyDescent="0.3">
      <c r="B33" s="1" t="s">
        <v>23</v>
      </c>
      <c r="C33" s="8"/>
      <c r="D33" s="8"/>
      <c r="E33" s="8"/>
      <c r="F33" s="8"/>
      <c r="G33" s="8">
        <f>G7/C7-1</f>
        <v>6.857785272625061E-2</v>
      </c>
      <c r="H33" s="8">
        <f>H7/D7-1</f>
        <v>8.6392087164824938E-2</v>
      </c>
      <c r="I33" s="8">
        <f>I7/E7-1</f>
        <v>6.4006024096385561E-2</v>
      </c>
      <c r="J33" s="8">
        <f>J7/F7-1</f>
        <v>0.11310982011618953</v>
      </c>
      <c r="K33" s="8">
        <f>K7/G7-1</f>
        <v>0.12166528894566775</v>
      </c>
      <c r="L33" s="8">
        <f t="shared" si="69"/>
        <v>0.14218649975104913</v>
      </c>
      <c r="M33" s="8">
        <f t="shared" si="70"/>
        <v>0.16941472045293704</v>
      </c>
      <c r="N33" s="8">
        <f t="shared" si="71"/>
        <v>8.7254675218512379E-2</v>
      </c>
      <c r="R33" s="8">
        <f t="shared" ref="R33:AC33" si="74">R7/Q7-1</f>
        <v>6.0195379749369504E-2</v>
      </c>
      <c r="S33" s="8">
        <f t="shared" si="74"/>
        <v>8.3797511376295875E-2</v>
      </c>
      <c r="T33" s="8">
        <f t="shared" si="74"/>
        <v>0.12891236955347662</v>
      </c>
      <c r="U33" s="8">
        <f t="shared" si="74"/>
        <v>0.13878111496728596</v>
      </c>
      <c r="V33" s="8">
        <f t="shared" si="74"/>
        <v>9.4046702388482561E-2</v>
      </c>
      <c r="W33" s="8">
        <f t="shared" si="74"/>
        <v>6.7765988615056783E-2</v>
      </c>
      <c r="X33" s="8">
        <f t="shared" si="74"/>
        <v>3.838921523352834E-2</v>
      </c>
      <c r="Y33" s="8">
        <f t="shared" si="74"/>
        <v>2.9675524082040772E-2</v>
      </c>
      <c r="Z33" s="8">
        <f t="shared" si="74"/>
        <v>2.3723856409906485E-2</v>
      </c>
      <c r="AA33" s="8">
        <f t="shared" si="74"/>
        <v>2.380799325296179E-2</v>
      </c>
      <c r="AB33" s="8">
        <f t="shared" si="74"/>
        <v>2.3891504211997816E-2</v>
      </c>
      <c r="AC33" s="8">
        <f t="shared" si="74"/>
        <v>2.3974380370867188E-2</v>
      </c>
    </row>
    <row r="34" spans="2:33" s="1" customFormat="1" x14ac:dyDescent="0.3">
      <c r="B34" t="s">
        <v>49</v>
      </c>
      <c r="C34" s="7">
        <f t="shared" ref="C34:E34" si="75">((C3+C4)-C8)/(C3+C4)</f>
        <v>0.78959057551178058</v>
      </c>
      <c r="D34" s="7">
        <f t="shared" si="75"/>
        <v>0.78977535361005824</v>
      </c>
      <c r="E34" s="7">
        <f t="shared" si="75"/>
        <v>0.78144219627417777</v>
      </c>
      <c r="F34" s="7"/>
      <c r="G34" s="7">
        <f t="shared" ref="G34:I34" si="76">((G3+G4)-G8)/(G3+G4)</f>
        <v>0.7719729563614014</v>
      </c>
      <c r="H34" s="7">
        <f t="shared" si="76"/>
        <v>0.77118573452212313</v>
      </c>
      <c r="I34" s="7">
        <f t="shared" si="76"/>
        <v>0.76252471984179304</v>
      </c>
      <c r="J34" s="7"/>
      <c r="K34" s="7">
        <f>((K3+K4)-K8)/(K3+K4)</f>
        <v>0.72053924227163557</v>
      </c>
      <c r="L34" s="7">
        <f t="shared" ref="L34:N34" si="77">((L3+L4)-L8)/(L3+L4)</f>
        <v>0.71199653529666518</v>
      </c>
      <c r="M34" s="7">
        <f t="shared" si="77"/>
        <v>0.71</v>
      </c>
      <c r="N34" s="7">
        <f t="shared" si="77"/>
        <v>0.71</v>
      </c>
      <c r="Q34" s="7">
        <f t="shared" ref="Q34:T34" si="78">((Q3+Q4)-Q8)/(Q3+Q4)</f>
        <v>0.81105486053643572</v>
      </c>
      <c r="R34" s="7">
        <f t="shared" si="78"/>
        <v>0.78798578625404825</v>
      </c>
      <c r="S34" s="7">
        <f t="shared" si="78"/>
        <v>0.76500101564086942</v>
      </c>
      <c r="T34" s="7">
        <f t="shared" si="78"/>
        <v>0.71290876194673924</v>
      </c>
      <c r="U34" s="7"/>
      <c r="V34" s="7"/>
      <c r="W34" s="7"/>
      <c r="X34" s="7"/>
      <c r="Y34" s="7"/>
      <c r="Z34" s="7"/>
      <c r="AA34" s="7"/>
      <c r="AB34" s="7"/>
      <c r="AC34" s="7"/>
    </row>
    <row r="35" spans="2:33" s="1" customFormat="1" x14ac:dyDescent="0.3">
      <c r="B35" t="s">
        <v>46</v>
      </c>
      <c r="C35" s="7">
        <f t="shared" ref="C35:F35" si="79">(C5-C9)/C5</f>
        <v>0.69327731092436973</v>
      </c>
      <c r="D35" s="7">
        <f t="shared" si="79"/>
        <v>0.71825396825396826</v>
      </c>
      <c r="E35" s="7">
        <f t="shared" si="79"/>
        <v>0.71220159151193629</v>
      </c>
      <c r="F35" s="7">
        <f t="shared" si="79"/>
        <v>0.71258907363420432</v>
      </c>
      <c r="G35" s="7">
        <f t="shared" ref="G35:J35" si="80">(G5-G9)/G5</f>
        <v>0.75267175572519085</v>
      </c>
      <c r="H35" s="7">
        <f t="shared" si="80"/>
        <v>0.76373626373626369</v>
      </c>
      <c r="I35" s="7">
        <f t="shared" si="80"/>
        <v>0.7197724039829303</v>
      </c>
      <c r="J35" s="7">
        <f t="shared" si="80"/>
        <v>0.70470588235294118</v>
      </c>
      <c r="K35" s="7">
        <f>(K5-K9)/K5</f>
        <v>0.73432835820895526</v>
      </c>
      <c r="L35" s="7">
        <f t="shared" ref="L35:N35" si="81">(L5-L9)/L5</f>
        <v>0.72293814432989689</v>
      </c>
      <c r="M35" s="7">
        <f t="shared" si="81"/>
        <v>0.72</v>
      </c>
      <c r="N35" s="7">
        <f t="shared" si="81"/>
        <v>0.72</v>
      </c>
      <c r="Q35" s="7">
        <f t="shared" ref="Q35:T35" si="82">(Q5-Q9)/Q5</f>
        <v>0.68234575442883327</v>
      </c>
      <c r="R35" s="7">
        <f t="shared" si="82"/>
        <v>0.70939334637964779</v>
      </c>
      <c r="S35" s="7">
        <f t="shared" si="82"/>
        <v>0.73365122615803813</v>
      </c>
      <c r="T35" s="7">
        <f t="shared" si="82"/>
        <v>0.72394091284545181</v>
      </c>
      <c r="U35" s="7"/>
      <c r="V35" s="7"/>
      <c r="W35" s="7"/>
      <c r="X35" s="7"/>
      <c r="Y35" s="7"/>
      <c r="Z35" s="7"/>
      <c r="AA35" s="7"/>
      <c r="AB35" s="7"/>
      <c r="AC35" s="7"/>
    </row>
    <row r="36" spans="2:33" s="1" customFormat="1" x14ac:dyDescent="0.3">
      <c r="B36" t="s">
        <v>47</v>
      </c>
      <c r="C36" s="7">
        <f t="shared" ref="C36:F36" si="83">(C6-C10)/C6</f>
        <v>0.12364425162689804</v>
      </c>
      <c r="D36" s="7">
        <f t="shared" si="83"/>
        <v>8.4064327485380119E-2</v>
      </c>
      <c r="E36" s="7">
        <f t="shared" si="83"/>
        <v>8.1866870696250954E-2</v>
      </c>
      <c r="F36" s="7">
        <f t="shared" si="83"/>
        <v>0.1551347414420976</v>
      </c>
      <c r="G36" s="7">
        <f t="shared" ref="G36:J36" si="84">(G6-G10)/G6</f>
        <v>9.1844813935075223E-2</v>
      </c>
      <c r="H36" s="7">
        <f t="shared" si="84"/>
        <v>0.12255639097744361</v>
      </c>
      <c r="I36" s="7">
        <f t="shared" si="84"/>
        <v>0.13555383423702555</v>
      </c>
      <c r="J36" s="7">
        <f t="shared" si="84"/>
        <v>0.15048183839881393</v>
      </c>
      <c r="K36" s="7">
        <f>(K6-K10)/K6</f>
        <v>0.18532246108228317</v>
      </c>
      <c r="L36" s="7">
        <f t="shared" ref="L36:N36" si="85">(L6-L10)/L6</f>
        <v>0.18137254901960784</v>
      </c>
      <c r="M36" s="7">
        <f t="shared" si="85"/>
        <v>0.1400000000000001</v>
      </c>
      <c r="N36" s="7">
        <f t="shared" si="85"/>
        <v>0.14000000000000007</v>
      </c>
      <c r="Q36" s="7">
        <f t="shared" ref="Q36:T36" si="86">(Q6-Q10)/Q6</f>
        <v>0.14890954594208081</v>
      </c>
      <c r="R36" s="7">
        <f t="shared" si="86"/>
        <v>0.11158166083594181</v>
      </c>
      <c r="S36" s="7">
        <f t="shared" si="86"/>
        <v>0.12554939805083126</v>
      </c>
      <c r="T36" s="7">
        <f t="shared" si="86"/>
        <v>0.16182203659030236</v>
      </c>
      <c r="U36" s="7"/>
      <c r="V36" s="7"/>
      <c r="W36" s="7"/>
      <c r="X36" s="7"/>
      <c r="Y36" s="7"/>
      <c r="Z36" s="7"/>
      <c r="AA36" s="7"/>
      <c r="AB36" s="7"/>
      <c r="AC36" s="7"/>
    </row>
    <row r="37" spans="2:33" s="1" customFormat="1" x14ac:dyDescent="0.3">
      <c r="B37" s="1" t="s">
        <v>24</v>
      </c>
      <c r="C37" s="8">
        <f t="shared" ref="C37:K37" si="87">C12/C7</f>
        <v>0.71011001365132898</v>
      </c>
      <c r="D37" s="8">
        <f t="shared" si="87"/>
        <v>0.71099605903716867</v>
      </c>
      <c r="E37" s="8">
        <f t="shared" si="87"/>
        <v>0.70865963855421688</v>
      </c>
      <c r="F37" s="8">
        <f t="shared" si="87"/>
        <v>0.72534471897529218</v>
      </c>
      <c r="G37" s="8">
        <f t="shared" si="87"/>
        <v>0.70647027880063129</v>
      </c>
      <c r="H37" s="8">
        <f t="shared" si="87"/>
        <v>0.70943879365530982</v>
      </c>
      <c r="I37" s="8">
        <f t="shared" si="87"/>
        <v>0.70311394196744514</v>
      </c>
      <c r="J37" s="8">
        <f t="shared" si="87"/>
        <v>0.70188014839967305</v>
      </c>
      <c r="K37" s="8">
        <f t="shared" si="87"/>
        <v>0.67278574299879401</v>
      </c>
      <c r="L37" s="8">
        <f t="shared" ref="L37:N37" si="88">L12/L7</f>
        <v>0.66533814920911694</v>
      </c>
      <c r="M37" s="8">
        <f t="shared" si="88"/>
        <v>0.66411448193306277</v>
      </c>
      <c r="N37" s="8">
        <f t="shared" si="88"/>
        <v>0.66469142788134306</v>
      </c>
      <c r="Q37" s="8">
        <f t="shared" ref="Q37:AC37" si="89">Q12/Q7</f>
        <v>0.72847019257717105</v>
      </c>
      <c r="R37" s="8">
        <f t="shared" si="89"/>
        <v>0.71407261947470779</v>
      </c>
      <c r="S37" s="8">
        <f t="shared" si="89"/>
        <v>0.70509939197547</v>
      </c>
      <c r="T37" s="8">
        <f t="shared" si="89"/>
        <v>0.66656905702936742</v>
      </c>
      <c r="U37" s="8">
        <f t="shared" si="89"/>
        <v>0.65</v>
      </c>
      <c r="V37" s="8">
        <f t="shared" si="89"/>
        <v>0.66</v>
      </c>
      <c r="W37" s="8">
        <f t="shared" si="89"/>
        <v>0.67</v>
      </c>
      <c r="X37" s="8">
        <f t="shared" si="89"/>
        <v>0.68</v>
      </c>
      <c r="Y37" s="8">
        <f t="shared" si="89"/>
        <v>0.68</v>
      </c>
      <c r="Z37" s="8">
        <f t="shared" si="89"/>
        <v>0.68</v>
      </c>
      <c r="AA37" s="8">
        <f t="shared" si="89"/>
        <v>0.68</v>
      </c>
      <c r="AB37" s="8">
        <f t="shared" si="89"/>
        <v>0.68</v>
      </c>
      <c r="AC37" s="8">
        <f t="shared" si="89"/>
        <v>0.68</v>
      </c>
    </row>
    <row r="38" spans="2:33" x14ac:dyDescent="0.3">
      <c r="B38" t="s">
        <v>25</v>
      </c>
      <c r="C38" s="7">
        <f t="shared" ref="C38:K38" si="90">C13/C7</f>
        <v>0.16269172087047298</v>
      </c>
      <c r="D38" s="7">
        <f t="shared" si="90"/>
        <v>0.16173402364577699</v>
      </c>
      <c r="E38" s="7">
        <f t="shared" si="90"/>
        <v>0.15376506024096387</v>
      </c>
      <c r="F38" s="7">
        <f t="shared" si="90"/>
        <v>0.14789668929796318</v>
      </c>
      <c r="G38" s="7">
        <f t="shared" si="90"/>
        <v>0.15300217930412566</v>
      </c>
      <c r="H38" s="7">
        <f t="shared" si="90"/>
        <v>0.15577210327903834</v>
      </c>
      <c r="I38" s="7">
        <f t="shared" si="90"/>
        <v>0.1499646142958245</v>
      </c>
      <c r="J38" s="7">
        <f t="shared" si="90"/>
        <v>0.14500408727912972</v>
      </c>
      <c r="K38" s="7">
        <f t="shared" si="90"/>
        <v>0.13821519496181162</v>
      </c>
      <c r="L38" s="7">
        <f t="shared" ref="L38:N38" si="91">L13/L7</f>
        <v>0.13382737576285963</v>
      </c>
      <c r="M38" s="7">
        <f t="shared" si="91"/>
        <v>0.14000000000000001</v>
      </c>
      <c r="N38" s="7">
        <f t="shared" si="91"/>
        <v>0.14000000000000001</v>
      </c>
      <c r="Q38" s="7">
        <f t="shared" ref="Q38:AC38" si="92">Q13/Q7</f>
        <v>0.17682267686271369</v>
      </c>
      <c r="R38" s="7">
        <f t="shared" si="92"/>
        <v>0.15622816789713184</v>
      </c>
      <c r="S38" s="7">
        <f t="shared" si="92"/>
        <v>0.15071691144445026</v>
      </c>
      <c r="T38" s="7">
        <f t="shared" si="92"/>
        <v>0.13805921256954437</v>
      </c>
      <c r="U38" s="7">
        <f t="shared" si="92"/>
        <v>0.14000000000000001</v>
      </c>
      <c r="V38" s="7">
        <f t="shared" si="92"/>
        <v>0.14000000000000001</v>
      </c>
      <c r="W38" s="7">
        <f t="shared" si="92"/>
        <v>0.14000000000000001</v>
      </c>
      <c r="X38" s="7">
        <f t="shared" si="92"/>
        <v>0.14000000000000001</v>
      </c>
      <c r="Y38" s="7">
        <f t="shared" si="92"/>
        <v>0.14000000000000001</v>
      </c>
      <c r="Z38" s="7">
        <f t="shared" si="92"/>
        <v>0.14000000000000001</v>
      </c>
      <c r="AA38" s="7">
        <f t="shared" si="92"/>
        <v>0.14000000000000001</v>
      </c>
      <c r="AB38" s="7">
        <f t="shared" si="92"/>
        <v>0.14000000000000001</v>
      </c>
      <c r="AC38" s="7">
        <f t="shared" si="92"/>
        <v>0.14000000000000001</v>
      </c>
      <c r="AF38" t="s">
        <v>30</v>
      </c>
      <c r="AG38" s="7">
        <v>-0.01</v>
      </c>
    </row>
    <row r="39" spans="2:33" x14ac:dyDescent="0.3">
      <c r="B39" t="s">
        <v>26</v>
      </c>
      <c r="C39" s="7"/>
      <c r="D39" s="7"/>
      <c r="E39" s="7"/>
      <c r="F39" s="7"/>
      <c r="G39" s="7">
        <f t="shared" ref="G39:K40" si="93">G14/C14-1</f>
        <v>4.0613718411552258E-2</v>
      </c>
      <c r="H39" s="7">
        <f t="shared" si="93"/>
        <v>0.11006289308176109</v>
      </c>
      <c r="I39" s="7">
        <f t="shared" si="93"/>
        <v>8.0516014234875533E-2</v>
      </c>
      <c r="J39" s="7">
        <f t="shared" si="93"/>
        <v>0.19280898876404495</v>
      </c>
      <c r="K39" s="7">
        <f t="shared" si="93"/>
        <v>8.0225498699046049E-2</v>
      </c>
      <c r="L39" s="7">
        <f t="shared" ref="L39:N39" si="94">L14/H14-1</f>
        <v>3.6422501011736053E-2</v>
      </c>
      <c r="M39" s="7">
        <f t="shared" si="94"/>
        <v>0.10000000000000009</v>
      </c>
      <c r="N39" s="7">
        <f t="shared" si="94"/>
        <v>0.10000000000000009</v>
      </c>
      <c r="Q39" s="7"/>
      <c r="R39" s="7">
        <f>R14/Q14-1</f>
        <v>3.3862924736170807E-2</v>
      </c>
      <c r="S39" s="7">
        <f t="shared" ref="S39:AC39" si="95">S14/R14-1</f>
        <v>0.10600112170499165</v>
      </c>
      <c r="T39" s="7">
        <f t="shared" si="95"/>
        <v>7.9442190669371193E-2</v>
      </c>
      <c r="U39" s="7">
        <f t="shared" si="95"/>
        <v>5.0000000000000044E-2</v>
      </c>
      <c r="V39" s="7">
        <f t="shared" si="95"/>
        <v>4.0000000000000036E-2</v>
      </c>
      <c r="W39" s="7">
        <f t="shared" si="95"/>
        <v>3.0000000000000027E-2</v>
      </c>
      <c r="X39" s="7">
        <f t="shared" si="95"/>
        <v>2.0000000000000018E-2</v>
      </c>
      <c r="Y39" s="7">
        <f t="shared" si="95"/>
        <v>1.0000000000000009E-2</v>
      </c>
      <c r="Z39" s="7">
        <f t="shared" si="95"/>
        <v>1.0000000000000009E-2</v>
      </c>
      <c r="AA39" s="7">
        <f t="shared" si="95"/>
        <v>1.0000000000000009E-2</v>
      </c>
      <c r="AB39" s="7">
        <f t="shared" si="95"/>
        <v>1.0000000000000009E-2</v>
      </c>
      <c r="AC39" s="7">
        <f t="shared" si="95"/>
        <v>1.0000000000000009E-2</v>
      </c>
      <c r="AF39" t="s">
        <v>31</v>
      </c>
      <c r="AG39" s="7">
        <v>0.06</v>
      </c>
    </row>
    <row r="40" spans="2:33" x14ac:dyDescent="0.3">
      <c r="B40" t="s">
        <v>27</v>
      </c>
      <c r="C40" s="7"/>
      <c r="D40" s="7"/>
      <c r="E40" s="7"/>
      <c r="F40" s="7"/>
      <c r="G40" s="7">
        <f t="shared" si="93"/>
        <v>-8.9058524173027953E-2</v>
      </c>
      <c r="H40" s="7">
        <f t="shared" si="93"/>
        <v>3.2000000000000028E-2</v>
      </c>
      <c r="I40" s="7">
        <f t="shared" si="93"/>
        <v>3.4482758620689724E-2</v>
      </c>
      <c r="J40" s="7">
        <f t="shared" si="93"/>
        <v>0.15880893300248133</v>
      </c>
      <c r="K40" s="7">
        <f t="shared" si="93"/>
        <v>5.027932960893855E-2</v>
      </c>
      <c r="L40" s="7">
        <f t="shared" ref="L40:N40" si="96">L15/H15-1</f>
        <v>5.6847545219638196E-2</v>
      </c>
      <c r="M40" s="7">
        <f t="shared" si="96"/>
        <v>4.0000000000000036E-2</v>
      </c>
      <c r="N40" s="7">
        <f t="shared" si="96"/>
        <v>4.0000000000000036E-2</v>
      </c>
      <c r="Q40" s="7"/>
      <c r="R40" s="7">
        <f>R15/Q15-1</f>
        <v>-1.9632678910702972E-2</v>
      </c>
      <c r="S40" s="7">
        <f t="shared" ref="S40:AC40" si="97">S15/R15-1</f>
        <v>3.488372093023262E-2</v>
      </c>
      <c r="T40" s="7">
        <f t="shared" si="97"/>
        <v>4.6367041198501768E-2</v>
      </c>
      <c r="U40" s="7">
        <f t="shared" si="97"/>
        <v>3.0000000000000027E-2</v>
      </c>
      <c r="V40" s="7">
        <f t="shared" si="97"/>
        <v>3.0000000000000027E-2</v>
      </c>
      <c r="W40" s="7">
        <f t="shared" si="97"/>
        <v>2.0000000000000018E-2</v>
      </c>
      <c r="X40" s="7">
        <f t="shared" si="97"/>
        <v>2.0000000000000018E-2</v>
      </c>
      <c r="Y40" s="7">
        <f t="shared" si="97"/>
        <v>2.0000000000000018E-2</v>
      </c>
      <c r="Z40" s="7">
        <f t="shared" si="97"/>
        <v>2.0000000000000018E-2</v>
      </c>
      <c r="AA40" s="7">
        <f t="shared" si="97"/>
        <v>2.0000000000000018E-2</v>
      </c>
      <c r="AB40" s="7">
        <f t="shared" si="97"/>
        <v>2.0000000000000018E-2</v>
      </c>
      <c r="AC40" s="7">
        <f t="shared" si="97"/>
        <v>2.0000000000000018E-2</v>
      </c>
      <c r="AF40" t="s">
        <v>32</v>
      </c>
      <c r="AG40" s="3">
        <f>NPV(AG39,T25:ET25)</f>
        <v>461635.53014038643</v>
      </c>
    </row>
    <row r="41" spans="2:33" x14ac:dyDescent="0.3">
      <c r="B41" t="s">
        <v>28</v>
      </c>
      <c r="C41" s="7">
        <f t="shared" ref="C41:K41" si="98">C20/C7</f>
        <v>0.26467517867180601</v>
      </c>
      <c r="D41" s="7">
        <f t="shared" si="98"/>
        <v>0.27988563480411094</v>
      </c>
      <c r="E41" s="7">
        <f t="shared" si="98"/>
        <v>0.28237951807228917</v>
      </c>
      <c r="F41" s="7">
        <f t="shared" si="98"/>
        <v>0.32792048715615596</v>
      </c>
      <c r="G41" s="7">
        <f t="shared" si="98"/>
        <v>0.2999173367400616</v>
      </c>
      <c r="H41" s="7">
        <f t="shared" si="98"/>
        <v>0.30016359627285011</v>
      </c>
      <c r="I41" s="7">
        <f t="shared" si="98"/>
        <v>0.30842179759377214</v>
      </c>
      <c r="J41" s="7">
        <f t="shared" si="98"/>
        <v>0.32126013959630256</v>
      </c>
      <c r="K41" s="7">
        <f t="shared" si="98"/>
        <v>0.28654696502746885</v>
      </c>
      <c r="L41" s="7">
        <f t="shared" ref="L41:N41" si="99">L20/L7</f>
        <v>0.29461950429692363</v>
      </c>
      <c r="M41" s="7">
        <f t="shared" si="99"/>
        <v>0.33484238218379148</v>
      </c>
      <c r="N41" s="7">
        <f t="shared" si="99"/>
        <v>0.32486737423641432</v>
      </c>
      <c r="Q41" s="7">
        <f t="shared" ref="Q41:AC41" si="100">Q20/Q7</f>
        <v>0.26210113304239901</v>
      </c>
      <c r="R41" s="7">
        <f t="shared" si="100"/>
        <v>0.28989256245161532</v>
      </c>
      <c r="S41" s="7">
        <f t="shared" si="100"/>
        <v>0.30798445965957594</v>
      </c>
      <c r="T41" s="7">
        <f t="shared" si="100"/>
        <v>0.311088255902502</v>
      </c>
      <c r="U41" s="7">
        <f t="shared" si="100"/>
        <v>0.33515494760007336</v>
      </c>
      <c r="V41" s="7">
        <f t="shared" si="100"/>
        <v>0.35400628696045666</v>
      </c>
      <c r="W41" s="7">
        <f t="shared" si="100"/>
        <v>0.37008364793531467</v>
      </c>
      <c r="X41" s="7">
        <f t="shared" si="100"/>
        <v>0.38291566523127329</v>
      </c>
      <c r="Y41" s="7">
        <f t="shared" si="100"/>
        <v>0.38571656188591347</v>
      </c>
      <c r="Z41" s="7">
        <f t="shared" si="100"/>
        <v>0.38758484322780262</v>
      </c>
      <c r="AA41" s="7">
        <f t="shared" si="100"/>
        <v>0.3894411802783766</v>
      </c>
      <c r="AB41" s="7">
        <f t="shared" si="100"/>
        <v>0.39128535277664822</v>
      </c>
      <c r="AC41" s="7">
        <f t="shared" si="100"/>
        <v>0.3931171482518957</v>
      </c>
      <c r="AF41" t="s">
        <v>33</v>
      </c>
      <c r="AG41" s="3">
        <f>Main!D8</f>
        <v>-88309</v>
      </c>
    </row>
    <row r="42" spans="2:33" x14ac:dyDescent="0.3">
      <c r="B42" t="s">
        <v>20</v>
      </c>
      <c r="C42" s="7">
        <f t="shared" ref="C42:K42" si="101">C24/C23</f>
        <v>-1.8947368421052633E-2</v>
      </c>
      <c r="D42" s="7">
        <f t="shared" si="101"/>
        <v>7.9779411764705876E-2</v>
      </c>
      <c r="E42" s="7">
        <f t="shared" si="101"/>
        <v>0.16195462478184991</v>
      </c>
      <c r="F42" s="7">
        <f t="shared" si="101"/>
        <v>0.16873842898704047</v>
      </c>
      <c r="G42" s="7">
        <f t="shared" si="101"/>
        <v>7.5733669927421893E-2</v>
      </c>
      <c r="H42" s="7">
        <f t="shared" si="101"/>
        <v>7.0501474926253693E-2</v>
      </c>
      <c r="I42" s="7">
        <f t="shared" si="101"/>
        <v>0.14849187935034802</v>
      </c>
      <c r="J42" s="7">
        <f t="shared" si="101"/>
        <v>0.17481338791235251</v>
      </c>
      <c r="K42" s="7">
        <f t="shared" si="101"/>
        <v>0.14590020426028597</v>
      </c>
      <c r="L42" s="7">
        <f t="shared" ref="L42:N42" si="102">L24/L23</f>
        <v>3.2639545884578999E-2</v>
      </c>
      <c r="M42" s="7">
        <f t="shared" si="102"/>
        <v>0.12</v>
      </c>
      <c r="N42" s="7">
        <f t="shared" si="102"/>
        <v>0.11999999999999998</v>
      </c>
      <c r="Q42" s="7">
        <f>Q24/Q23</f>
        <v>6.826649134341442E-2</v>
      </c>
      <c r="R42" s="7">
        <f>R24/R23</f>
        <v>0.10850864491951281</v>
      </c>
      <c r="S42" s="7">
        <f t="shared" ref="S42:AC42" si="103">S24/S23</f>
        <v>0.12125706214689265</v>
      </c>
      <c r="T42" s="7">
        <f t="shared" si="103"/>
        <v>9.5550613071748128E-2</v>
      </c>
      <c r="U42" s="7">
        <f t="shared" si="103"/>
        <v>0.11999999999999998</v>
      </c>
      <c r="V42" s="7">
        <f t="shared" si="103"/>
        <v>0.12</v>
      </c>
      <c r="W42" s="7">
        <f t="shared" si="103"/>
        <v>0.12</v>
      </c>
      <c r="X42" s="7">
        <f t="shared" si="103"/>
        <v>0.12</v>
      </c>
      <c r="Y42" s="7">
        <f t="shared" si="103"/>
        <v>0.12</v>
      </c>
      <c r="Z42" s="7">
        <f t="shared" si="103"/>
        <v>0.11999999999999998</v>
      </c>
      <c r="AA42" s="7">
        <f t="shared" si="103"/>
        <v>0.11999999999999998</v>
      </c>
      <c r="AB42" s="7">
        <f t="shared" si="103"/>
        <v>0.12</v>
      </c>
      <c r="AC42" s="7">
        <f t="shared" si="103"/>
        <v>0.11999999999999998</v>
      </c>
      <c r="AF42" t="s">
        <v>34</v>
      </c>
      <c r="AG42" s="3">
        <f>AG40+AG41</f>
        <v>373326.53014038643</v>
      </c>
    </row>
    <row r="43" spans="2:33" x14ac:dyDescent="0.3">
      <c r="B43" t="s">
        <v>29</v>
      </c>
      <c r="C43" s="7">
        <f t="shared" ref="C43:K43" si="104">C25/C7</f>
        <v>0.19433068336946921</v>
      </c>
      <c r="D43" s="7">
        <f t="shared" si="104"/>
        <v>0.19341627385827989</v>
      </c>
      <c r="E43" s="7">
        <f t="shared" si="104"/>
        <v>0.18079819277108433</v>
      </c>
      <c r="F43" s="7">
        <f t="shared" si="104"/>
        <v>0.21999020088192062</v>
      </c>
      <c r="G43" s="7">
        <f t="shared" si="104"/>
        <v>0.22010971669046367</v>
      </c>
      <c r="H43" s="7">
        <f t="shared" si="104"/>
        <v>0.22412689380468029</v>
      </c>
      <c r="I43" s="7">
        <f t="shared" si="104"/>
        <v>0.20778485491861287</v>
      </c>
      <c r="J43" s="7">
        <f t="shared" si="104"/>
        <v>0.21549393196252278</v>
      </c>
      <c r="K43" s="7">
        <f t="shared" si="104"/>
        <v>0.19610076376792174</v>
      </c>
      <c r="L43" s="7">
        <f t="shared" ref="L43:N43" si="105">L25/L7</f>
        <v>0.3820525594719143</v>
      </c>
      <c r="M43" s="7">
        <f t="shared" si="105"/>
        <v>0.24668152407765026</v>
      </c>
      <c r="N43" s="7">
        <f t="shared" si="105"/>
        <v>0.23561054911240237</v>
      </c>
      <c r="Q43" s="7">
        <f t="shared" ref="Q43:AC43" si="106">Q25/Q7</f>
        <v>0.17021659927132962</v>
      </c>
      <c r="R43" s="7">
        <f t="shared" si="106"/>
        <v>0.19763599629916354</v>
      </c>
      <c r="S43" s="7">
        <f t="shared" si="106"/>
        <v>0.21678078015296434</v>
      </c>
      <c r="T43" s="7">
        <f t="shared" si="106"/>
        <v>0.26562327197343644</v>
      </c>
      <c r="U43" s="7">
        <f t="shared" si="106"/>
        <v>0.28075759681927798</v>
      </c>
      <c r="V43" s="7">
        <f t="shared" si="106"/>
        <v>0.2978720603009013</v>
      </c>
      <c r="W43" s="7">
        <f t="shared" si="106"/>
        <v>0.31221192765630196</v>
      </c>
      <c r="X43" s="7">
        <f t="shared" si="106"/>
        <v>0.32332689411232962</v>
      </c>
      <c r="Y43" s="7">
        <f t="shared" si="106"/>
        <v>0.32550410576599037</v>
      </c>
      <c r="Z43" s="7">
        <f t="shared" si="106"/>
        <v>0.32678056534007582</v>
      </c>
      <c r="AA43" s="7">
        <f t="shared" si="106"/>
        <v>0.32804649182413825</v>
      </c>
      <c r="AB43" s="7">
        <f t="shared" si="106"/>
        <v>0.32930176178071069</v>
      </c>
      <c r="AC43" s="7">
        <f t="shared" si="106"/>
        <v>0.33054625780628416</v>
      </c>
      <c r="AF43" t="s">
        <v>35</v>
      </c>
      <c r="AG43" s="2">
        <f>AG42/AC26</f>
        <v>129.93857858772282</v>
      </c>
    </row>
    <row r="44" spans="2:33" x14ac:dyDescent="0.3">
      <c r="AF44" t="s">
        <v>36</v>
      </c>
      <c r="AG44" s="2">
        <f>Main!D3</f>
        <v>169.01</v>
      </c>
    </row>
    <row r="45" spans="2:33" x14ac:dyDescent="0.3">
      <c r="AF45" s="1" t="s">
        <v>37</v>
      </c>
      <c r="AG45" s="8">
        <f>AG43/AG44-1</f>
        <v>-0.23117816349492437</v>
      </c>
    </row>
    <row r="46" spans="2:33" x14ac:dyDescent="0.3">
      <c r="AF46" t="s">
        <v>58</v>
      </c>
      <c r="AG46" s="4" t="s">
        <v>67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2025-01-05T13:03:34Z</dcterms:created>
  <dcterms:modified xsi:type="dcterms:W3CDTF">2026-02-06T11:03:19Z</dcterms:modified>
</cp:coreProperties>
</file>