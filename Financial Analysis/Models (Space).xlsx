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0F090BA-A253-40DB-BD3F-E463BEDE3547}" xr6:coauthVersionLast="47" xr6:coauthVersionMax="47" xr10:uidLastSave="{00000000-0000-0000-0000-000000000000}"/>
  <bookViews>
    <workbookView xWindow="-108" yWindow="-108" windowWidth="23256" windowHeight="12576" xr2:uid="{44325DD5-B9EA-4A3A-86DA-3F4C5EA9FAF1}"/>
  </bookViews>
  <sheets>
    <sheet name="Models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1" l="1"/>
  <c r="V7" i="1"/>
  <c r="AH8" i="1" l="1"/>
  <c r="AG8" i="1"/>
  <c r="G8" i="1"/>
  <c r="F8" i="1"/>
  <c r="E8" i="1"/>
  <c r="D8" i="1"/>
  <c r="Z5" i="1" l="1"/>
  <c r="Y5" i="1"/>
  <c r="X5" i="1"/>
  <c r="W5" i="1"/>
  <c r="U5" i="1"/>
  <c r="AH7" i="1" l="1"/>
  <c r="AG7" i="1"/>
  <c r="AC7" i="1"/>
  <c r="AB7" i="1"/>
  <c r="AA7" i="1"/>
  <c r="Z7" i="1"/>
  <c r="Y7" i="1"/>
  <c r="X7" i="1"/>
  <c r="W7" i="1"/>
  <c r="U7" i="1"/>
  <c r="I7" i="1"/>
  <c r="H7" i="1"/>
  <c r="G7" i="1"/>
  <c r="F7" i="1"/>
  <c r="E7" i="1"/>
  <c r="D7" i="1"/>
  <c r="T7" i="1" l="1"/>
  <c r="N7" i="1"/>
  <c r="G6" i="1"/>
  <c r="F6" i="1"/>
  <c r="E6" i="1"/>
  <c r="D6" i="1"/>
  <c r="AH5" i="1"/>
  <c r="AG5" i="1"/>
  <c r="AC5" i="1"/>
  <c r="AA5" i="1"/>
  <c r="M5" i="1"/>
  <c r="L5" i="1"/>
  <c r="K5" i="1"/>
  <c r="J5" i="1"/>
  <c r="I5" i="1"/>
  <c r="H5" i="1"/>
  <c r="G5" i="1"/>
  <c r="V5" i="1" s="1"/>
  <c r="V3" i="1" s="1"/>
  <c r="F5" i="1"/>
  <c r="E5" i="1"/>
  <c r="D5" i="1"/>
  <c r="AA3" i="1" l="1"/>
  <c r="Z3" i="1"/>
  <c r="Y3" i="1"/>
  <c r="X3" i="1"/>
  <c r="S3" i="1"/>
  <c r="AC3" i="1"/>
  <c r="W3" i="1"/>
  <c r="K7" i="1" l="1"/>
  <c r="J7" i="1"/>
  <c r="N5" i="1"/>
  <c r="N3" i="1" s="1"/>
  <c r="O3" i="1"/>
  <c r="P3" i="1"/>
  <c r="Q3" i="1"/>
  <c r="R3" i="1"/>
  <c r="T5" i="1" l="1"/>
  <c r="M7" i="1"/>
  <c r="L7" i="1"/>
  <c r="AB5" i="1" l="1"/>
  <c r="A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W2" authorId="0" shapeId="0" xr:uid="{8420850D-3470-4552-9E11-112D33182E33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analyse deeper with different regions and models</t>
        </r>
      </text>
    </comment>
  </commentList>
</comments>
</file>

<file path=xl/sharedStrings.xml><?xml version="1.0" encoding="utf-8"?>
<sst xmlns="http://schemas.openxmlformats.org/spreadsheetml/2006/main" count="43" uniqueCount="43">
  <si>
    <t>Company</t>
  </si>
  <si>
    <t>Ticker</t>
  </si>
  <si>
    <t>Price</t>
  </si>
  <si>
    <t>MC</t>
  </si>
  <si>
    <t>Net Cash</t>
  </si>
  <si>
    <t>EV</t>
  </si>
  <si>
    <t>2023 E</t>
  </si>
  <si>
    <t>2024 E</t>
  </si>
  <si>
    <t>2025 E</t>
  </si>
  <si>
    <t>2026 E</t>
  </si>
  <si>
    <t>2027 E</t>
  </si>
  <si>
    <t>2028 E</t>
  </si>
  <si>
    <t>2023 EV/E</t>
  </si>
  <si>
    <t>2024 EV/E</t>
  </si>
  <si>
    <t>2025 EV/E</t>
  </si>
  <si>
    <t>2026 EV/E</t>
  </si>
  <si>
    <t>2027 EV/E</t>
  </si>
  <si>
    <t>2028 EV/E</t>
  </si>
  <si>
    <t>Discount</t>
  </si>
  <si>
    <t>Variance</t>
  </si>
  <si>
    <t>Consensus</t>
  </si>
  <si>
    <t>Segment</t>
  </si>
  <si>
    <t>Founded</t>
  </si>
  <si>
    <t>Updated</t>
  </si>
  <si>
    <t>Earnings Call</t>
  </si>
  <si>
    <t>Industry Average</t>
  </si>
  <si>
    <t>Rocket Lab</t>
  </si>
  <si>
    <t>AST SpaceMobile</t>
  </si>
  <si>
    <t>SpaceX</t>
  </si>
  <si>
    <t>Intuitive Machines</t>
  </si>
  <si>
    <t>LUNR US</t>
  </si>
  <si>
    <t>ASTS US</t>
  </si>
  <si>
    <t>RKLB US</t>
  </si>
  <si>
    <t>Firefly Aerospace</t>
  </si>
  <si>
    <t>FLY US</t>
  </si>
  <si>
    <t>2035 EV/E</t>
  </si>
  <si>
    <t>2025 Rev</t>
  </si>
  <si>
    <t>2024 RevG</t>
  </si>
  <si>
    <t>2025 RevG</t>
  </si>
  <si>
    <t>2025 GM%</t>
  </si>
  <si>
    <t>2025 OM%</t>
  </si>
  <si>
    <t>2025 EV/R</t>
  </si>
  <si>
    <t>SPAC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</si>
</sst>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"/>
    <numFmt numFmtId="165" formatCode="0\x"/>
    <numFmt numFmtId="166" formatCode="[$$-409]#,##0.00"/>
    <numFmt numFmtId="167" formatCode="0.0\x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5" fillId="2" borderId="1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165" fontId="4" fillId="2" borderId="1" xfId="0" applyNumberFormat="1" applyFont="1" applyFill="1" applyBorder="1" applyAlignment="1">
      <alignment horizontal="center"/>
    </xf>
    <xf numFmtId="9" fontId="6" fillId="2" borderId="1" xfId="0" applyNumberFormat="1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9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1" fillId="2" borderId="1" xfId="1" applyFill="1" applyBorder="1"/>
    <xf numFmtId="167" fontId="5" fillId="2" borderId="1" xfId="0" applyNumberFormat="1" applyFont="1" applyFill="1" applyBorder="1" applyAlignment="1">
      <alignment horizontal="center"/>
    </xf>
    <xf numFmtId="167" fontId="5" fillId="2" borderId="1" xfId="0" applyNumberFormat="1" applyFont="1" applyFill="1" applyBorder="1"/>
    <xf numFmtId="14" fontId="5" fillId="2" borderId="1" xfId="0" applyNumberFormat="1" applyFont="1" applyFill="1" applyBorder="1"/>
    <xf numFmtId="167" fontId="4" fillId="2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KLB.xlsx" TargetMode="External"/><Relationship Id="rId1" Type="http://schemas.openxmlformats.org/officeDocument/2006/relationships/externalLinkPath" Target="RKL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STS.xlsx" TargetMode="External"/><Relationship Id="rId1" Type="http://schemas.openxmlformats.org/officeDocument/2006/relationships/externalLinkPath" Target="AS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LY.xlsx" TargetMode="External"/><Relationship Id="rId1" Type="http://schemas.openxmlformats.org/officeDocument/2006/relationships/externalLinkPath" Target="FL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UNR.xlsx" TargetMode="External"/><Relationship Id="rId1" Type="http://schemas.openxmlformats.org/officeDocument/2006/relationships/externalLinkPath" Target="LUN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53.74</v>
          </cell>
          <cell r="E3">
            <v>45923</v>
          </cell>
          <cell r="G3">
            <v>45979</v>
          </cell>
        </row>
        <row r="5">
          <cell r="D5">
            <v>25762.955999999998</v>
          </cell>
        </row>
        <row r="8">
          <cell r="D8">
            <v>332.7000000000001</v>
          </cell>
        </row>
        <row r="9">
          <cell r="D9">
            <v>25430.255999999998</v>
          </cell>
        </row>
      </sheetData>
      <sheetData sheetId="1">
        <row r="5">
          <cell r="V5">
            <v>619.1</v>
          </cell>
        </row>
        <row r="20">
          <cell r="T20">
            <v>-182.59999999999997</v>
          </cell>
          <cell r="U20">
            <v>-190.20000000000005</v>
          </cell>
          <cell r="V20">
            <v>-242.68269999999998</v>
          </cell>
          <cell r="W20">
            <v>-270.076752</v>
          </cell>
          <cell r="X20">
            <v>-283.52187765000002</v>
          </cell>
          <cell r="Y20">
            <v>-288.37844268749996</v>
          </cell>
          <cell r="AF20">
            <v>1233.8485140251516</v>
          </cell>
        </row>
        <row r="26">
          <cell r="U26">
            <v>0.78372853638593609</v>
          </cell>
          <cell r="V26">
            <v>0.41897776759110728</v>
          </cell>
          <cell r="AI26">
            <v>0.08</v>
          </cell>
        </row>
        <row r="29">
          <cell r="V29">
            <v>0.31374575997415605</v>
          </cell>
        </row>
        <row r="32">
          <cell r="V32">
            <v>-0.37737037635277015</v>
          </cell>
          <cell r="AI32">
            <v>-0.72222652749219152</v>
          </cell>
        </row>
        <row r="33">
          <cell r="AI33" t="str">
            <v>Heavily overvalued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23.85</v>
          </cell>
        </row>
        <row r="5">
          <cell r="D5">
            <v>7548.5250000000005</v>
          </cell>
        </row>
        <row r="8">
          <cell r="D8">
            <v>409</v>
          </cell>
        </row>
        <row r="9">
          <cell r="D9">
            <v>7139.5250000000005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45.37</v>
          </cell>
          <cell r="E3">
            <v>45898</v>
          </cell>
          <cell r="G3">
            <v>45945</v>
          </cell>
        </row>
        <row r="5">
          <cell r="D5">
            <v>6578.65</v>
          </cell>
        </row>
        <row r="8">
          <cell r="D8">
            <v>29.300000000000011</v>
          </cell>
        </row>
        <row r="9">
          <cell r="D9">
            <v>6549.3499999999995</v>
          </cell>
        </row>
      </sheetData>
      <sheetData sheetId="1">
        <row r="5">
          <cell r="N5">
            <v>228</v>
          </cell>
        </row>
        <row r="19">
          <cell r="L19">
            <v>-156.30000000000001</v>
          </cell>
          <cell r="M19">
            <v>-265.8</v>
          </cell>
          <cell r="N19">
            <v>-367.6</v>
          </cell>
          <cell r="O19">
            <v>-499.71199999999999</v>
          </cell>
          <cell r="P19">
            <v>-643.84879999999998</v>
          </cell>
          <cell r="Q19">
            <v>-777.07496000000003</v>
          </cell>
          <cell r="X19">
            <v>1399.5137362608468</v>
          </cell>
        </row>
        <row r="25">
          <cell r="M25">
            <v>0.10144927536231885</v>
          </cell>
          <cell r="N25">
            <v>2.7499999999999996</v>
          </cell>
          <cell r="AA25">
            <v>0.09</v>
          </cell>
        </row>
        <row r="26">
          <cell r="N26">
            <v>0.05</v>
          </cell>
        </row>
        <row r="29">
          <cell r="N29">
            <v>-1.2570175438596491</v>
          </cell>
        </row>
        <row r="31">
          <cell r="AA31">
            <v>-0.5860055723140617</v>
          </cell>
        </row>
        <row r="32">
          <cell r="AA32" t="str">
            <v>Heavily overvalued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8.77</v>
          </cell>
          <cell r="E3">
            <v>45899</v>
          </cell>
          <cell r="G3">
            <v>45973</v>
          </cell>
        </row>
        <row r="5">
          <cell r="D5">
            <v>1567.1989999999998</v>
          </cell>
        </row>
        <row r="8">
          <cell r="D8">
            <v>344.9</v>
          </cell>
        </row>
        <row r="9">
          <cell r="D9">
            <v>1222.299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LY.xlsx" TargetMode="External"/><Relationship Id="rId7" Type="http://schemas.openxmlformats.org/officeDocument/2006/relationships/comments" Target="../comments1.xml"/><Relationship Id="rId2" Type="http://schemas.openxmlformats.org/officeDocument/2006/relationships/hyperlink" Target="ASTS.xlsx" TargetMode="External"/><Relationship Id="rId1" Type="http://schemas.openxmlformats.org/officeDocument/2006/relationships/hyperlink" Target="RKLB.xlsx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lunr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816B-CF00-47B4-9B9E-E5812753DAD8}">
  <dimension ref="B2:AH8"/>
  <sheetViews>
    <sheetView tabSelected="1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B5" sqref="B5"/>
    </sheetView>
  </sheetViews>
  <sheetFormatPr defaultRowHeight="14.4" x14ac:dyDescent="0.3"/>
  <cols>
    <col min="1" max="1" width="8.88671875" style="1"/>
    <col min="2" max="2" width="16.109375" style="1" bestFit="1" customWidth="1"/>
    <col min="3" max="3" width="8.88671875" style="11" customWidth="1"/>
    <col min="4" max="7" width="8.88671875" style="1" customWidth="1"/>
    <col min="8" max="13" width="6.44140625" style="1" bestFit="1" customWidth="1"/>
    <col min="14" max="19" width="9.5546875" style="1" bestFit="1" customWidth="1"/>
    <col min="20" max="20" width="9.5546875" style="1" customWidth="1"/>
    <col min="21" max="21" width="8.5546875" style="1" bestFit="1" customWidth="1"/>
    <col min="22" max="22" width="9.6640625" style="1" bestFit="1" customWidth="1"/>
    <col min="23" max="24" width="9.77734375" style="1" bestFit="1" customWidth="1"/>
    <col min="25" max="25" width="9.88671875" style="1" bestFit="1" customWidth="1"/>
    <col min="26" max="26" width="10" style="1" bestFit="1" customWidth="1"/>
    <col min="27" max="28" width="8.33203125" style="1" bestFit="1" customWidth="1"/>
    <col min="29" max="29" width="16.44140625" style="1" bestFit="1" customWidth="1"/>
    <col min="30" max="31" width="8.44140625" style="1" bestFit="1" customWidth="1"/>
    <col min="32" max="32" width="8.88671875" style="1"/>
    <col min="33" max="33" width="10.5546875" style="1" bestFit="1" customWidth="1"/>
    <col min="34" max="34" width="11.5546875" style="1" bestFit="1" customWidth="1"/>
    <col min="35" max="16384" width="8.88671875" style="1"/>
  </cols>
  <sheetData>
    <row r="2" spans="2:34" x14ac:dyDescent="0.3"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35</v>
      </c>
      <c r="U2" s="5" t="s">
        <v>36</v>
      </c>
      <c r="V2" s="5" t="s">
        <v>41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18</v>
      </c>
      <c r="AB2" s="3" t="s">
        <v>19</v>
      </c>
      <c r="AC2" s="3" t="s">
        <v>20</v>
      </c>
      <c r="AD2" s="3" t="s">
        <v>21</v>
      </c>
      <c r="AE2" s="3" t="s">
        <v>22</v>
      </c>
      <c r="AF2" s="3"/>
      <c r="AG2" s="3" t="s">
        <v>23</v>
      </c>
      <c r="AH2" s="3" t="s">
        <v>24</v>
      </c>
    </row>
    <row r="3" spans="2:34" x14ac:dyDescent="0.3">
      <c r="B3" s="6" t="s">
        <v>25</v>
      </c>
      <c r="C3" s="3"/>
      <c r="D3" s="3"/>
      <c r="E3" s="4"/>
      <c r="F3" s="4"/>
      <c r="G3" s="4"/>
      <c r="H3" s="3"/>
      <c r="I3" s="3"/>
      <c r="J3" s="3"/>
      <c r="K3" s="3"/>
      <c r="L3" s="3"/>
      <c r="M3" s="3"/>
      <c r="N3" s="7">
        <f t="shared" ref="N3:S3" si="0">TRIMMEAN(N5:N1048576,80%)</f>
        <v>-90.584994362373592</v>
      </c>
      <c r="O3" s="7" t="e">
        <f t="shared" si="0"/>
        <v>#NUM!</v>
      </c>
      <c r="P3" s="7" t="e">
        <f t="shared" si="0"/>
        <v>#NUM!</v>
      </c>
      <c r="Q3" s="7" t="e">
        <f t="shared" si="0"/>
        <v>#NUM!</v>
      </c>
      <c r="R3" s="7" t="e">
        <f t="shared" si="0"/>
        <v>#NUM!</v>
      </c>
      <c r="S3" s="7" t="e">
        <f t="shared" si="0"/>
        <v>#NUM!</v>
      </c>
      <c r="T3" s="7"/>
      <c r="U3" s="8"/>
      <c r="V3" s="22">
        <f>TRIMMEAN(V4:V1048524,80%)</f>
        <v>28.725219298245612</v>
      </c>
      <c r="W3" s="9">
        <f t="shared" ref="W3:AB3" si="1">TRIMMEAN(W5:W1048576,80%)</f>
        <v>0.44258890587412747</v>
      </c>
      <c r="X3" s="9">
        <f t="shared" si="1"/>
        <v>1.5844888837955535</v>
      </c>
      <c r="Y3" s="9">
        <f t="shared" si="1"/>
        <v>0.18187287998707802</v>
      </c>
      <c r="Z3" s="9">
        <f t="shared" si="1"/>
        <v>-0.8171939601062097</v>
      </c>
      <c r="AA3" s="9">
        <f t="shared" si="1"/>
        <v>8.4999999999999992E-2</v>
      </c>
      <c r="AB3" s="9">
        <f t="shared" si="1"/>
        <v>-0.65411604990312666</v>
      </c>
      <c r="AC3" s="10" t="e">
        <f>INDEX(AC5:AC53,MODE(MATCH(AC5:AC53,AC5:AC53,0)))</f>
        <v>#N/A</v>
      </c>
      <c r="AD3" s="3"/>
      <c r="AE3" s="11"/>
    </row>
    <row r="4" spans="2:34" x14ac:dyDescent="0.3">
      <c r="B4" s="1" t="s">
        <v>28</v>
      </c>
      <c r="C4" s="11" t="s">
        <v>42</v>
      </c>
      <c r="G4" s="13">
        <v>400000</v>
      </c>
      <c r="U4" s="15">
        <v>15500</v>
      </c>
      <c r="V4" s="19">
        <f>G4/U4</f>
        <v>25.806451612903224</v>
      </c>
      <c r="AG4" s="21">
        <v>45901</v>
      </c>
    </row>
    <row r="5" spans="2:34" x14ac:dyDescent="0.3">
      <c r="B5" s="18" t="s">
        <v>26</v>
      </c>
      <c r="C5" s="11" t="s">
        <v>32</v>
      </c>
      <c r="D5" s="12">
        <f>[1]Main!$D$3</f>
        <v>53.74</v>
      </c>
      <c r="E5" s="13">
        <f>[1]Main!$D$5</f>
        <v>25762.955999999998</v>
      </c>
      <c r="F5" s="13">
        <f>[1]Main!$D$8</f>
        <v>332.7000000000001</v>
      </c>
      <c r="G5" s="13">
        <f>[1]Main!$D$9</f>
        <v>25430.255999999998</v>
      </c>
      <c r="H5" s="13">
        <f>[1]Model!T$20</f>
        <v>-182.59999999999997</v>
      </c>
      <c r="I5" s="13">
        <f>[1]Model!U$20</f>
        <v>-190.20000000000005</v>
      </c>
      <c r="J5" s="13">
        <f>[1]Model!V$20</f>
        <v>-242.68269999999998</v>
      </c>
      <c r="K5" s="13">
        <f>[1]Model!W$20</f>
        <v>-270.076752</v>
      </c>
      <c r="L5" s="13">
        <f>[1]Model!X$20</f>
        <v>-283.52187765000002</v>
      </c>
      <c r="M5" s="13">
        <f>[1]Model!Y$20</f>
        <v>-288.37844268749996</v>
      </c>
      <c r="N5" s="14">
        <f t="shared" ref="N5" si="2">$G5/H5</f>
        <v>-139.26755750273824</v>
      </c>
      <c r="O5" s="14"/>
      <c r="P5" s="14"/>
      <c r="Q5" s="14"/>
      <c r="R5" s="14"/>
      <c r="S5" s="14"/>
      <c r="T5" s="14">
        <f>G5/[1]Model!$AF$20</f>
        <v>20.61051718337735</v>
      </c>
      <c r="U5" s="15">
        <f>[1]Model!$V$5</f>
        <v>619.1</v>
      </c>
      <c r="V5" s="19">
        <f>G5/U5</f>
        <v>41.07616863188499</v>
      </c>
      <c r="W5" s="16">
        <f>[1]Model!U$26</f>
        <v>0.78372853638593609</v>
      </c>
      <c r="X5" s="16">
        <f>[1]Model!V$26</f>
        <v>0.41897776759110728</v>
      </c>
      <c r="Y5" s="16">
        <f>[1]Model!$V$29</f>
        <v>0.31374575997415605</v>
      </c>
      <c r="Z5" s="16">
        <f>[1]Model!$V$32</f>
        <v>-0.37737037635277015</v>
      </c>
      <c r="AA5" s="16">
        <f>[1]Model!$AI$26</f>
        <v>0.08</v>
      </c>
      <c r="AB5" s="16">
        <f>[1]Model!$AI$32</f>
        <v>-0.72222652749219152</v>
      </c>
      <c r="AC5" s="16" t="str">
        <f>[1]Model!$AI$33</f>
        <v>Heavily overvalued</v>
      </c>
      <c r="AD5" s="13"/>
      <c r="AE5" s="11"/>
      <c r="AG5" s="17">
        <f>[1]Main!$E$3</f>
        <v>45923</v>
      </c>
      <c r="AH5" s="17">
        <f>[1]Main!$G$3</f>
        <v>45979</v>
      </c>
    </row>
    <row r="6" spans="2:34" x14ac:dyDescent="0.3">
      <c r="B6" s="18" t="s">
        <v>27</v>
      </c>
      <c r="C6" s="11" t="s">
        <v>31</v>
      </c>
      <c r="D6" s="12">
        <f>[2]Main!$D$3</f>
        <v>23.85</v>
      </c>
      <c r="E6" s="13">
        <f>[2]Main!$D$5</f>
        <v>7548.5250000000005</v>
      </c>
      <c r="F6" s="13">
        <f>[2]Main!$D$8</f>
        <v>409</v>
      </c>
      <c r="G6" s="13">
        <f>[2]Main!$D$9</f>
        <v>7139.5250000000005</v>
      </c>
      <c r="V6" s="20"/>
    </row>
    <row r="7" spans="2:34" x14ac:dyDescent="0.3">
      <c r="B7" s="18" t="s">
        <v>33</v>
      </c>
      <c r="C7" s="11" t="s">
        <v>34</v>
      </c>
      <c r="D7" s="12">
        <f>[3]Main!$D$3</f>
        <v>45.37</v>
      </c>
      <c r="E7" s="13">
        <f>[3]Main!$D$5</f>
        <v>6578.65</v>
      </c>
      <c r="F7" s="13">
        <f>[3]Main!$D$8</f>
        <v>29.300000000000011</v>
      </c>
      <c r="G7" s="13">
        <f>[3]Main!$D$9</f>
        <v>6549.3499999999995</v>
      </c>
      <c r="H7" s="13">
        <f>[3]Model!L$19</f>
        <v>-156.30000000000001</v>
      </c>
      <c r="I7" s="13">
        <f>[3]Model!M$19</f>
        <v>-265.8</v>
      </c>
      <c r="J7" s="13">
        <f>[3]Model!N$19</f>
        <v>-367.6</v>
      </c>
      <c r="K7" s="13">
        <f>[3]Model!O$19</f>
        <v>-499.71199999999999</v>
      </c>
      <c r="L7" s="13">
        <f>[3]Model!P$19</f>
        <v>-643.84879999999998</v>
      </c>
      <c r="M7" s="13">
        <f>[3]Model!Q$19</f>
        <v>-777.07496000000003</v>
      </c>
      <c r="N7" s="14">
        <f>$G7/H7</f>
        <v>-41.90243122200895</v>
      </c>
      <c r="T7" s="14">
        <f>G7/[3]Model!$X$19</f>
        <v>4.6797325601806783</v>
      </c>
      <c r="U7" s="15">
        <f>[3]Model!$N$5</f>
        <v>228</v>
      </c>
      <c r="V7" s="19">
        <f>G7/U7</f>
        <v>28.725219298245612</v>
      </c>
      <c r="W7" s="16">
        <f>[3]Model!M$25</f>
        <v>0.10144927536231885</v>
      </c>
      <c r="X7" s="16">
        <f>[3]Model!N$25</f>
        <v>2.7499999999999996</v>
      </c>
      <c r="Y7" s="16">
        <f>[3]Model!$N$26</f>
        <v>0.05</v>
      </c>
      <c r="Z7" s="16">
        <f>[3]Model!$N$29</f>
        <v>-1.2570175438596491</v>
      </c>
      <c r="AA7" s="16">
        <f>[3]Model!$AA$25</f>
        <v>0.09</v>
      </c>
      <c r="AB7" s="16">
        <f>[3]Model!$AA$31</f>
        <v>-0.5860055723140617</v>
      </c>
      <c r="AC7" s="11" t="str">
        <f>[3]Model!$AA$32</f>
        <v>Heavily overvalued</v>
      </c>
      <c r="AG7" s="17">
        <f>[3]Main!$E$3</f>
        <v>45898</v>
      </c>
      <c r="AH7" s="17">
        <f>[3]Main!$G$3</f>
        <v>45945</v>
      </c>
    </row>
    <row r="8" spans="2:34" x14ac:dyDescent="0.3">
      <c r="B8" s="18" t="s">
        <v>29</v>
      </c>
      <c r="C8" s="11" t="s">
        <v>30</v>
      </c>
      <c r="D8" s="12">
        <f>[4]Main!$D$3</f>
        <v>8.77</v>
      </c>
      <c r="E8" s="13">
        <f>[4]Main!$D$5</f>
        <v>1567.1989999999998</v>
      </c>
      <c r="F8" s="13">
        <f>[4]Main!$D$8</f>
        <v>344.9</v>
      </c>
      <c r="G8" s="13">
        <f>[4]Main!$D$9</f>
        <v>1222.299</v>
      </c>
      <c r="AG8" s="17">
        <f>[4]Main!$E$3</f>
        <v>45899</v>
      </c>
      <c r="AH8" s="17">
        <f>[4]Main!$G$3</f>
        <v>45973</v>
      </c>
    </row>
  </sheetData>
  <hyperlinks>
    <hyperlink ref="B5" r:id="rId1" xr:uid="{BCD3688A-357B-484F-990F-C8AA1C66B280}"/>
    <hyperlink ref="B6" r:id="rId2" xr:uid="{8B65215F-AFA0-4639-AADC-CE4AF968375D}"/>
    <hyperlink ref="B7" r:id="rId3" xr:uid="{D940230D-C614-4CEB-8774-12CC00908CB1}"/>
    <hyperlink ref="B8" r:id="rId4" xr:uid="{03376952-0DCA-4D2B-AEA3-EC494F2D5995}"/>
  </hyperlinks>
  <pageMargins left="0.7" right="0.7" top="0.75" bottom="0.75" header="0.3" footer="0.3"/>
  <pageSetup paperSize="9" orientation="portrait" horizontalDpi="300" verticalDpi="30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2024-11-18T15:03:07Z</dcterms:created>
  <dcterms:modified xsi:type="dcterms:W3CDTF">2025-09-23T19:14:04Z</dcterms:modified>
</cp:coreProperties>
</file>