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6A35D992-9D4E-46A2-B0FE-DCBA48804E1B}" xr6:coauthVersionLast="47" xr6:coauthVersionMax="47" xr10:uidLastSave="{00000000-0000-0000-0000-000000000000}"/>
  <bookViews>
    <workbookView xWindow="-108" yWindow="-108" windowWidth="23256" windowHeight="12576" xr2:uid="{AA4F90C9-4C5A-428E-8B68-0C8E0944580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7" i="2" l="1"/>
  <c r="T10" i="2"/>
  <c r="T5" i="2"/>
  <c r="U17" i="2"/>
  <c r="U10" i="2"/>
  <c r="U5" i="2"/>
  <c r="V18" i="2"/>
  <c r="V17" i="2"/>
  <c r="V10" i="2"/>
  <c r="V5" i="2"/>
  <c r="V11" i="2" s="1"/>
  <c r="V14" i="2" s="1"/>
  <c r="V16" i="2" s="1"/>
  <c r="D10" i="1"/>
  <c r="D9" i="1"/>
  <c r="D8" i="1"/>
  <c r="D7" i="1"/>
  <c r="D6" i="1"/>
  <c r="D5" i="1"/>
  <c r="D4" i="1"/>
  <c r="F3" i="1"/>
  <c r="T11" i="2" l="1"/>
  <c r="T14" i="2" s="1"/>
  <c r="T16" i="2" s="1"/>
  <c r="T18" i="2" s="1"/>
  <c r="U11" i="2"/>
  <c r="U14" i="2" s="1"/>
  <c r="U16" i="2" s="1"/>
  <c r="U18" i="2" s="1"/>
</calcChain>
</file>

<file path=xl/sharedStrings.xml><?xml version="1.0" encoding="utf-8"?>
<sst xmlns="http://schemas.openxmlformats.org/spreadsheetml/2006/main" count="44" uniqueCount="39">
  <si>
    <t>CW</t>
  </si>
  <si>
    <t>Price</t>
  </si>
  <si>
    <t>Shares</t>
  </si>
  <si>
    <t>MC</t>
  </si>
  <si>
    <t>Cash</t>
  </si>
  <si>
    <t>Debt</t>
  </si>
  <si>
    <t>Net Cash</t>
  </si>
  <si>
    <t>EV</t>
  </si>
  <si>
    <t>L+S/E</t>
  </si>
  <si>
    <t>Last checked</t>
  </si>
  <si>
    <t>Today</t>
  </si>
  <si>
    <t>Earnings</t>
  </si>
  <si>
    <t>Q425</t>
  </si>
  <si>
    <t>Revenue</t>
  </si>
  <si>
    <t>Cost of sales</t>
  </si>
  <si>
    <t>Gross profit</t>
  </si>
  <si>
    <t>Q124</t>
  </si>
  <si>
    <t>Q224</t>
  </si>
  <si>
    <t>Q324</t>
  </si>
  <si>
    <t>Q424</t>
  </si>
  <si>
    <t>Q125</t>
  </si>
  <si>
    <t>Q225</t>
  </si>
  <si>
    <t>Q325</t>
  </si>
  <si>
    <t>Q126</t>
  </si>
  <si>
    <t>Q226</t>
  </si>
  <si>
    <t>Q326</t>
  </si>
  <si>
    <t>Q426</t>
  </si>
  <si>
    <t>R&amp;D</t>
  </si>
  <si>
    <t>S&amp;M</t>
  </si>
  <si>
    <t>G&amp;A</t>
  </si>
  <si>
    <t>Restructuring</t>
  </si>
  <si>
    <t>Total opex</t>
  </si>
  <si>
    <t>Operating profit</t>
  </si>
  <si>
    <t>Interest expense</t>
  </si>
  <si>
    <t>Other income</t>
  </si>
  <si>
    <t>Pretax profit</t>
  </si>
  <si>
    <t>Taxes</t>
  </si>
  <si>
    <t>Net profit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</si>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</sst>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F4F9-1AD3-45CA-AEA7-AA8433311CD4}">
  <dimension ref="B2:G10"/>
  <sheetViews>
    <sheetView tabSelected="1" workbookViewId="0">
      <selection activeCell="D4" sqref="D4"/>
    </sheetView>
  </sheetViews>
  <sheetFormatPr defaultRowHeight="14.4" x14ac:dyDescent="0.3"/>
  <cols>
    <col min="1" max="4" width="8.88671875" style="1"/>
    <col min="5" max="5" width="11.88671875" style="4" bestFit="1" customWidth="1"/>
    <col min="6" max="7" width="11.21875" style="4" bestFit="1" customWidth="1"/>
    <col min="8" max="16384" width="8.88671875" style="1"/>
  </cols>
  <sheetData>
    <row r="2" spans="2:7" x14ac:dyDescent="0.3">
      <c r="E2" s="4" t="s">
        <v>9</v>
      </c>
      <c r="F2" s="4" t="s">
        <v>10</v>
      </c>
      <c r="G2" s="4" t="s">
        <v>11</v>
      </c>
    </row>
    <row r="3" spans="2:7" x14ac:dyDescent="0.3">
      <c r="B3" s="2" t="s">
        <v>0</v>
      </c>
      <c r="C3" s="1" t="s">
        <v>1</v>
      </c>
      <c r="D3" s="6">
        <v>693.45</v>
      </c>
      <c r="E3" s="5">
        <v>46071</v>
      </c>
      <c r="F3" s="5">
        <f ca="1">TODAY()</f>
        <v>46071</v>
      </c>
      <c r="G3" s="5">
        <v>46148</v>
      </c>
    </row>
    <row r="4" spans="2:7" x14ac:dyDescent="0.3">
      <c r="C4" s="1" t="s">
        <v>2</v>
      </c>
      <c r="D4" s="7">
        <f>36.9</f>
        <v>36.9</v>
      </c>
      <c r="E4" s="4" t="s">
        <v>12</v>
      </c>
    </row>
    <row r="5" spans="2:7" x14ac:dyDescent="0.3">
      <c r="C5" s="1" t="s">
        <v>3</v>
      </c>
      <c r="D5" s="7">
        <f>D3*D4</f>
        <v>25588.305</v>
      </c>
    </row>
    <row r="6" spans="2:7" x14ac:dyDescent="0.3">
      <c r="C6" s="1" t="s">
        <v>4</v>
      </c>
      <c r="D6" s="7">
        <f>371.4</f>
        <v>371.4</v>
      </c>
      <c r="E6" s="4" t="s">
        <v>12</v>
      </c>
    </row>
    <row r="7" spans="2:7" x14ac:dyDescent="0.3">
      <c r="C7" s="1" t="s">
        <v>5</v>
      </c>
      <c r="D7" s="7">
        <f>200+757.9</f>
        <v>957.9</v>
      </c>
      <c r="E7" s="4" t="s">
        <v>12</v>
      </c>
    </row>
    <row r="8" spans="2:7" x14ac:dyDescent="0.3">
      <c r="C8" s="1" t="s">
        <v>6</v>
      </c>
      <c r="D8" s="7">
        <f>D6-D7</f>
        <v>-586.5</v>
      </c>
    </row>
    <row r="9" spans="2:7" x14ac:dyDescent="0.3">
      <c r="C9" s="1" t="s">
        <v>7</v>
      </c>
      <c r="D9" s="7">
        <f>D5-D8</f>
        <v>26174.805</v>
      </c>
    </row>
    <row r="10" spans="2:7" x14ac:dyDescent="0.3">
      <c r="C10" s="1" t="s">
        <v>8</v>
      </c>
      <c r="D10" s="7">
        <f>5221.3</f>
        <v>5221.3</v>
      </c>
      <c r="E10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F9CA-06B0-4B15-94CC-824CE26A6F9A}">
  <dimension ref="B2:AG18"/>
  <sheetViews>
    <sheetView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T17" sqref="T3:T18"/>
    </sheetView>
  </sheetViews>
  <sheetFormatPr defaultRowHeight="14.4" x14ac:dyDescent="0.3"/>
  <cols>
    <col min="1" max="1" width="8.88671875" style="1"/>
    <col min="2" max="2" width="14.5546875" style="1" bestFit="1" customWidth="1"/>
    <col min="3" max="16384" width="8.88671875" style="1"/>
  </cols>
  <sheetData>
    <row r="2" spans="2:33" x14ac:dyDescent="0.3"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12</v>
      </c>
      <c r="K2" s="3" t="s">
        <v>23</v>
      </c>
      <c r="L2" s="3" t="s">
        <v>24</v>
      </c>
      <c r="M2" s="3" t="s">
        <v>25</v>
      </c>
      <c r="N2" s="3" t="s">
        <v>26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v>2025</v>
      </c>
      <c r="W2" s="1">
        <v>2026</v>
      </c>
      <c r="X2" s="1">
        <v>2027</v>
      </c>
      <c r="Y2" s="1">
        <v>2028</v>
      </c>
      <c r="Z2" s="1">
        <v>2029</v>
      </c>
      <c r="AA2" s="1">
        <v>2030</v>
      </c>
      <c r="AB2" s="1">
        <v>2031</v>
      </c>
      <c r="AC2" s="1">
        <v>2032</v>
      </c>
      <c r="AD2" s="1">
        <v>2033</v>
      </c>
      <c r="AE2" s="1">
        <v>2034</v>
      </c>
      <c r="AF2" s="1">
        <v>2035</v>
      </c>
      <c r="AG2" s="1">
        <v>2036</v>
      </c>
    </row>
    <row r="3" spans="2:33" s="2" customFormat="1" x14ac:dyDescent="0.3">
      <c r="B3" s="2" t="s">
        <v>13</v>
      </c>
      <c r="T3" s="9">
        <v>2845.4</v>
      </c>
      <c r="U3" s="9">
        <v>3121.2</v>
      </c>
      <c r="V3" s="9">
        <v>3498.4</v>
      </c>
    </row>
    <row r="4" spans="2:33" x14ac:dyDescent="0.3">
      <c r="B4" s="1" t="s">
        <v>14</v>
      </c>
      <c r="T4" s="7">
        <v>1778.2</v>
      </c>
      <c r="U4" s="7">
        <v>1967.6</v>
      </c>
      <c r="V4" s="7">
        <v>2196.8000000000002</v>
      </c>
    </row>
    <row r="5" spans="2:33" s="2" customFormat="1" x14ac:dyDescent="0.3">
      <c r="B5" s="2" t="s">
        <v>15</v>
      </c>
      <c r="T5" s="9">
        <f>T3-T4</f>
        <v>1067.2</v>
      </c>
      <c r="U5" s="9">
        <f>U3-U4</f>
        <v>1153.5999999999999</v>
      </c>
      <c r="V5" s="9">
        <f>V3-V4</f>
        <v>1301.5999999999999</v>
      </c>
    </row>
    <row r="6" spans="2:33" x14ac:dyDescent="0.3">
      <c r="B6" s="1" t="s">
        <v>27</v>
      </c>
      <c r="T6" s="7">
        <v>85.8</v>
      </c>
      <c r="U6" s="7">
        <v>91.6</v>
      </c>
      <c r="V6" s="7">
        <v>95.2</v>
      </c>
    </row>
    <row r="7" spans="2:33" x14ac:dyDescent="0.3">
      <c r="B7" s="1" t="s">
        <v>28</v>
      </c>
      <c r="T7" s="7">
        <v>137.1</v>
      </c>
      <c r="U7" s="7">
        <v>145.4</v>
      </c>
      <c r="V7" s="7">
        <v>168.7</v>
      </c>
    </row>
    <row r="8" spans="2:33" x14ac:dyDescent="0.3">
      <c r="B8" s="1" t="s">
        <v>29</v>
      </c>
      <c r="T8" s="7">
        <v>359.7</v>
      </c>
      <c r="U8" s="7">
        <v>373.5</v>
      </c>
      <c r="V8" s="7">
        <v>399.6</v>
      </c>
    </row>
    <row r="9" spans="2:33" x14ac:dyDescent="0.3">
      <c r="B9" s="1" t="s">
        <v>30</v>
      </c>
      <c r="T9" s="7">
        <v>0</v>
      </c>
      <c r="U9" s="7">
        <v>14.4</v>
      </c>
      <c r="V9" s="7">
        <v>4.5</v>
      </c>
    </row>
    <row r="10" spans="2:33" x14ac:dyDescent="0.3">
      <c r="B10" s="1" t="s">
        <v>31</v>
      </c>
      <c r="T10" s="7">
        <f>SUM(T6:T9)</f>
        <v>582.59999999999991</v>
      </c>
      <c r="U10" s="7">
        <f>SUM(U6:U9)</f>
        <v>624.9</v>
      </c>
      <c r="V10" s="7">
        <f>SUM(V6:V9)</f>
        <v>668</v>
      </c>
    </row>
    <row r="11" spans="2:33" s="2" customFormat="1" x14ac:dyDescent="0.3">
      <c r="B11" s="2" t="s">
        <v>32</v>
      </c>
      <c r="T11" s="9">
        <f>T5-T10</f>
        <v>484.60000000000014</v>
      </c>
      <c r="U11" s="9">
        <f>U5-U10</f>
        <v>528.69999999999993</v>
      </c>
      <c r="V11" s="9">
        <f>V5-V10</f>
        <v>633.59999999999991</v>
      </c>
    </row>
    <row r="12" spans="2:33" x14ac:dyDescent="0.3">
      <c r="B12" s="1" t="s">
        <v>33</v>
      </c>
      <c r="T12" s="7">
        <v>51.4</v>
      </c>
      <c r="U12" s="7">
        <v>44.9</v>
      </c>
      <c r="V12" s="7">
        <v>43.1</v>
      </c>
    </row>
    <row r="13" spans="2:33" x14ac:dyDescent="0.3">
      <c r="B13" s="1" t="s">
        <v>34</v>
      </c>
      <c r="T13" s="7">
        <v>-29.9</v>
      </c>
      <c r="U13" s="7">
        <v>-38.299999999999997</v>
      </c>
      <c r="V13" s="7">
        <v>-29.6</v>
      </c>
    </row>
    <row r="14" spans="2:33" s="2" customFormat="1" x14ac:dyDescent="0.3">
      <c r="B14" s="2" t="s">
        <v>35</v>
      </c>
      <c r="T14" s="9">
        <f>T11-T12-T13</f>
        <v>463.10000000000014</v>
      </c>
      <c r="U14" s="9">
        <f>U11-U12-U13</f>
        <v>522.09999999999991</v>
      </c>
      <c r="V14" s="9">
        <f>V11-V12-V13</f>
        <v>620.09999999999991</v>
      </c>
    </row>
    <row r="15" spans="2:33" x14ac:dyDescent="0.3">
      <c r="B15" s="1" t="s">
        <v>36</v>
      </c>
      <c r="T15" s="7">
        <v>108.6</v>
      </c>
      <c r="U15" s="7">
        <v>117.1</v>
      </c>
      <c r="V15" s="7">
        <v>135.80000000000001</v>
      </c>
    </row>
    <row r="16" spans="2:33" s="2" customFormat="1" x14ac:dyDescent="0.3">
      <c r="B16" s="2" t="s">
        <v>37</v>
      </c>
      <c r="T16" s="9">
        <f>T14-T15</f>
        <v>354.50000000000011</v>
      </c>
      <c r="U16" s="9">
        <f>U14-U15</f>
        <v>404.99999999999989</v>
      </c>
      <c r="V16" s="9">
        <f>V14-V15</f>
        <v>484.2999999999999</v>
      </c>
    </row>
    <row r="17" spans="2:22" x14ac:dyDescent="0.3">
      <c r="B17" s="1" t="s">
        <v>2</v>
      </c>
      <c r="T17" s="7">
        <f>36.9</f>
        <v>36.9</v>
      </c>
      <c r="U17" s="7">
        <f>36.9</f>
        <v>36.9</v>
      </c>
      <c r="V17" s="7">
        <f>36.9</f>
        <v>36.9</v>
      </c>
    </row>
    <row r="18" spans="2:22" x14ac:dyDescent="0.3">
      <c r="B18" s="1" t="s">
        <v>38</v>
      </c>
      <c r="T18" s="8">
        <f>T16/T17</f>
        <v>9.6070460704607079</v>
      </c>
      <c r="U18" s="8">
        <f>U16/U17</f>
        <v>10.975609756097558</v>
      </c>
      <c r="V18" s="8">
        <f>V16/V17</f>
        <v>13.124661246612463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2026-02-18T17:45:34Z</dcterms:created>
  <dcterms:modified xsi:type="dcterms:W3CDTF">2026-02-18T17:57:50Z</dcterms:modified>
</cp:coreProperties>
</file>