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38BE040-353A-49BA-AE3E-81878C73882E}" xr6:coauthVersionLast="47" xr6:coauthVersionMax="47" xr10:uidLastSave="{00000000-0000-0000-0000-000000000000}"/>
  <bookViews>
    <workbookView xWindow="-108" yWindow="-108" windowWidth="23256" windowHeight="12576" activeTab="1" xr2:uid="{FD927F57-917F-4496-A6AC-5E97F081D2C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G3" i="2" s="1"/>
  <c r="AH3" i="2" s="1"/>
  <c r="AI3" i="2" s="1"/>
  <c r="AJ3" i="2" s="1"/>
  <c r="AK3" i="2" s="1"/>
  <c r="AL3" i="2" s="1"/>
  <c r="AM3" i="2" s="1"/>
  <c r="AD8" i="2" l="1"/>
  <c r="AE8" i="2"/>
  <c r="AF8" i="2"/>
  <c r="AG8" i="2"/>
  <c r="AH8" i="2"/>
  <c r="AI8" i="2"/>
  <c r="R65" i="2"/>
  <c r="AJ14" i="2"/>
  <c r="AI14" i="2"/>
  <c r="AH14" i="2"/>
  <c r="AG14" i="2"/>
  <c r="AF14" i="2"/>
  <c r="AE14" i="2"/>
  <c r="AD14" i="2"/>
  <c r="AK4" i="2"/>
  <c r="AL4" i="2" s="1"/>
  <c r="AM4" i="2" s="1"/>
  <c r="AJ4" i="2"/>
  <c r="AI4" i="2"/>
  <c r="AH4" i="2"/>
  <c r="AE3" i="2"/>
  <c r="AD6" i="2"/>
  <c r="AD5" i="2"/>
  <c r="AD4" i="2"/>
  <c r="AD3" i="2"/>
  <c r="V7" i="2"/>
  <c r="U7" i="2"/>
  <c r="T7" i="2"/>
  <c r="S7" i="2"/>
  <c r="V6" i="2"/>
  <c r="U6" i="2"/>
  <c r="T6" i="2"/>
  <c r="S6" i="2"/>
  <c r="V5" i="2"/>
  <c r="U5" i="2"/>
  <c r="T5" i="2"/>
  <c r="S5" i="2"/>
  <c r="V4" i="2"/>
  <c r="T4" i="2"/>
  <c r="U4" i="2"/>
  <c r="S4" i="2"/>
  <c r="U3" i="2"/>
  <c r="T3" i="2"/>
  <c r="S3" i="2"/>
  <c r="V3" i="2"/>
  <c r="R22" i="2"/>
  <c r="D7" i="1"/>
  <c r="D6" i="1"/>
  <c r="AM29" i="2"/>
  <c r="AL29" i="2"/>
  <c r="AK29" i="2"/>
  <c r="AJ29" i="2"/>
  <c r="AI29" i="2"/>
  <c r="AH29" i="2"/>
  <c r="AG29" i="2"/>
  <c r="AF29" i="2"/>
  <c r="AE29" i="2"/>
  <c r="AD29" i="2"/>
  <c r="AC29" i="2"/>
  <c r="R29" i="2"/>
  <c r="D4" i="1"/>
  <c r="Q29" i="2"/>
  <c r="P81" i="2" l="1"/>
  <c r="P74" i="2"/>
  <c r="P64" i="2"/>
  <c r="P58" i="2"/>
  <c r="P65" i="2" l="1"/>
  <c r="P83" i="2"/>
  <c r="AC10" i="2"/>
  <c r="AC4" i="2"/>
  <c r="AE4" i="2" s="1"/>
  <c r="AF4" i="2" s="1"/>
  <c r="AG4" i="2" s="1"/>
  <c r="P29" i="2"/>
  <c r="AC27" i="2"/>
  <c r="AC26" i="2"/>
  <c r="AC23" i="2"/>
  <c r="AC22" i="2"/>
  <c r="AC21" i="2"/>
  <c r="AC20" i="2"/>
  <c r="AC19" i="2"/>
  <c r="AC16" i="2"/>
  <c r="AD16" i="2" s="1"/>
  <c r="AE16" i="2" s="1"/>
  <c r="AF16" i="2" s="1"/>
  <c r="AC15" i="2"/>
  <c r="AC14" i="2"/>
  <c r="AC11" i="2"/>
  <c r="AC6" i="2"/>
  <c r="AE6" i="2" s="1"/>
  <c r="AC5" i="2"/>
  <c r="AE5" i="2" s="1"/>
  <c r="AC3" i="2"/>
  <c r="R24" i="2"/>
  <c r="Q24" i="2"/>
  <c r="P24" i="2"/>
  <c r="R17" i="2"/>
  <c r="Q17" i="2"/>
  <c r="P17" i="2"/>
  <c r="P39" i="2"/>
  <c r="Q7" i="2"/>
  <c r="P7" i="2"/>
  <c r="R35" i="2"/>
  <c r="Q35" i="2"/>
  <c r="P35" i="2"/>
  <c r="R34" i="2"/>
  <c r="Q33" i="2"/>
  <c r="R32" i="2"/>
  <c r="Q32" i="2"/>
  <c r="P37" i="2"/>
  <c r="R44" i="2"/>
  <c r="Q44" i="2"/>
  <c r="P44" i="2"/>
  <c r="O44" i="2"/>
  <c r="R42" i="2"/>
  <c r="Q42" i="2"/>
  <c r="P42" i="2"/>
  <c r="O42" i="2"/>
  <c r="P40" i="2"/>
  <c r="O40" i="2"/>
  <c r="O39" i="2"/>
  <c r="O38" i="2"/>
  <c r="O37" i="2"/>
  <c r="O35" i="2"/>
  <c r="P34" i="2"/>
  <c r="O34" i="2"/>
  <c r="P33" i="2"/>
  <c r="O33" i="2"/>
  <c r="O32" i="2"/>
  <c r="N24" i="2"/>
  <c r="N17" i="2"/>
  <c r="N12" i="2"/>
  <c r="N7" i="2"/>
  <c r="O29" i="2"/>
  <c r="O24" i="2"/>
  <c r="O17" i="2"/>
  <c r="O12" i="2"/>
  <c r="O7" i="2"/>
  <c r="O43" i="2" s="1"/>
  <c r="AQ39" i="2"/>
  <c r="N44" i="2"/>
  <c r="AB14" i="2"/>
  <c r="AB6" i="2"/>
  <c r="AB5" i="2"/>
  <c r="AB4" i="2"/>
  <c r="AB3" i="2"/>
  <c r="X40" i="2"/>
  <c r="X39" i="2"/>
  <c r="X38" i="2"/>
  <c r="X37" i="2"/>
  <c r="Z44" i="2"/>
  <c r="Z42" i="2"/>
  <c r="Z40" i="2"/>
  <c r="Z39" i="2"/>
  <c r="Z38" i="2"/>
  <c r="Z37" i="2"/>
  <c r="Z35" i="2"/>
  <c r="Z34" i="2"/>
  <c r="Z33" i="2"/>
  <c r="Z32" i="2"/>
  <c r="Y44" i="2"/>
  <c r="Y42" i="2"/>
  <c r="Y35" i="2"/>
  <c r="Y34" i="2"/>
  <c r="Y33" i="2"/>
  <c r="Y32" i="2"/>
  <c r="Y40" i="2"/>
  <c r="Y39" i="2"/>
  <c r="Y38" i="2"/>
  <c r="Y37" i="2"/>
  <c r="X20" i="2"/>
  <c r="X24" i="2" s="1"/>
  <c r="X17" i="2"/>
  <c r="X12" i="2"/>
  <c r="X7" i="2"/>
  <c r="X43" i="2" s="1"/>
  <c r="Y23" i="2"/>
  <c r="Y24" i="2" s="1"/>
  <c r="Y17" i="2"/>
  <c r="Y12" i="2"/>
  <c r="Y7" i="2"/>
  <c r="Z27" i="2"/>
  <c r="Z23" i="2"/>
  <c r="Z24" i="2" s="1"/>
  <c r="Z17" i="2"/>
  <c r="Z12" i="2"/>
  <c r="Z7" i="2"/>
  <c r="Z43" i="2" s="1"/>
  <c r="AB27" i="2"/>
  <c r="AB26" i="2"/>
  <c r="AB23" i="2"/>
  <c r="AB22" i="2"/>
  <c r="AB21" i="2"/>
  <c r="AB20" i="2"/>
  <c r="AB19" i="2"/>
  <c r="AA27" i="2"/>
  <c r="AA26" i="2"/>
  <c r="AA23" i="2"/>
  <c r="AA22" i="2"/>
  <c r="AA21" i="2"/>
  <c r="AA20" i="2"/>
  <c r="AA19" i="2"/>
  <c r="AA16" i="2"/>
  <c r="AA44" i="2" s="1"/>
  <c r="AA15" i="2"/>
  <c r="AA14" i="2"/>
  <c r="AA42" i="2" s="1"/>
  <c r="AA11" i="2"/>
  <c r="AA10" i="2"/>
  <c r="AA9" i="2"/>
  <c r="AA8" i="2"/>
  <c r="AA6" i="2"/>
  <c r="AA35" i="2" s="1"/>
  <c r="AA5" i="2"/>
  <c r="AA34" i="2" s="1"/>
  <c r="AA4" i="2"/>
  <c r="AA3" i="2"/>
  <c r="L44" i="2"/>
  <c r="K44" i="2"/>
  <c r="J44" i="2"/>
  <c r="L42" i="2"/>
  <c r="K42" i="2"/>
  <c r="J42" i="2"/>
  <c r="L40" i="2"/>
  <c r="K40" i="2"/>
  <c r="J40" i="2"/>
  <c r="I40" i="2"/>
  <c r="H40" i="2"/>
  <c r="G40" i="2"/>
  <c r="F40" i="2"/>
  <c r="L39" i="2"/>
  <c r="K39" i="2"/>
  <c r="J39" i="2"/>
  <c r="I39" i="2"/>
  <c r="H39" i="2"/>
  <c r="G39" i="2"/>
  <c r="F39" i="2"/>
  <c r="L38" i="2"/>
  <c r="K38" i="2"/>
  <c r="J38" i="2"/>
  <c r="I38" i="2"/>
  <c r="H38" i="2"/>
  <c r="G38" i="2"/>
  <c r="F38" i="2"/>
  <c r="L37" i="2"/>
  <c r="K37" i="2"/>
  <c r="J37" i="2"/>
  <c r="I37" i="2"/>
  <c r="H37" i="2"/>
  <c r="G37" i="2"/>
  <c r="F37" i="2"/>
  <c r="M44" i="2"/>
  <c r="M42" i="2"/>
  <c r="M40" i="2"/>
  <c r="M39" i="2"/>
  <c r="M38" i="2"/>
  <c r="M37" i="2"/>
  <c r="L35" i="2"/>
  <c r="K35" i="2"/>
  <c r="J35" i="2"/>
  <c r="L34" i="2"/>
  <c r="K34" i="2"/>
  <c r="J34" i="2"/>
  <c r="L33" i="2"/>
  <c r="K33" i="2"/>
  <c r="J33" i="2"/>
  <c r="L32" i="2"/>
  <c r="K32" i="2"/>
  <c r="J32" i="2"/>
  <c r="M35" i="2"/>
  <c r="M34" i="2"/>
  <c r="M33" i="2"/>
  <c r="M32" i="2"/>
  <c r="F24" i="2"/>
  <c r="F17" i="2"/>
  <c r="F12" i="2"/>
  <c r="F7" i="2"/>
  <c r="F43" i="2" s="1"/>
  <c r="J24" i="2"/>
  <c r="J17" i="2"/>
  <c r="J12" i="2"/>
  <c r="J7" i="2"/>
  <c r="J43" i="2" s="1"/>
  <c r="H24" i="2"/>
  <c r="H17" i="2"/>
  <c r="H12" i="2"/>
  <c r="H7" i="2"/>
  <c r="H43" i="2" s="1"/>
  <c r="G24" i="2"/>
  <c r="G17" i="2"/>
  <c r="G12" i="2"/>
  <c r="G7" i="2"/>
  <c r="G43" i="2" s="1"/>
  <c r="Q12" i="2" l="1"/>
  <c r="Q13" i="2" s="1"/>
  <c r="Q41" i="2" s="1"/>
  <c r="R39" i="2"/>
  <c r="Q43" i="2"/>
  <c r="AC8" i="2"/>
  <c r="AC37" i="2" s="1"/>
  <c r="R33" i="2"/>
  <c r="R38" i="2"/>
  <c r="R7" i="2"/>
  <c r="R43" i="2" s="1"/>
  <c r="AD20" i="2"/>
  <c r="AE20" i="2" s="1"/>
  <c r="AF20" i="2" s="1"/>
  <c r="AG20" i="2" s="1"/>
  <c r="AH20" i="2" s="1"/>
  <c r="AI20" i="2" s="1"/>
  <c r="AJ20" i="2" s="1"/>
  <c r="AK20" i="2" s="1"/>
  <c r="AL20" i="2" s="1"/>
  <c r="AM20" i="2" s="1"/>
  <c r="P12" i="2"/>
  <c r="P13" i="2" s="1"/>
  <c r="P41" i="2" s="1"/>
  <c r="P43" i="2"/>
  <c r="AC33" i="2"/>
  <c r="Q39" i="2"/>
  <c r="P38" i="2"/>
  <c r="R40" i="2"/>
  <c r="Q40" i="2"/>
  <c r="Q34" i="2"/>
  <c r="Q38" i="2"/>
  <c r="Q37" i="2"/>
  <c r="R37" i="2"/>
  <c r="P32" i="2"/>
  <c r="N13" i="2"/>
  <c r="N18" i="2" s="1"/>
  <c r="N25" i="2" s="1"/>
  <c r="N28" i="2" s="1"/>
  <c r="N30" i="2" s="1"/>
  <c r="O13" i="2"/>
  <c r="AA38" i="2"/>
  <c r="AB8" i="2"/>
  <c r="AB37" i="2" s="1"/>
  <c r="AA37" i="2"/>
  <c r="AB35" i="2"/>
  <c r="AA33" i="2"/>
  <c r="AA40" i="2"/>
  <c r="AB16" i="2"/>
  <c r="AB44" i="2" s="1"/>
  <c r="N33" i="2"/>
  <c r="AA39" i="2"/>
  <c r="Y36" i="2"/>
  <c r="AC24" i="2"/>
  <c r="AD19" i="2"/>
  <c r="AC32" i="2"/>
  <c r="AC39" i="2"/>
  <c r="AD10" i="2"/>
  <c r="Z36" i="2"/>
  <c r="AD33" i="2"/>
  <c r="AC35" i="2"/>
  <c r="AA32" i="2"/>
  <c r="N32" i="2"/>
  <c r="H13" i="2"/>
  <c r="H18" i="2" s="1"/>
  <c r="H25" i="2" s="1"/>
  <c r="H28" i="2" s="1"/>
  <c r="H30" i="2" s="1"/>
  <c r="Y43" i="2"/>
  <c r="AB11" i="2"/>
  <c r="AB40" i="2" s="1"/>
  <c r="N34" i="2"/>
  <c r="N42" i="2"/>
  <c r="AB10" i="2"/>
  <c r="AB39" i="2" s="1"/>
  <c r="AB42" i="2"/>
  <c r="N35" i="2"/>
  <c r="AC42" i="2"/>
  <c r="AD42" i="2"/>
  <c r="AC34" i="2"/>
  <c r="AB34" i="2"/>
  <c r="AB33" i="2"/>
  <c r="AB32" i="2"/>
  <c r="X13" i="2"/>
  <c r="Y13" i="2"/>
  <c r="Z13" i="2"/>
  <c r="J36" i="2"/>
  <c r="AB24" i="2"/>
  <c r="AB7" i="2"/>
  <c r="AA24" i="2"/>
  <c r="AA17" i="2"/>
  <c r="AA12" i="2"/>
  <c r="AA7" i="2"/>
  <c r="F13" i="2"/>
  <c r="J13" i="2"/>
  <c r="G13" i="2"/>
  <c r="K24" i="2"/>
  <c r="K17" i="2"/>
  <c r="K12" i="2"/>
  <c r="K7" i="2"/>
  <c r="O36" i="2" s="1"/>
  <c r="L24" i="2"/>
  <c r="L17" i="2"/>
  <c r="L12" i="2"/>
  <c r="L7" i="2"/>
  <c r="P36" i="2" s="1"/>
  <c r="I24" i="2"/>
  <c r="I17" i="2"/>
  <c r="I12" i="2"/>
  <c r="I7" i="2"/>
  <c r="I43" i="2" s="1"/>
  <c r="M24" i="2"/>
  <c r="M17" i="2"/>
  <c r="M12" i="2"/>
  <c r="M7" i="2"/>
  <c r="AJ8" i="2" l="1"/>
  <c r="M13" i="2"/>
  <c r="M41" i="2" s="1"/>
  <c r="AD37" i="2"/>
  <c r="Q36" i="2"/>
  <c r="AD34" i="2"/>
  <c r="Q18" i="2"/>
  <c r="AC9" i="2"/>
  <c r="AC38" i="2" s="1"/>
  <c r="R12" i="2"/>
  <c r="R13" i="2" s="1"/>
  <c r="R36" i="2"/>
  <c r="AD9" i="2"/>
  <c r="AD38" i="2" s="1"/>
  <c r="P18" i="2"/>
  <c r="AF32" i="2"/>
  <c r="AE37" i="2"/>
  <c r="O18" i="2"/>
  <c r="O41" i="2"/>
  <c r="N37" i="2"/>
  <c r="AC7" i="2"/>
  <c r="AC36" i="2" s="1"/>
  <c r="AE32" i="2"/>
  <c r="AD32" i="2"/>
  <c r="H45" i="2"/>
  <c r="H47" i="2"/>
  <c r="N39" i="2"/>
  <c r="Y18" i="2"/>
  <c r="Y41" i="2"/>
  <c r="AB9" i="2"/>
  <c r="N38" i="2"/>
  <c r="AC40" i="2"/>
  <c r="AD11" i="2"/>
  <c r="AA36" i="2"/>
  <c r="AA43" i="2"/>
  <c r="H48" i="2"/>
  <c r="X18" i="2"/>
  <c r="X41" i="2"/>
  <c r="N36" i="2"/>
  <c r="AD24" i="2"/>
  <c r="AE19" i="2"/>
  <c r="Z18" i="2"/>
  <c r="Z41" i="2"/>
  <c r="H41" i="2"/>
  <c r="N40" i="2"/>
  <c r="H46" i="2"/>
  <c r="AD39" i="2"/>
  <c r="AE10" i="2"/>
  <c r="AE42" i="2"/>
  <c r="AF42" i="2"/>
  <c r="AB36" i="2"/>
  <c r="F18" i="2"/>
  <c r="F41" i="2"/>
  <c r="K43" i="2"/>
  <c r="K36" i="2"/>
  <c r="M36" i="2"/>
  <c r="M43" i="2"/>
  <c r="J18" i="2"/>
  <c r="J41" i="2"/>
  <c r="L43" i="2"/>
  <c r="L36" i="2"/>
  <c r="G18" i="2"/>
  <c r="G41" i="2"/>
  <c r="AA13" i="2"/>
  <c r="L13" i="2"/>
  <c r="K13" i="2"/>
  <c r="I13" i="2"/>
  <c r="AK8" i="2" l="1"/>
  <c r="M18" i="2"/>
  <c r="M45" i="2" s="1"/>
  <c r="Q45" i="2"/>
  <c r="Q25" i="2"/>
  <c r="R18" i="2"/>
  <c r="R41" i="2"/>
  <c r="AE34" i="2"/>
  <c r="AE9" i="2"/>
  <c r="AE38" i="2" s="1"/>
  <c r="AE33" i="2"/>
  <c r="P45" i="2"/>
  <c r="P25" i="2"/>
  <c r="AF37" i="2"/>
  <c r="O25" i="2"/>
  <c r="O28" i="2" s="1"/>
  <c r="O45" i="2"/>
  <c r="AC12" i="2"/>
  <c r="AC13" i="2" s="1"/>
  <c r="AC41" i="2" s="1"/>
  <c r="AC17" i="2"/>
  <c r="AC43" i="2"/>
  <c r="AC44" i="2"/>
  <c r="AD12" i="2"/>
  <c r="N41" i="2"/>
  <c r="AB38" i="2"/>
  <c r="AB12" i="2"/>
  <c r="AB13" i="2" s="1"/>
  <c r="AB41" i="2" s="1"/>
  <c r="Z25" i="2"/>
  <c r="Z45" i="2"/>
  <c r="X25" i="2"/>
  <c r="X45" i="2"/>
  <c r="AB15" i="2"/>
  <c r="N43" i="2"/>
  <c r="AD35" i="2"/>
  <c r="AD7" i="2"/>
  <c r="AD15" i="2" s="1"/>
  <c r="AF5" i="2"/>
  <c r="AF10" i="2" s="1"/>
  <c r="AE39" i="2"/>
  <c r="AF19" i="2"/>
  <c r="AE24" i="2"/>
  <c r="AA18" i="2"/>
  <c r="AA41" i="2"/>
  <c r="Y25" i="2"/>
  <c r="Y45" i="2"/>
  <c r="AK14" i="2"/>
  <c r="AL14" i="2" s="1"/>
  <c r="AM14" i="2" s="1"/>
  <c r="AG42" i="2"/>
  <c r="G25" i="2"/>
  <c r="G45" i="2"/>
  <c r="L18" i="2"/>
  <c r="L41" i="2"/>
  <c r="J25" i="2"/>
  <c r="J45" i="2"/>
  <c r="I18" i="2"/>
  <c r="I41" i="2"/>
  <c r="F25" i="2"/>
  <c r="F45" i="2"/>
  <c r="K18" i="2"/>
  <c r="K41" i="2"/>
  <c r="M25" i="2"/>
  <c r="D8" i="1"/>
  <c r="AQ36" i="2" s="1"/>
  <c r="D5" i="1"/>
  <c r="F3" i="1"/>
  <c r="AM8" i="2" l="1"/>
  <c r="AL8" i="2"/>
  <c r="Q28" i="2"/>
  <c r="Q47" i="2"/>
  <c r="Q46" i="2"/>
  <c r="R25" i="2"/>
  <c r="R45" i="2"/>
  <c r="AE7" i="2"/>
  <c r="AE15" i="2" s="1"/>
  <c r="AE11" i="2"/>
  <c r="AE40" i="2" s="1"/>
  <c r="AF34" i="2"/>
  <c r="AF9" i="2"/>
  <c r="AF38" i="2" s="1"/>
  <c r="AF33" i="2"/>
  <c r="AG37" i="2"/>
  <c r="AG32" i="2"/>
  <c r="P28" i="2"/>
  <c r="P46" i="2"/>
  <c r="P47" i="2"/>
  <c r="AD17" i="2"/>
  <c r="AD43" i="2"/>
  <c r="O47" i="2"/>
  <c r="O46" i="2"/>
  <c r="AC18" i="2"/>
  <c r="AC25" i="2" s="1"/>
  <c r="AC47" i="2" s="1"/>
  <c r="AD40" i="2"/>
  <c r="AD36" i="2"/>
  <c r="AE35" i="2"/>
  <c r="AD13" i="2"/>
  <c r="AD44" i="2"/>
  <c r="N45" i="2"/>
  <c r="AF24" i="2"/>
  <c r="AG19" i="2"/>
  <c r="AA25" i="2"/>
  <c r="AA45" i="2"/>
  <c r="AB17" i="2"/>
  <c r="AB18" i="2" s="1"/>
  <c r="AB43" i="2"/>
  <c r="AG5" i="2"/>
  <c r="AG10" i="2" s="1"/>
  <c r="Z28" i="2"/>
  <c r="Z46" i="2"/>
  <c r="Z47" i="2"/>
  <c r="X28" i="2"/>
  <c r="X47" i="2"/>
  <c r="X46" i="2"/>
  <c r="Y28" i="2"/>
  <c r="Y47" i="2"/>
  <c r="Y46" i="2"/>
  <c r="AF6" i="2"/>
  <c r="D9" i="1"/>
  <c r="AH42" i="2"/>
  <c r="F28" i="2"/>
  <c r="F46" i="2"/>
  <c r="F47" i="2"/>
  <c r="M47" i="2"/>
  <c r="M46" i="2"/>
  <c r="M28" i="2"/>
  <c r="G28" i="2"/>
  <c r="G47" i="2"/>
  <c r="G46" i="2"/>
  <c r="J28" i="2"/>
  <c r="J46" i="2"/>
  <c r="J47" i="2"/>
  <c r="K25" i="2"/>
  <c r="K45" i="2"/>
  <c r="L25" i="2"/>
  <c r="L45" i="2"/>
  <c r="I25" i="2"/>
  <c r="I45" i="2"/>
  <c r="AE36" i="2" l="1"/>
  <c r="Q48" i="2"/>
  <c r="Q30" i="2"/>
  <c r="R46" i="2"/>
  <c r="R47" i="2"/>
  <c r="R28" i="2"/>
  <c r="AF35" i="2"/>
  <c r="AF11" i="2"/>
  <c r="AF40" i="2" s="1"/>
  <c r="AG34" i="2"/>
  <c r="AG9" i="2"/>
  <c r="AG38" i="2" s="1"/>
  <c r="AG33" i="2"/>
  <c r="P30" i="2"/>
  <c r="P48" i="2"/>
  <c r="AH37" i="2"/>
  <c r="AH32" i="2"/>
  <c r="AD18" i="2"/>
  <c r="AD45" i="2" s="1"/>
  <c r="O30" i="2"/>
  <c r="O48" i="2"/>
  <c r="AD41" i="2"/>
  <c r="AC45" i="2"/>
  <c r="AC46" i="2"/>
  <c r="AE17" i="2"/>
  <c r="AE44" i="2"/>
  <c r="AB25" i="2"/>
  <c r="AB47" i="2" s="1"/>
  <c r="AB45" i="2"/>
  <c r="Z30" i="2"/>
  <c r="Z48" i="2"/>
  <c r="AA28" i="2"/>
  <c r="AA47" i="2"/>
  <c r="AA46" i="2"/>
  <c r="AG6" i="2"/>
  <c r="AF7" i="2"/>
  <c r="AF15" i="2" s="1"/>
  <c r="AE12" i="2"/>
  <c r="AE13" i="2" s="1"/>
  <c r="AE41" i="2" s="1"/>
  <c r="Y30" i="2"/>
  <c r="Y48" i="2"/>
  <c r="AG24" i="2"/>
  <c r="AH19" i="2"/>
  <c r="AF39" i="2"/>
  <c r="AH5" i="2"/>
  <c r="AH10" i="2" s="1"/>
  <c r="N47" i="2"/>
  <c r="N46" i="2"/>
  <c r="X30" i="2"/>
  <c r="X48" i="2"/>
  <c r="AE43" i="2"/>
  <c r="AI42" i="2"/>
  <c r="F30" i="2"/>
  <c r="F48" i="2"/>
  <c r="L28" i="2"/>
  <c r="L46" i="2"/>
  <c r="L47" i="2"/>
  <c r="M48" i="2"/>
  <c r="M30" i="2"/>
  <c r="K28" i="2"/>
  <c r="K46" i="2"/>
  <c r="K47" i="2"/>
  <c r="I28" i="2"/>
  <c r="I47" i="2"/>
  <c r="I46" i="2"/>
  <c r="G30" i="2"/>
  <c r="G48" i="2"/>
  <c r="J30" i="2"/>
  <c r="J48" i="2"/>
  <c r="R30" i="2" l="1"/>
  <c r="R48" i="2"/>
  <c r="AG35" i="2"/>
  <c r="AG11" i="2"/>
  <c r="AG40" i="2" s="1"/>
  <c r="AH34" i="2"/>
  <c r="AH9" i="2"/>
  <c r="AH38" i="2" s="1"/>
  <c r="AH33" i="2"/>
  <c r="AI37" i="2"/>
  <c r="AI32" i="2"/>
  <c r="AD25" i="2"/>
  <c r="AD27" i="2" s="1"/>
  <c r="AD47" i="2" s="1"/>
  <c r="AC28" i="2"/>
  <c r="AG7" i="2"/>
  <c r="AG15" i="2" s="1"/>
  <c r="AB46" i="2"/>
  <c r="AB28" i="2"/>
  <c r="AB30" i="2" s="1"/>
  <c r="AF12" i="2"/>
  <c r="AF13" i="2" s="1"/>
  <c r="AF36" i="2"/>
  <c r="AF17" i="2"/>
  <c r="AF44" i="2"/>
  <c r="AG16" i="2"/>
  <c r="N48" i="2"/>
  <c r="AG39" i="2"/>
  <c r="AI5" i="2"/>
  <c r="AI10" i="2" s="1"/>
  <c r="AA30" i="2"/>
  <c r="AA48" i="2"/>
  <c r="AE18" i="2"/>
  <c r="AH6" i="2"/>
  <c r="AI19" i="2"/>
  <c r="AH24" i="2"/>
  <c r="AJ42" i="2"/>
  <c r="K30" i="2"/>
  <c r="K48" i="2"/>
  <c r="I30" i="2"/>
  <c r="I48" i="2"/>
  <c r="L30" i="2"/>
  <c r="L48" i="2"/>
  <c r="AH7" i="2" l="1"/>
  <c r="AH15" i="2" s="1"/>
  <c r="AH11" i="2"/>
  <c r="AH12" i="2" s="1"/>
  <c r="AI9" i="2"/>
  <c r="AI38" i="2" s="1"/>
  <c r="AI33" i="2"/>
  <c r="AG36" i="2"/>
  <c r="AJ37" i="2"/>
  <c r="AJ32" i="2"/>
  <c r="AD26" i="2"/>
  <c r="AD46" i="2" s="1"/>
  <c r="AC48" i="2"/>
  <c r="AB48" i="2"/>
  <c r="AC30" i="2"/>
  <c r="AF43" i="2"/>
  <c r="AF41" i="2"/>
  <c r="AF18" i="2"/>
  <c r="AF25" i="2" s="1"/>
  <c r="AG17" i="2"/>
  <c r="AH16" i="2"/>
  <c r="AG44" i="2"/>
  <c r="AJ5" i="2"/>
  <c r="AJ10" i="2" s="1"/>
  <c r="AH39" i="2"/>
  <c r="AJ19" i="2"/>
  <c r="AI24" i="2"/>
  <c r="AI6" i="2"/>
  <c r="AI11" i="2" s="1"/>
  <c r="AG12" i="2"/>
  <c r="AG13" i="2" s="1"/>
  <c r="AG41" i="2" s="1"/>
  <c r="AE25" i="2"/>
  <c r="AE45" i="2"/>
  <c r="AI34" i="2"/>
  <c r="AH35" i="2"/>
  <c r="AG43" i="2"/>
  <c r="AK42" i="2"/>
  <c r="AH36" i="2" l="1"/>
  <c r="AH13" i="2"/>
  <c r="AH41" i="2" s="1"/>
  <c r="AJ34" i="2"/>
  <c r="AJ9" i="2"/>
  <c r="AJ38" i="2" s="1"/>
  <c r="AJ33" i="2"/>
  <c r="AK37" i="2"/>
  <c r="AK32" i="2"/>
  <c r="AD28" i="2"/>
  <c r="AF45" i="2"/>
  <c r="AI16" i="2"/>
  <c r="AH44" i="2"/>
  <c r="AH17" i="2"/>
  <c r="AG18" i="2"/>
  <c r="AG25" i="2" s="1"/>
  <c r="AG26" i="2" s="1"/>
  <c r="AG46" i="2" s="1"/>
  <c r="AK19" i="2"/>
  <c r="AJ24" i="2"/>
  <c r="AE27" i="2"/>
  <c r="AE47" i="2" s="1"/>
  <c r="AE26" i="2"/>
  <c r="AE46" i="2" s="1"/>
  <c r="AJ6" i="2"/>
  <c r="AJ11" i="2" s="1"/>
  <c r="AI40" i="2"/>
  <c r="AI35" i="2"/>
  <c r="AH40" i="2"/>
  <c r="AI7" i="2"/>
  <c r="AI39" i="2"/>
  <c r="AK5" i="2"/>
  <c r="AK10" i="2" s="1"/>
  <c r="AH43" i="2"/>
  <c r="AF27" i="2"/>
  <c r="AF47" i="2" s="1"/>
  <c r="AF26" i="2"/>
  <c r="AF46" i="2" s="1"/>
  <c r="AM42" i="2"/>
  <c r="AL42" i="2"/>
  <c r="AH18" i="2" l="1"/>
  <c r="AH25" i="2" s="1"/>
  <c r="AH27" i="2" s="1"/>
  <c r="AH47" i="2" s="1"/>
  <c r="AD30" i="2"/>
  <c r="AK33" i="2"/>
  <c r="AK9" i="2"/>
  <c r="AK38" i="2" s="1"/>
  <c r="AI15" i="2"/>
  <c r="AI17" i="2" s="1"/>
  <c r="AL37" i="2"/>
  <c r="AL32" i="2"/>
  <c r="AD48" i="2"/>
  <c r="AG45" i="2"/>
  <c r="AG27" i="2"/>
  <c r="AG47" i="2" s="1"/>
  <c r="AE28" i="2"/>
  <c r="AJ16" i="2"/>
  <c r="AI44" i="2"/>
  <c r="AJ39" i="2"/>
  <c r="AK6" i="2"/>
  <c r="AK11" i="2" s="1"/>
  <c r="AJ12" i="2"/>
  <c r="AI12" i="2"/>
  <c r="AI13" i="2" s="1"/>
  <c r="AK24" i="2"/>
  <c r="AL19" i="2"/>
  <c r="AL5" i="2"/>
  <c r="AL10" i="2" s="1"/>
  <c r="AK34" i="2"/>
  <c r="AI36" i="2"/>
  <c r="AJ35" i="2"/>
  <c r="AJ40" i="2"/>
  <c r="AJ7" i="2"/>
  <c r="AF28" i="2"/>
  <c r="AF48" i="2" s="1"/>
  <c r="AH45" i="2" l="1"/>
  <c r="AH26" i="2"/>
  <c r="AH46" i="2" s="1"/>
  <c r="AL34" i="2"/>
  <c r="AL33" i="2"/>
  <c r="AL9" i="2"/>
  <c r="AI43" i="2"/>
  <c r="AL38" i="2"/>
  <c r="AM37" i="2"/>
  <c r="AM32" i="2"/>
  <c r="AJ36" i="2"/>
  <c r="AJ15" i="2"/>
  <c r="AJ17" i="2" s="1"/>
  <c r="AI18" i="2"/>
  <c r="AI25" i="2" s="1"/>
  <c r="AI26" i="2" s="1"/>
  <c r="AI46" i="2" s="1"/>
  <c r="AE30" i="2"/>
  <c r="AG28" i="2"/>
  <c r="AJ13" i="2"/>
  <c r="AJ41" i="2" s="1"/>
  <c r="AK16" i="2"/>
  <c r="AJ44" i="2"/>
  <c r="AE48" i="2"/>
  <c r="AL6" i="2"/>
  <c r="AK12" i="2"/>
  <c r="AK39" i="2"/>
  <c r="AK35" i="2"/>
  <c r="AI41" i="2"/>
  <c r="AM5" i="2"/>
  <c r="AM10" i="2" s="1"/>
  <c r="AK7" i="2"/>
  <c r="AM19" i="2"/>
  <c r="AM24" i="2" s="1"/>
  <c r="AL24" i="2"/>
  <c r="AF30" i="2"/>
  <c r="AH28" i="2" l="1"/>
  <c r="AH30" i="2" s="1"/>
  <c r="AG30" i="2"/>
  <c r="AL35" i="2"/>
  <c r="AL11" i="2"/>
  <c r="AM9" i="2"/>
  <c r="AM38" i="2" s="1"/>
  <c r="AM33" i="2"/>
  <c r="AI27" i="2"/>
  <c r="AI47" i="2" s="1"/>
  <c r="AK15" i="2"/>
  <c r="AK17" i="2" s="1"/>
  <c r="AI45" i="2"/>
  <c r="AG48" i="2"/>
  <c r="AM34" i="2"/>
  <c r="AK13" i="2"/>
  <c r="AK41" i="2" s="1"/>
  <c r="AJ18" i="2"/>
  <c r="AJ25" i="2" s="1"/>
  <c r="AJ43" i="2"/>
  <c r="AM39" i="2"/>
  <c r="AK36" i="2"/>
  <c r="AK40" i="2"/>
  <c r="AL16" i="2"/>
  <c r="AK44" i="2"/>
  <c r="AL39" i="2"/>
  <c r="AM6" i="2"/>
  <c r="AL40" i="2"/>
  <c r="AL7" i="2"/>
  <c r="AL15" i="2" s="1"/>
  <c r="AH48" i="2" l="1"/>
  <c r="AI28" i="2"/>
  <c r="AM11" i="2"/>
  <c r="AM12" i="2" s="1"/>
  <c r="AK43" i="2"/>
  <c r="AJ45" i="2"/>
  <c r="AK18" i="2"/>
  <c r="AK45" i="2" s="1"/>
  <c r="AM35" i="2"/>
  <c r="AM16" i="2"/>
  <c r="AM44" i="2" s="1"/>
  <c r="AL44" i="2"/>
  <c r="AM7" i="2"/>
  <c r="AL17" i="2"/>
  <c r="AL43" i="2"/>
  <c r="AL36" i="2"/>
  <c r="AL12" i="2"/>
  <c r="AL13" i="2" s="1"/>
  <c r="AJ26" i="2"/>
  <c r="AJ46" i="2" s="1"/>
  <c r="AJ27" i="2"/>
  <c r="AJ47" i="2" s="1"/>
  <c r="AM40" i="2" l="1"/>
  <c r="AI30" i="2"/>
  <c r="AI48" i="2"/>
  <c r="AM13" i="2"/>
  <c r="AM41" i="2" s="1"/>
  <c r="AM15" i="2"/>
  <c r="AM17" i="2" s="1"/>
  <c r="AK25" i="2"/>
  <c r="AK27" i="2" s="1"/>
  <c r="AK47" i="2" s="1"/>
  <c r="AM36" i="2"/>
  <c r="AL41" i="2"/>
  <c r="AL18" i="2"/>
  <c r="AL25" i="2" s="1"/>
  <c r="AL26" i="2" s="1"/>
  <c r="AL46" i="2" s="1"/>
  <c r="AJ28" i="2"/>
  <c r="AJ48" i="2" s="1"/>
  <c r="AM18" i="2" l="1"/>
  <c r="AM45" i="2" s="1"/>
  <c r="AK26" i="2"/>
  <c r="AK46" i="2" s="1"/>
  <c r="AM43" i="2"/>
  <c r="AL27" i="2"/>
  <c r="AL47" i="2" s="1"/>
  <c r="AL45" i="2"/>
  <c r="AJ30" i="2"/>
  <c r="AM25" i="2" l="1"/>
  <c r="AM26" i="2" s="1"/>
  <c r="AM46" i="2" s="1"/>
  <c r="AK28" i="2"/>
  <c r="AK30" i="2" s="1"/>
  <c r="AL28" i="2"/>
  <c r="AL30" i="2" s="1"/>
  <c r="AM27" i="2" l="1"/>
  <c r="AM47" i="2" s="1"/>
  <c r="AK48" i="2"/>
  <c r="AL48" i="2"/>
  <c r="AM28" i="2" l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EL28" i="2" s="1"/>
  <c r="EM28" i="2" s="1"/>
  <c r="EN28" i="2" s="1"/>
  <c r="EO28" i="2" s="1"/>
  <c r="EP28" i="2" s="1"/>
  <c r="EQ28" i="2" s="1"/>
  <c r="ER28" i="2" s="1"/>
  <c r="ES28" i="2" s="1"/>
  <c r="AQ35" i="2" s="1"/>
  <c r="AM30" i="2" l="1"/>
  <c r="AM48" i="2"/>
  <c r="AQ37" i="2"/>
  <c r="AQ38" i="2" s="1"/>
  <c r="AQ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AD7" authorId="0" shapeId="0" xr:uid="{B50EEE87-8267-44E9-AB65-2A926AB1D898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(Q425) guidance of 3.1-3.3b</t>
        </r>
      </text>
    </comment>
  </commentList>
</comments>
</file>

<file path=xl/sharedStrings.xml><?xml version="1.0" encoding="utf-8"?>
<sst xmlns="http://schemas.openxmlformats.org/spreadsheetml/2006/main" count="123" uniqueCount="106">
  <si>
    <t>BE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</si>
  <si>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</si>
  <si>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</si>
  <si>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</si>
  <si>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</si>
  <si>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</si>
  <si>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</si>
  <si>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</si>
  <si>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</si>
  <si>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</si>
  <si>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</si>
  <si>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Product revenue</t>
  </si>
  <si>
    <t>Installation revenue</t>
  </si>
  <si>
    <t>Service revenue</t>
  </si>
  <si>
    <t>Electricity revenue</t>
  </si>
  <si>
    <t>Total revenue</t>
  </si>
  <si>
    <t>Product cost</t>
  </si>
  <si>
    <t>Installation cost</t>
  </si>
  <si>
    <t>Service cost</t>
  </si>
  <si>
    <t>Electricity cost</t>
  </si>
  <si>
    <t>Total cost of sales</t>
  </si>
  <si>
    <t>Gross profit</t>
  </si>
  <si>
    <t>R&amp;D</t>
  </si>
  <si>
    <t>S&amp;M</t>
  </si>
  <si>
    <t>G&amp;A</t>
  </si>
  <si>
    <t>Total operating expenses</t>
  </si>
  <si>
    <t>Operating profit</t>
  </si>
  <si>
    <t>Interest income</t>
  </si>
  <si>
    <t>Interest expense</t>
  </si>
  <si>
    <t>Other income</t>
  </si>
  <si>
    <t>Loss on debt</t>
  </si>
  <si>
    <t>Loss on derivatives</t>
  </si>
  <si>
    <t>Total other expense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</si>
  <si>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</si>
  <si>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</si>
  <si>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</si>
  <si>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</si>
  <si>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</si>
  <si>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</si>
  <si>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</si>
  <si>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</si>
  <si>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</si>
  <si>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</si>
  <si>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</si>
  <si>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</si>
  <si>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</si>
  <si>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</si>
  <si>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</si>
  <si>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</si>
  <si>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</si>
  <si>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Margin</t>
  </si>
  <si>
    <t>Product revenue y/y</t>
  </si>
  <si>
    <t>Installation revenue y/y</t>
  </si>
  <si>
    <t>Service revenue y/y</t>
  </si>
  <si>
    <t>Electricity revenue y/y</t>
  </si>
  <si>
    <t>Revenue y/y</t>
  </si>
  <si>
    <t>Product Margin</t>
  </si>
  <si>
    <t>Installation Margin</t>
  </si>
  <si>
    <t>Service Margin</t>
  </si>
  <si>
    <t>Electricity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</si>
  <si>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</si>
  <si>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</si>
  <si>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</si>
  <si>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</si>
  <si>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</si>
  <si>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</si>
  <si>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</si>
  <si>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</si>
  <si>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</si>
  <si>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</si>
  <si>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</si>
  <si>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</si>
  <si>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</si>
  <si>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</si>
  <si>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</si>
  <si>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no idea what revenue is going to drive profits</t>
  </si>
  <si>
    <t>Q125</t>
  </si>
  <si>
    <t>Q225</t>
  </si>
  <si>
    <t>Q325</t>
  </si>
  <si>
    <t>Q425</t>
  </si>
  <si>
    <t>Restricted cash</t>
  </si>
  <si>
    <t>A/R</t>
  </si>
  <si>
    <t>Contract assets</t>
  </si>
  <si>
    <t>Inventories</t>
  </si>
  <si>
    <t>D/R</t>
  </si>
  <si>
    <t>Prepaids</t>
  </si>
  <si>
    <t>Current assets</t>
  </si>
  <si>
    <t>PP&amp;E</t>
  </si>
  <si>
    <t>Operating leases</t>
  </si>
  <si>
    <t>ONCA</t>
  </si>
  <si>
    <t>Non-current assets</t>
  </si>
  <si>
    <t>Total assets</t>
  </si>
  <si>
    <t>A/P</t>
  </si>
  <si>
    <t>A/W</t>
  </si>
  <si>
    <t>A/L</t>
  </si>
  <si>
    <t>Recourse debt</t>
  </si>
  <si>
    <t>Non-recourse debt</t>
  </si>
  <si>
    <t>Current liabilities</t>
  </si>
  <si>
    <t>ONCL</t>
  </si>
  <si>
    <t>Non-current liablities</t>
  </si>
  <si>
    <t>S/E</t>
  </si>
  <si>
    <t>L+S/E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</si>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</sst>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</xdr:colOff>
      <xdr:row>0</xdr:row>
      <xdr:rowOff>7620</xdr:rowOff>
    </xdr:from>
    <xdr:to>
      <xdr:col>18</xdr:col>
      <xdr:colOff>22860</xdr:colOff>
      <xdr:row>49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AAB2302-F20A-5E85-2E42-BA8B782E5475}"/>
            </a:ext>
          </a:extLst>
        </xdr:cNvPr>
        <xdr:cNvCxnSpPr/>
      </xdr:nvCxnSpPr>
      <xdr:spPr>
        <a:xfrm>
          <a:off x="11871960" y="7620"/>
          <a:ext cx="0" cy="9060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22860</xdr:colOff>
      <xdr:row>0</xdr:row>
      <xdr:rowOff>7620</xdr:rowOff>
    </xdr:from>
    <xdr:to>
      <xdr:col>29</xdr:col>
      <xdr:colOff>22860</xdr:colOff>
      <xdr:row>52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D93DBCF-C006-66E9-14F5-08909AC1C4D1}"/>
            </a:ext>
          </a:extLst>
        </xdr:cNvPr>
        <xdr:cNvCxnSpPr/>
      </xdr:nvCxnSpPr>
      <xdr:spPr>
        <a:xfrm>
          <a:off x="18577560" y="7620"/>
          <a:ext cx="0" cy="96088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D755-C870-42BE-AFB2-4FBBF00C2F3E}">
  <dimension ref="B2:I9"/>
  <sheetViews>
    <sheetView workbookViewId="0">
      <selection activeCell="E7" sqref="E7"/>
    </sheetView>
  </sheetViews>
  <sheetFormatPr defaultRowHeight="14.4" x14ac:dyDescent="0.3"/>
  <cols>
    <col min="5" max="7" width="14.109375" style="2" customWidth="1"/>
  </cols>
  <sheetData>
    <row r="2" spans="2:9" x14ac:dyDescent="0.3">
      <c r="E2" s="2" t="s">
        <v>8</v>
      </c>
      <c r="F2" s="2" t="s">
        <v>9</v>
      </c>
      <c r="G2" s="2" t="s">
        <v>10</v>
      </c>
    </row>
    <row r="3" spans="2:9" x14ac:dyDescent="0.3">
      <c r="B3" s="1" t="s">
        <v>0</v>
      </c>
      <c r="C3" t="s">
        <v>1</v>
      </c>
      <c r="D3" s="7">
        <v>147.55000000000001</v>
      </c>
      <c r="E3" s="3">
        <v>46076</v>
      </c>
      <c r="F3" s="3">
        <f ca="1">TODAY()</f>
        <v>46076</v>
      </c>
      <c r="G3" s="3">
        <v>46148</v>
      </c>
    </row>
    <row r="4" spans="2:9" x14ac:dyDescent="0.3">
      <c r="C4" t="s">
        <v>2</v>
      </c>
      <c r="D4" s="4">
        <f>280.5</f>
        <v>280.5</v>
      </c>
      <c r="E4" s="2" t="s">
        <v>79</v>
      </c>
    </row>
    <row r="5" spans="2:9" x14ac:dyDescent="0.3">
      <c r="C5" t="s">
        <v>3</v>
      </c>
      <c r="D5" s="4">
        <f>D3*D4</f>
        <v>41387.775000000001</v>
      </c>
    </row>
    <row r="6" spans="2:9" x14ac:dyDescent="0.3">
      <c r="C6" t="s">
        <v>4</v>
      </c>
      <c r="D6" s="4">
        <f>2454.1</f>
        <v>2454.1</v>
      </c>
      <c r="E6" s="2" t="s">
        <v>79</v>
      </c>
    </row>
    <row r="7" spans="2:9" x14ac:dyDescent="0.3">
      <c r="C7" t="s">
        <v>5</v>
      </c>
      <c r="D7" s="4">
        <f>51.3+4.2+192.5+2613.7</f>
        <v>2861.7</v>
      </c>
      <c r="E7" s="2" t="s">
        <v>79</v>
      </c>
      <c r="I7" t="s">
        <v>75</v>
      </c>
    </row>
    <row r="8" spans="2:9" x14ac:dyDescent="0.3">
      <c r="C8" t="s">
        <v>6</v>
      </c>
      <c r="D8" s="4">
        <f>D6-D7</f>
        <v>-407.59999999999991</v>
      </c>
    </row>
    <row r="9" spans="2:9" x14ac:dyDescent="0.3">
      <c r="C9" t="s">
        <v>7</v>
      </c>
      <c r="D9" s="4">
        <f>D5-D8</f>
        <v>41795.375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87E8-B0FD-46B4-8D96-88D1F839B6F5}">
  <dimension ref="B2:ES83"/>
  <sheetViews>
    <sheetView tabSelected="1" zoomScaleNormal="100" workbookViewId="0">
      <pane xSplit="2" ySplit="2" topLeftCell="AC18" activePane="bottomRight" state="frozen"/>
      <selection pane="topRight" activeCell="C1" sqref="C1"/>
      <selection pane="bottomLeft" activeCell="A3" sqref="A3"/>
      <selection pane="bottomRight" activeCell="AJ32" sqref="AJ32"/>
    </sheetView>
  </sheetViews>
  <sheetFormatPr defaultRowHeight="14.4" x14ac:dyDescent="0.3"/>
  <cols>
    <col min="2" max="2" width="21.6640625" bestFit="1" customWidth="1"/>
    <col min="42" max="42" width="13.44140625" customWidth="1"/>
    <col min="43" max="43" width="16.44140625" bestFit="1" customWidth="1"/>
  </cols>
  <sheetData>
    <row r="2" spans="2:39" x14ac:dyDescent="0.3"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76</v>
      </c>
      <c r="P2" s="5" t="s">
        <v>77</v>
      </c>
      <c r="Q2" s="5" t="s">
        <v>78</v>
      </c>
      <c r="R2" s="5" t="s">
        <v>79</v>
      </c>
      <c r="S2" s="5" t="s">
        <v>102</v>
      </c>
      <c r="T2" s="5" t="s">
        <v>103</v>
      </c>
      <c r="U2" s="5" t="s">
        <v>104</v>
      </c>
      <c r="V2" s="5" t="s">
        <v>105</v>
      </c>
      <c r="X2">
        <v>2020</v>
      </c>
      <c r="Y2">
        <v>2021</v>
      </c>
      <c r="Z2">
        <v>2022</v>
      </c>
      <c r="AA2">
        <v>2023</v>
      </c>
      <c r="AB2">
        <v>2024</v>
      </c>
      <c r="AC2">
        <v>2025</v>
      </c>
      <c r="AD2">
        <v>2026</v>
      </c>
      <c r="AE2">
        <v>2027</v>
      </c>
      <c r="AF2">
        <v>2028</v>
      </c>
      <c r="AG2">
        <v>2029</v>
      </c>
      <c r="AH2">
        <v>2030</v>
      </c>
      <c r="AI2">
        <v>2031</v>
      </c>
      <c r="AJ2">
        <v>2032</v>
      </c>
      <c r="AK2">
        <v>2033</v>
      </c>
      <c r="AL2">
        <v>2034</v>
      </c>
      <c r="AM2">
        <v>2035</v>
      </c>
    </row>
    <row r="3" spans="2:39" x14ac:dyDescent="0.3">
      <c r="B3" t="s">
        <v>11</v>
      </c>
      <c r="F3" s="4">
        <v>360.2</v>
      </c>
      <c r="G3" s="4">
        <v>193.7</v>
      </c>
      <c r="H3" s="4">
        <v>214.7</v>
      </c>
      <c r="I3" s="4">
        <v>305</v>
      </c>
      <c r="J3" s="4">
        <v>261.8</v>
      </c>
      <c r="K3" s="4">
        <v>153.4</v>
      </c>
      <c r="L3" s="4">
        <v>226.3</v>
      </c>
      <c r="M3" s="4">
        <v>233.8</v>
      </c>
      <c r="N3" s="4">
        <v>471.7</v>
      </c>
      <c r="O3" s="4">
        <v>211.9</v>
      </c>
      <c r="P3" s="4">
        <v>296.60000000000002</v>
      </c>
      <c r="Q3" s="4">
        <v>384.3</v>
      </c>
      <c r="R3" s="4">
        <v>638.5</v>
      </c>
      <c r="S3" s="4">
        <f>O3*1.5</f>
        <v>317.85000000000002</v>
      </c>
      <c r="T3" s="4">
        <f>P3*1.5</f>
        <v>444.90000000000003</v>
      </c>
      <c r="U3" s="4">
        <f>Q3*1.6</f>
        <v>614.88000000000011</v>
      </c>
      <c r="V3" s="4">
        <f>R3*1.5</f>
        <v>957.75</v>
      </c>
      <c r="X3" s="4">
        <v>518.6</v>
      </c>
      <c r="Y3" s="4">
        <v>663.5</v>
      </c>
      <c r="Z3" s="4">
        <v>880.7</v>
      </c>
      <c r="AA3" s="4">
        <f>SUM(G3:J3)</f>
        <v>975.2</v>
      </c>
      <c r="AB3" s="4">
        <f>SUM(K3:N3)</f>
        <v>1085.2</v>
      </c>
      <c r="AC3" s="4">
        <f>SUM(O3:R3)</f>
        <v>1531.3</v>
      </c>
      <c r="AD3" s="4">
        <f>SUM(S3:V3)</f>
        <v>2335.38</v>
      </c>
      <c r="AE3" s="4">
        <f>AD3*1.3</f>
        <v>3035.9940000000001</v>
      </c>
      <c r="AF3" s="4">
        <f>AE3*1.15</f>
        <v>3491.3930999999998</v>
      </c>
      <c r="AG3" s="4">
        <f>AF3*1.1</f>
        <v>3840.5324100000003</v>
      </c>
      <c r="AH3" s="4">
        <f t="shared" ref="AH3:AM3" si="0">AG3*1.1</f>
        <v>4224.5856510000003</v>
      </c>
      <c r="AI3" s="4">
        <f t="shared" si="0"/>
        <v>4647.044216100001</v>
      </c>
      <c r="AJ3" s="4">
        <f t="shared" si="0"/>
        <v>5111.7486377100013</v>
      </c>
      <c r="AK3" s="4">
        <f t="shared" si="0"/>
        <v>5622.9235014810019</v>
      </c>
      <c r="AL3" s="4">
        <f t="shared" si="0"/>
        <v>6185.2158516291029</v>
      </c>
      <c r="AM3" s="4">
        <f t="shared" si="0"/>
        <v>6803.7374367920138</v>
      </c>
    </row>
    <row r="4" spans="2:39" x14ac:dyDescent="0.3">
      <c r="B4" t="s">
        <v>12</v>
      </c>
      <c r="F4" s="4">
        <v>43.2</v>
      </c>
      <c r="G4" s="4">
        <v>20.5</v>
      </c>
      <c r="H4" s="4">
        <v>24.2</v>
      </c>
      <c r="I4" s="4">
        <v>21.9</v>
      </c>
      <c r="J4" s="4">
        <v>26</v>
      </c>
      <c r="K4" s="4">
        <v>11.4</v>
      </c>
      <c r="L4" s="4">
        <v>42.7</v>
      </c>
      <c r="M4" s="4">
        <v>32.1</v>
      </c>
      <c r="N4" s="4">
        <v>36.1</v>
      </c>
      <c r="O4" s="4">
        <v>33.700000000000003</v>
      </c>
      <c r="P4" s="4">
        <v>37.4</v>
      </c>
      <c r="Q4" s="4">
        <v>65.8</v>
      </c>
      <c r="R4" s="4">
        <v>67.3</v>
      </c>
      <c r="S4" s="4">
        <f>O4*1.9</f>
        <v>64.03</v>
      </c>
      <c r="T4" s="4">
        <f>P4*2.2</f>
        <v>82.28</v>
      </c>
      <c r="U4" s="4">
        <f>Q4*1.5</f>
        <v>98.699999999999989</v>
      </c>
      <c r="V4" s="4">
        <f>R4*1.55</f>
        <v>104.315</v>
      </c>
      <c r="X4" s="4">
        <v>101.9</v>
      </c>
      <c r="Y4" s="4">
        <v>96.1</v>
      </c>
      <c r="Z4" s="4">
        <v>92.1</v>
      </c>
      <c r="AA4" s="4">
        <f>SUM(G4:J4)</f>
        <v>92.6</v>
      </c>
      <c r="AB4" s="4">
        <f>SUM(K4:N4)</f>
        <v>122.30000000000001</v>
      </c>
      <c r="AC4" s="4">
        <f t="shared" ref="AC4:AC6" si="1">SUM(O4:R4)</f>
        <v>204.2</v>
      </c>
      <c r="AD4" s="4">
        <f t="shared" ref="AD4:AD6" si="2">SUM(S4:V4)</f>
        <v>349.32499999999999</v>
      </c>
      <c r="AE4" s="4">
        <f>AD4*1.4</f>
        <v>489.05499999999995</v>
      </c>
      <c r="AF4" s="4">
        <f>AE4*1.3</f>
        <v>635.77149999999995</v>
      </c>
      <c r="AG4" s="4">
        <f>AF4*1.2</f>
        <v>762.92579999999987</v>
      </c>
      <c r="AH4" s="4">
        <f>AG4*1.1</f>
        <v>839.21837999999991</v>
      </c>
      <c r="AI4" s="4">
        <f>AH4*1.05</f>
        <v>881.1792989999999</v>
      </c>
      <c r="AJ4" s="4">
        <f t="shared" ref="AJ4:AM4" si="3">AI4*1.05</f>
        <v>925.23826394999992</v>
      </c>
      <c r="AK4" s="4">
        <f t="shared" si="3"/>
        <v>971.50017714749993</v>
      </c>
      <c r="AL4" s="4">
        <f t="shared" si="3"/>
        <v>1020.0751860048749</v>
      </c>
      <c r="AM4" s="4">
        <f t="shared" si="3"/>
        <v>1071.0789453051186</v>
      </c>
    </row>
    <row r="5" spans="2:39" x14ac:dyDescent="0.3">
      <c r="B5" t="s">
        <v>13</v>
      </c>
      <c r="F5" s="4">
        <v>39.9</v>
      </c>
      <c r="G5" s="4">
        <v>40.700000000000003</v>
      </c>
      <c r="H5" s="4">
        <v>42.3</v>
      </c>
      <c r="I5" s="4">
        <v>47.5</v>
      </c>
      <c r="J5" s="4">
        <v>52.6</v>
      </c>
      <c r="K5" s="4">
        <v>56.4</v>
      </c>
      <c r="L5" s="4">
        <v>52.5</v>
      </c>
      <c r="M5" s="4">
        <v>50.8</v>
      </c>
      <c r="N5" s="4">
        <v>53.8</v>
      </c>
      <c r="O5" s="4">
        <v>53.5</v>
      </c>
      <c r="P5" s="4">
        <v>54.4</v>
      </c>
      <c r="Q5" s="4">
        <v>58.6</v>
      </c>
      <c r="R5" s="4">
        <v>61.7</v>
      </c>
      <c r="S5" s="4">
        <f>O5*1.1</f>
        <v>58.85</v>
      </c>
      <c r="T5" s="4">
        <f t="shared" ref="T5:V5" si="4">P5*1.1</f>
        <v>59.84</v>
      </c>
      <c r="U5" s="4">
        <f t="shared" si="4"/>
        <v>64.460000000000008</v>
      </c>
      <c r="V5" s="4">
        <f t="shared" si="4"/>
        <v>67.87</v>
      </c>
      <c r="X5" s="4">
        <v>109.6</v>
      </c>
      <c r="Y5" s="4">
        <v>144.19999999999999</v>
      </c>
      <c r="Z5" s="4">
        <v>151</v>
      </c>
      <c r="AA5" s="4">
        <f>SUM(G5:J5)</f>
        <v>183.1</v>
      </c>
      <c r="AB5" s="4">
        <f>SUM(K5:N5)</f>
        <v>213.5</v>
      </c>
      <c r="AC5" s="4">
        <f t="shared" si="1"/>
        <v>228.2</v>
      </c>
      <c r="AD5" s="4">
        <f t="shared" si="2"/>
        <v>251.02</v>
      </c>
      <c r="AE5" s="4">
        <f>AD5*1.05</f>
        <v>263.57100000000003</v>
      </c>
      <c r="AF5" s="4">
        <f>AE5*1.04</f>
        <v>274.11384000000004</v>
      </c>
      <c r="AG5" s="4">
        <f>AF5*1.03</f>
        <v>282.33725520000007</v>
      </c>
      <c r="AH5" s="4">
        <f>AG5*1.02</f>
        <v>287.98400030400006</v>
      </c>
      <c r="AI5" s="4">
        <f t="shared" ref="AI5:AM5" si="5">AH5*1.02</f>
        <v>293.74368031008009</v>
      </c>
      <c r="AJ5" s="4">
        <f t="shared" si="5"/>
        <v>299.61855391628171</v>
      </c>
      <c r="AK5" s="4">
        <f t="shared" si="5"/>
        <v>305.61092499460733</v>
      </c>
      <c r="AL5" s="4">
        <f t="shared" si="5"/>
        <v>311.72314349449948</v>
      </c>
      <c r="AM5" s="4">
        <f t="shared" si="5"/>
        <v>317.95760636438945</v>
      </c>
    </row>
    <row r="6" spans="2:39" x14ac:dyDescent="0.3">
      <c r="B6" t="s">
        <v>14</v>
      </c>
      <c r="F6" s="4">
        <v>19.2</v>
      </c>
      <c r="G6" s="4">
        <v>20.3</v>
      </c>
      <c r="H6" s="4">
        <v>19.8</v>
      </c>
      <c r="I6" s="4">
        <v>25.8</v>
      </c>
      <c r="J6" s="4">
        <v>16.5</v>
      </c>
      <c r="K6" s="4">
        <v>14</v>
      </c>
      <c r="L6" s="4">
        <v>14.2</v>
      </c>
      <c r="M6" s="4">
        <v>13.8</v>
      </c>
      <c r="N6" s="4">
        <v>10.8</v>
      </c>
      <c r="O6" s="4">
        <v>27</v>
      </c>
      <c r="P6" s="4">
        <v>12.8</v>
      </c>
      <c r="Q6" s="4">
        <v>10.4</v>
      </c>
      <c r="R6" s="4">
        <v>10.199999999999999</v>
      </c>
      <c r="S6" s="4">
        <f>O6*1.05</f>
        <v>28.35</v>
      </c>
      <c r="T6" s="4">
        <f t="shared" ref="T6:V6" si="6">P6*1.05</f>
        <v>13.440000000000001</v>
      </c>
      <c r="U6" s="4">
        <f t="shared" si="6"/>
        <v>10.920000000000002</v>
      </c>
      <c r="V6" s="4">
        <f t="shared" si="6"/>
        <v>10.709999999999999</v>
      </c>
      <c r="X6" s="4">
        <v>64.099999999999994</v>
      </c>
      <c r="Y6" s="4">
        <v>68.400000000000006</v>
      </c>
      <c r="Z6" s="4">
        <v>75.400000000000006</v>
      </c>
      <c r="AA6" s="4">
        <f>SUM(G6:J6)</f>
        <v>82.4</v>
      </c>
      <c r="AB6" s="4">
        <f>SUM(K6:N6)</f>
        <v>52.8</v>
      </c>
      <c r="AC6" s="4">
        <f t="shared" si="1"/>
        <v>60.399999999999991</v>
      </c>
      <c r="AD6" s="4">
        <f t="shared" si="2"/>
        <v>63.420000000000009</v>
      </c>
      <c r="AE6" s="4">
        <f>AD6*1.08</f>
        <v>68.493600000000015</v>
      </c>
      <c r="AF6" s="4">
        <f t="shared" ref="AF6:AM6" si="7">AE6*1.05</f>
        <v>71.918280000000024</v>
      </c>
      <c r="AG6" s="4">
        <f t="shared" si="7"/>
        <v>75.514194000000032</v>
      </c>
      <c r="AH6" s="4">
        <f t="shared" si="7"/>
        <v>79.289903700000039</v>
      </c>
      <c r="AI6" s="4">
        <f t="shared" si="7"/>
        <v>83.254398885000043</v>
      </c>
      <c r="AJ6" s="4">
        <f t="shared" si="7"/>
        <v>87.417118829250043</v>
      </c>
      <c r="AK6" s="4">
        <f t="shared" si="7"/>
        <v>91.787974770712552</v>
      </c>
      <c r="AL6" s="4">
        <f t="shared" si="7"/>
        <v>96.377373509248187</v>
      </c>
      <c r="AM6" s="4">
        <f t="shared" si="7"/>
        <v>101.1962421847106</v>
      </c>
    </row>
    <row r="7" spans="2:39" s="1" customFormat="1" x14ac:dyDescent="0.3">
      <c r="B7" s="1" t="s">
        <v>15</v>
      </c>
      <c r="F7" s="8">
        <f t="shared" ref="F7:O7" si="8">SUM(F3:F6)</f>
        <v>462.49999999999994</v>
      </c>
      <c r="G7" s="8">
        <f t="shared" si="8"/>
        <v>275.2</v>
      </c>
      <c r="H7" s="8">
        <f t="shared" si="8"/>
        <v>301</v>
      </c>
      <c r="I7" s="8">
        <f t="shared" si="8"/>
        <v>400.2</v>
      </c>
      <c r="J7" s="8">
        <f t="shared" si="8"/>
        <v>356.90000000000003</v>
      </c>
      <c r="K7" s="8">
        <f t="shared" si="8"/>
        <v>235.20000000000002</v>
      </c>
      <c r="L7" s="8">
        <f t="shared" si="8"/>
        <v>335.7</v>
      </c>
      <c r="M7" s="8">
        <f t="shared" si="8"/>
        <v>330.50000000000006</v>
      </c>
      <c r="N7" s="8">
        <f t="shared" si="8"/>
        <v>572.4</v>
      </c>
      <c r="O7" s="8">
        <f t="shared" si="8"/>
        <v>326.10000000000002</v>
      </c>
      <c r="P7" s="8">
        <f t="shared" ref="P7" si="9">SUM(P3:P6)</f>
        <v>401.2</v>
      </c>
      <c r="Q7" s="8">
        <f t="shared" ref="Q7" si="10">SUM(Q3:Q6)</f>
        <v>519.1</v>
      </c>
      <c r="R7" s="8">
        <f t="shared" ref="R7:V7" si="11">SUM(R3:R6)</f>
        <v>777.7</v>
      </c>
      <c r="S7" s="8">
        <f t="shared" si="11"/>
        <v>469.08000000000004</v>
      </c>
      <c r="T7" s="8">
        <f t="shared" si="11"/>
        <v>600.46000000000015</v>
      </c>
      <c r="U7" s="8">
        <f t="shared" si="11"/>
        <v>788.96000000000015</v>
      </c>
      <c r="V7" s="8">
        <f t="shared" si="11"/>
        <v>1140.645</v>
      </c>
      <c r="X7" s="8">
        <f>SUM(X3:X6)</f>
        <v>794.2</v>
      </c>
      <c r="Y7" s="8">
        <f>SUM(Y3:Y6)</f>
        <v>972.19999999999993</v>
      </c>
      <c r="Z7" s="8">
        <f>SUM(Z3:Z6)</f>
        <v>1199.2000000000003</v>
      </c>
      <c r="AA7" s="8">
        <f>SUM(AA3:AA6)</f>
        <v>1333.3</v>
      </c>
      <c r="AB7" s="8">
        <f>SUM(AB3:AB6)</f>
        <v>1473.8</v>
      </c>
      <c r="AC7" s="8">
        <f t="shared" ref="AC7:AM7" si="12">SUM(AC3:AC6)</f>
        <v>2024.1000000000001</v>
      </c>
      <c r="AD7" s="8">
        <f t="shared" si="12"/>
        <v>2999.145</v>
      </c>
      <c r="AE7" s="8">
        <f t="shared" si="12"/>
        <v>3857.1135999999997</v>
      </c>
      <c r="AF7" s="8">
        <f t="shared" si="12"/>
        <v>4473.1967199999999</v>
      </c>
      <c r="AG7" s="8">
        <f t="shared" si="12"/>
        <v>4961.3096592000002</v>
      </c>
      <c r="AH7" s="8">
        <f t="shared" si="12"/>
        <v>5431.0779350040002</v>
      </c>
      <c r="AI7" s="8">
        <f t="shared" si="12"/>
        <v>5905.2215942950806</v>
      </c>
      <c r="AJ7" s="8">
        <f t="shared" si="12"/>
        <v>6424.0225744055333</v>
      </c>
      <c r="AK7" s="8">
        <f t="shared" si="12"/>
        <v>6991.8225783938224</v>
      </c>
      <c r="AL7" s="8">
        <f t="shared" si="12"/>
        <v>7613.3915546377257</v>
      </c>
      <c r="AM7" s="8">
        <f t="shared" si="12"/>
        <v>8293.9702306462332</v>
      </c>
    </row>
    <row r="8" spans="2:39" x14ac:dyDescent="0.3">
      <c r="B8" t="s">
        <v>16</v>
      </c>
      <c r="F8" s="4">
        <v>222.8</v>
      </c>
      <c r="G8" s="4">
        <v>129.6</v>
      </c>
      <c r="H8" s="4">
        <v>145.19999999999999</v>
      </c>
      <c r="I8" s="4">
        <v>182.8</v>
      </c>
      <c r="J8" s="4">
        <v>172.5</v>
      </c>
      <c r="K8" s="4">
        <v>115.8</v>
      </c>
      <c r="L8" s="4">
        <v>161.30000000000001</v>
      </c>
      <c r="M8" s="4">
        <v>155.1</v>
      </c>
      <c r="N8" s="4">
        <v>253.7</v>
      </c>
      <c r="O8" s="4">
        <v>139.6</v>
      </c>
      <c r="P8" s="4">
        <v>198.7</v>
      </c>
      <c r="Q8" s="4">
        <v>249.8</v>
      </c>
      <c r="R8" s="4">
        <v>404.7</v>
      </c>
      <c r="S8" s="4"/>
      <c r="T8" s="4"/>
      <c r="U8" s="4"/>
      <c r="V8" s="4"/>
      <c r="X8" s="4">
        <v>332.7</v>
      </c>
      <c r="Y8" s="4">
        <v>471.7</v>
      </c>
      <c r="Z8" s="4">
        <v>616.20000000000005</v>
      </c>
      <c r="AA8" s="4">
        <f>SUM(G8:J8)</f>
        <v>630.09999999999991</v>
      </c>
      <c r="AB8" s="4">
        <f>SUM(K8:N8)</f>
        <v>685.90000000000009</v>
      </c>
      <c r="AC8" s="4">
        <f t="shared" ref="AC8:AC11" si="13">SUM(O8:R8)</f>
        <v>992.8</v>
      </c>
      <c r="AD8" s="4">
        <f>AD3*0.6</f>
        <v>1401.2280000000001</v>
      </c>
      <c r="AE8" s="4">
        <f t="shared" ref="AE8:AM8" si="14">AE3*0.6</f>
        <v>1821.5964000000001</v>
      </c>
      <c r="AF8" s="4">
        <f t="shared" si="14"/>
        <v>2094.8358599999997</v>
      </c>
      <c r="AG8" s="4">
        <f t="shared" si="14"/>
        <v>2304.319446</v>
      </c>
      <c r="AH8" s="4">
        <f t="shared" si="14"/>
        <v>2534.7513905999999</v>
      </c>
      <c r="AI8" s="4">
        <f t="shared" si="14"/>
        <v>2788.2265296600003</v>
      </c>
      <c r="AJ8" s="4">
        <f t="shared" si="14"/>
        <v>3067.0491826260009</v>
      </c>
      <c r="AK8" s="4">
        <f t="shared" si="14"/>
        <v>3373.754100888601</v>
      </c>
      <c r="AL8" s="4">
        <f t="shared" si="14"/>
        <v>3711.1295109774615</v>
      </c>
      <c r="AM8" s="4">
        <f t="shared" si="14"/>
        <v>4082.2424620752081</v>
      </c>
    </row>
    <row r="9" spans="2:39" x14ac:dyDescent="0.3">
      <c r="B9" t="s">
        <v>17</v>
      </c>
      <c r="F9" s="4">
        <v>46.3</v>
      </c>
      <c r="G9" s="4">
        <v>25.1</v>
      </c>
      <c r="H9" s="4">
        <v>26.9</v>
      </c>
      <c r="I9" s="4">
        <v>25.9</v>
      </c>
      <c r="J9" s="4">
        <v>27.9</v>
      </c>
      <c r="K9" s="4">
        <v>15.4</v>
      </c>
      <c r="L9" s="4">
        <v>44.3</v>
      </c>
      <c r="M9" s="4">
        <v>35.700000000000003</v>
      </c>
      <c r="N9" s="4">
        <v>34.1</v>
      </c>
      <c r="O9" s="4">
        <v>33.299999999999997</v>
      </c>
      <c r="P9" s="4">
        <v>38.200000000000003</v>
      </c>
      <c r="Q9" s="4">
        <v>59.9</v>
      </c>
      <c r="R9" s="4">
        <v>74.5</v>
      </c>
      <c r="S9" s="4"/>
      <c r="T9" s="4"/>
      <c r="U9" s="4"/>
      <c r="V9" s="4"/>
      <c r="X9" s="4">
        <v>116.5</v>
      </c>
      <c r="Y9" s="4">
        <v>110.2</v>
      </c>
      <c r="Z9" s="4">
        <v>104.1</v>
      </c>
      <c r="AA9" s="4">
        <f>SUM(G9:J9)</f>
        <v>105.80000000000001</v>
      </c>
      <c r="AB9" s="4">
        <f>SUM(K9:N9)</f>
        <v>129.5</v>
      </c>
      <c r="AC9" s="4">
        <f t="shared" si="13"/>
        <v>205.9</v>
      </c>
      <c r="AD9" s="4">
        <f>AD4*0.91</f>
        <v>317.88574999999997</v>
      </c>
      <c r="AE9" s="4">
        <f t="shared" ref="AE9:AM9" si="15">AE4*0.91</f>
        <v>445.04004999999995</v>
      </c>
      <c r="AF9" s="4">
        <f t="shared" si="15"/>
        <v>578.55206499999997</v>
      </c>
      <c r="AG9" s="4">
        <f t="shared" si="15"/>
        <v>694.26247799999987</v>
      </c>
      <c r="AH9" s="4">
        <f t="shared" si="15"/>
        <v>763.68872579999993</v>
      </c>
      <c r="AI9" s="4">
        <f t="shared" si="15"/>
        <v>801.87316208999994</v>
      </c>
      <c r="AJ9" s="4">
        <f t="shared" si="15"/>
        <v>841.96682019449997</v>
      </c>
      <c r="AK9" s="4">
        <f t="shared" si="15"/>
        <v>884.06516120422498</v>
      </c>
      <c r="AL9" s="4">
        <f t="shared" si="15"/>
        <v>928.26841926443626</v>
      </c>
      <c r="AM9" s="4">
        <f t="shared" si="15"/>
        <v>974.68184022765797</v>
      </c>
    </row>
    <row r="10" spans="2:39" x14ac:dyDescent="0.3">
      <c r="B10" t="s">
        <v>18</v>
      </c>
      <c r="F10" s="4">
        <v>43.8</v>
      </c>
      <c r="G10" s="4">
        <v>51.2</v>
      </c>
      <c r="H10" s="4">
        <v>57.3</v>
      </c>
      <c r="I10" s="4">
        <v>57.4</v>
      </c>
      <c r="J10" s="4">
        <v>55.1</v>
      </c>
      <c r="K10" s="4">
        <v>56.5</v>
      </c>
      <c r="L10" s="4">
        <v>52.4</v>
      </c>
      <c r="M10" s="4">
        <v>51.4</v>
      </c>
      <c r="N10" s="4">
        <v>54.7</v>
      </c>
      <c r="O10" s="4">
        <v>52.9</v>
      </c>
      <c r="P10" s="4">
        <v>49.4</v>
      </c>
      <c r="Q10" s="4">
        <v>51.8</v>
      </c>
      <c r="R10" s="4">
        <v>51.3</v>
      </c>
      <c r="S10" s="4"/>
      <c r="T10" s="4"/>
      <c r="U10" s="4"/>
      <c r="V10" s="4"/>
      <c r="X10" s="4">
        <v>132.30000000000001</v>
      </c>
      <c r="Y10" s="4">
        <v>148.30000000000001</v>
      </c>
      <c r="Z10" s="4">
        <v>168.5</v>
      </c>
      <c r="AA10" s="4">
        <f>SUM(G10:J10)</f>
        <v>221</v>
      </c>
      <c r="AB10" s="4">
        <f>SUM(K10:N10)</f>
        <v>215</v>
      </c>
      <c r="AC10" s="4">
        <f t="shared" si="13"/>
        <v>205.39999999999998</v>
      </c>
      <c r="AD10" s="4">
        <f>AD5*0.9</f>
        <v>225.91800000000001</v>
      </c>
      <c r="AE10" s="4">
        <f>AE5*0.85</f>
        <v>224.03535000000002</v>
      </c>
      <c r="AF10" s="4">
        <f>AF5*0.83</f>
        <v>227.51448720000002</v>
      </c>
      <c r="AG10" s="4">
        <f t="shared" ref="AG10:AM10" si="16">AG5*0.83</f>
        <v>234.33992181600004</v>
      </c>
      <c r="AH10" s="4">
        <f t="shared" si="16"/>
        <v>239.02672025232005</v>
      </c>
      <c r="AI10" s="4">
        <f t="shared" si="16"/>
        <v>243.80725465736646</v>
      </c>
      <c r="AJ10" s="4">
        <f t="shared" si="16"/>
        <v>248.68339975051381</v>
      </c>
      <c r="AK10" s="4">
        <f t="shared" si="16"/>
        <v>253.65706774552407</v>
      </c>
      <c r="AL10" s="4">
        <f t="shared" si="16"/>
        <v>258.73020910043454</v>
      </c>
      <c r="AM10" s="4">
        <f t="shared" si="16"/>
        <v>263.90481328244323</v>
      </c>
    </row>
    <row r="11" spans="2:39" x14ac:dyDescent="0.3">
      <c r="B11" t="s">
        <v>19</v>
      </c>
      <c r="F11" s="4">
        <v>78.2</v>
      </c>
      <c r="G11" s="4">
        <v>15</v>
      </c>
      <c r="H11" s="4">
        <v>15.5</v>
      </c>
      <c r="I11" s="4">
        <v>139.4</v>
      </c>
      <c r="J11" s="4">
        <v>9.1</v>
      </c>
      <c r="K11" s="4">
        <v>9.6</v>
      </c>
      <c r="L11" s="4">
        <v>9.1999999999999993</v>
      </c>
      <c r="M11" s="4">
        <v>9.5</v>
      </c>
      <c r="N11" s="4">
        <v>10.6</v>
      </c>
      <c r="O11" s="4">
        <v>11.6</v>
      </c>
      <c r="P11" s="4">
        <v>7.7</v>
      </c>
      <c r="Q11" s="4">
        <v>5.8</v>
      </c>
      <c r="R11" s="4">
        <v>7.3</v>
      </c>
      <c r="S11" s="4"/>
      <c r="T11" s="4"/>
      <c r="U11" s="4"/>
      <c r="V11" s="4"/>
      <c r="X11" s="4">
        <v>46.9</v>
      </c>
      <c r="Y11" s="4">
        <v>44.4</v>
      </c>
      <c r="Z11" s="4">
        <v>162.1</v>
      </c>
      <c r="AA11" s="4">
        <f>SUM(G11:J11)</f>
        <v>179</v>
      </c>
      <c r="AB11" s="4">
        <f>SUM(K11:N11)</f>
        <v>38.9</v>
      </c>
      <c r="AC11" s="4">
        <f t="shared" si="13"/>
        <v>32.4</v>
      </c>
      <c r="AD11" s="4">
        <f>AD6*0.56</f>
        <v>35.515200000000007</v>
      </c>
      <c r="AE11" s="4">
        <f t="shared" ref="AE11:AM11" si="17">AE6*0.56</f>
        <v>38.35641600000001</v>
      </c>
      <c r="AF11" s="4">
        <f t="shared" si="17"/>
        <v>40.274236800000018</v>
      </c>
      <c r="AG11" s="4">
        <f t="shared" si="17"/>
        <v>42.287948640000025</v>
      </c>
      <c r="AH11" s="4">
        <f t="shared" si="17"/>
        <v>44.402346072000029</v>
      </c>
      <c r="AI11" s="4">
        <f t="shared" si="17"/>
        <v>46.622463375600027</v>
      </c>
      <c r="AJ11" s="4">
        <f t="shared" si="17"/>
        <v>48.95358654438003</v>
      </c>
      <c r="AK11" s="4">
        <f t="shared" si="17"/>
        <v>51.401265871599037</v>
      </c>
      <c r="AL11" s="4">
        <f t="shared" si="17"/>
        <v>53.971329165178993</v>
      </c>
      <c r="AM11" s="4">
        <f t="shared" si="17"/>
        <v>56.669895623437938</v>
      </c>
    </row>
    <row r="12" spans="2:39" x14ac:dyDescent="0.3">
      <c r="B12" t="s">
        <v>20</v>
      </c>
      <c r="F12" s="4">
        <f t="shared" ref="F12:O12" si="18">SUM(F8:F11)</f>
        <v>391.1</v>
      </c>
      <c r="G12" s="4">
        <f t="shared" si="18"/>
        <v>220.89999999999998</v>
      </c>
      <c r="H12" s="4">
        <f t="shared" si="18"/>
        <v>244.89999999999998</v>
      </c>
      <c r="I12" s="4">
        <f t="shared" si="18"/>
        <v>405.5</v>
      </c>
      <c r="J12" s="4">
        <f t="shared" si="18"/>
        <v>264.60000000000002</v>
      </c>
      <c r="K12" s="4">
        <f t="shared" si="18"/>
        <v>197.29999999999998</v>
      </c>
      <c r="L12" s="4">
        <f t="shared" si="18"/>
        <v>267.2</v>
      </c>
      <c r="M12" s="4">
        <f t="shared" si="18"/>
        <v>251.70000000000002</v>
      </c>
      <c r="N12" s="4">
        <f t="shared" si="18"/>
        <v>353.1</v>
      </c>
      <c r="O12" s="4">
        <f t="shared" si="18"/>
        <v>237.39999999999998</v>
      </c>
      <c r="P12" s="4">
        <f t="shared" ref="P12" si="19">SUM(P8:P11)</f>
        <v>293.99999999999994</v>
      </c>
      <c r="Q12" s="4">
        <f t="shared" ref="Q12" si="20">SUM(Q8:Q11)</f>
        <v>367.3</v>
      </c>
      <c r="R12" s="4">
        <f t="shared" ref="R12" si="21">SUM(R8:R11)</f>
        <v>537.79999999999995</v>
      </c>
      <c r="S12" s="4"/>
      <c r="T12" s="4"/>
      <c r="U12" s="4"/>
      <c r="V12" s="4"/>
      <c r="X12" s="4">
        <f>SUM(X8:X11)</f>
        <v>628.4</v>
      </c>
      <c r="Y12" s="4">
        <f>SUM(Y8:Y11)</f>
        <v>774.6</v>
      </c>
      <c r="Z12" s="4">
        <f>SUM(Z8:Z11)</f>
        <v>1050.9000000000001</v>
      </c>
      <c r="AA12" s="4">
        <f>SUM(AA8:AA11)</f>
        <v>1135.8999999999999</v>
      </c>
      <c r="AB12" s="4">
        <f>SUM(AB8:AB11)</f>
        <v>1069.3000000000002</v>
      </c>
      <c r="AC12" s="4">
        <f t="shared" ref="AC12:AM12" si="22">SUM(AC8:AC11)</f>
        <v>1436.5</v>
      </c>
      <c r="AD12" s="4">
        <f t="shared" si="22"/>
        <v>1980.5469500000002</v>
      </c>
      <c r="AE12" s="4">
        <f t="shared" si="22"/>
        <v>2529.0282160000002</v>
      </c>
      <c r="AF12" s="4">
        <f t="shared" si="22"/>
        <v>2941.1766489999995</v>
      </c>
      <c r="AG12" s="4">
        <f t="shared" si="22"/>
        <v>3275.2097944560005</v>
      </c>
      <c r="AH12" s="4">
        <f t="shared" si="22"/>
        <v>3581.8691827243201</v>
      </c>
      <c r="AI12" s="4">
        <f t="shared" si="22"/>
        <v>3880.5294097829665</v>
      </c>
      <c r="AJ12" s="4">
        <f t="shared" si="22"/>
        <v>4206.652989115395</v>
      </c>
      <c r="AK12" s="4">
        <f t="shared" si="22"/>
        <v>4562.8775957099488</v>
      </c>
      <c r="AL12" s="4">
        <f t="shared" si="22"/>
        <v>4952.0994685075111</v>
      </c>
      <c r="AM12" s="4">
        <f t="shared" si="22"/>
        <v>5377.4990112087471</v>
      </c>
    </row>
    <row r="13" spans="2:39" s="1" customFormat="1" x14ac:dyDescent="0.3">
      <c r="B13" s="1" t="s">
        <v>21</v>
      </c>
      <c r="F13" s="8">
        <f t="shared" ref="F13:O13" si="23">F7-F12</f>
        <v>71.39999999999992</v>
      </c>
      <c r="G13" s="8">
        <f t="shared" si="23"/>
        <v>54.300000000000011</v>
      </c>
      <c r="H13" s="8">
        <f t="shared" si="23"/>
        <v>56.100000000000023</v>
      </c>
      <c r="I13" s="8">
        <f t="shared" si="23"/>
        <v>-5.3000000000000114</v>
      </c>
      <c r="J13" s="8">
        <f t="shared" si="23"/>
        <v>92.300000000000011</v>
      </c>
      <c r="K13" s="8">
        <f t="shared" si="23"/>
        <v>37.900000000000034</v>
      </c>
      <c r="L13" s="8">
        <f t="shared" si="23"/>
        <v>68.5</v>
      </c>
      <c r="M13" s="8">
        <f t="shared" si="23"/>
        <v>78.80000000000004</v>
      </c>
      <c r="N13" s="8">
        <f t="shared" si="23"/>
        <v>219.29999999999995</v>
      </c>
      <c r="O13" s="8">
        <f t="shared" si="23"/>
        <v>88.700000000000045</v>
      </c>
      <c r="P13" s="8">
        <f t="shared" ref="P13" si="24">P7-P12</f>
        <v>107.20000000000005</v>
      </c>
      <c r="Q13" s="8">
        <f t="shared" ref="Q13" si="25">Q7-Q12</f>
        <v>151.80000000000001</v>
      </c>
      <c r="R13" s="8">
        <f t="shared" ref="R13" si="26">R7-R12</f>
        <v>239.90000000000009</v>
      </c>
      <c r="S13" s="8"/>
      <c r="T13" s="8"/>
      <c r="U13" s="8"/>
      <c r="V13" s="8"/>
      <c r="X13" s="8">
        <f>X7-X12</f>
        <v>165.80000000000007</v>
      </c>
      <c r="Y13" s="8">
        <f>Y7-Y12</f>
        <v>197.59999999999991</v>
      </c>
      <c r="Z13" s="8">
        <f>Z7-Z12</f>
        <v>148.30000000000018</v>
      </c>
      <c r="AA13" s="8">
        <f>AA7-AA12</f>
        <v>197.40000000000009</v>
      </c>
      <c r="AB13" s="8">
        <f>AB7-AB12</f>
        <v>404.49999999999977</v>
      </c>
      <c r="AC13" s="8">
        <f t="shared" ref="AC13:AM13" si="27">AC7-AC12</f>
        <v>587.60000000000014</v>
      </c>
      <c r="AD13" s="8">
        <f t="shared" si="27"/>
        <v>1018.5980499999998</v>
      </c>
      <c r="AE13" s="8">
        <f t="shared" si="27"/>
        <v>1328.0853839999995</v>
      </c>
      <c r="AF13" s="8">
        <f t="shared" si="27"/>
        <v>1532.0200710000004</v>
      </c>
      <c r="AG13" s="8">
        <f t="shared" si="27"/>
        <v>1686.0998647439997</v>
      </c>
      <c r="AH13" s="8">
        <f t="shared" si="27"/>
        <v>1849.2087522796801</v>
      </c>
      <c r="AI13" s="8">
        <f t="shared" si="27"/>
        <v>2024.6921845121142</v>
      </c>
      <c r="AJ13" s="8">
        <f t="shared" si="27"/>
        <v>2217.3695852901383</v>
      </c>
      <c r="AK13" s="8">
        <f t="shared" si="27"/>
        <v>2428.9449826838736</v>
      </c>
      <c r="AL13" s="8">
        <f t="shared" si="27"/>
        <v>2661.2920861302146</v>
      </c>
      <c r="AM13" s="8">
        <f t="shared" si="27"/>
        <v>2916.4712194374861</v>
      </c>
    </row>
    <row r="14" spans="2:39" x14ac:dyDescent="0.3">
      <c r="B14" t="s">
        <v>22</v>
      </c>
      <c r="F14" s="4">
        <v>38.299999999999997</v>
      </c>
      <c r="G14" s="4">
        <v>45.7</v>
      </c>
      <c r="H14" s="4">
        <v>41.5</v>
      </c>
      <c r="I14" s="4">
        <v>35.1</v>
      </c>
      <c r="J14" s="4">
        <v>33.6</v>
      </c>
      <c r="K14" s="4">
        <v>35.5</v>
      </c>
      <c r="L14" s="4">
        <v>37.4</v>
      </c>
      <c r="M14" s="4">
        <v>36.299999999999997</v>
      </c>
      <c r="N14" s="4">
        <v>39.5</v>
      </c>
      <c r="O14" s="4">
        <v>40.6</v>
      </c>
      <c r="P14" s="4">
        <v>40.799999999999997</v>
      </c>
      <c r="Q14" s="4">
        <v>48.7</v>
      </c>
      <c r="R14" s="4">
        <v>55.9</v>
      </c>
      <c r="S14" s="4"/>
      <c r="T14" s="4"/>
      <c r="U14" s="4"/>
      <c r="V14" s="4"/>
      <c r="X14" s="4">
        <v>83.6</v>
      </c>
      <c r="Y14" s="4">
        <v>103.4</v>
      </c>
      <c r="Z14" s="4">
        <v>150.6</v>
      </c>
      <c r="AA14" s="4">
        <f>SUM(G14:J14)</f>
        <v>155.9</v>
      </c>
      <c r="AB14" s="4">
        <f>SUM(K14:N14)</f>
        <v>148.69999999999999</v>
      </c>
      <c r="AC14" s="4">
        <f t="shared" ref="AC14:AC16" si="28">SUM(O14:R14)</f>
        <v>186.00000000000003</v>
      </c>
      <c r="AD14" s="4">
        <f>AC14*1.3</f>
        <v>241.80000000000004</v>
      </c>
      <c r="AE14" s="4">
        <f>AD14*1.15</f>
        <v>278.07000000000005</v>
      </c>
      <c r="AF14" s="4">
        <f>AE14*1.09</f>
        <v>303.0963000000001</v>
      </c>
      <c r="AG14" s="4">
        <f>AF14*1.07</f>
        <v>324.31304100000011</v>
      </c>
      <c r="AH14" s="4">
        <f>AG14*1.05</f>
        <v>340.52869305000013</v>
      </c>
      <c r="AI14" s="4">
        <f>AH14*1.04</f>
        <v>354.14984077200012</v>
      </c>
      <c r="AJ14" s="4">
        <f>AI14*1.03</f>
        <v>364.77433599516013</v>
      </c>
      <c r="AK14" s="4">
        <f t="shared" ref="AK14:AM14" si="29">AJ14*1.02</f>
        <v>372.06982271506331</v>
      </c>
      <c r="AL14" s="4">
        <f t="shared" si="29"/>
        <v>379.51121916936461</v>
      </c>
      <c r="AM14" s="4">
        <f t="shared" si="29"/>
        <v>387.1014435527519</v>
      </c>
    </row>
    <row r="15" spans="2:39" x14ac:dyDescent="0.3">
      <c r="B15" t="s">
        <v>23</v>
      </c>
      <c r="F15" s="4">
        <v>25.9</v>
      </c>
      <c r="G15" s="4">
        <v>27.1</v>
      </c>
      <c r="H15" s="4">
        <v>26.8</v>
      </c>
      <c r="I15" s="4">
        <v>20</v>
      </c>
      <c r="J15" s="4">
        <v>16</v>
      </c>
      <c r="K15" s="4">
        <v>13.6</v>
      </c>
      <c r="L15" s="4">
        <v>17.899999999999999</v>
      </c>
      <c r="M15" s="4">
        <v>14.7</v>
      </c>
      <c r="N15" s="4">
        <v>21.8</v>
      </c>
      <c r="O15" s="4">
        <v>22.3</v>
      </c>
      <c r="P15" s="4">
        <v>24.1</v>
      </c>
      <c r="Q15" s="4">
        <v>42</v>
      </c>
      <c r="R15" s="4">
        <v>41.9</v>
      </c>
      <c r="S15" s="4"/>
      <c r="T15" s="4"/>
      <c r="U15" s="4"/>
      <c r="V15" s="4"/>
      <c r="X15" s="4">
        <v>55.9</v>
      </c>
      <c r="Y15" s="4">
        <v>86.5</v>
      </c>
      <c r="Z15" s="4">
        <v>90.9</v>
      </c>
      <c r="AA15" s="4">
        <f>SUM(G15:J15)</f>
        <v>89.9</v>
      </c>
      <c r="AB15" s="4">
        <f>SUM(K15:N15)</f>
        <v>68</v>
      </c>
      <c r="AC15" s="4">
        <f t="shared" si="28"/>
        <v>130.30000000000001</v>
      </c>
      <c r="AD15" s="4">
        <f>AD7*0.05</f>
        <v>149.95725000000002</v>
      </c>
      <c r="AE15" s="4">
        <f t="shared" ref="AE15:AM15" si="30">AE7*0.05</f>
        <v>192.85568000000001</v>
      </c>
      <c r="AF15" s="4">
        <f t="shared" si="30"/>
        <v>223.65983600000001</v>
      </c>
      <c r="AG15" s="4">
        <f t="shared" si="30"/>
        <v>248.06548296000003</v>
      </c>
      <c r="AH15" s="4">
        <f t="shared" si="30"/>
        <v>271.55389675020001</v>
      </c>
      <c r="AI15" s="4">
        <f t="shared" si="30"/>
        <v>295.26107971475403</v>
      </c>
      <c r="AJ15" s="4">
        <f t="shared" si="30"/>
        <v>321.2011287202767</v>
      </c>
      <c r="AK15" s="4">
        <f t="shared" si="30"/>
        <v>349.59112891969113</v>
      </c>
      <c r="AL15" s="4">
        <f t="shared" si="30"/>
        <v>380.66957773188631</v>
      </c>
      <c r="AM15" s="4">
        <f t="shared" si="30"/>
        <v>414.69851153231167</v>
      </c>
    </row>
    <row r="16" spans="2:39" x14ac:dyDescent="0.3">
      <c r="B16" t="s">
        <v>24</v>
      </c>
      <c r="F16" s="4">
        <v>47.8</v>
      </c>
      <c r="G16" s="4">
        <v>45.1</v>
      </c>
      <c r="H16" s="4">
        <v>42.5</v>
      </c>
      <c r="I16" s="4">
        <v>43.4</v>
      </c>
      <c r="J16" s="4">
        <v>29.9</v>
      </c>
      <c r="K16" s="4">
        <v>38</v>
      </c>
      <c r="L16" s="4">
        <v>36.4</v>
      </c>
      <c r="M16" s="4">
        <v>37.4</v>
      </c>
      <c r="N16" s="4">
        <v>53.3</v>
      </c>
      <c r="O16" s="4">
        <v>44.9</v>
      </c>
      <c r="P16" s="4">
        <v>45.8</v>
      </c>
      <c r="Q16" s="4">
        <v>53.1</v>
      </c>
      <c r="R16" s="4">
        <v>54.6</v>
      </c>
      <c r="S16" s="4"/>
      <c r="T16" s="4"/>
      <c r="U16" s="4"/>
      <c r="V16" s="4"/>
      <c r="X16" s="4">
        <v>107.1</v>
      </c>
      <c r="Y16" s="4">
        <v>122.2</v>
      </c>
      <c r="Z16" s="4">
        <v>167.7</v>
      </c>
      <c r="AA16" s="4">
        <f>SUM(G16:J16)</f>
        <v>160.9</v>
      </c>
      <c r="AB16" s="4">
        <f>SUM(K16:N16)</f>
        <v>165.10000000000002</v>
      </c>
      <c r="AC16" s="4">
        <f t="shared" si="28"/>
        <v>198.39999999999998</v>
      </c>
      <c r="AD16" s="4">
        <f>AC16*1.1</f>
        <v>218.23999999999998</v>
      </c>
      <c r="AE16" s="4">
        <f>AD16*1.05</f>
        <v>229.15199999999999</v>
      </c>
      <c r="AF16" s="4">
        <f>AE16*1.04</f>
        <v>238.31807999999998</v>
      </c>
      <c r="AG16" s="4">
        <f t="shared" ref="AG16" si="31">AF16*1.03</f>
        <v>245.46762239999998</v>
      </c>
      <c r="AH16" s="4">
        <f>AG16*1.02</f>
        <v>250.37697484799997</v>
      </c>
      <c r="AI16" s="4">
        <f t="shared" ref="AI16:AM16" si="32">AH16*1.02</f>
        <v>255.38451434495997</v>
      </c>
      <c r="AJ16" s="4">
        <f t="shared" si="32"/>
        <v>260.49220463185918</v>
      </c>
      <c r="AK16" s="4">
        <f t="shared" si="32"/>
        <v>265.70204872449636</v>
      </c>
      <c r="AL16" s="4">
        <f t="shared" si="32"/>
        <v>271.01608969898632</v>
      </c>
      <c r="AM16" s="4">
        <f t="shared" si="32"/>
        <v>276.43641149296604</v>
      </c>
    </row>
    <row r="17" spans="2:149" x14ac:dyDescent="0.3">
      <c r="B17" t="s">
        <v>25</v>
      </c>
      <c r="F17" s="4">
        <f t="shared" ref="F17:O17" si="33">SUM(F14:F16)</f>
        <v>111.99999999999999</v>
      </c>
      <c r="G17" s="4">
        <f t="shared" si="33"/>
        <v>117.9</v>
      </c>
      <c r="H17" s="4">
        <f t="shared" si="33"/>
        <v>110.8</v>
      </c>
      <c r="I17" s="4">
        <f t="shared" si="33"/>
        <v>98.5</v>
      </c>
      <c r="J17" s="4">
        <f t="shared" si="33"/>
        <v>79.5</v>
      </c>
      <c r="K17" s="4">
        <f t="shared" si="33"/>
        <v>87.1</v>
      </c>
      <c r="L17" s="4">
        <f t="shared" si="33"/>
        <v>91.699999999999989</v>
      </c>
      <c r="M17" s="4">
        <f t="shared" si="33"/>
        <v>88.4</v>
      </c>
      <c r="N17" s="4">
        <f t="shared" si="33"/>
        <v>114.6</v>
      </c>
      <c r="O17" s="4">
        <f t="shared" si="33"/>
        <v>107.80000000000001</v>
      </c>
      <c r="P17" s="4">
        <f t="shared" ref="P17" si="34">SUM(P14:P16)</f>
        <v>110.7</v>
      </c>
      <c r="Q17" s="4">
        <f t="shared" ref="Q17" si="35">SUM(Q14:Q16)</f>
        <v>143.80000000000001</v>
      </c>
      <c r="R17" s="4">
        <f t="shared" ref="R17" si="36">SUM(R14:R16)</f>
        <v>152.4</v>
      </c>
      <c r="S17" s="4"/>
      <c r="T17" s="4"/>
      <c r="U17" s="4"/>
      <c r="V17" s="4"/>
      <c r="X17" s="4">
        <f>SUM(X14:X16)</f>
        <v>246.6</v>
      </c>
      <c r="Y17" s="4">
        <f>SUM(Y14:Y16)</f>
        <v>312.10000000000002</v>
      </c>
      <c r="Z17" s="4">
        <f>SUM(Z14:Z16)</f>
        <v>409.2</v>
      </c>
      <c r="AA17" s="4">
        <f>SUM(AA14:AA16)</f>
        <v>406.70000000000005</v>
      </c>
      <c r="AB17" s="4">
        <f>SUM(AB14:AB16)</f>
        <v>381.8</v>
      </c>
      <c r="AC17" s="4">
        <f t="shared" ref="AC17:AM17" si="37">SUM(AC14:AC16)</f>
        <v>514.70000000000005</v>
      </c>
      <c r="AD17" s="4">
        <f t="shared" si="37"/>
        <v>609.99725000000001</v>
      </c>
      <c r="AE17" s="4">
        <f t="shared" si="37"/>
        <v>700.0776800000001</v>
      </c>
      <c r="AF17" s="4">
        <f t="shared" si="37"/>
        <v>765.07421600000009</v>
      </c>
      <c r="AG17" s="4">
        <f t="shared" si="37"/>
        <v>817.84614636000015</v>
      </c>
      <c r="AH17" s="4">
        <f t="shared" si="37"/>
        <v>862.45956464820006</v>
      </c>
      <c r="AI17" s="4">
        <f t="shared" si="37"/>
        <v>904.79543483171403</v>
      </c>
      <c r="AJ17" s="4">
        <f t="shared" si="37"/>
        <v>946.46766934729601</v>
      </c>
      <c r="AK17" s="4">
        <f t="shared" si="37"/>
        <v>987.36300035925069</v>
      </c>
      <c r="AL17" s="4">
        <f t="shared" si="37"/>
        <v>1031.1968866002371</v>
      </c>
      <c r="AM17" s="4">
        <f t="shared" si="37"/>
        <v>1078.2363665780297</v>
      </c>
    </row>
    <row r="18" spans="2:149" s="1" customFormat="1" x14ac:dyDescent="0.3">
      <c r="B18" s="1" t="s">
        <v>26</v>
      </c>
      <c r="F18" s="8">
        <f t="shared" ref="F18:O18" si="38">F13-F17</f>
        <v>-40.600000000000065</v>
      </c>
      <c r="G18" s="8">
        <f t="shared" si="38"/>
        <v>-63.599999999999994</v>
      </c>
      <c r="H18" s="8">
        <f t="shared" si="38"/>
        <v>-54.699999999999974</v>
      </c>
      <c r="I18" s="8">
        <f t="shared" si="38"/>
        <v>-103.80000000000001</v>
      </c>
      <c r="J18" s="8">
        <f t="shared" si="38"/>
        <v>12.800000000000011</v>
      </c>
      <c r="K18" s="8">
        <f t="shared" si="38"/>
        <v>-49.19999999999996</v>
      </c>
      <c r="L18" s="8">
        <f t="shared" si="38"/>
        <v>-23.199999999999989</v>
      </c>
      <c r="M18" s="8">
        <f t="shared" si="38"/>
        <v>-9.5999999999999659</v>
      </c>
      <c r="N18" s="8">
        <f t="shared" si="38"/>
        <v>104.69999999999996</v>
      </c>
      <c r="O18" s="8">
        <f t="shared" si="38"/>
        <v>-19.099999999999966</v>
      </c>
      <c r="P18" s="8">
        <f t="shared" ref="P18" si="39">P13-P17</f>
        <v>-3.4999999999999574</v>
      </c>
      <c r="Q18" s="8">
        <f t="shared" ref="Q18" si="40">Q13-Q17</f>
        <v>8</v>
      </c>
      <c r="R18" s="8">
        <f t="shared" ref="R18" si="41">R13-R17</f>
        <v>87.500000000000085</v>
      </c>
      <c r="S18" s="8"/>
      <c r="T18" s="8"/>
      <c r="U18" s="8"/>
      <c r="V18" s="8"/>
      <c r="X18" s="8">
        <f>X13-X17</f>
        <v>-80.799999999999926</v>
      </c>
      <c r="Y18" s="8">
        <f>Y13-Y17</f>
        <v>-114.50000000000011</v>
      </c>
      <c r="Z18" s="8">
        <f>Z13-Z17</f>
        <v>-260.89999999999981</v>
      </c>
      <c r="AA18" s="8">
        <f>AA13-AA17</f>
        <v>-209.29999999999995</v>
      </c>
      <c r="AB18" s="8">
        <f>AB13-AB17</f>
        <v>22.699999999999761</v>
      </c>
      <c r="AC18" s="8">
        <f t="shared" ref="AC18:AM18" si="42">AC13-AC17</f>
        <v>72.900000000000091</v>
      </c>
      <c r="AD18" s="8">
        <f t="shared" si="42"/>
        <v>408.60079999999982</v>
      </c>
      <c r="AE18" s="8">
        <f t="shared" si="42"/>
        <v>628.00770399999942</v>
      </c>
      <c r="AF18" s="8">
        <f t="shared" si="42"/>
        <v>766.94585500000028</v>
      </c>
      <c r="AG18" s="8">
        <f t="shared" si="42"/>
        <v>868.25371838399951</v>
      </c>
      <c r="AH18" s="8">
        <f t="shared" si="42"/>
        <v>986.74918763148003</v>
      </c>
      <c r="AI18" s="8">
        <f t="shared" si="42"/>
        <v>1119.8967496804003</v>
      </c>
      <c r="AJ18" s="8">
        <f t="shared" si="42"/>
        <v>1270.9019159428422</v>
      </c>
      <c r="AK18" s="8">
        <f t="shared" si="42"/>
        <v>1441.5819823246229</v>
      </c>
      <c r="AL18" s="8">
        <f t="shared" si="42"/>
        <v>1630.0951995299774</v>
      </c>
      <c r="AM18" s="8">
        <f t="shared" si="42"/>
        <v>1838.2348528594564</v>
      </c>
    </row>
    <row r="19" spans="2:149" x14ac:dyDescent="0.3">
      <c r="B19" t="s">
        <v>27</v>
      </c>
      <c r="F19" s="4">
        <v>-2.5</v>
      </c>
      <c r="G19" s="4">
        <v>-2</v>
      </c>
      <c r="H19" s="4">
        <v>-4.4000000000000004</v>
      </c>
      <c r="I19" s="4">
        <v>-7.4</v>
      </c>
      <c r="J19" s="4">
        <v>-6.1</v>
      </c>
      <c r="K19" s="4">
        <v>-7.5</v>
      </c>
      <c r="L19" s="4">
        <v>-6.4</v>
      </c>
      <c r="M19" s="4">
        <v>-6.5</v>
      </c>
      <c r="N19" s="4">
        <v>-4.9000000000000004</v>
      </c>
      <c r="O19" s="4">
        <v>-8.6</v>
      </c>
      <c r="P19" s="4">
        <v>-6.6</v>
      </c>
      <c r="Q19" s="4">
        <v>-5.3</v>
      </c>
      <c r="R19" s="4">
        <v>-13.6</v>
      </c>
      <c r="S19" s="4"/>
      <c r="T19" s="4"/>
      <c r="U19" s="4"/>
      <c r="V19" s="4"/>
      <c r="X19" s="4">
        <v>-1.5</v>
      </c>
      <c r="Y19" s="4">
        <v>-0.3</v>
      </c>
      <c r="Z19" s="4">
        <v>-3.9</v>
      </c>
      <c r="AA19" s="4">
        <f>SUM(G19:J19)</f>
        <v>-19.899999999999999</v>
      </c>
      <c r="AB19" s="4">
        <f>SUM(K19:N19)</f>
        <v>-25.299999999999997</v>
      </c>
      <c r="AC19" s="4">
        <f t="shared" ref="AC19:AC23" si="43">SUM(O19:R19)</f>
        <v>-34.1</v>
      </c>
      <c r="AD19" s="4">
        <f t="shared" ref="AD19:AM19" si="44">AC19*1.02</f>
        <v>-34.782000000000004</v>
      </c>
      <c r="AE19" s="4">
        <f t="shared" si="44"/>
        <v>-35.477640000000001</v>
      </c>
      <c r="AF19" s="4">
        <f t="shared" si="44"/>
        <v>-36.187192799999998</v>
      </c>
      <c r="AG19" s="4">
        <f t="shared" si="44"/>
        <v>-36.910936655999997</v>
      </c>
      <c r="AH19" s="4">
        <f t="shared" si="44"/>
        <v>-37.649155389119997</v>
      </c>
      <c r="AI19" s="4">
        <f t="shared" si="44"/>
        <v>-38.402138496902396</v>
      </c>
      <c r="AJ19" s="4">
        <f t="shared" si="44"/>
        <v>-39.170181266840444</v>
      </c>
      <c r="AK19" s="4">
        <f t="shared" si="44"/>
        <v>-39.953584892177254</v>
      </c>
      <c r="AL19" s="4">
        <f t="shared" si="44"/>
        <v>-40.752656590020798</v>
      </c>
      <c r="AM19" s="4">
        <f t="shared" si="44"/>
        <v>-41.567709721821217</v>
      </c>
    </row>
    <row r="20" spans="2:149" x14ac:dyDescent="0.3">
      <c r="B20" t="s">
        <v>28</v>
      </c>
      <c r="F20" s="4">
        <v>12.5</v>
      </c>
      <c r="G20" s="4">
        <v>11.7</v>
      </c>
      <c r="H20" s="4">
        <v>14</v>
      </c>
      <c r="I20" s="4">
        <v>68</v>
      </c>
      <c r="J20" s="4">
        <v>14.6</v>
      </c>
      <c r="K20" s="4">
        <v>14.5</v>
      </c>
      <c r="L20" s="4">
        <v>15.4</v>
      </c>
      <c r="M20" s="4">
        <v>16.8</v>
      </c>
      <c r="N20" s="4">
        <v>16</v>
      </c>
      <c r="O20" s="4">
        <v>14.4</v>
      </c>
      <c r="P20" s="4">
        <v>14.4</v>
      </c>
      <c r="Q20" s="4">
        <v>14.4</v>
      </c>
      <c r="R20" s="4">
        <v>10.6</v>
      </c>
      <c r="S20" s="4"/>
      <c r="T20" s="4"/>
      <c r="U20" s="4"/>
      <c r="V20" s="4"/>
      <c r="X20" s="4">
        <f>76.3+2.5</f>
        <v>78.8</v>
      </c>
      <c r="Y20" s="4">
        <v>69</v>
      </c>
      <c r="Z20" s="4">
        <v>53.5</v>
      </c>
      <c r="AA20" s="4">
        <f>SUM(G20:J20)</f>
        <v>108.3</v>
      </c>
      <c r="AB20" s="4">
        <f>SUM(K20:N20)</f>
        <v>62.7</v>
      </c>
      <c r="AC20" s="4">
        <f t="shared" si="43"/>
        <v>53.800000000000004</v>
      </c>
      <c r="AD20" s="4">
        <f t="shared" ref="AD20:AM20" si="45">AC20*1.02</f>
        <v>54.876000000000005</v>
      </c>
      <c r="AE20" s="4">
        <f t="shared" si="45"/>
        <v>55.973520000000008</v>
      </c>
      <c r="AF20" s="4">
        <f t="shared" si="45"/>
        <v>57.092990400000012</v>
      </c>
      <c r="AG20" s="4">
        <f t="shared" si="45"/>
        <v>58.234850208000012</v>
      </c>
      <c r="AH20" s="4">
        <f t="shared" si="45"/>
        <v>59.399547212160016</v>
      </c>
      <c r="AI20" s="4">
        <f t="shared" si="45"/>
        <v>60.58753815640322</v>
      </c>
      <c r="AJ20" s="4">
        <f t="shared" si="45"/>
        <v>61.799288919531286</v>
      </c>
      <c r="AK20" s="4">
        <f t="shared" si="45"/>
        <v>63.035274697921913</v>
      </c>
      <c r="AL20" s="4">
        <f t="shared" si="45"/>
        <v>64.295980191880346</v>
      </c>
      <c r="AM20" s="4">
        <f t="shared" si="45"/>
        <v>65.581899795717959</v>
      </c>
    </row>
    <row r="21" spans="2:149" x14ac:dyDescent="0.3">
      <c r="B21" t="s">
        <v>29</v>
      </c>
      <c r="F21" s="4">
        <v>-4.7</v>
      </c>
      <c r="G21" s="4">
        <v>1.3</v>
      </c>
      <c r="H21" s="4">
        <v>0.7</v>
      </c>
      <c r="I21" s="4">
        <v>1.6</v>
      </c>
      <c r="J21" s="4">
        <v>-0.9</v>
      </c>
      <c r="K21" s="4">
        <v>1.2</v>
      </c>
      <c r="L21" s="4">
        <v>1</v>
      </c>
      <c r="M21" s="4">
        <v>-5.8</v>
      </c>
      <c r="N21" s="4">
        <v>-12.2</v>
      </c>
      <c r="O21" s="4">
        <v>-2</v>
      </c>
      <c r="P21" s="4">
        <v>-2.4</v>
      </c>
      <c r="Q21" s="4">
        <v>20</v>
      </c>
      <c r="R21" s="4">
        <v>20.8</v>
      </c>
      <c r="S21" s="4"/>
      <c r="T21" s="4"/>
      <c r="U21" s="4"/>
      <c r="V21" s="4"/>
      <c r="X21" s="4">
        <v>12.9</v>
      </c>
      <c r="Y21" s="4">
        <v>0</v>
      </c>
      <c r="Z21" s="4">
        <v>0</v>
      </c>
      <c r="AA21" s="4">
        <f>SUM(G21:J21)</f>
        <v>2.7</v>
      </c>
      <c r="AB21" s="4">
        <f>SUM(K21:N21)</f>
        <v>-15.799999999999999</v>
      </c>
      <c r="AC21" s="4">
        <f t="shared" si="43"/>
        <v>36.4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</row>
    <row r="22" spans="2:149" x14ac:dyDescent="0.3">
      <c r="B22" t="s">
        <v>30</v>
      </c>
      <c r="F22" s="4">
        <v>4.7</v>
      </c>
      <c r="G22" s="4"/>
      <c r="H22" s="4">
        <v>2.9</v>
      </c>
      <c r="I22" s="4">
        <v>1.4</v>
      </c>
      <c r="J22" s="4">
        <v>0</v>
      </c>
      <c r="K22" s="4"/>
      <c r="L22" s="4">
        <v>27.2</v>
      </c>
      <c r="M22" s="4">
        <v>0</v>
      </c>
      <c r="N22" s="4">
        <v>0</v>
      </c>
      <c r="O22" s="4">
        <v>0</v>
      </c>
      <c r="P22" s="4">
        <v>32.299999999999997</v>
      </c>
      <c r="Q22" s="4">
        <v>1.4</v>
      </c>
      <c r="R22" s="4">
        <f>0.9+66.2</f>
        <v>67.100000000000009</v>
      </c>
      <c r="S22" s="4"/>
      <c r="T22" s="4"/>
      <c r="U22" s="4"/>
      <c r="V22" s="4"/>
      <c r="X22" s="4">
        <v>8.3000000000000007</v>
      </c>
      <c r="Y22" s="4">
        <v>0</v>
      </c>
      <c r="Z22" s="4">
        <v>9</v>
      </c>
      <c r="AA22" s="4">
        <f>SUM(G22:J22)</f>
        <v>4.3</v>
      </c>
      <c r="AB22" s="4">
        <f>SUM(K22:N22)</f>
        <v>27.2</v>
      </c>
      <c r="AC22" s="4">
        <f t="shared" si="43"/>
        <v>100.80000000000001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</row>
    <row r="23" spans="2:149" x14ac:dyDescent="0.3">
      <c r="B23" t="s">
        <v>31</v>
      </c>
      <c r="F23" s="4">
        <v>0.1</v>
      </c>
      <c r="G23" s="4">
        <v>-0.1</v>
      </c>
      <c r="H23" s="4">
        <v>1.2</v>
      </c>
      <c r="I23" s="4">
        <v>0.1</v>
      </c>
      <c r="J23" s="4">
        <v>0.4</v>
      </c>
      <c r="K23" s="4">
        <v>-0.2</v>
      </c>
      <c r="L23" s="4">
        <v>0.1</v>
      </c>
      <c r="M23" s="4">
        <v>0.4</v>
      </c>
      <c r="N23" s="4">
        <v>0.4</v>
      </c>
      <c r="O23" s="4">
        <v>0.1</v>
      </c>
      <c r="P23" s="4">
        <v>-0.1</v>
      </c>
      <c r="Q23" s="4">
        <v>0</v>
      </c>
      <c r="R23" s="4">
        <v>0.1</v>
      </c>
      <c r="S23" s="4"/>
      <c r="T23" s="4"/>
      <c r="U23" s="4"/>
      <c r="V23" s="4"/>
      <c r="X23" s="4">
        <v>-0.5</v>
      </c>
      <c r="Y23" s="4">
        <f>8.1+0.9</f>
        <v>9</v>
      </c>
      <c r="Z23" s="4">
        <f>-5-0.6</f>
        <v>-5.6</v>
      </c>
      <c r="AA23" s="4">
        <f>SUM(G23:J23)</f>
        <v>1.6</v>
      </c>
      <c r="AB23" s="4">
        <f>SUM(K23:N23)</f>
        <v>0.70000000000000007</v>
      </c>
      <c r="AC23" s="4">
        <f t="shared" si="43"/>
        <v>0.1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r="24" spans="2:149" x14ac:dyDescent="0.3">
      <c r="B24" t="s">
        <v>32</v>
      </c>
      <c r="F24" s="4">
        <f t="shared" ref="F24:R24" si="46">SUM(F19:F23)</f>
        <v>10.1</v>
      </c>
      <c r="G24" s="4">
        <f t="shared" si="46"/>
        <v>10.9</v>
      </c>
      <c r="H24" s="4">
        <f t="shared" si="46"/>
        <v>14.399999999999999</v>
      </c>
      <c r="I24" s="4">
        <f t="shared" si="46"/>
        <v>63.7</v>
      </c>
      <c r="J24" s="4">
        <f t="shared" si="46"/>
        <v>8</v>
      </c>
      <c r="K24" s="4">
        <f t="shared" si="46"/>
        <v>7.9999999999999991</v>
      </c>
      <c r="L24" s="4">
        <f t="shared" si="46"/>
        <v>37.300000000000004</v>
      </c>
      <c r="M24" s="4">
        <f t="shared" si="46"/>
        <v>4.9000000000000012</v>
      </c>
      <c r="N24" s="4">
        <f t="shared" si="46"/>
        <v>-0.69999999999999962</v>
      </c>
      <c r="O24" s="4">
        <f t="shared" si="46"/>
        <v>3.9000000000000008</v>
      </c>
      <c r="P24" s="4">
        <f t="shared" si="46"/>
        <v>37.599999999999994</v>
      </c>
      <c r="Q24" s="4">
        <f t="shared" si="46"/>
        <v>30.5</v>
      </c>
      <c r="R24" s="4">
        <f t="shared" si="46"/>
        <v>85</v>
      </c>
      <c r="S24" s="4"/>
      <c r="T24" s="4"/>
      <c r="U24" s="4"/>
      <c r="V24" s="4"/>
      <c r="X24" s="4">
        <f t="shared" ref="X24:AM24" si="47">SUM(X19:X23)</f>
        <v>98</v>
      </c>
      <c r="Y24" s="4">
        <f t="shared" si="47"/>
        <v>77.7</v>
      </c>
      <c r="Z24" s="4">
        <f t="shared" si="47"/>
        <v>53</v>
      </c>
      <c r="AA24" s="4">
        <f t="shared" si="47"/>
        <v>97</v>
      </c>
      <c r="AB24" s="4">
        <f t="shared" si="47"/>
        <v>49.500000000000014</v>
      </c>
      <c r="AC24" s="4">
        <f t="shared" si="47"/>
        <v>157</v>
      </c>
      <c r="AD24" s="4">
        <f t="shared" si="47"/>
        <v>20.094000000000001</v>
      </c>
      <c r="AE24" s="4">
        <f t="shared" si="47"/>
        <v>20.495880000000007</v>
      </c>
      <c r="AF24" s="4">
        <f t="shared" si="47"/>
        <v>20.905797600000014</v>
      </c>
      <c r="AG24" s="4">
        <f t="shared" si="47"/>
        <v>21.323913552000015</v>
      </c>
      <c r="AH24" s="4">
        <f t="shared" si="47"/>
        <v>21.750391823040019</v>
      </c>
      <c r="AI24" s="4">
        <f t="shared" si="47"/>
        <v>22.185399659500824</v>
      </c>
      <c r="AJ24" s="4">
        <f t="shared" si="47"/>
        <v>22.629107652690841</v>
      </c>
      <c r="AK24" s="4">
        <f t="shared" si="47"/>
        <v>23.081689805744659</v>
      </c>
      <c r="AL24" s="4">
        <f t="shared" si="47"/>
        <v>23.543323601859548</v>
      </c>
      <c r="AM24" s="4">
        <f t="shared" si="47"/>
        <v>24.014190073896742</v>
      </c>
    </row>
    <row r="25" spans="2:149" s="1" customFormat="1" x14ac:dyDescent="0.3">
      <c r="B25" s="1" t="s">
        <v>33</v>
      </c>
      <c r="F25" s="8">
        <f t="shared" ref="F25:R25" si="48">F18-F24</f>
        <v>-50.700000000000067</v>
      </c>
      <c r="G25" s="8">
        <f t="shared" si="48"/>
        <v>-74.5</v>
      </c>
      <c r="H25" s="8">
        <f t="shared" si="48"/>
        <v>-69.099999999999966</v>
      </c>
      <c r="I25" s="8">
        <f t="shared" si="48"/>
        <v>-167.5</v>
      </c>
      <c r="J25" s="8">
        <f t="shared" si="48"/>
        <v>4.8000000000000114</v>
      </c>
      <c r="K25" s="8">
        <f t="shared" si="48"/>
        <v>-57.19999999999996</v>
      </c>
      <c r="L25" s="8">
        <f t="shared" si="48"/>
        <v>-60.499999999999993</v>
      </c>
      <c r="M25" s="8">
        <f t="shared" si="48"/>
        <v>-14.499999999999968</v>
      </c>
      <c r="N25" s="8">
        <f t="shared" si="48"/>
        <v>105.39999999999996</v>
      </c>
      <c r="O25" s="8">
        <f t="shared" si="48"/>
        <v>-22.999999999999968</v>
      </c>
      <c r="P25" s="8">
        <f t="shared" si="48"/>
        <v>-41.099999999999952</v>
      </c>
      <c r="Q25" s="8">
        <f t="shared" si="48"/>
        <v>-22.5</v>
      </c>
      <c r="R25" s="8">
        <f t="shared" si="48"/>
        <v>2.5000000000000853</v>
      </c>
      <c r="S25" s="8"/>
      <c r="T25" s="8"/>
      <c r="U25" s="8"/>
      <c r="V25" s="8"/>
      <c r="X25" s="8">
        <f t="shared" ref="X25:AM25" si="49">X18-X24</f>
        <v>-178.79999999999993</v>
      </c>
      <c r="Y25" s="8">
        <f t="shared" si="49"/>
        <v>-192.2000000000001</v>
      </c>
      <c r="Z25" s="8">
        <f t="shared" si="49"/>
        <v>-313.89999999999981</v>
      </c>
      <c r="AA25" s="8">
        <f t="shared" si="49"/>
        <v>-306.29999999999995</v>
      </c>
      <c r="AB25" s="8">
        <f t="shared" si="49"/>
        <v>-26.800000000000253</v>
      </c>
      <c r="AC25" s="8">
        <f t="shared" si="49"/>
        <v>-84.099999999999909</v>
      </c>
      <c r="AD25" s="8">
        <f t="shared" si="49"/>
        <v>388.50679999999983</v>
      </c>
      <c r="AE25" s="8">
        <f t="shared" si="49"/>
        <v>607.51182399999936</v>
      </c>
      <c r="AF25" s="8">
        <f t="shared" si="49"/>
        <v>746.04005740000025</v>
      </c>
      <c r="AG25" s="8">
        <f t="shared" si="49"/>
        <v>846.92980483199949</v>
      </c>
      <c r="AH25" s="8">
        <f t="shared" si="49"/>
        <v>964.99879580844004</v>
      </c>
      <c r="AI25" s="8">
        <f t="shared" si="49"/>
        <v>1097.7113500208995</v>
      </c>
      <c r="AJ25" s="8">
        <f t="shared" si="49"/>
        <v>1248.2728082901513</v>
      </c>
      <c r="AK25" s="8">
        <f t="shared" si="49"/>
        <v>1418.5002925188783</v>
      </c>
      <c r="AL25" s="8">
        <f t="shared" si="49"/>
        <v>1606.5518759281179</v>
      </c>
      <c r="AM25" s="8">
        <f t="shared" si="49"/>
        <v>1814.2206627855596</v>
      </c>
    </row>
    <row r="26" spans="2:149" x14ac:dyDescent="0.3">
      <c r="B26" t="s">
        <v>34</v>
      </c>
      <c r="F26" s="4">
        <v>-3.6</v>
      </c>
      <c r="G26" s="4">
        <v>0.3</v>
      </c>
      <c r="H26" s="4">
        <v>0.2</v>
      </c>
      <c r="I26" s="4">
        <v>0.6</v>
      </c>
      <c r="J26" s="4">
        <v>0.8</v>
      </c>
      <c r="K26" s="4">
        <v>-0.5</v>
      </c>
      <c r="L26" s="4">
        <v>0.9</v>
      </c>
      <c r="M26" s="4">
        <v>0.1</v>
      </c>
      <c r="N26" s="4">
        <v>0.4</v>
      </c>
      <c r="O26" s="4">
        <v>0.4</v>
      </c>
      <c r="P26" s="4">
        <v>1</v>
      </c>
      <c r="Q26" s="4">
        <v>0.3</v>
      </c>
      <c r="R26" s="4">
        <v>1</v>
      </c>
      <c r="S26" s="4"/>
      <c r="T26" s="4"/>
      <c r="U26" s="4"/>
      <c r="V26" s="4"/>
      <c r="X26" s="4">
        <v>0.3</v>
      </c>
      <c r="Y26" s="4">
        <v>1</v>
      </c>
      <c r="Z26" s="4">
        <v>1.1000000000000001</v>
      </c>
      <c r="AA26" s="4">
        <f>SUM(G26:J26)</f>
        <v>1.9000000000000001</v>
      </c>
      <c r="AB26" s="4">
        <f>SUM(K26:N26)</f>
        <v>0.9</v>
      </c>
      <c r="AC26" s="4">
        <f t="shared" ref="AC26:AC27" si="50">SUM(O26:R26)</f>
        <v>2.7</v>
      </c>
      <c r="AD26" s="4">
        <f t="shared" ref="AD26:AM26" si="51">AD25*0.05</f>
        <v>19.425339999999991</v>
      </c>
      <c r="AE26" s="4">
        <f t="shared" si="51"/>
        <v>30.37559119999997</v>
      </c>
      <c r="AF26" s="4">
        <f t="shared" si="51"/>
        <v>37.302002870000017</v>
      </c>
      <c r="AG26" s="4">
        <f t="shared" si="51"/>
        <v>42.34649024159998</v>
      </c>
      <c r="AH26" s="4">
        <f t="shared" si="51"/>
        <v>48.249939790422005</v>
      </c>
      <c r="AI26" s="4">
        <f t="shared" si="51"/>
        <v>54.885567501044981</v>
      </c>
      <c r="AJ26" s="4">
        <f t="shared" si="51"/>
        <v>62.413640414507569</v>
      </c>
      <c r="AK26" s="4">
        <f t="shared" si="51"/>
        <v>70.925014625943916</v>
      </c>
      <c r="AL26" s="4">
        <f t="shared" si="51"/>
        <v>80.327593796405893</v>
      </c>
      <c r="AM26" s="4">
        <f t="shared" si="51"/>
        <v>90.711033139277987</v>
      </c>
    </row>
    <row r="27" spans="2:149" x14ac:dyDescent="0.3">
      <c r="B27" t="s">
        <v>35</v>
      </c>
      <c r="F27" s="4">
        <v>0</v>
      </c>
      <c r="G27" s="4">
        <v>-3.4</v>
      </c>
      <c r="H27" s="4">
        <v>-3</v>
      </c>
      <c r="I27" s="4">
        <v>0.9</v>
      </c>
      <c r="J27" s="4">
        <v>-0.4</v>
      </c>
      <c r="K27" s="4">
        <v>1</v>
      </c>
      <c r="L27" s="4">
        <v>0.6</v>
      </c>
      <c r="M27" s="4">
        <v>0.1</v>
      </c>
      <c r="N27" s="4">
        <v>0.4</v>
      </c>
      <c r="O27" s="4">
        <v>0.4</v>
      </c>
      <c r="P27" s="4">
        <v>0.4</v>
      </c>
      <c r="Q27" s="4">
        <v>-0.1</v>
      </c>
      <c r="R27" s="4">
        <v>0.3</v>
      </c>
      <c r="S27" s="4"/>
      <c r="T27" s="4"/>
      <c r="U27" s="4"/>
      <c r="V27" s="4"/>
      <c r="X27" s="4">
        <v>-21.5</v>
      </c>
      <c r="Y27" s="4">
        <v>-28.9</v>
      </c>
      <c r="Z27" s="4">
        <f>-13.4-0.3</f>
        <v>-13.700000000000001</v>
      </c>
      <c r="AA27" s="4">
        <f>SUM(G27:J27)</f>
        <v>-5.9</v>
      </c>
      <c r="AB27" s="4">
        <f>SUM(K27:N27)</f>
        <v>2.1</v>
      </c>
      <c r="AC27" s="4">
        <f t="shared" si="50"/>
        <v>1</v>
      </c>
      <c r="AD27" s="4">
        <f t="shared" ref="AD27:AM27" si="52">AD25*0.02</f>
        <v>7.7701359999999964</v>
      </c>
      <c r="AE27" s="4">
        <f t="shared" si="52"/>
        <v>12.150236479999988</v>
      </c>
      <c r="AF27" s="4">
        <f t="shared" si="52"/>
        <v>14.920801148000006</v>
      </c>
      <c r="AG27" s="4">
        <f t="shared" si="52"/>
        <v>16.938596096639991</v>
      </c>
      <c r="AH27" s="4">
        <f t="shared" si="52"/>
        <v>19.299975916168801</v>
      </c>
      <c r="AI27" s="4">
        <f t="shared" si="52"/>
        <v>21.95422700041799</v>
      </c>
      <c r="AJ27" s="4">
        <f t="shared" si="52"/>
        <v>24.965456165803026</v>
      </c>
      <c r="AK27" s="4">
        <f t="shared" si="52"/>
        <v>28.370005850377567</v>
      </c>
      <c r="AL27" s="4">
        <f t="shared" si="52"/>
        <v>32.131037518562358</v>
      </c>
      <c r="AM27" s="4">
        <f t="shared" si="52"/>
        <v>36.284413255711193</v>
      </c>
    </row>
    <row r="28" spans="2:149" s="1" customFormat="1" x14ac:dyDescent="0.3">
      <c r="B28" s="1" t="s">
        <v>36</v>
      </c>
      <c r="F28" s="8">
        <f t="shared" ref="F28:O28" si="53">F25-F26-F27</f>
        <v>-47.100000000000065</v>
      </c>
      <c r="G28" s="8">
        <f t="shared" si="53"/>
        <v>-71.399999999999991</v>
      </c>
      <c r="H28" s="8">
        <f t="shared" si="53"/>
        <v>-66.299999999999969</v>
      </c>
      <c r="I28" s="8">
        <f t="shared" si="53"/>
        <v>-169</v>
      </c>
      <c r="J28" s="8">
        <f t="shared" si="53"/>
        <v>4.4000000000000119</v>
      </c>
      <c r="K28" s="8">
        <f t="shared" si="53"/>
        <v>-57.69999999999996</v>
      </c>
      <c r="L28" s="8">
        <f t="shared" si="53"/>
        <v>-61.999999999999993</v>
      </c>
      <c r="M28" s="8">
        <f t="shared" si="53"/>
        <v>-14.699999999999967</v>
      </c>
      <c r="N28" s="8">
        <f t="shared" si="53"/>
        <v>104.59999999999995</v>
      </c>
      <c r="O28" s="8">
        <f t="shared" si="53"/>
        <v>-23.799999999999965</v>
      </c>
      <c r="P28" s="8">
        <f t="shared" ref="P28" si="54">P25-P26-P27</f>
        <v>-42.49999999999995</v>
      </c>
      <c r="Q28" s="8">
        <f t="shared" ref="Q28" si="55">Q25-Q26-Q27</f>
        <v>-22.7</v>
      </c>
      <c r="R28" s="8">
        <f t="shared" ref="R28" si="56">R25-R26-R27</f>
        <v>1.2000000000000852</v>
      </c>
      <c r="S28" s="8"/>
      <c r="T28" s="8"/>
      <c r="U28" s="8"/>
      <c r="V28" s="8"/>
      <c r="X28" s="8">
        <f t="shared" ref="X28:AC28" si="57">X25-X26-X27</f>
        <v>-157.59999999999994</v>
      </c>
      <c r="Y28" s="8">
        <f t="shared" si="57"/>
        <v>-164.3000000000001</v>
      </c>
      <c r="Z28" s="8">
        <f t="shared" si="57"/>
        <v>-301.29999999999984</v>
      </c>
      <c r="AA28" s="8">
        <f t="shared" si="57"/>
        <v>-302.29999999999995</v>
      </c>
      <c r="AB28" s="8">
        <f t="shared" si="57"/>
        <v>-29.800000000000253</v>
      </c>
      <c r="AC28" s="8">
        <f t="shared" si="57"/>
        <v>-87.799999999999912</v>
      </c>
      <c r="AD28" s="8">
        <f t="shared" ref="AD28:AM28" si="58">AD25-AD26-AD27</f>
        <v>361.31132399999984</v>
      </c>
      <c r="AE28" s="8">
        <f t="shared" si="58"/>
        <v>564.98599631999946</v>
      </c>
      <c r="AF28" s="8">
        <f t="shared" si="58"/>
        <v>693.81725338200022</v>
      </c>
      <c r="AG28" s="8">
        <f t="shared" si="58"/>
        <v>787.64471849375946</v>
      </c>
      <c r="AH28" s="8">
        <f t="shared" si="58"/>
        <v>897.44888010184923</v>
      </c>
      <c r="AI28" s="8">
        <f t="shared" si="58"/>
        <v>1020.8715555194366</v>
      </c>
      <c r="AJ28" s="8">
        <f t="shared" si="58"/>
        <v>1160.8937117098405</v>
      </c>
      <c r="AK28" s="8">
        <f t="shared" si="58"/>
        <v>1319.2052720425568</v>
      </c>
      <c r="AL28" s="8">
        <f t="shared" si="58"/>
        <v>1494.0932446131496</v>
      </c>
      <c r="AM28" s="8">
        <f t="shared" si="58"/>
        <v>1687.2252163905705</v>
      </c>
      <c r="AN28" s="1">
        <f>AM28*(1+$AQ$33)</f>
        <v>1670.3529642266649</v>
      </c>
      <c r="AO28" s="1">
        <f t="shared" ref="AO28:CZ28" si="59">AN28*(1+$AQ$33)</f>
        <v>1653.6494345843983</v>
      </c>
      <c r="AP28" s="1">
        <f t="shared" si="59"/>
        <v>1637.1129402385543</v>
      </c>
      <c r="AQ28" s="1">
        <f t="shared" si="59"/>
        <v>1620.7418108361687</v>
      </c>
      <c r="AR28" s="1">
        <f t="shared" si="59"/>
        <v>1604.534392727807</v>
      </c>
      <c r="AS28" s="1">
        <f t="shared" si="59"/>
        <v>1588.489048800529</v>
      </c>
      <c r="AT28" s="1">
        <f t="shared" si="59"/>
        <v>1572.6041583125236</v>
      </c>
      <c r="AU28" s="1">
        <f t="shared" si="59"/>
        <v>1556.8781167293985</v>
      </c>
      <c r="AV28" s="1">
        <f t="shared" si="59"/>
        <v>1541.3093355621045</v>
      </c>
      <c r="AW28" s="1">
        <f t="shared" si="59"/>
        <v>1525.8962422064835</v>
      </c>
      <c r="AX28" s="1">
        <f t="shared" si="59"/>
        <v>1510.6372797844188</v>
      </c>
      <c r="AY28" s="1">
        <f t="shared" si="59"/>
        <v>1495.5309069865746</v>
      </c>
      <c r="AZ28" s="1">
        <f t="shared" si="59"/>
        <v>1480.5755979167088</v>
      </c>
      <c r="BA28" s="1">
        <f t="shared" si="59"/>
        <v>1465.7698419375417</v>
      </c>
      <c r="BB28" s="1">
        <f t="shared" si="59"/>
        <v>1451.1121435181662</v>
      </c>
      <c r="BC28" s="1">
        <f t="shared" si="59"/>
        <v>1436.6010220829846</v>
      </c>
      <c r="BD28" s="1">
        <f t="shared" si="59"/>
        <v>1422.2350118621548</v>
      </c>
      <c r="BE28" s="1">
        <f t="shared" si="59"/>
        <v>1408.0126617435333</v>
      </c>
      <c r="BF28" s="1">
        <f t="shared" si="59"/>
        <v>1393.9325351260979</v>
      </c>
      <c r="BG28" s="1">
        <f t="shared" si="59"/>
        <v>1379.9932097748369</v>
      </c>
      <c r="BH28" s="1">
        <f t="shared" si="59"/>
        <v>1366.1932776770886</v>
      </c>
      <c r="BI28" s="1">
        <f t="shared" si="59"/>
        <v>1352.5313449003177</v>
      </c>
      <c r="BJ28" s="1">
        <f t="shared" si="59"/>
        <v>1339.0060314513146</v>
      </c>
      <c r="BK28" s="1">
        <f t="shared" si="59"/>
        <v>1325.6159711368014</v>
      </c>
      <c r="BL28" s="1">
        <f t="shared" si="59"/>
        <v>1312.3598114254332</v>
      </c>
      <c r="BM28" s="1">
        <f t="shared" si="59"/>
        <v>1299.236213311179</v>
      </c>
      <c r="BN28" s="1">
        <f t="shared" si="59"/>
        <v>1286.2438511780672</v>
      </c>
      <c r="BO28" s="1">
        <f t="shared" si="59"/>
        <v>1273.3814126662865</v>
      </c>
      <c r="BP28" s="1">
        <f t="shared" si="59"/>
        <v>1260.6475985396237</v>
      </c>
      <c r="BQ28" s="1">
        <f t="shared" si="59"/>
        <v>1248.0411225542275</v>
      </c>
      <c r="BR28" s="1">
        <f t="shared" si="59"/>
        <v>1235.5607113286853</v>
      </c>
      <c r="BS28" s="1">
        <f t="shared" si="59"/>
        <v>1223.2051042153985</v>
      </c>
      <c r="BT28" s="1">
        <f t="shared" si="59"/>
        <v>1210.9730531732446</v>
      </c>
      <c r="BU28" s="1">
        <f t="shared" si="59"/>
        <v>1198.863322641512</v>
      </c>
      <c r="BV28" s="1">
        <f t="shared" si="59"/>
        <v>1186.8746894150968</v>
      </c>
      <c r="BW28" s="1">
        <f t="shared" si="59"/>
        <v>1175.0059425209458</v>
      </c>
      <c r="BX28" s="1">
        <f t="shared" si="59"/>
        <v>1163.2558830957364</v>
      </c>
      <c r="BY28" s="1">
        <f t="shared" si="59"/>
        <v>1151.6233242647791</v>
      </c>
      <c r="BZ28" s="1">
        <f t="shared" si="59"/>
        <v>1140.1070910221313</v>
      </c>
      <c r="CA28" s="1">
        <f t="shared" si="59"/>
        <v>1128.70602011191</v>
      </c>
      <c r="CB28" s="1">
        <f t="shared" si="59"/>
        <v>1117.4189599107908</v>
      </c>
      <c r="CC28" s="1">
        <f t="shared" si="59"/>
        <v>1106.2447703116829</v>
      </c>
      <c r="CD28" s="1">
        <f t="shared" si="59"/>
        <v>1095.1823226085662</v>
      </c>
      <c r="CE28" s="1">
        <f t="shared" si="59"/>
        <v>1084.2304993824805</v>
      </c>
      <c r="CF28" s="1">
        <f t="shared" si="59"/>
        <v>1073.3881943886556</v>
      </c>
      <c r="CG28" s="1">
        <f t="shared" si="59"/>
        <v>1062.6543124447689</v>
      </c>
      <c r="CH28" s="1">
        <f t="shared" si="59"/>
        <v>1052.0277693203213</v>
      </c>
      <c r="CI28" s="1">
        <f t="shared" si="59"/>
        <v>1041.507491627118</v>
      </c>
      <c r="CJ28" s="1">
        <f t="shared" si="59"/>
        <v>1031.0924167108469</v>
      </c>
      <c r="CK28" s="1">
        <f t="shared" si="59"/>
        <v>1020.7814925437384</v>
      </c>
      <c r="CL28" s="1">
        <f t="shared" si="59"/>
        <v>1010.573677618301</v>
      </c>
      <c r="CM28" s="1">
        <f t="shared" si="59"/>
        <v>1000.467940842118</v>
      </c>
      <c r="CN28" s="1">
        <f t="shared" si="59"/>
        <v>990.46326143369674</v>
      </c>
      <c r="CO28" s="1">
        <f t="shared" si="59"/>
        <v>980.5586288193598</v>
      </c>
      <c r="CP28" s="1">
        <f t="shared" si="59"/>
        <v>970.75304253116622</v>
      </c>
      <c r="CQ28" s="1">
        <f t="shared" si="59"/>
        <v>961.04551210585453</v>
      </c>
      <c r="CR28" s="1">
        <f t="shared" si="59"/>
        <v>951.43505698479601</v>
      </c>
      <c r="CS28" s="1">
        <f t="shared" si="59"/>
        <v>941.92070641494809</v>
      </c>
      <c r="CT28" s="1">
        <f t="shared" si="59"/>
        <v>932.50149935079855</v>
      </c>
      <c r="CU28" s="1">
        <f t="shared" si="59"/>
        <v>923.17648435729052</v>
      </c>
      <c r="CV28" s="1">
        <f t="shared" si="59"/>
        <v>913.94471951371759</v>
      </c>
      <c r="CW28" s="1">
        <f t="shared" si="59"/>
        <v>904.80527231858036</v>
      </c>
      <c r="CX28" s="1">
        <f t="shared" si="59"/>
        <v>895.75721959539453</v>
      </c>
      <c r="CY28" s="1">
        <f t="shared" si="59"/>
        <v>886.79964739944057</v>
      </c>
      <c r="CZ28" s="1">
        <f t="shared" si="59"/>
        <v>877.93165092544621</v>
      </c>
      <c r="DA28" s="1">
        <f t="shared" ref="DA28:ES28" si="60">CZ28*(1+$AQ$33)</f>
        <v>869.15233441619171</v>
      </c>
      <c r="DB28" s="1">
        <f t="shared" si="60"/>
        <v>860.46081107202974</v>
      </c>
      <c r="DC28" s="1">
        <f t="shared" si="60"/>
        <v>851.85620296130946</v>
      </c>
      <c r="DD28" s="1">
        <f t="shared" si="60"/>
        <v>843.33764093169634</v>
      </c>
      <c r="DE28" s="1">
        <f t="shared" si="60"/>
        <v>834.90426452237932</v>
      </c>
      <c r="DF28" s="1">
        <f t="shared" si="60"/>
        <v>826.55522187715553</v>
      </c>
      <c r="DG28" s="1">
        <f t="shared" si="60"/>
        <v>818.28966965838401</v>
      </c>
      <c r="DH28" s="1">
        <f t="shared" si="60"/>
        <v>810.10677296180017</v>
      </c>
      <c r="DI28" s="1">
        <f t="shared" si="60"/>
        <v>802.00570523218221</v>
      </c>
      <c r="DJ28" s="1">
        <f t="shared" si="60"/>
        <v>793.98564817986039</v>
      </c>
      <c r="DK28" s="1">
        <f t="shared" si="60"/>
        <v>786.04579169806175</v>
      </c>
      <c r="DL28" s="1">
        <f t="shared" si="60"/>
        <v>778.18533378108111</v>
      </c>
      <c r="DM28" s="1">
        <f t="shared" si="60"/>
        <v>770.40348044327027</v>
      </c>
      <c r="DN28" s="1">
        <f t="shared" si="60"/>
        <v>762.69944563883757</v>
      </c>
      <c r="DO28" s="1">
        <f t="shared" si="60"/>
        <v>755.07245118244919</v>
      </c>
      <c r="DP28" s="1">
        <f t="shared" si="60"/>
        <v>747.52172667062473</v>
      </c>
      <c r="DQ28" s="1">
        <f t="shared" si="60"/>
        <v>740.04650940391844</v>
      </c>
      <c r="DR28" s="1">
        <f t="shared" si="60"/>
        <v>732.64604430987924</v>
      </c>
      <c r="DS28" s="1">
        <f t="shared" si="60"/>
        <v>725.31958386678048</v>
      </c>
      <c r="DT28" s="1">
        <f t="shared" si="60"/>
        <v>718.06638802811267</v>
      </c>
      <c r="DU28" s="1">
        <f t="shared" si="60"/>
        <v>710.88572414783152</v>
      </c>
      <c r="DV28" s="1">
        <f t="shared" si="60"/>
        <v>703.77686690635323</v>
      </c>
      <c r="DW28" s="1">
        <f t="shared" si="60"/>
        <v>696.73909823728968</v>
      </c>
      <c r="DX28" s="1">
        <f t="shared" si="60"/>
        <v>689.77170725491681</v>
      </c>
      <c r="DY28" s="1">
        <f t="shared" si="60"/>
        <v>682.87399018236761</v>
      </c>
      <c r="DZ28" s="1">
        <f t="shared" si="60"/>
        <v>676.04525028054388</v>
      </c>
      <c r="EA28" s="1">
        <f t="shared" si="60"/>
        <v>669.28479777773839</v>
      </c>
      <c r="EB28" s="1">
        <f t="shared" si="60"/>
        <v>662.59194979996096</v>
      </c>
      <c r="EC28" s="1">
        <f t="shared" si="60"/>
        <v>655.96603030196138</v>
      </c>
      <c r="ED28" s="1">
        <f t="shared" si="60"/>
        <v>649.40636999894173</v>
      </c>
      <c r="EE28" s="1">
        <f t="shared" si="60"/>
        <v>642.91230629895233</v>
      </c>
      <c r="EF28" s="1">
        <f t="shared" si="60"/>
        <v>636.48318323596277</v>
      </c>
      <c r="EG28" s="1">
        <f t="shared" si="60"/>
        <v>630.11835140360313</v>
      </c>
      <c r="EH28" s="1">
        <f t="shared" si="60"/>
        <v>623.81716788956714</v>
      </c>
      <c r="EI28" s="1">
        <f t="shared" si="60"/>
        <v>617.57899621067145</v>
      </c>
      <c r="EJ28" s="1">
        <f t="shared" si="60"/>
        <v>611.40320624856474</v>
      </c>
      <c r="EK28" s="1">
        <f t="shared" si="60"/>
        <v>605.28917418607909</v>
      </c>
      <c r="EL28" s="1">
        <f t="shared" si="60"/>
        <v>599.23628244421832</v>
      </c>
      <c r="EM28" s="1">
        <f t="shared" si="60"/>
        <v>593.24391961977608</v>
      </c>
      <c r="EN28" s="1">
        <f t="shared" si="60"/>
        <v>587.31148042357836</v>
      </c>
      <c r="EO28" s="1">
        <f t="shared" si="60"/>
        <v>581.43836561934256</v>
      </c>
      <c r="EP28" s="1">
        <f t="shared" si="60"/>
        <v>575.62398196314916</v>
      </c>
      <c r="EQ28" s="1">
        <f t="shared" si="60"/>
        <v>569.86774214351772</v>
      </c>
      <c r="ER28" s="1">
        <f t="shared" si="60"/>
        <v>564.16906472208257</v>
      </c>
      <c r="ES28" s="1">
        <f t="shared" si="60"/>
        <v>558.52737407486177</v>
      </c>
    </row>
    <row r="29" spans="2:149" x14ac:dyDescent="0.3">
      <c r="B29" t="s">
        <v>2</v>
      </c>
      <c r="F29" s="4">
        <v>228.6</v>
      </c>
      <c r="G29" s="4">
        <v>228.6</v>
      </c>
      <c r="H29" s="4">
        <v>228.6</v>
      </c>
      <c r="I29" s="4">
        <v>228.6</v>
      </c>
      <c r="J29" s="4">
        <v>228.6</v>
      </c>
      <c r="K29" s="4">
        <v>228.6</v>
      </c>
      <c r="L29" s="4">
        <v>228.6</v>
      </c>
      <c r="M29" s="4">
        <v>228.6</v>
      </c>
      <c r="N29" s="4">
        <v>228.7</v>
      </c>
      <c r="O29" s="4">
        <f>232.2</f>
        <v>232.2</v>
      </c>
      <c r="P29" s="4">
        <f>234</f>
        <v>234</v>
      </c>
      <c r="Q29" s="4">
        <f>236.5</f>
        <v>236.5</v>
      </c>
      <c r="R29" s="4">
        <f>280.5</f>
        <v>280.5</v>
      </c>
      <c r="S29" s="4"/>
      <c r="T29" s="4"/>
      <c r="U29" s="4"/>
      <c r="V29" s="4"/>
      <c r="X29" s="4">
        <v>228.6</v>
      </c>
      <c r="Y29" s="4">
        <v>228.6</v>
      </c>
      <c r="Z29" s="4">
        <v>228.6</v>
      </c>
      <c r="AA29" s="4">
        <v>228.6</v>
      </c>
      <c r="AB29" s="4">
        <v>228.6</v>
      </c>
      <c r="AC29" s="4">
        <f t="shared" ref="AC29:AM29" si="61">280.5</f>
        <v>280.5</v>
      </c>
      <c r="AD29" s="4">
        <f t="shared" si="61"/>
        <v>280.5</v>
      </c>
      <c r="AE29" s="4">
        <f t="shared" si="61"/>
        <v>280.5</v>
      </c>
      <c r="AF29" s="4">
        <f t="shared" si="61"/>
        <v>280.5</v>
      </c>
      <c r="AG29" s="4">
        <f t="shared" si="61"/>
        <v>280.5</v>
      </c>
      <c r="AH29" s="4">
        <f t="shared" si="61"/>
        <v>280.5</v>
      </c>
      <c r="AI29" s="4">
        <f t="shared" si="61"/>
        <v>280.5</v>
      </c>
      <c r="AJ29" s="4">
        <f t="shared" si="61"/>
        <v>280.5</v>
      </c>
      <c r="AK29" s="4">
        <f t="shared" si="61"/>
        <v>280.5</v>
      </c>
      <c r="AL29" s="4">
        <f t="shared" si="61"/>
        <v>280.5</v>
      </c>
      <c r="AM29" s="4">
        <f t="shared" si="61"/>
        <v>280.5</v>
      </c>
    </row>
    <row r="30" spans="2:149" x14ac:dyDescent="0.3">
      <c r="B30" t="s">
        <v>37</v>
      </c>
      <c r="F30" s="6">
        <f t="shared" ref="F30:O30" si="62">F28/F29</f>
        <v>-0.20603674540682443</v>
      </c>
      <c r="G30" s="6">
        <f t="shared" si="62"/>
        <v>-0.31233595800524933</v>
      </c>
      <c r="H30" s="6">
        <f t="shared" si="62"/>
        <v>-0.29002624671916</v>
      </c>
      <c r="I30" s="6">
        <f t="shared" si="62"/>
        <v>-0.73928258967629046</v>
      </c>
      <c r="J30" s="6">
        <f t="shared" si="62"/>
        <v>1.9247594050743711E-2</v>
      </c>
      <c r="K30" s="6">
        <f t="shared" si="62"/>
        <v>-0.2524059492563428</v>
      </c>
      <c r="L30" s="6">
        <f t="shared" si="62"/>
        <v>-0.27121609798775148</v>
      </c>
      <c r="M30" s="6">
        <f t="shared" si="62"/>
        <v>-6.4304461942257071E-2</v>
      </c>
      <c r="N30" s="6">
        <f t="shared" si="62"/>
        <v>0.45736773065150832</v>
      </c>
      <c r="O30" s="6">
        <f t="shared" si="62"/>
        <v>-0.10249784668389306</v>
      </c>
      <c r="P30" s="6">
        <f t="shared" ref="P30" si="63">P28/P29</f>
        <v>-0.18162393162393142</v>
      </c>
      <c r="Q30" s="6">
        <f t="shared" ref="Q30" si="64">Q28/Q29</f>
        <v>-9.5983086680761096E-2</v>
      </c>
      <c r="R30" s="6">
        <f t="shared" ref="R30" si="65">R28/R29</f>
        <v>4.2780748663104641E-3</v>
      </c>
      <c r="S30" s="6"/>
      <c r="T30" s="6"/>
      <c r="U30" s="6"/>
      <c r="V30" s="6"/>
      <c r="X30" s="6">
        <f t="shared" ref="X30:AC30" si="66">X28/X29</f>
        <v>-0.68941382327209078</v>
      </c>
      <c r="Y30" s="6">
        <f t="shared" si="66"/>
        <v>-0.71872265966754201</v>
      </c>
      <c r="Z30" s="6">
        <f t="shared" si="66"/>
        <v>-1.3180227471566048</v>
      </c>
      <c r="AA30" s="6">
        <f t="shared" si="66"/>
        <v>-1.322397200349956</v>
      </c>
      <c r="AB30" s="6">
        <f t="shared" si="66"/>
        <v>-0.13035870516185588</v>
      </c>
      <c r="AC30" s="6">
        <f t="shared" si="66"/>
        <v>-0.31301247771835977</v>
      </c>
      <c r="AD30" s="6">
        <f t="shared" ref="AD30:AM30" si="67">AD28/AD29</f>
        <v>1.2880974117647053</v>
      </c>
      <c r="AE30" s="6">
        <f t="shared" si="67"/>
        <v>2.0142103255614954</v>
      </c>
      <c r="AF30" s="6">
        <f t="shared" si="67"/>
        <v>2.4735017945882363</v>
      </c>
      <c r="AG30" s="6">
        <f t="shared" si="67"/>
        <v>2.8080025614750781</v>
      </c>
      <c r="AH30" s="6">
        <f t="shared" si="67"/>
        <v>3.1994612481349347</v>
      </c>
      <c r="AI30" s="6">
        <f t="shared" si="67"/>
        <v>3.6394707861655493</v>
      </c>
      <c r="AJ30" s="6">
        <f t="shared" si="67"/>
        <v>4.1386585087694847</v>
      </c>
      <c r="AK30" s="6">
        <f t="shared" si="67"/>
        <v>4.7030490981909336</v>
      </c>
      <c r="AL30" s="6">
        <f t="shared" si="67"/>
        <v>5.3265356314194285</v>
      </c>
      <c r="AM30" s="6">
        <f t="shared" si="67"/>
        <v>6.015063160037684</v>
      </c>
    </row>
    <row r="32" spans="2:149" x14ac:dyDescent="0.3">
      <c r="B32" t="s">
        <v>51</v>
      </c>
      <c r="J32" s="9">
        <f t="shared" ref="J32:R36" si="68">J3/F3-1</f>
        <v>-0.27318156579677955</v>
      </c>
      <c r="K32" s="9">
        <f t="shared" si="68"/>
        <v>-0.20805369127516771</v>
      </c>
      <c r="L32" s="9">
        <f t="shared" si="68"/>
        <v>5.4028877503493389E-2</v>
      </c>
      <c r="M32" s="9">
        <f t="shared" si="68"/>
        <v>-0.23344262295081963</v>
      </c>
      <c r="N32" s="9">
        <f t="shared" si="68"/>
        <v>0.80175706646294875</v>
      </c>
      <c r="O32" s="9">
        <f t="shared" si="68"/>
        <v>0.38135593220338992</v>
      </c>
      <c r="P32" s="9">
        <f t="shared" si="68"/>
        <v>0.31064958020327005</v>
      </c>
      <c r="Q32" s="9">
        <f t="shared" si="68"/>
        <v>0.64371257485029942</v>
      </c>
      <c r="R32" s="9">
        <f t="shared" si="68"/>
        <v>0.35361458554165792</v>
      </c>
      <c r="S32" s="9"/>
      <c r="T32" s="9"/>
      <c r="U32" s="9"/>
      <c r="V32" s="9"/>
      <c r="X32" s="9"/>
      <c r="Y32" s="9">
        <f t="shared" ref="Y32:AM32" si="69">Y3/X3-1</f>
        <v>0.27940609332819122</v>
      </c>
      <c r="Z32" s="9">
        <f t="shared" si="69"/>
        <v>0.32735493594574239</v>
      </c>
      <c r="AA32" s="9">
        <f t="shared" si="69"/>
        <v>0.10730101055978203</v>
      </c>
      <c r="AB32" s="9">
        <f t="shared" si="69"/>
        <v>0.11279737489745689</v>
      </c>
      <c r="AC32" s="9">
        <f t="shared" si="69"/>
        <v>0.41107629929966816</v>
      </c>
      <c r="AD32" s="9">
        <f t="shared" si="69"/>
        <v>0.52509632338535894</v>
      </c>
      <c r="AE32" s="9">
        <f t="shared" si="69"/>
        <v>0.30000000000000004</v>
      </c>
      <c r="AF32" s="9">
        <f t="shared" si="69"/>
        <v>0.14999999999999991</v>
      </c>
      <c r="AG32" s="9">
        <f t="shared" si="69"/>
        <v>0.10000000000000009</v>
      </c>
      <c r="AH32" s="9">
        <f t="shared" si="69"/>
        <v>0.10000000000000009</v>
      </c>
      <c r="AI32" s="9">
        <f t="shared" si="69"/>
        <v>0.10000000000000009</v>
      </c>
      <c r="AJ32" s="9">
        <f t="shared" si="69"/>
        <v>0.10000000000000009</v>
      </c>
      <c r="AK32" s="9">
        <f t="shared" si="69"/>
        <v>0.10000000000000009</v>
      </c>
      <c r="AL32" s="9">
        <f t="shared" si="69"/>
        <v>0.10000000000000009</v>
      </c>
      <c r="AM32" s="9">
        <f t="shared" si="69"/>
        <v>0.10000000000000009</v>
      </c>
    </row>
    <row r="33" spans="2:43" x14ac:dyDescent="0.3">
      <c r="B33" t="s">
        <v>52</v>
      </c>
      <c r="J33" s="9">
        <f t="shared" si="68"/>
        <v>-0.39814814814814814</v>
      </c>
      <c r="K33" s="9">
        <f t="shared" si="68"/>
        <v>-0.44390243902439019</v>
      </c>
      <c r="L33" s="9">
        <f t="shared" si="68"/>
        <v>0.7644628099173556</v>
      </c>
      <c r="M33" s="9">
        <f t="shared" si="68"/>
        <v>0.46575342465753433</v>
      </c>
      <c r="N33" s="9">
        <f t="shared" si="68"/>
        <v>0.38846153846153841</v>
      </c>
      <c r="O33" s="9">
        <f t="shared" si="68"/>
        <v>1.9561403508771931</v>
      </c>
      <c r="P33" s="9">
        <f t="shared" si="68"/>
        <v>-0.12412177985948492</v>
      </c>
      <c r="Q33" s="9">
        <f t="shared" si="68"/>
        <v>1.0498442367601246</v>
      </c>
      <c r="R33" s="9">
        <f t="shared" si="68"/>
        <v>0.86426592797783908</v>
      </c>
      <c r="S33" s="9"/>
      <c r="T33" s="9"/>
      <c r="U33" s="9"/>
      <c r="V33" s="9"/>
      <c r="X33" s="9"/>
      <c r="Y33" s="9">
        <f t="shared" ref="Y33:AM33" si="70">Y4/X4-1</f>
        <v>-5.6918547595682156E-2</v>
      </c>
      <c r="Z33" s="9">
        <f t="shared" si="70"/>
        <v>-4.1623309053069768E-2</v>
      </c>
      <c r="AA33" s="9">
        <f t="shared" si="70"/>
        <v>5.4288816503800241E-3</v>
      </c>
      <c r="AB33" s="9">
        <f t="shared" si="70"/>
        <v>0.32073434125269995</v>
      </c>
      <c r="AC33" s="9">
        <f t="shared" si="70"/>
        <v>0.66966475878986076</v>
      </c>
      <c r="AD33" s="9">
        <f t="shared" si="70"/>
        <v>0.71070029382957878</v>
      </c>
      <c r="AE33" s="9">
        <f t="shared" si="70"/>
        <v>0.39999999999999991</v>
      </c>
      <c r="AF33" s="9">
        <f t="shared" si="70"/>
        <v>0.30000000000000004</v>
      </c>
      <c r="AG33" s="9">
        <f t="shared" si="70"/>
        <v>0.19999999999999996</v>
      </c>
      <c r="AH33" s="9">
        <f t="shared" si="70"/>
        <v>0.10000000000000009</v>
      </c>
      <c r="AI33" s="9">
        <f t="shared" si="70"/>
        <v>5.0000000000000044E-2</v>
      </c>
      <c r="AJ33" s="9">
        <f t="shared" si="70"/>
        <v>5.0000000000000044E-2</v>
      </c>
      <c r="AK33" s="9">
        <f t="shared" si="70"/>
        <v>5.0000000000000044E-2</v>
      </c>
      <c r="AL33" s="9">
        <f t="shared" si="70"/>
        <v>5.0000000000000044E-2</v>
      </c>
      <c r="AM33" s="9">
        <f t="shared" si="70"/>
        <v>5.0000000000000044E-2</v>
      </c>
      <c r="AP33" t="s">
        <v>65</v>
      </c>
      <c r="AQ33" s="9">
        <v>-0.01</v>
      </c>
    </row>
    <row r="34" spans="2:43" x14ac:dyDescent="0.3">
      <c r="B34" t="s">
        <v>53</v>
      </c>
      <c r="J34" s="9">
        <f t="shared" si="68"/>
        <v>0.31829573934837097</v>
      </c>
      <c r="K34" s="9">
        <f t="shared" si="68"/>
        <v>0.38574938574938566</v>
      </c>
      <c r="L34" s="9">
        <f t="shared" si="68"/>
        <v>0.24113475177304977</v>
      </c>
      <c r="M34" s="9">
        <f t="shared" si="68"/>
        <v>6.9473684210526354E-2</v>
      </c>
      <c r="N34" s="9">
        <f t="shared" si="68"/>
        <v>2.281368821292773E-2</v>
      </c>
      <c r="O34" s="9">
        <f t="shared" si="68"/>
        <v>-5.1418439716311992E-2</v>
      </c>
      <c r="P34" s="9">
        <f t="shared" si="68"/>
        <v>3.6190476190476106E-2</v>
      </c>
      <c r="Q34" s="9">
        <f t="shared" si="68"/>
        <v>0.15354330708661434</v>
      </c>
      <c r="R34" s="9">
        <f t="shared" si="68"/>
        <v>0.14684014869888484</v>
      </c>
      <c r="S34" s="9"/>
      <c r="T34" s="9"/>
      <c r="U34" s="9"/>
      <c r="V34" s="9"/>
      <c r="X34" s="9"/>
      <c r="Y34" s="9">
        <f t="shared" ref="Y34:AM34" si="71">Y5/X5-1</f>
        <v>0.31569343065693434</v>
      </c>
      <c r="Z34" s="9">
        <f t="shared" si="71"/>
        <v>4.7156726768377233E-2</v>
      </c>
      <c r="AA34" s="9">
        <f t="shared" si="71"/>
        <v>0.21258278145695364</v>
      </c>
      <c r="AB34" s="9">
        <f t="shared" si="71"/>
        <v>0.16602949208083029</v>
      </c>
      <c r="AC34" s="9">
        <f t="shared" si="71"/>
        <v>6.8852459016393475E-2</v>
      </c>
      <c r="AD34" s="9">
        <f t="shared" si="71"/>
        <v>0.10000000000000009</v>
      </c>
      <c r="AE34" s="9">
        <f t="shared" si="71"/>
        <v>5.0000000000000044E-2</v>
      </c>
      <c r="AF34" s="9">
        <f t="shared" si="71"/>
        <v>4.0000000000000036E-2</v>
      </c>
      <c r="AG34" s="9">
        <f t="shared" si="71"/>
        <v>3.0000000000000027E-2</v>
      </c>
      <c r="AH34" s="9">
        <f t="shared" si="71"/>
        <v>2.0000000000000018E-2</v>
      </c>
      <c r="AI34" s="9">
        <f t="shared" si="71"/>
        <v>2.0000000000000018E-2</v>
      </c>
      <c r="AJ34" s="9">
        <f t="shared" si="71"/>
        <v>2.0000000000000018E-2</v>
      </c>
      <c r="AK34" s="9">
        <f t="shared" si="71"/>
        <v>2.0000000000000018E-2</v>
      </c>
      <c r="AL34" s="9">
        <f t="shared" si="71"/>
        <v>2.0000000000000018E-2</v>
      </c>
      <c r="AM34" s="9">
        <f t="shared" si="71"/>
        <v>2.0000000000000018E-2</v>
      </c>
      <c r="AP34" t="s">
        <v>66</v>
      </c>
      <c r="AQ34" s="9">
        <v>0.08</v>
      </c>
    </row>
    <row r="35" spans="2:43" x14ac:dyDescent="0.3">
      <c r="B35" t="s">
        <v>54</v>
      </c>
      <c r="J35" s="9">
        <f t="shared" si="68"/>
        <v>-0.140625</v>
      </c>
      <c r="K35" s="9">
        <f t="shared" si="68"/>
        <v>-0.31034482758620696</v>
      </c>
      <c r="L35" s="9">
        <f t="shared" si="68"/>
        <v>-0.28282828282828287</v>
      </c>
      <c r="M35" s="9">
        <f t="shared" si="68"/>
        <v>-0.46511627906976738</v>
      </c>
      <c r="N35" s="9">
        <f t="shared" si="68"/>
        <v>-0.34545454545454546</v>
      </c>
      <c r="O35" s="9">
        <f t="shared" si="68"/>
        <v>0.9285714285714286</v>
      </c>
      <c r="P35" s="9">
        <f t="shared" si="68"/>
        <v>-9.8591549295774517E-2</v>
      </c>
      <c r="Q35" s="9">
        <f t="shared" si="68"/>
        <v>-0.24637681159420288</v>
      </c>
      <c r="R35" s="9">
        <f t="shared" si="68"/>
        <v>-5.5555555555555691E-2</v>
      </c>
      <c r="S35" s="9"/>
      <c r="T35" s="9"/>
      <c r="U35" s="9"/>
      <c r="V35" s="9"/>
      <c r="X35" s="9"/>
      <c r="Y35" s="9">
        <f t="shared" ref="Y35:AM35" si="72">Y6/X6-1</f>
        <v>6.708268330733258E-2</v>
      </c>
      <c r="Z35" s="9">
        <f t="shared" si="72"/>
        <v>0.10233918128654973</v>
      </c>
      <c r="AA35" s="9">
        <f t="shared" si="72"/>
        <v>9.2838196286472163E-2</v>
      </c>
      <c r="AB35" s="9">
        <f t="shared" si="72"/>
        <v>-0.35922330097087385</v>
      </c>
      <c r="AC35" s="9">
        <f t="shared" si="72"/>
        <v>0.14393939393939381</v>
      </c>
      <c r="AD35" s="9">
        <f t="shared" si="72"/>
        <v>5.0000000000000266E-2</v>
      </c>
      <c r="AE35" s="9">
        <f t="shared" si="72"/>
        <v>8.0000000000000071E-2</v>
      </c>
      <c r="AF35" s="9">
        <f t="shared" si="72"/>
        <v>5.0000000000000044E-2</v>
      </c>
      <c r="AG35" s="9">
        <f t="shared" si="72"/>
        <v>5.0000000000000044E-2</v>
      </c>
      <c r="AH35" s="9">
        <f t="shared" si="72"/>
        <v>5.0000000000000044E-2</v>
      </c>
      <c r="AI35" s="9">
        <f t="shared" si="72"/>
        <v>5.0000000000000044E-2</v>
      </c>
      <c r="AJ35" s="9">
        <f t="shared" si="72"/>
        <v>5.0000000000000044E-2</v>
      </c>
      <c r="AK35" s="9">
        <f t="shared" si="72"/>
        <v>5.0000000000000044E-2</v>
      </c>
      <c r="AL35" s="9">
        <f t="shared" si="72"/>
        <v>5.0000000000000044E-2</v>
      </c>
      <c r="AM35" s="9">
        <f t="shared" si="72"/>
        <v>5.0000000000000044E-2</v>
      </c>
      <c r="AP35" t="s">
        <v>67</v>
      </c>
      <c r="AQ35" s="4">
        <f>NPV(AQ34,AD28:ES28)</f>
        <v>14717.815783211758</v>
      </c>
    </row>
    <row r="36" spans="2:43" s="1" customFormat="1" x14ac:dyDescent="0.3">
      <c r="B36" s="1" t="s">
        <v>55</v>
      </c>
      <c r="J36" s="10">
        <f t="shared" si="68"/>
        <v>-0.22832432432432415</v>
      </c>
      <c r="K36" s="10">
        <f t="shared" si="68"/>
        <v>-0.14534883720930225</v>
      </c>
      <c r="L36" s="10">
        <f t="shared" si="68"/>
        <v>0.11528239202657797</v>
      </c>
      <c r="M36" s="10">
        <f t="shared" si="68"/>
        <v>-0.17416291854072952</v>
      </c>
      <c r="N36" s="10">
        <f t="shared" si="68"/>
        <v>0.60381059120201708</v>
      </c>
      <c r="O36" s="10">
        <f t="shared" si="68"/>
        <v>0.38647959183673475</v>
      </c>
      <c r="P36" s="10">
        <f t="shared" si="68"/>
        <v>0.19511468573130775</v>
      </c>
      <c r="Q36" s="10">
        <f t="shared" si="68"/>
        <v>0.57065052950075623</v>
      </c>
      <c r="R36" s="10">
        <f t="shared" si="68"/>
        <v>0.35866526904262774</v>
      </c>
      <c r="S36" s="10"/>
      <c r="T36" s="10"/>
      <c r="U36" s="10"/>
      <c r="V36" s="10"/>
      <c r="X36" s="10"/>
      <c r="Y36" s="10">
        <f t="shared" ref="Y36:AM36" si="73">Y7/X7-1</f>
        <v>0.2241249055653487</v>
      </c>
      <c r="Z36" s="10">
        <f t="shared" si="73"/>
        <v>0.23349105122402825</v>
      </c>
      <c r="AA36" s="10">
        <f t="shared" si="73"/>
        <v>0.1118245496997996</v>
      </c>
      <c r="AB36" s="10">
        <f t="shared" si="73"/>
        <v>0.10537763444086101</v>
      </c>
      <c r="AC36" s="10">
        <f t="shared" si="73"/>
        <v>0.37338851947347007</v>
      </c>
      <c r="AD36" s="10">
        <f t="shared" si="73"/>
        <v>0.48171780050392754</v>
      </c>
      <c r="AE36" s="10">
        <f t="shared" si="73"/>
        <v>0.2860710635864554</v>
      </c>
      <c r="AF36" s="10">
        <f t="shared" si="73"/>
        <v>0.15972646488814846</v>
      </c>
      <c r="AG36" s="10">
        <f t="shared" si="73"/>
        <v>0.10911948875791899</v>
      </c>
      <c r="AH36" s="10">
        <f t="shared" si="73"/>
        <v>9.4686344548739365E-2</v>
      </c>
      <c r="AI36" s="10">
        <f t="shared" si="73"/>
        <v>8.730194354884202E-2</v>
      </c>
      <c r="AJ36" s="10">
        <f t="shared" si="73"/>
        <v>8.7854616770292937E-2</v>
      </c>
      <c r="AK36" s="10">
        <f t="shared" si="73"/>
        <v>8.8386987656380089E-2</v>
      </c>
      <c r="AL36" s="10">
        <f t="shared" si="73"/>
        <v>8.8899420612399416E-2</v>
      </c>
      <c r="AM36" s="10">
        <f t="shared" si="73"/>
        <v>8.9392312364905191E-2</v>
      </c>
      <c r="AP36" t="s">
        <v>68</v>
      </c>
      <c r="AQ36" s="4">
        <f>Main!D8</f>
        <v>-407.59999999999991</v>
      </c>
    </row>
    <row r="37" spans="2:43" x14ac:dyDescent="0.3">
      <c r="B37" t="s">
        <v>56</v>
      </c>
      <c r="F37" s="9">
        <f t="shared" ref="F37:R37" si="74">(F3-F8)/F3</f>
        <v>0.38145474736257629</v>
      </c>
      <c r="G37" s="9">
        <f t="shared" si="74"/>
        <v>0.33092410944759937</v>
      </c>
      <c r="H37" s="9">
        <f t="shared" si="74"/>
        <v>0.32370749883558453</v>
      </c>
      <c r="I37" s="9">
        <f t="shared" si="74"/>
        <v>0.40065573770491797</v>
      </c>
      <c r="J37" s="9">
        <f t="shared" si="74"/>
        <v>0.3411000763941941</v>
      </c>
      <c r="K37" s="9">
        <f t="shared" si="74"/>
        <v>0.24511082138200788</v>
      </c>
      <c r="L37" s="9">
        <f t="shared" si="74"/>
        <v>0.28722934158197083</v>
      </c>
      <c r="M37" s="9">
        <f t="shared" si="74"/>
        <v>0.33661248930710014</v>
      </c>
      <c r="N37" s="9">
        <f t="shared" si="74"/>
        <v>0.46215815136739452</v>
      </c>
      <c r="O37" s="9">
        <f t="shared" si="74"/>
        <v>0.34119867862199155</v>
      </c>
      <c r="P37" s="9">
        <f t="shared" si="74"/>
        <v>0.3300741739716791</v>
      </c>
      <c r="Q37" s="9">
        <f t="shared" si="74"/>
        <v>0.34998698933125161</v>
      </c>
      <c r="R37" s="9">
        <f t="shared" si="74"/>
        <v>0.36617071260767425</v>
      </c>
      <c r="S37" s="9"/>
      <c r="T37" s="9"/>
      <c r="U37" s="9"/>
      <c r="V37" s="9"/>
      <c r="X37" s="9">
        <f t="shared" ref="X37:AM37" si="75">(X3-X8)/X3</f>
        <v>0.35846509834168921</v>
      </c>
      <c r="Y37" s="9">
        <f t="shared" si="75"/>
        <v>0.28907309721175584</v>
      </c>
      <c r="Z37" s="9">
        <f t="shared" si="75"/>
        <v>0.30032928352446914</v>
      </c>
      <c r="AA37" s="9">
        <f t="shared" si="75"/>
        <v>0.35387612797374912</v>
      </c>
      <c r="AB37" s="9">
        <f t="shared" si="75"/>
        <v>0.36795060818282338</v>
      </c>
      <c r="AC37" s="9">
        <f t="shared" si="75"/>
        <v>0.35166198654737807</v>
      </c>
      <c r="AD37" s="9">
        <f t="shared" si="75"/>
        <v>0.4</v>
      </c>
      <c r="AE37" s="9">
        <f t="shared" si="75"/>
        <v>0.39999999999999997</v>
      </c>
      <c r="AF37" s="9">
        <f t="shared" si="75"/>
        <v>0.40000000000000008</v>
      </c>
      <c r="AG37" s="9">
        <f t="shared" si="75"/>
        <v>0.4</v>
      </c>
      <c r="AH37" s="9">
        <f t="shared" si="75"/>
        <v>0.40000000000000008</v>
      </c>
      <c r="AI37" s="9">
        <f t="shared" si="75"/>
        <v>0.40000000000000008</v>
      </c>
      <c r="AJ37" s="9">
        <f t="shared" si="75"/>
        <v>0.39999999999999997</v>
      </c>
      <c r="AK37" s="9">
        <f t="shared" si="75"/>
        <v>0.4</v>
      </c>
      <c r="AL37" s="9">
        <f t="shared" si="75"/>
        <v>0.4</v>
      </c>
      <c r="AM37" s="9">
        <f t="shared" si="75"/>
        <v>0.4</v>
      </c>
      <c r="AP37" t="s">
        <v>69</v>
      </c>
      <c r="AQ37" s="4">
        <f>AQ35+AQ36</f>
        <v>14310.215783211757</v>
      </c>
    </row>
    <row r="38" spans="2:43" x14ac:dyDescent="0.3">
      <c r="B38" t="s">
        <v>57</v>
      </c>
      <c r="F38" s="9">
        <f t="shared" ref="F38:R38" si="76">(F4-F9)/F4</f>
        <v>-7.175925925925912E-2</v>
      </c>
      <c r="G38" s="9">
        <f t="shared" si="76"/>
        <v>-0.22439024390243908</v>
      </c>
      <c r="H38" s="9">
        <f t="shared" si="76"/>
        <v>-0.11157024793388427</v>
      </c>
      <c r="I38" s="9">
        <f t="shared" si="76"/>
        <v>-0.18264840182648404</v>
      </c>
      <c r="J38" s="9">
        <f t="shared" si="76"/>
        <v>-7.3076923076923025E-2</v>
      </c>
      <c r="K38" s="9">
        <f t="shared" si="76"/>
        <v>-0.35087719298245612</v>
      </c>
      <c r="L38" s="9">
        <f t="shared" si="76"/>
        <v>-3.747072599531602E-2</v>
      </c>
      <c r="M38" s="9">
        <f t="shared" si="76"/>
        <v>-0.11214953271028041</v>
      </c>
      <c r="N38" s="9">
        <f t="shared" si="76"/>
        <v>5.5401662049861494E-2</v>
      </c>
      <c r="O38" s="9">
        <f t="shared" si="76"/>
        <v>1.1869436201780582E-2</v>
      </c>
      <c r="P38" s="9">
        <f t="shared" si="76"/>
        <v>-2.1390374331550915E-2</v>
      </c>
      <c r="Q38" s="9">
        <f t="shared" si="76"/>
        <v>8.9665653495440714E-2</v>
      </c>
      <c r="R38" s="9">
        <f t="shared" si="76"/>
        <v>-0.10698365527488861</v>
      </c>
      <c r="S38" s="9"/>
      <c r="T38" s="9"/>
      <c r="U38" s="9"/>
      <c r="V38" s="9"/>
      <c r="X38" s="9">
        <f t="shared" ref="X38:AM38" si="77">(X4-X9)/X4</f>
        <v>-0.1432777232580961</v>
      </c>
      <c r="Y38" s="9">
        <f t="shared" si="77"/>
        <v>-0.14672216441207087</v>
      </c>
      <c r="Z38" s="9">
        <f t="shared" si="77"/>
        <v>-0.13029315960912052</v>
      </c>
      <c r="AA38" s="9">
        <f t="shared" si="77"/>
        <v>-0.14254859611231122</v>
      </c>
      <c r="AB38" s="9">
        <f t="shared" si="77"/>
        <v>-5.8871627146361308E-2</v>
      </c>
      <c r="AC38" s="9">
        <f t="shared" si="77"/>
        <v>-8.3251714005877428E-3</v>
      </c>
      <c r="AD38" s="9">
        <f t="shared" si="77"/>
        <v>9.0000000000000052E-2</v>
      </c>
      <c r="AE38" s="9">
        <f t="shared" si="77"/>
        <v>9.0000000000000011E-2</v>
      </c>
      <c r="AF38" s="9">
        <f t="shared" si="77"/>
        <v>8.9999999999999969E-2</v>
      </c>
      <c r="AG38" s="9">
        <f t="shared" si="77"/>
        <v>9.0000000000000011E-2</v>
      </c>
      <c r="AH38" s="9">
        <f t="shared" si="77"/>
        <v>8.9999999999999983E-2</v>
      </c>
      <c r="AI38" s="9">
        <f t="shared" si="77"/>
        <v>8.9999999999999969E-2</v>
      </c>
      <c r="AJ38" s="9">
        <f t="shared" si="77"/>
        <v>8.9999999999999955E-2</v>
      </c>
      <c r="AK38" s="9">
        <f t="shared" si="77"/>
        <v>8.9999999999999955E-2</v>
      </c>
      <c r="AL38" s="9">
        <f t="shared" si="77"/>
        <v>8.9999999999999913E-2</v>
      </c>
      <c r="AM38" s="9">
        <f t="shared" si="77"/>
        <v>8.9999999999999983E-2</v>
      </c>
      <c r="AP38" t="s">
        <v>70</v>
      </c>
      <c r="AQ38" s="7">
        <f>AQ37/AM29</f>
        <v>51.016812061360987</v>
      </c>
    </row>
    <row r="39" spans="2:43" x14ac:dyDescent="0.3">
      <c r="B39" t="s">
        <v>58</v>
      </c>
      <c r="F39" s="9">
        <f t="shared" ref="F39:R39" si="78">(F5-F10)/F5</f>
        <v>-9.7744360902255606E-2</v>
      </c>
      <c r="G39" s="9">
        <f t="shared" si="78"/>
        <v>-0.25798525798525795</v>
      </c>
      <c r="H39" s="9">
        <f t="shared" si="78"/>
        <v>-0.3546099290780142</v>
      </c>
      <c r="I39" s="9">
        <f t="shared" si="78"/>
        <v>-0.20842105263157892</v>
      </c>
      <c r="J39" s="9">
        <f t="shared" si="78"/>
        <v>-4.7528517110266157E-2</v>
      </c>
      <c r="K39" s="9">
        <f t="shared" si="78"/>
        <v>-1.7730496453900962E-3</v>
      </c>
      <c r="L39" s="9">
        <f t="shared" si="78"/>
        <v>1.9047619047619319E-3</v>
      </c>
      <c r="M39" s="9">
        <f t="shared" si="78"/>
        <v>-1.1811023622047273E-2</v>
      </c>
      <c r="N39" s="9">
        <f t="shared" si="78"/>
        <v>-1.6728624535316091E-2</v>
      </c>
      <c r="O39" s="9">
        <f t="shared" si="78"/>
        <v>1.1214953271028064E-2</v>
      </c>
      <c r="P39" s="9">
        <f t="shared" si="78"/>
        <v>9.1911764705882359E-2</v>
      </c>
      <c r="Q39" s="9">
        <f t="shared" si="78"/>
        <v>0.11604095563139939</v>
      </c>
      <c r="R39" s="9">
        <f t="shared" si="78"/>
        <v>0.16855753646677479</v>
      </c>
      <c r="S39" s="9"/>
      <c r="T39" s="9"/>
      <c r="U39" s="9"/>
      <c r="V39" s="9"/>
      <c r="X39" s="9">
        <f t="shared" ref="X39:AM39" si="79">(X5-X10)/X5</f>
        <v>-0.20711678832116806</v>
      </c>
      <c r="Y39" s="9">
        <f t="shared" si="79"/>
        <v>-2.8432732316227623E-2</v>
      </c>
      <c r="Z39" s="9">
        <f t="shared" si="79"/>
        <v>-0.11589403973509933</v>
      </c>
      <c r="AA39" s="9">
        <f t="shared" si="79"/>
        <v>-0.20699071545603498</v>
      </c>
      <c r="AB39" s="9">
        <f t="shared" si="79"/>
        <v>-7.0257611241217799E-3</v>
      </c>
      <c r="AC39" s="9">
        <f t="shared" si="79"/>
        <v>9.9912357581069297E-2</v>
      </c>
      <c r="AD39" s="9">
        <f t="shared" si="79"/>
        <v>0.1</v>
      </c>
      <c r="AE39" s="9">
        <f t="shared" si="79"/>
        <v>0.15</v>
      </c>
      <c r="AF39" s="9">
        <f t="shared" si="79"/>
        <v>0.17000000000000004</v>
      </c>
      <c r="AG39" s="9">
        <f t="shared" si="79"/>
        <v>0.17000000000000007</v>
      </c>
      <c r="AH39" s="9">
        <f t="shared" si="79"/>
        <v>0.17</v>
      </c>
      <c r="AI39" s="9">
        <f t="shared" si="79"/>
        <v>0.17000000000000007</v>
      </c>
      <c r="AJ39" s="9">
        <f t="shared" si="79"/>
        <v>0.17</v>
      </c>
      <c r="AK39" s="9">
        <f t="shared" si="79"/>
        <v>0.17000000000000004</v>
      </c>
      <c r="AL39" s="9">
        <f t="shared" si="79"/>
        <v>0.17000000000000012</v>
      </c>
      <c r="AM39" s="9">
        <f t="shared" si="79"/>
        <v>0.17000000000000004</v>
      </c>
      <c r="AP39" t="s">
        <v>71</v>
      </c>
      <c r="AQ39" s="7">
        <f>Main!D3</f>
        <v>147.55000000000001</v>
      </c>
    </row>
    <row r="40" spans="2:43" x14ac:dyDescent="0.3">
      <c r="B40" t="s">
        <v>59</v>
      </c>
      <c r="F40" s="9">
        <f t="shared" ref="F40:R40" si="80">(F6-F11)/F6</f>
        <v>-3.072916666666667</v>
      </c>
      <c r="G40" s="9">
        <f t="shared" si="80"/>
        <v>0.26108374384236455</v>
      </c>
      <c r="H40" s="9">
        <f t="shared" si="80"/>
        <v>0.21717171717171721</v>
      </c>
      <c r="I40" s="9">
        <f t="shared" si="80"/>
        <v>-4.4031007751937983</v>
      </c>
      <c r="J40" s="9">
        <f t="shared" si="80"/>
        <v>0.44848484848484849</v>
      </c>
      <c r="K40" s="9">
        <f t="shared" si="80"/>
        <v>0.31428571428571433</v>
      </c>
      <c r="L40" s="9">
        <f t="shared" si="80"/>
        <v>0.35211267605633806</v>
      </c>
      <c r="M40" s="9">
        <f t="shared" si="80"/>
        <v>0.31159420289855078</v>
      </c>
      <c r="N40" s="9">
        <f t="shared" si="80"/>
        <v>1.8518518518518615E-2</v>
      </c>
      <c r="O40" s="9">
        <f t="shared" si="80"/>
        <v>0.57037037037037042</v>
      </c>
      <c r="P40" s="9">
        <f t="shared" si="80"/>
        <v>0.3984375</v>
      </c>
      <c r="Q40" s="9">
        <f t="shared" si="80"/>
        <v>0.44230769230769235</v>
      </c>
      <c r="R40" s="9">
        <f t="shared" si="80"/>
        <v>0.28431372549019607</v>
      </c>
      <c r="S40" s="9"/>
      <c r="T40" s="9"/>
      <c r="U40" s="9"/>
      <c r="V40" s="9"/>
      <c r="X40" s="9">
        <f t="shared" ref="X40:AM40" si="81">(X6-X11)/X6</f>
        <v>0.26833073322932915</v>
      </c>
      <c r="Y40" s="9">
        <f t="shared" si="81"/>
        <v>0.35087719298245623</v>
      </c>
      <c r="Z40" s="9">
        <f t="shared" si="81"/>
        <v>-1.1498673740053047</v>
      </c>
      <c r="AA40" s="9">
        <f t="shared" si="81"/>
        <v>-1.1723300970873785</v>
      </c>
      <c r="AB40" s="9">
        <f t="shared" si="81"/>
        <v>0.26325757575757575</v>
      </c>
      <c r="AC40" s="9">
        <f t="shared" si="81"/>
        <v>0.46357615894039728</v>
      </c>
      <c r="AD40" s="9">
        <f t="shared" si="81"/>
        <v>0.43999999999999995</v>
      </c>
      <c r="AE40" s="9">
        <f t="shared" si="81"/>
        <v>0.44</v>
      </c>
      <c r="AF40" s="9">
        <f t="shared" si="81"/>
        <v>0.43999999999999995</v>
      </c>
      <c r="AG40" s="9">
        <f t="shared" si="81"/>
        <v>0.43999999999999989</v>
      </c>
      <c r="AH40" s="9">
        <f t="shared" si="81"/>
        <v>0.43999999999999989</v>
      </c>
      <c r="AI40" s="9">
        <f t="shared" si="81"/>
        <v>0.43999999999999995</v>
      </c>
      <c r="AJ40" s="9">
        <f t="shared" si="81"/>
        <v>0.43999999999999995</v>
      </c>
      <c r="AK40" s="9">
        <f t="shared" si="81"/>
        <v>0.43999999999999989</v>
      </c>
      <c r="AL40" s="9">
        <f t="shared" si="81"/>
        <v>0.43999999999999989</v>
      </c>
      <c r="AM40" s="9">
        <f t="shared" si="81"/>
        <v>0.43999999999999995</v>
      </c>
      <c r="AP40" s="1" t="s">
        <v>72</v>
      </c>
      <c r="AQ40" s="10">
        <f>AQ38/AQ39-1</f>
        <v>-0.65424051466376831</v>
      </c>
    </row>
    <row r="41" spans="2:43" x14ac:dyDescent="0.3">
      <c r="B41" t="s">
        <v>50</v>
      </c>
      <c r="F41" s="9">
        <f t="shared" ref="F41:R41" si="82">F13/F7</f>
        <v>0.15437837837837823</v>
      </c>
      <c r="G41" s="9">
        <f t="shared" si="82"/>
        <v>0.19731104651162795</v>
      </c>
      <c r="H41" s="9">
        <f t="shared" si="82"/>
        <v>0.18637873754152831</v>
      </c>
      <c r="I41" s="9">
        <f t="shared" si="82"/>
        <v>-1.3243378310844607E-2</v>
      </c>
      <c r="J41" s="9">
        <f t="shared" si="82"/>
        <v>0.25861585878397308</v>
      </c>
      <c r="K41" s="9">
        <f t="shared" si="82"/>
        <v>0.16113945578231306</v>
      </c>
      <c r="L41" s="9">
        <f t="shared" si="82"/>
        <v>0.20405123622281801</v>
      </c>
      <c r="M41" s="9">
        <f t="shared" si="82"/>
        <v>0.23842662632375197</v>
      </c>
      <c r="N41" s="9">
        <f t="shared" si="82"/>
        <v>0.38312368972746325</v>
      </c>
      <c r="O41" s="9">
        <f t="shared" si="82"/>
        <v>0.27200245323520406</v>
      </c>
      <c r="P41" s="9">
        <f t="shared" si="82"/>
        <v>0.26719840478564322</v>
      </c>
      <c r="Q41" s="9">
        <f t="shared" si="82"/>
        <v>0.29242920439221731</v>
      </c>
      <c r="R41" s="9">
        <f t="shared" si="82"/>
        <v>0.30847370451330858</v>
      </c>
      <c r="S41" s="9"/>
      <c r="T41" s="9"/>
      <c r="U41" s="9"/>
      <c r="V41" s="9"/>
      <c r="X41" s="9">
        <f t="shared" ref="X41:AM41" si="83">X13/X7</f>
        <v>0.2087635356333418</v>
      </c>
      <c r="Y41" s="9">
        <f t="shared" si="83"/>
        <v>0.20325036000822869</v>
      </c>
      <c r="Z41" s="9">
        <f t="shared" si="83"/>
        <v>0.12366577718478998</v>
      </c>
      <c r="AA41" s="9">
        <f t="shared" si="83"/>
        <v>0.14805370134253365</v>
      </c>
      <c r="AB41" s="9">
        <f t="shared" si="83"/>
        <v>0.27446057809743507</v>
      </c>
      <c r="AC41" s="9">
        <f t="shared" si="83"/>
        <v>0.29030186255619789</v>
      </c>
      <c r="AD41" s="9">
        <f t="shared" si="83"/>
        <v>0.33962947773448759</v>
      </c>
      <c r="AE41" s="9">
        <f t="shared" si="83"/>
        <v>0.34432104462777546</v>
      </c>
      <c r="AF41" s="9">
        <f t="shared" si="83"/>
        <v>0.34248886577024951</v>
      </c>
      <c r="AG41" s="9">
        <f t="shared" si="83"/>
        <v>0.33984975350558533</v>
      </c>
      <c r="AH41" s="9">
        <f t="shared" si="83"/>
        <v>0.34048650643756928</v>
      </c>
      <c r="AI41" s="9">
        <f t="shared" si="83"/>
        <v>0.34286472610411939</v>
      </c>
      <c r="AJ41" s="9">
        <f t="shared" si="83"/>
        <v>0.3451683987108855</v>
      </c>
      <c r="AK41" s="9">
        <f t="shared" si="83"/>
        <v>0.34739797176630538</v>
      </c>
      <c r="AL41" s="9">
        <f t="shared" si="83"/>
        <v>0.34955408073148142</v>
      </c>
      <c r="AM41" s="9">
        <f t="shared" si="83"/>
        <v>0.35163753164450967</v>
      </c>
      <c r="AP41" t="s">
        <v>73</v>
      </c>
      <c r="AQ41" s="5" t="s">
        <v>74</v>
      </c>
    </row>
    <row r="42" spans="2:43" x14ac:dyDescent="0.3">
      <c r="B42" t="s">
        <v>60</v>
      </c>
      <c r="F42" s="9"/>
      <c r="G42" s="9"/>
      <c r="H42" s="9"/>
      <c r="I42" s="9"/>
      <c r="J42" s="9">
        <f t="shared" ref="J42:R42" si="84">J14/F14-1</f>
        <v>-0.12271540469973885</v>
      </c>
      <c r="K42" s="9">
        <f t="shared" si="84"/>
        <v>-0.22319474835886222</v>
      </c>
      <c r="L42" s="9">
        <f t="shared" si="84"/>
        <v>-9.8795180722891618E-2</v>
      </c>
      <c r="M42" s="9">
        <f t="shared" si="84"/>
        <v>3.4188034188034067E-2</v>
      </c>
      <c r="N42" s="9">
        <f t="shared" si="84"/>
        <v>0.17559523809523814</v>
      </c>
      <c r="O42" s="9">
        <f t="shared" si="84"/>
        <v>0.14366197183098595</v>
      </c>
      <c r="P42" s="9">
        <f t="shared" si="84"/>
        <v>9.0909090909090828E-2</v>
      </c>
      <c r="Q42" s="9">
        <f t="shared" si="84"/>
        <v>0.34159779614325081</v>
      </c>
      <c r="R42" s="9">
        <f t="shared" si="84"/>
        <v>0.41518987341772151</v>
      </c>
      <c r="S42" s="9"/>
      <c r="T42" s="9"/>
      <c r="U42" s="9"/>
      <c r="V42" s="9"/>
      <c r="X42" s="9"/>
      <c r="Y42" s="9">
        <f t="shared" ref="Y42:AM42" si="85">Y14/X14-1</f>
        <v>0.23684210526315796</v>
      </c>
      <c r="Z42" s="9">
        <f t="shared" si="85"/>
        <v>0.45647969052224369</v>
      </c>
      <c r="AA42" s="9">
        <f t="shared" si="85"/>
        <v>3.5192563081009265E-2</v>
      </c>
      <c r="AB42" s="9">
        <f t="shared" si="85"/>
        <v>-4.6183450930083469E-2</v>
      </c>
      <c r="AC42" s="9">
        <f t="shared" si="85"/>
        <v>0.25084061869536001</v>
      </c>
      <c r="AD42" s="9">
        <f t="shared" si="85"/>
        <v>0.30000000000000004</v>
      </c>
      <c r="AE42" s="9">
        <f t="shared" si="85"/>
        <v>0.14999999999999991</v>
      </c>
      <c r="AF42" s="9">
        <f t="shared" si="85"/>
        <v>9.000000000000008E-2</v>
      </c>
      <c r="AG42" s="9">
        <f t="shared" si="85"/>
        <v>7.0000000000000062E-2</v>
      </c>
      <c r="AH42" s="9">
        <f t="shared" si="85"/>
        <v>5.0000000000000044E-2</v>
      </c>
      <c r="AI42" s="9">
        <f t="shared" si="85"/>
        <v>4.0000000000000036E-2</v>
      </c>
      <c r="AJ42" s="9">
        <f t="shared" si="85"/>
        <v>3.0000000000000027E-2</v>
      </c>
      <c r="AK42" s="9">
        <f t="shared" si="85"/>
        <v>2.0000000000000018E-2</v>
      </c>
      <c r="AL42" s="9">
        <f t="shared" si="85"/>
        <v>2.0000000000000018E-2</v>
      </c>
      <c r="AM42" s="9">
        <f t="shared" si="85"/>
        <v>2.0000000000000018E-2</v>
      </c>
    </row>
    <row r="43" spans="2:43" x14ac:dyDescent="0.3">
      <c r="B43" t="s">
        <v>61</v>
      </c>
      <c r="F43" s="9">
        <f t="shared" ref="F43:R43" si="86">F15/F7</f>
        <v>5.6000000000000001E-2</v>
      </c>
      <c r="G43" s="9">
        <f t="shared" si="86"/>
        <v>9.8473837209302334E-2</v>
      </c>
      <c r="H43" s="9">
        <f t="shared" si="86"/>
        <v>8.9036544850498348E-2</v>
      </c>
      <c r="I43" s="9">
        <f t="shared" si="86"/>
        <v>4.9975012493753128E-2</v>
      </c>
      <c r="J43" s="9">
        <f t="shared" si="86"/>
        <v>4.4830484729616135E-2</v>
      </c>
      <c r="K43" s="9">
        <f t="shared" si="86"/>
        <v>5.7823129251700675E-2</v>
      </c>
      <c r="L43" s="9">
        <f t="shared" si="86"/>
        <v>5.3321417932677986E-2</v>
      </c>
      <c r="M43" s="9">
        <f t="shared" si="86"/>
        <v>4.4478063540090762E-2</v>
      </c>
      <c r="N43" s="9">
        <f t="shared" si="86"/>
        <v>3.8085255066387144E-2</v>
      </c>
      <c r="O43" s="9">
        <f t="shared" si="86"/>
        <v>6.8383931309414281E-2</v>
      </c>
      <c r="P43" s="9">
        <f t="shared" si="86"/>
        <v>6.0069790628115662E-2</v>
      </c>
      <c r="Q43" s="9">
        <f t="shared" si="86"/>
        <v>8.0909266037372377E-2</v>
      </c>
      <c r="R43" s="9">
        <f t="shared" si="86"/>
        <v>5.3876816253053871E-2</v>
      </c>
      <c r="S43" s="9"/>
      <c r="T43" s="9"/>
      <c r="U43" s="9"/>
      <c r="V43" s="9"/>
      <c r="X43" s="9">
        <f t="shared" ref="X43:AM43" si="87">X15/X7</f>
        <v>7.0385293376983127E-2</v>
      </c>
      <c r="Y43" s="9">
        <f t="shared" si="87"/>
        <v>8.8973462250565738E-2</v>
      </c>
      <c r="Z43" s="9">
        <f t="shared" si="87"/>
        <v>7.5800533689126065E-2</v>
      </c>
      <c r="AA43" s="9">
        <f t="shared" si="87"/>
        <v>6.7426685667141689E-2</v>
      </c>
      <c r="AB43" s="9">
        <f t="shared" si="87"/>
        <v>4.6139231917492196E-2</v>
      </c>
      <c r="AC43" s="9">
        <f t="shared" si="87"/>
        <v>6.4374289807815815E-2</v>
      </c>
      <c r="AD43" s="9">
        <f t="shared" si="87"/>
        <v>0.05</v>
      </c>
      <c r="AE43" s="9">
        <f t="shared" si="87"/>
        <v>0.05</v>
      </c>
      <c r="AF43" s="9">
        <f t="shared" si="87"/>
        <v>0.05</v>
      </c>
      <c r="AG43" s="9">
        <f t="shared" si="87"/>
        <v>0.05</v>
      </c>
      <c r="AH43" s="9">
        <f t="shared" si="87"/>
        <v>0.05</v>
      </c>
      <c r="AI43" s="9">
        <f t="shared" si="87"/>
        <v>0.05</v>
      </c>
      <c r="AJ43" s="9">
        <f t="shared" si="87"/>
        <v>0.05</v>
      </c>
      <c r="AK43" s="9">
        <f t="shared" si="87"/>
        <v>0.05</v>
      </c>
      <c r="AL43" s="9">
        <f t="shared" si="87"/>
        <v>0.05</v>
      </c>
      <c r="AM43" s="9">
        <f t="shared" si="87"/>
        <v>0.05</v>
      </c>
    </row>
    <row r="44" spans="2:43" x14ac:dyDescent="0.3">
      <c r="B44" t="s">
        <v>62</v>
      </c>
      <c r="F44" s="9"/>
      <c r="G44" s="9"/>
      <c r="H44" s="9"/>
      <c r="I44" s="9"/>
      <c r="J44" s="9">
        <f t="shared" ref="J44:R44" si="88">J16/F16-1</f>
        <v>-0.37447698744769875</v>
      </c>
      <c r="K44" s="9">
        <f t="shared" si="88"/>
        <v>-0.15742793791574283</v>
      </c>
      <c r="L44" s="9">
        <f t="shared" si="88"/>
        <v>-0.14352941176470591</v>
      </c>
      <c r="M44" s="9">
        <f t="shared" si="88"/>
        <v>-0.13824884792626724</v>
      </c>
      <c r="N44" s="9">
        <f t="shared" si="88"/>
        <v>0.78260869565217384</v>
      </c>
      <c r="O44" s="9">
        <f t="shared" si="88"/>
        <v>0.18157894736842106</v>
      </c>
      <c r="P44" s="9">
        <f t="shared" si="88"/>
        <v>0.25824175824175821</v>
      </c>
      <c r="Q44" s="9">
        <f t="shared" si="88"/>
        <v>0.41978609625668462</v>
      </c>
      <c r="R44" s="9">
        <f t="shared" si="88"/>
        <v>2.4390243902439046E-2</v>
      </c>
      <c r="S44" s="9"/>
      <c r="T44" s="9"/>
      <c r="U44" s="9"/>
      <c r="V44" s="9"/>
      <c r="X44" s="9"/>
      <c r="Y44" s="9">
        <f t="shared" ref="Y44:AM44" si="89">Y16/X16-1</f>
        <v>0.14098972922502351</v>
      </c>
      <c r="Z44" s="9">
        <f t="shared" si="89"/>
        <v>0.37234042553191471</v>
      </c>
      <c r="AA44" s="9">
        <f t="shared" si="89"/>
        <v>-4.054859868813343E-2</v>
      </c>
      <c r="AB44" s="9">
        <f t="shared" si="89"/>
        <v>2.6103169670602888E-2</v>
      </c>
      <c r="AC44" s="9">
        <f t="shared" si="89"/>
        <v>0.20169594185342188</v>
      </c>
      <c r="AD44" s="9">
        <f t="shared" si="89"/>
        <v>0.10000000000000009</v>
      </c>
      <c r="AE44" s="9">
        <f t="shared" si="89"/>
        <v>5.0000000000000044E-2</v>
      </c>
      <c r="AF44" s="9">
        <f t="shared" si="89"/>
        <v>4.0000000000000036E-2</v>
      </c>
      <c r="AG44" s="9">
        <f t="shared" si="89"/>
        <v>3.0000000000000027E-2</v>
      </c>
      <c r="AH44" s="9">
        <f t="shared" si="89"/>
        <v>2.0000000000000018E-2</v>
      </c>
      <c r="AI44" s="9">
        <f t="shared" si="89"/>
        <v>2.0000000000000018E-2</v>
      </c>
      <c r="AJ44" s="9">
        <f t="shared" si="89"/>
        <v>2.0000000000000018E-2</v>
      </c>
      <c r="AK44" s="9">
        <f t="shared" si="89"/>
        <v>2.0000000000000018E-2</v>
      </c>
      <c r="AL44" s="9">
        <f t="shared" si="89"/>
        <v>2.0000000000000018E-2</v>
      </c>
      <c r="AM44" s="9">
        <f t="shared" si="89"/>
        <v>2.0000000000000018E-2</v>
      </c>
    </row>
    <row r="45" spans="2:43" x14ac:dyDescent="0.3">
      <c r="B45" t="s">
        <v>63</v>
      </c>
      <c r="F45" s="9">
        <f t="shared" ref="F45:R45" si="90">F18/F7</f>
        <v>-8.7783783783783931E-2</v>
      </c>
      <c r="G45" s="9">
        <f t="shared" si="90"/>
        <v>-0.23110465116279069</v>
      </c>
      <c r="H45" s="9">
        <f t="shared" si="90"/>
        <v>-0.18172757475083048</v>
      </c>
      <c r="I45" s="9">
        <f t="shared" si="90"/>
        <v>-0.25937031484257872</v>
      </c>
      <c r="J45" s="9">
        <f t="shared" si="90"/>
        <v>3.5864387783692941E-2</v>
      </c>
      <c r="K45" s="9">
        <f t="shared" si="90"/>
        <v>-0.20918367346938757</v>
      </c>
      <c r="L45" s="9">
        <f t="shared" si="90"/>
        <v>-6.9109323801012784E-2</v>
      </c>
      <c r="M45" s="9">
        <f t="shared" si="90"/>
        <v>-2.9046898638426518E-2</v>
      </c>
      <c r="N45" s="9">
        <f t="shared" si="90"/>
        <v>0.18291404612159323</v>
      </c>
      <c r="O45" s="9">
        <f t="shared" si="90"/>
        <v>-5.8570990493713476E-2</v>
      </c>
      <c r="P45" s="9">
        <f t="shared" si="90"/>
        <v>-8.7238285144565237E-3</v>
      </c>
      <c r="Q45" s="9">
        <f t="shared" si="90"/>
        <v>1.5411288769023309E-2</v>
      </c>
      <c r="R45" s="9">
        <f t="shared" si="90"/>
        <v>0.11251125112511261</v>
      </c>
      <c r="S45" s="9"/>
      <c r="T45" s="9"/>
      <c r="U45" s="9"/>
      <c r="V45" s="9"/>
      <c r="X45" s="9">
        <f t="shared" ref="X45:AM45" si="91">X18/X7</f>
        <v>-0.10173759758247283</v>
      </c>
      <c r="Y45" s="9">
        <f t="shared" si="91"/>
        <v>-0.11777412055132701</v>
      </c>
      <c r="Z45" s="9">
        <f t="shared" si="91"/>
        <v>-0.21756170780520326</v>
      </c>
      <c r="AA45" s="9">
        <f t="shared" si="91"/>
        <v>-0.15697892447311179</v>
      </c>
      <c r="AB45" s="9">
        <f t="shared" si="91"/>
        <v>1.5402361243045028E-2</v>
      </c>
      <c r="AC45" s="9">
        <f t="shared" si="91"/>
        <v>3.6016007114273052E-2</v>
      </c>
      <c r="AD45" s="9">
        <f t="shared" si="91"/>
        <v>0.13623909480868709</v>
      </c>
      <c r="AE45" s="9">
        <f t="shared" si="91"/>
        <v>0.16281804715318715</v>
      </c>
      <c r="AF45" s="9">
        <f t="shared" si="91"/>
        <v>0.17145363886433332</v>
      </c>
      <c r="AG45" s="9">
        <f t="shared" si="91"/>
        <v>0.1750049438607312</v>
      </c>
      <c r="AH45" s="9">
        <f t="shared" si="91"/>
        <v>0.18168569838995566</v>
      </c>
      <c r="AI45" s="9">
        <f t="shared" si="91"/>
        <v>0.18964516941452469</v>
      </c>
      <c r="AJ45" s="9">
        <f t="shared" si="91"/>
        <v>0.19783584214139363</v>
      </c>
      <c r="AK45" s="9">
        <f t="shared" si="91"/>
        <v>0.20618114463879694</v>
      </c>
      <c r="AL45" s="9">
        <f t="shared" si="91"/>
        <v>0.21410894052033866</v>
      </c>
      <c r="AM45" s="9">
        <f t="shared" si="91"/>
        <v>0.22163509172810575</v>
      </c>
    </row>
    <row r="46" spans="2:43" x14ac:dyDescent="0.3">
      <c r="B46" t="s">
        <v>34</v>
      </c>
      <c r="F46" s="9">
        <f t="shared" ref="F46:L46" si="92">F26/F25</f>
        <v>7.1005917159763218E-2</v>
      </c>
      <c r="G46" s="9">
        <f t="shared" si="92"/>
        <v>-4.0268456375838922E-3</v>
      </c>
      <c r="H46" s="9">
        <f t="shared" si="92"/>
        <v>-2.8943560057887135E-3</v>
      </c>
      <c r="I46" s="9">
        <f t="shared" si="92"/>
        <v>-3.582089552238806E-3</v>
      </c>
      <c r="J46" s="9">
        <f t="shared" si="92"/>
        <v>0.16666666666666627</v>
      </c>
      <c r="K46" s="9">
        <f t="shared" si="92"/>
        <v>8.7412587412587471E-3</v>
      </c>
      <c r="L46" s="9">
        <f t="shared" si="92"/>
        <v>-1.4876033057851241E-2</v>
      </c>
      <c r="M46" s="9">
        <f>M26/M25</f>
        <v>-6.8965517241379466E-3</v>
      </c>
      <c r="N46" s="9">
        <f>N26/N25</f>
        <v>3.7950664136622405E-3</v>
      </c>
      <c r="O46" s="9">
        <f t="shared" ref="O46:R46" si="93">O26/O25</f>
        <v>-1.7391304347826111E-2</v>
      </c>
      <c r="P46" s="9">
        <f t="shared" si="93"/>
        <v>-2.4330900243309032E-2</v>
      </c>
      <c r="Q46" s="9">
        <f t="shared" si="93"/>
        <v>-1.3333333333333332E-2</v>
      </c>
      <c r="R46" s="9">
        <f t="shared" si="93"/>
        <v>0.39999999999998637</v>
      </c>
      <c r="S46" s="9"/>
      <c r="T46" s="9"/>
      <c r="U46" s="9"/>
      <c r="V46" s="9"/>
      <c r="X46" s="9">
        <f>X26/X25</f>
        <v>-1.6778523489932892E-3</v>
      </c>
      <c r="Y46" s="9">
        <f>Y26/Y25</f>
        <v>-5.2029136316337123E-3</v>
      </c>
      <c r="Z46" s="9">
        <f t="shared" ref="Z46:AB46" si="94">Z26/Z25</f>
        <v>-3.5043007327174285E-3</v>
      </c>
      <c r="AA46" s="9">
        <f t="shared" si="94"/>
        <v>-6.2030688867123745E-3</v>
      </c>
      <c r="AB46" s="9">
        <f t="shared" si="94"/>
        <v>-3.3582089552238487E-2</v>
      </c>
      <c r="AC46" s="9">
        <f t="shared" ref="AC46:AM46" si="95">AC26/AC25</f>
        <v>-3.2104637336504198E-2</v>
      </c>
      <c r="AD46" s="9">
        <f t="shared" si="95"/>
        <v>0.05</v>
      </c>
      <c r="AE46" s="9">
        <f t="shared" si="95"/>
        <v>0.05</v>
      </c>
      <c r="AF46" s="9">
        <f t="shared" si="95"/>
        <v>0.05</v>
      </c>
      <c r="AG46" s="9">
        <f t="shared" si="95"/>
        <v>5.000000000000001E-2</v>
      </c>
      <c r="AH46" s="9">
        <f t="shared" si="95"/>
        <v>0.05</v>
      </c>
      <c r="AI46" s="9">
        <f t="shared" si="95"/>
        <v>0.05</v>
      </c>
      <c r="AJ46" s="9">
        <f t="shared" si="95"/>
        <v>0.05</v>
      </c>
      <c r="AK46" s="9">
        <f t="shared" si="95"/>
        <v>0.05</v>
      </c>
      <c r="AL46" s="9">
        <f t="shared" si="95"/>
        <v>0.05</v>
      </c>
      <c r="AM46" s="9">
        <f t="shared" si="95"/>
        <v>0.05</v>
      </c>
    </row>
    <row r="47" spans="2:43" x14ac:dyDescent="0.3">
      <c r="B47" t="s">
        <v>35</v>
      </c>
      <c r="F47" s="9">
        <f t="shared" ref="F47:L47" si="96">F27/F25</f>
        <v>0</v>
      </c>
      <c r="G47" s="9">
        <f t="shared" si="96"/>
        <v>4.5637583892617448E-2</v>
      </c>
      <c r="H47" s="9">
        <f t="shared" si="96"/>
        <v>4.3415340086830699E-2</v>
      </c>
      <c r="I47" s="9">
        <f t="shared" si="96"/>
        <v>-5.3731343283582094E-3</v>
      </c>
      <c r="J47" s="9">
        <f t="shared" si="96"/>
        <v>-8.3333333333333134E-2</v>
      </c>
      <c r="K47" s="9">
        <f t="shared" si="96"/>
        <v>-1.7482517482517494E-2</v>
      </c>
      <c r="L47" s="9">
        <f t="shared" si="96"/>
        <v>-9.9173553719008271E-3</v>
      </c>
      <c r="M47" s="9">
        <f>M27/M25</f>
        <v>-6.8965517241379466E-3</v>
      </c>
      <c r="N47" s="9">
        <f>N27/N25</f>
        <v>3.7950664136622405E-3</v>
      </c>
      <c r="O47" s="9">
        <f t="shared" ref="O47:R47" si="97">O27/O25</f>
        <v>-1.7391304347826111E-2</v>
      </c>
      <c r="P47" s="9">
        <f t="shared" si="97"/>
        <v>-9.7323600973236134E-3</v>
      </c>
      <c r="Q47" s="9">
        <f t="shared" si="97"/>
        <v>4.4444444444444444E-3</v>
      </c>
      <c r="R47" s="9">
        <f t="shared" si="97"/>
        <v>0.1199999999999959</v>
      </c>
      <c r="S47" s="9"/>
      <c r="T47" s="9"/>
      <c r="U47" s="9"/>
      <c r="V47" s="9"/>
      <c r="X47" s="9">
        <f>X27/X25</f>
        <v>0.12024608501118574</v>
      </c>
      <c r="Y47" s="9">
        <f>Y27/Y25</f>
        <v>0.15036420395421426</v>
      </c>
      <c r="Z47" s="9">
        <f t="shared" ref="Z47:AB47" si="98">Z27/Z25</f>
        <v>4.3644472762026154E-2</v>
      </c>
      <c r="AA47" s="9">
        <f t="shared" si="98"/>
        <v>1.9262161279791058E-2</v>
      </c>
      <c r="AB47" s="9">
        <f t="shared" si="98"/>
        <v>-7.8358208955223149E-2</v>
      </c>
      <c r="AC47" s="9">
        <f t="shared" ref="AC47:AM47" si="99">AC27/AC25</f>
        <v>-1.189060642092748E-2</v>
      </c>
      <c r="AD47" s="9">
        <f t="shared" si="99"/>
        <v>0.02</v>
      </c>
      <c r="AE47" s="9">
        <f t="shared" si="99"/>
        <v>0.02</v>
      </c>
      <c r="AF47" s="9">
        <f t="shared" si="99"/>
        <v>0.02</v>
      </c>
      <c r="AG47" s="9">
        <f t="shared" si="99"/>
        <v>0.02</v>
      </c>
      <c r="AH47" s="9">
        <f t="shared" si="99"/>
        <v>0.02</v>
      </c>
      <c r="AI47" s="9">
        <f t="shared" si="99"/>
        <v>0.02</v>
      </c>
      <c r="AJ47" s="9">
        <f t="shared" si="99"/>
        <v>0.02</v>
      </c>
      <c r="AK47" s="9">
        <f t="shared" si="99"/>
        <v>0.02</v>
      </c>
      <c r="AL47" s="9">
        <f t="shared" si="99"/>
        <v>0.02</v>
      </c>
      <c r="AM47" s="9">
        <f t="shared" si="99"/>
        <v>0.02</v>
      </c>
    </row>
    <row r="48" spans="2:43" x14ac:dyDescent="0.3">
      <c r="B48" t="s">
        <v>64</v>
      </c>
      <c r="F48" s="9">
        <f t="shared" ref="F48:R48" si="100">F28/F7</f>
        <v>-0.10183783783783799</v>
      </c>
      <c r="G48" s="9">
        <f t="shared" si="100"/>
        <v>-0.25944767441860461</v>
      </c>
      <c r="H48" s="9">
        <f t="shared" si="100"/>
        <v>-0.22026578073089689</v>
      </c>
      <c r="I48" s="9">
        <f t="shared" si="100"/>
        <v>-0.42228885557221391</v>
      </c>
      <c r="J48" s="9">
        <f t="shared" si="100"/>
        <v>1.2328383300644471E-2</v>
      </c>
      <c r="K48" s="9">
        <f t="shared" si="100"/>
        <v>-0.24532312925170049</v>
      </c>
      <c r="L48" s="9">
        <f t="shared" si="100"/>
        <v>-0.18468871015787905</v>
      </c>
      <c r="M48" s="9">
        <f t="shared" si="100"/>
        <v>-4.4478063540090665E-2</v>
      </c>
      <c r="N48" s="9">
        <f t="shared" si="100"/>
        <v>0.18273934311670154</v>
      </c>
      <c r="O48" s="9">
        <f t="shared" si="100"/>
        <v>-7.2983747316773886E-2</v>
      </c>
      <c r="P48" s="9">
        <f t="shared" si="100"/>
        <v>-0.10593220338983039</v>
      </c>
      <c r="Q48" s="9">
        <f t="shared" si="100"/>
        <v>-4.3729531882103635E-2</v>
      </c>
      <c r="R48" s="9">
        <f t="shared" si="100"/>
        <v>1.5430114440016525E-3</v>
      </c>
      <c r="S48" s="9"/>
      <c r="T48" s="9"/>
      <c r="U48" s="9"/>
      <c r="V48" s="9"/>
      <c r="X48" s="9">
        <f t="shared" ref="X48:AM48" si="101">X28/X7</f>
        <v>-0.19843868043314017</v>
      </c>
      <c r="Y48" s="9">
        <f t="shared" si="101"/>
        <v>-0.16899814852910935</v>
      </c>
      <c r="Z48" s="9">
        <f t="shared" si="101"/>
        <v>-0.25125083388925934</v>
      </c>
      <c r="AA48" s="9">
        <f t="shared" si="101"/>
        <v>-0.22673066826670665</v>
      </c>
      <c r="AB48" s="9">
        <f t="shared" si="101"/>
        <v>-2.0219839869724695E-2</v>
      </c>
      <c r="AC48" s="9">
        <f t="shared" si="101"/>
        <v>-4.3377303492910385E-2</v>
      </c>
      <c r="AD48" s="9">
        <f t="shared" si="101"/>
        <v>0.12047144236107285</v>
      </c>
      <c r="AE48" s="9">
        <f t="shared" si="101"/>
        <v>0.14647896196782992</v>
      </c>
      <c r="AF48" s="9">
        <f t="shared" si="101"/>
        <v>0.15510546412588808</v>
      </c>
      <c r="AG48" s="9">
        <f t="shared" si="101"/>
        <v>0.15875741943121635</v>
      </c>
      <c r="AH48" s="9">
        <f t="shared" si="101"/>
        <v>0.1652432336346483</v>
      </c>
      <c r="AI48" s="9">
        <f t="shared" si="101"/>
        <v>0.17287607911372549</v>
      </c>
      <c r="AJ48" s="9">
        <f t="shared" si="101"/>
        <v>0.18071133752472335</v>
      </c>
      <c r="AK48" s="9">
        <f t="shared" si="101"/>
        <v>0.18867831059088569</v>
      </c>
      <c r="AL48" s="9">
        <f t="shared" si="101"/>
        <v>0.19624542280411378</v>
      </c>
      <c r="AM48" s="9">
        <f t="shared" si="101"/>
        <v>0.20342793251852662</v>
      </c>
    </row>
    <row r="51" spans="2:16" x14ac:dyDescent="0.3">
      <c r="B51" t="s">
        <v>4</v>
      </c>
      <c r="P51" s="4">
        <v>574.79999999999995</v>
      </c>
    </row>
    <row r="52" spans="2:16" x14ac:dyDescent="0.3">
      <c r="B52" t="s">
        <v>80</v>
      </c>
      <c r="P52" s="4">
        <v>1.1000000000000001</v>
      </c>
    </row>
    <row r="53" spans="2:16" x14ac:dyDescent="0.3">
      <c r="B53" t="s">
        <v>81</v>
      </c>
      <c r="P53" s="4">
        <v>467</v>
      </c>
    </row>
    <row r="54" spans="2:16" x14ac:dyDescent="0.3">
      <c r="B54" t="s">
        <v>82</v>
      </c>
      <c r="P54" s="4">
        <v>129.80000000000001</v>
      </c>
    </row>
    <row r="55" spans="2:16" x14ac:dyDescent="0.3">
      <c r="B55" t="s">
        <v>83</v>
      </c>
      <c r="P55" s="4">
        <v>690</v>
      </c>
    </row>
    <row r="56" spans="2:16" x14ac:dyDescent="0.3">
      <c r="B56" t="s">
        <v>84</v>
      </c>
      <c r="P56" s="4">
        <v>30.5</v>
      </c>
    </row>
    <row r="57" spans="2:16" x14ac:dyDescent="0.3">
      <c r="B57" t="s">
        <v>85</v>
      </c>
      <c r="P57" s="4">
        <v>40.1</v>
      </c>
    </row>
    <row r="58" spans="2:16" s="1" customFormat="1" x14ac:dyDescent="0.3">
      <c r="B58" s="1" t="s">
        <v>86</v>
      </c>
      <c r="P58" s="8">
        <f>SUM(P51:P57)</f>
        <v>1933.3</v>
      </c>
    </row>
    <row r="59" spans="2:16" x14ac:dyDescent="0.3">
      <c r="B59" t="s">
        <v>87</v>
      </c>
      <c r="P59" s="4">
        <v>402.9</v>
      </c>
    </row>
    <row r="60" spans="2:16" x14ac:dyDescent="0.3">
      <c r="B60" t="s">
        <v>88</v>
      </c>
      <c r="P60" s="4">
        <v>117.3</v>
      </c>
    </row>
    <row r="61" spans="2:16" x14ac:dyDescent="0.3">
      <c r="B61" t="s">
        <v>80</v>
      </c>
      <c r="P61" s="4">
        <v>30.2</v>
      </c>
    </row>
    <row r="62" spans="2:16" x14ac:dyDescent="0.3">
      <c r="B62" t="s">
        <v>84</v>
      </c>
      <c r="P62" s="4">
        <v>1.5</v>
      </c>
    </row>
    <row r="63" spans="2:16" x14ac:dyDescent="0.3">
      <c r="B63" t="s">
        <v>89</v>
      </c>
      <c r="P63" s="4">
        <v>45.3</v>
      </c>
    </row>
    <row r="64" spans="2:16" s="1" customFormat="1" x14ac:dyDescent="0.3">
      <c r="B64" s="1" t="s">
        <v>90</v>
      </c>
      <c r="P64" s="8">
        <f>SUM(P59:P63)</f>
        <v>597.19999999999993</v>
      </c>
    </row>
    <row r="65" spans="2:18" s="12" customFormat="1" x14ac:dyDescent="0.3">
      <c r="B65" s="12" t="s">
        <v>91</v>
      </c>
      <c r="P65" s="11">
        <f>P58+P64</f>
        <v>2530.5</v>
      </c>
      <c r="Q65" s="11">
        <v>2638.2</v>
      </c>
      <c r="R65" s="11">
        <f>4396.7</f>
        <v>4396.7</v>
      </c>
    </row>
    <row r="66" spans="2:18" x14ac:dyDescent="0.3">
      <c r="B66" t="s">
        <v>92</v>
      </c>
      <c r="P66" s="4">
        <v>144.80000000000001</v>
      </c>
    </row>
    <row r="67" spans="2:18" x14ac:dyDescent="0.3">
      <c r="B67" t="s">
        <v>93</v>
      </c>
      <c r="P67" s="4">
        <v>12</v>
      </c>
    </row>
    <row r="68" spans="2:18" x14ac:dyDescent="0.3">
      <c r="B68" t="s">
        <v>94</v>
      </c>
      <c r="P68" s="4">
        <v>116.6</v>
      </c>
    </row>
    <row r="69" spans="2:18" x14ac:dyDescent="0.3">
      <c r="B69" t="s">
        <v>84</v>
      </c>
      <c r="P69" s="4">
        <v>60</v>
      </c>
    </row>
    <row r="70" spans="2:18" x14ac:dyDescent="0.3">
      <c r="B70" t="s">
        <v>88</v>
      </c>
      <c r="P70" s="4">
        <v>21.2</v>
      </c>
    </row>
    <row r="71" spans="2:18" x14ac:dyDescent="0.3">
      <c r="B71" t="s">
        <v>5</v>
      </c>
      <c r="P71" s="4">
        <v>29.1</v>
      </c>
    </row>
    <row r="72" spans="2:18" x14ac:dyDescent="0.3">
      <c r="B72" t="s">
        <v>95</v>
      </c>
      <c r="P72" s="4">
        <v>2.2000000000000002</v>
      </c>
    </row>
    <row r="73" spans="2:18" x14ac:dyDescent="0.3">
      <c r="B73" t="s">
        <v>96</v>
      </c>
      <c r="P73" s="4">
        <v>1.5</v>
      </c>
    </row>
    <row r="74" spans="2:18" s="1" customFormat="1" x14ac:dyDescent="0.3">
      <c r="B74" s="1" t="s">
        <v>97</v>
      </c>
      <c r="P74" s="8">
        <f>SUM(P66:P73)</f>
        <v>387.4</v>
      </c>
    </row>
    <row r="75" spans="2:18" x14ac:dyDescent="0.3">
      <c r="B75" t="s">
        <v>84</v>
      </c>
      <c r="P75" s="4">
        <v>47.6</v>
      </c>
    </row>
    <row r="76" spans="2:18" x14ac:dyDescent="0.3">
      <c r="B76" t="s">
        <v>88</v>
      </c>
      <c r="P76" s="4">
        <v>117.5</v>
      </c>
    </row>
    <row r="77" spans="2:18" x14ac:dyDescent="0.3">
      <c r="B77" t="s">
        <v>5</v>
      </c>
      <c r="P77" s="4">
        <v>219.9</v>
      </c>
    </row>
    <row r="78" spans="2:18" x14ac:dyDescent="0.3">
      <c r="B78" t="s">
        <v>95</v>
      </c>
      <c r="P78" s="4">
        <v>1126.2</v>
      </c>
    </row>
    <row r="79" spans="2:18" x14ac:dyDescent="0.3">
      <c r="B79" t="s">
        <v>96</v>
      </c>
      <c r="P79" s="4">
        <v>3</v>
      </c>
    </row>
    <row r="80" spans="2:18" x14ac:dyDescent="0.3">
      <c r="B80" t="s">
        <v>98</v>
      </c>
      <c r="P80" s="4">
        <v>9.5</v>
      </c>
    </row>
    <row r="81" spans="2:16" s="1" customFormat="1" x14ac:dyDescent="0.3">
      <c r="B81" s="1" t="s">
        <v>99</v>
      </c>
      <c r="P81" s="8">
        <f>SUM(P75:P80)</f>
        <v>1523.7</v>
      </c>
    </row>
    <row r="82" spans="2:16" s="1" customFormat="1" x14ac:dyDescent="0.3">
      <c r="B82" s="1" t="s">
        <v>100</v>
      </c>
      <c r="P82" s="8">
        <v>619.4</v>
      </c>
    </row>
    <row r="83" spans="2:16" s="12" customFormat="1" x14ac:dyDescent="0.3">
      <c r="B83" s="12" t="s">
        <v>101</v>
      </c>
      <c r="P83" s="11">
        <f>P74+P81+P82</f>
        <v>2530.5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2024-11-15T14:35:09Z</dcterms:created>
  <dcterms:modified xsi:type="dcterms:W3CDTF">2026-02-23T09:52:55Z</dcterms:modified>
</cp:coreProperties>
</file>