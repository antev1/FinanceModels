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43BF1416-CFC2-45F9-AF72-CD8A5D30DB16}" xr6:coauthVersionLast="47" xr6:coauthVersionMax="47" xr10:uidLastSave="{00000000-0000-0000-0000-000000000000}"/>
  <bookViews>
    <workbookView xWindow="-108" yWindow="-108" windowWidth="23256" windowHeight="12576" xr2:uid="{160E3FAB-17BC-4ADC-8722-2695A6B3C06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08" i="2" l="1"/>
  <c r="AE108" i="2" s="1"/>
  <c r="AF108" i="2" s="1"/>
  <c r="AG108" i="2" s="1"/>
  <c r="AH108" i="2" s="1"/>
  <c r="AI108" i="2" s="1"/>
  <c r="AJ108" i="2" s="1"/>
  <c r="AK108" i="2" s="1"/>
  <c r="AL108" i="2" s="1"/>
  <c r="AC108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35" i="2"/>
  <c r="AB134" i="2"/>
  <c r="R136" i="2"/>
  <c r="R137" i="2" s="1"/>
  <c r="Q136" i="2"/>
  <c r="Q137" i="2" s="1"/>
  <c r="R133" i="2"/>
  <c r="Q133" i="2"/>
  <c r="Y101" i="2"/>
  <c r="X101" i="2"/>
  <c r="Y100" i="2"/>
  <c r="X100" i="2"/>
  <c r="Y99" i="2"/>
  <c r="X99" i="2"/>
  <c r="Y98" i="2"/>
  <c r="X98" i="2"/>
  <c r="Y97" i="2"/>
  <c r="X97" i="2"/>
  <c r="Y96" i="2"/>
  <c r="X96" i="2"/>
  <c r="Y95" i="2"/>
  <c r="X95" i="2"/>
  <c r="X56" i="2"/>
  <c r="X91" i="2"/>
  <c r="X83" i="2"/>
  <c r="X72" i="2"/>
  <c r="X61" i="2"/>
  <c r="X55" i="2"/>
  <c r="Y56" i="2"/>
  <c r="Y61" i="2" s="1"/>
  <c r="Y91" i="2"/>
  <c r="Y83" i="2"/>
  <c r="Y72" i="2"/>
  <c r="X93" i="2" l="1"/>
  <c r="X73" i="2"/>
  <c r="Y93" i="2"/>
  <c r="Y73" i="2"/>
  <c r="Y55" i="2"/>
  <c r="Z100" i="2"/>
  <c r="P100" i="2"/>
  <c r="M100" i="2"/>
  <c r="L100" i="2"/>
  <c r="K100" i="2"/>
  <c r="J100" i="2"/>
  <c r="AA92" i="2"/>
  <c r="AA100" i="2" s="1"/>
  <c r="AA91" i="2"/>
  <c r="AA83" i="2"/>
  <c r="AA72" i="2"/>
  <c r="AA56" i="2"/>
  <c r="AA61" i="2" s="1"/>
  <c r="N92" i="2"/>
  <c r="N100" i="2" s="1"/>
  <c r="N56" i="2"/>
  <c r="N55" i="2" s="1"/>
  <c r="N91" i="2"/>
  <c r="N83" i="2"/>
  <c r="N72" i="2"/>
  <c r="O92" i="2"/>
  <c r="O100" i="2" s="1"/>
  <c r="O56" i="2"/>
  <c r="O61" i="2" s="1"/>
  <c r="O91" i="2"/>
  <c r="O83" i="2"/>
  <c r="O72" i="2"/>
  <c r="O98" i="2" l="1"/>
  <c r="O99" i="2"/>
  <c r="AA99" i="2"/>
  <c r="AA98" i="2"/>
  <c r="AA93" i="2"/>
  <c r="AA55" i="2"/>
  <c r="AA73" i="2"/>
  <c r="N93" i="2"/>
  <c r="N61" i="2"/>
  <c r="O93" i="2"/>
  <c r="O73" i="2"/>
  <c r="O55" i="2"/>
  <c r="O97" i="2" l="1"/>
  <c r="O101" i="2"/>
  <c r="AA97" i="2"/>
  <c r="AA101" i="2"/>
  <c r="N73" i="2"/>
  <c r="N98" i="2"/>
  <c r="N99" i="2"/>
  <c r="N97" i="2" l="1"/>
  <c r="N101" i="2"/>
  <c r="Z91" i="2" l="1"/>
  <c r="Z83" i="2"/>
  <c r="Z72" i="2"/>
  <c r="Z56" i="2"/>
  <c r="Z61" i="2" s="1"/>
  <c r="Z55" i="2"/>
  <c r="P56" i="2"/>
  <c r="P55" i="2" s="1"/>
  <c r="P91" i="2"/>
  <c r="P83" i="2"/>
  <c r="P72" i="2"/>
  <c r="Q3" i="2"/>
  <c r="P135" i="2"/>
  <c r="P134" i="2"/>
  <c r="P131" i="2"/>
  <c r="P132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K131" i="2"/>
  <c r="L131" i="2" s="1"/>
  <c r="M131" i="2" s="1"/>
  <c r="AL34" i="2"/>
  <c r="AK34" i="2"/>
  <c r="AJ34" i="2"/>
  <c r="AI34" i="2"/>
  <c r="AH34" i="2"/>
  <c r="AG34" i="2"/>
  <c r="AF34" i="2"/>
  <c r="AE34" i="2"/>
  <c r="AD34" i="2"/>
  <c r="AC34" i="2"/>
  <c r="AB34" i="2"/>
  <c r="R34" i="2"/>
  <c r="Q34" i="2"/>
  <c r="P34" i="2"/>
  <c r="P27" i="2"/>
  <c r="Q6" i="2"/>
  <c r="D7" i="1"/>
  <c r="D6" i="1"/>
  <c r="D4" i="1"/>
  <c r="Z73" i="2" l="1"/>
  <c r="Z99" i="2"/>
  <c r="Z98" i="2"/>
  <c r="Z93" i="2"/>
  <c r="P136" i="2"/>
  <c r="P61" i="2"/>
  <c r="P93" i="2"/>
  <c r="P73" i="2"/>
  <c r="AC134" i="2"/>
  <c r="AC106" i="2"/>
  <c r="AD106" i="2" s="1"/>
  <c r="AE106" i="2" s="1"/>
  <c r="AF106" i="2" s="1"/>
  <c r="AG106" i="2" s="1"/>
  <c r="AH106" i="2" s="1"/>
  <c r="AI106" i="2" s="1"/>
  <c r="AJ106" i="2" s="1"/>
  <c r="AK106" i="2" s="1"/>
  <c r="AL106" i="2" s="1"/>
  <c r="AC105" i="2"/>
  <c r="AD105" i="2" s="1"/>
  <c r="AE105" i="2" s="1"/>
  <c r="AF105" i="2" s="1"/>
  <c r="AC135" i="2"/>
  <c r="AD135" i="2" s="1"/>
  <c r="AE135" i="2" s="1"/>
  <c r="AF135" i="2" s="1"/>
  <c r="AG135" i="2" s="1"/>
  <c r="AH135" i="2" s="1"/>
  <c r="AI135" i="2" s="1"/>
  <c r="AJ135" i="2" s="1"/>
  <c r="AK135" i="2" s="1"/>
  <c r="AL135" i="2" s="1"/>
  <c r="O136" i="2"/>
  <c r="Q18" i="2"/>
  <c r="Q50" i="2" s="1"/>
  <c r="AB32" i="2"/>
  <c r="AB29" i="2"/>
  <c r="AB28" i="2"/>
  <c r="AB27" i="2"/>
  <c r="AB26" i="2"/>
  <c r="AB25" i="2"/>
  <c r="AB24" i="2"/>
  <c r="AB21" i="2"/>
  <c r="AB20" i="2"/>
  <c r="AB19" i="2"/>
  <c r="AB14" i="2"/>
  <c r="AB13" i="2"/>
  <c r="AB12" i="2"/>
  <c r="AB11" i="2"/>
  <c r="AB10" i="2"/>
  <c r="R30" i="2"/>
  <c r="Q30" i="2"/>
  <c r="P30" i="2"/>
  <c r="P22" i="2"/>
  <c r="Q17" i="2"/>
  <c r="Q49" i="2" s="1"/>
  <c r="P49" i="2"/>
  <c r="P40" i="2"/>
  <c r="P15" i="2"/>
  <c r="Q5" i="2"/>
  <c r="Q45" i="2" s="1"/>
  <c r="P45" i="2"/>
  <c r="Q4" i="2"/>
  <c r="Q38" i="2" s="1"/>
  <c r="P44" i="2"/>
  <c r="AB7" i="2"/>
  <c r="O30" i="2"/>
  <c r="O22" i="2"/>
  <c r="O15" i="2"/>
  <c r="O34" i="2"/>
  <c r="O37" i="2"/>
  <c r="O45" i="2"/>
  <c r="Q37" i="2"/>
  <c r="O46" i="2"/>
  <c r="O38" i="2"/>
  <c r="P50" i="2"/>
  <c r="O50" i="2"/>
  <c r="O49" i="2"/>
  <c r="R47" i="2"/>
  <c r="Q47" i="2"/>
  <c r="P47" i="2"/>
  <c r="O47" i="2"/>
  <c r="Q41" i="2"/>
  <c r="P41" i="2"/>
  <c r="O41" i="2"/>
  <c r="O40" i="2"/>
  <c r="P39" i="2"/>
  <c r="O39" i="2"/>
  <c r="V136" i="2"/>
  <c r="X50" i="2"/>
  <c r="W50" i="2"/>
  <c r="V50" i="2"/>
  <c r="U50" i="2"/>
  <c r="X49" i="2"/>
  <c r="W49" i="2"/>
  <c r="V49" i="2"/>
  <c r="U49" i="2"/>
  <c r="X47" i="2"/>
  <c r="W47" i="2"/>
  <c r="V47" i="2"/>
  <c r="T47" i="2"/>
  <c r="X46" i="2"/>
  <c r="W46" i="2"/>
  <c r="V46" i="2"/>
  <c r="U46" i="2"/>
  <c r="T46" i="2"/>
  <c r="X45" i="2"/>
  <c r="W45" i="2"/>
  <c r="V45" i="2"/>
  <c r="U45" i="2"/>
  <c r="T45" i="2"/>
  <c r="X44" i="2"/>
  <c r="W44" i="2"/>
  <c r="V44" i="2"/>
  <c r="U44" i="2"/>
  <c r="T44" i="2"/>
  <c r="X43" i="2"/>
  <c r="W43" i="2"/>
  <c r="V43" i="2"/>
  <c r="U43" i="2"/>
  <c r="T43" i="2"/>
  <c r="X41" i="2"/>
  <c r="W41" i="2"/>
  <c r="U41" i="2"/>
  <c r="X40" i="2"/>
  <c r="W40" i="2"/>
  <c r="V40" i="2"/>
  <c r="U40" i="2"/>
  <c r="X39" i="2"/>
  <c r="W39" i="2"/>
  <c r="V39" i="2"/>
  <c r="U39" i="2"/>
  <c r="X38" i="2"/>
  <c r="W38" i="2"/>
  <c r="V38" i="2"/>
  <c r="U38" i="2"/>
  <c r="X37" i="2"/>
  <c r="W37" i="2"/>
  <c r="V37" i="2"/>
  <c r="U37" i="2"/>
  <c r="T34" i="2"/>
  <c r="T30" i="2"/>
  <c r="T22" i="2"/>
  <c r="T15" i="2"/>
  <c r="T8" i="2"/>
  <c r="U34" i="2"/>
  <c r="U30" i="2"/>
  <c r="U22" i="2"/>
  <c r="U15" i="2"/>
  <c r="U8" i="2"/>
  <c r="V34" i="2"/>
  <c r="V30" i="2"/>
  <c r="V22" i="2"/>
  <c r="V15" i="2"/>
  <c r="V8" i="2"/>
  <c r="W34" i="2"/>
  <c r="W30" i="2"/>
  <c r="W22" i="2"/>
  <c r="W15" i="2"/>
  <c r="W8" i="2"/>
  <c r="W136" i="2"/>
  <c r="X136" i="2"/>
  <c r="Y122" i="2"/>
  <c r="Y136" i="2"/>
  <c r="P97" i="2" l="1"/>
  <c r="P101" i="2"/>
  <c r="Z97" i="2"/>
  <c r="Z101" i="2"/>
  <c r="P98" i="2"/>
  <c r="P99" i="2"/>
  <c r="V42" i="2"/>
  <c r="U42" i="2"/>
  <c r="W42" i="2"/>
  <c r="Q9" i="2"/>
  <c r="Q43" i="2" s="1"/>
  <c r="Q22" i="2"/>
  <c r="AC136" i="2"/>
  <c r="AD134" i="2"/>
  <c r="AD136" i="2" s="1"/>
  <c r="Q46" i="2"/>
  <c r="Q44" i="2"/>
  <c r="P38" i="2"/>
  <c r="AG105" i="2"/>
  <c r="AH105" i="2" s="1"/>
  <c r="AI105" i="2" s="1"/>
  <c r="AB136" i="2"/>
  <c r="O43" i="2"/>
  <c r="O8" i="2"/>
  <c r="O44" i="2"/>
  <c r="Q39" i="2"/>
  <c r="Q40" i="2"/>
  <c r="Q8" i="2"/>
  <c r="P46" i="2"/>
  <c r="P8" i="2"/>
  <c r="P96" i="2" s="1"/>
  <c r="P37" i="2"/>
  <c r="P43" i="2"/>
  <c r="T16" i="2"/>
  <c r="U16" i="2"/>
  <c r="V16" i="2"/>
  <c r="W16" i="2"/>
  <c r="Z136" i="2"/>
  <c r="Z114" i="2"/>
  <c r="N32" i="2"/>
  <c r="N28" i="2"/>
  <c r="N27" i="2"/>
  <c r="N26" i="2"/>
  <c r="N25" i="2"/>
  <c r="N24" i="2"/>
  <c r="N21" i="2"/>
  <c r="N20" i="2"/>
  <c r="N19" i="2"/>
  <c r="N18" i="2"/>
  <c r="R18" i="2" s="1"/>
  <c r="R50" i="2" s="1"/>
  <c r="N17" i="2"/>
  <c r="R17" i="2" s="1"/>
  <c r="N14" i="2"/>
  <c r="N13" i="2"/>
  <c r="N12" i="2"/>
  <c r="N11" i="2"/>
  <c r="N10" i="2"/>
  <c r="N9" i="2"/>
  <c r="N7" i="2"/>
  <c r="R41" i="2" s="1"/>
  <c r="N6" i="2"/>
  <c r="R6" i="2" s="1"/>
  <c r="N5" i="2"/>
  <c r="R5" i="2" s="1"/>
  <c r="N4" i="2"/>
  <c r="R4" i="2" s="1"/>
  <c r="R44" i="2" s="1"/>
  <c r="N3" i="2"/>
  <c r="AA136" i="2"/>
  <c r="K136" i="2"/>
  <c r="O140" i="2" s="1"/>
  <c r="G136" i="2"/>
  <c r="N131" i="2"/>
  <c r="AA29" i="2"/>
  <c r="AA34" i="2"/>
  <c r="N34" i="2"/>
  <c r="J153" i="2"/>
  <c r="K91" i="2"/>
  <c r="K83" i="2"/>
  <c r="K56" i="2"/>
  <c r="K55" i="2" s="1"/>
  <c r="K72" i="2"/>
  <c r="O16" i="2" l="1"/>
  <c r="O23" i="2" s="1"/>
  <c r="O31" i="2" s="1"/>
  <c r="O52" i="2" s="1"/>
  <c r="O96" i="2"/>
  <c r="R3" i="2"/>
  <c r="R9" i="2" s="1"/>
  <c r="AB18" i="2"/>
  <c r="AC18" i="2" s="1"/>
  <c r="R49" i="2"/>
  <c r="AB17" i="2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R22" i="2"/>
  <c r="Q15" i="2"/>
  <c r="Q16" i="2" s="1"/>
  <c r="AB5" i="2"/>
  <c r="R45" i="2"/>
  <c r="U23" i="2"/>
  <c r="U48" i="2"/>
  <c r="AB6" i="2"/>
  <c r="R40" i="2"/>
  <c r="T23" i="2"/>
  <c r="T48" i="2"/>
  <c r="R39" i="2"/>
  <c r="W23" i="2"/>
  <c r="W48" i="2"/>
  <c r="R46" i="2"/>
  <c r="V23" i="2"/>
  <c r="V48" i="2"/>
  <c r="R38" i="2"/>
  <c r="AB4" i="2"/>
  <c r="P16" i="2"/>
  <c r="P23" i="2" s="1"/>
  <c r="P31" i="2" s="1"/>
  <c r="P52" i="2" s="1"/>
  <c r="AE134" i="2"/>
  <c r="AF134" i="2" s="1"/>
  <c r="AJ105" i="2"/>
  <c r="K140" i="2"/>
  <c r="K61" i="2"/>
  <c r="K93" i="2"/>
  <c r="K73" i="2" l="1"/>
  <c r="K99" i="2"/>
  <c r="K98" i="2"/>
  <c r="O33" i="2"/>
  <c r="O104" i="2" s="1"/>
  <c r="O133" i="2" s="1"/>
  <c r="O137" i="2" s="1"/>
  <c r="O51" i="2"/>
  <c r="O48" i="2"/>
  <c r="O53" i="2"/>
  <c r="O95" i="2"/>
  <c r="AB3" i="2"/>
  <c r="R8" i="2"/>
  <c r="R37" i="2"/>
  <c r="R43" i="2"/>
  <c r="AB9" i="2"/>
  <c r="R15" i="2"/>
  <c r="Q23" i="2"/>
  <c r="Q31" i="2" s="1"/>
  <c r="Q48" i="2"/>
  <c r="W31" i="2"/>
  <c r="W51" i="2"/>
  <c r="V31" i="2"/>
  <c r="V51" i="2"/>
  <c r="T31" i="2"/>
  <c r="T51" i="2"/>
  <c r="U31" i="2"/>
  <c r="U51" i="2"/>
  <c r="P33" i="2"/>
  <c r="P95" i="2" s="1"/>
  <c r="P48" i="2"/>
  <c r="P51" i="2"/>
  <c r="AE136" i="2"/>
  <c r="AK105" i="2"/>
  <c r="AF136" i="2"/>
  <c r="AG134" i="2"/>
  <c r="H135" i="2"/>
  <c r="I135" i="2" s="1"/>
  <c r="J135" i="2" s="1"/>
  <c r="H134" i="2"/>
  <c r="H132" i="2"/>
  <c r="I132" i="2" s="1"/>
  <c r="J132" i="2" s="1"/>
  <c r="H130" i="2"/>
  <c r="I130" i="2" s="1"/>
  <c r="J130" i="2" s="1"/>
  <c r="H129" i="2"/>
  <c r="I129" i="2" s="1"/>
  <c r="J129" i="2" s="1"/>
  <c r="H128" i="2"/>
  <c r="I128" i="2" s="1"/>
  <c r="J128" i="2" s="1"/>
  <c r="H127" i="2"/>
  <c r="I127" i="2" s="1"/>
  <c r="J127" i="2" s="1"/>
  <c r="H126" i="2"/>
  <c r="I126" i="2" s="1"/>
  <c r="J126" i="2" s="1"/>
  <c r="H125" i="2"/>
  <c r="I125" i="2" s="1"/>
  <c r="J125" i="2" s="1"/>
  <c r="H124" i="2"/>
  <c r="I124" i="2" s="1"/>
  <c r="J124" i="2" s="1"/>
  <c r="H123" i="2"/>
  <c r="I123" i="2" s="1"/>
  <c r="J123" i="2" s="1"/>
  <c r="H122" i="2"/>
  <c r="I122" i="2" s="1"/>
  <c r="J122" i="2" s="1"/>
  <c r="H121" i="2"/>
  <c r="I121" i="2" s="1"/>
  <c r="J121" i="2" s="1"/>
  <c r="H120" i="2"/>
  <c r="I120" i="2" s="1"/>
  <c r="J120" i="2" s="1"/>
  <c r="H119" i="2"/>
  <c r="I119" i="2" s="1"/>
  <c r="J119" i="2" s="1"/>
  <c r="H118" i="2"/>
  <c r="I118" i="2" s="1"/>
  <c r="J118" i="2" s="1"/>
  <c r="H117" i="2"/>
  <c r="I117" i="2" s="1"/>
  <c r="J117" i="2" s="1"/>
  <c r="H116" i="2"/>
  <c r="I116" i="2" s="1"/>
  <c r="J116" i="2" s="1"/>
  <c r="H115" i="2"/>
  <c r="I115" i="2" s="1"/>
  <c r="J115" i="2" s="1"/>
  <c r="H114" i="2"/>
  <c r="I114" i="2" s="1"/>
  <c r="J114" i="2" s="1"/>
  <c r="H113" i="2"/>
  <c r="I113" i="2" s="1"/>
  <c r="J113" i="2" s="1"/>
  <c r="H112" i="2"/>
  <c r="I112" i="2" s="1"/>
  <c r="J112" i="2" s="1"/>
  <c r="H111" i="2"/>
  <c r="I111" i="2" s="1"/>
  <c r="J111" i="2" s="1"/>
  <c r="H110" i="2"/>
  <c r="I110" i="2" s="1"/>
  <c r="J110" i="2" s="1"/>
  <c r="H109" i="2"/>
  <c r="I109" i="2" s="1"/>
  <c r="J109" i="2" s="1"/>
  <c r="H108" i="2"/>
  <c r="I108" i="2" s="1"/>
  <c r="J108" i="2" s="1"/>
  <c r="H107" i="2"/>
  <c r="I107" i="2" s="1"/>
  <c r="J107" i="2" s="1"/>
  <c r="H106" i="2"/>
  <c r="I106" i="2" s="1"/>
  <c r="J106" i="2" s="1"/>
  <c r="H105" i="2"/>
  <c r="I105" i="2" s="1"/>
  <c r="J105" i="2" s="1"/>
  <c r="L135" i="2"/>
  <c r="M135" i="2" s="1"/>
  <c r="N135" i="2" s="1"/>
  <c r="L134" i="2"/>
  <c r="L132" i="2"/>
  <c r="M132" i="2" s="1"/>
  <c r="N132" i="2" s="1"/>
  <c r="L130" i="2"/>
  <c r="M130" i="2" s="1"/>
  <c r="N130" i="2" s="1"/>
  <c r="L129" i="2"/>
  <c r="M129" i="2" s="1"/>
  <c r="N129" i="2" s="1"/>
  <c r="L128" i="2"/>
  <c r="M128" i="2" s="1"/>
  <c r="N128" i="2" s="1"/>
  <c r="L127" i="2"/>
  <c r="M127" i="2" s="1"/>
  <c r="N127" i="2" s="1"/>
  <c r="L126" i="2"/>
  <c r="M126" i="2" s="1"/>
  <c r="N126" i="2" s="1"/>
  <c r="L125" i="2"/>
  <c r="M125" i="2" s="1"/>
  <c r="N125" i="2" s="1"/>
  <c r="L124" i="2"/>
  <c r="M124" i="2" s="1"/>
  <c r="N124" i="2" s="1"/>
  <c r="L123" i="2"/>
  <c r="M123" i="2" s="1"/>
  <c r="N123" i="2" s="1"/>
  <c r="L122" i="2"/>
  <c r="M122" i="2" s="1"/>
  <c r="N122" i="2" s="1"/>
  <c r="L121" i="2"/>
  <c r="M121" i="2" s="1"/>
  <c r="N121" i="2" s="1"/>
  <c r="L120" i="2"/>
  <c r="M120" i="2" s="1"/>
  <c r="N120" i="2" s="1"/>
  <c r="L119" i="2"/>
  <c r="M119" i="2" s="1"/>
  <c r="N119" i="2" s="1"/>
  <c r="L118" i="2"/>
  <c r="M118" i="2" s="1"/>
  <c r="N118" i="2" s="1"/>
  <c r="L117" i="2"/>
  <c r="M117" i="2" s="1"/>
  <c r="N117" i="2" s="1"/>
  <c r="L116" i="2"/>
  <c r="M116" i="2" s="1"/>
  <c r="N116" i="2" s="1"/>
  <c r="L115" i="2"/>
  <c r="M115" i="2" s="1"/>
  <c r="N115" i="2" s="1"/>
  <c r="L114" i="2"/>
  <c r="M114" i="2" s="1"/>
  <c r="N114" i="2" s="1"/>
  <c r="L113" i="2"/>
  <c r="M113" i="2" s="1"/>
  <c r="N113" i="2" s="1"/>
  <c r="L112" i="2"/>
  <c r="M112" i="2" s="1"/>
  <c r="N112" i="2" s="1"/>
  <c r="L111" i="2"/>
  <c r="M111" i="2" s="1"/>
  <c r="N111" i="2" s="1"/>
  <c r="L110" i="2"/>
  <c r="M110" i="2" s="1"/>
  <c r="N110" i="2" s="1"/>
  <c r="L109" i="2"/>
  <c r="M109" i="2" s="1"/>
  <c r="N109" i="2" s="1"/>
  <c r="L108" i="2"/>
  <c r="M108" i="2" s="1"/>
  <c r="N108" i="2" s="1"/>
  <c r="L107" i="2"/>
  <c r="M107" i="2" s="1"/>
  <c r="N107" i="2" s="1"/>
  <c r="L106" i="2"/>
  <c r="M106" i="2" s="1"/>
  <c r="N106" i="2" s="1"/>
  <c r="L105" i="2"/>
  <c r="M105" i="2" s="1"/>
  <c r="N105" i="2" s="1"/>
  <c r="L56" i="2"/>
  <c r="L61" i="2" s="1"/>
  <c r="L91" i="2"/>
  <c r="L83" i="2"/>
  <c r="L72" i="2"/>
  <c r="J56" i="2"/>
  <c r="J55" i="2" s="1"/>
  <c r="J91" i="2"/>
  <c r="J83" i="2"/>
  <c r="J72" i="2"/>
  <c r="M91" i="2"/>
  <c r="M83" i="2"/>
  <c r="M72" i="2"/>
  <c r="M56" i="2"/>
  <c r="M55" i="2" s="1"/>
  <c r="O35" i="2" l="1"/>
  <c r="K97" i="2"/>
  <c r="K101" i="2"/>
  <c r="L99" i="2"/>
  <c r="L98" i="2"/>
  <c r="R16" i="2"/>
  <c r="R23" i="2" s="1"/>
  <c r="R31" i="2" s="1"/>
  <c r="Q51" i="2"/>
  <c r="Q33" i="2"/>
  <c r="Q52" i="2"/>
  <c r="V33" i="2"/>
  <c r="V52" i="2"/>
  <c r="W33" i="2"/>
  <c r="W52" i="2"/>
  <c r="U33" i="2"/>
  <c r="U52" i="2"/>
  <c r="P35" i="2"/>
  <c r="P104" i="2"/>
  <c r="T33" i="2"/>
  <c r="T52" i="2"/>
  <c r="P53" i="2"/>
  <c r="AL105" i="2"/>
  <c r="AH134" i="2"/>
  <c r="AG136" i="2"/>
  <c r="I134" i="2"/>
  <c r="H136" i="2"/>
  <c r="M134" i="2"/>
  <c r="L136" i="2"/>
  <c r="L140" i="2" s="1"/>
  <c r="L55" i="2"/>
  <c r="L93" i="2"/>
  <c r="L73" i="2"/>
  <c r="M93" i="2"/>
  <c r="J93" i="2"/>
  <c r="J61" i="2"/>
  <c r="M61" i="2"/>
  <c r="AP44" i="2"/>
  <c r="N22" i="2"/>
  <c r="X8" i="2"/>
  <c r="X42" i="2" s="1"/>
  <c r="L97" i="2" l="1"/>
  <c r="L101" i="2"/>
  <c r="M73" i="2"/>
  <c r="M98" i="2"/>
  <c r="M99" i="2"/>
  <c r="J73" i="2"/>
  <c r="J98" i="2"/>
  <c r="J99" i="2"/>
  <c r="R51" i="2"/>
  <c r="R48" i="2"/>
  <c r="R52" i="2"/>
  <c r="R33" i="2"/>
  <c r="Q35" i="2"/>
  <c r="Q53" i="2"/>
  <c r="Q104" i="2"/>
  <c r="U35" i="2"/>
  <c r="U53" i="2"/>
  <c r="P143" i="2"/>
  <c r="P172" i="2" s="1"/>
  <c r="P133" i="2"/>
  <c r="P137" i="2" s="1"/>
  <c r="W104" i="2"/>
  <c r="W133" i="2" s="1"/>
  <c r="W137" i="2" s="1"/>
  <c r="W53" i="2"/>
  <c r="W35" i="2"/>
  <c r="T35" i="2"/>
  <c r="T53" i="2"/>
  <c r="V35" i="2"/>
  <c r="V104" i="2"/>
  <c r="V133" i="2" s="1"/>
  <c r="V137" i="2" s="1"/>
  <c r="V53" i="2"/>
  <c r="AH136" i="2"/>
  <c r="AI134" i="2"/>
  <c r="J134" i="2"/>
  <c r="J136" i="2" s="1"/>
  <c r="I136" i="2"/>
  <c r="N134" i="2"/>
  <c r="N136" i="2" s="1"/>
  <c r="M136" i="2"/>
  <c r="I47" i="2"/>
  <c r="I46" i="2"/>
  <c r="I45" i="2"/>
  <c r="I44" i="2"/>
  <c r="I43" i="2"/>
  <c r="M50" i="2"/>
  <c r="M49" i="2"/>
  <c r="N47" i="2"/>
  <c r="M47" i="2"/>
  <c r="N46" i="2"/>
  <c r="M46" i="2"/>
  <c r="N45" i="2"/>
  <c r="M45" i="2"/>
  <c r="M44" i="2"/>
  <c r="M43" i="2"/>
  <c r="M41" i="2"/>
  <c r="M40" i="2"/>
  <c r="M39" i="2"/>
  <c r="M38" i="2"/>
  <c r="M37" i="2"/>
  <c r="I29" i="2"/>
  <c r="J29" i="2" s="1"/>
  <c r="I22" i="2"/>
  <c r="I15" i="2"/>
  <c r="I8" i="2"/>
  <c r="M30" i="2"/>
  <c r="M22" i="2"/>
  <c r="M15" i="2"/>
  <c r="M8" i="2"/>
  <c r="AC25" i="2"/>
  <c r="AD25" i="2" s="1"/>
  <c r="AE25" i="2" s="1"/>
  <c r="AF25" i="2" s="1"/>
  <c r="AG25" i="2" s="1"/>
  <c r="AH25" i="2" s="1"/>
  <c r="AI25" i="2" s="1"/>
  <c r="AJ25" i="2" s="1"/>
  <c r="AK25" i="2" s="1"/>
  <c r="AL25" i="2" s="1"/>
  <c r="J32" i="2"/>
  <c r="J28" i="2"/>
  <c r="J27" i="2"/>
  <c r="J26" i="2"/>
  <c r="J25" i="2"/>
  <c r="J24" i="2"/>
  <c r="J21" i="2"/>
  <c r="J20" i="2"/>
  <c r="J19" i="2"/>
  <c r="J18" i="2"/>
  <c r="N50" i="2" s="1"/>
  <c r="J17" i="2"/>
  <c r="N49" i="2" s="1"/>
  <c r="J14" i="2"/>
  <c r="J13" i="2"/>
  <c r="J12" i="2"/>
  <c r="J11" i="2"/>
  <c r="J10" i="2"/>
  <c r="J9" i="2"/>
  <c r="J34" i="2"/>
  <c r="J7" i="2"/>
  <c r="N41" i="2" s="1"/>
  <c r="J6" i="2"/>
  <c r="J5" i="2"/>
  <c r="J4" i="2"/>
  <c r="J3" i="2"/>
  <c r="Z50" i="2"/>
  <c r="Z49" i="2"/>
  <c r="Z47" i="2"/>
  <c r="Z46" i="2"/>
  <c r="Z45" i="2"/>
  <c r="Z44" i="2"/>
  <c r="Z43" i="2"/>
  <c r="Z41" i="2"/>
  <c r="Z40" i="2"/>
  <c r="Z39" i="2"/>
  <c r="Z38" i="2"/>
  <c r="Z37" i="2"/>
  <c r="Y50" i="2"/>
  <c r="Y49" i="2"/>
  <c r="Y41" i="2"/>
  <c r="Y40" i="2"/>
  <c r="Y39" i="2"/>
  <c r="Y38" i="2"/>
  <c r="Y37" i="2"/>
  <c r="Y47" i="2"/>
  <c r="Y46" i="2"/>
  <c r="Y45" i="2"/>
  <c r="Y44" i="2"/>
  <c r="Y43" i="2"/>
  <c r="H47" i="2"/>
  <c r="G47" i="2"/>
  <c r="H46" i="2"/>
  <c r="G46" i="2"/>
  <c r="H45" i="2"/>
  <c r="G45" i="2"/>
  <c r="H44" i="2"/>
  <c r="G44" i="2"/>
  <c r="H43" i="2"/>
  <c r="G43" i="2"/>
  <c r="K50" i="2"/>
  <c r="K49" i="2"/>
  <c r="K47" i="2"/>
  <c r="K46" i="2"/>
  <c r="K45" i="2"/>
  <c r="K44" i="2"/>
  <c r="K43" i="2"/>
  <c r="L50" i="2"/>
  <c r="L49" i="2"/>
  <c r="L47" i="2"/>
  <c r="L46" i="2"/>
  <c r="L45" i="2"/>
  <c r="L44" i="2"/>
  <c r="L43" i="2"/>
  <c r="L41" i="2"/>
  <c r="K41" i="2"/>
  <c r="L40" i="2"/>
  <c r="K40" i="2"/>
  <c r="L39" i="2"/>
  <c r="K39" i="2"/>
  <c r="L38" i="2"/>
  <c r="K38" i="2"/>
  <c r="K37" i="2"/>
  <c r="L37" i="2"/>
  <c r="X34" i="2"/>
  <c r="X30" i="2"/>
  <c r="X22" i="2"/>
  <c r="X15" i="2"/>
  <c r="Y29" i="2"/>
  <c r="Y30" i="2" s="1"/>
  <c r="Y34" i="2"/>
  <c r="Y22" i="2"/>
  <c r="Y15" i="2"/>
  <c r="Y8" i="2"/>
  <c r="Y42" i="2" s="1"/>
  <c r="Z34" i="2"/>
  <c r="Z30" i="2"/>
  <c r="Z22" i="2"/>
  <c r="Z15" i="2"/>
  <c r="Z8" i="2"/>
  <c r="Z96" i="2" s="1"/>
  <c r="G34" i="2"/>
  <c r="G30" i="2"/>
  <c r="G22" i="2"/>
  <c r="G15" i="2"/>
  <c r="G8" i="2"/>
  <c r="K29" i="2"/>
  <c r="K34" i="2"/>
  <c r="K22" i="2"/>
  <c r="K15" i="2"/>
  <c r="K8" i="2"/>
  <c r="H34" i="2"/>
  <c r="H30" i="2"/>
  <c r="H22" i="2"/>
  <c r="H15" i="2"/>
  <c r="H8" i="2"/>
  <c r="L34" i="2"/>
  <c r="L30" i="2"/>
  <c r="L22" i="2"/>
  <c r="L15" i="2"/>
  <c r="L8" i="2"/>
  <c r="D5" i="1"/>
  <c r="F3" i="1"/>
  <c r="J97" i="2" l="1"/>
  <c r="J101" i="2"/>
  <c r="M97" i="2"/>
  <c r="M101" i="2"/>
  <c r="Q42" i="2"/>
  <c r="M96" i="2"/>
  <c r="O42" i="2"/>
  <c r="K96" i="2"/>
  <c r="P42" i="2"/>
  <c r="L96" i="2"/>
  <c r="N140" i="2"/>
  <c r="R53" i="2"/>
  <c r="R104" i="2"/>
  <c r="R35" i="2"/>
  <c r="M140" i="2"/>
  <c r="AJ134" i="2"/>
  <c r="AI136" i="2"/>
  <c r="K30" i="2"/>
  <c r="N29" i="2"/>
  <c r="N30" i="2" s="1"/>
  <c r="I30" i="2"/>
  <c r="L42" i="2"/>
  <c r="M42" i="2"/>
  <c r="K42" i="2"/>
  <c r="AC4" i="2"/>
  <c r="AB38" i="2"/>
  <c r="AB44" i="2"/>
  <c r="N15" i="2"/>
  <c r="AA39" i="2"/>
  <c r="AA40" i="2"/>
  <c r="AA49" i="2"/>
  <c r="AA47" i="2"/>
  <c r="Z42" i="2"/>
  <c r="J45" i="2"/>
  <c r="AC29" i="2"/>
  <c r="AD29" i="2" s="1"/>
  <c r="AE29" i="2" s="1"/>
  <c r="AF29" i="2" s="1"/>
  <c r="J46" i="2"/>
  <c r="N40" i="2"/>
  <c r="N8" i="2"/>
  <c r="J47" i="2"/>
  <c r="AC24" i="2"/>
  <c r="AA50" i="2"/>
  <c r="AA38" i="2"/>
  <c r="AA44" i="2"/>
  <c r="N38" i="2"/>
  <c r="N44" i="2"/>
  <c r="N43" i="2"/>
  <c r="N37" i="2"/>
  <c r="AA41" i="2"/>
  <c r="N39" i="2"/>
  <c r="J43" i="2"/>
  <c r="J44" i="2"/>
  <c r="AA46" i="2"/>
  <c r="AA45" i="2"/>
  <c r="AA15" i="2"/>
  <c r="J15" i="2"/>
  <c r="J8" i="2"/>
  <c r="J96" i="2" s="1"/>
  <c r="I16" i="2"/>
  <c r="J30" i="2"/>
  <c r="J22" i="2"/>
  <c r="M16" i="2"/>
  <c r="AA22" i="2"/>
  <c r="D8" i="1"/>
  <c r="L16" i="2"/>
  <c r="X16" i="2"/>
  <c r="X48" i="2" s="1"/>
  <c r="Y16" i="2"/>
  <c r="Z16" i="2"/>
  <c r="G16" i="2"/>
  <c r="K16" i="2"/>
  <c r="H16" i="2"/>
  <c r="R42" i="2" l="1"/>
  <c r="N96" i="2"/>
  <c r="AJ136" i="2"/>
  <c r="AK134" i="2"/>
  <c r="D9" i="1"/>
  <c r="AP41" i="2"/>
  <c r="N42" i="2"/>
  <c r="AA30" i="2"/>
  <c r="AB46" i="2"/>
  <c r="AC6" i="2"/>
  <c r="AC13" i="2" s="1"/>
  <c r="AB40" i="2"/>
  <c r="AB45" i="2"/>
  <c r="AB39" i="2"/>
  <c r="AC5" i="2"/>
  <c r="AC12" i="2" s="1"/>
  <c r="AD4" i="2"/>
  <c r="AC10" i="2"/>
  <c r="AC38" i="2"/>
  <c r="AD24" i="2"/>
  <c r="AC30" i="2"/>
  <c r="AB30" i="2"/>
  <c r="AB47" i="2"/>
  <c r="AC7" i="2"/>
  <c r="AB41" i="2"/>
  <c r="N16" i="2"/>
  <c r="AB49" i="2"/>
  <c r="AB22" i="2"/>
  <c r="AB50" i="2"/>
  <c r="AG29" i="2"/>
  <c r="AA43" i="2"/>
  <c r="I23" i="2"/>
  <c r="I48" i="2"/>
  <c r="Z23" i="2"/>
  <c r="Z48" i="2"/>
  <c r="X23" i="2"/>
  <c r="X51" i="2" s="1"/>
  <c r="M23" i="2"/>
  <c r="M48" i="2"/>
  <c r="Y23" i="2"/>
  <c r="Y48" i="2"/>
  <c r="AA37" i="2"/>
  <c r="H23" i="2"/>
  <c r="H48" i="2"/>
  <c r="L23" i="2"/>
  <c r="L48" i="2"/>
  <c r="G23" i="2"/>
  <c r="G48" i="2"/>
  <c r="K23" i="2"/>
  <c r="K48" i="2"/>
  <c r="AA8" i="2"/>
  <c r="J16" i="2"/>
  <c r="AA42" i="2" l="1"/>
  <c r="AA96" i="2"/>
  <c r="AK136" i="2"/>
  <c r="AL134" i="2"/>
  <c r="AL136" i="2" s="1"/>
  <c r="AC49" i="2"/>
  <c r="AC11" i="2"/>
  <c r="AC44" i="2" s="1"/>
  <c r="AC45" i="2"/>
  <c r="AD5" i="2"/>
  <c r="AD12" i="2" s="1"/>
  <c r="AC39" i="2"/>
  <c r="AE24" i="2"/>
  <c r="AD30" i="2"/>
  <c r="AC46" i="2"/>
  <c r="AD6" i="2"/>
  <c r="AD13" i="2" s="1"/>
  <c r="AC40" i="2"/>
  <c r="N48" i="2"/>
  <c r="N23" i="2"/>
  <c r="AB37" i="2"/>
  <c r="AD7" i="2"/>
  <c r="AC14" i="2"/>
  <c r="AC47" i="2" s="1"/>
  <c r="AC41" i="2"/>
  <c r="AE4" i="2"/>
  <c r="AD10" i="2"/>
  <c r="AD38" i="2"/>
  <c r="AD18" i="2"/>
  <c r="AC50" i="2"/>
  <c r="AC22" i="2"/>
  <c r="AH29" i="2"/>
  <c r="AB15" i="2"/>
  <c r="AC3" i="2"/>
  <c r="AC9" i="2" s="1"/>
  <c r="AB8" i="2"/>
  <c r="AB42" i="2" s="1"/>
  <c r="AA16" i="2"/>
  <c r="AA48" i="2" s="1"/>
  <c r="I31" i="2"/>
  <c r="I51" i="2"/>
  <c r="H31" i="2"/>
  <c r="H51" i="2"/>
  <c r="X31" i="2"/>
  <c r="X52" i="2" s="1"/>
  <c r="Y31" i="2"/>
  <c r="Y51" i="2"/>
  <c r="M31" i="2"/>
  <c r="M51" i="2"/>
  <c r="K31" i="2"/>
  <c r="K51" i="2"/>
  <c r="J23" i="2"/>
  <c r="J48" i="2"/>
  <c r="G31" i="2"/>
  <c r="G51" i="2"/>
  <c r="Z31" i="2"/>
  <c r="Z51" i="2"/>
  <c r="L31" i="2"/>
  <c r="L51" i="2"/>
  <c r="AB43" i="2" l="1"/>
  <c r="AF24" i="2"/>
  <c r="AE30" i="2"/>
  <c r="AF4" i="2"/>
  <c r="AE10" i="2"/>
  <c r="AE38" i="2"/>
  <c r="AC37" i="2"/>
  <c r="AD46" i="2"/>
  <c r="AE6" i="2"/>
  <c r="AD40" i="2"/>
  <c r="N51" i="2"/>
  <c r="N31" i="2"/>
  <c r="AD11" i="2"/>
  <c r="AD44" i="2" s="1"/>
  <c r="AD45" i="2"/>
  <c r="AD39" i="2"/>
  <c r="AE5" i="2"/>
  <c r="AE12" i="2" s="1"/>
  <c r="AE7" i="2"/>
  <c r="AD14" i="2"/>
  <c r="AD47" i="2" s="1"/>
  <c r="AD41" i="2"/>
  <c r="AD49" i="2"/>
  <c r="AE18" i="2"/>
  <c r="AD22" i="2"/>
  <c r="AD50" i="2"/>
  <c r="AI29" i="2"/>
  <c r="AB16" i="2"/>
  <c r="AD3" i="2"/>
  <c r="AD9" i="2" s="1"/>
  <c r="AC15" i="2"/>
  <c r="AC8" i="2"/>
  <c r="AC42" i="2" s="1"/>
  <c r="AA23" i="2"/>
  <c r="AA31" i="2" s="1"/>
  <c r="J31" i="2"/>
  <c r="J51" i="2"/>
  <c r="Y33" i="2"/>
  <c r="Y104" i="2" s="1"/>
  <c r="Y133" i="2" s="1"/>
  <c r="Y137" i="2" s="1"/>
  <c r="Y52" i="2"/>
  <c r="X33" i="2"/>
  <c r="L33" i="2"/>
  <c r="L52" i="2"/>
  <c r="I33" i="2"/>
  <c r="I104" i="2" s="1"/>
  <c r="I133" i="2" s="1"/>
  <c r="I137" i="2" s="1"/>
  <c r="I52" i="2"/>
  <c r="Z33" i="2"/>
  <c r="Z52" i="2"/>
  <c r="K33" i="2"/>
  <c r="K52" i="2"/>
  <c r="G33" i="2"/>
  <c r="G104" i="2" s="1"/>
  <c r="G52" i="2"/>
  <c r="M33" i="2"/>
  <c r="M52" i="2"/>
  <c r="H33" i="2"/>
  <c r="H104" i="2" s="1"/>
  <c r="H52" i="2"/>
  <c r="Z104" i="2" l="1"/>
  <c r="Z133" i="2" s="1"/>
  <c r="Z137" i="2" s="1"/>
  <c r="Z95" i="2"/>
  <c r="M104" i="2"/>
  <c r="M133" i="2" s="1"/>
  <c r="M137" i="2" s="1"/>
  <c r="M95" i="2"/>
  <c r="L104" i="2"/>
  <c r="L95" i="2"/>
  <c r="K104" i="2"/>
  <c r="K133" i="2" s="1"/>
  <c r="K137" i="2" s="1"/>
  <c r="K95" i="2"/>
  <c r="X104" i="2"/>
  <c r="X133" i="2" s="1"/>
  <c r="X137" i="2" s="1"/>
  <c r="X53" i="2"/>
  <c r="AE13" i="2"/>
  <c r="AE46" i="2" s="1"/>
  <c r="AF6" i="2"/>
  <c r="AG6" i="2" s="1"/>
  <c r="I143" i="2"/>
  <c r="I172" i="2" s="1"/>
  <c r="G143" i="2"/>
  <c r="G133" i="2"/>
  <c r="G137" i="2" s="1"/>
  <c r="H133" i="2"/>
  <c r="H137" i="2" s="1"/>
  <c r="H143" i="2"/>
  <c r="H172" i="2" s="1"/>
  <c r="AC43" i="2"/>
  <c r="AG24" i="2"/>
  <c r="AF30" i="2"/>
  <c r="AE49" i="2"/>
  <c r="N52" i="2"/>
  <c r="N33" i="2"/>
  <c r="AD37" i="2"/>
  <c r="AF7" i="2"/>
  <c r="AE14" i="2"/>
  <c r="AE47" i="2" s="1"/>
  <c r="AE41" i="2"/>
  <c r="AG4" i="2"/>
  <c r="AF10" i="2"/>
  <c r="AF38" i="2"/>
  <c r="AE11" i="2"/>
  <c r="AE44" i="2" s="1"/>
  <c r="AE45" i="2"/>
  <c r="AE39" i="2"/>
  <c r="AF5" i="2"/>
  <c r="AF12" i="2" s="1"/>
  <c r="AE40" i="2"/>
  <c r="AF18" i="2"/>
  <c r="AE22" i="2"/>
  <c r="AE50" i="2"/>
  <c r="AB48" i="2"/>
  <c r="AB23" i="2"/>
  <c r="AJ29" i="2"/>
  <c r="AC16" i="2"/>
  <c r="AE3" i="2"/>
  <c r="AE9" i="2" s="1"/>
  <c r="AD15" i="2"/>
  <c r="AD8" i="2"/>
  <c r="AD42" i="2" s="1"/>
  <c r="AA51" i="2"/>
  <c r="L35" i="2"/>
  <c r="L53" i="2"/>
  <c r="M35" i="2"/>
  <c r="M53" i="2"/>
  <c r="X35" i="2"/>
  <c r="K35" i="2"/>
  <c r="K53" i="2"/>
  <c r="J33" i="2"/>
  <c r="J52" i="2"/>
  <c r="Z35" i="2"/>
  <c r="Z53" i="2"/>
  <c r="H35" i="2"/>
  <c r="H53" i="2"/>
  <c r="G35" i="2"/>
  <c r="G53" i="2"/>
  <c r="I35" i="2"/>
  <c r="I53" i="2"/>
  <c r="Y35" i="2"/>
  <c r="Y53" i="2"/>
  <c r="AA33" i="2"/>
  <c r="AA52" i="2"/>
  <c r="M143" i="2" l="1"/>
  <c r="M172" i="2" s="1"/>
  <c r="K143" i="2"/>
  <c r="L143" i="2"/>
  <c r="L172" i="2" s="1"/>
  <c r="L133" i="2"/>
  <c r="L137" i="2" s="1"/>
  <c r="AA104" i="2"/>
  <c r="AA133" i="2" s="1"/>
  <c r="AA137" i="2" s="1"/>
  <c r="AA95" i="2"/>
  <c r="J104" i="2"/>
  <c r="J133" i="2" s="1"/>
  <c r="J137" i="2" s="1"/>
  <c r="J95" i="2"/>
  <c r="N104" i="2"/>
  <c r="N133" i="2" s="1"/>
  <c r="N137" i="2" s="1"/>
  <c r="N95" i="2"/>
  <c r="AF13" i="2"/>
  <c r="AF46" i="2" s="1"/>
  <c r="AE37" i="2"/>
  <c r="N35" i="2"/>
  <c r="N53" i="2"/>
  <c r="AH4" i="2"/>
  <c r="AG10" i="2"/>
  <c r="AG38" i="2"/>
  <c r="AF11" i="2"/>
  <c r="AF44" i="2" s="1"/>
  <c r="AF45" i="2"/>
  <c r="AG5" i="2"/>
  <c r="AG12" i="2" s="1"/>
  <c r="AF39" i="2"/>
  <c r="AF49" i="2"/>
  <c r="AH24" i="2"/>
  <c r="AG30" i="2"/>
  <c r="AG13" i="2"/>
  <c r="AF40" i="2"/>
  <c r="AG7" i="2"/>
  <c r="AF14" i="2"/>
  <c r="AF47" i="2" s="1"/>
  <c r="AF41" i="2"/>
  <c r="AD43" i="2"/>
  <c r="AG18" i="2"/>
  <c r="AF22" i="2"/>
  <c r="AF50" i="2"/>
  <c r="AC48" i="2"/>
  <c r="AC23" i="2"/>
  <c r="AB51" i="2"/>
  <c r="AB31" i="2"/>
  <c r="AK29" i="2"/>
  <c r="AF3" i="2"/>
  <c r="AF9" i="2" s="1"/>
  <c r="AE15" i="2"/>
  <c r="AE8" i="2"/>
  <c r="AE42" i="2" s="1"/>
  <c r="AD16" i="2"/>
  <c r="J35" i="2"/>
  <c r="J53" i="2"/>
  <c r="AA35" i="2"/>
  <c r="AA53" i="2"/>
  <c r="J143" i="2" l="1"/>
  <c r="J172" i="2" s="1"/>
  <c r="AI24" i="2"/>
  <c r="AH30" i="2"/>
  <c r="AH7" i="2"/>
  <c r="AG14" i="2"/>
  <c r="AG47" i="2" s="1"/>
  <c r="AG41" i="2"/>
  <c r="AG46" i="2"/>
  <c r="AH6" i="2"/>
  <c r="AH13" i="2" s="1"/>
  <c r="AG40" i="2"/>
  <c r="AE43" i="2"/>
  <c r="AF37" i="2"/>
  <c r="AG49" i="2"/>
  <c r="AH10" i="2"/>
  <c r="AI4" i="2"/>
  <c r="AH38" i="2"/>
  <c r="AG11" i="2"/>
  <c r="AG44" i="2" s="1"/>
  <c r="AG45" i="2"/>
  <c r="AH5" i="2"/>
  <c r="AH12" i="2" s="1"/>
  <c r="AG39" i="2"/>
  <c r="AH18" i="2"/>
  <c r="AG22" i="2"/>
  <c r="AG50" i="2"/>
  <c r="AE16" i="2"/>
  <c r="AE48" i="2" s="1"/>
  <c r="AD23" i="2"/>
  <c r="AD48" i="2"/>
  <c r="AC51" i="2"/>
  <c r="AC31" i="2"/>
  <c r="AB33" i="2"/>
  <c r="AB52" i="2"/>
  <c r="AL29" i="2"/>
  <c r="AG3" i="2"/>
  <c r="AG9" i="2" s="1"/>
  <c r="AF15" i="2"/>
  <c r="AF8" i="2"/>
  <c r="AF42" i="2" s="1"/>
  <c r="AB104" i="2" l="1"/>
  <c r="AB133" i="2" s="1"/>
  <c r="AB137" i="2" s="1"/>
  <c r="AH45" i="2"/>
  <c r="AH11" i="2"/>
  <c r="AH44" i="2" s="1"/>
  <c r="AI5" i="2"/>
  <c r="AI12" i="2" s="1"/>
  <c r="AH39" i="2"/>
  <c r="AG37" i="2"/>
  <c r="AF43" i="2"/>
  <c r="AH49" i="2"/>
  <c r="AI7" i="2"/>
  <c r="AH14" i="2"/>
  <c r="AH47" i="2" s="1"/>
  <c r="AH41" i="2"/>
  <c r="AJ4" i="2"/>
  <c r="AI10" i="2"/>
  <c r="AI38" i="2"/>
  <c r="AJ24" i="2"/>
  <c r="AI30" i="2"/>
  <c r="AH46" i="2"/>
  <c r="AI6" i="2"/>
  <c r="AH40" i="2"/>
  <c r="AI18" i="2"/>
  <c r="AH22" i="2"/>
  <c r="AH50" i="2"/>
  <c r="AE23" i="2"/>
  <c r="AE51" i="2" s="1"/>
  <c r="AF16" i="2"/>
  <c r="AF48" i="2" s="1"/>
  <c r="AD51" i="2"/>
  <c r="AD31" i="2"/>
  <c r="AC32" i="2"/>
  <c r="AC52" i="2" s="1"/>
  <c r="AB35" i="2"/>
  <c r="AB53" i="2"/>
  <c r="AH3" i="2"/>
  <c r="AH9" i="2" s="1"/>
  <c r="AG15" i="2"/>
  <c r="AG8" i="2"/>
  <c r="AG42" i="2" s="1"/>
  <c r="AH37" i="2" l="1"/>
  <c r="AJ6" i="2"/>
  <c r="AI13" i="2"/>
  <c r="AI46" i="2" s="1"/>
  <c r="AI40" i="2"/>
  <c r="AI45" i="2"/>
  <c r="AI11" i="2"/>
  <c r="AI44" i="2" s="1"/>
  <c r="AJ5" i="2"/>
  <c r="AJ12" i="2" s="1"/>
  <c r="AI39" i="2"/>
  <c r="AK4" i="2"/>
  <c r="AJ10" i="2"/>
  <c r="AJ38" i="2"/>
  <c r="AG43" i="2"/>
  <c r="AK24" i="2"/>
  <c r="AJ30" i="2"/>
  <c r="AJ7" i="2"/>
  <c r="AI14" i="2"/>
  <c r="AI47" i="2" s="1"/>
  <c r="AI41" i="2"/>
  <c r="AI49" i="2"/>
  <c r="AJ18" i="2"/>
  <c r="AI22" i="2"/>
  <c r="AI50" i="2"/>
  <c r="AF23" i="2"/>
  <c r="AF51" i="2" s="1"/>
  <c r="AE31" i="2"/>
  <c r="AE32" i="2" s="1"/>
  <c r="AE52" i="2" s="1"/>
  <c r="AD32" i="2"/>
  <c r="AD52" i="2" s="1"/>
  <c r="AC33" i="2"/>
  <c r="AI3" i="2"/>
  <c r="AI9" i="2" s="1"/>
  <c r="AH15" i="2"/>
  <c r="AH8" i="2"/>
  <c r="AH42" i="2" s="1"/>
  <c r="AG16" i="2"/>
  <c r="AC104" i="2" l="1"/>
  <c r="AC133" i="2" s="1"/>
  <c r="AC137" i="2" s="1"/>
  <c r="AL24" i="2"/>
  <c r="AL30" i="2" s="1"/>
  <c r="AK30" i="2"/>
  <c r="AL4" i="2"/>
  <c r="AK10" i="2"/>
  <c r="AK38" i="2"/>
  <c r="AI37" i="2"/>
  <c r="AK7" i="2"/>
  <c r="AJ14" i="2"/>
  <c r="AJ47" i="2" s="1"/>
  <c r="AJ41" i="2"/>
  <c r="AK6" i="2"/>
  <c r="AJ13" i="2"/>
  <c r="AJ46" i="2" s="1"/>
  <c r="AJ40" i="2"/>
  <c r="AK5" i="2"/>
  <c r="AK12" i="2" s="1"/>
  <c r="AJ45" i="2"/>
  <c r="AJ11" i="2"/>
  <c r="AJ44" i="2" s="1"/>
  <c r="AJ39" i="2"/>
  <c r="AJ49" i="2"/>
  <c r="AH43" i="2"/>
  <c r="AK18" i="2"/>
  <c r="AJ22" i="2"/>
  <c r="AJ50" i="2"/>
  <c r="AF31" i="2"/>
  <c r="AF32" i="2" s="1"/>
  <c r="AF52" i="2" s="1"/>
  <c r="AG48" i="2"/>
  <c r="AG23" i="2"/>
  <c r="AE33" i="2"/>
  <c r="AE104" i="2" s="1"/>
  <c r="AE133" i="2" s="1"/>
  <c r="AE137" i="2" s="1"/>
  <c r="AD33" i="2"/>
  <c r="AD104" i="2" s="1"/>
  <c r="AD133" i="2" s="1"/>
  <c r="AD137" i="2" s="1"/>
  <c r="AC35" i="2"/>
  <c r="AC53" i="2"/>
  <c r="AH16" i="2"/>
  <c r="AJ3" i="2"/>
  <c r="AJ9" i="2" s="1"/>
  <c r="AI15" i="2"/>
  <c r="AI8" i="2"/>
  <c r="AI42" i="2" s="1"/>
  <c r="AI43" i="2" l="1"/>
  <c r="AL6" i="2"/>
  <c r="AK13" i="2"/>
  <c r="AK46" i="2" s="1"/>
  <c r="AK40" i="2"/>
  <c r="AL5" i="2"/>
  <c r="AL12" i="2" s="1"/>
  <c r="AK45" i="2"/>
  <c r="AK11" i="2"/>
  <c r="AK44" i="2" s="1"/>
  <c r="AK39" i="2"/>
  <c r="AL10" i="2"/>
  <c r="AL38" i="2"/>
  <c r="AL7" i="2"/>
  <c r="AK14" i="2"/>
  <c r="AK47" i="2" s="1"/>
  <c r="AK41" i="2"/>
  <c r="AL49" i="2"/>
  <c r="AK49" i="2"/>
  <c r="AJ37" i="2"/>
  <c r="AL18" i="2"/>
  <c r="AK22" i="2"/>
  <c r="AK50" i="2"/>
  <c r="AI16" i="2"/>
  <c r="AI48" i="2" s="1"/>
  <c r="AH48" i="2"/>
  <c r="AH23" i="2"/>
  <c r="AG51" i="2"/>
  <c r="AG31" i="2"/>
  <c r="AF33" i="2"/>
  <c r="AE35" i="2"/>
  <c r="AE53" i="2"/>
  <c r="AD53" i="2"/>
  <c r="AD35" i="2"/>
  <c r="AK3" i="2"/>
  <c r="AK9" i="2" s="1"/>
  <c r="AJ15" i="2"/>
  <c r="AJ8" i="2"/>
  <c r="AJ42" i="2" s="1"/>
  <c r="AF104" i="2" l="1"/>
  <c r="AF133" i="2" s="1"/>
  <c r="AF137" i="2" s="1"/>
  <c r="AJ43" i="2"/>
  <c r="AL11" i="2"/>
  <c r="AL44" i="2" s="1"/>
  <c r="AL45" i="2"/>
  <c r="AL39" i="2"/>
  <c r="AL14" i="2"/>
  <c r="AL47" i="2" s="1"/>
  <c r="AL41" i="2"/>
  <c r="AK37" i="2"/>
  <c r="AL13" i="2"/>
  <c r="AL46" i="2" s="1"/>
  <c r="AL40" i="2"/>
  <c r="AL50" i="2"/>
  <c r="AL22" i="2"/>
  <c r="AI23" i="2"/>
  <c r="AI51" i="2" s="1"/>
  <c r="AH51" i="2"/>
  <c r="AH31" i="2"/>
  <c r="AG32" i="2"/>
  <c r="AG52" i="2" s="1"/>
  <c r="AF35" i="2"/>
  <c r="AF53" i="2"/>
  <c r="AJ16" i="2"/>
  <c r="AL3" i="2"/>
  <c r="AL9" i="2" s="1"/>
  <c r="AK15" i="2"/>
  <c r="AK8" i="2"/>
  <c r="AK42" i="2" s="1"/>
  <c r="AK43" i="2" l="1"/>
  <c r="AL37" i="2"/>
  <c r="AK16" i="2"/>
  <c r="AK48" i="2" s="1"/>
  <c r="AI31" i="2"/>
  <c r="AI32" i="2" s="1"/>
  <c r="AI52" i="2" s="1"/>
  <c r="AJ48" i="2"/>
  <c r="AJ23" i="2"/>
  <c r="AH32" i="2"/>
  <c r="AH52" i="2" s="1"/>
  <c r="AG33" i="2"/>
  <c r="AL15" i="2"/>
  <c r="AL8" i="2"/>
  <c r="AL42" i="2" s="1"/>
  <c r="AG104" i="2" l="1"/>
  <c r="AG133" i="2" s="1"/>
  <c r="AG137" i="2" s="1"/>
  <c r="AG53" i="2"/>
  <c r="AL43" i="2"/>
  <c r="AK23" i="2"/>
  <c r="AK51" i="2" s="1"/>
  <c r="AH33" i="2"/>
  <c r="AJ51" i="2"/>
  <c r="AJ31" i="2"/>
  <c r="AI33" i="2"/>
  <c r="AI104" i="2" s="1"/>
  <c r="AI133" i="2" s="1"/>
  <c r="AI137" i="2" s="1"/>
  <c r="AG35" i="2"/>
  <c r="AL16" i="2"/>
  <c r="AH53" i="2" l="1"/>
  <c r="AH104" i="2"/>
  <c r="AH133" i="2" s="1"/>
  <c r="AH137" i="2" s="1"/>
  <c r="AH35" i="2"/>
  <c r="AK31" i="2"/>
  <c r="AK32" i="2" s="1"/>
  <c r="AK52" i="2" s="1"/>
  <c r="AL23" i="2"/>
  <c r="AL48" i="2"/>
  <c r="AJ32" i="2"/>
  <c r="AJ52" i="2" s="1"/>
  <c r="AI35" i="2"/>
  <c r="AI53" i="2"/>
  <c r="AL51" i="2" l="1"/>
  <c r="AL31" i="2"/>
  <c r="AK33" i="2"/>
  <c r="AK104" i="2" s="1"/>
  <c r="AK133" i="2" s="1"/>
  <c r="AK137" i="2" s="1"/>
  <c r="AJ33" i="2"/>
  <c r="AJ104" i="2" s="1"/>
  <c r="AJ133" i="2" s="1"/>
  <c r="AJ137" i="2" s="1"/>
  <c r="AJ53" i="2" l="1"/>
  <c r="AL32" i="2"/>
  <c r="AL52" i="2" s="1"/>
  <c r="AK35" i="2"/>
  <c r="AK53" i="2"/>
  <c r="AJ35" i="2"/>
  <c r="AL33" i="2" l="1"/>
  <c r="AL104" i="2" s="1"/>
  <c r="AL133" i="2" s="1"/>
  <c r="AL137" i="2" s="1"/>
  <c r="AM33" i="2" l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BB33" i="2" s="1"/>
  <c r="BC33" i="2" s="1"/>
  <c r="BD33" i="2" s="1"/>
  <c r="BE33" i="2" s="1"/>
  <c r="BF33" i="2" s="1"/>
  <c r="BG33" i="2" s="1"/>
  <c r="BH33" i="2" s="1"/>
  <c r="BI33" i="2" s="1"/>
  <c r="BJ33" i="2" s="1"/>
  <c r="BK33" i="2" s="1"/>
  <c r="BL33" i="2" s="1"/>
  <c r="BM33" i="2" s="1"/>
  <c r="BN33" i="2" s="1"/>
  <c r="BO33" i="2" s="1"/>
  <c r="BP33" i="2" s="1"/>
  <c r="BQ33" i="2" s="1"/>
  <c r="BR33" i="2" s="1"/>
  <c r="BS33" i="2" s="1"/>
  <c r="BT33" i="2" s="1"/>
  <c r="BU33" i="2" s="1"/>
  <c r="BV33" i="2" s="1"/>
  <c r="BW33" i="2" s="1"/>
  <c r="BX33" i="2" s="1"/>
  <c r="BY33" i="2" s="1"/>
  <c r="BZ33" i="2" s="1"/>
  <c r="CA33" i="2" s="1"/>
  <c r="CB33" i="2" s="1"/>
  <c r="CC33" i="2" s="1"/>
  <c r="CD33" i="2" s="1"/>
  <c r="CE33" i="2" s="1"/>
  <c r="CF33" i="2" s="1"/>
  <c r="CG33" i="2" s="1"/>
  <c r="CH33" i="2" s="1"/>
  <c r="CI33" i="2" s="1"/>
  <c r="CJ33" i="2" s="1"/>
  <c r="CK33" i="2" s="1"/>
  <c r="CL33" i="2" s="1"/>
  <c r="CM33" i="2" s="1"/>
  <c r="CN33" i="2" s="1"/>
  <c r="CO33" i="2" s="1"/>
  <c r="CP33" i="2" s="1"/>
  <c r="CQ33" i="2" s="1"/>
  <c r="CR33" i="2" s="1"/>
  <c r="CS33" i="2" s="1"/>
  <c r="CT33" i="2" s="1"/>
  <c r="CU33" i="2" s="1"/>
  <c r="CV33" i="2" s="1"/>
  <c r="CW33" i="2" s="1"/>
  <c r="CX33" i="2" s="1"/>
  <c r="CY33" i="2" s="1"/>
  <c r="CZ33" i="2" s="1"/>
  <c r="DA33" i="2" s="1"/>
  <c r="DB33" i="2" s="1"/>
  <c r="DC33" i="2" s="1"/>
  <c r="DD33" i="2" s="1"/>
  <c r="DE33" i="2" s="1"/>
  <c r="DF33" i="2" s="1"/>
  <c r="DG33" i="2" s="1"/>
  <c r="DH33" i="2" s="1"/>
  <c r="DI33" i="2" s="1"/>
  <c r="DJ33" i="2" s="1"/>
  <c r="DK33" i="2" s="1"/>
  <c r="DL33" i="2" s="1"/>
  <c r="DM33" i="2" s="1"/>
  <c r="DN33" i="2" s="1"/>
  <c r="DO33" i="2" s="1"/>
  <c r="DP33" i="2" s="1"/>
  <c r="DQ33" i="2" s="1"/>
  <c r="DR33" i="2" s="1"/>
  <c r="DS33" i="2" s="1"/>
  <c r="DT33" i="2" s="1"/>
  <c r="DU33" i="2" s="1"/>
  <c r="DV33" i="2" s="1"/>
  <c r="DW33" i="2" s="1"/>
  <c r="DX33" i="2" s="1"/>
  <c r="DY33" i="2" s="1"/>
  <c r="DZ33" i="2" s="1"/>
  <c r="EA33" i="2" s="1"/>
  <c r="EB33" i="2" s="1"/>
  <c r="EC33" i="2" s="1"/>
  <c r="ED33" i="2" s="1"/>
  <c r="EE33" i="2" s="1"/>
  <c r="EF33" i="2" s="1"/>
  <c r="EG33" i="2" s="1"/>
  <c r="EH33" i="2" s="1"/>
  <c r="EI33" i="2" s="1"/>
  <c r="EJ33" i="2" s="1"/>
  <c r="EK33" i="2" s="1"/>
  <c r="EL33" i="2" s="1"/>
  <c r="EM33" i="2" s="1"/>
  <c r="EN33" i="2" s="1"/>
  <c r="EO33" i="2" s="1"/>
  <c r="EP33" i="2" s="1"/>
  <c r="EQ33" i="2" s="1"/>
  <c r="ER33" i="2" s="1"/>
  <c r="ES33" i="2" s="1"/>
  <c r="ET33" i="2" s="1"/>
  <c r="EU33" i="2" s="1"/>
  <c r="EV33" i="2" s="1"/>
  <c r="EW33" i="2" s="1"/>
  <c r="EX33" i="2" s="1"/>
  <c r="EY33" i="2" s="1"/>
  <c r="EZ33" i="2" s="1"/>
  <c r="AP40" i="2" s="1"/>
  <c r="AL35" i="2"/>
  <c r="AL53" i="2"/>
  <c r="AP42" i="2" l="1"/>
  <c r="AP43" i="2" s="1"/>
  <c r="AP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P55" authorId="0" shapeId="0" xr:uid="{39A997B1-0522-42FD-BBFA-8823D0CD7926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look over this</t>
        </r>
      </text>
    </comment>
  </commentList>
</comments>
</file>

<file path=xl/sharedStrings.xml><?xml version="1.0" encoding="utf-8"?>
<sst xmlns="http://schemas.openxmlformats.org/spreadsheetml/2006/main" count="204" uniqueCount="140">
  <si>
    <t>PLUG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</si>
  <si>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</si>
  <si>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</si>
  <si>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</si>
  <si>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</si>
  <si>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</si>
  <si>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</si>
  <si>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</si>
  <si>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</si>
  <si>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</si>
  <si>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</si>
  <si>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Q224</t>
  </si>
  <si>
    <t>Gross profit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</si>
  <si>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</si>
  <si>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</si>
  <si>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</si>
  <si>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</si>
  <si>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</si>
  <si>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</si>
  <si>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</si>
  <si>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</si>
  <si>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</si>
  <si>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</si>
  <si>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</si>
  <si>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Other revenue</t>
  </si>
  <si>
    <t>Fuel revenue</t>
  </si>
  <si>
    <t>PPA revenue</t>
  </si>
  <si>
    <t>Service revenue</t>
  </si>
  <si>
    <t>Product revenue</t>
  </si>
  <si>
    <t>Total revenue</t>
  </si>
  <si>
    <t>Total cost of sales</t>
  </si>
  <si>
    <t>Product cost</t>
  </si>
  <si>
    <t>Service cost</t>
  </si>
  <si>
    <t>PPA cost</t>
  </si>
  <si>
    <t>Fuel cost</t>
  </si>
  <si>
    <t>Other cost</t>
  </si>
  <si>
    <t>R&amp;D</t>
  </si>
  <si>
    <t>SG&amp;A</t>
  </si>
  <si>
    <t>Restructuring</t>
  </si>
  <si>
    <t>Impairment</t>
  </si>
  <si>
    <t>Investments</t>
  </si>
  <si>
    <t>Total operating expenses</t>
  </si>
  <si>
    <t>Operating profit</t>
  </si>
  <si>
    <t>Interest income</t>
  </si>
  <si>
    <t>Interest expense</t>
  </si>
  <si>
    <t>Other expense</t>
  </si>
  <si>
    <t>Investment income</t>
  </si>
  <si>
    <t>Investment expense</t>
  </si>
  <si>
    <t>Finance expense</t>
  </si>
  <si>
    <t>Net financial expense</t>
  </si>
  <si>
    <t>Pretax profit</t>
  </si>
  <si>
    <t>Taxes</t>
  </si>
  <si>
    <t>Net profit</t>
  </si>
  <si>
    <t>EPS</t>
  </si>
  <si>
    <t>Service provision cost</t>
  </si>
  <si>
    <t>Product revenue y/y</t>
  </si>
  <si>
    <t>Service revenue y/y</t>
  </si>
  <si>
    <t>PPA revenue y/y</t>
  </si>
  <si>
    <t>Fuel revenue y/y</t>
  </si>
  <si>
    <t>Other revenue y/y</t>
  </si>
  <si>
    <t>Total revenue y/y</t>
  </si>
  <si>
    <t>Product Margin</t>
  </si>
  <si>
    <t>Service Margin</t>
  </si>
  <si>
    <t>PPA Margin</t>
  </si>
  <si>
    <t>Fuel Margin</t>
  </si>
  <si>
    <t>Other Margin</t>
  </si>
  <si>
    <t>R&amp;D y/y</t>
  </si>
  <si>
    <t>SG&amp;A y/y</t>
  </si>
  <si>
    <t>Gross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</si>
  <si>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</si>
  <si>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</si>
  <si>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</si>
  <si>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</si>
  <si>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</si>
  <si>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</si>
  <si>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</si>
  <si>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</si>
  <si>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</si>
  <si>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</si>
  <si>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</si>
  <si>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A/R</t>
  </si>
  <si>
    <t>Inventories</t>
  </si>
  <si>
    <t>Contract assets</t>
  </si>
  <si>
    <t>Prepaids</t>
  </si>
  <si>
    <t>PP&amp;E</t>
  </si>
  <si>
    <t>Finance leases</t>
  </si>
  <si>
    <t>Operating leases</t>
  </si>
  <si>
    <t>PPAs</t>
  </si>
  <si>
    <t>Intangibles</t>
  </si>
  <si>
    <t>ONCA</t>
  </si>
  <si>
    <t>A/P</t>
  </si>
  <si>
    <t>A/L</t>
  </si>
  <si>
    <t>Asset debt</t>
  </si>
  <si>
    <t>Long-term debt</t>
  </si>
  <si>
    <t>Contingent consideration</t>
  </si>
  <si>
    <t>S/E</t>
  </si>
  <si>
    <t>L+S/E</t>
  </si>
  <si>
    <t>Current assets</t>
  </si>
  <si>
    <t>Non-current assets</t>
  </si>
  <si>
    <t>Current liabilties</t>
  </si>
  <si>
    <t>D/R</t>
  </si>
  <si>
    <t>Non-current liabilties</t>
  </si>
  <si>
    <t>OCL</t>
  </si>
  <si>
    <t>ONCL</t>
  </si>
  <si>
    <t>Total assets</t>
  </si>
  <si>
    <t>Depreciation</t>
  </si>
  <si>
    <t>Amortisation</t>
  </si>
  <si>
    <t>SBC</t>
  </si>
  <si>
    <t>Loss on debt</t>
  </si>
  <si>
    <t>Provisions</t>
  </si>
  <si>
    <t>D/T</t>
  </si>
  <si>
    <t>Loss on contracts</t>
  </si>
  <si>
    <t>Loss on assets</t>
  </si>
  <si>
    <t>Other investments</t>
  </si>
  <si>
    <t>Leases</t>
  </si>
  <si>
    <t>Securities</t>
  </si>
  <si>
    <t>Loss on investments</t>
  </si>
  <si>
    <t>Derivatives</t>
  </si>
  <si>
    <t>CFFO</t>
  </si>
  <si>
    <t>PPA</t>
  </si>
  <si>
    <t>FCF</t>
  </si>
  <si>
    <t>Cumulative</t>
  </si>
  <si>
    <t>Cumulative CFFO</t>
  </si>
  <si>
    <t>CFFO y/y</t>
  </si>
  <si>
    <t>FCF y/y</t>
  </si>
  <si>
    <t>Q125</t>
  </si>
  <si>
    <t>Q225</t>
  </si>
  <si>
    <t>Q325</t>
  </si>
  <si>
    <t>Q425</t>
  </si>
  <si>
    <t>Total CapEx</t>
  </si>
  <si>
    <t>CapEx y/y</t>
  </si>
  <si>
    <t>Change in fair value</t>
  </si>
  <si>
    <t>Heavily overvalued</t>
  </si>
  <si>
    <t>Return on equity</t>
  </si>
  <si>
    <t>Asset turnover</t>
  </si>
  <si>
    <t>Equity multiplier</t>
  </si>
  <si>
    <t>Current ratio</t>
  </si>
  <si>
    <t>Quick ratio</t>
  </si>
  <si>
    <t>Debt/equity</t>
  </si>
  <si>
    <t>Asset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</si>
</sst>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0.00\x"/>
    <numFmt numFmtId="166" formatCode="0.0\x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3" fontId="4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22860</xdr:colOff>
      <xdr:row>0</xdr:row>
      <xdr:rowOff>0</xdr:rowOff>
    </xdr:from>
    <xdr:to>
      <xdr:col>27</xdr:col>
      <xdr:colOff>22860</xdr:colOff>
      <xdr:row>154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B76A86C-1339-251D-E1BF-0E1B2DCDD64C}"/>
            </a:ext>
          </a:extLst>
        </xdr:cNvPr>
        <xdr:cNvCxnSpPr/>
      </xdr:nvCxnSpPr>
      <xdr:spPr>
        <a:xfrm>
          <a:off x="14919960" y="0"/>
          <a:ext cx="0" cy="26426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</xdr:colOff>
      <xdr:row>0</xdr:row>
      <xdr:rowOff>7620</xdr:rowOff>
    </xdr:from>
    <xdr:to>
      <xdr:col>16</xdr:col>
      <xdr:colOff>30480</xdr:colOff>
      <xdr:row>153</xdr:row>
      <xdr:rowOff>53340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C6F859C-019A-286D-01A6-C9CCFC2A502C}"/>
            </a:ext>
          </a:extLst>
        </xdr:cNvPr>
        <xdr:cNvCxnSpPr/>
      </xdr:nvCxnSpPr>
      <xdr:spPr>
        <a:xfrm>
          <a:off x="10660380" y="7620"/>
          <a:ext cx="0" cy="26197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D1E4-17BE-4DD8-84B0-23294395EAB3}">
  <dimension ref="B2:G9"/>
  <sheetViews>
    <sheetView tabSelected="1" workbookViewId="0">
      <selection activeCell="D4" sqref="D4"/>
    </sheetView>
  </sheetViews>
  <sheetFormatPr defaultRowHeight="14.4" x14ac:dyDescent="0.3"/>
  <cols>
    <col min="5" max="7" width="13.55468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3.51</v>
      </c>
      <c r="E3" s="3">
        <v>45950</v>
      </c>
      <c r="F3" s="3">
        <f ca="1">TODAY()</f>
        <v>45950</v>
      </c>
      <c r="G3" s="3">
        <v>45972</v>
      </c>
    </row>
    <row r="4" spans="2:7" x14ac:dyDescent="0.3">
      <c r="C4" t="s">
        <v>2</v>
      </c>
      <c r="D4" s="5">
        <f>1154.8</f>
        <v>1154.8</v>
      </c>
      <c r="E4" s="2" t="s">
        <v>126</v>
      </c>
    </row>
    <row r="5" spans="2:7" x14ac:dyDescent="0.3">
      <c r="C5" t="s">
        <v>3</v>
      </c>
      <c r="D5" s="5">
        <f>D3*D4</f>
        <v>4053.3479999999995</v>
      </c>
    </row>
    <row r="6" spans="2:7" x14ac:dyDescent="0.3">
      <c r="C6" t="s">
        <v>4</v>
      </c>
      <c r="D6" s="5">
        <f>295.8+196.1+584.7+85.1</f>
        <v>1161.6999999999998</v>
      </c>
      <c r="E6" s="2" t="s">
        <v>126</v>
      </c>
    </row>
    <row r="7" spans="2:7" x14ac:dyDescent="0.3">
      <c r="C7" t="s">
        <v>5</v>
      </c>
      <c r="D7" s="5">
        <f>81.3+145.3+64.9+228.6+135.3</f>
        <v>655.40000000000009</v>
      </c>
      <c r="E7" s="2" t="s">
        <v>126</v>
      </c>
    </row>
    <row r="8" spans="2:7" x14ac:dyDescent="0.3">
      <c r="C8" t="s">
        <v>6</v>
      </c>
      <c r="D8" s="5">
        <f>D6-D7</f>
        <v>506.29999999999973</v>
      </c>
    </row>
    <row r="9" spans="2:7" x14ac:dyDescent="0.3">
      <c r="C9" t="s">
        <v>7</v>
      </c>
      <c r="D9" s="5">
        <f>D5-D8</f>
        <v>3547.0479999999998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4541-EBC3-461C-8813-49CA1CD05A57}">
  <dimension ref="B2:EZ174"/>
  <sheetViews>
    <sheetView workbookViewId="0">
      <pane xSplit="2" ySplit="2" topLeftCell="AF11" activePane="bottomRight" state="frozen"/>
      <selection pane="topRight" activeCell="C1" sqref="C1"/>
      <selection pane="bottomLeft" activeCell="A3" sqref="A3"/>
      <selection pane="bottomRight" activeCell="AP15" sqref="AP15"/>
    </sheetView>
  </sheetViews>
  <sheetFormatPr defaultRowHeight="14.4" x14ac:dyDescent="0.3"/>
  <cols>
    <col min="2" max="2" width="21.6640625" bestFit="1" customWidth="1"/>
    <col min="41" max="41" width="13.33203125" customWidth="1"/>
    <col min="42" max="42" width="16.44140625" bestFit="1" customWidth="1"/>
  </cols>
  <sheetData>
    <row r="2" spans="2:38" x14ac:dyDescent="0.3"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11</v>
      </c>
      <c r="M2" s="6" t="s">
        <v>22</v>
      </c>
      <c r="N2" s="6" t="s">
        <v>23</v>
      </c>
      <c r="O2" s="6" t="s">
        <v>125</v>
      </c>
      <c r="P2" s="6" t="s">
        <v>126</v>
      </c>
      <c r="Q2" s="6" t="s">
        <v>127</v>
      </c>
      <c r="R2" s="6" t="s">
        <v>128</v>
      </c>
      <c r="T2">
        <v>2017</v>
      </c>
      <c r="U2">
        <v>2018</v>
      </c>
      <c r="V2">
        <v>2019</v>
      </c>
      <c r="W2">
        <v>2020</v>
      </c>
      <c r="X2">
        <v>2021</v>
      </c>
      <c r="Y2">
        <v>2022</v>
      </c>
      <c r="Z2">
        <v>2023</v>
      </c>
      <c r="AA2">
        <v>2024</v>
      </c>
      <c r="AB2">
        <v>2025</v>
      </c>
      <c r="AC2">
        <v>2026</v>
      </c>
      <c r="AD2">
        <v>2027</v>
      </c>
      <c r="AE2">
        <v>2028</v>
      </c>
      <c r="AF2">
        <v>2029</v>
      </c>
      <c r="AG2">
        <v>2030</v>
      </c>
      <c r="AH2">
        <v>2031</v>
      </c>
      <c r="AI2">
        <v>2032</v>
      </c>
      <c r="AJ2">
        <v>2033</v>
      </c>
      <c r="AK2">
        <v>2034</v>
      </c>
      <c r="AL2">
        <v>2035</v>
      </c>
    </row>
    <row r="3" spans="2:38" x14ac:dyDescent="0.3">
      <c r="B3" t="s">
        <v>28</v>
      </c>
      <c r="C3" s="6"/>
      <c r="D3" s="6"/>
      <c r="E3" s="6"/>
      <c r="F3" s="6"/>
      <c r="G3" s="8">
        <v>182.1</v>
      </c>
      <c r="H3" s="8">
        <v>216.3</v>
      </c>
      <c r="I3" s="8">
        <v>145.1</v>
      </c>
      <c r="J3" s="8">
        <f>Z3-I3-H3-G3</f>
        <v>167.89999999999995</v>
      </c>
      <c r="K3" s="8">
        <v>68.3</v>
      </c>
      <c r="L3" s="8">
        <v>76.8</v>
      </c>
      <c r="M3" s="8">
        <v>107.1</v>
      </c>
      <c r="N3" s="8">
        <f>AA3-M3-L3-K3</f>
        <v>138.10000000000002</v>
      </c>
      <c r="O3" s="8">
        <v>63.5</v>
      </c>
      <c r="P3" s="8">
        <v>99.2</v>
      </c>
      <c r="Q3" s="8">
        <f>M3*1.2</f>
        <v>128.51999999999998</v>
      </c>
      <c r="R3" s="8">
        <f>N3*1.1</f>
        <v>151.91000000000003</v>
      </c>
      <c r="T3" s="8">
        <v>62.6</v>
      </c>
      <c r="U3" s="8">
        <v>107.3</v>
      </c>
      <c r="V3" s="8">
        <v>149.9</v>
      </c>
      <c r="W3" s="8">
        <v>-94.3</v>
      </c>
      <c r="X3" s="8">
        <v>392.8</v>
      </c>
      <c r="Y3" s="8">
        <v>558.9</v>
      </c>
      <c r="Z3" s="8">
        <v>711.4</v>
      </c>
      <c r="AA3" s="8">
        <v>390.3</v>
      </c>
      <c r="AB3" s="5">
        <f>SUM(O3:R3)</f>
        <v>443.13</v>
      </c>
      <c r="AC3" s="5">
        <f>AB3*1.4</f>
        <v>620.38199999999995</v>
      </c>
      <c r="AD3" s="5">
        <f>AC3*1.3</f>
        <v>806.49659999999994</v>
      </c>
      <c r="AE3" s="5">
        <f>AD3*1.2</f>
        <v>967.79591999999991</v>
      </c>
      <c r="AF3" s="5">
        <f>AE3*1.1</f>
        <v>1064.5755119999999</v>
      </c>
      <c r="AG3" s="5">
        <f t="shared" ref="AG3:AL4" si="0">AF3*1.1</f>
        <v>1171.0330632</v>
      </c>
      <c r="AH3" s="5">
        <f t="shared" si="0"/>
        <v>1288.13636952</v>
      </c>
      <c r="AI3" s="5">
        <f t="shared" si="0"/>
        <v>1416.950006472</v>
      </c>
      <c r="AJ3" s="5">
        <f t="shared" si="0"/>
        <v>1558.6450071192003</v>
      </c>
      <c r="AK3" s="5">
        <f t="shared" si="0"/>
        <v>1714.5095078311203</v>
      </c>
      <c r="AL3" s="5">
        <f t="shared" si="0"/>
        <v>1885.9604586142325</v>
      </c>
    </row>
    <row r="4" spans="2:38" x14ac:dyDescent="0.3">
      <c r="B4" t="s">
        <v>27</v>
      </c>
      <c r="C4" s="6"/>
      <c r="D4" s="6"/>
      <c r="E4" s="6"/>
      <c r="F4" s="6"/>
      <c r="G4" s="8">
        <v>9.1</v>
      </c>
      <c r="H4" s="8">
        <v>8.6999999999999993</v>
      </c>
      <c r="I4" s="8">
        <v>9.3000000000000007</v>
      </c>
      <c r="J4" s="8">
        <f>Z4-I4-H4-G4</f>
        <v>12.000000000000002</v>
      </c>
      <c r="K4" s="8">
        <v>13</v>
      </c>
      <c r="L4" s="8">
        <v>13</v>
      </c>
      <c r="M4" s="8">
        <v>14.1</v>
      </c>
      <c r="N4" s="8">
        <f>AA4-M4-L4-K4</f>
        <v>12.100000000000001</v>
      </c>
      <c r="O4" s="8">
        <v>16.899999999999999</v>
      </c>
      <c r="P4" s="8">
        <v>16.399999999999999</v>
      </c>
      <c r="Q4" s="8">
        <f>M4*1.4</f>
        <v>19.739999999999998</v>
      </c>
      <c r="R4" s="8">
        <f>N4*1.6</f>
        <v>19.360000000000003</v>
      </c>
      <c r="T4" s="8">
        <v>16.2</v>
      </c>
      <c r="U4" s="8">
        <v>22</v>
      </c>
      <c r="V4" s="8">
        <v>25.2</v>
      </c>
      <c r="W4" s="8">
        <v>-9.8000000000000007</v>
      </c>
      <c r="X4" s="8">
        <v>26.7</v>
      </c>
      <c r="Y4" s="8">
        <v>35.299999999999997</v>
      </c>
      <c r="Z4" s="8">
        <v>39.1</v>
      </c>
      <c r="AA4" s="8">
        <v>52.2</v>
      </c>
      <c r="AB4" s="5">
        <f t="shared" ref="AB4:AB14" si="1">SUM(O4:R4)</f>
        <v>72.399999999999991</v>
      </c>
      <c r="AC4" s="5">
        <f>AB4*1.4</f>
        <v>101.35999999999999</v>
      </c>
      <c r="AD4" s="5">
        <f>AC4*1.3</f>
        <v>131.76799999999997</v>
      </c>
      <c r="AE4" s="5">
        <f>AD4*1.2</f>
        <v>158.12159999999997</v>
      </c>
      <c r="AF4" s="5">
        <f>AE4*1.1</f>
        <v>173.93375999999998</v>
      </c>
      <c r="AG4" s="5">
        <f t="shared" si="0"/>
        <v>191.327136</v>
      </c>
      <c r="AH4" s="5">
        <f t="shared" si="0"/>
        <v>210.45984960000001</v>
      </c>
      <c r="AI4" s="5">
        <f t="shared" si="0"/>
        <v>231.50583456000004</v>
      </c>
      <c r="AJ4" s="5">
        <f t="shared" si="0"/>
        <v>254.65641801600006</v>
      </c>
      <c r="AK4" s="5">
        <f t="shared" si="0"/>
        <v>280.12205981760007</v>
      </c>
      <c r="AL4" s="5">
        <f t="shared" si="0"/>
        <v>308.13426579936009</v>
      </c>
    </row>
    <row r="5" spans="2:38" x14ac:dyDescent="0.3">
      <c r="B5" t="s">
        <v>26</v>
      </c>
      <c r="C5" s="6"/>
      <c r="D5" s="6"/>
      <c r="E5" s="6"/>
      <c r="F5" s="6"/>
      <c r="G5" s="8">
        <v>7.9</v>
      </c>
      <c r="H5" s="8">
        <v>16.100000000000001</v>
      </c>
      <c r="I5" s="8">
        <v>20.100000000000001</v>
      </c>
      <c r="J5" s="8">
        <f>Z5-I5-H5-G5</f>
        <v>19.600000000000001</v>
      </c>
      <c r="K5" s="8">
        <v>18.3</v>
      </c>
      <c r="L5" s="8">
        <v>19.7</v>
      </c>
      <c r="M5" s="8">
        <v>20.5</v>
      </c>
      <c r="N5" s="8">
        <f>AA5-M5-L5-K5</f>
        <v>19.299999999999994</v>
      </c>
      <c r="O5" s="8">
        <v>23.2</v>
      </c>
      <c r="P5" s="8">
        <v>23.6</v>
      </c>
      <c r="Q5" s="8">
        <f t="shared" ref="Q5" si="2">M5*1.2</f>
        <v>24.599999999999998</v>
      </c>
      <c r="R5" s="8">
        <f>N5*1.3</f>
        <v>25.089999999999993</v>
      </c>
      <c r="T5" s="8">
        <v>12.9</v>
      </c>
      <c r="U5" s="8">
        <v>22.9</v>
      </c>
      <c r="V5" s="8">
        <v>25.9</v>
      </c>
      <c r="W5" s="8">
        <v>26.6</v>
      </c>
      <c r="X5" s="8">
        <v>35.200000000000003</v>
      </c>
      <c r="Y5" s="8">
        <v>47.2</v>
      </c>
      <c r="Z5" s="8">
        <v>63.7</v>
      </c>
      <c r="AA5" s="8">
        <v>77.8</v>
      </c>
      <c r="AB5" s="5">
        <f t="shared" si="1"/>
        <v>96.489999999999981</v>
      </c>
      <c r="AC5" s="5">
        <f>AB5*1.15</f>
        <v>110.96349999999997</v>
      </c>
      <c r="AD5" s="5">
        <f>AC5*1.12</f>
        <v>124.27911999999998</v>
      </c>
      <c r="AE5" s="5">
        <f>AD5*1.09</f>
        <v>135.4642408</v>
      </c>
      <c r="AF5" s="5">
        <f>AE5*1.08</f>
        <v>146.301380064</v>
      </c>
      <c r="AG5" s="5">
        <f>AF5*1.07</f>
        <v>156.54247666848002</v>
      </c>
      <c r="AH5" s="5">
        <f>AG5*1.05</f>
        <v>164.36960050190402</v>
      </c>
      <c r="AI5" s="5">
        <f>AH5*1.03</f>
        <v>169.30068851696115</v>
      </c>
      <c r="AJ5" s="5">
        <f t="shared" ref="AJ5:AL5" si="3">AI5*1.03</f>
        <v>174.37970917246997</v>
      </c>
      <c r="AK5" s="5">
        <f t="shared" si="3"/>
        <v>179.61110044764408</v>
      </c>
      <c r="AL5" s="5">
        <f t="shared" si="3"/>
        <v>184.99943346107341</v>
      </c>
    </row>
    <row r="6" spans="2:38" x14ac:dyDescent="0.3">
      <c r="B6" t="s">
        <v>25</v>
      </c>
      <c r="C6" s="6"/>
      <c r="D6" s="6"/>
      <c r="E6" s="6"/>
      <c r="F6" s="6"/>
      <c r="G6" s="8">
        <v>10.1</v>
      </c>
      <c r="H6" s="8">
        <v>17.899999999999999</v>
      </c>
      <c r="I6" s="8">
        <v>19.399999999999999</v>
      </c>
      <c r="J6" s="8">
        <f>Z6-I6-H6-G6</f>
        <v>18.800000000000004</v>
      </c>
      <c r="K6" s="8">
        <v>18.3</v>
      </c>
      <c r="L6" s="8">
        <v>29.9</v>
      </c>
      <c r="M6" s="8">
        <v>29.8</v>
      </c>
      <c r="N6" s="8">
        <f>AA6-M6-L6-K6</f>
        <v>19.900000000000009</v>
      </c>
      <c r="O6" s="8">
        <v>29.5</v>
      </c>
      <c r="P6" s="8">
        <v>34.4</v>
      </c>
      <c r="Q6" s="8">
        <f>M6*1.2</f>
        <v>35.76</v>
      </c>
      <c r="R6" s="8">
        <f>N6*1.2</f>
        <v>23.88000000000001</v>
      </c>
      <c r="T6" s="8">
        <v>8.1999999999999993</v>
      </c>
      <c r="U6" s="8">
        <v>22.5</v>
      </c>
      <c r="V6" s="8">
        <v>29.1</v>
      </c>
      <c r="W6" s="8">
        <v>-16.100000000000001</v>
      </c>
      <c r="X6" s="8">
        <v>46.9</v>
      </c>
      <c r="Y6" s="8">
        <v>57.2</v>
      </c>
      <c r="Z6" s="8">
        <v>66.2</v>
      </c>
      <c r="AA6" s="8">
        <v>97.9</v>
      </c>
      <c r="AB6" s="5">
        <f t="shared" si="1"/>
        <v>123.54</v>
      </c>
      <c r="AC6" s="5">
        <f>AB6*1.25</f>
        <v>154.42500000000001</v>
      </c>
      <c r="AD6" s="5">
        <f>AC6*1.15</f>
        <v>177.58875</v>
      </c>
      <c r="AE6" s="5">
        <f>AD6*1.12</f>
        <v>198.89940000000001</v>
      </c>
      <c r="AF6" s="5">
        <f>AE6*1.08</f>
        <v>214.81135200000003</v>
      </c>
      <c r="AG6" s="5">
        <f>AF6*1.04</f>
        <v>223.40380608000004</v>
      </c>
      <c r="AH6" s="5">
        <f>AG6*1.02</f>
        <v>227.87188220160004</v>
      </c>
      <c r="AI6" s="5">
        <f t="shared" ref="AI6:AL6" si="4">AH6*1.02</f>
        <v>232.42931984563205</v>
      </c>
      <c r="AJ6" s="5">
        <f t="shared" si="4"/>
        <v>237.07790624254469</v>
      </c>
      <c r="AK6" s="5">
        <f t="shared" si="4"/>
        <v>241.8194643673956</v>
      </c>
      <c r="AL6" s="5">
        <f t="shared" si="4"/>
        <v>246.65585365474351</v>
      </c>
    </row>
    <row r="7" spans="2:38" x14ac:dyDescent="0.3">
      <c r="B7" t="s">
        <v>24</v>
      </c>
      <c r="C7" s="6"/>
      <c r="D7" s="6"/>
      <c r="E7" s="6"/>
      <c r="F7" s="6"/>
      <c r="G7" s="8">
        <v>1</v>
      </c>
      <c r="H7" s="8">
        <v>1.2</v>
      </c>
      <c r="I7" s="8">
        <v>4.9000000000000004</v>
      </c>
      <c r="J7" s="8">
        <f>Z7-I7-H7-G7</f>
        <v>3.7</v>
      </c>
      <c r="K7" s="8">
        <v>2.4</v>
      </c>
      <c r="L7" s="8">
        <v>4</v>
      </c>
      <c r="M7" s="8">
        <v>2.2000000000000002</v>
      </c>
      <c r="N7" s="8">
        <f>AA7-M7-L7-K7</f>
        <v>1.9999999999999987</v>
      </c>
      <c r="O7" s="8">
        <v>0.6</v>
      </c>
      <c r="P7" s="8">
        <v>0.4</v>
      </c>
      <c r="Q7" s="8">
        <v>1</v>
      </c>
      <c r="R7" s="8">
        <v>1</v>
      </c>
      <c r="T7" s="8">
        <v>0.3</v>
      </c>
      <c r="U7" s="8">
        <v>0</v>
      </c>
      <c r="V7" s="8">
        <v>0.2</v>
      </c>
      <c r="W7" s="8">
        <v>0.3</v>
      </c>
      <c r="X7" s="8">
        <v>0.8</v>
      </c>
      <c r="Y7" s="8">
        <v>2.8</v>
      </c>
      <c r="Z7" s="8">
        <v>10.8</v>
      </c>
      <c r="AA7" s="8">
        <v>10.6</v>
      </c>
      <c r="AB7" s="5">
        <f t="shared" si="1"/>
        <v>3</v>
      </c>
      <c r="AC7" s="5">
        <f t="shared" ref="AC7:AL7" si="5">AB7*1.12</f>
        <v>3.3600000000000003</v>
      </c>
      <c r="AD7" s="5">
        <f t="shared" si="5"/>
        <v>3.7632000000000008</v>
      </c>
      <c r="AE7" s="5">
        <f t="shared" si="5"/>
        <v>4.2147840000000016</v>
      </c>
      <c r="AF7" s="5">
        <f t="shared" si="5"/>
        <v>4.7205580800000027</v>
      </c>
      <c r="AG7" s="5">
        <f t="shared" si="5"/>
        <v>5.2870250496000031</v>
      </c>
      <c r="AH7" s="5">
        <f t="shared" si="5"/>
        <v>5.9214680555520038</v>
      </c>
      <c r="AI7" s="5">
        <f t="shared" si="5"/>
        <v>6.6320442222182452</v>
      </c>
      <c r="AJ7" s="5">
        <f t="shared" si="5"/>
        <v>7.4278895288844353</v>
      </c>
      <c r="AK7" s="5">
        <f t="shared" si="5"/>
        <v>8.3192362723505688</v>
      </c>
      <c r="AL7" s="5">
        <f t="shared" si="5"/>
        <v>9.3175446250326388</v>
      </c>
    </row>
    <row r="8" spans="2:38" s="1" customFormat="1" x14ac:dyDescent="0.3">
      <c r="B8" s="1" t="s">
        <v>29</v>
      </c>
      <c r="G8" s="9">
        <f t="shared" ref="G8:R8" si="6">SUM(G3:G7)</f>
        <v>210.2</v>
      </c>
      <c r="H8" s="9">
        <f t="shared" si="6"/>
        <v>260.2</v>
      </c>
      <c r="I8" s="9">
        <f t="shared" si="6"/>
        <v>198.8</v>
      </c>
      <c r="J8" s="9">
        <f t="shared" si="6"/>
        <v>221.99999999999994</v>
      </c>
      <c r="K8" s="9">
        <f t="shared" si="6"/>
        <v>120.3</v>
      </c>
      <c r="L8" s="9">
        <f t="shared" si="6"/>
        <v>143.4</v>
      </c>
      <c r="M8" s="9">
        <f t="shared" si="6"/>
        <v>173.7</v>
      </c>
      <c r="N8" s="9">
        <f t="shared" si="6"/>
        <v>191.4</v>
      </c>
      <c r="O8" s="9">
        <f t="shared" si="6"/>
        <v>133.70000000000002</v>
      </c>
      <c r="P8" s="9">
        <f t="shared" si="6"/>
        <v>174</v>
      </c>
      <c r="Q8" s="9">
        <f t="shared" si="6"/>
        <v>209.61999999999998</v>
      </c>
      <c r="R8" s="9">
        <f t="shared" si="6"/>
        <v>221.24000000000007</v>
      </c>
      <c r="T8" s="9">
        <f t="shared" ref="T8:AA8" si="7">SUM(T3:T7)</f>
        <v>100.2</v>
      </c>
      <c r="U8" s="9">
        <f t="shared" si="7"/>
        <v>174.70000000000002</v>
      </c>
      <c r="V8" s="9">
        <f t="shared" si="7"/>
        <v>230.29999999999998</v>
      </c>
      <c r="W8" s="9">
        <f t="shared" si="7"/>
        <v>-93.3</v>
      </c>
      <c r="X8" s="9">
        <f t="shared" si="7"/>
        <v>502.4</v>
      </c>
      <c r="Y8" s="9">
        <f t="shared" si="7"/>
        <v>701.4</v>
      </c>
      <c r="Z8" s="9">
        <f t="shared" si="7"/>
        <v>891.2</v>
      </c>
      <c r="AA8" s="9">
        <f t="shared" si="7"/>
        <v>628.79999999999995</v>
      </c>
      <c r="AB8" s="9">
        <f t="shared" ref="AB8:AL8" si="8">SUM(AB3:AB7)</f>
        <v>738.56</v>
      </c>
      <c r="AC8" s="9">
        <f t="shared" si="8"/>
        <v>990.4905</v>
      </c>
      <c r="AD8" s="9">
        <f t="shared" si="8"/>
        <v>1243.8956700000001</v>
      </c>
      <c r="AE8" s="9">
        <f t="shared" si="8"/>
        <v>1464.4959448</v>
      </c>
      <c r="AF8" s="9">
        <f t="shared" si="8"/>
        <v>1604.3425621439999</v>
      </c>
      <c r="AG8" s="9">
        <f t="shared" si="8"/>
        <v>1747.5935069980801</v>
      </c>
      <c r="AH8" s="9">
        <f t="shared" si="8"/>
        <v>1896.7591698790561</v>
      </c>
      <c r="AI8" s="9">
        <f t="shared" si="8"/>
        <v>2056.8178936168115</v>
      </c>
      <c r="AJ8" s="9">
        <f t="shared" si="8"/>
        <v>2232.1869300790995</v>
      </c>
      <c r="AK8" s="9">
        <f t="shared" si="8"/>
        <v>2424.3813687361107</v>
      </c>
      <c r="AL8" s="9">
        <f t="shared" si="8"/>
        <v>2635.0675561544422</v>
      </c>
    </row>
    <row r="9" spans="2:38" s="1" customFormat="1" x14ac:dyDescent="0.3">
      <c r="B9" t="s">
        <v>31</v>
      </c>
      <c r="G9" s="5">
        <v>158.30000000000001</v>
      </c>
      <c r="H9" s="5">
        <v>187.4</v>
      </c>
      <c r="I9" s="5">
        <v>159</v>
      </c>
      <c r="J9" s="8">
        <f t="shared" ref="J9:J14" si="9">Z9-I9-H9-G9</f>
        <v>260.90000000000003</v>
      </c>
      <c r="K9" s="5">
        <v>135.1</v>
      </c>
      <c r="L9" s="5">
        <v>129.9</v>
      </c>
      <c r="M9" s="5">
        <v>149.9</v>
      </c>
      <c r="N9" s="8">
        <f t="shared" ref="N9:N14" si="10">AA9-M9-L9-K9</f>
        <v>281.20000000000005</v>
      </c>
      <c r="O9" s="5">
        <v>74.599999999999994</v>
      </c>
      <c r="P9" s="5">
        <v>117.3</v>
      </c>
      <c r="Q9" s="5">
        <f t="shared" ref="Q9" si="11">Q3*1.1</f>
        <v>141.37199999999999</v>
      </c>
      <c r="R9" s="5">
        <f>R3*1.25</f>
        <v>189.88750000000005</v>
      </c>
      <c r="T9" s="5">
        <v>54.8</v>
      </c>
      <c r="U9" s="5">
        <v>84.4</v>
      </c>
      <c r="V9" s="5">
        <v>96.9</v>
      </c>
      <c r="W9" s="5">
        <v>171.4</v>
      </c>
      <c r="X9" s="5">
        <v>307.2</v>
      </c>
      <c r="Y9" s="5">
        <v>468.1</v>
      </c>
      <c r="Z9" s="5">
        <v>765.6</v>
      </c>
      <c r="AA9" s="8">
        <v>696.1</v>
      </c>
      <c r="AB9" s="5">
        <f t="shared" si="1"/>
        <v>523.15949999999998</v>
      </c>
      <c r="AC9" s="5">
        <f>AC3*0.88</f>
        <v>545.93615999999997</v>
      </c>
      <c r="AD9" s="5">
        <f>AD3*0.76</f>
        <v>612.93741599999998</v>
      </c>
      <c r="AE9" s="5">
        <f>AE3*0.68</f>
        <v>658.10122560000002</v>
      </c>
      <c r="AF9" s="5">
        <f>AF3*0.66</f>
        <v>702.61983792000001</v>
      </c>
      <c r="AG9" s="5">
        <f>AG3*0.65</f>
        <v>761.17149108000001</v>
      </c>
      <c r="AH9" s="5">
        <f>AH3*0.64</f>
        <v>824.40727649280007</v>
      </c>
      <c r="AI9" s="5">
        <f t="shared" ref="AI9:AL9" si="12">AI3*0.64</f>
        <v>906.84800414208007</v>
      </c>
      <c r="AJ9" s="5">
        <f t="shared" si="12"/>
        <v>997.53280455628817</v>
      </c>
      <c r="AK9" s="5">
        <f t="shared" si="12"/>
        <v>1097.2860850119171</v>
      </c>
      <c r="AL9" s="5">
        <f t="shared" si="12"/>
        <v>1207.0146935131088</v>
      </c>
    </row>
    <row r="10" spans="2:38" s="1" customFormat="1" x14ac:dyDescent="0.3">
      <c r="B10" t="s">
        <v>32</v>
      </c>
      <c r="G10" s="5">
        <v>12.2</v>
      </c>
      <c r="H10" s="5">
        <v>23.4</v>
      </c>
      <c r="I10" s="5">
        <v>17.899999999999999</v>
      </c>
      <c r="J10" s="8">
        <f t="shared" si="9"/>
        <v>21.900000000000009</v>
      </c>
      <c r="K10" s="5">
        <v>13</v>
      </c>
      <c r="L10" s="5">
        <v>13.7</v>
      </c>
      <c r="M10" s="5">
        <v>9.1</v>
      </c>
      <c r="N10" s="8">
        <f t="shared" si="10"/>
        <v>22</v>
      </c>
      <c r="O10" s="5">
        <v>14.5</v>
      </c>
      <c r="P10" s="5">
        <v>10</v>
      </c>
      <c r="Q10" s="5">
        <v>17</v>
      </c>
      <c r="R10" s="5">
        <v>20</v>
      </c>
      <c r="T10" s="5">
        <v>19.8</v>
      </c>
      <c r="U10" s="5">
        <v>23.7</v>
      </c>
      <c r="V10" s="5">
        <v>28.8</v>
      </c>
      <c r="W10" s="5">
        <v>42.5</v>
      </c>
      <c r="X10" s="5">
        <v>63.7</v>
      </c>
      <c r="Y10" s="5">
        <v>59.4</v>
      </c>
      <c r="Z10" s="5">
        <v>75.400000000000006</v>
      </c>
      <c r="AA10" s="8">
        <v>57.8</v>
      </c>
      <c r="AB10" s="5">
        <f t="shared" si="1"/>
        <v>61.5</v>
      </c>
      <c r="AC10" s="5">
        <f>AC4*0.55</f>
        <v>55.747999999999998</v>
      </c>
      <c r="AD10" s="5">
        <f>AD4*0.5</f>
        <v>65.883999999999986</v>
      </c>
      <c r="AE10" s="5">
        <f>AE4*0.45</f>
        <v>71.154719999999983</v>
      </c>
      <c r="AF10" s="5">
        <f>AF4*0.45</f>
        <v>78.270191999999994</v>
      </c>
      <c r="AG10" s="5">
        <f t="shared" ref="AG10:AL10" si="13">AG4*0.45</f>
        <v>86.097211200000004</v>
      </c>
      <c r="AH10" s="5">
        <f t="shared" si="13"/>
        <v>94.706932320000007</v>
      </c>
      <c r="AI10" s="5">
        <f t="shared" si="13"/>
        <v>104.17762555200002</v>
      </c>
      <c r="AJ10" s="5">
        <f t="shared" si="13"/>
        <v>114.59538810720002</v>
      </c>
      <c r="AK10" s="5">
        <f t="shared" si="13"/>
        <v>126.05492691792004</v>
      </c>
      <c r="AL10" s="5">
        <f t="shared" si="13"/>
        <v>138.66041960971205</v>
      </c>
    </row>
    <row r="11" spans="2:38" s="1" customFormat="1" x14ac:dyDescent="0.3">
      <c r="B11" t="s">
        <v>54</v>
      </c>
      <c r="G11" s="5">
        <v>6.9</v>
      </c>
      <c r="H11" s="5">
        <v>7.3</v>
      </c>
      <c r="I11" s="5">
        <v>41.6</v>
      </c>
      <c r="J11" s="8">
        <f t="shared" si="9"/>
        <v>30.5</v>
      </c>
      <c r="K11" s="5">
        <v>15.7</v>
      </c>
      <c r="L11" s="5">
        <v>16.5</v>
      </c>
      <c r="M11" s="5">
        <v>6</v>
      </c>
      <c r="N11" s="8">
        <f t="shared" si="10"/>
        <v>10.3</v>
      </c>
      <c r="O11" s="5">
        <v>8.9</v>
      </c>
      <c r="P11" s="5">
        <v>-10.8</v>
      </c>
      <c r="Q11" s="5">
        <v>12</v>
      </c>
      <c r="R11" s="5">
        <v>12</v>
      </c>
      <c r="T11" s="5"/>
      <c r="U11" s="5"/>
      <c r="V11" s="5"/>
      <c r="W11" s="5">
        <v>35.5</v>
      </c>
      <c r="X11" s="5">
        <v>72</v>
      </c>
      <c r="Y11" s="5">
        <v>26.8</v>
      </c>
      <c r="Z11" s="5">
        <v>86.3</v>
      </c>
      <c r="AA11" s="8">
        <v>48.5</v>
      </c>
      <c r="AB11" s="5">
        <f t="shared" si="1"/>
        <v>22.1</v>
      </c>
      <c r="AC11" s="5">
        <f>AC5*0.48</f>
        <v>53.262479999999982</v>
      </c>
      <c r="AD11" s="5">
        <f>AD5*0.46</f>
        <v>57.168395199999992</v>
      </c>
      <c r="AE11" s="5">
        <f t="shared" ref="AE11:AL11" si="14">AE5*0.46</f>
        <v>62.313550767999999</v>
      </c>
      <c r="AF11" s="5">
        <f t="shared" si="14"/>
        <v>67.298634829440005</v>
      </c>
      <c r="AG11" s="5">
        <f t="shared" si="14"/>
        <v>72.009539267500813</v>
      </c>
      <c r="AH11" s="5">
        <f t="shared" si="14"/>
        <v>75.610016230875857</v>
      </c>
      <c r="AI11" s="5">
        <f t="shared" si="14"/>
        <v>77.878316717802136</v>
      </c>
      <c r="AJ11" s="5">
        <f t="shared" si="14"/>
        <v>80.214666219336195</v>
      </c>
      <c r="AK11" s="5">
        <f t="shared" si="14"/>
        <v>82.621106205916277</v>
      </c>
      <c r="AL11" s="5">
        <f t="shared" si="14"/>
        <v>85.099739392093767</v>
      </c>
    </row>
    <row r="12" spans="2:38" s="1" customFormat="1" x14ac:dyDescent="0.3">
      <c r="B12" t="s">
        <v>33</v>
      </c>
      <c r="G12" s="5">
        <v>46.8</v>
      </c>
      <c r="H12" s="5">
        <v>54</v>
      </c>
      <c r="I12" s="5">
        <v>57</v>
      </c>
      <c r="J12" s="8">
        <f t="shared" si="9"/>
        <v>61.100000000000009</v>
      </c>
      <c r="K12" s="5">
        <v>55.2</v>
      </c>
      <c r="L12" s="5">
        <v>54.3</v>
      </c>
      <c r="M12" s="5">
        <v>51.8</v>
      </c>
      <c r="N12" s="8">
        <f t="shared" si="10"/>
        <v>55.600000000000023</v>
      </c>
      <c r="O12" s="5">
        <v>49.9</v>
      </c>
      <c r="P12" s="5">
        <v>45.3</v>
      </c>
      <c r="Q12" s="5">
        <v>48</v>
      </c>
      <c r="R12" s="5">
        <v>49</v>
      </c>
      <c r="T12" s="5">
        <v>31.3</v>
      </c>
      <c r="U12" s="5">
        <v>36.200000000000003</v>
      </c>
      <c r="V12" s="5">
        <v>40.1</v>
      </c>
      <c r="W12" s="5">
        <v>64.599999999999994</v>
      </c>
      <c r="X12" s="5">
        <v>102.4</v>
      </c>
      <c r="Y12" s="5">
        <v>144.69999999999999</v>
      </c>
      <c r="Z12" s="5">
        <v>218.9</v>
      </c>
      <c r="AA12" s="8">
        <v>216.9</v>
      </c>
      <c r="AB12" s="5">
        <f t="shared" si="1"/>
        <v>192.2</v>
      </c>
      <c r="AC12" s="5">
        <f>AC5*1.8</f>
        <v>199.73429999999993</v>
      </c>
      <c r="AD12" s="5">
        <f>AD5*1.5</f>
        <v>186.41867999999997</v>
      </c>
      <c r="AE12" s="5">
        <f>AE5*1.2</f>
        <v>162.55708895999999</v>
      </c>
      <c r="AF12" s="5">
        <f>AF5*1.1</f>
        <v>160.93151807040002</v>
      </c>
      <c r="AG12" s="5">
        <f>AG5*1.05</f>
        <v>164.36960050190402</v>
      </c>
      <c r="AH12" s="5">
        <f>AH5*1</f>
        <v>164.36960050190402</v>
      </c>
      <c r="AI12" s="5">
        <f>AI5*0.95</f>
        <v>160.83565409111307</v>
      </c>
      <c r="AJ12" s="5">
        <f>AJ5*0.93</f>
        <v>162.17312953039709</v>
      </c>
      <c r="AK12" s="5">
        <f>AK5*0.92</f>
        <v>165.24221241183255</v>
      </c>
      <c r="AL12" s="5">
        <f>AL5*0.91</f>
        <v>168.34948444957681</v>
      </c>
    </row>
    <row r="13" spans="2:38" s="1" customFormat="1" x14ac:dyDescent="0.3">
      <c r="B13" t="s">
        <v>34</v>
      </c>
      <c r="G13" s="5">
        <v>54.5</v>
      </c>
      <c r="H13" s="5">
        <v>64.5</v>
      </c>
      <c r="I13" s="5">
        <v>59</v>
      </c>
      <c r="J13" s="8">
        <f t="shared" si="9"/>
        <v>68.300000000000011</v>
      </c>
      <c r="K13" s="5">
        <v>58.6</v>
      </c>
      <c r="L13" s="5">
        <v>58.3</v>
      </c>
      <c r="M13" s="5">
        <v>55.5</v>
      </c>
      <c r="N13" s="8">
        <f t="shared" si="10"/>
        <v>56.400000000000013</v>
      </c>
      <c r="O13" s="5">
        <v>59.4</v>
      </c>
      <c r="P13" s="5">
        <v>65.599999999999994</v>
      </c>
      <c r="Q13" s="5">
        <v>69</v>
      </c>
      <c r="R13" s="5">
        <v>73</v>
      </c>
      <c r="T13" s="5">
        <v>22</v>
      </c>
      <c r="U13" s="5">
        <v>27.7</v>
      </c>
      <c r="V13" s="5">
        <v>36.4</v>
      </c>
      <c r="W13" s="5">
        <v>61.8</v>
      </c>
      <c r="X13" s="5">
        <v>127.2</v>
      </c>
      <c r="Y13" s="5">
        <v>194.3</v>
      </c>
      <c r="Z13" s="5">
        <v>246.3</v>
      </c>
      <c r="AA13" s="8">
        <v>228.8</v>
      </c>
      <c r="AB13" s="5">
        <f t="shared" si="1"/>
        <v>267</v>
      </c>
      <c r="AC13" s="5">
        <f>AC6*1.3</f>
        <v>200.75250000000003</v>
      </c>
      <c r="AD13" s="5">
        <f>AD6*1.15</f>
        <v>204.22706249999999</v>
      </c>
      <c r="AE13" s="5">
        <f>AE6*1.05</f>
        <v>208.84437000000003</v>
      </c>
      <c r="AF13" s="5">
        <f>AF6*1</f>
        <v>214.81135200000003</v>
      </c>
      <c r="AG13" s="5">
        <f>AG6*0.96</f>
        <v>214.46765383680003</v>
      </c>
      <c r="AH13" s="5">
        <f>AH6*0.97</f>
        <v>221.03572573555203</v>
      </c>
      <c r="AI13" s="5">
        <f>AI6*0.96</f>
        <v>223.13214705180675</v>
      </c>
      <c r="AJ13" s="5">
        <f>AJ6*0.95</f>
        <v>225.22401093041745</v>
      </c>
      <c r="AK13" s="5">
        <f>AK6*0.94</f>
        <v>227.31029650535186</v>
      </c>
      <c r="AL13" s="5">
        <f>AL6*0.93</f>
        <v>229.38994389891147</v>
      </c>
    </row>
    <row r="14" spans="2:38" s="1" customFormat="1" x14ac:dyDescent="0.3">
      <c r="B14" t="s">
        <v>35</v>
      </c>
      <c r="G14" s="5">
        <v>0.9</v>
      </c>
      <c r="H14" s="5">
        <v>1.7</v>
      </c>
      <c r="I14" s="5">
        <v>2.2000000000000002</v>
      </c>
      <c r="J14" s="8">
        <f t="shared" si="9"/>
        <v>1.6999999999999997</v>
      </c>
      <c r="K14" s="5">
        <v>1.7</v>
      </c>
      <c r="L14" s="5">
        <v>1.9</v>
      </c>
      <c r="M14" s="5">
        <v>1.4</v>
      </c>
      <c r="N14" s="8">
        <f t="shared" si="10"/>
        <v>0.49999999999999978</v>
      </c>
      <c r="O14" s="5">
        <v>0.3</v>
      </c>
      <c r="P14" s="5">
        <v>0.1</v>
      </c>
      <c r="Q14" s="5">
        <v>0.5</v>
      </c>
      <c r="R14" s="5">
        <v>0.5</v>
      </c>
      <c r="T14" s="5">
        <v>0.3</v>
      </c>
      <c r="U14" s="5">
        <v>0</v>
      </c>
      <c r="V14" s="5">
        <v>0.2</v>
      </c>
      <c r="W14" s="5">
        <v>0.3</v>
      </c>
      <c r="X14" s="5">
        <v>1.2</v>
      </c>
      <c r="Y14" s="5">
        <v>2.6</v>
      </c>
      <c r="Z14" s="5">
        <v>6.5</v>
      </c>
      <c r="AA14" s="8">
        <v>5.5</v>
      </c>
      <c r="AB14" s="5">
        <f t="shared" si="1"/>
        <v>1.4</v>
      </c>
      <c r="AC14" s="5">
        <f>AC7*0.5</f>
        <v>1.6800000000000002</v>
      </c>
      <c r="AD14" s="5">
        <f t="shared" ref="AD14:AL14" si="15">AD7*0.5</f>
        <v>1.8816000000000004</v>
      </c>
      <c r="AE14" s="5">
        <f t="shared" si="15"/>
        <v>2.1073920000000008</v>
      </c>
      <c r="AF14" s="5">
        <f t="shared" si="15"/>
        <v>2.3602790400000013</v>
      </c>
      <c r="AG14" s="5">
        <f t="shared" si="15"/>
        <v>2.6435125248000015</v>
      </c>
      <c r="AH14" s="5">
        <f t="shared" si="15"/>
        <v>2.9607340277760019</v>
      </c>
      <c r="AI14" s="5">
        <f t="shared" si="15"/>
        <v>3.3160221111091226</v>
      </c>
      <c r="AJ14" s="5">
        <f t="shared" si="15"/>
        <v>3.7139447644422177</v>
      </c>
      <c r="AK14" s="5">
        <f t="shared" si="15"/>
        <v>4.1596181361752844</v>
      </c>
      <c r="AL14" s="5">
        <f t="shared" si="15"/>
        <v>4.6587723125163194</v>
      </c>
    </row>
    <row r="15" spans="2:38" x14ac:dyDescent="0.3">
      <c r="B15" t="s">
        <v>30</v>
      </c>
      <c r="G15" s="5">
        <f t="shared" ref="G15:N15" si="16">SUM(G9:G14)</f>
        <v>279.59999999999997</v>
      </c>
      <c r="H15" s="5">
        <f t="shared" si="16"/>
        <v>338.3</v>
      </c>
      <c r="I15" s="5">
        <f t="shared" si="16"/>
        <v>336.7</v>
      </c>
      <c r="J15" s="5">
        <f t="shared" si="16"/>
        <v>444.40000000000009</v>
      </c>
      <c r="K15" s="5">
        <f t="shared" si="16"/>
        <v>279.3</v>
      </c>
      <c r="L15" s="5">
        <f t="shared" si="16"/>
        <v>274.59999999999997</v>
      </c>
      <c r="M15" s="5">
        <f t="shared" si="16"/>
        <v>273.7</v>
      </c>
      <c r="N15" s="5">
        <f t="shared" si="16"/>
        <v>426.00000000000011</v>
      </c>
      <c r="O15" s="5">
        <f t="shared" ref="O15:R15" si="17">SUM(O9:O14)</f>
        <v>207.60000000000002</v>
      </c>
      <c r="P15" s="5">
        <f t="shared" si="17"/>
        <v>227.5</v>
      </c>
      <c r="Q15" s="5">
        <f t="shared" si="17"/>
        <v>287.87199999999996</v>
      </c>
      <c r="R15" s="5">
        <f t="shared" si="17"/>
        <v>344.38750000000005</v>
      </c>
      <c r="T15" s="5">
        <f t="shared" ref="T15:AA15" si="18">SUM(T9:T14)</f>
        <v>128.19999999999999</v>
      </c>
      <c r="U15" s="5">
        <f t="shared" si="18"/>
        <v>172</v>
      </c>
      <c r="V15" s="5">
        <f t="shared" si="18"/>
        <v>202.4</v>
      </c>
      <c r="W15" s="5">
        <f t="shared" si="18"/>
        <v>376.1</v>
      </c>
      <c r="X15" s="5">
        <f t="shared" si="18"/>
        <v>673.7</v>
      </c>
      <c r="Y15" s="5">
        <f t="shared" si="18"/>
        <v>895.9</v>
      </c>
      <c r="Z15" s="5">
        <f t="shared" si="18"/>
        <v>1399</v>
      </c>
      <c r="AA15" s="5">
        <f t="shared" si="18"/>
        <v>1253.5999999999999</v>
      </c>
      <c r="AB15" s="5">
        <f t="shared" ref="AB15:AL15" si="19">SUM(AB9:AB14)</f>
        <v>1067.3595</v>
      </c>
      <c r="AC15" s="5">
        <f t="shared" si="19"/>
        <v>1057.1134400000001</v>
      </c>
      <c r="AD15" s="5">
        <f t="shared" si="19"/>
        <v>1128.5171536999999</v>
      </c>
      <c r="AE15" s="5">
        <f t="shared" si="19"/>
        <v>1165.0783473279998</v>
      </c>
      <c r="AF15" s="5">
        <f t="shared" si="19"/>
        <v>1226.29181385984</v>
      </c>
      <c r="AG15" s="5">
        <f t="shared" si="19"/>
        <v>1300.759008411005</v>
      </c>
      <c r="AH15" s="5">
        <f t="shared" si="19"/>
        <v>1383.0902853089078</v>
      </c>
      <c r="AI15" s="5">
        <f t="shared" si="19"/>
        <v>1476.1877696659112</v>
      </c>
      <c r="AJ15" s="5">
        <f t="shared" si="19"/>
        <v>1583.453944108081</v>
      </c>
      <c r="AK15" s="5">
        <f t="shared" si="19"/>
        <v>1702.674245189113</v>
      </c>
      <c r="AL15" s="5">
        <f t="shared" si="19"/>
        <v>1833.1730531759192</v>
      </c>
    </row>
    <row r="16" spans="2:38" s="1" customFormat="1" x14ac:dyDescent="0.3">
      <c r="B16" s="1" t="s">
        <v>12</v>
      </c>
      <c r="G16" s="9">
        <f t="shared" ref="G16:N16" si="20">G8-G15</f>
        <v>-69.399999999999977</v>
      </c>
      <c r="H16" s="9">
        <f t="shared" si="20"/>
        <v>-78.100000000000023</v>
      </c>
      <c r="I16" s="9">
        <f t="shared" si="20"/>
        <v>-137.89999999999998</v>
      </c>
      <c r="J16" s="9">
        <f t="shared" si="20"/>
        <v>-222.40000000000015</v>
      </c>
      <c r="K16" s="9">
        <f t="shared" si="20"/>
        <v>-159</v>
      </c>
      <c r="L16" s="9">
        <f t="shared" si="20"/>
        <v>-131.19999999999996</v>
      </c>
      <c r="M16" s="9">
        <f t="shared" si="20"/>
        <v>-100</v>
      </c>
      <c r="N16" s="9">
        <f t="shared" si="20"/>
        <v>-234.60000000000011</v>
      </c>
      <c r="O16" s="9">
        <f t="shared" ref="O16:R16" si="21">O8-O15</f>
        <v>-73.900000000000006</v>
      </c>
      <c r="P16" s="9">
        <f t="shared" si="21"/>
        <v>-53.5</v>
      </c>
      <c r="Q16" s="9">
        <f t="shared" si="21"/>
        <v>-78.251999999999981</v>
      </c>
      <c r="R16" s="9">
        <f t="shared" si="21"/>
        <v>-123.14749999999998</v>
      </c>
      <c r="T16" s="9">
        <f t="shared" ref="T16:AA16" si="22">T8-T15</f>
        <v>-27.999999999999986</v>
      </c>
      <c r="U16" s="9">
        <f t="shared" si="22"/>
        <v>2.7000000000000171</v>
      </c>
      <c r="V16" s="9">
        <f t="shared" si="22"/>
        <v>27.899999999999977</v>
      </c>
      <c r="W16" s="9">
        <f t="shared" si="22"/>
        <v>-469.40000000000003</v>
      </c>
      <c r="X16" s="9">
        <f t="shared" si="22"/>
        <v>-171.30000000000007</v>
      </c>
      <c r="Y16" s="9">
        <f t="shared" si="22"/>
        <v>-194.5</v>
      </c>
      <c r="Z16" s="9">
        <f t="shared" si="22"/>
        <v>-507.79999999999995</v>
      </c>
      <c r="AA16" s="9">
        <f t="shared" si="22"/>
        <v>-624.79999999999995</v>
      </c>
      <c r="AB16" s="9">
        <f t="shared" ref="AB16:AL16" si="23">AB8-AB15</f>
        <v>-328.79950000000008</v>
      </c>
      <c r="AC16" s="9">
        <f t="shared" si="23"/>
        <v>-66.622940000000085</v>
      </c>
      <c r="AD16" s="9">
        <f t="shared" si="23"/>
        <v>115.37851630000023</v>
      </c>
      <c r="AE16" s="9">
        <f t="shared" si="23"/>
        <v>299.41759747200012</v>
      </c>
      <c r="AF16" s="9">
        <f t="shared" si="23"/>
        <v>378.05074828415991</v>
      </c>
      <c r="AG16" s="9">
        <f t="shared" si="23"/>
        <v>446.83449858707513</v>
      </c>
      <c r="AH16" s="9">
        <f t="shared" si="23"/>
        <v>513.66888457014829</v>
      </c>
      <c r="AI16" s="9">
        <f t="shared" si="23"/>
        <v>580.63012395090027</v>
      </c>
      <c r="AJ16" s="9">
        <f t="shared" si="23"/>
        <v>648.73298597101848</v>
      </c>
      <c r="AK16" s="9">
        <f t="shared" si="23"/>
        <v>721.70712354699776</v>
      </c>
      <c r="AL16" s="9">
        <f t="shared" si="23"/>
        <v>801.89450297852295</v>
      </c>
    </row>
    <row r="17" spans="2:38" x14ac:dyDescent="0.3">
      <c r="B17" t="s">
        <v>36</v>
      </c>
      <c r="G17" s="5">
        <v>26.5</v>
      </c>
      <c r="H17" s="5">
        <v>29.3</v>
      </c>
      <c r="I17" s="5">
        <v>27.7</v>
      </c>
      <c r="J17" s="8">
        <f>Z17-I17-H17-G17</f>
        <v>30.200000000000003</v>
      </c>
      <c r="K17" s="5">
        <v>25.3</v>
      </c>
      <c r="L17" s="5">
        <v>18.899999999999999</v>
      </c>
      <c r="M17" s="5">
        <v>19.7</v>
      </c>
      <c r="N17" s="8">
        <f>AA17-M17-L17-K17</f>
        <v>13.3</v>
      </c>
      <c r="O17" s="5">
        <v>17.399999999999999</v>
      </c>
      <c r="P17" s="5">
        <v>12.2</v>
      </c>
      <c r="Q17" s="5">
        <f>M17*1.03</f>
        <v>20.291</v>
      </c>
      <c r="R17" s="5">
        <f>N17*1.1</f>
        <v>14.630000000000003</v>
      </c>
      <c r="T17" s="5">
        <v>28.7</v>
      </c>
      <c r="U17" s="5">
        <v>33.9</v>
      </c>
      <c r="V17" s="5">
        <v>33.700000000000003</v>
      </c>
      <c r="W17" s="5">
        <v>27.8</v>
      </c>
      <c r="X17" s="5">
        <v>64.8</v>
      </c>
      <c r="Y17" s="5">
        <v>99.6</v>
      </c>
      <c r="Z17" s="5">
        <v>113.7</v>
      </c>
      <c r="AA17" s="8">
        <v>77.2</v>
      </c>
      <c r="AB17" s="5">
        <f t="shared" ref="AB17:AB21" si="24">SUM(O17:R17)</f>
        <v>64.521000000000001</v>
      </c>
      <c r="AC17" s="5">
        <f>AB17*1.05</f>
        <v>67.747050000000002</v>
      </c>
      <c r="AD17" s="5">
        <f>AC17*1.04</f>
        <v>70.456932000000009</v>
      </c>
      <c r="AE17" s="5">
        <f>AD17*1.03</f>
        <v>72.570639960000008</v>
      </c>
      <c r="AF17" s="5">
        <f t="shared" ref="AF17:AL17" si="25">AE17*1.03</f>
        <v>74.747759158800008</v>
      </c>
      <c r="AG17" s="5">
        <f t="shared" si="25"/>
        <v>76.990191933564006</v>
      </c>
      <c r="AH17" s="5">
        <f t="shared" si="25"/>
        <v>79.299897691570933</v>
      </c>
      <c r="AI17" s="5">
        <f t="shared" si="25"/>
        <v>81.678894622318069</v>
      </c>
      <c r="AJ17" s="5">
        <f t="shared" si="25"/>
        <v>84.129261460987607</v>
      </c>
      <c r="AK17" s="5">
        <f t="shared" si="25"/>
        <v>86.65313930481723</v>
      </c>
      <c r="AL17" s="5">
        <f t="shared" si="25"/>
        <v>89.252733483961748</v>
      </c>
    </row>
    <row r="18" spans="2:38" x14ac:dyDescent="0.3">
      <c r="B18" t="s">
        <v>37</v>
      </c>
      <c r="G18" s="5">
        <v>104</v>
      </c>
      <c r="H18" s="5">
        <v>101.2</v>
      </c>
      <c r="I18" s="5">
        <v>105.5</v>
      </c>
      <c r="J18" s="8">
        <f>Z18-I18-H18-G18</f>
        <v>111.80000000000001</v>
      </c>
      <c r="K18" s="5">
        <v>78</v>
      </c>
      <c r="L18" s="5">
        <v>85.1</v>
      </c>
      <c r="M18" s="5">
        <v>91.6</v>
      </c>
      <c r="N18" s="8">
        <f>AA18-M18-L18-K18</f>
        <v>121.4</v>
      </c>
      <c r="O18" s="5">
        <v>80.8</v>
      </c>
      <c r="P18" s="5">
        <v>87.9</v>
      </c>
      <c r="Q18" s="5">
        <f>M18*1.01</f>
        <v>92.515999999999991</v>
      </c>
      <c r="R18" s="5">
        <f>N18*1.01</f>
        <v>122.614</v>
      </c>
      <c r="T18" s="5">
        <v>45</v>
      </c>
      <c r="U18" s="5">
        <v>38.200000000000003</v>
      </c>
      <c r="V18" s="5">
        <v>44.3</v>
      </c>
      <c r="W18" s="5">
        <v>79.3</v>
      </c>
      <c r="X18" s="5">
        <v>179.9</v>
      </c>
      <c r="Y18" s="5">
        <v>363.9</v>
      </c>
      <c r="Z18" s="5">
        <v>422.5</v>
      </c>
      <c r="AA18" s="8">
        <v>376.1</v>
      </c>
      <c r="AB18" s="5">
        <f t="shared" si="24"/>
        <v>383.83000000000004</v>
      </c>
      <c r="AC18" s="5">
        <f>AB18*0.99</f>
        <v>379.99170000000004</v>
      </c>
      <c r="AD18" s="5">
        <f t="shared" ref="AD18:AL18" si="26">AC18*1.01</f>
        <v>383.79161700000003</v>
      </c>
      <c r="AE18" s="5">
        <f t="shared" si="26"/>
        <v>387.62953317000006</v>
      </c>
      <c r="AF18" s="5">
        <f t="shared" si="26"/>
        <v>391.50582850170008</v>
      </c>
      <c r="AG18" s="5">
        <f t="shared" si="26"/>
        <v>395.42088678671706</v>
      </c>
      <c r="AH18" s="5">
        <f t="shared" si="26"/>
        <v>399.37509565458424</v>
      </c>
      <c r="AI18" s="5">
        <f t="shared" si="26"/>
        <v>403.3688466111301</v>
      </c>
      <c r="AJ18" s="5">
        <f t="shared" si="26"/>
        <v>407.4025350772414</v>
      </c>
      <c r="AK18" s="5">
        <f t="shared" si="26"/>
        <v>411.47656042801384</v>
      </c>
      <c r="AL18" s="5">
        <f t="shared" si="26"/>
        <v>415.59132603229398</v>
      </c>
    </row>
    <row r="19" spans="2:38" x14ac:dyDescent="0.3">
      <c r="B19" t="s">
        <v>38</v>
      </c>
      <c r="G19" s="5">
        <v>0</v>
      </c>
      <c r="H19" s="5">
        <v>0</v>
      </c>
      <c r="I19" s="5">
        <v>0</v>
      </c>
      <c r="J19" s="8">
        <f>Z19-I19-H19-G19</f>
        <v>20</v>
      </c>
      <c r="K19" s="5">
        <v>6</v>
      </c>
      <c r="L19" s="5">
        <v>1.6</v>
      </c>
      <c r="M19" s="5">
        <v>0.5</v>
      </c>
      <c r="N19" s="8">
        <f>AA19-M19-L19-K19</f>
        <v>9.9999999999999645E-2</v>
      </c>
      <c r="O19" s="5">
        <v>17.2</v>
      </c>
      <c r="P19" s="5">
        <v>3</v>
      </c>
      <c r="Q19" s="5">
        <v>3</v>
      </c>
      <c r="R19" s="5">
        <v>2</v>
      </c>
      <c r="T19" s="5"/>
      <c r="U19" s="5"/>
      <c r="V19" s="5"/>
      <c r="W19" s="5"/>
      <c r="X19" s="5">
        <v>10.199999999999999</v>
      </c>
      <c r="Y19" s="5">
        <v>5.2</v>
      </c>
      <c r="Z19" s="5">
        <v>20</v>
      </c>
      <c r="AA19" s="8">
        <v>8.1999999999999993</v>
      </c>
      <c r="AB19" s="5">
        <f t="shared" si="24"/>
        <v>25.2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</row>
    <row r="20" spans="2:38" x14ac:dyDescent="0.3">
      <c r="B20" t="s">
        <v>39</v>
      </c>
      <c r="G20" s="5">
        <v>1.1000000000000001</v>
      </c>
      <c r="H20" s="5">
        <v>10</v>
      </c>
      <c r="I20" s="5">
        <v>0.7</v>
      </c>
      <c r="J20" s="8">
        <f>Z20-I20-H20-G20</f>
        <v>237.70000000000002</v>
      </c>
      <c r="K20" s="5">
        <v>0.3</v>
      </c>
      <c r="L20" s="5">
        <v>3.9</v>
      </c>
      <c r="M20" s="5">
        <v>4.2</v>
      </c>
      <c r="N20" s="8">
        <f>AA20-M20-L20-K20</f>
        <v>940.9</v>
      </c>
      <c r="O20" s="5">
        <v>1.1000000000000001</v>
      </c>
      <c r="P20" s="5">
        <v>20.6</v>
      </c>
      <c r="Q20" s="5">
        <v>2</v>
      </c>
      <c r="R20" s="5">
        <v>2</v>
      </c>
      <c r="T20" s="5"/>
      <c r="U20" s="5"/>
      <c r="V20" s="5"/>
      <c r="W20" s="5">
        <v>6.4</v>
      </c>
      <c r="X20" s="5">
        <v>0</v>
      </c>
      <c r="Y20" s="5">
        <v>0</v>
      </c>
      <c r="Z20" s="5">
        <v>249.5</v>
      </c>
      <c r="AA20" s="8">
        <v>949.3</v>
      </c>
      <c r="AB20" s="5">
        <f t="shared" si="24"/>
        <v>25.700000000000003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</row>
    <row r="21" spans="2:38" x14ac:dyDescent="0.3">
      <c r="B21" t="s">
        <v>40</v>
      </c>
      <c r="G21" s="5">
        <v>8.8000000000000007</v>
      </c>
      <c r="H21" s="5">
        <v>15.3</v>
      </c>
      <c r="I21" s="5">
        <v>2.2000000000000002</v>
      </c>
      <c r="J21" s="8">
        <f>Z21-I21-H21-G21</f>
        <v>3.6999999999999993</v>
      </c>
      <c r="K21" s="5">
        <v>-9.1999999999999993</v>
      </c>
      <c r="L21" s="5">
        <v>3.8</v>
      </c>
      <c r="M21" s="5">
        <v>0.1</v>
      </c>
      <c r="N21" s="8">
        <f>AA21-M21-L21-K21</f>
        <v>-10.5</v>
      </c>
      <c r="O21" s="5">
        <v>-11.8</v>
      </c>
      <c r="P21" s="5">
        <v>-0.2</v>
      </c>
      <c r="Q21" s="5">
        <v>-10</v>
      </c>
      <c r="R21" s="5">
        <v>-10</v>
      </c>
      <c r="T21" s="5"/>
      <c r="U21" s="5"/>
      <c r="V21" s="5"/>
      <c r="W21" s="5">
        <v>1.2</v>
      </c>
      <c r="X21" s="5">
        <v>11.2</v>
      </c>
      <c r="Y21" s="5">
        <v>16.5</v>
      </c>
      <c r="Z21" s="5">
        <v>30</v>
      </c>
      <c r="AA21" s="8">
        <v>-15.8</v>
      </c>
      <c r="AB21" s="5">
        <f t="shared" si="24"/>
        <v>-32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</row>
    <row r="22" spans="2:38" x14ac:dyDescent="0.3">
      <c r="B22" t="s">
        <v>41</v>
      </c>
      <c r="G22" s="5">
        <f t="shared" ref="G22:N22" si="27">SUM(G17:G21)</f>
        <v>140.4</v>
      </c>
      <c r="H22" s="5">
        <f t="shared" si="27"/>
        <v>155.80000000000001</v>
      </c>
      <c r="I22" s="5">
        <f t="shared" si="27"/>
        <v>136.09999999999997</v>
      </c>
      <c r="J22" s="5">
        <f t="shared" si="27"/>
        <v>403.40000000000003</v>
      </c>
      <c r="K22" s="5">
        <f t="shared" si="27"/>
        <v>100.39999999999999</v>
      </c>
      <c r="L22" s="5">
        <f t="shared" si="27"/>
        <v>113.3</v>
      </c>
      <c r="M22" s="5">
        <f t="shared" si="27"/>
        <v>116.1</v>
      </c>
      <c r="N22" s="5">
        <f t="shared" si="27"/>
        <v>1065.2</v>
      </c>
      <c r="O22" s="5">
        <f t="shared" ref="O22:R22" si="28">SUM(O17:O21)</f>
        <v>104.69999999999999</v>
      </c>
      <c r="P22" s="5">
        <f t="shared" si="28"/>
        <v>123.50000000000001</v>
      </c>
      <c r="Q22" s="5">
        <f t="shared" si="28"/>
        <v>107.80699999999999</v>
      </c>
      <c r="R22" s="5">
        <f t="shared" si="28"/>
        <v>131.244</v>
      </c>
      <c r="T22" s="5">
        <f t="shared" ref="T22:AA22" si="29">SUM(T17:T21)</f>
        <v>73.7</v>
      </c>
      <c r="U22" s="5">
        <f t="shared" si="29"/>
        <v>72.099999999999994</v>
      </c>
      <c r="V22" s="5">
        <f t="shared" si="29"/>
        <v>78</v>
      </c>
      <c r="W22" s="5">
        <f t="shared" si="29"/>
        <v>114.7</v>
      </c>
      <c r="X22" s="5">
        <f t="shared" si="29"/>
        <v>266.09999999999997</v>
      </c>
      <c r="Y22" s="5">
        <f t="shared" si="29"/>
        <v>485.2</v>
      </c>
      <c r="Z22" s="5">
        <f t="shared" si="29"/>
        <v>835.7</v>
      </c>
      <c r="AA22" s="5">
        <f t="shared" si="29"/>
        <v>1395</v>
      </c>
      <c r="AB22" s="5">
        <f t="shared" ref="AB22:AL22" si="30">SUM(AB17:AB21)</f>
        <v>467.25100000000003</v>
      </c>
      <c r="AC22" s="5">
        <f t="shared" si="30"/>
        <v>447.73875000000004</v>
      </c>
      <c r="AD22" s="5">
        <f t="shared" si="30"/>
        <v>454.24854900000003</v>
      </c>
      <c r="AE22" s="5">
        <f t="shared" si="30"/>
        <v>460.20017313000005</v>
      </c>
      <c r="AF22" s="5">
        <f t="shared" si="30"/>
        <v>466.2535876605001</v>
      </c>
      <c r="AG22" s="5">
        <f t="shared" si="30"/>
        <v>472.41107872028107</v>
      </c>
      <c r="AH22" s="5">
        <f t="shared" si="30"/>
        <v>478.67499334615519</v>
      </c>
      <c r="AI22" s="5">
        <f t="shared" si="30"/>
        <v>485.04774123344816</v>
      </c>
      <c r="AJ22" s="5">
        <f t="shared" si="30"/>
        <v>491.531796538229</v>
      </c>
      <c r="AK22" s="5">
        <f t="shared" si="30"/>
        <v>498.12969973283106</v>
      </c>
      <c r="AL22" s="5">
        <f t="shared" si="30"/>
        <v>504.8440595162557</v>
      </c>
    </row>
    <row r="23" spans="2:38" s="1" customFormat="1" x14ac:dyDescent="0.3">
      <c r="B23" s="1" t="s">
        <v>42</v>
      </c>
      <c r="G23" s="9">
        <f t="shared" ref="G23:N23" si="31">G16-G22</f>
        <v>-209.79999999999998</v>
      </c>
      <c r="H23" s="9">
        <f t="shared" si="31"/>
        <v>-233.90000000000003</v>
      </c>
      <c r="I23" s="9">
        <f t="shared" si="31"/>
        <v>-273.99999999999994</v>
      </c>
      <c r="J23" s="9">
        <f t="shared" si="31"/>
        <v>-625.80000000000018</v>
      </c>
      <c r="K23" s="9">
        <f t="shared" si="31"/>
        <v>-259.39999999999998</v>
      </c>
      <c r="L23" s="9">
        <f t="shared" si="31"/>
        <v>-244.49999999999994</v>
      </c>
      <c r="M23" s="9">
        <f t="shared" si="31"/>
        <v>-216.1</v>
      </c>
      <c r="N23" s="9">
        <f t="shared" si="31"/>
        <v>-1299.8000000000002</v>
      </c>
      <c r="O23" s="9">
        <f t="shared" ref="O23:R23" si="32">O16-O22</f>
        <v>-178.6</v>
      </c>
      <c r="P23" s="9">
        <f t="shared" si="32"/>
        <v>-177</v>
      </c>
      <c r="Q23" s="9">
        <f t="shared" si="32"/>
        <v>-186.05899999999997</v>
      </c>
      <c r="R23" s="9">
        <f t="shared" si="32"/>
        <v>-254.39149999999998</v>
      </c>
      <c r="T23" s="9">
        <f t="shared" ref="T23:AA23" si="33">T16-T22</f>
        <v>-101.69999999999999</v>
      </c>
      <c r="U23" s="9">
        <f t="shared" si="33"/>
        <v>-69.399999999999977</v>
      </c>
      <c r="V23" s="9">
        <f t="shared" si="33"/>
        <v>-50.100000000000023</v>
      </c>
      <c r="W23" s="9">
        <f t="shared" si="33"/>
        <v>-584.1</v>
      </c>
      <c r="X23" s="9">
        <f t="shared" si="33"/>
        <v>-437.40000000000003</v>
      </c>
      <c r="Y23" s="9">
        <f t="shared" si="33"/>
        <v>-679.7</v>
      </c>
      <c r="Z23" s="9">
        <f t="shared" si="33"/>
        <v>-1343.5</v>
      </c>
      <c r="AA23" s="9">
        <f t="shared" si="33"/>
        <v>-2019.8</v>
      </c>
      <c r="AB23" s="9">
        <f t="shared" ref="AB23:AL23" si="34">AB16-AB22</f>
        <v>-796.05050000000006</v>
      </c>
      <c r="AC23" s="9">
        <f t="shared" si="34"/>
        <v>-514.36169000000018</v>
      </c>
      <c r="AD23" s="9">
        <f t="shared" si="34"/>
        <v>-338.8700326999998</v>
      </c>
      <c r="AE23" s="9">
        <f t="shared" si="34"/>
        <v>-160.78257565799993</v>
      </c>
      <c r="AF23" s="9">
        <f t="shared" si="34"/>
        <v>-88.202839376340194</v>
      </c>
      <c r="AG23" s="9">
        <f t="shared" si="34"/>
        <v>-25.576580133205937</v>
      </c>
      <c r="AH23" s="9">
        <f t="shared" si="34"/>
        <v>34.993891223993103</v>
      </c>
      <c r="AI23" s="9">
        <f t="shared" si="34"/>
        <v>95.582382717452106</v>
      </c>
      <c r="AJ23" s="9">
        <f t="shared" si="34"/>
        <v>157.20118943278948</v>
      </c>
      <c r="AK23" s="9">
        <f t="shared" si="34"/>
        <v>223.57742381416671</v>
      </c>
      <c r="AL23" s="9">
        <f t="shared" si="34"/>
        <v>297.05044346226725</v>
      </c>
    </row>
    <row r="24" spans="2:38" x14ac:dyDescent="0.3">
      <c r="B24" t="s">
        <v>43</v>
      </c>
      <c r="G24" s="5">
        <v>-17.600000000000001</v>
      </c>
      <c r="H24" s="5">
        <v>-16.399999999999999</v>
      </c>
      <c r="I24" s="5">
        <v>-10.4</v>
      </c>
      <c r="J24" s="8">
        <f t="shared" ref="J24:J29" si="35">Z24-I24-H24-G24</f>
        <v>-11.399999999999999</v>
      </c>
      <c r="K24" s="5">
        <v>-9.3000000000000007</v>
      </c>
      <c r="L24" s="5">
        <v>-7.8</v>
      </c>
      <c r="M24" s="5">
        <v>-7.4</v>
      </c>
      <c r="N24" s="8">
        <f t="shared" ref="N24:N29" si="36">AA24-M24-L24-K24</f>
        <v>-6.1999999999999957</v>
      </c>
      <c r="O24" s="5">
        <v>-5.2</v>
      </c>
      <c r="P24" s="5">
        <v>-5.8</v>
      </c>
      <c r="Q24" s="5">
        <v>-4</v>
      </c>
      <c r="R24" s="5">
        <v>-4</v>
      </c>
      <c r="T24" s="5"/>
      <c r="U24" s="5"/>
      <c r="V24" s="5"/>
      <c r="W24" s="5">
        <v>-0.8</v>
      </c>
      <c r="X24" s="5">
        <v>-4</v>
      </c>
      <c r="Y24" s="5">
        <v>-37.299999999999997</v>
      </c>
      <c r="Z24" s="5">
        <v>-55.8</v>
      </c>
      <c r="AA24" s="8">
        <v>-30.7</v>
      </c>
      <c r="AB24" s="5">
        <f t="shared" ref="AB24:AB29" si="37">SUM(O24:R24)</f>
        <v>-19</v>
      </c>
      <c r="AC24" s="5">
        <f t="shared" ref="AC24:AL24" si="38">AB24*1.03</f>
        <v>-19.57</v>
      </c>
      <c r="AD24" s="5">
        <f t="shared" si="38"/>
        <v>-20.1571</v>
      </c>
      <c r="AE24" s="5">
        <f t="shared" si="38"/>
        <v>-20.761813</v>
      </c>
      <c r="AF24" s="5">
        <f t="shared" si="38"/>
        <v>-21.384667390000001</v>
      </c>
      <c r="AG24" s="5">
        <f t="shared" si="38"/>
        <v>-22.0262074117</v>
      </c>
      <c r="AH24" s="5">
        <f t="shared" si="38"/>
        <v>-22.686993634050999</v>
      </c>
      <c r="AI24" s="5">
        <f t="shared" si="38"/>
        <v>-23.367603443072529</v>
      </c>
      <c r="AJ24" s="5">
        <f t="shared" si="38"/>
        <v>-24.068631546364706</v>
      </c>
      <c r="AK24" s="5">
        <f t="shared" si="38"/>
        <v>-24.790690492755648</v>
      </c>
      <c r="AL24" s="5">
        <f t="shared" si="38"/>
        <v>-25.534411207538316</v>
      </c>
    </row>
    <row r="25" spans="2:38" x14ac:dyDescent="0.3">
      <c r="B25" t="s">
        <v>44</v>
      </c>
      <c r="G25" s="5">
        <v>10.7</v>
      </c>
      <c r="H25" s="5">
        <v>11.3</v>
      </c>
      <c r="I25" s="5">
        <v>11.8</v>
      </c>
      <c r="J25" s="8">
        <f t="shared" si="35"/>
        <v>11.400000000000006</v>
      </c>
      <c r="K25" s="5">
        <v>11.3</v>
      </c>
      <c r="L25" s="5">
        <v>9.5</v>
      </c>
      <c r="M25" s="5">
        <v>9.1</v>
      </c>
      <c r="N25" s="8">
        <f t="shared" si="36"/>
        <v>16.7</v>
      </c>
      <c r="O25" s="5">
        <v>11.5</v>
      </c>
      <c r="P25" s="5">
        <v>15.9</v>
      </c>
      <c r="Q25" s="5">
        <v>14</v>
      </c>
      <c r="R25" s="5">
        <v>14</v>
      </c>
      <c r="T25" s="5">
        <v>10.1</v>
      </c>
      <c r="U25" s="5">
        <v>22.1</v>
      </c>
      <c r="V25" s="5">
        <v>35.5</v>
      </c>
      <c r="W25" s="5">
        <v>60.5</v>
      </c>
      <c r="X25" s="5">
        <v>43.2</v>
      </c>
      <c r="Y25" s="5">
        <v>39</v>
      </c>
      <c r="Z25" s="5">
        <v>45.2</v>
      </c>
      <c r="AA25" s="8">
        <v>46.6</v>
      </c>
      <c r="AB25" s="5">
        <f t="shared" si="37"/>
        <v>55.4</v>
      </c>
      <c r="AC25" s="5">
        <f t="shared" ref="AC25:AL25" si="39">AB25*1.02</f>
        <v>56.508000000000003</v>
      </c>
      <c r="AD25" s="5">
        <f t="shared" si="39"/>
        <v>57.638160000000006</v>
      </c>
      <c r="AE25" s="5">
        <f t="shared" si="39"/>
        <v>58.790923200000009</v>
      </c>
      <c r="AF25" s="5">
        <f t="shared" si="39"/>
        <v>59.966741664000011</v>
      </c>
      <c r="AG25" s="5">
        <f t="shared" si="39"/>
        <v>61.16607649728001</v>
      </c>
      <c r="AH25" s="5">
        <f t="shared" si="39"/>
        <v>62.38939802722561</v>
      </c>
      <c r="AI25" s="5">
        <f t="shared" si="39"/>
        <v>63.637185987770124</v>
      </c>
      <c r="AJ25" s="5">
        <f t="shared" si="39"/>
        <v>64.909929707525521</v>
      </c>
      <c r="AK25" s="5">
        <f t="shared" si="39"/>
        <v>66.208128301676027</v>
      </c>
      <c r="AL25" s="5">
        <f t="shared" si="39"/>
        <v>67.532290867709548</v>
      </c>
    </row>
    <row r="26" spans="2:38" x14ac:dyDescent="0.3">
      <c r="B26" t="s">
        <v>45</v>
      </c>
      <c r="G26" s="5">
        <v>4.8</v>
      </c>
      <c r="H26" s="5">
        <v>5.0999999999999996</v>
      </c>
      <c r="I26" s="5">
        <v>-5</v>
      </c>
      <c r="J26" s="8">
        <f t="shared" si="35"/>
        <v>-4.8</v>
      </c>
      <c r="K26" s="5">
        <v>7</v>
      </c>
      <c r="L26" s="5">
        <v>9.1</v>
      </c>
      <c r="M26" s="5">
        <v>-15.5</v>
      </c>
      <c r="N26" s="8">
        <f t="shared" si="36"/>
        <v>19.399999999999999</v>
      </c>
      <c r="O26" s="5">
        <v>-1.3</v>
      </c>
      <c r="P26" s="5">
        <v>-3.8</v>
      </c>
      <c r="Q26" s="5">
        <v>0</v>
      </c>
      <c r="R26" s="5">
        <v>0</v>
      </c>
      <c r="T26" s="5"/>
      <c r="U26" s="5"/>
      <c r="V26" s="5"/>
      <c r="W26" s="5">
        <v>0.7</v>
      </c>
      <c r="X26" s="5">
        <v>0.6</v>
      </c>
      <c r="Y26" s="5">
        <v>1.1000000000000001</v>
      </c>
      <c r="Z26" s="5">
        <v>0.1</v>
      </c>
      <c r="AA26" s="8">
        <v>20</v>
      </c>
      <c r="AB26" s="5">
        <f t="shared" si="37"/>
        <v>-5.0999999999999996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</row>
    <row r="27" spans="2:38" x14ac:dyDescent="0.3">
      <c r="B27" t="s">
        <v>46</v>
      </c>
      <c r="G27" s="5">
        <v>0</v>
      </c>
      <c r="H27" s="5">
        <v>-0.3</v>
      </c>
      <c r="I27" s="5">
        <v>0</v>
      </c>
      <c r="J27" s="8">
        <f t="shared" si="35"/>
        <v>13.100000000000001</v>
      </c>
      <c r="K27" s="5">
        <v>0</v>
      </c>
      <c r="L27" s="5">
        <v>0</v>
      </c>
      <c r="M27" s="5">
        <v>0</v>
      </c>
      <c r="N27" s="8">
        <f t="shared" si="36"/>
        <v>0</v>
      </c>
      <c r="O27" s="5">
        <v>3.7</v>
      </c>
      <c r="P27" s="5">
        <f>5.5+45.9</f>
        <v>51.4</v>
      </c>
      <c r="Q27" s="5">
        <v>4</v>
      </c>
      <c r="R27" s="5">
        <v>4</v>
      </c>
      <c r="T27" s="5"/>
      <c r="U27" s="5"/>
      <c r="V27" s="5"/>
      <c r="W27" s="5">
        <v>0</v>
      </c>
      <c r="X27" s="5">
        <v>0.1</v>
      </c>
      <c r="Y27" s="5">
        <v>1.4</v>
      </c>
      <c r="Z27" s="5">
        <v>12.8</v>
      </c>
      <c r="AA27" s="8">
        <v>0</v>
      </c>
      <c r="AB27" s="5">
        <f t="shared" si="37"/>
        <v>63.1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</row>
    <row r="28" spans="2:38" x14ac:dyDescent="0.3">
      <c r="B28" t="s">
        <v>47</v>
      </c>
      <c r="G28" s="5">
        <v>-5.0999999999999996</v>
      </c>
      <c r="H28" s="5">
        <v>-3.9</v>
      </c>
      <c r="I28" s="5">
        <v>10.8</v>
      </c>
      <c r="J28" s="8">
        <f t="shared" si="35"/>
        <v>-13.200000000000005</v>
      </c>
      <c r="K28" s="5">
        <v>0</v>
      </c>
      <c r="L28" s="5">
        <v>0</v>
      </c>
      <c r="M28" s="5">
        <v>0</v>
      </c>
      <c r="N28" s="8">
        <f t="shared" si="36"/>
        <v>0</v>
      </c>
      <c r="O28" s="5">
        <v>7.3</v>
      </c>
      <c r="P28" s="5">
        <v>-9.1999999999999993</v>
      </c>
      <c r="Q28" s="5">
        <v>4</v>
      </c>
      <c r="R28" s="5">
        <v>4</v>
      </c>
      <c r="T28" s="5"/>
      <c r="U28" s="5"/>
      <c r="V28" s="5"/>
      <c r="W28" s="5">
        <v>0</v>
      </c>
      <c r="X28" s="5">
        <v>-6.7</v>
      </c>
      <c r="Y28" s="5">
        <v>18.2</v>
      </c>
      <c r="Z28" s="5">
        <v>-11.4</v>
      </c>
      <c r="AA28" s="8">
        <v>0</v>
      </c>
      <c r="AB28" s="5">
        <f t="shared" si="37"/>
        <v>6.1000000000000005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</row>
    <row r="29" spans="2:38" x14ac:dyDescent="0.3">
      <c r="B29" t="s">
        <v>48</v>
      </c>
      <c r="G29" s="5">
        <v>5.3</v>
      </c>
      <c r="H29" s="5">
        <v>7.6</v>
      </c>
      <c r="I29" s="5">
        <f>-0.1+7</f>
        <v>6.9</v>
      </c>
      <c r="J29" s="8">
        <f t="shared" si="35"/>
        <v>21.999999999999996</v>
      </c>
      <c r="K29" s="5">
        <f>13.1+14</f>
        <v>27.1</v>
      </c>
      <c r="L29" s="5">
        <v>7.2</v>
      </c>
      <c r="M29" s="5">
        <v>8.6999999999999993</v>
      </c>
      <c r="N29" s="8">
        <f t="shared" si="36"/>
        <v>8.8999999999999986</v>
      </c>
      <c r="O29" s="5">
        <v>2.4</v>
      </c>
      <c r="P29" s="5">
        <v>3.4</v>
      </c>
      <c r="Q29" s="5">
        <v>4</v>
      </c>
      <c r="R29" s="5">
        <v>4</v>
      </c>
      <c r="T29" s="5">
        <v>15.2</v>
      </c>
      <c r="U29" s="5">
        <v>-4.3</v>
      </c>
      <c r="V29" s="5">
        <v>-0.1</v>
      </c>
      <c r="W29" s="5">
        <v>-17.7</v>
      </c>
      <c r="X29" s="5">
        <v>5.7</v>
      </c>
      <c r="Y29" s="5">
        <f>1+20.2</f>
        <v>21.2</v>
      </c>
      <c r="Z29" s="5">
        <v>41.8</v>
      </c>
      <c r="AA29" s="8">
        <f>16.3+3.4+32.2</f>
        <v>51.900000000000006</v>
      </c>
      <c r="AB29" s="5">
        <f t="shared" si="37"/>
        <v>13.8</v>
      </c>
      <c r="AC29" s="5">
        <f t="shared" ref="AC29:AL29" si="40">AB29*1.01</f>
        <v>13.938000000000001</v>
      </c>
      <c r="AD29" s="5">
        <f t="shared" si="40"/>
        <v>14.077380000000002</v>
      </c>
      <c r="AE29" s="5">
        <f t="shared" si="40"/>
        <v>14.218153800000001</v>
      </c>
      <c r="AF29" s="5">
        <f t="shared" si="40"/>
        <v>14.360335338000002</v>
      </c>
      <c r="AG29" s="5">
        <f t="shared" si="40"/>
        <v>14.503938691380002</v>
      </c>
      <c r="AH29" s="5">
        <f t="shared" si="40"/>
        <v>14.648978078293801</v>
      </c>
      <c r="AI29" s="5">
        <f t="shared" si="40"/>
        <v>14.795467859076739</v>
      </c>
      <c r="AJ29" s="5">
        <f t="shared" si="40"/>
        <v>14.943422537667507</v>
      </c>
      <c r="AK29" s="5">
        <f t="shared" si="40"/>
        <v>15.092856763044182</v>
      </c>
      <c r="AL29" s="5">
        <f t="shared" si="40"/>
        <v>15.243785330674624</v>
      </c>
    </row>
    <row r="30" spans="2:38" x14ac:dyDescent="0.3">
      <c r="B30" t="s">
        <v>49</v>
      </c>
      <c r="G30" s="5">
        <f t="shared" ref="G30:N30" si="41">SUM(G24:G29)</f>
        <v>-1.9000000000000021</v>
      </c>
      <c r="H30" s="5">
        <f t="shared" si="41"/>
        <v>3.4000000000000012</v>
      </c>
      <c r="I30" s="5">
        <f t="shared" si="41"/>
        <v>14.100000000000001</v>
      </c>
      <c r="J30" s="5">
        <f t="shared" si="41"/>
        <v>17.100000000000001</v>
      </c>
      <c r="K30" s="5">
        <f t="shared" si="41"/>
        <v>36.1</v>
      </c>
      <c r="L30" s="5">
        <f t="shared" si="41"/>
        <v>18</v>
      </c>
      <c r="M30" s="5">
        <f t="shared" si="41"/>
        <v>-5.1000000000000014</v>
      </c>
      <c r="N30" s="5">
        <f t="shared" si="41"/>
        <v>38.799999999999997</v>
      </c>
      <c r="O30" s="5">
        <f t="shared" ref="O30:P30" si="42">SUM(O24:O29)</f>
        <v>18.399999999999999</v>
      </c>
      <c r="P30" s="5">
        <f t="shared" si="42"/>
        <v>51.9</v>
      </c>
      <c r="Q30" s="5">
        <f t="shared" ref="Q30:R30" si="43">SUM(Q24:Q29)</f>
        <v>22</v>
      </c>
      <c r="R30" s="5">
        <f t="shared" si="43"/>
        <v>22</v>
      </c>
      <c r="T30" s="5">
        <f t="shared" ref="T30:AB30" si="44">SUM(T24:T29)</f>
        <v>25.299999999999997</v>
      </c>
      <c r="U30" s="5">
        <f t="shared" si="44"/>
        <v>17.8</v>
      </c>
      <c r="V30" s="5">
        <f t="shared" si="44"/>
        <v>35.4</v>
      </c>
      <c r="W30" s="5">
        <f t="shared" si="44"/>
        <v>42.7</v>
      </c>
      <c r="X30" s="5">
        <f t="shared" si="44"/>
        <v>38.900000000000006</v>
      </c>
      <c r="Y30" s="5">
        <f t="shared" si="44"/>
        <v>43.6</v>
      </c>
      <c r="Z30" s="5">
        <f t="shared" si="44"/>
        <v>32.700000000000003</v>
      </c>
      <c r="AA30" s="5">
        <f t="shared" si="44"/>
        <v>87.800000000000011</v>
      </c>
      <c r="AB30" s="5">
        <f t="shared" si="44"/>
        <v>114.3</v>
      </c>
      <c r="AC30" s="5">
        <f t="shared" ref="AC30:AL30" si="45">SUM(AC24:AC29)</f>
        <v>50.876000000000005</v>
      </c>
      <c r="AD30" s="5">
        <f t="shared" si="45"/>
        <v>51.558440000000004</v>
      </c>
      <c r="AE30" s="5">
        <f t="shared" si="45"/>
        <v>52.247264000000008</v>
      </c>
      <c r="AF30" s="5">
        <f t="shared" si="45"/>
        <v>52.942409612000006</v>
      </c>
      <c r="AG30" s="5">
        <f t="shared" si="45"/>
        <v>53.64380777696001</v>
      </c>
      <c r="AH30" s="5">
        <f t="shared" si="45"/>
        <v>54.351382471468412</v>
      </c>
      <c r="AI30" s="5">
        <f t="shared" si="45"/>
        <v>55.065050403774336</v>
      </c>
      <c r="AJ30" s="5">
        <f t="shared" si="45"/>
        <v>55.784720698828323</v>
      </c>
      <c r="AK30" s="5">
        <f t="shared" si="45"/>
        <v>56.510294571964565</v>
      </c>
      <c r="AL30" s="5">
        <f t="shared" si="45"/>
        <v>57.241664990845862</v>
      </c>
    </row>
    <row r="31" spans="2:38" s="1" customFormat="1" x14ac:dyDescent="0.3">
      <c r="B31" s="1" t="s">
        <v>50</v>
      </c>
      <c r="G31" s="9">
        <f t="shared" ref="G31:N31" si="46">G23-G30</f>
        <v>-207.89999999999998</v>
      </c>
      <c r="H31" s="9">
        <f t="shared" si="46"/>
        <v>-237.30000000000004</v>
      </c>
      <c r="I31" s="9">
        <f t="shared" si="46"/>
        <v>-288.09999999999997</v>
      </c>
      <c r="J31" s="9">
        <f t="shared" si="46"/>
        <v>-642.9000000000002</v>
      </c>
      <c r="K31" s="9">
        <f t="shared" si="46"/>
        <v>-295.5</v>
      </c>
      <c r="L31" s="9">
        <f t="shared" si="46"/>
        <v>-262.49999999999994</v>
      </c>
      <c r="M31" s="9">
        <f t="shared" si="46"/>
        <v>-211</v>
      </c>
      <c r="N31" s="9">
        <f t="shared" si="46"/>
        <v>-1338.6000000000001</v>
      </c>
      <c r="O31" s="9">
        <f t="shared" ref="O31:P31" si="47">O23-O30</f>
        <v>-197</v>
      </c>
      <c r="P31" s="9">
        <f t="shared" si="47"/>
        <v>-228.9</v>
      </c>
      <c r="Q31" s="9">
        <f t="shared" ref="Q31:R31" si="48">Q23-Q30</f>
        <v>-208.05899999999997</v>
      </c>
      <c r="R31" s="9">
        <f t="shared" si="48"/>
        <v>-276.39149999999995</v>
      </c>
      <c r="T31" s="9">
        <f t="shared" ref="T31:AB31" si="49">T23-T30</f>
        <v>-126.99999999999999</v>
      </c>
      <c r="U31" s="9">
        <f t="shared" si="49"/>
        <v>-87.199999999999974</v>
      </c>
      <c r="V31" s="9">
        <f t="shared" si="49"/>
        <v>-85.500000000000028</v>
      </c>
      <c r="W31" s="9">
        <f t="shared" si="49"/>
        <v>-626.80000000000007</v>
      </c>
      <c r="X31" s="9">
        <f t="shared" si="49"/>
        <v>-476.30000000000007</v>
      </c>
      <c r="Y31" s="9">
        <f t="shared" si="49"/>
        <v>-723.30000000000007</v>
      </c>
      <c r="Z31" s="9">
        <f t="shared" si="49"/>
        <v>-1376.2</v>
      </c>
      <c r="AA31" s="9">
        <f t="shared" si="49"/>
        <v>-2107.6</v>
      </c>
      <c r="AB31" s="9">
        <f t="shared" si="49"/>
        <v>-910.35050000000001</v>
      </c>
      <c r="AC31" s="9">
        <f t="shared" ref="AC31:AL31" si="50">AC23-AC30</f>
        <v>-565.23769000000016</v>
      </c>
      <c r="AD31" s="9">
        <f t="shared" si="50"/>
        <v>-390.42847269999982</v>
      </c>
      <c r="AE31" s="9">
        <f t="shared" si="50"/>
        <v>-213.02983965799993</v>
      </c>
      <c r="AF31" s="9">
        <f t="shared" si="50"/>
        <v>-141.1452489883402</v>
      </c>
      <c r="AG31" s="9">
        <f t="shared" si="50"/>
        <v>-79.220387910165954</v>
      </c>
      <c r="AH31" s="9">
        <f t="shared" si="50"/>
        <v>-19.357491247475309</v>
      </c>
      <c r="AI31" s="9">
        <f t="shared" si="50"/>
        <v>40.51733231367777</v>
      </c>
      <c r="AJ31" s="9">
        <f t="shared" si="50"/>
        <v>101.41646873396115</v>
      </c>
      <c r="AK31" s="9">
        <f t="shared" si="50"/>
        <v>167.06712924220216</v>
      </c>
      <c r="AL31" s="9">
        <f t="shared" si="50"/>
        <v>239.80877847142139</v>
      </c>
    </row>
    <row r="32" spans="2:38" x14ac:dyDescent="0.3">
      <c r="B32" t="s">
        <v>51</v>
      </c>
      <c r="G32" s="5">
        <v>-1.3</v>
      </c>
      <c r="H32" s="5">
        <v>-0.9</v>
      </c>
      <c r="I32" s="5">
        <v>-4.7</v>
      </c>
      <c r="J32" s="8">
        <f>Z32-I32-H32-G32</f>
        <v>-0.50000000000000022</v>
      </c>
      <c r="K32" s="5">
        <v>0.2</v>
      </c>
      <c r="L32" s="5">
        <v>-0.4</v>
      </c>
      <c r="M32" s="5">
        <v>0.1</v>
      </c>
      <c r="N32" s="8">
        <f>AA32-M32-L32-K32</f>
        <v>-2.6000000000000005</v>
      </c>
      <c r="O32" s="5">
        <v>0</v>
      </c>
      <c r="P32" s="5">
        <v>0</v>
      </c>
      <c r="Q32" s="5">
        <v>0</v>
      </c>
      <c r="R32" s="5">
        <v>0</v>
      </c>
      <c r="T32" s="5">
        <v>0</v>
      </c>
      <c r="U32" s="5">
        <v>-9.1999999999999993</v>
      </c>
      <c r="V32" s="5">
        <v>0</v>
      </c>
      <c r="W32" s="5">
        <v>-30.8</v>
      </c>
      <c r="X32" s="5">
        <v>-16.2</v>
      </c>
      <c r="Y32" s="5">
        <v>0.8</v>
      </c>
      <c r="Z32" s="5">
        <v>-7.4</v>
      </c>
      <c r="AA32" s="8">
        <v>-2.7</v>
      </c>
      <c r="AB32" s="5">
        <f t="shared" ref="AB32" si="51">SUM(O32:R32)</f>
        <v>0</v>
      </c>
      <c r="AC32" s="5">
        <f t="shared" ref="AC32:AL32" si="52">AC31*0.1</f>
        <v>-56.523769000000016</v>
      </c>
      <c r="AD32" s="5">
        <f t="shared" si="52"/>
        <v>-39.042847269999982</v>
      </c>
      <c r="AE32" s="5">
        <f t="shared" si="52"/>
        <v>-21.302983965799996</v>
      </c>
      <c r="AF32" s="5">
        <f t="shared" si="52"/>
        <v>-14.11452489883402</v>
      </c>
      <c r="AG32" s="5">
        <f t="shared" si="52"/>
        <v>-7.9220387910165959</v>
      </c>
      <c r="AH32" s="5">
        <f t="shared" si="52"/>
        <v>-1.9357491247475309</v>
      </c>
      <c r="AI32" s="5">
        <f t="shared" si="52"/>
        <v>4.051733231367777</v>
      </c>
      <c r="AJ32" s="5">
        <f t="shared" si="52"/>
        <v>10.141646873396116</v>
      </c>
      <c r="AK32" s="5">
        <f t="shared" si="52"/>
        <v>16.706712924220216</v>
      </c>
      <c r="AL32" s="5">
        <f t="shared" si="52"/>
        <v>23.980877847142139</v>
      </c>
    </row>
    <row r="33" spans="2:156" s="1" customFormat="1" x14ac:dyDescent="0.3">
      <c r="B33" s="1" t="s">
        <v>52</v>
      </c>
      <c r="G33" s="9">
        <f t="shared" ref="G33:P33" si="53">G31-G32</f>
        <v>-206.59999999999997</v>
      </c>
      <c r="H33" s="9">
        <f t="shared" si="53"/>
        <v>-236.40000000000003</v>
      </c>
      <c r="I33" s="9">
        <f t="shared" si="53"/>
        <v>-283.39999999999998</v>
      </c>
      <c r="J33" s="9">
        <f t="shared" si="53"/>
        <v>-642.4000000000002</v>
      </c>
      <c r="K33" s="9">
        <f t="shared" si="53"/>
        <v>-295.7</v>
      </c>
      <c r="L33" s="9">
        <f t="shared" si="53"/>
        <v>-262.09999999999997</v>
      </c>
      <c r="M33" s="9">
        <f t="shared" si="53"/>
        <v>-211.1</v>
      </c>
      <c r="N33" s="9">
        <f t="shared" si="53"/>
        <v>-1336.0000000000002</v>
      </c>
      <c r="O33" s="9">
        <f t="shared" si="53"/>
        <v>-197</v>
      </c>
      <c r="P33" s="9">
        <f t="shared" si="53"/>
        <v>-228.9</v>
      </c>
      <c r="Q33" s="9">
        <f t="shared" ref="Q33:R33" si="54">Q31-Q32</f>
        <v>-208.05899999999997</v>
      </c>
      <c r="R33" s="9">
        <f t="shared" si="54"/>
        <v>-276.39149999999995</v>
      </c>
      <c r="T33" s="9">
        <f t="shared" ref="T33:AB33" si="55">T31-T32</f>
        <v>-126.99999999999999</v>
      </c>
      <c r="U33" s="9">
        <f t="shared" si="55"/>
        <v>-77.999999999999972</v>
      </c>
      <c r="V33" s="9">
        <f t="shared" si="55"/>
        <v>-85.500000000000028</v>
      </c>
      <c r="W33" s="9">
        <f t="shared" si="55"/>
        <v>-596.00000000000011</v>
      </c>
      <c r="X33" s="9">
        <f t="shared" si="55"/>
        <v>-460.10000000000008</v>
      </c>
      <c r="Y33" s="9">
        <f t="shared" si="55"/>
        <v>-724.1</v>
      </c>
      <c r="Z33" s="9">
        <f t="shared" si="55"/>
        <v>-1368.8</v>
      </c>
      <c r="AA33" s="9">
        <f t="shared" si="55"/>
        <v>-2104.9</v>
      </c>
      <c r="AB33" s="9">
        <f t="shared" si="55"/>
        <v>-910.35050000000001</v>
      </c>
      <c r="AC33" s="9">
        <f t="shared" ref="AC33:AL33" si="56">AC31-AC32</f>
        <v>-508.71392100000014</v>
      </c>
      <c r="AD33" s="9">
        <f t="shared" si="56"/>
        <v>-351.38562542999983</v>
      </c>
      <c r="AE33" s="9">
        <f t="shared" si="56"/>
        <v>-191.72685569219993</v>
      </c>
      <c r="AF33" s="9">
        <f t="shared" si="56"/>
        <v>-127.03072408950618</v>
      </c>
      <c r="AG33" s="9">
        <f t="shared" si="56"/>
        <v>-71.298349119149364</v>
      </c>
      <c r="AH33" s="9">
        <f t="shared" si="56"/>
        <v>-17.421742122727778</v>
      </c>
      <c r="AI33" s="9">
        <f t="shared" si="56"/>
        <v>36.465599082309993</v>
      </c>
      <c r="AJ33" s="9">
        <f t="shared" si="56"/>
        <v>91.274821860565041</v>
      </c>
      <c r="AK33" s="9">
        <f t="shared" si="56"/>
        <v>150.36041631798193</v>
      </c>
      <c r="AL33" s="9">
        <f t="shared" si="56"/>
        <v>215.82790062427927</v>
      </c>
      <c r="AM33" s="1">
        <f>AL33*(1+$AP$38)</f>
        <v>213.66962161803647</v>
      </c>
      <c r="AN33" s="1">
        <f t="shared" ref="AN33:CY33" si="57">AM33*(1+$AP$38)</f>
        <v>211.53292540185612</v>
      </c>
      <c r="AO33" s="1">
        <f t="shared" si="57"/>
        <v>209.41759614783754</v>
      </c>
      <c r="AP33" s="1">
        <f t="shared" si="57"/>
        <v>207.32342018635916</v>
      </c>
      <c r="AQ33" s="1">
        <f t="shared" si="57"/>
        <v>205.25018598449557</v>
      </c>
      <c r="AR33" s="1">
        <f t="shared" si="57"/>
        <v>203.19768412465061</v>
      </c>
      <c r="AS33" s="1">
        <f t="shared" si="57"/>
        <v>201.16570728340409</v>
      </c>
      <c r="AT33" s="1">
        <f t="shared" si="57"/>
        <v>199.15405021057003</v>
      </c>
      <c r="AU33" s="1">
        <f t="shared" si="57"/>
        <v>197.16250970846434</v>
      </c>
      <c r="AV33" s="1">
        <f t="shared" si="57"/>
        <v>195.19088461137969</v>
      </c>
      <c r="AW33" s="1">
        <f t="shared" si="57"/>
        <v>193.23897576526588</v>
      </c>
      <c r="AX33" s="1">
        <f t="shared" si="57"/>
        <v>191.30658600761322</v>
      </c>
      <c r="AY33" s="1">
        <f t="shared" si="57"/>
        <v>189.39352014753709</v>
      </c>
      <c r="AZ33" s="1">
        <f t="shared" si="57"/>
        <v>187.4995849460617</v>
      </c>
      <c r="BA33" s="1">
        <f t="shared" si="57"/>
        <v>185.62458909660108</v>
      </c>
      <c r="BB33" s="1">
        <f t="shared" si="57"/>
        <v>183.76834320563506</v>
      </c>
      <c r="BC33" s="1">
        <f t="shared" si="57"/>
        <v>181.9306597735787</v>
      </c>
      <c r="BD33" s="1">
        <f t="shared" si="57"/>
        <v>180.11135317584291</v>
      </c>
      <c r="BE33" s="1">
        <f t="shared" si="57"/>
        <v>178.31023964408448</v>
      </c>
      <c r="BF33" s="1">
        <f t="shared" si="57"/>
        <v>176.52713724764362</v>
      </c>
      <c r="BG33" s="1">
        <f t="shared" si="57"/>
        <v>174.76186587516719</v>
      </c>
      <c r="BH33" s="1">
        <f t="shared" si="57"/>
        <v>173.01424721641553</v>
      </c>
      <c r="BI33" s="1">
        <f t="shared" si="57"/>
        <v>171.28410474425138</v>
      </c>
      <c r="BJ33" s="1">
        <f t="shared" si="57"/>
        <v>169.57126369680887</v>
      </c>
      <c r="BK33" s="1">
        <f t="shared" si="57"/>
        <v>167.87555105984077</v>
      </c>
      <c r="BL33" s="1">
        <f t="shared" si="57"/>
        <v>166.19679554924235</v>
      </c>
      <c r="BM33" s="1">
        <f t="shared" si="57"/>
        <v>164.53482759374992</v>
      </c>
      <c r="BN33" s="1">
        <f t="shared" si="57"/>
        <v>162.88947931781243</v>
      </c>
      <c r="BO33" s="1">
        <f t="shared" si="57"/>
        <v>161.26058452463431</v>
      </c>
      <c r="BP33" s="1">
        <f t="shared" si="57"/>
        <v>159.64797867938796</v>
      </c>
      <c r="BQ33" s="1">
        <f t="shared" si="57"/>
        <v>158.05149889259408</v>
      </c>
      <c r="BR33" s="1">
        <f t="shared" si="57"/>
        <v>156.47098390366813</v>
      </c>
      <c r="BS33" s="1">
        <f t="shared" si="57"/>
        <v>154.90627406463145</v>
      </c>
      <c r="BT33" s="1">
        <f t="shared" si="57"/>
        <v>153.35721132398513</v>
      </c>
      <c r="BU33" s="1">
        <f t="shared" si="57"/>
        <v>151.82363921074528</v>
      </c>
      <c r="BV33" s="1">
        <f t="shared" si="57"/>
        <v>150.30540281863782</v>
      </c>
      <c r="BW33" s="1">
        <f t="shared" si="57"/>
        <v>148.80234879045145</v>
      </c>
      <c r="BX33" s="1">
        <f t="shared" si="57"/>
        <v>147.31432530254693</v>
      </c>
      <c r="BY33" s="1">
        <f t="shared" si="57"/>
        <v>145.84118204952145</v>
      </c>
      <c r="BZ33" s="1">
        <f t="shared" si="57"/>
        <v>144.38277022902622</v>
      </c>
      <c r="CA33" s="1">
        <f t="shared" si="57"/>
        <v>142.93894252673596</v>
      </c>
      <c r="CB33" s="1">
        <f t="shared" si="57"/>
        <v>141.50955310146858</v>
      </c>
      <c r="CC33" s="1">
        <f t="shared" si="57"/>
        <v>140.0944575704539</v>
      </c>
      <c r="CD33" s="1">
        <f t="shared" si="57"/>
        <v>138.69351299474937</v>
      </c>
      <c r="CE33" s="1">
        <f t="shared" si="57"/>
        <v>137.30657786480188</v>
      </c>
      <c r="CF33" s="1">
        <f t="shared" si="57"/>
        <v>135.93351208615385</v>
      </c>
      <c r="CG33" s="1">
        <f t="shared" si="57"/>
        <v>134.57417696529231</v>
      </c>
      <c r="CH33" s="1">
        <f t="shared" si="57"/>
        <v>133.22843519563938</v>
      </c>
      <c r="CI33" s="1">
        <f t="shared" si="57"/>
        <v>131.89615084368299</v>
      </c>
      <c r="CJ33" s="1">
        <f t="shared" si="57"/>
        <v>130.57718933524615</v>
      </c>
      <c r="CK33" s="1">
        <f t="shared" si="57"/>
        <v>129.27141744189368</v>
      </c>
      <c r="CL33" s="1">
        <f t="shared" si="57"/>
        <v>127.97870326747474</v>
      </c>
      <c r="CM33" s="1">
        <f t="shared" si="57"/>
        <v>126.6989162348</v>
      </c>
      <c r="CN33" s="1">
        <f t="shared" si="57"/>
        <v>125.431927072452</v>
      </c>
      <c r="CO33" s="1">
        <f t="shared" si="57"/>
        <v>124.17760780172748</v>
      </c>
      <c r="CP33" s="1">
        <f t="shared" si="57"/>
        <v>122.93583172371019</v>
      </c>
      <c r="CQ33" s="1">
        <f t="shared" si="57"/>
        <v>121.70647340647309</v>
      </c>
      <c r="CR33" s="1">
        <f t="shared" si="57"/>
        <v>120.48940867240836</v>
      </c>
      <c r="CS33" s="1">
        <f t="shared" si="57"/>
        <v>119.28451458568428</v>
      </c>
      <c r="CT33" s="1">
        <f t="shared" si="57"/>
        <v>118.09166943982743</v>
      </c>
      <c r="CU33" s="1">
        <f t="shared" si="57"/>
        <v>116.91075274542915</v>
      </c>
      <c r="CV33" s="1">
        <f t="shared" si="57"/>
        <v>115.74164521797486</v>
      </c>
      <c r="CW33" s="1">
        <f t="shared" si="57"/>
        <v>114.58422876579512</v>
      </c>
      <c r="CX33" s="1">
        <f t="shared" si="57"/>
        <v>113.43838647813716</v>
      </c>
      <c r="CY33" s="1">
        <f t="shared" si="57"/>
        <v>112.30400261335579</v>
      </c>
      <c r="CZ33" s="1">
        <f t="shared" ref="CZ33:EZ33" si="58">CY33*(1+$AP$38)</f>
        <v>111.18096258722224</v>
      </c>
      <c r="DA33" s="1">
        <f t="shared" si="58"/>
        <v>110.06915296135001</v>
      </c>
      <c r="DB33" s="1">
        <f t="shared" si="58"/>
        <v>108.96846143173651</v>
      </c>
      <c r="DC33" s="1">
        <f t="shared" si="58"/>
        <v>107.87877681741915</v>
      </c>
      <c r="DD33" s="1">
        <f t="shared" si="58"/>
        <v>106.79998904924496</v>
      </c>
      <c r="DE33" s="1">
        <f t="shared" si="58"/>
        <v>105.73198915875251</v>
      </c>
      <c r="DF33" s="1">
        <f t="shared" si="58"/>
        <v>104.67466926716499</v>
      </c>
      <c r="DG33" s="1">
        <f t="shared" si="58"/>
        <v>103.62792257449334</v>
      </c>
      <c r="DH33" s="1">
        <f t="shared" si="58"/>
        <v>102.59164334874841</v>
      </c>
      <c r="DI33" s="1">
        <f t="shared" si="58"/>
        <v>101.56572691526092</v>
      </c>
      <c r="DJ33" s="1">
        <f t="shared" si="58"/>
        <v>100.55006964610831</v>
      </c>
      <c r="DK33" s="1">
        <f t="shared" si="58"/>
        <v>99.544568949647228</v>
      </c>
      <c r="DL33" s="1">
        <f t="shared" si="58"/>
        <v>98.549123260150751</v>
      </c>
      <c r="DM33" s="1">
        <f t="shared" si="58"/>
        <v>97.563632027549247</v>
      </c>
      <c r="DN33" s="1">
        <f t="shared" si="58"/>
        <v>96.587995707273748</v>
      </c>
      <c r="DO33" s="1">
        <f t="shared" si="58"/>
        <v>95.622115750201004</v>
      </c>
      <c r="DP33" s="1">
        <f t="shared" si="58"/>
        <v>94.66589459269899</v>
      </c>
      <c r="DQ33" s="1">
        <f t="shared" si="58"/>
        <v>93.719235646772006</v>
      </c>
      <c r="DR33" s="1">
        <f t="shared" si="58"/>
        <v>92.782043290304287</v>
      </c>
      <c r="DS33" s="1">
        <f t="shared" si="58"/>
        <v>91.85422285740124</v>
      </c>
      <c r="DT33" s="1">
        <f t="shared" si="58"/>
        <v>90.935680628827228</v>
      </c>
      <c r="DU33" s="1">
        <f t="shared" si="58"/>
        <v>90.026323822538956</v>
      </c>
      <c r="DV33" s="1">
        <f t="shared" si="58"/>
        <v>89.126060584313564</v>
      </c>
      <c r="DW33" s="1">
        <f t="shared" si="58"/>
        <v>88.234799978470434</v>
      </c>
      <c r="DX33" s="1">
        <f t="shared" si="58"/>
        <v>87.352451978685735</v>
      </c>
      <c r="DY33" s="1">
        <f t="shared" si="58"/>
        <v>86.47892745889888</v>
      </c>
      <c r="DZ33" s="1">
        <f t="shared" si="58"/>
        <v>85.614138184309894</v>
      </c>
      <c r="EA33" s="1">
        <f t="shared" si="58"/>
        <v>84.757996802466792</v>
      </c>
      <c r="EB33" s="1">
        <f t="shared" si="58"/>
        <v>83.910416834442117</v>
      </c>
      <c r="EC33" s="1">
        <f t="shared" si="58"/>
        <v>83.071312666097697</v>
      </c>
      <c r="ED33" s="1">
        <f t="shared" si="58"/>
        <v>82.240599539436715</v>
      </c>
      <c r="EE33" s="1">
        <f t="shared" si="58"/>
        <v>81.418193544042353</v>
      </c>
      <c r="EF33" s="1">
        <f t="shared" si="58"/>
        <v>80.604011608601922</v>
      </c>
      <c r="EG33" s="1">
        <f t="shared" si="58"/>
        <v>79.797971492515899</v>
      </c>
      <c r="EH33" s="1">
        <f t="shared" si="58"/>
        <v>78.999991777590736</v>
      </c>
      <c r="EI33" s="1">
        <f t="shared" si="58"/>
        <v>78.209991859814835</v>
      </c>
      <c r="EJ33" s="1">
        <f t="shared" si="58"/>
        <v>77.427891941216686</v>
      </c>
      <c r="EK33" s="1">
        <f t="shared" si="58"/>
        <v>76.653613021804517</v>
      </c>
      <c r="EL33" s="1">
        <f t="shared" si="58"/>
        <v>75.887076891586474</v>
      </c>
      <c r="EM33" s="1">
        <f t="shared" si="58"/>
        <v>75.128206122670605</v>
      </c>
      <c r="EN33" s="1">
        <f t="shared" si="58"/>
        <v>74.376924061443901</v>
      </c>
      <c r="EO33" s="1">
        <f t="shared" si="58"/>
        <v>73.633154820829461</v>
      </c>
      <c r="EP33" s="1">
        <f t="shared" si="58"/>
        <v>72.896823272621162</v>
      </c>
      <c r="EQ33" s="1">
        <f t="shared" si="58"/>
        <v>72.167855039894945</v>
      </c>
      <c r="ER33" s="1">
        <f t="shared" si="58"/>
        <v>71.446176489495997</v>
      </c>
      <c r="ES33" s="1">
        <f t="shared" si="58"/>
        <v>70.731714724601034</v>
      </c>
      <c r="ET33" s="1">
        <f t="shared" si="58"/>
        <v>70.024397577355018</v>
      </c>
      <c r="EU33" s="1">
        <f t="shared" si="58"/>
        <v>69.324153601581472</v>
      </c>
      <c r="EV33" s="1">
        <f t="shared" si="58"/>
        <v>68.630912065565653</v>
      </c>
      <c r="EW33" s="1">
        <f t="shared" si="58"/>
        <v>67.944602944910002</v>
      </c>
      <c r="EX33" s="1">
        <f t="shared" si="58"/>
        <v>67.265156915460906</v>
      </c>
      <c r="EY33" s="1">
        <f t="shared" si="58"/>
        <v>66.592505346306297</v>
      </c>
      <c r="EZ33" s="1">
        <f t="shared" si="58"/>
        <v>65.926580292843227</v>
      </c>
    </row>
    <row r="34" spans="2:156" x14ac:dyDescent="0.3">
      <c r="B34" t="s">
        <v>2</v>
      </c>
      <c r="G34" s="5">
        <f>879.6</f>
        <v>879.6</v>
      </c>
      <c r="H34" s="5">
        <f>879.6</f>
        <v>879.6</v>
      </c>
      <c r="I34" s="5">
        <v>858.4</v>
      </c>
      <c r="J34" s="5">
        <f>879.6</f>
        <v>879.6</v>
      </c>
      <c r="K34" s="5">
        <f>879.6</f>
        <v>879.6</v>
      </c>
      <c r="L34" s="5">
        <f>879.6</f>
        <v>879.6</v>
      </c>
      <c r="M34" s="5">
        <v>858.4</v>
      </c>
      <c r="N34" s="5">
        <f>925.2</f>
        <v>925.2</v>
      </c>
      <c r="O34" s="5">
        <f>1078.3</f>
        <v>1078.3</v>
      </c>
      <c r="P34" s="5">
        <f>1154.8</f>
        <v>1154.8</v>
      </c>
      <c r="Q34" s="5">
        <f>1154.8</f>
        <v>1154.8</v>
      </c>
      <c r="R34" s="5">
        <f>1154.8</f>
        <v>1154.8</v>
      </c>
      <c r="T34" s="5">
        <f t="shared" ref="T34:Z34" si="59">879.6</f>
        <v>879.6</v>
      </c>
      <c r="U34" s="5">
        <f t="shared" si="59"/>
        <v>879.6</v>
      </c>
      <c r="V34" s="5">
        <f t="shared" si="59"/>
        <v>879.6</v>
      </c>
      <c r="W34" s="5">
        <f t="shared" si="59"/>
        <v>879.6</v>
      </c>
      <c r="X34" s="5">
        <f t="shared" si="59"/>
        <v>879.6</v>
      </c>
      <c r="Y34" s="5">
        <f t="shared" si="59"/>
        <v>879.6</v>
      </c>
      <c r="Z34" s="5">
        <f t="shared" si="59"/>
        <v>879.6</v>
      </c>
      <c r="AA34" s="5">
        <f t="shared" ref="AA34" si="60">925.2</f>
        <v>925.2</v>
      </c>
      <c r="AB34" s="5">
        <f t="shared" ref="AB34:AL34" si="61">1154.8</f>
        <v>1154.8</v>
      </c>
      <c r="AC34" s="5">
        <f t="shared" si="61"/>
        <v>1154.8</v>
      </c>
      <c r="AD34" s="5">
        <f t="shared" si="61"/>
        <v>1154.8</v>
      </c>
      <c r="AE34" s="5">
        <f t="shared" si="61"/>
        <v>1154.8</v>
      </c>
      <c r="AF34" s="5">
        <f t="shared" si="61"/>
        <v>1154.8</v>
      </c>
      <c r="AG34" s="5">
        <f t="shared" si="61"/>
        <v>1154.8</v>
      </c>
      <c r="AH34" s="5">
        <f t="shared" si="61"/>
        <v>1154.8</v>
      </c>
      <c r="AI34" s="5">
        <f t="shared" si="61"/>
        <v>1154.8</v>
      </c>
      <c r="AJ34" s="5">
        <f t="shared" si="61"/>
        <v>1154.8</v>
      </c>
      <c r="AK34" s="5">
        <f t="shared" si="61"/>
        <v>1154.8</v>
      </c>
      <c r="AL34" s="5">
        <f t="shared" si="61"/>
        <v>1154.8</v>
      </c>
    </row>
    <row r="35" spans="2:156" x14ac:dyDescent="0.3">
      <c r="B35" t="s">
        <v>53</v>
      </c>
      <c r="G35" s="7">
        <f t="shared" ref="G35:R35" si="62">G33/G34</f>
        <v>-0.23487949067758068</v>
      </c>
      <c r="H35" s="7">
        <f t="shared" si="62"/>
        <v>-0.26875852660300137</v>
      </c>
      <c r="I35" s="7">
        <f t="shared" si="62"/>
        <v>-0.33014911463187324</v>
      </c>
      <c r="J35" s="7">
        <f t="shared" si="62"/>
        <v>-0.73033196907685338</v>
      </c>
      <c r="K35" s="7">
        <f t="shared" si="62"/>
        <v>-0.33617553433378805</v>
      </c>
      <c r="L35" s="7">
        <f t="shared" si="62"/>
        <v>-0.29797635288767615</v>
      </c>
      <c r="M35" s="7">
        <f t="shared" si="62"/>
        <v>-0.24592264678471576</v>
      </c>
      <c r="N35" s="7">
        <f t="shared" si="62"/>
        <v>-1.4440121054907049</v>
      </c>
      <c r="O35" s="7">
        <f t="shared" si="62"/>
        <v>-0.18269498284336455</v>
      </c>
      <c r="P35" s="7">
        <f t="shared" si="62"/>
        <v>-0.19821614132317286</v>
      </c>
      <c r="Q35" s="7">
        <f t="shared" si="62"/>
        <v>-0.18016886040872876</v>
      </c>
      <c r="R35" s="7">
        <f t="shared" si="62"/>
        <v>-0.2393414444059577</v>
      </c>
      <c r="T35" s="7">
        <f t="shared" ref="T35:AB35" si="63">T33/T34</f>
        <v>-0.14438381082310139</v>
      </c>
      <c r="U35" s="7">
        <f t="shared" si="63"/>
        <v>-8.8676671214188235E-2</v>
      </c>
      <c r="V35" s="7">
        <f t="shared" si="63"/>
        <v>-9.7203274215552554E-2</v>
      </c>
      <c r="W35" s="7">
        <f t="shared" si="63"/>
        <v>-0.67758071850841306</v>
      </c>
      <c r="X35" s="7">
        <f t="shared" si="63"/>
        <v>-0.52307867212369263</v>
      </c>
      <c r="Y35" s="7">
        <f t="shared" si="63"/>
        <v>-0.82321509777171442</v>
      </c>
      <c r="Z35" s="7">
        <f t="shared" si="63"/>
        <v>-1.5561618917689859</v>
      </c>
      <c r="AA35" s="7">
        <f t="shared" si="63"/>
        <v>-2.2750756593169044</v>
      </c>
      <c r="AB35" s="7">
        <f t="shared" si="63"/>
        <v>-0.78831875649463112</v>
      </c>
      <c r="AC35" s="7">
        <f t="shared" ref="AC35:AL35" si="64">AC33/AC34</f>
        <v>-0.44052123397991005</v>
      </c>
      <c r="AD35" s="7">
        <f t="shared" si="64"/>
        <v>-0.30428266836681661</v>
      </c>
      <c r="AE35" s="7">
        <f t="shared" si="64"/>
        <v>-0.16602602675112568</v>
      </c>
      <c r="AF35" s="7">
        <f t="shared" si="64"/>
        <v>-0.11000235892752527</v>
      </c>
      <c r="AG35" s="7">
        <f t="shared" si="64"/>
        <v>-6.1740863456139043E-2</v>
      </c>
      <c r="AH35" s="7">
        <f t="shared" si="64"/>
        <v>-1.5086371772365586E-2</v>
      </c>
      <c r="AI35" s="7">
        <f t="shared" si="64"/>
        <v>3.1577415208096635E-2</v>
      </c>
      <c r="AJ35" s="7">
        <f t="shared" si="64"/>
        <v>7.9039506287292213E-2</v>
      </c>
      <c r="AK35" s="7">
        <f t="shared" si="64"/>
        <v>0.13020472490299786</v>
      </c>
      <c r="AL35" s="7">
        <f t="shared" si="64"/>
        <v>0.18689634622816009</v>
      </c>
    </row>
    <row r="37" spans="2:156" x14ac:dyDescent="0.3">
      <c r="B37" t="s">
        <v>55</v>
      </c>
      <c r="K37" s="10">
        <f t="shared" ref="K37:K42" si="65">K3/G3-1</f>
        <v>-0.62493135639758379</v>
      </c>
      <c r="L37" s="10">
        <f>L3/H3-1</f>
        <v>-0.64493758668515955</v>
      </c>
      <c r="M37" s="10">
        <f t="shared" ref="M37:N42" si="66">M3/I3-1</f>
        <v>-0.26188835286009648</v>
      </c>
      <c r="N37" s="10">
        <f t="shared" si="66"/>
        <v>-0.17748659916616993</v>
      </c>
      <c r="O37" s="10">
        <f t="shared" ref="O37:O42" si="67">O3/K3-1</f>
        <v>-7.0278184480234263E-2</v>
      </c>
      <c r="P37" s="10">
        <f t="shared" ref="P37:P42" si="68">P3/L3-1</f>
        <v>0.29166666666666674</v>
      </c>
      <c r="Q37" s="10">
        <f t="shared" ref="Q37:Q42" si="69">Q3/M3-1</f>
        <v>0.19999999999999996</v>
      </c>
      <c r="R37" s="10">
        <f t="shared" ref="R37:R42" si="70">R3/N3-1</f>
        <v>0.10000000000000009</v>
      </c>
      <c r="T37" s="10"/>
      <c r="U37" s="10">
        <f t="shared" ref="U37:X42" si="71">U3/T3-1</f>
        <v>0.71405750798722045</v>
      </c>
      <c r="V37" s="10">
        <f t="shared" si="71"/>
        <v>0.39701770736253494</v>
      </c>
      <c r="W37" s="10">
        <f t="shared" si="71"/>
        <v>-1.6290860573715809</v>
      </c>
      <c r="X37" s="10">
        <f t="shared" si="71"/>
        <v>-5.1654294803817606</v>
      </c>
      <c r="Y37" s="10">
        <f>Y3/X3-1</f>
        <v>0.4228615071283095</v>
      </c>
      <c r="Z37" s="10">
        <f>Z3/Y3-1</f>
        <v>0.27285739846126322</v>
      </c>
      <c r="AA37" s="10">
        <f>AA3/Z3-1</f>
        <v>-0.45136350857464147</v>
      </c>
      <c r="AB37" s="10">
        <f t="shared" ref="AB37:AL42" si="72">AB3/AA3-1</f>
        <v>0.13535741737125284</v>
      </c>
      <c r="AC37" s="10">
        <f t="shared" si="72"/>
        <v>0.39999999999999991</v>
      </c>
      <c r="AD37" s="10">
        <f t="shared" si="72"/>
        <v>0.30000000000000004</v>
      </c>
      <c r="AE37" s="10">
        <f t="shared" si="72"/>
        <v>0.19999999999999996</v>
      </c>
      <c r="AF37" s="10">
        <f t="shared" si="72"/>
        <v>0.10000000000000009</v>
      </c>
      <c r="AG37" s="10">
        <f t="shared" si="72"/>
        <v>0.10000000000000009</v>
      </c>
      <c r="AH37" s="10">
        <f t="shared" si="72"/>
        <v>0.10000000000000009</v>
      </c>
      <c r="AI37" s="10">
        <f t="shared" si="72"/>
        <v>0.10000000000000009</v>
      </c>
      <c r="AJ37" s="10">
        <f t="shared" si="72"/>
        <v>0.10000000000000009</v>
      </c>
      <c r="AK37" s="10">
        <f t="shared" si="72"/>
        <v>0.10000000000000009</v>
      </c>
      <c r="AL37" s="10">
        <f t="shared" si="72"/>
        <v>0.10000000000000009</v>
      </c>
    </row>
    <row r="38" spans="2:156" x14ac:dyDescent="0.3">
      <c r="B38" t="s">
        <v>56</v>
      </c>
      <c r="K38" s="10">
        <f t="shared" si="65"/>
        <v>0.4285714285714286</v>
      </c>
      <c r="L38" s="10">
        <f t="shared" ref="L38:L42" si="73">L4/H4-1</f>
        <v>0.49425287356321856</v>
      </c>
      <c r="M38" s="10">
        <f t="shared" si="66"/>
        <v>0.51612903225806428</v>
      </c>
      <c r="N38" s="10">
        <f t="shared" si="66"/>
        <v>8.3333333333333037E-3</v>
      </c>
      <c r="O38" s="10">
        <f t="shared" si="67"/>
        <v>0.29999999999999982</v>
      </c>
      <c r="P38" s="10">
        <f t="shared" si="68"/>
        <v>0.2615384615384615</v>
      </c>
      <c r="Q38" s="10">
        <f t="shared" si="69"/>
        <v>0.39999999999999991</v>
      </c>
      <c r="R38" s="10">
        <f t="shared" si="70"/>
        <v>0.60000000000000009</v>
      </c>
      <c r="T38" s="10"/>
      <c r="U38" s="10">
        <f t="shared" si="71"/>
        <v>0.35802469135802473</v>
      </c>
      <c r="V38" s="10">
        <f t="shared" si="71"/>
        <v>0.1454545454545455</v>
      </c>
      <c r="W38" s="10">
        <f t="shared" si="71"/>
        <v>-1.3888888888888888</v>
      </c>
      <c r="X38" s="10">
        <f t="shared" si="71"/>
        <v>-3.7244897959183669</v>
      </c>
      <c r="Y38" s="10">
        <f t="shared" ref="Y38:Z42" si="74">Y4/X4-1</f>
        <v>0.32209737827715346</v>
      </c>
      <c r="Z38" s="10">
        <f t="shared" si="74"/>
        <v>0.10764872521246471</v>
      </c>
      <c r="AA38" s="10">
        <f t="shared" ref="AA38" si="75">AA4/Z4-1</f>
        <v>0.3350383631713556</v>
      </c>
      <c r="AB38" s="10">
        <f t="shared" si="72"/>
        <v>0.38697318007662806</v>
      </c>
      <c r="AC38" s="10">
        <f t="shared" si="72"/>
        <v>0.39999999999999991</v>
      </c>
      <c r="AD38" s="10">
        <f t="shared" si="72"/>
        <v>0.29999999999999982</v>
      </c>
      <c r="AE38" s="10">
        <f t="shared" si="72"/>
        <v>0.19999999999999996</v>
      </c>
      <c r="AF38" s="10">
        <f t="shared" si="72"/>
        <v>0.10000000000000009</v>
      </c>
      <c r="AG38" s="10">
        <f t="shared" si="72"/>
        <v>0.10000000000000009</v>
      </c>
      <c r="AH38" s="10">
        <f t="shared" si="72"/>
        <v>0.10000000000000009</v>
      </c>
      <c r="AI38" s="10">
        <f t="shared" si="72"/>
        <v>0.10000000000000009</v>
      </c>
      <c r="AJ38" s="10">
        <f t="shared" si="72"/>
        <v>0.10000000000000009</v>
      </c>
      <c r="AK38" s="10">
        <f t="shared" si="72"/>
        <v>0.10000000000000009</v>
      </c>
      <c r="AL38" s="10">
        <f t="shared" si="72"/>
        <v>0.10000000000000009</v>
      </c>
      <c r="AO38" t="s">
        <v>71</v>
      </c>
      <c r="AP38" s="10">
        <v>-0.01</v>
      </c>
    </row>
    <row r="39" spans="2:156" x14ac:dyDescent="0.3">
      <c r="B39" t="s">
        <v>57</v>
      </c>
      <c r="K39" s="10">
        <f t="shared" si="65"/>
        <v>1.3164556962025316</v>
      </c>
      <c r="L39" s="10">
        <f t="shared" si="73"/>
        <v>0.22360248447204945</v>
      </c>
      <c r="M39" s="10">
        <f t="shared" si="66"/>
        <v>1.990049751243772E-2</v>
      </c>
      <c r="N39" s="10">
        <f t="shared" si="66"/>
        <v>-1.5306122448979997E-2</v>
      </c>
      <c r="O39" s="10">
        <f t="shared" si="67"/>
        <v>0.26775956284152991</v>
      </c>
      <c r="P39" s="10">
        <f t="shared" si="68"/>
        <v>0.19796954314720816</v>
      </c>
      <c r="Q39" s="10">
        <f t="shared" si="69"/>
        <v>0.19999999999999996</v>
      </c>
      <c r="R39" s="10">
        <f t="shared" si="70"/>
        <v>0.30000000000000004</v>
      </c>
      <c r="T39" s="10"/>
      <c r="U39" s="10">
        <f t="shared" si="71"/>
        <v>0.77519379844961223</v>
      </c>
      <c r="V39" s="10">
        <f t="shared" si="71"/>
        <v>0.13100436681222716</v>
      </c>
      <c r="W39" s="10">
        <f t="shared" si="71"/>
        <v>2.7027027027027195E-2</v>
      </c>
      <c r="X39" s="10">
        <f t="shared" si="71"/>
        <v>0.32330827067669166</v>
      </c>
      <c r="Y39" s="10">
        <f t="shared" si="74"/>
        <v>0.34090909090909083</v>
      </c>
      <c r="Z39" s="10">
        <f t="shared" si="74"/>
        <v>0.34957627118644075</v>
      </c>
      <c r="AA39" s="10">
        <f t="shared" ref="AA39" si="76">AA5/Z5-1</f>
        <v>0.22135007849293564</v>
      </c>
      <c r="AB39" s="10">
        <f t="shared" si="72"/>
        <v>0.24023136246786603</v>
      </c>
      <c r="AC39" s="10">
        <f t="shared" si="72"/>
        <v>0.14999999999999991</v>
      </c>
      <c r="AD39" s="10">
        <f t="shared" si="72"/>
        <v>0.12000000000000011</v>
      </c>
      <c r="AE39" s="10">
        <f t="shared" si="72"/>
        <v>9.000000000000008E-2</v>
      </c>
      <c r="AF39" s="10">
        <f t="shared" si="72"/>
        <v>8.0000000000000071E-2</v>
      </c>
      <c r="AG39" s="10">
        <f t="shared" si="72"/>
        <v>7.0000000000000062E-2</v>
      </c>
      <c r="AH39" s="10">
        <f t="shared" si="72"/>
        <v>5.0000000000000044E-2</v>
      </c>
      <c r="AI39" s="10">
        <f t="shared" si="72"/>
        <v>3.0000000000000027E-2</v>
      </c>
      <c r="AJ39" s="10">
        <f t="shared" si="72"/>
        <v>3.0000000000000027E-2</v>
      </c>
      <c r="AK39" s="10">
        <f t="shared" si="72"/>
        <v>3.0000000000000027E-2</v>
      </c>
      <c r="AL39" s="10">
        <f t="shared" si="72"/>
        <v>3.0000000000000027E-2</v>
      </c>
      <c r="AO39" t="s">
        <v>72</v>
      </c>
      <c r="AP39" s="10">
        <v>0.1</v>
      </c>
    </row>
    <row r="40" spans="2:156" x14ac:dyDescent="0.3">
      <c r="B40" t="s">
        <v>58</v>
      </c>
      <c r="K40" s="10">
        <f t="shared" si="65"/>
        <v>0.81188118811881194</v>
      </c>
      <c r="L40" s="10">
        <f t="shared" si="73"/>
        <v>0.67039106145251393</v>
      </c>
      <c r="M40" s="10">
        <f t="shared" si="66"/>
        <v>0.53608247422680422</v>
      </c>
      <c r="N40" s="10">
        <f t="shared" si="66"/>
        <v>5.8510638297872619E-2</v>
      </c>
      <c r="O40" s="10">
        <f t="shared" si="67"/>
        <v>0.61202185792349728</v>
      </c>
      <c r="P40" s="10">
        <f t="shared" si="68"/>
        <v>0.15050167224080258</v>
      </c>
      <c r="Q40" s="10">
        <f t="shared" si="69"/>
        <v>0.19999999999999996</v>
      </c>
      <c r="R40" s="10">
        <f t="shared" si="70"/>
        <v>0.19999999999999996</v>
      </c>
      <c r="T40" s="10"/>
      <c r="U40" s="10">
        <f t="shared" si="71"/>
        <v>1.7439024390243905</v>
      </c>
      <c r="V40" s="10">
        <f t="shared" si="71"/>
        <v>0.29333333333333345</v>
      </c>
      <c r="W40" s="10">
        <f t="shared" si="71"/>
        <v>-1.5532646048109966</v>
      </c>
      <c r="X40" s="10">
        <f t="shared" si="71"/>
        <v>-3.9130434782608692</v>
      </c>
      <c r="Y40" s="10">
        <f t="shared" si="74"/>
        <v>0.21961620469083165</v>
      </c>
      <c r="Z40" s="10">
        <f t="shared" si="74"/>
        <v>0.15734265734265729</v>
      </c>
      <c r="AA40" s="10">
        <f t="shared" ref="AA40" si="77">AA6/Z6-1</f>
        <v>0.47885196374622363</v>
      </c>
      <c r="AB40" s="10">
        <f t="shared" si="72"/>
        <v>0.26189989785495404</v>
      </c>
      <c r="AC40" s="10">
        <f t="shared" si="72"/>
        <v>0.25</v>
      </c>
      <c r="AD40" s="10">
        <f t="shared" si="72"/>
        <v>0.14999999999999991</v>
      </c>
      <c r="AE40" s="10">
        <f t="shared" si="72"/>
        <v>0.12000000000000011</v>
      </c>
      <c r="AF40" s="10">
        <f t="shared" si="72"/>
        <v>8.0000000000000071E-2</v>
      </c>
      <c r="AG40" s="10">
        <f t="shared" si="72"/>
        <v>4.0000000000000036E-2</v>
      </c>
      <c r="AH40" s="10">
        <f t="shared" si="72"/>
        <v>2.0000000000000018E-2</v>
      </c>
      <c r="AI40" s="10">
        <f t="shared" si="72"/>
        <v>2.0000000000000018E-2</v>
      </c>
      <c r="AJ40" s="10">
        <f t="shared" si="72"/>
        <v>2.0000000000000018E-2</v>
      </c>
      <c r="AK40" s="10">
        <f t="shared" si="72"/>
        <v>2.0000000000000018E-2</v>
      </c>
      <c r="AL40" s="10">
        <f t="shared" si="72"/>
        <v>2.0000000000000018E-2</v>
      </c>
      <c r="AO40" t="s">
        <v>73</v>
      </c>
      <c r="AP40" s="5">
        <f>NPV(AP39,AC33:EZ33)</f>
        <v>-80.616754352004889</v>
      </c>
    </row>
    <row r="41" spans="2:156" x14ac:dyDescent="0.3">
      <c r="B41" t="s">
        <v>59</v>
      </c>
      <c r="K41" s="10">
        <f t="shared" si="65"/>
        <v>1.4</v>
      </c>
      <c r="L41" s="10">
        <f t="shared" si="73"/>
        <v>2.3333333333333335</v>
      </c>
      <c r="M41" s="10">
        <f t="shared" si="66"/>
        <v>-0.55102040816326525</v>
      </c>
      <c r="N41" s="10">
        <f t="shared" si="66"/>
        <v>-0.45945945945945987</v>
      </c>
      <c r="O41" s="10">
        <f t="shared" si="67"/>
        <v>-0.75</v>
      </c>
      <c r="P41" s="10">
        <f t="shared" si="68"/>
        <v>-0.9</v>
      </c>
      <c r="Q41" s="10">
        <f t="shared" si="69"/>
        <v>-0.54545454545454541</v>
      </c>
      <c r="R41" s="10">
        <f t="shared" si="70"/>
        <v>-0.49999999999999967</v>
      </c>
      <c r="T41" s="10"/>
      <c r="U41" s="10">
        <f t="shared" si="71"/>
        <v>-1</v>
      </c>
      <c r="V41" s="10"/>
      <c r="W41" s="10">
        <f t="shared" si="71"/>
        <v>0.49999999999999978</v>
      </c>
      <c r="X41" s="10">
        <f t="shared" si="71"/>
        <v>1.666666666666667</v>
      </c>
      <c r="Y41" s="10">
        <f t="shared" si="74"/>
        <v>2.4999999999999996</v>
      </c>
      <c r="Z41" s="10">
        <f t="shared" si="74"/>
        <v>2.8571428571428577</v>
      </c>
      <c r="AA41" s="10">
        <f t="shared" ref="AA41" si="78">AA7/Z7-1</f>
        <v>-1.8518518518518601E-2</v>
      </c>
      <c r="AB41" s="10">
        <f t="shared" si="72"/>
        <v>-0.71698113207547176</v>
      </c>
      <c r="AC41" s="10">
        <f t="shared" si="72"/>
        <v>0.12000000000000011</v>
      </c>
      <c r="AD41" s="10">
        <f t="shared" si="72"/>
        <v>0.12000000000000011</v>
      </c>
      <c r="AE41" s="10">
        <f t="shared" si="72"/>
        <v>0.12000000000000011</v>
      </c>
      <c r="AF41" s="10">
        <f t="shared" si="72"/>
        <v>0.12000000000000011</v>
      </c>
      <c r="AG41" s="10">
        <f t="shared" si="72"/>
        <v>0.12000000000000011</v>
      </c>
      <c r="AH41" s="10">
        <f t="shared" si="72"/>
        <v>0.12000000000000011</v>
      </c>
      <c r="AI41" s="10">
        <f t="shared" si="72"/>
        <v>0.12000000000000011</v>
      </c>
      <c r="AJ41" s="10">
        <f t="shared" si="72"/>
        <v>0.12000000000000011</v>
      </c>
      <c r="AK41" s="10">
        <f t="shared" si="72"/>
        <v>0.12000000000000011</v>
      </c>
      <c r="AL41" s="10">
        <f t="shared" si="72"/>
        <v>0.12000000000000011</v>
      </c>
      <c r="AO41" t="s">
        <v>74</v>
      </c>
      <c r="AP41" s="5">
        <f>Main!D8</f>
        <v>506.29999999999973</v>
      </c>
    </row>
    <row r="42" spans="2:156" s="1" customFormat="1" x14ac:dyDescent="0.3">
      <c r="B42" s="1" t="s">
        <v>60</v>
      </c>
      <c r="K42" s="11">
        <f t="shared" si="65"/>
        <v>-0.42768791627021885</v>
      </c>
      <c r="L42" s="11">
        <f t="shared" si="73"/>
        <v>-0.44888547271329737</v>
      </c>
      <c r="M42" s="11">
        <f t="shared" si="66"/>
        <v>-0.12625754527162991</v>
      </c>
      <c r="N42" s="11">
        <f t="shared" si="66"/>
        <v>-0.13783783783783754</v>
      </c>
      <c r="O42" s="11">
        <f t="shared" si="67"/>
        <v>0.1113881961762262</v>
      </c>
      <c r="P42" s="11">
        <f t="shared" si="68"/>
        <v>0.21338912133891208</v>
      </c>
      <c r="Q42" s="11">
        <f t="shared" si="69"/>
        <v>0.2067933218192286</v>
      </c>
      <c r="R42" s="11">
        <f t="shared" si="70"/>
        <v>0.15590386624869423</v>
      </c>
      <c r="T42" s="11"/>
      <c r="U42" s="11">
        <f t="shared" si="71"/>
        <v>0.74351297405189642</v>
      </c>
      <c r="V42" s="11">
        <f t="shared" si="71"/>
        <v>0.31825987406983369</v>
      </c>
      <c r="W42" s="11">
        <f t="shared" si="71"/>
        <v>-1.4051237516283108</v>
      </c>
      <c r="X42" s="11">
        <f t="shared" si="71"/>
        <v>-6.384780278670954</v>
      </c>
      <c r="Y42" s="11">
        <f t="shared" si="74"/>
        <v>0.3960987261146498</v>
      </c>
      <c r="Z42" s="11">
        <f t="shared" si="74"/>
        <v>0.27060165383518697</v>
      </c>
      <c r="AA42" s="11">
        <f t="shared" ref="AA42" si="79">AA8/Z8-1</f>
        <v>-0.29443447037701986</v>
      </c>
      <c r="AB42" s="11">
        <f t="shared" si="72"/>
        <v>0.17455470737913492</v>
      </c>
      <c r="AC42" s="11">
        <f t="shared" si="72"/>
        <v>0.3411104040294628</v>
      </c>
      <c r="AD42" s="11">
        <f t="shared" si="72"/>
        <v>0.25583806205107473</v>
      </c>
      <c r="AE42" s="11">
        <f t="shared" si="72"/>
        <v>0.17734628403361175</v>
      </c>
      <c r="AF42" s="11">
        <f t="shared" si="72"/>
        <v>9.5491297084539406E-2</v>
      </c>
      <c r="AG42" s="11">
        <f t="shared" si="72"/>
        <v>8.928949978279177E-2</v>
      </c>
      <c r="AH42" s="11">
        <f t="shared" si="72"/>
        <v>8.5354896481164344E-2</v>
      </c>
      <c r="AI42" s="11">
        <f t="shared" si="72"/>
        <v>8.4385369676615918E-2</v>
      </c>
      <c r="AJ42" s="11">
        <f t="shared" si="72"/>
        <v>8.526230591756967E-2</v>
      </c>
      <c r="AK42" s="11">
        <f t="shared" si="72"/>
        <v>8.6101408473976182E-2</v>
      </c>
      <c r="AL42" s="11">
        <f t="shared" si="72"/>
        <v>8.6903071494963458E-2</v>
      </c>
      <c r="AO42" t="s">
        <v>75</v>
      </c>
      <c r="AP42" s="5">
        <f>AP40+AP41</f>
        <v>425.68324564799485</v>
      </c>
    </row>
    <row r="43" spans="2:156" x14ac:dyDescent="0.3">
      <c r="B43" t="s">
        <v>61</v>
      </c>
      <c r="G43" s="10">
        <f t="shared" ref="G43:H43" si="80">(G3-G9)/G3</f>
        <v>0.13069741900054907</v>
      </c>
      <c r="H43" s="10">
        <f t="shared" si="80"/>
        <v>0.13361072584373557</v>
      </c>
      <c r="I43" s="10">
        <f t="shared" ref="I43:J43" si="81">(I3-I9)/I3</f>
        <v>-9.5796002756719553E-2</v>
      </c>
      <c r="J43" s="10">
        <f t="shared" si="81"/>
        <v>-0.55390113162596855</v>
      </c>
      <c r="K43" s="10">
        <f>(K3-K9)/K3</f>
        <v>-0.97803806734992682</v>
      </c>
      <c r="L43" s="10">
        <f>(L3-L9)/L3</f>
        <v>-0.69140625000000011</v>
      </c>
      <c r="M43" s="10">
        <f t="shared" ref="M43:N43" si="82">(M3-M9)/M3</f>
        <v>-0.39962651727357623</v>
      </c>
      <c r="N43" s="10">
        <f t="shared" si="82"/>
        <v>-1.0362056480811006</v>
      </c>
      <c r="O43" s="10">
        <f t="shared" ref="O43:R43" si="83">(O3-O9)/O3</f>
        <v>-0.17480314960629911</v>
      </c>
      <c r="P43" s="10">
        <f t="shared" si="83"/>
        <v>-0.18245967741935479</v>
      </c>
      <c r="Q43" s="10">
        <f t="shared" si="83"/>
        <v>-0.10000000000000005</v>
      </c>
      <c r="R43" s="10">
        <f t="shared" si="83"/>
        <v>-0.25000000000000011</v>
      </c>
      <c r="T43" s="10">
        <f t="shared" ref="T43:X43" si="84">(T3-T9)/T3</f>
        <v>0.12460063897763585</v>
      </c>
      <c r="U43" s="10">
        <f t="shared" si="84"/>
        <v>0.21342031686859267</v>
      </c>
      <c r="V43" s="10">
        <f t="shared" si="84"/>
        <v>0.35356904603068712</v>
      </c>
      <c r="W43" s="10">
        <f t="shared" si="84"/>
        <v>2.8176033934252387</v>
      </c>
      <c r="X43" s="10">
        <f t="shared" si="84"/>
        <v>0.21792260692464363</v>
      </c>
      <c r="Y43" s="10">
        <f>(Y3-Y9)/Y3</f>
        <v>0.1624619788870996</v>
      </c>
      <c r="Z43" s="10">
        <f>(Z3-Z9)/Z3</f>
        <v>-7.6187798706775445E-2</v>
      </c>
      <c r="AA43" s="10">
        <f>(AA3-AA9)/AA3</f>
        <v>-0.7834998718934153</v>
      </c>
      <c r="AB43" s="10">
        <f t="shared" ref="AB43:AL43" si="85">(AB3-AB9)/AB3</f>
        <v>-0.1806005009816532</v>
      </c>
      <c r="AC43" s="10">
        <f t="shared" si="85"/>
        <v>0.11999999999999997</v>
      </c>
      <c r="AD43" s="10">
        <f t="shared" si="85"/>
        <v>0.23999999999999996</v>
      </c>
      <c r="AE43" s="10">
        <f t="shared" si="85"/>
        <v>0.3199999999999999</v>
      </c>
      <c r="AF43" s="10">
        <f t="shared" si="85"/>
        <v>0.33999999999999991</v>
      </c>
      <c r="AG43" s="10">
        <f t="shared" si="85"/>
        <v>0.35</v>
      </c>
      <c r="AH43" s="10">
        <f t="shared" si="85"/>
        <v>0.35999999999999993</v>
      </c>
      <c r="AI43" s="10">
        <f t="shared" si="85"/>
        <v>0.36</v>
      </c>
      <c r="AJ43" s="10">
        <f t="shared" si="85"/>
        <v>0.36</v>
      </c>
      <c r="AK43" s="10">
        <f t="shared" si="85"/>
        <v>0.36</v>
      </c>
      <c r="AL43" s="10">
        <f t="shared" si="85"/>
        <v>0.36</v>
      </c>
      <c r="AO43" t="s">
        <v>76</v>
      </c>
      <c r="AP43" s="4">
        <f>AP42/AL34</f>
        <v>0.36862075307238906</v>
      </c>
    </row>
    <row r="44" spans="2:156" x14ac:dyDescent="0.3">
      <c r="B44" t="s">
        <v>62</v>
      </c>
      <c r="G44" s="10">
        <f t="shared" ref="G44:H44" si="86">(G4-G10-G11)/G4</f>
        <v>-1.098901098901099</v>
      </c>
      <c r="H44" s="10">
        <f t="shared" si="86"/>
        <v>-2.5287356321839081</v>
      </c>
      <c r="I44" s="10">
        <f t="shared" ref="I44:J44" si="87">(I4-I10-I11)/I4</f>
        <v>-5.397849462365591</v>
      </c>
      <c r="J44" s="10">
        <f t="shared" si="87"/>
        <v>-3.3666666666666667</v>
      </c>
      <c r="K44" s="10">
        <f>(K4-K10-K11)/K4</f>
        <v>-1.2076923076923076</v>
      </c>
      <c r="L44" s="10">
        <f>(L4-L10-L11)/L4</f>
        <v>-1.323076923076923</v>
      </c>
      <c r="M44" s="10">
        <f t="shared" ref="M44:N44" si="88">(M4-M10-M11)/M4</f>
        <v>-7.0921985815602842E-2</v>
      </c>
      <c r="N44" s="10">
        <f t="shared" si="88"/>
        <v>-1.6694214876033056</v>
      </c>
      <c r="O44" s="10">
        <f t="shared" ref="O44:R44" si="89">(O4-O10-O11)/O4</f>
        <v>-0.38461538461538475</v>
      </c>
      <c r="P44" s="10">
        <f t="shared" si="89"/>
        <v>1.0487804878048781</v>
      </c>
      <c r="Q44" s="10">
        <f t="shared" si="89"/>
        <v>-0.46909827760891604</v>
      </c>
      <c r="R44" s="10">
        <f t="shared" si="89"/>
        <v>-0.65289256198347079</v>
      </c>
      <c r="T44" s="10">
        <f t="shared" ref="T44:X44" si="90">(T4-T10-T11)/T4</f>
        <v>-0.22222222222222232</v>
      </c>
      <c r="U44" s="10">
        <f t="shared" si="90"/>
        <v>-7.7272727272727243E-2</v>
      </c>
      <c r="V44" s="10">
        <f t="shared" si="90"/>
        <v>-0.1428571428571429</v>
      </c>
      <c r="W44" s="10">
        <f t="shared" si="90"/>
        <v>8.9591836734693864</v>
      </c>
      <c r="X44" s="10">
        <f t="shared" si="90"/>
        <v>-4.0823970037453181</v>
      </c>
      <c r="Y44" s="10">
        <f>(Y4-Y10-Y11)/Y4</f>
        <v>-1.4419263456090654</v>
      </c>
      <c r="Z44" s="10">
        <f>(Z4-Z10-Z11)/Z4</f>
        <v>-3.1355498721227617</v>
      </c>
      <c r="AA44" s="10">
        <f>(AA4-AA10-AA11)/AA4</f>
        <v>-1.0363984674329501</v>
      </c>
      <c r="AB44" s="10">
        <f t="shared" ref="AB44:AL44" si="91">(AB4-AB10-AB11)/AB4</f>
        <v>-0.15469613259668524</v>
      </c>
      <c r="AC44" s="10">
        <f t="shared" si="91"/>
        <v>-7.5478295185477468E-2</v>
      </c>
      <c r="AD44" s="10">
        <f t="shared" si="91"/>
        <v>6.6143561410964696E-2</v>
      </c>
      <c r="AE44" s="10">
        <f t="shared" si="91"/>
        <v>0.15591373494829291</v>
      </c>
      <c r="AF44" s="10">
        <f t="shared" si="91"/>
        <v>0.1630789397674148</v>
      </c>
      <c r="AG44" s="10">
        <f t="shared" si="91"/>
        <v>0.17363133231921257</v>
      </c>
      <c r="AH44" s="10">
        <f t="shared" si="91"/>
        <v>0.19073899903197566</v>
      </c>
      <c r="AI44" s="10">
        <f t="shared" si="91"/>
        <v>0.21360106272994087</v>
      </c>
      <c r="AJ44" s="10">
        <f t="shared" si="91"/>
        <v>0.23500826782894471</v>
      </c>
      <c r="AK44" s="10">
        <f t="shared" si="91"/>
        <v>0.25505319623982997</v>
      </c>
      <c r="AL44" s="10">
        <f t="shared" si="91"/>
        <v>0.27382253829729541</v>
      </c>
      <c r="AO44" t="s">
        <v>77</v>
      </c>
      <c r="AP44" s="4">
        <f>Main!D3</f>
        <v>3.51</v>
      </c>
    </row>
    <row r="45" spans="2:156" x14ac:dyDescent="0.3">
      <c r="B45" t="s">
        <v>63</v>
      </c>
      <c r="G45" s="10">
        <f t="shared" ref="G45:H45" si="92">(G5-G12)/G5</f>
        <v>-4.924050632911392</v>
      </c>
      <c r="H45" s="10">
        <f t="shared" si="92"/>
        <v>-2.354037267080745</v>
      </c>
      <c r="I45" s="10">
        <f t="shared" ref="I45:J45" si="93">(I5-I12)/I5</f>
        <v>-1.8358208955223878</v>
      </c>
      <c r="J45" s="10">
        <f t="shared" si="93"/>
        <v>-2.1173469387755106</v>
      </c>
      <c r="K45" s="10">
        <f>(K5-K12)/K5</f>
        <v>-2.0163934426229511</v>
      </c>
      <c r="L45" s="10">
        <f>(L5-L12)/L5</f>
        <v>-1.7563451776649743</v>
      </c>
      <c r="M45" s="10">
        <f t="shared" ref="M45:N45" si="94">(M5-M12)/M5</f>
        <v>-1.5268292682926827</v>
      </c>
      <c r="N45" s="10">
        <f t="shared" si="94"/>
        <v>-1.8808290155440435</v>
      </c>
      <c r="O45" s="10">
        <f t="shared" ref="O45:R45" si="95">(O5-O12)/O5</f>
        <v>-1.1508620689655173</v>
      </c>
      <c r="P45" s="10">
        <f t="shared" si="95"/>
        <v>-0.91949152542372858</v>
      </c>
      <c r="Q45" s="10">
        <f t="shared" si="95"/>
        <v>-0.95121951219512213</v>
      </c>
      <c r="R45" s="10">
        <f t="shared" si="95"/>
        <v>-0.95296931048226441</v>
      </c>
      <c r="T45" s="10">
        <f t="shared" ref="T45:X45" si="96">(T5-T12)/T5</f>
        <v>-1.4263565891472867</v>
      </c>
      <c r="U45" s="10">
        <f t="shared" si="96"/>
        <v>-0.58078602620087361</v>
      </c>
      <c r="V45" s="10">
        <f t="shared" si="96"/>
        <v>-0.54826254826254839</v>
      </c>
      <c r="W45" s="10">
        <f t="shared" si="96"/>
        <v>-1.4285714285714282</v>
      </c>
      <c r="X45" s="10">
        <f t="shared" si="96"/>
        <v>-1.9090909090909089</v>
      </c>
      <c r="Y45" s="10">
        <f>(Y5-Y12)/Y5</f>
        <v>-2.0656779661016946</v>
      </c>
      <c r="Z45" s="10">
        <f>(Z5-Z12)/Z5</f>
        <v>-2.4364207221350074</v>
      </c>
      <c r="AA45" s="10">
        <f>(AA5-AA12)/AA5</f>
        <v>-1.7879177377892035</v>
      </c>
      <c r="AB45" s="10">
        <f t="shared" ref="AB45:AL45" si="97">(AB5-AB12)/AB5</f>
        <v>-0.99191626075240991</v>
      </c>
      <c r="AC45" s="10">
        <f t="shared" si="97"/>
        <v>-0.79999999999999993</v>
      </c>
      <c r="AD45" s="10">
        <f t="shared" si="97"/>
        <v>-0.5</v>
      </c>
      <c r="AE45" s="10">
        <f t="shared" si="97"/>
        <v>-0.19999999999999993</v>
      </c>
      <c r="AF45" s="10">
        <f t="shared" si="97"/>
        <v>-0.10000000000000012</v>
      </c>
      <c r="AG45" s="10">
        <f t="shared" si="97"/>
        <v>-4.9999999999999975E-2</v>
      </c>
      <c r="AH45" s="10">
        <f t="shared" si="97"/>
        <v>0</v>
      </c>
      <c r="AI45" s="10">
        <f t="shared" si="97"/>
        <v>5.00000000000001E-2</v>
      </c>
      <c r="AJ45" s="10">
        <f t="shared" si="97"/>
        <v>6.999999999999991E-2</v>
      </c>
      <c r="AK45" s="10">
        <f t="shared" si="97"/>
        <v>7.9999999999999988E-2</v>
      </c>
      <c r="AL45" s="10">
        <f t="shared" si="97"/>
        <v>8.9999999999999969E-2</v>
      </c>
      <c r="AO45" s="1" t="s">
        <v>78</v>
      </c>
      <c r="AP45" s="11">
        <f>AP43/AP44-1</f>
        <v>-0.89497984242951878</v>
      </c>
    </row>
    <row r="46" spans="2:156" x14ac:dyDescent="0.3">
      <c r="B46" t="s">
        <v>64</v>
      </c>
      <c r="G46" s="10">
        <f t="shared" ref="G46:H46" si="98">(G6-G13)/G6</f>
        <v>-4.3960396039603964</v>
      </c>
      <c r="H46" s="10">
        <f t="shared" si="98"/>
        <v>-2.603351955307263</v>
      </c>
      <c r="I46" s="10">
        <f t="shared" ref="I46:J46" si="99">(I6-I13)/I6</f>
        <v>-2.0412371134020622</v>
      </c>
      <c r="J46" s="10">
        <f t="shared" si="99"/>
        <v>-2.6329787234042552</v>
      </c>
      <c r="K46" s="10">
        <f t="shared" ref="K46:L47" si="100">(K6-K13)/K6</f>
        <v>-2.2021857923497263</v>
      </c>
      <c r="L46" s="10">
        <f t="shared" si="100"/>
        <v>-0.94983277591973247</v>
      </c>
      <c r="M46" s="10">
        <f t="shared" ref="M46:N46" si="101">(M6-M13)/M6</f>
        <v>-0.86241610738255026</v>
      </c>
      <c r="N46" s="10">
        <f t="shared" si="101"/>
        <v>-1.834170854271356</v>
      </c>
      <c r="O46" s="10">
        <f t="shared" ref="O46:R46" si="102">(O6-O13)/O6</f>
        <v>-1.0135593220338983</v>
      </c>
      <c r="P46" s="10">
        <f t="shared" si="102"/>
        <v>-0.90697674418604646</v>
      </c>
      <c r="Q46" s="10">
        <f t="shared" si="102"/>
        <v>-0.92953020134228204</v>
      </c>
      <c r="R46" s="10">
        <f t="shared" si="102"/>
        <v>-2.0569514237855935</v>
      </c>
      <c r="T46" s="10">
        <f t="shared" ref="T46:X46" si="103">(T6-T13)/T6</f>
        <v>-1.6829268292682928</v>
      </c>
      <c r="U46" s="10">
        <f t="shared" si="103"/>
        <v>-0.23111111111111107</v>
      </c>
      <c r="V46" s="10">
        <f t="shared" si="103"/>
        <v>-0.25085910652920951</v>
      </c>
      <c r="W46" s="10">
        <f t="shared" si="103"/>
        <v>4.8385093167701863</v>
      </c>
      <c r="X46" s="10">
        <f t="shared" si="103"/>
        <v>-1.7121535181236676</v>
      </c>
      <c r="Y46" s="10">
        <f t="shared" ref="Y46:Z46" si="104">(Y6-Y13)/Y6</f>
        <v>-2.3968531468531471</v>
      </c>
      <c r="Z46" s="10">
        <f t="shared" si="104"/>
        <v>-2.7205438066465257</v>
      </c>
      <c r="AA46" s="10">
        <f t="shared" ref="AA46:AL46" si="105">(AA6-AA13)/AA6</f>
        <v>-1.3370786516853932</v>
      </c>
      <c r="AB46" s="10">
        <f t="shared" si="105"/>
        <v>-1.161243322000971</v>
      </c>
      <c r="AC46" s="10">
        <f t="shared" si="105"/>
        <v>-0.3000000000000001</v>
      </c>
      <c r="AD46" s="10">
        <f t="shared" si="105"/>
        <v>-0.14999999999999991</v>
      </c>
      <c r="AE46" s="10">
        <f t="shared" si="105"/>
        <v>-5.0000000000000058E-2</v>
      </c>
      <c r="AF46" s="10">
        <f t="shared" si="105"/>
        <v>0</v>
      </c>
      <c r="AG46" s="10">
        <f t="shared" si="105"/>
        <v>4.0000000000000049E-2</v>
      </c>
      <c r="AH46" s="10">
        <f t="shared" si="105"/>
        <v>3.0000000000000037E-2</v>
      </c>
      <c r="AI46" s="10">
        <f t="shared" si="105"/>
        <v>4.0000000000000063E-2</v>
      </c>
      <c r="AJ46" s="10">
        <f t="shared" si="105"/>
        <v>0.05</v>
      </c>
      <c r="AK46" s="10">
        <f t="shared" si="105"/>
        <v>6.0000000000000012E-2</v>
      </c>
      <c r="AL46" s="10">
        <f t="shared" si="105"/>
        <v>6.9999999999999979E-2</v>
      </c>
      <c r="AO46" t="s">
        <v>79</v>
      </c>
      <c r="AP46" s="6" t="s">
        <v>132</v>
      </c>
    </row>
    <row r="47" spans="2:156" x14ac:dyDescent="0.3">
      <c r="B47" t="s">
        <v>65</v>
      </c>
      <c r="G47" s="10">
        <f t="shared" ref="G47:H47" si="106">(G7-G14)/G7</f>
        <v>9.9999999999999978E-2</v>
      </c>
      <c r="H47" s="10">
        <f t="shared" si="106"/>
        <v>-0.41666666666666669</v>
      </c>
      <c r="I47" s="10">
        <f t="shared" ref="I47:J47" si="107">(I7-I14)/I7</f>
        <v>0.55102040816326525</v>
      </c>
      <c r="J47" s="10">
        <f t="shared" si="107"/>
        <v>0.54054054054054068</v>
      </c>
      <c r="K47" s="10">
        <f t="shared" si="100"/>
        <v>0.29166666666666669</v>
      </c>
      <c r="L47" s="10">
        <f t="shared" si="100"/>
        <v>0.52500000000000002</v>
      </c>
      <c r="M47" s="10">
        <f t="shared" ref="M47:N47" si="108">(M7-M14)/M7</f>
        <v>0.3636363636363637</v>
      </c>
      <c r="N47" s="10">
        <f t="shared" si="108"/>
        <v>0.74999999999999989</v>
      </c>
      <c r="O47" s="10">
        <f t="shared" ref="O47:R47" si="109">(O7-O14)/O7</f>
        <v>0.5</v>
      </c>
      <c r="P47" s="10">
        <f t="shared" si="109"/>
        <v>0.75000000000000011</v>
      </c>
      <c r="Q47" s="10">
        <f t="shared" si="109"/>
        <v>0.5</v>
      </c>
      <c r="R47" s="10">
        <f t="shared" si="109"/>
        <v>0.5</v>
      </c>
      <c r="T47" s="10">
        <f t="shared" ref="T47:X47" si="110">(T7-T14)/T7</f>
        <v>0</v>
      </c>
      <c r="U47" s="10"/>
      <c r="V47" s="10">
        <f t="shared" si="110"/>
        <v>0</v>
      </c>
      <c r="W47" s="10">
        <f t="shared" si="110"/>
        <v>0</v>
      </c>
      <c r="X47" s="10">
        <f t="shared" si="110"/>
        <v>-0.49999999999999989</v>
      </c>
      <c r="Y47" s="10">
        <f t="shared" ref="Y47:Z47" si="111">(Y7-Y14)/Y7</f>
        <v>7.1428571428571341E-2</v>
      </c>
      <c r="Z47" s="10">
        <f t="shared" si="111"/>
        <v>0.3981481481481482</v>
      </c>
      <c r="AA47" s="10">
        <f t="shared" ref="AA47:AL47" si="112">(AA7-AA14)/AA7</f>
        <v>0.48113207547169812</v>
      </c>
      <c r="AB47" s="10">
        <f t="shared" si="112"/>
        <v>0.53333333333333333</v>
      </c>
      <c r="AC47" s="10">
        <f t="shared" si="112"/>
        <v>0.5</v>
      </c>
      <c r="AD47" s="10">
        <f t="shared" si="112"/>
        <v>0.5</v>
      </c>
      <c r="AE47" s="10">
        <f t="shared" si="112"/>
        <v>0.5</v>
      </c>
      <c r="AF47" s="10">
        <f t="shared" si="112"/>
        <v>0.5</v>
      </c>
      <c r="AG47" s="10">
        <f t="shared" si="112"/>
        <v>0.5</v>
      </c>
      <c r="AH47" s="10">
        <f t="shared" si="112"/>
        <v>0.5</v>
      </c>
      <c r="AI47" s="10">
        <f t="shared" si="112"/>
        <v>0.5</v>
      </c>
      <c r="AJ47" s="10">
        <f t="shared" si="112"/>
        <v>0.5</v>
      </c>
      <c r="AK47" s="10">
        <f t="shared" si="112"/>
        <v>0.5</v>
      </c>
      <c r="AL47" s="10">
        <f t="shared" si="112"/>
        <v>0.5</v>
      </c>
    </row>
    <row r="48" spans="2:156" s="1" customFormat="1" x14ac:dyDescent="0.3">
      <c r="B48" s="1" t="s">
        <v>68</v>
      </c>
      <c r="G48" s="11">
        <f t="shared" ref="G48:H48" si="113">G16/G8</f>
        <v>-0.33016175071360598</v>
      </c>
      <c r="H48" s="11">
        <f t="shared" si="113"/>
        <v>-0.30015372790161426</v>
      </c>
      <c r="I48" s="11">
        <f t="shared" ref="I48:J48" si="114">I16/I8</f>
        <v>-0.69366197183098577</v>
      </c>
      <c r="J48" s="11">
        <f t="shared" si="114"/>
        <v>-1.0018018018018027</v>
      </c>
      <c r="K48" s="11">
        <f>K16/K8</f>
        <v>-1.3216957605985038</v>
      </c>
      <c r="L48" s="11">
        <f>L16/L8</f>
        <v>-0.91492329149232887</v>
      </c>
      <c r="M48" s="11">
        <f t="shared" ref="M48:N48" si="115">M16/M8</f>
        <v>-0.57570523891767422</v>
      </c>
      <c r="N48" s="11">
        <f t="shared" si="115"/>
        <v>-1.2257053291536055</v>
      </c>
      <c r="O48" s="11">
        <f t="shared" ref="O48:R48" si="116">O16/O8</f>
        <v>-0.55272999252056843</v>
      </c>
      <c r="P48" s="11">
        <f t="shared" si="116"/>
        <v>-0.30747126436781608</v>
      </c>
      <c r="Q48" s="11">
        <f t="shared" si="116"/>
        <v>-0.37330407403873672</v>
      </c>
      <c r="R48" s="11">
        <f t="shared" si="116"/>
        <v>-0.55662402820466439</v>
      </c>
      <c r="T48" s="11">
        <f t="shared" ref="T48:X48" si="117">T16/T8</f>
        <v>-0.27944111776447089</v>
      </c>
      <c r="U48" s="11">
        <f t="shared" si="117"/>
        <v>1.5455065827132323E-2</v>
      </c>
      <c r="V48" s="11">
        <f t="shared" si="117"/>
        <v>0.12114633087277456</v>
      </c>
      <c r="W48" s="11">
        <f t="shared" si="117"/>
        <v>5.0310825294748129</v>
      </c>
      <c r="X48" s="11">
        <f t="shared" si="117"/>
        <v>-0.34096337579617847</v>
      </c>
      <c r="Y48" s="11">
        <f>Y16/Y8</f>
        <v>-0.27730253778157971</v>
      </c>
      <c r="Z48" s="11">
        <f>Z16/Z8</f>
        <v>-0.56979353680430866</v>
      </c>
      <c r="AA48" s="11">
        <f>AA16/AA8</f>
        <v>-0.99363867684478369</v>
      </c>
      <c r="AB48" s="11">
        <f t="shared" ref="AB48:AL48" si="118">AB16/AB8</f>
        <v>-0.44518996425476615</v>
      </c>
      <c r="AC48" s="11">
        <f t="shared" si="118"/>
        <v>-6.7262573442148199E-2</v>
      </c>
      <c r="AD48" s="11">
        <f t="shared" si="118"/>
        <v>9.2755782564947931E-2</v>
      </c>
      <c r="AE48" s="11">
        <f t="shared" si="118"/>
        <v>0.20445095702391333</v>
      </c>
      <c r="AF48" s="11">
        <f t="shared" si="118"/>
        <v>0.23564216097274335</v>
      </c>
      <c r="AG48" s="11">
        <f t="shared" si="118"/>
        <v>0.25568560239996702</v>
      </c>
      <c r="AH48" s="11">
        <f t="shared" si="118"/>
        <v>0.27081397191974643</v>
      </c>
      <c r="AI48" s="11">
        <f t="shared" si="118"/>
        <v>0.28229534843743082</v>
      </c>
      <c r="AJ48" s="11">
        <f t="shared" si="118"/>
        <v>0.29062663938634836</v>
      </c>
      <c r="AK48" s="11">
        <f t="shared" si="118"/>
        <v>0.29768712664346259</v>
      </c>
      <c r="AL48" s="11">
        <f t="shared" si="118"/>
        <v>0.30431648748648765</v>
      </c>
    </row>
    <row r="49" spans="2:38" x14ac:dyDescent="0.3">
      <c r="B49" t="s">
        <v>66</v>
      </c>
      <c r="G49" s="10"/>
      <c r="H49" s="10"/>
      <c r="I49" s="10"/>
      <c r="J49" s="10"/>
      <c r="K49" s="10">
        <f>K17/G17-1</f>
        <v>-4.5283018867924518E-2</v>
      </c>
      <c r="L49" s="10">
        <f>L17/H17-1</f>
        <v>-0.35494880546075092</v>
      </c>
      <c r="M49" s="10">
        <f t="shared" ref="M49:N49" si="119">M17/I17-1</f>
        <v>-0.28880866425992779</v>
      </c>
      <c r="N49" s="10">
        <f t="shared" si="119"/>
        <v>-0.5596026490066226</v>
      </c>
      <c r="O49" s="10">
        <f t="shared" ref="O49:O50" si="120">O17/K17-1</f>
        <v>-0.31225296442687756</v>
      </c>
      <c r="P49" s="10">
        <f t="shared" ref="P49:P50" si="121">P17/L17-1</f>
        <v>-0.35449735449735453</v>
      </c>
      <c r="Q49" s="10">
        <f t="shared" ref="Q49:Q50" si="122">Q17/M17-1</f>
        <v>3.0000000000000027E-2</v>
      </c>
      <c r="R49" s="10">
        <f t="shared" ref="R49:R50" si="123">R17/N17-1</f>
        <v>0.10000000000000009</v>
      </c>
      <c r="T49" s="10"/>
      <c r="U49" s="10">
        <f t="shared" ref="U49:U50" si="124">U17/T17-1</f>
        <v>0.1811846689895471</v>
      </c>
      <c r="V49" s="10">
        <f t="shared" ref="V49:V50" si="125">V17/U17-1</f>
        <v>-5.8997050147491237E-3</v>
      </c>
      <c r="W49" s="10">
        <f t="shared" ref="W49:W50" si="126">W17/V17-1</f>
        <v>-0.17507418397626118</v>
      </c>
      <c r="X49" s="10">
        <f t="shared" ref="X49:X50" si="127">X17/W17-1</f>
        <v>1.3309352517985609</v>
      </c>
      <c r="Y49" s="10">
        <f t="shared" ref="Y49:AA50" si="128">Y17/X17-1</f>
        <v>0.53703703703703698</v>
      </c>
      <c r="Z49" s="10">
        <f t="shared" si="128"/>
        <v>0.14156626506024095</v>
      </c>
      <c r="AA49" s="10">
        <f t="shared" si="128"/>
        <v>-0.32102022867194369</v>
      </c>
      <c r="AB49" s="10">
        <f t="shared" ref="AB49:AB50" si="129">AB17/AA17-1</f>
        <v>-0.16423575129533685</v>
      </c>
      <c r="AC49" s="10">
        <f t="shared" ref="AC49:AC50" si="130">AC17/AB17-1</f>
        <v>5.0000000000000044E-2</v>
      </c>
      <c r="AD49" s="10">
        <f t="shared" ref="AD49:AD50" si="131">AD17/AC17-1</f>
        <v>4.0000000000000036E-2</v>
      </c>
      <c r="AE49" s="10">
        <f t="shared" ref="AE49:AE50" si="132">AE17/AD17-1</f>
        <v>3.0000000000000027E-2</v>
      </c>
      <c r="AF49" s="10">
        <f t="shared" ref="AF49:AF50" si="133">AF17/AE17-1</f>
        <v>3.0000000000000027E-2</v>
      </c>
      <c r="AG49" s="10">
        <f t="shared" ref="AG49:AG50" si="134">AG17/AF17-1</f>
        <v>3.0000000000000027E-2</v>
      </c>
      <c r="AH49" s="10">
        <f t="shared" ref="AH49:AH50" si="135">AH17/AG17-1</f>
        <v>3.0000000000000027E-2</v>
      </c>
      <c r="AI49" s="10">
        <f t="shared" ref="AI49:AI50" si="136">AI17/AH17-1</f>
        <v>3.0000000000000027E-2</v>
      </c>
      <c r="AJ49" s="10">
        <f t="shared" ref="AJ49:AJ50" si="137">AJ17/AI17-1</f>
        <v>3.0000000000000027E-2</v>
      </c>
      <c r="AK49" s="10">
        <f t="shared" ref="AK49:AK50" si="138">AK17/AJ17-1</f>
        <v>3.0000000000000027E-2</v>
      </c>
      <c r="AL49" s="10">
        <f t="shared" ref="AL49:AL50" si="139">AL17/AK17-1</f>
        <v>3.0000000000000027E-2</v>
      </c>
    </row>
    <row r="50" spans="2:38" x14ac:dyDescent="0.3">
      <c r="B50" t="s">
        <v>67</v>
      </c>
      <c r="G50" s="10"/>
      <c r="H50" s="10"/>
      <c r="I50" s="10"/>
      <c r="J50" s="10"/>
      <c r="K50" s="10">
        <f>K18/G18-1</f>
        <v>-0.25</v>
      </c>
      <c r="L50" s="10">
        <f>L18/H18-1</f>
        <v>-0.15909090909090917</v>
      </c>
      <c r="M50" s="10">
        <f t="shared" ref="M50:N50" si="140">M18/I18-1</f>
        <v>-0.1317535545023697</v>
      </c>
      <c r="N50" s="10">
        <f t="shared" si="140"/>
        <v>8.5867620751341578E-2</v>
      </c>
      <c r="O50" s="10">
        <f t="shared" si="120"/>
        <v>3.589743589743577E-2</v>
      </c>
      <c r="P50" s="10">
        <f t="shared" si="121"/>
        <v>3.2902467685076431E-2</v>
      </c>
      <c r="Q50" s="10">
        <f t="shared" si="122"/>
        <v>1.0000000000000009E-2</v>
      </c>
      <c r="R50" s="10">
        <f t="shared" si="123"/>
        <v>1.0000000000000009E-2</v>
      </c>
      <c r="T50" s="10"/>
      <c r="U50" s="10">
        <f t="shared" si="124"/>
        <v>-0.15111111111111108</v>
      </c>
      <c r="V50" s="10">
        <f t="shared" si="125"/>
        <v>0.15968586387434547</v>
      </c>
      <c r="W50" s="10">
        <f t="shared" si="126"/>
        <v>0.79006772009029347</v>
      </c>
      <c r="X50" s="10">
        <f t="shared" si="127"/>
        <v>1.2686002522068098</v>
      </c>
      <c r="Y50" s="10">
        <f t="shared" si="128"/>
        <v>1.0227904391328515</v>
      </c>
      <c r="Z50" s="10">
        <f t="shared" si="128"/>
        <v>0.1610332508931025</v>
      </c>
      <c r="AA50" s="10">
        <f t="shared" si="128"/>
        <v>-0.10982248520710058</v>
      </c>
      <c r="AB50" s="10">
        <f t="shared" si="129"/>
        <v>2.0553044403084364E-2</v>
      </c>
      <c r="AC50" s="10">
        <f t="shared" si="130"/>
        <v>-1.0000000000000009E-2</v>
      </c>
      <c r="AD50" s="10">
        <f t="shared" si="131"/>
        <v>1.0000000000000009E-2</v>
      </c>
      <c r="AE50" s="10">
        <f t="shared" si="132"/>
        <v>1.0000000000000009E-2</v>
      </c>
      <c r="AF50" s="10">
        <f t="shared" si="133"/>
        <v>1.0000000000000009E-2</v>
      </c>
      <c r="AG50" s="10">
        <f t="shared" si="134"/>
        <v>1.0000000000000009E-2</v>
      </c>
      <c r="AH50" s="10">
        <f t="shared" si="135"/>
        <v>1.0000000000000009E-2</v>
      </c>
      <c r="AI50" s="10">
        <f t="shared" si="136"/>
        <v>1.0000000000000009E-2</v>
      </c>
      <c r="AJ50" s="10">
        <f t="shared" si="137"/>
        <v>1.0000000000000009E-2</v>
      </c>
      <c r="AK50" s="10">
        <f t="shared" si="138"/>
        <v>1.0000000000000009E-2</v>
      </c>
      <c r="AL50" s="10">
        <f t="shared" si="139"/>
        <v>1.0000000000000009E-2</v>
      </c>
    </row>
    <row r="51" spans="2:38" x14ac:dyDescent="0.3">
      <c r="B51" t="s">
        <v>69</v>
      </c>
      <c r="G51" s="10">
        <f t="shared" ref="G51:H51" si="141">G23/G8</f>
        <v>-0.99809705042816366</v>
      </c>
      <c r="H51" s="10">
        <f t="shared" si="141"/>
        <v>-0.8989239046887012</v>
      </c>
      <c r="I51" s="10">
        <f t="shared" ref="I51:J51" si="142">I23/I8</f>
        <v>-1.378269617706237</v>
      </c>
      <c r="J51" s="10">
        <f t="shared" si="142"/>
        <v>-2.8189189189189205</v>
      </c>
      <c r="K51" s="10">
        <f>K23/K8</f>
        <v>-2.1562759767248543</v>
      </c>
      <c r="L51" s="10">
        <f>L23/L8</f>
        <v>-1.7050209205020916</v>
      </c>
      <c r="M51" s="10">
        <f t="shared" ref="M51:N51" si="143">M23/M8</f>
        <v>-1.2440990213010938</v>
      </c>
      <c r="N51" s="10">
        <f t="shared" si="143"/>
        <v>-6.7910135841170334</v>
      </c>
      <c r="O51" s="10">
        <f t="shared" ref="O51:R51" si="144">O23/O8</f>
        <v>-1.3358264771877335</v>
      </c>
      <c r="P51" s="10">
        <f t="shared" si="144"/>
        <v>-1.0172413793103448</v>
      </c>
      <c r="Q51" s="10">
        <f t="shared" si="144"/>
        <v>-0.88760137391470273</v>
      </c>
      <c r="R51" s="10">
        <f t="shared" si="144"/>
        <v>-1.1498440607485079</v>
      </c>
      <c r="T51" s="10">
        <f t="shared" ref="T51:X51" si="145">T23/T8</f>
        <v>-1.0149700598802394</v>
      </c>
      <c r="U51" s="10">
        <f t="shared" si="145"/>
        <v>-0.39725243274184296</v>
      </c>
      <c r="V51" s="10">
        <f t="shared" si="145"/>
        <v>-0.21754233608336962</v>
      </c>
      <c r="W51" s="10">
        <f t="shared" si="145"/>
        <v>6.2604501607717049</v>
      </c>
      <c r="X51" s="10">
        <f t="shared" si="145"/>
        <v>-0.87062101910828038</v>
      </c>
      <c r="Y51" s="10">
        <f>Y23/Y8</f>
        <v>-0.96906187624750506</v>
      </c>
      <c r="Z51" s="10">
        <f>Z23/Z8</f>
        <v>-1.5075179533213643</v>
      </c>
      <c r="AA51" s="10">
        <f>AA23/AA8</f>
        <v>-3.2121501272264634</v>
      </c>
      <c r="AB51" s="10">
        <f t="shared" ref="AB51:AL51" si="146">AB23/AB8</f>
        <v>-1.0778413399046796</v>
      </c>
      <c r="AC51" s="10">
        <f t="shared" si="146"/>
        <v>-0.51929997309413889</v>
      </c>
      <c r="AD51" s="10">
        <f t="shared" si="146"/>
        <v>-0.27242641072944629</v>
      </c>
      <c r="AE51" s="10">
        <f t="shared" si="146"/>
        <v>-0.10978697225410025</v>
      </c>
      <c r="AF51" s="10">
        <f t="shared" si="146"/>
        <v>-5.4977559941106535E-2</v>
      </c>
      <c r="AG51" s="10">
        <f t="shared" si="146"/>
        <v>-1.4635314236855903E-2</v>
      </c>
      <c r="AH51" s="10">
        <f t="shared" si="146"/>
        <v>1.8449306469531624E-2</v>
      </c>
      <c r="AI51" s="10">
        <f t="shared" si="146"/>
        <v>4.6470999213924218E-2</v>
      </c>
      <c r="AJ51" s="10">
        <f t="shared" si="146"/>
        <v>7.0424742352209233E-2</v>
      </c>
      <c r="AK51" s="10">
        <f t="shared" si="146"/>
        <v>9.2220401747569555E-2</v>
      </c>
      <c r="AL51" s="10">
        <f t="shared" si="146"/>
        <v>0.11272972594895288</v>
      </c>
    </row>
    <row r="52" spans="2:38" x14ac:dyDescent="0.3">
      <c r="B52" t="s">
        <v>51</v>
      </c>
      <c r="G52" s="10">
        <f t="shared" ref="G52:H52" si="147">G32/G31</f>
        <v>6.2530062530062542E-3</v>
      </c>
      <c r="H52" s="10">
        <f t="shared" si="147"/>
        <v>3.7926675094816682E-3</v>
      </c>
      <c r="I52" s="10">
        <f t="shared" ref="I52:J52" si="148">I32/I31</f>
        <v>1.6313779937521696E-2</v>
      </c>
      <c r="J52" s="10">
        <f t="shared" si="148"/>
        <v>7.7772592938248574E-4</v>
      </c>
      <c r="K52" s="10">
        <f>K32/K31</f>
        <v>-6.7681895093062606E-4</v>
      </c>
      <c r="L52" s="10">
        <f>L32/L31</f>
        <v>1.5238095238095243E-3</v>
      </c>
      <c r="M52" s="10">
        <f t="shared" ref="M52:N52" si="149">M32/M31</f>
        <v>-4.7393364928909954E-4</v>
      </c>
      <c r="N52" s="10">
        <f t="shared" si="149"/>
        <v>1.9423278051695803E-3</v>
      </c>
      <c r="O52" s="10">
        <f t="shared" ref="O52:R52" si="150">O32/O31</f>
        <v>0</v>
      </c>
      <c r="P52" s="10">
        <f t="shared" si="150"/>
        <v>0</v>
      </c>
      <c r="Q52" s="10">
        <f t="shared" si="150"/>
        <v>0</v>
      </c>
      <c r="R52" s="10">
        <f t="shared" si="150"/>
        <v>0</v>
      </c>
      <c r="T52" s="10">
        <f t="shared" ref="T52:X52" si="151">T32/T31</f>
        <v>0</v>
      </c>
      <c r="U52" s="10">
        <f t="shared" si="151"/>
        <v>0.10550458715596332</v>
      </c>
      <c r="V52" s="10">
        <f t="shared" si="151"/>
        <v>0</v>
      </c>
      <c r="W52" s="10">
        <f t="shared" si="151"/>
        <v>4.9138481174218249E-2</v>
      </c>
      <c r="X52" s="10">
        <f t="shared" si="151"/>
        <v>3.4012177199244167E-2</v>
      </c>
      <c r="Y52" s="10">
        <f>Y32/Y31</f>
        <v>-1.1060417530761786E-3</v>
      </c>
      <c r="Z52" s="10">
        <f>Z32/Z31</f>
        <v>5.3771254178171775E-3</v>
      </c>
      <c r="AA52" s="10">
        <f>AA32/AA31</f>
        <v>1.2810780034162082E-3</v>
      </c>
      <c r="AB52" s="10">
        <f t="shared" ref="AB52:AL52" si="152">AB32/AB31</f>
        <v>0</v>
      </c>
      <c r="AC52" s="10">
        <f t="shared" si="152"/>
        <v>0.1</v>
      </c>
      <c r="AD52" s="10">
        <f t="shared" si="152"/>
        <v>0.1</v>
      </c>
      <c r="AE52" s="10">
        <f t="shared" si="152"/>
        <v>0.10000000000000002</v>
      </c>
      <c r="AF52" s="10">
        <f t="shared" si="152"/>
        <v>0.1</v>
      </c>
      <c r="AG52" s="10">
        <f t="shared" si="152"/>
        <v>0.1</v>
      </c>
      <c r="AH52" s="10">
        <f t="shared" si="152"/>
        <v>0.1</v>
      </c>
      <c r="AI52" s="10">
        <f t="shared" si="152"/>
        <v>0.1</v>
      </c>
      <c r="AJ52" s="10">
        <f t="shared" si="152"/>
        <v>0.1</v>
      </c>
      <c r="AK52" s="10">
        <f t="shared" si="152"/>
        <v>0.1</v>
      </c>
      <c r="AL52" s="10">
        <f t="shared" si="152"/>
        <v>0.1</v>
      </c>
    </row>
    <row r="53" spans="2:38" x14ac:dyDescent="0.3">
      <c r="B53" t="s">
        <v>70</v>
      </c>
      <c r="G53" s="10">
        <f t="shared" ref="G53:H53" si="153">G33/G8</f>
        <v>-0.9828734538534728</v>
      </c>
      <c r="H53" s="10">
        <f t="shared" si="153"/>
        <v>-0.90853189853958516</v>
      </c>
      <c r="I53" s="10">
        <f t="shared" ref="I53:J53" si="154">I33/I8</f>
        <v>-1.4255533199195169</v>
      </c>
      <c r="J53" s="10">
        <f t="shared" si="154"/>
        <v>-2.8936936936936952</v>
      </c>
      <c r="K53" s="10">
        <f>K33/K8</f>
        <v>-2.4580216126350791</v>
      </c>
      <c r="L53" s="10">
        <f>L33/L8</f>
        <v>-1.827754532775453</v>
      </c>
      <c r="M53" s="10">
        <f t="shared" ref="M53:N53" si="155">M33/M8</f>
        <v>-1.2153137593552101</v>
      </c>
      <c r="N53" s="10">
        <f t="shared" si="155"/>
        <v>-6.9801462904911187</v>
      </c>
      <c r="O53" s="10">
        <f t="shared" ref="O53:R53" si="156">O33/O8</f>
        <v>-1.4734480179506355</v>
      </c>
      <c r="P53" s="10">
        <f t="shared" si="156"/>
        <v>-1.3155172413793104</v>
      </c>
      <c r="Q53" s="10">
        <f t="shared" si="156"/>
        <v>-0.99255319148936172</v>
      </c>
      <c r="R53" s="10">
        <f t="shared" si="156"/>
        <v>-1.249283583438799</v>
      </c>
      <c r="T53" s="10">
        <f t="shared" ref="T53:X53" si="157">T33/T8</f>
        <v>-1.2674650698602792</v>
      </c>
      <c r="U53" s="10">
        <f t="shared" si="157"/>
        <v>-0.44647967945048633</v>
      </c>
      <c r="V53" s="10">
        <f t="shared" si="157"/>
        <v>-0.37125488493269665</v>
      </c>
      <c r="W53" s="10">
        <f t="shared" si="157"/>
        <v>6.3879957127545568</v>
      </c>
      <c r="X53" s="10">
        <f t="shared" si="157"/>
        <v>-0.91580414012738875</v>
      </c>
      <c r="Y53" s="10">
        <f>Y33/Y8</f>
        <v>-1.0323638437410894</v>
      </c>
      <c r="Z53" s="10">
        <f>Z33/Z8</f>
        <v>-1.5359066427289048</v>
      </c>
      <c r="AA53" s="10">
        <f>AA33/AA8</f>
        <v>-3.3474872773536899</v>
      </c>
      <c r="AB53" s="10">
        <f t="shared" ref="AB53:AL53" si="158">AB33/AB8</f>
        <v>-1.2326019551559793</v>
      </c>
      <c r="AC53" s="10">
        <f t="shared" si="158"/>
        <v>-0.51359798100032272</v>
      </c>
      <c r="AD53" s="10">
        <f t="shared" si="158"/>
        <v>-0.28248802042216276</v>
      </c>
      <c r="AE53" s="10">
        <f t="shared" si="158"/>
        <v>-0.13091661767515736</v>
      </c>
      <c r="AF53" s="10">
        <f t="shared" si="158"/>
        <v>-7.9179301906536576E-2</v>
      </c>
      <c r="AG53" s="10">
        <f t="shared" si="158"/>
        <v>-4.0798016720502553E-2</v>
      </c>
      <c r="AH53" s="10">
        <f t="shared" si="158"/>
        <v>-9.1850048226410578E-3</v>
      </c>
      <c r="AI53" s="10">
        <f t="shared" si="158"/>
        <v>1.7729133529749228E-2</v>
      </c>
      <c r="AJ53" s="10">
        <f t="shared" si="158"/>
        <v>4.0890312827577859E-2</v>
      </c>
      <c r="AK53" s="10">
        <f t="shared" si="158"/>
        <v>6.202011707273946E-2</v>
      </c>
      <c r="AL53" s="10">
        <f t="shared" si="158"/>
        <v>8.1906021771697424E-2</v>
      </c>
    </row>
    <row r="55" spans="2:38" s="1" customFormat="1" x14ac:dyDescent="0.3">
      <c r="B55" s="1" t="s">
        <v>74</v>
      </c>
      <c r="J55" s="9">
        <f t="shared" ref="J55:P55" si="159">J56+J62+J70-J79-J80-J81-J87-J88-J89</f>
        <v>665.39999999999986</v>
      </c>
      <c r="K55" s="9">
        <f t="shared" si="159"/>
        <v>671.39999999999986</v>
      </c>
      <c r="L55" s="9">
        <f t="shared" si="159"/>
        <v>571.20000000000005</v>
      </c>
      <c r="M55" s="9">
        <f t="shared" si="159"/>
        <v>518.40000000000009</v>
      </c>
      <c r="N55" s="9">
        <f t="shared" si="159"/>
        <v>396.60000000000014</v>
      </c>
      <c r="O55" s="9">
        <f t="shared" si="159"/>
        <v>514.69999999999982</v>
      </c>
      <c r="P55" s="9">
        <f t="shared" si="159"/>
        <v>267.40000000000003</v>
      </c>
      <c r="X55" s="9">
        <f>X56+X62+X70-X79-X80-X81-X87-X88-X89</f>
        <v>3959.099999999999</v>
      </c>
      <c r="Y55" s="9">
        <f>Y56+Y62+Y70-Y79-Y80-Y81-Y87-Y88-Y89</f>
        <v>2516.3000000000002</v>
      </c>
      <c r="Z55" s="9">
        <f>Z56+Z62+Z70-Z79-Z80-Z81-Z87-Z88-Z89</f>
        <v>665.39999999999986</v>
      </c>
      <c r="AA55" s="9">
        <f>AA56+AA62+AA70-AA79-AA80-AA81-AA87-AA88-AA89</f>
        <v>396.60000000000014</v>
      </c>
    </row>
    <row r="56" spans="2:38" x14ac:dyDescent="0.3">
      <c r="B56" t="s">
        <v>4</v>
      </c>
      <c r="J56" s="5">
        <f>135+216.6</f>
        <v>351.6</v>
      </c>
      <c r="K56" s="5">
        <f>172.9+219.6</f>
        <v>392.5</v>
      </c>
      <c r="L56" s="5">
        <f>62.5+222.8</f>
        <v>285.3</v>
      </c>
      <c r="M56" s="5">
        <f>93.9+216.8</f>
        <v>310.70000000000005</v>
      </c>
      <c r="N56" s="5">
        <f>205.7+198</f>
        <v>403.7</v>
      </c>
      <c r="O56" s="5">
        <f>295.8+196.1</f>
        <v>491.9</v>
      </c>
      <c r="P56" s="5">
        <f>140.7+195.4</f>
        <v>336.1</v>
      </c>
      <c r="X56" s="5">
        <f>2481.3+118.6+1240.3+148</f>
        <v>3988.2</v>
      </c>
      <c r="Y56" s="5">
        <f>690.6+159+1332.9+134.8</f>
        <v>2317.3000000000002</v>
      </c>
      <c r="Z56" s="5">
        <f>135+216.6</f>
        <v>351.6</v>
      </c>
      <c r="AA56" s="5">
        <f>205.7+198</f>
        <v>403.7</v>
      </c>
    </row>
    <row r="57" spans="2:38" x14ac:dyDescent="0.3">
      <c r="B57" t="s">
        <v>80</v>
      </c>
      <c r="J57" s="5">
        <v>243.8</v>
      </c>
      <c r="K57" s="5">
        <v>148.80000000000001</v>
      </c>
      <c r="L57" s="5">
        <v>189.9</v>
      </c>
      <c r="M57" s="5">
        <v>167.2</v>
      </c>
      <c r="N57" s="5">
        <v>157.19999999999999</v>
      </c>
      <c r="O57" s="5">
        <v>145</v>
      </c>
      <c r="P57" s="5">
        <v>138.69999999999999</v>
      </c>
      <c r="X57" s="5">
        <v>92.7</v>
      </c>
      <c r="Y57" s="5">
        <v>129.5</v>
      </c>
      <c r="Z57" s="5">
        <v>243.8</v>
      </c>
      <c r="AA57" s="5">
        <v>157.19999999999999</v>
      </c>
    </row>
    <row r="58" spans="2:38" x14ac:dyDescent="0.3">
      <c r="B58" t="s">
        <v>81</v>
      </c>
      <c r="J58" s="5">
        <v>961.3</v>
      </c>
      <c r="K58" s="5">
        <v>975.9</v>
      </c>
      <c r="L58" s="5">
        <v>939.5</v>
      </c>
      <c r="M58" s="5">
        <v>885.8</v>
      </c>
      <c r="N58" s="5">
        <v>682.6</v>
      </c>
      <c r="O58" s="5">
        <v>693.5</v>
      </c>
      <c r="P58" s="5">
        <v>643.9</v>
      </c>
      <c r="X58" s="5">
        <v>269.2</v>
      </c>
      <c r="Y58" s="5">
        <v>645.6</v>
      </c>
      <c r="Z58" s="5">
        <v>961.3</v>
      </c>
      <c r="AA58" s="5">
        <v>682.6</v>
      </c>
    </row>
    <row r="59" spans="2:38" x14ac:dyDescent="0.3">
      <c r="B59" t="s">
        <v>82</v>
      </c>
      <c r="J59" s="5">
        <v>126.2</v>
      </c>
      <c r="K59" s="5">
        <v>130</v>
      </c>
      <c r="L59" s="5">
        <v>132.9</v>
      </c>
      <c r="M59" s="5">
        <v>145.5</v>
      </c>
      <c r="N59" s="5">
        <v>94.1</v>
      </c>
      <c r="O59" s="5">
        <v>91.5</v>
      </c>
      <c r="P59" s="5">
        <v>97.7</v>
      </c>
      <c r="X59" s="5">
        <v>38.6</v>
      </c>
      <c r="Y59" s="5">
        <v>62.5</v>
      </c>
      <c r="Z59" s="5">
        <v>126.2</v>
      </c>
      <c r="AA59" s="5">
        <v>94.1</v>
      </c>
    </row>
    <row r="60" spans="2:38" x14ac:dyDescent="0.3">
      <c r="B60" t="s">
        <v>83</v>
      </c>
      <c r="J60" s="5">
        <v>104.1</v>
      </c>
      <c r="K60" s="5">
        <v>119.4</v>
      </c>
      <c r="L60" s="5">
        <v>124.9</v>
      </c>
      <c r="M60" s="5">
        <v>124.8</v>
      </c>
      <c r="N60" s="5">
        <v>139.80000000000001</v>
      </c>
      <c r="O60" s="5">
        <v>112.1</v>
      </c>
      <c r="P60" s="5">
        <v>113.4</v>
      </c>
      <c r="X60" s="5">
        <v>59.9</v>
      </c>
      <c r="Y60" s="5">
        <v>150.4</v>
      </c>
      <c r="Z60" s="5">
        <v>104.1</v>
      </c>
      <c r="AA60" s="5">
        <v>139.80000000000001</v>
      </c>
    </row>
    <row r="61" spans="2:38" s="1" customFormat="1" x14ac:dyDescent="0.3">
      <c r="B61" s="1" t="s">
        <v>97</v>
      </c>
      <c r="J61" s="9">
        <f t="shared" ref="J61:P61" si="160">SUM(J56:J60)</f>
        <v>1787</v>
      </c>
      <c r="K61" s="9">
        <f t="shared" si="160"/>
        <v>1766.6</v>
      </c>
      <c r="L61" s="9">
        <f t="shared" si="160"/>
        <v>1672.5000000000002</v>
      </c>
      <c r="M61" s="9">
        <f t="shared" si="160"/>
        <v>1634</v>
      </c>
      <c r="N61" s="9">
        <f t="shared" si="160"/>
        <v>1477.3999999999999</v>
      </c>
      <c r="O61" s="9">
        <f t="shared" si="160"/>
        <v>1534</v>
      </c>
      <c r="P61" s="9">
        <f t="shared" si="160"/>
        <v>1329.8000000000002</v>
      </c>
      <c r="X61" s="9">
        <f>SUM(X56:X60)</f>
        <v>4448.5999999999995</v>
      </c>
      <c r="Y61" s="9">
        <f>SUM(Y56:Y60)</f>
        <v>3305.3</v>
      </c>
      <c r="Z61" s="9">
        <f>SUM(Z56:Z60)</f>
        <v>1787</v>
      </c>
      <c r="AA61" s="9">
        <f>SUM(AA56:AA60)</f>
        <v>1477.3999999999999</v>
      </c>
    </row>
    <row r="62" spans="2:38" x14ac:dyDescent="0.3">
      <c r="B62" t="s">
        <v>4</v>
      </c>
      <c r="J62" s="5">
        <v>817.6</v>
      </c>
      <c r="K62" s="5">
        <v>775.6</v>
      </c>
      <c r="L62" s="5">
        <v>733.7</v>
      </c>
      <c r="M62" s="5">
        <v>689.4</v>
      </c>
      <c r="N62" s="5">
        <v>637</v>
      </c>
      <c r="O62" s="5">
        <v>584.70000000000005</v>
      </c>
      <c r="P62" s="5">
        <v>540.6</v>
      </c>
      <c r="X62" s="5">
        <v>532.29999999999995</v>
      </c>
      <c r="Y62" s="5">
        <v>699.8</v>
      </c>
      <c r="Z62" s="5">
        <v>817.6</v>
      </c>
      <c r="AA62" s="5">
        <v>637</v>
      </c>
    </row>
    <row r="63" spans="2:38" x14ac:dyDescent="0.3">
      <c r="B63" t="s">
        <v>84</v>
      </c>
      <c r="J63" s="5">
        <v>1436.2</v>
      </c>
      <c r="K63" s="5">
        <v>1454</v>
      </c>
      <c r="L63" s="5">
        <v>1509.7</v>
      </c>
      <c r="M63" s="5">
        <v>1534.1</v>
      </c>
      <c r="N63" s="5">
        <v>866.3</v>
      </c>
      <c r="O63" s="5">
        <v>879.9</v>
      </c>
      <c r="P63" s="5">
        <v>910.1</v>
      </c>
      <c r="X63" s="5">
        <v>255.6</v>
      </c>
      <c r="Y63" s="5">
        <v>719.8</v>
      </c>
      <c r="Z63" s="5">
        <v>1436.2</v>
      </c>
      <c r="AA63" s="5">
        <v>866.3</v>
      </c>
    </row>
    <row r="64" spans="2:38" x14ac:dyDescent="0.3">
      <c r="B64" t="s">
        <v>85</v>
      </c>
      <c r="J64" s="5">
        <v>57.3</v>
      </c>
      <c r="K64" s="5">
        <v>56.1</v>
      </c>
      <c r="L64" s="5">
        <v>54.7</v>
      </c>
      <c r="M64" s="5">
        <v>52.9</v>
      </c>
      <c r="N64" s="5">
        <v>51.8</v>
      </c>
      <c r="O64" s="5">
        <v>50.7</v>
      </c>
      <c r="P64" s="5">
        <v>55</v>
      </c>
      <c r="X64" s="5">
        <v>32.5</v>
      </c>
      <c r="Y64" s="5">
        <v>53.7</v>
      </c>
      <c r="Z64" s="5">
        <v>57.3</v>
      </c>
      <c r="AA64" s="5">
        <v>51.8</v>
      </c>
    </row>
    <row r="65" spans="2:27" x14ac:dyDescent="0.3">
      <c r="B65" t="s">
        <v>86</v>
      </c>
      <c r="J65" s="5">
        <v>400</v>
      </c>
      <c r="K65" s="5">
        <v>389.2</v>
      </c>
      <c r="L65" s="5">
        <v>376.1</v>
      </c>
      <c r="M65" s="5">
        <v>361</v>
      </c>
      <c r="N65" s="5">
        <v>218.1</v>
      </c>
      <c r="O65" s="5">
        <v>216.5</v>
      </c>
      <c r="P65" s="5">
        <v>215.3</v>
      </c>
      <c r="X65" s="5">
        <v>212.5</v>
      </c>
      <c r="Y65" s="5">
        <v>360.3</v>
      </c>
      <c r="Z65" s="5">
        <v>400</v>
      </c>
      <c r="AA65" s="5">
        <v>218.1</v>
      </c>
    </row>
    <row r="66" spans="2:27" x14ac:dyDescent="0.3">
      <c r="B66" t="s">
        <v>87</v>
      </c>
      <c r="J66" s="5">
        <v>111.3</v>
      </c>
      <c r="K66" s="5">
        <v>115.1</v>
      </c>
      <c r="L66" s="5">
        <v>117.3</v>
      </c>
      <c r="M66" s="5">
        <v>142.19999999999999</v>
      </c>
      <c r="N66" s="5">
        <v>144.1</v>
      </c>
      <c r="O66" s="5">
        <v>151.30000000000001</v>
      </c>
      <c r="P66" s="5">
        <v>129.5</v>
      </c>
      <c r="X66" s="5">
        <v>72.900000000000006</v>
      </c>
      <c r="Y66" s="5">
        <v>89.3</v>
      </c>
      <c r="Z66" s="5">
        <v>111.3</v>
      </c>
      <c r="AA66" s="5">
        <v>144.1</v>
      </c>
    </row>
    <row r="67" spans="2:27" x14ac:dyDescent="0.3">
      <c r="B67" t="s">
        <v>82</v>
      </c>
      <c r="J67" s="5">
        <v>29.7</v>
      </c>
      <c r="K67" s="5">
        <v>30.4</v>
      </c>
      <c r="L67" s="5">
        <v>29.5</v>
      </c>
      <c r="M67" s="5">
        <v>30.3</v>
      </c>
      <c r="N67" s="5">
        <v>24</v>
      </c>
      <c r="O67" s="5">
        <v>23.8</v>
      </c>
      <c r="P67" s="5">
        <v>23.1</v>
      </c>
      <c r="X67" s="5">
        <v>0.1</v>
      </c>
      <c r="Y67" s="5">
        <v>41.8</v>
      </c>
      <c r="Z67" s="5">
        <v>29.7</v>
      </c>
      <c r="AA67" s="5">
        <v>24</v>
      </c>
    </row>
    <row r="68" spans="2:27" x14ac:dyDescent="0.3">
      <c r="J68" s="5"/>
      <c r="K68" s="5"/>
      <c r="L68" s="5"/>
      <c r="M68" s="5"/>
      <c r="N68" s="5"/>
      <c r="O68" s="5"/>
      <c r="P68" s="5"/>
      <c r="X68" s="5">
        <v>220.4</v>
      </c>
      <c r="Y68" s="5">
        <v>248.6</v>
      </c>
      <c r="Z68" s="5"/>
      <c r="AA68" s="5"/>
    </row>
    <row r="69" spans="2:27" x14ac:dyDescent="0.3">
      <c r="B69" t="s">
        <v>88</v>
      </c>
      <c r="J69" s="5">
        <v>188.9</v>
      </c>
      <c r="K69" s="5">
        <v>183.3</v>
      </c>
      <c r="L69" s="5">
        <v>178.3</v>
      </c>
      <c r="M69" s="5">
        <v>175</v>
      </c>
      <c r="N69" s="5">
        <v>84.7</v>
      </c>
      <c r="O69" s="5">
        <v>82.8</v>
      </c>
      <c r="P69" s="5">
        <v>81</v>
      </c>
      <c r="X69" s="5">
        <v>158.19999999999999</v>
      </c>
      <c r="Y69" s="5">
        <v>207.7</v>
      </c>
      <c r="Z69" s="5">
        <v>188.9</v>
      </c>
      <c r="AA69" s="5">
        <v>84.7</v>
      </c>
    </row>
    <row r="70" spans="2:27" x14ac:dyDescent="0.3">
      <c r="B70" t="s">
        <v>40</v>
      </c>
      <c r="J70" s="5">
        <v>63.8</v>
      </c>
      <c r="K70" s="5">
        <v>66.7</v>
      </c>
      <c r="L70" s="5">
        <v>96.8</v>
      </c>
      <c r="M70" s="5">
        <v>92.8</v>
      </c>
      <c r="N70" s="5">
        <v>85.5</v>
      </c>
      <c r="O70" s="5">
        <v>85.1</v>
      </c>
      <c r="P70" s="5">
        <v>46.2</v>
      </c>
      <c r="X70" s="5">
        <v>12.9</v>
      </c>
      <c r="Y70" s="5">
        <v>31.3</v>
      </c>
      <c r="Z70" s="5">
        <v>63.8</v>
      </c>
      <c r="AA70" s="5">
        <v>85.5</v>
      </c>
    </row>
    <row r="71" spans="2:27" x14ac:dyDescent="0.3">
      <c r="B71" t="s">
        <v>89</v>
      </c>
      <c r="J71" s="5">
        <v>11.1</v>
      </c>
      <c r="K71" s="5">
        <v>10.3</v>
      </c>
      <c r="L71" s="5">
        <v>11.2</v>
      </c>
      <c r="M71" s="5">
        <v>13</v>
      </c>
      <c r="N71" s="5">
        <v>13.9</v>
      </c>
      <c r="O71" s="5">
        <v>24.8</v>
      </c>
      <c r="P71" s="5">
        <v>22.9</v>
      </c>
      <c r="X71" s="5">
        <v>4</v>
      </c>
      <c r="Y71" s="5">
        <v>6.7</v>
      </c>
      <c r="Z71" s="5">
        <v>11.1</v>
      </c>
      <c r="AA71" s="5">
        <v>13.9</v>
      </c>
    </row>
    <row r="72" spans="2:27" s="1" customFormat="1" x14ac:dyDescent="0.3">
      <c r="B72" s="1" t="s">
        <v>98</v>
      </c>
      <c r="J72" s="9">
        <f t="shared" ref="J72:P72" si="161">SUM(J62:J71)</f>
        <v>3115.9000000000005</v>
      </c>
      <c r="K72" s="9">
        <f t="shared" si="161"/>
        <v>3080.7</v>
      </c>
      <c r="L72" s="9">
        <f t="shared" si="161"/>
        <v>3107.3</v>
      </c>
      <c r="M72" s="9">
        <f t="shared" si="161"/>
        <v>3090.7000000000003</v>
      </c>
      <c r="N72" s="9">
        <f t="shared" si="161"/>
        <v>2125.4</v>
      </c>
      <c r="O72" s="9">
        <f t="shared" si="161"/>
        <v>2099.6</v>
      </c>
      <c r="P72" s="9">
        <f t="shared" si="161"/>
        <v>2023.7</v>
      </c>
      <c r="X72" s="9">
        <f>SUM(X62:X71)</f>
        <v>1501.4000000000003</v>
      </c>
      <c r="Y72" s="9">
        <f>SUM(Y62:Y71)</f>
        <v>2458.9999999999995</v>
      </c>
      <c r="Z72" s="9">
        <f>SUM(Z62:Z71)</f>
        <v>3115.9000000000005</v>
      </c>
      <c r="AA72" s="9">
        <f>SUM(AA62:AA71)</f>
        <v>2125.4</v>
      </c>
    </row>
    <row r="73" spans="2:27" s="1" customFormat="1" x14ac:dyDescent="0.3">
      <c r="B73" s="1" t="s">
        <v>104</v>
      </c>
      <c r="J73" s="12">
        <f t="shared" ref="J73:P73" si="162">J61+J72</f>
        <v>4902.9000000000005</v>
      </c>
      <c r="K73" s="12">
        <f t="shared" si="162"/>
        <v>4847.2999999999993</v>
      </c>
      <c r="L73" s="12">
        <f t="shared" si="162"/>
        <v>4779.8</v>
      </c>
      <c r="M73" s="12">
        <f t="shared" si="162"/>
        <v>4724.7000000000007</v>
      </c>
      <c r="N73" s="12">
        <f t="shared" si="162"/>
        <v>3602.8</v>
      </c>
      <c r="O73" s="12">
        <f t="shared" si="162"/>
        <v>3633.6</v>
      </c>
      <c r="P73" s="12">
        <f t="shared" si="162"/>
        <v>3353.5</v>
      </c>
      <c r="X73" s="12">
        <f>X61+X72</f>
        <v>5950</v>
      </c>
      <c r="Y73" s="12">
        <f>Y61+Y72</f>
        <v>5764.2999999999993</v>
      </c>
      <c r="Z73" s="12">
        <f>Z61+Z72</f>
        <v>4902.9000000000005</v>
      </c>
      <c r="AA73" s="12">
        <f>AA61+AA72</f>
        <v>3602.8</v>
      </c>
    </row>
    <row r="74" spans="2:27" x14ac:dyDescent="0.3">
      <c r="B74" t="s">
        <v>90</v>
      </c>
      <c r="J74" s="5">
        <v>257.8</v>
      </c>
      <c r="K74" s="5">
        <v>285.5</v>
      </c>
      <c r="L74" s="5">
        <v>253.7</v>
      </c>
      <c r="M74" s="5">
        <v>207.2</v>
      </c>
      <c r="N74" s="5">
        <v>181</v>
      </c>
      <c r="O74" s="5">
        <v>191.6</v>
      </c>
      <c r="P74" s="5">
        <v>152.1</v>
      </c>
      <c r="X74" s="5">
        <v>92.3</v>
      </c>
      <c r="Y74" s="5">
        <v>191.9</v>
      </c>
      <c r="Z74" s="5">
        <v>257.8</v>
      </c>
      <c r="AA74" s="5">
        <v>181</v>
      </c>
    </row>
    <row r="75" spans="2:27" x14ac:dyDescent="0.3">
      <c r="B75" t="s">
        <v>91</v>
      </c>
      <c r="J75" s="5">
        <v>200.5</v>
      </c>
      <c r="K75" s="5">
        <v>154.80000000000001</v>
      </c>
      <c r="L75" s="5">
        <v>112.6</v>
      </c>
      <c r="M75" s="5">
        <v>107.4</v>
      </c>
      <c r="N75" s="5">
        <v>103.1</v>
      </c>
      <c r="O75" s="5">
        <v>128.9</v>
      </c>
      <c r="P75" s="5">
        <v>105.2</v>
      </c>
      <c r="X75" s="5">
        <v>79.2</v>
      </c>
      <c r="Y75" s="5">
        <v>156.4</v>
      </c>
      <c r="Z75" s="5">
        <v>200.5</v>
      </c>
      <c r="AA75" s="5">
        <v>103.1</v>
      </c>
    </row>
    <row r="76" spans="2:27" x14ac:dyDescent="0.3">
      <c r="B76" t="s">
        <v>100</v>
      </c>
      <c r="J76" s="5">
        <v>204.1</v>
      </c>
      <c r="K76" s="5">
        <v>179.9</v>
      </c>
      <c r="L76" s="5">
        <v>174.8</v>
      </c>
      <c r="M76" s="5">
        <v>132.30000000000001</v>
      </c>
      <c r="N76" s="5">
        <v>144.1</v>
      </c>
      <c r="O76" s="5">
        <v>137.6</v>
      </c>
      <c r="P76" s="5">
        <v>107.1</v>
      </c>
      <c r="X76" s="5">
        <v>116.4</v>
      </c>
      <c r="Y76" s="5">
        <v>131.80000000000001</v>
      </c>
      <c r="Z76" s="5">
        <v>204.1</v>
      </c>
      <c r="AA76" s="5">
        <v>144.1</v>
      </c>
    </row>
    <row r="77" spans="2:27" x14ac:dyDescent="0.3">
      <c r="B77" t="s">
        <v>86</v>
      </c>
      <c r="J77" s="5">
        <v>63.7</v>
      </c>
      <c r="K77" s="5">
        <v>65.3</v>
      </c>
      <c r="L77" s="5">
        <v>66.400000000000006</v>
      </c>
      <c r="M77" s="5">
        <v>67</v>
      </c>
      <c r="N77" s="5">
        <v>71.3</v>
      </c>
      <c r="O77" s="5">
        <v>75.5</v>
      </c>
      <c r="P77" s="5">
        <v>72.5</v>
      </c>
      <c r="X77" s="5">
        <v>30.8</v>
      </c>
      <c r="Y77" s="5">
        <v>48.9</v>
      </c>
      <c r="Z77" s="5">
        <v>63.7</v>
      </c>
      <c r="AA77" s="5">
        <v>71.3</v>
      </c>
    </row>
    <row r="78" spans="2:27" x14ac:dyDescent="0.3">
      <c r="B78" t="s">
        <v>85</v>
      </c>
      <c r="J78" s="5">
        <v>9.4</v>
      </c>
      <c r="K78" s="5">
        <v>9.6</v>
      </c>
      <c r="L78" s="5">
        <v>10.199999999999999</v>
      </c>
      <c r="M78" s="5">
        <v>10.8</v>
      </c>
      <c r="N78" s="5">
        <v>12.8</v>
      </c>
      <c r="O78" s="5">
        <v>14.1</v>
      </c>
      <c r="P78" s="5">
        <v>14.1</v>
      </c>
      <c r="X78" s="5">
        <v>4.7</v>
      </c>
      <c r="Y78" s="5">
        <v>8.1</v>
      </c>
      <c r="Z78" s="5">
        <v>9.4</v>
      </c>
      <c r="AA78" s="5">
        <v>12.8</v>
      </c>
    </row>
    <row r="79" spans="2:27" x14ac:dyDescent="0.3">
      <c r="B79" t="s">
        <v>92</v>
      </c>
      <c r="J79" s="5">
        <v>84</v>
      </c>
      <c r="K79" s="5">
        <v>85.2</v>
      </c>
      <c r="L79" s="5">
        <v>85.6</v>
      </c>
      <c r="M79" s="5">
        <v>83.3</v>
      </c>
      <c r="N79" s="5">
        <v>83.1</v>
      </c>
      <c r="O79" s="5">
        <v>83</v>
      </c>
      <c r="P79" s="5">
        <v>81.400000000000006</v>
      </c>
      <c r="X79" s="5">
        <v>42</v>
      </c>
      <c r="Y79" s="5">
        <v>58.9</v>
      </c>
      <c r="Z79" s="5">
        <v>84</v>
      </c>
      <c r="AA79" s="5">
        <v>83.1</v>
      </c>
    </row>
    <row r="80" spans="2:27" x14ac:dyDescent="0.3">
      <c r="B80" t="s">
        <v>5</v>
      </c>
      <c r="J80" s="5">
        <v>0</v>
      </c>
      <c r="K80" s="5">
        <v>2.8</v>
      </c>
      <c r="L80" s="5"/>
      <c r="M80" s="5">
        <v>58.2</v>
      </c>
      <c r="N80" s="5">
        <v>58.3</v>
      </c>
      <c r="O80" s="5">
        <v>58.4</v>
      </c>
      <c r="P80" s="5">
        <v>145.30000000000001</v>
      </c>
      <c r="X80" s="5">
        <v>0</v>
      </c>
      <c r="Y80" s="5">
        <v>0</v>
      </c>
      <c r="Z80" s="5">
        <v>0</v>
      </c>
      <c r="AA80" s="5">
        <v>58.3</v>
      </c>
    </row>
    <row r="81" spans="2:27" x14ac:dyDescent="0.3">
      <c r="B81" t="s">
        <v>93</v>
      </c>
      <c r="J81" s="5">
        <v>2.7</v>
      </c>
      <c r="L81" s="5">
        <v>3</v>
      </c>
      <c r="M81" s="5">
        <v>3.2</v>
      </c>
      <c r="N81" s="5">
        <v>0.9</v>
      </c>
      <c r="O81" s="5">
        <v>0.9</v>
      </c>
      <c r="P81" s="5">
        <v>64.900000000000006</v>
      </c>
      <c r="X81" s="5">
        <v>15.3</v>
      </c>
      <c r="Y81" s="5">
        <v>5.0999999999999996</v>
      </c>
      <c r="Z81" s="5">
        <v>2.7</v>
      </c>
      <c r="AA81" s="5">
        <v>0.9</v>
      </c>
    </row>
    <row r="82" spans="2:27" x14ac:dyDescent="0.3">
      <c r="B82" t="s">
        <v>102</v>
      </c>
      <c r="J82" s="5">
        <v>142.4</v>
      </c>
      <c r="K82" s="5">
        <v>128.4</v>
      </c>
      <c r="L82" s="5">
        <v>103.2</v>
      </c>
      <c r="M82" s="5">
        <v>117.5</v>
      </c>
      <c r="N82" s="5">
        <v>93.9</v>
      </c>
      <c r="O82" s="5">
        <v>98.4</v>
      </c>
      <c r="P82" s="5">
        <v>93.2</v>
      </c>
      <c r="X82" s="5">
        <v>39.799999999999997</v>
      </c>
      <c r="Y82" s="5">
        <v>34.1</v>
      </c>
      <c r="Z82" s="5">
        <v>142.4</v>
      </c>
      <c r="AA82" s="5">
        <v>93.9</v>
      </c>
    </row>
    <row r="83" spans="2:27" s="1" customFormat="1" x14ac:dyDescent="0.3">
      <c r="B83" s="1" t="s">
        <v>99</v>
      </c>
      <c r="J83" s="9">
        <f t="shared" ref="J83:P83" si="163">SUM(J74:J82)</f>
        <v>964.6</v>
      </c>
      <c r="K83" s="9">
        <f t="shared" si="163"/>
        <v>911.5</v>
      </c>
      <c r="L83" s="9">
        <f t="shared" si="163"/>
        <v>809.5</v>
      </c>
      <c r="M83" s="9">
        <f t="shared" si="163"/>
        <v>786.90000000000009</v>
      </c>
      <c r="N83" s="9">
        <f t="shared" si="163"/>
        <v>748.5</v>
      </c>
      <c r="O83" s="9">
        <f t="shared" si="163"/>
        <v>788.4</v>
      </c>
      <c r="P83" s="9">
        <f t="shared" si="163"/>
        <v>835.80000000000007</v>
      </c>
      <c r="X83" s="9">
        <f>SUM(X74:X82)</f>
        <v>420.5</v>
      </c>
      <c r="Y83" s="9">
        <f>SUM(Y74:Y82)</f>
        <v>635.20000000000005</v>
      </c>
      <c r="Z83" s="9">
        <f>SUM(Z74:Z82)</f>
        <v>964.6</v>
      </c>
      <c r="AA83" s="9">
        <f>SUM(AA74:AA82)</f>
        <v>748.5</v>
      </c>
    </row>
    <row r="84" spans="2:27" s="1" customFormat="1" x14ac:dyDescent="0.3">
      <c r="B84" t="s">
        <v>100</v>
      </c>
      <c r="J84" s="5">
        <v>84.2</v>
      </c>
      <c r="K84" s="5">
        <v>75.900000000000006</v>
      </c>
      <c r="L84" s="5">
        <v>71</v>
      </c>
      <c r="M84" s="5">
        <v>59.5</v>
      </c>
      <c r="N84" s="5">
        <v>58.5</v>
      </c>
      <c r="O84" s="5">
        <v>43.4</v>
      </c>
      <c r="P84" s="5">
        <v>40.6</v>
      </c>
      <c r="X84" s="5">
        <v>66.7</v>
      </c>
      <c r="Y84" s="5">
        <v>98.1</v>
      </c>
      <c r="Z84" s="5">
        <v>84.2</v>
      </c>
      <c r="AA84" s="5">
        <v>58.5</v>
      </c>
    </row>
    <row r="85" spans="2:27" s="1" customFormat="1" x14ac:dyDescent="0.3">
      <c r="B85" t="s">
        <v>86</v>
      </c>
      <c r="J85" s="5">
        <v>292</v>
      </c>
      <c r="K85" s="5">
        <v>278.2</v>
      </c>
      <c r="L85" s="5">
        <v>264.3</v>
      </c>
      <c r="M85" s="5">
        <v>249.2</v>
      </c>
      <c r="N85" s="5">
        <v>242.1</v>
      </c>
      <c r="O85" s="5">
        <v>231</v>
      </c>
      <c r="P85" s="5">
        <v>227.3</v>
      </c>
      <c r="X85" s="5">
        <v>175.6</v>
      </c>
      <c r="Y85" s="5">
        <v>271.5</v>
      </c>
      <c r="Z85" s="5">
        <v>292</v>
      </c>
      <c r="AA85" s="5">
        <v>242.1</v>
      </c>
    </row>
    <row r="86" spans="2:27" s="1" customFormat="1" x14ac:dyDescent="0.3">
      <c r="B86" t="s">
        <v>85</v>
      </c>
      <c r="J86" s="5">
        <v>36.1</v>
      </c>
      <c r="K86" s="5">
        <v>33.700000000000003</v>
      </c>
      <c r="L86" s="5">
        <v>30.6</v>
      </c>
      <c r="M86" s="5">
        <v>27.1</v>
      </c>
      <c r="N86" s="5">
        <v>22.8</v>
      </c>
      <c r="O86" s="5">
        <v>19.100000000000001</v>
      </c>
      <c r="P86" s="5">
        <v>22.5</v>
      </c>
      <c r="X86" s="5">
        <v>24.6</v>
      </c>
      <c r="Y86" s="5">
        <v>38</v>
      </c>
      <c r="Z86" s="5">
        <v>36.1</v>
      </c>
      <c r="AA86" s="5">
        <v>22.8</v>
      </c>
    </row>
    <row r="87" spans="2:27" s="1" customFormat="1" x14ac:dyDescent="0.3">
      <c r="B87" t="s">
        <v>92</v>
      </c>
      <c r="J87" s="5">
        <v>284.39999999999998</v>
      </c>
      <c r="K87" s="5">
        <v>264.60000000000002</v>
      </c>
      <c r="L87" s="5">
        <v>245</v>
      </c>
      <c r="M87" s="5">
        <v>278.3</v>
      </c>
      <c r="N87" s="5">
        <v>264.3</v>
      </c>
      <c r="O87" s="5">
        <v>247.7</v>
      </c>
      <c r="P87" s="5">
        <v>228.6</v>
      </c>
      <c r="X87" s="5">
        <v>211.6</v>
      </c>
      <c r="Y87" s="5">
        <v>270.3</v>
      </c>
      <c r="Z87" s="5">
        <v>284.39999999999998</v>
      </c>
      <c r="AA87" s="5">
        <v>264.3</v>
      </c>
    </row>
    <row r="88" spans="2:27" s="1" customFormat="1" x14ac:dyDescent="0.3">
      <c r="B88" t="s">
        <v>5</v>
      </c>
      <c r="J88" s="5">
        <v>195.3</v>
      </c>
      <c r="K88" s="5">
        <v>209.8</v>
      </c>
      <c r="L88" s="5">
        <v>208.6</v>
      </c>
      <c r="M88" s="5">
        <v>149.19999999999999</v>
      </c>
      <c r="N88" s="5">
        <v>321.10000000000002</v>
      </c>
      <c r="O88" s="5">
        <v>255.3</v>
      </c>
      <c r="P88" s="5">
        <v>0</v>
      </c>
      <c r="X88" s="5">
        <v>192.6</v>
      </c>
      <c r="Y88" s="5">
        <v>193.9</v>
      </c>
      <c r="Z88" s="5">
        <v>195.3</v>
      </c>
      <c r="AA88" s="5">
        <v>321.10000000000002</v>
      </c>
    </row>
    <row r="89" spans="2:27" s="1" customFormat="1" x14ac:dyDescent="0.3">
      <c r="B89" t="s">
        <v>93</v>
      </c>
      <c r="J89" s="5">
        <v>1.2</v>
      </c>
      <c r="K89" s="5">
        <v>1</v>
      </c>
      <c r="L89" s="5">
        <v>2.4</v>
      </c>
      <c r="M89" s="5">
        <v>2.2999999999999998</v>
      </c>
      <c r="N89" s="5">
        <v>1.9</v>
      </c>
      <c r="O89" s="5">
        <v>1.7</v>
      </c>
      <c r="P89" s="5">
        <v>135.30000000000001</v>
      </c>
      <c r="X89" s="5">
        <v>112.8</v>
      </c>
      <c r="Y89" s="5">
        <v>3.9</v>
      </c>
      <c r="Z89" s="5">
        <v>1.2</v>
      </c>
      <c r="AA89" s="5">
        <v>1.9</v>
      </c>
    </row>
    <row r="90" spans="2:27" s="1" customFormat="1" x14ac:dyDescent="0.3">
      <c r="B90" t="s">
        <v>103</v>
      </c>
      <c r="J90" s="5">
        <v>146.69999999999999</v>
      </c>
      <c r="K90" s="5">
        <v>143.5</v>
      </c>
      <c r="L90" s="5">
        <v>159.80000000000001</v>
      </c>
      <c r="M90" s="5">
        <v>142.9</v>
      </c>
      <c r="N90" s="5">
        <v>135.80000000000001</v>
      </c>
      <c r="O90" s="5">
        <v>114.3</v>
      </c>
      <c r="P90" s="5">
        <v>99.7</v>
      </c>
      <c r="X90" s="5">
        <v>139.80000000000001</v>
      </c>
      <c r="Y90" s="5">
        <v>193.1</v>
      </c>
      <c r="Z90" s="5">
        <v>146.69999999999999</v>
      </c>
      <c r="AA90" s="5">
        <v>135.80000000000001</v>
      </c>
    </row>
    <row r="91" spans="2:27" s="1" customFormat="1" x14ac:dyDescent="0.3">
      <c r="B91" s="1" t="s">
        <v>101</v>
      </c>
      <c r="J91" s="9">
        <f t="shared" ref="J91:P91" si="164">SUM(J84:J90)</f>
        <v>1039.9000000000001</v>
      </c>
      <c r="K91" s="9">
        <f t="shared" si="164"/>
        <v>1006.7</v>
      </c>
      <c r="L91" s="9">
        <f t="shared" si="164"/>
        <v>981.7</v>
      </c>
      <c r="M91" s="9">
        <f t="shared" si="164"/>
        <v>908.49999999999989</v>
      </c>
      <c r="N91" s="9">
        <f t="shared" si="164"/>
        <v>1046.5</v>
      </c>
      <c r="O91" s="9">
        <f t="shared" si="164"/>
        <v>912.5</v>
      </c>
      <c r="P91" s="9">
        <f t="shared" si="164"/>
        <v>754</v>
      </c>
      <c r="X91" s="9">
        <f>SUM(X84:X90)</f>
        <v>923.7</v>
      </c>
      <c r="Y91" s="9">
        <f>SUM(Y84:Y90)</f>
        <v>1068.8</v>
      </c>
      <c r="Z91" s="9">
        <f>SUM(Z84:Z90)</f>
        <v>1039.9000000000001</v>
      </c>
      <c r="AA91" s="9">
        <f>SUM(AA84:AA90)</f>
        <v>1046.5</v>
      </c>
    </row>
    <row r="92" spans="2:27" s="1" customFormat="1" x14ac:dyDescent="0.3">
      <c r="B92" s="1" t="s">
        <v>95</v>
      </c>
      <c r="J92" s="9">
        <v>2898.1</v>
      </c>
      <c r="K92" s="9">
        <v>2929</v>
      </c>
      <c r="L92" s="9">
        <v>2988.6</v>
      </c>
      <c r="M92" s="9">
        <v>3029.3</v>
      </c>
      <c r="N92" s="9">
        <f>1807.8</f>
        <v>1807.8</v>
      </c>
      <c r="O92" s="9">
        <f>1932.6</f>
        <v>1932.6</v>
      </c>
      <c r="P92" s="9">
        <v>1764</v>
      </c>
      <c r="X92" s="9">
        <v>4605.7</v>
      </c>
      <c r="Y92" s="9">
        <v>4060.2</v>
      </c>
      <c r="Z92" s="9">
        <v>2898.1</v>
      </c>
      <c r="AA92" s="9">
        <f>1807.8</f>
        <v>1807.8</v>
      </c>
    </row>
    <row r="93" spans="2:27" s="1" customFormat="1" x14ac:dyDescent="0.3">
      <c r="B93" s="1" t="s">
        <v>96</v>
      </c>
      <c r="J93" s="12">
        <f t="shared" ref="J93:P93" si="165">J83+J91+J92</f>
        <v>4902.6000000000004</v>
      </c>
      <c r="K93" s="12">
        <f t="shared" si="165"/>
        <v>4847.2</v>
      </c>
      <c r="L93" s="12">
        <f t="shared" si="165"/>
        <v>4779.8</v>
      </c>
      <c r="M93" s="12">
        <f t="shared" si="165"/>
        <v>4724.7000000000007</v>
      </c>
      <c r="N93" s="12">
        <f t="shared" si="165"/>
        <v>3602.8</v>
      </c>
      <c r="O93" s="12">
        <f t="shared" si="165"/>
        <v>3633.5</v>
      </c>
      <c r="P93" s="12">
        <f t="shared" si="165"/>
        <v>3353.8</v>
      </c>
      <c r="X93" s="12">
        <f>X83+X91+X92</f>
        <v>5949.9</v>
      </c>
      <c r="Y93" s="12">
        <f>Y83+Y91+Y92</f>
        <v>5764.2</v>
      </c>
      <c r="Z93" s="12">
        <f>Z83+Z91+Z92</f>
        <v>4902.6000000000004</v>
      </c>
      <c r="AA93" s="12">
        <f>AA83+AA91+AA92</f>
        <v>3602.8</v>
      </c>
    </row>
    <row r="94" spans="2:27" s="1" customFormat="1" x14ac:dyDescent="0.3">
      <c r="J94" s="12"/>
      <c r="K94" s="12"/>
      <c r="L94" s="12"/>
      <c r="M94" s="12"/>
      <c r="O94" s="12"/>
      <c r="P94" s="12"/>
    </row>
    <row r="95" spans="2:27" s="1" customFormat="1" x14ac:dyDescent="0.3">
      <c r="B95" t="s">
        <v>133</v>
      </c>
      <c r="J95" s="10">
        <f t="shared" ref="J95:O95" si="166">J33/J92</f>
        <v>-0.22166246851385399</v>
      </c>
      <c r="K95" s="10">
        <f t="shared" si="166"/>
        <v>-0.10095595766473199</v>
      </c>
      <c r="L95" s="10">
        <f t="shared" si="166"/>
        <v>-8.7699926386937022E-2</v>
      </c>
      <c r="M95" s="10">
        <f t="shared" si="166"/>
        <v>-6.9686066087875087E-2</v>
      </c>
      <c r="N95" s="10">
        <f t="shared" si="166"/>
        <v>-0.73901980307556159</v>
      </c>
      <c r="O95" s="10">
        <f t="shared" si="166"/>
        <v>-0.10193521680637484</v>
      </c>
      <c r="P95" s="10">
        <f>P33/P92</f>
        <v>-0.12976190476190477</v>
      </c>
      <c r="X95" s="10">
        <f t="shared" ref="X95:Y95" si="167">X33/X92</f>
        <v>-9.9897952537073648E-2</v>
      </c>
      <c r="Y95" s="10">
        <f t="shared" si="167"/>
        <v>-0.17834096842520075</v>
      </c>
      <c r="Z95" s="10">
        <f t="shared" ref="Z95:AA95" si="168">Z33/Z92</f>
        <v>-0.47230944411856046</v>
      </c>
      <c r="AA95" s="10">
        <f t="shared" si="168"/>
        <v>-1.1643434008186746</v>
      </c>
    </row>
    <row r="96" spans="2:27" s="1" customFormat="1" x14ac:dyDescent="0.3">
      <c r="B96" t="s">
        <v>134</v>
      </c>
      <c r="J96" s="13">
        <f t="shared" ref="J96:O96" si="169">J8/J73</f>
        <v>4.5279324481429344E-2</v>
      </c>
      <c r="K96" s="13">
        <f t="shared" si="169"/>
        <v>2.481793988405917E-2</v>
      </c>
      <c r="L96" s="13">
        <f t="shared" si="169"/>
        <v>3.0001255282647809E-2</v>
      </c>
      <c r="M96" s="13">
        <f t="shared" si="169"/>
        <v>3.6764238999301535E-2</v>
      </c>
      <c r="N96" s="13">
        <f t="shared" si="169"/>
        <v>5.3125346952370381E-2</v>
      </c>
      <c r="O96" s="13">
        <f t="shared" si="169"/>
        <v>3.6795464553060334E-2</v>
      </c>
      <c r="P96" s="13">
        <f>P8/P73</f>
        <v>5.1886089160578498E-2</v>
      </c>
      <c r="X96" s="13">
        <f t="shared" ref="X96:Y96" si="170">X8/X73</f>
        <v>8.4436974789915964E-2</v>
      </c>
      <c r="Y96" s="13">
        <f t="shared" si="170"/>
        <v>0.12167999583644155</v>
      </c>
      <c r="Z96" s="13">
        <f t="shared" ref="Z96:AA96" si="171">Z8/Z73</f>
        <v>0.18176997287319749</v>
      </c>
      <c r="AA96" s="13">
        <f t="shared" si="171"/>
        <v>0.17453092039524812</v>
      </c>
    </row>
    <row r="97" spans="2:38" s="1" customFormat="1" x14ac:dyDescent="0.3">
      <c r="B97" t="s">
        <v>135</v>
      </c>
      <c r="J97" s="13">
        <f t="shared" ref="J97:O97" si="172">J73/J92</f>
        <v>1.6917635692350164</v>
      </c>
      <c r="K97" s="13">
        <f t="shared" si="172"/>
        <v>1.6549334243769203</v>
      </c>
      <c r="L97" s="13">
        <f t="shared" si="172"/>
        <v>1.5993441745298804</v>
      </c>
      <c r="M97" s="13">
        <f t="shared" si="172"/>
        <v>1.5596672498597037</v>
      </c>
      <c r="N97" s="13">
        <f t="shared" si="172"/>
        <v>1.9929195707489769</v>
      </c>
      <c r="O97" s="13">
        <f t="shared" si="172"/>
        <v>1.8801614405464142</v>
      </c>
      <c r="P97" s="13">
        <f>P73/P92</f>
        <v>1.901077097505669</v>
      </c>
      <c r="X97" s="13">
        <f t="shared" ref="X97:Y97" si="173">X73/X92</f>
        <v>1.2918774561955837</v>
      </c>
      <c r="Y97" s="13">
        <f t="shared" si="173"/>
        <v>1.4197083887493225</v>
      </c>
      <c r="Z97" s="13">
        <f t="shared" ref="Z97:AA97" si="174">Z73/Z92</f>
        <v>1.6917635692350164</v>
      </c>
      <c r="AA97" s="13">
        <f t="shared" si="174"/>
        <v>1.9929195707489769</v>
      </c>
    </row>
    <row r="98" spans="2:38" s="1" customFormat="1" x14ac:dyDescent="0.3">
      <c r="B98" t="s">
        <v>136</v>
      </c>
      <c r="J98" s="14">
        <f t="shared" ref="J98:P98" si="175">J61/J83</f>
        <v>1.8525813808832676</v>
      </c>
      <c r="K98" s="14">
        <f t="shared" si="175"/>
        <v>1.9381239714755896</v>
      </c>
      <c r="L98" s="14">
        <f t="shared" si="175"/>
        <v>2.0660901791229156</v>
      </c>
      <c r="M98" s="14">
        <f t="shared" si="175"/>
        <v>2.0765027322404368</v>
      </c>
      <c r="N98" s="14">
        <f t="shared" si="175"/>
        <v>1.9738142952571809</v>
      </c>
      <c r="O98" s="14">
        <f t="shared" si="175"/>
        <v>1.945712836123795</v>
      </c>
      <c r="P98" s="14">
        <f t="shared" si="175"/>
        <v>1.5910504905479781</v>
      </c>
      <c r="X98" s="14">
        <f t="shared" ref="X98:Y98" si="176">X61/X83</f>
        <v>10.579310344827585</v>
      </c>
      <c r="Y98" s="14">
        <f t="shared" si="176"/>
        <v>5.2035579345088161</v>
      </c>
      <c r="Z98" s="14">
        <f>Z61/Z83</f>
        <v>1.8525813808832676</v>
      </c>
      <c r="AA98" s="14">
        <f>AA61/AA83</f>
        <v>1.9738142952571809</v>
      </c>
      <c r="AB98" s="14"/>
      <c r="AC98" s="14"/>
      <c r="AD98" s="14"/>
      <c r="AE98" s="14"/>
      <c r="AF98" s="14"/>
    </row>
    <row r="99" spans="2:38" s="1" customFormat="1" x14ac:dyDescent="0.3">
      <c r="B99" t="s">
        <v>137</v>
      </c>
      <c r="J99" s="14">
        <f t="shared" ref="J99:O99" si="177">(J61-J58)/J83</f>
        <v>0.85600248807795976</v>
      </c>
      <c r="K99" s="14">
        <f t="shared" si="177"/>
        <v>0.86747120131651112</v>
      </c>
      <c r="L99" s="14">
        <f t="shared" si="177"/>
        <v>0.90549722050648573</v>
      </c>
      <c r="M99" s="14">
        <f t="shared" si="177"/>
        <v>0.95081967213114749</v>
      </c>
      <c r="N99" s="14">
        <f t="shared" si="177"/>
        <v>1.0618570474281894</v>
      </c>
      <c r="O99" s="14">
        <f t="shared" si="177"/>
        <v>1.0660832064941654</v>
      </c>
      <c r="P99" s="14">
        <f>(P61-P58)/P83</f>
        <v>0.82065087341469267</v>
      </c>
      <c r="X99" s="14">
        <f t="shared" ref="X99:Y99" si="178">(X61-X58)/X83</f>
        <v>9.9391200951248511</v>
      </c>
      <c r="Y99" s="14">
        <f t="shared" si="178"/>
        <v>4.1871851385390428</v>
      </c>
      <c r="Z99" s="14">
        <f>(Z61-Z58)/Z83</f>
        <v>0.85600248807795976</v>
      </c>
      <c r="AA99" s="14">
        <f>(AA61-AA58)/AA83</f>
        <v>1.0618570474281894</v>
      </c>
      <c r="AB99" s="14"/>
      <c r="AC99" s="14"/>
      <c r="AD99" s="14"/>
      <c r="AE99" s="14"/>
      <c r="AF99" s="14"/>
    </row>
    <row r="100" spans="2:38" s="1" customFormat="1" x14ac:dyDescent="0.3">
      <c r="B100" t="s">
        <v>138</v>
      </c>
      <c r="J100" s="10">
        <f>(SUM(J79:J81)+SUM(J87:J89))/J92</f>
        <v>0.19585245505676135</v>
      </c>
      <c r="K100" s="10">
        <f t="shared" ref="K100:P100" si="179">(SUM(K79:K81)+SUM(K87:K89))/K92</f>
        <v>0.1923523386821441</v>
      </c>
      <c r="L100" s="10">
        <f t="shared" si="179"/>
        <v>0.18222579134042696</v>
      </c>
      <c r="M100" s="10">
        <f t="shared" si="179"/>
        <v>0.18964777341299968</v>
      </c>
      <c r="N100" s="10">
        <f t="shared" si="179"/>
        <v>0.40358446730833059</v>
      </c>
      <c r="O100" s="10">
        <f t="shared" si="179"/>
        <v>0.33478215874987066</v>
      </c>
      <c r="P100" s="10">
        <f t="shared" si="179"/>
        <v>0.37159863945578231</v>
      </c>
      <c r="X100" s="10">
        <f t="shared" ref="X100:Y100" si="180">(SUM(X79:X81)+SUM(X87:X89))/X92</f>
        <v>0.12469331480556702</v>
      </c>
      <c r="Y100" s="10">
        <f t="shared" si="180"/>
        <v>0.13105265750455644</v>
      </c>
      <c r="Z100" s="10">
        <f>(SUM(Z79:Z81)+SUM(Z87:Z89))/Z92</f>
        <v>0.19585245505676135</v>
      </c>
      <c r="AA100" s="10">
        <f t="shared" ref="AA100" si="181">(SUM(AA79:AA81)+SUM(AA87:AA89))/AA92</f>
        <v>0.40358446730833059</v>
      </c>
      <c r="AB100" s="10"/>
      <c r="AC100" s="10"/>
      <c r="AD100" s="10"/>
      <c r="AE100" s="10"/>
      <c r="AF100" s="10"/>
    </row>
    <row r="101" spans="2:38" s="1" customFormat="1" x14ac:dyDescent="0.3">
      <c r="B101" t="s">
        <v>139</v>
      </c>
      <c r="J101" s="14">
        <f>(J73-J83)/(SUM(J79:J81)+SUM(J87:J89))</f>
        <v>6.9385130373502477</v>
      </c>
      <c r="K101" s="14">
        <f t="shared" ref="K101:P101" si="182">(K73-K83)/(SUM(K79:K81)+SUM(K87:K89))</f>
        <v>6.9858004969826029</v>
      </c>
      <c r="L101" s="14">
        <f t="shared" si="182"/>
        <v>7.2903048108703636</v>
      </c>
      <c r="M101" s="14">
        <f t="shared" si="182"/>
        <v>6.8543080939947796</v>
      </c>
      <c r="N101" s="14">
        <f t="shared" si="182"/>
        <v>3.9121436403508771</v>
      </c>
      <c r="O101" s="14">
        <f t="shared" si="182"/>
        <v>4.3975270479134467</v>
      </c>
      <c r="P101" s="14">
        <f t="shared" si="182"/>
        <v>3.8408848207475206</v>
      </c>
      <c r="X101" s="14">
        <f t="shared" ref="X101:Y101" si="183">(X73-X83)/(SUM(X79:X81)+SUM(X87:X89))</f>
        <v>9.6282430785303852</v>
      </c>
      <c r="Y101" s="14">
        <f t="shared" si="183"/>
        <v>9.6393535049802654</v>
      </c>
      <c r="Z101" s="14">
        <f t="shared" ref="Z101:AA101" si="184">(Z73-Z83)/(SUM(Z79:Z81)+SUM(Z87:Z89))</f>
        <v>6.9385130373502477</v>
      </c>
      <c r="AA101" s="14">
        <f t="shared" si="184"/>
        <v>3.9121436403508771</v>
      </c>
      <c r="AB101" s="14"/>
      <c r="AC101" s="14"/>
      <c r="AD101" s="14"/>
      <c r="AE101" s="14"/>
      <c r="AF101" s="14"/>
    </row>
    <row r="102" spans="2:38" s="1" customFormat="1" x14ac:dyDescent="0.3">
      <c r="J102" s="12"/>
      <c r="K102" s="12"/>
      <c r="L102" s="12"/>
      <c r="M102" s="12"/>
      <c r="O102" s="12"/>
      <c r="P102" s="12"/>
    </row>
    <row r="104" spans="2:38" s="1" customFormat="1" x14ac:dyDescent="0.3">
      <c r="B104" s="1" t="s">
        <v>52</v>
      </c>
      <c r="G104" s="9">
        <f t="shared" ref="G104" si="185">G33</f>
        <v>-206.59999999999997</v>
      </c>
      <c r="H104" s="9">
        <f t="shared" ref="H104:L104" si="186">H33</f>
        <v>-236.40000000000003</v>
      </c>
      <c r="I104" s="9">
        <f t="shared" si="186"/>
        <v>-283.39999999999998</v>
      </c>
      <c r="J104" s="9">
        <f t="shared" si="186"/>
        <v>-642.4000000000002</v>
      </c>
      <c r="K104" s="9">
        <f t="shared" si="186"/>
        <v>-295.7</v>
      </c>
      <c r="L104" s="9">
        <f t="shared" si="186"/>
        <v>-262.09999999999997</v>
      </c>
      <c r="M104" s="9">
        <f>M33</f>
        <v>-211.1</v>
      </c>
      <c r="N104" s="9">
        <f>N33</f>
        <v>-1336.0000000000002</v>
      </c>
      <c r="O104" s="9">
        <f>O33</f>
        <v>-197</v>
      </c>
      <c r="P104" s="9">
        <f t="shared" ref="P104:R104" si="187">P33</f>
        <v>-228.9</v>
      </c>
      <c r="Q104" s="9">
        <f t="shared" si="187"/>
        <v>-208.05899999999997</v>
      </c>
      <c r="R104" s="9">
        <f t="shared" si="187"/>
        <v>-276.39149999999995</v>
      </c>
      <c r="V104" s="9">
        <f t="shared" ref="V104:AB104" si="188">V33</f>
        <v>-85.500000000000028</v>
      </c>
      <c r="W104" s="9">
        <f t="shared" si="188"/>
        <v>-596.00000000000011</v>
      </c>
      <c r="X104" s="9">
        <f t="shared" si="188"/>
        <v>-460.10000000000008</v>
      </c>
      <c r="Y104" s="9">
        <f t="shared" si="188"/>
        <v>-724.1</v>
      </c>
      <c r="Z104" s="9">
        <f t="shared" si="188"/>
        <v>-1368.8</v>
      </c>
      <c r="AA104" s="9">
        <f t="shared" si="188"/>
        <v>-2104.9</v>
      </c>
      <c r="AB104" s="9">
        <f t="shared" si="188"/>
        <v>-910.35050000000001</v>
      </c>
      <c r="AC104" s="9">
        <f t="shared" ref="AC104:AL104" si="189">AC33</f>
        <v>-508.71392100000014</v>
      </c>
      <c r="AD104" s="9">
        <f t="shared" si="189"/>
        <v>-351.38562542999983</v>
      </c>
      <c r="AE104" s="9">
        <f t="shared" si="189"/>
        <v>-191.72685569219993</v>
      </c>
      <c r="AF104" s="9">
        <f t="shared" si="189"/>
        <v>-127.03072408950618</v>
      </c>
      <c r="AG104" s="9">
        <f t="shared" si="189"/>
        <v>-71.298349119149364</v>
      </c>
      <c r="AH104" s="9">
        <f t="shared" si="189"/>
        <v>-17.421742122727778</v>
      </c>
      <c r="AI104" s="9">
        <f t="shared" si="189"/>
        <v>36.465599082309993</v>
      </c>
      <c r="AJ104" s="9">
        <f t="shared" si="189"/>
        <v>91.274821860565041</v>
      </c>
      <c r="AK104" s="9">
        <f t="shared" si="189"/>
        <v>150.36041631798193</v>
      </c>
      <c r="AL104" s="9">
        <f t="shared" si="189"/>
        <v>215.82790062427927</v>
      </c>
    </row>
    <row r="105" spans="2:38" x14ac:dyDescent="0.3">
      <c r="B105" t="s">
        <v>105</v>
      </c>
      <c r="G105" s="5">
        <v>9.8000000000000007</v>
      </c>
      <c r="H105" s="5">
        <f>H144-G105</f>
        <v>11.5</v>
      </c>
      <c r="I105" s="5">
        <f>I144-H105-G105</f>
        <v>16.499999999999996</v>
      </c>
      <c r="J105" s="5">
        <f>J144-I105-H105-G105</f>
        <v>14.2</v>
      </c>
      <c r="K105" s="5">
        <v>16.600000000000001</v>
      </c>
      <c r="L105" s="5">
        <f>L144-K105</f>
        <v>18</v>
      </c>
      <c r="M105" s="5">
        <f>M144-L105-K105</f>
        <v>17</v>
      </c>
      <c r="N105" s="5">
        <f>AA105-M105-L105-K105</f>
        <v>9.5</v>
      </c>
      <c r="O105" s="5">
        <v>12.1</v>
      </c>
      <c r="P105" s="5">
        <f>P144-O105</f>
        <v>12.799999999999999</v>
      </c>
      <c r="Q105">
        <v>14</v>
      </c>
      <c r="R105">
        <v>15</v>
      </c>
      <c r="V105" s="5">
        <v>12</v>
      </c>
      <c r="W105" s="5">
        <v>14.4</v>
      </c>
      <c r="X105" s="5">
        <v>20.9</v>
      </c>
      <c r="Y105" s="5">
        <v>30.4</v>
      </c>
      <c r="Z105" s="5">
        <v>52</v>
      </c>
      <c r="AA105" s="5">
        <v>61.1</v>
      </c>
      <c r="AB105" s="5">
        <f t="shared" ref="AB105:AB132" si="190">SUM(O105:R105)</f>
        <v>53.9</v>
      </c>
      <c r="AC105" s="5">
        <f t="shared" ref="AC105:AL106" si="191">AB105*1.05</f>
        <v>56.594999999999999</v>
      </c>
      <c r="AD105" s="5">
        <f t="shared" si="191"/>
        <v>59.424750000000003</v>
      </c>
      <c r="AE105" s="5">
        <f t="shared" si="191"/>
        <v>62.395987500000004</v>
      </c>
      <c r="AF105" s="5">
        <f t="shared" si="191"/>
        <v>65.515786875000003</v>
      </c>
      <c r="AG105" s="5">
        <f t="shared" si="191"/>
        <v>68.791576218750009</v>
      </c>
      <c r="AH105" s="5">
        <f t="shared" si="191"/>
        <v>72.231155029687514</v>
      </c>
      <c r="AI105" s="5">
        <f t="shared" si="191"/>
        <v>75.842712781171898</v>
      </c>
      <c r="AJ105" s="5">
        <f t="shared" si="191"/>
        <v>79.634848420230497</v>
      </c>
      <c r="AK105" s="5">
        <f t="shared" si="191"/>
        <v>83.616590841242029</v>
      </c>
      <c r="AL105" s="5">
        <f t="shared" si="191"/>
        <v>87.797420383304129</v>
      </c>
    </row>
    <row r="106" spans="2:38" x14ac:dyDescent="0.3">
      <c r="B106" t="s">
        <v>106</v>
      </c>
      <c r="G106" s="5">
        <v>5</v>
      </c>
      <c r="H106" s="5">
        <f>H145-G106</f>
        <v>4.8000000000000007</v>
      </c>
      <c r="I106" s="5">
        <f>I145-H106-G106</f>
        <v>4.3999999999999986</v>
      </c>
      <c r="J106" s="5">
        <f>J145-I106-H106-G106</f>
        <v>4.9000000000000021</v>
      </c>
      <c r="K106" s="5">
        <v>4.7</v>
      </c>
      <c r="L106" s="5">
        <f>L145-K106</f>
        <v>4.7</v>
      </c>
      <c r="M106" s="5">
        <f>M145-L106-K106</f>
        <v>4.8</v>
      </c>
      <c r="N106" s="5">
        <f t="shared" ref="N106:N135" si="192">AA106-M106-L106-K106</f>
        <v>9.1999999999999993</v>
      </c>
      <c r="O106" s="5">
        <v>2</v>
      </c>
      <c r="P106" s="5">
        <f>P145-O106</f>
        <v>2</v>
      </c>
      <c r="Q106">
        <v>3</v>
      </c>
      <c r="R106">
        <v>4</v>
      </c>
      <c r="V106" s="5">
        <v>0.7</v>
      </c>
      <c r="W106" s="5">
        <v>1.1000000000000001</v>
      </c>
      <c r="X106" s="5">
        <v>2.5</v>
      </c>
      <c r="Y106" s="5">
        <v>21.2</v>
      </c>
      <c r="Z106" s="5">
        <v>19.100000000000001</v>
      </c>
      <c r="AA106" s="5">
        <v>23.4</v>
      </c>
      <c r="AB106" s="5">
        <f t="shared" si="190"/>
        <v>11</v>
      </c>
      <c r="AC106" s="5">
        <f>AB106*1.05</f>
        <v>11.55</v>
      </c>
      <c r="AD106" s="5">
        <f t="shared" si="191"/>
        <v>12.127500000000001</v>
      </c>
      <c r="AE106" s="5">
        <f t="shared" si="191"/>
        <v>12.733875000000001</v>
      </c>
      <c r="AF106" s="5">
        <f t="shared" si="191"/>
        <v>13.370568750000002</v>
      </c>
      <c r="AG106" s="5">
        <f t="shared" si="191"/>
        <v>14.039097187500003</v>
      </c>
      <c r="AH106" s="5">
        <f t="shared" si="191"/>
        <v>14.741052046875003</v>
      </c>
      <c r="AI106" s="5">
        <f t="shared" si="191"/>
        <v>15.478104649218754</v>
      </c>
      <c r="AJ106" s="5">
        <f t="shared" si="191"/>
        <v>16.25200988167969</v>
      </c>
      <c r="AK106" s="5">
        <f t="shared" si="191"/>
        <v>17.064610375763674</v>
      </c>
      <c r="AL106" s="5">
        <f t="shared" si="191"/>
        <v>17.917840894551858</v>
      </c>
    </row>
    <row r="107" spans="2:38" x14ac:dyDescent="0.3">
      <c r="B107" t="s">
        <v>81</v>
      </c>
      <c r="G107" s="5">
        <v>2</v>
      </c>
      <c r="H107" s="5">
        <f>H146-G107</f>
        <v>9.8000000000000007</v>
      </c>
      <c r="I107" s="5">
        <f>I146-H107-G107</f>
        <v>22.099999999999998</v>
      </c>
      <c r="J107" s="5">
        <f>J146-I107-H107-G107</f>
        <v>59.800000000000011</v>
      </c>
      <c r="K107" s="5">
        <v>39.700000000000003</v>
      </c>
      <c r="L107" s="5">
        <f>L146-K107</f>
        <v>13.699999999999996</v>
      </c>
      <c r="M107" s="5">
        <f>M146-L107-K107</f>
        <v>14.399999999999999</v>
      </c>
      <c r="N107" s="5">
        <f t="shared" si="192"/>
        <v>104.2</v>
      </c>
      <c r="O107" s="5">
        <v>8.3000000000000007</v>
      </c>
      <c r="P107" s="5">
        <f>P146-O107</f>
        <v>12.899999999999999</v>
      </c>
      <c r="Q107">
        <v>10</v>
      </c>
      <c r="R107">
        <v>10</v>
      </c>
      <c r="V107" s="5"/>
      <c r="W107" s="5"/>
      <c r="X107" s="5"/>
      <c r="Y107" s="5"/>
      <c r="Z107" s="5">
        <v>93.7</v>
      </c>
      <c r="AA107" s="5">
        <v>172</v>
      </c>
      <c r="AB107" s="5">
        <f t="shared" si="190"/>
        <v>41.2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</row>
    <row r="108" spans="2:38" x14ac:dyDescent="0.3">
      <c r="B108" t="s">
        <v>107</v>
      </c>
      <c r="G108" s="5">
        <v>43.3</v>
      </c>
      <c r="H108" s="5">
        <f>H147-G108</f>
        <v>39.900000000000006</v>
      </c>
      <c r="I108" s="5">
        <f>I147-H108-G108</f>
        <v>45.899999999999991</v>
      </c>
      <c r="J108" s="5">
        <f>J147-I108-H108-G108</f>
        <v>33.800000000000011</v>
      </c>
      <c r="K108" s="5">
        <v>13.7</v>
      </c>
      <c r="L108" s="5">
        <f>L147-K108</f>
        <v>26.3</v>
      </c>
      <c r="M108" s="5">
        <f>M147-L108-K108</f>
        <v>24.099999999999998</v>
      </c>
      <c r="N108" s="5">
        <f t="shared" si="192"/>
        <v>18.100000000000009</v>
      </c>
      <c r="O108" s="5">
        <v>11.1</v>
      </c>
      <c r="P108" s="5">
        <f>P147-O108</f>
        <v>13.1</v>
      </c>
      <c r="Q108">
        <v>14</v>
      </c>
      <c r="R108">
        <v>17</v>
      </c>
      <c r="V108" s="5">
        <v>10.9</v>
      </c>
      <c r="W108" s="5">
        <v>17.100000000000001</v>
      </c>
      <c r="X108" s="5">
        <v>76.5</v>
      </c>
      <c r="Y108" s="5">
        <v>179.6</v>
      </c>
      <c r="Z108" s="5">
        <v>162.9</v>
      </c>
      <c r="AA108" s="5">
        <v>82.2</v>
      </c>
      <c r="AB108" s="5">
        <f t="shared" si="190"/>
        <v>55.2</v>
      </c>
      <c r="AC108" s="5">
        <f>AB108*1.03</f>
        <v>56.856000000000002</v>
      </c>
      <c r="AD108" s="5">
        <f t="shared" ref="AD108:AL108" si="193">AC108*1.03</f>
        <v>58.561680000000003</v>
      </c>
      <c r="AE108" s="5">
        <f t="shared" si="193"/>
        <v>60.318530400000007</v>
      </c>
      <c r="AF108" s="5">
        <f t="shared" si="193"/>
        <v>62.128086312000008</v>
      </c>
      <c r="AG108" s="5">
        <f t="shared" si="193"/>
        <v>63.991928901360012</v>
      </c>
      <c r="AH108" s="5">
        <f t="shared" si="193"/>
        <v>65.911686768400813</v>
      </c>
      <c r="AI108" s="5">
        <f t="shared" si="193"/>
        <v>67.889037371452844</v>
      </c>
      <c r="AJ108" s="5">
        <f t="shared" si="193"/>
        <v>69.925708492596428</v>
      </c>
      <c r="AK108" s="5">
        <f t="shared" si="193"/>
        <v>72.023479747374324</v>
      </c>
      <c r="AL108" s="5">
        <f t="shared" si="193"/>
        <v>74.184184139795562</v>
      </c>
    </row>
    <row r="109" spans="2:38" x14ac:dyDescent="0.3">
      <c r="B109" t="s">
        <v>108</v>
      </c>
      <c r="G109" s="5">
        <v>0</v>
      </c>
      <c r="H109" s="5">
        <f>H148-G109</f>
        <v>0</v>
      </c>
      <c r="I109" s="5">
        <f>I148-H109-G109</f>
        <v>0</v>
      </c>
      <c r="J109" s="5">
        <f>J148-I109-H109-G109</f>
        <v>0</v>
      </c>
      <c r="K109" s="5">
        <v>14</v>
      </c>
      <c r="L109" s="5">
        <f>L148-K109</f>
        <v>0</v>
      </c>
      <c r="M109" s="5">
        <f>M148-L109-K109</f>
        <v>0</v>
      </c>
      <c r="N109" s="5">
        <f t="shared" si="192"/>
        <v>1.6999999999999993</v>
      </c>
      <c r="O109" s="5">
        <v>3.7</v>
      </c>
      <c r="P109" s="5">
        <f>P148-O109</f>
        <v>5.3999999999999995</v>
      </c>
      <c r="Q109">
        <v>0</v>
      </c>
      <c r="R109">
        <v>0</v>
      </c>
      <c r="V109" s="5">
        <v>2</v>
      </c>
      <c r="W109" s="5">
        <v>-17.7</v>
      </c>
      <c r="X109" s="5">
        <v>0</v>
      </c>
      <c r="Y109" s="5">
        <v>1</v>
      </c>
      <c r="Z109" s="5">
        <v>0</v>
      </c>
      <c r="AA109" s="5">
        <v>15.7</v>
      </c>
      <c r="AB109" s="5">
        <f t="shared" si="190"/>
        <v>9.1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</row>
    <row r="110" spans="2:38" x14ac:dyDescent="0.3">
      <c r="B110" t="s">
        <v>109</v>
      </c>
      <c r="G110" s="5">
        <v>0.2</v>
      </c>
      <c r="H110" s="5">
        <f t="shared" ref="H110:H130" si="194">H149-G110</f>
        <v>0.7</v>
      </c>
      <c r="I110" s="5">
        <f t="shared" ref="I110:I130" si="195">I149-H110-G110</f>
        <v>0</v>
      </c>
      <c r="J110" s="5">
        <f t="shared" ref="J110:J130" si="196">J149-I110-H110-G110</f>
        <v>7.5</v>
      </c>
      <c r="K110" s="5">
        <v>-1.4</v>
      </c>
      <c r="L110" s="5">
        <f t="shared" ref="K110:M131" si="197">L149-K110</f>
        <v>9.9999999999999867E-2</v>
      </c>
      <c r="M110" s="5">
        <f t="shared" ref="M110:M130" si="198">M149-L110-K110</f>
        <v>-0.19999999999999996</v>
      </c>
      <c r="N110" s="5">
        <f t="shared" si="192"/>
        <v>30.399999999999995</v>
      </c>
      <c r="O110" s="5">
        <v>0</v>
      </c>
      <c r="P110" s="5">
        <f t="shared" ref="P110:P131" si="199">P149-O110</f>
        <v>4.7</v>
      </c>
      <c r="Q110">
        <v>0</v>
      </c>
      <c r="R110">
        <v>0</v>
      </c>
      <c r="V110" s="5">
        <v>8.8000000000000007</v>
      </c>
      <c r="W110" s="5">
        <v>425</v>
      </c>
      <c r="X110" s="5">
        <v>6.6</v>
      </c>
      <c r="Y110" s="5">
        <v>12.7</v>
      </c>
      <c r="Z110" s="5">
        <v>8.4</v>
      </c>
      <c r="AA110" s="5">
        <v>28.9</v>
      </c>
      <c r="AB110" s="5">
        <f t="shared" si="190"/>
        <v>4.7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</row>
    <row r="111" spans="2:38" x14ac:dyDescent="0.3">
      <c r="B111" t="s">
        <v>106</v>
      </c>
      <c r="G111" s="5">
        <v>0.6</v>
      </c>
      <c r="H111" s="5">
        <f t="shared" si="194"/>
        <v>0.6</v>
      </c>
      <c r="I111" s="5">
        <f t="shared" si="195"/>
        <v>0.50000000000000011</v>
      </c>
      <c r="J111" s="5">
        <f t="shared" si="196"/>
        <v>0.50000000000000011</v>
      </c>
      <c r="K111" s="5">
        <v>0.3</v>
      </c>
      <c r="L111" s="5">
        <f t="shared" si="197"/>
        <v>-1</v>
      </c>
      <c r="M111" s="5">
        <f t="shared" si="198"/>
        <v>-1</v>
      </c>
      <c r="N111" s="5">
        <f t="shared" si="192"/>
        <v>-1.0999999999999999</v>
      </c>
      <c r="O111" s="5">
        <v>-0.3</v>
      </c>
      <c r="P111" s="5">
        <f t="shared" si="199"/>
        <v>9.9999999999999978E-2</v>
      </c>
      <c r="Q111">
        <v>0</v>
      </c>
      <c r="R111">
        <v>0</v>
      </c>
      <c r="V111" s="5">
        <v>6.5</v>
      </c>
      <c r="W111" s="5">
        <v>17.100000000000001</v>
      </c>
      <c r="X111" s="5">
        <v>3</v>
      </c>
      <c r="Y111" s="5">
        <v>2.7</v>
      </c>
      <c r="Z111" s="5">
        <v>2.2000000000000002</v>
      </c>
      <c r="AA111" s="5">
        <v>-2.8</v>
      </c>
      <c r="AB111" s="5">
        <f t="shared" si="190"/>
        <v>-0.2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</row>
    <row r="112" spans="2:38" x14ac:dyDescent="0.3">
      <c r="B112" t="s">
        <v>109</v>
      </c>
      <c r="G112" s="5">
        <v>14.2</v>
      </c>
      <c r="H112" s="5">
        <f t="shared" si="194"/>
        <v>0.10000000000000142</v>
      </c>
      <c r="I112" s="5">
        <f t="shared" si="195"/>
        <v>-1.6000000000000014</v>
      </c>
      <c r="J112" s="5">
        <f t="shared" si="196"/>
        <v>-1.5</v>
      </c>
      <c r="K112" s="5">
        <v>4.5</v>
      </c>
      <c r="L112" s="5">
        <f t="shared" si="197"/>
        <v>5.8000000000000007</v>
      </c>
      <c r="M112" s="5">
        <f t="shared" si="198"/>
        <v>6</v>
      </c>
      <c r="N112" s="5">
        <f t="shared" si="192"/>
        <v>22.7</v>
      </c>
      <c r="O112" s="5">
        <v>9.1</v>
      </c>
      <c r="P112" s="5">
        <f t="shared" si="199"/>
        <v>9.5000000000000018</v>
      </c>
      <c r="Q112">
        <v>0</v>
      </c>
      <c r="R112">
        <v>0</v>
      </c>
      <c r="V112" s="5"/>
      <c r="W112" s="5"/>
      <c r="X112" s="5"/>
      <c r="Y112" s="5"/>
      <c r="Z112" s="5">
        <v>11.2</v>
      </c>
      <c r="AA112" s="5">
        <v>39</v>
      </c>
      <c r="AB112" s="5">
        <f t="shared" si="190"/>
        <v>18.600000000000001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</row>
    <row r="113" spans="2:38" x14ac:dyDescent="0.3">
      <c r="B113" t="s">
        <v>110</v>
      </c>
      <c r="G113" s="5">
        <v>-0.9</v>
      </c>
      <c r="H113" s="5">
        <f t="shared" si="194"/>
        <v>2.4</v>
      </c>
      <c r="I113" s="5">
        <f t="shared" si="195"/>
        <v>-2.1</v>
      </c>
      <c r="J113" s="5">
        <f t="shared" si="196"/>
        <v>-7.9</v>
      </c>
      <c r="K113" s="5">
        <v>0.2</v>
      </c>
      <c r="L113" s="5">
        <f t="shared" si="197"/>
        <v>-0.4</v>
      </c>
      <c r="M113" s="5">
        <f t="shared" si="198"/>
        <v>0.10000000000000003</v>
      </c>
      <c r="N113" s="5">
        <f t="shared" si="192"/>
        <v>-3.1000000000000005</v>
      </c>
      <c r="O113" s="5">
        <v>0</v>
      </c>
      <c r="P113" s="5">
        <f t="shared" si="199"/>
        <v>0</v>
      </c>
      <c r="Q113">
        <v>0</v>
      </c>
      <c r="R113">
        <v>0</v>
      </c>
      <c r="V113" s="5"/>
      <c r="W113" s="5">
        <v>-30.8</v>
      </c>
      <c r="X113" s="5">
        <v>-16.2</v>
      </c>
      <c r="Y113" s="5">
        <v>0.2</v>
      </c>
      <c r="Z113" s="5">
        <v>-8.5</v>
      </c>
      <c r="AA113" s="5">
        <v>-3.2</v>
      </c>
      <c r="AB113" s="5">
        <f t="shared" si="190"/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</row>
    <row r="114" spans="2:38" x14ac:dyDescent="0.3">
      <c r="B114" t="s">
        <v>39</v>
      </c>
      <c r="G114" s="5">
        <v>1.1000000000000001</v>
      </c>
      <c r="H114" s="5">
        <f t="shared" si="194"/>
        <v>10</v>
      </c>
      <c r="I114" s="5">
        <f t="shared" si="195"/>
        <v>0.5999999999999992</v>
      </c>
      <c r="J114" s="5">
        <f t="shared" si="196"/>
        <v>257.79999999999995</v>
      </c>
      <c r="K114" s="5">
        <v>0.3</v>
      </c>
      <c r="L114" s="5">
        <f t="shared" si="197"/>
        <v>3.9000000000000004</v>
      </c>
      <c r="M114" s="5">
        <f t="shared" si="198"/>
        <v>4.2</v>
      </c>
      <c r="N114" s="5">
        <f t="shared" si="192"/>
        <v>940.9</v>
      </c>
      <c r="O114" s="5">
        <v>1.1000000000000001</v>
      </c>
      <c r="P114" s="5">
        <f t="shared" si="199"/>
        <v>20.599999999999998</v>
      </c>
      <c r="Q114">
        <v>0</v>
      </c>
      <c r="R114">
        <v>0</v>
      </c>
      <c r="V114" s="5"/>
      <c r="W114" s="5">
        <v>6.4</v>
      </c>
      <c r="X114" s="5">
        <v>10.199999999999999</v>
      </c>
      <c r="Y114" s="5">
        <v>5.2</v>
      </c>
      <c r="Z114" s="5">
        <f>20+249.5</f>
        <v>269.5</v>
      </c>
      <c r="AA114" s="5">
        <v>949.3</v>
      </c>
      <c r="AB114" s="5">
        <f t="shared" si="190"/>
        <v>21.7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</row>
    <row r="115" spans="2:38" x14ac:dyDescent="0.3">
      <c r="B115" t="s">
        <v>111</v>
      </c>
      <c r="G115" s="5">
        <v>0.2</v>
      </c>
      <c r="H115" s="5">
        <f t="shared" si="194"/>
        <v>0.7</v>
      </c>
      <c r="I115" s="5">
        <f t="shared" si="195"/>
        <v>34.999999999999993</v>
      </c>
      <c r="J115" s="5">
        <f t="shared" si="196"/>
        <v>20.70000000000001</v>
      </c>
      <c r="K115" s="5">
        <v>3.8</v>
      </c>
      <c r="L115" s="5">
        <f t="shared" si="197"/>
        <v>3.5</v>
      </c>
      <c r="M115" s="5">
        <f t="shared" si="198"/>
        <v>-7.8999999999999995</v>
      </c>
      <c r="N115" s="5">
        <f t="shared" si="192"/>
        <v>-2.4000000000000004</v>
      </c>
      <c r="O115" s="5">
        <v>-2.9</v>
      </c>
      <c r="P115" s="5">
        <f t="shared" si="199"/>
        <v>-22.900000000000002</v>
      </c>
      <c r="Q115">
        <v>0</v>
      </c>
      <c r="R115">
        <v>0</v>
      </c>
      <c r="V115" s="5"/>
      <c r="W115" s="5">
        <v>33.1</v>
      </c>
      <c r="X115" s="5">
        <v>63.1</v>
      </c>
      <c r="Y115" s="5">
        <v>-8.6</v>
      </c>
      <c r="Z115" s="5">
        <v>56.6</v>
      </c>
      <c r="AA115" s="5">
        <v>-3</v>
      </c>
      <c r="AB115" s="5">
        <f t="shared" si="190"/>
        <v>-25.8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</row>
    <row r="116" spans="2:38" x14ac:dyDescent="0.3">
      <c r="B116" t="s">
        <v>112</v>
      </c>
      <c r="G116" s="5"/>
      <c r="H116" s="5">
        <f t="shared" si="194"/>
        <v>0</v>
      </c>
      <c r="I116" s="5">
        <f t="shared" si="195"/>
        <v>0</v>
      </c>
      <c r="J116" s="5">
        <f t="shared" si="196"/>
        <v>0</v>
      </c>
      <c r="K116" s="5"/>
      <c r="L116" s="5">
        <f t="shared" si="197"/>
        <v>0</v>
      </c>
      <c r="M116" s="5">
        <f t="shared" si="198"/>
        <v>2.5</v>
      </c>
      <c r="N116" s="5">
        <f t="shared" si="192"/>
        <v>0.39999999999999991</v>
      </c>
      <c r="O116" s="5"/>
      <c r="P116" s="5">
        <f t="shared" si="199"/>
        <v>0</v>
      </c>
      <c r="Q116">
        <v>0</v>
      </c>
      <c r="R116">
        <v>0</v>
      </c>
      <c r="V116" s="5"/>
      <c r="W116" s="5"/>
      <c r="X116" s="5"/>
      <c r="Y116" s="5"/>
      <c r="Z116" s="5">
        <v>0</v>
      </c>
      <c r="AA116" s="5">
        <v>2.9</v>
      </c>
      <c r="AB116" s="5">
        <f t="shared" si="190"/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</row>
    <row r="117" spans="2:38" x14ac:dyDescent="0.3">
      <c r="B117" t="s">
        <v>94</v>
      </c>
      <c r="G117" s="5">
        <v>8.8000000000000007</v>
      </c>
      <c r="H117" s="5">
        <f t="shared" si="194"/>
        <v>15.3</v>
      </c>
      <c r="I117" s="5">
        <f t="shared" si="195"/>
        <v>2.1999999999999993</v>
      </c>
      <c r="J117" s="5">
        <f t="shared" si="196"/>
        <v>3.6999999999999993</v>
      </c>
      <c r="K117" s="5">
        <v>-9.1999999999999993</v>
      </c>
      <c r="L117" s="5">
        <f t="shared" si="197"/>
        <v>3.7999999999999989</v>
      </c>
      <c r="M117" s="5">
        <f t="shared" si="198"/>
        <v>0.10000000000000142</v>
      </c>
      <c r="N117" s="5">
        <f t="shared" si="192"/>
        <v>-10.500000000000004</v>
      </c>
      <c r="O117" s="5">
        <v>11.8</v>
      </c>
      <c r="P117" s="5">
        <f t="shared" si="199"/>
        <v>-23.8</v>
      </c>
      <c r="Q117">
        <v>0</v>
      </c>
      <c r="R117">
        <v>0</v>
      </c>
      <c r="V117" s="5"/>
      <c r="W117" s="5">
        <v>-1.2</v>
      </c>
      <c r="X117" s="5">
        <v>11.2</v>
      </c>
      <c r="Y117" s="5">
        <v>16.5</v>
      </c>
      <c r="Z117" s="5">
        <v>30</v>
      </c>
      <c r="AA117" s="5">
        <v>-15.8</v>
      </c>
      <c r="AB117" s="5">
        <f t="shared" si="190"/>
        <v>-12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</row>
    <row r="118" spans="2:38" x14ac:dyDescent="0.3">
      <c r="B118" t="s">
        <v>40</v>
      </c>
      <c r="G118" s="5">
        <v>0</v>
      </c>
      <c r="H118" s="5">
        <f t="shared" si="194"/>
        <v>-0.3</v>
      </c>
      <c r="I118" s="5">
        <f t="shared" si="195"/>
        <v>0</v>
      </c>
      <c r="J118" s="5">
        <f t="shared" si="196"/>
        <v>13.100000000000001</v>
      </c>
      <c r="K118" s="5">
        <v>0</v>
      </c>
      <c r="L118" s="5">
        <f t="shared" si="197"/>
        <v>0</v>
      </c>
      <c r="M118" s="5">
        <f t="shared" si="198"/>
        <v>0</v>
      </c>
      <c r="N118" s="5">
        <f t="shared" si="192"/>
        <v>0</v>
      </c>
      <c r="O118" s="5"/>
      <c r="P118" s="5">
        <f t="shared" si="199"/>
        <v>48.2</v>
      </c>
      <c r="Q118">
        <v>0</v>
      </c>
      <c r="R118">
        <v>0</v>
      </c>
      <c r="V118" s="5"/>
      <c r="W118" s="5">
        <v>0</v>
      </c>
      <c r="X118" s="5">
        <v>0.1</v>
      </c>
      <c r="Y118" s="5">
        <v>1.4</v>
      </c>
      <c r="Z118" s="5">
        <v>12.8</v>
      </c>
      <c r="AA118" s="5">
        <v>0</v>
      </c>
      <c r="AB118" s="5">
        <f t="shared" si="190"/>
        <v>48.2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</row>
    <row r="119" spans="2:38" x14ac:dyDescent="0.3">
      <c r="B119" t="s">
        <v>39</v>
      </c>
      <c r="G119" s="5"/>
      <c r="H119" s="5">
        <f t="shared" si="194"/>
        <v>0</v>
      </c>
      <c r="I119" s="5">
        <f t="shared" si="195"/>
        <v>10.8</v>
      </c>
      <c r="J119" s="5">
        <f t="shared" si="196"/>
        <v>-10.8</v>
      </c>
      <c r="K119" s="5"/>
      <c r="L119" s="5">
        <f t="shared" si="197"/>
        <v>0</v>
      </c>
      <c r="M119" s="5">
        <f t="shared" si="198"/>
        <v>0</v>
      </c>
      <c r="N119" s="5">
        <f t="shared" si="192"/>
        <v>0</v>
      </c>
      <c r="O119" s="5"/>
      <c r="P119" s="5">
        <f t="shared" si="199"/>
        <v>0</v>
      </c>
      <c r="Q119">
        <v>0</v>
      </c>
      <c r="R119">
        <v>0</v>
      </c>
      <c r="V119" s="5"/>
      <c r="W119" s="5"/>
      <c r="X119" s="5"/>
      <c r="Y119" s="5"/>
      <c r="Z119" s="5"/>
      <c r="AA119" s="5"/>
      <c r="AB119" s="5">
        <f t="shared" si="190"/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</row>
    <row r="120" spans="2:38" x14ac:dyDescent="0.3">
      <c r="B120" t="s">
        <v>113</v>
      </c>
      <c r="G120" s="5">
        <v>-5.9</v>
      </c>
      <c r="H120" s="5">
        <f t="shared" si="194"/>
        <v>0</v>
      </c>
      <c r="I120" s="5">
        <f t="shared" si="195"/>
        <v>0.80000000000000071</v>
      </c>
      <c r="J120" s="5">
        <f t="shared" si="196"/>
        <v>-1.5</v>
      </c>
      <c r="K120" s="5">
        <v>0</v>
      </c>
      <c r="L120" s="5">
        <f t="shared" si="197"/>
        <v>0</v>
      </c>
      <c r="M120" s="5">
        <f t="shared" si="198"/>
        <v>0</v>
      </c>
      <c r="N120" s="5">
        <f t="shared" si="192"/>
        <v>0</v>
      </c>
      <c r="O120" s="5"/>
      <c r="P120" s="5">
        <f t="shared" si="199"/>
        <v>0</v>
      </c>
      <c r="Q120">
        <v>0</v>
      </c>
      <c r="R120">
        <v>0</v>
      </c>
      <c r="V120" s="5">
        <v>6.5</v>
      </c>
      <c r="W120" s="5">
        <v>0</v>
      </c>
      <c r="X120" s="5">
        <v>9.1999999999999993</v>
      </c>
      <c r="Y120" s="5">
        <v>1</v>
      </c>
      <c r="Z120" s="5">
        <v>-6.6</v>
      </c>
      <c r="AA120" s="5">
        <v>0</v>
      </c>
      <c r="AB120" s="5">
        <f t="shared" si="190"/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</row>
    <row r="121" spans="2:38" x14ac:dyDescent="0.3">
      <c r="B121" t="s">
        <v>114</v>
      </c>
      <c r="G121" s="5">
        <v>-2.7</v>
      </c>
      <c r="H121" s="5">
        <f t="shared" si="194"/>
        <v>-2.8999999999999995</v>
      </c>
      <c r="I121" s="5">
        <f t="shared" si="195"/>
        <v>-2.1000000000000005</v>
      </c>
      <c r="J121" s="5">
        <f t="shared" si="196"/>
        <v>-1.8999999999999995</v>
      </c>
      <c r="K121" s="5">
        <v>-1.3</v>
      </c>
      <c r="L121" s="5">
        <f t="shared" si="197"/>
        <v>-1.2</v>
      </c>
      <c r="M121" s="5">
        <f t="shared" si="198"/>
        <v>-0.99999999999999978</v>
      </c>
      <c r="N121" s="5">
        <f t="shared" si="192"/>
        <v>0</v>
      </c>
      <c r="O121" s="5">
        <v>0</v>
      </c>
      <c r="P121" s="5">
        <f t="shared" si="199"/>
        <v>0</v>
      </c>
      <c r="Q121">
        <v>0</v>
      </c>
      <c r="R121">
        <v>0</v>
      </c>
      <c r="V121" s="5"/>
      <c r="W121" s="5">
        <v>0</v>
      </c>
      <c r="X121" s="5">
        <v>-10.4</v>
      </c>
      <c r="Y121" s="5">
        <v>-8.8000000000000007</v>
      </c>
      <c r="Z121" s="5">
        <v>-9.6</v>
      </c>
      <c r="AA121" s="5">
        <v>-3.5</v>
      </c>
      <c r="AB121" s="5">
        <f t="shared" si="190"/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</row>
    <row r="122" spans="2:38" x14ac:dyDescent="0.3">
      <c r="B122" t="s">
        <v>131</v>
      </c>
      <c r="G122" s="5">
        <v>-5.0999999999999996</v>
      </c>
      <c r="H122" s="5">
        <f t="shared" si="194"/>
        <v>-3.8000000000000007</v>
      </c>
      <c r="I122" s="5">
        <f t="shared" si="195"/>
        <v>-9.9999999999999645E-2</v>
      </c>
      <c r="J122" s="5">
        <f t="shared" si="196"/>
        <v>-2.4000000000000004</v>
      </c>
      <c r="K122" s="5">
        <v>0</v>
      </c>
      <c r="L122" s="5">
        <f t="shared" si="197"/>
        <v>0</v>
      </c>
      <c r="M122" s="5">
        <f t="shared" si="198"/>
        <v>0</v>
      </c>
      <c r="N122" s="5">
        <f t="shared" si="192"/>
        <v>3.4</v>
      </c>
      <c r="O122" s="5">
        <v>7.3</v>
      </c>
      <c r="P122" s="5">
        <f t="shared" si="199"/>
        <v>-9.1999999999999993</v>
      </c>
      <c r="Q122">
        <v>0</v>
      </c>
      <c r="R122">
        <v>0</v>
      </c>
      <c r="V122" s="5">
        <v>-0.1</v>
      </c>
      <c r="W122" s="5">
        <v>0.7</v>
      </c>
      <c r="X122" s="5">
        <v>-6.7</v>
      </c>
      <c r="Y122" s="5">
        <f>0.3+18.2</f>
        <v>18.5</v>
      </c>
      <c r="Z122" s="5">
        <v>-11.4</v>
      </c>
      <c r="AA122" s="5">
        <v>3.4</v>
      </c>
      <c r="AB122" s="5">
        <f t="shared" si="190"/>
        <v>-1.8999999999999995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</row>
    <row r="123" spans="2:38" x14ac:dyDescent="0.3">
      <c r="B123" t="s">
        <v>116</v>
      </c>
      <c r="G123" s="5">
        <v>5.3</v>
      </c>
      <c r="H123" s="5">
        <f t="shared" si="194"/>
        <v>7.6000000000000005</v>
      </c>
      <c r="I123" s="5">
        <f t="shared" si="195"/>
        <v>7.0999999999999988</v>
      </c>
      <c r="J123" s="5">
        <f t="shared" si="196"/>
        <v>21.799999999999994</v>
      </c>
      <c r="K123" s="5">
        <v>13.1</v>
      </c>
      <c r="L123" s="5">
        <f t="shared" si="197"/>
        <v>7.2999999999999989</v>
      </c>
      <c r="M123" s="5">
        <f t="shared" si="198"/>
        <v>8.6000000000000032</v>
      </c>
      <c r="N123" s="5">
        <f t="shared" si="192"/>
        <v>3.2000000000000046</v>
      </c>
      <c r="O123" s="5">
        <v>2.4</v>
      </c>
      <c r="P123" s="5">
        <f t="shared" si="199"/>
        <v>1</v>
      </c>
      <c r="Q123">
        <v>0</v>
      </c>
      <c r="R123">
        <v>0</v>
      </c>
      <c r="V123" s="5">
        <v>0.2</v>
      </c>
      <c r="W123" s="5">
        <v>0</v>
      </c>
      <c r="X123" s="5">
        <v>5.7</v>
      </c>
      <c r="Y123" s="5">
        <v>20.2</v>
      </c>
      <c r="Z123" s="5">
        <v>41.8</v>
      </c>
      <c r="AA123" s="5">
        <v>32.200000000000003</v>
      </c>
      <c r="AB123" s="5">
        <f t="shared" si="190"/>
        <v>3.4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</row>
    <row r="124" spans="2:38" x14ac:dyDescent="0.3">
      <c r="B124" t="s">
        <v>117</v>
      </c>
      <c r="G124" s="5"/>
      <c r="H124" s="5">
        <f t="shared" si="194"/>
        <v>0</v>
      </c>
      <c r="I124" s="5">
        <f t="shared" si="195"/>
        <v>0</v>
      </c>
      <c r="J124" s="5">
        <f t="shared" si="196"/>
        <v>0</v>
      </c>
      <c r="K124" s="5"/>
      <c r="L124" s="5">
        <f t="shared" si="197"/>
        <v>0</v>
      </c>
      <c r="M124" s="5">
        <f t="shared" si="198"/>
        <v>0.1</v>
      </c>
      <c r="N124" s="5">
        <f t="shared" si="192"/>
        <v>1.5999999999999999</v>
      </c>
      <c r="O124" s="5"/>
      <c r="P124" s="5">
        <f t="shared" si="199"/>
        <v>0</v>
      </c>
      <c r="Q124">
        <v>0</v>
      </c>
      <c r="R124">
        <v>0</v>
      </c>
      <c r="V124" s="5"/>
      <c r="W124" s="5"/>
      <c r="X124" s="5"/>
      <c r="Y124" s="5"/>
      <c r="Z124" s="5">
        <v>0</v>
      </c>
      <c r="AA124" s="5">
        <v>1.7</v>
      </c>
      <c r="AB124" s="5">
        <f t="shared" si="190"/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</row>
    <row r="125" spans="2:38" x14ac:dyDescent="0.3">
      <c r="B125" t="s">
        <v>80</v>
      </c>
      <c r="G125" s="5">
        <v>1.5</v>
      </c>
      <c r="H125" s="5">
        <f t="shared" si="194"/>
        <v>-89.6</v>
      </c>
      <c r="I125" s="5">
        <f t="shared" si="195"/>
        <v>53.399999999999991</v>
      </c>
      <c r="J125" s="5">
        <f t="shared" si="196"/>
        <v>-88.1</v>
      </c>
      <c r="K125" s="5">
        <v>96.4</v>
      </c>
      <c r="L125" s="5">
        <f t="shared" si="197"/>
        <v>-41.100000000000009</v>
      </c>
      <c r="M125" s="5">
        <f t="shared" si="198"/>
        <v>22.700000000000003</v>
      </c>
      <c r="N125" s="5">
        <f t="shared" si="192"/>
        <v>-20.299999999999997</v>
      </c>
      <c r="O125" s="5">
        <v>12.3</v>
      </c>
      <c r="P125" s="5">
        <f t="shared" si="199"/>
        <v>1.5</v>
      </c>
      <c r="Q125">
        <v>0</v>
      </c>
      <c r="R125">
        <v>0</v>
      </c>
      <c r="V125" s="5">
        <v>10.6</v>
      </c>
      <c r="W125" s="5">
        <v>-15.7</v>
      </c>
      <c r="X125" s="5">
        <v>-27.6</v>
      </c>
      <c r="Y125" s="5">
        <v>-30.9</v>
      </c>
      <c r="Z125" s="5">
        <v>-122.8</v>
      </c>
      <c r="AA125" s="5">
        <v>57.7</v>
      </c>
      <c r="AB125" s="5">
        <f t="shared" si="190"/>
        <v>13.8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</row>
    <row r="126" spans="2:38" x14ac:dyDescent="0.3">
      <c r="B126" t="s">
        <v>81</v>
      </c>
      <c r="G126" s="5">
        <v>-131.6</v>
      </c>
      <c r="H126" s="5">
        <f t="shared" si="194"/>
        <v>-138.1</v>
      </c>
      <c r="I126" s="5">
        <f t="shared" si="195"/>
        <v>-142.00000000000003</v>
      </c>
      <c r="J126" s="5">
        <f t="shared" si="196"/>
        <v>3.0999999999999659</v>
      </c>
      <c r="K126" s="5">
        <v>-38.299999999999997</v>
      </c>
      <c r="L126" s="5">
        <f t="shared" si="197"/>
        <v>26.4</v>
      </c>
      <c r="M126" s="5">
        <f t="shared" si="198"/>
        <v>42.8</v>
      </c>
      <c r="N126" s="5">
        <f t="shared" si="192"/>
        <v>98.4</v>
      </c>
      <c r="O126" s="5">
        <v>-18.399999999999999</v>
      </c>
      <c r="P126" s="5">
        <f t="shared" si="199"/>
        <v>34.799999999999997</v>
      </c>
      <c r="Q126">
        <v>0</v>
      </c>
      <c r="R126">
        <v>0</v>
      </c>
      <c r="V126" s="5">
        <v>-24.5</v>
      </c>
      <c r="W126" s="5">
        <v>-63.4</v>
      </c>
      <c r="X126" s="5">
        <v>-98.8</v>
      </c>
      <c r="Y126" s="5">
        <v>-363.7</v>
      </c>
      <c r="Z126" s="5">
        <v>-408.6</v>
      </c>
      <c r="AA126" s="5">
        <v>129.30000000000001</v>
      </c>
      <c r="AB126" s="5">
        <f t="shared" si="190"/>
        <v>16.399999999999999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</row>
    <row r="127" spans="2:38" x14ac:dyDescent="0.3">
      <c r="B127" t="s">
        <v>82</v>
      </c>
      <c r="G127" s="5">
        <v>-14.7</v>
      </c>
      <c r="H127" s="5">
        <f t="shared" si="194"/>
        <v>-9.1000000000000014</v>
      </c>
      <c r="I127" s="5">
        <f t="shared" si="195"/>
        <v>-15.2</v>
      </c>
      <c r="J127" s="5">
        <f t="shared" si="196"/>
        <v>-1.2999999999999972</v>
      </c>
      <c r="K127" s="5">
        <v>1.4</v>
      </c>
      <c r="L127" s="5">
        <f t="shared" si="197"/>
        <v>-4.3</v>
      </c>
      <c r="M127" s="5">
        <f t="shared" si="198"/>
        <v>-11.9</v>
      </c>
      <c r="N127" s="5">
        <f t="shared" si="192"/>
        <v>12.299999999999999</v>
      </c>
      <c r="O127" s="5">
        <v>0.6</v>
      </c>
      <c r="P127" s="5">
        <f t="shared" si="199"/>
        <v>-5.8</v>
      </c>
      <c r="Q127">
        <v>0</v>
      </c>
      <c r="R127">
        <v>0</v>
      </c>
      <c r="V127" s="5"/>
      <c r="W127" s="5">
        <v>0</v>
      </c>
      <c r="X127" s="5">
        <v>-10.6</v>
      </c>
      <c r="Y127" s="5">
        <v>-39.5</v>
      </c>
      <c r="Z127" s="5">
        <v>-40.299999999999997</v>
      </c>
      <c r="AA127" s="5">
        <v>-2.5</v>
      </c>
      <c r="AB127" s="5">
        <f t="shared" si="190"/>
        <v>-5.2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</row>
    <row r="128" spans="2:38" x14ac:dyDescent="0.3">
      <c r="B128" t="s">
        <v>83</v>
      </c>
      <c r="G128" s="5">
        <v>-5.5</v>
      </c>
      <c r="H128" s="5">
        <f t="shared" si="194"/>
        <v>14.7</v>
      </c>
      <c r="I128" s="5">
        <f t="shared" si="195"/>
        <v>-15.600000000000001</v>
      </c>
      <c r="J128" s="5">
        <f t="shared" si="196"/>
        <v>38.900000000000006</v>
      </c>
      <c r="K128" s="5">
        <v>-14.5</v>
      </c>
      <c r="L128" s="5">
        <f t="shared" si="197"/>
        <v>-6.3999999999999986</v>
      </c>
      <c r="M128" s="5">
        <f t="shared" si="198"/>
        <v>-21.9</v>
      </c>
      <c r="N128" s="5">
        <f t="shared" si="192"/>
        <v>11.599999999999998</v>
      </c>
      <c r="O128" s="5">
        <v>40.6</v>
      </c>
      <c r="P128" s="5">
        <f t="shared" si="199"/>
        <v>1.1000000000000014</v>
      </c>
      <c r="Q128">
        <v>0</v>
      </c>
      <c r="R128">
        <v>0</v>
      </c>
      <c r="V128" s="5">
        <v>-8.1</v>
      </c>
      <c r="W128" s="5">
        <v>-18.399999999999999</v>
      </c>
      <c r="X128" s="5">
        <v>-32.4</v>
      </c>
      <c r="Y128" s="5">
        <v>-92.5</v>
      </c>
      <c r="Z128" s="5">
        <v>32.5</v>
      </c>
      <c r="AA128" s="5">
        <v>-31.2</v>
      </c>
      <c r="AB128" s="5">
        <f t="shared" si="190"/>
        <v>41.7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</row>
    <row r="129" spans="2:38" x14ac:dyDescent="0.3">
      <c r="B129" t="s">
        <v>90</v>
      </c>
      <c r="G129" s="5">
        <v>13.8</v>
      </c>
      <c r="H129" s="5">
        <f t="shared" si="194"/>
        <v>-14.5</v>
      </c>
      <c r="I129" s="5">
        <f t="shared" si="195"/>
        <v>21.900000000000002</v>
      </c>
      <c r="J129" s="5">
        <f t="shared" si="196"/>
        <v>0.49999999999999645</v>
      </c>
      <c r="K129" s="5">
        <v>25.8</v>
      </c>
      <c r="L129" s="5">
        <f t="shared" si="197"/>
        <v>-41.6</v>
      </c>
      <c r="M129" s="5">
        <f t="shared" si="198"/>
        <v>-13.399999999999999</v>
      </c>
      <c r="N129" s="5">
        <f t="shared" si="192"/>
        <v>-30.3</v>
      </c>
      <c r="O129" s="5">
        <v>-47.6</v>
      </c>
      <c r="P129" s="5">
        <f t="shared" si="199"/>
        <v>43.5</v>
      </c>
      <c r="Q129">
        <v>0</v>
      </c>
      <c r="R129">
        <v>0</v>
      </c>
      <c r="V129" s="5">
        <v>19.899999999999999</v>
      </c>
      <c r="W129" s="5">
        <v>51.9</v>
      </c>
      <c r="X129" s="5">
        <v>24.9</v>
      </c>
      <c r="Y129" s="5">
        <v>88.5</v>
      </c>
      <c r="Z129" s="5">
        <v>21.7</v>
      </c>
      <c r="AA129" s="5">
        <v>-59.5</v>
      </c>
      <c r="AB129" s="5">
        <f t="shared" si="190"/>
        <v>-4.1000000000000014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</row>
    <row r="130" spans="2:38" x14ac:dyDescent="0.3">
      <c r="B130" t="s">
        <v>94</v>
      </c>
      <c r="G130" s="5">
        <v>0</v>
      </c>
      <c r="H130" s="5">
        <f t="shared" si="194"/>
        <v>-2.9</v>
      </c>
      <c r="I130" s="5">
        <f t="shared" si="195"/>
        <v>0</v>
      </c>
      <c r="J130" s="5">
        <f t="shared" si="196"/>
        <v>0</v>
      </c>
      <c r="K130" s="5">
        <v>-9.1999999999999993</v>
      </c>
      <c r="L130" s="5">
        <f t="shared" si="197"/>
        <v>0</v>
      </c>
      <c r="M130" s="5">
        <f t="shared" si="198"/>
        <v>0</v>
      </c>
      <c r="N130" s="5">
        <f t="shared" si="192"/>
        <v>-0.70000000000000107</v>
      </c>
      <c r="O130" s="5">
        <v>-6</v>
      </c>
      <c r="P130" s="5">
        <f t="shared" si="199"/>
        <v>-2.3000000000000007</v>
      </c>
      <c r="Q130">
        <v>0</v>
      </c>
      <c r="R130">
        <v>0</v>
      </c>
      <c r="V130" s="5"/>
      <c r="W130" s="5"/>
      <c r="X130" s="5"/>
      <c r="Y130" s="5"/>
      <c r="Z130" s="5">
        <v>-2.9</v>
      </c>
      <c r="AA130" s="5">
        <v>-9.9</v>
      </c>
      <c r="AB130" s="5">
        <f t="shared" si="190"/>
        <v>-8.3000000000000007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</row>
    <row r="131" spans="2:38" x14ac:dyDescent="0.3">
      <c r="B131" t="s">
        <v>114</v>
      </c>
      <c r="G131" s="5"/>
      <c r="H131" s="5"/>
      <c r="I131" s="5"/>
      <c r="J131" s="5"/>
      <c r="K131" s="5">
        <f t="shared" si="197"/>
        <v>0</v>
      </c>
      <c r="L131" s="5">
        <f t="shared" si="197"/>
        <v>0</v>
      </c>
      <c r="M131" s="5">
        <f t="shared" si="197"/>
        <v>0</v>
      </c>
      <c r="N131" s="5">
        <f t="shared" si="192"/>
        <v>-5.3</v>
      </c>
      <c r="O131" s="5">
        <v>-5.6</v>
      </c>
      <c r="P131" s="5">
        <f t="shared" si="199"/>
        <v>-5.5</v>
      </c>
      <c r="Q131">
        <v>0</v>
      </c>
      <c r="R131">
        <v>0</v>
      </c>
      <c r="V131" s="5"/>
      <c r="W131" s="5"/>
      <c r="X131" s="5"/>
      <c r="Y131" s="5"/>
      <c r="Z131" s="5">
        <v>0</v>
      </c>
      <c r="AA131" s="5">
        <v>-5.3</v>
      </c>
      <c r="AB131" s="5">
        <f t="shared" si="190"/>
        <v>-11.1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</row>
    <row r="132" spans="2:38" x14ac:dyDescent="0.3">
      <c r="B132" t="s">
        <v>100</v>
      </c>
      <c r="G132" s="5">
        <v>-9.6999999999999993</v>
      </c>
      <c r="H132" s="5">
        <f>H171-G132</f>
        <v>31.5</v>
      </c>
      <c r="I132" s="5">
        <f>I171-H132-G132</f>
        <v>1.8999999999999986</v>
      </c>
      <c r="J132" s="5">
        <f>J171-I132-H132-G132</f>
        <v>34.700000000000003</v>
      </c>
      <c r="K132" s="5">
        <v>-32.5</v>
      </c>
      <c r="L132" s="5">
        <f>L171-K132</f>
        <v>-10</v>
      </c>
      <c r="M132" s="5">
        <f>M171-L132-K132</f>
        <v>-53.900000000000006</v>
      </c>
      <c r="N132" s="5">
        <f t="shared" si="192"/>
        <v>10.700000000000003</v>
      </c>
      <c r="O132" s="5">
        <v>-21.7</v>
      </c>
      <c r="P132" s="5">
        <f>P171-O132</f>
        <v>-33.200000000000003</v>
      </c>
      <c r="Q132">
        <v>0</v>
      </c>
      <c r="R132">
        <v>0</v>
      </c>
      <c r="V132" s="5">
        <v>-5</v>
      </c>
      <c r="W132" s="5">
        <v>20.9</v>
      </c>
      <c r="X132" s="5">
        <v>70.7</v>
      </c>
      <c r="Y132" s="5">
        <v>40.6</v>
      </c>
      <c r="Z132" s="5">
        <v>58.4</v>
      </c>
      <c r="AA132" s="5">
        <v>-85.7</v>
      </c>
      <c r="AB132" s="5">
        <f t="shared" si="190"/>
        <v>-54.900000000000006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</row>
    <row r="133" spans="2:38" s="1" customFormat="1" x14ac:dyDescent="0.3">
      <c r="B133" s="1" t="s">
        <v>118</v>
      </c>
      <c r="G133" s="9">
        <f t="shared" ref="G133:N133" si="200">G104+SUM(G105:G132)</f>
        <v>-276.89999999999998</v>
      </c>
      <c r="H133" s="9">
        <f t="shared" si="200"/>
        <v>-348</v>
      </c>
      <c r="I133" s="9">
        <f t="shared" si="200"/>
        <v>-239.00000000000003</v>
      </c>
      <c r="J133" s="9">
        <f t="shared" si="200"/>
        <v>-242.80000000000024</v>
      </c>
      <c r="K133" s="9">
        <f t="shared" si="200"/>
        <v>-167.6</v>
      </c>
      <c r="L133" s="9">
        <f t="shared" si="200"/>
        <v>-254.59999999999997</v>
      </c>
      <c r="M133" s="9">
        <f t="shared" si="200"/>
        <v>-174.9</v>
      </c>
      <c r="N133" s="9">
        <f t="shared" si="200"/>
        <v>-131.40000000000009</v>
      </c>
      <c r="O133" s="9">
        <f t="shared" ref="O133:R133" si="201">O104+SUM(O105:O132)</f>
        <v>-177.1</v>
      </c>
      <c r="P133" s="9">
        <f t="shared" si="201"/>
        <v>-120.40000000000002</v>
      </c>
      <c r="Q133" s="9">
        <f t="shared" si="201"/>
        <v>-167.05899999999997</v>
      </c>
      <c r="R133" s="9">
        <f t="shared" si="201"/>
        <v>-230.39149999999995</v>
      </c>
      <c r="V133" s="9">
        <f t="shared" ref="V133:AA133" si="202">V104+SUM(V105:V132)</f>
        <v>-45.100000000000023</v>
      </c>
      <c r="W133" s="9">
        <f t="shared" si="202"/>
        <v>-155.50000000000011</v>
      </c>
      <c r="X133" s="9">
        <f t="shared" si="202"/>
        <v>-358.2000000000001</v>
      </c>
      <c r="Y133" s="9">
        <f t="shared" si="202"/>
        <v>-828.40000000000009</v>
      </c>
      <c r="Z133" s="9">
        <f t="shared" si="202"/>
        <v>-1106.7</v>
      </c>
      <c r="AA133" s="9">
        <f t="shared" si="202"/>
        <v>-728.5</v>
      </c>
      <c r="AB133" s="9">
        <f t="shared" ref="AB133:AL133" si="203">AB104+SUM(AB105:AB132)</f>
        <v>-694.95050000000015</v>
      </c>
      <c r="AC133" s="9">
        <f t="shared" si="203"/>
        <v>-383.71292100000016</v>
      </c>
      <c r="AD133" s="9">
        <f t="shared" si="203"/>
        <v>-221.27169542999982</v>
      </c>
      <c r="AE133" s="9">
        <f t="shared" si="203"/>
        <v>-56.278462792199917</v>
      </c>
      <c r="AF133" s="9">
        <f t="shared" si="203"/>
        <v>13.983717847493836</v>
      </c>
      <c r="AG133" s="9">
        <f t="shared" si="203"/>
        <v>75.524253188460662</v>
      </c>
      <c r="AH133" s="9">
        <f t="shared" si="203"/>
        <v>135.46215172223555</v>
      </c>
      <c r="AI133" s="9">
        <f t="shared" si="203"/>
        <v>195.67545388415351</v>
      </c>
      <c r="AJ133" s="9">
        <f t="shared" si="203"/>
        <v>257.08738865507166</v>
      </c>
      <c r="AK133" s="9">
        <f t="shared" si="203"/>
        <v>323.06509728236199</v>
      </c>
      <c r="AL133" s="9">
        <f t="shared" si="203"/>
        <v>395.72734604193079</v>
      </c>
    </row>
    <row r="134" spans="2:38" x14ac:dyDescent="0.3">
      <c r="B134" t="s">
        <v>84</v>
      </c>
      <c r="G134" s="5">
        <v>168.6</v>
      </c>
      <c r="H134" s="5">
        <f>H173-G134</f>
        <v>150.70000000000002</v>
      </c>
      <c r="I134" s="5">
        <f>I173-H134-G134</f>
        <v>164.69999999999996</v>
      </c>
      <c r="J134" s="5">
        <f>J173-I134-H134-G134</f>
        <v>181.20000000000007</v>
      </c>
      <c r="K134" s="5">
        <v>92.6</v>
      </c>
      <c r="L134" s="5">
        <f>L173-K134</f>
        <v>101.30000000000001</v>
      </c>
      <c r="M134" s="5">
        <f>M173-L134-K134</f>
        <v>59.199999999999989</v>
      </c>
      <c r="N134" s="5">
        <f t="shared" si="192"/>
        <v>34.000000000000028</v>
      </c>
      <c r="O134" s="5">
        <v>40.5</v>
      </c>
      <c r="P134" s="5">
        <f t="shared" ref="P134:P135" si="204">P173-O134</f>
        <v>38.599999999999994</v>
      </c>
      <c r="Q134" s="5">
        <v>40</v>
      </c>
      <c r="R134" s="5">
        <v>40</v>
      </c>
      <c r="V134" s="5">
        <v>5.7</v>
      </c>
      <c r="W134" s="5">
        <v>22.5</v>
      </c>
      <c r="X134" s="5">
        <v>172.2</v>
      </c>
      <c r="Y134" s="5">
        <v>436.6</v>
      </c>
      <c r="Z134" s="5">
        <v>665.2</v>
      </c>
      <c r="AA134" s="5">
        <v>287.10000000000002</v>
      </c>
      <c r="AB134" s="5">
        <f>SUM(O134:R134)</f>
        <v>159.1</v>
      </c>
      <c r="AC134" s="5">
        <f t="shared" ref="AC134:AL134" si="205">AB134*1.01</f>
        <v>160.691</v>
      </c>
      <c r="AD134" s="5">
        <f t="shared" si="205"/>
        <v>162.29791</v>
      </c>
      <c r="AE134" s="5">
        <f t="shared" si="205"/>
        <v>163.92088910000001</v>
      </c>
      <c r="AF134" s="5">
        <f t="shared" si="205"/>
        <v>165.56009799100002</v>
      </c>
      <c r="AG134" s="5">
        <f t="shared" si="205"/>
        <v>167.21569897091001</v>
      </c>
      <c r="AH134" s="5">
        <f t="shared" si="205"/>
        <v>168.88785596061911</v>
      </c>
      <c r="AI134" s="5">
        <f t="shared" si="205"/>
        <v>170.5767345202253</v>
      </c>
      <c r="AJ134" s="5">
        <f t="shared" si="205"/>
        <v>172.28250186542755</v>
      </c>
      <c r="AK134" s="5">
        <f t="shared" si="205"/>
        <v>174.00532688408182</v>
      </c>
      <c r="AL134" s="5">
        <f t="shared" si="205"/>
        <v>175.74538015292265</v>
      </c>
    </row>
    <row r="135" spans="2:38" x14ac:dyDescent="0.3">
      <c r="B135" t="s">
        <v>119</v>
      </c>
      <c r="G135" s="5">
        <v>11.4</v>
      </c>
      <c r="H135" s="5">
        <f>H174-G135</f>
        <v>7.9</v>
      </c>
      <c r="I135" s="5">
        <f>I174-H135-G135</f>
        <v>6.8000000000000025</v>
      </c>
      <c r="J135" s="5">
        <f>J174-I135-H135-G135</f>
        <v>4.7999999999999954</v>
      </c>
      <c r="K135" s="5">
        <v>6.1</v>
      </c>
      <c r="L135" s="5">
        <f>L174-K135</f>
        <v>4.9000000000000004</v>
      </c>
      <c r="M135" s="5">
        <f>M174-L135-K135</f>
        <v>30.5</v>
      </c>
      <c r="N135" s="5">
        <f t="shared" si="192"/>
        <v>5.7000000000000028</v>
      </c>
      <c r="O135" s="5">
        <v>5.6</v>
      </c>
      <c r="P135" s="5">
        <f t="shared" si="204"/>
        <v>1.8000000000000007</v>
      </c>
      <c r="Q135" s="5">
        <v>3</v>
      </c>
      <c r="R135" s="5">
        <v>4</v>
      </c>
      <c r="V135" s="5">
        <v>2.4</v>
      </c>
      <c r="W135" s="5">
        <v>25.7</v>
      </c>
      <c r="X135" s="5">
        <v>20.2</v>
      </c>
      <c r="Y135" s="5">
        <v>27.3</v>
      </c>
      <c r="Z135" s="5">
        <v>30.9</v>
      </c>
      <c r="AA135" s="5">
        <v>47.2</v>
      </c>
      <c r="AB135" s="5">
        <f>SUM(O135:R135)</f>
        <v>14.4</v>
      </c>
      <c r="AC135" s="5">
        <f t="shared" ref="AC135:AL135" si="206">AB135*1.03</f>
        <v>14.832000000000001</v>
      </c>
      <c r="AD135" s="5">
        <f t="shared" si="206"/>
        <v>15.276960000000001</v>
      </c>
      <c r="AE135" s="5">
        <f t="shared" si="206"/>
        <v>15.735268800000002</v>
      </c>
      <c r="AF135" s="5">
        <f t="shared" si="206"/>
        <v>16.207326864000002</v>
      </c>
      <c r="AG135" s="5">
        <f t="shared" si="206"/>
        <v>16.693546669920003</v>
      </c>
      <c r="AH135" s="5">
        <f t="shared" si="206"/>
        <v>17.194353070017605</v>
      </c>
      <c r="AI135" s="5">
        <f t="shared" si="206"/>
        <v>17.710183662118133</v>
      </c>
      <c r="AJ135" s="5">
        <f t="shared" si="206"/>
        <v>18.241489171981677</v>
      </c>
      <c r="AK135" s="5">
        <f t="shared" si="206"/>
        <v>18.788733847141128</v>
      </c>
      <c r="AL135" s="5">
        <f t="shared" si="206"/>
        <v>19.352395862555362</v>
      </c>
    </row>
    <row r="136" spans="2:38" x14ac:dyDescent="0.3">
      <c r="B136" t="s">
        <v>129</v>
      </c>
      <c r="G136" s="5">
        <f>G134+G135</f>
        <v>180</v>
      </c>
      <c r="H136" s="5">
        <f t="shared" ref="H136:N136" si="207">H134+H135</f>
        <v>158.60000000000002</v>
      </c>
      <c r="I136" s="5">
        <f t="shared" si="207"/>
        <v>171.49999999999997</v>
      </c>
      <c r="J136" s="5">
        <f t="shared" si="207"/>
        <v>186.00000000000006</v>
      </c>
      <c r="K136" s="5">
        <f t="shared" si="207"/>
        <v>98.699999999999989</v>
      </c>
      <c r="L136" s="5">
        <f t="shared" si="207"/>
        <v>106.20000000000002</v>
      </c>
      <c r="M136" s="5">
        <f t="shared" si="207"/>
        <v>89.699999999999989</v>
      </c>
      <c r="N136" s="5">
        <f t="shared" si="207"/>
        <v>39.700000000000031</v>
      </c>
      <c r="O136" s="5">
        <f t="shared" ref="O136:P136" si="208">O134+O135</f>
        <v>46.1</v>
      </c>
      <c r="P136" s="5">
        <f t="shared" si="208"/>
        <v>40.399999999999991</v>
      </c>
      <c r="Q136" s="5">
        <f t="shared" ref="Q136:R136" si="209">Q134+Q135</f>
        <v>43</v>
      </c>
      <c r="R136" s="5">
        <f t="shared" si="209"/>
        <v>44</v>
      </c>
      <c r="V136" s="5">
        <f t="shared" ref="V136:W136" si="210">V134+V135</f>
        <v>8.1</v>
      </c>
      <c r="W136" s="5">
        <f t="shared" si="210"/>
        <v>48.2</v>
      </c>
      <c r="X136" s="5">
        <f t="shared" ref="X136:Y136" si="211">X134+X135</f>
        <v>192.39999999999998</v>
      </c>
      <c r="Y136" s="5">
        <f t="shared" si="211"/>
        <v>463.90000000000003</v>
      </c>
      <c r="Z136" s="5">
        <f t="shared" ref="Z136:AA136" si="212">Z134+Z135</f>
        <v>696.1</v>
      </c>
      <c r="AA136" s="5">
        <f t="shared" si="212"/>
        <v>334.3</v>
      </c>
      <c r="AB136" s="5">
        <f t="shared" ref="AB136:AL136" si="213">AB134+AB135</f>
        <v>173.5</v>
      </c>
      <c r="AC136" s="5">
        <f t="shared" si="213"/>
        <v>175.523</v>
      </c>
      <c r="AD136" s="5">
        <f t="shared" si="213"/>
        <v>177.57487</v>
      </c>
      <c r="AE136" s="5">
        <f t="shared" si="213"/>
        <v>179.65615790000001</v>
      </c>
      <c r="AF136" s="5">
        <f t="shared" si="213"/>
        <v>181.76742485500003</v>
      </c>
      <c r="AG136" s="5">
        <f t="shared" si="213"/>
        <v>183.90924564083002</v>
      </c>
      <c r="AH136" s="5">
        <f t="shared" si="213"/>
        <v>186.0822090306367</v>
      </c>
      <c r="AI136" s="5">
        <f t="shared" si="213"/>
        <v>188.28691818234344</v>
      </c>
      <c r="AJ136" s="5">
        <f t="shared" si="213"/>
        <v>190.52399103740922</v>
      </c>
      <c r="AK136" s="5">
        <f t="shared" si="213"/>
        <v>192.79406073122294</v>
      </c>
      <c r="AL136" s="5">
        <f t="shared" si="213"/>
        <v>195.09777601547802</v>
      </c>
    </row>
    <row r="137" spans="2:38" s="1" customFormat="1" x14ac:dyDescent="0.3">
      <c r="B137" s="1" t="s">
        <v>120</v>
      </c>
      <c r="G137" s="9">
        <f>G133-G136</f>
        <v>-456.9</v>
      </c>
      <c r="H137" s="9">
        <f t="shared" ref="H137:N137" si="214">H133-H136</f>
        <v>-506.6</v>
      </c>
      <c r="I137" s="9">
        <f t="shared" si="214"/>
        <v>-410.5</v>
      </c>
      <c r="J137" s="9">
        <f t="shared" si="214"/>
        <v>-428.8000000000003</v>
      </c>
      <c r="K137" s="9">
        <f t="shared" si="214"/>
        <v>-266.29999999999995</v>
      </c>
      <c r="L137" s="9">
        <f t="shared" si="214"/>
        <v>-360.79999999999995</v>
      </c>
      <c r="M137" s="9">
        <f t="shared" si="214"/>
        <v>-264.60000000000002</v>
      </c>
      <c r="N137" s="9">
        <f t="shared" si="214"/>
        <v>-171.10000000000014</v>
      </c>
      <c r="O137" s="9">
        <f t="shared" ref="O137:P137" si="215">O133-O136</f>
        <v>-223.2</v>
      </c>
      <c r="P137" s="9">
        <f t="shared" si="215"/>
        <v>-160.80000000000001</v>
      </c>
      <c r="Q137" s="9">
        <f t="shared" ref="Q137:R137" si="216">Q133-Q136</f>
        <v>-210.05899999999997</v>
      </c>
      <c r="R137" s="9">
        <f t="shared" si="216"/>
        <v>-274.39149999999995</v>
      </c>
      <c r="V137" s="9">
        <f t="shared" ref="V137:W137" si="217">V133-V136</f>
        <v>-53.200000000000024</v>
      </c>
      <c r="W137" s="9">
        <f t="shared" si="217"/>
        <v>-203.7000000000001</v>
      </c>
      <c r="X137" s="9">
        <f t="shared" ref="X137:Y137" si="218">X133-X136</f>
        <v>-550.60000000000014</v>
      </c>
      <c r="Y137" s="9">
        <f t="shared" si="218"/>
        <v>-1292.3000000000002</v>
      </c>
      <c r="Z137" s="9">
        <f t="shared" ref="Z137:AA137" si="219">Z133-Z136</f>
        <v>-1802.8000000000002</v>
      </c>
      <c r="AA137" s="9">
        <f t="shared" si="219"/>
        <v>-1062.8</v>
      </c>
      <c r="AB137" s="9">
        <f t="shared" ref="AB137:AL137" si="220">AB133-AB136</f>
        <v>-868.45050000000015</v>
      </c>
      <c r="AC137" s="9">
        <f t="shared" si="220"/>
        <v>-559.23592100000019</v>
      </c>
      <c r="AD137" s="9">
        <f t="shared" si="220"/>
        <v>-398.84656542999983</v>
      </c>
      <c r="AE137" s="9">
        <f t="shared" si="220"/>
        <v>-235.93462069219993</v>
      </c>
      <c r="AF137" s="9">
        <f t="shared" si="220"/>
        <v>-167.78370700750619</v>
      </c>
      <c r="AG137" s="9">
        <f t="shared" si="220"/>
        <v>-108.38499245236936</v>
      </c>
      <c r="AH137" s="9">
        <f t="shared" si="220"/>
        <v>-50.620057308401158</v>
      </c>
      <c r="AI137" s="9">
        <f t="shared" si="220"/>
        <v>7.3885357018100706</v>
      </c>
      <c r="AJ137" s="9">
        <f t="shared" si="220"/>
        <v>66.563397617662446</v>
      </c>
      <c r="AK137" s="9">
        <f t="shared" si="220"/>
        <v>130.27103655113905</v>
      </c>
      <c r="AL137" s="9">
        <f t="shared" si="220"/>
        <v>200.62957002645277</v>
      </c>
    </row>
    <row r="138" spans="2:38" s="1" customFormat="1" x14ac:dyDescent="0.3"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Z138" s="9"/>
    </row>
    <row r="139" spans="2:38" x14ac:dyDescent="0.3">
      <c r="B139" t="s">
        <v>123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Z139" s="1"/>
    </row>
    <row r="140" spans="2:38" x14ac:dyDescent="0.3">
      <c r="B140" t="s">
        <v>130</v>
      </c>
      <c r="G140" s="5"/>
      <c r="H140" s="5"/>
      <c r="I140" s="5"/>
      <c r="J140" s="5"/>
      <c r="K140" s="10">
        <f>K136/G136-1</f>
        <v>-0.45166666666666677</v>
      </c>
      <c r="L140" s="10">
        <f t="shared" ref="L140:O140" si="221">L136/H136-1</f>
        <v>-0.33039092055485497</v>
      </c>
      <c r="M140" s="10">
        <f t="shared" si="221"/>
        <v>-0.4769679300291545</v>
      </c>
      <c r="N140" s="10">
        <f t="shared" si="221"/>
        <v>-0.78655913978494607</v>
      </c>
      <c r="O140" s="10">
        <f t="shared" si="221"/>
        <v>-0.5329280648429584</v>
      </c>
      <c r="P140" s="5"/>
      <c r="Q140" s="5"/>
      <c r="R140" s="5"/>
    </row>
    <row r="141" spans="2:38" x14ac:dyDescent="0.3">
      <c r="B141" t="s">
        <v>124</v>
      </c>
      <c r="G141" s="5"/>
      <c r="H141" s="5"/>
      <c r="I141" s="5"/>
      <c r="J141" s="5"/>
      <c r="K141" s="10"/>
      <c r="L141" s="10"/>
      <c r="M141" s="10"/>
      <c r="N141" s="10"/>
      <c r="O141" s="10"/>
      <c r="P141" s="10"/>
      <c r="Q141" s="10"/>
      <c r="R141" s="10"/>
    </row>
    <row r="143" spans="2:38" x14ac:dyDescent="0.3">
      <c r="B143" t="s">
        <v>121</v>
      </c>
      <c r="G143" s="5">
        <f>G104</f>
        <v>-206.59999999999997</v>
      </c>
      <c r="H143" s="5">
        <f>H104+G104</f>
        <v>-443</v>
      </c>
      <c r="I143" s="5">
        <f>I104+H104+G104</f>
        <v>-726.39999999999986</v>
      </c>
      <c r="J143" s="5">
        <f>J104+I104+H104+G104</f>
        <v>-1368.8000000000002</v>
      </c>
      <c r="K143" s="5">
        <f>K104</f>
        <v>-295.7</v>
      </c>
      <c r="L143" s="5">
        <f>L104+K104</f>
        <v>-557.79999999999995</v>
      </c>
      <c r="M143" s="5">
        <f>M104+L104+K104</f>
        <v>-768.89999999999986</v>
      </c>
      <c r="N143" s="5"/>
      <c r="O143" s="5"/>
      <c r="P143" s="5">
        <f>P104+O104</f>
        <v>-425.9</v>
      </c>
      <c r="Q143" s="5"/>
      <c r="R143" s="5"/>
    </row>
    <row r="144" spans="2:38" x14ac:dyDescent="0.3">
      <c r="B144" t="s">
        <v>105</v>
      </c>
      <c r="H144">
        <v>21.3</v>
      </c>
      <c r="I144">
        <v>37.799999999999997</v>
      </c>
      <c r="J144">
        <v>52</v>
      </c>
      <c r="L144">
        <v>34.6</v>
      </c>
      <c r="M144">
        <v>51.6</v>
      </c>
      <c r="P144" s="5">
        <v>24.9</v>
      </c>
    </row>
    <row r="145" spans="2:16" x14ac:dyDescent="0.3">
      <c r="B145" t="s">
        <v>106</v>
      </c>
      <c r="H145">
        <v>9.8000000000000007</v>
      </c>
      <c r="I145">
        <v>14.2</v>
      </c>
      <c r="J145">
        <v>19.100000000000001</v>
      </c>
      <c r="L145">
        <v>9.4</v>
      </c>
      <c r="M145">
        <v>14.2</v>
      </c>
      <c r="P145" s="5">
        <v>4</v>
      </c>
    </row>
    <row r="146" spans="2:16" x14ac:dyDescent="0.3">
      <c r="B146" t="s">
        <v>81</v>
      </c>
      <c r="H146">
        <v>11.8</v>
      </c>
      <c r="I146">
        <v>33.9</v>
      </c>
      <c r="J146">
        <v>93.7</v>
      </c>
      <c r="L146">
        <v>53.4</v>
      </c>
      <c r="M146">
        <v>67.8</v>
      </c>
      <c r="P146" s="5">
        <v>21.2</v>
      </c>
    </row>
    <row r="147" spans="2:16" x14ac:dyDescent="0.3">
      <c r="B147" t="s">
        <v>107</v>
      </c>
      <c r="H147">
        <v>83.2</v>
      </c>
      <c r="I147">
        <v>129.1</v>
      </c>
      <c r="J147">
        <v>162.9</v>
      </c>
      <c r="L147">
        <v>40</v>
      </c>
      <c r="M147">
        <v>64.099999999999994</v>
      </c>
      <c r="P147" s="5">
        <v>24.2</v>
      </c>
    </row>
    <row r="148" spans="2:16" x14ac:dyDescent="0.3">
      <c r="B148" t="s">
        <v>108</v>
      </c>
      <c r="H148">
        <v>0</v>
      </c>
      <c r="I148">
        <v>0</v>
      </c>
      <c r="J148">
        <v>0</v>
      </c>
      <c r="L148">
        <v>14</v>
      </c>
      <c r="M148">
        <v>14</v>
      </c>
      <c r="P148" s="5">
        <v>9.1</v>
      </c>
    </row>
    <row r="149" spans="2:16" x14ac:dyDescent="0.3">
      <c r="B149" t="s">
        <v>109</v>
      </c>
      <c r="H149">
        <v>0.9</v>
      </c>
      <c r="I149">
        <v>0.9</v>
      </c>
      <c r="J149">
        <v>8.4</v>
      </c>
      <c r="L149">
        <v>-1.3</v>
      </c>
      <c r="M149">
        <v>-1.5</v>
      </c>
      <c r="P149" s="5">
        <v>4.7</v>
      </c>
    </row>
    <row r="150" spans="2:16" x14ac:dyDescent="0.3">
      <c r="B150" t="s">
        <v>106</v>
      </c>
      <c r="H150">
        <v>1.2</v>
      </c>
      <c r="I150">
        <v>1.7</v>
      </c>
      <c r="J150">
        <v>2.2000000000000002</v>
      </c>
      <c r="L150">
        <v>-0.7</v>
      </c>
      <c r="M150">
        <v>-1.7</v>
      </c>
      <c r="P150" s="5">
        <v>-0.2</v>
      </c>
    </row>
    <row r="151" spans="2:16" x14ac:dyDescent="0.3">
      <c r="B151" t="s">
        <v>109</v>
      </c>
      <c r="H151">
        <v>14.3</v>
      </c>
      <c r="I151">
        <v>12.7</v>
      </c>
      <c r="J151">
        <v>11.2</v>
      </c>
      <c r="L151">
        <v>10.3</v>
      </c>
      <c r="M151">
        <v>16.3</v>
      </c>
      <c r="P151" s="5">
        <v>18.600000000000001</v>
      </c>
    </row>
    <row r="152" spans="2:16" x14ac:dyDescent="0.3">
      <c r="B152" t="s">
        <v>110</v>
      </c>
      <c r="H152">
        <v>1.5</v>
      </c>
      <c r="I152">
        <v>-0.6</v>
      </c>
      <c r="J152">
        <v>-8.5</v>
      </c>
      <c r="L152">
        <v>-0.2</v>
      </c>
      <c r="M152">
        <v>-0.1</v>
      </c>
      <c r="P152" s="5">
        <v>0</v>
      </c>
    </row>
    <row r="153" spans="2:16" x14ac:dyDescent="0.3">
      <c r="B153" t="s">
        <v>39</v>
      </c>
      <c r="H153">
        <v>11.1</v>
      </c>
      <c r="I153">
        <v>11.7</v>
      </c>
      <c r="J153">
        <f>20+249.5</f>
        <v>269.5</v>
      </c>
      <c r="L153">
        <v>4.2</v>
      </c>
      <c r="M153">
        <v>8.4</v>
      </c>
      <c r="P153" s="5">
        <v>21.7</v>
      </c>
    </row>
    <row r="154" spans="2:16" x14ac:dyDescent="0.3">
      <c r="B154" t="s">
        <v>111</v>
      </c>
      <c r="H154">
        <v>0.9</v>
      </c>
      <c r="I154">
        <v>35.9</v>
      </c>
      <c r="J154">
        <v>56.6</v>
      </c>
      <c r="L154">
        <v>7.3</v>
      </c>
      <c r="M154">
        <v>-0.6</v>
      </c>
      <c r="P154" s="5">
        <v>-25.8</v>
      </c>
    </row>
    <row r="155" spans="2:16" x14ac:dyDescent="0.3">
      <c r="B155" t="s">
        <v>112</v>
      </c>
      <c r="I155">
        <v>0</v>
      </c>
      <c r="M155">
        <v>2.5</v>
      </c>
      <c r="P155" s="5"/>
    </row>
    <row r="156" spans="2:16" x14ac:dyDescent="0.3">
      <c r="B156" t="s">
        <v>94</v>
      </c>
      <c r="H156">
        <v>24.1</v>
      </c>
      <c r="I156">
        <v>26.3</v>
      </c>
      <c r="J156">
        <v>30</v>
      </c>
      <c r="L156">
        <v>-5.4</v>
      </c>
      <c r="M156">
        <v>-5.3</v>
      </c>
      <c r="P156" s="5">
        <v>-12</v>
      </c>
    </row>
    <row r="157" spans="2:16" x14ac:dyDescent="0.3">
      <c r="B157" t="s">
        <v>40</v>
      </c>
      <c r="H157">
        <v>-0.3</v>
      </c>
      <c r="I157">
        <v>-0.3</v>
      </c>
      <c r="J157">
        <v>12.8</v>
      </c>
      <c r="L157">
        <v>0</v>
      </c>
      <c r="M157">
        <v>0</v>
      </c>
      <c r="P157" s="5">
        <v>48.2</v>
      </c>
    </row>
    <row r="158" spans="2:16" x14ac:dyDescent="0.3">
      <c r="B158" t="s">
        <v>39</v>
      </c>
      <c r="I158">
        <v>10.8</v>
      </c>
      <c r="M158">
        <v>0</v>
      </c>
      <c r="P158" s="5"/>
    </row>
    <row r="159" spans="2:16" x14ac:dyDescent="0.3">
      <c r="B159" t="s">
        <v>113</v>
      </c>
      <c r="H159">
        <v>-5.9</v>
      </c>
      <c r="I159">
        <v>-5.0999999999999996</v>
      </c>
      <c r="J159">
        <v>-6.6</v>
      </c>
      <c r="L159">
        <v>0</v>
      </c>
      <c r="M159">
        <v>0</v>
      </c>
      <c r="P159" s="5"/>
    </row>
    <row r="160" spans="2:16" x14ac:dyDescent="0.3">
      <c r="B160" t="s">
        <v>114</v>
      </c>
      <c r="H160">
        <v>-5.6</v>
      </c>
      <c r="I160">
        <v>-7.7</v>
      </c>
      <c r="J160">
        <v>-9.6</v>
      </c>
      <c r="L160">
        <v>-2.5</v>
      </c>
      <c r="M160">
        <v>-3.5</v>
      </c>
      <c r="P160" s="5">
        <v>0</v>
      </c>
    </row>
    <row r="161" spans="2:16" x14ac:dyDescent="0.3">
      <c r="B161" t="s">
        <v>115</v>
      </c>
      <c r="H161">
        <v>-8.9</v>
      </c>
      <c r="I161">
        <v>-9</v>
      </c>
      <c r="J161">
        <v>-11.4</v>
      </c>
      <c r="L161">
        <v>0</v>
      </c>
      <c r="M161">
        <v>0</v>
      </c>
      <c r="P161" s="5">
        <v>-1.9</v>
      </c>
    </row>
    <row r="162" spans="2:16" x14ac:dyDescent="0.3">
      <c r="B162" t="s">
        <v>116</v>
      </c>
      <c r="H162">
        <v>12.9</v>
      </c>
      <c r="I162">
        <v>20</v>
      </c>
      <c r="J162">
        <v>41.8</v>
      </c>
      <c r="L162">
        <v>20.399999999999999</v>
      </c>
      <c r="M162">
        <v>29</v>
      </c>
      <c r="P162" s="5">
        <v>3.4</v>
      </c>
    </row>
    <row r="163" spans="2:16" x14ac:dyDescent="0.3">
      <c r="B163" t="s">
        <v>117</v>
      </c>
      <c r="I163">
        <v>0</v>
      </c>
      <c r="M163">
        <v>0.1</v>
      </c>
      <c r="P163" s="5"/>
    </row>
    <row r="164" spans="2:16" x14ac:dyDescent="0.3">
      <c r="B164" t="s">
        <v>80</v>
      </c>
      <c r="H164">
        <v>-88.1</v>
      </c>
      <c r="I164">
        <v>-34.700000000000003</v>
      </c>
      <c r="J164">
        <v>-122.8</v>
      </c>
      <c r="L164">
        <v>55.3</v>
      </c>
      <c r="M164">
        <v>78</v>
      </c>
      <c r="P164" s="5">
        <v>13.8</v>
      </c>
    </row>
    <row r="165" spans="2:16" x14ac:dyDescent="0.3">
      <c r="B165" t="s">
        <v>81</v>
      </c>
      <c r="H165">
        <v>-269.7</v>
      </c>
      <c r="I165">
        <v>-411.7</v>
      </c>
      <c r="J165">
        <v>-408.6</v>
      </c>
      <c r="L165">
        <v>-11.9</v>
      </c>
      <c r="M165">
        <v>30.9</v>
      </c>
      <c r="P165" s="5">
        <v>16.399999999999999</v>
      </c>
    </row>
    <row r="166" spans="2:16" x14ac:dyDescent="0.3">
      <c r="B166" t="s">
        <v>82</v>
      </c>
      <c r="H166">
        <v>-23.8</v>
      </c>
      <c r="I166">
        <v>-39</v>
      </c>
      <c r="J166">
        <v>-40.299999999999997</v>
      </c>
      <c r="L166">
        <v>-2.9</v>
      </c>
      <c r="M166">
        <v>-14.8</v>
      </c>
      <c r="P166" s="5">
        <v>-5.2</v>
      </c>
    </row>
    <row r="167" spans="2:16" x14ac:dyDescent="0.3">
      <c r="B167" t="s">
        <v>83</v>
      </c>
      <c r="H167">
        <v>9.1999999999999993</v>
      </c>
      <c r="I167">
        <v>-6.4</v>
      </c>
      <c r="J167">
        <v>32.5</v>
      </c>
      <c r="L167">
        <v>-20.9</v>
      </c>
      <c r="M167">
        <v>-42.8</v>
      </c>
      <c r="P167" s="5">
        <v>41.7</v>
      </c>
    </row>
    <row r="168" spans="2:16" x14ac:dyDescent="0.3">
      <c r="B168" t="s">
        <v>90</v>
      </c>
      <c r="H168">
        <v>-0.7</v>
      </c>
      <c r="I168">
        <v>21.2</v>
      </c>
      <c r="J168">
        <v>21.7</v>
      </c>
      <c r="L168">
        <v>-15.8</v>
      </c>
      <c r="M168">
        <v>-29.2</v>
      </c>
      <c r="P168" s="5">
        <v>-4.0999999999999996</v>
      </c>
    </row>
    <row r="169" spans="2:16" x14ac:dyDescent="0.3">
      <c r="B169" t="s">
        <v>94</v>
      </c>
      <c r="H169">
        <v>-2.9</v>
      </c>
      <c r="I169">
        <v>-2.9</v>
      </c>
      <c r="J169">
        <v>-2.9</v>
      </c>
      <c r="L169">
        <v>-9.1999999999999993</v>
      </c>
      <c r="M169">
        <v>-9.1999999999999993</v>
      </c>
      <c r="P169" s="5">
        <v>-8.3000000000000007</v>
      </c>
    </row>
    <row r="170" spans="2:16" x14ac:dyDescent="0.3">
      <c r="B170" t="s">
        <v>114</v>
      </c>
      <c r="P170" s="5">
        <v>-11.1</v>
      </c>
    </row>
    <row r="171" spans="2:16" x14ac:dyDescent="0.3">
      <c r="B171" t="s">
        <v>100</v>
      </c>
      <c r="H171">
        <v>21.8</v>
      </c>
      <c r="I171">
        <v>23.7</v>
      </c>
      <c r="J171">
        <v>58.4</v>
      </c>
      <c r="L171">
        <v>-42.5</v>
      </c>
      <c r="M171">
        <v>-96.4</v>
      </c>
      <c r="P171" s="5">
        <v>-54.9</v>
      </c>
    </row>
    <row r="172" spans="2:16" x14ac:dyDescent="0.3">
      <c r="B172" t="s">
        <v>122</v>
      </c>
      <c r="H172" s="5">
        <f t="shared" ref="H172:M172" si="222">H143+SUM(H144:H171)</f>
        <v>-624.9</v>
      </c>
      <c r="I172" s="5">
        <f t="shared" si="222"/>
        <v>-863.89999999999986</v>
      </c>
      <c r="J172" s="5">
        <f t="shared" si="222"/>
        <v>-1106.7000000000003</v>
      </c>
      <c r="K172" s="5"/>
      <c r="L172" s="5">
        <f t="shared" si="222"/>
        <v>-422.19999999999993</v>
      </c>
      <c r="M172" s="5">
        <f t="shared" si="222"/>
        <v>-597.09999999999991</v>
      </c>
      <c r="P172" s="5">
        <f>P143+SUM(P144:P171)</f>
        <v>-297.5</v>
      </c>
    </row>
    <row r="173" spans="2:16" x14ac:dyDescent="0.3">
      <c r="B173" t="s">
        <v>84</v>
      </c>
      <c r="H173">
        <v>319.3</v>
      </c>
      <c r="I173">
        <v>484</v>
      </c>
      <c r="J173">
        <v>665.2</v>
      </c>
      <c r="L173">
        <v>193.9</v>
      </c>
      <c r="M173">
        <v>253.1</v>
      </c>
      <c r="P173" s="5">
        <v>79.099999999999994</v>
      </c>
    </row>
    <row r="174" spans="2:16" x14ac:dyDescent="0.3">
      <c r="B174" t="s">
        <v>119</v>
      </c>
      <c r="H174">
        <v>19.3</v>
      </c>
      <c r="I174">
        <v>26.1</v>
      </c>
      <c r="J174">
        <v>30.9</v>
      </c>
      <c r="L174">
        <v>11</v>
      </c>
      <c r="M174">
        <v>41.5</v>
      </c>
      <c r="P174" s="5">
        <v>7.4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2024-11-12T14:02:29Z</dcterms:created>
  <dcterms:modified xsi:type="dcterms:W3CDTF">2025-10-20T14:48:54Z</dcterms:modified>
</cp:coreProperties>
</file>