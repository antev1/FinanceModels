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948C1516-A0D0-4E69-B4B9-9D6FC2D216B6}" xr6:coauthVersionLast="47" xr6:coauthVersionMax="47" xr10:uidLastSave="{00000000-0000-0000-0000-000000000000}"/>
  <bookViews>
    <workbookView xWindow="-108" yWindow="-108" windowWidth="23256" windowHeight="12576" activeTab="1" xr2:uid="{DB7E2C7A-A509-42A2-AA08-E3EE5FAF4B2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0" i="2" l="1"/>
  <c r="AM29" i="2"/>
  <c r="AM28" i="2"/>
  <c r="AM27" i="2"/>
  <c r="AM26" i="2"/>
  <c r="AM25" i="2"/>
  <c r="AL18" i="2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AK18" i="2"/>
  <c r="AJ31" i="2"/>
  <c r="AI31" i="2"/>
  <c r="AH31" i="2"/>
  <c r="AG31" i="2"/>
  <c r="AF31" i="2"/>
  <c r="AE31" i="2"/>
  <c r="AD31" i="2"/>
  <c r="AC31" i="2"/>
  <c r="AB31" i="2"/>
  <c r="AA31" i="2"/>
  <c r="Z31" i="2"/>
  <c r="AJ30" i="2"/>
  <c r="AI30" i="2"/>
  <c r="AH30" i="2"/>
  <c r="AG30" i="2"/>
  <c r="AF30" i="2"/>
  <c r="AE30" i="2"/>
  <c r="AD30" i="2"/>
  <c r="AC30" i="2"/>
  <c r="AB30" i="2"/>
  <c r="AA30" i="2"/>
  <c r="Z30" i="2"/>
  <c r="AJ29" i="2"/>
  <c r="AI29" i="2"/>
  <c r="AH29" i="2"/>
  <c r="AG29" i="2"/>
  <c r="AF29" i="2"/>
  <c r="AE29" i="2"/>
  <c r="AD29" i="2"/>
  <c r="AC29" i="2"/>
  <c r="AB29" i="2"/>
  <c r="AA29" i="2"/>
  <c r="Z29" i="2"/>
  <c r="AJ28" i="2"/>
  <c r="AI28" i="2"/>
  <c r="AH28" i="2"/>
  <c r="AG28" i="2"/>
  <c r="AF28" i="2"/>
  <c r="AE28" i="2"/>
  <c r="AD28" i="2"/>
  <c r="AC28" i="2"/>
  <c r="AB28" i="2"/>
  <c r="AA28" i="2"/>
  <c r="Z28" i="2"/>
  <c r="AJ27" i="2"/>
  <c r="AI27" i="2"/>
  <c r="AH27" i="2"/>
  <c r="AG27" i="2"/>
  <c r="AF27" i="2"/>
  <c r="AE27" i="2"/>
  <c r="AD27" i="2"/>
  <c r="AC27" i="2"/>
  <c r="AB27" i="2"/>
  <c r="AA27" i="2"/>
  <c r="Z27" i="2"/>
  <c r="AJ26" i="2"/>
  <c r="AI26" i="2"/>
  <c r="AH26" i="2"/>
  <c r="AG26" i="2"/>
  <c r="AF26" i="2"/>
  <c r="AE26" i="2"/>
  <c r="AD26" i="2"/>
  <c r="AC26" i="2"/>
  <c r="AB26" i="2"/>
  <c r="AA26" i="2"/>
  <c r="Z26" i="2"/>
  <c r="AJ25" i="2"/>
  <c r="AI25" i="2"/>
  <c r="AH25" i="2"/>
  <c r="AG25" i="2"/>
  <c r="AF25" i="2"/>
  <c r="AE25" i="2"/>
  <c r="AD25" i="2"/>
  <c r="AC25" i="2"/>
  <c r="AB25" i="2"/>
  <c r="AA25" i="2"/>
  <c r="Z25" i="2"/>
  <c r="AJ24" i="2"/>
  <c r="AI24" i="2"/>
  <c r="AH24" i="2"/>
  <c r="AG24" i="2"/>
  <c r="AF24" i="2"/>
  <c r="AE24" i="2"/>
  <c r="AD24" i="2"/>
  <c r="AC24" i="2"/>
  <c r="AB24" i="2"/>
  <c r="AA24" i="2"/>
  <c r="Z24" i="2"/>
  <c r="AJ23" i="2"/>
  <c r="AI23" i="2"/>
  <c r="AH23" i="2"/>
  <c r="AG23" i="2"/>
  <c r="AF23" i="2"/>
  <c r="AE23" i="2"/>
  <c r="AD23" i="2"/>
  <c r="AC23" i="2"/>
  <c r="AB23" i="2"/>
  <c r="AA23" i="2"/>
  <c r="Z23" i="2"/>
  <c r="AJ22" i="2"/>
  <c r="AI22" i="2"/>
  <c r="AH22" i="2"/>
  <c r="AG22" i="2"/>
  <c r="AF22" i="2"/>
  <c r="AE22" i="2"/>
  <c r="AD22" i="2"/>
  <c r="AC22" i="2"/>
  <c r="AB22" i="2"/>
  <c r="AA22" i="2"/>
  <c r="Z22" i="2"/>
  <c r="AA14" i="2"/>
  <c r="AB14" i="2" s="1"/>
  <c r="AC14" i="2" s="1"/>
  <c r="AD14" i="2" s="1"/>
  <c r="AE14" i="2" s="1"/>
  <c r="AF14" i="2" s="1"/>
  <c r="AG14" i="2" s="1"/>
  <c r="AH14" i="2" s="1"/>
  <c r="AI14" i="2" s="1"/>
  <c r="AJ14" i="2" s="1"/>
  <c r="AA13" i="2"/>
  <c r="AB13" i="2" s="1"/>
  <c r="AC13" i="2" s="1"/>
  <c r="AD13" i="2" s="1"/>
  <c r="AE13" i="2" s="1"/>
  <c r="AF13" i="2" s="1"/>
  <c r="AG13" i="2" s="1"/>
  <c r="AH13" i="2" s="1"/>
  <c r="AI13" i="2" s="1"/>
  <c r="AJ13" i="2" s="1"/>
  <c r="AB12" i="2"/>
  <c r="AA12" i="2"/>
  <c r="AA15" i="2" s="1"/>
  <c r="AA10" i="2"/>
  <c r="AB10" i="2" s="1"/>
  <c r="AC10" i="2" s="1"/>
  <c r="AD10" i="2" s="1"/>
  <c r="AE10" i="2" s="1"/>
  <c r="AF10" i="2" s="1"/>
  <c r="AG10" i="2" s="1"/>
  <c r="AH10" i="2" s="1"/>
  <c r="AI10" i="2" s="1"/>
  <c r="AJ10" i="2" s="1"/>
  <c r="AI9" i="2"/>
  <c r="AA9" i="2"/>
  <c r="AA11" i="2" s="1"/>
  <c r="AA16" i="2" s="1"/>
  <c r="AJ8" i="2"/>
  <c r="AJ9" i="2" s="1"/>
  <c r="AJ11" i="2" s="1"/>
  <c r="AI8" i="2"/>
  <c r="AC8" i="2"/>
  <c r="AC9" i="2" s="1"/>
  <c r="AC11" i="2" s="1"/>
  <c r="AB8" i="2"/>
  <c r="AB9" i="2" s="1"/>
  <c r="AA8" i="2"/>
  <c r="AJ7" i="2"/>
  <c r="AI7" i="2"/>
  <c r="AH7" i="2"/>
  <c r="AG7" i="2"/>
  <c r="AF7" i="2"/>
  <c r="AE7" i="2"/>
  <c r="AD7" i="2"/>
  <c r="AC7" i="2"/>
  <c r="AB7" i="2"/>
  <c r="AA7" i="2"/>
  <c r="AJ6" i="2"/>
  <c r="AI6" i="2"/>
  <c r="AH6" i="2"/>
  <c r="AH8" i="2" s="1"/>
  <c r="AH9" i="2" s="1"/>
  <c r="AH11" i="2" s="1"/>
  <c r="AG6" i="2"/>
  <c r="AG8" i="2" s="1"/>
  <c r="AG9" i="2" s="1"/>
  <c r="AG11" i="2" s="1"/>
  <c r="AF6" i="2"/>
  <c r="AF8" i="2" s="1"/>
  <c r="AF9" i="2" s="1"/>
  <c r="AE6" i="2"/>
  <c r="AE8" i="2" s="1"/>
  <c r="AE9" i="2" s="1"/>
  <c r="AD6" i="2"/>
  <c r="AD8" i="2" s="1"/>
  <c r="AD9" i="2" s="1"/>
  <c r="AD11" i="2" s="1"/>
  <c r="AC6" i="2"/>
  <c r="AB6" i="2"/>
  <c r="AA6" i="2"/>
  <c r="Z15" i="2"/>
  <c r="Z14" i="2"/>
  <c r="Z13" i="2"/>
  <c r="Z12" i="2"/>
  <c r="Z10" i="2"/>
  <c r="Z8" i="2"/>
  <c r="Z9" i="2" s="1"/>
  <c r="Z11" i="2" s="1"/>
  <c r="Z7" i="2"/>
  <c r="Z6" i="2"/>
  <c r="AJ5" i="2"/>
  <c r="AI5" i="2"/>
  <c r="AH5" i="2"/>
  <c r="AG5" i="2"/>
  <c r="AF5" i="2"/>
  <c r="AE5" i="2"/>
  <c r="AD5" i="2"/>
  <c r="AC5" i="2"/>
  <c r="AB5" i="2"/>
  <c r="AA5" i="2"/>
  <c r="Z5" i="2"/>
  <c r="AA4" i="2"/>
  <c r="AB4" i="2" s="1"/>
  <c r="AC4" i="2" s="1"/>
  <c r="AD4" i="2" s="1"/>
  <c r="AE4" i="2" s="1"/>
  <c r="AF4" i="2" s="1"/>
  <c r="AG4" i="2" s="1"/>
  <c r="AH4" i="2" s="1"/>
  <c r="AI4" i="2" s="1"/>
  <c r="AJ4" i="2" s="1"/>
  <c r="Z4" i="2"/>
  <c r="AE3" i="2"/>
  <c r="AF3" i="2" s="1"/>
  <c r="AG3" i="2" s="1"/>
  <c r="AH3" i="2" s="1"/>
  <c r="AI3" i="2" s="1"/>
  <c r="AJ3" i="2" s="1"/>
  <c r="AD3" i="2"/>
  <c r="AC3" i="2"/>
  <c r="AB3" i="2"/>
  <c r="AA3" i="2"/>
  <c r="Z3" i="2"/>
  <c r="K31" i="2"/>
  <c r="K30" i="2"/>
  <c r="K29" i="2"/>
  <c r="K27" i="2"/>
  <c r="K26" i="2"/>
  <c r="K25" i="2"/>
  <c r="O28" i="2"/>
  <c r="O24" i="2"/>
  <c r="O23" i="2"/>
  <c r="O22" i="2"/>
  <c r="O31" i="2"/>
  <c r="O30" i="2"/>
  <c r="O29" i="2"/>
  <c r="O27" i="2"/>
  <c r="O26" i="2"/>
  <c r="O25" i="2"/>
  <c r="X31" i="2"/>
  <c r="W31" i="2"/>
  <c r="V31" i="2"/>
  <c r="U31" i="2"/>
  <c r="T31" i="2"/>
  <c r="X30" i="2"/>
  <c r="W30" i="2"/>
  <c r="V30" i="2"/>
  <c r="U30" i="2"/>
  <c r="T30" i="2"/>
  <c r="X29" i="2"/>
  <c r="W29" i="2"/>
  <c r="V29" i="2"/>
  <c r="U29" i="2"/>
  <c r="T29" i="2"/>
  <c r="X28" i="2"/>
  <c r="W28" i="2"/>
  <c r="V28" i="2"/>
  <c r="U28" i="2"/>
  <c r="X27" i="2"/>
  <c r="W27" i="2"/>
  <c r="V27" i="2"/>
  <c r="U27" i="2"/>
  <c r="T27" i="2"/>
  <c r="X26" i="2"/>
  <c r="W26" i="2"/>
  <c r="V26" i="2"/>
  <c r="U26" i="2"/>
  <c r="T26" i="2"/>
  <c r="X25" i="2"/>
  <c r="W25" i="2"/>
  <c r="V25" i="2"/>
  <c r="U25" i="2"/>
  <c r="T25" i="2"/>
  <c r="X24" i="2"/>
  <c r="W24" i="2"/>
  <c r="V24" i="2"/>
  <c r="U24" i="2"/>
  <c r="X23" i="2"/>
  <c r="W23" i="2"/>
  <c r="V23" i="2"/>
  <c r="U23" i="2"/>
  <c r="X22" i="2"/>
  <c r="W22" i="2"/>
  <c r="V22" i="2"/>
  <c r="U22" i="2"/>
  <c r="Y28" i="2"/>
  <c r="Y26" i="2"/>
  <c r="Y25" i="2"/>
  <c r="Y24" i="2"/>
  <c r="Y23" i="2"/>
  <c r="Y22" i="2"/>
  <c r="AA17" i="2" l="1"/>
  <c r="AA18" i="2" s="1"/>
  <c r="AA20" i="2" s="1"/>
  <c r="AE11" i="2"/>
  <c r="AI11" i="2"/>
  <c r="AF11" i="2"/>
  <c r="AB11" i="2"/>
  <c r="AB16" i="2" s="1"/>
  <c r="AB15" i="2"/>
  <c r="AC12" i="2"/>
  <c r="Z16" i="2"/>
  <c r="T13" i="2"/>
  <c r="T15" i="2" s="1"/>
  <c r="T8" i="2"/>
  <c r="T5" i="2"/>
  <c r="U13" i="2"/>
  <c r="U15" i="2" s="1"/>
  <c r="U8" i="2"/>
  <c r="U5" i="2"/>
  <c r="O5" i="2"/>
  <c r="O8" i="2"/>
  <c r="O9" i="2"/>
  <c r="O11" i="2" s="1"/>
  <c r="O16" i="2" s="1"/>
  <c r="O18" i="2" s="1"/>
  <c r="O20" i="2" s="1"/>
  <c r="O15" i="2"/>
  <c r="V14" i="2"/>
  <c r="V13" i="2"/>
  <c r="V8" i="2"/>
  <c r="V5" i="2"/>
  <c r="W13" i="2"/>
  <c r="W15" i="2"/>
  <c r="W8" i="2"/>
  <c r="W5" i="2"/>
  <c r="X13" i="2"/>
  <c r="X15" i="2" s="1"/>
  <c r="X8" i="2"/>
  <c r="X5" i="2"/>
  <c r="Y13" i="2"/>
  <c r="Y15" i="2" s="1"/>
  <c r="Y8" i="2"/>
  <c r="Y5" i="2"/>
  <c r="K15" i="2"/>
  <c r="K8" i="2"/>
  <c r="K5" i="2"/>
  <c r="AD12" i="2" l="1"/>
  <c r="AC15" i="2"/>
  <c r="AC16" i="2" s="1"/>
  <c r="AB18" i="2"/>
  <c r="AB20" i="2" s="1"/>
  <c r="AB17" i="2"/>
  <c r="Z17" i="2"/>
  <c r="Z18" i="2"/>
  <c r="Z20" i="2" s="1"/>
  <c r="T9" i="2"/>
  <c r="T11" i="2" s="1"/>
  <c r="T16" i="2" s="1"/>
  <c r="T18" i="2" s="1"/>
  <c r="T20" i="2" s="1"/>
  <c r="U9" i="2"/>
  <c r="U11" i="2" s="1"/>
  <c r="U16" i="2" s="1"/>
  <c r="U18" i="2" s="1"/>
  <c r="U20" i="2" s="1"/>
  <c r="V15" i="2"/>
  <c r="V9" i="2"/>
  <c r="V11" i="2" s="1"/>
  <c r="W9" i="2"/>
  <c r="W11" i="2" s="1"/>
  <c r="W16" i="2" s="1"/>
  <c r="W18" i="2" s="1"/>
  <c r="W20" i="2" s="1"/>
  <c r="X9" i="2"/>
  <c r="X11" i="2" s="1"/>
  <c r="X16" i="2" s="1"/>
  <c r="X18" i="2" s="1"/>
  <c r="X20" i="2" s="1"/>
  <c r="Y9" i="2"/>
  <c r="K9" i="2"/>
  <c r="K11" i="2" s="1"/>
  <c r="K16" i="2" s="1"/>
  <c r="K18" i="2" s="1"/>
  <c r="K20" i="2" s="1"/>
  <c r="D9" i="1"/>
  <c r="D8" i="1"/>
  <c r="D7" i="1"/>
  <c r="D6" i="1"/>
  <c r="D5" i="1"/>
  <c r="F3" i="1"/>
  <c r="AC17" i="2" l="1"/>
  <c r="AC18" i="2" s="1"/>
  <c r="AC20" i="2" s="1"/>
  <c r="AD15" i="2"/>
  <c r="AD16" i="2" s="1"/>
  <c r="AE12" i="2"/>
  <c r="Y11" i="2"/>
  <c r="Y27" i="2"/>
  <c r="V16" i="2"/>
  <c r="V18" i="2" s="1"/>
  <c r="V20" i="2" s="1"/>
  <c r="AF12" i="2" l="1"/>
  <c r="AE15" i="2"/>
  <c r="AE16" i="2" s="1"/>
  <c r="AD17" i="2"/>
  <c r="AD18" i="2" s="1"/>
  <c r="AD20" i="2" s="1"/>
  <c r="Y16" i="2"/>
  <c r="Y29" i="2"/>
  <c r="AE17" i="2" l="1"/>
  <c r="AE18" i="2"/>
  <c r="AE20" i="2" s="1"/>
  <c r="AG12" i="2"/>
  <c r="AF15" i="2"/>
  <c r="AF16" i="2" s="1"/>
  <c r="Y18" i="2"/>
  <c r="Y30" i="2"/>
  <c r="AF17" i="2" l="1"/>
  <c r="AF18" i="2" s="1"/>
  <c r="AF20" i="2" s="1"/>
  <c r="AH12" i="2"/>
  <c r="AG15" i="2"/>
  <c r="AG16" i="2" s="1"/>
  <c r="Y20" i="2"/>
  <c r="Y31" i="2"/>
  <c r="AG17" i="2" l="1"/>
  <c r="AG18" i="2" s="1"/>
  <c r="AG20" i="2" s="1"/>
  <c r="AH15" i="2"/>
  <c r="AH16" i="2" s="1"/>
  <c r="AI12" i="2"/>
  <c r="AI15" i="2" l="1"/>
  <c r="AI16" i="2" s="1"/>
  <c r="AJ12" i="2"/>
  <c r="AJ15" i="2" s="1"/>
  <c r="AJ16" i="2" s="1"/>
  <c r="AH17" i="2"/>
  <c r="AH18" i="2" s="1"/>
  <c r="AH20" i="2" s="1"/>
  <c r="AJ17" i="2" l="1"/>
  <c r="AJ18" i="2" s="1"/>
  <c r="AJ20" i="2" s="1"/>
  <c r="AI17" i="2"/>
  <c r="AI18" i="2"/>
  <c r="AI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V14" authorId="0" shapeId="0" xr:uid="{29339D8B-7A8D-4080-8A2A-42C9CB066597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gain on sale of business</t>
        </r>
      </text>
    </comment>
  </commentList>
</comments>
</file>

<file path=xl/sharedStrings.xml><?xml version="1.0" encoding="utf-8"?>
<sst xmlns="http://schemas.openxmlformats.org/spreadsheetml/2006/main" count="68" uniqueCount="63">
  <si>
    <t>NOC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</si>
  <si>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</si>
  <si>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</si>
  <si>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</si>
  <si>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</si>
  <si>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</si>
  <si>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</si>
  <si>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</si>
  <si>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</si>
  <si>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</si>
  <si>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</si>
  <si>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Q125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</si>
  <si>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</si>
  <si>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</si>
  <si>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</si>
  <si>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</si>
  <si>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</si>
  <si>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</si>
  <si>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</si>
  <si>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</si>
  <si>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</si>
  <si>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</si>
  <si>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</si>
  <si>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</si>
  <si>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Q225</t>
  </si>
  <si>
    <t>Q325</t>
  </si>
  <si>
    <t>Q425</t>
  </si>
  <si>
    <t>Product revenue</t>
  </si>
  <si>
    <t>Service revenue</t>
  </si>
  <si>
    <t>Total revenue</t>
  </si>
  <si>
    <t>Product cost</t>
  </si>
  <si>
    <t>Service cost</t>
  </si>
  <si>
    <t>Gross profit</t>
  </si>
  <si>
    <t>SG&amp;A</t>
  </si>
  <si>
    <t>Operating profit</t>
  </si>
  <si>
    <t>Other income</t>
  </si>
  <si>
    <t>Interest expense</t>
  </si>
  <si>
    <t>Pension income</t>
  </si>
  <si>
    <t>Total other expense</t>
  </si>
  <si>
    <t>Pretax profit</t>
  </si>
  <si>
    <t>Taxes</t>
  </si>
  <si>
    <t>Net profit</t>
  </si>
  <si>
    <t>EPS</t>
  </si>
  <si>
    <t>Product revenue y/y</t>
  </si>
  <si>
    <t>Service revenue y/y</t>
  </si>
  <si>
    <t>Revenue y/y</t>
  </si>
  <si>
    <t>Product Margin</t>
  </si>
  <si>
    <t>Service Margin</t>
  </si>
  <si>
    <t>Gross Margin</t>
  </si>
  <si>
    <t>Operating Margin</t>
  </si>
  <si>
    <t>Net Margin</t>
  </si>
  <si>
    <t>SG&amp;A y/y</t>
  </si>
  <si>
    <t>Total cost of sales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</si>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</sst>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30480</xdr:colOff>
      <xdr:row>0</xdr:row>
      <xdr:rowOff>15240</xdr:rowOff>
    </xdr:from>
    <xdr:to>
      <xdr:col>25</xdr:col>
      <xdr:colOff>30480</xdr:colOff>
      <xdr:row>39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CE7C90E-99B5-360C-6595-20BB4B058FF9}"/>
            </a:ext>
          </a:extLst>
        </xdr:cNvPr>
        <xdr:cNvCxnSpPr/>
      </xdr:nvCxnSpPr>
      <xdr:spPr>
        <a:xfrm>
          <a:off x="15857220" y="15240"/>
          <a:ext cx="0" cy="7223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0</xdr:row>
      <xdr:rowOff>0</xdr:rowOff>
    </xdr:from>
    <xdr:to>
      <xdr:col>15</xdr:col>
      <xdr:colOff>38100</xdr:colOff>
      <xdr:row>36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950F7FF-74D5-8076-DF25-DEF0D7C7C90C}"/>
            </a:ext>
          </a:extLst>
        </xdr:cNvPr>
        <xdr:cNvCxnSpPr/>
      </xdr:nvCxnSpPr>
      <xdr:spPr>
        <a:xfrm>
          <a:off x="9768840" y="0"/>
          <a:ext cx="0" cy="66903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A065-72E7-4F09-88C5-9D8037619B66}">
  <dimension ref="B2:G9"/>
  <sheetViews>
    <sheetView workbookViewId="0">
      <selection activeCell="D4" sqref="D4"/>
    </sheetView>
  </sheetViews>
  <sheetFormatPr defaultRowHeight="14.4" x14ac:dyDescent="0.3"/>
  <cols>
    <col min="1" max="4" width="8.88671875" style="1"/>
    <col min="5" max="7" width="13" style="5" customWidth="1"/>
    <col min="8" max="16384" width="8.88671875" style="1"/>
  </cols>
  <sheetData>
    <row r="2" spans="2:7" x14ac:dyDescent="0.3">
      <c r="E2" s="5" t="s">
        <v>8</v>
      </c>
      <c r="F2" s="5" t="s">
        <v>9</v>
      </c>
      <c r="G2" s="5" t="s">
        <v>10</v>
      </c>
    </row>
    <row r="3" spans="2:7" x14ac:dyDescent="0.3">
      <c r="B3" s="2" t="s">
        <v>0</v>
      </c>
      <c r="C3" s="1" t="s">
        <v>1</v>
      </c>
      <c r="D3" s="3">
        <v>472.65</v>
      </c>
      <c r="E3" s="6">
        <v>45771</v>
      </c>
      <c r="F3" s="6">
        <f ca="1">TODAY()</f>
        <v>45804</v>
      </c>
      <c r="G3" s="6">
        <v>45862</v>
      </c>
    </row>
    <row r="4" spans="2:7" x14ac:dyDescent="0.3">
      <c r="C4" s="1" t="s">
        <v>2</v>
      </c>
      <c r="D4" s="4">
        <v>143.9</v>
      </c>
      <c r="E4" s="5" t="s">
        <v>11</v>
      </c>
    </row>
    <row r="5" spans="2:7" x14ac:dyDescent="0.3">
      <c r="C5" s="1" t="s">
        <v>3</v>
      </c>
      <c r="D5" s="4">
        <f>D3*D4</f>
        <v>68014.335000000006</v>
      </c>
    </row>
    <row r="6" spans="2:7" x14ac:dyDescent="0.3">
      <c r="C6" s="1" t="s">
        <v>4</v>
      </c>
      <c r="D6" s="4">
        <f>1685</f>
        <v>1685</v>
      </c>
      <c r="E6" s="5" t="s">
        <v>11</v>
      </c>
    </row>
    <row r="7" spans="2:7" x14ac:dyDescent="0.3">
      <c r="C7" s="1" t="s">
        <v>5</v>
      </c>
      <c r="D7" s="4">
        <f>14167</f>
        <v>14167</v>
      </c>
      <c r="E7" s="5" t="s">
        <v>11</v>
      </c>
    </row>
    <row r="8" spans="2:7" x14ac:dyDescent="0.3">
      <c r="C8" s="1" t="s">
        <v>6</v>
      </c>
      <c r="D8" s="4">
        <f>D6-D7</f>
        <v>-12482</v>
      </c>
    </row>
    <row r="9" spans="2:7" x14ac:dyDescent="0.3">
      <c r="C9" s="1" t="s">
        <v>7</v>
      </c>
      <c r="D9" s="4">
        <f>D5-D8</f>
        <v>80496.335000000006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6814-BAC2-4E1E-A717-E93DA1E9DE37}">
  <dimension ref="B2:EO31"/>
  <sheetViews>
    <sheetView tabSelected="1" workbookViewId="0">
      <pane xSplit="2" ySplit="2" topLeftCell="AB6" activePane="bottomRight" state="frozen"/>
      <selection pane="topRight" activeCell="C1" sqref="C1"/>
      <selection pane="bottomLeft" activeCell="A3" sqref="A3"/>
      <selection pane="bottomRight" activeCell="AM31" sqref="AM31"/>
    </sheetView>
  </sheetViews>
  <sheetFormatPr defaultRowHeight="14.4" x14ac:dyDescent="0.3"/>
  <cols>
    <col min="1" max="1" width="8.88671875" style="1"/>
    <col min="2" max="2" width="17.44140625" style="1" bestFit="1" customWidth="1"/>
    <col min="3" max="37" width="8.88671875" style="1"/>
    <col min="38" max="38" width="11.88671875" style="1" bestFit="1" customWidth="1"/>
    <col min="39" max="39" width="14.109375" style="1" customWidth="1"/>
    <col min="40" max="16384" width="8.88671875" style="1"/>
  </cols>
  <sheetData>
    <row r="2" spans="2:36" x14ac:dyDescent="0.3"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7" t="s">
        <v>21</v>
      </c>
      <c r="M2" s="7" t="s">
        <v>22</v>
      </c>
      <c r="N2" s="7" t="s">
        <v>23</v>
      </c>
      <c r="O2" s="7" t="s">
        <v>11</v>
      </c>
      <c r="P2" s="7" t="s">
        <v>24</v>
      </c>
      <c r="Q2" s="7" t="s">
        <v>25</v>
      </c>
      <c r="R2" s="7" t="s">
        <v>26</v>
      </c>
      <c r="T2" s="1">
        <v>2019</v>
      </c>
      <c r="U2" s="1">
        <v>2020</v>
      </c>
      <c r="V2" s="1">
        <v>2021</v>
      </c>
      <c r="W2" s="1">
        <v>2022</v>
      </c>
      <c r="X2" s="1">
        <v>2023</v>
      </c>
      <c r="Y2" s="1">
        <v>2024</v>
      </c>
      <c r="Z2" s="1">
        <v>2025</v>
      </c>
      <c r="AA2" s="1">
        <v>2026</v>
      </c>
      <c r="AB2" s="1">
        <v>2027</v>
      </c>
      <c r="AC2" s="1">
        <v>2028</v>
      </c>
      <c r="AD2" s="1">
        <v>2029</v>
      </c>
      <c r="AE2" s="1">
        <v>2030</v>
      </c>
      <c r="AF2" s="1">
        <v>2031</v>
      </c>
      <c r="AG2" s="1">
        <v>2032</v>
      </c>
      <c r="AH2" s="1">
        <v>2033</v>
      </c>
      <c r="AI2" s="1">
        <v>2034</v>
      </c>
      <c r="AJ2" s="1">
        <v>2035</v>
      </c>
    </row>
    <row r="3" spans="2:36" x14ac:dyDescent="0.3">
      <c r="B3" s="1" t="s">
        <v>27</v>
      </c>
      <c r="K3" s="4">
        <v>8102</v>
      </c>
      <c r="O3" s="4">
        <v>7521</v>
      </c>
      <c r="T3" s="4">
        <v>23852</v>
      </c>
      <c r="U3" s="4">
        <v>27015</v>
      </c>
      <c r="V3" s="4">
        <v>27868</v>
      </c>
      <c r="W3" s="4">
        <v>28522</v>
      </c>
      <c r="X3" s="4">
        <v>30897</v>
      </c>
      <c r="Y3" s="4">
        <v>32726</v>
      </c>
      <c r="Z3" s="4">
        <f>Y3*1.04</f>
        <v>34035.040000000001</v>
      </c>
      <c r="AA3" s="4">
        <f>Z3*1.03</f>
        <v>35056.091200000003</v>
      </c>
      <c r="AB3" s="4">
        <f>AA3*1.02</f>
        <v>35757.213024000004</v>
      </c>
      <c r="AC3" s="4">
        <f>AB3*1.02</f>
        <v>36472.357284480007</v>
      </c>
      <c r="AD3" s="4">
        <f>AC3*1.01</f>
        <v>36837.080857324807</v>
      </c>
      <c r="AE3" s="4">
        <f t="shared" ref="AE3:AJ3" si="0">AD3*1.01</f>
        <v>37205.451665898057</v>
      </c>
      <c r="AF3" s="4">
        <f t="shared" si="0"/>
        <v>37577.506182557037</v>
      </c>
      <c r="AG3" s="4">
        <f t="shared" si="0"/>
        <v>37953.281244382611</v>
      </c>
      <c r="AH3" s="4">
        <f t="shared" si="0"/>
        <v>38332.814056826435</v>
      </c>
      <c r="AI3" s="4">
        <f t="shared" si="0"/>
        <v>38716.1421973947</v>
      </c>
      <c r="AJ3" s="4">
        <f t="shared" si="0"/>
        <v>39103.303619368649</v>
      </c>
    </row>
    <row r="4" spans="2:36" x14ac:dyDescent="0.3">
      <c r="B4" s="1" t="s">
        <v>28</v>
      </c>
      <c r="K4" s="4">
        <v>2031</v>
      </c>
      <c r="O4" s="4">
        <v>1947</v>
      </c>
      <c r="T4" s="4">
        <v>9989</v>
      </c>
      <c r="U4" s="4">
        <v>9784</v>
      </c>
      <c r="V4" s="4">
        <v>7799</v>
      </c>
      <c r="W4" s="4">
        <v>8080</v>
      </c>
      <c r="X4" s="4">
        <v>8393</v>
      </c>
      <c r="Y4" s="4">
        <v>8307</v>
      </c>
      <c r="Z4" s="4">
        <f>Y4*1.02</f>
        <v>8473.14</v>
      </c>
      <c r="AA4" s="4">
        <f t="shared" ref="AA4:AJ4" si="1">Z4*1.02</f>
        <v>8642.6027999999988</v>
      </c>
      <c r="AB4" s="4">
        <f t="shared" si="1"/>
        <v>8815.4548559999985</v>
      </c>
      <c r="AC4" s="4">
        <f t="shared" si="1"/>
        <v>8991.7639531199984</v>
      </c>
      <c r="AD4" s="4">
        <f t="shared" si="1"/>
        <v>9171.5992321823978</v>
      </c>
      <c r="AE4" s="4">
        <f t="shared" si="1"/>
        <v>9355.0312168260461</v>
      </c>
      <c r="AF4" s="4">
        <f t="shared" si="1"/>
        <v>9542.1318411625671</v>
      </c>
      <c r="AG4" s="4">
        <f t="shared" si="1"/>
        <v>9732.9744779858192</v>
      </c>
      <c r="AH4" s="4">
        <f t="shared" si="1"/>
        <v>9927.6339675455365</v>
      </c>
      <c r="AI4" s="4">
        <f t="shared" si="1"/>
        <v>10126.186646896447</v>
      </c>
      <c r="AJ4" s="4">
        <f t="shared" si="1"/>
        <v>10328.710379834376</v>
      </c>
    </row>
    <row r="5" spans="2:36" s="2" customFormat="1" x14ac:dyDescent="0.3">
      <c r="B5" s="2" t="s">
        <v>29</v>
      </c>
      <c r="K5" s="9">
        <f>K3+K4</f>
        <v>10133</v>
      </c>
      <c r="O5" s="9">
        <f>O3+O4</f>
        <v>9468</v>
      </c>
      <c r="T5" s="9">
        <f t="shared" ref="T5:Y5" si="2">T3+T4</f>
        <v>33841</v>
      </c>
      <c r="U5" s="9">
        <f t="shared" si="2"/>
        <v>36799</v>
      </c>
      <c r="V5" s="9">
        <f t="shared" si="2"/>
        <v>35667</v>
      </c>
      <c r="W5" s="9">
        <f t="shared" si="2"/>
        <v>36602</v>
      </c>
      <c r="X5" s="9">
        <f t="shared" si="2"/>
        <v>39290</v>
      </c>
      <c r="Y5" s="9">
        <f t="shared" si="2"/>
        <v>41033</v>
      </c>
      <c r="Z5" s="9">
        <f t="shared" ref="Z5" si="3">Z3+Z4</f>
        <v>42508.18</v>
      </c>
      <c r="AA5" s="9">
        <f t="shared" ref="AA5" si="4">AA3+AA4</f>
        <v>43698.694000000003</v>
      </c>
      <c r="AB5" s="9">
        <f t="shared" ref="AB5" si="5">AB3+AB4</f>
        <v>44572.667880000001</v>
      </c>
      <c r="AC5" s="9">
        <f t="shared" ref="AC5" si="6">AC3+AC4</f>
        <v>45464.121237600004</v>
      </c>
      <c r="AD5" s="9">
        <f t="shared" ref="AD5" si="7">AD3+AD4</f>
        <v>46008.680089507208</v>
      </c>
      <c r="AE5" s="9">
        <f t="shared" ref="AE5" si="8">AE3+AE4</f>
        <v>46560.4828827241</v>
      </c>
      <c r="AF5" s="9">
        <f t="shared" ref="AF5" si="9">AF3+AF4</f>
        <v>47119.638023719606</v>
      </c>
      <c r="AG5" s="9">
        <f t="shared" ref="AG5" si="10">AG3+AG4</f>
        <v>47686.255722368427</v>
      </c>
      <c r="AH5" s="9">
        <f t="shared" ref="AH5" si="11">AH3+AH4</f>
        <v>48260.448024371974</v>
      </c>
      <c r="AI5" s="9">
        <f t="shared" ref="AI5" si="12">AI3+AI4</f>
        <v>48842.328844291143</v>
      </c>
      <c r="AJ5" s="9">
        <f t="shared" ref="AJ5" si="13">AJ3+AJ4</f>
        <v>49432.013999203024</v>
      </c>
    </row>
    <row r="6" spans="2:36" x14ac:dyDescent="0.3">
      <c r="B6" s="1" t="s">
        <v>30</v>
      </c>
      <c r="K6" s="4">
        <v>6411</v>
      </c>
      <c r="O6" s="4">
        <v>6366</v>
      </c>
      <c r="T6" s="4">
        <v>18675</v>
      </c>
      <c r="U6" s="4">
        <v>21559</v>
      </c>
      <c r="V6" s="4">
        <v>22309</v>
      </c>
      <c r="W6" s="4">
        <v>22761</v>
      </c>
      <c r="X6" s="4">
        <v>26226</v>
      </c>
      <c r="Y6" s="4">
        <v>26188</v>
      </c>
      <c r="Z6" s="4">
        <f>Z3*0.8</f>
        <v>27228.032000000003</v>
      </c>
      <c r="AA6" s="4">
        <f t="shared" ref="AA6:AJ6" si="14">AA3*0.8</f>
        <v>28044.872960000004</v>
      </c>
      <c r="AB6" s="4">
        <f t="shared" si="14"/>
        <v>28605.770419200006</v>
      </c>
      <c r="AC6" s="4">
        <f t="shared" si="14"/>
        <v>29177.885827584007</v>
      </c>
      <c r="AD6" s="4">
        <f t="shared" si="14"/>
        <v>29469.664685859847</v>
      </c>
      <c r="AE6" s="4">
        <f t="shared" si="14"/>
        <v>29764.361332718447</v>
      </c>
      <c r="AF6" s="4">
        <f t="shared" si="14"/>
        <v>30062.004946045632</v>
      </c>
      <c r="AG6" s="4">
        <f t="shared" si="14"/>
        <v>30362.624995506092</v>
      </c>
      <c r="AH6" s="4">
        <f t="shared" si="14"/>
        <v>30666.25124546115</v>
      </c>
      <c r="AI6" s="4">
        <f t="shared" si="14"/>
        <v>30972.913757915761</v>
      </c>
      <c r="AJ6" s="4">
        <f t="shared" si="14"/>
        <v>31282.642895494922</v>
      </c>
    </row>
    <row r="7" spans="2:36" x14ac:dyDescent="0.3">
      <c r="B7" s="1" t="s">
        <v>31</v>
      </c>
      <c r="K7" s="4">
        <v>1589</v>
      </c>
      <c r="O7" s="4">
        <v>1522</v>
      </c>
      <c r="T7" s="4">
        <v>7907</v>
      </c>
      <c r="U7" s="4">
        <v>7762</v>
      </c>
      <c r="V7" s="4">
        <v>6090</v>
      </c>
      <c r="W7" s="4">
        <v>6367</v>
      </c>
      <c r="X7" s="4">
        <v>6513</v>
      </c>
      <c r="Y7" s="4">
        <v>6483</v>
      </c>
      <c r="Z7" s="4">
        <f>Z4*0.78</f>
        <v>6609.0491999999995</v>
      </c>
      <c r="AA7" s="4">
        <f t="shared" ref="AA7:AJ7" si="15">AA4*0.78</f>
        <v>6741.2301839999991</v>
      </c>
      <c r="AB7" s="4">
        <f t="shared" si="15"/>
        <v>6876.0547876799992</v>
      </c>
      <c r="AC7" s="4">
        <f t="shared" si="15"/>
        <v>7013.5758834335993</v>
      </c>
      <c r="AD7" s="4">
        <f t="shared" si="15"/>
        <v>7153.8474011022709</v>
      </c>
      <c r="AE7" s="4">
        <f t="shared" si="15"/>
        <v>7296.924349124316</v>
      </c>
      <c r="AF7" s="4">
        <f t="shared" si="15"/>
        <v>7442.8628361068022</v>
      </c>
      <c r="AG7" s="4">
        <f t="shared" si="15"/>
        <v>7591.7200928289394</v>
      </c>
      <c r="AH7" s="4">
        <f t="shared" si="15"/>
        <v>7743.5544946855189</v>
      </c>
      <c r="AI7" s="4">
        <f t="shared" si="15"/>
        <v>7898.4255845792295</v>
      </c>
      <c r="AJ7" s="4">
        <f t="shared" si="15"/>
        <v>8056.3940962708139</v>
      </c>
    </row>
    <row r="8" spans="2:36" x14ac:dyDescent="0.3">
      <c r="B8" s="1" t="s">
        <v>52</v>
      </c>
      <c r="K8" s="4">
        <f>K6+K7</f>
        <v>8000</v>
      </c>
      <c r="O8" s="4">
        <f>O6+O7</f>
        <v>7888</v>
      </c>
      <c r="T8" s="4">
        <f t="shared" ref="T8:Z8" si="16">T6+T7</f>
        <v>26582</v>
      </c>
      <c r="U8" s="4">
        <f t="shared" si="16"/>
        <v>29321</v>
      </c>
      <c r="V8" s="4">
        <f t="shared" si="16"/>
        <v>28399</v>
      </c>
      <c r="W8" s="4">
        <f t="shared" si="16"/>
        <v>29128</v>
      </c>
      <c r="X8" s="4">
        <f t="shared" si="16"/>
        <v>32739</v>
      </c>
      <c r="Y8" s="4">
        <f t="shared" si="16"/>
        <v>32671</v>
      </c>
      <c r="Z8" s="4">
        <f t="shared" si="16"/>
        <v>33837.081200000001</v>
      </c>
      <c r="AA8" s="4">
        <f t="shared" ref="AA8" si="17">AA6+AA7</f>
        <v>34786.103144000001</v>
      </c>
      <c r="AB8" s="4">
        <f t="shared" ref="AB8" si="18">AB6+AB7</f>
        <v>35481.825206880007</v>
      </c>
      <c r="AC8" s="4">
        <f t="shared" ref="AC8" si="19">AC6+AC7</f>
        <v>36191.461711017604</v>
      </c>
      <c r="AD8" s="4">
        <f t="shared" ref="AD8" si="20">AD6+AD7</f>
        <v>36623.512086962117</v>
      </c>
      <c r="AE8" s="4">
        <f t="shared" ref="AE8" si="21">AE6+AE7</f>
        <v>37061.285681842761</v>
      </c>
      <c r="AF8" s="4">
        <f t="shared" ref="AF8" si="22">AF6+AF7</f>
        <v>37504.867782152432</v>
      </c>
      <c r="AG8" s="4">
        <f t="shared" ref="AG8" si="23">AG6+AG7</f>
        <v>37954.345088335031</v>
      </c>
      <c r="AH8" s="4">
        <f t="shared" ref="AH8" si="24">AH6+AH7</f>
        <v>38409.805740146665</v>
      </c>
      <c r="AI8" s="4">
        <f t="shared" ref="AI8" si="25">AI6+AI7</f>
        <v>38871.33934249499</v>
      </c>
      <c r="AJ8" s="4">
        <f t="shared" ref="AJ8" si="26">AJ6+AJ7</f>
        <v>39339.036991765737</v>
      </c>
    </row>
    <row r="9" spans="2:36" s="2" customFormat="1" x14ac:dyDescent="0.3">
      <c r="B9" s="2" t="s">
        <v>32</v>
      </c>
      <c r="K9" s="9">
        <f>K5-K8</f>
        <v>2133</v>
      </c>
      <c r="O9" s="9">
        <f>O5-O8</f>
        <v>1580</v>
      </c>
      <c r="T9" s="9">
        <f t="shared" ref="T9:Z9" si="27">T5-T8</f>
        <v>7259</v>
      </c>
      <c r="U9" s="9">
        <f t="shared" si="27"/>
        <v>7478</v>
      </c>
      <c r="V9" s="9">
        <f t="shared" si="27"/>
        <v>7268</v>
      </c>
      <c r="W9" s="9">
        <f t="shared" si="27"/>
        <v>7474</v>
      </c>
      <c r="X9" s="9">
        <f t="shared" si="27"/>
        <v>6551</v>
      </c>
      <c r="Y9" s="9">
        <f t="shared" si="27"/>
        <v>8362</v>
      </c>
      <c r="Z9" s="9">
        <f t="shared" si="27"/>
        <v>8671.0987999999998</v>
      </c>
      <c r="AA9" s="9">
        <f t="shared" ref="AA9" si="28">AA5-AA8</f>
        <v>8912.5908560000025</v>
      </c>
      <c r="AB9" s="9">
        <f t="shared" ref="AB9" si="29">AB5-AB8</f>
        <v>9090.8426731199943</v>
      </c>
      <c r="AC9" s="9">
        <f t="shared" ref="AC9" si="30">AC5-AC8</f>
        <v>9272.6595265823998</v>
      </c>
      <c r="AD9" s="9">
        <f t="shared" ref="AD9" si="31">AD5-AD8</f>
        <v>9385.1680025450914</v>
      </c>
      <c r="AE9" s="9">
        <f t="shared" ref="AE9" si="32">AE5-AE8</f>
        <v>9499.1972008813391</v>
      </c>
      <c r="AF9" s="9">
        <f t="shared" ref="AF9" si="33">AF5-AF8</f>
        <v>9614.7702415671738</v>
      </c>
      <c r="AG9" s="9">
        <f t="shared" ref="AG9" si="34">AG5-AG8</f>
        <v>9731.9106340333965</v>
      </c>
      <c r="AH9" s="9">
        <f t="shared" ref="AH9" si="35">AH5-AH8</f>
        <v>9850.6422842253087</v>
      </c>
      <c r="AI9" s="9">
        <f t="shared" ref="AI9" si="36">AI5-AI8</f>
        <v>9970.9895017961535</v>
      </c>
      <c r="AJ9" s="9">
        <f t="shared" ref="AJ9" si="37">AJ5-AJ8</f>
        <v>10092.977007437286</v>
      </c>
    </row>
    <row r="10" spans="2:36" x14ac:dyDescent="0.3">
      <c r="B10" s="1" t="s">
        <v>33</v>
      </c>
      <c r="K10" s="4">
        <v>1062</v>
      </c>
      <c r="O10" s="4">
        <v>1007</v>
      </c>
      <c r="T10" s="4">
        <v>3290</v>
      </c>
      <c r="U10" s="4">
        <v>3413</v>
      </c>
      <c r="V10" s="4">
        <v>3597</v>
      </c>
      <c r="W10" s="4">
        <v>3873</v>
      </c>
      <c r="X10" s="4">
        <v>4014</v>
      </c>
      <c r="Y10" s="4">
        <v>3992</v>
      </c>
      <c r="Z10" s="4">
        <f>Y10*1.01</f>
        <v>4031.92</v>
      </c>
      <c r="AA10" s="4">
        <f t="shared" ref="AA10:AJ10" si="38">Z10*1.01</f>
        <v>4072.2392</v>
      </c>
      <c r="AB10" s="4">
        <f t="shared" si="38"/>
        <v>4112.9615919999997</v>
      </c>
      <c r="AC10" s="4">
        <f t="shared" si="38"/>
        <v>4154.0912079199998</v>
      </c>
      <c r="AD10" s="4">
        <f t="shared" si="38"/>
        <v>4195.6321199991999</v>
      </c>
      <c r="AE10" s="4">
        <f t="shared" si="38"/>
        <v>4237.5884411991919</v>
      </c>
      <c r="AF10" s="4">
        <f t="shared" si="38"/>
        <v>4279.964325611184</v>
      </c>
      <c r="AG10" s="4">
        <f t="shared" si="38"/>
        <v>4322.7639688672962</v>
      </c>
      <c r="AH10" s="4">
        <f t="shared" si="38"/>
        <v>4365.9916085559689</v>
      </c>
      <c r="AI10" s="4">
        <f t="shared" si="38"/>
        <v>4409.6515246415283</v>
      </c>
      <c r="AJ10" s="4">
        <f t="shared" si="38"/>
        <v>4453.7480398879434</v>
      </c>
    </row>
    <row r="11" spans="2:36" s="2" customFormat="1" x14ac:dyDescent="0.3">
      <c r="B11" s="2" t="s">
        <v>34</v>
      </c>
      <c r="K11" s="9">
        <f>K9-K10</f>
        <v>1071</v>
      </c>
      <c r="O11" s="9">
        <f>O9-O10</f>
        <v>573</v>
      </c>
      <c r="T11" s="9">
        <f t="shared" ref="T11:Z11" si="39">T9-T10</f>
        <v>3969</v>
      </c>
      <c r="U11" s="9">
        <f t="shared" si="39"/>
        <v>4065</v>
      </c>
      <c r="V11" s="9">
        <f t="shared" si="39"/>
        <v>3671</v>
      </c>
      <c r="W11" s="9">
        <f t="shared" si="39"/>
        <v>3601</v>
      </c>
      <c r="X11" s="9">
        <f t="shared" si="39"/>
        <v>2537</v>
      </c>
      <c r="Y11" s="9">
        <f t="shared" si="39"/>
        <v>4370</v>
      </c>
      <c r="Z11" s="9">
        <f t="shared" si="39"/>
        <v>4639.1787999999997</v>
      </c>
      <c r="AA11" s="9">
        <f t="shared" ref="AA11" si="40">AA9-AA10</f>
        <v>4840.3516560000025</v>
      </c>
      <c r="AB11" s="9">
        <f t="shared" ref="AB11" si="41">AB9-AB10</f>
        <v>4977.8810811199946</v>
      </c>
      <c r="AC11" s="9">
        <f t="shared" ref="AC11" si="42">AC9-AC10</f>
        <v>5118.5683186624001</v>
      </c>
      <c r="AD11" s="9">
        <f t="shared" ref="AD11" si="43">AD9-AD10</f>
        <v>5189.5358825458916</v>
      </c>
      <c r="AE11" s="9">
        <f t="shared" ref="AE11" si="44">AE9-AE10</f>
        <v>5261.6087596821471</v>
      </c>
      <c r="AF11" s="9">
        <f t="shared" ref="AF11" si="45">AF9-AF10</f>
        <v>5334.8059159559898</v>
      </c>
      <c r="AG11" s="9">
        <f t="shared" ref="AG11" si="46">AG9-AG10</f>
        <v>5409.1466651661003</v>
      </c>
      <c r="AH11" s="9">
        <f t="shared" ref="AH11" si="47">AH9-AH10</f>
        <v>5484.6506756693398</v>
      </c>
      <c r="AI11" s="9">
        <f t="shared" ref="AI11" si="48">AI9-AI10</f>
        <v>5561.3379771546252</v>
      </c>
      <c r="AJ11" s="9">
        <f t="shared" ref="AJ11" si="49">AJ9-AJ10</f>
        <v>5639.228967549343</v>
      </c>
    </row>
    <row r="12" spans="2:36" x14ac:dyDescent="0.3">
      <c r="B12" s="1" t="s">
        <v>36</v>
      </c>
      <c r="K12" s="4">
        <v>146</v>
      </c>
      <c r="O12" s="4">
        <v>156</v>
      </c>
      <c r="T12" s="4">
        <v>528</v>
      </c>
      <c r="U12" s="4">
        <v>593</v>
      </c>
      <c r="V12" s="4">
        <v>556</v>
      </c>
      <c r="W12" s="4">
        <v>506</v>
      </c>
      <c r="X12" s="4">
        <v>545</v>
      </c>
      <c r="Y12" s="4">
        <v>621</v>
      </c>
      <c r="Z12" s="4">
        <f t="shared" ref="Z12:AJ14" si="50">Y12*1.01</f>
        <v>627.21</v>
      </c>
      <c r="AA12" s="4">
        <f t="shared" si="50"/>
        <v>633.48210000000006</v>
      </c>
      <c r="AB12" s="4">
        <f t="shared" si="50"/>
        <v>639.81692100000009</v>
      </c>
      <c r="AC12" s="4">
        <f t="shared" si="50"/>
        <v>646.21509021000008</v>
      </c>
      <c r="AD12" s="4">
        <f t="shared" si="50"/>
        <v>652.67724111210009</v>
      </c>
      <c r="AE12" s="4">
        <f t="shared" si="50"/>
        <v>659.20401352322108</v>
      </c>
      <c r="AF12" s="4">
        <f t="shared" si="50"/>
        <v>665.79605365845327</v>
      </c>
      <c r="AG12" s="4">
        <f t="shared" si="50"/>
        <v>672.45401419503776</v>
      </c>
      <c r="AH12" s="4">
        <f t="shared" si="50"/>
        <v>679.1785543369881</v>
      </c>
      <c r="AI12" s="4">
        <f t="shared" si="50"/>
        <v>685.97033988035798</v>
      </c>
      <c r="AJ12" s="4">
        <f t="shared" si="50"/>
        <v>692.8300432791616</v>
      </c>
    </row>
    <row r="13" spans="2:36" x14ac:dyDescent="0.3">
      <c r="B13" s="1" t="s">
        <v>37</v>
      </c>
      <c r="K13" s="4">
        <v>-168</v>
      </c>
      <c r="O13" s="4">
        <v>-130</v>
      </c>
      <c r="T13" s="4">
        <f>-800+1800</f>
        <v>1000</v>
      </c>
      <c r="U13" s="4">
        <f>-1198+1034</f>
        <v>-164</v>
      </c>
      <c r="V13" s="4">
        <f>-1469-2355</f>
        <v>-3824</v>
      </c>
      <c r="W13" s="4">
        <f>-1505-1232</f>
        <v>-2737</v>
      </c>
      <c r="X13" s="4">
        <f>-530+422</f>
        <v>-108</v>
      </c>
      <c r="Y13" s="4">
        <f>-656-443</f>
        <v>-1099</v>
      </c>
      <c r="Z13" s="4">
        <f t="shared" si="50"/>
        <v>-1109.99</v>
      </c>
      <c r="AA13" s="4">
        <f t="shared" si="50"/>
        <v>-1121.0898999999999</v>
      </c>
      <c r="AB13" s="4">
        <f t="shared" si="50"/>
        <v>-1132.3007989999999</v>
      </c>
      <c r="AC13" s="4">
        <f t="shared" si="50"/>
        <v>-1143.6238069899998</v>
      </c>
      <c r="AD13" s="4">
        <f t="shared" si="50"/>
        <v>-1155.0600450598997</v>
      </c>
      <c r="AE13" s="4">
        <f t="shared" si="50"/>
        <v>-1166.6106455104987</v>
      </c>
      <c r="AF13" s="4">
        <f t="shared" si="50"/>
        <v>-1178.2767519656036</v>
      </c>
      <c r="AG13" s="4">
        <f t="shared" si="50"/>
        <v>-1190.0595194852597</v>
      </c>
      <c r="AH13" s="4">
        <f t="shared" si="50"/>
        <v>-1201.9601146801124</v>
      </c>
      <c r="AI13" s="4">
        <f t="shared" si="50"/>
        <v>-1213.9797158269134</v>
      </c>
      <c r="AJ13" s="4">
        <f t="shared" si="50"/>
        <v>-1226.1195129851826</v>
      </c>
    </row>
    <row r="14" spans="2:36" x14ac:dyDescent="0.3">
      <c r="B14" s="1" t="s">
        <v>35</v>
      </c>
      <c r="K14" s="4">
        <v>-38</v>
      </c>
      <c r="O14" s="4">
        <v>-31</v>
      </c>
      <c r="T14" s="4">
        <v>-107</v>
      </c>
      <c r="U14" s="4">
        <v>-92</v>
      </c>
      <c r="V14" s="4">
        <f>-19-1980</f>
        <v>-1999</v>
      </c>
      <c r="W14" s="4">
        <v>-4</v>
      </c>
      <c r="X14" s="4">
        <v>-246</v>
      </c>
      <c r="Y14" s="4">
        <v>-168</v>
      </c>
      <c r="Z14" s="4">
        <f t="shared" si="50"/>
        <v>-169.68</v>
      </c>
      <c r="AA14" s="4">
        <f t="shared" si="50"/>
        <v>-171.3768</v>
      </c>
      <c r="AB14" s="4">
        <f t="shared" si="50"/>
        <v>-173.09056799999999</v>
      </c>
      <c r="AC14" s="4">
        <f t="shared" si="50"/>
        <v>-174.82147368</v>
      </c>
      <c r="AD14" s="4">
        <f t="shared" si="50"/>
        <v>-176.56968841680001</v>
      </c>
      <c r="AE14" s="4">
        <f t="shared" si="50"/>
        <v>-178.335385300968</v>
      </c>
      <c r="AF14" s="4">
        <f t="shared" si="50"/>
        <v>-180.11873915397769</v>
      </c>
      <c r="AG14" s="4">
        <f t="shared" si="50"/>
        <v>-181.91992654551746</v>
      </c>
      <c r="AH14" s="4">
        <f t="shared" si="50"/>
        <v>-183.73912581097264</v>
      </c>
      <c r="AI14" s="4">
        <f t="shared" si="50"/>
        <v>-185.57651706908237</v>
      </c>
      <c r="AJ14" s="4">
        <f t="shared" si="50"/>
        <v>-187.4322822397732</v>
      </c>
    </row>
    <row r="15" spans="2:36" x14ac:dyDescent="0.3">
      <c r="B15" s="1" t="s">
        <v>38</v>
      </c>
      <c r="K15" s="4">
        <f>SUM(K12:K14)</f>
        <v>-60</v>
      </c>
      <c r="O15" s="4">
        <f>SUM(O12:O14)</f>
        <v>-5</v>
      </c>
      <c r="T15" s="4">
        <f t="shared" ref="T15:Z15" si="51">SUM(T12:T14)</f>
        <v>1421</v>
      </c>
      <c r="U15" s="4">
        <f t="shared" si="51"/>
        <v>337</v>
      </c>
      <c r="V15" s="4">
        <f t="shared" si="51"/>
        <v>-5267</v>
      </c>
      <c r="W15" s="4">
        <f t="shared" si="51"/>
        <v>-2235</v>
      </c>
      <c r="X15" s="4">
        <f t="shared" si="51"/>
        <v>191</v>
      </c>
      <c r="Y15" s="4">
        <f t="shared" si="51"/>
        <v>-646</v>
      </c>
      <c r="Z15" s="4">
        <f t="shared" si="51"/>
        <v>-652.46</v>
      </c>
      <c r="AA15" s="4">
        <f t="shared" ref="AA15" si="52">SUM(AA12:AA14)</f>
        <v>-658.98459999999989</v>
      </c>
      <c r="AB15" s="4">
        <f t="shared" ref="AB15" si="53">SUM(AB12:AB14)</f>
        <v>-665.57444599999974</v>
      </c>
      <c r="AC15" s="4">
        <f t="shared" ref="AC15" si="54">SUM(AC12:AC14)</f>
        <v>-672.23019045999968</v>
      </c>
      <c r="AD15" s="4">
        <f t="shared" ref="AD15" si="55">SUM(AD12:AD14)</f>
        <v>-678.95249236459961</v>
      </c>
      <c r="AE15" s="4">
        <f t="shared" ref="AE15" si="56">SUM(AE12:AE14)</f>
        <v>-685.74201728824562</v>
      </c>
      <c r="AF15" s="4">
        <f t="shared" ref="AF15" si="57">SUM(AF12:AF14)</f>
        <v>-692.59943746112799</v>
      </c>
      <c r="AG15" s="4">
        <f t="shared" ref="AG15" si="58">SUM(AG12:AG14)</f>
        <v>-699.52543183573937</v>
      </c>
      <c r="AH15" s="4">
        <f t="shared" ref="AH15" si="59">SUM(AH12:AH14)</f>
        <v>-706.52068615409689</v>
      </c>
      <c r="AI15" s="4">
        <f t="shared" ref="AI15" si="60">SUM(AI12:AI14)</f>
        <v>-713.58589301563779</v>
      </c>
      <c r="AJ15" s="4">
        <f t="shared" ref="AJ15" si="61">SUM(AJ12:AJ14)</f>
        <v>-720.72175194579427</v>
      </c>
    </row>
    <row r="16" spans="2:36" s="2" customFormat="1" x14ac:dyDescent="0.3">
      <c r="B16" s="2" t="s">
        <v>39</v>
      </c>
      <c r="K16" s="9">
        <f>K11-K15</f>
        <v>1131</v>
      </c>
      <c r="O16" s="9">
        <f>O11-O15</f>
        <v>578</v>
      </c>
      <c r="T16" s="9">
        <f t="shared" ref="T16:Z16" si="62">T11-T15</f>
        <v>2548</v>
      </c>
      <c r="U16" s="9">
        <f t="shared" si="62"/>
        <v>3728</v>
      </c>
      <c r="V16" s="9">
        <f t="shared" si="62"/>
        <v>8938</v>
      </c>
      <c r="W16" s="9">
        <f t="shared" si="62"/>
        <v>5836</v>
      </c>
      <c r="X16" s="9">
        <f t="shared" si="62"/>
        <v>2346</v>
      </c>
      <c r="Y16" s="9">
        <f t="shared" si="62"/>
        <v>5016</v>
      </c>
      <c r="Z16" s="9">
        <f t="shared" si="62"/>
        <v>5291.6387999999997</v>
      </c>
      <c r="AA16" s="9">
        <f t="shared" ref="AA16" si="63">AA11-AA15</f>
        <v>5499.3362560000023</v>
      </c>
      <c r="AB16" s="9">
        <f t="shared" ref="AB16" si="64">AB11-AB15</f>
        <v>5643.4555271199943</v>
      </c>
      <c r="AC16" s="9">
        <f t="shared" ref="AC16" si="65">AC11-AC15</f>
        <v>5790.7985091224</v>
      </c>
      <c r="AD16" s="9">
        <f t="shared" ref="AD16" si="66">AD11-AD15</f>
        <v>5868.4883749104911</v>
      </c>
      <c r="AE16" s="9">
        <f t="shared" ref="AE16" si="67">AE11-AE15</f>
        <v>5947.3507769703929</v>
      </c>
      <c r="AF16" s="9">
        <f t="shared" ref="AF16" si="68">AF11-AF15</f>
        <v>6027.405353417118</v>
      </c>
      <c r="AG16" s="9">
        <f t="shared" ref="AG16" si="69">AG11-AG15</f>
        <v>6108.6720970018396</v>
      </c>
      <c r="AH16" s="9">
        <f t="shared" ref="AH16" si="70">AH11-AH15</f>
        <v>6191.1713618234371</v>
      </c>
      <c r="AI16" s="9">
        <f t="shared" ref="AI16" si="71">AI11-AI15</f>
        <v>6274.9238701702634</v>
      </c>
      <c r="AJ16" s="9">
        <f t="shared" ref="AJ16" si="72">AJ11-AJ15</f>
        <v>6359.9507194951375</v>
      </c>
    </row>
    <row r="17" spans="2:145" x14ac:dyDescent="0.3">
      <c r="B17" s="1" t="s">
        <v>40</v>
      </c>
      <c r="K17" s="4">
        <v>187</v>
      </c>
      <c r="O17" s="4">
        <v>97</v>
      </c>
      <c r="T17" s="4">
        <v>300</v>
      </c>
      <c r="U17" s="4">
        <v>539</v>
      </c>
      <c r="V17" s="4">
        <v>1933</v>
      </c>
      <c r="W17" s="4">
        <v>940</v>
      </c>
      <c r="X17" s="4">
        <v>290</v>
      </c>
      <c r="Y17" s="4">
        <v>842</v>
      </c>
      <c r="Z17" s="4">
        <f>Z16*0.16</f>
        <v>846.66220799999996</v>
      </c>
      <c r="AA17" s="4">
        <f t="shared" ref="AA17:AJ17" si="73">AA16*0.16</f>
        <v>879.89380096000036</v>
      </c>
      <c r="AB17" s="4">
        <f t="shared" si="73"/>
        <v>902.95288433919904</v>
      </c>
      <c r="AC17" s="4">
        <f t="shared" si="73"/>
        <v>926.52776145958399</v>
      </c>
      <c r="AD17" s="4">
        <f t="shared" si="73"/>
        <v>938.9581399856786</v>
      </c>
      <c r="AE17" s="4">
        <f t="shared" si="73"/>
        <v>951.57612431526286</v>
      </c>
      <c r="AF17" s="4">
        <f t="shared" si="73"/>
        <v>964.38485654673889</v>
      </c>
      <c r="AG17" s="4">
        <f t="shared" si="73"/>
        <v>977.38753552029436</v>
      </c>
      <c r="AH17" s="4">
        <f t="shared" si="73"/>
        <v>990.58741789174996</v>
      </c>
      <c r="AI17" s="4">
        <f t="shared" si="73"/>
        <v>1003.9878192272422</v>
      </c>
      <c r="AJ17" s="4">
        <f t="shared" si="73"/>
        <v>1017.5921151192221</v>
      </c>
    </row>
    <row r="18" spans="2:145" s="2" customFormat="1" x14ac:dyDescent="0.3">
      <c r="B18" s="2" t="s">
        <v>41</v>
      </c>
      <c r="K18" s="9">
        <f>K16-K17</f>
        <v>944</v>
      </c>
      <c r="O18" s="9">
        <f>O16-O17</f>
        <v>481</v>
      </c>
      <c r="T18" s="9">
        <f t="shared" ref="T18:Z18" si="74">T16-T17</f>
        <v>2248</v>
      </c>
      <c r="U18" s="9">
        <f t="shared" si="74"/>
        <v>3189</v>
      </c>
      <c r="V18" s="9">
        <f t="shared" si="74"/>
        <v>7005</v>
      </c>
      <c r="W18" s="9">
        <f t="shared" si="74"/>
        <v>4896</v>
      </c>
      <c r="X18" s="9">
        <f t="shared" si="74"/>
        <v>2056</v>
      </c>
      <c r="Y18" s="9">
        <f t="shared" si="74"/>
        <v>4174</v>
      </c>
      <c r="Z18" s="9">
        <f t="shared" si="74"/>
        <v>4444.976592</v>
      </c>
      <c r="AA18" s="9">
        <f t="shared" ref="AA18" si="75">AA16-AA17</f>
        <v>4619.4424550400017</v>
      </c>
      <c r="AB18" s="9">
        <f t="shared" ref="AB18" si="76">AB16-AB17</f>
        <v>4740.5026427807952</v>
      </c>
      <c r="AC18" s="9">
        <f t="shared" ref="AC18" si="77">AC16-AC17</f>
        <v>4864.2707476628157</v>
      </c>
      <c r="AD18" s="9">
        <f t="shared" ref="AD18" si="78">AD16-AD17</f>
        <v>4929.5302349248122</v>
      </c>
      <c r="AE18" s="9">
        <f t="shared" ref="AE18" si="79">AE16-AE17</f>
        <v>4995.77465265513</v>
      </c>
      <c r="AF18" s="9">
        <f t="shared" ref="AF18" si="80">AF16-AF17</f>
        <v>5063.0204968703792</v>
      </c>
      <c r="AG18" s="9">
        <f t="shared" ref="AG18" si="81">AG16-AG17</f>
        <v>5131.2845614815451</v>
      </c>
      <c r="AH18" s="9">
        <f t="shared" ref="AH18" si="82">AH16-AH17</f>
        <v>5200.5839439316869</v>
      </c>
      <c r="AI18" s="9">
        <f t="shared" ref="AI18" si="83">AI16-AI17</f>
        <v>5270.9360509430207</v>
      </c>
      <c r="AJ18" s="9">
        <f t="shared" ref="AJ18" si="84">AJ16-AJ17</f>
        <v>5342.3586043759151</v>
      </c>
      <c r="AK18" s="2">
        <f>AJ18*(1+$AM$23)</f>
        <v>5288.9350183321558</v>
      </c>
      <c r="AL18" s="2">
        <f t="shared" ref="AL18:CW18" si="85">AK18*(1+$AM$23)</f>
        <v>5236.045668148834</v>
      </c>
      <c r="AM18" s="2">
        <f t="shared" si="85"/>
        <v>5183.6852114673457</v>
      </c>
      <c r="AN18" s="2">
        <f t="shared" si="85"/>
        <v>5131.8483593526726</v>
      </c>
      <c r="AO18" s="2">
        <f t="shared" si="85"/>
        <v>5080.5298757591454</v>
      </c>
      <c r="AP18" s="2">
        <f t="shared" si="85"/>
        <v>5029.7245770015543</v>
      </c>
      <c r="AQ18" s="2">
        <f t="shared" si="85"/>
        <v>4979.427331231539</v>
      </c>
      <c r="AR18" s="2">
        <f t="shared" si="85"/>
        <v>4929.6330579192236</v>
      </c>
      <c r="AS18" s="2">
        <f t="shared" si="85"/>
        <v>4880.3367273400308</v>
      </c>
      <c r="AT18" s="2">
        <f t="shared" si="85"/>
        <v>4831.5333600666308</v>
      </c>
      <c r="AU18" s="2">
        <f t="shared" si="85"/>
        <v>4783.2180264659646</v>
      </c>
      <c r="AV18" s="2">
        <f t="shared" si="85"/>
        <v>4735.385846201305</v>
      </c>
      <c r="AW18" s="2">
        <f t="shared" si="85"/>
        <v>4688.0319877392922</v>
      </c>
      <c r="AX18" s="2">
        <f t="shared" si="85"/>
        <v>4641.1516678618991</v>
      </c>
      <c r="AY18" s="2">
        <f t="shared" si="85"/>
        <v>4594.7401511832804</v>
      </c>
      <c r="AZ18" s="2">
        <f t="shared" si="85"/>
        <v>4548.7927496714474</v>
      </c>
      <c r="BA18" s="2">
        <f t="shared" si="85"/>
        <v>4503.3048221747331</v>
      </c>
      <c r="BB18" s="2">
        <f t="shared" si="85"/>
        <v>4458.2717739529853</v>
      </c>
      <c r="BC18" s="2">
        <f t="shared" si="85"/>
        <v>4413.6890562134558</v>
      </c>
      <c r="BD18" s="2">
        <f t="shared" si="85"/>
        <v>4369.552165651321</v>
      </c>
      <c r="BE18" s="2">
        <f t="shared" si="85"/>
        <v>4325.8566439948081</v>
      </c>
      <c r="BF18" s="2">
        <f t="shared" si="85"/>
        <v>4282.5980775548596</v>
      </c>
      <c r="BG18" s="2">
        <f t="shared" si="85"/>
        <v>4239.7720967793111</v>
      </c>
      <c r="BH18" s="2">
        <f t="shared" si="85"/>
        <v>4197.3743758115179</v>
      </c>
      <c r="BI18" s="2">
        <f t="shared" si="85"/>
        <v>4155.4006320534027</v>
      </c>
      <c r="BJ18" s="2">
        <f t="shared" si="85"/>
        <v>4113.8466257328682</v>
      </c>
      <c r="BK18" s="2">
        <f t="shared" si="85"/>
        <v>4072.7081594755396</v>
      </c>
      <c r="BL18" s="2">
        <f t="shared" si="85"/>
        <v>4031.9810778807841</v>
      </c>
      <c r="BM18" s="2">
        <f t="shared" si="85"/>
        <v>3991.6612671019761</v>
      </c>
      <c r="BN18" s="2">
        <f t="shared" si="85"/>
        <v>3951.7446544309564</v>
      </c>
      <c r="BO18" s="2">
        <f t="shared" si="85"/>
        <v>3912.2272078866467</v>
      </c>
      <c r="BP18" s="2">
        <f t="shared" si="85"/>
        <v>3873.1049358077803</v>
      </c>
      <c r="BQ18" s="2">
        <f t="shared" si="85"/>
        <v>3834.3738864497022</v>
      </c>
      <c r="BR18" s="2">
        <f t="shared" si="85"/>
        <v>3796.0301475852052</v>
      </c>
      <c r="BS18" s="2">
        <f t="shared" si="85"/>
        <v>3758.069846109353</v>
      </c>
      <c r="BT18" s="2">
        <f t="shared" si="85"/>
        <v>3720.4891476482594</v>
      </c>
      <c r="BU18" s="2">
        <f t="shared" si="85"/>
        <v>3683.2842561717766</v>
      </c>
      <c r="BV18" s="2">
        <f t="shared" si="85"/>
        <v>3646.4514136100588</v>
      </c>
      <c r="BW18" s="2">
        <f t="shared" si="85"/>
        <v>3609.9868994739581</v>
      </c>
      <c r="BX18" s="2">
        <f t="shared" si="85"/>
        <v>3573.8870304792185</v>
      </c>
      <c r="BY18" s="2">
        <f t="shared" si="85"/>
        <v>3538.1481601744263</v>
      </c>
      <c r="BZ18" s="2">
        <f t="shared" si="85"/>
        <v>3502.7666785726819</v>
      </c>
      <c r="CA18" s="2">
        <f t="shared" si="85"/>
        <v>3467.739011786955</v>
      </c>
      <c r="CB18" s="2">
        <f t="shared" si="85"/>
        <v>3433.0616216690855</v>
      </c>
      <c r="CC18" s="2">
        <f t="shared" si="85"/>
        <v>3398.7310054523946</v>
      </c>
      <c r="CD18" s="2">
        <f t="shared" si="85"/>
        <v>3364.7436953978704</v>
      </c>
      <c r="CE18" s="2">
        <f t="shared" si="85"/>
        <v>3331.0962584438917</v>
      </c>
      <c r="CF18" s="2">
        <f t="shared" si="85"/>
        <v>3297.7852958594526</v>
      </c>
      <c r="CG18" s="2">
        <f t="shared" si="85"/>
        <v>3264.807442900858</v>
      </c>
      <c r="CH18" s="2">
        <f t="shared" si="85"/>
        <v>3232.1593684718491</v>
      </c>
      <c r="CI18" s="2">
        <f t="shared" si="85"/>
        <v>3199.8377747871305</v>
      </c>
      <c r="CJ18" s="2">
        <f t="shared" si="85"/>
        <v>3167.839397039259</v>
      </c>
      <c r="CK18" s="2">
        <f t="shared" si="85"/>
        <v>3136.1610030688662</v>
      </c>
      <c r="CL18" s="2">
        <f t="shared" si="85"/>
        <v>3104.7993930381776</v>
      </c>
      <c r="CM18" s="2">
        <f t="shared" si="85"/>
        <v>3073.7513991077958</v>
      </c>
      <c r="CN18" s="2">
        <f t="shared" si="85"/>
        <v>3043.013885116718</v>
      </c>
      <c r="CO18" s="2">
        <f t="shared" si="85"/>
        <v>3012.5837462655509</v>
      </c>
      <c r="CP18" s="2">
        <f t="shared" si="85"/>
        <v>2982.4579088028954</v>
      </c>
      <c r="CQ18" s="2">
        <f t="shared" si="85"/>
        <v>2952.6333297148662</v>
      </c>
      <c r="CR18" s="2">
        <f t="shared" si="85"/>
        <v>2923.1069964177177</v>
      </c>
      <c r="CS18" s="2">
        <f t="shared" si="85"/>
        <v>2893.8759264535406</v>
      </c>
      <c r="CT18" s="2">
        <f t="shared" si="85"/>
        <v>2864.9371671890053</v>
      </c>
      <c r="CU18" s="2">
        <f t="shared" si="85"/>
        <v>2836.2877955171152</v>
      </c>
      <c r="CV18" s="2">
        <f t="shared" si="85"/>
        <v>2807.9249175619439</v>
      </c>
      <c r="CW18" s="2">
        <f t="shared" si="85"/>
        <v>2779.8456683863242</v>
      </c>
      <c r="CX18" s="2">
        <f t="shared" ref="CX18:EO18" si="86">CW18*(1+$AM$23)</f>
        <v>2752.047211702461</v>
      </c>
      <c r="CY18" s="2">
        <f t="shared" si="86"/>
        <v>2724.5267395854362</v>
      </c>
      <c r="CZ18" s="2">
        <f t="shared" si="86"/>
        <v>2697.281472189582</v>
      </c>
      <c r="DA18" s="2">
        <f t="shared" si="86"/>
        <v>2670.3086574676863</v>
      </c>
      <c r="DB18" s="2">
        <f t="shared" si="86"/>
        <v>2643.6055708930094</v>
      </c>
      <c r="DC18" s="2">
        <f t="shared" si="86"/>
        <v>2617.169515184079</v>
      </c>
      <c r="DD18" s="2">
        <f t="shared" si="86"/>
        <v>2590.9978200322385</v>
      </c>
      <c r="DE18" s="2">
        <f t="shared" si="86"/>
        <v>2565.0878418319162</v>
      </c>
      <c r="DF18" s="2">
        <f t="shared" si="86"/>
        <v>2539.4369634135969</v>
      </c>
      <c r="DG18" s="2">
        <f t="shared" si="86"/>
        <v>2514.0425937794607</v>
      </c>
      <c r="DH18" s="2">
        <f t="shared" si="86"/>
        <v>2488.9021678416661</v>
      </c>
      <c r="DI18" s="2">
        <f t="shared" si="86"/>
        <v>2464.0131461632495</v>
      </c>
      <c r="DJ18" s="2">
        <f t="shared" si="86"/>
        <v>2439.3730147016172</v>
      </c>
      <c r="DK18" s="2">
        <f t="shared" si="86"/>
        <v>2414.9792845546008</v>
      </c>
      <c r="DL18" s="2">
        <f t="shared" si="86"/>
        <v>2390.8294917090548</v>
      </c>
      <c r="DM18" s="2">
        <f t="shared" si="86"/>
        <v>2366.9211967919641</v>
      </c>
      <c r="DN18" s="2">
        <f t="shared" si="86"/>
        <v>2343.2519848240445</v>
      </c>
      <c r="DO18" s="2">
        <f t="shared" si="86"/>
        <v>2319.8194649758038</v>
      </c>
      <c r="DP18" s="2">
        <f t="shared" si="86"/>
        <v>2296.6212703260458</v>
      </c>
      <c r="DQ18" s="2">
        <f t="shared" si="86"/>
        <v>2273.6550576227851</v>
      </c>
      <c r="DR18" s="2">
        <f t="shared" si="86"/>
        <v>2250.9185070465574</v>
      </c>
      <c r="DS18" s="2">
        <f t="shared" si="86"/>
        <v>2228.4093219760916</v>
      </c>
      <c r="DT18" s="2">
        <f t="shared" si="86"/>
        <v>2206.1252287563307</v>
      </c>
      <c r="DU18" s="2">
        <f t="shared" si="86"/>
        <v>2184.0639764687671</v>
      </c>
      <c r="DV18" s="2">
        <f t="shared" si="86"/>
        <v>2162.2233367040794</v>
      </c>
      <c r="DW18" s="2">
        <f t="shared" si="86"/>
        <v>2140.6011033370387</v>
      </c>
      <c r="DX18" s="2">
        <f t="shared" si="86"/>
        <v>2119.1950923036684</v>
      </c>
      <c r="DY18" s="2">
        <f t="shared" si="86"/>
        <v>2098.0031413806319</v>
      </c>
      <c r="DZ18" s="2">
        <f t="shared" si="86"/>
        <v>2077.0231099668254</v>
      </c>
      <c r="EA18" s="2">
        <f t="shared" si="86"/>
        <v>2056.2528788671571</v>
      </c>
      <c r="EB18" s="2">
        <f t="shared" si="86"/>
        <v>2035.6903500784854</v>
      </c>
      <c r="EC18" s="2">
        <f t="shared" si="86"/>
        <v>2015.3334465777004</v>
      </c>
      <c r="ED18" s="2">
        <f t="shared" si="86"/>
        <v>1995.1801121119233</v>
      </c>
      <c r="EE18" s="2">
        <f t="shared" si="86"/>
        <v>1975.2283109908042</v>
      </c>
      <c r="EF18" s="2">
        <f t="shared" si="86"/>
        <v>1955.476027880896</v>
      </c>
      <c r="EG18" s="2">
        <f t="shared" si="86"/>
        <v>1935.921267602087</v>
      </c>
      <c r="EH18" s="2">
        <f t="shared" si="86"/>
        <v>1916.5620549260661</v>
      </c>
      <c r="EI18" s="2">
        <f t="shared" si="86"/>
        <v>1897.3964343768055</v>
      </c>
      <c r="EJ18" s="2">
        <f t="shared" si="86"/>
        <v>1878.4224700330374</v>
      </c>
      <c r="EK18" s="2">
        <f t="shared" si="86"/>
        <v>1859.6382453327069</v>
      </c>
      <c r="EL18" s="2">
        <f t="shared" si="86"/>
        <v>1841.0418628793798</v>
      </c>
      <c r="EM18" s="2">
        <f t="shared" si="86"/>
        <v>1822.6314442505859</v>
      </c>
      <c r="EN18" s="2">
        <f t="shared" si="86"/>
        <v>1804.4051298080801</v>
      </c>
      <c r="EO18" s="2">
        <f t="shared" si="86"/>
        <v>1786.3610785099993</v>
      </c>
    </row>
    <row r="19" spans="2:145" x14ac:dyDescent="0.3">
      <c r="B19" s="1" t="s">
        <v>2</v>
      </c>
      <c r="K19" s="4">
        <v>143.9</v>
      </c>
      <c r="O19" s="4">
        <v>143.9</v>
      </c>
      <c r="T19" s="4">
        <v>169.3</v>
      </c>
      <c r="U19" s="4">
        <v>167.1</v>
      </c>
      <c r="V19" s="4">
        <v>160.30000000000001</v>
      </c>
      <c r="W19" s="4">
        <v>154.9</v>
      </c>
      <c r="X19" s="4">
        <v>151.5</v>
      </c>
      <c r="Y19" s="4">
        <v>147</v>
      </c>
      <c r="Z19" s="4">
        <v>147</v>
      </c>
      <c r="AA19" s="4">
        <v>147</v>
      </c>
      <c r="AB19" s="4">
        <v>147</v>
      </c>
      <c r="AC19" s="4">
        <v>147</v>
      </c>
      <c r="AD19" s="4">
        <v>147</v>
      </c>
      <c r="AE19" s="4">
        <v>147</v>
      </c>
      <c r="AF19" s="4">
        <v>147</v>
      </c>
      <c r="AG19" s="4">
        <v>147</v>
      </c>
      <c r="AH19" s="4">
        <v>147</v>
      </c>
      <c r="AI19" s="4">
        <v>147</v>
      </c>
      <c r="AJ19" s="4">
        <v>147</v>
      </c>
    </row>
    <row r="20" spans="2:145" x14ac:dyDescent="0.3">
      <c r="B20" s="1" t="s">
        <v>42</v>
      </c>
      <c r="K20" s="8">
        <f>K18/K19</f>
        <v>6.5601111883252257</v>
      </c>
      <c r="O20" s="8">
        <f>O18/O19</f>
        <v>3.3425990271021542</v>
      </c>
      <c r="T20" s="8">
        <f t="shared" ref="T20:Z20" si="87">T18/T19</f>
        <v>13.278204370939161</v>
      </c>
      <c r="U20" s="8">
        <f t="shared" si="87"/>
        <v>19.084380610412929</v>
      </c>
      <c r="V20" s="8">
        <f t="shared" si="87"/>
        <v>43.699313786650031</v>
      </c>
      <c r="W20" s="8">
        <f t="shared" si="87"/>
        <v>31.607488702388636</v>
      </c>
      <c r="X20" s="8">
        <f t="shared" si="87"/>
        <v>13.570957095709572</v>
      </c>
      <c r="Y20" s="8">
        <f t="shared" si="87"/>
        <v>28.394557823129251</v>
      </c>
      <c r="Z20" s="8">
        <f t="shared" si="87"/>
        <v>30.237936000000001</v>
      </c>
      <c r="AA20" s="8">
        <f t="shared" ref="AA20" si="88">AA18/AA19</f>
        <v>31.424778605714298</v>
      </c>
      <c r="AB20" s="8">
        <f t="shared" ref="AB20" si="89">AB18/AB19</f>
        <v>32.248317297828542</v>
      </c>
      <c r="AC20" s="8">
        <f t="shared" ref="AC20" si="90">AC18/AC19</f>
        <v>33.090277194985141</v>
      </c>
      <c r="AD20" s="8">
        <f t="shared" ref="AD20" si="91">AD18/AD19</f>
        <v>33.534219285202802</v>
      </c>
      <c r="AE20" s="8">
        <f t="shared" ref="AE20" si="92">AE18/AE19</f>
        <v>33.984861582687962</v>
      </c>
      <c r="AF20" s="8">
        <f t="shared" ref="AF20" si="93">AF18/AF19</f>
        <v>34.442316305240674</v>
      </c>
      <c r="AG20" s="8">
        <f t="shared" ref="AG20" si="94">AG18/AG19</f>
        <v>34.906697697153369</v>
      </c>
      <c r="AH20" s="8">
        <f t="shared" ref="AH20" si="95">AH18/AH19</f>
        <v>35.378122067562494</v>
      </c>
      <c r="AI20" s="8">
        <f t="shared" ref="AI20" si="96">AI18/AI19</f>
        <v>35.856707829544362</v>
      </c>
      <c r="AJ20" s="8">
        <f t="shared" ref="AJ20" si="97">AJ18/AJ19</f>
        <v>36.342575539972209</v>
      </c>
    </row>
    <row r="22" spans="2:145" x14ac:dyDescent="0.3">
      <c r="B22" s="1" t="s">
        <v>43</v>
      </c>
      <c r="K22" s="10"/>
      <c r="O22" s="10">
        <f>O3/K3-1</f>
        <v>-7.1710688718834903E-2</v>
      </c>
      <c r="T22" s="10"/>
      <c r="U22" s="10">
        <f t="shared" ref="U22:X24" si="98">U3/T3-1</f>
        <v>0.13260942478618154</v>
      </c>
      <c r="V22" s="10">
        <f t="shared" si="98"/>
        <v>3.1575050897649559E-2</v>
      </c>
      <c r="W22" s="10">
        <f t="shared" si="98"/>
        <v>2.3467776661403761E-2</v>
      </c>
      <c r="X22" s="10">
        <f t="shared" si="98"/>
        <v>8.3269055465956088E-2</v>
      </c>
      <c r="Y22" s="10">
        <f>Y3/X3-1</f>
        <v>5.9196685762371803E-2</v>
      </c>
      <c r="Z22" s="10">
        <f t="shared" ref="Z22:AJ24" si="99">Z3/Y3-1</f>
        <v>4.0000000000000036E-2</v>
      </c>
      <c r="AA22" s="10">
        <f t="shared" si="99"/>
        <v>3.0000000000000027E-2</v>
      </c>
      <c r="AB22" s="10">
        <f t="shared" si="99"/>
        <v>2.0000000000000018E-2</v>
      </c>
      <c r="AC22" s="10">
        <f t="shared" si="99"/>
        <v>2.0000000000000018E-2</v>
      </c>
      <c r="AD22" s="10">
        <f t="shared" si="99"/>
        <v>1.0000000000000009E-2</v>
      </c>
      <c r="AE22" s="10">
        <f t="shared" si="99"/>
        <v>1.0000000000000009E-2</v>
      </c>
      <c r="AF22" s="10">
        <f t="shared" si="99"/>
        <v>1.0000000000000009E-2</v>
      </c>
      <c r="AG22" s="10">
        <f t="shared" si="99"/>
        <v>1.0000000000000009E-2</v>
      </c>
      <c r="AH22" s="10">
        <f t="shared" si="99"/>
        <v>1.0000000000000009E-2</v>
      </c>
      <c r="AI22" s="10">
        <f t="shared" si="99"/>
        <v>1.0000000000000009E-2</v>
      </c>
      <c r="AJ22" s="10">
        <f t="shared" si="99"/>
        <v>1.0000000000000009E-2</v>
      </c>
    </row>
    <row r="23" spans="2:145" x14ac:dyDescent="0.3">
      <c r="B23" s="1" t="s">
        <v>44</v>
      </c>
      <c r="K23" s="10"/>
      <c r="O23" s="10">
        <f t="shared" ref="O23:O24" si="100">O4/K4-1</f>
        <v>-4.1358936484490405E-2</v>
      </c>
      <c r="T23" s="10"/>
      <c r="U23" s="10">
        <f t="shared" si="98"/>
        <v>-2.0522574832315565E-2</v>
      </c>
      <c r="V23" s="10">
        <f t="shared" si="98"/>
        <v>-0.20288225674570726</v>
      </c>
      <c r="W23" s="10">
        <f t="shared" si="98"/>
        <v>3.6030260289780847E-2</v>
      </c>
      <c r="X23" s="10">
        <f t="shared" si="98"/>
        <v>3.8737623762376217E-2</v>
      </c>
      <c r="Y23" s="10">
        <f t="shared" ref="Y23:Y24" si="101">Y4/X4-1</f>
        <v>-1.0246634099845164E-2</v>
      </c>
      <c r="Z23" s="10">
        <f t="shared" si="99"/>
        <v>2.0000000000000018E-2</v>
      </c>
      <c r="AA23" s="10">
        <f t="shared" si="99"/>
        <v>2.0000000000000018E-2</v>
      </c>
      <c r="AB23" s="10">
        <f t="shared" si="99"/>
        <v>2.0000000000000018E-2</v>
      </c>
      <c r="AC23" s="10">
        <f t="shared" si="99"/>
        <v>2.0000000000000018E-2</v>
      </c>
      <c r="AD23" s="10">
        <f t="shared" si="99"/>
        <v>2.0000000000000018E-2</v>
      </c>
      <c r="AE23" s="10">
        <f t="shared" si="99"/>
        <v>2.0000000000000018E-2</v>
      </c>
      <c r="AF23" s="10">
        <f t="shared" si="99"/>
        <v>2.0000000000000018E-2</v>
      </c>
      <c r="AG23" s="10">
        <f t="shared" si="99"/>
        <v>2.0000000000000018E-2</v>
      </c>
      <c r="AH23" s="10">
        <f t="shared" si="99"/>
        <v>2.0000000000000018E-2</v>
      </c>
      <c r="AI23" s="10">
        <f t="shared" si="99"/>
        <v>2.0000000000000018E-2</v>
      </c>
      <c r="AJ23" s="10">
        <f t="shared" si="99"/>
        <v>2.0000000000000018E-2</v>
      </c>
      <c r="AL23" s="1" t="s">
        <v>53</v>
      </c>
      <c r="AM23" s="10">
        <v>-0.01</v>
      </c>
    </row>
    <row r="24" spans="2:145" x14ac:dyDescent="0.3">
      <c r="B24" s="2" t="s">
        <v>45</v>
      </c>
      <c r="K24" s="11"/>
      <c r="O24" s="11">
        <f t="shared" si="100"/>
        <v>-6.5627158788117979E-2</v>
      </c>
      <c r="T24" s="11"/>
      <c r="U24" s="11">
        <f t="shared" si="98"/>
        <v>8.7408764516414994E-2</v>
      </c>
      <c r="V24" s="11">
        <f t="shared" si="98"/>
        <v>-3.0761705481127222E-2</v>
      </c>
      <c r="W24" s="11">
        <f t="shared" si="98"/>
        <v>2.6214708273754495E-2</v>
      </c>
      <c r="X24" s="11">
        <f t="shared" si="98"/>
        <v>7.3438609912026775E-2</v>
      </c>
      <c r="Y24" s="11">
        <f t="shared" si="101"/>
        <v>4.4362433189106598E-2</v>
      </c>
      <c r="Z24" s="11">
        <f t="shared" si="99"/>
        <v>3.5951063777934777E-2</v>
      </c>
      <c r="AA24" s="11">
        <f t="shared" si="99"/>
        <v>2.8006703650920839E-2</v>
      </c>
      <c r="AB24" s="11">
        <f t="shared" si="99"/>
        <v>2.0000000000000018E-2</v>
      </c>
      <c r="AC24" s="11">
        <f t="shared" si="99"/>
        <v>2.0000000000000018E-2</v>
      </c>
      <c r="AD24" s="11">
        <f t="shared" si="99"/>
        <v>1.1977771418065775E-2</v>
      </c>
      <c r="AE24" s="11">
        <f t="shared" si="99"/>
        <v>1.1993449760858033E-2</v>
      </c>
      <c r="AF24" s="11">
        <f t="shared" si="99"/>
        <v>1.2009221261813252E-2</v>
      </c>
      <c r="AG24" s="11">
        <f t="shared" si="99"/>
        <v>1.2025085981424377E-2</v>
      </c>
      <c r="AH24" s="11">
        <f t="shared" si="99"/>
        <v>1.2041043971800169E-2</v>
      </c>
      <c r="AI24" s="11">
        <f t="shared" si="99"/>
        <v>1.2057095276556851E-2</v>
      </c>
      <c r="AJ24" s="11">
        <f t="shared" si="99"/>
        <v>1.2073239930712409E-2</v>
      </c>
      <c r="AL24" s="1" t="s">
        <v>54</v>
      </c>
      <c r="AM24" s="10">
        <v>0.08</v>
      </c>
    </row>
    <row r="25" spans="2:145" x14ac:dyDescent="0.3">
      <c r="B25" s="1" t="s">
        <v>46</v>
      </c>
      <c r="K25" s="10">
        <f t="shared" ref="K25:K26" si="102">(K3-K6)/K3</f>
        <v>0.20871389780301161</v>
      </c>
      <c r="O25" s="10">
        <f t="shared" ref="O25" si="103">(O3-O6)/O3</f>
        <v>0.15357000398883128</v>
      </c>
      <c r="T25" s="10">
        <f t="shared" ref="T25:X26" si="104">(T3-T6)/T3</f>
        <v>0.21704678852926379</v>
      </c>
      <c r="U25" s="10">
        <f t="shared" si="104"/>
        <v>0.20196187303349991</v>
      </c>
      <c r="V25" s="10">
        <f t="shared" si="104"/>
        <v>0.19947610162193197</v>
      </c>
      <c r="W25" s="10">
        <f t="shared" si="104"/>
        <v>0.20198443306920974</v>
      </c>
      <c r="X25" s="10">
        <f t="shared" si="104"/>
        <v>0.15117972618700845</v>
      </c>
      <c r="Y25" s="10">
        <f>(Y3-Y6)/Y3</f>
        <v>0.19977999144411171</v>
      </c>
      <c r="Z25" s="10">
        <f t="shared" ref="Z25:AJ25" si="105">(Z3-Z6)/Z3</f>
        <v>0.19999999999999993</v>
      </c>
      <c r="AA25" s="10">
        <f t="shared" si="105"/>
        <v>0.19999999999999993</v>
      </c>
      <c r="AB25" s="10">
        <f t="shared" si="105"/>
        <v>0.19999999999999993</v>
      </c>
      <c r="AC25" s="10">
        <f t="shared" si="105"/>
        <v>0.19999999999999998</v>
      </c>
      <c r="AD25" s="10">
        <f t="shared" si="105"/>
        <v>0.19999999999999996</v>
      </c>
      <c r="AE25" s="10">
        <f t="shared" si="105"/>
        <v>0.19999999999999998</v>
      </c>
      <c r="AF25" s="10">
        <f t="shared" si="105"/>
        <v>0.19999999999999996</v>
      </c>
      <c r="AG25" s="10">
        <f t="shared" si="105"/>
        <v>0.19999999999999993</v>
      </c>
      <c r="AH25" s="10">
        <f t="shared" si="105"/>
        <v>0.19999999999999996</v>
      </c>
      <c r="AI25" s="10">
        <f t="shared" si="105"/>
        <v>0.19999999999999996</v>
      </c>
      <c r="AJ25" s="10">
        <f t="shared" si="105"/>
        <v>0.19999999999999993</v>
      </c>
      <c r="AL25" s="1" t="s">
        <v>55</v>
      </c>
      <c r="AM25" s="4">
        <f>NPV(AM24,Z18:EO18)</f>
        <v>60180.41846941648</v>
      </c>
    </row>
    <row r="26" spans="2:145" x14ac:dyDescent="0.3">
      <c r="B26" s="1" t="s">
        <v>47</v>
      </c>
      <c r="K26" s="10">
        <f t="shared" si="102"/>
        <v>0.21762678483505662</v>
      </c>
      <c r="O26" s="10">
        <f t="shared" ref="O26" si="106">(O4-O7)/O4</f>
        <v>0.21828454031843864</v>
      </c>
      <c r="T26" s="10">
        <f t="shared" si="104"/>
        <v>0.20842927219941937</v>
      </c>
      <c r="U26" s="10">
        <f t="shared" si="104"/>
        <v>0.20666394112837286</v>
      </c>
      <c r="V26" s="10">
        <f t="shared" si="104"/>
        <v>0.21913065777663804</v>
      </c>
      <c r="W26" s="10">
        <f t="shared" si="104"/>
        <v>0.2120049504950495</v>
      </c>
      <c r="X26" s="10">
        <f t="shared" si="104"/>
        <v>0.22399618729893958</v>
      </c>
      <c r="Y26" s="10">
        <f t="shared" ref="Y26:AJ26" si="107">(Y4-Y7)/Y4</f>
        <v>0.21957385337667029</v>
      </c>
      <c r="Z26" s="10">
        <f t="shared" si="107"/>
        <v>0.22</v>
      </c>
      <c r="AA26" s="10">
        <f t="shared" si="107"/>
        <v>0.22</v>
      </c>
      <c r="AB26" s="10">
        <f t="shared" si="107"/>
        <v>0.21999999999999995</v>
      </c>
      <c r="AC26" s="10">
        <f t="shared" si="107"/>
        <v>0.21999999999999995</v>
      </c>
      <c r="AD26" s="10">
        <f t="shared" si="107"/>
        <v>0.21999999999999995</v>
      </c>
      <c r="AE26" s="10">
        <f t="shared" si="107"/>
        <v>0.22</v>
      </c>
      <c r="AF26" s="10">
        <f t="shared" si="107"/>
        <v>0.22</v>
      </c>
      <c r="AG26" s="10">
        <f t="shared" si="107"/>
        <v>0.21999999999999995</v>
      </c>
      <c r="AH26" s="10">
        <f t="shared" si="107"/>
        <v>0.21999999999999997</v>
      </c>
      <c r="AI26" s="10">
        <f t="shared" si="107"/>
        <v>0.21999999999999995</v>
      </c>
      <c r="AJ26" s="10">
        <f t="shared" si="107"/>
        <v>0.21999999999999995</v>
      </c>
      <c r="AL26" s="1" t="s">
        <v>56</v>
      </c>
      <c r="AM26" s="4">
        <f>Main!D8</f>
        <v>-12482</v>
      </c>
    </row>
    <row r="27" spans="2:145" x14ac:dyDescent="0.3">
      <c r="B27" s="1" t="s">
        <v>48</v>
      </c>
      <c r="K27" s="10">
        <f t="shared" ref="K27" si="108">K9/K5</f>
        <v>0.21050034540609888</v>
      </c>
      <c r="O27" s="10">
        <f t="shared" ref="O27" si="109">O9/O5</f>
        <v>0.16687790452049006</v>
      </c>
      <c r="T27" s="10">
        <f t="shared" ref="T27:X27" si="110">T9/T5</f>
        <v>0.21450311752016785</v>
      </c>
      <c r="U27" s="10">
        <f t="shared" si="110"/>
        <v>0.2032120438055382</v>
      </c>
      <c r="V27" s="10">
        <f t="shared" si="110"/>
        <v>0.20377379650657471</v>
      </c>
      <c r="W27" s="10">
        <f t="shared" si="110"/>
        <v>0.20419649199497295</v>
      </c>
      <c r="X27" s="10">
        <f t="shared" si="110"/>
        <v>0.16673453805039451</v>
      </c>
      <c r="Y27" s="10">
        <f>Y9/Y5</f>
        <v>0.20378719567177639</v>
      </c>
      <c r="Z27" s="10">
        <f t="shared" ref="Z27:AJ27" si="111">Z9/Z5</f>
        <v>0.20398659269815833</v>
      </c>
      <c r="AA27" s="10">
        <f t="shared" si="111"/>
        <v>0.20395554283613149</v>
      </c>
      <c r="AB27" s="10">
        <f t="shared" si="111"/>
        <v>0.20395554283613132</v>
      </c>
      <c r="AC27" s="10">
        <f t="shared" si="111"/>
        <v>0.20395554283613143</v>
      </c>
      <c r="AD27" s="10">
        <f t="shared" si="111"/>
        <v>0.2039868995217162</v>
      </c>
      <c r="AE27" s="10">
        <f t="shared" si="111"/>
        <v>0.20401844252362644</v>
      </c>
      <c r="AF27" s="10">
        <f t="shared" si="111"/>
        <v>0.20405017196284878</v>
      </c>
      <c r="AG27" s="10">
        <f t="shared" si="111"/>
        <v>0.20408208794360008</v>
      </c>
      <c r="AH27" s="10">
        <f t="shared" si="111"/>
        <v>0.20411419055311386</v>
      </c>
      <c r="AI27" s="10">
        <f t="shared" si="111"/>
        <v>0.20414647986142448</v>
      </c>
      <c r="AJ27" s="10">
        <f t="shared" si="111"/>
        <v>0.20417895592115692</v>
      </c>
      <c r="AL27" s="1" t="s">
        <v>57</v>
      </c>
      <c r="AM27" s="4">
        <f>AM25+AM26</f>
        <v>47698.41846941648</v>
      </c>
    </row>
    <row r="28" spans="2:145" x14ac:dyDescent="0.3">
      <c r="B28" s="1" t="s">
        <v>51</v>
      </c>
      <c r="K28" s="10"/>
      <c r="O28" s="10">
        <f>O10/K10-1</f>
        <v>-5.1789077212806012E-2</v>
      </c>
      <c r="T28" s="10"/>
      <c r="U28" s="10">
        <f t="shared" ref="U28:X28" si="112">U10/T10-1</f>
        <v>3.7386018237081986E-2</v>
      </c>
      <c r="V28" s="10">
        <f t="shared" si="112"/>
        <v>5.3911514796366911E-2</v>
      </c>
      <c r="W28" s="10">
        <f t="shared" si="112"/>
        <v>7.6730608840700487E-2</v>
      </c>
      <c r="X28" s="10">
        <f t="shared" si="112"/>
        <v>3.6405886909372631E-2</v>
      </c>
      <c r="Y28" s="10">
        <f>Y10/X10-1</f>
        <v>-5.4808171400099193E-3</v>
      </c>
      <c r="Z28" s="10">
        <f t="shared" ref="Z28:AJ28" si="113">Z10/Y10-1</f>
        <v>1.0000000000000009E-2</v>
      </c>
      <c r="AA28" s="10">
        <f t="shared" si="113"/>
        <v>1.0000000000000009E-2</v>
      </c>
      <c r="AB28" s="10">
        <f t="shared" si="113"/>
        <v>1.0000000000000009E-2</v>
      </c>
      <c r="AC28" s="10">
        <f t="shared" si="113"/>
        <v>1.0000000000000009E-2</v>
      </c>
      <c r="AD28" s="10">
        <f t="shared" si="113"/>
        <v>1.0000000000000009E-2</v>
      </c>
      <c r="AE28" s="10">
        <f t="shared" si="113"/>
        <v>1.0000000000000009E-2</v>
      </c>
      <c r="AF28" s="10">
        <f t="shared" si="113"/>
        <v>1.0000000000000009E-2</v>
      </c>
      <c r="AG28" s="10">
        <f t="shared" si="113"/>
        <v>1.0000000000000009E-2</v>
      </c>
      <c r="AH28" s="10">
        <f t="shared" si="113"/>
        <v>1.0000000000000009E-2</v>
      </c>
      <c r="AI28" s="10">
        <f t="shared" si="113"/>
        <v>1.0000000000000009E-2</v>
      </c>
      <c r="AJ28" s="10">
        <f t="shared" si="113"/>
        <v>1.0000000000000009E-2</v>
      </c>
      <c r="AL28" s="1" t="s">
        <v>58</v>
      </c>
      <c r="AM28" s="3">
        <f>AM27/AJ19</f>
        <v>324.47903720691482</v>
      </c>
    </row>
    <row r="29" spans="2:145" x14ac:dyDescent="0.3">
      <c r="B29" s="1" t="s">
        <v>49</v>
      </c>
      <c r="K29" s="10">
        <f t="shared" ref="K29" si="114">K11/K5</f>
        <v>0.10569426625875851</v>
      </c>
      <c r="O29" s="10">
        <f t="shared" ref="O29" si="115">O11/O5</f>
        <v>6.0519645120405578E-2</v>
      </c>
      <c r="T29" s="10">
        <f t="shared" ref="T29:X29" si="116">T11/T5</f>
        <v>0.11728376821015928</v>
      </c>
      <c r="U29" s="10">
        <f t="shared" si="116"/>
        <v>0.11046495828690997</v>
      </c>
      <c r="V29" s="10">
        <f t="shared" si="116"/>
        <v>0.10292427173577817</v>
      </c>
      <c r="W29" s="10">
        <f t="shared" si="116"/>
        <v>9.8382602043604175E-2</v>
      </c>
      <c r="X29" s="10">
        <f t="shared" si="116"/>
        <v>6.4571137694069733E-2</v>
      </c>
      <c r="Y29" s="10">
        <f>Y11/Y5</f>
        <v>0.10649964662588648</v>
      </c>
      <c r="Z29" s="10">
        <f t="shared" ref="Z29:AJ29" si="117">Z11/Z5</f>
        <v>0.10913614273770365</v>
      </c>
      <c r="AA29" s="10">
        <f t="shared" si="117"/>
        <v>0.11076650611114379</v>
      </c>
      <c r="AB29" s="10">
        <f t="shared" si="117"/>
        <v>0.11168012411825133</v>
      </c>
      <c r="AC29" s="10">
        <f t="shared" si="117"/>
        <v>0.11258478508607381</v>
      </c>
      <c r="AD29" s="10">
        <f t="shared" si="117"/>
        <v>0.11279471335517453</v>
      </c>
      <c r="AE29" s="10">
        <f t="shared" si="117"/>
        <v>0.1130058889839054</v>
      </c>
      <c r="AF29" s="10">
        <f t="shared" si="117"/>
        <v>0.1132183127822522</v>
      </c>
      <c r="AG29" s="10">
        <f t="shared" si="117"/>
        <v>0.11343198544793286</v>
      </c>
      <c r="AH29" s="10">
        <f t="shared" si="117"/>
        <v>0.11364690756495963</v>
      </c>
      <c r="AI29" s="10">
        <f t="shared" si="117"/>
        <v>0.1138630796022056</v>
      </c>
      <c r="AJ29" s="10">
        <f t="shared" si="117"/>
        <v>0.11408050191198486</v>
      </c>
      <c r="AL29" s="1" t="s">
        <v>59</v>
      </c>
      <c r="AM29" s="3">
        <f>Main!D3</f>
        <v>472.65</v>
      </c>
    </row>
    <row r="30" spans="2:145" x14ac:dyDescent="0.3">
      <c r="B30" s="1" t="s">
        <v>40</v>
      </c>
      <c r="K30" s="10">
        <f t="shared" ref="K30" si="118">K17/K16</f>
        <v>0.16534040671971706</v>
      </c>
      <c r="O30" s="10">
        <f t="shared" ref="O30" si="119">O17/O16</f>
        <v>0.16782006920415224</v>
      </c>
      <c r="T30" s="10">
        <f t="shared" ref="T30:X30" si="120">T17/T16</f>
        <v>0.11773940345368916</v>
      </c>
      <c r="U30" s="10">
        <f t="shared" si="120"/>
        <v>0.14458154506437768</v>
      </c>
      <c r="V30" s="10">
        <f t="shared" si="120"/>
        <v>0.21626762139181024</v>
      </c>
      <c r="W30" s="10">
        <f t="shared" si="120"/>
        <v>0.16106922549691569</v>
      </c>
      <c r="X30" s="10">
        <f t="shared" si="120"/>
        <v>0.12361466325660699</v>
      </c>
      <c r="Y30" s="10">
        <f>Y17/Y16</f>
        <v>0.16786283891547049</v>
      </c>
      <c r="Z30" s="10">
        <f t="shared" ref="Z30:AJ30" si="121">Z17/Z16</f>
        <v>0.16</v>
      </c>
      <c r="AA30" s="10">
        <f t="shared" si="121"/>
        <v>0.16</v>
      </c>
      <c r="AB30" s="10">
        <f t="shared" si="121"/>
        <v>0.16</v>
      </c>
      <c r="AC30" s="10">
        <f t="shared" si="121"/>
        <v>0.16</v>
      </c>
      <c r="AD30" s="10">
        <f t="shared" si="121"/>
        <v>0.16</v>
      </c>
      <c r="AE30" s="10">
        <f t="shared" si="121"/>
        <v>0.16</v>
      </c>
      <c r="AF30" s="10">
        <f t="shared" si="121"/>
        <v>0.16</v>
      </c>
      <c r="AG30" s="10">
        <f t="shared" si="121"/>
        <v>0.16</v>
      </c>
      <c r="AH30" s="10">
        <f t="shared" si="121"/>
        <v>0.16</v>
      </c>
      <c r="AI30" s="10">
        <f t="shared" si="121"/>
        <v>0.16</v>
      </c>
      <c r="AJ30" s="10">
        <f t="shared" si="121"/>
        <v>0.16</v>
      </c>
      <c r="AL30" s="2" t="s">
        <v>60</v>
      </c>
      <c r="AM30" s="11">
        <f>AM28/AM29-1</f>
        <v>-0.31348981866726999</v>
      </c>
    </row>
    <row r="31" spans="2:145" x14ac:dyDescent="0.3">
      <c r="B31" s="1" t="s">
        <v>50</v>
      </c>
      <c r="K31" s="10">
        <f t="shared" ref="K31" si="122">K18/K5</f>
        <v>9.316095924208033E-2</v>
      </c>
      <c r="O31" s="10">
        <f t="shared" ref="O31" si="123">O18/O5</f>
        <v>5.0802703844528938E-2</v>
      </c>
      <c r="T31" s="10">
        <f t="shared" ref="T31:X31" si="124">T18/T5</f>
        <v>6.6428297036139589E-2</v>
      </c>
      <c r="U31" s="10">
        <f t="shared" si="124"/>
        <v>8.6659963585967004E-2</v>
      </c>
      <c r="V31" s="10">
        <f t="shared" si="124"/>
        <v>0.19640003364454539</v>
      </c>
      <c r="W31" s="10">
        <f t="shared" si="124"/>
        <v>0.13376318233976286</v>
      </c>
      <c r="X31" s="10">
        <f t="shared" si="124"/>
        <v>5.2328836854161363E-2</v>
      </c>
      <c r="Y31" s="10">
        <f>Y18/Y5</f>
        <v>0.10172300343625862</v>
      </c>
      <c r="Z31" s="10">
        <f t="shared" ref="Z31:AJ31" si="125">Z18/Z5</f>
        <v>0.10456755833818338</v>
      </c>
      <c r="AA31" s="10">
        <f t="shared" si="125"/>
        <v>0.10571122457435458</v>
      </c>
      <c r="AB31" s="10">
        <f t="shared" si="125"/>
        <v>0.10635447390188382</v>
      </c>
      <c r="AC31" s="10">
        <f t="shared" si="125"/>
        <v>0.10699141686345712</v>
      </c>
      <c r="AD31" s="10">
        <f t="shared" si="125"/>
        <v>0.10714348304134563</v>
      </c>
      <c r="AE31" s="10">
        <f t="shared" si="125"/>
        <v>0.10729645277172958</v>
      </c>
      <c r="AF31" s="10">
        <f t="shared" si="125"/>
        <v>0.10745032664134006</v>
      </c>
      <c r="AG31" s="10">
        <f t="shared" si="125"/>
        <v>0.10760510515558444</v>
      </c>
      <c r="AH31" s="10">
        <f t="shared" si="125"/>
        <v>0.10776078873750496</v>
      </c>
      <c r="AI31" s="10">
        <f t="shared" si="125"/>
        <v>0.10791737772674011</v>
      </c>
      <c r="AJ31" s="10">
        <f t="shared" si="125"/>
        <v>0.10807487237849642</v>
      </c>
      <c r="AL31" s="1" t="s">
        <v>61</v>
      </c>
      <c r="AM31" s="7" t="s">
        <v>62</v>
      </c>
    </row>
  </sheetData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2025-04-24T08:13:47Z</dcterms:created>
  <dcterms:modified xsi:type="dcterms:W3CDTF">2025-05-27T18:12:25Z</dcterms:modified>
</cp:coreProperties>
</file>