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6C07D04-0882-4CF9-843D-9AD2E99EF54D}" xr6:coauthVersionLast="47" xr6:coauthVersionMax="47" xr10:uidLastSave="{00000000-0000-0000-0000-000000000000}"/>
  <bookViews>
    <workbookView xWindow="-108" yWindow="-108" windowWidth="23256" windowHeight="12576" activeTab="1" xr2:uid="{DB7E2C7A-A509-42A2-AA08-E3EE5FAF4B2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AD7" i="2"/>
  <c r="R7" i="2"/>
  <c r="AN30" i="2"/>
  <c r="AM30" i="2"/>
  <c r="AL30" i="2"/>
  <c r="AK30" i="2"/>
  <c r="AJ30" i="2"/>
  <c r="AI30" i="2"/>
  <c r="AH30" i="2"/>
  <c r="AG30" i="2"/>
  <c r="AF30" i="2"/>
  <c r="AE30" i="2"/>
  <c r="R30" i="2"/>
  <c r="R27" i="2"/>
  <c r="R26" i="2"/>
  <c r="R25" i="2"/>
  <c r="R23" i="2"/>
  <c r="R20" i="2"/>
  <c r="R19" i="2"/>
  <c r="R17" i="2"/>
  <c r="R16" i="2"/>
  <c r="AD26" i="2"/>
  <c r="AD27" i="2"/>
  <c r="R38" i="2"/>
  <c r="R37" i="2"/>
  <c r="R36" i="2"/>
  <c r="R35" i="2"/>
  <c r="N14" i="2"/>
  <c r="R14" i="2"/>
  <c r="AN32" i="2"/>
  <c r="AM32" i="2"/>
  <c r="AL32" i="2"/>
  <c r="AK32" i="2"/>
  <c r="AJ32" i="2"/>
  <c r="AI32" i="2"/>
  <c r="AH32" i="2"/>
  <c r="AG32" i="2"/>
  <c r="AF32" i="2"/>
  <c r="AE32" i="2"/>
  <c r="AD32" i="2"/>
  <c r="R32" i="2"/>
  <c r="D4" i="1"/>
  <c r="AC7" i="2"/>
  <c r="Q7" i="2"/>
  <c r="N7" i="2"/>
  <c r="Q38" i="2"/>
  <c r="Q37" i="2"/>
  <c r="Q36" i="2"/>
  <c r="Q35" i="2"/>
  <c r="M14" i="2"/>
  <c r="Q14" i="2"/>
  <c r="R28" i="2"/>
  <c r="N30" i="2" l="1"/>
  <c r="N27" i="2"/>
  <c r="N25" i="2"/>
  <c r="N23" i="2"/>
  <c r="N20" i="2"/>
  <c r="N19" i="2"/>
  <c r="N17" i="2"/>
  <c r="N16" i="2"/>
  <c r="M44" i="2"/>
  <c r="M43" i="2"/>
  <c r="M28" i="2"/>
  <c r="M21" i="2"/>
  <c r="M18" i="2"/>
  <c r="Q32" i="2"/>
  <c r="Q46" i="2"/>
  <c r="Q44" i="2"/>
  <c r="Q43" i="2"/>
  <c r="Q41" i="2"/>
  <c r="Q40" i="2"/>
  <c r="Q28" i="2"/>
  <c r="Q21" i="2"/>
  <c r="Q18" i="2"/>
  <c r="L44" i="2"/>
  <c r="L43" i="2"/>
  <c r="L28" i="2"/>
  <c r="L21" i="2"/>
  <c r="L18" i="2"/>
  <c r="P32" i="2"/>
  <c r="P46" i="2"/>
  <c r="P44" i="2"/>
  <c r="P43" i="2"/>
  <c r="P41" i="2"/>
  <c r="P40" i="2"/>
  <c r="P28" i="2"/>
  <c r="P21" i="2"/>
  <c r="P18" i="2"/>
  <c r="AQ47" i="2"/>
  <c r="AE27" i="2"/>
  <c r="AF27" i="2" s="1"/>
  <c r="AG27" i="2" s="1"/>
  <c r="AH27" i="2" s="1"/>
  <c r="AI27" i="2" s="1"/>
  <c r="AJ27" i="2" s="1"/>
  <c r="AK27" i="2" s="1"/>
  <c r="AL27" i="2" s="1"/>
  <c r="AM27" i="2" s="1"/>
  <c r="AN27" i="2" s="1"/>
  <c r="AE26" i="2"/>
  <c r="AF26" i="2" s="1"/>
  <c r="AG26" i="2" s="1"/>
  <c r="AH26" i="2" s="1"/>
  <c r="AI26" i="2" s="1"/>
  <c r="AJ26" i="2" s="1"/>
  <c r="AK26" i="2" s="1"/>
  <c r="AL26" i="2" s="1"/>
  <c r="AM26" i="2" s="1"/>
  <c r="AN26" i="2" s="1"/>
  <c r="AE25" i="2"/>
  <c r="AD28" i="2"/>
  <c r="K44" i="2"/>
  <c r="K43" i="2"/>
  <c r="O46" i="2"/>
  <c r="O41" i="2"/>
  <c r="O40" i="2"/>
  <c r="O44" i="2"/>
  <c r="O43" i="2"/>
  <c r="AB46" i="2"/>
  <c r="AA46" i="2"/>
  <c r="Z46" i="2"/>
  <c r="Y46" i="2"/>
  <c r="AB44" i="2"/>
  <c r="AA44" i="2"/>
  <c r="Z44" i="2"/>
  <c r="Y44" i="2"/>
  <c r="X44" i="2"/>
  <c r="AB43" i="2"/>
  <c r="AA43" i="2"/>
  <c r="Z43" i="2"/>
  <c r="Y43" i="2"/>
  <c r="X43" i="2"/>
  <c r="AB41" i="2"/>
  <c r="AA41" i="2"/>
  <c r="Z41" i="2"/>
  <c r="Y41" i="2"/>
  <c r="AB40" i="2"/>
  <c r="AA40" i="2"/>
  <c r="Z40" i="2"/>
  <c r="Y40" i="2"/>
  <c r="AC46" i="2"/>
  <c r="AC44" i="2"/>
  <c r="AC43" i="2"/>
  <c r="AC41" i="2"/>
  <c r="AC40" i="2"/>
  <c r="AE28" i="2" l="1"/>
  <c r="N21" i="2"/>
  <c r="R41" i="2"/>
  <c r="N43" i="2"/>
  <c r="N44" i="2"/>
  <c r="R46" i="2"/>
  <c r="AF25" i="2"/>
  <c r="AF28" i="2" s="1"/>
  <c r="N18" i="2"/>
  <c r="M22" i="2"/>
  <c r="M24" i="2" s="1"/>
  <c r="Q42" i="2"/>
  <c r="Q22" i="2"/>
  <c r="Q45" i="2" s="1"/>
  <c r="L22" i="2"/>
  <c r="P22" i="2"/>
  <c r="P45" i="2" s="1"/>
  <c r="P42" i="2"/>
  <c r="X26" i="2"/>
  <c r="X28" i="2" s="1"/>
  <c r="X21" i="2"/>
  <c r="X18" i="2"/>
  <c r="Y26" i="2"/>
  <c r="Y28" i="2" s="1"/>
  <c r="Y21" i="2"/>
  <c r="Y18" i="2"/>
  <c r="O18" i="2"/>
  <c r="O21" i="2"/>
  <c r="O28" i="2"/>
  <c r="Z27" i="2"/>
  <c r="Z26" i="2"/>
  <c r="Z21" i="2"/>
  <c r="Z18" i="2"/>
  <c r="AA26" i="2"/>
  <c r="AA28" i="2" s="1"/>
  <c r="AA21" i="2"/>
  <c r="AA18" i="2"/>
  <c r="AB26" i="2"/>
  <c r="AB28" i="2" s="1"/>
  <c r="AB21" i="2"/>
  <c r="AB18" i="2"/>
  <c r="AC26" i="2"/>
  <c r="AC21" i="2"/>
  <c r="AC18" i="2"/>
  <c r="K28" i="2"/>
  <c r="K21" i="2"/>
  <c r="K18" i="2"/>
  <c r="N22" i="2" l="1"/>
  <c r="N45" i="2" s="1"/>
  <c r="Z42" i="2"/>
  <c r="O22" i="2"/>
  <c r="O45" i="2" s="1"/>
  <c r="AA42" i="2"/>
  <c r="AC42" i="2"/>
  <c r="R44" i="2"/>
  <c r="R40" i="2"/>
  <c r="R18" i="2"/>
  <c r="R42" i="2" s="1"/>
  <c r="O42" i="2"/>
  <c r="P24" i="2"/>
  <c r="P47" i="2" s="1"/>
  <c r="AE17" i="2"/>
  <c r="AD41" i="2"/>
  <c r="AD44" i="2"/>
  <c r="Y42" i="2"/>
  <c r="AB42" i="2"/>
  <c r="AC28" i="2"/>
  <c r="N26" i="2"/>
  <c r="N28" i="2" s="1"/>
  <c r="AE23" i="2"/>
  <c r="AD46" i="2"/>
  <c r="AG25" i="2"/>
  <c r="AG28" i="2" s="1"/>
  <c r="M45" i="2"/>
  <c r="M47" i="2"/>
  <c r="M29" i="2"/>
  <c r="Q24" i="2"/>
  <c r="Q47" i="2" s="1"/>
  <c r="L24" i="2"/>
  <c r="L45" i="2"/>
  <c r="X22" i="2"/>
  <c r="Y22" i="2"/>
  <c r="Z28" i="2"/>
  <c r="Z22" i="2"/>
  <c r="AA22" i="2"/>
  <c r="AB22" i="2"/>
  <c r="AC22" i="2"/>
  <c r="K22" i="2"/>
  <c r="D8" i="1"/>
  <c r="AQ44" i="2" s="1"/>
  <c r="D5" i="1"/>
  <c r="F3" i="1"/>
  <c r="N24" i="2" l="1"/>
  <c r="N29" i="2" s="1"/>
  <c r="O24" i="2"/>
  <c r="O47" i="2" s="1"/>
  <c r="AH25" i="2"/>
  <c r="AH28" i="2" s="1"/>
  <c r="P29" i="2"/>
  <c r="P31" i="2" s="1"/>
  <c r="X24" i="2"/>
  <c r="X45" i="2"/>
  <c r="K24" i="2"/>
  <c r="K45" i="2"/>
  <c r="AD40" i="2"/>
  <c r="AD18" i="2"/>
  <c r="AE16" i="2"/>
  <c r="AF17" i="2"/>
  <c r="AE20" i="2"/>
  <c r="AE44" i="2" s="1"/>
  <c r="AE41" i="2"/>
  <c r="AB24" i="2"/>
  <c r="AB45" i="2"/>
  <c r="AD21" i="2"/>
  <c r="R21" i="2"/>
  <c r="R22" i="2" s="1"/>
  <c r="AF23" i="2"/>
  <c r="AE46" i="2"/>
  <c r="AA24" i="2"/>
  <c r="AA45" i="2"/>
  <c r="Z24" i="2"/>
  <c r="Z47" i="2" s="1"/>
  <c r="Z45" i="2"/>
  <c r="Y24" i="2"/>
  <c r="Y45" i="2"/>
  <c r="R43" i="2"/>
  <c r="M48" i="2"/>
  <c r="M31" i="2"/>
  <c r="Q29" i="2"/>
  <c r="Q31" i="2" s="1"/>
  <c r="L47" i="2"/>
  <c r="L29" i="2"/>
  <c r="D9" i="1"/>
  <c r="AC24" i="2"/>
  <c r="AC45" i="2"/>
  <c r="AD56" i="2" l="1"/>
  <c r="AD55" i="2"/>
  <c r="Q56" i="2"/>
  <c r="Q55" i="2"/>
  <c r="P56" i="2"/>
  <c r="P55" i="2"/>
  <c r="O29" i="2"/>
  <c r="O31" i="2" s="1"/>
  <c r="N47" i="2"/>
  <c r="AI25" i="2"/>
  <c r="AI28" i="2" s="1"/>
  <c r="P48" i="2"/>
  <c r="Z29" i="2"/>
  <c r="Z31" i="2" s="1"/>
  <c r="AG23" i="2"/>
  <c r="AF46" i="2"/>
  <c r="AG17" i="2"/>
  <c r="AF20" i="2"/>
  <c r="AF44" i="2" s="1"/>
  <c r="AF41" i="2"/>
  <c r="X29" i="2"/>
  <c r="X47" i="2"/>
  <c r="R24" i="2"/>
  <c r="R45" i="2"/>
  <c r="AD43" i="2"/>
  <c r="K29" i="2"/>
  <c r="K47" i="2"/>
  <c r="Y29" i="2"/>
  <c r="Y47" i="2"/>
  <c r="AF16" i="2"/>
  <c r="AE19" i="2"/>
  <c r="AE18" i="2"/>
  <c r="AE40" i="2"/>
  <c r="AD42" i="2"/>
  <c r="AD22" i="2"/>
  <c r="AA29" i="2"/>
  <c r="AA47" i="2"/>
  <c r="AB29" i="2"/>
  <c r="AB47" i="2"/>
  <c r="N31" i="2"/>
  <c r="N48" i="2"/>
  <c r="M49" i="2"/>
  <c r="M33" i="2"/>
  <c r="Q48" i="2"/>
  <c r="Q33" i="2"/>
  <c r="Q49" i="2"/>
  <c r="L48" i="2"/>
  <c r="L31" i="2"/>
  <c r="P33" i="2"/>
  <c r="P49" i="2"/>
  <c r="AC29" i="2"/>
  <c r="AC47" i="2"/>
  <c r="AJ25" i="2" l="1"/>
  <c r="AK25" i="2" s="1"/>
  <c r="O48" i="2"/>
  <c r="Z48" i="2"/>
  <c r="AA31" i="2"/>
  <c r="AA48" i="2"/>
  <c r="Y31" i="2"/>
  <c r="Y48" i="2"/>
  <c r="K31" i="2"/>
  <c r="K48" i="2"/>
  <c r="AD45" i="2"/>
  <c r="AD24" i="2"/>
  <c r="AH17" i="2"/>
  <c r="AG41" i="2"/>
  <c r="AG20" i="2"/>
  <c r="AG44" i="2" s="1"/>
  <c r="X31" i="2"/>
  <c r="X48" i="2"/>
  <c r="AB31" i="2"/>
  <c r="AB48" i="2"/>
  <c r="AE42" i="2"/>
  <c r="O33" i="2"/>
  <c r="O49" i="2"/>
  <c r="AE43" i="2"/>
  <c r="AE21" i="2"/>
  <c r="AE22" i="2" s="1"/>
  <c r="R47" i="2"/>
  <c r="R29" i="2"/>
  <c r="AH23" i="2"/>
  <c r="AG46" i="2"/>
  <c r="Z33" i="2"/>
  <c r="Z49" i="2"/>
  <c r="AF18" i="2"/>
  <c r="AF42" i="2" s="1"/>
  <c r="AG16" i="2"/>
  <c r="AF19" i="2"/>
  <c r="AF21" i="2" s="1"/>
  <c r="AF40" i="2"/>
  <c r="N49" i="2"/>
  <c r="N33" i="2"/>
  <c r="L49" i="2"/>
  <c r="L33" i="2"/>
  <c r="AC31" i="2"/>
  <c r="AC48" i="2"/>
  <c r="AJ28" i="2" l="1"/>
  <c r="AF22" i="2"/>
  <c r="AF45" i="2" s="1"/>
  <c r="AE24" i="2"/>
  <c r="AE45" i="2"/>
  <c r="AD47" i="2"/>
  <c r="AD29" i="2"/>
  <c r="AI23" i="2"/>
  <c r="AH46" i="2"/>
  <c r="K33" i="2"/>
  <c r="K49" i="2"/>
  <c r="AG40" i="2"/>
  <c r="AH16" i="2"/>
  <c r="AG18" i="2"/>
  <c r="AG19" i="2"/>
  <c r="AG21" i="2" s="1"/>
  <c r="X33" i="2"/>
  <c r="X49" i="2"/>
  <c r="Y33" i="2"/>
  <c r="Y49" i="2"/>
  <c r="AF43" i="2"/>
  <c r="AB33" i="2"/>
  <c r="AB49" i="2"/>
  <c r="AI17" i="2"/>
  <c r="AH20" i="2"/>
  <c r="AH44" i="2" s="1"/>
  <c r="AH41" i="2"/>
  <c r="AA33" i="2"/>
  <c r="AA49" i="2"/>
  <c r="AL25" i="2"/>
  <c r="AK28" i="2"/>
  <c r="AC33" i="2"/>
  <c r="AC49" i="2"/>
  <c r="AF24" i="2" l="1"/>
  <c r="AF47" i="2" s="1"/>
  <c r="AG43" i="2"/>
  <c r="AJ23" i="2"/>
  <c r="AI46" i="2"/>
  <c r="AD48" i="2"/>
  <c r="R48" i="2"/>
  <c r="AG42" i="2"/>
  <c r="AG22" i="2"/>
  <c r="AH19" i="2"/>
  <c r="AH21" i="2" s="1"/>
  <c r="AH18" i="2"/>
  <c r="AI16" i="2"/>
  <c r="AH40" i="2"/>
  <c r="AJ17" i="2"/>
  <c r="AI41" i="2"/>
  <c r="AI20" i="2"/>
  <c r="AI44" i="2" s="1"/>
  <c r="R31" i="2"/>
  <c r="AE29" i="2"/>
  <c r="AE47" i="2"/>
  <c r="AL28" i="2"/>
  <c r="AM25" i="2"/>
  <c r="AH43" i="2" l="1"/>
  <c r="AF29" i="2"/>
  <c r="AF48" i="2" s="1"/>
  <c r="AG24" i="2"/>
  <c r="AG45" i="2"/>
  <c r="AK17" i="2"/>
  <c r="AJ20" i="2"/>
  <c r="AJ44" i="2" s="1"/>
  <c r="AJ41" i="2"/>
  <c r="AH42" i="2"/>
  <c r="AH22" i="2"/>
  <c r="AD31" i="2"/>
  <c r="AJ16" i="2"/>
  <c r="AI19" i="2"/>
  <c r="AI21" i="2" s="1"/>
  <c r="AI40" i="2"/>
  <c r="AI18" i="2"/>
  <c r="R33" i="2"/>
  <c r="R49" i="2"/>
  <c r="AE48" i="2"/>
  <c r="AK23" i="2"/>
  <c r="AJ46" i="2"/>
  <c r="AM28" i="2"/>
  <c r="AN25" i="2"/>
  <c r="AN28" i="2" s="1"/>
  <c r="AE31" i="2" l="1"/>
  <c r="AE33" i="2" s="1"/>
  <c r="AI42" i="2"/>
  <c r="AI22" i="2"/>
  <c r="AL23" i="2"/>
  <c r="AK46" i="2"/>
  <c r="AL17" i="2"/>
  <c r="AK41" i="2"/>
  <c r="AK20" i="2"/>
  <c r="AK44" i="2" s="1"/>
  <c r="AI43" i="2"/>
  <c r="AD33" i="2"/>
  <c r="AD49" i="2"/>
  <c r="AH24" i="2"/>
  <c r="AH45" i="2"/>
  <c r="AF31" i="2"/>
  <c r="AJ18" i="2"/>
  <c r="AK16" i="2"/>
  <c r="AJ40" i="2"/>
  <c r="AJ19" i="2"/>
  <c r="AJ21" i="2" s="1"/>
  <c r="AG47" i="2"/>
  <c r="AG29" i="2"/>
  <c r="AE49" i="2" l="1"/>
  <c r="AJ43" i="2"/>
  <c r="AM17" i="2"/>
  <c r="AL20" i="2"/>
  <c r="AL44" i="2" s="1"/>
  <c r="AL41" i="2"/>
  <c r="AM23" i="2"/>
  <c r="AL46" i="2"/>
  <c r="AF49" i="2"/>
  <c r="AF33" i="2"/>
  <c r="AG48" i="2"/>
  <c r="AH47" i="2"/>
  <c r="AH29" i="2"/>
  <c r="AL16" i="2"/>
  <c r="AK19" i="2"/>
  <c r="AK21" i="2" s="1"/>
  <c r="AK40" i="2"/>
  <c r="AK18" i="2"/>
  <c r="AK42" i="2" s="1"/>
  <c r="AI45" i="2"/>
  <c r="AI24" i="2"/>
  <c r="AJ42" i="2"/>
  <c r="AJ22" i="2"/>
  <c r="AK43" i="2" l="1"/>
  <c r="AK22" i="2"/>
  <c r="AK24" i="2" s="1"/>
  <c r="AG31" i="2"/>
  <c r="AG33" i="2" s="1"/>
  <c r="AJ45" i="2"/>
  <c r="AJ24" i="2"/>
  <c r="AM16" i="2"/>
  <c r="AL40" i="2"/>
  <c r="AL19" i="2"/>
  <c r="AL21" i="2" s="1"/>
  <c r="AL18" i="2"/>
  <c r="AN23" i="2"/>
  <c r="AN46" i="2" s="1"/>
  <c r="AM46" i="2"/>
  <c r="AH48" i="2"/>
  <c r="AI47" i="2"/>
  <c r="AI29" i="2"/>
  <c r="AN17" i="2"/>
  <c r="AM41" i="2"/>
  <c r="AM20" i="2"/>
  <c r="AM44" i="2" s="1"/>
  <c r="AH31" i="2" l="1"/>
  <c r="AH33" i="2" s="1"/>
  <c r="AK45" i="2"/>
  <c r="AG49" i="2"/>
  <c r="AI48" i="2"/>
  <c r="AM18" i="2"/>
  <c r="AM19" i="2"/>
  <c r="AM21" i="2" s="1"/>
  <c r="AM40" i="2"/>
  <c r="AN16" i="2"/>
  <c r="AL43" i="2"/>
  <c r="AJ47" i="2"/>
  <c r="AJ29" i="2"/>
  <c r="AN20" i="2"/>
  <c r="AN44" i="2" s="1"/>
  <c r="AN41" i="2"/>
  <c r="AL42" i="2"/>
  <c r="AL22" i="2"/>
  <c r="AK47" i="2"/>
  <c r="AK29" i="2"/>
  <c r="AM43" i="2" l="1"/>
  <c r="AH49" i="2"/>
  <c r="AI31" i="2"/>
  <c r="AI49" i="2" s="1"/>
  <c r="AN18" i="2"/>
  <c r="AN42" i="2" s="1"/>
  <c r="AN40" i="2"/>
  <c r="AN19" i="2"/>
  <c r="AN21" i="2" s="1"/>
  <c r="AL45" i="2"/>
  <c r="AL24" i="2"/>
  <c r="AM42" i="2"/>
  <c r="AM22" i="2"/>
  <c r="AK48" i="2"/>
  <c r="AJ48" i="2"/>
  <c r="AN22" i="2" l="1"/>
  <c r="AN45" i="2" s="1"/>
  <c r="AK31" i="2"/>
  <c r="AK49" i="2" s="1"/>
  <c r="AJ31" i="2"/>
  <c r="AJ49" i="2" s="1"/>
  <c r="AN43" i="2"/>
  <c r="AI33" i="2"/>
  <c r="AM45" i="2"/>
  <c r="AM24" i="2"/>
  <c r="AL29" i="2"/>
  <c r="AL47" i="2"/>
  <c r="AN24" i="2" l="1"/>
  <c r="AN47" i="2" s="1"/>
  <c r="AK33" i="2"/>
  <c r="AJ33" i="2"/>
  <c r="AM29" i="2"/>
  <c r="AM47" i="2"/>
  <c r="AL48" i="2"/>
  <c r="AN29" i="2" l="1"/>
  <c r="AN48" i="2" s="1"/>
  <c r="AL31" i="2"/>
  <c r="AL49" i="2" s="1"/>
  <c r="AM48" i="2"/>
  <c r="AN31" i="2" l="1"/>
  <c r="AO31" i="2" s="1"/>
  <c r="AP31" i="2" s="1"/>
  <c r="AQ31" i="2" s="1"/>
  <c r="AR31" i="2" s="1"/>
  <c r="AS31" i="2" s="1"/>
  <c r="AT31" i="2" s="1"/>
  <c r="AU31" i="2" s="1"/>
  <c r="AV31" i="2" s="1"/>
  <c r="AW31" i="2" s="1"/>
  <c r="AX31" i="2" s="1"/>
  <c r="AY31" i="2" s="1"/>
  <c r="AZ31" i="2" s="1"/>
  <c r="BA31" i="2" s="1"/>
  <c r="BB31" i="2" s="1"/>
  <c r="BC31" i="2" s="1"/>
  <c r="BD31" i="2" s="1"/>
  <c r="BE31" i="2" s="1"/>
  <c r="BF31" i="2" s="1"/>
  <c r="BG31" i="2" s="1"/>
  <c r="BH31" i="2" s="1"/>
  <c r="BI31" i="2" s="1"/>
  <c r="BJ31" i="2" s="1"/>
  <c r="BK31" i="2" s="1"/>
  <c r="BL31" i="2" s="1"/>
  <c r="BM31" i="2" s="1"/>
  <c r="BN31" i="2" s="1"/>
  <c r="BO31" i="2" s="1"/>
  <c r="BP31" i="2" s="1"/>
  <c r="BQ31" i="2" s="1"/>
  <c r="BR31" i="2" s="1"/>
  <c r="BS31" i="2" s="1"/>
  <c r="BT31" i="2" s="1"/>
  <c r="BU31" i="2" s="1"/>
  <c r="BV31" i="2" s="1"/>
  <c r="BW31" i="2" s="1"/>
  <c r="BX31" i="2" s="1"/>
  <c r="BY31" i="2" s="1"/>
  <c r="BZ31" i="2" s="1"/>
  <c r="CA31" i="2" s="1"/>
  <c r="CB31" i="2" s="1"/>
  <c r="CC31" i="2" s="1"/>
  <c r="CD31" i="2" s="1"/>
  <c r="CE31" i="2" s="1"/>
  <c r="CF31" i="2" s="1"/>
  <c r="CG31" i="2" s="1"/>
  <c r="CH31" i="2" s="1"/>
  <c r="CI31" i="2" s="1"/>
  <c r="CJ31" i="2" s="1"/>
  <c r="CK31" i="2" s="1"/>
  <c r="CL31" i="2" s="1"/>
  <c r="CM31" i="2" s="1"/>
  <c r="CN31" i="2" s="1"/>
  <c r="CO31" i="2" s="1"/>
  <c r="CP31" i="2" s="1"/>
  <c r="CQ31" i="2" s="1"/>
  <c r="CR31" i="2" s="1"/>
  <c r="CS31" i="2" s="1"/>
  <c r="CT31" i="2" s="1"/>
  <c r="CU31" i="2" s="1"/>
  <c r="CV31" i="2" s="1"/>
  <c r="CW31" i="2" s="1"/>
  <c r="CX31" i="2" s="1"/>
  <c r="CY31" i="2" s="1"/>
  <c r="CZ31" i="2" s="1"/>
  <c r="DA31" i="2" s="1"/>
  <c r="DB31" i="2" s="1"/>
  <c r="DC31" i="2" s="1"/>
  <c r="DD31" i="2" s="1"/>
  <c r="DE31" i="2" s="1"/>
  <c r="DF31" i="2" s="1"/>
  <c r="DG31" i="2" s="1"/>
  <c r="DH31" i="2" s="1"/>
  <c r="DI31" i="2" s="1"/>
  <c r="DJ31" i="2" s="1"/>
  <c r="DK31" i="2" s="1"/>
  <c r="DL31" i="2" s="1"/>
  <c r="DM31" i="2" s="1"/>
  <c r="DN31" i="2" s="1"/>
  <c r="DO31" i="2" s="1"/>
  <c r="DP31" i="2" s="1"/>
  <c r="DQ31" i="2" s="1"/>
  <c r="DR31" i="2" s="1"/>
  <c r="DS31" i="2" s="1"/>
  <c r="DT31" i="2" s="1"/>
  <c r="DU31" i="2" s="1"/>
  <c r="DV31" i="2" s="1"/>
  <c r="DW31" i="2" s="1"/>
  <c r="DX31" i="2" s="1"/>
  <c r="DY31" i="2" s="1"/>
  <c r="DZ31" i="2" s="1"/>
  <c r="EA31" i="2" s="1"/>
  <c r="EB31" i="2" s="1"/>
  <c r="EC31" i="2" s="1"/>
  <c r="ED31" i="2" s="1"/>
  <c r="EE31" i="2" s="1"/>
  <c r="EF31" i="2" s="1"/>
  <c r="EG31" i="2" s="1"/>
  <c r="EH31" i="2" s="1"/>
  <c r="EI31" i="2" s="1"/>
  <c r="EJ31" i="2" s="1"/>
  <c r="EK31" i="2" s="1"/>
  <c r="EL31" i="2" s="1"/>
  <c r="EM31" i="2" s="1"/>
  <c r="EN31" i="2" s="1"/>
  <c r="EO31" i="2" s="1"/>
  <c r="EP31" i="2" s="1"/>
  <c r="EQ31" i="2" s="1"/>
  <c r="ER31" i="2" s="1"/>
  <c r="ES31" i="2" s="1"/>
  <c r="AQ43" i="2" s="1"/>
  <c r="AQ45" i="2" s="1"/>
  <c r="AQ46" i="2" s="1"/>
  <c r="AQ48" i="2" s="1"/>
  <c r="AL33" i="2"/>
  <c r="AM31" i="2"/>
  <c r="AN49" i="2" l="1"/>
  <c r="AN33" i="2"/>
  <c r="AM33" i="2"/>
  <c r="AM4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7" authorId="0" shapeId="0" xr:uid="{DD18C623-9834-4C5A-93D6-79926E13FF7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funded and unfunded, may need to be separated</t>
        </r>
      </text>
    </comment>
    <comment ref="Z27" authorId="0" shapeId="0" xr:uid="{29339D8B-7A8D-4080-8A2A-42C9CB06659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gain on sale of business</t>
        </r>
      </text>
    </comment>
    <comment ref="AD27" authorId="0" shapeId="0" xr:uid="{6AD389AE-621C-4DFB-9FA2-AEF06548F2C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gain on sale of business</t>
        </r>
      </text>
    </comment>
  </commentList>
</comments>
</file>

<file path=xl/sharedStrings.xml><?xml version="1.0" encoding="utf-8"?>
<sst xmlns="http://schemas.openxmlformats.org/spreadsheetml/2006/main" count="91" uniqueCount="81">
  <si>
    <t>NOC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</si>
  <si>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</si>
  <si>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</si>
  <si>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</si>
  <si>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</si>
  <si>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</si>
  <si>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</si>
  <si>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</si>
  <si>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</si>
  <si>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</si>
  <si>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</si>
  <si>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</si>
  <si>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</si>
  <si>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</si>
  <si>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</si>
  <si>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</si>
  <si>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</si>
  <si>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</si>
  <si>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</si>
  <si>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</si>
  <si>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</si>
  <si>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</si>
  <si>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</si>
  <si>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</si>
  <si>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</si>
  <si>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</si>
  <si>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</si>
  <si>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Product revenue</t>
  </si>
  <si>
    <t>Service revenue</t>
  </si>
  <si>
    <t>Total revenue</t>
  </si>
  <si>
    <t>Product cost</t>
  </si>
  <si>
    <t>Service cost</t>
  </si>
  <si>
    <t>Gross profit</t>
  </si>
  <si>
    <t>SG&amp;A</t>
  </si>
  <si>
    <t>Operating profit</t>
  </si>
  <si>
    <t>Other income</t>
  </si>
  <si>
    <t>Interest expense</t>
  </si>
  <si>
    <t>Pension income</t>
  </si>
  <si>
    <t>Total other expense</t>
  </si>
  <si>
    <t>Pretax profit</t>
  </si>
  <si>
    <t>Taxes</t>
  </si>
  <si>
    <t>Net profit</t>
  </si>
  <si>
    <t>EPS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</si>
  <si>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</si>
  <si>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</si>
  <si>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</si>
  <si>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</si>
  <si>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</si>
  <si>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</si>
  <si>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</si>
  <si>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</si>
  <si>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SG&amp;A y/y</t>
  </si>
  <si>
    <t>Total cost of sales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</si>
  <si>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</si>
  <si>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</si>
  <si>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</si>
  <si>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</si>
  <si>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</si>
  <si>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</si>
  <si>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</si>
  <si>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</si>
  <si>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</si>
  <si>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</si>
  <si>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</si>
  <si>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</si>
  <si>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Aeronautics Systems</t>
  </si>
  <si>
    <t>Defense Systems</t>
  </si>
  <si>
    <t>Mission Systems</t>
  </si>
  <si>
    <t>Space Systems</t>
  </si>
  <si>
    <t>Eliminations</t>
  </si>
  <si>
    <t>Aeronautics Systems y/y</t>
  </si>
  <si>
    <t>Defense Systems y/y</t>
  </si>
  <si>
    <t>Mission Systems y/y</t>
  </si>
  <si>
    <t>Space Systems y/y</t>
  </si>
  <si>
    <t>Backlog</t>
  </si>
  <si>
    <t>8K Q325: Significant third quarter new awards include $4.5 billion for restricted programs (primarily at Space Systems, Mission Systems and Aeronautics Systems), $1.8 billion for Ground-Based Midcourse Defense Weapon System (GWS), $0.5 billion for F-35 (primarily at Aeronautics Systems and Mission Systems), and $0.4 billion for Virginia Class submarines.</t>
  </si>
  <si>
    <t>Overvalued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</si>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</sst>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7" fillId="2" borderId="1" xfId="0" applyFont="1" applyFill="1" applyBorder="1"/>
    <xf numFmtId="165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30480</xdr:colOff>
      <xdr:row>0</xdr:row>
      <xdr:rowOff>15240</xdr:rowOff>
    </xdr:from>
    <xdr:to>
      <xdr:col>30</xdr:col>
      <xdr:colOff>30480</xdr:colOff>
      <xdr:row>57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CE7C90E-99B5-360C-6595-20BB4B058FF9}"/>
            </a:ext>
          </a:extLst>
        </xdr:cNvPr>
        <xdr:cNvCxnSpPr/>
      </xdr:nvCxnSpPr>
      <xdr:spPr>
        <a:xfrm>
          <a:off x="19141440" y="15240"/>
          <a:ext cx="0" cy="10515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</xdr:colOff>
      <xdr:row>0</xdr:row>
      <xdr:rowOff>0</xdr:rowOff>
    </xdr:from>
    <xdr:to>
      <xdr:col>18</xdr:col>
      <xdr:colOff>30480</xdr:colOff>
      <xdr:row>54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50F7FF-74D5-8076-DF25-DEF0D7C7C90C}"/>
            </a:ext>
          </a:extLst>
        </xdr:cNvPr>
        <xdr:cNvCxnSpPr/>
      </xdr:nvCxnSpPr>
      <xdr:spPr>
        <a:xfrm>
          <a:off x="11826240" y="0"/>
          <a:ext cx="0" cy="99822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A065-72E7-4F09-88C5-9D8037619B66}">
  <dimension ref="B2:J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3" style="5" customWidth="1"/>
    <col min="8" max="16384" width="8.88671875" style="1"/>
  </cols>
  <sheetData>
    <row r="2" spans="2:10" x14ac:dyDescent="0.3">
      <c r="E2" s="5" t="s">
        <v>8</v>
      </c>
      <c r="F2" s="5" t="s">
        <v>9</v>
      </c>
      <c r="G2" s="5" t="s">
        <v>10</v>
      </c>
    </row>
    <row r="3" spans="2:10" x14ac:dyDescent="0.3">
      <c r="B3" s="2" t="s">
        <v>0</v>
      </c>
      <c r="C3" s="1" t="s">
        <v>1</v>
      </c>
      <c r="D3" s="3">
        <v>692.26</v>
      </c>
      <c r="E3" s="6">
        <v>46053</v>
      </c>
      <c r="F3" s="6">
        <f ca="1">TODAY()</f>
        <v>46053</v>
      </c>
      <c r="G3" s="6">
        <v>46135</v>
      </c>
    </row>
    <row r="4" spans="2:10" x14ac:dyDescent="0.3">
      <c r="C4" s="1" t="s">
        <v>2</v>
      </c>
      <c r="D4" s="4">
        <f>141.9</f>
        <v>141.9</v>
      </c>
      <c r="E4" s="5" t="s">
        <v>26</v>
      </c>
      <c r="J4" s="1" t="s">
        <v>75</v>
      </c>
    </row>
    <row r="5" spans="2:10" x14ac:dyDescent="0.3">
      <c r="C5" s="1" t="s">
        <v>3</v>
      </c>
      <c r="D5" s="4">
        <f>D3*D4</f>
        <v>98231.694000000003</v>
      </c>
    </row>
    <row r="6" spans="2:10" x14ac:dyDescent="0.3">
      <c r="C6" s="1" t="s">
        <v>4</v>
      </c>
      <c r="D6" s="4">
        <f>4403</f>
        <v>4403</v>
      </c>
      <c r="E6" s="5" t="s">
        <v>26</v>
      </c>
    </row>
    <row r="7" spans="2:10" x14ac:dyDescent="0.3">
      <c r="C7" s="1" t="s">
        <v>5</v>
      </c>
      <c r="D7" s="4">
        <f>15162</f>
        <v>15162</v>
      </c>
      <c r="E7" s="5" t="s">
        <v>26</v>
      </c>
    </row>
    <row r="8" spans="2:10" x14ac:dyDescent="0.3">
      <c r="C8" s="1" t="s">
        <v>6</v>
      </c>
      <c r="D8" s="4">
        <f>D6-D7</f>
        <v>-10759</v>
      </c>
    </row>
    <row r="9" spans="2:10" x14ac:dyDescent="0.3">
      <c r="C9" s="1" t="s">
        <v>7</v>
      </c>
      <c r="D9" s="4">
        <f>D5-D8</f>
        <v>108990.694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6814-BAC2-4E1E-A717-E93DA1E9DE37}">
  <dimension ref="B2:ES56"/>
  <sheetViews>
    <sheetView tabSelected="1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9" sqref="R9"/>
    </sheetView>
  </sheetViews>
  <sheetFormatPr defaultRowHeight="14.4" x14ac:dyDescent="0.3"/>
  <cols>
    <col min="1" max="1" width="8.88671875" style="1"/>
    <col min="2" max="2" width="20.88671875" style="1" bestFit="1" customWidth="1"/>
    <col min="3" max="41" width="8.88671875" style="1"/>
    <col min="42" max="42" width="11.88671875" style="1" bestFit="1" customWidth="1"/>
    <col min="43" max="43" width="16.44140625" style="1" bestFit="1" customWidth="1"/>
    <col min="44" max="16384" width="8.88671875" style="1"/>
  </cols>
  <sheetData>
    <row r="2" spans="2:40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21</v>
      </c>
      <c r="M2" s="7" t="s">
        <v>22</v>
      </c>
      <c r="N2" s="7" t="s">
        <v>23</v>
      </c>
      <c r="O2" s="7" t="s">
        <v>11</v>
      </c>
      <c r="P2" s="7" t="s">
        <v>24</v>
      </c>
      <c r="Q2" s="7" t="s">
        <v>25</v>
      </c>
      <c r="R2" s="7" t="s">
        <v>26</v>
      </c>
      <c r="S2" s="7" t="s">
        <v>77</v>
      </c>
      <c r="T2" s="7" t="s">
        <v>78</v>
      </c>
      <c r="U2" s="7" t="s">
        <v>79</v>
      </c>
      <c r="V2" s="7" t="s">
        <v>80</v>
      </c>
      <c r="X2" s="1">
        <v>2019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65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5">
        <v>25202</v>
      </c>
      <c r="O3" s="7"/>
      <c r="P3" s="7"/>
      <c r="Q3" s="15">
        <v>22450</v>
      </c>
      <c r="R3" s="15">
        <v>23052</v>
      </c>
      <c r="S3" s="7"/>
      <c r="T3" s="7"/>
      <c r="U3" s="7"/>
      <c r="V3" s="7"/>
      <c r="AC3" s="15">
        <v>25202</v>
      </c>
      <c r="AD3" s="15">
        <v>23052</v>
      </c>
      <c r="AE3" s="15"/>
    </row>
    <row r="4" spans="2:40" x14ac:dyDescent="0.3">
      <c r="B4" s="1" t="s">
        <v>66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15">
        <v>26614</v>
      </c>
      <c r="O4" s="7"/>
      <c r="P4" s="7"/>
      <c r="Q4" s="15">
        <v>27098</v>
      </c>
      <c r="R4" s="15">
        <v>27796</v>
      </c>
      <c r="S4" s="7"/>
      <c r="T4" s="7"/>
      <c r="U4" s="7"/>
      <c r="V4" s="7"/>
      <c r="AC4" s="15">
        <v>26614</v>
      </c>
      <c r="AD4" s="15">
        <v>27796</v>
      </c>
      <c r="AE4" s="15"/>
    </row>
    <row r="5" spans="2:40" x14ac:dyDescent="0.3">
      <c r="B5" s="1" t="s">
        <v>67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15">
        <v>16443</v>
      </c>
      <c r="O5" s="7"/>
      <c r="P5" s="7"/>
      <c r="Q5" s="15">
        <v>18197</v>
      </c>
      <c r="R5" s="15">
        <v>18632</v>
      </c>
      <c r="S5" s="7"/>
      <c r="T5" s="7"/>
      <c r="U5" s="7"/>
      <c r="V5" s="7"/>
      <c r="AC5" s="15">
        <v>16443</v>
      </c>
      <c r="AD5" s="15">
        <v>18632</v>
      </c>
      <c r="AE5" s="15"/>
    </row>
    <row r="6" spans="2:40" x14ac:dyDescent="0.3">
      <c r="B6" s="1" t="s">
        <v>68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5">
        <v>23209</v>
      </c>
      <c r="O6" s="7"/>
      <c r="P6" s="7"/>
      <c r="Q6" s="15">
        <v>23703</v>
      </c>
      <c r="R6" s="15">
        <v>26201</v>
      </c>
      <c r="S6" s="7"/>
      <c r="T6" s="7"/>
      <c r="U6" s="7"/>
      <c r="V6" s="7"/>
      <c r="AC6" s="15">
        <v>23209</v>
      </c>
      <c r="AD6" s="15">
        <v>26201</v>
      </c>
      <c r="AE6" s="15"/>
    </row>
    <row r="7" spans="2:40" s="2" customFormat="1" x14ac:dyDescent="0.3">
      <c r="B7" s="2" t="s">
        <v>74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6">
        <f>SUM(N3:N6)</f>
        <v>91468</v>
      </c>
      <c r="O7" s="14"/>
      <c r="P7" s="14"/>
      <c r="Q7" s="16">
        <f>SUM(Q3:Q6)</f>
        <v>91448</v>
      </c>
      <c r="R7" s="16">
        <f>SUM(R3:R6)</f>
        <v>95681</v>
      </c>
      <c r="S7" s="16"/>
      <c r="T7" s="16"/>
      <c r="U7" s="16"/>
      <c r="V7" s="16"/>
      <c r="W7" s="9"/>
      <c r="X7" s="9"/>
      <c r="Y7" s="9"/>
      <c r="Z7" s="9"/>
      <c r="AA7" s="9"/>
      <c r="AB7" s="9"/>
      <c r="AC7" s="16">
        <f>SUM(AC3:AC6)</f>
        <v>91468</v>
      </c>
      <c r="AD7" s="16">
        <f>SUM(AD3:AD6)</f>
        <v>95681</v>
      </c>
      <c r="AE7" s="16"/>
    </row>
    <row r="8" spans="2:40" x14ac:dyDescent="0.3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</row>
    <row r="9" spans="2:40" x14ac:dyDescent="0.3">
      <c r="B9" s="1" t="s">
        <v>65</v>
      </c>
      <c r="C9" s="7"/>
      <c r="D9" s="7"/>
      <c r="E9" s="7"/>
      <c r="F9" s="7"/>
      <c r="G9" s="7"/>
      <c r="H9" s="7"/>
      <c r="I9" s="7"/>
      <c r="J9" s="7"/>
      <c r="K9" s="7"/>
      <c r="L9" s="7"/>
      <c r="M9" s="4">
        <v>2961</v>
      </c>
      <c r="N9" s="4">
        <v>3331</v>
      </c>
      <c r="O9" s="7"/>
      <c r="Q9" s="4">
        <v>3142</v>
      </c>
      <c r="R9" s="4">
        <v>3922</v>
      </c>
      <c r="S9" s="7"/>
      <c r="T9" s="7"/>
      <c r="U9" s="7"/>
      <c r="V9" s="7"/>
    </row>
    <row r="10" spans="2:40" x14ac:dyDescent="0.3">
      <c r="B10" s="1" t="s">
        <v>66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4">
        <v>1800</v>
      </c>
      <c r="N10" s="4">
        <v>2003</v>
      </c>
      <c r="O10" s="7"/>
      <c r="Q10" s="4">
        <v>2059</v>
      </c>
      <c r="R10" s="4">
        <v>2147</v>
      </c>
      <c r="S10" s="7"/>
      <c r="T10" s="7"/>
      <c r="U10" s="7"/>
      <c r="V10" s="7"/>
    </row>
    <row r="11" spans="2:40" x14ac:dyDescent="0.3">
      <c r="B11" s="1" t="s">
        <v>67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4">
        <v>2823</v>
      </c>
      <c r="N11" s="4">
        <v>3144</v>
      </c>
      <c r="O11" s="7"/>
      <c r="Q11" s="4">
        <v>3093</v>
      </c>
      <c r="R11" s="4">
        <v>3449</v>
      </c>
      <c r="S11" s="7"/>
      <c r="T11" s="7"/>
      <c r="U11" s="7"/>
      <c r="V11" s="7"/>
    </row>
    <row r="12" spans="2:40" x14ac:dyDescent="0.3">
      <c r="B12" s="1" t="s">
        <v>68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4">
        <v>2870</v>
      </c>
      <c r="N12" s="4">
        <v>2710</v>
      </c>
      <c r="O12" s="7"/>
      <c r="Q12" s="4">
        <v>2698</v>
      </c>
      <c r="R12" s="4">
        <v>2859</v>
      </c>
      <c r="S12" s="7"/>
      <c r="T12" s="7"/>
      <c r="U12" s="7"/>
      <c r="V12" s="7"/>
    </row>
    <row r="13" spans="2:40" x14ac:dyDescent="0.3">
      <c r="B13" s="1" t="s">
        <v>69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4">
        <v>-458</v>
      </c>
      <c r="N13" s="4">
        <v>-502</v>
      </c>
      <c r="O13" s="7"/>
      <c r="Q13" s="4">
        <v>-569</v>
      </c>
      <c r="R13" s="4">
        <v>-665</v>
      </c>
      <c r="S13" s="7"/>
      <c r="T13" s="7"/>
      <c r="U13" s="7"/>
      <c r="V13" s="7"/>
    </row>
    <row r="14" spans="2:40" s="2" customFormat="1" x14ac:dyDescent="0.3">
      <c r="B14" s="2" t="s">
        <v>29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9">
        <f>SUM(M9:M13)</f>
        <v>9996</v>
      </c>
      <c r="N14" s="9">
        <f>SUM(N9:N13)</f>
        <v>10686</v>
      </c>
      <c r="O14" s="14"/>
      <c r="Q14" s="9">
        <f>SUM(Q9:Q13)</f>
        <v>10423</v>
      </c>
      <c r="R14" s="9">
        <f>SUM(R9:R13)</f>
        <v>11712</v>
      </c>
      <c r="S14" s="14"/>
      <c r="T14" s="14"/>
      <c r="U14" s="14"/>
      <c r="V14" s="14"/>
    </row>
    <row r="15" spans="2:40" x14ac:dyDescent="0.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spans="2:40" x14ac:dyDescent="0.3">
      <c r="B16" s="1" t="s">
        <v>27</v>
      </c>
      <c r="K16" s="4">
        <v>8102</v>
      </c>
      <c r="L16" s="4">
        <v>8076</v>
      </c>
      <c r="M16" s="4">
        <v>7939</v>
      </c>
      <c r="N16" s="4">
        <f>AC16-M16-L16-K16</f>
        <v>8609</v>
      </c>
      <c r="O16" s="4">
        <v>7521</v>
      </c>
      <c r="P16" s="4">
        <v>8258</v>
      </c>
      <c r="Q16" s="4">
        <v>8369</v>
      </c>
      <c r="R16" s="4">
        <f>AD16-Q16-P16-O16</f>
        <v>9593</v>
      </c>
      <c r="S16" s="4"/>
      <c r="T16" s="4"/>
      <c r="U16" s="4"/>
      <c r="V16" s="4"/>
      <c r="X16" s="4">
        <v>23852</v>
      </c>
      <c r="Y16" s="4">
        <v>27015</v>
      </c>
      <c r="Z16" s="4">
        <v>27868</v>
      </c>
      <c r="AA16" s="4">
        <v>28522</v>
      </c>
      <c r="AB16" s="4">
        <v>30897</v>
      </c>
      <c r="AC16" s="4">
        <v>32726</v>
      </c>
      <c r="AD16" s="4">
        <v>33741</v>
      </c>
      <c r="AE16" s="4">
        <f>AD16*1.03</f>
        <v>34753.230000000003</v>
      </c>
      <c r="AF16" s="4">
        <f>AE16*1.02</f>
        <v>35448.294600000001</v>
      </c>
      <c r="AG16" s="4">
        <f>AF16*1.02</f>
        <v>36157.260492000001</v>
      </c>
      <c r="AH16" s="4">
        <f>AG16*1.01</f>
        <v>36518.833096920003</v>
      </c>
      <c r="AI16" s="4">
        <f t="shared" ref="AI16:AN16" si="0">AH16*1.01</f>
        <v>36884.021427889202</v>
      </c>
      <c r="AJ16" s="4">
        <f t="shared" si="0"/>
        <v>37252.861642168093</v>
      </c>
      <c r="AK16" s="4">
        <f t="shared" si="0"/>
        <v>37625.390258589774</v>
      </c>
      <c r="AL16" s="4">
        <f t="shared" si="0"/>
        <v>38001.644161175675</v>
      </c>
      <c r="AM16" s="4">
        <f t="shared" si="0"/>
        <v>38381.66060278743</v>
      </c>
      <c r="AN16" s="4">
        <f t="shared" si="0"/>
        <v>38765.477208815304</v>
      </c>
    </row>
    <row r="17" spans="2:149" x14ac:dyDescent="0.3">
      <c r="B17" s="1" t="s">
        <v>28</v>
      </c>
      <c r="K17" s="4">
        <v>2031</v>
      </c>
      <c r="L17" s="4">
        <v>2142</v>
      </c>
      <c r="M17" s="4">
        <v>2057</v>
      </c>
      <c r="N17" s="4">
        <f>AC17-M17-L17-K17</f>
        <v>2077</v>
      </c>
      <c r="O17" s="4">
        <v>1947</v>
      </c>
      <c r="P17" s="4">
        <v>2093</v>
      </c>
      <c r="Q17" s="4">
        <v>2054</v>
      </c>
      <c r="R17" s="4">
        <f>AD17-Q17-P17-O17</f>
        <v>2119</v>
      </c>
      <c r="S17" s="4"/>
      <c r="T17" s="4"/>
      <c r="U17" s="4"/>
      <c r="V17" s="4"/>
      <c r="X17" s="4">
        <v>9989</v>
      </c>
      <c r="Y17" s="4">
        <v>9784</v>
      </c>
      <c r="Z17" s="4">
        <v>7799</v>
      </c>
      <c r="AA17" s="4">
        <v>8080</v>
      </c>
      <c r="AB17" s="4">
        <v>8393</v>
      </c>
      <c r="AC17" s="4">
        <v>8307</v>
      </c>
      <c r="AD17" s="4">
        <v>8213</v>
      </c>
      <c r="AE17" s="4">
        <f t="shared" ref="AE17:AN17" si="1">AD17*1.02</f>
        <v>8377.26</v>
      </c>
      <c r="AF17" s="4">
        <f t="shared" si="1"/>
        <v>8544.8052000000007</v>
      </c>
      <c r="AG17" s="4">
        <f t="shared" si="1"/>
        <v>8715.7013040000002</v>
      </c>
      <c r="AH17" s="4">
        <f t="shared" si="1"/>
        <v>8890.0153300800011</v>
      </c>
      <c r="AI17" s="4">
        <f t="shared" si="1"/>
        <v>9067.815636681602</v>
      </c>
      <c r="AJ17" s="4">
        <f t="shared" si="1"/>
        <v>9249.1719494152348</v>
      </c>
      <c r="AK17" s="4">
        <f t="shared" si="1"/>
        <v>9434.1553884035402</v>
      </c>
      <c r="AL17" s="4">
        <f t="shared" si="1"/>
        <v>9622.838496171611</v>
      </c>
      <c r="AM17" s="4">
        <f t="shared" si="1"/>
        <v>9815.2952660950432</v>
      </c>
      <c r="AN17" s="4">
        <f t="shared" si="1"/>
        <v>10011.601171416944</v>
      </c>
    </row>
    <row r="18" spans="2:149" s="2" customFormat="1" x14ac:dyDescent="0.3">
      <c r="B18" s="2" t="s">
        <v>29</v>
      </c>
      <c r="K18" s="9">
        <f t="shared" ref="K18:R18" si="2">K16+K17</f>
        <v>10133</v>
      </c>
      <c r="L18" s="9">
        <f t="shared" si="2"/>
        <v>10218</v>
      </c>
      <c r="M18" s="9">
        <f t="shared" si="2"/>
        <v>9996</v>
      </c>
      <c r="N18" s="9">
        <f t="shared" si="2"/>
        <v>10686</v>
      </c>
      <c r="O18" s="9">
        <f t="shared" si="2"/>
        <v>9468</v>
      </c>
      <c r="P18" s="9">
        <f t="shared" si="2"/>
        <v>10351</v>
      </c>
      <c r="Q18" s="9">
        <f t="shared" si="2"/>
        <v>10423</v>
      </c>
      <c r="R18" s="9">
        <f t="shared" si="2"/>
        <v>11712</v>
      </c>
      <c r="S18" s="9"/>
      <c r="T18" s="9"/>
      <c r="U18" s="9"/>
      <c r="V18" s="9"/>
      <c r="X18" s="9">
        <f t="shared" ref="X18:AC18" si="3">X16+X17</f>
        <v>33841</v>
      </c>
      <c r="Y18" s="9">
        <f t="shared" si="3"/>
        <v>36799</v>
      </c>
      <c r="Z18" s="9">
        <f t="shared" si="3"/>
        <v>35667</v>
      </c>
      <c r="AA18" s="9">
        <f t="shared" si="3"/>
        <v>36602</v>
      </c>
      <c r="AB18" s="9">
        <f t="shared" si="3"/>
        <v>39290</v>
      </c>
      <c r="AC18" s="9">
        <f t="shared" si="3"/>
        <v>41033</v>
      </c>
      <c r="AD18" s="9">
        <f t="shared" ref="AD18" si="4">AD16+AD17</f>
        <v>41954</v>
      </c>
      <c r="AE18" s="9">
        <f t="shared" ref="AE18" si="5">AE16+AE17</f>
        <v>43130.490000000005</v>
      </c>
      <c r="AF18" s="9">
        <f t="shared" ref="AF18" si="6">AF16+AF17</f>
        <v>43993.099800000004</v>
      </c>
      <c r="AG18" s="9">
        <f t="shared" ref="AG18" si="7">AG16+AG17</f>
        <v>44872.961796000003</v>
      </c>
      <c r="AH18" s="9">
        <f t="shared" ref="AH18" si="8">AH16+AH17</f>
        <v>45408.848427000004</v>
      </c>
      <c r="AI18" s="9">
        <f t="shared" ref="AI18" si="9">AI16+AI17</f>
        <v>45951.837064570806</v>
      </c>
      <c r="AJ18" s="9">
        <f t="shared" ref="AJ18" si="10">AJ16+AJ17</f>
        <v>46502.033591583328</v>
      </c>
      <c r="AK18" s="9">
        <f t="shared" ref="AK18" si="11">AK16+AK17</f>
        <v>47059.545646993312</v>
      </c>
      <c r="AL18" s="9">
        <f t="shared" ref="AL18" si="12">AL16+AL17</f>
        <v>47624.482657347282</v>
      </c>
      <c r="AM18" s="9">
        <f t="shared" ref="AM18" si="13">AM16+AM17</f>
        <v>48196.955868882476</v>
      </c>
      <c r="AN18" s="9">
        <f t="shared" ref="AN18" si="14">AN16+AN17</f>
        <v>48777.078380232248</v>
      </c>
    </row>
    <row r="19" spans="2:149" x14ac:dyDescent="0.3">
      <c r="B19" s="1" t="s">
        <v>30</v>
      </c>
      <c r="K19" s="4">
        <v>6411</v>
      </c>
      <c r="L19" s="4">
        <v>6388</v>
      </c>
      <c r="M19" s="4">
        <v>6280</v>
      </c>
      <c r="N19" s="4">
        <f t="shared" ref="N19:N20" si="15">AC19-M19-L19-K19</f>
        <v>7109</v>
      </c>
      <c r="O19" s="4">
        <v>6366</v>
      </c>
      <c r="P19" s="4">
        <v>6526</v>
      </c>
      <c r="Q19" s="4">
        <v>6631</v>
      </c>
      <c r="R19" s="4">
        <f t="shared" ref="R19:R20" si="16">AD19-Q19-P19-O19</f>
        <v>7757</v>
      </c>
      <c r="S19" s="4"/>
      <c r="T19" s="4"/>
      <c r="U19" s="4"/>
      <c r="V19" s="4"/>
      <c r="X19" s="4">
        <v>18675</v>
      </c>
      <c r="Y19" s="4">
        <v>21559</v>
      </c>
      <c r="Z19" s="4">
        <v>22309</v>
      </c>
      <c r="AA19" s="4">
        <v>22761</v>
      </c>
      <c r="AB19" s="4">
        <v>26226</v>
      </c>
      <c r="AC19" s="4">
        <v>26188</v>
      </c>
      <c r="AD19" s="4">
        <v>27280</v>
      </c>
      <c r="AE19" s="4">
        <f t="shared" ref="AE19:AN19" si="17">AE16*0.8</f>
        <v>27802.584000000003</v>
      </c>
      <c r="AF19" s="4">
        <f t="shared" si="17"/>
        <v>28358.635680000003</v>
      </c>
      <c r="AG19" s="4">
        <f t="shared" si="17"/>
        <v>28925.808393600004</v>
      </c>
      <c r="AH19" s="4">
        <f t="shared" si="17"/>
        <v>29215.066477536006</v>
      </c>
      <c r="AI19" s="4">
        <f t="shared" si="17"/>
        <v>29507.217142311361</v>
      </c>
      <c r="AJ19" s="4">
        <f t="shared" si="17"/>
        <v>29802.289313734476</v>
      </c>
      <c r="AK19" s="4">
        <f t="shared" si="17"/>
        <v>30100.312206871822</v>
      </c>
      <c r="AL19" s="4">
        <f t="shared" si="17"/>
        <v>30401.315328940542</v>
      </c>
      <c r="AM19" s="4">
        <f t="shared" si="17"/>
        <v>30705.328482229947</v>
      </c>
      <c r="AN19" s="4">
        <f t="shared" si="17"/>
        <v>31012.381767052244</v>
      </c>
    </row>
    <row r="20" spans="2:149" x14ac:dyDescent="0.3">
      <c r="B20" s="1" t="s">
        <v>31</v>
      </c>
      <c r="K20" s="4">
        <v>1589</v>
      </c>
      <c r="L20" s="4">
        <v>1639</v>
      </c>
      <c r="M20" s="4">
        <v>1610</v>
      </c>
      <c r="N20" s="4">
        <f t="shared" si="15"/>
        <v>1645</v>
      </c>
      <c r="O20" s="4">
        <v>1522</v>
      </c>
      <c r="P20" s="4">
        <v>1615</v>
      </c>
      <c r="Q20" s="4">
        <v>1565</v>
      </c>
      <c r="R20" s="4">
        <f t="shared" si="16"/>
        <v>1659</v>
      </c>
      <c r="S20" s="4"/>
      <c r="T20" s="4"/>
      <c r="U20" s="4"/>
      <c r="V20" s="4"/>
      <c r="X20" s="4">
        <v>7907</v>
      </c>
      <c r="Y20" s="4">
        <v>7762</v>
      </c>
      <c r="Z20" s="4">
        <v>6090</v>
      </c>
      <c r="AA20" s="4">
        <v>6367</v>
      </c>
      <c r="AB20" s="4">
        <v>6513</v>
      </c>
      <c r="AC20" s="4">
        <v>6483</v>
      </c>
      <c r="AD20" s="4">
        <v>6361</v>
      </c>
      <c r="AE20" s="4">
        <f t="shared" ref="AE20:AN20" si="18">AE17*0.78</f>
        <v>6534.2628000000004</v>
      </c>
      <c r="AF20" s="4">
        <f t="shared" si="18"/>
        <v>6664.9480560000011</v>
      </c>
      <c r="AG20" s="4">
        <f t="shared" si="18"/>
        <v>6798.2470171200002</v>
      </c>
      <c r="AH20" s="4">
        <f t="shared" si="18"/>
        <v>6934.2119574624012</v>
      </c>
      <c r="AI20" s="4">
        <f t="shared" si="18"/>
        <v>7072.8961966116494</v>
      </c>
      <c r="AJ20" s="4">
        <f t="shared" si="18"/>
        <v>7214.3541205438833</v>
      </c>
      <c r="AK20" s="4">
        <f t="shared" si="18"/>
        <v>7358.6412029547619</v>
      </c>
      <c r="AL20" s="4">
        <f t="shared" si="18"/>
        <v>7505.8140270138565</v>
      </c>
      <c r="AM20" s="4">
        <f t="shared" si="18"/>
        <v>7655.9303075541338</v>
      </c>
      <c r="AN20" s="4">
        <f t="shared" si="18"/>
        <v>7809.0489137052164</v>
      </c>
    </row>
    <row r="21" spans="2:149" x14ac:dyDescent="0.3">
      <c r="B21" s="1" t="s">
        <v>52</v>
      </c>
      <c r="K21" s="4">
        <f t="shared" ref="K21:R21" si="19">K19+K20</f>
        <v>8000</v>
      </c>
      <c r="L21" s="4">
        <f t="shared" si="19"/>
        <v>8027</v>
      </c>
      <c r="M21" s="4">
        <f t="shared" si="19"/>
        <v>7890</v>
      </c>
      <c r="N21" s="4">
        <f t="shared" si="19"/>
        <v>8754</v>
      </c>
      <c r="O21" s="4">
        <f t="shared" si="19"/>
        <v>7888</v>
      </c>
      <c r="P21" s="4">
        <f t="shared" si="19"/>
        <v>8141</v>
      </c>
      <c r="Q21" s="4">
        <f t="shared" si="19"/>
        <v>8196</v>
      </c>
      <c r="R21" s="4">
        <f t="shared" si="19"/>
        <v>9416</v>
      </c>
      <c r="S21" s="4"/>
      <c r="T21" s="4"/>
      <c r="U21" s="4"/>
      <c r="V21" s="4"/>
      <c r="X21" s="4">
        <f t="shared" ref="X21:AD21" si="20">X19+X20</f>
        <v>26582</v>
      </c>
      <c r="Y21" s="4">
        <f t="shared" si="20"/>
        <v>29321</v>
      </c>
      <c r="Z21" s="4">
        <f t="shared" si="20"/>
        <v>28399</v>
      </c>
      <c r="AA21" s="4">
        <f t="shared" si="20"/>
        <v>29128</v>
      </c>
      <c r="AB21" s="4">
        <f t="shared" si="20"/>
        <v>32739</v>
      </c>
      <c r="AC21" s="4">
        <f t="shared" si="20"/>
        <v>32671</v>
      </c>
      <c r="AD21" s="4">
        <f t="shared" si="20"/>
        <v>33641</v>
      </c>
      <c r="AE21" s="4">
        <f t="shared" ref="AE21" si="21">AE19+AE20</f>
        <v>34336.846799999999</v>
      </c>
      <c r="AF21" s="4">
        <f t="shared" ref="AF21" si="22">AF19+AF20</f>
        <v>35023.583736</v>
      </c>
      <c r="AG21" s="4">
        <f t="shared" ref="AG21" si="23">AG19+AG20</f>
        <v>35724.055410720001</v>
      </c>
      <c r="AH21" s="4">
        <f t="shared" ref="AH21" si="24">AH19+AH20</f>
        <v>36149.278434998407</v>
      </c>
      <c r="AI21" s="4">
        <f t="shared" ref="AI21" si="25">AI19+AI20</f>
        <v>36580.113338923009</v>
      </c>
      <c r="AJ21" s="4">
        <f t="shared" ref="AJ21" si="26">AJ19+AJ20</f>
        <v>37016.643434278361</v>
      </c>
      <c r="AK21" s="4">
        <f t="shared" ref="AK21" si="27">AK19+AK20</f>
        <v>37458.953409826587</v>
      </c>
      <c r="AL21" s="4">
        <f t="shared" ref="AL21" si="28">AL19+AL20</f>
        <v>37907.129355954399</v>
      </c>
      <c r="AM21" s="4">
        <f t="shared" ref="AM21" si="29">AM19+AM20</f>
        <v>38361.258789784079</v>
      </c>
      <c r="AN21" s="4">
        <f t="shared" ref="AN21" si="30">AN19+AN20</f>
        <v>38821.430680757461</v>
      </c>
    </row>
    <row r="22" spans="2:149" s="2" customFormat="1" x14ac:dyDescent="0.3">
      <c r="B22" s="2" t="s">
        <v>32</v>
      </c>
      <c r="K22" s="9">
        <f t="shared" ref="K22:R22" si="31">K18-K21</f>
        <v>2133</v>
      </c>
      <c r="L22" s="9">
        <f t="shared" si="31"/>
        <v>2191</v>
      </c>
      <c r="M22" s="9">
        <f t="shared" si="31"/>
        <v>2106</v>
      </c>
      <c r="N22" s="9">
        <f t="shared" si="31"/>
        <v>1932</v>
      </c>
      <c r="O22" s="9">
        <f t="shared" si="31"/>
        <v>1580</v>
      </c>
      <c r="P22" s="9">
        <f t="shared" si="31"/>
        <v>2210</v>
      </c>
      <c r="Q22" s="9">
        <f t="shared" si="31"/>
        <v>2227</v>
      </c>
      <c r="R22" s="9">
        <f t="shared" si="31"/>
        <v>2296</v>
      </c>
      <c r="S22" s="9"/>
      <c r="T22" s="9"/>
      <c r="U22" s="9"/>
      <c r="V22" s="9"/>
      <c r="X22" s="9">
        <f t="shared" ref="X22:AD22" si="32">X18-X21</f>
        <v>7259</v>
      </c>
      <c r="Y22" s="9">
        <f t="shared" si="32"/>
        <v>7478</v>
      </c>
      <c r="Z22" s="9">
        <f t="shared" si="32"/>
        <v>7268</v>
      </c>
      <c r="AA22" s="9">
        <f t="shared" si="32"/>
        <v>7474</v>
      </c>
      <c r="AB22" s="9">
        <f t="shared" si="32"/>
        <v>6551</v>
      </c>
      <c r="AC22" s="9">
        <f t="shared" si="32"/>
        <v>8362</v>
      </c>
      <c r="AD22" s="9">
        <f t="shared" si="32"/>
        <v>8313</v>
      </c>
      <c r="AE22" s="9">
        <f t="shared" ref="AE22" si="33">AE18-AE21</f>
        <v>8793.6432000000059</v>
      </c>
      <c r="AF22" s="9">
        <f t="shared" ref="AF22" si="34">AF18-AF21</f>
        <v>8969.5160640000031</v>
      </c>
      <c r="AG22" s="9">
        <f t="shared" ref="AG22" si="35">AG18-AG21</f>
        <v>9148.9063852800027</v>
      </c>
      <c r="AH22" s="9">
        <f t="shared" ref="AH22" si="36">AH18-AH21</f>
        <v>9259.5699920015977</v>
      </c>
      <c r="AI22" s="9">
        <f t="shared" ref="AI22" si="37">AI18-AI21</f>
        <v>9371.7237256477965</v>
      </c>
      <c r="AJ22" s="9">
        <f t="shared" ref="AJ22" si="38">AJ18-AJ21</f>
        <v>9485.3901573049661</v>
      </c>
      <c r="AK22" s="9">
        <f t="shared" ref="AK22" si="39">AK18-AK21</f>
        <v>9600.5922371667257</v>
      </c>
      <c r="AL22" s="9">
        <f t="shared" ref="AL22" si="40">AL18-AL21</f>
        <v>9717.3533013928827</v>
      </c>
      <c r="AM22" s="9">
        <f t="shared" ref="AM22" si="41">AM18-AM21</f>
        <v>9835.6970790983978</v>
      </c>
      <c r="AN22" s="9">
        <f t="shared" ref="AN22" si="42">AN18-AN21</f>
        <v>9955.6476994747864</v>
      </c>
    </row>
    <row r="23" spans="2:149" x14ac:dyDescent="0.3">
      <c r="B23" s="1" t="s">
        <v>33</v>
      </c>
      <c r="K23" s="4">
        <v>1062</v>
      </c>
      <c r="L23" s="4">
        <v>1101</v>
      </c>
      <c r="M23" s="4">
        <v>986</v>
      </c>
      <c r="N23" s="4">
        <f>AC23-M23-L23-K23</f>
        <v>843</v>
      </c>
      <c r="O23" s="4">
        <v>1007</v>
      </c>
      <c r="P23" s="4">
        <v>1016</v>
      </c>
      <c r="Q23" s="4">
        <v>985</v>
      </c>
      <c r="R23" s="4">
        <f>AD23-Q23-P23-O23</f>
        <v>1025</v>
      </c>
      <c r="S23" s="4"/>
      <c r="T23" s="4"/>
      <c r="U23" s="4"/>
      <c r="V23" s="4"/>
      <c r="X23" s="4">
        <v>3290</v>
      </c>
      <c r="Y23" s="4">
        <v>3413</v>
      </c>
      <c r="Z23" s="4">
        <v>3597</v>
      </c>
      <c r="AA23" s="4">
        <v>3873</v>
      </c>
      <c r="AB23" s="4">
        <v>4014</v>
      </c>
      <c r="AC23" s="4">
        <v>3992</v>
      </c>
      <c r="AD23" s="4">
        <v>4033</v>
      </c>
      <c r="AE23" s="4">
        <f t="shared" ref="AE23:AN23" si="43">AD23*1.01</f>
        <v>4073.33</v>
      </c>
      <c r="AF23" s="4">
        <f t="shared" si="43"/>
        <v>4114.0632999999998</v>
      </c>
      <c r="AG23" s="4">
        <f t="shared" si="43"/>
        <v>4155.2039329999998</v>
      </c>
      <c r="AH23" s="4">
        <f t="shared" si="43"/>
        <v>4196.7559723300001</v>
      </c>
      <c r="AI23" s="4">
        <f t="shared" si="43"/>
        <v>4238.7235320533</v>
      </c>
      <c r="AJ23" s="4">
        <f t="shared" si="43"/>
        <v>4281.1107673738334</v>
      </c>
      <c r="AK23" s="4">
        <f t="shared" si="43"/>
        <v>4323.921875047572</v>
      </c>
      <c r="AL23" s="4">
        <f t="shared" si="43"/>
        <v>4367.1610937980477</v>
      </c>
      <c r="AM23" s="4">
        <f t="shared" si="43"/>
        <v>4410.8327047360281</v>
      </c>
      <c r="AN23" s="4">
        <f t="shared" si="43"/>
        <v>4454.9410317833881</v>
      </c>
    </row>
    <row r="24" spans="2:149" s="2" customFormat="1" x14ac:dyDescent="0.3">
      <c r="B24" s="2" t="s">
        <v>34</v>
      </c>
      <c r="K24" s="9">
        <f t="shared" ref="K24:R24" si="44">K22-K23</f>
        <v>1071</v>
      </c>
      <c r="L24" s="9">
        <f t="shared" si="44"/>
        <v>1090</v>
      </c>
      <c r="M24" s="9">
        <f t="shared" si="44"/>
        <v>1120</v>
      </c>
      <c r="N24" s="9">
        <f t="shared" si="44"/>
        <v>1089</v>
      </c>
      <c r="O24" s="9">
        <f t="shared" si="44"/>
        <v>573</v>
      </c>
      <c r="P24" s="9">
        <f t="shared" si="44"/>
        <v>1194</v>
      </c>
      <c r="Q24" s="9">
        <f t="shared" si="44"/>
        <v>1242</v>
      </c>
      <c r="R24" s="9">
        <f t="shared" si="44"/>
        <v>1271</v>
      </c>
      <c r="S24" s="9"/>
      <c r="T24" s="9"/>
      <c r="U24" s="9"/>
      <c r="V24" s="9"/>
      <c r="X24" s="9">
        <f t="shared" ref="X24:AD24" si="45">X22-X23</f>
        <v>3969</v>
      </c>
      <c r="Y24" s="9">
        <f t="shared" si="45"/>
        <v>4065</v>
      </c>
      <c r="Z24" s="9">
        <f t="shared" si="45"/>
        <v>3671</v>
      </c>
      <c r="AA24" s="9">
        <f t="shared" si="45"/>
        <v>3601</v>
      </c>
      <c r="AB24" s="9">
        <f t="shared" si="45"/>
        <v>2537</v>
      </c>
      <c r="AC24" s="9">
        <f t="shared" si="45"/>
        <v>4370</v>
      </c>
      <c r="AD24" s="9">
        <f t="shared" si="45"/>
        <v>4280</v>
      </c>
      <c r="AE24" s="9">
        <f t="shared" ref="AE24" si="46">AE22-AE23</f>
        <v>4720.313200000006</v>
      </c>
      <c r="AF24" s="9">
        <f t="shared" ref="AF24" si="47">AF22-AF23</f>
        <v>4855.4527640000033</v>
      </c>
      <c r="AG24" s="9">
        <f t="shared" ref="AG24" si="48">AG22-AG23</f>
        <v>4993.7024522800029</v>
      </c>
      <c r="AH24" s="9">
        <f t="shared" ref="AH24" si="49">AH22-AH23</f>
        <v>5062.8140196715976</v>
      </c>
      <c r="AI24" s="9">
        <f t="shared" ref="AI24" si="50">AI22-AI23</f>
        <v>5133.0001935944965</v>
      </c>
      <c r="AJ24" s="9">
        <f t="shared" ref="AJ24" si="51">AJ22-AJ23</f>
        <v>5204.2793899311328</v>
      </c>
      <c r="AK24" s="9">
        <f t="shared" ref="AK24" si="52">AK22-AK23</f>
        <v>5276.6703621191537</v>
      </c>
      <c r="AL24" s="9">
        <f t="shared" ref="AL24" si="53">AL22-AL23</f>
        <v>5350.1922075948351</v>
      </c>
      <c r="AM24" s="9">
        <f t="shared" ref="AM24" si="54">AM22-AM23</f>
        <v>5424.8643743623697</v>
      </c>
      <c r="AN24" s="9">
        <f t="shared" ref="AN24" si="55">AN22-AN23</f>
        <v>5500.7066676913983</v>
      </c>
    </row>
    <row r="25" spans="2:149" x14ac:dyDescent="0.3">
      <c r="B25" s="1" t="s">
        <v>36</v>
      </c>
      <c r="K25" s="4">
        <v>146</v>
      </c>
      <c r="L25" s="4">
        <v>154</v>
      </c>
      <c r="M25" s="4">
        <v>161</v>
      </c>
      <c r="N25" s="4">
        <f t="shared" ref="N25:N27" si="56">AC25-M25-L25-K25</f>
        <v>160</v>
      </c>
      <c r="O25" s="4">
        <v>156</v>
      </c>
      <c r="P25" s="4">
        <v>173</v>
      </c>
      <c r="Q25" s="4">
        <v>161</v>
      </c>
      <c r="R25" s="4">
        <f t="shared" ref="R25:R27" si="57">AD25-Q25-P25-O25</f>
        <v>175</v>
      </c>
      <c r="S25" s="4"/>
      <c r="T25" s="4"/>
      <c r="U25" s="4"/>
      <c r="V25" s="4"/>
      <c r="X25" s="4">
        <v>528</v>
      </c>
      <c r="Y25" s="4">
        <v>593</v>
      </c>
      <c r="Z25" s="4">
        <v>556</v>
      </c>
      <c r="AA25" s="4">
        <v>506</v>
      </c>
      <c r="AB25" s="4">
        <v>545</v>
      </c>
      <c r="AC25" s="4">
        <v>621</v>
      </c>
      <c r="AD25" s="4">
        <v>665</v>
      </c>
      <c r="AE25" s="4">
        <f t="shared" ref="AE25:AN27" si="58">AD25*1.01</f>
        <v>671.65</v>
      </c>
      <c r="AF25" s="4">
        <f t="shared" si="58"/>
        <v>678.36649999999997</v>
      </c>
      <c r="AG25" s="4">
        <f t="shared" si="58"/>
        <v>685.15016500000002</v>
      </c>
      <c r="AH25" s="4">
        <f t="shared" si="58"/>
        <v>692.00166665000006</v>
      </c>
      <c r="AI25" s="4">
        <f t="shared" si="58"/>
        <v>698.92168331650009</v>
      </c>
      <c r="AJ25" s="4">
        <f t="shared" si="58"/>
        <v>705.91090014966505</v>
      </c>
      <c r="AK25" s="4">
        <f t="shared" si="58"/>
        <v>712.97000915116166</v>
      </c>
      <c r="AL25" s="4">
        <f t="shared" si="58"/>
        <v>720.09970924267327</v>
      </c>
      <c r="AM25" s="4">
        <f t="shared" si="58"/>
        <v>727.30070633510002</v>
      </c>
      <c r="AN25" s="4">
        <f t="shared" si="58"/>
        <v>734.57371339845099</v>
      </c>
    </row>
    <row r="26" spans="2:149" x14ac:dyDescent="0.3">
      <c r="B26" s="1" t="s">
        <v>37</v>
      </c>
      <c r="K26" s="4">
        <v>-168</v>
      </c>
      <c r="L26" s="4">
        <v>-167</v>
      </c>
      <c r="M26" s="4">
        <v>-168</v>
      </c>
      <c r="N26" s="4">
        <f t="shared" si="56"/>
        <v>-596</v>
      </c>
      <c r="O26" s="4">
        <v>-130</v>
      </c>
      <c r="P26" s="4">
        <v>-137</v>
      </c>
      <c r="Q26" s="4">
        <v>-136</v>
      </c>
      <c r="R26" s="4">
        <f t="shared" si="57"/>
        <v>-665</v>
      </c>
      <c r="S26" s="4"/>
      <c r="T26" s="4"/>
      <c r="U26" s="4"/>
      <c r="V26" s="4"/>
      <c r="X26" s="4">
        <f>-800+1800</f>
        <v>1000</v>
      </c>
      <c r="Y26" s="4">
        <f>-1198+1034</f>
        <v>-164</v>
      </c>
      <c r="Z26" s="4">
        <f>-1469-2355</f>
        <v>-3824</v>
      </c>
      <c r="AA26" s="4">
        <f>-1505-1232</f>
        <v>-2737</v>
      </c>
      <c r="AB26" s="4">
        <f>-530+422</f>
        <v>-108</v>
      </c>
      <c r="AC26" s="4">
        <f>-656-443</f>
        <v>-1099</v>
      </c>
      <c r="AD26" s="4">
        <f>-541-527</f>
        <v>-1068</v>
      </c>
      <c r="AE26" s="4">
        <f t="shared" si="58"/>
        <v>-1078.68</v>
      </c>
      <c r="AF26" s="4">
        <f t="shared" si="58"/>
        <v>-1089.4668000000001</v>
      </c>
      <c r="AG26" s="4">
        <f t="shared" si="58"/>
        <v>-1100.3614680000001</v>
      </c>
      <c r="AH26" s="4">
        <f t="shared" si="58"/>
        <v>-1111.3650826800001</v>
      </c>
      <c r="AI26" s="4">
        <f t="shared" si="58"/>
        <v>-1122.4787335068002</v>
      </c>
      <c r="AJ26" s="4">
        <f t="shared" si="58"/>
        <v>-1133.7035208418681</v>
      </c>
      <c r="AK26" s="4">
        <f t="shared" si="58"/>
        <v>-1145.0405560502868</v>
      </c>
      <c r="AL26" s="4">
        <f t="shared" si="58"/>
        <v>-1156.4909616107898</v>
      </c>
      <c r="AM26" s="4">
        <f t="shared" si="58"/>
        <v>-1168.0558712268976</v>
      </c>
      <c r="AN26" s="4">
        <f t="shared" si="58"/>
        <v>-1179.7364299391666</v>
      </c>
    </row>
    <row r="27" spans="2:149" x14ac:dyDescent="0.3">
      <c r="B27" s="1" t="s">
        <v>35</v>
      </c>
      <c r="K27" s="4">
        <v>-38</v>
      </c>
      <c r="L27" s="4">
        <v>-43</v>
      </c>
      <c r="M27" s="4">
        <v>-61</v>
      </c>
      <c r="N27" s="4">
        <f t="shared" si="56"/>
        <v>-26</v>
      </c>
      <c r="O27" s="4">
        <v>-31</v>
      </c>
      <c r="P27" s="4">
        <v>-38</v>
      </c>
      <c r="Q27" s="4">
        <v>-106</v>
      </c>
      <c r="R27" s="4">
        <f t="shared" si="57"/>
        <v>-210</v>
      </c>
      <c r="S27" s="4"/>
      <c r="T27" s="4"/>
      <c r="U27" s="4"/>
      <c r="V27" s="4"/>
      <c r="X27" s="4">
        <v>-107</v>
      </c>
      <c r="Y27" s="4">
        <v>-92</v>
      </c>
      <c r="Z27" s="4">
        <f>-19-1980</f>
        <v>-1999</v>
      </c>
      <c r="AA27" s="4">
        <v>-4</v>
      </c>
      <c r="AB27" s="4">
        <v>-246</v>
      </c>
      <c r="AC27" s="4">
        <v>-168</v>
      </c>
      <c r="AD27" s="4">
        <f>-154-231</f>
        <v>-385</v>
      </c>
      <c r="AE27" s="4">
        <f t="shared" si="58"/>
        <v>-388.85</v>
      </c>
      <c r="AF27" s="4">
        <f t="shared" si="58"/>
        <v>-392.73850000000004</v>
      </c>
      <c r="AG27" s="4">
        <f t="shared" si="58"/>
        <v>-396.66588500000006</v>
      </c>
      <c r="AH27" s="4">
        <f t="shared" si="58"/>
        <v>-400.63254385000005</v>
      </c>
      <c r="AI27" s="4">
        <f t="shared" si="58"/>
        <v>-404.63886928850008</v>
      </c>
      <c r="AJ27" s="4">
        <f t="shared" si="58"/>
        <v>-408.68525798138506</v>
      </c>
      <c r="AK27" s="4">
        <f t="shared" si="58"/>
        <v>-412.77211056119893</v>
      </c>
      <c r="AL27" s="4">
        <f t="shared" si="58"/>
        <v>-416.89983166681094</v>
      </c>
      <c r="AM27" s="4">
        <f t="shared" si="58"/>
        <v>-421.06882998347908</v>
      </c>
      <c r="AN27" s="4">
        <f t="shared" si="58"/>
        <v>-425.27951828331385</v>
      </c>
    </row>
    <row r="28" spans="2:149" x14ac:dyDescent="0.3">
      <c r="B28" s="1" t="s">
        <v>38</v>
      </c>
      <c r="K28" s="4">
        <f t="shared" ref="K28:R28" si="59">SUM(K25:K27)</f>
        <v>-60</v>
      </c>
      <c r="L28" s="4">
        <f t="shared" si="59"/>
        <v>-56</v>
      </c>
      <c r="M28" s="4">
        <f t="shared" si="59"/>
        <v>-68</v>
      </c>
      <c r="N28" s="4">
        <f t="shared" si="59"/>
        <v>-462</v>
      </c>
      <c r="O28" s="4">
        <f t="shared" si="59"/>
        <v>-5</v>
      </c>
      <c r="P28" s="4">
        <f t="shared" si="59"/>
        <v>-2</v>
      </c>
      <c r="Q28" s="4">
        <f t="shared" si="59"/>
        <v>-81</v>
      </c>
      <c r="R28" s="4">
        <f t="shared" si="59"/>
        <v>-700</v>
      </c>
      <c r="S28" s="4"/>
      <c r="T28" s="4"/>
      <c r="U28" s="4"/>
      <c r="V28" s="4"/>
      <c r="X28" s="4">
        <f t="shared" ref="X28:AD28" si="60">SUM(X25:X27)</f>
        <v>1421</v>
      </c>
      <c r="Y28" s="4">
        <f t="shared" si="60"/>
        <v>337</v>
      </c>
      <c r="Z28" s="4">
        <f t="shared" si="60"/>
        <v>-5267</v>
      </c>
      <c r="AA28" s="4">
        <f t="shared" si="60"/>
        <v>-2235</v>
      </c>
      <c r="AB28" s="4">
        <f t="shared" si="60"/>
        <v>191</v>
      </c>
      <c r="AC28" s="4">
        <f t="shared" si="60"/>
        <v>-646</v>
      </c>
      <c r="AD28" s="4">
        <f t="shared" si="60"/>
        <v>-788</v>
      </c>
      <c r="AE28" s="4">
        <f t="shared" ref="AE28" si="61">SUM(AE25:AE27)</f>
        <v>-795.88000000000011</v>
      </c>
      <c r="AF28" s="4">
        <f t="shared" ref="AF28" si="62">SUM(AF25:AF27)</f>
        <v>-803.83880000000022</v>
      </c>
      <c r="AG28" s="4">
        <f t="shared" ref="AG28" si="63">SUM(AG25:AG27)</f>
        <v>-811.87718800000016</v>
      </c>
      <c r="AH28" s="4">
        <f t="shared" ref="AH28" si="64">SUM(AH25:AH27)</f>
        <v>-819.9959598800001</v>
      </c>
      <c r="AI28" s="4">
        <f t="shared" ref="AI28" si="65">SUM(AI25:AI27)</f>
        <v>-828.19591947880008</v>
      </c>
      <c r="AJ28" s="4">
        <f t="shared" ref="AJ28" si="66">SUM(AJ25:AJ27)</f>
        <v>-836.47787867358807</v>
      </c>
      <c r="AK28" s="4">
        <f t="shared" ref="AK28" si="67">SUM(AK25:AK27)</f>
        <v>-844.84265746032406</v>
      </c>
      <c r="AL28" s="4">
        <f t="shared" ref="AL28" si="68">SUM(AL25:AL27)</f>
        <v>-853.29108403492751</v>
      </c>
      <c r="AM28" s="4">
        <f t="shared" ref="AM28" si="69">SUM(AM25:AM27)</f>
        <v>-861.82399487527664</v>
      </c>
      <c r="AN28" s="4">
        <f t="shared" ref="AN28" si="70">SUM(AN25:AN27)</f>
        <v>-870.44223482402936</v>
      </c>
    </row>
    <row r="29" spans="2:149" s="2" customFormat="1" x14ac:dyDescent="0.3">
      <c r="B29" s="2" t="s">
        <v>39</v>
      </c>
      <c r="K29" s="9">
        <f t="shared" ref="K29:R29" si="71">K24-K28</f>
        <v>1131</v>
      </c>
      <c r="L29" s="9">
        <f t="shared" si="71"/>
        <v>1146</v>
      </c>
      <c r="M29" s="9">
        <f t="shared" si="71"/>
        <v>1188</v>
      </c>
      <c r="N29" s="9">
        <f t="shared" si="71"/>
        <v>1551</v>
      </c>
      <c r="O29" s="9">
        <f t="shared" si="71"/>
        <v>578</v>
      </c>
      <c r="P29" s="9">
        <f t="shared" si="71"/>
        <v>1196</v>
      </c>
      <c r="Q29" s="9">
        <f t="shared" si="71"/>
        <v>1323</v>
      </c>
      <c r="R29" s="9">
        <f t="shared" si="71"/>
        <v>1971</v>
      </c>
      <c r="S29" s="9"/>
      <c r="T29" s="9"/>
      <c r="U29" s="9"/>
      <c r="V29" s="9"/>
      <c r="X29" s="9">
        <f t="shared" ref="X29:AD29" si="72">X24-X28</f>
        <v>2548</v>
      </c>
      <c r="Y29" s="9">
        <f t="shared" si="72"/>
        <v>3728</v>
      </c>
      <c r="Z29" s="9">
        <f t="shared" si="72"/>
        <v>8938</v>
      </c>
      <c r="AA29" s="9">
        <f t="shared" si="72"/>
        <v>5836</v>
      </c>
      <c r="AB29" s="9">
        <f t="shared" si="72"/>
        <v>2346</v>
      </c>
      <c r="AC29" s="9">
        <f t="shared" si="72"/>
        <v>5016</v>
      </c>
      <c r="AD29" s="9">
        <f t="shared" si="72"/>
        <v>5068</v>
      </c>
      <c r="AE29" s="9">
        <f t="shared" ref="AE29" si="73">AE24-AE28</f>
        <v>5516.1932000000061</v>
      </c>
      <c r="AF29" s="9">
        <f t="shared" ref="AF29" si="74">AF24-AF28</f>
        <v>5659.2915640000037</v>
      </c>
      <c r="AG29" s="9">
        <f t="shared" ref="AG29" si="75">AG24-AG28</f>
        <v>5805.5796402800033</v>
      </c>
      <c r="AH29" s="9">
        <f t="shared" ref="AH29" si="76">AH24-AH28</f>
        <v>5882.8099795515973</v>
      </c>
      <c r="AI29" s="9">
        <f t="shared" ref="AI29" si="77">AI24-AI28</f>
        <v>5961.1961130732961</v>
      </c>
      <c r="AJ29" s="9">
        <f t="shared" ref="AJ29" si="78">AJ24-AJ28</f>
        <v>6040.7572686047206</v>
      </c>
      <c r="AK29" s="9">
        <f t="shared" ref="AK29" si="79">AK24-AK28</f>
        <v>6121.5130195794773</v>
      </c>
      <c r="AL29" s="9">
        <f t="shared" ref="AL29" si="80">AL24-AL28</f>
        <v>6203.4832916297628</v>
      </c>
      <c r="AM29" s="9">
        <f t="shared" ref="AM29" si="81">AM24-AM28</f>
        <v>6286.6883692376468</v>
      </c>
      <c r="AN29" s="9">
        <f t="shared" ref="AN29" si="82">AN24-AN28</f>
        <v>6371.1489025154278</v>
      </c>
    </row>
    <row r="30" spans="2:149" x14ac:dyDescent="0.3">
      <c r="B30" s="1" t="s">
        <v>40</v>
      </c>
      <c r="K30" s="4">
        <v>187</v>
      </c>
      <c r="L30" s="4">
        <v>206</v>
      </c>
      <c r="M30" s="4">
        <v>162</v>
      </c>
      <c r="N30" s="4">
        <f>AC30-M30-L30-K30</f>
        <v>287</v>
      </c>
      <c r="O30" s="4">
        <v>97</v>
      </c>
      <c r="P30" s="4">
        <v>253</v>
      </c>
      <c r="Q30" s="4">
        <v>223</v>
      </c>
      <c r="R30" s="4">
        <f>AD30-Q30-P30-O30</f>
        <v>313</v>
      </c>
      <c r="S30" s="4"/>
      <c r="T30" s="4"/>
      <c r="U30" s="4"/>
      <c r="V30" s="4"/>
      <c r="X30" s="4">
        <v>300</v>
      </c>
      <c r="Y30" s="4">
        <v>539</v>
      </c>
      <c r="Z30" s="4">
        <v>1933</v>
      </c>
      <c r="AA30" s="4">
        <v>940</v>
      </c>
      <c r="AB30" s="4">
        <v>290</v>
      </c>
      <c r="AC30" s="4">
        <v>842</v>
      </c>
      <c r="AD30" s="4">
        <v>886</v>
      </c>
      <c r="AE30" s="4">
        <f>AE29*0.17</f>
        <v>937.75284400000112</v>
      </c>
      <c r="AF30" s="4">
        <f t="shared" ref="AF30:AN30" si="83">AF29*0.17</f>
        <v>962.0795658800007</v>
      </c>
      <c r="AG30" s="4">
        <f t="shared" si="83"/>
        <v>986.94853884760062</v>
      </c>
      <c r="AH30" s="4">
        <f t="shared" si="83"/>
        <v>1000.0776965237716</v>
      </c>
      <c r="AI30" s="4">
        <f t="shared" si="83"/>
        <v>1013.4033392224604</v>
      </c>
      <c r="AJ30" s="4">
        <f t="shared" si="83"/>
        <v>1026.9287356628026</v>
      </c>
      <c r="AK30" s="4">
        <f t="shared" si="83"/>
        <v>1040.6572133285113</v>
      </c>
      <c r="AL30" s="4">
        <f t="shared" si="83"/>
        <v>1054.5921595770596</v>
      </c>
      <c r="AM30" s="4">
        <f t="shared" si="83"/>
        <v>1068.7370227704</v>
      </c>
      <c r="AN30" s="4">
        <f t="shared" si="83"/>
        <v>1083.0953134276228</v>
      </c>
    </row>
    <row r="31" spans="2:149" s="2" customFormat="1" x14ac:dyDescent="0.3">
      <c r="B31" s="2" t="s">
        <v>41</v>
      </c>
      <c r="K31" s="9">
        <f t="shared" ref="K31:R31" si="84">K29-K30</f>
        <v>944</v>
      </c>
      <c r="L31" s="9">
        <f t="shared" si="84"/>
        <v>940</v>
      </c>
      <c r="M31" s="9">
        <f t="shared" si="84"/>
        <v>1026</v>
      </c>
      <c r="N31" s="9">
        <f t="shared" si="84"/>
        <v>1264</v>
      </c>
      <c r="O31" s="9">
        <f t="shared" si="84"/>
        <v>481</v>
      </c>
      <c r="P31" s="9">
        <f t="shared" si="84"/>
        <v>943</v>
      </c>
      <c r="Q31" s="9">
        <f t="shared" si="84"/>
        <v>1100</v>
      </c>
      <c r="R31" s="9">
        <f t="shared" si="84"/>
        <v>1658</v>
      </c>
      <c r="S31" s="9"/>
      <c r="T31" s="9"/>
      <c r="U31" s="9"/>
      <c r="V31" s="9"/>
      <c r="X31" s="9">
        <f t="shared" ref="X31:AD31" si="85">X29-X30</f>
        <v>2248</v>
      </c>
      <c r="Y31" s="9">
        <f t="shared" si="85"/>
        <v>3189</v>
      </c>
      <c r="Z31" s="9">
        <f t="shared" si="85"/>
        <v>7005</v>
      </c>
      <c r="AA31" s="9">
        <f t="shared" si="85"/>
        <v>4896</v>
      </c>
      <c r="AB31" s="9">
        <f t="shared" si="85"/>
        <v>2056</v>
      </c>
      <c r="AC31" s="9">
        <f t="shared" si="85"/>
        <v>4174</v>
      </c>
      <c r="AD31" s="9">
        <f t="shared" si="85"/>
        <v>4182</v>
      </c>
      <c r="AE31" s="9">
        <f t="shared" ref="AE31" si="86">AE29-AE30</f>
        <v>4578.4403560000046</v>
      </c>
      <c r="AF31" s="9">
        <f t="shared" ref="AF31" si="87">AF29-AF30</f>
        <v>4697.211998120003</v>
      </c>
      <c r="AG31" s="9">
        <f t="shared" ref="AG31" si="88">AG29-AG30</f>
        <v>4818.6311014324028</v>
      </c>
      <c r="AH31" s="9">
        <f t="shared" ref="AH31" si="89">AH29-AH30</f>
        <v>4882.7322830278254</v>
      </c>
      <c r="AI31" s="9">
        <f t="shared" ref="AI31" si="90">AI29-AI30</f>
        <v>4947.7927738508361</v>
      </c>
      <c r="AJ31" s="9">
        <f t="shared" ref="AJ31" si="91">AJ29-AJ30</f>
        <v>5013.8285329419177</v>
      </c>
      <c r="AK31" s="9">
        <f t="shared" ref="AK31" si="92">AK29-AK30</f>
        <v>5080.8558062509655</v>
      </c>
      <c r="AL31" s="9">
        <f t="shared" ref="AL31" si="93">AL29-AL30</f>
        <v>5148.8911320527031</v>
      </c>
      <c r="AM31" s="9">
        <f t="shared" ref="AM31" si="94">AM29-AM30</f>
        <v>5217.9513464672473</v>
      </c>
      <c r="AN31" s="9">
        <f t="shared" ref="AN31" si="95">AN29-AN30</f>
        <v>5288.0535890878054</v>
      </c>
      <c r="AO31" s="2">
        <f>AN31*(1+$AQ$41)</f>
        <v>5235.173053196927</v>
      </c>
      <c r="AP31" s="2">
        <f t="shared" ref="AP31:DA31" si="96">AO31*(1+$AQ$41)</f>
        <v>5182.8213226649577</v>
      </c>
      <c r="AQ31" s="2">
        <f t="shared" si="96"/>
        <v>5130.9931094383082</v>
      </c>
      <c r="AR31" s="2">
        <f t="shared" si="96"/>
        <v>5079.6831783439247</v>
      </c>
      <c r="AS31" s="2">
        <f t="shared" si="96"/>
        <v>5028.8863465604854</v>
      </c>
      <c r="AT31" s="2">
        <f t="shared" si="96"/>
        <v>4978.5974830948808</v>
      </c>
      <c r="AU31" s="2">
        <f t="shared" si="96"/>
        <v>4928.8115082639315</v>
      </c>
      <c r="AV31" s="2">
        <f t="shared" si="96"/>
        <v>4879.5233931812918</v>
      </c>
      <c r="AW31" s="2">
        <f t="shared" si="96"/>
        <v>4830.7281592494792</v>
      </c>
      <c r="AX31" s="2">
        <f t="shared" si="96"/>
        <v>4782.420877656984</v>
      </c>
      <c r="AY31" s="2">
        <f t="shared" si="96"/>
        <v>4734.5966688804137</v>
      </c>
      <c r="AZ31" s="2">
        <f t="shared" si="96"/>
        <v>4687.2507021916099</v>
      </c>
      <c r="BA31" s="2">
        <f t="shared" si="96"/>
        <v>4640.3781951696938</v>
      </c>
      <c r="BB31" s="2">
        <f t="shared" si="96"/>
        <v>4593.9744132179967</v>
      </c>
      <c r="BC31" s="2">
        <f t="shared" si="96"/>
        <v>4548.0346690858169</v>
      </c>
      <c r="BD31" s="2">
        <f t="shared" si="96"/>
        <v>4502.5543223949589</v>
      </c>
      <c r="BE31" s="2">
        <f t="shared" si="96"/>
        <v>4457.5287791710089</v>
      </c>
      <c r="BF31" s="2">
        <f t="shared" si="96"/>
        <v>4412.9534913792986</v>
      </c>
      <c r="BG31" s="2">
        <f t="shared" si="96"/>
        <v>4368.8239564655059</v>
      </c>
      <c r="BH31" s="2">
        <f t="shared" si="96"/>
        <v>4325.1357169008506</v>
      </c>
      <c r="BI31" s="2">
        <f t="shared" si="96"/>
        <v>4281.8843597318419</v>
      </c>
      <c r="BJ31" s="2">
        <f t="shared" si="96"/>
        <v>4239.065516134523</v>
      </c>
      <c r="BK31" s="2">
        <f t="shared" si="96"/>
        <v>4196.6748609731776</v>
      </c>
      <c r="BL31" s="2">
        <f t="shared" si="96"/>
        <v>4154.7081123634462</v>
      </c>
      <c r="BM31" s="2">
        <f t="shared" si="96"/>
        <v>4113.1610312398116</v>
      </c>
      <c r="BN31" s="2">
        <f t="shared" si="96"/>
        <v>4072.0294209274134</v>
      </c>
      <c r="BO31" s="2">
        <f t="shared" si="96"/>
        <v>4031.3091267181394</v>
      </c>
      <c r="BP31" s="2">
        <f t="shared" si="96"/>
        <v>3990.9960354509581</v>
      </c>
      <c r="BQ31" s="2">
        <f t="shared" si="96"/>
        <v>3951.0860750964484</v>
      </c>
      <c r="BR31" s="2">
        <f t="shared" si="96"/>
        <v>3911.5752143454838</v>
      </c>
      <c r="BS31" s="2">
        <f t="shared" si="96"/>
        <v>3872.459462202029</v>
      </c>
      <c r="BT31" s="2">
        <f t="shared" si="96"/>
        <v>3833.7348675800085</v>
      </c>
      <c r="BU31" s="2">
        <f t="shared" si="96"/>
        <v>3795.3975189042085</v>
      </c>
      <c r="BV31" s="2">
        <f t="shared" si="96"/>
        <v>3757.4435437151665</v>
      </c>
      <c r="BW31" s="2">
        <f t="shared" si="96"/>
        <v>3719.8691082780147</v>
      </c>
      <c r="BX31" s="2">
        <f t="shared" si="96"/>
        <v>3682.6704171952347</v>
      </c>
      <c r="BY31" s="2">
        <f t="shared" si="96"/>
        <v>3645.8437130232824</v>
      </c>
      <c r="BZ31" s="2">
        <f t="shared" si="96"/>
        <v>3609.3852758930493</v>
      </c>
      <c r="CA31" s="2">
        <f t="shared" si="96"/>
        <v>3573.2914231341188</v>
      </c>
      <c r="CB31" s="2">
        <f t="shared" si="96"/>
        <v>3537.5585089027777</v>
      </c>
      <c r="CC31" s="2">
        <f t="shared" si="96"/>
        <v>3502.1829238137498</v>
      </c>
      <c r="CD31" s="2">
        <f t="shared" si="96"/>
        <v>3467.1610945756124</v>
      </c>
      <c r="CE31" s="2">
        <f t="shared" si="96"/>
        <v>3432.4894836298563</v>
      </c>
      <c r="CF31" s="2">
        <f t="shared" si="96"/>
        <v>3398.1645887935579</v>
      </c>
      <c r="CG31" s="2">
        <f t="shared" si="96"/>
        <v>3364.1829429056224</v>
      </c>
      <c r="CH31" s="2">
        <f t="shared" si="96"/>
        <v>3330.5411134765664</v>
      </c>
      <c r="CI31" s="2">
        <f t="shared" si="96"/>
        <v>3297.2357023418008</v>
      </c>
      <c r="CJ31" s="2">
        <f t="shared" si="96"/>
        <v>3264.2633453183826</v>
      </c>
      <c r="CK31" s="2">
        <f t="shared" si="96"/>
        <v>3231.6207118651987</v>
      </c>
      <c r="CL31" s="2">
        <f t="shared" si="96"/>
        <v>3199.3045047465466</v>
      </c>
      <c r="CM31" s="2">
        <f t="shared" si="96"/>
        <v>3167.3114596990813</v>
      </c>
      <c r="CN31" s="2">
        <f t="shared" si="96"/>
        <v>3135.6383451020906</v>
      </c>
      <c r="CO31" s="2">
        <f t="shared" si="96"/>
        <v>3104.2819616510697</v>
      </c>
      <c r="CP31" s="2">
        <f t="shared" si="96"/>
        <v>3073.2391420345589</v>
      </c>
      <c r="CQ31" s="2">
        <f t="shared" si="96"/>
        <v>3042.5067506142132</v>
      </c>
      <c r="CR31" s="2">
        <f t="shared" si="96"/>
        <v>3012.081683108071</v>
      </c>
      <c r="CS31" s="2">
        <f t="shared" si="96"/>
        <v>2981.9608662769901</v>
      </c>
      <c r="CT31" s="2">
        <f t="shared" si="96"/>
        <v>2952.1412576142202</v>
      </c>
      <c r="CU31" s="2">
        <f t="shared" si="96"/>
        <v>2922.619845038078</v>
      </c>
      <c r="CV31" s="2">
        <f t="shared" si="96"/>
        <v>2893.3936465876973</v>
      </c>
      <c r="CW31" s="2">
        <f t="shared" si="96"/>
        <v>2864.4597101218201</v>
      </c>
      <c r="CX31" s="2">
        <f t="shared" si="96"/>
        <v>2835.815113020602</v>
      </c>
      <c r="CY31" s="2">
        <f t="shared" si="96"/>
        <v>2807.4569618903961</v>
      </c>
      <c r="CZ31" s="2">
        <f t="shared" si="96"/>
        <v>2779.3823922714919</v>
      </c>
      <c r="DA31" s="2">
        <f t="shared" si="96"/>
        <v>2751.5885683487768</v>
      </c>
      <c r="DB31" s="2">
        <f t="shared" ref="DB31:ES31" si="97">DA31*(1+$AQ$41)</f>
        <v>2724.072682665289</v>
      </c>
      <c r="DC31" s="2">
        <f t="shared" si="97"/>
        <v>2696.8319558386361</v>
      </c>
      <c r="DD31" s="2">
        <f t="shared" si="97"/>
        <v>2669.8636362802495</v>
      </c>
      <c r="DE31" s="2">
        <f t="shared" si="97"/>
        <v>2643.1649999174469</v>
      </c>
      <c r="DF31" s="2">
        <f t="shared" si="97"/>
        <v>2616.7333499182723</v>
      </c>
      <c r="DG31" s="2">
        <f t="shared" si="97"/>
        <v>2590.5660164190895</v>
      </c>
      <c r="DH31" s="2">
        <f t="shared" si="97"/>
        <v>2564.6603562548985</v>
      </c>
      <c r="DI31" s="2">
        <f t="shared" si="97"/>
        <v>2539.0137526923495</v>
      </c>
      <c r="DJ31" s="2">
        <f t="shared" si="97"/>
        <v>2513.6236151654261</v>
      </c>
      <c r="DK31" s="2">
        <f t="shared" si="97"/>
        <v>2488.4873790137717</v>
      </c>
      <c r="DL31" s="2">
        <f t="shared" si="97"/>
        <v>2463.6025052236341</v>
      </c>
      <c r="DM31" s="2">
        <f t="shared" si="97"/>
        <v>2438.966480171398</v>
      </c>
      <c r="DN31" s="2">
        <f t="shared" si="97"/>
        <v>2414.576815369684</v>
      </c>
      <c r="DO31" s="2">
        <f t="shared" si="97"/>
        <v>2390.4310472159873</v>
      </c>
      <c r="DP31" s="2">
        <f t="shared" si="97"/>
        <v>2366.5267367438273</v>
      </c>
      <c r="DQ31" s="2">
        <f t="shared" si="97"/>
        <v>2342.8614693763889</v>
      </c>
      <c r="DR31" s="2">
        <f t="shared" si="97"/>
        <v>2319.432854682625</v>
      </c>
      <c r="DS31" s="2">
        <f t="shared" si="97"/>
        <v>2296.2385261357986</v>
      </c>
      <c r="DT31" s="2">
        <f t="shared" si="97"/>
        <v>2273.2761408744404</v>
      </c>
      <c r="DU31" s="2">
        <f t="shared" si="97"/>
        <v>2250.543379465696</v>
      </c>
      <c r="DV31" s="2">
        <f t="shared" si="97"/>
        <v>2228.0379456710389</v>
      </c>
      <c r="DW31" s="2">
        <f t="shared" si="97"/>
        <v>2205.7575662143286</v>
      </c>
      <c r="DX31" s="2">
        <f t="shared" si="97"/>
        <v>2183.6999905521852</v>
      </c>
      <c r="DY31" s="2">
        <f t="shared" si="97"/>
        <v>2161.8629906466635</v>
      </c>
      <c r="DZ31" s="2">
        <f t="shared" si="97"/>
        <v>2140.244360740197</v>
      </c>
      <c r="EA31" s="2">
        <f t="shared" si="97"/>
        <v>2118.8419171327951</v>
      </c>
      <c r="EB31" s="2">
        <f t="shared" si="97"/>
        <v>2097.6534979614671</v>
      </c>
      <c r="EC31" s="2">
        <f t="shared" si="97"/>
        <v>2076.6769629818523</v>
      </c>
      <c r="ED31" s="2">
        <f t="shared" si="97"/>
        <v>2055.9101933520337</v>
      </c>
      <c r="EE31" s="2">
        <f t="shared" si="97"/>
        <v>2035.3510914185133</v>
      </c>
      <c r="EF31" s="2">
        <f t="shared" si="97"/>
        <v>2014.9975805043282</v>
      </c>
      <c r="EG31" s="2">
        <f t="shared" si="97"/>
        <v>1994.8476046992848</v>
      </c>
      <c r="EH31" s="2">
        <f t="shared" si="97"/>
        <v>1974.8991286522919</v>
      </c>
      <c r="EI31" s="2">
        <f t="shared" si="97"/>
        <v>1955.1501373657691</v>
      </c>
      <c r="EJ31" s="2">
        <f t="shared" si="97"/>
        <v>1935.5986359921114</v>
      </c>
      <c r="EK31" s="2">
        <f t="shared" si="97"/>
        <v>1916.2426496321903</v>
      </c>
      <c r="EL31" s="2">
        <f t="shared" si="97"/>
        <v>1897.0802231358684</v>
      </c>
      <c r="EM31" s="2">
        <f t="shared" si="97"/>
        <v>1878.1094209045098</v>
      </c>
      <c r="EN31" s="2">
        <f t="shared" si="97"/>
        <v>1859.3283266954647</v>
      </c>
      <c r="EO31" s="2">
        <f t="shared" si="97"/>
        <v>1840.7350434285102</v>
      </c>
      <c r="EP31" s="2">
        <f t="shared" si="97"/>
        <v>1822.3276929942251</v>
      </c>
      <c r="EQ31" s="2">
        <f t="shared" si="97"/>
        <v>1804.1044160642828</v>
      </c>
      <c r="ER31" s="2">
        <f t="shared" si="97"/>
        <v>1786.06337190364</v>
      </c>
      <c r="ES31" s="2">
        <f t="shared" si="97"/>
        <v>1768.2027381846035</v>
      </c>
    </row>
    <row r="32" spans="2:149" x14ac:dyDescent="0.3">
      <c r="B32" s="1" t="s">
        <v>2</v>
      </c>
      <c r="K32" s="4">
        <v>143.9</v>
      </c>
      <c r="L32" s="4">
        <v>143.9</v>
      </c>
      <c r="M32" s="4">
        <v>143.9</v>
      </c>
      <c r="N32" s="4">
        <v>143.9</v>
      </c>
      <c r="O32" s="4">
        <v>143.9</v>
      </c>
      <c r="P32" s="4">
        <f>143.2</f>
        <v>143.19999999999999</v>
      </c>
      <c r="Q32" s="4">
        <f>142.7</f>
        <v>142.69999999999999</v>
      </c>
      <c r="R32" s="4">
        <f>141.9</f>
        <v>141.9</v>
      </c>
      <c r="S32" s="4"/>
      <c r="T32" s="4"/>
      <c r="U32" s="4"/>
      <c r="V32" s="4"/>
      <c r="X32" s="4">
        <v>169.3</v>
      </c>
      <c r="Y32" s="4">
        <v>167.1</v>
      </c>
      <c r="Z32" s="4">
        <v>160.30000000000001</v>
      </c>
      <c r="AA32" s="4">
        <v>154.9</v>
      </c>
      <c r="AB32" s="4">
        <v>151.5</v>
      </c>
      <c r="AC32" s="4">
        <v>147</v>
      </c>
      <c r="AD32" s="4">
        <f>141.9</f>
        <v>141.9</v>
      </c>
      <c r="AE32" s="4">
        <f>141.9</f>
        <v>141.9</v>
      </c>
      <c r="AF32" s="4">
        <f>141.9</f>
        <v>141.9</v>
      </c>
      <c r="AG32" s="4">
        <f>141.9</f>
        <v>141.9</v>
      </c>
      <c r="AH32" s="4">
        <f>141.9</f>
        <v>141.9</v>
      </c>
      <c r="AI32" s="4">
        <f>141.9</f>
        <v>141.9</v>
      </c>
      <c r="AJ32" s="4">
        <f>141.9</f>
        <v>141.9</v>
      </c>
      <c r="AK32" s="4">
        <f>141.9</f>
        <v>141.9</v>
      </c>
      <c r="AL32" s="4">
        <f>141.9</f>
        <v>141.9</v>
      </c>
      <c r="AM32" s="4">
        <f>141.9</f>
        <v>141.9</v>
      </c>
      <c r="AN32" s="4">
        <f>141.9</f>
        <v>141.9</v>
      </c>
    </row>
    <row r="33" spans="2:43" x14ac:dyDescent="0.3">
      <c r="B33" s="1" t="s">
        <v>42</v>
      </c>
      <c r="K33" s="8">
        <f t="shared" ref="K33:R33" si="98">K31/K32</f>
        <v>6.5601111883252257</v>
      </c>
      <c r="L33" s="8">
        <f t="shared" si="98"/>
        <v>6.5323141070187631</v>
      </c>
      <c r="M33" s="8">
        <f t="shared" si="98"/>
        <v>7.1299513551077132</v>
      </c>
      <c r="N33" s="8">
        <f t="shared" si="98"/>
        <v>8.7838776928422515</v>
      </c>
      <c r="O33" s="8">
        <f t="shared" si="98"/>
        <v>3.3425990271021542</v>
      </c>
      <c r="P33" s="8">
        <f t="shared" si="98"/>
        <v>6.5851955307262573</v>
      </c>
      <c r="Q33" s="8">
        <f t="shared" si="98"/>
        <v>7.7084793272599867</v>
      </c>
      <c r="R33" s="8">
        <f t="shared" si="98"/>
        <v>11.68428470754052</v>
      </c>
      <c r="S33" s="8"/>
      <c r="T33" s="8"/>
      <c r="U33" s="8"/>
      <c r="V33" s="8"/>
      <c r="X33" s="8">
        <f t="shared" ref="X33:AD33" si="99">X31/X32</f>
        <v>13.278204370939161</v>
      </c>
      <c r="Y33" s="8">
        <f t="shared" si="99"/>
        <v>19.084380610412929</v>
      </c>
      <c r="Z33" s="8">
        <f t="shared" si="99"/>
        <v>43.699313786650031</v>
      </c>
      <c r="AA33" s="8">
        <f t="shared" si="99"/>
        <v>31.607488702388636</v>
      </c>
      <c r="AB33" s="8">
        <f t="shared" si="99"/>
        <v>13.570957095709572</v>
      </c>
      <c r="AC33" s="8">
        <f t="shared" si="99"/>
        <v>28.394557823129251</v>
      </c>
      <c r="AD33" s="8">
        <f t="shared" si="99"/>
        <v>29.471458773784352</v>
      </c>
      <c r="AE33" s="8">
        <f t="shared" ref="AE33" si="100">AE31/AE32</f>
        <v>32.265259732205813</v>
      </c>
      <c r="AF33" s="8">
        <f t="shared" ref="AF33" si="101">AF31/AF32</f>
        <v>33.102269190415804</v>
      </c>
      <c r="AG33" s="8">
        <f t="shared" ref="AG33" si="102">AG31/AG32</f>
        <v>33.957935880425673</v>
      </c>
      <c r="AH33" s="8">
        <f t="shared" ref="AH33" si="103">AH31/AH32</f>
        <v>34.409670775389891</v>
      </c>
      <c r="AI33" s="8">
        <f t="shared" ref="AI33" si="104">AI31/AI32</f>
        <v>34.868166130027035</v>
      </c>
      <c r="AJ33" s="8">
        <f t="shared" ref="AJ33" si="105">AJ31/AJ32</f>
        <v>35.333534411148115</v>
      </c>
      <c r="AK33" s="8">
        <f t="shared" ref="AK33" si="106">AK31/AK32</f>
        <v>35.805890107476856</v>
      </c>
      <c r="AL33" s="8">
        <f t="shared" ref="AL33" si="107">AL31/AL32</f>
        <v>36.285349767813273</v>
      </c>
      <c r="AM33" s="8">
        <f t="shared" ref="AM33" si="108">AM31/AM32</f>
        <v>36.772032039938317</v>
      </c>
      <c r="AN33" s="8">
        <f t="shared" ref="AN33" si="109">AN31/AN32</f>
        <v>37.266057710273472</v>
      </c>
    </row>
    <row r="35" spans="2:43" x14ac:dyDescent="0.3">
      <c r="B35" s="1" t="s">
        <v>70</v>
      </c>
      <c r="Q35" s="10">
        <f>Q9/M9-1</f>
        <v>6.1127997298210168E-2</v>
      </c>
      <c r="R35" s="10">
        <f>R9/N9-1</f>
        <v>0.17742419693785649</v>
      </c>
    </row>
    <row r="36" spans="2:43" x14ac:dyDescent="0.3">
      <c r="B36" s="1" t="s">
        <v>71</v>
      </c>
      <c r="Q36" s="10">
        <f t="shared" ref="Q36:R38" si="110">Q10/M10-1</f>
        <v>0.14388888888888896</v>
      </c>
      <c r="R36" s="10">
        <f t="shared" si="110"/>
        <v>7.1892161757364015E-2</v>
      </c>
    </row>
    <row r="37" spans="2:43" x14ac:dyDescent="0.3">
      <c r="B37" s="1" t="s">
        <v>72</v>
      </c>
      <c r="Q37" s="10">
        <f t="shared" si="110"/>
        <v>9.5642933049946866E-2</v>
      </c>
      <c r="R37" s="10">
        <f t="shared" si="110"/>
        <v>9.7010178117048262E-2</v>
      </c>
    </row>
    <row r="38" spans="2:43" x14ac:dyDescent="0.3">
      <c r="B38" s="1" t="s">
        <v>73</v>
      </c>
      <c r="Q38" s="10">
        <f t="shared" si="110"/>
        <v>-5.9930313588850148E-2</v>
      </c>
      <c r="R38" s="10">
        <f t="shared" si="110"/>
        <v>5.4981549815498187E-2</v>
      </c>
    </row>
    <row r="40" spans="2:43" x14ac:dyDescent="0.3">
      <c r="B40" s="1" t="s">
        <v>43</v>
      </c>
      <c r="K40" s="10"/>
      <c r="L40" s="10"/>
      <c r="M40" s="10"/>
      <c r="N40" s="10"/>
      <c r="O40" s="10">
        <f t="shared" ref="O40:R42" si="111">O16/K16-1</f>
        <v>-7.1710688718834903E-2</v>
      </c>
      <c r="P40" s="10">
        <f t="shared" si="111"/>
        <v>2.2535908865775056E-2</v>
      </c>
      <c r="Q40" s="10">
        <f t="shared" si="111"/>
        <v>5.4162992820254496E-2</v>
      </c>
      <c r="R40" s="10">
        <f t="shared" si="111"/>
        <v>0.11429898942966665</v>
      </c>
      <c r="S40" s="10"/>
      <c r="T40" s="10"/>
      <c r="U40" s="10"/>
      <c r="V40" s="10"/>
      <c r="X40" s="10"/>
      <c r="Y40" s="10">
        <f t="shared" ref="Y40:AB42" si="112">Y16/X16-1</f>
        <v>0.13260942478618154</v>
      </c>
      <c r="Z40" s="10">
        <f t="shared" si="112"/>
        <v>3.1575050897649559E-2</v>
      </c>
      <c r="AA40" s="10">
        <f t="shared" si="112"/>
        <v>2.3467776661403761E-2</v>
      </c>
      <c r="AB40" s="10">
        <f t="shared" si="112"/>
        <v>8.3269055465956088E-2</v>
      </c>
      <c r="AC40" s="10">
        <f>AC16/AB16-1</f>
        <v>5.9196685762371803E-2</v>
      </c>
      <c r="AD40" s="10">
        <f t="shared" ref="AD40:AN42" si="113">AD16/AC16-1</f>
        <v>3.1015095031473372E-2</v>
      </c>
      <c r="AE40" s="10">
        <f t="shared" si="113"/>
        <v>3.0000000000000027E-2</v>
      </c>
      <c r="AF40" s="10">
        <f t="shared" si="113"/>
        <v>2.0000000000000018E-2</v>
      </c>
      <c r="AG40" s="10">
        <f t="shared" si="113"/>
        <v>2.0000000000000018E-2</v>
      </c>
      <c r="AH40" s="10">
        <f t="shared" si="113"/>
        <v>1.0000000000000009E-2</v>
      </c>
      <c r="AI40" s="10">
        <f t="shared" si="113"/>
        <v>1.0000000000000009E-2</v>
      </c>
      <c r="AJ40" s="10">
        <f t="shared" si="113"/>
        <v>1.0000000000000009E-2</v>
      </c>
      <c r="AK40" s="10">
        <f t="shared" si="113"/>
        <v>1.0000000000000009E-2</v>
      </c>
      <c r="AL40" s="10">
        <f t="shared" si="113"/>
        <v>1.0000000000000009E-2</v>
      </c>
      <c r="AM40" s="10">
        <f t="shared" si="113"/>
        <v>1.0000000000000009E-2</v>
      </c>
      <c r="AN40" s="10">
        <f t="shared" si="113"/>
        <v>1.0000000000000009E-2</v>
      </c>
    </row>
    <row r="41" spans="2:43" x14ac:dyDescent="0.3">
      <c r="B41" s="1" t="s">
        <v>44</v>
      </c>
      <c r="K41" s="10"/>
      <c r="L41" s="10"/>
      <c r="M41" s="10"/>
      <c r="N41" s="10"/>
      <c r="O41" s="10">
        <f t="shared" si="111"/>
        <v>-4.1358936484490405E-2</v>
      </c>
      <c r="P41" s="10">
        <f t="shared" si="111"/>
        <v>-2.2875816993464082E-2</v>
      </c>
      <c r="Q41" s="10">
        <f t="shared" si="111"/>
        <v>-1.458434613514803E-3</v>
      </c>
      <c r="R41" s="10">
        <f t="shared" si="111"/>
        <v>2.0221473278767554E-2</v>
      </c>
      <c r="S41" s="10"/>
      <c r="T41" s="10"/>
      <c r="U41" s="10"/>
      <c r="V41" s="10"/>
      <c r="X41" s="10"/>
      <c r="Y41" s="10">
        <f t="shared" si="112"/>
        <v>-2.0522574832315565E-2</v>
      </c>
      <c r="Z41" s="10">
        <f t="shared" si="112"/>
        <v>-0.20288225674570726</v>
      </c>
      <c r="AA41" s="10">
        <f t="shared" si="112"/>
        <v>3.6030260289780847E-2</v>
      </c>
      <c r="AB41" s="10">
        <f t="shared" si="112"/>
        <v>3.8737623762376217E-2</v>
      </c>
      <c r="AC41" s="10">
        <f t="shared" ref="AC41:AC42" si="114">AC17/AB17-1</f>
        <v>-1.0246634099845164E-2</v>
      </c>
      <c r="AD41" s="10">
        <f t="shared" si="113"/>
        <v>-1.131575779463101E-2</v>
      </c>
      <c r="AE41" s="10">
        <f t="shared" si="113"/>
        <v>2.0000000000000018E-2</v>
      </c>
      <c r="AF41" s="10">
        <f t="shared" si="113"/>
        <v>2.0000000000000018E-2</v>
      </c>
      <c r="AG41" s="10">
        <f t="shared" si="113"/>
        <v>2.0000000000000018E-2</v>
      </c>
      <c r="AH41" s="10">
        <f t="shared" si="113"/>
        <v>2.0000000000000018E-2</v>
      </c>
      <c r="AI41" s="10">
        <f t="shared" si="113"/>
        <v>2.0000000000000018E-2</v>
      </c>
      <c r="AJ41" s="10">
        <f t="shared" si="113"/>
        <v>2.0000000000000018E-2</v>
      </c>
      <c r="AK41" s="10">
        <f t="shared" si="113"/>
        <v>2.0000000000000018E-2</v>
      </c>
      <c r="AL41" s="10">
        <f t="shared" si="113"/>
        <v>2.0000000000000018E-2</v>
      </c>
      <c r="AM41" s="10">
        <f t="shared" si="113"/>
        <v>2.0000000000000018E-2</v>
      </c>
      <c r="AN41" s="10">
        <f t="shared" si="113"/>
        <v>2.0000000000000018E-2</v>
      </c>
      <c r="AP41" s="1" t="s">
        <v>53</v>
      </c>
      <c r="AQ41" s="10">
        <v>-0.01</v>
      </c>
    </row>
    <row r="42" spans="2:43" x14ac:dyDescent="0.3">
      <c r="B42" s="2" t="s">
        <v>45</v>
      </c>
      <c r="K42" s="11"/>
      <c r="L42" s="11"/>
      <c r="M42" s="11"/>
      <c r="N42" s="11"/>
      <c r="O42" s="11">
        <f t="shared" si="111"/>
        <v>-6.5627158788117979E-2</v>
      </c>
      <c r="P42" s="11">
        <f t="shared" si="111"/>
        <v>1.3016245840673291E-2</v>
      </c>
      <c r="Q42" s="11">
        <f t="shared" si="111"/>
        <v>4.2717086834733964E-2</v>
      </c>
      <c r="R42" s="11">
        <f t="shared" si="111"/>
        <v>9.6013475575519314E-2</v>
      </c>
      <c r="S42" s="11"/>
      <c r="T42" s="11"/>
      <c r="U42" s="11"/>
      <c r="V42" s="11"/>
      <c r="X42" s="11"/>
      <c r="Y42" s="11">
        <f t="shared" si="112"/>
        <v>8.7408764516414994E-2</v>
      </c>
      <c r="Z42" s="11">
        <f t="shared" si="112"/>
        <v>-3.0761705481127222E-2</v>
      </c>
      <c r="AA42" s="11">
        <f t="shared" si="112"/>
        <v>2.6214708273754495E-2</v>
      </c>
      <c r="AB42" s="11">
        <f t="shared" si="112"/>
        <v>7.3438609912026775E-2</v>
      </c>
      <c r="AC42" s="11">
        <f t="shared" si="114"/>
        <v>4.4362433189106598E-2</v>
      </c>
      <c r="AD42" s="11">
        <f t="shared" si="113"/>
        <v>2.2445348865547166E-2</v>
      </c>
      <c r="AE42" s="11">
        <f t="shared" si="113"/>
        <v>2.804237974924928E-2</v>
      </c>
      <c r="AF42" s="11">
        <f t="shared" si="113"/>
        <v>2.0000000000000018E-2</v>
      </c>
      <c r="AG42" s="11">
        <f t="shared" si="113"/>
        <v>2.0000000000000018E-2</v>
      </c>
      <c r="AH42" s="11">
        <f t="shared" si="113"/>
        <v>1.1942305779507834E-2</v>
      </c>
      <c r="AI42" s="11">
        <f t="shared" si="113"/>
        <v>1.1957771588145816E-2</v>
      </c>
      <c r="AJ42" s="11">
        <f t="shared" si="113"/>
        <v>1.1973330385886216E-2</v>
      </c>
      <c r="AK42" s="11">
        <f t="shared" si="113"/>
        <v>1.1988982251969649E-2</v>
      </c>
      <c r="AL42" s="11">
        <f t="shared" si="113"/>
        <v>1.2004727257498793E-2</v>
      </c>
      <c r="AM42" s="11">
        <f t="shared" si="113"/>
        <v>1.202056546533159E-2</v>
      </c>
      <c r="AN42" s="11">
        <f t="shared" si="113"/>
        <v>1.203649692997133E-2</v>
      </c>
      <c r="AP42" s="1" t="s">
        <v>54</v>
      </c>
      <c r="AQ42" s="10">
        <v>7.0000000000000007E-2</v>
      </c>
    </row>
    <row r="43" spans="2:43" x14ac:dyDescent="0.3">
      <c r="B43" s="1" t="s">
        <v>46</v>
      </c>
      <c r="K43" s="10">
        <f t="shared" ref="K43:M44" si="115">(K16-K19)/K16</f>
        <v>0.20871389780301161</v>
      </c>
      <c r="L43" s="10">
        <f t="shared" si="115"/>
        <v>0.20901436354631006</v>
      </c>
      <c r="M43" s="10">
        <f t="shared" si="115"/>
        <v>0.20896838392744679</v>
      </c>
      <c r="N43" s="10">
        <f t="shared" ref="N43" si="116">(N16-N19)/N16</f>
        <v>0.1742362643744918</v>
      </c>
      <c r="O43" s="10">
        <f t="shared" ref="O43:P43" si="117">(O16-O19)/O16</f>
        <v>0.15357000398883128</v>
      </c>
      <c r="P43" s="10">
        <f t="shared" si="117"/>
        <v>0.20973601356260596</v>
      </c>
      <c r="Q43" s="10">
        <f t="shared" ref="Q43:R43" si="118">(Q16-Q19)/Q16</f>
        <v>0.20767116740351296</v>
      </c>
      <c r="R43" s="10">
        <f t="shared" si="118"/>
        <v>0.19138955488376941</v>
      </c>
      <c r="S43" s="10"/>
      <c r="T43" s="10"/>
      <c r="U43" s="10"/>
      <c r="V43" s="10"/>
      <c r="X43" s="10">
        <f t="shared" ref="X43:AB44" si="119">(X16-X19)/X16</f>
        <v>0.21704678852926379</v>
      </c>
      <c r="Y43" s="10">
        <f t="shared" si="119"/>
        <v>0.20196187303349991</v>
      </c>
      <c r="Z43" s="10">
        <f t="shared" si="119"/>
        <v>0.19947610162193197</v>
      </c>
      <c r="AA43" s="10">
        <f t="shared" si="119"/>
        <v>0.20198443306920974</v>
      </c>
      <c r="AB43" s="10">
        <f t="shared" si="119"/>
        <v>0.15117972618700845</v>
      </c>
      <c r="AC43" s="10">
        <f>(AC16-AC19)/AC16</f>
        <v>0.19977999144411171</v>
      </c>
      <c r="AD43" s="10">
        <f t="shared" ref="AD43:AN43" si="120">(AD16-AD19)/AD16</f>
        <v>0.19148810053051185</v>
      </c>
      <c r="AE43" s="10">
        <f t="shared" si="120"/>
        <v>0.2</v>
      </c>
      <c r="AF43" s="10">
        <f t="shared" si="120"/>
        <v>0.19999999999999993</v>
      </c>
      <c r="AG43" s="10">
        <f t="shared" si="120"/>
        <v>0.19999999999999993</v>
      </c>
      <c r="AH43" s="10">
        <f t="shared" si="120"/>
        <v>0.19999999999999993</v>
      </c>
      <c r="AI43" s="10">
        <f t="shared" si="120"/>
        <v>0.2</v>
      </c>
      <c r="AJ43" s="10">
        <f t="shared" si="120"/>
        <v>0.19999999999999993</v>
      </c>
      <c r="AK43" s="10">
        <f t="shared" si="120"/>
        <v>0.19999999999999993</v>
      </c>
      <c r="AL43" s="10">
        <f t="shared" si="120"/>
        <v>0.19999999999999996</v>
      </c>
      <c r="AM43" s="10">
        <f t="shared" si="120"/>
        <v>0.19999999999999993</v>
      </c>
      <c r="AN43" s="10">
        <f t="shared" si="120"/>
        <v>0.19999999999999998</v>
      </c>
      <c r="AP43" s="1" t="s">
        <v>55</v>
      </c>
      <c r="AQ43" s="4">
        <f>NPV(AQ42,AD31:ES31)</f>
        <v>67324.451341602791</v>
      </c>
    </row>
    <row r="44" spans="2:43" x14ac:dyDescent="0.3">
      <c r="B44" s="1" t="s">
        <v>47</v>
      </c>
      <c r="K44" s="10">
        <f t="shared" si="115"/>
        <v>0.21762678483505662</v>
      </c>
      <c r="L44" s="10">
        <f t="shared" si="115"/>
        <v>0.23482726423902894</v>
      </c>
      <c r="M44" s="10">
        <f t="shared" si="115"/>
        <v>0.21730675741370928</v>
      </c>
      <c r="N44" s="10">
        <f t="shared" ref="N44" si="121">(N17-N20)/N17</f>
        <v>0.20799229658160809</v>
      </c>
      <c r="O44" s="10">
        <f t="shared" ref="O44:P44" si="122">(O17-O20)/O17</f>
        <v>0.21828454031843864</v>
      </c>
      <c r="P44" s="10">
        <f t="shared" si="122"/>
        <v>0.22838031533683709</v>
      </c>
      <c r="Q44" s="10">
        <f t="shared" ref="Q44:R44" si="123">(Q17-Q20)/Q17</f>
        <v>0.23807205452775074</v>
      </c>
      <c r="R44" s="10">
        <f t="shared" si="123"/>
        <v>0.21708352996696556</v>
      </c>
      <c r="S44" s="10"/>
      <c r="T44" s="10"/>
      <c r="U44" s="10"/>
      <c r="V44" s="10"/>
      <c r="X44" s="10">
        <f t="shared" si="119"/>
        <v>0.20842927219941937</v>
      </c>
      <c r="Y44" s="10">
        <f t="shared" si="119"/>
        <v>0.20666394112837286</v>
      </c>
      <c r="Z44" s="10">
        <f t="shared" si="119"/>
        <v>0.21913065777663804</v>
      </c>
      <c r="AA44" s="10">
        <f t="shared" si="119"/>
        <v>0.2120049504950495</v>
      </c>
      <c r="AB44" s="10">
        <f t="shared" si="119"/>
        <v>0.22399618729893958</v>
      </c>
      <c r="AC44" s="10">
        <f t="shared" ref="AC44:AN44" si="124">(AC17-AC20)/AC17</f>
        <v>0.21957385337667029</v>
      </c>
      <c r="AD44" s="10">
        <f t="shared" si="124"/>
        <v>0.2254961646170705</v>
      </c>
      <c r="AE44" s="10">
        <f t="shared" si="124"/>
        <v>0.21999999999999997</v>
      </c>
      <c r="AF44" s="10">
        <f t="shared" si="124"/>
        <v>0.21999999999999995</v>
      </c>
      <c r="AG44" s="10">
        <f t="shared" si="124"/>
        <v>0.22</v>
      </c>
      <c r="AH44" s="10">
        <f t="shared" si="124"/>
        <v>0.21999999999999997</v>
      </c>
      <c r="AI44" s="10">
        <f t="shared" si="124"/>
        <v>0.22</v>
      </c>
      <c r="AJ44" s="10">
        <f t="shared" si="124"/>
        <v>0.22</v>
      </c>
      <c r="AK44" s="10">
        <f t="shared" si="124"/>
        <v>0.21999999999999995</v>
      </c>
      <c r="AL44" s="10">
        <f t="shared" si="124"/>
        <v>0.22</v>
      </c>
      <c r="AM44" s="10">
        <f t="shared" si="124"/>
        <v>0.21999999999999997</v>
      </c>
      <c r="AN44" s="10">
        <f t="shared" si="124"/>
        <v>0.21999999999999997</v>
      </c>
      <c r="AP44" s="1" t="s">
        <v>56</v>
      </c>
      <c r="AQ44" s="4">
        <f>Main!D8</f>
        <v>-10759</v>
      </c>
    </row>
    <row r="45" spans="2:43" x14ac:dyDescent="0.3">
      <c r="B45" s="1" t="s">
        <v>48</v>
      </c>
      <c r="K45" s="10">
        <f t="shared" ref="K45:M45" si="125">K22/K18</f>
        <v>0.21050034540609888</v>
      </c>
      <c r="L45" s="10">
        <f t="shared" si="125"/>
        <v>0.21442552358582892</v>
      </c>
      <c r="M45" s="10">
        <f t="shared" si="125"/>
        <v>0.21068427370948378</v>
      </c>
      <c r="N45" s="10">
        <f t="shared" ref="N45" si="126">N22/N18</f>
        <v>0.18079730488489612</v>
      </c>
      <c r="O45" s="10">
        <f t="shared" ref="O45:P45" si="127">O22/O18</f>
        <v>0.16687790452049006</v>
      </c>
      <c r="P45" s="10">
        <f t="shared" si="127"/>
        <v>0.2135059414549319</v>
      </c>
      <c r="Q45" s="10">
        <f t="shared" ref="Q45:R45" si="128">Q22/Q18</f>
        <v>0.21366209344718412</v>
      </c>
      <c r="R45" s="10">
        <f t="shared" si="128"/>
        <v>0.19603825136612021</v>
      </c>
      <c r="S45" s="10"/>
      <c r="T45" s="10"/>
      <c r="U45" s="10"/>
      <c r="V45" s="10"/>
      <c r="X45" s="10">
        <f t="shared" ref="X45:AB45" si="129">X22/X18</f>
        <v>0.21450311752016785</v>
      </c>
      <c r="Y45" s="10">
        <f t="shared" si="129"/>
        <v>0.2032120438055382</v>
      </c>
      <c r="Z45" s="10">
        <f t="shared" si="129"/>
        <v>0.20377379650657471</v>
      </c>
      <c r="AA45" s="10">
        <f t="shared" si="129"/>
        <v>0.20419649199497295</v>
      </c>
      <c r="AB45" s="10">
        <f t="shared" si="129"/>
        <v>0.16673453805039451</v>
      </c>
      <c r="AC45" s="10">
        <f>AC22/AC18</f>
        <v>0.20378719567177639</v>
      </c>
      <c r="AD45" s="10">
        <f t="shared" ref="AD45:AN45" si="130">AD22/AD18</f>
        <v>0.19814558802497975</v>
      </c>
      <c r="AE45" s="10">
        <f t="shared" si="130"/>
        <v>0.20388461155901555</v>
      </c>
      <c r="AF45" s="10">
        <f t="shared" si="130"/>
        <v>0.20388461155901549</v>
      </c>
      <c r="AG45" s="10">
        <f t="shared" si="130"/>
        <v>0.20388461155901549</v>
      </c>
      <c r="AH45" s="10">
        <f t="shared" si="130"/>
        <v>0.20391554317629154</v>
      </c>
      <c r="AI45" s="10">
        <f t="shared" si="130"/>
        <v>0.20394666077177276</v>
      </c>
      <c r="AJ45" s="10">
        <f t="shared" si="130"/>
        <v>0.20397796450393907</v>
      </c>
      <c r="AK45" s="10">
        <f t="shared" si="130"/>
        <v>0.20400945451499738</v>
      </c>
      <c r="AL45" s="10">
        <f t="shared" si="130"/>
        <v>0.20404113093066292</v>
      </c>
      <c r="AM45" s="10">
        <f t="shared" si="130"/>
        <v>0.20407299385994301</v>
      </c>
      <c r="AN45" s="10">
        <f t="shared" si="130"/>
        <v>0.20410504339492141</v>
      </c>
      <c r="AP45" s="1" t="s">
        <v>57</v>
      </c>
      <c r="AQ45" s="4">
        <f>AQ43+AQ44</f>
        <v>56565.451341602791</v>
      </c>
    </row>
    <row r="46" spans="2:43" x14ac:dyDescent="0.3">
      <c r="B46" s="1" t="s">
        <v>51</v>
      </c>
      <c r="K46" s="10"/>
      <c r="L46" s="10"/>
      <c r="M46" s="10"/>
      <c r="N46" s="10"/>
      <c r="O46" s="10">
        <f>O23/K23-1</f>
        <v>-5.1789077212806012E-2</v>
      </c>
      <c r="P46" s="10">
        <f>P23/L23-1</f>
        <v>-7.7202543142597668E-2</v>
      </c>
      <c r="Q46" s="10">
        <f>Q23/M23-1</f>
        <v>-1.0141987829614951E-3</v>
      </c>
      <c r="R46" s="10">
        <f>R23/N23-1</f>
        <v>0.21589561091340448</v>
      </c>
      <c r="S46" s="10"/>
      <c r="T46" s="10"/>
      <c r="U46" s="10"/>
      <c r="V46" s="10"/>
      <c r="X46" s="10"/>
      <c r="Y46" s="10">
        <f t="shared" ref="Y46:AB46" si="131">Y23/X23-1</f>
        <v>3.7386018237081986E-2</v>
      </c>
      <c r="Z46" s="10">
        <f t="shared" si="131"/>
        <v>5.3911514796366911E-2</v>
      </c>
      <c r="AA46" s="10">
        <f t="shared" si="131"/>
        <v>7.6730608840700487E-2</v>
      </c>
      <c r="AB46" s="10">
        <f t="shared" si="131"/>
        <v>3.6405886909372631E-2</v>
      </c>
      <c r="AC46" s="10">
        <f>AC23/AB23-1</f>
        <v>-5.4808171400099193E-3</v>
      </c>
      <c r="AD46" s="10">
        <f t="shared" ref="AD46:AN46" si="132">AD23/AC23-1</f>
        <v>1.0270541082164408E-2</v>
      </c>
      <c r="AE46" s="10">
        <f t="shared" si="132"/>
        <v>1.0000000000000009E-2</v>
      </c>
      <c r="AF46" s="10">
        <f t="shared" si="132"/>
        <v>1.0000000000000009E-2</v>
      </c>
      <c r="AG46" s="10">
        <f t="shared" si="132"/>
        <v>1.0000000000000009E-2</v>
      </c>
      <c r="AH46" s="10">
        <f t="shared" si="132"/>
        <v>1.0000000000000009E-2</v>
      </c>
      <c r="AI46" s="10">
        <f t="shared" si="132"/>
        <v>1.0000000000000009E-2</v>
      </c>
      <c r="AJ46" s="10">
        <f t="shared" si="132"/>
        <v>1.0000000000000009E-2</v>
      </c>
      <c r="AK46" s="10">
        <f t="shared" si="132"/>
        <v>1.0000000000000009E-2</v>
      </c>
      <c r="AL46" s="10">
        <f t="shared" si="132"/>
        <v>1.0000000000000009E-2</v>
      </c>
      <c r="AM46" s="10">
        <f t="shared" si="132"/>
        <v>1.0000000000000009E-2</v>
      </c>
      <c r="AN46" s="10">
        <f t="shared" si="132"/>
        <v>1.0000000000000009E-2</v>
      </c>
      <c r="AP46" s="1" t="s">
        <v>58</v>
      </c>
      <c r="AQ46" s="3">
        <f>AQ45/AN32</f>
        <v>398.62897351376171</v>
      </c>
    </row>
    <row r="47" spans="2:43" x14ac:dyDescent="0.3">
      <c r="B47" s="1" t="s">
        <v>49</v>
      </c>
      <c r="K47" s="10">
        <f t="shared" ref="K47:M47" si="133">K24/K18</f>
        <v>0.10569426625875851</v>
      </c>
      <c r="L47" s="10">
        <f t="shared" si="133"/>
        <v>0.10667449598747308</v>
      </c>
      <c r="M47" s="10">
        <f t="shared" si="133"/>
        <v>0.11204481792717087</v>
      </c>
      <c r="N47" s="10">
        <f t="shared" ref="N47" si="134">N24/N18</f>
        <v>0.10190903986524424</v>
      </c>
      <c r="O47" s="10">
        <f t="shared" ref="O47:P47" si="135">O24/O18</f>
        <v>6.0519645120405578E-2</v>
      </c>
      <c r="P47" s="10">
        <f t="shared" si="135"/>
        <v>0.11535117379963289</v>
      </c>
      <c r="Q47" s="10">
        <f t="shared" ref="Q47:R47" si="136">Q24/Q18</f>
        <v>0.11915955099299626</v>
      </c>
      <c r="R47" s="10">
        <f t="shared" si="136"/>
        <v>0.10852117486338798</v>
      </c>
      <c r="S47" s="10"/>
      <c r="T47" s="10"/>
      <c r="U47" s="10"/>
      <c r="V47" s="10"/>
      <c r="X47" s="10">
        <f t="shared" ref="X47:AB47" si="137">X24/X18</f>
        <v>0.11728376821015928</v>
      </c>
      <c r="Y47" s="10">
        <f t="shared" si="137"/>
        <v>0.11046495828690997</v>
      </c>
      <c r="Z47" s="10">
        <f t="shared" si="137"/>
        <v>0.10292427173577817</v>
      </c>
      <c r="AA47" s="10">
        <f t="shared" si="137"/>
        <v>9.8382602043604175E-2</v>
      </c>
      <c r="AB47" s="10">
        <f t="shared" si="137"/>
        <v>6.4571137694069733E-2</v>
      </c>
      <c r="AC47" s="10">
        <f>AC24/AC18</f>
        <v>0.10649964662588648</v>
      </c>
      <c r="AD47" s="10">
        <f t="shared" ref="AD47:AN47" si="138">AD24/AD18</f>
        <v>0.10201649425561329</v>
      </c>
      <c r="AE47" s="10">
        <f t="shared" si="138"/>
        <v>0.10944260545150322</v>
      </c>
      <c r="AF47" s="10">
        <f t="shared" si="138"/>
        <v>0.11036850747216505</v>
      </c>
      <c r="AG47" s="10">
        <f t="shared" si="138"/>
        <v>0.11128533202203612</v>
      </c>
      <c r="AH47" s="10">
        <f t="shared" si="138"/>
        <v>0.11149399720652813</v>
      </c>
      <c r="AI47" s="10">
        <f t="shared" si="138"/>
        <v>0.111703917002963</v>
      </c>
      <c r="AJ47" s="10">
        <f t="shared" si="138"/>
        <v>0.11191509248045198</v>
      </c>
      <c r="AK47" s="10">
        <f t="shared" si="138"/>
        <v>0.11212752459832315</v>
      </c>
      <c r="AL47" s="10">
        <f t="shared" si="138"/>
        <v>0.11234121420465304</v>
      </c>
      <c r="AM47" s="10">
        <f t="shared" si="138"/>
        <v>0.11255616203480683</v>
      </c>
      <c r="AN47" s="10">
        <f t="shared" si="138"/>
        <v>0.11277236870998519</v>
      </c>
      <c r="AP47" s="1" t="s">
        <v>59</v>
      </c>
      <c r="AQ47" s="3">
        <f>Main!D3</f>
        <v>692.26</v>
      </c>
    </row>
    <row r="48" spans="2:43" x14ac:dyDescent="0.3">
      <c r="B48" s="1" t="s">
        <v>40</v>
      </c>
      <c r="K48" s="10">
        <f t="shared" ref="K48:M48" si="139">K30/K29</f>
        <v>0.16534040671971706</v>
      </c>
      <c r="L48" s="10">
        <f t="shared" si="139"/>
        <v>0.17975567190226877</v>
      </c>
      <c r="M48" s="10">
        <f t="shared" si="139"/>
        <v>0.13636363636363635</v>
      </c>
      <c r="N48" s="10">
        <f t="shared" ref="N48" si="140">N30/N29</f>
        <v>0.18504190844616378</v>
      </c>
      <c r="O48" s="10">
        <f t="shared" ref="O48:P48" si="141">O30/O29</f>
        <v>0.16782006920415224</v>
      </c>
      <c r="P48" s="10">
        <f t="shared" si="141"/>
        <v>0.21153846153846154</v>
      </c>
      <c r="Q48" s="10">
        <f t="shared" ref="Q48:R48" si="142">Q30/Q29</f>
        <v>0.16855631141345426</v>
      </c>
      <c r="R48" s="10">
        <f t="shared" si="142"/>
        <v>0.15880263825469304</v>
      </c>
      <c r="S48" s="10"/>
      <c r="T48" s="10"/>
      <c r="U48" s="10"/>
      <c r="V48" s="10"/>
      <c r="X48" s="10">
        <f t="shared" ref="X48:AB48" si="143">X30/X29</f>
        <v>0.11773940345368916</v>
      </c>
      <c r="Y48" s="10">
        <f t="shared" si="143"/>
        <v>0.14458154506437768</v>
      </c>
      <c r="Z48" s="10">
        <f t="shared" si="143"/>
        <v>0.21626762139181024</v>
      </c>
      <c r="AA48" s="10">
        <f t="shared" si="143"/>
        <v>0.16106922549691569</v>
      </c>
      <c r="AB48" s="10">
        <f t="shared" si="143"/>
        <v>0.12361466325660699</v>
      </c>
      <c r="AC48" s="10">
        <f>AC30/AC29</f>
        <v>0.16786283891547049</v>
      </c>
      <c r="AD48" s="10">
        <f t="shared" ref="AD48:AN48" si="144">AD30/AD29</f>
        <v>0.17482241515390687</v>
      </c>
      <c r="AE48" s="10">
        <f t="shared" si="144"/>
        <v>0.17</v>
      </c>
      <c r="AF48" s="10">
        <f t="shared" si="144"/>
        <v>0.17</v>
      </c>
      <c r="AG48" s="10">
        <f t="shared" si="144"/>
        <v>0.17</v>
      </c>
      <c r="AH48" s="10">
        <f t="shared" si="144"/>
        <v>0.17</v>
      </c>
      <c r="AI48" s="10">
        <f t="shared" si="144"/>
        <v>0.17</v>
      </c>
      <c r="AJ48" s="10">
        <f t="shared" si="144"/>
        <v>0.17</v>
      </c>
      <c r="AK48" s="10">
        <f t="shared" si="144"/>
        <v>0.17</v>
      </c>
      <c r="AL48" s="10">
        <f t="shared" si="144"/>
        <v>0.16999999999999998</v>
      </c>
      <c r="AM48" s="10">
        <f t="shared" si="144"/>
        <v>0.17</v>
      </c>
      <c r="AN48" s="10">
        <f t="shared" si="144"/>
        <v>0.17</v>
      </c>
      <c r="AP48" s="2" t="s">
        <v>60</v>
      </c>
      <c r="AQ48" s="11">
        <f>AQ46/AQ47-1</f>
        <v>-0.42416292503718012</v>
      </c>
    </row>
    <row r="49" spans="2:43" x14ac:dyDescent="0.3">
      <c r="B49" s="1" t="s">
        <v>50</v>
      </c>
      <c r="K49" s="10">
        <f t="shared" ref="K49:M49" si="145">K31/K18</f>
        <v>9.316095924208033E-2</v>
      </c>
      <c r="L49" s="10">
        <f t="shared" si="145"/>
        <v>9.1994519475435507E-2</v>
      </c>
      <c r="M49" s="10">
        <f t="shared" si="145"/>
        <v>0.10264105642256903</v>
      </c>
      <c r="N49" s="10">
        <f t="shared" ref="N49" si="146">N31/N18</f>
        <v>0.11828560733670222</v>
      </c>
      <c r="O49" s="10">
        <f t="shared" ref="O49:P49" si="147">O31/O18</f>
        <v>5.0802703844528938E-2</v>
      </c>
      <c r="P49" s="10">
        <f t="shared" si="147"/>
        <v>9.1102308955656464E-2</v>
      </c>
      <c r="Q49" s="10">
        <f t="shared" ref="Q49:R49" si="148">Q31/Q18</f>
        <v>0.10553583421279862</v>
      </c>
      <c r="R49" s="10">
        <f t="shared" si="148"/>
        <v>0.14156420765027322</v>
      </c>
      <c r="S49" s="10"/>
      <c r="T49" s="10"/>
      <c r="U49" s="10"/>
      <c r="V49" s="10"/>
      <c r="X49" s="10">
        <f t="shared" ref="X49:AB49" si="149">X31/X18</f>
        <v>6.6428297036139589E-2</v>
      </c>
      <c r="Y49" s="10">
        <f t="shared" si="149"/>
        <v>8.6659963585967004E-2</v>
      </c>
      <c r="Z49" s="10">
        <f t="shared" si="149"/>
        <v>0.19640003364454539</v>
      </c>
      <c r="AA49" s="10">
        <f t="shared" si="149"/>
        <v>0.13376318233976286</v>
      </c>
      <c r="AB49" s="10">
        <f t="shared" si="149"/>
        <v>5.2328836854161363E-2</v>
      </c>
      <c r="AC49" s="10">
        <f>AC31/AC18</f>
        <v>0.10172300343625862</v>
      </c>
      <c r="AD49" s="10">
        <f t="shared" ref="AD49:AN49" si="150">AD31/AD18</f>
        <v>9.9680602564713727E-2</v>
      </c>
      <c r="AE49" s="10">
        <f t="shared" si="150"/>
        <v>0.10615321912642318</v>
      </c>
      <c r="AF49" s="10">
        <f t="shared" si="150"/>
        <v>0.10677156234669335</v>
      </c>
      <c r="AG49" s="10">
        <f t="shared" si="150"/>
        <v>0.10738384337852952</v>
      </c>
      <c r="AH49" s="10">
        <f t="shared" si="150"/>
        <v>0.10752821205931669</v>
      </c>
      <c r="AI49" s="10">
        <f t="shared" si="150"/>
        <v>0.10767344876546012</v>
      </c>
      <c r="AJ49" s="10">
        <f t="shared" si="150"/>
        <v>0.10781955423664309</v>
      </c>
      <c r="AK49" s="10">
        <f t="shared" si="150"/>
        <v>0.10796652913659371</v>
      </c>
      <c r="AL49" s="10">
        <f t="shared" si="150"/>
        <v>0.10811437405206871</v>
      </c>
      <c r="AM49" s="10">
        <f t="shared" si="150"/>
        <v>0.10826308949184334</v>
      </c>
      <c r="AN49" s="10">
        <f t="shared" si="150"/>
        <v>0.10841267588570619</v>
      </c>
      <c r="AP49" s="1" t="s">
        <v>61</v>
      </c>
      <c r="AQ49" s="7" t="s">
        <v>76</v>
      </c>
    </row>
    <row r="53" spans="2:43" s="12" customFormat="1" x14ac:dyDescent="0.3">
      <c r="B53" s="12" t="s">
        <v>62</v>
      </c>
      <c r="P53" s="12">
        <v>49451</v>
      </c>
      <c r="Q53" s="12">
        <v>49300</v>
      </c>
      <c r="AD53" s="12">
        <v>49300</v>
      </c>
    </row>
    <row r="55" spans="2:43" x14ac:dyDescent="0.3">
      <c r="B55" s="1" t="s">
        <v>63</v>
      </c>
      <c r="P55" s="13">
        <f>Main!$D$9/Model!P53</f>
        <v>2.204013953206204</v>
      </c>
      <c r="Q55" s="13">
        <f>Main!$D$9/Model!Q53</f>
        <v>2.2107645841784991</v>
      </c>
      <c r="AD55" s="13">
        <f>Main!$D$9/Model!AD53</f>
        <v>2.2107645841784991</v>
      </c>
    </row>
    <row r="56" spans="2:43" x14ac:dyDescent="0.3">
      <c r="B56" s="1" t="s">
        <v>64</v>
      </c>
      <c r="P56" s="10">
        <f>P53/Main!$D$9-1</f>
        <v>-0.54628236425396093</v>
      </c>
      <c r="Q56" s="10">
        <f>Q53/Main!$D$9-1</f>
        <v>-0.54766780363835466</v>
      </c>
      <c r="AD56" s="10">
        <f>AD53/Main!$D$9-1</f>
        <v>-0.54766780363835466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2025-04-24T08:13:47Z</dcterms:created>
  <dcterms:modified xsi:type="dcterms:W3CDTF">2026-01-31T12:24:21Z</dcterms:modified>
</cp:coreProperties>
</file>