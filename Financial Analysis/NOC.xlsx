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E37AE6C-AE8D-4E47-B3A7-DDD40BF2ACF3}" xr6:coauthVersionLast="47" xr6:coauthVersionMax="47" xr10:uidLastSave="{00000000-0000-0000-0000-000000000000}"/>
  <bookViews>
    <workbookView xWindow="-108" yWindow="-108" windowWidth="23256" windowHeight="12576" activeTab="1" xr2:uid="{DB7E2C7A-A509-42A2-AA08-E3EE5FAF4B2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4" i="2" l="1"/>
  <c r="Q33" i="2"/>
  <c r="Q32" i="2"/>
  <c r="Q31" i="2"/>
  <c r="M10" i="2"/>
  <c r="Q10" i="2"/>
  <c r="Z23" i="2"/>
  <c r="Z22" i="2"/>
  <c r="Z21" i="2"/>
  <c r="Z52" i="2"/>
  <c r="Z51" i="2"/>
  <c r="R28" i="2"/>
  <c r="R24" i="2"/>
  <c r="Q52" i="2" l="1"/>
  <c r="Q51" i="2"/>
  <c r="P52" i="2"/>
  <c r="P51" i="2"/>
  <c r="N26" i="2"/>
  <c r="N23" i="2"/>
  <c r="N21" i="2"/>
  <c r="N19" i="2"/>
  <c r="R19" i="2" s="1"/>
  <c r="N16" i="2"/>
  <c r="N15" i="2"/>
  <c r="N13" i="2"/>
  <c r="R13" i="2" s="1"/>
  <c r="N12" i="2"/>
  <c r="M40" i="2"/>
  <c r="M39" i="2"/>
  <c r="M24" i="2"/>
  <c r="M17" i="2"/>
  <c r="M14" i="2"/>
  <c r="AJ28" i="2"/>
  <c r="AI28" i="2"/>
  <c r="AH28" i="2"/>
  <c r="AG28" i="2"/>
  <c r="AF28" i="2"/>
  <c r="AE28" i="2"/>
  <c r="AD28" i="2"/>
  <c r="AC28" i="2"/>
  <c r="AB28" i="2"/>
  <c r="AA28" i="2"/>
  <c r="Z28" i="2"/>
  <c r="Q28" i="2"/>
  <c r="Q42" i="2"/>
  <c r="Q40" i="2"/>
  <c r="Q39" i="2"/>
  <c r="Q37" i="2"/>
  <c r="Q36" i="2"/>
  <c r="Q24" i="2"/>
  <c r="Q17" i="2"/>
  <c r="Q14" i="2"/>
  <c r="D7" i="1"/>
  <c r="D6" i="1"/>
  <c r="D4" i="1"/>
  <c r="L40" i="2"/>
  <c r="L39" i="2"/>
  <c r="L24" i="2"/>
  <c r="L17" i="2"/>
  <c r="L14" i="2"/>
  <c r="P28" i="2"/>
  <c r="P42" i="2"/>
  <c r="P40" i="2"/>
  <c r="P39" i="2"/>
  <c r="P37" i="2"/>
  <c r="P36" i="2"/>
  <c r="P24" i="2"/>
  <c r="P17" i="2"/>
  <c r="P14" i="2"/>
  <c r="AM43" i="2"/>
  <c r="AA23" i="2"/>
  <c r="AB23" i="2" s="1"/>
  <c r="AC23" i="2" s="1"/>
  <c r="AD23" i="2" s="1"/>
  <c r="AE23" i="2" s="1"/>
  <c r="AF23" i="2" s="1"/>
  <c r="AG23" i="2" s="1"/>
  <c r="AH23" i="2" s="1"/>
  <c r="AI23" i="2" s="1"/>
  <c r="AJ23" i="2" s="1"/>
  <c r="AA22" i="2"/>
  <c r="AB22" i="2" s="1"/>
  <c r="AC22" i="2" s="1"/>
  <c r="AD22" i="2" s="1"/>
  <c r="AE22" i="2" s="1"/>
  <c r="AF22" i="2" s="1"/>
  <c r="AG22" i="2" s="1"/>
  <c r="AH22" i="2" s="1"/>
  <c r="AI22" i="2" s="1"/>
  <c r="AJ22" i="2" s="1"/>
  <c r="AA21" i="2"/>
  <c r="Z24" i="2"/>
  <c r="K40" i="2"/>
  <c r="K39" i="2"/>
  <c r="O42" i="2"/>
  <c r="O37" i="2"/>
  <c r="O36" i="2"/>
  <c r="O40" i="2"/>
  <c r="O39" i="2"/>
  <c r="X42" i="2"/>
  <c r="W42" i="2"/>
  <c r="V42" i="2"/>
  <c r="U42" i="2"/>
  <c r="X40" i="2"/>
  <c r="W40" i="2"/>
  <c r="V40" i="2"/>
  <c r="U40" i="2"/>
  <c r="T40" i="2"/>
  <c r="X39" i="2"/>
  <c r="W39" i="2"/>
  <c r="V39" i="2"/>
  <c r="U39" i="2"/>
  <c r="T39" i="2"/>
  <c r="X37" i="2"/>
  <c r="W37" i="2"/>
  <c r="V37" i="2"/>
  <c r="U37" i="2"/>
  <c r="X36" i="2"/>
  <c r="W36" i="2"/>
  <c r="V36" i="2"/>
  <c r="U36" i="2"/>
  <c r="Y42" i="2"/>
  <c r="Y40" i="2"/>
  <c r="Y39" i="2"/>
  <c r="Y37" i="2"/>
  <c r="Y36" i="2"/>
  <c r="AA24" i="2" l="1"/>
  <c r="N17" i="2"/>
  <c r="R37" i="2"/>
  <c r="R16" i="2"/>
  <c r="Z16" i="2" s="1"/>
  <c r="Z13" i="2"/>
  <c r="N39" i="2"/>
  <c r="R12" i="2"/>
  <c r="N40" i="2"/>
  <c r="R42" i="2"/>
  <c r="Z19" i="2"/>
  <c r="AB21" i="2"/>
  <c r="AB24" i="2" s="1"/>
  <c r="N14" i="2"/>
  <c r="M18" i="2"/>
  <c r="M20" i="2" s="1"/>
  <c r="Q38" i="2"/>
  <c r="Q18" i="2"/>
  <c r="Q41" i="2" s="1"/>
  <c r="L18" i="2"/>
  <c r="P18" i="2"/>
  <c r="P41" i="2" s="1"/>
  <c r="P38" i="2"/>
  <c r="T22" i="2"/>
  <c r="T24" i="2" s="1"/>
  <c r="T17" i="2"/>
  <c r="T14" i="2"/>
  <c r="U22" i="2"/>
  <c r="U24" i="2" s="1"/>
  <c r="U17" i="2"/>
  <c r="U14" i="2"/>
  <c r="O14" i="2"/>
  <c r="O17" i="2"/>
  <c r="O24" i="2"/>
  <c r="V23" i="2"/>
  <c r="V22" i="2"/>
  <c r="V17" i="2"/>
  <c r="V14" i="2"/>
  <c r="W22" i="2"/>
  <c r="W24" i="2" s="1"/>
  <c r="W17" i="2"/>
  <c r="W14" i="2"/>
  <c r="X22" i="2"/>
  <c r="X24" i="2" s="1"/>
  <c r="X17" i="2"/>
  <c r="X14" i="2"/>
  <c r="Y22" i="2"/>
  <c r="Y17" i="2"/>
  <c r="Y14" i="2"/>
  <c r="K24" i="2"/>
  <c r="K17" i="2"/>
  <c r="K14" i="2"/>
  <c r="N18" i="2" l="1"/>
  <c r="N41" i="2" s="1"/>
  <c r="V38" i="2"/>
  <c r="O18" i="2"/>
  <c r="O41" i="2" s="1"/>
  <c r="W38" i="2"/>
  <c r="Y38" i="2"/>
  <c r="R40" i="2"/>
  <c r="Z12" i="2"/>
  <c r="R15" i="2"/>
  <c r="R36" i="2"/>
  <c r="R14" i="2"/>
  <c r="R38" i="2" s="1"/>
  <c r="O38" i="2"/>
  <c r="P20" i="2"/>
  <c r="P43" i="2" s="1"/>
  <c r="AA13" i="2"/>
  <c r="Z37" i="2"/>
  <c r="Z40" i="2"/>
  <c r="U38" i="2"/>
  <c r="X38" i="2"/>
  <c r="Y24" i="2"/>
  <c r="N22" i="2"/>
  <c r="N24" i="2" s="1"/>
  <c r="AA19" i="2"/>
  <c r="Z42" i="2"/>
  <c r="AC21" i="2"/>
  <c r="AC24" i="2" s="1"/>
  <c r="M41" i="2"/>
  <c r="M43" i="2"/>
  <c r="M25" i="2"/>
  <c r="Q20" i="2"/>
  <c r="Q43" i="2" s="1"/>
  <c r="L20" i="2"/>
  <c r="L41" i="2"/>
  <c r="T18" i="2"/>
  <c r="U18" i="2"/>
  <c r="V24" i="2"/>
  <c r="V18" i="2"/>
  <c r="W18" i="2"/>
  <c r="X18" i="2"/>
  <c r="Y18" i="2"/>
  <c r="K18" i="2"/>
  <c r="D8" i="1"/>
  <c r="AM40" i="2" s="1"/>
  <c r="D5" i="1"/>
  <c r="F3" i="1"/>
  <c r="N20" i="2" l="1"/>
  <c r="N25" i="2" s="1"/>
  <c r="O20" i="2"/>
  <c r="O43" i="2" s="1"/>
  <c r="AD21" i="2"/>
  <c r="AD24" i="2" s="1"/>
  <c r="P25" i="2"/>
  <c r="P27" i="2" s="1"/>
  <c r="T20" i="2"/>
  <c r="T41" i="2"/>
  <c r="K20" i="2"/>
  <c r="K41" i="2"/>
  <c r="Z36" i="2"/>
  <c r="Z14" i="2"/>
  <c r="AA12" i="2"/>
  <c r="AB13" i="2"/>
  <c r="AA16" i="2"/>
  <c r="AA40" i="2" s="1"/>
  <c r="AA37" i="2"/>
  <c r="X20" i="2"/>
  <c r="X41" i="2"/>
  <c r="Z15" i="2"/>
  <c r="Z17" i="2" s="1"/>
  <c r="R17" i="2"/>
  <c r="R18" i="2" s="1"/>
  <c r="AB19" i="2"/>
  <c r="AA42" i="2"/>
  <c r="W20" i="2"/>
  <c r="W41" i="2"/>
  <c r="V20" i="2"/>
  <c r="V43" i="2" s="1"/>
  <c r="V41" i="2"/>
  <c r="U20" i="2"/>
  <c r="U41" i="2"/>
  <c r="O25" i="2"/>
  <c r="R39" i="2"/>
  <c r="M44" i="2"/>
  <c r="M27" i="2"/>
  <c r="Q25" i="2"/>
  <c r="Q27" i="2" s="1"/>
  <c r="L43" i="2"/>
  <c r="L25" i="2"/>
  <c r="D9" i="1"/>
  <c r="Y20" i="2"/>
  <c r="Y41" i="2"/>
  <c r="N43" i="2" l="1"/>
  <c r="AE21" i="2"/>
  <c r="AE24" i="2" s="1"/>
  <c r="P44" i="2"/>
  <c r="V25" i="2"/>
  <c r="V27" i="2" s="1"/>
  <c r="O27" i="2"/>
  <c r="O44" i="2"/>
  <c r="AC19" i="2"/>
  <c r="AB42" i="2"/>
  <c r="AC13" i="2"/>
  <c r="AB16" i="2"/>
  <c r="AB40" i="2" s="1"/>
  <c r="AB37" i="2"/>
  <c r="T25" i="2"/>
  <c r="T43" i="2"/>
  <c r="R20" i="2"/>
  <c r="R41" i="2"/>
  <c r="Z39" i="2"/>
  <c r="K25" i="2"/>
  <c r="K43" i="2"/>
  <c r="U25" i="2"/>
  <c r="U43" i="2"/>
  <c r="AB12" i="2"/>
  <c r="AA15" i="2"/>
  <c r="AA14" i="2"/>
  <c r="AA36" i="2"/>
  <c r="Z38" i="2"/>
  <c r="Z18" i="2"/>
  <c r="W25" i="2"/>
  <c r="W43" i="2"/>
  <c r="X25" i="2"/>
  <c r="X43" i="2"/>
  <c r="N27" i="2"/>
  <c r="N44" i="2"/>
  <c r="M45" i="2"/>
  <c r="M29" i="2"/>
  <c r="Q44" i="2"/>
  <c r="Q29" i="2"/>
  <c r="Q45" i="2"/>
  <c r="L44" i="2"/>
  <c r="L27" i="2"/>
  <c r="P29" i="2"/>
  <c r="P45" i="2"/>
  <c r="AF21" i="2"/>
  <c r="Y25" i="2"/>
  <c r="Y43" i="2"/>
  <c r="V44" i="2" l="1"/>
  <c r="W27" i="2"/>
  <c r="W44" i="2"/>
  <c r="U27" i="2"/>
  <c r="U44" i="2"/>
  <c r="K27" i="2"/>
  <c r="K44" i="2"/>
  <c r="Z41" i="2"/>
  <c r="Z20" i="2"/>
  <c r="AD13" i="2"/>
  <c r="AC37" i="2"/>
  <c r="AC16" i="2"/>
  <c r="AC40" i="2" s="1"/>
  <c r="T27" i="2"/>
  <c r="T44" i="2"/>
  <c r="X27" i="2"/>
  <c r="X44" i="2"/>
  <c r="AA38" i="2"/>
  <c r="O29" i="2"/>
  <c r="O45" i="2"/>
  <c r="AA39" i="2"/>
  <c r="AA17" i="2"/>
  <c r="AA18" i="2" s="1"/>
  <c r="R43" i="2"/>
  <c r="R25" i="2"/>
  <c r="AD19" i="2"/>
  <c r="AC42" i="2"/>
  <c r="V29" i="2"/>
  <c r="V45" i="2"/>
  <c r="AB14" i="2"/>
  <c r="AB38" i="2" s="1"/>
  <c r="AC12" i="2"/>
  <c r="AB15" i="2"/>
  <c r="AB17" i="2" s="1"/>
  <c r="AB36" i="2"/>
  <c r="N45" i="2"/>
  <c r="N29" i="2"/>
  <c r="L45" i="2"/>
  <c r="L29" i="2"/>
  <c r="AG21" i="2"/>
  <c r="AF24" i="2"/>
  <c r="Y27" i="2"/>
  <c r="Y44" i="2"/>
  <c r="AB18" i="2" l="1"/>
  <c r="AB41" i="2" s="1"/>
  <c r="AA20" i="2"/>
  <c r="AA41" i="2"/>
  <c r="Z43" i="2"/>
  <c r="Z25" i="2"/>
  <c r="AE19" i="2"/>
  <c r="AD42" i="2"/>
  <c r="K29" i="2"/>
  <c r="K45" i="2"/>
  <c r="AC36" i="2"/>
  <c r="AD12" i="2"/>
  <c r="AC14" i="2"/>
  <c r="AC15" i="2"/>
  <c r="AC17" i="2" s="1"/>
  <c r="T29" i="2"/>
  <c r="T45" i="2"/>
  <c r="R26" i="2"/>
  <c r="U29" i="2"/>
  <c r="U45" i="2"/>
  <c r="AB39" i="2"/>
  <c r="X29" i="2"/>
  <c r="X45" i="2"/>
  <c r="AE13" i="2"/>
  <c r="AD16" i="2"/>
  <c r="AD40" i="2" s="1"/>
  <c r="AD37" i="2"/>
  <c r="W29" i="2"/>
  <c r="W45" i="2"/>
  <c r="AH21" i="2"/>
  <c r="AG24" i="2"/>
  <c r="Y29" i="2"/>
  <c r="Y45" i="2"/>
  <c r="AB20" i="2" l="1"/>
  <c r="AB43" i="2" s="1"/>
  <c r="AC39" i="2"/>
  <c r="AF19" i="2"/>
  <c r="AE42" i="2"/>
  <c r="Z26" i="2"/>
  <c r="Z44" i="2" s="1"/>
  <c r="R44" i="2"/>
  <c r="AC38" i="2"/>
  <c r="AC18" i="2"/>
  <c r="AD15" i="2"/>
  <c r="AD17" i="2" s="1"/>
  <c r="AD14" i="2"/>
  <c r="AE12" i="2"/>
  <c r="AD36" i="2"/>
  <c r="AF13" i="2"/>
  <c r="AE37" i="2"/>
  <c r="AE16" i="2"/>
  <c r="AE40" i="2" s="1"/>
  <c r="R27" i="2"/>
  <c r="AA25" i="2"/>
  <c r="AA43" i="2"/>
  <c r="AH24" i="2"/>
  <c r="AI21" i="2"/>
  <c r="AD39" i="2" l="1"/>
  <c r="AB25" i="2"/>
  <c r="AB26" i="2" s="1"/>
  <c r="AB44" i="2" s="1"/>
  <c r="AC20" i="2"/>
  <c r="AC41" i="2"/>
  <c r="AG13" i="2"/>
  <c r="AF16" i="2"/>
  <c r="AF40" i="2" s="1"/>
  <c r="AF37" i="2"/>
  <c r="AD38" i="2"/>
  <c r="AD18" i="2"/>
  <c r="Z27" i="2"/>
  <c r="AF12" i="2"/>
  <c r="AE15" i="2"/>
  <c r="AE17" i="2" s="1"/>
  <c r="AE36" i="2"/>
  <c r="AE14" i="2"/>
  <c r="R29" i="2"/>
  <c r="R45" i="2"/>
  <c r="AA26" i="2"/>
  <c r="AA44" i="2" s="1"/>
  <c r="AG19" i="2"/>
  <c r="AF42" i="2"/>
  <c r="AI24" i="2"/>
  <c r="AJ21" i="2"/>
  <c r="AJ24" i="2" s="1"/>
  <c r="AA27" i="2" l="1"/>
  <c r="AA29" i="2" s="1"/>
  <c r="AE38" i="2"/>
  <c r="AE18" i="2"/>
  <c r="AH19" i="2"/>
  <c r="AG42" i="2"/>
  <c r="AH13" i="2"/>
  <c r="AG37" i="2"/>
  <c r="AG16" i="2"/>
  <c r="AG40" i="2" s="1"/>
  <c r="AE39" i="2"/>
  <c r="Z29" i="2"/>
  <c r="Z45" i="2"/>
  <c r="AD20" i="2"/>
  <c r="AD41" i="2"/>
  <c r="AB27" i="2"/>
  <c r="AF14" i="2"/>
  <c r="AG12" i="2"/>
  <c r="AF36" i="2"/>
  <c r="AF15" i="2"/>
  <c r="AF17" i="2" s="1"/>
  <c r="AC43" i="2"/>
  <c r="AC25" i="2"/>
  <c r="AA45" i="2" l="1"/>
  <c r="AF39" i="2"/>
  <c r="AI13" i="2"/>
  <c r="AH16" i="2"/>
  <c r="AH40" i="2" s="1"/>
  <c r="AH37" i="2"/>
  <c r="AI19" i="2"/>
  <c r="AH42" i="2"/>
  <c r="AB45" i="2"/>
  <c r="AB29" i="2"/>
  <c r="AC26" i="2"/>
  <c r="AC44" i="2" s="1"/>
  <c r="AD43" i="2"/>
  <c r="AD25" i="2"/>
  <c r="AH12" i="2"/>
  <c r="AG15" i="2"/>
  <c r="AG17" i="2" s="1"/>
  <c r="AG36" i="2"/>
  <c r="AG14" i="2"/>
  <c r="AG38" i="2" s="1"/>
  <c r="AE41" i="2"/>
  <c r="AE20" i="2"/>
  <c r="AF38" i="2"/>
  <c r="AF18" i="2"/>
  <c r="AG39" i="2" l="1"/>
  <c r="AG18" i="2"/>
  <c r="AG20" i="2" s="1"/>
  <c r="AC27" i="2"/>
  <c r="AC29" i="2" s="1"/>
  <c r="AF41" i="2"/>
  <c r="AF20" i="2"/>
  <c r="AI12" i="2"/>
  <c r="AH36" i="2"/>
  <c r="AH15" i="2"/>
  <c r="AH17" i="2" s="1"/>
  <c r="AH14" i="2"/>
  <c r="AJ19" i="2"/>
  <c r="AJ42" i="2" s="1"/>
  <c r="AI42" i="2"/>
  <c r="AD26" i="2"/>
  <c r="AD44" i="2" s="1"/>
  <c r="AE43" i="2"/>
  <c r="AE25" i="2"/>
  <c r="AJ13" i="2"/>
  <c r="AI37" i="2"/>
  <c r="AI16" i="2"/>
  <c r="AI40" i="2" s="1"/>
  <c r="AD27" i="2" l="1"/>
  <c r="AD29" i="2" s="1"/>
  <c r="AG41" i="2"/>
  <c r="AC45" i="2"/>
  <c r="AE26" i="2"/>
  <c r="AE44" i="2" s="1"/>
  <c r="AI14" i="2"/>
  <c r="AI15" i="2"/>
  <c r="AI17" i="2" s="1"/>
  <c r="AI36" i="2"/>
  <c r="AJ12" i="2"/>
  <c r="AH39" i="2"/>
  <c r="AF43" i="2"/>
  <c r="AF25" i="2"/>
  <c r="AJ16" i="2"/>
  <c r="AJ40" i="2" s="1"/>
  <c r="AJ37" i="2"/>
  <c r="AH38" i="2"/>
  <c r="AH18" i="2"/>
  <c r="AG43" i="2"/>
  <c r="AG25" i="2"/>
  <c r="AI39" i="2" l="1"/>
  <c r="AD45" i="2"/>
  <c r="AE27" i="2"/>
  <c r="AE45" i="2" s="1"/>
  <c r="AJ14" i="2"/>
  <c r="AJ38" i="2" s="1"/>
  <c r="AJ36" i="2"/>
  <c r="AJ15" i="2"/>
  <c r="AJ17" i="2" s="1"/>
  <c r="AH41" i="2"/>
  <c r="AH20" i="2"/>
  <c r="AI38" i="2"/>
  <c r="AI18" i="2"/>
  <c r="AG26" i="2"/>
  <c r="AG44" i="2" s="1"/>
  <c r="AF26" i="2"/>
  <c r="AF44" i="2" s="1"/>
  <c r="AJ18" i="2" l="1"/>
  <c r="AJ41" i="2" s="1"/>
  <c r="AG27" i="2"/>
  <c r="AG45" i="2" s="1"/>
  <c r="AF27" i="2"/>
  <c r="AF45" i="2" s="1"/>
  <c r="AJ39" i="2"/>
  <c r="AE29" i="2"/>
  <c r="AI41" i="2"/>
  <c r="AI20" i="2"/>
  <c r="AH25" i="2"/>
  <c r="AH43" i="2"/>
  <c r="AJ20" i="2" l="1"/>
  <c r="AJ43" i="2" s="1"/>
  <c r="AG29" i="2"/>
  <c r="AF29" i="2"/>
  <c r="AI25" i="2"/>
  <c r="AI43" i="2"/>
  <c r="AH26" i="2"/>
  <c r="AH44" i="2" s="1"/>
  <c r="AJ25" i="2" l="1"/>
  <c r="AJ26" i="2" s="1"/>
  <c r="AJ44" i="2" s="1"/>
  <c r="AH27" i="2"/>
  <c r="AH45" i="2" s="1"/>
  <c r="AI26" i="2"/>
  <c r="AI44" i="2" s="1"/>
  <c r="AJ27" i="2" l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EN27" i="2" s="1"/>
  <c r="EO27" i="2" s="1"/>
  <c r="AM39" i="2" s="1"/>
  <c r="AM41" i="2" s="1"/>
  <c r="AM42" i="2" s="1"/>
  <c r="AM44" i="2" s="1"/>
  <c r="AH29" i="2"/>
  <c r="AI27" i="2"/>
  <c r="AJ45" i="2"/>
  <c r="AJ29" i="2"/>
  <c r="AI29" i="2" l="1"/>
  <c r="AI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23" authorId="0" shapeId="0" xr:uid="{29339D8B-7A8D-4080-8A2A-42C9CB06659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gain on sale of business</t>
        </r>
      </text>
    </comment>
  </commentList>
</comments>
</file>

<file path=xl/sharedStrings.xml><?xml version="1.0" encoding="utf-8"?>
<sst xmlns="http://schemas.openxmlformats.org/spreadsheetml/2006/main" count="83" uniqueCount="77">
  <si>
    <t>NOC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</si>
  <si>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</si>
  <si>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</si>
  <si>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</si>
  <si>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</si>
  <si>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</si>
  <si>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</si>
  <si>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</si>
  <si>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</si>
  <si>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</si>
  <si>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</si>
  <si>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</si>
  <si>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</si>
  <si>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</si>
  <si>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</si>
  <si>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</si>
  <si>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</si>
  <si>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</si>
  <si>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</si>
  <si>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</si>
  <si>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</si>
  <si>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</si>
  <si>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</si>
  <si>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</si>
  <si>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</si>
  <si>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</si>
  <si>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</si>
  <si>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Product revenue</t>
  </si>
  <si>
    <t>Service revenue</t>
  </si>
  <si>
    <t>Total revenue</t>
  </si>
  <si>
    <t>Product cost</t>
  </si>
  <si>
    <t>Service cost</t>
  </si>
  <si>
    <t>Gross profit</t>
  </si>
  <si>
    <t>SG&amp;A</t>
  </si>
  <si>
    <t>Operating profit</t>
  </si>
  <si>
    <t>Other income</t>
  </si>
  <si>
    <t>Interest expense</t>
  </si>
  <si>
    <t>Pension income</t>
  </si>
  <si>
    <t>Total other expense</t>
  </si>
  <si>
    <t>Pretax profit</t>
  </si>
  <si>
    <t>Taxes</t>
  </si>
  <si>
    <t>Net profit</t>
  </si>
  <si>
    <t>EPS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</si>
  <si>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</si>
  <si>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</si>
  <si>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</si>
  <si>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</si>
  <si>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</si>
  <si>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</si>
  <si>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</si>
  <si>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</si>
  <si>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SG&amp;A y/y</t>
  </si>
  <si>
    <t>Total cost of sales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</si>
  <si>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</si>
  <si>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</si>
  <si>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</si>
  <si>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</si>
  <si>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</si>
  <si>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</si>
  <si>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</si>
  <si>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</si>
  <si>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</si>
  <si>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</si>
  <si>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</si>
  <si>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</si>
  <si>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Aeronautics Systems</t>
  </si>
  <si>
    <t>Defense Systems</t>
  </si>
  <si>
    <t>Mission Systems</t>
  </si>
  <si>
    <t>Space Systems</t>
  </si>
  <si>
    <t>Eliminations</t>
  </si>
  <si>
    <t>Aeronautics Systems y/y</t>
  </si>
  <si>
    <t>Defense Systems y/y</t>
  </si>
  <si>
    <t>Mission Systems y/y</t>
  </si>
  <si>
    <t>Space Systems y/y</t>
  </si>
  <si>
    <t>Backlog</t>
  </si>
  <si>
    <t>8K Q325: Significant third quarter new awards include $4.5 billion for restricted programs (primarily at Space Systems, Mission Systems and Aeronautics Systems), $1.8 billion for Ground-Based Midcourse Defense Weapon System (GWS), $0.5 billion for F-35 (primarily at Aeronautics Systems and Mission Systems), and $0.4 billion for Virginia Class submarines.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</si>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</sst>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15240</xdr:rowOff>
    </xdr:from>
    <xdr:to>
      <xdr:col>25</xdr:col>
      <xdr:colOff>30480</xdr:colOff>
      <xdr:row>53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CE7C90E-99B5-360C-6595-20BB4B058FF9}"/>
            </a:ext>
          </a:extLst>
        </xdr:cNvPr>
        <xdr:cNvCxnSpPr/>
      </xdr:nvCxnSpPr>
      <xdr:spPr>
        <a:xfrm>
          <a:off x="15857220" y="15240"/>
          <a:ext cx="0" cy="7223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22860</xdr:colOff>
      <xdr:row>0</xdr:row>
      <xdr:rowOff>0</xdr:rowOff>
    </xdr:from>
    <xdr:to>
      <xdr:col>17</xdr:col>
      <xdr:colOff>22860</xdr:colOff>
      <xdr:row>50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50F7FF-74D5-8076-DF25-DEF0D7C7C90C}"/>
            </a:ext>
          </a:extLst>
        </xdr:cNvPr>
        <xdr:cNvCxnSpPr/>
      </xdr:nvCxnSpPr>
      <xdr:spPr>
        <a:xfrm>
          <a:off x="10972800" y="0"/>
          <a:ext cx="0" cy="6690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A065-72E7-4F09-88C5-9D8037619B66}">
  <dimension ref="B2:J9"/>
  <sheetViews>
    <sheetView workbookViewId="0">
      <selection activeCell="J6" sqref="J6"/>
    </sheetView>
  </sheetViews>
  <sheetFormatPr defaultRowHeight="14.4" x14ac:dyDescent="0.3"/>
  <cols>
    <col min="1" max="4" width="8.88671875" style="1"/>
    <col min="5" max="7" width="13" style="5" customWidth="1"/>
    <col min="8" max="16384" width="8.88671875" style="1"/>
  </cols>
  <sheetData>
    <row r="2" spans="2:10" x14ac:dyDescent="0.3">
      <c r="E2" s="5" t="s">
        <v>8</v>
      </c>
      <c r="F2" s="5" t="s">
        <v>9</v>
      </c>
      <c r="G2" s="5" t="s">
        <v>10</v>
      </c>
    </row>
    <row r="3" spans="2:10" x14ac:dyDescent="0.3">
      <c r="B3" s="2" t="s">
        <v>0</v>
      </c>
      <c r="C3" s="1" t="s">
        <v>1</v>
      </c>
      <c r="D3" s="3">
        <v>607.99</v>
      </c>
      <c r="E3" s="6">
        <v>45954</v>
      </c>
      <c r="F3" s="6">
        <f ca="1">TODAY()</f>
        <v>45955</v>
      </c>
      <c r="G3" s="6">
        <v>46044</v>
      </c>
    </row>
    <row r="4" spans="2:10" x14ac:dyDescent="0.3">
      <c r="C4" s="1" t="s">
        <v>2</v>
      </c>
      <c r="D4" s="4">
        <f>142.7</f>
        <v>142.69999999999999</v>
      </c>
      <c r="E4" s="5" t="s">
        <v>25</v>
      </c>
      <c r="J4" s="1" t="s">
        <v>75</v>
      </c>
    </row>
    <row r="5" spans="2:10" x14ac:dyDescent="0.3">
      <c r="C5" s="1" t="s">
        <v>3</v>
      </c>
      <c r="D5" s="4">
        <f>D3*D4</f>
        <v>86760.172999999995</v>
      </c>
    </row>
    <row r="6" spans="2:10" x14ac:dyDescent="0.3">
      <c r="C6" s="1" t="s">
        <v>4</v>
      </c>
      <c r="D6" s="4">
        <f>1957</f>
        <v>1957</v>
      </c>
      <c r="E6" s="5" t="s">
        <v>25</v>
      </c>
    </row>
    <row r="7" spans="2:10" x14ac:dyDescent="0.3">
      <c r="C7" s="1" t="s">
        <v>5</v>
      </c>
      <c r="D7" s="4">
        <f>15162</f>
        <v>15162</v>
      </c>
      <c r="E7" s="5" t="s">
        <v>25</v>
      </c>
    </row>
    <row r="8" spans="2:10" x14ac:dyDescent="0.3">
      <c r="C8" s="1" t="s">
        <v>6</v>
      </c>
      <c r="D8" s="4">
        <f>D6-D7</f>
        <v>-13205</v>
      </c>
    </row>
    <row r="9" spans="2:10" x14ac:dyDescent="0.3">
      <c r="C9" s="1" t="s">
        <v>7</v>
      </c>
      <c r="D9" s="4">
        <f>D5-D8</f>
        <v>99965.172999999995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6814-BAC2-4E1E-A717-E93DA1E9DE37}">
  <dimension ref="B2:EO52"/>
  <sheetViews>
    <sheetView tabSelected="1" workbookViewId="0">
      <pane xSplit="2" ySplit="2" topLeftCell="W26" activePane="bottomRight" state="frozen"/>
      <selection pane="topRight" activeCell="C1" sqref="C1"/>
      <selection pane="bottomLeft" activeCell="A3" sqref="A3"/>
      <selection pane="bottomRight" activeCell="AM45" sqref="AM45"/>
    </sheetView>
  </sheetViews>
  <sheetFormatPr defaultRowHeight="14.4" x14ac:dyDescent="0.3"/>
  <cols>
    <col min="1" max="1" width="8.88671875" style="1"/>
    <col min="2" max="2" width="20.88671875" style="1" bestFit="1" customWidth="1"/>
    <col min="3" max="37" width="8.88671875" style="1"/>
    <col min="38" max="38" width="11.88671875" style="1" bestFit="1" customWidth="1"/>
    <col min="39" max="39" width="16.44140625" style="1" bestFit="1" customWidth="1"/>
    <col min="40" max="16384" width="8.88671875" style="1"/>
  </cols>
  <sheetData>
    <row r="2" spans="2:36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11</v>
      </c>
      <c r="P2" s="7" t="s">
        <v>24</v>
      </c>
      <c r="Q2" s="7" t="s">
        <v>25</v>
      </c>
      <c r="R2" s="7" t="s">
        <v>26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74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15">
        <v>91400</v>
      </c>
      <c r="R3" s="15"/>
      <c r="S3" s="4"/>
      <c r="T3" s="4"/>
      <c r="U3" s="4"/>
      <c r="V3" s="4"/>
      <c r="W3" s="4"/>
      <c r="X3" s="4"/>
      <c r="Y3" s="4"/>
      <c r="Z3" s="15">
        <v>91400</v>
      </c>
    </row>
    <row r="4" spans="2:36" x14ac:dyDescent="0.3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2:36" x14ac:dyDescent="0.3">
      <c r="B5" s="1" t="s">
        <v>65</v>
      </c>
      <c r="C5" s="7"/>
      <c r="D5" s="7"/>
      <c r="E5" s="7"/>
      <c r="F5" s="7"/>
      <c r="G5" s="7"/>
      <c r="H5" s="7"/>
      <c r="I5" s="7"/>
      <c r="J5" s="7"/>
      <c r="K5" s="7"/>
      <c r="L5" s="7"/>
      <c r="M5" s="4">
        <v>2961</v>
      </c>
      <c r="N5" s="7"/>
      <c r="O5" s="7"/>
      <c r="Q5" s="4">
        <v>3142</v>
      </c>
      <c r="R5" s="7"/>
    </row>
    <row r="6" spans="2:36" x14ac:dyDescent="0.3">
      <c r="B6" s="1" t="s">
        <v>66</v>
      </c>
      <c r="C6" s="7"/>
      <c r="D6" s="7"/>
      <c r="E6" s="7"/>
      <c r="F6" s="7"/>
      <c r="G6" s="7"/>
      <c r="H6" s="7"/>
      <c r="I6" s="7"/>
      <c r="J6" s="7"/>
      <c r="K6" s="7"/>
      <c r="L6" s="7"/>
      <c r="M6" s="4">
        <v>1800</v>
      </c>
      <c r="N6" s="7"/>
      <c r="O6" s="7"/>
      <c r="Q6" s="4">
        <v>2059</v>
      </c>
      <c r="R6" s="7"/>
    </row>
    <row r="7" spans="2:36" x14ac:dyDescent="0.3">
      <c r="B7" s="1" t="s">
        <v>67</v>
      </c>
      <c r="C7" s="7"/>
      <c r="D7" s="7"/>
      <c r="E7" s="7"/>
      <c r="F7" s="7"/>
      <c r="G7" s="7"/>
      <c r="H7" s="7"/>
      <c r="I7" s="7"/>
      <c r="J7" s="7"/>
      <c r="K7" s="7"/>
      <c r="L7" s="7"/>
      <c r="M7" s="4">
        <v>2823</v>
      </c>
      <c r="N7" s="7"/>
      <c r="O7" s="7"/>
      <c r="Q7" s="4">
        <v>3093</v>
      </c>
      <c r="R7" s="7"/>
    </row>
    <row r="8" spans="2:36" x14ac:dyDescent="0.3">
      <c r="B8" s="1" t="s">
        <v>68</v>
      </c>
      <c r="C8" s="7"/>
      <c r="D8" s="7"/>
      <c r="E8" s="7"/>
      <c r="F8" s="7"/>
      <c r="G8" s="7"/>
      <c r="H8" s="7"/>
      <c r="I8" s="7"/>
      <c r="J8" s="7"/>
      <c r="K8" s="7"/>
      <c r="L8" s="7"/>
      <c r="M8" s="4">
        <v>2870</v>
      </c>
      <c r="N8" s="7"/>
      <c r="O8" s="7"/>
      <c r="Q8" s="4">
        <v>2698</v>
      </c>
      <c r="R8" s="7"/>
    </row>
    <row r="9" spans="2:36" x14ac:dyDescent="0.3">
      <c r="B9" s="1" t="s">
        <v>69</v>
      </c>
      <c r="C9" s="7"/>
      <c r="D9" s="7"/>
      <c r="E9" s="7"/>
      <c r="F9" s="7"/>
      <c r="G9" s="7"/>
      <c r="H9" s="7"/>
      <c r="I9" s="7"/>
      <c r="J9" s="7"/>
      <c r="K9" s="7"/>
      <c r="L9" s="7"/>
      <c r="M9" s="4">
        <v>-458</v>
      </c>
      <c r="N9" s="7"/>
      <c r="O9" s="7"/>
      <c r="Q9" s="4">
        <v>-569</v>
      </c>
      <c r="R9" s="7"/>
    </row>
    <row r="10" spans="2:36" s="2" customFormat="1" x14ac:dyDescent="0.3">
      <c r="B10" s="2" t="s">
        <v>29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9">
        <f>SUM(M5:M9)</f>
        <v>9996</v>
      </c>
      <c r="N10" s="14"/>
      <c r="O10" s="14"/>
      <c r="Q10" s="9">
        <f>SUM(Q5:Q9)</f>
        <v>10423</v>
      </c>
      <c r="R10" s="14"/>
    </row>
    <row r="11" spans="2:36" x14ac:dyDescent="0.3"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6" x14ac:dyDescent="0.3">
      <c r="B12" s="1" t="s">
        <v>27</v>
      </c>
      <c r="K12" s="4">
        <v>8102</v>
      </c>
      <c r="L12" s="4">
        <v>8076</v>
      </c>
      <c r="M12" s="4">
        <v>7939</v>
      </c>
      <c r="N12" s="4">
        <f>Y12-M12-L12-K12</f>
        <v>8609</v>
      </c>
      <c r="O12" s="4">
        <v>7521</v>
      </c>
      <c r="P12" s="4">
        <v>8258</v>
      </c>
      <c r="Q12" s="4">
        <v>8369</v>
      </c>
      <c r="R12" s="4">
        <f>N12*1.03</f>
        <v>8867.27</v>
      </c>
      <c r="T12" s="4">
        <v>23852</v>
      </c>
      <c r="U12" s="4">
        <v>27015</v>
      </c>
      <c r="V12" s="4">
        <v>27868</v>
      </c>
      <c r="W12" s="4">
        <v>28522</v>
      </c>
      <c r="X12" s="4">
        <v>30897</v>
      </c>
      <c r="Y12" s="4">
        <v>32726</v>
      </c>
      <c r="Z12" s="4">
        <f>SUM(O12:R12)</f>
        <v>33015.270000000004</v>
      </c>
      <c r="AA12" s="4">
        <f>Z12*1.03</f>
        <v>34005.728100000008</v>
      </c>
      <c r="AB12" s="4">
        <f>AA12*1.02</f>
        <v>34685.84266200001</v>
      </c>
      <c r="AC12" s="4">
        <f>AB12*1.02</f>
        <v>35379.559515240013</v>
      </c>
      <c r="AD12" s="4">
        <f>AC12*1.01</f>
        <v>35733.355110392411</v>
      </c>
      <c r="AE12" s="4">
        <f t="shared" ref="AE12:AJ12" si="0">AD12*1.01</f>
        <v>36090.688661496337</v>
      </c>
      <c r="AF12" s="4">
        <f t="shared" si="0"/>
        <v>36451.595548111298</v>
      </c>
      <c r="AG12" s="4">
        <f t="shared" si="0"/>
        <v>36816.111503592409</v>
      </c>
      <c r="AH12" s="4">
        <f t="shared" si="0"/>
        <v>37184.272618628333</v>
      </c>
      <c r="AI12" s="4">
        <f t="shared" si="0"/>
        <v>37556.115344814614</v>
      </c>
      <c r="AJ12" s="4">
        <f t="shared" si="0"/>
        <v>37931.676498262757</v>
      </c>
    </row>
    <row r="13" spans="2:36" x14ac:dyDescent="0.3">
      <c r="B13" s="1" t="s">
        <v>28</v>
      </c>
      <c r="K13" s="4">
        <v>2031</v>
      </c>
      <c r="L13" s="4">
        <v>2142</v>
      </c>
      <c r="M13" s="4">
        <v>2057</v>
      </c>
      <c r="N13" s="4">
        <f>Y13-M13-L13-K13</f>
        <v>2077</v>
      </c>
      <c r="O13" s="4">
        <v>1947</v>
      </c>
      <c r="P13" s="4">
        <v>2093</v>
      </c>
      <c r="Q13" s="4">
        <v>2054</v>
      </c>
      <c r="R13" s="4">
        <f>N13*1.02</f>
        <v>2118.54</v>
      </c>
      <c r="T13" s="4">
        <v>9989</v>
      </c>
      <c r="U13" s="4">
        <v>9784</v>
      </c>
      <c r="V13" s="4">
        <v>7799</v>
      </c>
      <c r="W13" s="4">
        <v>8080</v>
      </c>
      <c r="X13" s="4">
        <v>8393</v>
      </c>
      <c r="Y13" s="4">
        <v>8307</v>
      </c>
      <c r="Z13" s="4">
        <f>SUM(O13:R13)</f>
        <v>8212.5400000000009</v>
      </c>
      <c r="AA13" s="4">
        <f t="shared" ref="AA13:AJ13" si="1">Z13*1.02</f>
        <v>8376.7908000000007</v>
      </c>
      <c r="AB13" s="4">
        <f t="shared" si="1"/>
        <v>8544.3266160000003</v>
      </c>
      <c r="AC13" s="4">
        <f t="shared" si="1"/>
        <v>8715.213148320001</v>
      </c>
      <c r="AD13" s="4">
        <f t="shared" si="1"/>
        <v>8889.5174112864006</v>
      </c>
      <c r="AE13" s="4">
        <f t="shared" si="1"/>
        <v>9067.3077595121285</v>
      </c>
      <c r="AF13" s="4">
        <f t="shared" si="1"/>
        <v>9248.6539147023705</v>
      </c>
      <c r="AG13" s="4">
        <f t="shared" si="1"/>
        <v>9433.6269929964183</v>
      </c>
      <c r="AH13" s="4">
        <f t="shared" si="1"/>
        <v>9622.2995328563466</v>
      </c>
      <c r="AI13" s="4">
        <f t="shared" si="1"/>
        <v>9814.745523513473</v>
      </c>
      <c r="AJ13" s="4">
        <f t="shared" si="1"/>
        <v>10011.040433983742</v>
      </c>
    </row>
    <row r="14" spans="2:36" s="2" customFormat="1" x14ac:dyDescent="0.3">
      <c r="B14" s="2" t="s">
        <v>29</v>
      </c>
      <c r="K14" s="9">
        <f t="shared" ref="K14:R14" si="2">K12+K13</f>
        <v>10133</v>
      </c>
      <c r="L14" s="9">
        <f t="shared" si="2"/>
        <v>10218</v>
      </c>
      <c r="M14" s="9">
        <f t="shared" si="2"/>
        <v>9996</v>
      </c>
      <c r="N14" s="9">
        <f t="shared" si="2"/>
        <v>10686</v>
      </c>
      <c r="O14" s="9">
        <f t="shared" si="2"/>
        <v>9468</v>
      </c>
      <c r="P14" s="9">
        <f t="shared" si="2"/>
        <v>10351</v>
      </c>
      <c r="Q14" s="9">
        <f t="shared" si="2"/>
        <v>10423</v>
      </c>
      <c r="R14" s="9">
        <f t="shared" si="2"/>
        <v>10985.810000000001</v>
      </c>
      <c r="T14" s="9">
        <f t="shared" ref="T14:Y14" si="3">T12+T13</f>
        <v>33841</v>
      </c>
      <c r="U14" s="9">
        <f t="shared" si="3"/>
        <v>36799</v>
      </c>
      <c r="V14" s="9">
        <f t="shared" si="3"/>
        <v>35667</v>
      </c>
      <c r="W14" s="9">
        <f t="shared" si="3"/>
        <v>36602</v>
      </c>
      <c r="X14" s="9">
        <f t="shared" si="3"/>
        <v>39290</v>
      </c>
      <c r="Y14" s="9">
        <f t="shared" si="3"/>
        <v>41033</v>
      </c>
      <c r="Z14" s="9">
        <f t="shared" ref="Z14" si="4">Z12+Z13</f>
        <v>41227.810000000005</v>
      </c>
      <c r="AA14" s="9">
        <f t="shared" ref="AA14" si="5">AA12+AA13</f>
        <v>42382.51890000001</v>
      </c>
      <c r="AB14" s="9">
        <f t="shared" ref="AB14" si="6">AB12+AB13</f>
        <v>43230.169278000008</v>
      </c>
      <c r="AC14" s="9">
        <f t="shared" ref="AC14" si="7">AC12+AC13</f>
        <v>44094.772663560012</v>
      </c>
      <c r="AD14" s="9">
        <f t="shared" ref="AD14" si="8">AD12+AD13</f>
        <v>44622.872521678815</v>
      </c>
      <c r="AE14" s="9">
        <f t="shared" ref="AE14" si="9">AE12+AE13</f>
        <v>45157.996421008465</v>
      </c>
      <c r="AF14" s="9">
        <f t="shared" ref="AF14" si="10">AF12+AF13</f>
        <v>45700.24946281367</v>
      </c>
      <c r="AG14" s="9">
        <f t="shared" ref="AG14" si="11">AG12+AG13</f>
        <v>46249.738496588827</v>
      </c>
      <c r="AH14" s="9">
        <f t="shared" ref="AH14" si="12">AH12+AH13</f>
        <v>46806.572151484681</v>
      </c>
      <c r="AI14" s="9">
        <f t="shared" ref="AI14" si="13">AI12+AI13</f>
        <v>47370.860868328091</v>
      </c>
      <c r="AJ14" s="9">
        <f t="shared" ref="AJ14" si="14">AJ12+AJ13</f>
        <v>47942.716932246498</v>
      </c>
    </row>
    <row r="15" spans="2:36" x14ac:dyDescent="0.3">
      <c r="B15" s="1" t="s">
        <v>30</v>
      </c>
      <c r="K15" s="4">
        <v>6411</v>
      </c>
      <c r="L15" s="4">
        <v>6388</v>
      </c>
      <c r="M15" s="4">
        <v>6280</v>
      </c>
      <c r="N15" s="4">
        <f t="shared" ref="N15:N16" si="15">Y15-M15-L15-K15</f>
        <v>7109</v>
      </c>
      <c r="O15" s="4">
        <v>6366</v>
      </c>
      <c r="P15" s="4">
        <v>6526</v>
      </c>
      <c r="Q15" s="4">
        <v>6631</v>
      </c>
      <c r="R15" s="4">
        <f>R12*0.79</f>
        <v>7005.1433000000006</v>
      </c>
      <c r="T15" s="4">
        <v>18675</v>
      </c>
      <c r="U15" s="4">
        <v>21559</v>
      </c>
      <c r="V15" s="4">
        <v>22309</v>
      </c>
      <c r="W15" s="4">
        <v>22761</v>
      </c>
      <c r="X15" s="4">
        <v>26226</v>
      </c>
      <c r="Y15" s="4">
        <v>26188</v>
      </c>
      <c r="Z15" s="4">
        <f t="shared" ref="Z15:Z16" si="16">SUM(O15:R15)</f>
        <v>26528.1433</v>
      </c>
      <c r="AA15" s="4">
        <f t="shared" ref="AA15:AJ15" si="17">AA12*0.8</f>
        <v>27204.582480000008</v>
      </c>
      <c r="AB15" s="4">
        <f t="shared" si="17"/>
        <v>27748.674129600011</v>
      </c>
      <c r="AC15" s="4">
        <f t="shared" si="17"/>
        <v>28303.647612192013</v>
      </c>
      <c r="AD15" s="4">
        <f t="shared" si="17"/>
        <v>28586.68408831393</v>
      </c>
      <c r="AE15" s="4">
        <f t="shared" si="17"/>
        <v>28872.55092919707</v>
      </c>
      <c r="AF15" s="4">
        <f t="shared" si="17"/>
        <v>29161.27643848904</v>
      </c>
      <c r="AG15" s="4">
        <f t="shared" si="17"/>
        <v>29452.889202873928</v>
      </c>
      <c r="AH15" s="4">
        <f t="shared" si="17"/>
        <v>29747.418094902667</v>
      </c>
      <c r="AI15" s="4">
        <f t="shared" si="17"/>
        <v>30044.892275851693</v>
      </c>
      <c r="AJ15" s="4">
        <f t="shared" si="17"/>
        <v>30345.341198610207</v>
      </c>
    </row>
    <row r="16" spans="2:36" x14ac:dyDescent="0.3">
      <c r="B16" s="1" t="s">
        <v>31</v>
      </c>
      <c r="K16" s="4">
        <v>1589</v>
      </c>
      <c r="L16" s="4">
        <v>1639</v>
      </c>
      <c r="M16" s="4">
        <v>1610</v>
      </c>
      <c r="N16" s="4">
        <f t="shared" si="15"/>
        <v>1645</v>
      </c>
      <c r="O16" s="4">
        <v>1522</v>
      </c>
      <c r="P16" s="4">
        <v>1615</v>
      </c>
      <c r="Q16" s="4">
        <v>1565</v>
      </c>
      <c r="R16" s="4">
        <f>R13*0.76</f>
        <v>1610.0904</v>
      </c>
      <c r="T16" s="4">
        <v>7907</v>
      </c>
      <c r="U16" s="4">
        <v>7762</v>
      </c>
      <c r="V16" s="4">
        <v>6090</v>
      </c>
      <c r="W16" s="4">
        <v>6367</v>
      </c>
      <c r="X16" s="4">
        <v>6513</v>
      </c>
      <c r="Y16" s="4">
        <v>6483</v>
      </c>
      <c r="Z16" s="4">
        <f t="shared" si="16"/>
        <v>6312.0904</v>
      </c>
      <c r="AA16" s="4">
        <f t="shared" ref="AA16:AJ16" si="18">AA13*0.78</f>
        <v>6533.8968240000004</v>
      </c>
      <c r="AB16" s="4">
        <f t="shared" si="18"/>
        <v>6664.5747604800008</v>
      </c>
      <c r="AC16" s="4">
        <f t="shared" si="18"/>
        <v>6797.8662556896006</v>
      </c>
      <c r="AD16" s="4">
        <f t="shared" si="18"/>
        <v>6933.8235808033924</v>
      </c>
      <c r="AE16" s="4">
        <f t="shared" si="18"/>
        <v>7072.5000524194602</v>
      </c>
      <c r="AF16" s="4">
        <f t="shared" si="18"/>
        <v>7213.9500534678491</v>
      </c>
      <c r="AG16" s="4">
        <f t="shared" si="18"/>
        <v>7358.2290545372061</v>
      </c>
      <c r="AH16" s="4">
        <f t="shared" si="18"/>
        <v>7505.393635627951</v>
      </c>
      <c r="AI16" s="4">
        <f t="shared" si="18"/>
        <v>7655.5015083405096</v>
      </c>
      <c r="AJ16" s="4">
        <f t="shared" si="18"/>
        <v>7808.611538507319</v>
      </c>
    </row>
    <row r="17" spans="2:145" x14ac:dyDescent="0.3">
      <c r="B17" s="1" t="s">
        <v>52</v>
      </c>
      <c r="K17" s="4">
        <f t="shared" ref="K17:R17" si="19">K15+K16</f>
        <v>8000</v>
      </c>
      <c r="L17" s="4">
        <f t="shared" si="19"/>
        <v>8027</v>
      </c>
      <c r="M17" s="4">
        <f t="shared" si="19"/>
        <v>7890</v>
      </c>
      <c r="N17" s="4">
        <f t="shared" si="19"/>
        <v>8754</v>
      </c>
      <c r="O17" s="4">
        <f t="shared" si="19"/>
        <v>7888</v>
      </c>
      <c r="P17" s="4">
        <f t="shared" si="19"/>
        <v>8141</v>
      </c>
      <c r="Q17" s="4">
        <f t="shared" si="19"/>
        <v>8196</v>
      </c>
      <c r="R17" s="4">
        <f t="shared" si="19"/>
        <v>8615.2337000000007</v>
      </c>
      <c r="T17" s="4">
        <f t="shared" ref="T17:Z17" si="20">T15+T16</f>
        <v>26582</v>
      </c>
      <c r="U17" s="4">
        <f t="shared" si="20"/>
        <v>29321</v>
      </c>
      <c r="V17" s="4">
        <f t="shared" si="20"/>
        <v>28399</v>
      </c>
      <c r="W17" s="4">
        <f t="shared" si="20"/>
        <v>29128</v>
      </c>
      <c r="X17" s="4">
        <f t="shared" si="20"/>
        <v>32739</v>
      </c>
      <c r="Y17" s="4">
        <f t="shared" si="20"/>
        <v>32671</v>
      </c>
      <c r="Z17" s="4">
        <f t="shared" si="20"/>
        <v>32840.233699999997</v>
      </c>
      <c r="AA17" s="4">
        <f t="shared" ref="AA17" si="21">AA15+AA16</f>
        <v>33738.479304000008</v>
      </c>
      <c r="AB17" s="4">
        <f t="shared" ref="AB17" si="22">AB15+AB16</f>
        <v>34413.248890080009</v>
      </c>
      <c r="AC17" s="4">
        <f t="shared" ref="AC17" si="23">AC15+AC16</f>
        <v>35101.513867881615</v>
      </c>
      <c r="AD17" s="4">
        <f t="shared" ref="AD17" si="24">AD15+AD16</f>
        <v>35520.507669117324</v>
      </c>
      <c r="AE17" s="4">
        <f t="shared" ref="AE17" si="25">AE15+AE16</f>
        <v>35945.050981616529</v>
      </c>
      <c r="AF17" s="4">
        <f t="shared" ref="AF17" si="26">AF15+AF16</f>
        <v>36375.226491956892</v>
      </c>
      <c r="AG17" s="4">
        <f t="shared" ref="AG17" si="27">AG15+AG16</f>
        <v>36811.118257411137</v>
      </c>
      <c r="AH17" s="4">
        <f t="shared" ref="AH17" si="28">AH15+AH16</f>
        <v>37252.811730530615</v>
      </c>
      <c r="AI17" s="4">
        <f t="shared" ref="AI17" si="29">AI15+AI16</f>
        <v>37700.393784192202</v>
      </c>
      <c r="AJ17" s="4">
        <f t="shared" ref="AJ17" si="30">AJ15+AJ16</f>
        <v>38153.952737117528</v>
      </c>
    </row>
    <row r="18" spans="2:145" s="2" customFormat="1" x14ac:dyDescent="0.3">
      <c r="B18" s="2" t="s">
        <v>32</v>
      </c>
      <c r="K18" s="9">
        <f t="shared" ref="K18:R18" si="31">K14-K17</f>
        <v>2133</v>
      </c>
      <c r="L18" s="9">
        <f t="shared" si="31"/>
        <v>2191</v>
      </c>
      <c r="M18" s="9">
        <f t="shared" si="31"/>
        <v>2106</v>
      </c>
      <c r="N18" s="9">
        <f t="shared" si="31"/>
        <v>1932</v>
      </c>
      <c r="O18" s="9">
        <f t="shared" si="31"/>
        <v>1580</v>
      </c>
      <c r="P18" s="9">
        <f t="shared" si="31"/>
        <v>2210</v>
      </c>
      <c r="Q18" s="9">
        <f t="shared" si="31"/>
        <v>2227</v>
      </c>
      <c r="R18" s="9">
        <f t="shared" si="31"/>
        <v>2370.5763000000006</v>
      </c>
      <c r="T18" s="9">
        <f t="shared" ref="T18:Z18" si="32">T14-T17</f>
        <v>7259</v>
      </c>
      <c r="U18" s="9">
        <f t="shared" si="32"/>
        <v>7478</v>
      </c>
      <c r="V18" s="9">
        <f t="shared" si="32"/>
        <v>7268</v>
      </c>
      <c r="W18" s="9">
        <f t="shared" si="32"/>
        <v>7474</v>
      </c>
      <c r="X18" s="9">
        <f t="shared" si="32"/>
        <v>6551</v>
      </c>
      <c r="Y18" s="9">
        <f t="shared" si="32"/>
        <v>8362</v>
      </c>
      <c r="Z18" s="9">
        <f t="shared" si="32"/>
        <v>8387.5763000000079</v>
      </c>
      <c r="AA18" s="9">
        <f t="shared" ref="AA18" si="33">AA14-AA17</f>
        <v>8644.0395960000023</v>
      </c>
      <c r="AB18" s="9">
        <f t="shared" ref="AB18" si="34">AB14-AB17</f>
        <v>8816.9203879199995</v>
      </c>
      <c r="AC18" s="9">
        <f t="shared" ref="AC18" si="35">AC14-AC17</f>
        <v>8993.2587956783973</v>
      </c>
      <c r="AD18" s="9">
        <f t="shared" ref="AD18" si="36">AD14-AD17</f>
        <v>9102.3648525614917</v>
      </c>
      <c r="AE18" s="9">
        <f t="shared" ref="AE18" si="37">AE14-AE17</f>
        <v>9212.9454393919368</v>
      </c>
      <c r="AF18" s="9">
        <f t="shared" ref="AF18" si="38">AF14-AF17</f>
        <v>9325.0229708567786</v>
      </c>
      <c r="AG18" s="9">
        <f t="shared" ref="AG18" si="39">AG14-AG17</f>
        <v>9438.6202391776897</v>
      </c>
      <c r="AH18" s="9">
        <f t="shared" ref="AH18" si="40">AH14-AH17</f>
        <v>9553.7604209540659</v>
      </c>
      <c r="AI18" s="9">
        <f t="shared" ref="AI18" si="41">AI14-AI17</f>
        <v>9670.4670841358893</v>
      </c>
      <c r="AJ18" s="9">
        <f t="shared" ref="AJ18" si="42">AJ14-AJ17</f>
        <v>9788.7641951289697</v>
      </c>
    </row>
    <row r="19" spans="2:145" x14ac:dyDescent="0.3">
      <c r="B19" s="1" t="s">
        <v>33</v>
      </c>
      <c r="K19" s="4">
        <v>1062</v>
      </c>
      <c r="L19" s="4">
        <v>1101</v>
      </c>
      <c r="M19" s="4">
        <v>986</v>
      </c>
      <c r="N19" s="4">
        <f>Y19-M19-L19-K19</f>
        <v>843</v>
      </c>
      <c r="O19" s="4">
        <v>1007</v>
      </c>
      <c r="P19" s="4">
        <v>1016</v>
      </c>
      <c r="Q19" s="4">
        <v>985</v>
      </c>
      <c r="R19" s="4">
        <f>N19*1.05</f>
        <v>885.15000000000009</v>
      </c>
      <c r="T19" s="4">
        <v>3290</v>
      </c>
      <c r="U19" s="4">
        <v>3413</v>
      </c>
      <c r="V19" s="4">
        <v>3597</v>
      </c>
      <c r="W19" s="4">
        <v>3873</v>
      </c>
      <c r="X19" s="4">
        <v>4014</v>
      </c>
      <c r="Y19" s="4">
        <v>3992</v>
      </c>
      <c r="Z19" s="4">
        <f>SUM(O19:R19)</f>
        <v>3893.15</v>
      </c>
      <c r="AA19" s="4">
        <f t="shared" ref="AA19:AJ19" si="43">Z19*1.01</f>
        <v>3932.0815000000002</v>
      </c>
      <c r="AB19" s="4">
        <f t="shared" si="43"/>
        <v>3971.4023150000003</v>
      </c>
      <c r="AC19" s="4">
        <f t="shared" si="43"/>
        <v>4011.1163381500005</v>
      </c>
      <c r="AD19" s="4">
        <f t="shared" si="43"/>
        <v>4051.2275015315004</v>
      </c>
      <c r="AE19" s="4">
        <f t="shared" si="43"/>
        <v>4091.7397765468154</v>
      </c>
      <c r="AF19" s="4">
        <f t="shared" si="43"/>
        <v>4132.6571743122831</v>
      </c>
      <c r="AG19" s="4">
        <f t="shared" si="43"/>
        <v>4173.9837460554063</v>
      </c>
      <c r="AH19" s="4">
        <f t="shared" si="43"/>
        <v>4215.7235835159609</v>
      </c>
      <c r="AI19" s="4">
        <f t="shared" si="43"/>
        <v>4257.8808193511204</v>
      </c>
      <c r="AJ19" s="4">
        <f t="shared" si="43"/>
        <v>4300.459627544632</v>
      </c>
    </row>
    <row r="20" spans="2:145" s="2" customFormat="1" x14ac:dyDescent="0.3">
      <c r="B20" s="2" t="s">
        <v>34</v>
      </c>
      <c r="K20" s="9">
        <f t="shared" ref="K20:R20" si="44">K18-K19</f>
        <v>1071</v>
      </c>
      <c r="L20" s="9">
        <f t="shared" si="44"/>
        <v>1090</v>
      </c>
      <c r="M20" s="9">
        <f t="shared" si="44"/>
        <v>1120</v>
      </c>
      <c r="N20" s="9">
        <f t="shared" si="44"/>
        <v>1089</v>
      </c>
      <c r="O20" s="9">
        <f t="shared" si="44"/>
        <v>573</v>
      </c>
      <c r="P20" s="9">
        <f t="shared" si="44"/>
        <v>1194</v>
      </c>
      <c r="Q20" s="9">
        <f t="shared" si="44"/>
        <v>1242</v>
      </c>
      <c r="R20" s="9">
        <f t="shared" si="44"/>
        <v>1485.4263000000005</v>
      </c>
      <c r="T20" s="9">
        <f t="shared" ref="T20:Z20" si="45">T18-T19</f>
        <v>3969</v>
      </c>
      <c r="U20" s="9">
        <f t="shared" si="45"/>
        <v>4065</v>
      </c>
      <c r="V20" s="9">
        <f t="shared" si="45"/>
        <v>3671</v>
      </c>
      <c r="W20" s="9">
        <f t="shared" si="45"/>
        <v>3601</v>
      </c>
      <c r="X20" s="9">
        <f t="shared" si="45"/>
        <v>2537</v>
      </c>
      <c r="Y20" s="9">
        <f t="shared" si="45"/>
        <v>4370</v>
      </c>
      <c r="Z20" s="9">
        <f t="shared" si="45"/>
        <v>4494.4263000000083</v>
      </c>
      <c r="AA20" s="9">
        <f t="shared" ref="AA20" si="46">AA18-AA19</f>
        <v>4711.9580960000021</v>
      </c>
      <c r="AB20" s="9">
        <f t="shared" ref="AB20" si="47">AB18-AB19</f>
        <v>4845.5180729199992</v>
      </c>
      <c r="AC20" s="9">
        <f t="shared" ref="AC20" si="48">AC18-AC19</f>
        <v>4982.1424575283963</v>
      </c>
      <c r="AD20" s="9">
        <f t="shared" ref="AD20" si="49">AD18-AD19</f>
        <v>5051.1373510299909</v>
      </c>
      <c r="AE20" s="9">
        <f t="shared" ref="AE20" si="50">AE18-AE19</f>
        <v>5121.205662845121</v>
      </c>
      <c r="AF20" s="9">
        <f t="shared" ref="AF20" si="51">AF18-AF19</f>
        <v>5192.3657965444954</v>
      </c>
      <c r="AG20" s="9">
        <f t="shared" ref="AG20" si="52">AG18-AG19</f>
        <v>5264.6364931222834</v>
      </c>
      <c r="AH20" s="9">
        <f t="shared" ref="AH20" si="53">AH18-AH19</f>
        <v>5338.0368374381051</v>
      </c>
      <c r="AI20" s="9">
        <f t="shared" ref="AI20" si="54">AI18-AI19</f>
        <v>5412.5862647847689</v>
      </c>
      <c r="AJ20" s="9">
        <f t="shared" ref="AJ20" si="55">AJ18-AJ19</f>
        <v>5488.3045675843377</v>
      </c>
    </row>
    <row r="21" spans="2:145" x14ac:dyDescent="0.3">
      <c r="B21" s="1" t="s">
        <v>36</v>
      </c>
      <c r="K21" s="4">
        <v>146</v>
      </c>
      <c r="L21" s="4">
        <v>154</v>
      </c>
      <c r="M21" s="4">
        <v>161</v>
      </c>
      <c r="N21" s="4">
        <f t="shared" ref="N21:N23" si="56">Y21-M21-L21-K21</f>
        <v>160</v>
      </c>
      <c r="O21" s="4">
        <v>156</v>
      </c>
      <c r="P21" s="4">
        <v>173</v>
      </c>
      <c r="Q21" s="4">
        <v>161</v>
      </c>
      <c r="R21" s="4">
        <v>160</v>
      </c>
      <c r="T21" s="4">
        <v>528</v>
      </c>
      <c r="U21" s="4">
        <v>593</v>
      </c>
      <c r="V21" s="4">
        <v>556</v>
      </c>
      <c r="W21" s="4">
        <v>506</v>
      </c>
      <c r="X21" s="4">
        <v>545</v>
      </c>
      <c r="Y21" s="4">
        <v>621</v>
      </c>
      <c r="Z21" s="4">
        <f t="shared" ref="Z21:Z23" si="57">SUM(O21:R21)</f>
        <v>650</v>
      </c>
      <c r="AA21" s="4">
        <f t="shared" ref="AA21:AJ23" si="58">Z21*1.01</f>
        <v>656.5</v>
      </c>
      <c r="AB21" s="4">
        <f t="shared" si="58"/>
        <v>663.06500000000005</v>
      </c>
      <c r="AC21" s="4">
        <f t="shared" si="58"/>
        <v>669.69565000000011</v>
      </c>
      <c r="AD21" s="4">
        <f t="shared" si="58"/>
        <v>676.39260650000017</v>
      </c>
      <c r="AE21" s="4">
        <f t="shared" si="58"/>
        <v>683.15653256500013</v>
      </c>
      <c r="AF21" s="4">
        <f t="shared" si="58"/>
        <v>689.98809789065012</v>
      </c>
      <c r="AG21" s="4">
        <f t="shared" si="58"/>
        <v>696.8879788695566</v>
      </c>
      <c r="AH21" s="4">
        <f t="shared" si="58"/>
        <v>703.85685865825212</v>
      </c>
      <c r="AI21" s="4">
        <f t="shared" si="58"/>
        <v>710.89542724483465</v>
      </c>
      <c r="AJ21" s="4">
        <f t="shared" si="58"/>
        <v>718.00438151728304</v>
      </c>
    </row>
    <row r="22" spans="2:145" x14ac:dyDescent="0.3">
      <c r="B22" s="1" t="s">
        <v>37</v>
      </c>
      <c r="K22" s="4">
        <v>-168</v>
      </c>
      <c r="L22" s="4">
        <v>-167</v>
      </c>
      <c r="M22" s="4">
        <v>-168</v>
      </c>
      <c r="N22" s="4">
        <f t="shared" si="56"/>
        <v>-596</v>
      </c>
      <c r="O22" s="4">
        <v>-130</v>
      </c>
      <c r="P22" s="4">
        <v>-137</v>
      </c>
      <c r="Q22" s="4">
        <v>-136</v>
      </c>
      <c r="R22" s="4">
        <v>-250</v>
      </c>
      <c r="T22" s="4">
        <f>-800+1800</f>
        <v>1000</v>
      </c>
      <c r="U22" s="4">
        <f>-1198+1034</f>
        <v>-164</v>
      </c>
      <c r="V22" s="4">
        <f>-1469-2355</f>
        <v>-3824</v>
      </c>
      <c r="W22" s="4">
        <f>-1505-1232</f>
        <v>-2737</v>
      </c>
      <c r="X22" s="4">
        <f>-530+422</f>
        <v>-108</v>
      </c>
      <c r="Y22" s="4">
        <f>-656-443</f>
        <v>-1099</v>
      </c>
      <c r="Z22" s="4">
        <f t="shared" si="57"/>
        <v>-653</v>
      </c>
      <c r="AA22" s="4">
        <f t="shared" si="58"/>
        <v>-659.53</v>
      </c>
      <c r="AB22" s="4">
        <f t="shared" si="58"/>
        <v>-666.12529999999992</v>
      </c>
      <c r="AC22" s="4">
        <f t="shared" si="58"/>
        <v>-672.78655299999991</v>
      </c>
      <c r="AD22" s="4">
        <f t="shared" si="58"/>
        <v>-679.51441852999994</v>
      </c>
      <c r="AE22" s="4">
        <f t="shared" si="58"/>
        <v>-686.30956271529999</v>
      </c>
      <c r="AF22" s="4">
        <f t="shared" si="58"/>
        <v>-693.17265834245302</v>
      </c>
      <c r="AG22" s="4">
        <f t="shared" si="58"/>
        <v>-700.10438492587753</v>
      </c>
      <c r="AH22" s="4">
        <f t="shared" si="58"/>
        <v>-707.10542877513626</v>
      </c>
      <c r="AI22" s="4">
        <f t="shared" si="58"/>
        <v>-714.17648306288766</v>
      </c>
      <c r="AJ22" s="4">
        <f t="shared" si="58"/>
        <v>-721.31824789351651</v>
      </c>
    </row>
    <row r="23" spans="2:145" x14ac:dyDescent="0.3">
      <c r="B23" s="1" t="s">
        <v>35</v>
      </c>
      <c r="K23" s="4">
        <v>-38</v>
      </c>
      <c r="L23" s="4">
        <v>-43</v>
      </c>
      <c r="M23" s="4">
        <v>-61</v>
      </c>
      <c r="N23" s="4">
        <f t="shared" si="56"/>
        <v>-26</v>
      </c>
      <c r="O23" s="4">
        <v>-31</v>
      </c>
      <c r="P23" s="4">
        <v>-38</v>
      </c>
      <c r="Q23" s="4">
        <v>-106</v>
      </c>
      <c r="R23" s="4">
        <v>-30</v>
      </c>
      <c r="T23" s="4">
        <v>-107</v>
      </c>
      <c r="U23" s="4">
        <v>-92</v>
      </c>
      <c r="V23" s="4">
        <f>-19-1980</f>
        <v>-1999</v>
      </c>
      <c r="W23" s="4">
        <v>-4</v>
      </c>
      <c r="X23" s="4">
        <v>-246</v>
      </c>
      <c r="Y23" s="4">
        <v>-168</v>
      </c>
      <c r="Z23" s="4">
        <f t="shared" si="57"/>
        <v>-205</v>
      </c>
      <c r="AA23" s="4">
        <f t="shared" si="58"/>
        <v>-207.05</v>
      </c>
      <c r="AB23" s="4">
        <f t="shared" si="58"/>
        <v>-209.12050000000002</v>
      </c>
      <c r="AC23" s="4">
        <f t="shared" si="58"/>
        <v>-211.21170500000002</v>
      </c>
      <c r="AD23" s="4">
        <f t="shared" si="58"/>
        <v>-213.32382205000002</v>
      </c>
      <c r="AE23" s="4">
        <f t="shared" si="58"/>
        <v>-215.45706027050002</v>
      </c>
      <c r="AF23" s="4">
        <f t="shared" si="58"/>
        <v>-217.61163087320503</v>
      </c>
      <c r="AG23" s="4">
        <f t="shared" si="58"/>
        <v>-219.78774718193708</v>
      </c>
      <c r="AH23" s="4">
        <f t="shared" si="58"/>
        <v>-221.98562465375645</v>
      </c>
      <c r="AI23" s="4">
        <f t="shared" si="58"/>
        <v>-224.20548090029402</v>
      </c>
      <c r="AJ23" s="4">
        <f t="shared" si="58"/>
        <v>-226.44753570929697</v>
      </c>
    </row>
    <row r="24" spans="2:145" x14ac:dyDescent="0.3">
      <c r="B24" s="1" t="s">
        <v>38</v>
      </c>
      <c r="K24" s="4">
        <f t="shared" ref="K24:R24" si="59">SUM(K21:K23)</f>
        <v>-60</v>
      </c>
      <c r="L24" s="4">
        <f t="shared" si="59"/>
        <v>-56</v>
      </c>
      <c r="M24" s="4">
        <f t="shared" si="59"/>
        <v>-68</v>
      </c>
      <c r="N24" s="4">
        <f t="shared" si="59"/>
        <v>-462</v>
      </c>
      <c r="O24" s="4">
        <f t="shared" si="59"/>
        <v>-5</v>
      </c>
      <c r="P24" s="4">
        <f t="shared" si="59"/>
        <v>-2</v>
      </c>
      <c r="Q24" s="4">
        <f t="shared" si="59"/>
        <v>-81</v>
      </c>
      <c r="R24" s="4">
        <f t="shared" si="59"/>
        <v>-120</v>
      </c>
      <c r="T24" s="4">
        <f t="shared" ref="T24:Z24" si="60">SUM(T21:T23)</f>
        <v>1421</v>
      </c>
      <c r="U24" s="4">
        <f t="shared" si="60"/>
        <v>337</v>
      </c>
      <c r="V24" s="4">
        <f t="shared" si="60"/>
        <v>-5267</v>
      </c>
      <c r="W24" s="4">
        <f t="shared" si="60"/>
        <v>-2235</v>
      </c>
      <c r="X24" s="4">
        <f t="shared" si="60"/>
        <v>191</v>
      </c>
      <c r="Y24" s="4">
        <f t="shared" si="60"/>
        <v>-646</v>
      </c>
      <c r="Z24" s="4">
        <f t="shared" si="60"/>
        <v>-208</v>
      </c>
      <c r="AA24" s="4">
        <f t="shared" ref="AA24" si="61">SUM(AA21:AA23)</f>
        <v>-210.07999999999998</v>
      </c>
      <c r="AB24" s="4">
        <f t="shared" ref="AB24" si="62">SUM(AB21:AB23)</f>
        <v>-212.18079999999989</v>
      </c>
      <c r="AC24" s="4">
        <f t="shared" ref="AC24" si="63">SUM(AC21:AC23)</f>
        <v>-214.30260799999982</v>
      </c>
      <c r="AD24" s="4">
        <f t="shared" ref="AD24" si="64">SUM(AD21:AD23)</f>
        <v>-216.44563407999979</v>
      </c>
      <c r="AE24" s="4">
        <f t="shared" ref="AE24" si="65">SUM(AE21:AE23)</f>
        <v>-218.61009042079988</v>
      </c>
      <c r="AF24" s="4">
        <f t="shared" ref="AF24" si="66">SUM(AF21:AF23)</f>
        <v>-220.79619132500792</v>
      </c>
      <c r="AG24" s="4">
        <f t="shared" ref="AG24" si="67">SUM(AG21:AG23)</f>
        <v>-223.004153238258</v>
      </c>
      <c r="AH24" s="4">
        <f t="shared" ref="AH24" si="68">SUM(AH21:AH23)</f>
        <v>-225.23419477064058</v>
      </c>
      <c r="AI24" s="4">
        <f t="shared" ref="AI24" si="69">SUM(AI21:AI23)</f>
        <v>-227.48653671834703</v>
      </c>
      <c r="AJ24" s="4">
        <f t="shared" ref="AJ24" si="70">SUM(AJ21:AJ23)</f>
        <v>-229.76140208553045</v>
      </c>
    </row>
    <row r="25" spans="2:145" s="2" customFormat="1" x14ac:dyDescent="0.3">
      <c r="B25" s="2" t="s">
        <v>39</v>
      </c>
      <c r="K25" s="9">
        <f t="shared" ref="K25:R25" si="71">K20-K24</f>
        <v>1131</v>
      </c>
      <c r="L25" s="9">
        <f t="shared" si="71"/>
        <v>1146</v>
      </c>
      <c r="M25" s="9">
        <f t="shared" si="71"/>
        <v>1188</v>
      </c>
      <c r="N25" s="9">
        <f t="shared" si="71"/>
        <v>1551</v>
      </c>
      <c r="O25" s="9">
        <f t="shared" si="71"/>
        <v>578</v>
      </c>
      <c r="P25" s="9">
        <f t="shared" si="71"/>
        <v>1196</v>
      </c>
      <c r="Q25" s="9">
        <f t="shared" si="71"/>
        <v>1323</v>
      </c>
      <c r="R25" s="9">
        <f t="shared" si="71"/>
        <v>1605.4263000000005</v>
      </c>
      <c r="T25" s="9">
        <f t="shared" ref="T25:Z25" si="72">T20-T24</f>
        <v>2548</v>
      </c>
      <c r="U25" s="9">
        <f t="shared" si="72"/>
        <v>3728</v>
      </c>
      <c r="V25" s="9">
        <f t="shared" si="72"/>
        <v>8938</v>
      </c>
      <c r="W25" s="9">
        <f t="shared" si="72"/>
        <v>5836</v>
      </c>
      <c r="X25" s="9">
        <f t="shared" si="72"/>
        <v>2346</v>
      </c>
      <c r="Y25" s="9">
        <f t="shared" si="72"/>
        <v>5016</v>
      </c>
      <c r="Z25" s="9">
        <f t="shared" si="72"/>
        <v>4702.4263000000083</v>
      </c>
      <c r="AA25" s="9">
        <f t="shared" ref="AA25" si="73">AA20-AA24</f>
        <v>4922.038096000002</v>
      </c>
      <c r="AB25" s="9">
        <f t="shared" ref="AB25" si="74">AB20-AB24</f>
        <v>5057.6988729199993</v>
      </c>
      <c r="AC25" s="9">
        <f t="shared" ref="AC25" si="75">AC20-AC24</f>
        <v>5196.4450655283963</v>
      </c>
      <c r="AD25" s="9">
        <f t="shared" ref="AD25" si="76">AD20-AD24</f>
        <v>5267.5829851099907</v>
      </c>
      <c r="AE25" s="9">
        <f t="shared" ref="AE25" si="77">AE20-AE24</f>
        <v>5339.8157532659206</v>
      </c>
      <c r="AF25" s="9">
        <f t="shared" ref="AF25" si="78">AF20-AF24</f>
        <v>5413.1619878695037</v>
      </c>
      <c r="AG25" s="9">
        <f t="shared" ref="AG25" si="79">AG20-AG24</f>
        <v>5487.6406463605417</v>
      </c>
      <c r="AH25" s="9">
        <f t="shared" ref="AH25" si="80">AH20-AH24</f>
        <v>5563.271032208746</v>
      </c>
      <c r="AI25" s="9">
        <f t="shared" ref="AI25" si="81">AI20-AI24</f>
        <v>5640.0728015031164</v>
      </c>
      <c r="AJ25" s="9">
        <f t="shared" ref="AJ25" si="82">AJ20-AJ24</f>
        <v>5718.0659696698685</v>
      </c>
    </row>
    <row r="26" spans="2:145" x14ac:dyDescent="0.3">
      <c r="B26" s="1" t="s">
        <v>40</v>
      </c>
      <c r="K26" s="4">
        <v>187</v>
      </c>
      <c r="L26" s="4">
        <v>206</v>
      </c>
      <c r="M26" s="4">
        <v>162</v>
      </c>
      <c r="N26" s="4">
        <f>Y26-M26-L26-K26</f>
        <v>287</v>
      </c>
      <c r="O26" s="4">
        <v>97</v>
      </c>
      <c r="P26" s="4">
        <v>253</v>
      </c>
      <c r="Q26" s="4">
        <v>223</v>
      </c>
      <c r="R26" s="4">
        <f>R25*0.2</f>
        <v>321.08526000000012</v>
      </c>
      <c r="T26" s="4">
        <v>300</v>
      </c>
      <c r="U26" s="4">
        <v>539</v>
      </c>
      <c r="V26" s="4">
        <v>1933</v>
      </c>
      <c r="W26" s="4">
        <v>940</v>
      </c>
      <c r="X26" s="4">
        <v>290</v>
      </c>
      <c r="Y26" s="4">
        <v>842</v>
      </c>
      <c r="Z26" s="4">
        <f>SUM(O26:R26)</f>
        <v>894.08526000000006</v>
      </c>
      <c r="AA26" s="4">
        <f t="shared" ref="AA26:AJ26" si="83">AA25*0.16</f>
        <v>787.52609536000034</v>
      </c>
      <c r="AB26" s="4">
        <f t="shared" si="83"/>
        <v>809.23181966719994</v>
      </c>
      <c r="AC26" s="4">
        <f t="shared" si="83"/>
        <v>831.43121048454339</v>
      </c>
      <c r="AD26" s="4">
        <f t="shared" si="83"/>
        <v>842.81327761759849</v>
      </c>
      <c r="AE26" s="4">
        <f t="shared" si="83"/>
        <v>854.37052052254728</v>
      </c>
      <c r="AF26" s="4">
        <f t="shared" si="83"/>
        <v>866.10591805912065</v>
      </c>
      <c r="AG26" s="4">
        <f t="shared" si="83"/>
        <v>878.02250341768672</v>
      </c>
      <c r="AH26" s="4">
        <f t="shared" si="83"/>
        <v>890.12336515339939</v>
      </c>
      <c r="AI26" s="4">
        <f t="shared" si="83"/>
        <v>902.41164824049861</v>
      </c>
      <c r="AJ26" s="4">
        <f t="shared" si="83"/>
        <v>914.89055514717893</v>
      </c>
    </row>
    <row r="27" spans="2:145" s="2" customFormat="1" x14ac:dyDescent="0.3">
      <c r="B27" s="2" t="s">
        <v>41</v>
      </c>
      <c r="K27" s="9">
        <f t="shared" ref="K27:R27" si="84">K25-K26</f>
        <v>944</v>
      </c>
      <c r="L27" s="9">
        <f t="shared" si="84"/>
        <v>940</v>
      </c>
      <c r="M27" s="9">
        <f t="shared" si="84"/>
        <v>1026</v>
      </c>
      <c r="N27" s="9">
        <f t="shared" si="84"/>
        <v>1264</v>
      </c>
      <c r="O27" s="9">
        <f t="shared" si="84"/>
        <v>481</v>
      </c>
      <c r="P27" s="9">
        <f t="shared" si="84"/>
        <v>943</v>
      </c>
      <c r="Q27" s="9">
        <f t="shared" si="84"/>
        <v>1100</v>
      </c>
      <c r="R27" s="9">
        <f t="shared" si="84"/>
        <v>1284.3410400000005</v>
      </c>
      <c r="T27" s="9">
        <f t="shared" ref="T27:Z27" si="85">T25-T26</f>
        <v>2248</v>
      </c>
      <c r="U27" s="9">
        <f t="shared" si="85"/>
        <v>3189</v>
      </c>
      <c r="V27" s="9">
        <f t="shared" si="85"/>
        <v>7005</v>
      </c>
      <c r="W27" s="9">
        <f t="shared" si="85"/>
        <v>4896</v>
      </c>
      <c r="X27" s="9">
        <f t="shared" si="85"/>
        <v>2056</v>
      </c>
      <c r="Y27" s="9">
        <f t="shared" si="85"/>
        <v>4174</v>
      </c>
      <c r="Z27" s="9">
        <f t="shared" si="85"/>
        <v>3808.3410400000084</v>
      </c>
      <c r="AA27" s="9">
        <f t="shared" ref="AA27" si="86">AA25-AA26</f>
        <v>4134.512000640002</v>
      </c>
      <c r="AB27" s="9">
        <f t="shared" ref="AB27" si="87">AB25-AB26</f>
        <v>4248.4670532527998</v>
      </c>
      <c r="AC27" s="9">
        <f t="shared" ref="AC27" si="88">AC25-AC26</f>
        <v>4365.0138550438533</v>
      </c>
      <c r="AD27" s="9">
        <f t="shared" ref="AD27" si="89">AD25-AD26</f>
        <v>4424.7697074923926</v>
      </c>
      <c r="AE27" s="9">
        <f t="shared" ref="AE27" si="90">AE25-AE26</f>
        <v>4485.4452327433737</v>
      </c>
      <c r="AF27" s="9">
        <f t="shared" ref="AF27" si="91">AF25-AF26</f>
        <v>4547.0560698103827</v>
      </c>
      <c r="AG27" s="9">
        <f t="shared" ref="AG27" si="92">AG25-AG26</f>
        <v>4609.6181429428552</v>
      </c>
      <c r="AH27" s="9">
        <f t="shared" ref="AH27" si="93">AH25-AH26</f>
        <v>4673.1476670553466</v>
      </c>
      <c r="AI27" s="9">
        <f t="shared" ref="AI27" si="94">AI25-AI26</f>
        <v>4737.6611532626175</v>
      </c>
      <c r="AJ27" s="9">
        <f t="shared" ref="AJ27" si="95">AJ25-AJ26</f>
        <v>4803.1754145226896</v>
      </c>
      <c r="AK27" s="2">
        <f>AJ27*(1+$AM$37)</f>
        <v>4755.1436603774628</v>
      </c>
      <c r="AL27" s="2">
        <f t="shared" ref="AL27:CW27" si="96">AK27*(1+$AM$37)</f>
        <v>4707.5922237736877</v>
      </c>
      <c r="AM27" s="2">
        <f t="shared" si="96"/>
        <v>4660.5163015359503</v>
      </c>
      <c r="AN27" s="2">
        <f t="shared" si="96"/>
        <v>4613.9111385205906</v>
      </c>
      <c r="AO27" s="2">
        <f t="shared" si="96"/>
        <v>4567.7720271353846</v>
      </c>
      <c r="AP27" s="2">
        <f t="shared" si="96"/>
        <v>4522.0943068640308</v>
      </c>
      <c r="AQ27" s="2">
        <f t="shared" si="96"/>
        <v>4476.8733637953901</v>
      </c>
      <c r="AR27" s="2">
        <f t="shared" si="96"/>
        <v>4432.1046301574361</v>
      </c>
      <c r="AS27" s="2">
        <f t="shared" si="96"/>
        <v>4387.7835838558613</v>
      </c>
      <c r="AT27" s="2">
        <f t="shared" si="96"/>
        <v>4343.9057480173024</v>
      </c>
      <c r="AU27" s="2">
        <f t="shared" si="96"/>
        <v>4300.4666905371296</v>
      </c>
      <c r="AV27" s="2">
        <f t="shared" si="96"/>
        <v>4257.4620236317578</v>
      </c>
      <c r="AW27" s="2">
        <f t="shared" si="96"/>
        <v>4214.8874033954398</v>
      </c>
      <c r="AX27" s="2">
        <f t="shared" si="96"/>
        <v>4172.7385293614852</v>
      </c>
      <c r="AY27" s="2">
        <f t="shared" si="96"/>
        <v>4131.0111440678702</v>
      </c>
      <c r="AZ27" s="2">
        <f t="shared" si="96"/>
        <v>4089.7010326271916</v>
      </c>
      <c r="BA27" s="2">
        <f t="shared" si="96"/>
        <v>4048.8040223009198</v>
      </c>
      <c r="BB27" s="2">
        <f t="shared" si="96"/>
        <v>4008.3159820779106</v>
      </c>
      <c r="BC27" s="2">
        <f t="shared" si="96"/>
        <v>3968.2328222571314</v>
      </c>
      <c r="BD27" s="2">
        <f t="shared" si="96"/>
        <v>3928.55049403456</v>
      </c>
      <c r="BE27" s="2">
        <f t="shared" si="96"/>
        <v>3889.2649890942143</v>
      </c>
      <c r="BF27" s="2">
        <f t="shared" si="96"/>
        <v>3850.3723392032721</v>
      </c>
      <c r="BG27" s="2">
        <f t="shared" si="96"/>
        <v>3811.8686158112391</v>
      </c>
      <c r="BH27" s="2">
        <f t="shared" si="96"/>
        <v>3773.7499296531269</v>
      </c>
      <c r="BI27" s="2">
        <f t="shared" si="96"/>
        <v>3736.0124303565954</v>
      </c>
      <c r="BJ27" s="2">
        <f t="shared" si="96"/>
        <v>3698.6523060530294</v>
      </c>
      <c r="BK27" s="2">
        <f t="shared" si="96"/>
        <v>3661.6657829924989</v>
      </c>
      <c r="BL27" s="2">
        <f t="shared" si="96"/>
        <v>3625.049125162574</v>
      </c>
      <c r="BM27" s="2">
        <f t="shared" si="96"/>
        <v>3588.7986339109484</v>
      </c>
      <c r="BN27" s="2">
        <f t="shared" si="96"/>
        <v>3552.910647571839</v>
      </c>
      <c r="BO27" s="2">
        <f t="shared" si="96"/>
        <v>3517.3815410961206</v>
      </c>
      <c r="BP27" s="2">
        <f t="shared" si="96"/>
        <v>3482.2077256851594</v>
      </c>
      <c r="BQ27" s="2">
        <f t="shared" si="96"/>
        <v>3447.3856484283078</v>
      </c>
      <c r="BR27" s="2">
        <f t="shared" si="96"/>
        <v>3412.9117919440246</v>
      </c>
      <c r="BS27" s="2">
        <f t="shared" si="96"/>
        <v>3378.7826740245841</v>
      </c>
      <c r="BT27" s="2">
        <f t="shared" si="96"/>
        <v>3344.9948472843384</v>
      </c>
      <c r="BU27" s="2">
        <f t="shared" si="96"/>
        <v>3311.5448988114949</v>
      </c>
      <c r="BV27" s="2">
        <f t="shared" si="96"/>
        <v>3278.4294498233799</v>
      </c>
      <c r="BW27" s="2">
        <f t="shared" si="96"/>
        <v>3245.6451553251459</v>
      </c>
      <c r="BX27" s="2">
        <f t="shared" si="96"/>
        <v>3213.1887037718943</v>
      </c>
      <c r="BY27" s="2">
        <f t="shared" si="96"/>
        <v>3181.0568167341753</v>
      </c>
      <c r="BZ27" s="2">
        <f t="shared" si="96"/>
        <v>3149.2462485668334</v>
      </c>
      <c r="CA27" s="2">
        <f t="shared" si="96"/>
        <v>3117.7537860811649</v>
      </c>
      <c r="CB27" s="2">
        <f t="shared" si="96"/>
        <v>3086.5762482203531</v>
      </c>
      <c r="CC27" s="2">
        <f t="shared" si="96"/>
        <v>3055.7104857381496</v>
      </c>
      <c r="CD27" s="2">
        <f t="shared" si="96"/>
        <v>3025.1533808807681</v>
      </c>
      <c r="CE27" s="2">
        <f t="shared" si="96"/>
        <v>2994.9018470719602</v>
      </c>
      <c r="CF27" s="2">
        <f t="shared" si="96"/>
        <v>2964.9528286012405</v>
      </c>
      <c r="CG27" s="2">
        <f t="shared" si="96"/>
        <v>2935.3033003152282</v>
      </c>
      <c r="CH27" s="2">
        <f t="shared" si="96"/>
        <v>2905.950267312076</v>
      </c>
      <c r="CI27" s="2">
        <f t="shared" si="96"/>
        <v>2876.8907646389553</v>
      </c>
      <c r="CJ27" s="2">
        <f t="shared" si="96"/>
        <v>2848.1218569925659</v>
      </c>
      <c r="CK27" s="2">
        <f t="shared" si="96"/>
        <v>2819.6406384226402</v>
      </c>
      <c r="CL27" s="2">
        <f t="shared" si="96"/>
        <v>2791.4442320384137</v>
      </c>
      <c r="CM27" s="2">
        <f t="shared" si="96"/>
        <v>2763.5297897180294</v>
      </c>
      <c r="CN27" s="2">
        <f t="shared" si="96"/>
        <v>2735.894491820849</v>
      </c>
      <c r="CO27" s="2">
        <f t="shared" si="96"/>
        <v>2708.5355469026404</v>
      </c>
      <c r="CP27" s="2">
        <f t="shared" si="96"/>
        <v>2681.4501914336138</v>
      </c>
      <c r="CQ27" s="2">
        <f t="shared" si="96"/>
        <v>2654.6356895192775</v>
      </c>
      <c r="CR27" s="2">
        <f t="shared" si="96"/>
        <v>2628.0893326240848</v>
      </c>
      <c r="CS27" s="2">
        <f t="shared" si="96"/>
        <v>2601.808439297844</v>
      </c>
      <c r="CT27" s="2">
        <f t="shared" si="96"/>
        <v>2575.7903549048656</v>
      </c>
      <c r="CU27" s="2">
        <f t="shared" si="96"/>
        <v>2550.0324513558171</v>
      </c>
      <c r="CV27" s="2">
        <f t="shared" si="96"/>
        <v>2524.532126842259</v>
      </c>
      <c r="CW27" s="2">
        <f t="shared" si="96"/>
        <v>2499.2868055738363</v>
      </c>
      <c r="CX27" s="2">
        <f t="shared" ref="CX27:EO27" si="97">CW27*(1+$AM$37)</f>
        <v>2474.2939375180981</v>
      </c>
      <c r="CY27" s="2">
        <f t="shared" si="97"/>
        <v>2449.5509981429173</v>
      </c>
      <c r="CZ27" s="2">
        <f t="shared" si="97"/>
        <v>2425.055488161488</v>
      </c>
      <c r="DA27" s="2">
        <f t="shared" si="97"/>
        <v>2400.8049332798732</v>
      </c>
      <c r="DB27" s="2">
        <f t="shared" si="97"/>
        <v>2376.7968839470745</v>
      </c>
      <c r="DC27" s="2">
        <f t="shared" si="97"/>
        <v>2353.028915107604</v>
      </c>
      <c r="DD27" s="2">
        <f t="shared" si="97"/>
        <v>2329.498625956528</v>
      </c>
      <c r="DE27" s="2">
        <f t="shared" si="97"/>
        <v>2306.2036396969629</v>
      </c>
      <c r="DF27" s="2">
        <f t="shared" si="97"/>
        <v>2283.1416032999932</v>
      </c>
      <c r="DG27" s="2">
        <f t="shared" si="97"/>
        <v>2260.3101872669931</v>
      </c>
      <c r="DH27" s="2">
        <f t="shared" si="97"/>
        <v>2237.7070853943233</v>
      </c>
      <c r="DI27" s="2">
        <f t="shared" si="97"/>
        <v>2215.33001454038</v>
      </c>
      <c r="DJ27" s="2">
        <f t="shared" si="97"/>
        <v>2193.176714394976</v>
      </c>
      <c r="DK27" s="2">
        <f t="shared" si="97"/>
        <v>2171.2449472510261</v>
      </c>
      <c r="DL27" s="2">
        <f t="shared" si="97"/>
        <v>2149.5324977785158</v>
      </c>
      <c r="DM27" s="2">
        <f t="shared" si="97"/>
        <v>2128.0371728007308</v>
      </c>
      <c r="DN27" s="2">
        <f t="shared" si="97"/>
        <v>2106.7568010727236</v>
      </c>
      <c r="DO27" s="2">
        <f t="shared" si="97"/>
        <v>2085.6892330619962</v>
      </c>
      <c r="DP27" s="2">
        <f t="shared" si="97"/>
        <v>2064.8323407313765</v>
      </c>
      <c r="DQ27" s="2">
        <f t="shared" si="97"/>
        <v>2044.1840173240628</v>
      </c>
      <c r="DR27" s="2">
        <f t="shared" si="97"/>
        <v>2023.742177150822</v>
      </c>
      <c r="DS27" s="2">
        <f t="shared" si="97"/>
        <v>2003.5047553793138</v>
      </c>
      <c r="DT27" s="2">
        <f t="shared" si="97"/>
        <v>1983.4697078255206</v>
      </c>
      <c r="DU27" s="2">
        <f t="shared" si="97"/>
        <v>1963.6350107472654</v>
      </c>
      <c r="DV27" s="2">
        <f t="shared" si="97"/>
        <v>1943.9986606397927</v>
      </c>
      <c r="DW27" s="2">
        <f t="shared" si="97"/>
        <v>1924.5586740333947</v>
      </c>
      <c r="DX27" s="2">
        <f t="shared" si="97"/>
        <v>1905.3130872930608</v>
      </c>
      <c r="DY27" s="2">
        <f t="shared" si="97"/>
        <v>1886.2599564201303</v>
      </c>
      <c r="DZ27" s="2">
        <f t="shared" si="97"/>
        <v>1867.397356855929</v>
      </c>
      <c r="EA27" s="2">
        <f t="shared" si="97"/>
        <v>1848.7233832873696</v>
      </c>
      <c r="EB27" s="2">
        <f t="shared" si="97"/>
        <v>1830.2361494544959</v>
      </c>
      <c r="EC27" s="2">
        <f t="shared" si="97"/>
        <v>1811.9337879599509</v>
      </c>
      <c r="ED27" s="2">
        <f t="shared" si="97"/>
        <v>1793.8144500803514</v>
      </c>
      <c r="EE27" s="2">
        <f t="shared" si="97"/>
        <v>1775.876305579548</v>
      </c>
      <c r="EF27" s="2">
        <f t="shared" si="97"/>
        <v>1758.1175425237525</v>
      </c>
      <c r="EG27" s="2">
        <f t="shared" si="97"/>
        <v>1740.536367098515</v>
      </c>
      <c r="EH27" s="2">
        <f t="shared" si="97"/>
        <v>1723.1310034275298</v>
      </c>
      <c r="EI27" s="2">
        <f t="shared" si="97"/>
        <v>1705.8996933932544</v>
      </c>
      <c r="EJ27" s="2">
        <f t="shared" si="97"/>
        <v>1688.8406964593219</v>
      </c>
      <c r="EK27" s="2">
        <f t="shared" si="97"/>
        <v>1671.9522894947286</v>
      </c>
      <c r="EL27" s="2">
        <f t="shared" si="97"/>
        <v>1655.2327665997814</v>
      </c>
      <c r="EM27" s="2">
        <f t="shared" si="97"/>
        <v>1638.6804389337835</v>
      </c>
      <c r="EN27" s="2">
        <f t="shared" si="97"/>
        <v>1622.2936345444457</v>
      </c>
      <c r="EO27" s="2">
        <f t="shared" si="97"/>
        <v>1606.0706981990013</v>
      </c>
    </row>
    <row r="28" spans="2:145" x14ac:dyDescent="0.3">
      <c r="B28" s="1" t="s">
        <v>2</v>
      </c>
      <c r="K28" s="4">
        <v>143.9</v>
      </c>
      <c r="L28" s="4">
        <v>143.9</v>
      </c>
      <c r="M28" s="4">
        <v>143.9</v>
      </c>
      <c r="N28" s="4">
        <v>143.9</v>
      </c>
      <c r="O28" s="4">
        <v>143.9</v>
      </c>
      <c r="P28" s="4">
        <f>143.2</f>
        <v>143.19999999999999</v>
      </c>
      <c r="Q28" s="4">
        <f>142.7</f>
        <v>142.69999999999999</v>
      </c>
      <c r="R28" s="4">
        <f>142.7</f>
        <v>142.69999999999999</v>
      </c>
      <c r="T28" s="4">
        <v>169.3</v>
      </c>
      <c r="U28" s="4">
        <v>167.1</v>
      </c>
      <c r="V28" s="4">
        <v>160.30000000000001</v>
      </c>
      <c r="W28" s="4">
        <v>154.9</v>
      </c>
      <c r="X28" s="4">
        <v>151.5</v>
      </c>
      <c r="Y28" s="4">
        <v>147</v>
      </c>
      <c r="Z28" s="4">
        <f t="shared" ref="Z28:AJ28" si="98">142.7</f>
        <v>142.69999999999999</v>
      </c>
      <c r="AA28" s="4">
        <f t="shared" si="98"/>
        <v>142.69999999999999</v>
      </c>
      <c r="AB28" s="4">
        <f t="shared" si="98"/>
        <v>142.69999999999999</v>
      </c>
      <c r="AC28" s="4">
        <f t="shared" si="98"/>
        <v>142.69999999999999</v>
      </c>
      <c r="AD28" s="4">
        <f t="shared" si="98"/>
        <v>142.69999999999999</v>
      </c>
      <c r="AE28" s="4">
        <f t="shared" si="98"/>
        <v>142.69999999999999</v>
      </c>
      <c r="AF28" s="4">
        <f t="shared" si="98"/>
        <v>142.69999999999999</v>
      </c>
      <c r="AG28" s="4">
        <f t="shared" si="98"/>
        <v>142.69999999999999</v>
      </c>
      <c r="AH28" s="4">
        <f t="shared" si="98"/>
        <v>142.69999999999999</v>
      </c>
      <c r="AI28" s="4">
        <f t="shared" si="98"/>
        <v>142.69999999999999</v>
      </c>
      <c r="AJ28" s="4">
        <f t="shared" si="98"/>
        <v>142.69999999999999</v>
      </c>
    </row>
    <row r="29" spans="2:145" x14ac:dyDescent="0.3">
      <c r="B29" s="1" t="s">
        <v>42</v>
      </c>
      <c r="K29" s="8">
        <f t="shared" ref="K29:R29" si="99">K27/K28</f>
        <v>6.5601111883252257</v>
      </c>
      <c r="L29" s="8">
        <f t="shared" si="99"/>
        <v>6.5323141070187631</v>
      </c>
      <c r="M29" s="8">
        <f t="shared" si="99"/>
        <v>7.1299513551077132</v>
      </c>
      <c r="N29" s="8">
        <f t="shared" si="99"/>
        <v>8.7838776928422515</v>
      </c>
      <c r="O29" s="8">
        <f t="shared" si="99"/>
        <v>3.3425990271021542</v>
      </c>
      <c r="P29" s="8">
        <f t="shared" si="99"/>
        <v>6.5851955307262573</v>
      </c>
      <c r="Q29" s="8">
        <f t="shared" si="99"/>
        <v>7.7084793272599867</v>
      </c>
      <c r="R29" s="8">
        <f t="shared" si="99"/>
        <v>9.0002875963559958</v>
      </c>
      <c r="T29" s="8">
        <f t="shared" ref="T29:Z29" si="100">T27/T28</f>
        <v>13.278204370939161</v>
      </c>
      <c r="U29" s="8">
        <f t="shared" si="100"/>
        <v>19.084380610412929</v>
      </c>
      <c r="V29" s="8">
        <f t="shared" si="100"/>
        <v>43.699313786650031</v>
      </c>
      <c r="W29" s="8">
        <f t="shared" si="100"/>
        <v>31.607488702388636</v>
      </c>
      <c r="X29" s="8">
        <f t="shared" si="100"/>
        <v>13.570957095709572</v>
      </c>
      <c r="Y29" s="8">
        <f t="shared" si="100"/>
        <v>28.394557823129251</v>
      </c>
      <c r="Z29" s="8">
        <f t="shared" si="100"/>
        <v>26.687743798178058</v>
      </c>
      <c r="AA29" s="8">
        <f t="shared" ref="AA29" si="101">AA27/AA28</f>
        <v>28.973454804765257</v>
      </c>
      <c r="AB29" s="8">
        <f t="shared" ref="AB29" si="102">AB27/AB28</f>
        <v>29.772018593222146</v>
      </c>
      <c r="AC29" s="8">
        <f t="shared" ref="AC29" si="103">AC27/AC28</f>
        <v>30.588744604371783</v>
      </c>
      <c r="AD29" s="8">
        <f t="shared" ref="AD29" si="104">AD27/AD28</f>
        <v>31.007496198264842</v>
      </c>
      <c r="AE29" s="8">
        <f t="shared" ref="AE29" si="105">AE27/AE28</f>
        <v>31.432692591053776</v>
      </c>
      <c r="AF29" s="8">
        <f t="shared" ref="AF29" si="106">AF27/AF28</f>
        <v>31.864443376386706</v>
      </c>
      <c r="AG29" s="8">
        <f t="shared" ref="AG29" si="107">AG27/AG28</f>
        <v>32.302860146761425</v>
      </c>
      <c r="AH29" s="8">
        <f t="shared" ref="AH29" si="108">AH27/AH28</f>
        <v>32.748056531572161</v>
      </c>
      <c r="AI29" s="8">
        <f t="shared" ref="AI29" si="109">AI27/AI28</f>
        <v>33.200148235897814</v>
      </c>
      <c r="AJ29" s="8">
        <f t="shared" ref="AJ29" si="110">AJ27/AJ28</f>
        <v>33.659253080046881</v>
      </c>
    </row>
    <row r="31" spans="2:145" x14ac:dyDescent="0.3">
      <c r="B31" s="1" t="s">
        <v>70</v>
      </c>
      <c r="Q31" s="10">
        <f>Q5/M5-1</f>
        <v>6.1127997298210168E-2</v>
      </c>
    </row>
    <row r="32" spans="2:145" x14ac:dyDescent="0.3">
      <c r="B32" s="1" t="s">
        <v>71</v>
      </c>
      <c r="Q32" s="10">
        <f t="shared" ref="Q32:Q34" si="111">Q6/M6-1</f>
        <v>0.14388888888888896</v>
      </c>
    </row>
    <row r="33" spans="2:39" x14ac:dyDescent="0.3">
      <c r="B33" s="1" t="s">
        <v>72</v>
      </c>
      <c r="Q33" s="10">
        <f t="shared" si="111"/>
        <v>9.5642933049946866E-2</v>
      </c>
    </row>
    <row r="34" spans="2:39" x14ac:dyDescent="0.3">
      <c r="B34" s="1" t="s">
        <v>73</v>
      </c>
      <c r="Q34" s="10">
        <f t="shared" si="111"/>
        <v>-5.9930313588850148E-2</v>
      </c>
    </row>
    <row r="36" spans="2:39" x14ac:dyDescent="0.3">
      <c r="B36" s="1" t="s">
        <v>43</v>
      </c>
      <c r="K36" s="10"/>
      <c r="L36" s="10"/>
      <c r="M36" s="10"/>
      <c r="N36" s="10"/>
      <c r="O36" s="10">
        <f t="shared" ref="O36:R38" si="112">O12/K12-1</f>
        <v>-7.1710688718834903E-2</v>
      </c>
      <c r="P36" s="10">
        <f t="shared" si="112"/>
        <v>2.2535908865775056E-2</v>
      </c>
      <c r="Q36" s="10">
        <f t="shared" si="112"/>
        <v>5.4162992820254496E-2</v>
      </c>
      <c r="R36" s="10">
        <f t="shared" si="112"/>
        <v>3.0000000000000027E-2</v>
      </c>
      <c r="T36" s="10"/>
      <c r="U36" s="10">
        <f t="shared" ref="U36:X38" si="113">U12/T12-1</f>
        <v>0.13260942478618154</v>
      </c>
      <c r="V36" s="10">
        <f t="shared" si="113"/>
        <v>3.1575050897649559E-2</v>
      </c>
      <c r="W36" s="10">
        <f t="shared" si="113"/>
        <v>2.3467776661403761E-2</v>
      </c>
      <c r="X36" s="10">
        <f t="shared" si="113"/>
        <v>8.3269055465956088E-2</v>
      </c>
      <c r="Y36" s="10">
        <f>Y12/X12-1</f>
        <v>5.9196685762371803E-2</v>
      </c>
      <c r="Z36" s="10">
        <f t="shared" ref="Z36:AJ38" si="114">Z12/Y12-1</f>
        <v>8.8391493002506483E-3</v>
      </c>
      <c r="AA36" s="10">
        <f t="shared" si="114"/>
        <v>3.0000000000000027E-2</v>
      </c>
      <c r="AB36" s="10">
        <f t="shared" si="114"/>
        <v>2.0000000000000018E-2</v>
      </c>
      <c r="AC36" s="10">
        <f t="shared" si="114"/>
        <v>2.0000000000000018E-2</v>
      </c>
      <c r="AD36" s="10">
        <f t="shared" si="114"/>
        <v>1.0000000000000009E-2</v>
      </c>
      <c r="AE36" s="10">
        <f t="shared" si="114"/>
        <v>1.0000000000000009E-2</v>
      </c>
      <c r="AF36" s="10">
        <f t="shared" si="114"/>
        <v>1.0000000000000009E-2</v>
      </c>
      <c r="AG36" s="10">
        <f t="shared" si="114"/>
        <v>1.0000000000000009E-2</v>
      </c>
      <c r="AH36" s="10">
        <f t="shared" si="114"/>
        <v>1.0000000000000009E-2</v>
      </c>
      <c r="AI36" s="10">
        <f t="shared" si="114"/>
        <v>1.0000000000000009E-2</v>
      </c>
      <c r="AJ36" s="10">
        <f t="shared" si="114"/>
        <v>1.0000000000000009E-2</v>
      </c>
    </row>
    <row r="37" spans="2:39" x14ac:dyDescent="0.3">
      <c r="B37" s="1" t="s">
        <v>44</v>
      </c>
      <c r="K37" s="10"/>
      <c r="L37" s="10"/>
      <c r="M37" s="10"/>
      <c r="N37" s="10"/>
      <c r="O37" s="10">
        <f t="shared" si="112"/>
        <v>-4.1358936484490405E-2</v>
      </c>
      <c r="P37" s="10">
        <f t="shared" si="112"/>
        <v>-2.2875816993464082E-2</v>
      </c>
      <c r="Q37" s="10">
        <f t="shared" si="112"/>
        <v>-1.458434613514803E-3</v>
      </c>
      <c r="R37" s="10">
        <f t="shared" si="112"/>
        <v>2.0000000000000018E-2</v>
      </c>
      <c r="T37" s="10"/>
      <c r="U37" s="10">
        <f t="shared" si="113"/>
        <v>-2.0522574832315565E-2</v>
      </c>
      <c r="V37" s="10">
        <f t="shared" si="113"/>
        <v>-0.20288225674570726</v>
      </c>
      <c r="W37" s="10">
        <f t="shared" si="113"/>
        <v>3.6030260289780847E-2</v>
      </c>
      <c r="X37" s="10">
        <f t="shared" si="113"/>
        <v>3.8737623762376217E-2</v>
      </c>
      <c r="Y37" s="10">
        <f t="shared" ref="Y37:Y38" si="115">Y13/X13-1</f>
        <v>-1.0246634099845164E-2</v>
      </c>
      <c r="Z37" s="10">
        <f t="shared" si="114"/>
        <v>-1.1371132779583348E-2</v>
      </c>
      <c r="AA37" s="10">
        <f t="shared" si="114"/>
        <v>2.0000000000000018E-2</v>
      </c>
      <c r="AB37" s="10">
        <f t="shared" si="114"/>
        <v>2.0000000000000018E-2</v>
      </c>
      <c r="AC37" s="10">
        <f t="shared" si="114"/>
        <v>2.0000000000000018E-2</v>
      </c>
      <c r="AD37" s="10">
        <f t="shared" si="114"/>
        <v>2.0000000000000018E-2</v>
      </c>
      <c r="AE37" s="10">
        <f t="shared" si="114"/>
        <v>2.0000000000000018E-2</v>
      </c>
      <c r="AF37" s="10">
        <f t="shared" si="114"/>
        <v>2.0000000000000018E-2</v>
      </c>
      <c r="AG37" s="10">
        <f t="shared" si="114"/>
        <v>2.0000000000000018E-2</v>
      </c>
      <c r="AH37" s="10">
        <f t="shared" si="114"/>
        <v>2.0000000000000018E-2</v>
      </c>
      <c r="AI37" s="10">
        <f t="shared" si="114"/>
        <v>2.0000000000000018E-2</v>
      </c>
      <c r="AJ37" s="10">
        <f t="shared" si="114"/>
        <v>2.0000000000000018E-2</v>
      </c>
      <c r="AL37" s="1" t="s">
        <v>53</v>
      </c>
      <c r="AM37" s="10">
        <v>-0.01</v>
      </c>
    </row>
    <row r="38" spans="2:39" x14ac:dyDescent="0.3">
      <c r="B38" s="2" t="s">
        <v>45</v>
      </c>
      <c r="K38" s="11"/>
      <c r="L38" s="11"/>
      <c r="M38" s="11"/>
      <c r="N38" s="11"/>
      <c r="O38" s="11">
        <f t="shared" si="112"/>
        <v>-6.5627158788117979E-2</v>
      </c>
      <c r="P38" s="11">
        <f t="shared" si="112"/>
        <v>1.3016245840673291E-2</v>
      </c>
      <c r="Q38" s="11">
        <f t="shared" si="112"/>
        <v>4.2717086834733964E-2</v>
      </c>
      <c r="R38" s="11">
        <f t="shared" si="112"/>
        <v>2.805633539210195E-2</v>
      </c>
      <c r="T38" s="11"/>
      <c r="U38" s="11">
        <f t="shared" si="113"/>
        <v>8.7408764516414994E-2</v>
      </c>
      <c r="V38" s="11">
        <f t="shared" si="113"/>
        <v>-3.0761705481127222E-2</v>
      </c>
      <c r="W38" s="11">
        <f t="shared" si="113"/>
        <v>2.6214708273754495E-2</v>
      </c>
      <c r="X38" s="11">
        <f t="shared" si="113"/>
        <v>7.3438609912026775E-2</v>
      </c>
      <c r="Y38" s="11">
        <f t="shared" si="115"/>
        <v>4.4362433189106598E-2</v>
      </c>
      <c r="Z38" s="11">
        <f t="shared" si="114"/>
        <v>4.7476421416909886E-3</v>
      </c>
      <c r="AA38" s="11">
        <f t="shared" si="114"/>
        <v>2.8008009642035425E-2</v>
      </c>
      <c r="AB38" s="11">
        <f t="shared" si="114"/>
        <v>2.0000000000000018E-2</v>
      </c>
      <c r="AC38" s="11">
        <f t="shared" si="114"/>
        <v>2.0000000000000018E-2</v>
      </c>
      <c r="AD38" s="11">
        <f t="shared" si="114"/>
        <v>1.1976473087823125E-2</v>
      </c>
      <c r="AE38" s="11">
        <f t="shared" si="114"/>
        <v>1.1992143694238289E-2</v>
      </c>
      <c r="AF38" s="11">
        <f t="shared" si="114"/>
        <v>1.2007907453416955E-2</v>
      </c>
      <c r="AG38" s="11">
        <f t="shared" si="114"/>
        <v>1.2023764426543737E-2</v>
      </c>
      <c r="AH38" s="11">
        <f t="shared" si="114"/>
        <v>1.2039714666428392E-2</v>
      </c>
      <c r="AI38" s="11">
        <f t="shared" si="114"/>
        <v>1.2055758217396129E-2</v>
      </c>
      <c r="AJ38" s="11">
        <f t="shared" si="114"/>
        <v>1.2071895115183473E-2</v>
      </c>
      <c r="AL38" s="1" t="s">
        <v>54</v>
      </c>
      <c r="AM38" s="10">
        <v>7.0000000000000007E-2</v>
      </c>
    </row>
    <row r="39" spans="2:39" x14ac:dyDescent="0.3">
      <c r="B39" s="1" t="s">
        <v>46</v>
      </c>
      <c r="K39" s="10">
        <f t="shared" ref="K39:M40" si="116">(K12-K15)/K12</f>
        <v>0.20871389780301161</v>
      </c>
      <c r="L39" s="10">
        <f t="shared" si="116"/>
        <v>0.20901436354631006</v>
      </c>
      <c r="M39" s="10">
        <f t="shared" si="116"/>
        <v>0.20896838392744679</v>
      </c>
      <c r="N39" s="10">
        <f t="shared" ref="N39" si="117">(N12-N15)/N12</f>
        <v>0.1742362643744918</v>
      </c>
      <c r="O39" s="10">
        <f t="shared" ref="O39:P39" si="118">(O12-O15)/O12</f>
        <v>0.15357000398883128</v>
      </c>
      <c r="P39" s="10">
        <f t="shared" si="118"/>
        <v>0.20973601356260596</v>
      </c>
      <c r="Q39" s="10">
        <f t="shared" ref="Q39:R39" si="119">(Q12-Q15)/Q12</f>
        <v>0.20767116740351296</v>
      </c>
      <c r="R39" s="10">
        <f t="shared" si="119"/>
        <v>0.20999999999999996</v>
      </c>
      <c r="T39" s="10">
        <f t="shared" ref="T39:X40" si="120">(T12-T15)/T12</f>
        <v>0.21704678852926379</v>
      </c>
      <c r="U39" s="10">
        <f t="shared" si="120"/>
        <v>0.20196187303349991</v>
      </c>
      <c r="V39" s="10">
        <f t="shared" si="120"/>
        <v>0.19947610162193197</v>
      </c>
      <c r="W39" s="10">
        <f t="shared" si="120"/>
        <v>0.20198443306920974</v>
      </c>
      <c r="X39" s="10">
        <f t="shared" si="120"/>
        <v>0.15117972618700845</v>
      </c>
      <c r="Y39" s="10">
        <f>(Y12-Y15)/Y12</f>
        <v>0.19977999144411171</v>
      </c>
      <c r="Z39" s="10">
        <f t="shared" ref="Z39:AJ39" si="121">(Z12-Z15)/Z12</f>
        <v>0.1964886763003908</v>
      </c>
      <c r="AA39" s="10">
        <f t="shared" si="121"/>
        <v>0.19999999999999993</v>
      </c>
      <c r="AB39" s="10">
        <f t="shared" si="121"/>
        <v>0.19999999999999993</v>
      </c>
      <c r="AC39" s="10">
        <f t="shared" si="121"/>
        <v>0.19999999999999993</v>
      </c>
      <c r="AD39" s="10">
        <f t="shared" si="121"/>
        <v>0.19999999999999996</v>
      </c>
      <c r="AE39" s="10">
        <f t="shared" si="121"/>
        <v>0.19999999999999998</v>
      </c>
      <c r="AF39" s="10">
        <f t="shared" si="121"/>
        <v>0.19999999999999996</v>
      </c>
      <c r="AG39" s="10">
        <f t="shared" si="121"/>
        <v>0.19999999999999996</v>
      </c>
      <c r="AH39" s="10">
        <f t="shared" si="121"/>
        <v>0.19999999999999998</v>
      </c>
      <c r="AI39" s="10">
        <f t="shared" si="121"/>
        <v>0.19999999999999996</v>
      </c>
      <c r="AJ39" s="10">
        <f t="shared" si="121"/>
        <v>0.19999999999999996</v>
      </c>
      <c r="AL39" s="1" t="s">
        <v>55</v>
      </c>
      <c r="AM39" s="4">
        <f>NPV(AM38,Z27:EO27)</f>
        <v>61092.147421916161</v>
      </c>
    </row>
    <row r="40" spans="2:39" x14ac:dyDescent="0.3">
      <c r="B40" s="1" t="s">
        <v>47</v>
      </c>
      <c r="K40" s="10">
        <f t="shared" si="116"/>
        <v>0.21762678483505662</v>
      </c>
      <c r="L40" s="10">
        <f t="shared" si="116"/>
        <v>0.23482726423902894</v>
      </c>
      <c r="M40" s="10">
        <f t="shared" si="116"/>
        <v>0.21730675741370928</v>
      </c>
      <c r="N40" s="10">
        <f t="shared" ref="N40" si="122">(N13-N16)/N13</f>
        <v>0.20799229658160809</v>
      </c>
      <c r="O40" s="10">
        <f t="shared" ref="O40:P40" si="123">(O13-O16)/O13</f>
        <v>0.21828454031843864</v>
      </c>
      <c r="P40" s="10">
        <f t="shared" si="123"/>
        <v>0.22838031533683709</v>
      </c>
      <c r="Q40" s="10">
        <f t="shared" ref="Q40:R40" si="124">(Q13-Q16)/Q13</f>
        <v>0.23807205452775074</v>
      </c>
      <c r="R40" s="10">
        <f t="shared" si="124"/>
        <v>0.23999999999999996</v>
      </c>
      <c r="T40" s="10">
        <f t="shared" si="120"/>
        <v>0.20842927219941937</v>
      </c>
      <c r="U40" s="10">
        <f t="shared" si="120"/>
        <v>0.20666394112837286</v>
      </c>
      <c r="V40" s="10">
        <f t="shared" si="120"/>
        <v>0.21913065777663804</v>
      </c>
      <c r="W40" s="10">
        <f t="shared" si="120"/>
        <v>0.2120049504950495</v>
      </c>
      <c r="X40" s="10">
        <f t="shared" si="120"/>
        <v>0.22399618729893958</v>
      </c>
      <c r="Y40" s="10">
        <f t="shared" ref="Y40:AJ40" si="125">(Y13-Y16)/Y13</f>
        <v>0.21957385337667029</v>
      </c>
      <c r="Z40" s="10">
        <f t="shared" si="125"/>
        <v>0.23140826102521275</v>
      </c>
      <c r="AA40" s="10">
        <f t="shared" si="125"/>
        <v>0.22000000000000003</v>
      </c>
      <c r="AB40" s="10">
        <f t="shared" si="125"/>
        <v>0.21999999999999995</v>
      </c>
      <c r="AC40" s="10">
        <f t="shared" si="125"/>
        <v>0.22000000000000003</v>
      </c>
      <c r="AD40" s="10">
        <f t="shared" si="125"/>
        <v>0.22</v>
      </c>
      <c r="AE40" s="10">
        <f t="shared" si="125"/>
        <v>0.22</v>
      </c>
      <c r="AF40" s="10">
        <f t="shared" si="125"/>
        <v>0.21999999999999997</v>
      </c>
      <c r="AG40" s="10">
        <f t="shared" si="125"/>
        <v>0.22</v>
      </c>
      <c r="AH40" s="10">
        <f t="shared" si="125"/>
        <v>0.21999999999999995</v>
      </c>
      <c r="AI40" s="10">
        <f t="shared" si="125"/>
        <v>0.21999999999999992</v>
      </c>
      <c r="AJ40" s="10">
        <f t="shared" si="125"/>
        <v>0.22</v>
      </c>
      <c r="AL40" s="1" t="s">
        <v>56</v>
      </c>
      <c r="AM40" s="4">
        <f>Main!D8</f>
        <v>-13205</v>
      </c>
    </row>
    <row r="41" spans="2:39" x14ac:dyDescent="0.3">
      <c r="B41" s="1" t="s">
        <v>48</v>
      </c>
      <c r="K41" s="10">
        <f t="shared" ref="K41:M41" si="126">K18/K14</f>
        <v>0.21050034540609888</v>
      </c>
      <c r="L41" s="10">
        <f t="shared" si="126"/>
        <v>0.21442552358582892</v>
      </c>
      <c r="M41" s="10">
        <f t="shared" si="126"/>
        <v>0.21068427370948378</v>
      </c>
      <c r="N41" s="10">
        <f t="shared" ref="N41" si="127">N18/N14</f>
        <v>0.18079730488489612</v>
      </c>
      <c r="O41" s="10">
        <f t="shared" ref="O41:P41" si="128">O18/O14</f>
        <v>0.16687790452049006</v>
      </c>
      <c r="P41" s="10">
        <f t="shared" si="128"/>
        <v>0.2135059414549319</v>
      </c>
      <c r="Q41" s="10">
        <f t="shared" ref="Q41:R41" si="129">Q18/Q14</f>
        <v>0.21366209344718412</v>
      </c>
      <c r="R41" s="10">
        <f t="shared" si="129"/>
        <v>0.21578529939986221</v>
      </c>
      <c r="T41" s="10">
        <f t="shared" ref="T41:X41" si="130">T18/T14</f>
        <v>0.21450311752016785</v>
      </c>
      <c r="U41" s="10">
        <f t="shared" si="130"/>
        <v>0.2032120438055382</v>
      </c>
      <c r="V41" s="10">
        <f t="shared" si="130"/>
        <v>0.20377379650657471</v>
      </c>
      <c r="W41" s="10">
        <f t="shared" si="130"/>
        <v>0.20419649199497295</v>
      </c>
      <c r="X41" s="10">
        <f t="shared" si="130"/>
        <v>0.16673453805039451</v>
      </c>
      <c r="Y41" s="10">
        <f>Y18/Y14</f>
        <v>0.20378719567177639</v>
      </c>
      <c r="Z41" s="10">
        <f t="shared" ref="Z41:AJ41" si="131">Z18/Z14</f>
        <v>0.20344462390798848</v>
      </c>
      <c r="AA41" s="10">
        <f t="shared" si="131"/>
        <v>0.20395294617564602</v>
      </c>
      <c r="AB41" s="10">
        <f t="shared" si="131"/>
        <v>0.20395294617564597</v>
      </c>
      <c r="AC41" s="10">
        <f t="shared" si="131"/>
        <v>0.20395294617564591</v>
      </c>
      <c r="AD41" s="10">
        <f t="shared" si="131"/>
        <v>0.20398428738847671</v>
      </c>
      <c r="AE41" s="10">
        <f t="shared" si="131"/>
        <v>0.20401581490683404</v>
      </c>
      <c r="AF41" s="10">
        <f t="shared" si="131"/>
        <v>0.20404752885308772</v>
      </c>
      <c r="AG41" s="10">
        <f t="shared" si="131"/>
        <v>0.20407942933285644</v>
      </c>
      <c r="AH41" s="10">
        <f t="shared" si="131"/>
        <v>0.2041115164347925</v>
      </c>
      <c r="AI41" s="10">
        <f t="shared" si="131"/>
        <v>0.20414379023036738</v>
      </c>
      <c r="AJ41" s="10">
        <f t="shared" si="131"/>
        <v>0.20417625077366028</v>
      </c>
      <c r="AL41" s="1" t="s">
        <v>57</v>
      </c>
      <c r="AM41" s="4">
        <f>AM39+AM40</f>
        <v>47887.147421916161</v>
      </c>
    </row>
    <row r="42" spans="2:39" x14ac:dyDescent="0.3">
      <c r="B42" s="1" t="s">
        <v>51</v>
      </c>
      <c r="K42" s="10"/>
      <c r="L42" s="10"/>
      <c r="M42" s="10"/>
      <c r="N42" s="10"/>
      <c r="O42" s="10">
        <f>O19/K19-1</f>
        <v>-5.1789077212806012E-2</v>
      </c>
      <c r="P42" s="10">
        <f>P19/L19-1</f>
        <v>-7.7202543142597668E-2</v>
      </c>
      <c r="Q42" s="10">
        <f>Q19/M19-1</f>
        <v>-1.0141987829614951E-3</v>
      </c>
      <c r="R42" s="10">
        <f>R19/N19-1</f>
        <v>5.0000000000000044E-2</v>
      </c>
      <c r="T42" s="10"/>
      <c r="U42" s="10">
        <f t="shared" ref="U42:X42" si="132">U19/T19-1</f>
        <v>3.7386018237081986E-2</v>
      </c>
      <c r="V42" s="10">
        <f t="shared" si="132"/>
        <v>5.3911514796366911E-2</v>
      </c>
      <c r="W42" s="10">
        <f t="shared" si="132"/>
        <v>7.6730608840700487E-2</v>
      </c>
      <c r="X42" s="10">
        <f t="shared" si="132"/>
        <v>3.6405886909372631E-2</v>
      </c>
      <c r="Y42" s="10">
        <f>Y19/X19-1</f>
        <v>-5.4808171400099193E-3</v>
      </c>
      <c r="Z42" s="10">
        <f t="shared" ref="Z42:AJ42" si="133">Z19/Y19-1</f>
        <v>-2.4762024048096132E-2</v>
      </c>
      <c r="AA42" s="10">
        <f t="shared" si="133"/>
        <v>1.0000000000000009E-2</v>
      </c>
      <c r="AB42" s="10">
        <f t="shared" si="133"/>
        <v>1.0000000000000009E-2</v>
      </c>
      <c r="AC42" s="10">
        <f t="shared" si="133"/>
        <v>1.0000000000000009E-2</v>
      </c>
      <c r="AD42" s="10">
        <f t="shared" si="133"/>
        <v>1.0000000000000009E-2</v>
      </c>
      <c r="AE42" s="10">
        <f t="shared" si="133"/>
        <v>1.0000000000000009E-2</v>
      </c>
      <c r="AF42" s="10">
        <f t="shared" si="133"/>
        <v>1.0000000000000009E-2</v>
      </c>
      <c r="AG42" s="10">
        <f t="shared" si="133"/>
        <v>1.0000000000000009E-2</v>
      </c>
      <c r="AH42" s="10">
        <f t="shared" si="133"/>
        <v>1.0000000000000009E-2</v>
      </c>
      <c r="AI42" s="10">
        <f t="shared" si="133"/>
        <v>1.0000000000000009E-2</v>
      </c>
      <c r="AJ42" s="10">
        <f t="shared" si="133"/>
        <v>1.0000000000000009E-2</v>
      </c>
      <c r="AL42" s="1" t="s">
        <v>58</v>
      </c>
      <c r="AM42" s="3">
        <f>AM41/AJ28</f>
        <v>335.57916903935643</v>
      </c>
    </row>
    <row r="43" spans="2:39" x14ac:dyDescent="0.3">
      <c r="B43" s="1" t="s">
        <v>49</v>
      </c>
      <c r="K43" s="10">
        <f t="shared" ref="K43:M43" si="134">K20/K14</f>
        <v>0.10569426625875851</v>
      </c>
      <c r="L43" s="10">
        <f t="shared" si="134"/>
        <v>0.10667449598747308</v>
      </c>
      <c r="M43" s="10">
        <f t="shared" si="134"/>
        <v>0.11204481792717087</v>
      </c>
      <c r="N43" s="10">
        <f t="shared" ref="N43" si="135">N20/N14</f>
        <v>0.10190903986524424</v>
      </c>
      <c r="O43" s="10">
        <f t="shared" ref="O43:P43" si="136">O20/O14</f>
        <v>6.0519645120405578E-2</v>
      </c>
      <c r="P43" s="10">
        <f t="shared" si="136"/>
        <v>0.11535117379963289</v>
      </c>
      <c r="Q43" s="10">
        <f t="shared" ref="Q43:R43" si="137">Q20/Q14</f>
        <v>0.11915955099299626</v>
      </c>
      <c r="R43" s="10">
        <f t="shared" si="137"/>
        <v>0.13521317954707029</v>
      </c>
      <c r="T43" s="10">
        <f t="shared" ref="T43:X43" si="138">T20/T14</f>
        <v>0.11728376821015928</v>
      </c>
      <c r="U43" s="10">
        <f t="shared" si="138"/>
        <v>0.11046495828690997</v>
      </c>
      <c r="V43" s="10">
        <f t="shared" si="138"/>
        <v>0.10292427173577817</v>
      </c>
      <c r="W43" s="10">
        <f t="shared" si="138"/>
        <v>9.8382602043604175E-2</v>
      </c>
      <c r="X43" s="10">
        <f t="shared" si="138"/>
        <v>6.4571137694069733E-2</v>
      </c>
      <c r="Y43" s="10">
        <f>Y20/Y14</f>
        <v>0.10649964662588648</v>
      </c>
      <c r="Z43" s="10">
        <f t="shared" ref="Z43:AJ43" si="139">Z20/Z14</f>
        <v>0.1090144322485237</v>
      </c>
      <c r="AA43" s="10">
        <f t="shared" si="139"/>
        <v>0.11117692431442533</v>
      </c>
      <c r="AB43" s="10">
        <f t="shared" si="139"/>
        <v>0.11208649315620194</v>
      </c>
      <c r="AC43" s="10">
        <f t="shared" si="139"/>
        <v>0.11298714465639249</v>
      </c>
      <c r="AD43" s="10">
        <f t="shared" si="139"/>
        <v>0.11319614954362323</v>
      </c>
      <c r="AE43" s="10">
        <f t="shared" si="139"/>
        <v>0.11340639684498108</v>
      </c>
      <c r="AF43" s="10">
        <f t="shared" si="139"/>
        <v>0.11361788737651263</v>
      </c>
      <c r="AG43" s="10">
        <f t="shared" si="139"/>
        <v>0.11383062184255549</v>
      </c>
      <c r="AH43" s="10">
        <f t="shared" si="139"/>
        <v>0.11404460083430368</v>
      </c>
      <c r="AI43" s="10">
        <f t="shared" si="139"/>
        <v>0.11425982482838085</v>
      </c>
      <c r="AJ43" s="10">
        <f t="shared" si="139"/>
        <v>0.11447629418542357</v>
      </c>
      <c r="AL43" s="1" t="s">
        <v>59</v>
      </c>
      <c r="AM43" s="3">
        <f>Main!D3</f>
        <v>607.99</v>
      </c>
    </row>
    <row r="44" spans="2:39" x14ac:dyDescent="0.3">
      <c r="B44" s="1" t="s">
        <v>40</v>
      </c>
      <c r="K44" s="10">
        <f t="shared" ref="K44:M44" si="140">K26/K25</f>
        <v>0.16534040671971706</v>
      </c>
      <c r="L44" s="10">
        <f t="shared" si="140"/>
        <v>0.17975567190226877</v>
      </c>
      <c r="M44" s="10">
        <f t="shared" si="140"/>
        <v>0.13636363636363635</v>
      </c>
      <c r="N44" s="10">
        <f t="shared" ref="N44" si="141">N26/N25</f>
        <v>0.18504190844616378</v>
      </c>
      <c r="O44" s="10">
        <f t="shared" ref="O44:P44" si="142">O26/O25</f>
        <v>0.16782006920415224</v>
      </c>
      <c r="P44" s="10">
        <f t="shared" si="142"/>
        <v>0.21153846153846154</v>
      </c>
      <c r="Q44" s="10">
        <f t="shared" ref="Q44:R44" si="143">Q26/Q25</f>
        <v>0.16855631141345426</v>
      </c>
      <c r="R44" s="10">
        <f t="shared" si="143"/>
        <v>0.2</v>
      </c>
      <c r="T44" s="10">
        <f t="shared" ref="T44:X44" si="144">T26/T25</f>
        <v>0.11773940345368916</v>
      </c>
      <c r="U44" s="10">
        <f t="shared" si="144"/>
        <v>0.14458154506437768</v>
      </c>
      <c r="V44" s="10">
        <f t="shared" si="144"/>
        <v>0.21626762139181024</v>
      </c>
      <c r="W44" s="10">
        <f t="shared" si="144"/>
        <v>0.16106922549691569</v>
      </c>
      <c r="X44" s="10">
        <f t="shared" si="144"/>
        <v>0.12361466325660699</v>
      </c>
      <c r="Y44" s="10">
        <f>Y26/Y25</f>
        <v>0.16786283891547049</v>
      </c>
      <c r="Z44" s="10">
        <f t="shared" ref="Z44:AJ44" si="145">Z26/Z25</f>
        <v>0.1901327533830777</v>
      </c>
      <c r="AA44" s="10">
        <f t="shared" si="145"/>
        <v>0.16</v>
      </c>
      <c r="AB44" s="10">
        <f t="shared" si="145"/>
        <v>0.16</v>
      </c>
      <c r="AC44" s="10">
        <f t="shared" si="145"/>
        <v>0.16</v>
      </c>
      <c r="AD44" s="10">
        <f t="shared" si="145"/>
        <v>0.16</v>
      </c>
      <c r="AE44" s="10">
        <f t="shared" si="145"/>
        <v>0.16</v>
      </c>
      <c r="AF44" s="10">
        <f t="shared" si="145"/>
        <v>0.16</v>
      </c>
      <c r="AG44" s="10">
        <f t="shared" si="145"/>
        <v>0.16</v>
      </c>
      <c r="AH44" s="10">
        <f t="shared" si="145"/>
        <v>0.16</v>
      </c>
      <c r="AI44" s="10">
        <f t="shared" si="145"/>
        <v>0.16</v>
      </c>
      <c r="AJ44" s="10">
        <f t="shared" si="145"/>
        <v>0.16</v>
      </c>
      <c r="AL44" s="2" t="s">
        <v>60</v>
      </c>
      <c r="AM44" s="11">
        <f>AM42/AM43-1</f>
        <v>-0.44805149913755749</v>
      </c>
    </row>
    <row r="45" spans="2:39" x14ac:dyDescent="0.3">
      <c r="B45" s="1" t="s">
        <v>50</v>
      </c>
      <c r="K45" s="10">
        <f t="shared" ref="K45:M45" si="146">K27/K14</f>
        <v>9.316095924208033E-2</v>
      </c>
      <c r="L45" s="10">
        <f t="shared" si="146"/>
        <v>9.1994519475435507E-2</v>
      </c>
      <c r="M45" s="10">
        <f t="shared" si="146"/>
        <v>0.10264105642256903</v>
      </c>
      <c r="N45" s="10">
        <f t="shared" ref="N45" si="147">N27/N14</f>
        <v>0.11828560733670222</v>
      </c>
      <c r="O45" s="10">
        <f t="shared" ref="O45:P45" si="148">O27/O14</f>
        <v>5.0802703844528938E-2</v>
      </c>
      <c r="P45" s="10">
        <f t="shared" si="148"/>
        <v>9.1102308955656464E-2</v>
      </c>
      <c r="Q45" s="10">
        <f t="shared" ref="Q45:R45" si="149">Q27/Q14</f>
        <v>0.10553583421279862</v>
      </c>
      <c r="R45" s="10">
        <f t="shared" si="149"/>
        <v>0.11690908908856064</v>
      </c>
      <c r="T45" s="10">
        <f t="shared" ref="T45:X45" si="150">T27/T14</f>
        <v>6.6428297036139589E-2</v>
      </c>
      <c r="U45" s="10">
        <f t="shared" si="150"/>
        <v>8.6659963585967004E-2</v>
      </c>
      <c r="V45" s="10">
        <f t="shared" si="150"/>
        <v>0.19640003364454539</v>
      </c>
      <c r="W45" s="10">
        <f t="shared" si="150"/>
        <v>0.13376318233976286</v>
      </c>
      <c r="X45" s="10">
        <f t="shared" si="150"/>
        <v>5.2328836854161363E-2</v>
      </c>
      <c r="Y45" s="10">
        <f>Y27/Y14</f>
        <v>0.10172300343625862</v>
      </c>
      <c r="Z45" s="10">
        <f t="shared" ref="Z45:AJ45" si="151">Z27/Z14</f>
        <v>9.2373110286479154E-2</v>
      </c>
      <c r="AA45" s="10">
        <f t="shared" si="151"/>
        <v>9.7552295331837888E-2</v>
      </c>
      <c r="AB45" s="10">
        <f t="shared" si="151"/>
        <v>9.8275512777482005E-2</v>
      </c>
      <c r="AC45" s="10">
        <f t="shared" si="151"/>
        <v>9.8991639856011948E-2</v>
      </c>
      <c r="AD45" s="10">
        <f t="shared" si="151"/>
        <v>9.9159230624221648E-2</v>
      </c>
      <c r="AE45" s="10">
        <f t="shared" si="151"/>
        <v>9.9327817623384385E-2</v>
      </c>
      <c r="AF45" s="10">
        <f t="shared" si="151"/>
        <v>9.9497401507847916E-2</v>
      </c>
      <c r="AG45" s="10">
        <f t="shared" si="151"/>
        <v>9.966798284238601E-2</v>
      </c>
      <c r="AH45" s="10">
        <f t="shared" si="151"/>
        <v>9.9839562101048163E-2</v>
      </c>
      <c r="AI45" s="10">
        <f t="shared" si="151"/>
        <v>0.10001213966601551</v>
      </c>
      <c r="AJ45" s="10">
        <f t="shared" si="151"/>
        <v>0.10018571582646479</v>
      </c>
      <c r="AL45" s="1" t="s">
        <v>61</v>
      </c>
      <c r="AM45" s="7" t="s">
        <v>76</v>
      </c>
    </row>
    <row r="49" spans="2:26" s="12" customFormat="1" x14ac:dyDescent="0.3">
      <c r="B49" s="12" t="s">
        <v>62</v>
      </c>
      <c r="P49" s="12">
        <v>49451</v>
      </c>
      <c r="Q49" s="12">
        <v>49300</v>
      </c>
      <c r="Z49" s="12">
        <v>49300</v>
      </c>
    </row>
    <row r="51" spans="2:26" x14ac:dyDescent="0.3">
      <c r="B51" s="1" t="s">
        <v>63</v>
      </c>
      <c r="P51" s="13">
        <f>Main!$D$9/Model!P49</f>
        <v>2.0214995247821075</v>
      </c>
      <c r="Q51" s="13">
        <f>Main!$D$9/Model!Q49</f>
        <v>2.0276911359026366</v>
      </c>
      <c r="Z51" s="13">
        <f>Main!$D$9/Model!Z49</f>
        <v>2.0276911359026366</v>
      </c>
    </row>
    <row r="52" spans="2:26" x14ac:dyDescent="0.3">
      <c r="B52" s="1" t="s">
        <v>64</v>
      </c>
      <c r="P52" s="10">
        <f>P49/Main!$D$9-1</f>
        <v>-0.50531771700130002</v>
      </c>
      <c r="Q52" s="10">
        <f>Q49/Main!$D$9-1</f>
        <v>-0.50682824307221475</v>
      </c>
      <c r="Z52" s="10">
        <f>Z49/Main!$D$9-1</f>
        <v>-0.50682824307221475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2025-04-24T08:13:47Z</dcterms:created>
  <dcterms:modified xsi:type="dcterms:W3CDTF">2025-10-25T08:27:31Z</dcterms:modified>
</cp:coreProperties>
</file>