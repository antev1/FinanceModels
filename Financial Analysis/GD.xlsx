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0A29DCD-C5FA-4BA5-B961-82AECA87F410}" xr6:coauthVersionLast="47" xr6:coauthVersionMax="47" xr10:uidLastSave="{00000000-0000-0000-0000-000000000000}"/>
  <bookViews>
    <workbookView xWindow="-108" yWindow="-108" windowWidth="23256" windowHeight="12576" activeTab="1" xr2:uid="{A369EDEE-6FD8-4295-94F6-F7056E8D0FA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3" i="2" l="1"/>
  <c r="AG3" i="2"/>
  <c r="AF3" i="2"/>
  <c r="AE3" i="2"/>
  <c r="AD3" i="2"/>
  <c r="AC3" i="2"/>
  <c r="L29" i="2"/>
  <c r="L28" i="2"/>
  <c r="L27" i="2"/>
  <c r="L25" i="2"/>
  <c r="L24" i="2"/>
  <c r="L23" i="2"/>
  <c r="L17" i="2"/>
  <c r="L14" i="2"/>
  <c r="L8" i="2"/>
  <c r="L5" i="2"/>
  <c r="P5" i="2"/>
  <c r="P8" i="2"/>
  <c r="P9" i="2"/>
  <c r="P11" i="2"/>
  <c r="P14" i="2"/>
  <c r="P16" i="2" s="1"/>
  <c r="P18" i="2" s="1"/>
  <c r="P17" i="2"/>
  <c r="P24" i="2"/>
  <c r="P23" i="2"/>
  <c r="P26" i="2"/>
  <c r="AM17" i="2"/>
  <c r="AL17" i="2"/>
  <c r="AK17" i="2"/>
  <c r="AJ17" i="2"/>
  <c r="AI17" i="2"/>
  <c r="AH17" i="2"/>
  <c r="AG17" i="2"/>
  <c r="AF17" i="2"/>
  <c r="AE17" i="2"/>
  <c r="AD17" i="2"/>
  <c r="AC17" i="2"/>
  <c r="D4" i="1"/>
  <c r="AP27" i="2"/>
  <c r="AP24" i="2"/>
  <c r="AE13" i="2"/>
  <c r="AF13" i="2" s="1"/>
  <c r="AG13" i="2" s="1"/>
  <c r="AH13" i="2" s="1"/>
  <c r="AI13" i="2" s="1"/>
  <c r="AJ13" i="2" s="1"/>
  <c r="AK13" i="2" s="1"/>
  <c r="AL13" i="2" s="1"/>
  <c r="AM13" i="2" s="1"/>
  <c r="AD13" i="2"/>
  <c r="AD12" i="2"/>
  <c r="AE12" i="2" s="1"/>
  <c r="AF12" i="2" s="1"/>
  <c r="AG12" i="2" s="1"/>
  <c r="AC13" i="2"/>
  <c r="AC12" i="2"/>
  <c r="AF10" i="2"/>
  <c r="AG10" i="2" s="1"/>
  <c r="AE10" i="2"/>
  <c r="AD10" i="2"/>
  <c r="AC10" i="2"/>
  <c r="AD26" i="2" s="1"/>
  <c r="AM24" i="2"/>
  <c r="AL24" i="2"/>
  <c r="AK24" i="2"/>
  <c r="AJ24" i="2"/>
  <c r="AI24" i="2"/>
  <c r="AH24" i="2"/>
  <c r="AG24" i="2"/>
  <c r="AF24" i="2"/>
  <c r="AE24" i="2"/>
  <c r="AD24" i="2"/>
  <c r="AC24" i="2"/>
  <c r="AC23" i="2"/>
  <c r="AC22" i="2"/>
  <c r="AM21" i="2"/>
  <c r="AL21" i="2"/>
  <c r="AK21" i="2"/>
  <c r="AJ21" i="2"/>
  <c r="AI21" i="2"/>
  <c r="AH21" i="2"/>
  <c r="AG21" i="2"/>
  <c r="AF21" i="2"/>
  <c r="AE21" i="2"/>
  <c r="AD21" i="2"/>
  <c r="AC21" i="2"/>
  <c r="AD20" i="2"/>
  <c r="AC20" i="2"/>
  <c r="AC8" i="2"/>
  <c r="AM7" i="2"/>
  <c r="AL7" i="2"/>
  <c r="AK7" i="2"/>
  <c r="AJ7" i="2"/>
  <c r="AI7" i="2"/>
  <c r="AH7" i="2"/>
  <c r="AG7" i="2"/>
  <c r="AF7" i="2"/>
  <c r="AE7" i="2"/>
  <c r="AD7" i="2"/>
  <c r="AC7" i="2"/>
  <c r="AC6" i="2"/>
  <c r="AD5" i="2"/>
  <c r="AD22" i="2" s="1"/>
  <c r="AC5" i="2"/>
  <c r="AJ4" i="2"/>
  <c r="AK4" i="2" s="1"/>
  <c r="AL4" i="2" s="1"/>
  <c r="AM4" i="2" s="1"/>
  <c r="AI4" i="2"/>
  <c r="AF4" i="2"/>
  <c r="AG4" i="2" s="1"/>
  <c r="AH4" i="2" s="1"/>
  <c r="AE4" i="2"/>
  <c r="AD4" i="2"/>
  <c r="AD6" i="2"/>
  <c r="AC4" i="2"/>
  <c r="AA29" i="2"/>
  <c r="Z29" i="2"/>
  <c r="Y29" i="2"/>
  <c r="X29" i="2"/>
  <c r="W29" i="2"/>
  <c r="V29" i="2"/>
  <c r="U29" i="2"/>
  <c r="T29" i="2"/>
  <c r="AA28" i="2"/>
  <c r="Z28" i="2"/>
  <c r="Y28" i="2"/>
  <c r="X28" i="2"/>
  <c r="W28" i="2"/>
  <c r="V28" i="2"/>
  <c r="U28" i="2"/>
  <c r="T28" i="2"/>
  <c r="AA27" i="2"/>
  <c r="Z27" i="2"/>
  <c r="Y27" i="2"/>
  <c r="X27" i="2"/>
  <c r="W27" i="2"/>
  <c r="V27" i="2"/>
  <c r="U27" i="2"/>
  <c r="T27" i="2"/>
  <c r="AA26" i="2"/>
  <c r="Z26" i="2"/>
  <c r="Y26" i="2"/>
  <c r="X26" i="2"/>
  <c r="W26" i="2"/>
  <c r="V26" i="2"/>
  <c r="U26" i="2"/>
  <c r="AA25" i="2"/>
  <c r="Z25" i="2"/>
  <c r="Y25" i="2"/>
  <c r="X25" i="2"/>
  <c r="W25" i="2"/>
  <c r="V25" i="2"/>
  <c r="U25" i="2"/>
  <c r="T25" i="2"/>
  <c r="AA24" i="2"/>
  <c r="Z24" i="2"/>
  <c r="Y24" i="2"/>
  <c r="X24" i="2"/>
  <c r="W24" i="2"/>
  <c r="V24" i="2"/>
  <c r="U24" i="2"/>
  <c r="T24" i="2"/>
  <c r="AA23" i="2"/>
  <c r="Z23" i="2"/>
  <c r="Y23" i="2"/>
  <c r="X23" i="2"/>
  <c r="W23" i="2"/>
  <c r="V23" i="2"/>
  <c r="U23" i="2"/>
  <c r="T23" i="2"/>
  <c r="AA22" i="2"/>
  <c r="Z22" i="2"/>
  <c r="Y22" i="2"/>
  <c r="X22" i="2"/>
  <c r="W22" i="2"/>
  <c r="V22" i="2"/>
  <c r="U22" i="2"/>
  <c r="AA21" i="2"/>
  <c r="Z21" i="2"/>
  <c r="Y21" i="2"/>
  <c r="X21" i="2"/>
  <c r="W21" i="2"/>
  <c r="V21" i="2"/>
  <c r="U21" i="2"/>
  <c r="AA20" i="2"/>
  <c r="Z20" i="2"/>
  <c r="Y20" i="2"/>
  <c r="X20" i="2"/>
  <c r="W20" i="2"/>
  <c r="V20" i="2"/>
  <c r="U20" i="2"/>
  <c r="AB26" i="2"/>
  <c r="AB22" i="2"/>
  <c r="AB21" i="2"/>
  <c r="AB20" i="2"/>
  <c r="AB24" i="2"/>
  <c r="AB23" i="2"/>
  <c r="K29" i="2"/>
  <c r="K28" i="2"/>
  <c r="K27" i="2"/>
  <c r="K25" i="2"/>
  <c r="K24" i="2"/>
  <c r="K23" i="2"/>
  <c r="O29" i="2"/>
  <c r="O28" i="2"/>
  <c r="O27" i="2"/>
  <c r="O26" i="2"/>
  <c r="O25" i="2"/>
  <c r="O24" i="2"/>
  <c r="O23" i="2"/>
  <c r="O22" i="2"/>
  <c r="O21" i="2"/>
  <c r="O20" i="2"/>
  <c r="T15" i="2"/>
  <c r="T17" i="2"/>
  <c r="T8" i="2"/>
  <c r="T5" i="2"/>
  <c r="U11" i="2"/>
  <c r="U17" i="2"/>
  <c r="U8" i="2"/>
  <c r="U5" i="2"/>
  <c r="V15" i="2"/>
  <c r="V17" i="2"/>
  <c r="V8" i="2"/>
  <c r="V5" i="2"/>
  <c r="W17" i="2"/>
  <c r="W8" i="2"/>
  <c r="W5" i="2"/>
  <c r="X17" i="2"/>
  <c r="X8" i="2"/>
  <c r="X5" i="2"/>
  <c r="Y17" i="2"/>
  <c r="Y8" i="2"/>
  <c r="Y5" i="2"/>
  <c r="O5" i="2"/>
  <c r="O9" i="2" s="1"/>
  <c r="O11" i="2" s="1"/>
  <c r="O14" i="2" s="1"/>
  <c r="O16" i="2" s="1"/>
  <c r="O18" i="2" s="1"/>
  <c r="O8" i="2"/>
  <c r="O17" i="2"/>
  <c r="Z17" i="2"/>
  <c r="Z8" i="2"/>
  <c r="Z5" i="2"/>
  <c r="AA17" i="2"/>
  <c r="AA8" i="2"/>
  <c r="AA5" i="2"/>
  <c r="AB17" i="2"/>
  <c r="AB8" i="2"/>
  <c r="AB5" i="2"/>
  <c r="K17" i="2"/>
  <c r="K8" i="2"/>
  <c r="K5" i="2"/>
  <c r="AE6" i="2" l="1"/>
  <c r="AE8" i="2" s="1"/>
  <c r="AD23" i="2"/>
  <c r="AD8" i="2"/>
  <c r="AD9" i="2" s="1"/>
  <c r="AC9" i="2"/>
  <c r="AE5" i="2"/>
  <c r="AE20" i="2"/>
  <c r="L9" i="2"/>
  <c r="L11" i="2" s="1"/>
  <c r="L16" i="2" s="1"/>
  <c r="L18" i="2" s="1"/>
  <c r="P22" i="2"/>
  <c r="P20" i="2"/>
  <c r="P21" i="2"/>
  <c r="P27" i="2"/>
  <c r="AH12" i="2"/>
  <c r="AG26" i="2"/>
  <c r="AH10" i="2"/>
  <c r="AF26" i="2"/>
  <c r="AE26" i="2"/>
  <c r="AC26" i="2"/>
  <c r="T9" i="2"/>
  <c r="T11" i="2" s="1"/>
  <c r="T14" i="2" s="1"/>
  <c r="T16" i="2" s="1"/>
  <c r="T18" i="2" s="1"/>
  <c r="U9" i="2"/>
  <c r="U14" i="2" s="1"/>
  <c r="U16" i="2" s="1"/>
  <c r="U18" i="2" s="1"/>
  <c r="V9" i="2"/>
  <c r="V11" i="2" s="1"/>
  <c r="V14" i="2" s="1"/>
  <c r="V16" i="2" s="1"/>
  <c r="V18" i="2" s="1"/>
  <c r="W9" i="2"/>
  <c r="W11" i="2" s="1"/>
  <c r="W14" i="2" s="1"/>
  <c r="W16" i="2" s="1"/>
  <c r="W18" i="2" s="1"/>
  <c r="X9" i="2"/>
  <c r="X11" i="2" s="1"/>
  <c r="X14" i="2" s="1"/>
  <c r="X16" i="2" s="1"/>
  <c r="X18" i="2" s="1"/>
  <c r="Y9" i="2"/>
  <c r="Y11" i="2" s="1"/>
  <c r="Y14" i="2" s="1"/>
  <c r="Y16" i="2" s="1"/>
  <c r="Y18" i="2" s="1"/>
  <c r="Z9" i="2"/>
  <c r="Z11" i="2" s="1"/>
  <c r="Z14" i="2" s="1"/>
  <c r="Z16" i="2" s="1"/>
  <c r="Z18" i="2" s="1"/>
  <c r="AA9" i="2"/>
  <c r="AA11" i="2" s="1"/>
  <c r="AA14" i="2" s="1"/>
  <c r="AA16" i="2" s="1"/>
  <c r="AA18" i="2" s="1"/>
  <c r="AB9" i="2"/>
  <c r="K9" i="2"/>
  <c r="K11" i="2" s="1"/>
  <c r="K14" i="2" s="1"/>
  <c r="K16" i="2" s="1"/>
  <c r="K18" i="2" s="1"/>
  <c r="AE23" i="2" l="1"/>
  <c r="AC25" i="2"/>
  <c r="AC11" i="2"/>
  <c r="AE9" i="2"/>
  <c r="AE22" i="2"/>
  <c r="AD11" i="2"/>
  <c r="AD25" i="2"/>
  <c r="AF20" i="2"/>
  <c r="AF5" i="2"/>
  <c r="AF6" i="2"/>
  <c r="AF8" i="2" s="1"/>
  <c r="P25" i="2"/>
  <c r="P28" i="2"/>
  <c r="AI12" i="2"/>
  <c r="AH26" i="2"/>
  <c r="AI10" i="2"/>
  <c r="AB11" i="2"/>
  <c r="AB25" i="2"/>
  <c r="D8" i="1"/>
  <c r="D7" i="1"/>
  <c r="D6" i="1"/>
  <c r="D5" i="1"/>
  <c r="D9" i="1" s="1"/>
  <c r="F3" i="1"/>
  <c r="AE11" i="2" l="1"/>
  <c r="AE25" i="2"/>
  <c r="AG20" i="2"/>
  <c r="AG5" i="2"/>
  <c r="AG6" i="2"/>
  <c r="AG8" i="2" s="1"/>
  <c r="AC27" i="2"/>
  <c r="AC14" i="2"/>
  <c r="AF9" i="2"/>
  <c r="AF22" i="2"/>
  <c r="AF23" i="2"/>
  <c r="AD14" i="2"/>
  <c r="AD27" i="2"/>
  <c r="P29" i="2"/>
  <c r="AJ12" i="2"/>
  <c r="AI26" i="2"/>
  <c r="AJ10" i="2"/>
  <c r="AB14" i="2"/>
  <c r="AB27" i="2"/>
  <c r="AE27" i="2" l="1"/>
  <c r="AE14" i="2"/>
  <c r="AF11" i="2"/>
  <c r="AF25" i="2"/>
  <c r="AC15" i="2"/>
  <c r="AC28" i="2" s="1"/>
  <c r="AC16" i="2"/>
  <c r="AH20" i="2"/>
  <c r="AH5" i="2"/>
  <c r="AH22" i="2" s="1"/>
  <c r="AI3" i="2"/>
  <c r="AH6" i="2"/>
  <c r="AH8" i="2" s="1"/>
  <c r="AG22" i="2"/>
  <c r="AG9" i="2"/>
  <c r="AD15" i="2"/>
  <c r="AD28" i="2" s="1"/>
  <c r="AG23" i="2"/>
  <c r="AK12" i="2"/>
  <c r="AJ26" i="2"/>
  <c r="AK10" i="2"/>
  <c r="AB16" i="2"/>
  <c r="AB28" i="2"/>
  <c r="AH9" i="2" l="1"/>
  <c r="AH11" i="2" s="1"/>
  <c r="AJ3" i="2"/>
  <c r="AI6" i="2"/>
  <c r="AI8" i="2" s="1"/>
  <c r="AI23" i="2"/>
  <c r="AI20" i="2"/>
  <c r="AI5" i="2"/>
  <c r="AI22" i="2" s="1"/>
  <c r="AC18" i="2"/>
  <c r="AC29" i="2"/>
  <c r="AE15" i="2"/>
  <c r="AE28" i="2" s="1"/>
  <c r="AD16" i="2"/>
  <c r="AG11" i="2"/>
  <c r="AG25" i="2"/>
  <c r="AH23" i="2"/>
  <c r="AF14" i="2"/>
  <c r="AF27" i="2"/>
  <c r="AL12" i="2"/>
  <c r="AL10" i="2"/>
  <c r="AK26" i="2"/>
  <c r="AB18" i="2"/>
  <c r="AB29" i="2"/>
  <c r="AE16" i="2" l="1"/>
  <c r="AE29" i="2" s="1"/>
  <c r="AH25" i="2"/>
  <c r="AI9" i="2"/>
  <c r="AK3" i="2"/>
  <c r="AJ20" i="2"/>
  <c r="AJ5" i="2"/>
  <c r="AJ22" i="2" s="1"/>
  <c r="AJ6" i="2"/>
  <c r="AJ8" i="2" s="1"/>
  <c r="AJ9" i="2" s="1"/>
  <c r="AG27" i="2"/>
  <c r="AG14" i="2"/>
  <c r="AD29" i="2"/>
  <c r="AD18" i="2"/>
  <c r="AF15" i="2"/>
  <c r="AF28" i="2" s="1"/>
  <c r="AH27" i="2"/>
  <c r="AH14" i="2"/>
  <c r="AM12" i="2"/>
  <c r="AM10" i="2"/>
  <c r="AM26" i="2" s="1"/>
  <c r="AL26" i="2"/>
  <c r="AE18" i="2" l="1"/>
  <c r="AF16" i="2"/>
  <c r="AF29" i="2" s="1"/>
  <c r="AJ23" i="2"/>
  <c r="AH15" i="2"/>
  <c r="AH28" i="2" s="1"/>
  <c r="AH16" i="2"/>
  <c r="AG15" i="2"/>
  <c r="AG28" i="2" s="1"/>
  <c r="AL3" i="2"/>
  <c r="AK6" i="2"/>
  <c r="AK8" i="2" s="1"/>
  <c r="AK5" i="2"/>
  <c r="AK22" i="2" s="1"/>
  <c r="AK20" i="2"/>
  <c r="AI11" i="2"/>
  <c r="AI25" i="2"/>
  <c r="AJ11" i="2"/>
  <c r="AJ25" i="2"/>
  <c r="AK23" i="2" l="1"/>
  <c r="AK9" i="2"/>
  <c r="AK11" i="2" s="1"/>
  <c r="AF18" i="2"/>
  <c r="AJ27" i="2"/>
  <c r="AJ14" i="2"/>
  <c r="AG16" i="2"/>
  <c r="AM3" i="2"/>
  <c r="AL6" i="2"/>
  <c r="AL8" i="2" s="1"/>
  <c r="AL5" i="2"/>
  <c r="AL22" i="2" s="1"/>
  <c r="AL20" i="2"/>
  <c r="AK25" i="2"/>
  <c r="AI27" i="2"/>
  <c r="AI14" i="2"/>
  <c r="AH29" i="2"/>
  <c r="AH18" i="2"/>
  <c r="AL9" i="2" l="1"/>
  <c r="AL25" i="2" s="1"/>
  <c r="AL23" i="2"/>
  <c r="AM6" i="2"/>
  <c r="AM8" i="2" s="1"/>
  <c r="AM5" i="2"/>
  <c r="AM20" i="2"/>
  <c r="AG18" i="2"/>
  <c r="AG29" i="2"/>
  <c r="AJ15" i="2"/>
  <c r="AJ28" i="2" s="1"/>
  <c r="AI15" i="2"/>
  <c r="AI28" i="2" s="1"/>
  <c r="AK27" i="2"/>
  <c r="AK14" i="2"/>
  <c r="AL11" i="2" l="1"/>
  <c r="AL27" i="2" s="1"/>
  <c r="AM23" i="2"/>
  <c r="AI16" i="2"/>
  <c r="AL14" i="2"/>
  <c r="AK15" i="2"/>
  <c r="AK28" i="2" s="1"/>
  <c r="AI29" i="2"/>
  <c r="AI18" i="2"/>
  <c r="AJ16" i="2"/>
  <c r="AM22" i="2"/>
  <c r="AM9" i="2"/>
  <c r="AK16" i="2" l="1"/>
  <c r="AM11" i="2"/>
  <c r="AM25" i="2"/>
  <c r="AJ18" i="2"/>
  <c r="AJ29" i="2"/>
  <c r="AL15" i="2"/>
  <c r="AL28" i="2" s="1"/>
  <c r="AK18" i="2" l="1"/>
  <c r="AK29" i="2"/>
  <c r="AL16" i="2"/>
  <c r="AM27" i="2"/>
  <c r="AM14" i="2"/>
  <c r="AM15" i="2" l="1"/>
  <c r="AM28" i="2" s="1"/>
  <c r="AL29" i="2"/>
  <c r="AL18" i="2"/>
  <c r="AM16" i="2" l="1"/>
  <c r="AN16" i="2" l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AP23" i="2" s="1"/>
  <c r="AP25" i="2" s="1"/>
  <c r="AP26" i="2" s="1"/>
  <c r="AP28" i="2" s="1"/>
  <c r="AM18" i="2"/>
  <c r="AM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T15" authorId="0" shapeId="0" xr:uid="{C9197EFE-D1B2-4971-A756-6AB827312A6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  <comment ref="V15" authorId="0" shapeId="0" xr:uid="{DDEA1B86-1DC1-4E03-9A8C-F27112CE360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</commentList>
</comments>
</file>

<file path=xl/sharedStrings.xml><?xml version="1.0" encoding="utf-8"?>
<sst xmlns="http://schemas.openxmlformats.org/spreadsheetml/2006/main" count="66" uniqueCount="61">
  <si>
    <t>GD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</si>
  <si>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</si>
  <si>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</si>
  <si>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</si>
  <si>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</si>
  <si>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</si>
  <si>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</si>
  <si>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</si>
  <si>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</si>
  <si>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</si>
  <si>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</si>
  <si>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</si>
  <si>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</si>
  <si>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</si>
  <si>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</si>
  <si>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</si>
  <si>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</si>
  <si>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</si>
  <si>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</si>
  <si>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Taxes</t>
  </si>
  <si>
    <t>Net Margin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</si>
  <si>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</si>
  <si>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</si>
  <si>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</si>
  <si>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</si>
  <si>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</si>
  <si>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</si>
  <si>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</si>
  <si>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</si>
  <si>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Operating profit</t>
  </si>
  <si>
    <t>Other income</t>
  </si>
  <si>
    <t>Interest expense</t>
  </si>
  <si>
    <t>Pretax profit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</si>
  <si>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</si>
  <si>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</si>
  <si>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</si>
  <si>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</si>
  <si>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</si>
  <si>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</si>
  <si>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</si>
  <si>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</si>
  <si>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</si>
  <si>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</si>
  <si>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</si>
  <si>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</si>
  <si>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</si>
  <si>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</si>
  <si>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</si>
  <si>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</si>
  <si>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</si>
  <si>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SG&amp;A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</si>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</sst>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30480</xdr:colOff>
      <xdr:row>0</xdr:row>
      <xdr:rowOff>0</xdr:rowOff>
    </xdr:from>
    <xdr:to>
      <xdr:col>28</xdr:col>
      <xdr:colOff>30480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C91F88D-337B-5199-8C5A-BD2F902DA5E3}"/>
            </a:ext>
          </a:extLst>
        </xdr:cNvPr>
        <xdr:cNvCxnSpPr/>
      </xdr:nvCxnSpPr>
      <xdr:spPr>
        <a:xfrm>
          <a:off x="1769364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0</xdr:rowOff>
    </xdr:from>
    <xdr:to>
      <xdr:col>16</xdr:col>
      <xdr:colOff>22860</xdr:colOff>
      <xdr:row>33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1E13E44-AABC-8F90-687E-C3893221671A}"/>
            </a:ext>
          </a:extLst>
        </xdr:cNvPr>
        <xdr:cNvCxnSpPr/>
      </xdr:nvCxnSpPr>
      <xdr:spPr>
        <a:xfrm>
          <a:off x="1037082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34F6E-BEA9-44D5-9FB4-6B5E1ADA83B5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77734375" style="5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317.10000000000002</v>
      </c>
      <c r="E3" s="6">
        <v>45862</v>
      </c>
      <c r="F3" s="6">
        <f ca="1">TODAY()</f>
        <v>45862</v>
      </c>
      <c r="G3" s="6">
        <v>45952</v>
      </c>
    </row>
    <row r="4" spans="2:7" x14ac:dyDescent="0.3">
      <c r="C4" s="1" t="s">
        <v>2</v>
      </c>
      <c r="D4" s="4">
        <f>269</f>
        <v>269</v>
      </c>
      <c r="E4" s="5" t="s">
        <v>47</v>
      </c>
    </row>
    <row r="5" spans="2:7" x14ac:dyDescent="0.3">
      <c r="C5" s="1" t="s">
        <v>3</v>
      </c>
      <c r="D5" s="4">
        <f>D3*D4</f>
        <v>85299.900000000009</v>
      </c>
    </row>
    <row r="6" spans="2:7" x14ac:dyDescent="0.3">
      <c r="C6" s="1" t="s">
        <v>4</v>
      </c>
      <c r="D6" s="4">
        <f>1242</f>
        <v>1242</v>
      </c>
      <c r="E6" s="5" t="s">
        <v>11</v>
      </c>
    </row>
    <row r="7" spans="2:7" x14ac:dyDescent="0.3">
      <c r="C7" s="1" t="s">
        <v>5</v>
      </c>
      <c r="D7" s="4">
        <f>2349+7260</f>
        <v>9609</v>
      </c>
      <c r="E7" s="5" t="s">
        <v>11</v>
      </c>
    </row>
    <row r="8" spans="2:7" x14ac:dyDescent="0.3">
      <c r="C8" s="1" t="s">
        <v>6</v>
      </c>
      <c r="D8" s="4">
        <f>D6-D7</f>
        <v>-8367</v>
      </c>
    </row>
    <row r="9" spans="2:7" x14ac:dyDescent="0.3">
      <c r="C9" s="1" t="s">
        <v>7</v>
      </c>
      <c r="D9" s="4">
        <f>D5-D8</f>
        <v>93666.900000000009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99F9A-E22D-4D40-9B20-C92ED4255DDB}">
  <dimension ref="B2:EH29"/>
  <sheetViews>
    <sheetView tabSelected="1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P5" sqref="P5"/>
    </sheetView>
  </sheetViews>
  <sheetFormatPr defaultRowHeight="14.4" x14ac:dyDescent="0.3"/>
  <cols>
    <col min="1" max="1" width="8.88671875" style="1"/>
    <col min="2" max="2" width="17.5546875" style="1" bestFit="1" customWidth="1"/>
    <col min="3" max="40" width="8.88671875" style="1"/>
    <col min="41" max="41" width="11.88671875" style="1" bestFit="1" customWidth="1"/>
    <col min="42" max="42" width="16.109375" style="1" customWidth="1"/>
    <col min="43" max="16384" width="8.88671875" style="1"/>
  </cols>
  <sheetData>
    <row r="2" spans="2:138" x14ac:dyDescent="0.3">
      <c r="C2" s="7" t="s">
        <v>35</v>
      </c>
      <c r="D2" s="7" t="s">
        <v>36</v>
      </c>
      <c r="E2" s="7" t="s">
        <v>37</v>
      </c>
      <c r="F2" s="7" t="s">
        <v>38</v>
      </c>
      <c r="G2" s="7" t="s">
        <v>39</v>
      </c>
      <c r="H2" s="7" t="s">
        <v>40</v>
      </c>
      <c r="I2" s="7" t="s">
        <v>41</v>
      </c>
      <c r="J2" s="7" t="s">
        <v>42</v>
      </c>
      <c r="K2" s="7" t="s">
        <v>43</v>
      </c>
      <c r="L2" s="7" t="s">
        <v>44</v>
      </c>
      <c r="M2" s="7" t="s">
        <v>45</v>
      </c>
      <c r="N2" s="7" t="s">
        <v>46</v>
      </c>
      <c r="O2" s="7" t="s">
        <v>11</v>
      </c>
      <c r="P2" s="7" t="s">
        <v>47</v>
      </c>
      <c r="Q2" s="7" t="s">
        <v>48</v>
      </c>
      <c r="R2" s="7" t="s">
        <v>49</v>
      </c>
      <c r="T2" s="1">
        <v>2016</v>
      </c>
      <c r="U2" s="1">
        <v>2017</v>
      </c>
      <c r="V2" s="1">
        <v>2018</v>
      </c>
      <c r="W2" s="1">
        <v>2019</v>
      </c>
      <c r="X2" s="1">
        <v>2020</v>
      </c>
      <c r="Y2" s="1">
        <v>2021</v>
      </c>
      <c r="Z2" s="1">
        <v>2022</v>
      </c>
      <c r="AA2" s="1">
        <v>2023</v>
      </c>
      <c r="AB2" s="1">
        <v>2024</v>
      </c>
      <c r="AC2" s="1">
        <v>2025</v>
      </c>
      <c r="AD2" s="1">
        <v>2026</v>
      </c>
      <c r="AE2" s="1">
        <v>2027</v>
      </c>
      <c r="AF2" s="1">
        <v>2028</v>
      </c>
      <c r="AG2" s="1">
        <v>2029</v>
      </c>
      <c r="AH2" s="1">
        <v>2030</v>
      </c>
      <c r="AI2" s="1">
        <v>2031</v>
      </c>
      <c r="AJ2" s="1">
        <v>2032</v>
      </c>
      <c r="AK2" s="1">
        <v>2033</v>
      </c>
      <c r="AL2" s="1">
        <v>2034</v>
      </c>
      <c r="AM2" s="1">
        <v>2035</v>
      </c>
    </row>
    <row r="3" spans="2:138" x14ac:dyDescent="0.3">
      <c r="B3" s="1" t="s">
        <v>21</v>
      </c>
      <c r="K3" s="4">
        <v>6134</v>
      </c>
      <c r="L3" s="4">
        <v>7160</v>
      </c>
      <c r="O3" s="4">
        <v>7334</v>
      </c>
      <c r="P3" s="4">
        <v>8012</v>
      </c>
      <c r="T3" s="4">
        <v>19010</v>
      </c>
      <c r="U3" s="4">
        <v>19016</v>
      </c>
      <c r="V3" s="4">
        <v>20149</v>
      </c>
      <c r="W3" s="4">
        <v>23130</v>
      </c>
      <c r="X3" s="4">
        <v>22188</v>
      </c>
      <c r="Y3" s="4">
        <v>22428</v>
      </c>
      <c r="Z3" s="4">
        <v>23022</v>
      </c>
      <c r="AA3" s="4">
        <v>24595</v>
      </c>
      <c r="AB3" s="4">
        <v>28635</v>
      </c>
      <c r="AC3" s="4">
        <f>AB3*1.12</f>
        <v>32071.200000000004</v>
      </c>
      <c r="AD3" s="4">
        <f>AC3*1.08</f>
        <v>34636.896000000008</v>
      </c>
      <c r="AE3" s="4">
        <f>AD3*1.05</f>
        <v>36368.740800000007</v>
      </c>
      <c r="AF3" s="4">
        <f>AE3*1.04</f>
        <v>37823.490432000006</v>
      </c>
      <c r="AG3" s="4">
        <f>AF3*1.03</f>
        <v>38958.195144960009</v>
      </c>
      <c r="AH3" s="4">
        <f>AG3*1.02</f>
        <v>39737.359047859209</v>
      </c>
      <c r="AI3" s="4">
        <f t="shared" ref="AI3:AM3" si="0">AH3*1.01</f>
        <v>40134.732638337802</v>
      </c>
      <c r="AJ3" s="4">
        <f t="shared" si="0"/>
        <v>40536.079964721182</v>
      </c>
      <c r="AK3" s="4">
        <f t="shared" si="0"/>
        <v>40941.440764368395</v>
      </c>
      <c r="AL3" s="4">
        <f t="shared" si="0"/>
        <v>41350.855172012081</v>
      </c>
      <c r="AM3" s="4">
        <f t="shared" si="0"/>
        <v>41764.363723732204</v>
      </c>
    </row>
    <row r="4" spans="2:138" x14ac:dyDescent="0.3">
      <c r="B4" s="1" t="s">
        <v>22</v>
      </c>
      <c r="K4" s="4">
        <v>4597</v>
      </c>
      <c r="L4" s="4">
        <v>4816</v>
      </c>
      <c r="O4" s="4">
        <v>4889</v>
      </c>
      <c r="P4" s="4">
        <v>5029</v>
      </c>
      <c r="T4" s="4">
        <v>11551</v>
      </c>
      <c r="U4" s="4">
        <v>11957</v>
      </c>
      <c r="V4" s="4">
        <v>16044</v>
      </c>
      <c r="W4" s="4">
        <v>16220</v>
      </c>
      <c r="X4" s="4">
        <v>15737</v>
      </c>
      <c r="Y4" s="4">
        <v>16041</v>
      </c>
      <c r="Z4" s="4">
        <v>16385</v>
      </c>
      <c r="AA4" s="4">
        <v>17677</v>
      </c>
      <c r="AB4" s="4">
        <v>19081</v>
      </c>
      <c r="AC4" s="4">
        <f>AB4*1.05</f>
        <v>20035.05</v>
      </c>
      <c r="AD4" s="4">
        <f>AC4*1.04</f>
        <v>20836.452000000001</v>
      </c>
      <c r="AE4" s="4">
        <f>AD4*1.03</f>
        <v>21461.545560000002</v>
      </c>
      <c r="AF4" s="4">
        <f t="shared" ref="AF4:AH4" si="1">AE4*1.03</f>
        <v>22105.391926800003</v>
      </c>
      <c r="AG4" s="4">
        <f t="shared" si="1"/>
        <v>22768.553684604005</v>
      </c>
      <c r="AH4" s="4">
        <f t="shared" si="1"/>
        <v>23451.610295142127</v>
      </c>
      <c r="AI4" s="4">
        <f>AH4*1.02</f>
        <v>23920.642501044971</v>
      </c>
      <c r="AJ4" s="4">
        <f t="shared" ref="AJ4:AM4" si="2">AI4*1.02</f>
        <v>24399.055351065872</v>
      </c>
      <c r="AK4" s="4">
        <f t="shared" si="2"/>
        <v>24887.03645808719</v>
      </c>
      <c r="AL4" s="4">
        <f t="shared" si="2"/>
        <v>25384.777187248936</v>
      </c>
      <c r="AM4" s="4">
        <f t="shared" si="2"/>
        <v>25892.472730993915</v>
      </c>
    </row>
    <row r="5" spans="2:138" s="2" customFormat="1" x14ac:dyDescent="0.3">
      <c r="B5" s="2" t="s">
        <v>23</v>
      </c>
      <c r="K5" s="9">
        <f>K3+K4</f>
        <v>10731</v>
      </c>
      <c r="L5" s="9">
        <f>L3+L4</f>
        <v>11976</v>
      </c>
      <c r="O5" s="9">
        <f>O3+O4</f>
        <v>12223</v>
      </c>
      <c r="P5" s="9">
        <f>P3+P4</f>
        <v>13041</v>
      </c>
      <c r="T5" s="9">
        <f t="shared" ref="T5:AB5" si="3">T3+T4</f>
        <v>30561</v>
      </c>
      <c r="U5" s="9">
        <f t="shared" si="3"/>
        <v>30973</v>
      </c>
      <c r="V5" s="9">
        <f t="shared" si="3"/>
        <v>36193</v>
      </c>
      <c r="W5" s="9">
        <f t="shared" si="3"/>
        <v>39350</v>
      </c>
      <c r="X5" s="9">
        <f t="shared" si="3"/>
        <v>37925</v>
      </c>
      <c r="Y5" s="9">
        <f t="shared" si="3"/>
        <v>38469</v>
      </c>
      <c r="Z5" s="9">
        <f t="shared" si="3"/>
        <v>39407</v>
      </c>
      <c r="AA5" s="9">
        <f t="shared" si="3"/>
        <v>42272</v>
      </c>
      <c r="AB5" s="9">
        <f t="shared" si="3"/>
        <v>47716</v>
      </c>
      <c r="AC5" s="9">
        <f t="shared" ref="AC5" si="4">AC3+AC4</f>
        <v>52106.25</v>
      </c>
      <c r="AD5" s="9">
        <f t="shared" ref="AD5" si="5">AD3+AD4</f>
        <v>55473.348000000013</v>
      </c>
      <c r="AE5" s="9">
        <f t="shared" ref="AE5" si="6">AE3+AE4</f>
        <v>57830.286360000013</v>
      </c>
      <c r="AF5" s="9">
        <f t="shared" ref="AF5" si="7">AF3+AF4</f>
        <v>59928.882358800009</v>
      </c>
      <c r="AG5" s="9">
        <f t="shared" ref="AG5" si="8">AG3+AG4</f>
        <v>61726.748829564014</v>
      </c>
      <c r="AH5" s="9">
        <f t="shared" ref="AH5" si="9">AH3+AH4</f>
        <v>63188.969343001336</v>
      </c>
      <c r="AI5" s="9">
        <f t="shared" ref="AI5" si="10">AI3+AI4</f>
        <v>64055.37513938277</v>
      </c>
      <c r="AJ5" s="9">
        <f t="shared" ref="AJ5" si="11">AJ3+AJ4</f>
        <v>64935.135315787054</v>
      </c>
      <c r="AK5" s="9">
        <f t="shared" ref="AK5" si="12">AK3+AK4</f>
        <v>65828.477222455578</v>
      </c>
      <c r="AL5" s="9">
        <f t="shared" ref="AL5" si="13">AL3+AL4</f>
        <v>66735.632359261013</v>
      </c>
      <c r="AM5" s="9">
        <f t="shared" ref="AM5" si="14">AM3+AM4</f>
        <v>67656.836454726115</v>
      </c>
    </row>
    <row r="6" spans="2:138" x14ac:dyDescent="0.3">
      <c r="B6" s="1" t="s">
        <v>24</v>
      </c>
      <c r="K6" s="4">
        <v>5189</v>
      </c>
      <c r="L6" s="4">
        <v>6127</v>
      </c>
      <c r="O6" s="4">
        <v>6141</v>
      </c>
      <c r="P6" s="4">
        <v>6823</v>
      </c>
      <c r="T6" s="4">
        <v>15155</v>
      </c>
      <c r="U6" s="4">
        <v>14773</v>
      </c>
      <c r="V6" s="4">
        <v>15894</v>
      </c>
      <c r="W6" s="4">
        <v>18611</v>
      </c>
      <c r="X6" s="4">
        <v>18192</v>
      </c>
      <c r="Y6" s="4">
        <v>18524</v>
      </c>
      <c r="Z6" s="4">
        <v>18981</v>
      </c>
      <c r="AA6" s="4">
        <v>20591</v>
      </c>
      <c r="AB6" s="4">
        <v>24332</v>
      </c>
      <c r="AC6" s="4">
        <f>AC3*0.85</f>
        <v>27260.520000000004</v>
      </c>
      <c r="AD6" s="4">
        <f t="shared" ref="AD6:AM6" si="15">AD3*0.85</f>
        <v>29441.361600000007</v>
      </c>
      <c r="AE6" s="4">
        <f t="shared" si="15"/>
        <v>30913.429680000005</v>
      </c>
      <c r="AF6" s="4">
        <f t="shared" si="15"/>
        <v>32149.966867200004</v>
      </c>
      <c r="AG6" s="4">
        <f t="shared" si="15"/>
        <v>33114.46587321601</v>
      </c>
      <c r="AH6" s="4">
        <f t="shared" si="15"/>
        <v>33776.755190680327</v>
      </c>
      <c r="AI6" s="4">
        <f t="shared" si="15"/>
        <v>34114.522742587134</v>
      </c>
      <c r="AJ6" s="4">
        <f t="shared" si="15"/>
        <v>34455.667970013004</v>
      </c>
      <c r="AK6" s="4">
        <f t="shared" si="15"/>
        <v>34800.224649713135</v>
      </c>
      <c r="AL6" s="4">
        <f t="shared" si="15"/>
        <v>35148.226896210268</v>
      </c>
      <c r="AM6" s="4">
        <f t="shared" si="15"/>
        <v>35499.709165172375</v>
      </c>
    </row>
    <row r="7" spans="2:138" x14ac:dyDescent="0.3">
      <c r="B7" s="1" t="s">
        <v>25</v>
      </c>
      <c r="K7" s="4">
        <v>3879</v>
      </c>
      <c r="L7" s="4">
        <v>4049</v>
      </c>
      <c r="O7" s="4">
        <v>4189</v>
      </c>
      <c r="P7" s="4">
        <v>4269</v>
      </c>
      <c r="T7" s="4">
        <v>9741</v>
      </c>
      <c r="U7" s="4">
        <v>9958</v>
      </c>
      <c r="V7" s="4">
        <v>13584</v>
      </c>
      <c r="W7" s="4">
        <v>13752</v>
      </c>
      <c r="X7" s="4">
        <v>13408</v>
      </c>
      <c r="Y7" s="4">
        <v>13537</v>
      </c>
      <c r="Z7" s="4">
        <v>13804</v>
      </c>
      <c r="AA7" s="4">
        <v>15009</v>
      </c>
      <c r="AB7" s="4">
        <v>16020</v>
      </c>
      <c r="AC7" s="4">
        <f>AC4*0.84</f>
        <v>16829.441999999999</v>
      </c>
      <c r="AD7" s="4">
        <f t="shared" ref="AD7:AM7" si="16">AD4*0.84</f>
        <v>17502.61968</v>
      </c>
      <c r="AE7" s="4">
        <f t="shared" si="16"/>
        <v>18027.6982704</v>
      </c>
      <c r="AF7" s="4">
        <f t="shared" si="16"/>
        <v>18568.529218512002</v>
      </c>
      <c r="AG7" s="4">
        <f t="shared" si="16"/>
        <v>19125.585095067363</v>
      </c>
      <c r="AH7" s="4">
        <f t="shared" si="16"/>
        <v>19699.352647919386</v>
      </c>
      <c r="AI7" s="4">
        <f t="shared" si="16"/>
        <v>20093.339700877776</v>
      </c>
      <c r="AJ7" s="4">
        <f t="shared" si="16"/>
        <v>20495.20649489533</v>
      </c>
      <c r="AK7" s="4">
        <f t="shared" si="16"/>
        <v>20905.11062479324</v>
      </c>
      <c r="AL7" s="4">
        <f t="shared" si="16"/>
        <v>21323.212837289106</v>
      </c>
      <c r="AM7" s="4">
        <f t="shared" si="16"/>
        <v>21749.677094034887</v>
      </c>
    </row>
    <row r="8" spans="2:138" x14ac:dyDescent="0.3">
      <c r="B8" s="1" t="s">
        <v>26</v>
      </c>
      <c r="K8" s="4">
        <f>K6+K7</f>
        <v>9068</v>
      </c>
      <c r="L8" s="4">
        <f>L6+L7</f>
        <v>10176</v>
      </c>
      <c r="O8" s="4">
        <f>O6+O7</f>
        <v>10330</v>
      </c>
      <c r="P8" s="4">
        <f>P6+P7</f>
        <v>11092</v>
      </c>
      <c r="T8" s="4">
        <f t="shared" ref="T8:AB8" si="17">T6+T7</f>
        <v>24896</v>
      </c>
      <c r="U8" s="4">
        <f t="shared" si="17"/>
        <v>24731</v>
      </c>
      <c r="V8" s="4">
        <f t="shared" si="17"/>
        <v>29478</v>
      </c>
      <c r="W8" s="4">
        <f t="shared" si="17"/>
        <v>32363</v>
      </c>
      <c r="X8" s="4">
        <f t="shared" si="17"/>
        <v>31600</v>
      </c>
      <c r="Y8" s="4">
        <f t="shared" si="17"/>
        <v>32061</v>
      </c>
      <c r="Z8" s="4">
        <f t="shared" si="17"/>
        <v>32785</v>
      </c>
      <c r="AA8" s="4">
        <f t="shared" si="17"/>
        <v>35600</v>
      </c>
      <c r="AB8" s="4">
        <f t="shared" si="17"/>
        <v>40352</v>
      </c>
      <c r="AC8" s="4">
        <f t="shared" ref="AC8" si="18">AC6+AC7</f>
        <v>44089.962</v>
      </c>
      <c r="AD8" s="4">
        <f t="shared" ref="AD8" si="19">AD6+AD7</f>
        <v>46943.981280000007</v>
      </c>
      <c r="AE8" s="4">
        <f t="shared" ref="AE8" si="20">AE6+AE7</f>
        <v>48941.127950400005</v>
      </c>
      <c r="AF8" s="4">
        <f t="shared" ref="AF8" si="21">AF6+AF7</f>
        <v>50718.496085712002</v>
      </c>
      <c r="AG8" s="4">
        <f t="shared" ref="AG8" si="22">AG6+AG7</f>
        <v>52240.050968283373</v>
      </c>
      <c r="AH8" s="4">
        <f t="shared" ref="AH8" si="23">AH6+AH7</f>
        <v>53476.10783859971</v>
      </c>
      <c r="AI8" s="4">
        <f t="shared" ref="AI8" si="24">AI6+AI7</f>
        <v>54207.86244346491</v>
      </c>
      <c r="AJ8" s="4">
        <f t="shared" ref="AJ8" si="25">AJ6+AJ7</f>
        <v>54950.874464908338</v>
      </c>
      <c r="AK8" s="4">
        <f t="shared" ref="AK8" si="26">AK6+AK7</f>
        <v>55705.335274506375</v>
      </c>
      <c r="AL8" s="4">
        <f t="shared" ref="AL8" si="27">AL6+AL7</f>
        <v>56471.43973349937</v>
      </c>
      <c r="AM8" s="4">
        <f t="shared" ref="AM8" si="28">AM6+AM7</f>
        <v>57249.386259207262</v>
      </c>
    </row>
    <row r="9" spans="2:138" s="2" customFormat="1" x14ac:dyDescent="0.3">
      <c r="B9" s="2" t="s">
        <v>27</v>
      </c>
      <c r="K9" s="9">
        <f>K5-K8</f>
        <v>1663</v>
      </c>
      <c r="L9" s="9">
        <f>L5-L8</f>
        <v>1800</v>
      </c>
      <c r="O9" s="9">
        <f>O5-O8</f>
        <v>1893</v>
      </c>
      <c r="P9" s="9">
        <f>P5-P8</f>
        <v>1949</v>
      </c>
      <c r="T9" s="9">
        <f t="shared" ref="T9:AB9" si="29">T5-T8</f>
        <v>5665</v>
      </c>
      <c r="U9" s="9">
        <f t="shared" si="29"/>
        <v>6242</v>
      </c>
      <c r="V9" s="9">
        <f t="shared" si="29"/>
        <v>6715</v>
      </c>
      <c r="W9" s="9">
        <f t="shared" si="29"/>
        <v>6987</v>
      </c>
      <c r="X9" s="9">
        <f t="shared" si="29"/>
        <v>6325</v>
      </c>
      <c r="Y9" s="9">
        <f t="shared" si="29"/>
        <v>6408</v>
      </c>
      <c r="Z9" s="9">
        <f t="shared" si="29"/>
        <v>6622</v>
      </c>
      <c r="AA9" s="9">
        <f t="shared" si="29"/>
        <v>6672</v>
      </c>
      <c r="AB9" s="9">
        <f t="shared" si="29"/>
        <v>7364</v>
      </c>
      <c r="AC9" s="9">
        <f t="shared" ref="AC9" si="30">AC5-AC8</f>
        <v>8016.2880000000005</v>
      </c>
      <c r="AD9" s="9">
        <f t="shared" ref="AD9" si="31">AD5-AD8</f>
        <v>8529.3667200000054</v>
      </c>
      <c r="AE9" s="9">
        <f t="shared" ref="AE9" si="32">AE5-AE8</f>
        <v>8889.1584096000079</v>
      </c>
      <c r="AF9" s="9">
        <f t="shared" ref="AF9" si="33">AF5-AF8</f>
        <v>9210.3862730880064</v>
      </c>
      <c r="AG9" s="9">
        <f t="shared" ref="AG9" si="34">AG5-AG8</f>
        <v>9486.6978612806415</v>
      </c>
      <c r="AH9" s="9">
        <f t="shared" ref="AH9" si="35">AH5-AH8</f>
        <v>9712.861504401626</v>
      </c>
      <c r="AI9" s="9">
        <f t="shared" ref="AI9" si="36">AI5-AI8</f>
        <v>9847.5126959178597</v>
      </c>
      <c r="AJ9" s="9">
        <f t="shared" ref="AJ9" si="37">AJ5-AJ8</f>
        <v>9984.2608508787162</v>
      </c>
      <c r="AK9" s="9">
        <f t="shared" ref="AK9" si="38">AK5-AK8</f>
        <v>10123.141947949203</v>
      </c>
      <c r="AL9" s="9">
        <f t="shared" ref="AL9" si="39">AL5-AL8</f>
        <v>10264.192625761643</v>
      </c>
      <c r="AM9" s="9">
        <f t="shared" ref="AM9" si="40">AM5-AM8</f>
        <v>10407.450195518853</v>
      </c>
    </row>
    <row r="10" spans="2:138" x14ac:dyDescent="0.3">
      <c r="B10" s="1" t="s">
        <v>28</v>
      </c>
      <c r="K10" s="4">
        <v>627</v>
      </c>
      <c r="L10" s="4">
        <v>644</v>
      </c>
      <c r="O10" s="4">
        <v>625</v>
      </c>
      <c r="P10" s="4">
        <v>644</v>
      </c>
      <c r="T10" s="4">
        <v>1921</v>
      </c>
      <c r="U10" s="4">
        <v>2006</v>
      </c>
      <c r="V10" s="4">
        <v>2258</v>
      </c>
      <c r="W10" s="4">
        <v>2417</v>
      </c>
      <c r="X10" s="4">
        <v>2192</v>
      </c>
      <c r="Y10" s="4">
        <v>2245</v>
      </c>
      <c r="Z10" s="4">
        <v>2411</v>
      </c>
      <c r="AA10" s="4">
        <v>2427</v>
      </c>
      <c r="AB10" s="4">
        <v>2568</v>
      </c>
      <c r="AC10" s="4">
        <f>AB10*1.03</f>
        <v>2645.04</v>
      </c>
      <c r="AD10" s="4">
        <f>AC10*1.02</f>
        <v>2697.9407999999999</v>
      </c>
      <c r="AE10" s="4">
        <f>AD10*1.01</f>
        <v>2724.920208</v>
      </c>
      <c r="AF10" s="4">
        <f t="shared" ref="AF10:AM10" si="41">AE10*1.01</f>
        <v>2752.16941008</v>
      </c>
      <c r="AG10" s="4">
        <f t="shared" si="41"/>
        <v>2779.6911041808003</v>
      </c>
      <c r="AH10" s="4">
        <f t="shared" si="41"/>
        <v>2807.4880152226083</v>
      </c>
      <c r="AI10" s="4">
        <f t="shared" si="41"/>
        <v>2835.5628953748342</v>
      </c>
      <c r="AJ10" s="4">
        <f t="shared" si="41"/>
        <v>2863.9185243285824</v>
      </c>
      <c r="AK10" s="4">
        <f t="shared" si="41"/>
        <v>2892.5577095718681</v>
      </c>
      <c r="AL10" s="4">
        <f t="shared" si="41"/>
        <v>2921.483286667587</v>
      </c>
      <c r="AM10" s="4">
        <f t="shared" si="41"/>
        <v>2950.6981195342628</v>
      </c>
    </row>
    <row r="11" spans="2:138" s="2" customFormat="1" x14ac:dyDescent="0.3">
      <c r="B11" s="2" t="s">
        <v>29</v>
      </c>
      <c r="K11" s="9">
        <f>K9-K10</f>
        <v>1036</v>
      </c>
      <c r="L11" s="9">
        <f>L9-L10</f>
        <v>1156</v>
      </c>
      <c r="O11" s="9">
        <f>O9-O10</f>
        <v>1268</v>
      </c>
      <c r="P11" s="9">
        <f>P9-P10</f>
        <v>1305</v>
      </c>
      <c r="T11" s="9">
        <f t="shared" ref="T11:AC11" si="42">T9-T10</f>
        <v>3744</v>
      </c>
      <c r="U11" s="9">
        <f t="shared" si="42"/>
        <v>4236</v>
      </c>
      <c r="V11" s="9">
        <f t="shared" si="42"/>
        <v>4457</v>
      </c>
      <c r="W11" s="9">
        <f t="shared" si="42"/>
        <v>4570</v>
      </c>
      <c r="X11" s="9">
        <f t="shared" si="42"/>
        <v>4133</v>
      </c>
      <c r="Y11" s="9">
        <f t="shared" si="42"/>
        <v>4163</v>
      </c>
      <c r="Z11" s="9">
        <f t="shared" si="42"/>
        <v>4211</v>
      </c>
      <c r="AA11" s="9">
        <f t="shared" si="42"/>
        <v>4245</v>
      </c>
      <c r="AB11" s="9">
        <f t="shared" si="42"/>
        <v>4796</v>
      </c>
      <c r="AC11" s="9">
        <f t="shared" si="42"/>
        <v>5371.2480000000005</v>
      </c>
      <c r="AD11" s="9">
        <f t="shared" ref="AD11" si="43">AD9-AD10</f>
        <v>5831.4259200000051</v>
      </c>
      <c r="AE11" s="9">
        <f t="shared" ref="AE11" si="44">AE9-AE10</f>
        <v>6164.2382016000083</v>
      </c>
      <c r="AF11" s="9">
        <f t="shared" ref="AF11" si="45">AF9-AF10</f>
        <v>6458.2168630080068</v>
      </c>
      <c r="AG11" s="9">
        <f t="shared" ref="AG11" si="46">AG9-AG10</f>
        <v>6707.0067570998417</v>
      </c>
      <c r="AH11" s="9">
        <f t="shared" ref="AH11" si="47">AH9-AH10</f>
        <v>6905.3734891790173</v>
      </c>
      <c r="AI11" s="9">
        <f t="shared" ref="AI11" si="48">AI9-AI10</f>
        <v>7011.949800543025</v>
      </c>
      <c r="AJ11" s="9">
        <f t="shared" ref="AJ11" si="49">AJ9-AJ10</f>
        <v>7120.3423265501333</v>
      </c>
      <c r="AK11" s="9">
        <f t="shared" ref="AK11" si="50">AK9-AK10</f>
        <v>7230.5842383773352</v>
      </c>
      <c r="AL11" s="9">
        <f t="shared" ref="AL11" si="51">AL9-AL10</f>
        <v>7342.7093390940563</v>
      </c>
      <c r="AM11" s="9">
        <f t="shared" ref="AM11" si="52">AM9-AM10</f>
        <v>7456.7520759845902</v>
      </c>
    </row>
    <row r="12" spans="2:138" x14ac:dyDescent="0.3">
      <c r="B12" s="1" t="s">
        <v>30</v>
      </c>
      <c r="K12" s="4">
        <v>-14</v>
      </c>
      <c r="L12" s="4">
        <v>-18</v>
      </c>
      <c r="O12" s="4">
        <v>-21</v>
      </c>
      <c r="P12" s="4">
        <v>-15</v>
      </c>
      <c r="T12" s="4">
        <v>-3</v>
      </c>
      <c r="U12" s="4">
        <v>56</v>
      </c>
      <c r="V12" s="4">
        <v>16</v>
      </c>
      <c r="W12" s="4">
        <v>-92</v>
      </c>
      <c r="X12" s="4">
        <v>-82</v>
      </c>
      <c r="Y12" s="4">
        <v>-134</v>
      </c>
      <c r="Z12" s="4">
        <v>-189</v>
      </c>
      <c r="AA12" s="4">
        <v>-82</v>
      </c>
      <c r="AB12" s="4">
        <v>-68</v>
      </c>
      <c r="AC12" s="4">
        <f>AB12*1.01</f>
        <v>-68.680000000000007</v>
      </c>
      <c r="AD12" s="4">
        <f t="shared" ref="AD12:AM12" si="53">AC12*1.01</f>
        <v>-69.366800000000012</v>
      </c>
      <c r="AE12" s="4">
        <f t="shared" si="53"/>
        <v>-70.060468000000014</v>
      </c>
      <c r="AF12" s="4">
        <f t="shared" si="53"/>
        <v>-70.761072680000012</v>
      </c>
      <c r="AG12" s="4">
        <f t="shared" si="53"/>
        <v>-71.468683406800011</v>
      </c>
      <c r="AH12" s="4">
        <f t="shared" si="53"/>
        <v>-72.183370240868015</v>
      </c>
      <c r="AI12" s="4">
        <f t="shared" si="53"/>
        <v>-72.905203943276703</v>
      </c>
      <c r="AJ12" s="4">
        <f t="shared" si="53"/>
        <v>-73.634255982709476</v>
      </c>
      <c r="AK12" s="4">
        <f t="shared" si="53"/>
        <v>-74.37059854253657</v>
      </c>
      <c r="AL12" s="4">
        <f t="shared" si="53"/>
        <v>-75.114304527961934</v>
      </c>
      <c r="AM12" s="4">
        <f t="shared" si="53"/>
        <v>-75.865447573241553</v>
      </c>
    </row>
    <row r="13" spans="2:138" x14ac:dyDescent="0.3">
      <c r="B13" s="1" t="s">
        <v>31</v>
      </c>
      <c r="K13" s="4">
        <v>82</v>
      </c>
      <c r="L13" s="4">
        <v>84</v>
      </c>
      <c r="O13" s="4">
        <v>89</v>
      </c>
      <c r="P13" s="4">
        <v>88</v>
      </c>
      <c r="T13" s="4">
        <v>91</v>
      </c>
      <c r="U13" s="4">
        <v>103</v>
      </c>
      <c r="V13" s="4">
        <v>356</v>
      </c>
      <c r="W13" s="4">
        <v>460</v>
      </c>
      <c r="X13" s="4">
        <v>477</v>
      </c>
      <c r="Y13" s="4">
        <v>424</v>
      </c>
      <c r="Z13" s="4">
        <v>364</v>
      </c>
      <c r="AA13" s="4">
        <v>343</v>
      </c>
      <c r="AB13" s="4">
        <v>324</v>
      </c>
      <c r="AC13" s="4">
        <f>AB13*1.01</f>
        <v>327.24</v>
      </c>
      <c r="AD13" s="4">
        <f t="shared" ref="AD13:AM13" si="54">AC13*1.01</f>
        <v>330.51240000000001</v>
      </c>
      <c r="AE13" s="4">
        <f t="shared" si="54"/>
        <v>333.81752399999999</v>
      </c>
      <c r="AF13" s="4">
        <f t="shared" si="54"/>
        <v>337.15569923999999</v>
      </c>
      <c r="AG13" s="4">
        <f t="shared" si="54"/>
        <v>340.52725623240002</v>
      </c>
      <c r="AH13" s="4">
        <f t="shared" si="54"/>
        <v>343.93252879472402</v>
      </c>
      <c r="AI13" s="4">
        <f t="shared" si="54"/>
        <v>347.37185408267129</v>
      </c>
      <c r="AJ13" s="4">
        <f t="shared" si="54"/>
        <v>350.84557262349801</v>
      </c>
      <c r="AK13" s="4">
        <f t="shared" si="54"/>
        <v>354.35402834973297</v>
      </c>
      <c r="AL13" s="4">
        <f t="shared" si="54"/>
        <v>357.89756863323032</v>
      </c>
      <c r="AM13" s="4">
        <f t="shared" si="54"/>
        <v>361.47654431956261</v>
      </c>
    </row>
    <row r="14" spans="2:138" s="2" customFormat="1" x14ac:dyDescent="0.3">
      <c r="B14" s="2" t="s">
        <v>32</v>
      </c>
      <c r="K14" s="9">
        <f>K11-K12-K13</f>
        <v>968</v>
      </c>
      <c r="L14" s="9">
        <f>L11-L12-L13</f>
        <v>1090</v>
      </c>
      <c r="O14" s="9">
        <f>O11-O12-O13</f>
        <v>1200</v>
      </c>
      <c r="P14" s="9">
        <f>P11-P12-P13</f>
        <v>1232</v>
      </c>
      <c r="T14" s="9">
        <f t="shared" ref="T14:AC14" si="55">T11-T12-T13</f>
        <v>3656</v>
      </c>
      <c r="U14" s="9">
        <f t="shared" si="55"/>
        <v>4077</v>
      </c>
      <c r="V14" s="9">
        <f t="shared" si="55"/>
        <v>4085</v>
      </c>
      <c r="W14" s="9">
        <f t="shared" si="55"/>
        <v>4202</v>
      </c>
      <c r="X14" s="9">
        <f t="shared" si="55"/>
        <v>3738</v>
      </c>
      <c r="Y14" s="9">
        <f t="shared" si="55"/>
        <v>3873</v>
      </c>
      <c r="Z14" s="9">
        <f t="shared" si="55"/>
        <v>4036</v>
      </c>
      <c r="AA14" s="9">
        <f t="shared" si="55"/>
        <v>3984</v>
      </c>
      <c r="AB14" s="9">
        <f t="shared" si="55"/>
        <v>4540</v>
      </c>
      <c r="AC14" s="9">
        <f t="shared" si="55"/>
        <v>5112.688000000001</v>
      </c>
      <c r="AD14" s="9">
        <f t="shared" ref="AD14" si="56">AD11-AD12-AD13</f>
        <v>5570.2803200000053</v>
      </c>
      <c r="AE14" s="9">
        <f t="shared" ref="AE14" si="57">AE11-AE12-AE13</f>
        <v>5900.4811456000079</v>
      </c>
      <c r="AF14" s="9">
        <f t="shared" ref="AF14" si="58">AF11-AF12-AF13</f>
        <v>6191.8222364480071</v>
      </c>
      <c r="AG14" s="9">
        <f t="shared" ref="AG14" si="59">AG11-AG12-AG13</f>
        <v>6437.9481842742416</v>
      </c>
      <c r="AH14" s="9">
        <f t="shared" ref="AH14" si="60">AH11-AH12-AH13</f>
        <v>6633.6243306251608</v>
      </c>
      <c r="AI14" s="9">
        <f t="shared" ref="AI14" si="61">AI11-AI12-AI13</f>
        <v>6737.4831504036301</v>
      </c>
      <c r="AJ14" s="9">
        <f t="shared" ref="AJ14" si="62">AJ11-AJ12-AJ13</f>
        <v>6843.1310099093453</v>
      </c>
      <c r="AK14" s="9">
        <f t="shared" ref="AK14" si="63">AK11-AK12-AK13</f>
        <v>6950.6008085701387</v>
      </c>
      <c r="AL14" s="9">
        <f t="shared" ref="AL14" si="64">AL11-AL12-AL13</f>
        <v>7059.9260749887881</v>
      </c>
      <c r="AM14" s="9">
        <f t="shared" ref="AM14" si="65">AM11-AM12-AM13</f>
        <v>7171.1409792382692</v>
      </c>
    </row>
    <row r="15" spans="2:138" x14ac:dyDescent="0.3">
      <c r="B15" s="1" t="s">
        <v>19</v>
      </c>
      <c r="K15" s="4">
        <v>169</v>
      </c>
      <c r="L15" s="4">
        <v>185</v>
      </c>
      <c r="O15" s="4">
        <v>206</v>
      </c>
      <c r="P15" s="4">
        <v>218</v>
      </c>
      <c r="T15" s="4">
        <f>977+107</f>
        <v>1084</v>
      </c>
      <c r="U15" s="4">
        <v>1165</v>
      </c>
      <c r="V15" s="4">
        <f>727+13</f>
        <v>740</v>
      </c>
      <c r="W15" s="4">
        <v>718</v>
      </c>
      <c r="X15" s="4">
        <v>571</v>
      </c>
      <c r="Y15" s="4">
        <v>616</v>
      </c>
      <c r="Z15" s="4">
        <v>646</v>
      </c>
      <c r="AA15" s="4">
        <v>669</v>
      </c>
      <c r="AB15" s="4">
        <v>758</v>
      </c>
      <c r="AC15" s="4">
        <f>AC14*0.17</f>
        <v>869.15696000000025</v>
      </c>
      <c r="AD15" s="4">
        <f t="shared" ref="AD15:AM15" si="66">AD14*0.17</f>
        <v>946.94765440000094</v>
      </c>
      <c r="AE15" s="4">
        <f t="shared" si="66"/>
        <v>1003.0817947520014</v>
      </c>
      <c r="AF15" s="4">
        <f t="shared" si="66"/>
        <v>1052.6097801961612</v>
      </c>
      <c r="AG15" s="4">
        <f t="shared" si="66"/>
        <v>1094.4511913266213</v>
      </c>
      <c r="AH15" s="4">
        <f t="shared" si="66"/>
        <v>1127.7161362062775</v>
      </c>
      <c r="AI15" s="4">
        <f t="shared" si="66"/>
        <v>1145.3721355686173</v>
      </c>
      <c r="AJ15" s="4">
        <f t="shared" si="66"/>
        <v>1163.3322716845887</v>
      </c>
      <c r="AK15" s="4">
        <f t="shared" si="66"/>
        <v>1181.6021374569236</v>
      </c>
      <c r="AL15" s="4">
        <f t="shared" si="66"/>
        <v>1200.1874327480941</v>
      </c>
      <c r="AM15" s="4">
        <f t="shared" si="66"/>
        <v>1219.0939664705058</v>
      </c>
    </row>
    <row r="16" spans="2:138" s="2" customFormat="1" x14ac:dyDescent="0.3">
      <c r="B16" s="2" t="s">
        <v>33</v>
      </c>
      <c r="K16" s="9">
        <f>K14-K15</f>
        <v>799</v>
      </c>
      <c r="L16" s="9">
        <f>L14-L15</f>
        <v>905</v>
      </c>
      <c r="O16" s="9">
        <f>O14-O15</f>
        <v>994</v>
      </c>
      <c r="P16" s="9">
        <f>P14-P15</f>
        <v>1014</v>
      </c>
      <c r="T16" s="9">
        <f t="shared" ref="T16:AC16" si="67">T14-T15</f>
        <v>2572</v>
      </c>
      <c r="U16" s="9">
        <f t="shared" si="67"/>
        <v>2912</v>
      </c>
      <c r="V16" s="9">
        <f t="shared" si="67"/>
        <v>3345</v>
      </c>
      <c r="W16" s="9">
        <f t="shared" si="67"/>
        <v>3484</v>
      </c>
      <c r="X16" s="9">
        <f t="shared" si="67"/>
        <v>3167</v>
      </c>
      <c r="Y16" s="9">
        <f t="shared" si="67"/>
        <v>3257</v>
      </c>
      <c r="Z16" s="9">
        <f t="shared" si="67"/>
        <v>3390</v>
      </c>
      <c r="AA16" s="9">
        <f t="shared" si="67"/>
        <v>3315</v>
      </c>
      <c r="AB16" s="9">
        <f t="shared" si="67"/>
        <v>3782</v>
      </c>
      <c r="AC16" s="9">
        <f t="shared" si="67"/>
        <v>4243.5310400000008</v>
      </c>
      <c r="AD16" s="9">
        <f t="shared" ref="AD16" si="68">AD14-AD15</f>
        <v>4623.3326656000045</v>
      </c>
      <c r="AE16" s="9">
        <f t="shared" ref="AE16" si="69">AE14-AE15</f>
        <v>4897.3993508480062</v>
      </c>
      <c r="AF16" s="9">
        <f t="shared" ref="AF16" si="70">AF14-AF15</f>
        <v>5139.2124562518457</v>
      </c>
      <c r="AG16" s="9">
        <f t="shared" ref="AG16" si="71">AG14-AG15</f>
        <v>5343.4969929476201</v>
      </c>
      <c r="AH16" s="9">
        <f t="shared" ref="AH16" si="72">AH14-AH15</f>
        <v>5505.9081944188838</v>
      </c>
      <c r="AI16" s="9">
        <f t="shared" ref="AI16" si="73">AI14-AI15</f>
        <v>5592.1110148350126</v>
      </c>
      <c r="AJ16" s="9">
        <f t="shared" ref="AJ16" si="74">AJ14-AJ15</f>
        <v>5679.7987382247566</v>
      </c>
      <c r="AK16" s="9">
        <f t="shared" ref="AK16" si="75">AK14-AK15</f>
        <v>5768.9986711132151</v>
      </c>
      <c r="AL16" s="9">
        <f t="shared" ref="AL16" si="76">AL14-AL15</f>
        <v>5859.7386422406944</v>
      </c>
      <c r="AM16" s="9">
        <f t="shared" ref="AM16" si="77">AM14-AM15</f>
        <v>5952.0470127677636</v>
      </c>
      <c r="AN16" s="2">
        <f>AM16*(1+$AP$21)</f>
        <v>5892.5265426400856</v>
      </c>
      <c r="AO16" s="2">
        <f t="shared" ref="AO16:CZ16" si="78">AN16*(1+$AP$21)</f>
        <v>5833.6012772136846</v>
      </c>
      <c r="AP16" s="2">
        <f t="shared" si="78"/>
        <v>5775.2652644415475</v>
      </c>
      <c r="AQ16" s="2">
        <f t="shared" si="78"/>
        <v>5717.5126117971322</v>
      </c>
      <c r="AR16" s="2">
        <f t="shared" si="78"/>
        <v>5660.3374856791606</v>
      </c>
      <c r="AS16" s="2">
        <f t="shared" si="78"/>
        <v>5603.7341108223691</v>
      </c>
      <c r="AT16" s="2">
        <f t="shared" si="78"/>
        <v>5547.6967697141454</v>
      </c>
      <c r="AU16" s="2">
        <f t="shared" si="78"/>
        <v>5492.2198020170035</v>
      </c>
      <c r="AV16" s="2">
        <f t="shared" si="78"/>
        <v>5437.2976039968335</v>
      </c>
      <c r="AW16" s="2">
        <f t="shared" si="78"/>
        <v>5382.9246279568652</v>
      </c>
      <c r="AX16" s="2">
        <f t="shared" si="78"/>
        <v>5329.0953816772962</v>
      </c>
      <c r="AY16" s="2">
        <f t="shared" si="78"/>
        <v>5275.804427860523</v>
      </c>
      <c r="AZ16" s="2">
        <f t="shared" si="78"/>
        <v>5223.0463835819173</v>
      </c>
      <c r="BA16" s="2">
        <f t="shared" si="78"/>
        <v>5170.8159197460982</v>
      </c>
      <c r="BB16" s="2">
        <f t="shared" si="78"/>
        <v>5119.1077605486371</v>
      </c>
      <c r="BC16" s="2">
        <f t="shared" si="78"/>
        <v>5067.9166829431506</v>
      </c>
      <c r="BD16" s="2">
        <f t="shared" si="78"/>
        <v>5017.2375161137188</v>
      </c>
      <c r="BE16" s="2">
        <f t="shared" si="78"/>
        <v>4967.0651409525817</v>
      </c>
      <c r="BF16" s="2">
        <f t="shared" si="78"/>
        <v>4917.3944895430559</v>
      </c>
      <c r="BG16" s="2">
        <f t="shared" si="78"/>
        <v>4868.2205446476255</v>
      </c>
      <c r="BH16" s="2">
        <f t="shared" si="78"/>
        <v>4819.538339201149</v>
      </c>
      <c r="BI16" s="2">
        <f t="shared" si="78"/>
        <v>4771.3429558091375</v>
      </c>
      <c r="BJ16" s="2">
        <f t="shared" si="78"/>
        <v>4723.6295262510457</v>
      </c>
      <c r="BK16" s="2">
        <f t="shared" si="78"/>
        <v>4676.3932309885349</v>
      </c>
      <c r="BL16" s="2">
        <f t="shared" si="78"/>
        <v>4629.6292986786493</v>
      </c>
      <c r="BM16" s="2">
        <f t="shared" si="78"/>
        <v>4583.333005691863</v>
      </c>
      <c r="BN16" s="2">
        <f t="shared" si="78"/>
        <v>4537.4996756349447</v>
      </c>
      <c r="BO16" s="2">
        <f t="shared" si="78"/>
        <v>4492.1246788785948</v>
      </c>
      <c r="BP16" s="2">
        <f t="shared" si="78"/>
        <v>4447.2034320898092</v>
      </c>
      <c r="BQ16" s="2">
        <f t="shared" si="78"/>
        <v>4402.7313977689109</v>
      </c>
      <c r="BR16" s="2">
        <f t="shared" si="78"/>
        <v>4358.7040837912218</v>
      </c>
      <c r="BS16" s="2">
        <f t="shared" si="78"/>
        <v>4315.1170429533095</v>
      </c>
      <c r="BT16" s="2">
        <f t="shared" si="78"/>
        <v>4271.9658725237759</v>
      </c>
      <c r="BU16" s="2">
        <f t="shared" si="78"/>
        <v>4229.2462137985385</v>
      </c>
      <c r="BV16" s="2">
        <f t="shared" si="78"/>
        <v>4186.9537516605533</v>
      </c>
      <c r="BW16" s="2">
        <f t="shared" si="78"/>
        <v>4145.084214143948</v>
      </c>
      <c r="BX16" s="2">
        <f t="shared" si="78"/>
        <v>4103.6333720025086</v>
      </c>
      <c r="BY16" s="2">
        <f t="shared" si="78"/>
        <v>4062.5970382824835</v>
      </c>
      <c r="BZ16" s="2">
        <f t="shared" si="78"/>
        <v>4021.9710678996585</v>
      </c>
      <c r="CA16" s="2">
        <f t="shared" si="78"/>
        <v>3981.7513572206617</v>
      </c>
      <c r="CB16" s="2">
        <f t="shared" si="78"/>
        <v>3941.933843648455</v>
      </c>
      <c r="CC16" s="2">
        <f t="shared" si="78"/>
        <v>3902.5145052119706</v>
      </c>
      <c r="CD16" s="2">
        <f t="shared" si="78"/>
        <v>3863.489360159851</v>
      </c>
      <c r="CE16" s="2">
        <f t="shared" si="78"/>
        <v>3824.8544665582526</v>
      </c>
      <c r="CF16" s="2">
        <f t="shared" si="78"/>
        <v>3786.6059218926703</v>
      </c>
      <c r="CG16" s="2">
        <f t="shared" si="78"/>
        <v>3748.7398626737436</v>
      </c>
      <c r="CH16" s="2">
        <f t="shared" si="78"/>
        <v>3711.252464047006</v>
      </c>
      <c r="CI16" s="2">
        <f t="shared" si="78"/>
        <v>3674.1399394065361</v>
      </c>
      <c r="CJ16" s="2">
        <f t="shared" si="78"/>
        <v>3637.3985400124707</v>
      </c>
      <c r="CK16" s="2">
        <f t="shared" si="78"/>
        <v>3601.024554612346</v>
      </c>
      <c r="CL16" s="2">
        <f t="shared" si="78"/>
        <v>3565.0143090662227</v>
      </c>
      <c r="CM16" s="2">
        <f t="shared" si="78"/>
        <v>3529.3641659755604</v>
      </c>
      <c r="CN16" s="2">
        <f t="shared" si="78"/>
        <v>3494.0705243158045</v>
      </c>
      <c r="CO16" s="2">
        <f t="shared" si="78"/>
        <v>3459.1298190726466</v>
      </c>
      <c r="CP16" s="2">
        <f t="shared" si="78"/>
        <v>3424.5385208819202</v>
      </c>
      <c r="CQ16" s="2">
        <f t="shared" si="78"/>
        <v>3390.293135673101</v>
      </c>
      <c r="CR16" s="2">
        <f t="shared" si="78"/>
        <v>3356.3902043163698</v>
      </c>
      <c r="CS16" s="2">
        <f t="shared" si="78"/>
        <v>3322.8263022732062</v>
      </c>
      <c r="CT16" s="2">
        <f t="shared" si="78"/>
        <v>3289.5980392504744</v>
      </c>
      <c r="CU16" s="2">
        <f t="shared" si="78"/>
        <v>3256.7020588579694</v>
      </c>
      <c r="CV16" s="2">
        <f t="shared" si="78"/>
        <v>3224.1350382693895</v>
      </c>
      <c r="CW16" s="2">
        <f t="shared" si="78"/>
        <v>3191.8936878866957</v>
      </c>
      <c r="CX16" s="2">
        <f t="shared" si="78"/>
        <v>3159.9747510078287</v>
      </c>
      <c r="CY16" s="2">
        <f t="shared" si="78"/>
        <v>3128.3750034977502</v>
      </c>
      <c r="CZ16" s="2">
        <f t="shared" si="78"/>
        <v>3097.0912534627728</v>
      </c>
      <c r="DA16" s="2">
        <f t="shared" ref="DA16:EH16" si="79">CZ16*(1+$AP$21)</f>
        <v>3066.1203409281452</v>
      </c>
      <c r="DB16" s="2">
        <f t="shared" si="79"/>
        <v>3035.4591375188638</v>
      </c>
      <c r="DC16" s="2">
        <f t="shared" si="79"/>
        <v>3005.1045461436752</v>
      </c>
      <c r="DD16" s="2">
        <f t="shared" si="79"/>
        <v>2975.0535006822383</v>
      </c>
      <c r="DE16" s="2">
        <f t="shared" si="79"/>
        <v>2945.3029656754161</v>
      </c>
      <c r="DF16" s="2">
        <f t="shared" si="79"/>
        <v>2915.849936018662</v>
      </c>
      <c r="DG16" s="2">
        <f t="shared" si="79"/>
        <v>2886.6914366584751</v>
      </c>
      <c r="DH16" s="2">
        <f t="shared" si="79"/>
        <v>2857.8245222918904</v>
      </c>
      <c r="DI16" s="2">
        <f t="shared" si="79"/>
        <v>2829.2462770689713</v>
      </c>
      <c r="DJ16" s="2">
        <f t="shared" si="79"/>
        <v>2800.9538142982815</v>
      </c>
      <c r="DK16" s="2">
        <f t="shared" si="79"/>
        <v>2772.9442761552987</v>
      </c>
      <c r="DL16" s="2">
        <f t="shared" si="79"/>
        <v>2745.2148333937457</v>
      </c>
      <c r="DM16" s="2">
        <f t="shared" si="79"/>
        <v>2717.7626850598081</v>
      </c>
      <c r="DN16" s="2">
        <f t="shared" si="79"/>
        <v>2690.5850582092098</v>
      </c>
      <c r="DO16" s="2">
        <f t="shared" si="79"/>
        <v>2663.6792076271176</v>
      </c>
      <c r="DP16" s="2">
        <f t="shared" si="79"/>
        <v>2637.0424155508463</v>
      </c>
      <c r="DQ16" s="2">
        <f t="shared" si="79"/>
        <v>2610.671991395338</v>
      </c>
      <c r="DR16" s="2">
        <f t="shared" si="79"/>
        <v>2584.5652714813846</v>
      </c>
      <c r="DS16" s="2">
        <f t="shared" si="79"/>
        <v>2558.7196187665709</v>
      </c>
      <c r="DT16" s="2">
        <f t="shared" si="79"/>
        <v>2533.1324225789053</v>
      </c>
      <c r="DU16" s="2">
        <f t="shared" si="79"/>
        <v>2507.8010983531162</v>
      </c>
      <c r="DV16" s="2">
        <f t="shared" si="79"/>
        <v>2482.7230873695848</v>
      </c>
      <c r="DW16" s="2">
        <f t="shared" si="79"/>
        <v>2457.8958564958889</v>
      </c>
      <c r="DX16" s="2">
        <f t="shared" si="79"/>
        <v>2433.3168979309298</v>
      </c>
      <c r="DY16" s="2">
        <f t="shared" si="79"/>
        <v>2408.9837289516204</v>
      </c>
      <c r="DZ16" s="2">
        <f t="shared" si="79"/>
        <v>2384.8938916621041</v>
      </c>
      <c r="EA16" s="2">
        <f t="shared" si="79"/>
        <v>2361.044952745483</v>
      </c>
      <c r="EB16" s="2">
        <f t="shared" si="79"/>
        <v>2337.4345032180281</v>
      </c>
      <c r="EC16" s="2">
        <f t="shared" si="79"/>
        <v>2314.0601581858477</v>
      </c>
      <c r="ED16" s="2">
        <f t="shared" si="79"/>
        <v>2290.9195566039893</v>
      </c>
      <c r="EE16" s="2">
        <f t="shared" si="79"/>
        <v>2268.0103610379492</v>
      </c>
      <c r="EF16" s="2">
        <f t="shared" si="79"/>
        <v>2245.3302574275699</v>
      </c>
      <c r="EG16" s="2">
        <f t="shared" si="79"/>
        <v>2222.8769548532941</v>
      </c>
      <c r="EH16" s="2">
        <f t="shared" si="79"/>
        <v>2200.6481853047612</v>
      </c>
    </row>
    <row r="17" spans="2:42" x14ac:dyDescent="0.3">
      <c r="B17" s="1" t="s">
        <v>2</v>
      </c>
      <c r="K17" s="4">
        <f>268.4</f>
        <v>268.39999999999998</v>
      </c>
      <c r="L17" s="4">
        <f>268.4</f>
        <v>268.39999999999998</v>
      </c>
      <c r="O17" s="4">
        <f>268.4</f>
        <v>268.39999999999998</v>
      </c>
      <c r="P17" s="4">
        <f>269</f>
        <v>269</v>
      </c>
      <c r="T17" s="4">
        <f t="shared" ref="T17:AM17" si="80">268.4</f>
        <v>268.39999999999998</v>
      </c>
      <c r="U17" s="4">
        <f t="shared" si="80"/>
        <v>268.39999999999998</v>
      </c>
      <c r="V17" s="4">
        <f t="shared" si="80"/>
        <v>268.39999999999998</v>
      </c>
      <c r="W17" s="4">
        <f t="shared" si="80"/>
        <v>268.39999999999998</v>
      </c>
      <c r="X17" s="4">
        <f t="shared" si="80"/>
        <v>268.39999999999998</v>
      </c>
      <c r="Y17" s="4">
        <f t="shared" si="80"/>
        <v>268.39999999999998</v>
      </c>
      <c r="Z17" s="4">
        <f t="shared" si="80"/>
        <v>268.39999999999998</v>
      </c>
      <c r="AA17" s="4">
        <f t="shared" si="80"/>
        <v>268.39999999999998</v>
      </c>
      <c r="AB17" s="4">
        <f t="shared" si="80"/>
        <v>268.39999999999998</v>
      </c>
      <c r="AC17" s="4">
        <f>269</f>
        <v>269</v>
      </c>
      <c r="AD17" s="4">
        <f>269</f>
        <v>269</v>
      </c>
      <c r="AE17" s="4">
        <f>269</f>
        <v>269</v>
      </c>
      <c r="AF17" s="4">
        <f>269</f>
        <v>269</v>
      </c>
      <c r="AG17" s="4">
        <f>269</f>
        <v>269</v>
      </c>
      <c r="AH17" s="4">
        <f>269</f>
        <v>269</v>
      </c>
      <c r="AI17" s="4">
        <f>269</f>
        <v>269</v>
      </c>
      <c r="AJ17" s="4">
        <f>269</f>
        <v>269</v>
      </c>
      <c r="AK17" s="4">
        <f>269</f>
        <v>269</v>
      </c>
      <c r="AL17" s="4">
        <f>269</f>
        <v>269</v>
      </c>
      <c r="AM17" s="4">
        <f>269</f>
        <v>269</v>
      </c>
    </row>
    <row r="18" spans="2:42" x14ac:dyDescent="0.3">
      <c r="B18" s="1" t="s">
        <v>34</v>
      </c>
      <c r="K18" s="8">
        <f>K16/K17</f>
        <v>2.9769001490312967</v>
      </c>
      <c r="L18" s="8">
        <f>L16/L17</f>
        <v>3.3718330849478395</v>
      </c>
      <c r="O18" s="8">
        <f>O16/O17</f>
        <v>3.7034277198211627</v>
      </c>
      <c r="P18" s="8">
        <f>P16/P17</f>
        <v>3.7695167286245352</v>
      </c>
      <c r="T18" s="8">
        <f t="shared" ref="T18:AC18" si="81">T16/T17</f>
        <v>9.5827123695976155</v>
      </c>
      <c r="U18" s="8">
        <f t="shared" si="81"/>
        <v>10.849478390461998</v>
      </c>
      <c r="V18" s="8">
        <f t="shared" si="81"/>
        <v>12.462742175856931</v>
      </c>
      <c r="W18" s="8">
        <f t="shared" si="81"/>
        <v>12.980625931445605</v>
      </c>
      <c r="X18" s="8">
        <f t="shared" si="81"/>
        <v>11.799552906110284</v>
      </c>
      <c r="Y18" s="8">
        <f t="shared" si="81"/>
        <v>12.134873323397915</v>
      </c>
      <c r="Z18" s="8">
        <f t="shared" si="81"/>
        <v>12.630402384500746</v>
      </c>
      <c r="AA18" s="8">
        <f t="shared" si="81"/>
        <v>12.350968703427721</v>
      </c>
      <c r="AB18" s="8">
        <f t="shared" si="81"/>
        <v>14.090909090909092</v>
      </c>
      <c r="AC18" s="8">
        <f t="shared" si="81"/>
        <v>15.77520832713755</v>
      </c>
      <c r="AD18" s="8">
        <f t="shared" ref="AD18" si="82">AD16/AD17</f>
        <v>17.187110281040908</v>
      </c>
      <c r="AE18" s="8">
        <f t="shared" ref="AE18" si="83">AE16/AE17</f>
        <v>18.205945542185898</v>
      </c>
      <c r="AF18" s="8">
        <f t="shared" ref="AF18" si="84">AF16/AF17</f>
        <v>19.10487901952359</v>
      </c>
      <c r="AG18" s="8">
        <f t="shared" ref="AG18" si="85">AG16/AG17</f>
        <v>19.864301089024611</v>
      </c>
      <c r="AH18" s="8">
        <f t="shared" ref="AH18" si="86">AH16/AH17</f>
        <v>20.468060202300684</v>
      </c>
      <c r="AI18" s="8">
        <f t="shared" ref="AI18" si="87">AI16/AI17</f>
        <v>20.788516783773282</v>
      </c>
      <c r="AJ18" s="8">
        <f t="shared" ref="AJ18" si="88">AJ16/AJ17</f>
        <v>21.114493450649654</v>
      </c>
      <c r="AK18" s="8">
        <f t="shared" ref="AK18" si="89">AK16/AK17</f>
        <v>21.44609171417552</v>
      </c>
      <c r="AL18" s="8">
        <f t="shared" ref="AL18" si="90">AL16/AL17</f>
        <v>21.78341502691708</v>
      </c>
      <c r="AM18" s="8">
        <f t="shared" ref="AM18" si="91">AM16/AM17</f>
        <v>22.126568820698004</v>
      </c>
    </row>
    <row r="20" spans="2:42" x14ac:dyDescent="0.3">
      <c r="B20" s="1" t="s">
        <v>12</v>
      </c>
      <c r="K20" s="10"/>
      <c r="O20" s="10">
        <f>O3/K3-1</f>
        <v>0.19563090968373009</v>
      </c>
      <c r="P20" s="10">
        <f>P3/L3-1</f>
        <v>0.11899441340782113</v>
      </c>
      <c r="T20" s="10"/>
      <c r="U20" s="10">
        <f t="shared" ref="U20:AA22" si="92">U3/T3-1</f>
        <v>3.1562335612833614E-4</v>
      </c>
      <c r="V20" s="10">
        <f t="shared" si="92"/>
        <v>5.9581405132520082E-2</v>
      </c>
      <c r="W20" s="10">
        <f t="shared" si="92"/>
        <v>0.14794778897215743</v>
      </c>
      <c r="X20" s="10">
        <f t="shared" si="92"/>
        <v>-4.0726329442282716E-2</v>
      </c>
      <c r="Y20" s="10">
        <f t="shared" si="92"/>
        <v>1.0816657652785278E-2</v>
      </c>
      <c r="Z20" s="10">
        <f t="shared" si="92"/>
        <v>2.6484751203852408E-2</v>
      </c>
      <c r="AA20" s="10">
        <f t="shared" si="92"/>
        <v>6.83259490921726E-2</v>
      </c>
      <c r="AB20" s="10">
        <f>AB3/AA3-1</f>
        <v>0.16426102866436265</v>
      </c>
      <c r="AC20" s="10">
        <f t="shared" ref="AC20:AM22" si="93">AC3/AB3-1</f>
        <v>0.12000000000000011</v>
      </c>
      <c r="AD20" s="10">
        <f t="shared" si="93"/>
        <v>8.0000000000000071E-2</v>
      </c>
      <c r="AE20" s="10">
        <f t="shared" si="93"/>
        <v>5.0000000000000044E-2</v>
      </c>
      <c r="AF20" s="10">
        <f t="shared" si="93"/>
        <v>4.0000000000000036E-2</v>
      </c>
      <c r="AG20" s="10">
        <f t="shared" si="93"/>
        <v>3.0000000000000027E-2</v>
      </c>
      <c r="AH20" s="10">
        <f t="shared" si="93"/>
        <v>2.0000000000000018E-2</v>
      </c>
      <c r="AI20" s="10">
        <f t="shared" si="93"/>
        <v>1.0000000000000009E-2</v>
      </c>
      <c r="AJ20" s="10">
        <f t="shared" si="93"/>
        <v>1.0000000000000009E-2</v>
      </c>
      <c r="AK20" s="10">
        <f t="shared" si="93"/>
        <v>1.0000000000000009E-2</v>
      </c>
      <c r="AL20" s="10">
        <f t="shared" si="93"/>
        <v>1.0000000000000009E-2</v>
      </c>
      <c r="AM20" s="10">
        <f t="shared" si="93"/>
        <v>1.0000000000000009E-2</v>
      </c>
    </row>
    <row r="21" spans="2:42" x14ac:dyDescent="0.3">
      <c r="B21" s="1" t="s">
        <v>13</v>
      </c>
      <c r="K21" s="10"/>
      <c r="O21" s="10">
        <f t="shared" ref="O21:P22" si="94">O4/K4-1</f>
        <v>6.3519686752229632E-2</v>
      </c>
      <c r="P21" s="10">
        <f t="shared" si="94"/>
        <v>4.4227574750830501E-2</v>
      </c>
      <c r="T21" s="10"/>
      <c r="U21" s="10">
        <f t="shared" si="92"/>
        <v>3.5148471993766695E-2</v>
      </c>
      <c r="V21" s="10">
        <f t="shared" si="92"/>
        <v>0.34180814585598385</v>
      </c>
      <c r="W21" s="10">
        <f t="shared" si="92"/>
        <v>1.0969832959361714E-2</v>
      </c>
      <c r="X21" s="10">
        <f t="shared" si="92"/>
        <v>-2.9778051787916149E-2</v>
      </c>
      <c r="Y21" s="10">
        <f t="shared" si="92"/>
        <v>1.9317531931117848E-2</v>
      </c>
      <c r="Z21" s="10">
        <f t="shared" si="92"/>
        <v>2.1445047066890988E-2</v>
      </c>
      <c r="AA21" s="10">
        <f t="shared" si="92"/>
        <v>7.885260909368319E-2</v>
      </c>
      <c r="AB21" s="10">
        <f t="shared" ref="AB21:AB22" si="95">AB4/AA4-1</f>
        <v>7.9425241839678584E-2</v>
      </c>
      <c r="AC21" s="10">
        <f t="shared" si="93"/>
        <v>5.0000000000000044E-2</v>
      </c>
      <c r="AD21" s="10">
        <f t="shared" si="93"/>
        <v>4.0000000000000036E-2</v>
      </c>
      <c r="AE21" s="10">
        <f t="shared" si="93"/>
        <v>3.0000000000000027E-2</v>
      </c>
      <c r="AF21" s="10">
        <f t="shared" si="93"/>
        <v>3.0000000000000027E-2</v>
      </c>
      <c r="AG21" s="10">
        <f t="shared" si="93"/>
        <v>3.0000000000000027E-2</v>
      </c>
      <c r="AH21" s="10">
        <f t="shared" si="93"/>
        <v>3.0000000000000027E-2</v>
      </c>
      <c r="AI21" s="10">
        <f t="shared" si="93"/>
        <v>2.0000000000000018E-2</v>
      </c>
      <c r="AJ21" s="10">
        <f t="shared" si="93"/>
        <v>2.0000000000000018E-2</v>
      </c>
      <c r="AK21" s="10">
        <f t="shared" si="93"/>
        <v>2.0000000000000018E-2</v>
      </c>
      <c r="AL21" s="10">
        <f t="shared" si="93"/>
        <v>2.0000000000000018E-2</v>
      </c>
      <c r="AM21" s="10">
        <f t="shared" si="93"/>
        <v>2.0000000000000018E-2</v>
      </c>
      <c r="AO21" s="1" t="s">
        <v>51</v>
      </c>
      <c r="AP21" s="10">
        <v>-0.01</v>
      </c>
    </row>
    <row r="22" spans="2:42" s="2" customFormat="1" x14ac:dyDescent="0.3">
      <c r="B22" s="2" t="s">
        <v>14</v>
      </c>
      <c r="K22" s="11"/>
      <c r="O22" s="11">
        <f t="shared" si="94"/>
        <v>0.13903643649240527</v>
      </c>
      <c r="P22" s="11">
        <f t="shared" si="94"/>
        <v>8.892785571142281E-2</v>
      </c>
      <c r="T22" s="11"/>
      <c r="U22" s="11">
        <f t="shared" si="92"/>
        <v>1.3481234252805896E-2</v>
      </c>
      <c r="V22" s="11">
        <f t="shared" si="92"/>
        <v>0.16853388435088634</v>
      </c>
      <c r="W22" s="11">
        <f t="shared" si="92"/>
        <v>8.7226811814439253E-2</v>
      </c>
      <c r="X22" s="11">
        <f t="shared" si="92"/>
        <v>-3.6213468869123244E-2</v>
      </c>
      <c r="Y22" s="11">
        <f t="shared" si="92"/>
        <v>1.4344100197758669E-2</v>
      </c>
      <c r="Z22" s="11">
        <f t="shared" si="92"/>
        <v>2.438326964568871E-2</v>
      </c>
      <c r="AA22" s="11">
        <f t="shared" si="92"/>
        <v>7.2702819296064147E-2</v>
      </c>
      <c r="AB22" s="11">
        <f t="shared" si="95"/>
        <v>0.12878501135503417</v>
      </c>
      <c r="AC22" s="11">
        <f t="shared" si="93"/>
        <v>9.2007921871070542E-2</v>
      </c>
      <c r="AD22" s="11">
        <f t="shared" si="93"/>
        <v>6.4619848866499074E-2</v>
      </c>
      <c r="AE22" s="11">
        <f t="shared" si="93"/>
        <v>4.2487761149732739E-2</v>
      </c>
      <c r="AF22" s="11">
        <f t="shared" si="93"/>
        <v>3.6288874409786009E-2</v>
      </c>
      <c r="AG22" s="11">
        <f t="shared" si="93"/>
        <v>3.0000000000000027E-2</v>
      </c>
      <c r="AH22" s="11">
        <f t="shared" si="93"/>
        <v>2.3688604068144103E-2</v>
      </c>
      <c r="AI22" s="11">
        <f t="shared" si="93"/>
        <v>1.3711345593855562E-2</v>
      </c>
      <c r="AJ22" s="11">
        <f t="shared" si="93"/>
        <v>1.3734369277987213E-2</v>
      </c>
      <c r="AK22" s="11">
        <f t="shared" si="93"/>
        <v>1.3757450451502118E-2</v>
      </c>
      <c r="AL22" s="11">
        <f t="shared" si="93"/>
        <v>1.3780588205616118E-2</v>
      </c>
      <c r="AM22" s="11">
        <f t="shared" si="93"/>
        <v>1.3803781621577249E-2</v>
      </c>
      <c r="AO22" s="1" t="s">
        <v>52</v>
      </c>
      <c r="AP22" s="10">
        <v>0.08</v>
      </c>
    </row>
    <row r="23" spans="2:42" x14ac:dyDescent="0.3">
      <c r="B23" s="1" t="s">
        <v>15</v>
      </c>
      <c r="K23" s="10">
        <f>(K3-K6)/K3</f>
        <v>0.15405934137593741</v>
      </c>
      <c r="L23" s="10">
        <f>(L3-L6)/L3</f>
        <v>0.14427374301675977</v>
      </c>
      <c r="O23" s="10">
        <f>(O3-O6)/O3</f>
        <v>0.16266703026997545</v>
      </c>
      <c r="P23" s="10">
        <f>(P3-P6)/P3</f>
        <v>0.14840239640539191</v>
      </c>
      <c r="T23" s="10">
        <f t="shared" ref="T23:AA23" si="96">(T3-T6)/T3</f>
        <v>0.20278800631246713</v>
      </c>
      <c r="U23" s="10">
        <f t="shared" si="96"/>
        <v>0.22312789230122002</v>
      </c>
      <c r="V23" s="10">
        <f t="shared" si="96"/>
        <v>0.21117673333664203</v>
      </c>
      <c r="W23" s="10">
        <f t="shared" si="96"/>
        <v>0.19537397319498487</v>
      </c>
      <c r="X23" s="10">
        <f t="shared" si="96"/>
        <v>0.18009734991887508</v>
      </c>
      <c r="Y23" s="10">
        <f t="shared" si="96"/>
        <v>0.17406812912430891</v>
      </c>
      <c r="Z23" s="10">
        <f t="shared" si="96"/>
        <v>0.17552775605942142</v>
      </c>
      <c r="AA23" s="10">
        <f t="shared" si="96"/>
        <v>0.16279731652774954</v>
      </c>
      <c r="AB23" s="10">
        <f t="shared" ref="AB23:AM24" si="97">(AB3-AB6)/AB3</f>
        <v>0.15027064780862581</v>
      </c>
      <c r="AC23" s="10">
        <f t="shared" si="97"/>
        <v>0.15</v>
      </c>
      <c r="AD23" s="10">
        <f t="shared" si="97"/>
        <v>0.14999999999999997</v>
      </c>
      <c r="AE23" s="10">
        <f t="shared" si="97"/>
        <v>0.15000000000000002</v>
      </c>
      <c r="AF23" s="10">
        <f t="shared" si="97"/>
        <v>0.15000000000000002</v>
      </c>
      <c r="AG23" s="10">
        <f t="shared" si="97"/>
        <v>0.14999999999999997</v>
      </c>
      <c r="AH23" s="10">
        <f t="shared" si="97"/>
        <v>0.15</v>
      </c>
      <c r="AI23" s="10">
        <f t="shared" si="97"/>
        <v>0.14999999999999994</v>
      </c>
      <c r="AJ23" s="10">
        <f t="shared" si="97"/>
        <v>0.15000000000000002</v>
      </c>
      <c r="AK23" s="10">
        <f t="shared" si="97"/>
        <v>0.15000000000000002</v>
      </c>
      <c r="AL23" s="10">
        <f t="shared" si="97"/>
        <v>0.15000000000000002</v>
      </c>
      <c r="AM23" s="10">
        <f t="shared" si="97"/>
        <v>0.14999999999999997</v>
      </c>
      <c r="AO23" s="1" t="s">
        <v>53</v>
      </c>
      <c r="AP23" s="4">
        <f>NPV(AP22,AC16:EH16)</f>
        <v>65223.860557938569</v>
      </c>
    </row>
    <row r="24" spans="2:42" x14ac:dyDescent="0.3">
      <c r="B24" s="1" t="s">
        <v>16</v>
      </c>
      <c r="K24" s="10">
        <f t="shared" ref="K24:L24" si="98">(K4-K7)/K4</f>
        <v>0.15618881879486621</v>
      </c>
      <c r="L24" s="10">
        <f t="shared" si="98"/>
        <v>0.1592607973421927</v>
      </c>
      <c r="O24" s="10">
        <f t="shared" ref="O24:P24" si="99">(O4-O7)/O4</f>
        <v>0.14317856412354266</v>
      </c>
      <c r="P24" s="10">
        <f t="shared" si="99"/>
        <v>0.15112348379399482</v>
      </c>
      <c r="T24" s="10">
        <f t="shared" ref="T24:AA24" si="100">(T4-T7)/T4</f>
        <v>0.1566963899229504</v>
      </c>
      <c r="U24" s="10">
        <f t="shared" si="100"/>
        <v>0.1671824036129464</v>
      </c>
      <c r="V24" s="10">
        <f t="shared" si="100"/>
        <v>0.15332834704562454</v>
      </c>
      <c r="W24" s="10">
        <f t="shared" si="100"/>
        <v>0.15215782983970408</v>
      </c>
      <c r="X24" s="10">
        <f t="shared" si="100"/>
        <v>0.14799517061701722</v>
      </c>
      <c r="Y24" s="10">
        <f t="shared" si="100"/>
        <v>0.15609999376597469</v>
      </c>
      <c r="Z24" s="10">
        <f t="shared" si="100"/>
        <v>0.15752212389380532</v>
      </c>
      <c r="AA24" s="10">
        <f t="shared" si="100"/>
        <v>0.1509305877694179</v>
      </c>
      <c r="AB24" s="10">
        <f t="shared" si="97"/>
        <v>0.16042136156385933</v>
      </c>
      <c r="AC24" s="10">
        <f t="shared" si="97"/>
        <v>0.16</v>
      </c>
      <c r="AD24" s="10">
        <f t="shared" si="97"/>
        <v>0.16000000000000006</v>
      </c>
      <c r="AE24" s="10">
        <f t="shared" si="97"/>
        <v>0.16000000000000009</v>
      </c>
      <c r="AF24" s="10">
        <f t="shared" si="97"/>
        <v>0.16000000000000003</v>
      </c>
      <c r="AG24" s="10">
        <f t="shared" si="97"/>
        <v>0.16000000000000006</v>
      </c>
      <c r="AH24" s="10">
        <f t="shared" si="97"/>
        <v>0.16000000000000003</v>
      </c>
      <c r="AI24" s="10">
        <f t="shared" si="97"/>
        <v>0.16</v>
      </c>
      <c r="AJ24" s="10">
        <f t="shared" si="97"/>
        <v>0.16000000000000009</v>
      </c>
      <c r="AK24" s="10">
        <f t="shared" si="97"/>
        <v>0.15999999999999998</v>
      </c>
      <c r="AL24" s="10">
        <f t="shared" si="97"/>
        <v>0.16</v>
      </c>
      <c r="AM24" s="10">
        <f t="shared" si="97"/>
        <v>0.16000000000000009</v>
      </c>
      <c r="AO24" s="1" t="s">
        <v>54</v>
      </c>
      <c r="AP24" s="4">
        <f>Main!D8</f>
        <v>-8367</v>
      </c>
    </row>
    <row r="25" spans="2:42" x14ac:dyDescent="0.3">
      <c r="B25" s="1" t="s">
        <v>17</v>
      </c>
      <c r="K25" s="10">
        <f>K9/K5</f>
        <v>0.15497157767216477</v>
      </c>
      <c r="L25" s="10">
        <f>L9/L5</f>
        <v>0.15030060120240482</v>
      </c>
      <c r="O25" s="10">
        <f>O9/O5</f>
        <v>0.15487196269328316</v>
      </c>
      <c r="P25" s="10">
        <f>P9/P5</f>
        <v>0.1494517291618741</v>
      </c>
      <c r="T25" s="10">
        <f t="shared" ref="T25:AA25" si="101">T9/T5</f>
        <v>0.18536697097608063</v>
      </c>
      <c r="U25" s="10">
        <f t="shared" si="101"/>
        <v>0.20153036515674944</v>
      </c>
      <c r="V25" s="10">
        <f t="shared" si="101"/>
        <v>0.18553311413809301</v>
      </c>
      <c r="W25" s="10">
        <f t="shared" si="101"/>
        <v>0.17756035578144855</v>
      </c>
      <c r="X25" s="10">
        <f t="shared" si="101"/>
        <v>0.16677653263019115</v>
      </c>
      <c r="Y25" s="10">
        <f t="shared" si="101"/>
        <v>0.16657568431724246</v>
      </c>
      <c r="Z25" s="10">
        <f t="shared" si="101"/>
        <v>0.16804121095236887</v>
      </c>
      <c r="AA25" s="10">
        <f t="shared" si="101"/>
        <v>0.15783497350492051</v>
      </c>
      <c r="AB25" s="10">
        <f t="shared" ref="AB25:AM25" si="102">AB9/AB5</f>
        <v>0.15432978455863861</v>
      </c>
      <c r="AC25" s="10">
        <f t="shared" si="102"/>
        <v>0.15384503778337533</v>
      </c>
      <c r="AD25" s="10">
        <f t="shared" si="102"/>
        <v>0.15375611942513373</v>
      </c>
      <c r="AE25" s="10">
        <f t="shared" si="102"/>
        <v>0.1537111255902141</v>
      </c>
      <c r="AF25" s="10">
        <f t="shared" si="102"/>
        <v>0.15368860406814419</v>
      </c>
      <c r="AG25" s="10">
        <f t="shared" si="102"/>
        <v>0.15368860406814411</v>
      </c>
      <c r="AH25" s="10">
        <f t="shared" si="102"/>
        <v>0.1537113455938556</v>
      </c>
      <c r="AI25" s="10">
        <f t="shared" si="102"/>
        <v>0.153734369277987</v>
      </c>
      <c r="AJ25" s="10">
        <f t="shared" si="102"/>
        <v>0.15375745045150216</v>
      </c>
      <c r="AK25" s="10">
        <f t="shared" si="102"/>
        <v>0.15378058820561585</v>
      </c>
      <c r="AL25" s="10">
        <f t="shared" si="102"/>
        <v>0.15380378162157723</v>
      </c>
      <c r="AM25" s="10">
        <f t="shared" si="102"/>
        <v>0.15382702977079338</v>
      </c>
      <c r="AO25" s="1" t="s">
        <v>55</v>
      </c>
      <c r="AP25" s="4">
        <f>AP23+AP24</f>
        <v>56856.860557938569</v>
      </c>
    </row>
    <row r="26" spans="2:42" x14ac:dyDescent="0.3">
      <c r="B26" s="1" t="s">
        <v>50</v>
      </c>
      <c r="K26" s="10"/>
      <c r="L26" s="10"/>
      <c r="O26" s="10">
        <f>O10/K10-1</f>
        <v>-3.1897926634768536E-3</v>
      </c>
      <c r="P26" s="10">
        <f>P10/L10-1</f>
        <v>0</v>
      </c>
      <c r="T26" s="10"/>
      <c r="U26" s="10">
        <f t="shared" ref="U26:AA26" si="103">U10/T10-1</f>
        <v>4.4247787610619538E-2</v>
      </c>
      <c r="V26" s="10">
        <f t="shared" si="103"/>
        <v>0.12562313060817543</v>
      </c>
      <c r="W26" s="10">
        <f t="shared" si="103"/>
        <v>7.0416297608503209E-2</v>
      </c>
      <c r="X26" s="10">
        <f t="shared" si="103"/>
        <v>-9.3090608191973567E-2</v>
      </c>
      <c r="Y26" s="10">
        <f t="shared" si="103"/>
        <v>2.4178832116788396E-2</v>
      </c>
      <c r="Z26" s="10">
        <f t="shared" si="103"/>
        <v>7.3942093541202736E-2</v>
      </c>
      <c r="AA26" s="10">
        <f t="shared" si="103"/>
        <v>6.6362505184571763E-3</v>
      </c>
      <c r="AB26" s="10">
        <f>AB10/AA10-1</f>
        <v>5.8096415327564932E-2</v>
      </c>
      <c r="AC26" s="10">
        <f t="shared" ref="AC26:AM26" si="104">AC10/AB10-1</f>
        <v>3.0000000000000027E-2</v>
      </c>
      <c r="AD26" s="10">
        <f t="shared" si="104"/>
        <v>2.0000000000000018E-2</v>
      </c>
      <c r="AE26" s="10">
        <f t="shared" si="104"/>
        <v>1.0000000000000009E-2</v>
      </c>
      <c r="AF26" s="10">
        <f t="shared" si="104"/>
        <v>1.0000000000000009E-2</v>
      </c>
      <c r="AG26" s="10">
        <f t="shared" si="104"/>
        <v>1.0000000000000009E-2</v>
      </c>
      <c r="AH26" s="10">
        <f t="shared" si="104"/>
        <v>1.0000000000000009E-2</v>
      </c>
      <c r="AI26" s="10">
        <f t="shared" si="104"/>
        <v>1.0000000000000009E-2</v>
      </c>
      <c r="AJ26" s="10">
        <f t="shared" si="104"/>
        <v>1.0000000000000009E-2</v>
      </c>
      <c r="AK26" s="10">
        <f t="shared" si="104"/>
        <v>1.0000000000000009E-2</v>
      </c>
      <c r="AL26" s="10">
        <f t="shared" si="104"/>
        <v>1.0000000000000009E-2</v>
      </c>
      <c r="AM26" s="10">
        <f t="shared" si="104"/>
        <v>1.0000000000000009E-2</v>
      </c>
      <c r="AO26" s="1" t="s">
        <v>56</v>
      </c>
      <c r="AP26" s="3">
        <f>AP25/AM17</f>
        <v>211.36379389568242</v>
      </c>
    </row>
    <row r="27" spans="2:42" x14ac:dyDescent="0.3">
      <c r="B27" s="1" t="s">
        <v>18</v>
      </c>
      <c r="K27" s="10">
        <f>K11/K5</f>
        <v>9.6542726679712976E-2</v>
      </c>
      <c r="L27" s="10">
        <f>L11/L5</f>
        <v>9.6526386105544426E-2</v>
      </c>
      <c r="O27" s="10">
        <f>O11/O5</f>
        <v>0.10373885298208296</v>
      </c>
      <c r="P27" s="10">
        <f>P11/P5</f>
        <v>0.10006901311249138</v>
      </c>
      <c r="T27" s="10">
        <f t="shared" ref="T27:AA27" si="105">T11/T5</f>
        <v>0.12250908020025522</v>
      </c>
      <c r="U27" s="10">
        <f t="shared" si="105"/>
        <v>0.13676427856520196</v>
      </c>
      <c r="V27" s="10">
        <f t="shared" si="105"/>
        <v>0.12314535959992264</v>
      </c>
      <c r="W27" s="10">
        <f t="shared" si="105"/>
        <v>0.11613722998729352</v>
      </c>
      <c r="X27" s="10">
        <f t="shared" si="105"/>
        <v>0.10897824653922215</v>
      </c>
      <c r="Y27" s="10">
        <f t="shared" si="105"/>
        <v>0.10821700590085523</v>
      </c>
      <c r="Z27" s="10">
        <f t="shared" si="105"/>
        <v>0.10685918745400563</v>
      </c>
      <c r="AA27" s="10">
        <f t="shared" si="105"/>
        <v>0.10042108251324754</v>
      </c>
      <c r="AB27" s="10">
        <f t="shared" ref="AB27:AM27" si="106">AB11/AB5</f>
        <v>0.10051135887333389</v>
      </c>
      <c r="AC27" s="10">
        <f t="shared" si="106"/>
        <v>0.10308260525368838</v>
      </c>
      <c r="AD27" s="10">
        <f t="shared" si="106"/>
        <v>0.10512121821095066</v>
      </c>
      <c r="AE27" s="10">
        <f t="shared" si="106"/>
        <v>0.10659186716155847</v>
      </c>
      <c r="AF27" s="10">
        <f t="shared" si="106"/>
        <v>0.10776468054822111</v>
      </c>
      <c r="AG27" s="10">
        <f t="shared" si="106"/>
        <v>0.10865640721851079</v>
      </c>
      <c r="AH27" s="10">
        <f t="shared" si="106"/>
        <v>0.10928131224447389</v>
      </c>
      <c r="AI27" s="10">
        <f t="shared" si="106"/>
        <v>0.10946700078307575</v>
      </c>
      <c r="AJ27" s="10">
        <f t="shared" si="106"/>
        <v>0.10965315297986347</v>
      </c>
      <c r="AK27" s="10">
        <f t="shared" si="106"/>
        <v>0.10983976150538721</v>
      </c>
      <c r="AL27" s="10">
        <f t="shared" si="106"/>
        <v>0.11002681894981844</v>
      </c>
      <c r="AM27" s="10">
        <f t="shared" si="106"/>
        <v>0.11021431782395591</v>
      </c>
      <c r="AO27" s="1" t="s">
        <v>57</v>
      </c>
      <c r="AP27" s="3">
        <f>Main!D3</f>
        <v>317.10000000000002</v>
      </c>
    </row>
    <row r="28" spans="2:42" x14ac:dyDescent="0.3">
      <c r="B28" s="1" t="s">
        <v>19</v>
      </c>
      <c r="K28" s="10">
        <f>K15/K14</f>
        <v>0.17458677685950413</v>
      </c>
      <c r="L28" s="10">
        <f>L15/L14</f>
        <v>0.16972477064220184</v>
      </c>
      <c r="O28" s="10">
        <f>O15/O14</f>
        <v>0.17166666666666666</v>
      </c>
      <c r="P28" s="10">
        <f>P15/P14</f>
        <v>0.17694805194805194</v>
      </c>
      <c r="T28" s="10">
        <f t="shared" ref="T28:AA28" si="107">T15/T14</f>
        <v>0.2964989059080963</v>
      </c>
      <c r="U28" s="10">
        <f t="shared" si="107"/>
        <v>0.28574932548442483</v>
      </c>
      <c r="V28" s="10">
        <f t="shared" si="107"/>
        <v>0.18115055079559364</v>
      </c>
      <c r="W28" s="10">
        <f t="shared" si="107"/>
        <v>0.17087101380295097</v>
      </c>
      <c r="X28" s="10">
        <f t="shared" si="107"/>
        <v>0.15275548421615837</v>
      </c>
      <c r="Y28" s="10">
        <f t="shared" si="107"/>
        <v>0.15904983217144333</v>
      </c>
      <c r="Z28" s="10">
        <f t="shared" si="107"/>
        <v>0.16005946481665015</v>
      </c>
      <c r="AA28" s="10">
        <f t="shared" si="107"/>
        <v>0.16792168674698796</v>
      </c>
      <c r="AB28" s="10">
        <f t="shared" ref="AB28:AM28" si="108">AB15/AB14</f>
        <v>0.16696035242290749</v>
      </c>
      <c r="AC28" s="10">
        <f t="shared" si="108"/>
        <v>0.17</v>
      </c>
      <c r="AD28" s="10">
        <f t="shared" si="108"/>
        <v>0.17</v>
      </c>
      <c r="AE28" s="10">
        <f t="shared" si="108"/>
        <v>0.17</v>
      </c>
      <c r="AF28" s="10">
        <f t="shared" si="108"/>
        <v>0.16999999999999998</v>
      </c>
      <c r="AG28" s="10">
        <f t="shared" si="108"/>
        <v>0.17000000000000004</v>
      </c>
      <c r="AH28" s="10">
        <f t="shared" si="108"/>
        <v>0.17</v>
      </c>
      <c r="AI28" s="10">
        <f t="shared" si="108"/>
        <v>0.17</v>
      </c>
      <c r="AJ28" s="10">
        <f t="shared" si="108"/>
        <v>0.17</v>
      </c>
      <c r="AK28" s="10">
        <f t="shared" si="108"/>
        <v>0.17</v>
      </c>
      <c r="AL28" s="10">
        <f t="shared" si="108"/>
        <v>0.17</v>
      </c>
      <c r="AM28" s="10">
        <f t="shared" si="108"/>
        <v>0.17</v>
      </c>
      <c r="AO28" s="2" t="s">
        <v>58</v>
      </c>
      <c r="AP28" s="11">
        <f>AP26/AP27-1</f>
        <v>-0.33344751215489621</v>
      </c>
    </row>
    <row r="29" spans="2:42" x14ac:dyDescent="0.3">
      <c r="B29" s="1" t="s">
        <v>20</v>
      </c>
      <c r="K29" s="10">
        <f>K16/K5</f>
        <v>7.4457180132326897E-2</v>
      </c>
      <c r="L29" s="10">
        <f>L16/L5</f>
        <v>7.5567802271209086E-2</v>
      </c>
      <c r="O29" s="10">
        <f>O16/O5</f>
        <v>8.1322097684692798E-2</v>
      </c>
      <c r="P29" s="10">
        <f>P16/P5</f>
        <v>7.7754773406947322E-2</v>
      </c>
      <c r="T29" s="10">
        <f t="shared" ref="T29:AA29" si="109">T16/T5</f>
        <v>8.4159549752953117E-2</v>
      </c>
      <c r="U29" s="10">
        <f t="shared" si="109"/>
        <v>9.4017369967390949E-2</v>
      </c>
      <c r="V29" s="10">
        <f t="shared" si="109"/>
        <v>9.2421186417263004E-2</v>
      </c>
      <c r="W29" s="10">
        <f t="shared" si="109"/>
        <v>8.8538754764930117E-2</v>
      </c>
      <c r="X29" s="10">
        <f t="shared" si="109"/>
        <v>8.3506921555702038E-2</v>
      </c>
      <c r="Y29" s="10">
        <f t="shared" si="109"/>
        <v>8.4665574878473579E-2</v>
      </c>
      <c r="Z29" s="10">
        <f t="shared" si="109"/>
        <v>8.6025325449793189E-2</v>
      </c>
      <c r="AA29" s="10">
        <f t="shared" si="109"/>
        <v>7.8420704012112041E-2</v>
      </c>
      <c r="AB29" s="10">
        <f t="shared" ref="AB29:AM29" si="110">AB16/AB5</f>
        <v>7.9260625366753296E-2</v>
      </c>
      <c r="AC29" s="10">
        <f t="shared" si="110"/>
        <v>8.1439962384550812E-2</v>
      </c>
      <c r="AD29" s="10">
        <f t="shared" si="110"/>
        <v>8.3343314083007991E-2</v>
      </c>
      <c r="AE29" s="10">
        <f t="shared" si="110"/>
        <v>8.4685718489463227E-2</v>
      </c>
      <c r="AF29" s="10">
        <f t="shared" si="110"/>
        <v>8.5755186046735932E-2</v>
      </c>
      <c r="AG29" s="10">
        <f t="shared" si="110"/>
        <v>8.6566959936635338E-2</v>
      </c>
      <c r="AH29" s="10">
        <f t="shared" si="110"/>
        <v>8.7134008540823038E-2</v>
      </c>
      <c r="AI29" s="10">
        <f t="shared" si="110"/>
        <v>8.7301198418816991E-2</v>
      </c>
      <c r="AJ29" s="10">
        <f t="shared" si="110"/>
        <v>8.7468805764448473E-2</v>
      </c>
      <c r="AK29" s="10">
        <f t="shared" si="110"/>
        <v>8.7636823978441955E-2</v>
      </c>
      <c r="AL29" s="10">
        <f t="shared" si="110"/>
        <v>8.7805246389150743E-2</v>
      </c>
      <c r="AM29" s="10">
        <f t="shared" si="110"/>
        <v>8.7974066253462671E-2</v>
      </c>
      <c r="AO29" s="1" t="s">
        <v>59</v>
      </c>
      <c r="AP29" s="7" t="s">
        <v>60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2025-04-24T07:38:49Z</dcterms:created>
  <dcterms:modified xsi:type="dcterms:W3CDTF">2025-07-24T11:06:36Z</dcterms:modified>
</cp:coreProperties>
</file>