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DC43CEBE-ADE7-4236-9AA9-EE8713EBFC25}" xr6:coauthVersionLast="47" xr6:coauthVersionMax="47" xr10:uidLastSave="{00000000-0000-0000-0000-000000000000}"/>
  <bookViews>
    <workbookView xWindow="-108" yWindow="-108" windowWidth="23256" windowHeight="12576" activeTab="1" xr2:uid="{A369EDEE-6FD8-4295-94F6-F7056E8D0FA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28" i="2" l="1"/>
  <c r="R26" i="2"/>
  <c r="R25" i="2"/>
  <c r="R23" i="2"/>
  <c r="R20" i="2"/>
  <c r="R19" i="2"/>
  <c r="R17" i="2"/>
  <c r="R16" i="2"/>
  <c r="D7" i="1"/>
  <c r="D6" i="1"/>
  <c r="R36" i="2"/>
  <c r="R35" i="2"/>
  <c r="R34" i="2"/>
  <c r="R33" i="2"/>
  <c r="N13" i="2"/>
  <c r="R13" i="2"/>
  <c r="AG7" i="2"/>
  <c r="R7" i="2"/>
  <c r="D4" i="1"/>
  <c r="AE7" i="2"/>
  <c r="AF7" i="2"/>
  <c r="J7" i="2"/>
  <c r="N7" i="2"/>
  <c r="P7" i="2"/>
  <c r="Q7" i="2"/>
  <c r="M13" i="2"/>
  <c r="Q36" i="2"/>
  <c r="Q35" i="2"/>
  <c r="Q34" i="2"/>
  <c r="Q33" i="2"/>
  <c r="Q13" i="2"/>
  <c r="AQ30" i="2"/>
  <c r="AP30" i="2"/>
  <c r="AO30" i="2"/>
  <c r="AN30" i="2"/>
  <c r="AM30" i="2"/>
  <c r="AL30" i="2"/>
  <c r="AK30" i="2"/>
  <c r="AJ30" i="2"/>
  <c r="AI30" i="2"/>
  <c r="AH30" i="2"/>
  <c r="AG30" i="2"/>
  <c r="R30" i="2"/>
  <c r="Q30" i="2"/>
  <c r="AH26" i="2"/>
  <c r="AI26" i="2" s="1"/>
  <c r="AJ26" i="2" s="1"/>
  <c r="AK26" i="2" s="1"/>
  <c r="AL26" i="2" s="1"/>
  <c r="AM26" i="2" s="1"/>
  <c r="AN26" i="2" s="1"/>
  <c r="AO26" i="2" s="1"/>
  <c r="AP26" i="2" s="1"/>
  <c r="AQ26" i="2" s="1"/>
  <c r="AH25" i="2"/>
  <c r="AI25" i="2" s="1"/>
  <c r="AJ25" i="2" s="1"/>
  <c r="AK25" i="2" s="1"/>
  <c r="N28" i="2"/>
  <c r="N26" i="2"/>
  <c r="N25" i="2"/>
  <c r="N23" i="2"/>
  <c r="N20" i="2"/>
  <c r="N19" i="2"/>
  <c r="N17" i="2"/>
  <c r="N16" i="2"/>
  <c r="N30" i="2"/>
  <c r="M42" i="2"/>
  <c r="M41" i="2"/>
  <c r="M30" i="2"/>
  <c r="M21" i="2"/>
  <c r="M18" i="2"/>
  <c r="Q44" i="2"/>
  <c r="Q42" i="2"/>
  <c r="Q41" i="2"/>
  <c r="Q39" i="2"/>
  <c r="Q38" i="2"/>
  <c r="Q21" i="2"/>
  <c r="Q18" i="2"/>
  <c r="L42" i="2"/>
  <c r="L41" i="2"/>
  <c r="L30" i="2"/>
  <c r="L21" i="2"/>
  <c r="L18" i="2"/>
  <c r="P18" i="2"/>
  <c r="P21" i="2"/>
  <c r="P30" i="2"/>
  <c r="P42" i="2"/>
  <c r="P41" i="2"/>
  <c r="P44" i="2"/>
  <c r="AT45" i="2"/>
  <c r="AE44" i="2"/>
  <c r="AD44" i="2"/>
  <c r="AC44" i="2"/>
  <c r="AB44" i="2"/>
  <c r="AA44" i="2"/>
  <c r="Z44" i="2"/>
  <c r="Y44" i="2"/>
  <c r="AE42" i="2"/>
  <c r="AD42" i="2"/>
  <c r="AC42" i="2"/>
  <c r="AB42" i="2"/>
  <c r="AA42" i="2"/>
  <c r="Z42" i="2"/>
  <c r="Y42" i="2"/>
  <c r="X42" i="2"/>
  <c r="AE41" i="2"/>
  <c r="AD41" i="2"/>
  <c r="AC41" i="2"/>
  <c r="AB41" i="2"/>
  <c r="AA41" i="2"/>
  <c r="Z41" i="2"/>
  <c r="Y41" i="2"/>
  <c r="X41" i="2"/>
  <c r="AE39" i="2"/>
  <c r="AD39" i="2"/>
  <c r="AC39" i="2"/>
  <c r="AB39" i="2"/>
  <c r="AA39" i="2"/>
  <c r="Z39" i="2"/>
  <c r="Y39" i="2"/>
  <c r="AE38" i="2"/>
  <c r="AD38" i="2"/>
  <c r="AC38" i="2"/>
  <c r="AB38" i="2"/>
  <c r="AA38" i="2"/>
  <c r="Z38" i="2"/>
  <c r="Y38" i="2"/>
  <c r="AF44" i="2"/>
  <c r="AF39" i="2"/>
  <c r="AF38" i="2"/>
  <c r="AF42" i="2"/>
  <c r="AF41" i="2"/>
  <c r="K42" i="2"/>
  <c r="K41" i="2"/>
  <c r="O44" i="2"/>
  <c r="O42" i="2"/>
  <c r="O41" i="2"/>
  <c r="O39" i="2"/>
  <c r="O38" i="2"/>
  <c r="X28" i="2"/>
  <c r="X30" i="2"/>
  <c r="X21" i="2"/>
  <c r="X18" i="2"/>
  <c r="Y30" i="2"/>
  <c r="Y21" i="2"/>
  <c r="Y18" i="2"/>
  <c r="Z28" i="2"/>
  <c r="Z30" i="2"/>
  <c r="Z21" i="2"/>
  <c r="Z18" i="2"/>
  <c r="AA30" i="2"/>
  <c r="AA21" i="2"/>
  <c r="AA18" i="2"/>
  <c r="AB30" i="2"/>
  <c r="AB21" i="2"/>
  <c r="AB18" i="2"/>
  <c r="AC30" i="2"/>
  <c r="AC21" i="2"/>
  <c r="AC18" i="2"/>
  <c r="O18" i="2"/>
  <c r="O21" i="2"/>
  <c r="O30" i="2"/>
  <c r="AD30" i="2"/>
  <c r="AD21" i="2"/>
  <c r="AD18" i="2"/>
  <c r="AE30" i="2"/>
  <c r="AE21" i="2"/>
  <c r="AE18" i="2"/>
  <c r="AF30" i="2"/>
  <c r="AF21" i="2"/>
  <c r="AF18" i="2"/>
  <c r="K30" i="2"/>
  <c r="K21" i="2"/>
  <c r="K18" i="2"/>
  <c r="P22" i="2" l="1"/>
  <c r="P24" i="2" s="1"/>
  <c r="P27" i="2" s="1"/>
  <c r="P29" i="2" s="1"/>
  <c r="P31" i="2" s="1"/>
  <c r="AE40" i="2"/>
  <c r="AC40" i="2"/>
  <c r="N21" i="2"/>
  <c r="O22" i="2"/>
  <c r="O24" i="2" s="1"/>
  <c r="O27" i="2" s="1"/>
  <c r="O29" i="2" s="1"/>
  <c r="O31" i="2" s="1"/>
  <c r="Y40" i="2"/>
  <c r="AB40" i="2"/>
  <c r="AF40" i="2"/>
  <c r="Z40" i="2"/>
  <c r="AD40" i="2"/>
  <c r="AA40" i="2"/>
  <c r="R38" i="2"/>
  <c r="AH16" i="2"/>
  <c r="AI16" i="2" s="1"/>
  <c r="AJ16" i="2" s="1"/>
  <c r="AK16" i="2" s="1"/>
  <c r="AL16" i="2" s="1"/>
  <c r="R41" i="2"/>
  <c r="N18" i="2"/>
  <c r="N22" i="2" s="1"/>
  <c r="N24" i="2" s="1"/>
  <c r="AH23" i="2"/>
  <c r="AI23" i="2" s="1"/>
  <c r="AJ23" i="2" s="1"/>
  <c r="AK23" i="2" s="1"/>
  <c r="AK44" i="2" s="1"/>
  <c r="N42" i="2"/>
  <c r="R18" i="2"/>
  <c r="O40" i="2"/>
  <c r="R44" i="2"/>
  <c r="N41" i="2"/>
  <c r="M22" i="2"/>
  <c r="M43" i="2" s="1"/>
  <c r="Q40" i="2"/>
  <c r="Q22" i="2"/>
  <c r="L22" i="2"/>
  <c r="P40" i="2"/>
  <c r="P38" i="2"/>
  <c r="P39" i="2"/>
  <c r="AL25" i="2"/>
  <c r="X22" i="2"/>
  <c r="Y22" i="2"/>
  <c r="Z22" i="2"/>
  <c r="AA22" i="2"/>
  <c r="AB22" i="2"/>
  <c r="AC22" i="2"/>
  <c r="AD22" i="2"/>
  <c r="AE22" i="2"/>
  <c r="AF22" i="2"/>
  <c r="K22" i="2"/>
  <c r="P45" i="2" l="1"/>
  <c r="O46" i="2"/>
  <c r="AG44" i="2"/>
  <c r="O45" i="2"/>
  <c r="AH44" i="2"/>
  <c r="O43" i="2"/>
  <c r="O47" i="2"/>
  <c r="AH19" i="2"/>
  <c r="AH41" i="2" s="1"/>
  <c r="AH38" i="2"/>
  <c r="AG38" i="2"/>
  <c r="R40" i="2"/>
  <c r="AB24" i="2"/>
  <c r="AB43" i="2"/>
  <c r="AA24" i="2"/>
  <c r="AA43" i="2"/>
  <c r="L24" i="2"/>
  <c r="L43" i="2"/>
  <c r="X24" i="2"/>
  <c r="X43" i="2"/>
  <c r="AG41" i="2"/>
  <c r="Y24" i="2"/>
  <c r="Y45" i="2" s="1"/>
  <c r="Y43" i="2"/>
  <c r="AE24" i="2"/>
  <c r="AE43" i="2"/>
  <c r="AD24" i="2"/>
  <c r="AD43" i="2"/>
  <c r="Z24" i="2"/>
  <c r="Z43" i="2"/>
  <c r="K24" i="2"/>
  <c r="K43" i="2"/>
  <c r="R39" i="2"/>
  <c r="AC24" i="2"/>
  <c r="AC43" i="2"/>
  <c r="N43" i="2"/>
  <c r="AJ44" i="2"/>
  <c r="AI44" i="2"/>
  <c r="AL23" i="2"/>
  <c r="AL44" i="2" s="1"/>
  <c r="AI38" i="2"/>
  <c r="AI19" i="2"/>
  <c r="AI41" i="2" s="1"/>
  <c r="N27" i="2"/>
  <c r="N45" i="2"/>
  <c r="M24" i="2"/>
  <c r="M45" i="2" s="1"/>
  <c r="Q43" i="2"/>
  <c r="Q24" i="2"/>
  <c r="AJ38" i="2"/>
  <c r="AJ19" i="2"/>
  <c r="P43" i="2"/>
  <c r="P46" i="2"/>
  <c r="AM25" i="2"/>
  <c r="AF24" i="2"/>
  <c r="AF43" i="2"/>
  <c r="D8" i="1"/>
  <c r="AT42" i="2" s="1"/>
  <c r="D5" i="1"/>
  <c r="F3" i="1"/>
  <c r="AG42" i="2" l="1"/>
  <c r="AG21" i="2"/>
  <c r="R42" i="2"/>
  <c r="L45" i="2"/>
  <c r="L27" i="2"/>
  <c r="L46" i="2" s="1"/>
  <c r="AE27" i="2"/>
  <c r="AE45" i="2"/>
  <c r="Y27" i="2"/>
  <c r="AA27" i="2"/>
  <c r="AA45" i="2"/>
  <c r="AC27" i="2"/>
  <c r="AC45" i="2"/>
  <c r="Z27" i="2"/>
  <c r="Z45" i="2"/>
  <c r="R21" i="2"/>
  <c r="R22" i="2" s="1"/>
  <c r="AB27" i="2"/>
  <c r="AB45" i="2"/>
  <c r="AD27" i="2"/>
  <c r="AD45" i="2"/>
  <c r="K27" i="2"/>
  <c r="K45" i="2"/>
  <c r="AH17" i="2"/>
  <c r="AG18" i="2"/>
  <c r="AG40" i="2" s="1"/>
  <c r="AG39" i="2"/>
  <c r="X27" i="2"/>
  <c r="X45" i="2"/>
  <c r="AM23" i="2"/>
  <c r="AM44" i="2" s="1"/>
  <c r="N46" i="2"/>
  <c r="N29" i="2"/>
  <c r="M27" i="2"/>
  <c r="M46" i="2" s="1"/>
  <c r="Q45" i="2"/>
  <c r="Q27" i="2"/>
  <c r="D9" i="1"/>
  <c r="AK38" i="2"/>
  <c r="AK19" i="2"/>
  <c r="AJ41" i="2"/>
  <c r="P47" i="2"/>
  <c r="AN25" i="2"/>
  <c r="AF27" i="2"/>
  <c r="AF45" i="2"/>
  <c r="AG52" i="2" l="1"/>
  <c r="AG53" i="2"/>
  <c r="L29" i="2"/>
  <c r="L31" i="2" s="1"/>
  <c r="AG22" i="2"/>
  <c r="AG43" i="2" s="1"/>
  <c r="AC29" i="2"/>
  <c r="AC46" i="2"/>
  <c r="AN23" i="2"/>
  <c r="AN44" i="2" s="1"/>
  <c r="AD29" i="2"/>
  <c r="AD46" i="2"/>
  <c r="AA29" i="2"/>
  <c r="AA46" i="2"/>
  <c r="Y29" i="2"/>
  <c r="Y46" i="2"/>
  <c r="R43" i="2"/>
  <c r="R24" i="2"/>
  <c r="X29" i="2"/>
  <c r="X46" i="2"/>
  <c r="AB29" i="2"/>
  <c r="AB46" i="2"/>
  <c r="AI17" i="2"/>
  <c r="AH18" i="2"/>
  <c r="AH40" i="2" s="1"/>
  <c r="AH20" i="2"/>
  <c r="AH39" i="2"/>
  <c r="AE29" i="2"/>
  <c r="AE46" i="2"/>
  <c r="Z29" i="2"/>
  <c r="Z46" i="2"/>
  <c r="K29" i="2"/>
  <c r="K46" i="2"/>
  <c r="N31" i="2"/>
  <c r="N47" i="2"/>
  <c r="M29" i="2"/>
  <c r="M31" i="2" s="1"/>
  <c r="Q46" i="2"/>
  <c r="Q29" i="2"/>
  <c r="AL38" i="2"/>
  <c r="AM16" i="2"/>
  <c r="AL19" i="2"/>
  <c r="AK41" i="2"/>
  <c r="AO25" i="2"/>
  <c r="AO23" i="2"/>
  <c r="AF29" i="2"/>
  <c r="AF46" i="2"/>
  <c r="AG24" i="2" l="1"/>
  <c r="AG27" i="2" s="1"/>
  <c r="L47" i="2"/>
  <c r="AE31" i="2"/>
  <c r="AE47" i="2"/>
  <c r="AA31" i="2"/>
  <c r="AA47" i="2"/>
  <c r="X31" i="2"/>
  <c r="X47" i="2"/>
  <c r="AH42" i="2"/>
  <c r="AH21" i="2"/>
  <c r="AH22" i="2" s="1"/>
  <c r="K31" i="2"/>
  <c r="K47" i="2"/>
  <c r="AI18" i="2"/>
  <c r="AI40" i="2" s="1"/>
  <c r="AJ17" i="2"/>
  <c r="AI39" i="2"/>
  <c r="AI20" i="2"/>
  <c r="AD31" i="2"/>
  <c r="AD47" i="2"/>
  <c r="R27" i="2"/>
  <c r="R45" i="2"/>
  <c r="Z31" i="2"/>
  <c r="Z47" i="2"/>
  <c r="AB31" i="2"/>
  <c r="AB47" i="2"/>
  <c r="Y31" i="2"/>
  <c r="Y47" i="2"/>
  <c r="AC31" i="2"/>
  <c r="AC47" i="2"/>
  <c r="M47" i="2"/>
  <c r="Q31" i="2"/>
  <c r="Q47" i="2"/>
  <c r="AN16" i="2"/>
  <c r="AM19" i="2"/>
  <c r="AM41" i="2" s="1"/>
  <c r="AM38" i="2"/>
  <c r="AL41" i="2"/>
  <c r="AP25" i="2"/>
  <c r="AP23" i="2"/>
  <c r="AO44" i="2"/>
  <c r="AF31" i="2"/>
  <c r="AF47" i="2"/>
  <c r="AG45" i="2" l="1"/>
  <c r="AJ18" i="2"/>
  <c r="AJ40" i="2" s="1"/>
  <c r="AK17" i="2"/>
  <c r="AJ39" i="2"/>
  <c r="AJ20" i="2"/>
  <c r="AI42" i="2"/>
  <c r="AI21" i="2"/>
  <c r="AI22" i="2" s="1"/>
  <c r="AG46" i="2"/>
  <c r="AH24" i="2"/>
  <c r="AH43" i="2"/>
  <c r="AO16" i="2"/>
  <c r="AN38" i="2"/>
  <c r="AN19" i="2"/>
  <c r="AQ25" i="2"/>
  <c r="AQ23" i="2"/>
  <c r="AQ44" i="2" s="1"/>
  <c r="AP44" i="2"/>
  <c r="R46" i="2" l="1"/>
  <c r="R29" i="2"/>
  <c r="R31" i="2" s="1"/>
  <c r="AG29" i="2"/>
  <c r="AG31" i="2" s="1"/>
  <c r="AI24" i="2"/>
  <c r="AI43" i="2"/>
  <c r="AH27" i="2"/>
  <c r="AH45" i="2"/>
  <c r="AL17" i="2"/>
  <c r="AK20" i="2"/>
  <c r="AK18" i="2"/>
  <c r="AK39" i="2"/>
  <c r="AG47" i="2"/>
  <c r="AJ42" i="2"/>
  <c r="AJ21" i="2"/>
  <c r="AJ22" i="2" s="1"/>
  <c r="AN41" i="2"/>
  <c r="AP16" i="2"/>
  <c r="AO19" i="2"/>
  <c r="AO38" i="2"/>
  <c r="R47" i="2" l="1"/>
  <c r="AL18" i="2"/>
  <c r="AL40" i="2" s="1"/>
  <c r="AL20" i="2"/>
  <c r="AL21" i="2" s="1"/>
  <c r="AM17" i="2"/>
  <c r="AL39" i="2"/>
  <c r="AJ24" i="2"/>
  <c r="AJ43" i="2"/>
  <c r="AK42" i="2"/>
  <c r="AK21" i="2"/>
  <c r="AK22" i="2" s="1"/>
  <c r="AH28" i="2"/>
  <c r="AH46" i="2" s="1"/>
  <c r="AK40" i="2"/>
  <c r="AI45" i="2"/>
  <c r="AI27" i="2"/>
  <c r="AO41" i="2"/>
  <c r="AQ16" i="2"/>
  <c r="AP19" i="2"/>
  <c r="AP38" i="2"/>
  <c r="AL42" i="2" l="1"/>
  <c r="AH29" i="2"/>
  <c r="AH47" i="2" s="1"/>
  <c r="AK24" i="2"/>
  <c r="AK43" i="2"/>
  <c r="AI28" i="2"/>
  <c r="AI46" i="2" s="1"/>
  <c r="AM18" i="2"/>
  <c r="AM40" i="2" s="1"/>
  <c r="AM39" i="2"/>
  <c r="AM20" i="2"/>
  <c r="AM21" i="2" s="1"/>
  <c r="AN17" i="2"/>
  <c r="AJ27" i="2"/>
  <c r="AJ45" i="2"/>
  <c r="AL22" i="2"/>
  <c r="AP41" i="2"/>
  <c r="AQ19" i="2"/>
  <c r="AQ38" i="2"/>
  <c r="AI29" i="2" l="1"/>
  <c r="AI47" i="2" s="1"/>
  <c r="AM22" i="2"/>
  <c r="AM24" i="2" s="1"/>
  <c r="AH31" i="2"/>
  <c r="AN18" i="2"/>
  <c r="AN40" i="2" s="1"/>
  <c r="AN39" i="2"/>
  <c r="AN20" i="2"/>
  <c r="AO17" i="2"/>
  <c r="AL24" i="2"/>
  <c r="AL43" i="2"/>
  <c r="AJ28" i="2"/>
  <c r="AJ46" i="2" s="1"/>
  <c r="AM42" i="2"/>
  <c r="AK27" i="2"/>
  <c r="AK45" i="2"/>
  <c r="AQ41" i="2"/>
  <c r="AI31" i="2" l="1"/>
  <c r="AM43" i="2"/>
  <c r="AJ29" i="2"/>
  <c r="AJ47" i="2" s="1"/>
  <c r="AK28" i="2"/>
  <c r="AK46" i="2" s="1"/>
  <c r="AM45" i="2"/>
  <c r="AM27" i="2"/>
  <c r="AP17" i="2"/>
  <c r="AO39" i="2"/>
  <c r="AO18" i="2"/>
  <c r="AO40" i="2" s="1"/>
  <c r="AO20" i="2"/>
  <c r="AL45" i="2"/>
  <c r="AL27" i="2"/>
  <c r="AN42" i="2"/>
  <c r="AN21" i="2"/>
  <c r="AN22" i="2" s="1"/>
  <c r="AJ31" i="2" l="1"/>
  <c r="AQ17" i="2"/>
  <c r="AP20" i="2"/>
  <c r="AP21" i="2" s="1"/>
  <c r="AP39" i="2"/>
  <c r="AP18" i="2"/>
  <c r="AL28" i="2"/>
  <c r="AL46" i="2" s="1"/>
  <c r="AM28" i="2"/>
  <c r="AM46" i="2" s="1"/>
  <c r="AN43" i="2"/>
  <c r="AN24" i="2"/>
  <c r="AO42" i="2"/>
  <c r="AO21" i="2"/>
  <c r="AO22" i="2" s="1"/>
  <c r="AK29" i="2"/>
  <c r="AL29" i="2" l="1"/>
  <c r="AL47" i="2" s="1"/>
  <c r="AK31" i="2"/>
  <c r="AK47" i="2"/>
  <c r="AP40" i="2"/>
  <c r="AP22" i="2"/>
  <c r="AN45" i="2"/>
  <c r="AN27" i="2"/>
  <c r="AP42" i="2"/>
  <c r="AO24" i="2"/>
  <c r="AO43" i="2"/>
  <c r="AM29" i="2"/>
  <c r="AQ18" i="2"/>
  <c r="AQ40" i="2" s="1"/>
  <c r="AQ20" i="2"/>
  <c r="AQ21" i="2" s="1"/>
  <c r="AQ39" i="2"/>
  <c r="AQ42" i="2" l="1"/>
  <c r="AQ22" i="2"/>
  <c r="AQ24" i="2" s="1"/>
  <c r="AL31" i="2"/>
  <c r="AN28" i="2"/>
  <c r="AN46" i="2" s="1"/>
  <c r="AP43" i="2"/>
  <c r="AP24" i="2"/>
  <c r="AM31" i="2"/>
  <c r="AM47" i="2"/>
  <c r="AO45" i="2"/>
  <c r="AO27" i="2"/>
  <c r="AQ43" i="2" l="1"/>
  <c r="AP45" i="2"/>
  <c r="AP27" i="2"/>
  <c r="AQ45" i="2"/>
  <c r="AQ27" i="2"/>
  <c r="AO28" i="2"/>
  <c r="AO46" i="2" s="1"/>
  <c r="AN29" i="2"/>
  <c r="AO29" i="2" l="1"/>
  <c r="AO47" i="2" s="1"/>
  <c r="AP28" i="2"/>
  <c r="AP46" i="2" s="1"/>
  <c r="AN47" i="2"/>
  <c r="AN31" i="2"/>
  <c r="AQ28" i="2"/>
  <c r="AQ46" i="2" s="1"/>
  <c r="AO31" i="2" l="1"/>
  <c r="AQ29" i="2"/>
  <c r="AR29" i="2" s="1"/>
  <c r="AS29" i="2" s="1"/>
  <c r="AT29" i="2" s="1"/>
  <c r="AU29" i="2" s="1"/>
  <c r="AV29" i="2" s="1"/>
  <c r="AW29" i="2" s="1"/>
  <c r="AX29" i="2" s="1"/>
  <c r="AY29" i="2" s="1"/>
  <c r="AZ29" i="2" s="1"/>
  <c r="BA29" i="2" s="1"/>
  <c r="BB29" i="2" s="1"/>
  <c r="BC29" i="2" s="1"/>
  <c r="BD29" i="2" s="1"/>
  <c r="BE29" i="2" s="1"/>
  <c r="BF29" i="2" s="1"/>
  <c r="BG29" i="2" s="1"/>
  <c r="BH29" i="2" s="1"/>
  <c r="BI29" i="2" s="1"/>
  <c r="BJ29" i="2" s="1"/>
  <c r="BK29" i="2" s="1"/>
  <c r="BL29" i="2" s="1"/>
  <c r="BM29" i="2" s="1"/>
  <c r="BN29" i="2" s="1"/>
  <c r="BO29" i="2" s="1"/>
  <c r="BP29" i="2" s="1"/>
  <c r="BQ29" i="2" s="1"/>
  <c r="BR29" i="2" s="1"/>
  <c r="BS29" i="2" s="1"/>
  <c r="BT29" i="2" s="1"/>
  <c r="BU29" i="2" s="1"/>
  <c r="BV29" i="2" s="1"/>
  <c r="BW29" i="2" s="1"/>
  <c r="BX29" i="2" s="1"/>
  <c r="BY29" i="2" s="1"/>
  <c r="BZ29" i="2" s="1"/>
  <c r="CA29" i="2" s="1"/>
  <c r="CB29" i="2" s="1"/>
  <c r="CC29" i="2" s="1"/>
  <c r="CD29" i="2" s="1"/>
  <c r="CE29" i="2" s="1"/>
  <c r="CF29" i="2" s="1"/>
  <c r="CG29" i="2" s="1"/>
  <c r="CH29" i="2" s="1"/>
  <c r="CI29" i="2" s="1"/>
  <c r="CJ29" i="2" s="1"/>
  <c r="CK29" i="2" s="1"/>
  <c r="CL29" i="2" s="1"/>
  <c r="CM29" i="2" s="1"/>
  <c r="CN29" i="2" s="1"/>
  <c r="CO29" i="2" s="1"/>
  <c r="CP29" i="2" s="1"/>
  <c r="CQ29" i="2" s="1"/>
  <c r="CR29" i="2" s="1"/>
  <c r="CS29" i="2" s="1"/>
  <c r="CT29" i="2" s="1"/>
  <c r="CU29" i="2" s="1"/>
  <c r="CV29" i="2" s="1"/>
  <c r="CW29" i="2" s="1"/>
  <c r="CX29" i="2" s="1"/>
  <c r="CY29" i="2" s="1"/>
  <c r="CZ29" i="2" s="1"/>
  <c r="DA29" i="2" s="1"/>
  <c r="DB29" i="2" s="1"/>
  <c r="DC29" i="2" s="1"/>
  <c r="DD29" i="2" s="1"/>
  <c r="DE29" i="2" s="1"/>
  <c r="DF29" i="2" s="1"/>
  <c r="DG29" i="2" s="1"/>
  <c r="DH29" i="2" s="1"/>
  <c r="DI29" i="2" s="1"/>
  <c r="DJ29" i="2" s="1"/>
  <c r="DK29" i="2" s="1"/>
  <c r="DL29" i="2" s="1"/>
  <c r="DM29" i="2" s="1"/>
  <c r="DN29" i="2" s="1"/>
  <c r="DO29" i="2" s="1"/>
  <c r="DP29" i="2" s="1"/>
  <c r="DQ29" i="2" s="1"/>
  <c r="DR29" i="2" s="1"/>
  <c r="DS29" i="2" s="1"/>
  <c r="DT29" i="2" s="1"/>
  <c r="DU29" i="2" s="1"/>
  <c r="DV29" i="2" s="1"/>
  <c r="DW29" i="2" s="1"/>
  <c r="DX29" i="2" s="1"/>
  <c r="DY29" i="2" s="1"/>
  <c r="DZ29" i="2" s="1"/>
  <c r="EA29" i="2" s="1"/>
  <c r="EB29" i="2" s="1"/>
  <c r="EC29" i="2" s="1"/>
  <c r="ED29" i="2" s="1"/>
  <c r="EE29" i="2" s="1"/>
  <c r="EF29" i="2" s="1"/>
  <c r="EG29" i="2" s="1"/>
  <c r="EH29" i="2" s="1"/>
  <c r="EI29" i="2" s="1"/>
  <c r="EJ29" i="2" s="1"/>
  <c r="EK29" i="2" s="1"/>
  <c r="EL29" i="2" s="1"/>
  <c r="AT41" i="2" s="1"/>
  <c r="AT43" i="2" s="1"/>
  <c r="AT44" i="2" s="1"/>
  <c r="AT46" i="2" s="1"/>
  <c r="AP29" i="2"/>
  <c r="AQ31" i="2" l="1"/>
  <c r="AQ47" i="2"/>
  <c r="AP47" i="2"/>
  <c r="AP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B7" authorId="0" shapeId="0" xr:uid="{265DD023-DD75-4545-A197-BF7D2BA3F284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funded+unfunded</t>
        </r>
      </text>
    </comment>
    <comment ref="X28" authorId="0" shapeId="0" xr:uid="{C9197EFE-D1B2-4971-A756-6AB827312A6F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+discontinued</t>
        </r>
      </text>
    </comment>
    <comment ref="Z28" authorId="0" shapeId="0" xr:uid="{DDEA1B86-1DC1-4E03-9A8C-F27112CE3600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+discontinued</t>
        </r>
      </text>
    </comment>
  </commentList>
</comments>
</file>

<file path=xl/sharedStrings.xml><?xml version="1.0" encoding="utf-8"?>
<sst xmlns="http://schemas.openxmlformats.org/spreadsheetml/2006/main" count="87" uniqueCount="77">
  <si>
    <t>GD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</si>
  <si>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</si>
  <si>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</si>
  <si>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</si>
  <si>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</si>
  <si>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</si>
  <si>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</si>
  <si>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</si>
  <si>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</si>
  <si>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</si>
  <si>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</si>
  <si>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</t>
  </si>
  <si>
    <t>Product revenue y/y</t>
  </si>
  <si>
    <t>Service revenue y/y</t>
  </si>
  <si>
    <t>Revenue y/y</t>
  </si>
  <si>
    <t>Product Margin</t>
  </si>
  <si>
    <t>Service Margin</t>
  </si>
  <si>
    <t>Gross Margin</t>
  </si>
  <si>
    <t>Operating Margin</t>
  </si>
  <si>
    <t>Taxes</t>
  </si>
  <si>
    <t>Net Margin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</si>
  <si>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</si>
  <si>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</si>
  <si>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</si>
  <si>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</si>
  <si>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</si>
  <si>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</si>
  <si>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</si>
  <si>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SG&amp;A</t>
  </si>
  <si>
    <t>Operating profit</t>
  </si>
  <si>
    <t>Other income</t>
  </si>
  <si>
    <t>Interest expense</t>
  </si>
  <si>
    <t>Pretax profit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</si>
  <si>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</si>
  <si>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</si>
  <si>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</si>
  <si>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</si>
  <si>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</si>
  <si>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</si>
  <si>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</si>
  <si>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</si>
  <si>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</si>
  <si>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</si>
  <si>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</si>
  <si>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</si>
  <si>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</si>
  <si>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</si>
  <si>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</si>
  <si>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</si>
  <si>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</si>
  <si>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SG&amp;A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</si>
  <si>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</si>
  <si>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</si>
  <si>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</si>
  <si>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</si>
  <si>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</si>
  <si>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</si>
  <si>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</si>
  <si>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</si>
  <si>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</si>
  <si>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L+S/E</t>
  </si>
  <si>
    <t>EV/B</t>
  </si>
  <si>
    <t>B/EV</t>
  </si>
  <si>
    <t>Slightly overvalued</t>
  </si>
  <si>
    <t>Aerospace</t>
  </si>
  <si>
    <t>Marine Systems</t>
  </si>
  <si>
    <t>Combat Systems</t>
  </si>
  <si>
    <t>Technologies</t>
  </si>
  <si>
    <t>Aerospace y/y</t>
  </si>
  <si>
    <t>Marine Systems y/y</t>
  </si>
  <si>
    <t>Combat Systems y/y</t>
  </si>
  <si>
    <t>Technologies y/y</t>
  </si>
  <si>
    <t>Backlog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</si>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</sst>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7" fillId="2" borderId="1" xfId="0" applyFont="1" applyFill="1" applyBorder="1"/>
    <xf numFmtId="165" fontId="2" fillId="2" borderId="1" xfId="0" applyNumberFormat="1" applyFont="1" applyFill="1" applyBorder="1"/>
    <xf numFmtId="3" fontId="7" fillId="2" borderId="1" xfId="0" applyNumberFormat="1" applyFont="1" applyFill="1" applyBorder="1"/>
    <xf numFmtId="0" fontId="1" fillId="2" borderId="1" xfId="0" applyFont="1" applyFill="1" applyBorder="1" applyAlignment="1">
      <alignment horizontal="right"/>
    </xf>
    <xf numFmtId="3" fontId="2" fillId="2" borderId="1" xfId="0" applyNumberFormat="1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30480</xdr:colOff>
      <xdr:row>0</xdr:row>
      <xdr:rowOff>0</xdr:rowOff>
    </xdr:from>
    <xdr:to>
      <xdr:col>32</xdr:col>
      <xdr:colOff>30480</xdr:colOff>
      <xdr:row>51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C91F88D-337B-5199-8C5A-BD2F902DA5E3}"/>
            </a:ext>
          </a:extLst>
        </xdr:cNvPr>
        <xdr:cNvCxnSpPr/>
      </xdr:nvCxnSpPr>
      <xdr:spPr>
        <a:xfrm>
          <a:off x="1769364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38100</xdr:colOff>
      <xdr:row>0</xdr:row>
      <xdr:rowOff>0</xdr:rowOff>
    </xdr:from>
    <xdr:to>
      <xdr:col>18</xdr:col>
      <xdr:colOff>38100</xdr:colOff>
      <xdr:row>51</xdr:row>
      <xdr:rowOff>99060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1E13E44-AABC-8F90-687E-C3893221671A}"/>
            </a:ext>
          </a:extLst>
        </xdr:cNvPr>
        <xdr:cNvCxnSpPr/>
      </xdr:nvCxnSpPr>
      <xdr:spPr>
        <a:xfrm>
          <a:off x="11612880" y="0"/>
          <a:ext cx="0" cy="94259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34F6E-BEA9-44D5-9FB4-6B5E1ADA83B5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2.77734375" style="5" customWidth="1"/>
    <col min="8" max="16384" width="8.88671875" style="1"/>
  </cols>
  <sheetData>
    <row r="2" spans="2:7" x14ac:dyDescent="0.3">
      <c r="E2" s="5" t="s">
        <v>8</v>
      </c>
      <c r="F2" s="5" t="s">
        <v>9</v>
      </c>
      <c r="G2" s="5" t="s">
        <v>10</v>
      </c>
    </row>
    <row r="3" spans="2:7" x14ac:dyDescent="0.3">
      <c r="B3" s="2" t="s">
        <v>0</v>
      </c>
      <c r="C3" s="1" t="s">
        <v>1</v>
      </c>
      <c r="D3" s="3">
        <v>354</v>
      </c>
      <c r="E3" s="6">
        <v>46059</v>
      </c>
      <c r="F3" s="6">
        <f ca="1">TODAY()</f>
        <v>46059</v>
      </c>
      <c r="G3" s="6">
        <v>46141</v>
      </c>
    </row>
    <row r="4" spans="2:7" x14ac:dyDescent="0.3">
      <c r="C4" s="1" t="s">
        <v>2</v>
      </c>
      <c r="D4" s="4">
        <f>270.4</f>
        <v>270.39999999999998</v>
      </c>
      <c r="E4" s="5" t="s">
        <v>49</v>
      </c>
    </row>
    <row r="5" spans="2:7" x14ac:dyDescent="0.3">
      <c r="C5" s="1" t="s">
        <v>3</v>
      </c>
      <c r="D5" s="4">
        <f>D3*D4</f>
        <v>95721.599999999991</v>
      </c>
    </row>
    <row r="6" spans="2:7" x14ac:dyDescent="0.3">
      <c r="C6" s="1" t="s">
        <v>4</v>
      </c>
      <c r="D6" s="4">
        <f>2333</f>
        <v>2333</v>
      </c>
      <c r="E6" s="5" t="s">
        <v>49</v>
      </c>
    </row>
    <row r="7" spans="2:7" x14ac:dyDescent="0.3">
      <c r="C7" s="1" t="s">
        <v>5</v>
      </c>
      <c r="D7" s="4">
        <f>1006+7007</f>
        <v>8013</v>
      </c>
      <c r="E7" s="5" t="s">
        <v>49</v>
      </c>
    </row>
    <row r="8" spans="2:7" x14ac:dyDescent="0.3">
      <c r="C8" s="1" t="s">
        <v>6</v>
      </c>
      <c r="D8" s="4">
        <f>D6-D7</f>
        <v>-5680</v>
      </c>
    </row>
    <row r="9" spans="2:7" x14ac:dyDescent="0.3">
      <c r="C9" s="1" t="s">
        <v>7</v>
      </c>
      <c r="D9" s="4">
        <f>D5-D8</f>
        <v>101401.59999999999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99F9A-E22D-4D40-9B20-C92ED4255DDB}">
  <dimension ref="B2:EL53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15" sqref="I15"/>
    </sheetView>
  </sheetViews>
  <sheetFormatPr defaultRowHeight="14.4" x14ac:dyDescent="0.3"/>
  <cols>
    <col min="1" max="1" width="8.88671875" style="1"/>
    <col min="2" max="2" width="17.6640625" style="1" bestFit="1" customWidth="1"/>
    <col min="3" max="44" width="8.88671875" style="1"/>
    <col min="45" max="45" width="11.88671875" style="1" bestFit="1" customWidth="1"/>
    <col min="46" max="46" width="16.21875" style="1" bestFit="1" customWidth="1"/>
    <col min="47" max="16384" width="8.88671875" style="1"/>
  </cols>
  <sheetData>
    <row r="2" spans="2:43" x14ac:dyDescent="0.3">
      <c r="C2" s="7" t="s">
        <v>35</v>
      </c>
      <c r="D2" s="7" t="s">
        <v>36</v>
      </c>
      <c r="E2" s="7" t="s">
        <v>37</v>
      </c>
      <c r="F2" s="7" t="s">
        <v>38</v>
      </c>
      <c r="G2" s="7" t="s">
        <v>39</v>
      </c>
      <c r="H2" s="7" t="s">
        <v>40</v>
      </c>
      <c r="I2" s="7" t="s">
        <v>41</v>
      </c>
      <c r="J2" s="7" t="s">
        <v>42</v>
      </c>
      <c r="K2" s="7" t="s">
        <v>43</v>
      </c>
      <c r="L2" s="7" t="s">
        <v>44</v>
      </c>
      <c r="M2" s="7" t="s">
        <v>45</v>
      </c>
      <c r="N2" s="7" t="s">
        <v>46</v>
      </c>
      <c r="O2" s="7" t="s">
        <v>11</v>
      </c>
      <c r="P2" s="7" t="s">
        <v>47</v>
      </c>
      <c r="Q2" s="7" t="s">
        <v>48</v>
      </c>
      <c r="R2" s="7" t="s">
        <v>49</v>
      </c>
      <c r="S2" s="7" t="s">
        <v>73</v>
      </c>
      <c r="T2" s="7" t="s">
        <v>74</v>
      </c>
      <c r="U2" s="7" t="s">
        <v>75</v>
      </c>
      <c r="V2" s="7" t="s">
        <v>76</v>
      </c>
      <c r="X2" s="1">
        <v>2016</v>
      </c>
      <c r="Y2" s="1">
        <v>2017</v>
      </c>
      <c r="Z2" s="1">
        <v>2018</v>
      </c>
      <c r="AA2" s="1">
        <v>2019</v>
      </c>
      <c r="AB2" s="1">
        <v>2020</v>
      </c>
      <c r="AC2" s="1">
        <v>2021</v>
      </c>
      <c r="AD2" s="1">
        <v>2022</v>
      </c>
      <c r="AE2" s="1">
        <v>2023</v>
      </c>
      <c r="AF2" s="1">
        <v>2024</v>
      </c>
      <c r="AG2" s="1">
        <v>2025</v>
      </c>
      <c r="AH2" s="1">
        <v>2026</v>
      </c>
      <c r="AI2" s="1">
        <v>2027</v>
      </c>
      <c r="AJ2" s="1">
        <v>2028</v>
      </c>
      <c r="AK2" s="1">
        <v>2029</v>
      </c>
      <c r="AL2" s="1">
        <v>2030</v>
      </c>
      <c r="AM2" s="1">
        <v>2031</v>
      </c>
      <c r="AN2" s="1">
        <v>2032</v>
      </c>
      <c r="AO2" s="1">
        <v>2033</v>
      </c>
      <c r="AP2" s="1">
        <v>2034</v>
      </c>
      <c r="AQ2" s="1">
        <v>2035</v>
      </c>
    </row>
    <row r="3" spans="2:43" x14ac:dyDescent="0.3">
      <c r="B3" s="1" t="s">
        <v>64</v>
      </c>
      <c r="C3" s="7"/>
      <c r="D3" s="7"/>
      <c r="E3" s="7"/>
      <c r="F3" s="7"/>
      <c r="G3" s="7"/>
      <c r="H3" s="7"/>
      <c r="I3" s="7"/>
      <c r="J3" s="16">
        <v>20454</v>
      </c>
      <c r="K3" s="7"/>
      <c r="L3" s="7"/>
      <c r="M3" s="7"/>
      <c r="N3" s="16">
        <v>19693</v>
      </c>
      <c r="O3" s="7"/>
      <c r="P3" s="16">
        <v>19903</v>
      </c>
      <c r="Q3" s="16">
        <v>20607</v>
      </c>
      <c r="R3" s="16">
        <v>21828</v>
      </c>
      <c r="S3" s="16"/>
      <c r="T3" s="16"/>
      <c r="U3" s="16"/>
      <c r="V3" s="16"/>
      <c r="AE3" s="16">
        <v>20454</v>
      </c>
      <c r="AF3" s="16">
        <v>19693</v>
      </c>
      <c r="AG3" s="16">
        <v>21828</v>
      </c>
    </row>
    <row r="4" spans="2:43" x14ac:dyDescent="0.3">
      <c r="B4" s="1" t="s">
        <v>65</v>
      </c>
      <c r="C4" s="7"/>
      <c r="D4" s="7"/>
      <c r="E4" s="7"/>
      <c r="F4" s="7"/>
      <c r="G4" s="7"/>
      <c r="H4" s="7"/>
      <c r="I4" s="7"/>
      <c r="J4" s="16">
        <v>45896</v>
      </c>
      <c r="K4" s="7"/>
      <c r="L4" s="7"/>
      <c r="M4" s="7"/>
      <c r="N4" s="16">
        <v>39818</v>
      </c>
      <c r="O4" s="7"/>
      <c r="P4" s="16">
        <v>52972</v>
      </c>
      <c r="Q4" s="16">
        <v>53611</v>
      </c>
      <c r="R4" s="16">
        <v>52340</v>
      </c>
      <c r="S4" s="16"/>
      <c r="T4" s="16"/>
      <c r="U4" s="16"/>
      <c r="V4" s="16"/>
      <c r="AE4" s="16">
        <v>45896</v>
      </c>
      <c r="AF4" s="16">
        <v>39818</v>
      </c>
      <c r="AG4" s="16">
        <v>52340</v>
      </c>
    </row>
    <row r="5" spans="2:43" x14ac:dyDescent="0.3">
      <c r="B5" s="1" t="s">
        <v>66</v>
      </c>
      <c r="C5" s="7"/>
      <c r="D5" s="7"/>
      <c r="E5" s="7"/>
      <c r="F5" s="7"/>
      <c r="G5" s="7"/>
      <c r="H5" s="7"/>
      <c r="I5" s="7"/>
      <c r="J5" s="16">
        <v>14537</v>
      </c>
      <c r="K5" s="7"/>
      <c r="L5" s="7"/>
      <c r="M5" s="7"/>
      <c r="N5" s="16">
        <v>16980</v>
      </c>
      <c r="O5" s="7"/>
      <c r="P5" s="16">
        <v>16577</v>
      </c>
      <c r="Q5" s="16">
        <v>18702</v>
      </c>
      <c r="R5" s="16">
        <v>27218</v>
      </c>
      <c r="S5" s="16"/>
      <c r="T5" s="16"/>
      <c r="U5" s="16"/>
      <c r="V5" s="16"/>
      <c r="AE5" s="16">
        <v>14537</v>
      </c>
      <c r="AF5" s="16">
        <v>16980</v>
      </c>
      <c r="AG5" s="16">
        <v>27218</v>
      </c>
    </row>
    <row r="6" spans="2:43" x14ac:dyDescent="0.3">
      <c r="B6" s="1" t="s">
        <v>67</v>
      </c>
      <c r="C6" s="7"/>
      <c r="D6" s="7"/>
      <c r="E6" s="7"/>
      <c r="F6" s="7"/>
      <c r="G6" s="7"/>
      <c r="H6" s="7"/>
      <c r="I6" s="7"/>
      <c r="J6" s="16">
        <v>12740</v>
      </c>
      <c r="K6" s="7"/>
      <c r="L6" s="7"/>
      <c r="M6" s="7"/>
      <c r="N6" s="16">
        <v>14106</v>
      </c>
      <c r="O6" s="7"/>
      <c r="P6" s="16">
        <v>14230</v>
      </c>
      <c r="Q6" s="16">
        <v>16937</v>
      </c>
      <c r="R6" s="16">
        <v>16660</v>
      </c>
      <c r="S6" s="16"/>
      <c r="T6" s="16"/>
      <c r="U6" s="16"/>
      <c r="V6" s="16"/>
      <c r="AE6" s="16">
        <v>12740</v>
      </c>
      <c r="AF6" s="16">
        <v>14106</v>
      </c>
      <c r="AG6" s="16">
        <v>16660</v>
      </c>
    </row>
    <row r="7" spans="2:43" s="2" customFormat="1" x14ac:dyDescent="0.3">
      <c r="B7" s="2" t="s">
        <v>72</v>
      </c>
      <c r="C7" s="15"/>
      <c r="D7" s="15"/>
      <c r="E7" s="15"/>
      <c r="F7" s="15"/>
      <c r="G7" s="15"/>
      <c r="H7" s="15"/>
      <c r="I7" s="15"/>
      <c r="J7" s="17">
        <f>SUM(J3:J6)</f>
        <v>93627</v>
      </c>
      <c r="K7" s="15"/>
      <c r="L7" s="15"/>
      <c r="M7" s="15"/>
      <c r="N7" s="17">
        <f>SUM(N3:N6)</f>
        <v>90597</v>
      </c>
      <c r="O7" s="15"/>
      <c r="P7" s="17">
        <f>SUM(P3:P6)</f>
        <v>103682</v>
      </c>
      <c r="Q7" s="17">
        <f>SUM(Q3:Q6)</f>
        <v>109857</v>
      </c>
      <c r="R7" s="17">
        <f>SUM(R3:R6)</f>
        <v>118046</v>
      </c>
      <c r="S7" s="17"/>
      <c r="T7" s="17"/>
      <c r="U7" s="17"/>
      <c r="V7" s="17"/>
      <c r="W7" s="9"/>
      <c r="X7" s="9"/>
      <c r="Y7" s="9"/>
      <c r="Z7" s="9"/>
      <c r="AA7" s="9"/>
      <c r="AB7" s="9"/>
      <c r="AC7" s="9"/>
      <c r="AD7" s="9"/>
      <c r="AE7" s="17">
        <f>SUM(AE3:AE6)</f>
        <v>93627</v>
      </c>
      <c r="AF7" s="17">
        <f>SUM(AF3:AF6)</f>
        <v>90597</v>
      </c>
      <c r="AG7" s="17">
        <f>SUM(AG3:AG6)</f>
        <v>118046</v>
      </c>
    </row>
    <row r="8" spans="2:43" x14ac:dyDescent="0.3"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</row>
    <row r="9" spans="2:43" x14ac:dyDescent="0.3">
      <c r="B9" s="1" t="s">
        <v>64</v>
      </c>
      <c r="C9" s="7"/>
      <c r="D9" s="7"/>
      <c r="E9" s="7"/>
      <c r="F9" s="7"/>
      <c r="G9" s="7"/>
      <c r="H9" s="7"/>
      <c r="I9" s="7"/>
      <c r="J9" s="7"/>
      <c r="K9" s="7"/>
      <c r="L9" s="7"/>
      <c r="M9" s="16">
        <v>2482</v>
      </c>
      <c r="N9" s="16">
        <v>3743</v>
      </c>
      <c r="O9" s="7"/>
      <c r="P9" s="7"/>
      <c r="Q9" s="16">
        <v>3234</v>
      </c>
      <c r="R9" s="16">
        <v>3788</v>
      </c>
      <c r="S9" s="16"/>
      <c r="T9" s="16"/>
      <c r="U9" s="16"/>
      <c r="V9" s="16"/>
    </row>
    <row r="10" spans="2:43" x14ac:dyDescent="0.3">
      <c r="B10" s="1" t="s">
        <v>65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16">
        <v>3599</v>
      </c>
      <c r="N10" s="16">
        <v>3960</v>
      </c>
      <c r="O10" s="7"/>
      <c r="P10" s="7"/>
      <c r="Q10" s="16">
        <v>4096</v>
      </c>
      <c r="R10" s="16">
        <v>4818</v>
      </c>
      <c r="S10" s="16"/>
      <c r="T10" s="16"/>
      <c r="U10" s="16"/>
      <c r="V10" s="16"/>
    </row>
    <row r="11" spans="2:43" x14ac:dyDescent="0.3">
      <c r="B11" s="1" t="s">
        <v>66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16">
        <v>2212</v>
      </c>
      <c r="N11" s="16">
        <v>2395</v>
      </c>
      <c r="O11" s="7"/>
      <c r="P11" s="7"/>
      <c r="Q11" s="16">
        <v>2252</v>
      </c>
      <c r="R11" s="16">
        <v>2535</v>
      </c>
      <c r="S11" s="16"/>
      <c r="T11" s="16"/>
      <c r="U11" s="16"/>
      <c r="V11" s="16"/>
    </row>
    <row r="12" spans="2:43" x14ac:dyDescent="0.3">
      <c r="B12" s="1" t="s">
        <v>67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16">
        <v>3378</v>
      </c>
      <c r="N12" s="16">
        <v>3240</v>
      </c>
      <c r="O12" s="7"/>
      <c r="P12" s="7"/>
      <c r="Q12" s="16">
        <v>3325</v>
      </c>
      <c r="R12" s="16">
        <v>3238</v>
      </c>
      <c r="S12" s="16"/>
      <c r="T12" s="16"/>
      <c r="U12" s="16"/>
      <c r="V12" s="16"/>
    </row>
    <row r="13" spans="2:43" s="2" customFormat="1" x14ac:dyDescent="0.3">
      <c r="B13" s="2" t="s">
        <v>23</v>
      </c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7">
        <f>SUM(M9:M12)</f>
        <v>11671</v>
      </c>
      <c r="N13" s="17">
        <f>SUM(N9:N12)</f>
        <v>13338</v>
      </c>
      <c r="O13" s="15"/>
      <c r="P13" s="15"/>
      <c r="Q13" s="17">
        <f>SUM(Q9:Q12)</f>
        <v>12907</v>
      </c>
      <c r="R13" s="17">
        <f>SUM(R9:R12)</f>
        <v>14379</v>
      </c>
      <c r="S13" s="17"/>
      <c r="T13" s="17"/>
      <c r="U13" s="17"/>
      <c r="V13" s="17"/>
    </row>
    <row r="14" spans="2:43" x14ac:dyDescent="0.3"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</row>
    <row r="15" spans="2:43" x14ac:dyDescent="0.3"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</row>
    <row r="16" spans="2:43" x14ac:dyDescent="0.3">
      <c r="B16" s="1" t="s">
        <v>21</v>
      </c>
      <c r="K16" s="4">
        <v>6134</v>
      </c>
      <c r="L16" s="4">
        <v>7160</v>
      </c>
      <c r="M16" s="4">
        <v>6767</v>
      </c>
      <c r="N16" s="4">
        <f>AF16-M16-L16-K16</f>
        <v>8574</v>
      </c>
      <c r="O16" s="4">
        <v>7334</v>
      </c>
      <c r="P16" s="4">
        <v>8012</v>
      </c>
      <c r="Q16" s="4">
        <v>8021</v>
      </c>
      <c r="R16" s="4">
        <f>AG16-Q16-P16-O16</f>
        <v>9654</v>
      </c>
      <c r="S16" s="4"/>
      <c r="T16" s="4"/>
      <c r="U16" s="4"/>
      <c r="V16" s="4"/>
      <c r="X16" s="4">
        <v>19010</v>
      </c>
      <c r="Y16" s="4">
        <v>19016</v>
      </c>
      <c r="Z16" s="4">
        <v>20149</v>
      </c>
      <c r="AA16" s="4">
        <v>23130</v>
      </c>
      <c r="AB16" s="4">
        <v>22188</v>
      </c>
      <c r="AC16" s="4">
        <v>22428</v>
      </c>
      <c r="AD16" s="4">
        <v>23022</v>
      </c>
      <c r="AE16" s="4">
        <v>24595</v>
      </c>
      <c r="AF16" s="4">
        <v>28635</v>
      </c>
      <c r="AG16" s="4">
        <v>33021</v>
      </c>
      <c r="AH16" s="4">
        <f>AG16*1.1</f>
        <v>36323.100000000006</v>
      </c>
      <c r="AI16" s="4">
        <f>AH16*1.06</f>
        <v>38502.486000000012</v>
      </c>
      <c r="AJ16" s="4">
        <f>AI16*1.04</f>
        <v>40042.585440000017</v>
      </c>
      <c r="AK16" s="4">
        <f>AJ16*1.03</f>
        <v>41243.863003200022</v>
      </c>
      <c r="AL16" s="4">
        <f>AK16*1.02</f>
        <v>42068.740263264022</v>
      </c>
      <c r="AM16" s="4">
        <f t="shared" ref="AM16:AQ16" si="0">AL16*1.01</f>
        <v>42489.427665896663</v>
      </c>
      <c r="AN16" s="4">
        <f t="shared" si="0"/>
        <v>42914.321942555631</v>
      </c>
      <c r="AO16" s="4">
        <f t="shared" si="0"/>
        <v>43343.465161981185</v>
      </c>
      <c r="AP16" s="4">
        <f t="shared" si="0"/>
        <v>43776.899813600998</v>
      </c>
      <c r="AQ16" s="4">
        <f t="shared" si="0"/>
        <v>44214.668811737007</v>
      </c>
    </row>
    <row r="17" spans="2:142" x14ac:dyDescent="0.3">
      <c r="B17" s="1" t="s">
        <v>22</v>
      </c>
      <c r="K17" s="4">
        <v>4597</v>
      </c>
      <c r="L17" s="4">
        <v>4816</v>
      </c>
      <c r="M17" s="4">
        <v>4904</v>
      </c>
      <c r="N17" s="4">
        <f>AF17-M17-L17-K17</f>
        <v>4764</v>
      </c>
      <c r="O17" s="4">
        <v>4889</v>
      </c>
      <c r="P17" s="4">
        <v>5029</v>
      </c>
      <c r="Q17" s="4">
        <v>4886</v>
      </c>
      <c r="R17" s="4">
        <f>AG17-Q17-P17-O17</f>
        <v>4725</v>
      </c>
      <c r="S17" s="4"/>
      <c r="T17" s="4"/>
      <c r="U17" s="4"/>
      <c r="V17" s="4"/>
      <c r="X17" s="4">
        <v>11551</v>
      </c>
      <c r="Y17" s="4">
        <v>11957</v>
      </c>
      <c r="Z17" s="4">
        <v>16044</v>
      </c>
      <c r="AA17" s="4">
        <v>16220</v>
      </c>
      <c r="AB17" s="4">
        <v>15737</v>
      </c>
      <c r="AC17" s="4">
        <v>16041</v>
      </c>
      <c r="AD17" s="4">
        <v>16385</v>
      </c>
      <c r="AE17" s="4">
        <v>17677</v>
      </c>
      <c r="AF17" s="4">
        <v>19081</v>
      </c>
      <c r="AG17" s="4">
        <v>19529</v>
      </c>
      <c r="AH17" s="4">
        <f>AG17*1.03</f>
        <v>20114.87</v>
      </c>
      <c r="AI17" s="4">
        <f>AH17*1.03</f>
        <v>20718.3161</v>
      </c>
      <c r="AJ17" s="4">
        <f t="shared" ref="AJ17:AK17" si="1">AI17*1.03</f>
        <v>21339.865582999999</v>
      </c>
      <c r="AK17" s="4">
        <f t="shared" si="1"/>
        <v>21980.061550489998</v>
      </c>
      <c r="AL17" s="4">
        <f>AK17*1.02</f>
        <v>22419.662781499799</v>
      </c>
      <c r="AM17" s="4">
        <f>AL17*1.02</f>
        <v>22868.056037129794</v>
      </c>
      <c r="AN17" s="4">
        <f t="shared" ref="AN17:AQ17" si="2">AM17*1.02</f>
        <v>23325.417157872391</v>
      </c>
      <c r="AO17" s="4">
        <f t="shared" si="2"/>
        <v>23791.92550102984</v>
      </c>
      <c r="AP17" s="4">
        <f t="shared" si="2"/>
        <v>24267.764011050436</v>
      </c>
      <c r="AQ17" s="4">
        <f t="shared" si="2"/>
        <v>24753.119291271447</v>
      </c>
    </row>
    <row r="18" spans="2:142" s="2" customFormat="1" x14ac:dyDescent="0.3">
      <c r="B18" s="2" t="s">
        <v>23</v>
      </c>
      <c r="K18" s="9">
        <f t="shared" ref="K18:R18" si="3">K16+K17</f>
        <v>10731</v>
      </c>
      <c r="L18" s="9">
        <f t="shared" si="3"/>
        <v>11976</v>
      </c>
      <c r="M18" s="9">
        <f t="shared" si="3"/>
        <v>11671</v>
      </c>
      <c r="N18" s="9">
        <f t="shared" si="3"/>
        <v>13338</v>
      </c>
      <c r="O18" s="9">
        <f t="shared" si="3"/>
        <v>12223</v>
      </c>
      <c r="P18" s="9">
        <f t="shared" si="3"/>
        <v>13041</v>
      </c>
      <c r="Q18" s="9">
        <f t="shared" si="3"/>
        <v>12907</v>
      </c>
      <c r="R18" s="9">
        <f t="shared" si="3"/>
        <v>14379</v>
      </c>
      <c r="S18" s="9"/>
      <c r="T18" s="9"/>
      <c r="U18" s="9"/>
      <c r="V18" s="9"/>
      <c r="X18" s="9">
        <f t="shared" ref="X18:AF18" si="4">X16+X17</f>
        <v>30561</v>
      </c>
      <c r="Y18" s="9">
        <f t="shared" si="4"/>
        <v>30973</v>
      </c>
      <c r="Z18" s="9">
        <f t="shared" si="4"/>
        <v>36193</v>
      </c>
      <c r="AA18" s="9">
        <f t="shared" si="4"/>
        <v>39350</v>
      </c>
      <c r="AB18" s="9">
        <f t="shared" si="4"/>
        <v>37925</v>
      </c>
      <c r="AC18" s="9">
        <f t="shared" si="4"/>
        <v>38469</v>
      </c>
      <c r="AD18" s="9">
        <f t="shared" si="4"/>
        <v>39407</v>
      </c>
      <c r="AE18" s="9">
        <f t="shared" si="4"/>
        <v>42272</v>
      </c>
      <c r="AF18" s="9">
        <f t="shared" si="4"/>
        <v>47716</v>
      </c>
      <c r="AG18" s="9">
        <f t="shared" ref="AG18" si="5">AG16+AG17</f>
        <v>52550</v>
      </c>
      <c r="AH18" s="9">
        <f t="shared" ref="AH18" si="6">AH16+AH17</f>
        <v>56437.97</v>
      </c>
      <c r="AI18" s="9">
        <f t="shared" ref="AI18" si="7">AI16+AI17</f>
        <v>59220.802100000015</v>
      </c>
      <c r="AJ18" s="9">
        <f t="shared" ref="AJ18" si="8">AJ16+AJ17</f>
        <v>61382.451023000016</v>
      </c>
      <c r="AK18" s="9">
        <f t="shared" ref="AK18" si="9">AK16+AK17</f>
        <v>63223.92455369002</v>
      </c>
      <c r="AL18" s="9">
        <f t="shared" ref="AL18" si="10">AL16+AL17</f>
        <v>64488.403044763822</v>
      </c>
      <c r="AM18" s="9">
        <f t="shared" ref="AM18" si="11">AM16+AM17</f>
        <v>65357.483703026461</v>
      </c>
      <c r="AN18" s="9">
        <f t="shared" ref="AN18" si="12">AN16+AN17</f>
        <v>66239.739100428022</v>
      </c>
      <c r="AO18" s="9">
        <f t="shared" ref="AO18" si="13">AO16+AO17</f>
        <v>67135.390663011029</v>
      </c>
      <c r="AP18" s="9">
        <f t="shared" ref="AP18" si="14">AP16+AP17</f>
        <v>68044.663824651434</v>
      </c>
      <c r="AQ18" s="9">
        <f t="shared" ref="AQ18" si="15">AQ16+AQ17</f>
        <v>68967.788103008454</v>
      </c>
    </row>
    <row r="19" spans="2:142" x14ac:dyDescent="0.3">
      <c r="B19" s="1" t="s">
        <v>24</v>
      </c>
      <c r="K19" s="4">
        <v>5189</v>
      </c>
      <c r="L19" s="4">
        <v>6127</v>
      </c>
      <c r="M19" s="4">
        <v>5760</v>
      </c>
      <c r="N19" s="4">
        <f t="shared" ref="N19:N20" si="16">AF19-M19-L19-K19</f>
        <v>7256</v>
      </c>
      <c r="O19" s="4">
        <v>6141</v>
      </c>
      <c r="P19" s="4">
        <v>6823</v>
      </c>
      <c r="Q19" s="4">
        <v>6788</v>
      </c>
      <c r="R19" s="4">
        <f t="shared" ref="R19:R20" si="17">AG19-Q19-P19-O19</f>
        <v>8213</v>
      </c>
      <c r="S19" s="4"/>
      <c r="T19" s="4"/>
      <c r="U19" s="4"/>
      <c r="V19" s="4"/>
      <c r="X19" s="4">
        <v>15155</v>
      </c>
      <c r="Y19" s="4">
        <v>14773</v>
      </c>
      <c r="Z19" s="4">
        <v>15894</v>
      </c>
      <c r="AA19" s="4">
        <v>18611</v>
      </c>
      <c r="AB19" s="4">
        <v>18192</v>
      </c>
      <c r="AC19" s="4">
        <v>18524</v>
      </c>
      <c r="AD19" s="4">
        <v>18981</v>
      </c>
      <c r="AE19" s="4">
        <v>20591</v>
      </c>
      <c r="AF19" s="4">
        <v>24332</v>
      </c>
      <c r="AG19" s="4">
        <v>27965</v>
      </c>
      <c r="AH19" s="4">
        <f t="shared" ref="AH19:AQ19" si="18">AH16*0.85</f>
        <v>30874.635000000006</v>
      </c>
      <c r="AI19" s="4">
        <f t="shared" si="18"/>
        <v>32727.11310000001</v>
      </c>
      <c r="AJ19" s="4">
        <f t="shared" si="18"/>
        <v>34036.197624000015</v>
      </c>
      <c r="AK19" s="4">
        <f t="shared" si="18"/>
        <v>35057.283552720015</v>
      </c>
      <c r="AL19" s="4">
        <f t="shared" si="18"/>
        <v>35758.429223774416</v>
      </c>
      <c r="AM19" s="4">
        <f t="shared" si="18"/>
        <v>36116.013516012164</v>
      </c>
      <c r="AN19" s="4">
        <f t="shared" si="18"/>
        <v>36477.173651172285</v>
      </c>
      <c r="AO19" s="4">
        <f t="shared" si="18"/>
        <v>36841.945387684005</v>
      </c>
      <c r="AP19" s="4">
        <f t="shared" si="18"/>
        <v>37210.364841560848</v>
      </c>
      <c r="AQ19" s="4">
        <f t="shared" si="18"/>
        <v>37582.468489976454</v>
      </c>
    </row>
    <row r="20" spans="2:142" x14ac:dyDescent="0.3">
      <c r="B20" s="1" t="s">
        <v>25</v>
      </c>
      <c r="K20" s="4">
        <v>3879</v>
      </c>
      <c r="L20" s="4">
        <v>4049</v>
      </c>
      <c r="M20" s="4">
        <v>4095</v>
      </c>
      <c r="N20" s="4">
        <f t="shared" si="16"/>
        <v>3997</v>
      </c>
      <c r="O20" s="4">
        <v>4189</v>
      </c>
      <c r="P20" s="4">
        <v>4269</v>
      </c>
      <c r="Q20" s="4">
        <v>4151</v>
      </c>
      <c r="R20" s="4">
        <f t="shared" si="17"/>
        <v>4025</v>
      </c>
      <c r="S20" s="4"/>
      <c r="T20" s="4"/>
      <c r="U20" s="4"/>
      <c r="V20" s="4"/>
      <c r="X20" s="4">
        <v>9741</v>
      </c>
      <c r="Y20" s="4">
        <v>9958</v>
      </c>
      <c r="Z20" s="4">
        <v>13584</v>
      </c>
      <c r="AA20" s="4">
        <v>13752</v>
      </c>
      <c r="AB20" s="4">
        <v>13408</v>
      </c>
      <c r="AC20" s="4">
        <v>13537</v>
      </c>
      <c r="AD20" s="4">
        <v>13804</v>
      </c>
      <c r="AE20" s="4">
        <v>15009</v>
      </c>
      <c r="AF20" s="4">
        <v>16020</v>
      </c>
      <c r="AG20" s="4">
        <v>16634</v>
      </c>
      <c r="AH20" s="4">
        <f t="shared" ref="AH20:AQ20" si="19">AH17*0.84</f>
        <v>16896.4908</v>
      </c>
      <c r="AI20" s="4">
        <f t="shared" si="19"/>
        <v>17403.385524000001</v>
      </c>
      <c r="AJ20" s="4">
        <f t="shared" si="19"/>
        <v>17925.487089719998</v>
      </c>
      <c r="AK20" s="4">
        <f t="shared" si="19"/>
        <v>18463.251702411599</v>
      </c>
      <c r="AL20" s="4">
        <f t="shared" si="19"/>
        <v>18832.516736459831</v>
      </c>
      <c r="AM20" s="4">
        <f t="shared" si="19"/>
        <v>19209.167071189026</v>
      </c>
      <c r="AN20" s="4">
        <f t="shared" si="19"/>
        <v>19593.350412612806</v>
      </c>
      <c r="AO20" s="4">
        <f t="shared" si="19"/>
        <v>19985.217420865065</v>
      </c>
      <c r="AP20" s="4">
        <f t="shared" si="19"/>
        <v>20384.921769282366</v>
      </c>
      <c r="AQ20" s="4">
        <f t="shared" si="19"/>
        <v>20792.620204668016</v>
      </c>
    </row>
    <row r="21" spans="2:142" x14ac:dyDescent="0.3">
      <c r="B21" s="1" t="s">
        <v>26</v>
      </c>
      <c r="K21" s="4">
        <f t="shared" ref="K21:R21" si="20">K19+K20</f>
        <v>9068</v>
      </c>
      <c r="L21" s="4">
        <f t="shared" si="20"/>
        <v>10176</v>
      </c>
      <c r="M21" s="4">
        <f t="shared" si="20"/>
        <v>9855</v>
      </c>
      <c r="N21" s="4">
        <f t="shared" si="20"/>
        <v>11253</v>
      </c>
      <c r="O21" s="4">
        <f t="shared" si="20"/>
        <v>10330</v>
      </c>
      <c r="P21" s="4">
        <f t="shared" si="20"/>
        <v>11092</v>
      </c>
      <c r="Q21" s="4">
        <f t="shared" si="20"/>
        <v>10939</v>
      </c>
      <c r="R21" s="4">
        <f t="shared" si="20"/>
        <v>12238</v>
      </c>
      <c r="S21" s="4"/>
      <c r="T21" s="4"/>
      <c r="U21" s="4"/>
      <c r="V21" s="4"/>
      <c r="X21" s="4">
        <f t="shared" ref="X21:AF21" si="21">X19+X20</f>
        <v>24896</v>
      </c>
      <c r="Y21" s="4">
        <f t="shared" si="21"/>
        <v>24731</v>
      </c>
      <c r="Z21" s="4">
        <f t="shared" si="21"/>
        <v>29478</v>
      </c>
      <c r="AA21" s="4">
        <f t="shared" si="21"/>
        <v>32363</v>
      </c>
      <c r="AB21" s="4">
        <f t="shared" si="21"/>
        <v>31600</v>
      </c>
      <c r="AC21" s="4">
        <f t="shared" si="21"/>
        <v>32061</v>
      </c>
      <c r="AD21" s="4">
        <f t="shared" si="21"/>
        <v>32785</v>
      </c>
      <c r="AE21" s="4">
        <f t="shared" si="21"/>
        <v>35600</v>
      </c>
      <c r="AF21" s="4">
        <f t="shared" si="21"/>
        <v>40352</v>
      </c>
      <c r="AG21" s="4">
        <f t="shared" ref="AG21" si="22">AG19+AG20</f>
        <v>44599</v>
      </c>
      <c r="AH21" s="4">
        <f t="shared" ref="AH21" si="23">AH19+AH20</f>
        <v>47771.125800000009</v>
      </c>
      <c r="AI21" s="4">
        <f t="shared" ref="AI21" si="24">AI19+AI20</f>
        <v>50130.498624000014</v>
      </c>
      <c r="AJ21" s="4">
        <f t="shared" ref="AJ21" si="25">AJ19+AJ20</f>
        <v>51961.684713720009</v>
      </c>
      <c r="AK21" s="4">
        <f t="shared" ref="AK21" si="26">AK19+AK20</f>
        <v>53520.535255131617</v>
      </c>
      <c r="AL21" s="4">
        <f t="shared" ref="AL21" si="27">AL19+AL20</f>
        <v>54590.945960234247</v>
      </c>
      <c r="AM21" s="4">
        <f t="shared" ref="AM21" si="28">AM19+AM20</f>
        <v>55325.18058720119</v>
      </c>
      <c r="AN21" s="4">
        <f t="shared" ref="AN21" si="29">AN19+AN20</f>
        <v>56070.524063785095</v>
      </c>
      <c r="AO21" s="4">
        <f t="shared" ref="AO21" si="30">AO19+AO20</f>
        <v>56827.162808549067</v>
      </c>
      <c r="AP21" s="4">
        <f t="shared" ref="AP21" si="31">AP19+AP20</f>
        <v>57595.286610843214</v>
      </c>
      <c r="AQ21" s="4">
        <f t="shared" ref="AQ21" si="32">AQ19+AQ20</f>
        <v>58375.088694644466</v>
      </c>
    </row>
    <row r="22" spans="2:142" s="2" customFormat="1" x14ac:dyDescent="0.3">
      <c r="B22" s="2" t="s">
        <v>27</v>
      </c>
      <c r="K22" s="9">
        <f t="shared" ref="K22:R22" si="33">K18-K21</f>
        <v>1663</v>
      </c>
      <c r="L22" s="9">
        <f t="shared" si="33"/>
        <v>1800</v>
      </c>
      <c r="M22" s="9">
        <f t="shared" si="33"/>
        <v>1816</v>
      </c>
      <c r="N22" s="9">
        <f t="shared" si="33"/>
        <v>2085</v>
      </c>
      <c r="O22" s="9">
        <f t="shared" si="33"/>
        <v>1893</v>
      </c>
      <c r="P22" s="9">
        <f t="shared" si="33"/>
        <v>1949</v>
      </c>
      <c r="Q22" s="9">
        <f t="shared" si="33"/>
        <v>1968</v>
      </c>
      <c r="R22" s="9">
        <f t="shared" si="33"/>
        <v>2141</v>
      </c>
      <c r="S22" s="9"/>
      <c r="T22" s="9"/>
      <c r="U22" s="9"/>
      <c r="V22" s="9"/>
      <c r="X22" s="9">
        <f t="shared" ref="X22:AF22" si="34">X18-X21</f>
        <v>5665</v>
      </c>
      <c r="Y22" s="9">
        <f t="shared" si="34"/>
        <v>6242</v>
      </c>
      <c r="Z22" s="9">
        <f t="shared" si="34"/>
        <v>6715</v>
      </c>
      <c r="AA22" s="9">
        <f t="shared" si="34"/>
        <v>6987</v>
      </c>
      <c r="AB22" s="9">
        <f t="shared" si="34"/>
        <v>6325</v>
      </c>
      <c r="AC22" s="9">
        <f t="shared" si="34"/>
        <v>6408</v>
      </c>
      <c r="AD22" s="9">
        <f t="shared" si="34"/>
        <v>6622</v>
      </c>
      <c r="AE22" s="9">
        <f t="shared" si="34"/>
        <v>6672</v>
      </c>
      <c r="AF22" s="9">
        <f t="shared" si="34"/>
        <v>7364</v>
      </c>
      <c r="AG22" s="9">
        <f t="shared" ref="AG22" si="35">AG18-AG21</f>
        <v>7951</v>
      </c>
      <c r="AH22" s="9">
        <f t="shared" ref="AH22" si="36">AH18-AH21</f>
        <v>8666.8441999999923</v>
      </c>
      <c r="AI22" s="9">
        <f t="shared" ref="AI22" si="37">AI18-AI21</f>
        <v>9090.303476000001</v>
      </c>
      <c r="AJ22" s="9">
        <f t="shared" ref="AJ22" si="38">AJ18-AJ21</f>
        <v>9420.7663092800067</v>
      </c>
      <c r="AK22" s="9">
        <f t="shared" ref="AK22" si="39">AK18-AK21</f>
        <v>9703.3892985584025</v>
      </c>
      <c r="AL22" s="9">
        <f t="shared" ref="AL22" si="40">AL18-AL21</f>
        <v>9897.4570845295748</v>
      </c>
      <c r="AM22" s="9">
        <f t="shared" ref="AM22" si="41">AM18-AM21</f>
        <v>10032.303115825271</v>
      </c>
      <c r="AN22" s="9">
        <f t="shared" ref="AN22" si="42">AN18-AN21</f>
        <v>10169.215036642927</v>
      </c>
      <c r="AO22" s="9">
        <f t="shared" ref="AO22" si="43">AO18-AO21</f>
        <v>10308.227854461962</v>
      </c>
      <c r="AP22" s="9">
        <f t="shared" ref="AP22" si="44">AP18-AP21</f>
        <v>10449.37721380822</v>
      </c>
      <c r="AQ22" s="9">
        <f t="shared" ref="AQ22" si="45">AQ18-AQ21</f>
        <v>10592.699408363987</v>
      </c>
    </row>
    <row r="23" spans="2:142" x14ac:dyDescent="0.3">
      <c r="B23" s="1" t="s">
        <v>28</v>
      </c>
      <c r="K23" s="4">
        <v>627</v>
      </c>
      <c r="L23" s="4">
        <v>644</v>
      </c>
      <c r="M23" s="4">
        <v>635</v>
      </c>
      <c r="N23" s="4">
        <f>AF23-M23-L23-K23</f>
        <v>662</v>
      </c>
      <c r="O23" s="4">
        <v>625</v>
      </c>
      <c r="P23" s="4">
        <v>644</v>
      </c>
      <c r="Q23" s="4">
        <v>637</v>
      </c>
      <c r="R23" s="4">
        <f>AG23-Q23-P23-O23</f>
        <v>689</v>
      </c>
      <c r="S23" s="4"/>
      <c r="T23" s="4"/>
      <c r="U23" s="4"/>
      <c r="V23" s="4"/>
      <c r="X23" s="4">
        <v>1921</v>
      </c>
      <c r="Y23" s="4">
        <v>2006</v>
      </c>
      <c r="Z23" s="4">
        <v>2258</v>
      </c>
      <c r="AA23" s="4">
        <v>2417</v>
      </c>
      <c r="AB23" s="4">
        <v>2192</v>
      </c>
      <c r="AC23" s="4">
        <v>2245</v>
      </c>
      <c r="AD23" s="4">
        <v>2411</v>
      </c>
      <c r="AE23" s="4">
        <v>2427</v>
      </c>
      <c r="AF23" s="4">
        <v>2568</v>
      </c>
      <c r="AG23" s="4">
        <v>2595</v>
      </c>
      <c r="AH23" s="4">
        <f>AG23*1.01</f>
        <v>2620.9499999999998</v>
      </c>
      <c r="AI23" s="4">
        <f>AH23*1.01</f>
        <v>2647.1594999999998</v>
      </c>
      <c r="AJ23" s="4">
        <f t="shared" ref="AJ23:AQ23" si="46">AI23*1.01</f>
        <v>2673.6310949999997</v>
      </c>
      <c r="AK23" s="4">
        <f t="shared" si="46"/>
        <v>2700.3674059499999</v>
      </c>
      <c r="AL23" s="4">
        <f t="shared" si="46"/>
        <v>2727.3710800095</v>
      </c>
      <c r="AM23" s="4">
        <f t="shared" si="46"/>
        <v>2754.6447908095952</v>
      </c>
      <c r="AN23" s="4">
        <f t="shared" si="46"/>
        <v>2782.1912387176912</v>
      </c>
      <c r="AO23" s="4">
        <f t="shared" si="46"/>
        <v>2810.013151104868</v>
      </c>
      <c r="AP23" s="4">
        <f t="shared" si="46"/>
        <v>2838.1132826159169</v>
      </c>
      <c r="AQ23" s="4">
        <f t="shared" si="46"/>
        <v>2866.4944154420759</v>
      </c>
    </row>
    <row r="24" spans="2:142" s="2" customFormat="1" x14ac:dyDescent="0.3">
      <c r="B24" s="2" t="s">
        <v>29</v>
      </c>
      <c r="K24" s="9">
        <f t="shared" ref="K24:R24" si="47">K22-K23</f>
        <v>1036</v>
      </c>
      <c r="L24" s="9">
        <f t="shared" si="47"/>
        <v>1156</v>
      </c>
      <c r="M24" s="9">
        <f t="shared" si="47"/>
        <v>1181</v>
      </c>
      <c r="N24" s="9">
        <f t="shared" si="47"/>
        <v>1423</v>
      </c>
      <c r="O24" s="9">
        <f t="shared" si="47"/>
        <v>1268</v>
      </c>
      <c r="P24" s="9">
        <f t="shared" si="47"/>
        <v>1305</v>
      </c>
      <c r="Q24" s="9">
        <f t="shared" si="47"/>
        <v>1331</v>
      </c>
      <c r="R24" s="9">
        <f t="shared" si="47"/>
        <v>1452</v>
      </c>
      <c r="S24" s="9"/>
      <c r="T24" s="9"/>
      <c r="U24" s="9"/>
      <c r="V24" s="9"/>
      <c r="X24" s="9">
        <f t="shared" ref="X24:AG24" si="48">X22-X23</f>
        <v>3744</v>
      </c>
      <c r="Y24" s="9">
        <f t="shared" si="48"/>
        <v>4236</v>
      </c>
      <c r="Z24" s="9">
        <f t="shared" si="48"/>
        <v>4457</v>
      </c>
      <c r="AA24" s="9">
        <f t="shared" si="48"/>
        <v>4570</v>
      </c>
      <c r="AB24" s="9">
        <f t="shared" si="48"/>
        <v>4133</v>
      </c>
      <c r="AC24" s="9">
        <f t="shared" si="48"/>
        <v>4163</v>
      </c>
      <c r="AD24" s="9">
        <f t="shared" si="48"/>
        <v>4211</v>
      </c>
      <c r="AE24" s="9">
        <f t="shared" si="48"/>
        <v>4245</v>
      </c>
      <c r="AF24" s="9">
        <f t="shared" si="48"/>
        <v>4796</v>
      </c>
      <c r="AG24" s="9">
        <f t="shared" si="48"/>
        <v>5356</v>
      </c>
      <c r="AH24" s="9">
        <f t="shared" ref="AH24" si="49">AH22-AH23</f>
        <v>6045.8941999999925</v>
      </c>
      <c r="AI24" s="9">
        <f t="shared" ref="AI24" si="50">AI22-AI23</f>
        <v>6443.1439760000012</v>
      </c>
      <c r="AJ24" s="9">
        <f t="shared" ref="AJ24" si="51">AJ22-AJ23</f>
        <v>6747.1352142800069</v>
      </c>
      <c r="AK24" s="9">
        <f t="shared" ref="AK24" si="52">AK22-AK23</f>
        <v>7003.0218926084026</v>
      </c>
      <c r="AL24" s="9">
        <f t="shared" ref="AL24" si="53">AL22-AL23</f>
        <v>7170.0860045200752</v>
      </c>
      <c r="AM24" s="9">
        <f t="shared" ref="AM24" si="54">AM22-AM23</f>
        <v>7277.6583250156755</v>
      </c>
      <c r="AN24" s="9">
        <f t="shared" ref="AN24" si="55">AN22-AN23</f>
        <v>7387.0237979252361</v>
      </c>
      <c r="AO24" s="9">
        <f t="shared" ref="AO24" si="56">AO22-AO23</f>
        <v>7498.2147033570945</v>
      </c>
      <c r="AP24" s="9">
        <f t="shared" ref="AP24" si="57">AP22-AP23</f>
        <v>7611.2639311923031</v>
      </c>
      <c r="AQ24" s="9">
        <f t="shared" ref="AQ24" si="58">AQ22-AQ23</f>
        <v>7726.204992921912</v>
      </c>
    </row>
    <row r="25" spans="2:142" x14ac:dyDescent="0.3">
      <c r="B25" s="1" t="s">
        <v>30</v>
      </c>
      <c r="K25" s="4">
        <v>-14</v>
      </c>
      <c r="L25" s="4">
        <v>-18</v>
      </c>
      <c r="M25" s="4">
        <v>-15</v>
      </c>
      <c r="N25" s="4">
        <f t="shared" ref="N25:N26" si="59">AF25-M25-L25-K25</f>
        <v>-21</v>
      </c>
      <c r="O25" s="4">
        <v>-21</v>
      </c>
      <c r="P25" s="4">
        <v>-15</v>
      </c>
      <c r="Q25" s="4">
        <v>-15</v>
      </c>
      <c r="R25" s="4">
        <f t="shared" ref="R25:R26" si="60">AG25-Q25-P25-O25</f>
        <v>-10</v>
      </c>
      <c r="S25" s="4"/>
      <c r="T25" s="4"/>
      <c r="U25" s="4"/>
      <c r="V25" s="4"/>
      <c r="X25" s="4">
        <v>-3</v>
      </c>
      <c r="Y25" s="4">
        <v>56</v>
      </c>
      <c r="Z25" s="4">
        <v>16</v>
      </c>
      <c r="AA25" s="4">
        <v>-92</v>
      </c>
      <c r="AB25" s="4">
        <v>-82</v>
      </c>
      <c r="AC25" s="4">
        <v>-134</v>
      </c>
      <c r="AD25" s="4">
        <v>-189</v>
      </c>
      <c r="AE25" s="4">
        <v>-82</v>
      </c>
      <c r="AF25" s="4">
        <v>-68</v>
      </c>
      <c r="AG25" s="4">
        <v>-61</v>
      </c>
      <c r="AH25" s="4">
        <f t="shared" ref="AH25:AQ25" si="61">AG25*1.01</f>
        <v>-61.61</v>
      </c>
      <c r="AI25" s="4">
        <f t="shared" si="61"/>
        <v>-62.226100000000002</v>
      </c>
      <c r="AJ25" s="4">
        <f t="shared" si="61"/>
        <v>-62.848361000000004</v>
      </c>
      <c r="AK25" s="4">
        <f t="shared" si="61"/>
        <v>-63.476844610000008</v>
      </c>
      <c r="AL25" s="4">
        <f t="shared" si="61"/>
        <v>-64.111613056100012</v>
      </c>
      <c r="AM25" s="4">
        <f t="shared" si="61"/>
        <v>-64.752729186661014</v>
      </c>
      <c r="AN25" s="4">
        <f t="shared" si="61"/>
        <v>-65.400256478527623</v>
      </c>
      <c r="AO25" s="4">
        <f t="shared" si="61"/>
        <v>-66.054259043312896</v>
      </c>
      <c r="AP25" s="4">
        <f t="shared" si="61"/>
        <v>-66.714801633746021</v>
      </c>
      <c r="AQ25" s="4">
        <f t="shared" si="61"/>
        <v>-67.381949650083484</v>
      </c>
    </row>
    <row r="26" spans="2:142" x14ac:dyDescent="0.3">
      <c r="B26" s="1" t="s">
        <v>31</v>
      </c>
      <c r="K26" s="4">
        <v>82</v>
      </c>
      <c r="L26" s="4">
        <v>84</v>
      </c>
      <c r="M26" s="4">
        <v>82</v>
      </c>
      <c r="N26" s="4">
        <f t="shared" si="59"/>
        <v>76</v>
      </c>
      <c r="O26" s="4">
        <v>89</v>
      </c>
      <c r="P26" s="4">
        <v>88</v>
      </c>
      <c r="Q26" s="4">
        <v>74</v>
      </c>
      <c r="R26" s="4">
        <f t="shared" si="60"/>
        <v>63</v>
      </c>
      <c r="S26" s="4"/>
      <c r="T26" s="4"/>
      <c r="U26" s="4"/>
      <c r="V26" s="4"/>
      <c r="X26" s="4">
        <v>91</v>
      </c>
      <c r="Y26" s="4">
        <v>103</v>
      </c>
      <c r="Z26" s="4">
        <v>356</v>
      </c>
      <c r="AA26" s="4">
        <v>460</v>
      </c>
      <c r="AB26" s="4">
        <v>477</v>
      </c>
      <c r="AC26" s="4">
        <v>424</v>
      </c>
      <c r="AD26" s="4">
        <v>364</v>
      </c>
      <c r="AE26" s="4">
        <v>343</v>
      </c>
      <c r="AF26" s="4">
        <v>324</v>
      </c>
      <c r="AG26" s="4">
        <v>314</v>
      </c>
      <c r="AH26" s="4">
        <f t="shared" ref="AH26:AQ26" si="62">AG26*1.01</f>
        <v>317.14</v>
      </c>
      <c r="AI26" s="4">
        <f t="shared" si="62"/>
        <v>320.31139999999999</v>
      </c>
      <c r="AJ26" s="4">
        <f t="shared" si="62"/>
        <v>323.51451400000002</v>
      </c>
      <c r="AK26" s="4">
        <f t="shared" si="62"/>
        <v>326.74965914000001</v>
      </c>
      <c r="AL26" s="4">
        <f t="shared" si="62"/>
        <v>330.01715573140001</v>
      </c>
      <c r="AM26" s="4">
        <f t="shared" si="62"/>
        <v>333.31732728871401</v>
      </c>
      <c r="AN26" s="4">
        <f t="shared" si="62"/>
        <v>336.65050056160118</v>
      </c>
      <c r="AO26" s="4">
        <f t="shared" si="62"/>
        <v>340.01700556721721</v>
      </c>
      <c r="AP26" s="4">
        <f t="shared" si="62"/>
        <v>343.41717562288937</v>
      </c>
      <c r="AQ26" s="4">
        <f t="shared" si="62"/>
        <v>346.85134737911829</v>
      </c>
    </row>
    <row r="27" spans="2:142" s="2" customFormat="1" x14ac:dyDescent="0.3">
      <c r="B27" s="2" t="s">
        <v>32</v>
      </c>
      <c r="K27" s="9">
        <f t="shared" ref="K27:R27" si="63">K24-K25-K26</f>
        <v>968</v>
      </c>
      <c r="L27" s="9">
        <f t="shared" si="63"/>
        <v>1090</v>
      </c>
      <c r="M27" s="9">
        <f t="shared" si="63"/>
        <v>1114</v>
      </c>
      <c r="N27" s="9">
        <f t="shared" si="63"/>
        <v>1368</v>
      </c>
      <c r="O27" s="9">
        <f t="shared" si="63"/>
        <v>1200</v>
      </c>
      <c r="P27" s="9">
        <f t="shared" si="63"/>
        <v>1232</v>
      </c>
      <c r="Q27" s="9">
        <f t="shared" si="63"/>
        <v>1272</v>
      </c>
      <c r="R27" s="9">
        <f t="shared" si="63"/>
        <v>1399</v>
      </c>
      <c r="S27" s="9"/>
      <c r="T27" s="9"/>
      <c r="U27" s="9"/>
      <c r="V27" s="9"/>
      <c r="X27" s="9">
        <f t="shared" ref="X27:AG27" si="64">X24-X25-X26</f>
        <v>3656</v>
      </c>
      <c r="Y27" s="9">
        <f t="shared" si="64"/>
        <v>4077</v>
      </c>
      <c r="Z27" s="9">
        <f t="shared" si="64"/>
        <v>4085</v>
      </c>
      <c r="AA27" s="9">
        <f t="shared" si="64"/>
        <v>4202</v>
      </c>
      <c r="AB27" s="9">
        <f t="shared" si="64"/>
        <v>3738</v>
      </c>
      <c r="AC27" s="9">
        <f t="shared" si="64"/>
        <v>3873</v>
      </c>
      <c r="AD27" s="9">
        <f t="shared" si="64"/>
        <v>4036</v>
      </c>
      <c r="AE27" s="9">
        <f t="shared" si="64"/>
        <v>3984</v>
      </c>
      <c r="AF27" s="9">
        <f t="shared" si="64"/>
        <v>4540</v>
      </c>
      <c r="AG27" s="9">
        <f t="shared" si="64"/>
        <v>5103</v>
      </c>
      <c r="AH27" s="9">
        <f t="shared" ref="AH27" si="65">AH24-AH25-AH26</f>
        <v>5790.3641999999918</v>
      </c>
      <c r="AI27" s="9">
        <f t="shared" ref="AI27" si="66">AI24-AI25-AI26</f>
        <v>6185.0586760000015</v>
      </c>
      <c r="AJ27" s="9">
        <f t="shared" ref="AJ27" si="67">AJ24-AJ25-AJ26</f>
        <v>6486.4690612800068</v>
      </c>
      <c r="AK27" s="9">
        <f t="shared" ref="AK27" si="68">AK24-AK25-AK26</f>
        <v>6739.7490780784019</v>
      </c>
      <c r="AL27" s="9">
        <f t="shared" ref="AL27" si="69">AL24-AL25-AL26</f>
        <v>6904.1804618447759</v>
      </c>
      <c r="AM27" s="9">
        <f t="shared" ref="AM27" si="70">AM24-AM25-AM26</f>
        <v>7009.093726913622</v>
      </c>
      <c r="AN27" s="9">
        <f t="shared" ref="AN27" si="71">AN24-AN25-AN26</f>
        <v>7115.773553842163</v>
      </c>
      <c r="AO27" s="9">
        <f t="shared" ref="AO27" si="72">AO24-AO25-AO26</f>
        <v>7224.2519568331909</v>
      </c>
      <c r="AP27" s="9">
        <f t="shared" ref="AP27" si="73">AP24-AP25-AP26</f>
        <v>7334.5615572031593</v>
      </c>
      <c r="AQ27" s="9">
        <f t="shared" ref="AQ27" si="74">AQ24-AQ25-AQ26</f>
        <v>7446.7355951928776</v>
      </c>
    </row>
    <row r="28" spans="2:142" x14ac:dyDescent="0.3">
      <c r="B28" s="1" t="s">
        <v>19</v>
      </c>
      <c r="K28" s="4">
        <v>169</v>
      </c>
      <c r="L28" s="4">
        <v>185</v>
      </c>
      <c r="M28" s="4">
        <v>184</v>
      </c>
      <c r="N28" s="4">
        <f>AF28-M28-L28-K28</f>
        <v>220</v>
      </c>
      <c r="O28" s="4">
        <v>206</v>
      </c>
      <c r="P28" s="4">
        <v>218</v>
      </c>
      <c r="Q28" s="4">
        <v>213</v>
      </c>
      <c r="R28" s="4">
        <f>AG28-Q28-P28-O28</f>
        <v>256</v>
      </c>
      <c r="S28" s="4"/>
      <c r="T28" s="4"/>
      <c r="U28" s="4"/>
      <c r="V28" s="4"/>
      <c r="X28" s="4">
        <f>977+107</f>
        <v>1084</v>
      </c>
      <c r="Y28" s="4">
        <v>1165</v>
      </c>
      <c r="Z28" s="4">
        <f>727+13</f>
        <v>740</v>
      </c>
      <c r="AA28" s="4">
        <v>718</v>
      </c>
      <c r="AB28" s="4">
        <v>571</v>
      </c>
      <c r="AC28" s="4">
        <v>616</v>
      </c>
      <c r="AD28" s="4">
        <v>646</v>
      </c>
      <c r="AE28" s="4">
        <v>669</v>
      </c>
      <c r="AF28" s="4">
        <v>758</v>
      </c>
      <c r="AG28" s="4">
        <v>893</v>
      </c>
      <c r="AH28" s="4">
        <f t="shared" ref="AH28:AQ28" si="75">AH27*0.17</f>
        <v>984.36191399999871</v>
      </c>
      <c r="AI28" s="4">
        <f t="shared" si="75"/>
        <v>1051.4599749200004</v>
      </c>
      <c r="AJ28" s="4">
        <f t="shared" si="75"/>
        <v>1102.6997404176013</v>
      </c>
      <c r="AK28" s="4">
        <f t="shared" si="75"/>
        <v>1145.7573432733284</v>
      </c>
      <c r="AL28" s="4">
        <f t="shared" si="75"/>
        <v>1173.710678513612</v>
      </c>
      <c r="AM28" s="4">
        <f t="shared" si="75"/>
        <v>1191.5459335753158</v>
      </c>
      <c r="AN28" s="4">
        <f t="shared" si="75"/>
        <v>1209.6815041531679</v>
      </c>
      <c r="AO28" s="4">
        <f t="shared" si="75"/>
        <v>1228.1228326616426</v>
      </c>
      <c r="AP28" s="4">
        <f t="shared" si="75"/>
        <v>1246.8754647245371</v>
      </c>
      <c r="AQ28" s="4">
        <f t="shared" si="75"/>
        <v>1265.9450511827893</v>
      </c>
    </row>
    <row r="29" spans="2:142" s="2" customFormat="1" x14ac:dyDescent="0.3">
      <c r="B29" s="2" t="s">
        <v>33</v>
      </c>
      <c r="K29" s="9">
        <f t="shared" ref="K29:R29" si="76">K27-K28</f>
        <v>799</v>
      </c>
      <c r="L29" s="9">
        <f t="shared" si="76"/>
        <v>905</v>
      </c>
      <c r="M29" s="9">
        <f t="shared" si="76"/>
        <v>930</v>
      </c>
      <c r="N29" s="9">
        <f t="shared" si="76"/>
        <v>1148</v>
      </c>
      <c r="O29" s="9">
        <f t="shared" si="76"/>
        <v>994</v>
      </c>
      <c r="P29" s="9">
        <f t="shared" si="76"/>
        <v>1014</v>
      </c>
      <c r="Q29" s="9">
        <f t="shared" si="76"/>
        <v>1059</v>
      </c>
      <c r="R29" s="9">
        <f t="shared" si="76"/>
        <v>1143</v>
      </c>
      <c r="S29" s="9"/>
      <c r="T29" s="9"/>
      <c r="U29" s="9"/>
      <c r="V29" s="9"/>
      <c r="X29" s="9">
        <f t="shared" ref="X29:AG29" si="77">X27-X28</f>
        <v>2572</v>
      </c>
      <c r="Y29" s="9">
        <f t="shared" si="77"/>
        <v>2912</v>
      </c>
      <c r="Z29" s="9">
        <f t="shared" si="77"/>
        <v>3345</v>
      </c>
      <c r="AA29" s="9">
        <f t="shared" si="77"/>
        <v>3484</v>
      </c>
      <c r="AB29" s="9">
        <f t="shared" si="77"/>
        <v>3167</v>
      </c>
      <c r="AC29" s="9">
        <f t="shared" si="77"/>
        <v>3257</v>
      </c>
      <c r="AD29" s="9">
        <f t="shared" si="77"/>
        <v>3390</v>
      </c>
      <c r="AE29" s="9">
        <f t="shared" si="77"/>
        <v>3315</v>
      </c>
      <c r="AF29" s="9">
        <f t="shared" si="77"/>
        <v>3782</v>
      </c>
      <c r="AG29" s="9">
        <f t="shared" si="77"/>
        <v>4210</v>
      </c>
      <c r="AH29" s="9">
        <f t="shared" ref="AH29" si="78">AH27-AH28</f>
        <v>4806.0022859999935</v>
      </c>
      <c r="AI29" s="9">
        <f t="shared" ref="AI29" si="79">AI27-AI28</f>
        <v>5133.5987010800009</v>
      </c>
      <c r="AJ29" s="9">
        <f t="shared" ref="AJ29" si="80">AJ27-AJ28</f>
        <v>5383.7693208624059</v>
      </c>
      <c r="AK29" s="9">
        <f t="shared" ref="AK29" si="81">AK27-AK28</f>
        <v>5593.9917348050731</v>
      </c>
      <c r="AL29" s="9">
        <f t="shared" ref="AL29" si="82">AL27-AL28</f>
        <v>5730.4697833311639</v>
      </c>
      <c r="AM29" s="9">
        <f t="shared" ref="AM29" si="83">AM27-AM28</f>
        <v>5817.5477933383063</v>
      </c>
      <c r="AN29" s="9">
        <f t="shared" ref="AN29" si="84">AN27-AN28</f>
        <v>5906.0920496889948</v>
      </c>
      <c r="AO29" s="9">
        <f t="shared" ref="AO29" si="85">AO27-AO28</f>
        <v>5996.129124171548</v>
      </c>
      <c r="AP29" s="9">
        <f t="shared" ref="AP29" si="86">AP27-AP28</f>
        <v>6087.6860924786224</v>
      </c>
      <c r="AQ29" s="9">
        <f t="shared" ref="AQ29" si="87">AQ27-AQ28</f>
        <v>6180.7905440100885</v>
      </c>
      <c r="AR29" s="2">
        <f>AQ29*(1+$AT$39)</f>
        <v>6118.982638569988</v>
      </c>
      <c r="AS29" s="2">
        <f t="shared" ref="AS29:DD29" si="88">AR29*(1+$AT$39)</f>
        <v>6057.7928121842879</v>
      </c>
      <c r="AT29" s="2">
        <f t="shared" si="88"/>
        <v>5997.214884062445</v>
      </c>
      <c r="AU29" s="2">
        <f t="shared" si="88"/>
        <v>5937.2427352218201</v>
      </c>
      <c r="AV29" s="2">
        <f t="shared" si="88"/>
        <v>5877.8703078696017</v>
      </c>
      <c r="AW29" s="2">
        <f t="shared" si="88"/>
        <v>5819.0916047909059</v>
      </c>
      <c r="AX29" s="2">
        <f t="shared" si="88"/>
        <v>5760.9006887429969</v>
      </c>
      <c r="AY29" s="2">
        <f t="shared" si="88"/>
        <v>5703.2916818555668</v>
      </c>
      <c r="AZ29" s="2">
        <f t="shared" si="88"/>
        <v>5646.2587650370115</v>
      </c>
      <c r="BA29" s="2">
        <f t="shared" si="88"/>
        <v>5589.7961773866409</v>
      </c>
      <c r="BB29" s="2">
        <f t="shared" si="88"/>
        <v>5533.898215612774</v>
      </c>
      <c r="BC29" s="2">
        <f t="shared" si="88"/>
        <v>5478.5592334566463</v>
      </c>
      <c r="BD29" s="2">
        <f t="shared" si="88"/>
        <v>5423.7736411220794</v>
      </c>
      <c r="BE29" s="2">
        <f t="shared" si="88"/>
        <v>5369.5359047108586</v>
      </c>
      <c r="BF29" s="2">
        <f t="shared" si="88"/>
        <v>5315.8405456637502</v>
      </c>
      <c r="BG29" s="2">
        <f t="shared" si="88"/>
        <v>5262.6821402071128</v>
      </c>
      <c r="BH29" s="2">
        <f t="shared" si="88"/>
        <v>5210.0553188050417</v>
      </c>
      <c r="BI29" s="2">
        <f t="shared" si="88"/>
        <v>5157.9547656169916</v>
      </c>
      <c r="BJ29" s="2">
        <f t="shared" si="88"/>
        <v>5106.3752179608218</v>
      </c>
      <c r="BK29" s="2">
        <f t="shared" si="88"/>
        <v>5055.3114657812139</v>
      </c>
      <c r="BL29" s="2">
        <f t="shared" si="88"/>
        <v>5004.7583511234016</v>
      </c>
      <c r="BM29" s="2">
        <f t="shared" si="88"/>
        <v>4954.7107676121677</v>
      </c>
      <c r="BN29" s="2">
        <f t="shared" si="88"/>
        <v>4905.1636599360463</v>
      </c>
      <c r="BO29" s="2">
        <f t="shared" si="88"/>
        <v>4856.1120233366855</v>
      </c>
      <c r="BP29" s="2">
        <f t="shared" si="88"/>
        <v>4807.5509031033189</v>
      </c>
      <c r="BQ29" s="2">
        <f t="shared" si="88"/>
        <v>4759.4753940722858</v>
      </c>
      <c r="BR29" s="2">
        <f t="shared" si="88"/>
        <v>4711.8806401315633</v>
      </c>
      <c r="BS29" s="2">
        <f t="shared" si="88"/>
        <v>4664.7618337302474</v>
      </c>
      <c r="BT29" s="2">
        <f t="shared" si="88"/>
        <v>4618.114215392945</v>
      </c>
      <c r="BU29" s="2">
        <f t="shared" si="88"/>
        <v>4571.9330732390154</v>
      </c>
      <c r="BV29" s="2">
        <f t="shared" si="88"/>
        <v>4526.2137425066248</v>
      </c>
      <c r="BW29" s="2">
        <f t="shared" si="88"/>
        <v>4480.9516050815582</v>
      </c>
      <c r="BX29" s="2">
        <f t="shared" si="88"/>
        <v>4436.1420890307427</v>
      </c>
      <c r="BY29" s="2">
        <f t="shared" si="88"/>
        <v>4391.7806681404354</v>
      </c>
      <c r="BZ29" s="2">
        <f t="shared" si="88"/>
        <v>4347.8628614590307</v>
      </c>
      <c r="CA29" s="2">
        <f t="shared" si="88"/>
        <v>4304.3842328444407</v>
      </c>
      <c r="CB29" s="2">
        <f t="shared" si="88"/>
        <v>4261.3403905159967</v>
      </c>
      <c r="CC29" s="2">
        <f t="shared" si="88"/>
        <v>4218.7269866108363</v>
      </c>
      <c r="CD29" s="2">
        <f t="shared" si="88"/>
        <v>4176.5397167447281</v>
      </c>
      <c r="CE29" s="2">
        <f t="shared" si="88"/>
        <v>4134.7743195772809</v>
      </c>
      <c r="CF29" s="2">
        <f t="shared" si="88"/>
        <v>4093.4265763815083</v>
      </c>
      <c r="CG29" s="2">
        <f t="shared" si="88"/>
        <v>4052.492310617693</v>
      </c>
      <c r="CH29" s="2">
        <f t="shared" si="88"/>
        <v>4011.9673875115159</v>
      </c>
      <c r="CI29" s="2">
        <f t="shared" si="88"/>
        <v>3971.8477136364008</v>
      </c>
      <c r="CJ29" s="2">
        <f t="shared" si="88"/>
        <v>3932.1292365000368</v>
      </c>
      <c r="CK29" s="2">
        <f t="shared" si="88"/>
        <v>3892.8079441350365</v>
      </c>
      <c r="CL29" s="2">
        <f t="shared" si="88"/>
        <v>3853.8798646936862</v>
      </c>
      <c r="CM29" s="2">
        <f t="shared" si="88"/>
        <v>3815.3410660467493</v>
      </c>
      <c r="CN29" s="2">
        <f t="shared" si="88"/>
        <v>3777.1876553862817</v>
      </c>
      <c r="CO29" s="2">
        <f t="shared" si="88"/>
        <v>3739.4157788324187</v>
      </c>
      <c r="CP29" s="2">
        <f t="shared" si="88"/>
        <v>3702.0216210440944</v>
      </c>
      <c r="CQ29" s="2">
        <f t="shared" si="88"/>
        <v>3665.0014048336534</v>
      </c>
      <c r="CR29" s="2">
        <f t="shared" si="88"/>
        <v>3628.3513907853167</v>
      </c>
      <c r="CS29" s="2">
        <f t="shared" si="88"/>
        <v>3592.0678768774633</v>
      </c>
      <c r="CT29" s="2">
        <f t="shared" si="88"/>
        <v>3556.1471981086888</v>
      </c>
      <c r="CU29" s="2">
        <f t="shared" si="88"/>
        <v>3520.5857261276019</v>
      </c>
      <c r="CV29" s="2">
        <f t="shared" si="88"/>
        <v>3485.379868866326</v>
      </c>
      <c r="CW29" s="2">
        <f t="shared" si="88"/>
        <v>3450.5260701776629</v>
      </c>
      <c r="CX29" s="2">
        <f t="shared" si="88"/>
        <v>3416.0208094758864</v>
      </c>
      <c r="CY29" s="2">
        <f t="shared" si="88"/>
        <v>3381.8606013811277</v>
      </c>
      <c r="CZ29" s="2">
        <f t="shared" si="88"/>
        <v>3348.0419953673163</v>
      </c>
      <c r="DA29" s="2">
        <f t="shared" si="88"/>
        <v>3314.5615754136429</v>
      </c>
      <c r="DB29" s="2">
        <f t="shared" si="88"/>
        <v>3281.4159596595064</v>
      </c>
      <c r="DC29" s="2">
        <f t="shared" si="88"/>
        <v>3248.6018000629115</v>
      </c>
      <c r="DD29" s="2">
        <f t="shared" si="88"/>
        <v>3216.1157820622825</v>
      </c>
      <c r="DE29" s="2">
        <f t="shared" ref="DE29:EL29" si="89">DD29*(1+$AT$39)</f>
        <v>3183.9546242416595</v>
      </c>
      <c r="DF29" s="2">
        <f t="shared" si="89"/>
        <v>3152.1150779992431</v>
      </c>
      <c r="DG29" s="2">
        <f t="shared" si="89"/>
        <v>3120.5939272192509</v>
      </c>
      <c r="DH29" s="2">
        <f t="shared" si="89"/>
        <v>3089.3879879470583</v>
      </c>
      <c r="DI29" s="2">
        <f t="shared" si="89"/>
        <v>3058.4941080675876</v>
      </c>
      <c r="DJ29" s="2">
        <f t="shared" si="89"/>
        <v>3027.9091669869117</v>
      </c>
      <c r="DK29" s="2">
        <f t="shared" si="89"/>
        <v>2997.6300753170426</v>
      </c>
      <c r="DL29" s="2">
        <f t="shared" si="89"/>
        <v>2967.653774563872</v>
      </c>
      <c r="DM29" s="2">
        <f t="shared" si="89"/>
        <v>2937.9772368182335</v>
      </c>
      <c r="DN29" s="2">
        <f t="shared" si="89"/>
        <v>2908.5974644500511</v>
      </c>
      <c r="DO29" s="2">
        <f t="shared" si="89"/>
        <v>2879.5114898055508</v>
      </c>
      <c r="DP29" s="2">
        <f t="shared" si="89"/>
        <v>2850.7163749074953</v>
      </c>
      <c r="DQ29" s="2">
        <f t="shared" si="89"/>
        <v>2822.2092111584202</v>
      </c>
      <c r="DR29" s="2">
        <f t="shared" si="89"/>
        <v>2793.9871190468361</v>
      </c>
      <c r="DS29" s="2">
        <f t="shared" si="89"/>
        <v>2766.0472478563679</v>
      </c>
      <c r="DT29" s="2">
        <f t="shared" si="89"/>
        <v>2738.386775377804</v>
      </c>
      <c r="DU29" s="2">
        <f t="shared" si="89"/>
        <v>2711.0029076240262</v>
      </c>
      <c r="DV29" s="2">
        <f t="shared" si="89"/>
        <v>2683.892878547786</v>
      </c>
      <c r="DW29" s="2">
        <f t="shared" si="89"/>
        <v>2657.0539497623081</v>
      </c>
      <c r="DX29" s="2">
        <f t="shared" si="89"/>
        <v>2630.4834102646851</v>
      </c>
      <c r="DY29" s="2">
        <f t="shared" si="89"/>
        <v>2604.1785761620381</v>
      </c>
      <c r="DZ29" s="2">
        <f t="shared" si="89"/>
        <v>2578.1367904004178</v>
      </c>
      <c r="EA29" s="2">
        <f t="shared" si="89"/>
        <v>2552.3554224964137</v>
      </c>
      <c r="EB29" s="2">
        <f t="shared" si="89"/>
        <v>2526.8318682714494</v>
      </c>
      <c r="EC29" s="2">
        <f t="shared" si="89"/>
        <v>2501.563549588735</v>
      </c>
      <c r="ED29" s="2">
        <f t="shared" si="89"/>
        <v>2476.5479140928478</v>
      </c>
      <c r="EE29" s="2">
        <f t="shared" si="89"/>
        <v>2451.7824349519192</v>
      </c>
      <c r="EF29" s="2">
        <f t="shared" si="89"/>
        <v>2427.2646106023999</v>
      </c>
      <c r="EG29" s="2">
        <f t="shared" si="89"/>
        <v>2402.9919644963757</v>
      </c>
      <c r="EH29" s="2">
        <f t="shared" si="89"/>
        <v>2378.962044851412</v>
      </c>
      <c r="EI29" s="2">
        <f t="shared" si="89"/>
        <v>2355.1724244028978</v>
      </c>
      <c r="EJ29" s="2">
        <f t="shared" si="89"/>
        <v>2331.6207001588687</v>
      </c>
      <c r="EK29" s="2">
        <f t="shared" si="89"/>
        <v>2308.3044931572799</v>
      </c>
      <c r="EL29" s="2">
        <f t="shared" si="89"/>
        <v>2285.2214482257073</v>
      </c>
    </row>
    <row r="30" spans="2:142" x14ac:dyDescent="0.3">
      <c r="B30" s="1" t="s">
        <v>2</v>
      </c>
      <c r="K30" s="4">
        <f>268.4</f>
        <v>268.39999999999998</v>
      </c>
      <c r="L30" s="4">
        <f>268.4</f>
        <v>268.39999999999998</v>
      </c>
      <c r="M30" s="4">
        <f>269</f>
        <v>269</v>
      </c>
      <c r="N30" s="4">
        <f>269</f>
        <v>269</v>
      </c>
      <c r="O30" s="4">
        <f>268.4</f>
        <v>268.39999999999998</v>
      </c>
      <c r="P30" s="4">
        <f>269</f>
        <v>269</v>
      </c>
      <c r="Q30" s="4">
        <f>270.1</f>
        <v>270.10000000000002</v>
      </c>
      <c r="R30" s="4">
        <f>270.1</f>
        <v>270.10000000000002</v>
      </c>
      <c r="S30" s="4"/>
      <c r="T30" s="4"/>
      <c r="U30" s="4"/>
      <c r="V30" s="4"/>
      <c r="X30" s="4">
        <f t="shared" ref="X30:AF30" si="90">268.4</f>
        <v>268.39999999999998</v>
      </c>
      <c r="Y30" s="4">
        <f t="shared" si="90"/>
        <v>268.39999999999998</v>
      </c>
      <c r="Z30" s="4">
        <f t="shared" si="90"/>
        <v>268.39999999999998</v>
      </c>
      <c r="AA30" s="4">
        <f t="shared" si="90"/>
        <v>268.39999999999998</v>
      </c>
      <c r="AB30" s="4">
        <f t="shared" si="90"/>
        <v>268.39999999999998</v>
      </c>
      <c r="AC30" s="4">
        <f t="shared" si="90"/>
        <v>268.39999999999998</v>
      </c>
      <c r="AD30" s="4">
        <f t="shared" si="90"/>
        <v>268.39999999999998</v>
      </c>
      <c r="AE30" s="4">
        <f t="shared" si="90"/>
        <v>268.39999999999998</v>
      </c>
      <c r="AF30" s="4">
        <f t="shared" si="90"/>
        <v>268.39999999999998</v>
      </c>
      <c r="AG30" s="4">
        <f t="shared" ref="AG30:AQ30" si="91">270.1</f>
        <v>270.10000000000002</v>
      </c>
      <c r="AH30" s="4">
        <f t="shared" si="91"/>
        <v>270.10000000000002</v>
      </c>
      <c r="AI30" s="4">
        <f t="shared" si="91"/>
        <v>270.10000000000002</v>
      </c>
      <c r="AJ30" s="4">
        <f t="shared" si="91"/>
        <v>270.10000000000002</v>
      </c>
      <c r="AK30" s="4">
        <f t="shared" si="91"/>
        <v>270.10000000000002</v>
      </c>
      <c r="AL30" s="4">
        <f t="shared" si="91"/>
        <v>270.10000000000002</v>
      </c>
      <c r="AM30" s="4">
        <f t="shared" si="91"/>
        <v>270.10000000000002</v>
      </c>
      <c r="AN30" s="4">
        <f t="shared" si="91"/>
        <v>270.10000000000002</v>
      </c>
      <c r="AO30" s="4">
        <f t="shared" si="91"/>
        <v>270.10000000000002</v>
      </c>
      <c r="AP30" s="4">
        <f t="shared" si="91"/>
        <v>270.10000000000002</v>
      </c>
      <c r="AQ30" s="4">
        <f t="shared" si="91"/>
        <v>270.10000000000002</v>
      </c>
    </row>
    <row r="31" spans="2:142" x14ac:dyDescent="0.3">
      <c r="B31" s="1" t="s">
        <v>34</v>
      </c>
      <c r="K31" s="8">
        <f t="shared" ref="K31:R31" si="92">K29/K30</f>
        <v>2.9769001490312967</v>
      </c>
      <c r="L31" s="8">
        <f t="shared" si="92"/>
        <v>3.3718330849478395</v>
      </c>
      <c r="M31" s="8">
        <f t="shared" si="92"/>
        <v>3.4572490706319701</v>
      </c>
      <c r="N31" s="8">
        <f t="shared" si="92"/>
        <v>4.2676579925650557</v>
      </c>
      <c r="O31" s="8">
        <f t="shared" si="92"/>
        <v>3.7034277198211627</v>
      </c>
      <c r="P31" s="8">
        <f t="shared" si="92"/>
        <v>3.7695167286245352</v>
      </c>
      <c r="Q31" s="8">
        <f t="shared" si="92"/>
        <v>3.9207700851536464</v>
      </c>
      <c r="R31" s="8">
        <f t="shared" si="92"/>
        <v>4.2317660125879302</v>
      </c>
      <c r="S31" s="8"/>
      <c r="T31" s="8"/>
      <c r="U31" s="8"/>
      <c r="V31" s="8"/>
      <c r="X31" s="8">
        <f t="shared" ref="X31:AG31" si="93">X29/X30</f>
        <v>9.5827123695976155</v>
      </c>
      <c r="Y31" s="8">
        <f t="shared" si="93"/>
        <v>10.849478390461998</v>
      </c>
      <c r="Z31" s="8">
        <f t="shared" si="93"/>
        <v>12.462742175856931</v>
      </c>
      <c r="AA31" s="8">
        <f t="shared" si="93"/>
        <v>12.980625931445605</v>
      </c>
      <c r="AB31" s="8">
        <f t="shared" si="93"/>
        <v>11.799552906110284</v>
      </c>
      <c r="AC31" s="8">
        <f t="shared" si="93"/>
        <v>12.134873323397915</v>
      </c>
      <c r="AD31" s="8">
        <f t="shared" si="93"/>
        <v>12.630402384500746</v>
      </c>
      <c r="AE31" s="8">
        <f t="shared" si="93"/>
        <v>12.350968703427721</v>
      </c>
      <c r="AF31" s="8">
        <f t="shared" si="93"/>
        <v>14.090909090909092</v>
      </c>
      <c r="AG31" s="8">
        <f t="shared" si="93"/>
        <v>15.586819696408735</v>
      </c>
      <c r="AH31" s="8">
        <f t="shared" ref="AH31" si="94">AH29/AH30</f>
        <v>17.793418311736367</v>
      </c>
      <c r="AI31" s="8">
        <f t="shared" ref="AI31" si="95">AI29/AI30</f>
        <v>19.006289156164385</v>
      </c>
      <c r="AJ31" s="8">
        <f t="shared" ref="AJ31" si="96">AJ29/AJ30</f>
        <v>19.932503964688653</v>
      </c>
      <c r="AK31" s="8">
        <f t="shared" ref="AK31" si="97">AK29/AK30</f>
        <v>20.710817233635961</v>
      </c>
      <c r="AL31" s="8">
        <f t="shared" ref="AL31" si="98">AL29/AL30</f>
        <v>21.216104344062064</v>
      </c>
      <c r="AM31" s="8">
        <f t="shared" ref="AM31" si="99">AM29/AM30</f>
        <v>21.538496087887101</v>
      </c>
      <c r="AN31" s="8">
        <f t="shared" ref="AN31" si="100">AN29/AN30</f>
        <v>21.86631636315807</v>
      </c>
      <c r="AO31" s="8">
        <f t="shared" ref="AO31" si="101">AO29/AO30</f>
        <v>22.199663547469633</v>
      </c>
      <c r="AP31" s="8">
        <f t="shared" ref="AP31" si="102">AP29/AP30</f>
        <v>22.538637884037843</v>
      </c>
      <c r="AQ31" s="8">
        <f t="shared" ref="AQ31" si="103">AQ29/AQ30</f>
        <v>22.88334151799366</v>
      </c>
    </row>
    <row r="33" spans="2:46" x14ac:dyDescent="0.3">
      <c r="B33" s="1" t="s">
        <v>68</v>
      </c>
      <c r="Q33" s="10">
        <f>Q9/M9-1</f>
        <v>0.30298146655922653</v>
      </c>
      <c r="R33" s="10">
        <f>R9/N9-1</f>
        <v>1.2022441891530899E-2</v>
      </c>
      <c r="S33" s="10"/>
      <c r="T33" s="10"/>
      <c r="U33" s="10"/>
      <c r="V33" s="10"/>
    </row>
    <row r="34" spans="2:46" x14ac:dyDescent="0.3">
      <c r="B34" s="1" t="s">
        <v>69</v>
      </c>
      <c r="Q34" s="10">
        <f t="shared" ref="Q34:R36" si="104">Q10/M10-1</f>
        <v>0.13809391497638224</v>
      </c>
      <c r="R34" s="10">
        <f t="shared" si="104"/>
        <v>0.21666666666666656</v>
      </c>
      <c r="S34" s="10"/>
      <c r="T34" s="10"/>
      <c r="U34" s="10"/>
      <c r="V34" s="10"/>
    </row>
    <row r="35" spans="2:46" x14ac:dyDescent="0.3">
      <c r="B35" s="1" t="s">
        <v>70</v>
      </c>
      <c r="Q35" s="10">
        <f t="shared" si="104"/>
        <v>1.8083182640144635E-2</v>
      </c>
      <c r="R35" s="10">
        <f t="shared" si="104"/>
        <v>5.845511482254695E-2</v>
      </c>
      <c r="S35" s="10"/>
      <c r="T35" s="10"/>
      <c r="U35" s="10"/>
      <c r="V35" s="10"/>
    </row>
    <row r="36" spans="2:46" x14ac:dyDescent="0.3">
      <c r="B36" s="1" t="s">
        <v>71</v>
      </c>
      <c r="Q36" s="10">
        <f t="shared" si="104"/>
        <v>-1.5689757252812297E-2</v>
      </c>
      <c r="R36" s="10">
        <f t="shared" si="104"/>
        <v>-6.172839506173311E-4</v>
      </c>
      <c r="S36" s="10"/>
      <c r="T36" s="10"/>
      <c r="U36" s="10"/>
      <c r="V36" s="10"/>
    </row>
    <row r="38" spans="2:46" x14ac:dyDescent="0.3">
      <c r="B38" s="1" t="s">
        <v>12</v>
      </c>
      <c r="K38" s="10"/>
      <c r="M38" s="10"/>
      <c r="N38" s="10"/>
      <c r="O38" s="10">
        <f t="shared" ref="O38:R40" si="105">O16/K16-1</f>
        <v>0.19563090968373009</v>
      </c>
      <c r="P38" s="10">
        <f t="shared" si="105"/>
        <v>0.11899441340782113</v>
      </c>
      <c r="Q38" s="10">
        <f t="shared" si="105"/>
        <v>0.18531106842027478</v>
      </c>
      <c r="R38" s="10">
        <f t="shared" si="105"/>
        <v>0.12596221133659902</v>
      </c>
      <c r="S38" s="10"/>
      <c r="T38" s="10"/>
      <c r="U38" s="10"/>
      <c r="V38" s="10"/>
      <c r="X38" s="10"/>
      <c r="Y38" s="10">
        <f t="shared" ref="Y38:AE40" si="106">Y16/X16-1</f>
        <v>3.1562335612833614E-4</v>
      </c>
      <c r="Z38" s="10">
        <f t="shared" si="106"/>
        <v>5.9581405132520082E-2</v>
      </c>
      <c r="AA38" s="10">
        <f t="shared" si="106"/>
        <v>0.14794778897215743</v>
      </c>
      <c r="AB38" s="10">
        <f t="shared" si="106"/>
        <v>-4.0726329442282716E-2</v>
      </c>
      <c r="AC38" s="10">
        <f t="shared" si="106"/>
        <v>1.0816657652785278E-2</v>
      </c>
      <c r="AD38" s="10">
        <f t="shared" si="106"/>
        <v>2.6484751203852408E-2</v>
      </c>
      <c r="AE38" s="10">
        <f t="shared" si="106"/>
        <v>6.83259490921726E-2</v>
      </c>
      <c r="AF38" s="10">
        <f>AF16/AE16-1</f>
        <v>0.16426102866436265</v>
      </c>
      <c r="AG38" s="10">
        <f t="shared" ref="AG38:AQ40" si="107">AG16/AF16-1</f>
        <v>0.1531691985332635</v>
      </c>
      <c r="AH38" s="10">
        <f t="shared" si="107"/>
        <v>0.10000000000000009</v>
      </c>
      <c r="AI38" s="10">
        <f t="shared" si="107"/>
        <v>6.0000000000000053E-2</v>
      </c>
      <c r="AJ38" s="10">
        <f t="shared" si="107"/>
        <v>4.0000000000000036E-2</v>
      </c>
      <c r="AK38" s="10">
        <f t="shared" si="107"/>
        <v>3.0000000000000027E-2</v>
      </c>
      <c r="AL38" s="10">
        <f t="shared" si="107"/>
        <v>2.0000000000000018E-2</v>
      </c>
      <c r="AM38" s="10">
        <f t="shared" si="107"/>
        <v>1.0000000000000009E-2</v>
      </c>
      <c r="AN38" s="10">
        <f t="shared" si="107"/>
        <v>1.0000000000000009E-2</v>
      </c>
      <c r="AO38" s="10">
        <f t="shared" si="107"/>
        <v>1.0000000000000009E-2</v>
      </c>
      <c r="AP38" s="10">
        <f t="shared" si="107"/>
        <v>1.0000000000000009E-2</v>
      </c>
      <c r="AQ38" s="10">
        <f t="shared" si="107"/>
        <v>1.0000000000000009E-2</v>
      </c>
    </row>
    <row r="39" spans="2:46" x14ac:dyDescent="0.3">
      <c r="B39" s="1" t="s">
        <v>13</v>
      </c>
      <c r="K39" s="10"/>
      <c r="M39" s="10"/>
      <c r="N39" s="10"/>
      <c r="O39" s="10">
        <f t="shared" si="105"/>
        <v>6.3519686752229632E-2</v>
      </c>
      <c r="P39" s="10">
        <f t="shared" si="105"/>
        <v>4.4227574750830501E-2</v>
      </c>
      <c r="Q39" s="10">
        <f t="shared" si="105"/>
        <v>-3.6704730831973453E-3</v>
      </c>
      <c r="R39" s="10">
        <f t="shared" si="105"/>
        <v>-8.1863979848866286E-3</v>
      </c>
      <c r="S39" s="10"/>
      <c r="T39" s="10"/>
      <c r="U39" s="10"/>
      <c r="V39" s="10"/>
      <c r="X39" s="10"/>
      <c r="Y39" s="10">
        <f t="shared" si="106"/>
        <v>3.5148471993766695E-2</v>
      </c>
      <c r="Z39" s="10">
        <f t="shared" si="106"/>
        <v>0.34180814585598385</v>
      </c>
      <c r="AA39" s="10">
        <f t="shared" si="106"/>
        <v>1.0969832959361714E-2</v>
      </c>
      <c r="AB39" s="10">
        <f t="shared" si="106"/>
        <v>-2.9778051787916149E-2</v>
      </c>
      <c r="AC39" s="10">
        <f t="shared" si="106"/>
        <v>1.9317531931117848E-2</v>
      </c>
      <c r="AD39" s="10">
        <f t="shared" si="106"/>
        <v>2.1445047066890988E-2</v>
      </c>
      <c r="AE39" s="10">
        <f t="shared" si="106"/>
        <v>7.885260909368319E-2</v>
      </c>
      <c r="AF39" s="10">
        <f t="shared" ref="AF39:AF40" si="108">AF17/AE17-1</f>
        <v>7.9425241839678584E-2</v>
      </c>
      <c r="AG39" s="10">
        <f t="shared" si="107"/>
        <v>2.3478853309574887E-2</v>
      </c>
      <c r="AH39" s="10">
        <f t="shared" si="107"/>
        <v>3.0000000000000027E-2</v>
      </c>
      <c r="AI39" s="10">
        <f t="shared" si="107"/>
        <v>3.0000000000000027E-2</v>
      </c>
      <c r="AJ39" s="10">
        <f t="shared" si="107"/>
        <v>3.0000000000000027E-2</v>
      </c>
      <c r="AK39" s="10">
        <f t="shared" si="107"/>
        <v>3.0000000000000027E-2</v>
      </c>
      <c r="AL39" s="10">
        <f t="shared" si="107"/>
        <v>2.0000000000000018E-2</v>
      </c>
      <c r="AM39" s="10">
        <f t="shared" si="107"/>
        <v>2.0000000000000018E-2</v>
      </c>
      <c r="AN39" s="10">
        <f t="shared" si="107"/>
        <v>2.0000000000000018E-2</v>
      </c>
      <c r="AO39" s="10">
        <f t="shared" si="107"/>
        <v>2.0000000000000018E-2</v>
      </c>
      <c r="AP39" s="10">
        <f t="shared" si="107"/>
        <v>2.0000000000000018E-2</v>
      </c>
      <c r="AQ39" s="10">
        <f t="shared" si="107"/>
        <v>2.0000000000000018E-2</v>
      </c>
      <c r="AS39" s="1" t="s">
        <v>51</v>
      </c>
      <c r="AT39" s="10">
        <v>-0.01</v>
      </c>
    </row>
    <row r="40" spans="2:46" s="2" customFormat="1" x14ac:dyDescent="0.3">
      <c r="B40" s="2" t="s">
        <v>14</v>
      </c>
      <c r="K40" s="11"/>
      <c r="M40" s="11"/>
      <c r="N40" s="11"/>
      <c r="O40" s="11">
        <f t="shared" si="105"/>
        <v>0.13903643649240527</v>
      </c>
      <c r="P40" s="11">
        <f t="shared" si="105"/>
        <v>8.892785571142281E-2</v>
      </c>
      <c r="Q40" s="11">
        <f t="shared" si="105"/>
        <v>0.10590352154913885</v>
      </c>
      <c r="R40" s="11">
        <f t="shared" si="105"/>
        <v>7.804768331084122E-2</v>
      </c>
      <c r="S40" s="11"/>
      <c r="T40" s="11"/>
      <c r="U40" s="11"/>
      <c r="V40" s="11"/>
      <c r="X40" s="11"/>
      <c r="Y40" s="11">
        <f t="shared" si="106"/>
        <v>1.3481234252805896E-2</v>
      </c>
      <c r="Z40" s="11">
        <f t="shared" si="106"/>
        <v>0.16853388435088634</v>
      </c>
      <c r="AA40" s="11">
        <f t="shared" si="106"/>
        <v>8.7226811814439253E-2</v>
      </c>
      <c r="AB40" s="11">
        <f t="shared" si="106"/>
        <v>-3.6213468869123244E-2</v>
      </c>
      <c r="AC40" s="11">
        <f t="shared" si="106"/>
        <v>1.4344100197758669E-2</v>
      </c>
      <c r="AD40" s="11">
        <f t="shared" si="106"/>
        <v>2.438326964568871E-2</v>
      </c>
      <c r="AE40" s="11">
        <f t="shared" si="106"/>
        <v>7.2702819296064147E-2</v>
      </c>
      <c r="AF40" s="11">
        <f t="shared" si="108"/>
        <v>0.12878501135503417</v>
      </c>
      <c r="AG40" s="11">
        <f t="shared" si="107"/>
        <v>0.10130773744655874</v>
      </c>
      <c r="AH40" s="11">
        <f t="shared" si="107"/>
        <v>7.39861084681257E-2</v>
      </c>
      <c r="AI40" s="11">
        <f t="shared" si="107"/>
        <v>4.9307799341471892E-2</v>
      </c>
      <c r="AJ40" s="11">
        <f t="shared" si="107"/>
        <v>3.6501513764535698E-2</v>
      </c>
      <c r="AK40" s="11">
        <f t="shared" si="107"/>
        <v>3.0000000000000027E-2</v>
      </c>
      <c r="AL40" s="11">
        <f t="shared" si="107"/>
        <v>2.0000000000000018E-2</v>
      </c>
      <c r="AM40" s="11">
        <f t="shared" si="107"/>
        <v>1.3476541784720242E-2</v>
      </c>
      <c r="AN40" s="11">
        <f t="shared" si="107"/>
        <v>1.3498919288422728E-2</v>
      </c>
      <c r="AO40" s="11">
        <f t="shared" si="107"/>
        <v>1.3521363078213167E-2</v>
      </c>
      <c r="AP40" s="11">
        <f t="shared" si="107"/>
        <v>1.3543872354963238E-2</v>
      </c>
      <c r="AQ40" s="11">
        <f t="shared" si="107"/>
        <v>1.3566446308499236E-2</v>
      </c>
      <c r="AS40" s="1" t="s">
        <v>52</v>
      </c>
      <c r="AT40" s="10">
        <v>7.0000000000000007E-2</v>
      </c>
    </row>
    <row r="41" spans="2:46" x14ac:dyDescent="0.3">
      <c r="B41" s="1" t="s">
        <v>15</v>
      </c>
      <c r="K41" s="10">
        <f t="shared" ref="K41:R41" si="109">(K16-K19)/K16</f>
        <v>0.15405934137593741</v>
      </c>
      <c r="L41" s="10">
        <f t="shared" si="109"/>
        <v>0.14427374301675977</v>
      </c>
      <c r="M41" s="10">
        <f t="shared" si="109"/>
        <v>0.14881040342840254</v>
      </c>
      <c r="N41" s="10">
        <f t="shared" si="109"/>
        <v>0.1537205505015162</v>
      </c>
      <c r="O41" s="10">
        <f t="shared" si="109"/>
        <v>0.16266703026997545</v>
      </c>
      <c r="P41" s="10">
        <f t="shared" si="109"/>
        <v>0.14840239640539191</v>
      </c>
      <c r="Q41" s="10">
        <f t="shared" si="109"/>
        <v>0.15372148111208078</v>
      </c>
      <c r="R41" s="10">
        <f t="shared" si="109"/>
        <v>0.14926455355293142</v>
      </c>
      <c r="S41" s="10"/>
      <c r="T41" s="10"/>
      <c r="U41" s="10"/>
      <c r="V41" s="10"/>
      <c r="X41" s="10">
        <f t="shared" ref="X41:AE41" si="110">(X16-X19)/X16</f>
        <v>0.20278800631246713</v>
      </c>
      <c r="Y41" s="10">
        <f t="shared" si="110"/>
        <v>0.22312789230122002</v>
      </c>
      <c r="Z41" s="10">
        <f t="shared" si="110"/>
        <v>0.21117673333664203</v>
      </c>
      <c r="AA41" s="10">
        <f t="shared" si="110"/>
        <v>0.19537397319498487</v>
      </c>
      <c r="AB41" s="10">
        <f t="shared" si="110"/>
        <v>0.18009734991887508</v>
      </c>
      <c r="AC41" s="10">
        <f t="shared" si="110"/>
        <v>0.17406812912430891</v>
      </c>
      <c r="AD41" s="10">
        <f t="shared" si="110"/>
        <v>0.17552775605942142</v>
      </c>
      <c r="AE41" s="10">
        <f t="shared" si="110"/>
        <v>0.16279731652774954</v>
      </c>
      <c r="AF41" s="10">
        <f t="shared" ref="AF41:AQ42" si="111">(AF16-AF19)/AF16</f>
        <v>0.15027064780862581</v>
      </c>
      <c r="AG41" s="10">
        <f t="shared" si="111"/>
        <v>0.15311468459465188</v>
      </c>
      <c r="AH41" s="10">
        <f t="shared" si="111"/>
        <v>0.14999999999999997</v>
      </c>
      <c r="AI41" s="10">
        <f t="shared" si="111"/>
        <v>0.15000000000000002</v>
      </c>
      <c r="AJ41" s="10">
        <f t="shared" si="111"/>
        <v>0.15</v>
      </c>
      <c r="AK41" s="10">
        <f t="shared" si="111"/>
        <v>0.15000000000000008</v>
      </c>
      <c r="AL41" s="10">
        <f t="shared" si="111"/>
        <v>0.15000000000000008</v>
      </c>
      <c r="AM41" s="10">
        <f t="shared" si="111"/>
        <v>0.14999999999999997</v>
      </c>
      <c r="AN41" s="10">
        <f t="shared" si="111"/>
        <v>0.15000000000000002</v>
      </c>
      <c r="AO41" s="10">
        <f t="shared" si="111"/>
        <v>0.15000000000000005</v>
      </c>
      <c r="AP41" s="10">
        <f t="shared" si="111"/>
        <v>0.15</v>
      </c>
      <c r="AQ41" s="10">
        <f t="shared" si="111"/>
        <v>0.15000000000000002</v>
      </c>
      <c r="AS41" s="1" t="s">
        <v>53</v>
      </c>
      <c r="AT41" s="4">
        <f>NPV(AT40,AG29:EL29)</f>
        <v>76911.900585899755</v>
      </c>
    </row>
    <row r="42" spans="2:46" x14ac:dyDescent="0.3">
      <c r="B42" s="1" t="s">
        <v>16</v>
      </c>
      <c r="K42" s="10">
        <f t="shared" ref="K42:M42" si="112">(K17-K20)/K17</f>
        <v>0.15618881879486621</v>
      </c>
      <c r="L42" s="10">
        <f t="shared" si="112"/>
        <v>0.1592607973421927</v>
      </c>
      <c r="M42" s="10">
        <f t="shared" si="112"/>
        <v>0.16496737357259381</v>
      </c>
      <c r="N42" s="10">
        <f t="shared" ref="N42" si="113">(N17-N20)/N17</f>
        <v>0.16099916036943746</v>
      </c>
      <c r="O42" s="10">
        <f t="shared" ref="O42:P42" si="114">(O17-O20)/O17</f>
        <v>0.14317856412354266</v>
      </c>
      <c r="P42" s="10">
        <f t="shared" si="114"/>
        <v>0.15112348379399482</v>
      </c>
      <c r="Q42" s="10">
        <f t="shared" ref="Q42:R42" si="115">(Q17-Q20)/Q17</f>
        <v>0.1504297994269341</v>
      </c>
      <c r="R42" s="10">
        <f t="shared" si="115"/>
        <v>0.14814814814814814</v>
      </c>
      <c r="S42" s="10"/>
      <c r="T42" s="10"/>
      <c r="U42" s="10"/>
      <c r="V42" s="10"/>
      <c r="X42" s="10">
        <f t="shared" ref="X42:AE42" si="116">(X17-X20)/X17</f>
        <v>0.1566963899229504</v>
      </c>
      <c r="Y42" s="10">
        <f t="shared" si="116"/>
        <v>0.1671824036129464</v>
      </c>
      <c r="Z42" s="10">
        <f t="shared" si="116"/>
        <v>0.15332834704562454</v>
      </c>
      <c r="AA42" s="10">
        <f t="shared" si="116"/>
        <v>0.15215782983970408</v>
      </c>
      <c r="AB42" s="10">
        <f t="shared" si="116"/>
        <v>0.14799517061701722</v>
      </c>
      <c r="AC42" s="10">
        <f t="shared" si="116"/>
        <v>0.15609999376597469</v>
      </c>
      <c r="AD42" s="10">
        <f t="shared" si="116"/>
        <v>0.15752212389380532</v>
      </c>
      <c r="AE42" s="10">
        <f t="shared" si="116"/>
        <v>0.1509305877694179</v>
      </c>
      <c r="AF42" s="10">
        <f t="shared" si="111"/>
        <v>0.16042136156385933</v>
      </c>
      <c r="AG42" s="10">
        <f t="shared" si="111"/>
        <v>0.14824107737211326</v>
      </c>
      <c r="AH42" s="10">
        <f t="shared" si="111"/>
        <v>0.15999999999999998</v>
      </c>
      <c r="AI42" s="10">
        <f t="shared" si="111"/>
        <v>0.15999999999999995</v>
      </c>
      <c r="AJ42" s="10">
        <f t="shared" si="111"/>
        <v>0.16000000000000006</v>
      </c>
      <c r="AK42" s="10">
        <f t="shared" si="111"/>
        <v>0.15999999999999998</v>
      </c>
      <c r="AL42" s="10">
        <f t="shared" si="111"/>
        <v>0.16</v>
      </c>
      <c r="AM42" s="10">
        <f t="shared" si="111"/>
        <v>0.16000000000000006</v>
      </c>
      <c r="AN42" s="10">
        <f t="shared" si="111"/>
        <v>0.16000000000000009</v>
      </c>
      <c r="AO42" s="10">
        <f t="shared" si="111"/>
        <v>0.16000000000000003</v>
      </c>
      <c r="AP42" s="10">
        <f t="shared" si="111"/>
        <v>0.16000000000000003</v>
      </c>
      <c r="AQ42" s="10">
        <f t="shared" si="111"/>
        <v>0.16</v>
      </c>
      <c r="AS42" s="1" t="s">
        <v>54</v>
      </c>
      <c r="AT42" s="4">
        <f>Main!D8</f>
        <v>-5680</v>
      </c>
    </row>
    <row r="43" spans="2:46" x14ac:dyDescent="0.3">
      <c r="B43" s="1" t="s">
        <v>17</v>
      </c>
      <c r="K43" s="10">
        <f t="shared" ref="K43:R43" si="117">K22/K18</f>
        <v>0.15497157767216477</v>
      </c>
      <c r="L43" s="10">
        <f t="shared" si="117"/>
        <v>0.15030060120240482</v>
      </c>
      <c r="M43" s="10">
        <f t="shared" si="117"/>
        <v>0.15559934881329793</v>
      </c>
      <c r="N43" s="10">
        <f t="shared" si="117"/>
        <v>0.15632028789923527</v>
      </c>
      <c r="O43" s="10">
        <f t="shared" si="117"/>
        <v>0.15487196269328316</v>
      </c>
      <c r="P43" s="10">
        <f t="shared" si="117"/>
        <v>0.1494517291618741</v>
      </c>
      <c r="Q43" s="10">
        <f t="shared" si="117"/>
        <v>0.15247540094522352</v>
      </c>
      <c r="R43" s="10">
        <f t="shared" si="117"/>
        <v>0.14889769803185202</v>
      </c>
      <c r="S43" s="10"/>
      <c r="T43" s="10"/>
      <c r="U43" s="10"/>
      <c r="V43" s="10"/>
      <c r="X43" s="10">
        <f t="shared" ref="X43:AE43" si="118">X22/X18</f>
        <v>0.18536697097608063</v>
      </c>
      <c r="Y43" s="10">
        <f t="shared" si="118"/>
        <v>0.20153036515674944</v>
      </c>
      <c r="Z43" s="10">
        <f t="shared" si="118"/>
        <v>0.18553311413809301</v>
      </c>
      <c r="AA43" s="10">
        <f t="shared" si="118"/>
        <v>0.17756035578144855</v>
      </c>
      <c r="AB43" s="10">
        <f t="shared" si="118"/>
        <v>0.16677653263019115</v>
      </c>
      <c r="AC43" s="10">
        <f t="shared" si="118"/>
        <v>0.16657568431724246</v>
      </c>
      <c r="AD43" s="10">
        <f t="shared" si="118"/>
        <v>0.16804121095236887</v>
      </c>
      <c r="AE43" s="10">
        <f t="shared" si="118"/>
        <v>0.15783497350492051</v>
      </c>
      <c r="AF43" s="10">
        <f t="shared" ref="AF43:AQ43" si="119">AF22/AF18</f>
        <v>0.15432978455863861</v>
      </c>
      <c r="AG43" s="10">
        <f t="shared" si="119"/>
        <v>0.15130352045670789</v>
      </c>
      <c r="AH43" s="10">
        <f t="shared" si="119"/>
        <v>0.15356406688617597</v>
      </c>
      <c r="AI43" s="10">
        <f t="shared" si="119"/>
        <v>0.15349848623546419</v>
      </c>
      <c r="AJ43" s="10">
        <f t="shared" si="119"/>
        <v>0.15347654178472026</v>
      </c>
      <c r="AK43" s="10">
        <f t="shared" si="119"/>
        <v>0.15347654178472017</v>
      </c>
      <c r="AL43" s="10">
        <f t="shared" si="119"/>
        <v>0.15347654178472026</v>
      </c>
      <c r="AM43" s="10">
        <f t="shared" si="119"/>
        <v>0.15349891928842285</v>
      </c>
      <c r="AN43" s="10">
        <f t="shared" si="119"/>
        <v>0.15352136307821321</v>
      </c>
      <c r="AO43" s="10">
        <f t="shared" si="119"/>
        <v>0.15354387235496333</v>
      </c>
      <c r="AP43" s="10">
        <f t="shared" si="119"/>
        <v>0.15356644630849933</v>
      </c>
      <c r="AQ43" s="10">
        <f t="shared" si="119"/>
        <v>0.15358908411769004</v>
      </c>
      <c r="AS43" s="1" t="s">
        <v>55</v>
      </c>
      <c r="AT43" s="4">
        <f>AT41+AT42</f>
        <v>71231.900585899755</v>
      </c>
    </row>
    <row r="44" spans="2:46" x14ac:dyDescent="0.3">
      <c r="B44" s="1" t="s">
        <v>50</v>
      </c>
      <c r="K44" s="10"/>
      <c r="L44" s="10"/>
      <c r="M44" s="10"/>
      <c r="N44" s="10"/>
      <c r="O44" s="10">
        <f>O23/K23-1</f>
        <v>-3.1897926634768536E-3</v>
      </c>
      <c r="P44" s="10">
        <f>P23/L23-1</f>
        <v>0</v>
      </c>
      <c r="Q44" s="10">
        <f>Q23/M23-1</f>
        <v>3.1496062992126816E-3</v>
      </c>
      <c r="R44" s="10">
        <f>R23/N23-1</f>
        <v>4.0785498489426031E-2</v>
      </c>
      <c r="S44" s="10"/>
      <c r="T44" s="10"/>
      <c r="U44" s="10"/>
      <c r="V44" s="10"/>
      <c r="X44" s="10"/>
      <c r="Y44" s="10">
        <f t="shared" ref="Y44:AE44" si="120">Y23/X23-1</f>
        <v>4.4247787610619538E-2</v>
      </c>
      <c r="Z44" s="10">
        <f t="shared" si="120"/>
        <v>0.12562313060817543</v>
      </c>
      <c r="AA44" s="10">
        <f t="shared" si="120"/>
        <v>7.0416297608503209E-2</v>
      </c>
      <c r="AB44" s="10">
        <f t="shared" si="120"/>
        <v>-9.3090608191973567E-2</v>
      </c>
      <c r="AC44" s="10">
        <f t="shared" si="120"/>
        <v>2.4178832116788396E-2</v>
      </c>
      <c r="AD44" s="10">
        <f t="shared" si="120"/>
        <v>7.3942093541202736E-2</v>
      </c>
      <c r="AE44" s="10">
        <f t="shared" si="120"/>
        <v>6.6362505184571763E-3</v>
      </c>
      <c r="AF44" s="10">
        <f>AF23/AE23-1</f>
        <v>5.8096415327564932E-2</v>
      </c>
      <c r="AG44" s="10">
        <f t="shared" ref="AG44:AQ44" si="121">AG23/AF23-1</f>
        <v>1.0514018691588856E-2</v>
      </c>
      <c r="AH44" s="10">
        <f t="shared" si="121"/>
        <v>1.0000000000000009E-2</v>
      </c>
      <c r="AI44" s="10">
        <f t="shared" si="121"/>
        <v>1.0000000000000009E-2</v>
      </c>
      <c r="AJ44" s="10">
        <f t="shared" si="121"/>
        <v>1.0000000000000009E-2</v>
      </c>
      <c r="AK44" s="10">
        <f t="shared" si="121"/>
        <v>1.0000000000000009E-2</v>
      </c>
      <c r="AL44" s="10">
        <f t="shared" si="121"/>
        <v>1.0000000000000009E-2</v>
      </c>
      <c r="AM44" s="10">
        <f t="shared" si="121"/>
        <v>1.0000000000000009E-2</v>
      </c>
      <c r="AN44" s="10">
        <f t="shared" si="121"/>
        <v>1.0000000000000009E-2</v>
      </c>
      <c r="AO44" s="10">
        <f t="shared" si="121"/>
        <v>1.0000000000000009E-2</v>
      </c>
      <c r="AP44" s="10">
        <f t="shared" si="121"/>
        <v>1.0000000000000009E-2</v>
      </c>
      <c r="AQ44" s="10">
        <f t="shared" si="121"/>
        <v>1.0000000000000009E-2</v>
      </c>
      <c r="AS44" s="1" t="s">
        <v>56</v>
      </c>
      <c r="AT44" s="3">
        <f>AT43/AQ30</f>
        <v>263.72417840022121</v>
      </c>
    </row>
    <row r="45" spans="2:46" x14ac:dyDescent="0.3">
      <c r="B45" s="1" t="s">
        <v>18</v>
      </c>
      <c r="K45" s="10">
        <f t="shared" ref="K45:R45" si="122">K24/K18</f>
        <v>9.6542726679712976E-2</v>
      </c>
      <c r="L45" s="10">
        <f t="shared" si="122"/>
        <v>9.6526386105544426E-2</v>
      </c>
      <c r="M45" s="10">
        <f t="shared" si="122"/>
        <v>0.10119098620512382</v>
      </c>
      <c r="N45" s="10">
        <f t="shared" si="122"/>
        <v>0.10668765931923826</v>
      </c>
      <c r="O45" s="10">
        <f t="shared" si="122"/>
        <v>0.10373885298208296</v>
      </c>
      <c r="P45" s="10">
        <f t="shared" si="122"/>
        <v>0.10006901311249138</v>
      </c>
      <c r="Q45" s="10">
        <f t="shared" si="122"/>
        <v>0.10312233671651042</v>
      </c>
      <c r="R45" s="10">
        <f t="shared" si="122"/>
        <v>0.10098059670352598</v>
      </c>
      <c r="S45" s="10"/>
      <c r="T45" s="10"/>
      <c r="U45" s="10"/>
      <c r="V45" s="10"/>
      <c r="X45" s="10">
        <f t="shared" ref="X45:AE45" si="123">X24/X18</f>
        <v>0.12250908020025522</v>
      </c>
      <c r="Y45" s="10">
        <f t="shared" si="123"/>
        <v>0.13676427856520196</v>
      </c>
      <c r="Z45" s="10">
        <f t="shared" si="123"/>
        <v>0.12314535959992264</v>
      </c>
      <c r="AA45" s="10">
        <f t="shared" si="123"/>
        <v>0.11613722998729352</v>
      </c>
      <c r="AB45" s="10">
        <f t="shared" si="123"/>
        <v>0.10897824653922215</v>
      </c>
      <c r="AC45" s="10">
        <f t="shared" si="123"/>
        <v>0.10821700590085523</v>
      </c>
      <c r="AD45" s="10">
        <f t="shared" si="123"/>
        <v>0.10685918745400563</v>
      </c>
      <c r="AE45" s="10">
        <f t="shared" si="123"/>
        <v>0.10042108251324754</v>
      </c>
      <c r="AF45" s="10">
        <f t="shared" ref="AF45:AQ45" si="124">AF24/AF18</f>
        <v>0.10051135887333389</v>
      </c>
      <c r="AG45" s="10">
        <f t="shared" si="124"/>
        <v>0.10192197906755471</v>
      </c>
      <c r="AH45" s="10">
        <f t="shared" si="124"/>
        <v>0.10712458651507119</v>
      </c>
      <c r="AI45" s="10">
        <f t="shared" si="124"/>
        <v>0.10879866107048218</v>
      </c>
      <c r="AJ45" s="10">
        <f t="shared" si="124"/>
        <v>0.10991961223170861</v>
      </c>
      <c r="AK45" s="10">
        <f t="shared" si="124"/>
        <v>0.1107653778540971</v>
      </c>
      <c r="AL45" s="10">
        <f t="shared" si="124"/>
        <v>0.11118411475537779</v>
      </c>
      <c r="AM45" s="10">
        <f t="shared" si="124"/>
        <v>0.11135156852249919</v>
      </c>
      <c r="AN45" s="10">
        <f t="shared" si="124"/>
        <v>0.11151951831702646</v>
      </c>
      <c r="AO45" s="10">
        <f t="shared" si="124"/>
        <v>0.11168795815897914</v>
      </c>
      <c r="AP45" s="10">
        <f t="shared" si="124"/>
        <v>0.11185688198572406</v>
      </c>
      <c r="AQ45" s="10">
        <f t="shared" si="124"/>
        <v>0.11202628365262719</v>
      </c>
      <c r="AS45" s="1" t="s">
        <v>57</v>
      </c>
      <c r="AT45" s="3">
        <f>Main!D3</f>
        <v>354</v>
      </c>
    </row>
    <row r="46" spans="2:46" x14ac:dyDescent="0.3">
      <c r="B46" s="1" t="s">
        <v>19</v>
      </c>
      <c r="K46" s="10">
        <f t="shared" ref="K46:R46" si="125">K28/K27</f>
        <v>0.17458677685950413</v>
      </c>
      <c r="L46" s="10">
        <f t="shared" si="125"/>
        <v>0.16972477064220184</v>
      </c>
      <c r="M46" s="10">
        <f t="shared" si="125"/>
        <v>0.16517055655296231</v>
      </c>
      <c r="N46" s="10">
        <f t="shared" si="125"/>
        <v>0.16081871345029239</v>
      </c>
      <c r="O46" s="10">
        <f t="shared" si="125"/>
        <v>0.17166666666666666</v>
      </c>
      <c r="P46" s="10">
        <f t="shared" si="125"/>
        <v>0.17694805194805194</v>
      </c>
      <c r="Q46" s="10">
        <f t="shared" si="125"/>
        <v>0.16745283018867924</v>
      </c>
      <c r="R46" s="10">
        <f t="shared" si="125"/>
        <v>0.182987848463188</v>
      </c>
      <c r="S46" s="10"/>
      <c r="T46" s="10"/>
      <c r="U46" s="10"/>
      <c r="V46" s="10"/>
      <c r="X46" s="10">
        <f t="shared" ref="X46:AE46" si="126">X28/X27</f>
        <v>0.2964989059080963</v>
      </c>
      <c r="Y46" s="10">
        <f t="shared" si="126"/>
        <v>0.28574932548442483</v>
      </c>
      <c r="Z46" s="10">
        <f t="shared" si="126"/>
        <v>0.18115055079559364</v>
      </c>
      <c r="AA46" s="10">
        <f t="shared" si="126"/>
        <v>0.17087101380295097</v>
      </c>
      <c r="AB46" s="10">
        <f t="shared" si="126"/>
        <v>0.15275548421615837</v>
      </c>
      <c r="AC46" s="10">
        <f t="shared" si="126"/>
        <v>0.15904983217144333</v>
      </c>
      <c r="AD46" s="10">
        <f t="shared" si="126"/>
        <v>0.16005946481665015</v>
      </c>
      <c r="AE46" s="10">
        <f t="shared" si="126"/>
        <v>0.16792168674698796</v>
      </c>
      <c r="AF46" s="10">
        <f t="shared" ref="AF46:AQ46" si="127">AF28/AF27</f>
        <v>0.16696035242290749</v>
      </c>
      <c r="AG46" s="10">
        <f t="shared" si="127"/>
        <v>0.17499510092102685</v>
      </c>
      <c r="AH46" s="10">
        <f t="shared" si="127"/>
        <v>0.17</v>
      </c>
      <c r="AI46" s="10">
        <f t="shared" si="127"/>
        <v>0.17</v>
      </c>
      <c r="AJ46" s="10">
        <f t="shared" si="127"/>
        <v>0.17000000000000004</v>
      </c>
      <c r="AK46" s="10">
        <f t="shared" si="127"/>
        <v>0.17</v>
      </c>
      <c r="AL46" s="10">
        <f t="shared" si="127"/>
        <v>0.17</v>
      </c>
      <c r="AM46" s="10">
        <f t="shared" si="127"/>
        <v>0.17</v>
      </c>
      <c r="AN46" s="10">
        <f t="shared" si="127"/>
        <v>0.17000000000000004</v>
      </c>
      <c r="AO46" s="10">
        <f t="shared" si="127"/>
        <v>0.17</v>
      </c>
      <c r="AP46" s="10">
        <f t="shared" si="127"/>
        <v>0.17</v>
      </c>
      <c r="AQ46" s="10">
        <f t="shared" si="127"/>
        <v>0.17</v>
      </c>
      <c r="AS46" s="2" t="s">
        <v>58</v>
      </c>
      <c r="AT46" s="11">
        <f>AT44/AT45-1</f>
        <v>-0.25501644519711519</v>
      </c>
    </row>
    <row r="47" spans="2:46" x14ac:dyDescent="0.3">
      <c r="B47" s="1" t="s">
        <v>20</v>
      </c>
      <c r="K47" s="10">
        <f t="shared" ref="K47:R47" si="128">K29/K18</f>
        <v>7.4457180132326897E-2</v>
      </c>
      <c r="L47" s="10">
        <f t="shared" si="128"/>
        <v>7.5567802271209086E-2</v>
      </c>
      <c r="M47" s="10">
        <f t="shared" si="128"/>
        <v>7.9684688544254992E-2</v>
      </c>
      <c r="N47" s="10">
        <f t="shared" si="128"/>
        <v>8.6069875543559757E-2</v>
      </c>
      <c r="O47" s="10">
        <f t="shared" si="128"/>
        <v>8.1322097684692798E-2</v>
      </c>
      <c r="P47" s="10">
        <f t="shared" si="128"/>
        <v>7.7754773406947322E-2</v>
      </c>
      <c r="Q47" s="10">
        <f t="shared" si="128"/>
        <v>8.2048500813512046E-2</v>
      </c>
      <c r="R47" s="10">
        <f t="shared" si="128"/>
        <v>7.9490924264552468E-2</v>
      </c>
      <c r="S47" s="10"/>
      <c r="T47" s="10"/>
      <c r="U47" s="10"/>
      <c r="V47" s="10"/>
      <c r="X47" s="10">
        <f t="shared" ref="X47:AE47" si="129">X29/X18</f>
        <v>8.4159549752953117E-2</v>
      </c>
      <c r="Y47" s="10">
        <f t="shared" si="129"/>
        <v>9.4017369967390949E-2</v>
      </c>
      <c r="Z47" s="10">
        <f t="shared" si="129"/>
        <v>9.2421186417263004E-2</v>
      </c>
      <c r="AA47" s="10">
        <f t="shared" si="129"/>
        <v>8.8538754764930117E-2</v>
      </c>
      <c r="AB47" s="10">
        <f t="shared" si="129"/>
        <v>8.3506921555702038E-2</v>
      </c>
      <c r="AC47" s="10">
        <f t="shared" si="129"/>
        <v>8.4665574878473579E-2</v>
      </c>
      <c r="AD47" s="10">
        <f t="shared" si="129"/>
        <v>8.6025325449793189E-2</v>
      </c>
      <c r="AE47" s="10">
        <f t="shared" si="129"/>
        <v>7.8420704012112041E-2</v>
      </c>
      <c r="AF47" s="10">
        <f t="shared" ref="AF47:AQ47" si="130">AF29/AF18</f>
        <v>7.9260625366753296E-2</v>
      </c>
      <c r="AG47" s="10">
        <f t="shared" si="130"/>
        <v>8.0114176974310183E-2</v>
      </c>
      <c r="AH47" s="10">
        <f t="shared" si="130"/>
        <v>8.5155477526920154E-2</v>
      </c>
      <c r="AI47" s="10">
        <f t="shared" si="130"/>
        <v>8.6685734050197874E-2</v>
      </c>
      <c r="AJ47" s="10">
        <f t="shared" si="130"/>
        <v>8.7708607772034167E-2</v>
      </c>
      <c r="AK47" s="10">
        <f t="shared" si="130"/>
        <v>8.847903344017552E-2</v>
      </c>
      <c r="AL47" s="10">
        <f t="shared" si="130"/>
        <v>8.8860469677833856E-2</v>
      </c>
      <c r="AM47" s="10">
        <f t="shared" si="130"/>
        <v>8.9011196021136246E-2</v>
      </c>
      <c r="AN47" s="10">
        <f t="shared" si="130"/>
        <v>8.9162368842283554E-2</v>
      </c>
      <c r="AO47" s="10">
        <f t="shared" si="130"/>
        <v>8.9313982758652211E-2</v>
      </c>
      <c r="AP47" s="10">
        <f t="shared" si="130"/>
        <v>8.9466032313222435E-2</v>
      </c>
      <c r="AQ47" s="10">
        <f t="shared" si="130"/>
        <v>8.9618511975164752E-2</v>
      </c>
      <c r="AS47" s="1" t="s">
        <v>59</v>
      </c>
      <c r="AT47" s="7" t="s">
        <v>63</v>
      </c>
    </row>
    <row r="50" spans="2:33" s="12" customFormat="1" x14ac:dyDescent="0.3">
      <c r="B50" s="12" t="s">
        <v>60</v>
      </c>
      <c r="P50" s="14">
        <v>56888</v>
      </c>
      <c r="Q50" s="14">
        <v>57599</v>
      </c>
      <c r="R50" s="14">
        <v>57249</v>
      </c>
      <c r="AG50" s="14">
        <v>57249</v>
      </c>
    </row>
    <row r="52" spans="2:33" x14ac:dyDescent="0.3">
      <c r="B52" s="1" t="s">
        <v>61</v>
      </c>
      <c r="P52" s="13"/>
      <c r="AG52" s="13">
        <f>Main!$D$9/Model!AG50</f>
        <v>1.7712379255532846</v>
      </c>
    </row>
    <row r="53" spans="2:33" x14ac:dyDescent="0.3">
      <c r="B53" s="1" t="s">
        <v>62</v>
      </c>
      <c r="P53" s="10"/>
      <c r="AG53" s="10">
        <f>AG50/Main!$D$9-1</f>
        <v>-0.43542310969452158</v>
      </c>
    </row>
  </sheetData>
  <phoneticPr fontId="4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2025-04-24T07:38:49Z</dcterms:created>
  <dcterms:modified xsi:type="dcterms:W3CDTF">2026-02-06T19:09:05Z</dcterms:modified>
</cp:coreProperties>
</file>