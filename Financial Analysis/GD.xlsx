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s\Documents\GitHub\FinanceModels\Financial Analysis\"/>
    </mc:Choice>
  </mc:AlternateContent>
  <xr:revisionPtr revIDLastSave="0" documentId="13_ncr:1_{45D401B6-60E2-443A-A9CC-4203B4B5AFCF}" xr6:coauthVersionLast="47" xr6:coauthVersionMax="47" xr10:uidLastSave="{00000000-0000-0000-0000-000000000000}"/>
  <bookViews>
    <workbookView xWindow="-108" yWindow="-108" windowWidth="23256" windowHeight="12576" xr2:uid="{A369EDEE-6FD8-4295-94F6-F7056E8D0FA4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9" i="2" l="1"/>
  <c r="Q32" i="2"/>
  <c r="Q31" i="2"/>
  <c r="Q30" i="2"/>
  <c r="Q29" i="2"/>
  <c r="Q9" i="2"/>
  <c r="AM26" i="2"/>
  <c r="AL26" i="2"/>
  <c r="AK26" i="2"/>
  <c r="AJ26" i="2"/>
  <c r="AI26" i="2"/>
  <c r="AH26" i="2"/>
  <c r="AG26" i="2"/>
  <c r="AF26" i="2"/>
  <c r="AE26" i="2"/>
  <c r="AD26" i="2"/>
  <c r="AC26" i="2"/>
  <c r="R26" i="2"/>
  <c r="Q26" i="2"/>
  <c r="AC22" i="2"/>
  <c r="AD22" i="2" s="1"/>
  <c r="AE22" i="2" s="1"/>
  <c r="AF22" i="2" s="1"/>
  <c r="AG22" i="2" s="1"/>
  <c r="AH22" i="2" s="1"/>
  <c r="AI22" i="2" s="1"/>
  <c r="AJ22" i="2" s="1"/>
  <c r="AK22" i="2" s="1"/>
  <c r="AL22" i="2" s="1"/>
  <c r="AM22" i="2" s="1"/>
  <c r="AC21" i="2"/>
  <c r="AD21" i="2" s="1"/>
  <c r="AE21" i="2" s="1"/>
  <c r="AF21" i="2" s="1"/>
  <c r="AG21" i="2" s="1"/>
  <c r="N24" i="2"/>
  <c r="N22" i="2"/>
  <c r="N21" i="2"/>
  <c r="N19" i="2"/>
  <c r="R19" i="2" s="1"/>
  <c r="N16" i="2"/>
  <c r="N15" i="2"/>
  <c r="N13" i="2"/>
  <c r="N12" i="2"/>
  <c r="R12" i="2" s="1"/>
  <c r="N26" i="2"/>
  <c r="AC49" i="2"/>
  <c r="AC48" i="2"/>
  <c r="M38" i="2"/>
  <c r="M37" i="2"/>
  <c r="M26" i="2"/>
  <c r="M17" i="2"/>
  <c r="M14" i="2"/>
  <c r="Q40" i="2"/>
  <c r="Q38" i="2"/>
  <c r="Q37" i="2"/>
  <c r="Q35" i="2"/>
  <c r="Q34" i="2"/>
  <c r="Q17" i="2"/>
  <c r="Q14" i="2"/>
  <c r="D7" i="1"/>
  <c r="D6" i="1"/>
  <c r="D4" i="1"/>
  <c r="L38" i="2"/>
  <c r="L37" i="2"/>
  <c r="L26" i="2"/>
  <c r="L17" i="2"/>
  <c r="L14" i="2"/>
  <c r="P14" i="2"/>
  <c r="P17" i="2"/>
  <c r="P26" i="2"/>
  <c r="P38" i="2"/>
  <c r="P37" i="2"/>
  <c r="P40" i="2"/>
  <c r="AP41" i="2"/>
  <c r="AA40" i="2"/>
  <c r="Z40" i="2"/>
  <c r="Y40" i="2"/>
  <c r="X40" i="2"/>
  <c r="W40" i="2"/>
  <c r="V40" i="2"/>
  <c r="U40" i="2"/>
  <c r="AA38" i="2"/>
  <c r="Z38" i="2"/>
  <c r="Y38" i="2"/>
  <c r="X38" i="2"/>
  <c r="W38" i="2"/>
  <c r="V38" i="2"/>
  <c r="U38" i="2"/>
  <c r="T38" i="2"/>
  <c r="AA37" i="2"/>
  <c r="Z37" i="2"/>
  <c r="Y37" i="2"/>
  <c r="X37" i="2"/>
  <c r="W37" i="2"/>
  <c r="V37" i="2"/>
  <c r="U37" i="2"/>
  <c r="T37" i="2"/>
  <c r="AA35" i="2"/>
  <c r="Z35" i="2"/>
  <c r="Y35" i="2"/>
  <c r="X35" i="2"/>
  <c r="W35" i="2"/>
  <c r="V35" i="2"/>
  <c r="U35" i="2"/>
  <c r="AA34" i="2"/>
  <c r="Z34" i="2"/>
  <c r="Y34" i="2"/>
  <c r="X34" i="2"/>
  <c r="W34" i="2"/>
  <c r="V34" i="2"/>
  <c r="U34" i="2"/>
  <c r="AB40" i="2"/>
  <c r="AB35" i="2"/>
  <c r="AB34" i="2"/>
  <c r="AB38" i="2"/>
  <c r="AB37" i="2"/>
  <c r="K38" i="2"/>
  <c r="K37" i="2"/>
  <c r="O40" i="2"/>
  <c r="O38" i="2"/>
  <c r="O37" i="2"/>
  <c r="O35" i="2"/>
  <c r="O34" i="2"/>
  <c r="T24" i="2"/>
  <c r="T26" i="2"/>
  <c r="T17" i="2"/>
  <c r="T14" i="2"/>
  <c r="U26" i="2"/>
  <c r="U17" i="2"/>
  <c r="U14" i="2"/>
  <c r="V24" i="2"/>
  <c r="V26" i="2"/>
  <c r="V17" i="2"/>
  <c r="V14" i="2"/>
  <c r="W26" i="2"/>
  <c r="W17" i="2"/>
  <c r="W14" i="2"/>
  <c r="X26" i="2"/>
  <c r="X17" i="2"/>
  <c r="X14" i="2"/>
  <c r="Y26" i="2"/>
  <c r="Y17" i="2"/>
  <c r="Y14" i="2"/>
  <c r="O14" i="2"/>
  <c r="O17" i="2"/>
  <c r="O26" i="2"/>
  <c r="Z26" i="2"/>
  <c r="Z17" i="2"/>
  <c r="Z14" i="2"/>
  <c r="AA26" i="2"/>
  <c r="AA17" i="2"/>
  <c r="AA14" i="2"/>
  <c r="AB26" i="2"/>
  <c r="AB17" i="2"/>
  <c r="AB14" i="2"/>
  <c r="K26" i="2"/>
  <c r="K17" i="2"/>
  <c r="K14" i="2"/>
  <c r="P18" i="2" l="1"/>
  <c r="P20" i="2" s="1"/>
  <c r="P23" i="2" s="1"/>
  <c r="P25" i="2" s="1"/>
  <c r="P27" i="2" s="1"/>
  <c r="AA36" i="2"/>
  <c r="Y36" i="2"/>
  <c r="N17" i="2"/>
  <c r="O18" i="2"/>
  <c r="O20" i="2" s="1"/>
  <c r="O23" i="2" s="1"/>
  <c r="O25" i="2" s="1"/>
  <c r="O27" i="2" s="1"/>
  <c r="U36" i="2"/>
  <c r="X36" i="2"/>
  <c r="AB36" i="2"/>
  <c r="V36" i="2"/>
  <c r="Z36" i="2"/>
  <c r="W36" i="2"/>
  <c r="R34" i="2"/>
  <c r="AC12" i="2"/>
  <c r="AD12" i="2" s="1"/>
  <c r="AE12" i="2" s="1"/>
  <c r="AF12" i="2" s="1"/>
  <c r="AG12" i="2" s="1"/>
  <c r="AH12" i="2" s="1"/>
  <c r="R15" i="2"/>
  <c r="R37" i="2" s="1"/>
  <c r="N14" i="2"/>
  <c r="N18" i="2" s="1"/>
  <c r="N20" i="2" s="1"/>
  <c r="AC19" i="2"/>
  <c r="AD19" i="2" s="1"/>
  <c r="AE19" i="2" s="1"/>
  <c r="AF19" i="2" s="1"/>
  <c r="AG19" i="2" s="1"/>
  <c r="AG40" i="2" s="1"/>
  <c r="N38" i="2"/>
  <c r="R13" i="2"/>
  <c r="R14" i="2" s="1"/>
  <c r="O36" i="2"/>
  <c r="R40" i="2"/>
  <c r="N37" i="2"/>
  <c r="M18" i="2"/>
  <c r="M39" i="2" s="1"/>
  <c r="Q36" i="2"/>
  <c r="Q18" i="2"/>
  <c r="L18" i="2"/>
  <c r="P36" i="2"/>
  <c r="P34" i="2"/>
  <c r="P35" i="2"/>
  <c r="AH21" i="2"/>
  <c r="T18" i="2"/>
  <c r="U18" i="2"/>
  <c r="V18" i="2"/>
  <c r="W18" i="2"/>
  <c r="X18" i="2"/>
  <c r="Y18" i="2"/>
  <c r="Z18" i="2"/>
  <c r="AA18" i="2"/>
  <c r="AB18" i="2"/>
  <c r="K18" i="2"/>
  <c r="P41" i="2" l="1"/>
  <c r="O42" i="2"/>
  <c r="AC40" i="2"/>
  <c r="O41" i="2"/>
  <c r="AD40" i="2"/>
  <c r="O39" i="2"/>
  <c r="O43" i="2"/>
  <c r="AD15" i="2"/>
  <c r="AD34" i="2"/>
  <c r="AC34" i="2"/>
  <c r="R36" i="2"/>
  <c r="X20" i="2"/>
  <c r="X39" i="2"/>
  <c r="W20" i="2"/>
  <c r="W39" i="2"/>
  <c r="L20" i="2"/>
  <c r="L39" i="2"/>
  <c r="T20" i="2"/>
  <c r="T39" i="2"/>
  <c r="AC15" i="2"/>
  <c r="AC37" i="2" s="1"/>
  <c r="U20" i="2"/>
  <c r="U41" i="2" s="1"/>
  <c r="U39" i="2"/>
  <c r="AA20" i="2"/>
  <c r="AA39" i="2"/>
  <c r="Z20" i="2"/>
  <c r="Z39" i="2"/>
  <c r="V20" i="2"/>
  <c r="V39" i="2"/>
  <c r="K20" i="2"/>
  <c r="K39" i="2"/>
  <c r="R35" i="2"/>
  <c r="AC13" i="2"/>
  <c r="R16" i="2"/>
  <c r="AC16" i="2" s="1"/>
  <c r="Y20" i="2"/>
  <c r="Y39" i="2"/>
  <c r="N39" i="2"/>
  <c r="AF40" i="2"/>
  <c r="AE40" i="2"/>
  <c r="AH19" i="2"/>
  <c r="AH40" i="2" s="1"/>
  <c r="AD37" i="2"/>
  <c r="AE34" i="2"/>
  <c r="AE15" i="2"/>
  <c r="AE37" i="2" s="1"/>
  <c r="N23" i="2"/>
  <c r="N41" i="2"/>
  <c r="M20" i="2"/>
  <c r="M41" i="2" s="1"/>
  <c r="Q39" i="2"/>
  <c r="Q20" i="2"/>
  <c r="AF34" i="2"/>
  <c r="AF15" i="2"/>
  <c r="P39" i="2"/>
  <c r="P42" i="2"/>
  <c r="AI21" i="2"/>
  <c r="AB20" i="2"/>
  <c r="AB39" i="2"/>
  <c r="D8" i="1"/>
  <c r="AP38" i="2" s="1"/>
  <c r="D5" i="1"/>
  <c r="F3" i="1"/>
  <c r="AC38" i="2" l="1"/>
  <c r="AC17" i="2"/>
  <c r="R38" i="2"/>
  <c r="L41" i="2"/>
  <c r="L23" i="2"/>
  <c r="L42" i="2" s="1"/>
  <c r="AA23" i="2"/>
  <c r="AA41" i="2"/>
  <c r="U23" i="2"/>
  <c r="W23" i="2"/>
  <c r="W41" i="2"/>
  <c r="Y23" i="2"/>
  <c r="Y41" i="2"/>
  <c r="V23" i="2"/>
  <c r="V41" i="2"/>
  <c r="R17" i="2"/>
  <c r="R18" i="2" s="1"/>
  <c r="X23" i="2"/>
  <c r="X41" i="2"/>
  <c r="Z23" i="2"/>
  <c r="Z41" i="2"/>
  <c r="K23" i="2"/>
  <c r="K41" i="2"/>
  <c r="AD13" i="2"/>
  <c r="AC14" i="2"/>
  <c r="AC36" i="2" s="1"/>
  <c r="AC35" i="2"/>
  <c r="T23" i="2"/>
  <c r="T41" i="2"/>
  <c r="AI19" i="2"/>
  <c r="AI40" i="2" s="1"/>
  <c r="N42" i="2"/>
  <c r="N25" i="2"/>
  <c r="M23" i="2"/>
  <c r="M42" i="2" s="1"/>
  <c r="Q41" i="2"/>
  <c r="Q23" i="2"/>
  <c r="D9" i="1"/>
  <c r="AG34" i="2"/>
  <c r="AG15" i="2"/>
  <c r="AF37" i="2"/>
  <c r="P43" i="2"/>
  <c r="AJ21" i="2"/>
  <c r="AB23" i="2"/>
  <c r="AB41" i="2"/>
  <c r="L25" i="2" l="1"/>
  <c r="L27" i="2" s="1"/>
  <c r="AC18" i="2"/>
  <c r="AC39" i="2" s="1"/>
  <c r="Y25" i="2"/>
  <c r="Y42" i="2"/>
  <c r="AJ19" i="2"/>
  <c r="AJ40" i="2" s="1"/>
  <c r="Z25" i="2"/>
  <c r="Z42" i="2"/>
  <c r="W25" i="2"/>
  <c r="W42" i="2"/>
  <c r="U25" i="2"/>
  <c r="U42" i="2"/>
  <c r="R39" i="2"/>
  <c r="R20" i="2"/>
  <c r="T25" i="2"/>
  <c r="T42" i="2"/>
  <c r="X25" i="2"/>
  <c r="X42" i="2"/>
  <c r="AE13" i="2"/>
  <c r="AD14" i="2"/>
  <c r="AD36" i="2" s="1"/>
  <c r="AD16" i="2"/>
  <c r="AD35" i="2"/>
  <c r="AA25" i="2"/>
  <c r="AA42" i="2"/>
  <c r="V25" i="2"/>
  <c r="V42" i="2"/>
  <c r="K25" i="2"/>
  <c r="K42" i="2"/>
  <c r="N27" i="2"/>
  <c r="N43" i="2"/>
  <c r="M25" i="2"/>
  <c r="M27" i="2" s="1"/>
  <c r="Q42" i="2"/>
  <c r="Q25" i="2"/>
  <c r="AH34" i="2"/>
  <c r="AI12" i="2"/>
  <c r="AH15" i="2"/>
  <c r="AG37" i="2"/>
  <c r="AK21" i="2"/>
  <c r="AK19" i="2"/>
  <c r="AB25" i="2"/>
  <c r="AB42" i="2"/>
  <c r="AC20" i="2" l="1"/>
  <c r="AC23" i="2" s="1"/>
  <c r="L43" i="2"/>
  <c r="AA27" i="2"/>
  <c r="AA43" i="2"/>
  <c r="W27" i="2"/>
  <c r="W43" i="2"/>
  <c r="T27" i="2"/>
  <c r="T43" i="2"/>
  <c r="AD38" i="2"/>
  <c r="AD17" i="2"/>
  <c r="AD18" i="2" s="1"/>
  <c r="K27" i="2"/>
  <c r="K43" i="2"/>
  <c r="AE14" i="2"/>
  <c r="AE36" i="2" s="1"/>
  <c r="AF13" i="2"/>
  <c r="AE35" i="2"/>
  <c r="AE16" i="2"/>
  <c r="Z27" i="2"/>
  <c r="Z43" i="2"/>
  <c r="R23" i="2"/>
  <c r="R41" i="2"/>
  <c r="V27" i="2"/>
  <c r="V43" i="2"/>
  <c r="X27" i="2"/>
  <c r="X43" i="2"/>
  <c r="U27" i="2"/>
  <c r="U43" i="2"/>
  <c r="Y27" i="2"/>
  <c r="Y43" i="2"/>
  <c r="M43" i="2"/>
  <c r="Q27" i="2"/>
  <c r="Q43" i="2"/>
  <c r="AJ12" i="2"/>
  <c r="AI15" i="2"/>
  <c r="AI37" i="2" s="1"/>
  <c r="AI34" i="2"/>
  <c r="AH37" i="2"/>
  <c r="AL21" i="2"/>
  <c r="AL19" i="2"/>
  <c r="AK40" i="2"/>
  <c r="AB27" i="2"/>
  <c r="AB43" i="2"/>
  <c r="AC41" i="2" l="1"/>
  <c r="AF14" i="2"/>
  <c r="AF36" i="2" s="1"/>
  <c r="AG13" i="2"/>
  <c r="AF35" i="2"/>
  <c r="AF16" i="2"/>
  <c r="AE38" i="2"/>
  <c r="AE17" i="2"/>
  <c r="AE18" i="2" s="1"/>
  <c r="R24" i="2"/>
  <c r="AC24" i="2" s="1"/>
  <c r="AC42" i="2" s="1"/>
  <c r="AD20" i="2"/>
  <c r="AD39" i="2"/>
  <c r="AK12" i="2"/>
  <c r="AJ34" i="2"/>
  <c r="AJ15" i="2"/>
  <c r="AM21" i="2"/>
  <c r="AM19" i="2"/>
  <c r="AM40" i="2" s="1"/>
  <c r="AL40" i="2"/>
  <c r="R42" i="2" l="1"/>
  <c r="R25" i="2"/>
  <c r="R27" i="2" s="1"/>
  <c r="AC25" i="2"/>
  <c r="AC27" i="2" s="1"/>
  <c r="AE20" i="2"/>
  <c r="AE39" i="2"/>
  <c r="AD23" i="2"/>
  <c r="AD41" i="2"/>
  <c r="AH13" i="2"/>
  <c r="AG16" i="2"/>
  <c r="AG14" i="2"/>
  <c r="AG35" i="2"/>
  <c r="AC43" i="2"/>
  <c r="AF38" i="2"/>
  <c r="AF17" i="2"/>
  <c r="AF18" i="2" s="1"/>
  <c r="AJ37" i="2"/>
  <c r="AL12" i="2"/>
  <c r="AK15" i="2"/>
  <c r="AK34" i="2"/>
  <c r="R43" i="2" l="1"/>
  <c r="AH14" i="2"/>
  <c r="AH36" i="2" s="1"/>
  <c r="AH16" i="2"/>
  <c r="AH17" i="2" s="1"/>
  <c r="AI13" i="2"/>
  <c r="AH35" i="2"/>
  <c r="AF20" i="2"/>
  <c r="AF39" i="2"/>
  <c r="AG38" i="2"/>
  <c r="AG17" i="2"/>
  <c r="AG18" i="2" s="1"/>
  <c r="AD24" i="2"/>
  <c r="AD42" i="2" s="1"/>
  <c r="AG36" i="2"/>
  <c r="AE41" i="2"/>
  <c r="AE23" i="2"/>
  <c r="AK37" i="2"/>
  <c r="AM12" i="2"/>
  <c r="AL15" i="2"/>
  <c r="AL34" i="2"/>
  <c r="AH38" i="2" l="1"/>
  <c r="AD25" i="2"/>
  <c r="AD43" i="2" s="1"/>
  <c r="AG20" i="2"/>
  <c r="AG39" i="2"/>
  <c r="AE24" i="2"/>
  <c r="AE42" i="2" s="1"/>
  <c r="AE25" i="2"/>
  <c r="AI14" i="2"/>
  <c r="AI36" i="2" s="1"/>
  <c r="AI35" i="2"/>
  <c r="AI16" i="2"/>
  <c r="AI17" i="2" s="1"/>
  <c r="AI18" i="2" s="1"/>
  <c r="AJ13" i="2"/>
  <c r="AF23" i="2"/>
  <c r="AF41" i="2"/>
  <c r="AH18" i="2"/>
  <c r="AL37" i="2"/>
  <c r="AM15" i="2"/>
  <c r="AM34" i="2"/>
  <c r="AD27" i="2" l="1"/>
  <c r="AJ14" i="2"/>
  <c r="AJ36" i="2" s="1"/>
  <c r="AJ35" i="2"/>
  <c r="AJ16" i="2"/>
  <c r="AK13" i="2"/>
  <c r="AI20" i="2"/>
  <c r="AI39" i="2"/>
  <c r="AH20" i="2"/>
  <c r="AH39" i="2"/>
  <c r="AE43" i="2"/>
  <c r="AE27" i="2"/>
  <c r="AF24" i="2"/>
  <c r="AF42" i="2" s="1"/>
  <c r="AI38" i="2"/>
  <c r="AG23" i="2"/>
  <c r="AG41" i="2"/>
  <c r="AM37" i="2"/>
  <c r="AF25" i="2" l="1"/>
  <c r="AF43" i="2" s="1"/>
  <c r="AG24" i="2"/>
  <c r="AG42" i="2" s="1"/>
  <c r="AI41" i="2"/>
  <c r="AI23" i="2"/>
  <c r="AL13" i="2"/>
  <c r="AK35" i="2"/>
  <c r="AK14" i="2"/>
  <c r="AK36" i="2" s="1"/>
  <c r="AK16" i="2"/>
  <c r="AH41" i="2"/>
  <c r="AH23" i="2"/>
  <c r="AJ38" i="2"/>
  <c r="AJ17" i="2"/>
  <c r="AJ18" i="2" s="1"/>
  <c r="AF27" i="2" l="1"/>
  <c r="AM13" i="2"/>
  <c r="AL16" i="2"/>
  <c r="AL17" i="2" s="1"/>
  <c r="AL35" i="2"/>
  <c r="AL14" i="2"/>
  <c r="AH24" i="2"/>
  <c r="AH42" i="2" s="1"/>
  <c r="AI24" i="2"/>
  <c r="AI42" i="2" s="1"/>
  <c r="AJ39" i="2"/>
  <c r="AJ20" i="2"/>
  <c r="AK38" i="2"/>
  <c r="AK17" i="2"/>
  <c r="AK18" i="2" s="1"/>
  <c r="AG25" i="2"/>
  <c r="AH25" i="2" l="1"/>
  <c r="AH43" i="2" s="1"/>
  <c r="AG27" i="2"/>
  <c r="AG43" i="2"/>
  <c r="AL36" i="2"/>
  <c r="AL18" i="2"/>
  <c r="AJ41" i="2"/>
  <c r="AJ23" i="2"/>
  <c r="AL38" i="2"/>
  <c r="AK20" i="2"/>
  <c r="AK39" i="2"/>
  <c r="AI25" i="2"/>
  <c r="AM14" i="2"/>
  <c r="AM36" i="2" s="1"/>
  <c r="AM16" i="2"/>
  <c r="AM17" i="2" s="1"/>
  <c r="AM35" i="2"/>
  <c r="AM38" i="2" l="1"/>
  <c r="AM18" i="2"/>
  <c r="AM20" i="2" s="1"/>
  <c r="AH27" i="2"/>
  <c r="AJ24" i="2"/>
  <c r="AJ42" i="2" s="1"/>
  <c r="AL39" i="2"/>
  <c r="AL20" i="2"/>
  <c r="AI27" i="2"/>
  <c r="AI43" i="2"/>
  <c r="AK41" i="2"/>
  <c r="AK23" i="2"/>
  <c r="AM39" i="2" l="1"/>
  <c r="AL41" i="2"/>
  <c r="AL23" i="2"/>
  <c r="AM41" i="2"/>
  <c r="AM23" i="2"/>
  <c r="AK24" i="2"/>
  <c r="AK42" i="2" s="1"/>
  <c r="AJ25" i="2"/>
  <c r="AK25" i="2" l="1"/>
  <c r="AK43" i="2" s="1"/>
  <c r="AL24" i="2"/>
  <c r="AL42" i="2" s="1"/>
  <c r="AJ43" i="2"/>
  <c r="AJ27" i="2"/>
  <c r="AM24" i="2"/>
  <c r="AM42" i="2" s="1"/>
  <c r="AK27" i="2" l="1"/>
  <c r="AM25" i="2"/>
  <c r="AN25" i="2" s="1"/>
  <c r="AO25" i="2" s="1"/>
  <c r="AP25" i="2" s="1"/>
  <c r="AQ25" i="2" s="1"/>
  <c r="AR25" i="2" s="1"/>
  <c r="AS25" i="2" s="1"/>
  <c r="AT25" i="2" s="1"/>
  <c r="AU25" i="2" s="1"/>
  <c r="AV25" i="2" s="1"/>
  <c r="AW25" i="2" s="1"/>
  <c r="AX25" i="2" s="1"/>
  <c r="AY25" i="2" s="1"/>
  <c r="AZ25" i="2" s="1"/>
  <c r="BA25" i="2" s="1"/>
  <c r="BB25" i="2" s="1"/>
  <c r="BC25" i="2" s="1"/>
  <c r="BD25" i="2" s="1"/>
  <c r="BE25" i="2" s="1"/>
  <c r="BF25" i="2" s="1"/>
  <c r="BG25" i="2" s="1"/>
  <c r="BH25" i="2" s="1"/>
  <c r="BI25" i="2" s="1"/>
  <c r="BJ25" i="2" s="1"/>
  <c r="BK25" i="2" s="1"/>
  <c r="BL25" i="2" s="1"/>
  <c r="BM25" i="2" s="1"/>
  <c r="BN25" i="2" s="1"/>
  <c r="BO25" i="2" s="1"/>
  <c r="BP25" i="2" s="1"/>
  <c r="BQ25" i="2" s="1"/>
  <c r="BR25" i="2" s="1"/>
  <c r="BS25" i="2" s="1"/>
  <c r="BT25" i="2" s="1"/>
  <c r="BU25" i="2" s="1"/>
  <c r="BV25" i="2" s="1"/>
  <c r="BW25" i="2" s="1"/>
  <c r="BX25" i="2" s="1"/>
  <c r="BY25" i="2" s="1"/>
  <c r="BZ25" i="2" s="1"/>
  <c r="CA25" i="2" s="1"/>
  <c r="CB25" i="2" s="1"/>
  <c r="CC25" i="2" s="1"/>
  <c r="CD25" i="2" s="1"/>
  <c r="CE25" i="2" s="1"/>
  <c r="CF25" i="2" s="1"/>
  <c r="CG25" i="2" s="1"/>
  <c r="CH25" i="2" s="1"/>
  <c r="CI25" i="2" s="1"/>
  <c r="CJ25" i="2" s="1"/>
  <c r="CK25" i="2" s="1"/>
  <c r="CL25" i="2" s="1"/>
  <c r="CM25" i="2" s="1"/>
  <c r="CN25" i="2" s="1"/>
  <c r="CO25" i="2" s="1"/>
  <c r="CP25" i="2" s="1"/>
  <c r="CQ25" i="2" s="1"/>
  <c r="CR25" i="2" s="1"/>
  <c r="CS25" i="2" s="1"/>
  <c r="CT25" i="2" s="1"/>
  <c r="CU25" i="2" s="1"/>
  <c r="CV25" i="2" s="1"/>
  <c r="CW25" i="2" s="1"/>
  <c r="CX25" i="2" s="1"/>
  <c r="CY25" i="2" s="1"/>
  <c r="CZ25" i="2" s="1"/>
  <c r="DA25" i="2" s="1"/>
  <c r="DB25" i="2" s="1"/>
  <c r="DC25" i="2" s="1"/>
  <c r="DD25" i="2" s="1"/>
  <c r="DE25" i="2" s="1"/>
  <c r="DF25" i="2" s="1"/>
  <c r="DG25" i="2" s="1"/>
  <c r="DH25" i="2" s="1"/>
  <c r="DI25" i="2" s="1"/>
  <c r="DJ25" i="2" s="1"/>
  <c r="DK25" i="2" s="1"/>
  <c r="DL25" i="2" s="1"/>
  <c r="DM25" i="2" s="1"/>
  <c r="DN25" i="2" s="1"/>
  <c r="DO25" i="2" s="1"/>
  <c r="DP25" i="2" s="1"/>
  <c r="DQ25" i="2" s="1"/>
  <c r="DR25" i="2" s="1"/>
  <c r="DS25" i="2" s="1"/>
  <c r="DT25" i="2" s="1"/>
  <c r="DU25" i="2" s="1"/>
  <c r="DV25" i="2" s="1"/>
  <c r="DW25" i="2" s="1"/>
  <c r="DX25" i="2" s="1"/>
  <c r="DY25" i="2" s="1"/>
  <c r="DZ25" i="2" s="1"/>
  <c r="EA25" i="2" s="1"/>
  <c r="EB25" i="2" s="1"/>
  <c r="EC25" i="2" s="1"/>
  <c r="ED25" i="2" s="1"/>
  <c r="EE25" i="2" s="1"/>
  <c r="EF25" i="2" s="1"/>
  <c r="EG25" i="2" s="1"/>
  <c r="EH25" i="2" s="1"/>
  <c r="AP37" i="2" s="1"/>
  <c r="AP39" i="2" s="1"/>
  <c r="AP40" i="2" s="1"/>
  <c r="AP42" i="2" s="1"/>
  <c r="AL25" i="2"/>
  <c r="AM27" i="2" l="1"/>
  <c r="AM43" i="2"/>
  <c r="AL43" i="2"/>
  <c r="AL27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Anton Mniszek</author>
  </authors>
  <commentList>
    <comment ref="T24" authorId="0" shapeId="0" xr:uid="{C9197EFE-D1B2-4971-A756-6AB827312A6F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+discontinued</t>
        </r>
      </text>
    </comment>
    <comment ref="V24" authorId="0" shapeId="0" xr:uid="{DDEA1B86-1DC1-4E03-9A8C-F27112CE3600}">
      <text>
        <r>
          <rPr>
            <b/>
            <sz val="9"/>
            <color indexed="81"/>
            <rFont val="Tahoma"/>
            <family val="2"/>
          </rPr>
          <t>Anton Mniszek:</t>
        </r>
        <r>
          <rPr>
            <sz val="9"/>
            <color indexed="81"/>
            <rFont val="Tahoma"/>
            <family val="2"/>
          </rPr>
          <t xml:space="preserve">
+discontinued</t>
        </r>
      </text>
    </comment>
  </commentList>
</comments>
</file>

<file path=xl/sharedStrings.xml><?xml version="1.0" encoding="utf-8"?>
<sst xmlns="http://schemas.openxmlformats.org/spreadsheetml/2006/main" count="79" uniqueCount="73">
  <si>
    <t>GD</t>
  </si>
  <si>
    <t>Price</t>
  </si>
  <si>
    <t>Shares</t>
  </si>
  <si>
    <t>MC</t>
  </si>
  <si>
    <t>Cash</t>
  </si>
  <si>
    <t>Debt</t>
  </si>
  <si>
    <t>Net Cash</t>
  </si>
  <si>
    <t>EV</t>
  </si>
  <si>
    <t>Last checked</t>
  </si>
  <si>
    <t>Today</t>
  </si>
  <si>
    <t>Earnings</t>
  </si>
  <si>
    <t>Q125</t>
  </si>
  <si>
    <t>Product revenue y/y</t>
  </si>
  <si>
    <t>Service revenue y/y</t>
  </si>
  <si>
    <t>Revenue y/y</t>
  </si>
  <si>
    <t>Product Margin</t>
  </si>
  <si>
    <t>Service Margin</t>
  </si>
  <si>
    <t>Gross Margin</t>
  </si>
  <si>
    <t>Operating Margin</t>
  </si>
  <si>
    <t>Taxes</t>
  </si>
  <si>
    <t>Net Margin</t>
  </si>
  <si>
    <t>Product revenue</t>
  </si>
  <si>
    <t>Service revenue</t>
  </si>
  <si>
    <t>Total revenue</t>
  </si>
  <si>
    <t>Product cost</t>
  </si>
  <si>
    <t>Service cost</t>
  </si>
  <si>
    <t>Total cost of sales</t>
  </si>
  <si>
    <t>Gross profit</t>
  </si>
  <si>
    <t>SG&amp;A</t>
  </si>
  <si>
    <t>Operating profit</t>
  </si>
  <si>
    <t>Other income</t>
  </si>
  <si>
    <t>Interest expense</t>
  </si>
  <si>
    <t>Pretax profit</t>
  </si>
  <si>
    <t>Net profit</t>
  </si>
  <si>
    <t>EPS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</si>
  <si>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</si>
  <si>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</si>
  <si>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</si>
  <si>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</si>
  <si>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</si>
  <si>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</si>
  <si>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</si>
  <si>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</si>
  <si>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</si>
  <si>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</si>
  <si>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</si>
  <si>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</si>
  <si>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Q225</t>
  </si>
  <si>
    <t>Q325</t>
  </si>
  <si>
    <t>Q425</t>
  </si>
  <si>
    <t>SG&amp;A y/y</t>
  </si>
  <si>
    <t>Maturity</t>
  </si>
  <si>
    <t>Discount rate</t>
  </si>
  <si>
    <t>NPV</t>
  </si>
  <si>
    <t>Net cash</t>
  </si>
  <si>
    <t>Value</t>
  </si>
  <si>
    <t>Per share</t>
  </si>
  <si>
    <t>Current price</t>
  </si>
  <si>
    <t>Variance</t>
  </si>
  <si>
    <t>Consensus</t>
  </si>
  <si>
    <t>L+S/E</t>
  </si>
  <si>
    <t>EV/B</t>
  </si>
  <si>
    <t>B/EV</t>
  </si>
  <si>
    <t>Slightly overvalued</t>
  </si>
  <si>
    <t>Aerospace</t>
  </si>
  <si>
    <t>Marine Systems</t>
  </si>
  <si>
    <t>Combat Systems</t>
  </si>
  <si>
    <t>Technologies</t>
  </si>
  <si>
    <t>Aerospace y/y</t>
  </si>
  <si>
    <t>Marine Systems y/y</t>
  </si>
  <si>
    <t>Combat Systems y/y</t>
  </si>
  <si>
    <t>Technologies y/y</t>
  </si>
  <si>
    <t>Backlog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</si>
</sst>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-409]#,##0.00"/>
    <numFmt numFmtId="165" formatCode="0.0\x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2" borderId="1" xfId="0" applyFont="1" applyFill="1" applyBorder="1"/>
    <xf numFmtId="0" fontId="1" fillId="2" borderId="1" xfId="0" applyFont="1" applyFill="1" applyBorder="1"/>
    <xf numFmtId="164" fontId="2" fillId="2" borderId="1" xfId="0" applyNumberFormat="1" applyFont="1" applyFill="1" applyBorder="1"/>
    <xf numFmtId="3" fontId="2" fillId="2" borderId="1" xfId="0" applyNumberFormat="1" applyFont="1" applyFill="1" applyBorder="1"/>
    <xf numFmtId="0" fontId="3" fillId="2" borderId="1" xfId="0" applyFont="1" applyFill="1" applyBorder="1" applyAlignment="1">
      <alignment horizontal="right"/>
    </xf>
    <xf numFmtId="14" fontId="3" fillId="2" borderId="1" xfId="0" applyNumberFormat="1" applyFont="1" applyFill="1" applyBorder="1" applyAlignment="1">
      <alignment horizontal="right"/>
    </xf>
    <xf numFmtId="0" fontId="2" fillId="2" borderId="1" xfId="0" applyFont="1" applyFill="1" applyBorder="1" applyAlignment="1">
      <alignment horizontal="right"/>
    </xf>
    <xf numFmtId="4" fontId="2" fillId="2" borderId="1" xfId="0" applyNumberFormat="1" applyFont="1" applyFill="1" applyBorder="1"/>
    <xf numFmtId="3" fontId="1" fillId="2" borderId="1" xfId="0" applyNumberFormat="1" applyFont="1" applyFill="1" applyBorder="1"/>
    <xf numFmtId="9" fontId="2" fillId="2" borderId="1" xfId="0" applyNumberFormat="1" applyFont="1" applyFill="1" applyBorder="1"/>
    <xf numFmtId="9" fontId="1" fillId="2" borderId="1" xfId="0" applyNumberFormat="1" applyFont="1" applyFill="1" applyBorder="1"/>
    <xf numFmtId="0" fontId="7" fillId="2" borderId="1" xfId="0" applyFont="1" applyFill="1" applyBorder="1"/>
    <xf numFmtId="165" fontId="2" fillId="2" borderId="1" xfId="0" applyNumberFormat="1" applyFont="1" applyFill="1" applyBorder="1"/>
    <xf numFmtId="3" fontId="7" fillId="2" borderId="1" xfId="0" applyNumberFormat="1" applyFont="1" applyFill="1" applyBorder="1"/>
    <xf numFmtId="0" fontId="1" fillId="2" borderId="1" xfId="0" applyFont="1" applyFill="1" applyBorder="1" applyAlignment="1">
      <alignment horizontal="right"/>
    </xf>
    <xf numFmtId="3" fontId="2" fillId="2" borderId="1" xfId="0" applyNumberFormat="1" applyFont="1" applyFill="1" applyBorder="1" applyAlignment="1">
      <alignment horizontal="right"/>
    </xf>
    <xf numFmtId="3" fontId="1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30480</xdr:colOff>
      <xdr:row>0</xdr:row>
      <xdr:rowOff>0</xdr:rowOff>
    </xdr:from>
    <xdr:to>
      <xdr:col>28</xdr:col>
      <xdr:colOff>30480</xdr:colOff>
      <xdr:row>47</xdr:row>
      <xdr:rowOff>91440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CC91F88D-337B-5199-8C5A-BD2F902DA5E3}"/>
            </a:ext>
          </a:extLst>
        </xdr:cNvPr>
        <xdr:cNvCxnSpPr/>
      </xdr:nvCxnSpPr>
      <xdr:spPr>
        <a:xfrm>
          <a:off x="17693640" y="0"/>
          <a:ext cx="0" cy="61264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22860</xdr:colOff>
      <xdr:row>0</xdr:row>
      <xdr:rowOff>0</xdr:rowOff>
    </xdr:from>
    <xdr:to>
      <xdr:col>17</xdr:col>
      <xdr:colOff>22860</xdr:colOff>
      <xdr:row>47</xdr:row>
      <xdr:rowOff>99060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61E13E44-AABC-8F90-687E-C3893221671A}"/>
            </a:ext>
          </a:extLst>
        </xdr:cNvPr>
        <xdr:cNvCxnSpPr/>
      </xdr:nvCxnSpPr>
      <xdr:spPr>
        <a:xfrm>
          <a:off x="10980420" y="0"/>
          <a:ext cx="0" cy="61341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34F6E-BEA9-44D5-9FB4-6B5E1ADA83B5}">
  <dimension ref="B2:G9"/>
  <sheetViews>
    <sheetView tabSelected="1" workbookViewId="0">
      <selection activeCell="D4" sqref="D4"/>
    </sheetView>
  </sheetViews>
  <sheetFormatPr defaultRowHeight="14.4" x14ac:dyDescent="0.3"/>
  <cols>
    <col min="1" max="4" width="8.88671875" style="1"/>
    <col min="5" max="7" width="12.77734375" style="5" customWidth="1"/>
    <col min="8" max="16384" width="8.88671875" style="1"/>
  </cols>
  <sheetData>
    <row r="2" spans="2:7" x14ac:dyDescent="0.3">
      <c r="E2" s="5" t="s">
        <v>8</v>
      </c>
      <c r="F2" s="5" t="s">
        <v>9</v>
      </c>
      <c r="G2" s="5" t="s">
        <v>10</v>
      </c>
    </row>
    <row r="3" spans="2:7" x14ac:dyDescent="0.3">
      <c r="B3" s="2" t="s">
        <v>0</v>
      </c>
      <c r="C3" s="1" t="s">
        <v>1</v>
      </c>
      <c r="D3" s="3">
        <v>350.77</v>
      </c>
      <c r="E3" s="6">
        <v>45955</v>
      </c>
      <c r="F3" s="6">
        <f ca="1">TODAY()</f>
        <v>45955</v>
      </c>
      <c r="G3" s="6">
        <v>46050</v>
      </c>
    </row>
    <row r="4" spans="2:7" x14ac:dyDescent="0.3">
      <c r="C4" s="1" t="s">
        <v>2</v>
      </c>
      <c r="D4" s="4">
        <f>270.1</f>
        <v>270.10000000000002</v>
      </c>
      <c r="E4" s="5" t="s">
        <v>48</v>
      </c>
    </row>
    <row r="5" spans="2:7" x14ac:dyDescent="0.3">
      <c r="C5" s="1" t="s">
        <v>3</v>
      </c>
      <c r="D5" s="4">
        <f>D3*D4</f>
        <v>94742.976999999999</v>
      </c>
    </row>
    <row r="6" spans="2:7" x14ac:dyDescent="0.3">
      <c r="C6" s="1" t="s">
        <v>4</v>
      </c>
      <c r="D6" s="4">
        <f>2520</f>
        <v>2520</v>
      </c>
      <c r="E6" s="5" t="s">
        <v>48</v>
      </c>
    </row>
    <row r="7" spans="2:7" x14ac:dyDescent="0.3">
      <c r="C7" s="1" t="s">
        <v>5</v>
      </c>
      <c r="D7" s="4">
        <f>1006+7008</f>
        <v>8014</v>
      </c>
      <c r="E7" s="5" t="s">
        <v>48</v>
      </c>
    </row>
    <row r="8" spans="2:7" x14ac:dyDescent="0.3">
      <c r="C8" s="1" t="s">
        <v>6</v>
      </c>
      <c r="D8" s="4">
        <f>D6-D7</f>
        <v>-5494</v>
      </c>
    </row>
    <row r="9" spans="2:7" x14ac:dyDescent="0.3">
      <c r="C9" s="1" t="s">
        <v>7</v>
      </c>
      <c r="D9" s="4">
        <f>D5-D8</f>
        <v>100236.977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9F9A-E22D-4D40-9B20-C92ED4255DDB}">
  <dimension ref="B2:EH49"/>
  <sheetViews>
    <sheetView workbookViewId="0">
      <pane xSplit="2" ySplit="2" topLeftCell="M3" activePane="bottomRight" state="frozen"/>
      <selection pane="topRight" activeCell="C1" sqref="C1"/>
      <selection pane="bottomLeft" activeCell="A3" sqref="A3"/>
      <selection pane="bottomRight" activeCell="AC1" sqref="AC1"/>
    </sheetView>
  </sheetViews>
  <sheetFormatPr defaultRowHeight="14.4" x14ac:dyDescent="0.3"/>
  <cols>
    <col min="1" max="1" width="8.88671875" style="1"/>
    <col min="2" max="2" width="17.6640625" style="1" bestFit="1" customWidth="1"/>
    <col min="3" max="40" width="8.88671875" style="1"/>
    <col min="41" max="41" width="11.88671875" style="1" bestFit="1" customWidth="1"/>
    <col min="42" max="42" width="16.21875" style="1" bestFit="1" customWidth="1"/>
    <col min="43" max="16384" width="8.88671875" style="1"/>
  </cols>
  <sheetData>
    <row r="2" spans="2:39" x14ac:dyDescent="0.3">
      <c r="C2" s="7" t="s">
        <v>35</v>
      </c>
      <c r="D2" s="7" t="s">
        <v>36</v>
      </c>
      <c r="E2" s="7" t="s">
        <v>37</v>
      </c>
      <c r="F2" s="7" t="s">
        <v>38</v>
      </c>
      <c r="G2" s="7" t="s">
        <v>39</v>
      </c>
      <c r="H2" s="7" t="s">
        <v>40</v>
      </c>
      <c r="I2" s="7" t="s">
        <v>41</v>
      </c>
      <c r="J2" s="7" t="s">
        <v>42</v>
      </c>
      <c r="K2" s="7" t="s">
        <v>43</v>
      </c>
      <c r="L2" s="7" t="s">
        <v>44</v>
      </c>
      <c r="M2" s="7" t="s">
        <v>45</v>
      </c>
      <c r="N2" s="7" t="s">
        <v>46</v>
      </c>
      <c r="O2" s="7" t="s">
        <v>11</v>
      </c>
      <c r="P2" s="7" t="s">
        <v>47</v>
      </c>
      <c r="Q2" s="7" t="s">
        <v>48</v>
      </c>
      <c r="R2" s="7" t="s">
        <v>49</v>
      </c>
      <c r="T2" s="1">
        <v>2016</v>
      </c>
      <c r="U2" s="1">
        <v>2017</v>
      </c>
      <c r="V2" s="1">
        <v>2018</v>
      </c>
      <c r="W2" s="1">
        <v>2019</v>
      </c>
      <c r="X2" s="1">
        <v>2020</v>
      </c>
      <c r="Y2" s="1">
        <v>2021</v>
      </c>
      <c r="Z2" s="1">
        <v>2022</v>
      </c>
      <c r="AA2" s="1">
        <v>2023</v>
      </c>
      <c r="AB2" s="1">
        <v>2024</v>
      </c>
      <c r="AC2" s="1">
        <v>2025</v>
      </c>
      <c r="AD2" s="1">
        <v>2026</v>
      </c>
      <c r="AE2" s="1">
        <v>2027</v>
      </c>
      <c r="AF2" s="1">
        <v>2028</v>
      </c>
      <c r="AG2" s="1">
        <v>2029</v>
      </c>
      <c r="AH2" s="1">
        <v>2030</v>
      </c>
      <c r="AI2" s="1">
        <v>2031</v>
      </c>
      <c r="AJ2" s="1">
        <v>2032</v>
      </c>
      <c r="AK2" s="1">
        <v>2033</v>
      </c>
      <c r="AL2" s="1">
        <v>2034</v>
      </c>
      <c r="AM2" s="1">
        <v>2035</v>
      </c>
    </row>
    <row r="3" spans="2:39" x14ac:dyDescent="0.3">
      <c r="B3" s="1" t="s">
        <v>72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16">
        <v>109900</v>
      </c>
      <c r="R3" s="16"/>
      <c r="S3" s="4"/>
      <c r="T3" s="4"/>
      <c r="U3" s="4"/>
      <c r="V3" s="4"/>
      <c r="W3" s="4"/>
      <c r="X3" s="4"/>
      <c r="Y3" s="4"/>
      <c r="Z3" s="4"/>
      <c r="AA3" s="4"/>
      <c r="AB3" s="4"/>
      <c r="AC3" s="16">
        <v>109900</v>
      </c>
    </row>
    <row r="4" spans="2:39" x14ac:dyDescent="0.3"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</row>
    <row r="5" spans="2:39" x14ac:dyDescent="0.3">
      <c r="B5" s="1" t="s">
        <v>64</v>
      </c>
      <c r="C5" s="7"/>
      <c r="D5" s="7"/>
      <c r="E5" s="7"/>
      <c r="F5" s="7"/>
      <c r="G5" s="7"/>
      <c r="H5" s="7"/>
      <c r="I5" s="7"/>
      <c r="J5" s="7"/>
      <c r="K5" s="7"/>
      <c r="L5" s="7"/>
      <c r="M5" s="16">
        <v>2482</v>
      </c>
      <c r="N5" s="7"/>
      <c r="O5" s="7"/>
      <c r="P5" s="7"/>
      <c r="Q5" s="16">
        <v>3234</v>
      </c>
      <c r="R5" s="7"/>
    </row>
    <row r="6" spans="2:39" x14ac:dyDescent="0.3">
      <c r="B6" s="1" t="s">
        <v>65</v>
      </c>
      <c r="C6" s="7"/>
      <c r="D6" s="7"/>
      <c r="E6" s="7"/>
      <c r="F6" s="7"/>
      <c r="G6" s="7"/>
      <c r="H6" s="7"/>
      <c r="I6" s="7"/>
      <c r="J6" s="7"/>
      <c r="K6" s="7"/>
      <c r="L6" s="7"/>
      <c r="M6" s="16">
        <v>3599</v>
      </c>
      <c r="N6" s="7"/>
      <c r="O6" s="7"/>
      <c r="P6" s="7"/>
      <c r="Q6" s="16">
        <v>4096</v>
      </c>
      <c r="R6" s="7"/>
    </row>
    <row r="7" spans="2:39" x14ac:dyDescent="0.3">
      <c r="B7" s="1" t="s">
        <v>66</v>
      </c>
      <c r="C7" s="7"/>
      <c r="D7" s="7"/>
      <c r="E7" s="7"/>
      <c r="F7" s="7"/>
      <c r="G7" s="7"/>
      <c r="H7" s="7"/>
      <c r="I7" s="7"/>
      <c r="J7" s="7"/>
      <c r="K7" s="7"/>
      <c r="L7" s="7"/>
      <c r="M7" s="16">
        <v>2212</v>
      </c>
      <c r="N7" s="7"/>
      <c r="O7" s="7"/>
      <c r="P7" s="7"/>
      <c r="Q7" s="16">
        <v>2252</v>
      </c>
      <c r="R7" s="7"/>
    </row>
    <row r="8" spans="2:39" x14ac:dyDescent="0.3">
      <c r="B8" s="1" t="s">
        <v>67</v>
      </c>
      <c r="C8" s="7"/>
      <c r="D8" s="7"/>
      <c r="E8" s="7"/>
      <c r="F8" s="7"/>
      <c r="G8" s="7"/>
      <c r="H8" s="7"/>
      <c r="I8" s="7"/>
      <c r="J8" s="7"/>
      <c r="K8" s="7"/>
      <c r="L8" s="7"/>
      <c r="M8" s="16">
        <v>3378</v>
      </c>
      <c r="N8" s="7"/>
      <c r="O8" s="7"/>
      <c r="P8" s="7"/>
      <c r="Q8" s="16">
        <v>3325</v>
      </c>
      <c r="R8" s="7"/>
    </row>
    <row r="9" spans="2:39" s="2" customFormat="1" x14ac:dyDescent="0.3">
      <c r="B9" s="2" t="s">
        <v>23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7">
        <f>SUM(M5:M8)</f>
        <v>11671</v>
      </c>
      <c r="N9" s="15"/>
      <c r="O9" s="15"/>
      <c r="P9" s="15"/>
      <c r="Q9" s="17">
        <f>SUM(Q5:Q8)</f>
        <v>12907</v>
      </c>
      <c r="R9" s="15"/>
    </row>
    <row r="10" spans="2:39" x14ac:dyDescent="0.3"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</row>
    <row r="11" spans="2:39" x14ac:dyDescent="0.3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2:39" x14ac:dyDescent="0.3">
      <c r="B12" s="1" t="s">
        <v>21</v>
      </c>
      <c r="K12" s="4">
        <v>6134</v>
      </c>
      <c r="L12" s="4">
        <v>7160</v>
      </c>
      <c r="M12" s="4">
        <v>6767</v>
      </c>
      <c r="N12" s="4">
        <f>AB12-M12-L12-K12</f>
        <v>8574</v>
      </c>
      <c r="O12" s="4">
        <v>7334</v>
      </c>
      <c r="P12" s="4">
        <v>8012</v>
      </c>
      <c r="Q12" s="4">
        <v>8021</v>
      </c>
      <c r="R12" s="4">
        <f>N12*1.13</f>
        <v>9688.619999999999</v>
      </c>
      <c r="T12" s="4">
        <v>19010</v>
      </c>
      <c r="U12" s="4">
        <v>19016</v>
      </c>
      <c r="V12" s="4">
        <v>20149</v>
      </c>
      <c r="W12" s="4">
        <v>23130</v>
      </c>
      <c r="X12" s="4">
        <v>22188</v>
      </c>
      <c r="Y12" s="4">
        <v>22428</v>
      </c>
      <c r="Z12" s="4">
        <v>23022</v>
      </c>
      <c r="AA12" s="4">
        <v>24595</v>
      </c>
      <c r="AB12" s="4">
        <v>28635</v>
      </c>
      <c r="AC12" s="4">
        <f>SUM(O12:R12)</f>
        <v>33055.619999999995</v>
      </c>
      <c r="AD12" s="4">
        <f>AC12*1.1</f>
        <v>36361.182000000001</v>
      </c>
      <c r="AE12" s="4">
        <f>AD12*1.06</f>
        <v>38542.852920000005</v>
      </c>
      <c r="AF12" s="4">
        <f>AE12*1.04</f>
        <v>40084.567036800006</v>
      </c>
      <c r="AG12" s="4">
        <f>AF12*1.03</f>
        <v>41287.104047904009</v>
      </c>
      <c r="AH12" s="4">
        <f>AG12*1.02</f>
        <v>42112.846128862089</v>
      </c>
      <c r="AI12" s="4">
        <f t="shared" ref="AI12:AM12" si="0">AH12*1.01</f>
        <v>42533.974590150712</v>
      </c>
      <c r="AJ12" s="4">
        <f t="shared" si="0"/>
        <v>42959.314336052223</v>
      </c>
      <c r="AK12" s="4">
        <f t="shared" si="0"/>
        <v>43388.907479412745</v>
      </c>
      <c r="AL12" s="4">
        <f t="shared" si="0"/>
        <v>43822.79655420687</v>
      </c>
      <c r="AM12" s="4">
        <f t="shared" si="0"/>
        <v>44261.024519748942</v>
      </c>
    </row>
    <row r="13" spans="2:39" x14ac:dyDescent="0.3">
      <c r="B13" s="1" t="s">
        <v>22</v>
      </c>
      <c r="K13" s="4">
        <v>4597</v>
      </c>
      <c r="L13" s="4">
        <v>4816</v>
      </c>
      <c r="M13" s="4">
        <v>4904</v>
      </c>
      <c r="N13" s="4">
        <f>AB13-M13-L13-K13</f>
        <v>4764</v>
      </c>
      <c r="O13" s="4">
        <v>4889</v>
      </c>
      <c r="P13" s="4">
        <v>5029</v>
      </c>
      <c r="Q13" s="4">
        <v>4886</v>
      </c>
      <c r="R13" s="4">
        <f>N13*1.03</f>
        <v>4906.92</v>
      </c>
      <c r="T13" s="4">
        <v>11551</v>
      </c>
      <c r="U13" s="4">
        <v>11957</v>
      </c>
      <c r="V13" s="4">
        <v>16044</v>
      </c>
      <c r="W13" s="4">
        <v>16220</v>
      </c>
      <c r="X13" s="4">
        <v>15737</v>
      </c>
      <c r="Y13" s="4">
        <v>16041</v>
      </c>
      <c r="Z13" s="4">
        <v>16385</v>
      </c>
      <c r="AA13" s="4">
        <v>17677</v>
      </c>
      <c r="AB13" s="4">
        <v>19081</v>
      </c>
      <c r="AC13" s="4">
        <f>SUM(O13:R13)</f>
        <v>19710.919999999998</v>
      </c>
      <c r="AD13" s="4">
        <f>AC13*1.03</f>
        <v>20302.247599999999</v>
      </c>
      <c r="AE13" s="4">
        <f>AD13*1.03</f>
        <v>20911.315028000001</v>
      </c>
      <c r="AF13" s="4">
        <f t="shared" ref="AF13:AG13" si="1">AE13*1.03</f>
        <v>21538.654478840002</v>
      </c>
      <c r="AG13" s="4">
        <f t="shared" si="1"/>
        <v>22184.814113205204</v>
      </c>
      <c r="AH13" s="4">
        <f>AG13*1.02</f>
        <v>22628.510395469308</v>
      </c>
      <c r="AI13" s="4">
        <f>AH13*1.02</f>
        <v>23081.080603378694</v>
      </c>
      <c r="AJ13" s="4">
        <f t="shared" ref="AJ13:AM13" si="2">AI13*1.02</f>
        <v>23542.702215446268</v>
      </c>
      <c r="AK13" s="4">
        <f t="shared" si="2"/>
        <v>24013.556259755194</v>
      </c>
      <c r="AL13" s="4">
        <f t="shared" si="2"/>
        <v>24493.827384950298</v>
      </c>
      <c r="AM13" s="4">
        <f t="shared" si="2"/>
        <v>24983.703932649303</v>
      </c>
    </row>
    <row r="14" spans="2:39" s="2" customFormat="1" x14ac:dyDescent="0.3">
      <c r="B14" s="2" t="s">
        <v>23</v>
      </c>
      <c r="K14" s="9">
        <f>K12+K13</f>
        <v>10731</v>
      </c>
      <c r="L14" s="9">
        <f>L12+L13</f>
        <v>11976</v>
      </c>
      <c r="M14" s="9">
        <f>M12+M13</f>
        <v>11671</v>
      </c>
      <c r="N14" s="9">
        <f>N12+N13</f>
        <v>13338</v>
      </c>
      <c r="O14" s="9">
        <f>O12+O13</f>
        <v>12223</v>
      </c>
      <c r="P14" s="9">
        <f>P12+P13</f>
        <v>13041</v>
      </c>
      <c r="Q14" s="9">
        <f>Q12+Q13</f>
        <v>12907</v>
      </c>
      <c r="R14" s="9">
        <f>R12+R13</f>
        <v>14595.539999999999</v>
      </c>
      <c r="T14" s="9">
        <f t="shared" ref="T14:AB14" si="3">T12+T13</f>
        <v>30561</v>
      </c>
      <c r="U14" s="9">
        <f t="shared" si="3"/>
        <v>30973</v>
      </c>
      <c r="V14" s="9">
        <f t="shared" si="3"/>
        <v>36193</v>
      </c>
      <c r="W14" s="9">
        <f t="shared" si="3"/>
        <v>39350</v>
      </c>
      <c r="X14" s="9">
        <f t="shared" si="3"/>
        <v>37925</v>
      </c>
      <c r="Y14" s="9">
        <f t="shared" si="3"/>
        <v>38469</v>
      </c>
      <c r="Z14" s="9">
        <f t="shared" si="3"/>
        <v>39407</v>
      </c>
      <c r="AA14" s="9">
        <f t="shared" si="3"/>
        <v>42272</v>
      </c>
      <c r="AB14" s="9">
        <f t="shared" si="3"/>
        <v>47716</v>
      </c>
      <c r="AC14" s="9">
        <f t="shared" ref="AC14" si="4">AC12+AC13</f>
        <v>52766.539999999994</v>
      </c>
      <c r="AD14" s="9">
        <f t="shared" ref="AD14" si="5">AD12+AD13</f>
        <v>56663.429600000003</v>
      </c>
      <c r="AE14" s="9">
        <f t="shared" ref="AE14" si="6">AE12+AE13</f>
        <v>59454.167948000002</v>
      </c>
      <c r="AF14" s="9">
        <f t="shared" ref="AF14" si="7">AF12+AF13</f>
        <v>61623.221515640005</v>
      </c>
      <c r="AG14" s="9">
        <f t="shared" ref="AG14" si="8">AG12+AG13</f>
        <v>63471.918161109214</v>
      </c>
      <c r="AH14" s="9">
        <f t="shared" ref="AH14" si="9">AH12+AH13</f>
        <v>64741.356524331393</v>
      </c>
      <c r="AI14" s="9">
        <f t="shared" ref="AI14" si="10">AI12+AI13</f>
        <v>65615.055193529406</v>
      </c>
      <c r="AJ14" s="9">
        <f t="shared" ref="AJ14" si="11">AJ12+AJ13</f>
        <v>66502.016551498498</v>
      </c>
      <c r="AK14" s="9">
        <f t="shared" ref="AK14" si="12">AK12+AK13</f>
        <v>67402.463739167943</v>
      </c>
      <c r="AL14" s="9">
        <f t="shared" ref="AL14" si="13">AL12+AL13</f>
        <v>68316.623939157173</v>
      </c>
      <c r="AM14" s="9">
        <f t="shared" ref="AM14" si="14">AM12+AM13</f>
        <v>69244.728452398238</v>
      </c>
    </row>
    <row r="15" spans="2:39" x14ac:dyDescent="0.3">
      <c r="B15" s="1" t="s">
        <v>24</v>
      </c>
      <c r="K15" s="4">
        <v>5189</v>
      </c>
      <c r="L15" s="4">
        <v>6127</v>
      </c>
      <c r="M15" s="4">
        <v>5760</v>
      </c>
      <c r="N15" s="4">
        <f t="shared" ref="N15:N16" si="15">AB15-M15-L15-K15</f>
        <v>7256</v>
      </c>
      <c r="O15" s="4">
        <v>6141</v>
      </c>
      <c r="P15" s="4">
        <v>6823</v>
      </c>
      <c r="Q15" s="4">
        <v>6788</v>
      </c>
      <c r="R15" s="4">
        <f>R12*0.85</f>
        <v>8235.3269999999993</v>
      </c>
      <c r="T15" s="4">
        <v>15155</v>
      </c>
      <c r="U15" s="4">
        <v>14773</v>
      </c>
      <c r="V15" s="4">
        <v>15894</v>
      </c>
      <c r="W15" s="4">
        <v>18611</v>
      </c>
      <c r="X15" s="4">
        <v>18192</v>
      </c>
      <c r="Y15" s="4">
        <v>18524</v>
      </c>
      <c r="Z15" s="4">
        <v>18981</v>
      </c>
      <c r="AA15" s="4">
        <v>20591</v>
      </c>
      <c r="AB15" s="4">
        <v>24332</v>
      </c>
      <c r="AC15" s="4">
        <f t="shared" ref="AC15:AC16" si="16">SUM(O15:R15)</f>
        <v>27987.326999999997</v>
      </c>
      <c r="AD15" s="4">
        <f t="shared" ref="AD15:AM15" si="17">AD12*0.85</f>
        <v>30907.004700000001</v>
      </c>
      <c r="AE15" s="4">
        <f t="shared" si="17"/>
        <v>32761.424982000004</v>
      </c>
      <c r="AF15" s="4">
        <f t="shared" si="17"/>
        <v>34071.881981280007</v>
      </c>
      <c r="AG15" s="4">
        <f t="shared" si="17"/>
        <v>35094.03844071841</v>
      </c>
      <c r="AH15" s="4">
        <f t="shared" si="17"/>
        <v>35795.919209532774</v>
      </c>
      <c r="AI15" s="4">
        <f t="shared" si="17"/>
        <v>36153.878401628106</v>
      </c>
      <c r="AJ15" s="4">
        <f t="shared" si="17"/>
        <v>36515.417185644386</v>
      </c>
      <c r="AK15" s="4">
        <f t="shared" si="17"/>
        <v>36880.571357500834</v>
      </c>
      <c r="AL15" s="4">
        <f t="shared" si="17"/>
        <v>37249.37707107584</v>
      </c>
      <c r="AM15" s="4">
        <f t="shared" si="17"/>
        <v>37621.8708417866</v>
      </c>
    </row>
    <row r="16" spans="2:39" x14ac:dyDescent="0.3">
      <c r="B16" s="1" t="s">
        <v>25</v>
      </c>
      <c r="K16" s="4">
        <v>3879</v>
      </c>
      <c r="L16" s="4">
        <v>4049</v>
      </c>
      <c r="M16" s="4">
        <v>4095</v>
      </c>
      <c r="N16" s="4">
        <f t="shared" si="15"/>
        <v>3997</v>
      </c>
      <c r="O16" s="4">
        <v>4189</v>
      </c>
      <c r="P16" s="4">
        <v>4269</v>
      </c>
      <c r="Q16" s="4">
        <v>4151</v>
      </c>
      <c r="R16" s="4">
        <f>R13*0.85</f>
        <v>4170.8819999999996</v>
      </c>
      <c r="T16" s="4">
        <v>9741</v>
      </c>
      <c r="U16" s="4">
        <v>9958</v>
      </c>
      <c r="V16" s="4">
        <v>13584</v>
      </c>
      <c r="W16" s="4">
        <v>13752</v>
      </c>
      <c r="X16" s="4">
        <v>13408</v>
      </c>
      <c r="Y16" s="4">
        <v>13537</v>
      </c>
      <c r="Z16" s="4">
        <v>13804</v>
      </c>
      <c r="AA16" s="4">
        <v>15009</v>
      </c>
      <c r="AB16" s="4">
        <v>16020</v>
      </c>
      <c r="AC16" s="4">
        <f t="shared" si="16"/>
        <v>16779.881999999998</v>
      </c>
      <c r="AD16" s="4">
        <f t="shared" ref="AD16:AM16" si="18">AD13*0.84</f>
        <v>17053.887983999997</v>
      </c>
      <c r="AE16" s="4">
        <f t="shared" si="18"/>
        <v>17565.504623519999</v>
      </c>
      <c r="AF16" s="4">
        <f t="shared" si="18"/>
        <v>18092.469762225603</v>
      </c>
      <c r="AG16" s="4">
        <f t="shared" si="18"/>
        <v>18635.243855092373</v>
      </c>
      <c r="AH16" s="4">
        <f t="shared" si="18"/>
        <v>19007.948732194218</v>
      </c>
      <c r="AI16" s="4">
        <f t="shared" si="18"/>
        <v>19388.107706838102</v>
      </c>
      <c r="AJ16" s="4">
        <f t="shared" si="18"/>
        <v>19775.869860974864</v>
      </c>
      <c r="AK16" s="4">
        <f t="shared" si="18"/>
        <v>20171.387258194361</v>
      </c>
      <c r="AL16" s="4">
        <f t="shared" si="18"/>
        <v>20574.81500335825</v>
      </c>
      <c r="AM16" s="4">
        <f t="shared" si="18"/>
        <v>20986.311303425413</v>
      </c>
    </row>
    <row r="17" spans="2:138" x14ac:dyDescent="0.3">
      <c r="B17" s="1" t="s">
        <v>26</v>
      </c>
      <c r="K17" s="4">
        <f>K15+K16</f>
        <v>9068</v>
      </c>
      <c r="L17" s="4">
        <f>L15+L16</f>
        <v>10176</v>
      </c>
      <c r="M17" s="4">
        <f>M15+M16</f>
        <v>9855</v>
      </c>
      <c r="N17" s="4">
        <f>N15+N16</f>
        <v>11253</v>
      </c>
      <c r="O17" s="4">
        <f>O15+O16</f>
        <v>10330</v>
      </c>
      <c r="P17" s="4">
        <f>P15+P16</f>
        <v>11092</v>
      </c>
      <c r="Q17" s="4">
        <f>Q15+Q16</f>
        <v>10939</v>
      </c>
      <c r="R17" s="4">
        <f>R15+R16</f>
        <v>12406.208999999999</v>
      </c>
      <c r="T17" s="4">
        <f t="shared" ref="T17:AB17" si="19">T15+T16</f>
        <v>24896</v>
      </c>
      <c r="U17" s="4">
        <f t="shared" si="19"/>
        <v>24731</v>
      </c>
      <c r="V17" s="4">
        <f t="shared" si="19"/>
        <v>29478</v>
      </c>
      <c r="W17" s="4">
        <f t="shared" si="19"/>
        <v>32363</v>
      </c>
      <c r="X17" s="4">
        <f t="shared" si="19"/>
        <v>31600</v>
      </c>
      <c r="Y17" s="4">
        <f t="shared" si="19"/>
        <v>32061</v>
      </c>
      <c r="Z17" s="4">
        <f t="shared" si="19"/>
        <v>32785</v>
      </c>
      <c r="AA17" s="4">
        <f t="shared" si="19"/>
        <v>35600</v>
      </c>
      <c r="AB17" s="4">
        <f t="shared" si="19"/>
        <v>40352</v>
      </c>
      <c r="AC17" s="4">
        <f t="shared" ref="AC17" si="20">AC15+AC16</f>
        <v>44767.208999999995</v>
      </c>
      <c r="AD17" s="4">
        <f t="shared" ref="AD17" si="21">AD15+AD16</f>
        <v>47960.892683999999</v>
      </c>
      <c r="AE17" s="4">
        <f t="shared" ref="AE17" si="22">AE15+AE16</f>
        <v>50326.929605520003</v>
      </c>
      <c r="AF17" s="4">
        <f t="shared" ref="AF17" si="23">AF15+AF16</f>
        <v>52164.351743505613</v>
      </c>
      <c r="AG17" s="4">
        <f t="shared" ref="AG17" si="24">AG15+AG16</f>
        <v>53729.282295810786</v>
      </c>
      <c r="AH17" s="4">
        <f t="shared" ref="AH17" si="25">AH15+AH16</f>
        <v>54803.867941726989</v>
      </c>
      <c r="AI17" s="4">
        <f t="shared" ref="AI17" si="26">AI15+AI16</f>
        <v>55541.986108466212</v>
      </c>
      <c r="AJ17" s="4">
        <f t="shared" ref="AJ17" si="27">AJ15+AJ16</f>
        <v>56291.287046619254</v>
      </c>
      <c r="AK17" s="4">
        <f t="shared" ref="AK17" si="28">AK15+AK16</f>
        <v>57051.958615695199</v>
      </c>
      <c r="AL17" s="4">
        <f t="shared" ref="AL17" si="29">AL15+AL16</f>
        <v>57824.19207443409</v>
      </c>
      <c r="AM17" s="4">
        <f t="shared" ref="AM17" si="30">AM15+AM16</f>
        <v>58608.182145212013</v>
      </c>
    </row>
    <row r="18" spans="2:138" s="2" customFormat="1" x14ac:dyDescent="0.3">
      <c r="B18" s="2" t="s">
        <v>27</v>
      </c>
      <c r="K18" s="9">
        <f>K14-K17</f>
        <v>1663</v>
      </c>
      <c r="L18" s="9">
        <f>L14-L17</f>
        <v>1800</v>
      </c>
      <c r="M18" s="9">
        <f>M14-M17</f>
        <v>1816</v>
      </c>
      <c r="N18" s="9">
        <f>N14-N17</f>
        <v>2085</v>
      </c>
      <c r="O18" s="9">
        <f>O14-O17</f>
        <v>1893</v>
      </c>
      <c r="P18" s="9">
        <f>P14-P17</f>
        <v>1949</v>
      </c>
      <c r="Q18" s="9">
        <f>Q14-Q17</f>
        <v>1968</v>
      </c>
      <c r="R18" s="9">
        <f>R14-R17</f>
        <v>2189.3310000000001</v>
      </c>
      <c r="T18" s="9">
        <f t="shared" ref="T18:AB18" si="31">T14-T17</f>
        <v>5665</v>
      </c>
      <c r="U18" s="9">
        <f t="shared" si="31"/>
        <v>6242</v>
      </c>
      <c r="V18" s="9">
        <f t="shared" si="31"/>
        <v>6715</v>
      </c>
      <c r="W18" s="9">
        <f t="shared" si="31"/>
        <v>6987</v>
      </c>
      <c r="X18" s="9">
        <f t="shared" si="31"/>
        <v>6325</v>
      </c>
      <c r="Y18" s="9">
        <f t="shared" si="31"/>
        <v>6408</v>
      </c>
      <c r="Z18" s="9">
        <f t="shared" si="31"/>
        <v>6622</v>
      </c>
      <c r="AA18" s="9">
        <f t="shared" si="31"/>
        <v>6672</v>
      </c>
      <c r="AB18" s="9">
        <f t="shared" si="31"/>
        <v>7364</v>
      </c>
      <c r="AC18" s="9">
        <f t="shared" ref="AC18" si="32">AC14-AC17</f>
        <v>7999.3309999999983</v>
      </c>
      <c r="AD18" s="9">
        <f t="shared" ref="AD18" si="33">AD14-AD17</f>
        <v>8702.5369160000046</v>
      </c>
      <c r="AE18" s="9">
        <f t="shared" ref="AE18" si="34">AE14-AE17</f>
        <v>9127.2383424799991</v>
      </c>
      <c r="AF18" s="9">
        <f t="shared" ref="AF18" si="35">AF14-AF17</f>
        <v>9458.8697721343924</v>
      </c>
      <c r="AG18" s="9">
        <f t="shared" ref="AG18" si="36">AG14-AG17</f>
        <v>9742.6358652984272</v>
      </c>
      <c r="AH18" s="9">
        <f t="shared" ref="AH18" si="37">AH14-AH17</f>
        <v>9937.4885826044047</v>
      </c>
      <c r="AI18" s="9">
        <f t="shared" ref="AI18" si="38">AI14-AI17</f>
        <v>10073.069085063195</v>
      </c>
      <c r="AJ18" s="9">
        <f t="shared" ref="AJ18" si="39">AJ14-AJ17</f>
        <v>10210.729504879244</v>
      </c>
      <c r="AK18" s="9">
        <f t="shared" ref="AK18" si="40">AK14-AK17</f>
        <v>10350.505123472743</v>
      </c>
      <c r="AL18" s="9">
        <f t="shared" ref="AL18" si="41">AL14-AL17</f>
        <v>10492.431864723083</v>
      </c>
      <c r="AM18" s="9">
        <f t="shared" ref="AM18" si="42">AM14-AM17</f>
        <v>10636.546307186225</v>
      </c>
    </row>
    <row r="19" spans="2:138" x14ac:dyDescent="0.3">
      <c r="B19" s="1" t="s">
        <v>28</v>
      </c>
      <c r="K19" s="4">
        <v>627</v>
      </c>
      <c r="L19" s="4">
        <v>644</v>
      </c>
      <c r="M19" s="4">
        <v>635</v>
      </c>
      <c r="N19" s="4">
        <f>AB19-M19-L19-K19</f>
        <v>662</v>
      </c>
      <c r="O19" s="4">
        <v>625</v>
      </c>
      <c r="P19" s="4">
        <v>644</v>
      </c>
      <c r="Q19" s="4">
        <v>637</v>
      </c>
      <c r="R19" s="4">
        <f>N19*1.005</f>
        <v>665.31</v>
      </c>
      <c r="T19" s="4">
        <v>1921</v>
      </c>
      <c r="U19" s="4">
        <v>2006</v>
      </c>
      <c r="V19" s="4">
        <v>2258</v>
      </c>
      <c r="W19" s="4">
        <v>2417</v>
      </c>
      <c r="X19" s="4">
        <v>2192</v>
      </c>
      <c r="Y19" s="4">
        <v>2245</v>
      </c>
      <c r="Z19" s="4">
        <v>2411</v>
      </c>
      <c r="AA19" s="4">
        <v>2427</v>
      </c>
      <c r="AB19" s="4">
        <v>2568</v>
      </c>
      <c r="AC19" s="4">
        <f>SUM(O19:R19)</f>
        <v>2571.31</v>
      </c>
      <c r="AD19" s="4">
        <f>AC19*1.01</f>
        <v>2597.0230999999999</v>
      </c>
      <c r="AE19" s="4">
        <f>AD19*1.01</f>
        <v>2622.9933310000001</v>
      </c>
      <c r="AF19" s="4">
        <f t="shared" ref="AF19:AM19" si="43">AE19*1.01</f>
        <v>2649.2232643100001</v>
      </c>
      <c r="AG19" s="4">
        <f t="shared" si="43"/>
        <v>2675.7154969531002</v>
      </c>
      <c r="AH19" s="4">
        <f t="shared" si="43"/>
        <v>2702.472651922631</v>
      </c>
      <c r="AI19" s="4">
        <f t="shared" si="43"/>
        <v>2729.4973784418576</v>
      </c>
      <c r="AJ19" s="4">
        <f t="shared" si="43"/>
        <v>2756.7923522262763</v>
      </c>
      <c r="AK19" s="4">
        <f t="shared" si="43"/>
        <v>2784.3602757485392</v>
      </c>
      <c r="AL19" s="4">
        <f t="shared" si="43"/>
        <v>2812.2038785060245</v>
      </c>
      <c r="AM19" s="4">
        <f t="shared" si="43"/>
        <v>2840.3259172910848</v>
      </c>
    </row>
    <row r="20" spans="2:138" s="2" customFormat="1" x14ac:dyDescent="0.3">
      <c r="B20" s="2" t="s">
        <v>29</v>
      </c>
      <c r="K20" s="9">
        <f>K18-K19</f>
        <v>1036</v>
      </c>
      <c r="L20" s="9">
        <f>L18-L19</f>
        <v>1156</v>
      </c>
      <c r="M20" s="9">
        <f>M18-M19</f>
        <v>1181</v>
      </c>
      <c r="N20" s="9">
        <f>N18-N19</f>
        <v>1423</v>
      </c>
      <c r="O20" s="9">
        <f>O18-O19</f>
        <v>1268</v>
      </c>
      <c r="P20" s="9">
        <f>P18-P19</f>
        <v>1305</v>
      </c>
      <c r="Q20" s="9">
        <f>Q18-Q19</f>
        <v>1331</v>
      </c>
      <c r="R20" s="9">
        <f>R18-R19</f>
        <v>1524.0210000000002</v>
      </c>
      <c r="T20" s="9">
        <f t="shared" ref="T20:AC20" si="44">T18-T19</f>
        <v>3744</v>
      </c>
      <c r="U20" s="9">
        <f t="shared" si="44"/>
        <v>4236</v>
      </c>
      <c r="V20" s="9">
        <f t="shared" si="44"/>
        <v>4457</v>
      </c>
      <c r="W20" s="9">
        <f t="shared" si="44"/>
        <v>4570</v>
      </c>
      <c r="X20" s="9">
        <f t="shared" si="44"/>
        <v>4133</v>
      </c>
      <c r="Y20" s="9">
        <f t="shared" si="44"/>
        <v>4163</v>
      </c>
      <c r="Z20" s="9">
        <f t="shared" si="44"/>
        <v>4211</v>
      </c>
      <c r="AA20" s="9">
        <f t="shared" si="44"/>
        <v>4245</v>
      </c>
      <c r="AB20" s="9">
        <f t="shared" si="44"/>
        <v>4796</v>
      </c>
      <c r="AC20" s="9">
        <f t="shared" si="44"/>
        <v>5428.0209999999988</v>
      </c>
      <c r="AD20" s="9">
        <f t="shared" ref="AD20" si="45">AD18-AD19</f>
        <v>6105.5138160000042</v>
      </c>
      <c r="AE20" s="9">
        <f t="shared" ref="AE20" si="46">AE18-AE19</f>
        <v>6504.2450114799994</v>
      </c>
      <c r="AF20" s="9">
        <f t="shared" ref="AF20" si="47">AF18-AF19</f>
        <v>6809.6465078243928</v>
      </c>
      <c r="AG20" s="9">
        <f t="shared" ref="AG20" si="48">AG18-AG19</f>
        <v>7066.920368345327</v>
      </c>
      <c r="AH20" s="9">
        <f t="shared" ref="AH20" si="49">AH18-AH19</f>
        <v>7235.0159306817732</v>
      </c>
      <c r="AI20" s="9">
        <f t="shared" ref="AI20" si="50">AI18-AI19</f>
        <v>7343.5717066213365</v>
      </c>
      <c r="AJ20" s="9">
        <f t="shared" ref="AJ20" si="51">AJ18-AJ19</f>
        <v>7453.9371526529676</v>
      </c>
      <c r="AK20" s="9">
        <f t="shared" ref="AK20" si="52">AK18-AK19</f>
        <v>7566.1448477242047</v>
      </c>
      <c r="AL20" s="9">
        <f t="shared" ref="AL20" si="53">AL18-AL19</f>
        <v>7680.2279862170581</v>
      </c>
      <c r="AM20" s="9">
        <f t="shared" ref="AM20" si="54">AM18-AM19</f>
        <v>7796.2203898951402</v>
      </c>
    </row>
    <row r="21" spans="2:138" x14ac:dyDescent="0.3">
      <c r="B21" s="1" t="s">
        <v>30</v>
      </c>
      <c r="K21" s="4">
        <v>-14</v>
      </c>
      <c r="L21" s="4">
        <v>-18</v>
      </c>
      <c r="M21" s="4">
        <v>-15</v>
      </c>
      <c r="N21" s="4">
        <f t="shared" ref="N21:N22" si="55">AB21-M21-L21-K21</f>
        <v>-21</v>
      </c>
      <c r="O21" s="4">
        <v>-21</v>
      </c>
      <c r="P21" s="4">
        <v>-15</v>
      </c>
      <c r="Q21" s="4">
        <v>-15</v>
      </c>
      <c r="R21" s="4">
        <v>-15</v>
      </c>
      <c r="T21" s="4">
        <v>-3</v>
      </c>
      <c r="U21" s="4">
        <v>56</v>
      </c>
      <c r="V21" s="4">
        <v>16</v>
      </c>
      <c r="W21" s="4">
        <v>-92</v>
      </c>
      <c r="X21" s="4">
        <v>-82</v>
      </c>
      <c r="Y21" s="4">
        <v>-134</v>
      </c>
      <c r="Z21" s="4">
        <v>-189</v>
      </c>
      <c r="AA21" s="4">
        <v>-82</v>
      </c>
      <c r="AB21" s="4">
        <v>-68</v>
      </c>
      <c r="AC21" s="4">
        <f t="shared" ref="AC21:AC22" si="56">SUM(O21:R21)</f>
        <v>-66</v>
      </c>
      <c r="AD21" s="4">
        <f t="shared" ref="AD21:AM21" si="57">AC21*1.01</f>
        <v>-66.66</v>
      </c>
      <c r="AE21" s="4">
        <f t="shared" si="57"/>
        <v>-67.326599999999999</v>
      </c>
      <c r="AF21" s="4">
        <f t="shared" si="57"/>
        <v>-67.999865999999997</v>
      </c>
      <c r="AG21" s="4">
        <f t="shared" si="57"/>
        <v>-68.679864659999993</v>
      </c>
      <c r="AH21" s="4">
        <f t="shared" si="57"/>
        <v>-69.366663306599989</v>
      </c>
      <c r="AI21" s="4">
        <f t="shared" si="57"/>
        <v>-70.060329939665991</v>
      </c>
      <c r="AJ21" s="4">
        <f t="shared" si="57"/>
        <v>-70.760933239062652</v>
      </c>
      <c r="AK21" s="4">
        <f t="shared" si="57"/>
        <v>-71.468542571453284</v>
      </c>
      <c r="AL21" s="4">
        <f t="shared" si="57"/>
        <v>-72.183227997167819</v>
      </c>
      <c r="AM21" s="4">
        <f t="shared" si="57"/>
        <v>-72.905060277139498</v>
      </c>
    </row>
    <row r="22" spans="2:138" x14ac:dyDescent="0.3">
      <c r="B22" s="1" t="s">
        <v>31</v>
      </c>
      <c r="K22" s="4">
        <v>82</v>
      </c>
      <c r="L22" s="4">
        <v>84</v>
      </c>
      <c r="M22" s="4">
        <v>82</v>
      </c>
      <c r="N22" s="4">
        <f t="shared" si="55"/>
        <v>76</v>
      </c>
      <c r="O22" s="4">
        <v>89</v>
      </c>
      <c r="P22" s="4">
        <v>88</v>
      </c>
      <c r="Q22" s="4">
        <v>74</v>
      </c>
      <c r="R22" s="4">
        <v>75</v>
      </c>
      <c r="T22" s="4">
        <v>91</v>
      </c>
      <c r="U22" s="4">
        <v>103</v>
      </c>
      <c r="V22" s="4">
        <v>356</v>
      </c>
      <c r="W22" s="4">
        <v>460</v>
      </c>
      <c r="X22" s="4">
        <v>477</v>
      </c>
      <c r="Y22" s="4">
        <v>424</v>
      </c>
      <c r="Z22" s="4">
        <v>364</v>
      </c>
      <c r="AA22" s="4">
        <v>343</v>
      </c>
      <c r="AB22" s="4">
        <v>324</v>
      </c>
      <c r="AC22" s="4">
        <f t="shared" si="56"/>
        <v>326</v>
      </c>
      <c r="AD22" s="4">
        <f t="shared" ref="AD22:AM22" si="58">AC22*1.01</f>
        <v>329.26</v>
      </c>
      <c r="AE22" s="4">
        <f t="shared" si="58"/>
        <v>332.55259999999998</v>
      </c>
      <c r="AF22" s="4">
        <f t="shared" si="58"/>
        <v>335.87812600000001</v>
      </c>
      <c r="AG22" s="4">
        <f t="shared" si="58"/>
        <v>339.23690726000001</v>
      </c>
      <c r="AH22" s="4">
        <f t="shared" si="58"/>
        <v>342.6292763326</v>
      </c>
      <c r="AI22" s="4">
        <f t="shared" si="58"/>
        <v>346.05556909592599</v>
      </c>
      <c r="AJ22" s="4">
        <f t="shared" si="58"/>
        <v>349.51612478688526</v>
      </c>
      <c r="AK22" s="4">
        <f t="shared" si="58"/>
        <v>353.01128603475411</v>
      </c>
      <c r="AL22" s="4">
        <f t="shared" si="58"/>
        <v>356.54139889510168</v>
      </c>
      <c r="AM22" s="4">
        <f t="shared" si="58"/>
        <v>360.10681288405272</v>
      </c>
    </row>
    <row r="23" spans="2:138" s="2" customFormat="1" x14ac:dyDescent="0.3">
      <c r="B23" s="2" t="s">
        <v>32</v>
      </c>
      <c r="K23" s="9">
        <f>K20-K21-K22</f>
        <v>968</v>
      </c>
      <c r="L23" s="9">
        <f>L20-L21-L22</f>
        <v>1090</v>
      </c>
      <c r="M23" s="9">
        <f>M20-M21-M22</f>
        <v>1114</v>
      </c>
      <c r="N23" s="9">
        <f>N20-N21-N22</f>
        <v>1368</v>
      </c>
      <c r="O23" s="9">
        <f>O20-O21-O22</f>
        <v>1200</v>
      </c>
      <c r="P23" s="9">
        <f>P20-P21-P22</f>
        <v>1232</v>
      </c>
      <c r="Q23" s="9">
        <f>Q20-Q21-Q22</f>
        <v>1272</v>
      </c>
      <c r="R23" s="9">
        <f>R20-R21-R22</f>
        <v>1464.0210000000002</v>
      </c>
      <c r="T23" s="9">
        <f t="shared" ref="T23:AC23" si="59">T20-T21-T22</f>
        <v>3656</v>
      </c>
      <c r="U23" s="9">
        <f t="shared" si="59"/>
        <v>4077</v>
      </c>
      <c r="V23" s="9">
        <f t="shared" si="59"/>
        <v>4085</v>
      </c>
      <c r="W23" s="9">
        <f t="shared" si="59"/>
        <v>4202</v>
      </c>
      <c r="X23" s="9">
        <f t="shared" si="59"/>
        <v>3738</v>
      </c>
      <c r="Y23" s="9">
        <f t="shared" si="59"/>
        <v>3873</v>
      </c>
      <c r="Z23" s="9">
        <f t="shared" si="59"/>
        <v>4036</v>
      </c>
      <c r="AA23" s="9">
        <f t="shared" si="59"/>
        <v>3984</v>
      </c>
      <c r="AB23" s="9">
        <f t="shared" si="59"/>
        <v>4540</v>
      </c>
      <c r="AC23" s="9">
        <f t="shared" si="59"/>
        <v>5168.0209999999988</v>
      </c>
      <c r="AD23" s="9">
        <f t="shared" ref="AD23" si="60">AD20-AD21-AD22</f>
        <v>5842.9138160000039</v>
      </c>
      <c r="AE23" s="9">
        <f t="shared" ref="AE23" si="61">AE20-AE21-AE22</f>
        <v>6239.0190114799998</v>
      </c>
      <c r="AF23" s="9">
        <f t="shared" ref="AF23" si="62">AF20-AF21-AF22</f>
        <v>6541.7682478243933</v>
      </c>
      <c r="AG23" s="9">
        <f t="shared" ref="AG23" si="63">AG20-AG21-AG22</f>
        <v>6796.3633257453266</v>
      </c>
      <c r="AH23" s="9">
        <f t="shared" ref="AH23" si="64">AH20-AH21-AH22</f>
        <v>6961.7533176557727</v>
      </c>
      <c r="AI23" s="9">
        <f t="shared" ref="AI23" si="65">AI20-AI21-AI22</f>
        <v>7067.5764674650763</v>
      </c>
      <c r="AJ23" s="9">
        <f t="shared" ref="AJ23" si="66">AJ20-AJ21-AJ22</f>
        <v>7175.1819611051451</v>
      </c>
      <c r="AK23" s="9">
        <f t="shared" ref="AK23" si="67">AK20-AK21-AK22</f>
        <v>7284.6021042609036</v>
      </c>
      <c r="AL23" s="9">
        <f t="shared" ref="AL23" si="68">AL20-AL21-AL22</f>
        <v>7395.8698153191244</v>
      </c>
      <c r="AM23" s="9">
        <f t="shared" ref="AM23" si="69">AM20-AM21-AM22</f>
        <v>7509.0186372882272</v>
      </c>
    </row>
    <row r="24" spans="2:138" x14ac:dyDescent="0.3">
      <c r="B24" s="1" t="s">
        <v>19</v>
      </c>
      <c r="K24" s="4">
        <v>169</v>
      </c>
      <c r="L24" s="4">
        <v>185</v>
      </c>
      <c r="M24" s="4">
        <v>184</v>
      </c>
      <c r="N24" s="4">
        <f>AB24-M24-L24-K24</f>
        <v>220</v>
      </c>
      <c r="O24" s="4">
        <v>206</v>
      </c>
      <c r="P24" s="4">
        <v>218</v>
      </c>
      <c r="Q24" s="4">
        <v>213</v>
      </c>
      <c r="R24" s="4">
        <f>R23*0.17</f>
        <v>248.88357000000005</v>
      </c>
      <c r="T24" s="4">
        <f>977+107</f>
        <v>1084</v>
      </c>
      <c r="U24" s="4">
        <v>1165</v>
      </c>
      <c r="V24" s="4">
        <f>727+13</f>
        <v>740</v>
      </c>
      <c r="W24" s="4">
        <v>718</v>
      </c>
      <c r="X24" s="4">
        <v>571</v>
      </c>
      <c r="Y24" s="4">
        <v>616</v>
      </c>
      <c r="Z24" s="4">
        <v>646</v>
      </c>
      <c r="AA24" s="4">
        <v>669</v>
      </c>
      <c r="AB24" s="4">
        <v>758</v>
      </c>
      <c r="AC24" s="4">
        <f>SUM(O24:R24)</f>
        <v>885.88357000000008</v>
      </c>
      <c r="AD24" s="4">
        <f t="shared" ref="AD24:AM24" si="70">AD23*0.17</f>
        <v>993.29534872000067</v>
      </c>
      <c r="AE24" s="4">
        <f t="shared" si="70"/>
        <v>1060.6332319516</v>
      </c>
      <c r="AF24" s="4">
        <f t="shared" si="70"/>
        <v>1112.1006021301469</v>
      </c>
      <c r="AG24" s="4">
        <f t="shared" si="70"/>
        <v>1155.3817653767055</v>
      </c>
      <c r="AH24" s="4">
        <f t="shared" si="70"/>
        <v>1183.4980640014815</v>
      </c>
      <c r="AI24" s="4">
        <f t="shared" si="70"/>
        <v>1201.487999469063</v>
      </c>
      <c r="AJ24" s="4">
        <f t="shared" si="70"/>
        <v>1219.7809333878747</v>
      </c>
      <c r="AK24" s="4">
        <f t="shared" si="70"/>
        <v>1238.3823577243536</v>
      </c>
      <c r="AL24" s="4">
        <f t="shared" si="70"/>
        <v>1257.2978686042513</v>
      </c>
      <c r="AM24" s="4">
        <f t="shared" si="70"/>
        <v>1276.5331683389986</v>
      </c>
    </row>
    <row r="25" spans="2:138" s="2" customFormat="1" x14ac:dyDescent="0.3">
      <c r="B25" s="2" t="s">
        <v>33</v>
      </c>
      <c r="K25" s="9">
        <f>K23-K24</f>
        <v>799</v>
      </c>
      <c r="L25" s="9">
        <f>L23-L24</f>
        <v>905</v>
      </c>
      <c r="M25" s="9">
        <f>M23-M24</f>
        <v>930</v>
      </c>
      <c r="N25" s="9">
        <f>N23-N24</f>
        <v>1148</v>
      </c>
      <c r="O25" s="9">
        <f>O23-O24</f>
        <v>994</v>
      </c>
      <c r="P25" s="9">
        <f>P23-P24</f>
        <v>1014</v>
      </c>
      <c r="Q25" s="9">
        <f>Q23-Q24</f>
        <v>1059</v>
      </c>
      <c r="R25" s="9">
        <f>R23-R24</f>
        <v>1215.1374300000002</v>
      </c>
      <c r="T25" s="9">
        <f t="shared" ref="T25:AC25" si="71">T23-T24</f>
        <v>2572</v>
      </c>
      <c r="U25" s="9">
        <f t="shared" si="71"/>
        <v>2912</v>
      </c>
      <c r="V25" s="9">
        <f t="shared" si="71"/>
        <v>3345</v>
      </c>
      <c r="W25" s="9">
        <f t="shared" si="71"/>
        <v>3484</v>
      </c>
      <c r="X25" s="9">
        <f t="shared" si="71"/>
        <v>3167</v>
      </c>
      <c r="Y25" s="9">
        <f t="shared" si="71"/>
        <v>3257</v>
      </c>
      <c r="Z25" s="9">
        <f t="shared" si="71"/>
        <v>3390</v>
      </c>
      <c r="AA25" s="9">
        <f t="shared" si="71"/>
        <v>3315</v>
      </c>
      <c r="AB25" s="9">
        <f t="shared" si="71"/>
        <v>3782</v>
      </c>
      <c r="AC25" s="9">
        <f t="shared" si="71"/>
        <v>4282.1374299999989</v>
      </c>
      <c r="AD25" s="9">
        <f t="shared" ref="AD25" si="72">AD23-AD24</f>
        <v>4849.6184672800027</v>
      </c>
      <c r="AE25" s="9">
        <f t="shared" ref="AE25" si="73">AE23-AE24</f>
        <v>5178.3857795284002</v>
      </c>
      <c r="AF25" s="9">
        <f t="shared" ref="AF25" si="74">AF23-AF24</f>
        <v>5429.6676456942459</v>
      </c>
      <c r="AG25" s="9">
        <f t="shared" ref="AG25" si="75">AG23-AG24</f>
        <v>5640.9815603686211</v>
      </c>
      <c r="AH25" s="9">
        <f t="shared" ref="AH25" si="76">AH23-AH24</f>
        <v>5778.2552536542917</v>
      </c>
      <c r="AI25" s="9">
        <f t="shared" ref="AI25" si="77">AI23-AI24</f>
        <v>5866.0884679960136</v>
      </c>
      <c r="AJ25" s="9">
        <f t="shared" ref="AJ25" si="78">AJ23-AJ24</f>
        <v>5955.4010277172702</v>
      </c>
      <c r="AK25" s="9">
        <f t="shared" ref="AK25" si="79">AK23-AK24</f>
        <v>6046.2197465365498</v>
      </c>
      <c r="AL25" s="9">
        <f t="shared" ref="AL25" si="80">AL23-AL24</f>
        <v>6138.5719467148729</v>
      </c>
      <c r="AM25" s="9">
        <f t="shared" ref="AM25" si="81">AM23-AM24</f>
        <v>6232.4854689492286</v>
      </c>
      <c r="AN25" s="2">
        <f>AM25*(1+$AP$35)</f>
        <v>6170.1606142597366</v>
      </c>
      <c r="AO25" s="2">
        <f t="shared" ref="AO25:CZ25" si="82">AN25*(1+$AP$35)</f>
        <v>6108.4590081171391</v>
      </c>
      <c r="AP25" s="2">
        <f t="shared" si="82"/>
        <v>6047.3744180359672</v>
      </c>
      <c r="AQ25" s="2">
        <f t="shared" si="82"/>
        <v>5986.9006738556072</v>
      </c>
      <c r="AR25" s="2">
        <f t="shared" si="82"/>
        <v>5927.0316671170513</v>
      </c>
      <c r="AS25" s="2">
        <f t="shared" si="82"/>
        <v>5867.7613504458805</v>
      </c>
      <c r="AT25" s="2">
        <f t="shared" si="82"/>
        <v>5809.0837369414212</v>
      </c>
      <c r="AU25" s="2">
        <f t="shared" si="82"/>
        <v>5750.9928995720065</v>
      </c>
      <c r="AV25" s="2">
        <f t="shared" si="82"/>
        <v>5693.4829705762868</v>
      </c>
      <c r="AW25" s="2">
        <f t="shared" si="82"/>
        <v>5636.5481408705236</v>
      </c>
      <c r="AX25" s="2">
        <f t="shared" si="82"/>
        <v>5580.1826594618187</v>
      </c>
      <c r="AY25" s="2">
        <f t="shared" si="82"/>
        <v>5524.3808328672003</v>
      </c>
      <c r="AZ25" s="2">
        <f t="shared" si="82"/>
        <v>5469.1370245385278</v>
      </c>
      <c r="BA25" s="2">
        <f t="shared" si="82"/>
        <v>5414.4456542931421</v>
      </c>
      <c r="BB25" s="2">
        <f t="shared" si="82"/>
        <v>5360.301197750211</v>
      </c>
      <c r="BC25" s="2">
        <f t="shared" si="82"/>
        <v>5306.6981857727087</v>
      </c>
      <c r="BD25" s="2">
        <f t="shared" si="82"/>
        <v>5253.6312039149816</v>
      </c>
      <c r="BE25" s="2">
        <f t="shared" si="82"/>
        <v>5201.0948918758313</v>
      </c>
      <c r="BF25" s="2">
        <f t="shared" si="82"/>
        <v>5149.0839429570733</v>
      </c>
      <c r="BG25" s="2">
        <f t="shared" si="82"/>
        <v>5097.5931035275025</v>
      </c>
      <c r="BH25" s="2">
        <f t="shared" si="82"/>
        <v>5046.6171724922278</v>
      </c>
      <c r="BI25" s="2">
        <f t="shared" si="82"/>
        <v>4996.151000767306</v>
      </c>
      <c r="BJ25" s="2">
        <f t="shared" si="82"/>
        <v>4946.1894907596325</v>
      </c>
      <c r="BK25" s="2">
        <f t="shared" si="82"/>
        <v>4896.7275958520358</v>
      </c>
      <c r="BL25" s="2">
        <f t="shared" si="82"/>
        <v>4847.7603198935158</v>
      </c>
      <c r="BM25" s="2">
        <f t="shared" si="82"/>
        <v>4799.2827166945808</v>
      </c>
      <c r="BN25" s="2">
        <f t="shared" si="82"/>
        <v>4751.2898895276348</v>
      </c>
      <c r="BO25" s="2">
        <f t="shared" si="82"/>
        <v>4703.7769906323583</v>
      </c>
      <c r="BP25" s="2">
        <f t="shared" si="82"/>
        <v>4656.7392207260345</v>
      </c>
      <c r="BQ25" s="2">
        <f t="shared" si="82"/>
        <v>4610.1718285187744</v>
      </c>
      <c r="BR25" s="2">
        <f t="shared" si="82"/>
        <v>4564.070110233587</v>
      </c>
      <c r="BS25" s="2">
        <f t="shared" si="82"/>
        <v>4518.4294091312513</v>
      </c>
      <c r="BT25" s="2">
        <f t="shared" si="82"/>
        <v>4473.2451150399384</v>
      </c>
      <c r="BU25" s="2">
        <f t="shared" si="82"/>
        <v>4428.512663889539</v>
      </c>
      <c r="BV25" s="2">
        <f t="shared" si="82"/>
        <v>4384.2275372506438</v>
      </c>
      <c r="BW25" s="2">
        <f t="shared" si="82"/>
        <v>4340.3852618781375</v>
      </c>
      <c r="BX25" s="2">
        <f t="shared" si="82"/>
        <v>4296.981409259356</v>
      </c>
      <c r="BY25" s="2">
        <f t="shared" si="82"/>
        <v>4254.0115951667622</v>
      </c>
      <c r="BZ25" s="2">
        <f t="shared" si="82"/>
        <v>4211.4714792150944</v>
      </c>
      <c r="CA25" s="2">
        <f t="shared" si="82"/>
        <v>4169.3567644229433</v>
      </c>
      <c r="CB25" s="2">
        <f t="shared" si="82"/>
        <v>4127.6631967787134</v>
      </c>
      <c r="CC25" s="2">
        <f t="shared" si="82"/>
        <v>4086.3865648109263</v>
      </c>
      <c r="CD25" s="2">
        <f t="shared" si="82"/>
        <v>4045.5226991628169</v>
      </c>
      <c r="CE25" s="2">
        <f t="shared" si="82"/>
        <v>4005.0674721711889</v>
      </c>
      <c r="CF25" s="2">
        <f t="shared" si="82"/>
        <v>3965.0167974494771</v>
      </c>
      <c r="CG25" s="2">
        <f t="shared" si="82"/>
        <v>3925.3666294749823</v>
      </c>
      <c r="CH25" s="2">
        <f t="shared" si="82"/>
        <v>3886.1129631802323</v>
      </c>
      <c r="CI25" s="2">
        <f t="shared" si="82"/>
        <v>3847.2518335484301</v>
      </c>
      <c r="CJ25" s="2">
        <f t="shared" si="82"/>
        <v>3808.7793152129457</v>
      </c>
      <c r="CK25" s="2">
        <f t="shared" si="82"/>
        <v>3770.6915220608162</v>
      </c>
      <c r="CL25" s="2">
        <f t="shared" si="82"/>
        <v>3732.984606840208</v>
      </c>
      <c r="CM25" s="2">
        <f t="shared" si="82"/>
        <v>3695.6547607718057</v>
      </c>
      <c r="CN25" s="2">
        <f t="shared" si="82"/>
        <v>3658.6982131640875</v>
      </c>
      <c r="CO25" s="2">
        <f t="shared" si="82"/>
        <v>3622.1112310324465</v>
      </c>
      <c r="CP25" s="2">
        <f t="shared" si="82"/>
        <v>3585.8901187221222</v>
      </c>
      <c r="CQ25" s="2">
        <f t="shared" si="82"/>
        <v>3550.0312175349009</v>
      </c>
      <c r="CR25" s="2">
        <f t="shared" si="82"/>
        <v>3514.530905359552</v>
      </c>
      <c r="CS25" s="2">
        <f t="shared" si="82"/>
        <v>3479.3855963059564</v>
      </c>
      <c r="CT25" s="2">
        <f t="shared" si="82"/>
        <v>3444.5917403428966</v>
      </c>
      <c r="CU25" s="2">
        <f t="shared" si="82"/>
        <v>3410.1458229394675</v>
      </c>
      <c r="CV25" s="2">
        <f t="shared" si="82"/>
        <v>3376.0443647100728</v>
      </c>
      <c r="CW25" s="2">
        <f t="shared" si="82"/>
        <v>3342.2839210629722</v>
      </c>
      <c r="CX25" s="2">
        <f t="shared" si="82"/>
        <v>3308.8610818523425</v>
      </c>
      <c r="CY25" s="2">
        <f t="shared" si="82"/>
        <v>3275.7724710338189</v>
      </c>
      <c r="CZ25" s="2">
        <f t="shared" si="82"/>
        <v>3243.0147463234807</v>
      </c>
      <c r="DA25" s="2">
        <f t="shared" ref="DA25:EH25" si="83">CZ25*(1+$AP$35)</f>
        <v>3210.5845988602459</v>
      </c>
      <c r="DB25" s="2">
        <f t="shared" si="83"/>
        <v>3178.4787528716433</v>
      </c>
      <c r="DC25" s="2">
        <f t="shared" si="83"/>
        <v>3146.6939653429267</v>
      </c>
      <c r="DD25" s="2">
        <f t="shared" si="83"/>
        <v>3115.2270256894976</v>
      </c>
      <c r="DE25" s="2">
        <f t="shared" si="83"/>
        <v>3084.0747554326026</v>
      </c>
      <c r="DF25" s="2">
        <f t="shared" si="83"/>
        <v>3053.2340078782768</v>
      </c>
      <c r="DG25" s="2">
        <f t="shared" si="83"/>
        <v>3022.7016677994939</v>
      </c>
      <c r="DH25" s="2">
        <f t="shared" si="83"/>
        <v>2992.4746511214989</v>
      </c>
      <c r="DI25" s="2">
        <f t="shared" si="83"/>
        <v>2962.5499046102841</v>
      </c>
      <c r="DJ25" s="2">
        <f t="shared" si="83"/>
        <v>2932.9244055641811</v>
      </c>
      <c r="DK25" s="2">
        <f t="shared" si="83"/>
        <v>2903.5951615085391</v>
      </c>
      <c r="DL25" s="2">
        <f t="shared" si="83"/>
        <v>2874.559209893454</v>
      </c>
      <c r="DM25" s="2">
        <f t="shared" si="83"/>
        <v>2845.8136177945194</v>
      </c>
      <c r="DN25" s="2">
        <f t="shared" si="83"/>
        <v>2817.3554816165743</v>
      </c>
      <c r="DO25" s="2">
        <f t="shared" si="83"/>
        <v>2789.1819268004083</v>
      </c>
      <c r="DP25" s="2">
        <f t="shared" si="83"/>
        <v>2761.2901075324044</v>
      </c>
      <c r="DQ25" s="2">
        <f t="shared" si="83"/>
        <v>2733.6772064570805</v>
      </c>
      <c r="DR25" s="2">
        <f t="shared" si="83"/>
        <v>2706.3404343925095</v>
      </c>
      <c r="DS25" s="2">
        <f t="shared" si="83"/>
        <v>2679.2770300485845</v>
      </c>
      <c r="DT25" s="2">
        <f t="shared" si="83"/>
        <v>2652.4842597480988</v>
      </c>
      <c r="DU25" s="2">
        <f t="shared" si="83"/>
        <v>2625.9594171506178</v>
      </c>
      <c r="DV25" s="2">
        <f t="shared" si="83"/>
        <v>2599.6998229791116</v>
      </c>
      <c r="DW25" s="2">
        <f t="shared" si="83"/>
        <v>2573.7028247493204</v>
      </c>
      <c r="DX25" s="2">
        <f t="shared" si="83"/>
        <v>2547.9657965018273</v>
      </c>
      <c r="DY25" s="2">
        <f t="shared" si="83"/>
        <v>2522.486138536809</v>
      </c>
      <c r="DZ25" s="2">
        <f t="shared" si="83"/>
        <v>2497.2612771514409</v>
      </c>
      <c r="EA25" s="2">
        <f t="shared" si="83"/>
        <v>2472.2886643799266</v>
      </c>
      <c r="EB25" s="2">
        <f t="shared" si="83"/>
        <v>2447.5657777361271</v>
      </c>
      <c r="EC25" s="2">
        <f t="shared" si="83"/>
        <v>2423.0901199587656</v>
      </c>
      <c r="ED25" s="2">
        <f t="shared" si="83"/>
        <v>2398.859218759178</v>
      </c>
      <c r="EE25" s="2">
        <f t="shared" si="83"/>
        <v>2374.8706265715864</v>
      </c>
      <c r="EF25" s="2">
        <f t="shared" si="83"/>
        <v>2351.1219203058704</v>
      </c>
      <c r="EG25" s="2">
        <f t="shared" si="83"/>
        <v>2327.6107011028116</v>
      </c>
      <c r="EH25" s="2">
        <f t="shared" si="83"/>
        <v>2304.3345940917834</v>
      </c>
    </row>
    <row r="26" spans="2:138" x14ac:dyDescent="0.3">
      <c r="B26" s="1" t="s">
        <v>2</v>
      </c>
      <c r="K26" s="4">
        <f>268.4</f>
        <v>268.39999999999998</v>
      </c>
      <c r="L26" s="4">
        <f>268.4</f>
        <v>268.39999999999998</v>
      </c>
      <c r="M26" s="4">
        <f>269</f>
        <v>269</v>
      </c>
      <c r="N26" s="4">
        <f>269</f>
        <v>269</v>
      </c>
      <c r="O26" s="4">
        <f>268.4</f>
        <v>268.39999999999998</v>
      </c>
      <c r="P26" s="4">
        <f>269</f>
        <v>269</v>
      </c>
      <c r="Q26" s="4">
        <f>270.1</f>
        <v>270.10000000000002</v>
      </c>
      <c r="R26" s="4">
        <f>270.1</f>
        <v>270.10000000000002</v>
      </c>
      <c r="T26" s="4">
        <f t="shared" ref="T26:AB26" si="84">268.4</f>
        <v>268.39999999999998</v>
      </c>
      <c r="U26" s="4">
        <f t="shared" si="84"/>
        <v>268.39999999999998</v>
      </c>
      <c r="V26" s="4">
        <f t="shared" si="84"/>
        <v>268.39999999999998</v>
      </c>
      <c r="W26" s="4">
        <f t="shared" si="84"/>
        <v>268.39999999999998</v>
      </c>
      <c r="X26" s="4">
        <f t="shared" si="84"/>
        <v>268.39999999999998</v>
      </c>
      <c r="Y26" s="4">
        <f t="shared" si="84"/>
        <v>268.39999999999998</v>
      </c>
      <c r="Z26" s="4">
        <f t="shared" si="84"/>
        <v>268.39999999999998</v>
      </c>
      <c r="AA26" s="4">
        <f t="shared" si="84"/>
        <v>268.39999999999998</v>
      </c>
      <c r="AB26" s="4">
        <f t="shared" si="84"/>
        <v>268.39999999999998</v>
      </c>
      <c r="AC26" s="4">
        <f>270.1</f>
        <v>270.10000000000002</v>
      </c>
      <c r="AD26" s="4">
        <f>270.1</f>
        <v>270.10000000000002</v>
      </c>
      <c r="AE26" s="4">
        <f>270.1</f>
        <v>270.10000000000002</v>
      </c>
      <c r="AF26" s="4">
        <f>270.1</f>
        <v>270.10000000000002</v>
      </c>
      <c r="AG26" s="4">
        <f>270.1</f>
        <v>270.10000000000002</v>
      </c>
      <c r="AH26" s="4">
        <f>270.1</f>
        <v>270.10000000000002</v>
      </c>
      <c r="AI26" s="4">
        <f>270.1</f>
        <v>270.10000000000002</v>
      </c>
      <c r="AJ26" s="4">
        <f>270.1</f>
        <v>270.10000000000002</v>
      </c>
      <c r="AK26" s="4">
        <f>270.1</f>
        <v>270.10000000000002</v>
      </c>
      <c r="AL26" s="4">
        <f>270.1</f>
        <v>270.10000000000002</v>
      </c>
      <c r="AM26" s="4">
        <f>270.1</f>
        <v>270.10000000000002</v>
      </c>
    </row>
    <row r="27" spans="2:138" x14ac:dyDescent="0.3">
      <c r="B27" s="1" t="s">
        <v>34</v>
      </c>
      <c r="K27" s="8">
        <f>K25/K26</f>
        <v>2.9769001490312967</v>
      </c>
      <c r="L27" s="8">
        <f>L25/L26</f>
        <v>3.3718330849478395</v>
      </c>
      <c r="M27" s="8">
        <f>M25/M26</f>
        <v>3.4572490706319701</v>
      </c>
      <c r="N27" s="8">
        <f>N25/N26</f>
        <v>4.2676579925650557</v>
      </c>
      <c r="O27" s="8">
        <f>O25/O26</f>
        <v>3.7034277198211627</v>
      </c>
      <c r="P27" s="8">
        <f>P25/P26</f>
        <v>3.7695167286245352</v>
      </c>
      <c r="Q27" s="8">
        <f>Q25/Q26</f>
        <v>3.9207700851536464</v>
      </c>
      <c r="R27" s="8">
        <f>R25/R26</f>
        <v>4.4988427619400229</v>
      </c>
      <c r="T27" s="8">
        <f t="shared" ref="T27:AC27" si="85">T25/T26</f>
        <v>9.5827123695976155</v>
      </c>
      <c r="U27" s="8">
        <f t="shared" si="85"/>
        <v>10.849478390461998</v>
      </c>
      <c r="V27" s="8">
        <f t="shared" si="85"/>
        <v>12.462742175856931</v>
      </c>
      <c r="W27" s="8">
        <f t="shared" si="85"/>
        <v>12.980625931445605</v>
      </c>
      <c r="X27" s="8">
        <f t="shared" si="85"/>
        <v>11.799552906110284</v>
      </c>
      <c r="Y27" s="8">
        <f t="shared" si="85"/>
        <v>12.134873323397915</v>
      </c>
      <c r="Z27" s="8">
        <f t="shared" si="85"/>
        <v>12.630402384500746</v>
      </c>
      <c r="AA27" s="8">
        <f t="shared" si="85"/>
        <v>12.350968703427721</v>
      </c>
      <c r="AB27" s="8">
        <f t="shared" si="85"/>
        <v>14.090909090909092</v>
      </c>
      <c r="AC27" s="8">
        <f t="shared" si="85"/>
        <v>15.853896445760824</v>
      </c>
      <c r="AD27" s="8">
        <f t="shared" ref="AD27" si="86">AD25/AD26</f>
        <v>17.954899915883015</v>
      </c>
      <c r="AE27" s="8">
        <f t="shared" ref="AE27" si="87">AE25/AE26</f>
        <v>19.172105810915955</v>
      </c>
      <c r="AF27" s="8">
        <f t="shared" ref="AF27" si="88">AF25/AF26</f>
        <v>20.102434823007204</v>
      </c>
      <c r="AG27" s="8">
        <f t="shared" ref="AG27" si="89">AG25/AG26</f>
        <v>20.884789190553946</v>
      </c>
      <c r="AH27" s="8">
        <f t="shared" ref="AH27" si="90">AH25/AH26</f>
        <v>21.393022042407594</v>
      </c>
      <c r="AI27" s="8">
        <f t="shared" ref="AI27" si="91">AI25/AI26</f>
        <v>21.718209803761617</v>
      </c>
      <c r="AJ27" s="8">
        <f t="shared" ref="AJ27" si="92">AJ25/AJ26</f>
        <v>22.048874593547833</v>
      </c>
      <c r="AK27" s="8">
        <f t="shared" ref="AK27" si="93">AK25/AK26</f>
        <v>22.385115685066825</v>
      </c>
      <c r="AL27" s="8">
        <f t="shared" ref="AL27" si="94">AL25/AL26</f>
        <v>22.727034234412709</v>
      </c>
      <c r="AM27" s="8">
        <f t="shared" ref="AM27" si="95">AM25/AM26</f>
        <v>23.074733317101916</v>
      </c>
    </row>
    <row r="29" spans="2:138" x14ac:dyDescent="0.3">
      <c r="B29" s="1" t="s">
        <v>68</v>
      </c>
      <c r="Q29" s="10">
        <f>Q5/M5-1</f>
        <v>0.30298146655922653</v>
      </c>
    </row>
    <row r="30" spans="2:138" x14ac:dyDescent="0.3">
      <c r="B30" s="1" t="s">
        <v>69</v>
      </c>
      <c r="Q30" s="10">
        <f t="shared" ref="Q30:Q32" si="96">Q6/M6-1</f>
        <v>0.13809391497638224</v>
      </c>
    </row>
    <row r="31" spans="2:138" x14ac:dyDescent="0.3">
      <c r="B31" s="1" t="s">
        <v>70</v>
      </c>
      <c r="Q31" s="10">
        <f t="shared" si="96"/>
        <v>1.8083182640144635E-2</v>
      </c>
    </row>
    <row r="32" spans="2:138" x14ac:dyDescent="0.3">
      <c r="B32" s="1" t="s">
        <v>71</v>
      </c>
      <c r="Q32" s="10">
        <f t="shared" si="96"/>
        <v>-1.5689757252812297E-2</v>
      </c>
    </row>
    <row r="34" spans="2:42" x14ac:dyDescent="0.3">
      <c r="B34" s="1" t="s">
        <v>12</v>
      </c>
      <c r="K34" s="10"/>
      <c r="M34" s="10"/>
      <c r="N34" s="10"/>
      <c r="O34" s="10">
        <f>O12/K12-1</f>
        <v>0.19563090968373009</v>
      </c>
      <c r="P34" s="10">
        <f>P12/L12-1</f>
        <v>0.11899441340782113</v>
      </c>
      <c r="Q34" s="10">
        <f>Q12/M12-1</f>
        <v>0.18531106842027478</v>
      </c>
      <c r="R34" s="10">
        <f>R12/N12-1</f>
        <v>0.12999999999999989</v>
      </c>
      <c r="T34" s="10"/>
      <c r="U34" s="10">
        <f t="shared" ref="U34:AA36" si="97">U12/T12-1</f>
        <v>3.1562335612833614E-4</v>
      </c>
      <c r="V34" s="10">
        <f t="shared" si="97"/>
        <v>5.9581405132520082E-2</v>
      </c>
      <c r="W34" s="10">
        <f t="shared" si="97"/>
        <v>0.14794778897215743</v>
      </c>
      <c r="X34" s="10">
        <f t="shared" si="97"/>
        <v>-4.0726329442282716E-2</v>
      </c>
      <c r="Y34" s="10">
        <f t="shared" si="97"/>
        <v>1.0816657652785278E-2</v>
      </c>
      <c r="Z34" s="10">
        <f t="shared" si="97"/>
        <v>2.6484751203852408E-2</v>
      </c>
      <c r="AA34" s="10">
        <f t="shared" si="97"/>
        <v>6.83259490921726E-2</v>
      </c>
      <c r="AB34" s="10">
        <f>AB12/AA12-1</f>
        <v>0.16426102866436265</v>
      </c>
      <c r="AC34" s="10">
        <f t="shared" ref="AC34:AM36" si="98">AC12/AB12-1</f>
        <v>0.15437820848611827</v>
      </c>
      <c r="AD34" s="10">
        <f t="shared" si="98"/>
        <v>0.10000000000000009</v>
      </c>
      <c r="AE34" s="10">
        <f t="shared" si="98"/>
        <v>6.0000000000000053E-2</v>
      </c>
      <c r="AF34" s="10">
        <f t="shared" si="98"/>
        <v>4.0000000000000036E-2</v>
      </c>
      <c r="AG34" s="10">
        <f t="shared" si="98"/>
        <v>3.0000000000000027E-2</v>
      </c>
      <c r="AH34" s="10">
        <f t="shared" si="98"/>
        <v>2.0000000000000018E-2</v>
      </c>
      <c r="AI34" s="10">
        <f t="shared" si="98"/>
        <v>1.0000000000000009E-2</v>
      </c>
      <c r="AJ34" s="10">
        <f t="shared" si="98"/>
        <v>1.0000000000000009E-2</v>
      </c>
      <c r="AK34" s="10">
        <f t="shared" si="98"/>
        <v>1.0000000000000009E-2</v>
      </c>
      <c r="AL34" s="10">
        <f t="shared" si="98"/>
        <v>1.0000000000000009E-2</v>
      </c>
      <c r="AM34" s="10">
        <f t="shared" si="98"/>
        <v>1.0000000000000009E-2</v>
      </c>
    </row>
    <row r="35" spans="2:42" x14ac:dyDescent="0.3">
      <c r="B35" s="1" t="s">
        <v>13</v>
      </c>
      <c r="K35" s="10"/>
      <c r="M35" s="10"/>
      <c r="N35" s="10"/>
      <c r="O35" s="10">
        <f>O13/K13-1</f>
        <v>6.3519686752229632E-2</v>
      </c>
      <c r="P35" s="10">
        <f>P13/L13-1</f>
        <v>4.4227574750830501E-2</v>
      </c>
      <c r="Q35" s="10">
        <f>Q13/M13-1</f>
        <v>-3.6704730831973453E-3</v>
      </c>
      <c r="R35" s="10">
        <f>R13/N13-1</f>
        <v>3.0000000000000027E-2</v>
      </c>
      <c r="T35" s="10"/>
      <c r="U35" s="10">
        <f t="shared" si="97"/>
        <v>3.5148471993766695E-2</v>
      </c>
      <c r="V35" s="10">
        <f t="shared" si="97"/>
        <v>0.34180814585598385</v>
      </c>
      <c r="W35" s="10">
        <f t="shared" si="97"/>
        <v>1.0969832959361714E-2</v>
      </c>
      <c r="X35" s="10">
        <f t="shared" si="97"/>
        <v>-2.9778051787916149E-2</v>
      </c>
      <c r="Y35" s="10">
        <f t="shared" si="97"/>
        <v>1.9317531931117848E-2</v>
      </c>
      <c r="Z35" s="10">
        <f t="shared" si="97"/>
        <v>2.1445047066890988E-2</v>
      </c>
      <c r="AA35" s="10">
        <f t="shared" si="97"/>
        <v>7.885260909368319E-2</v>
      </c>
      <c r="AB35" s="10">
        <f t="shared" ref="AB35:AB36" si="99">AB13/AA13-1</f>
        <v>7.9425241839678584E-2</v>
      </c>
      <c r="AC35" s="10">
        <f t="shared" si="98"/>
        <v>3.3012944814212908E-2</v>
      </c>
      <c r="AD35" s="10">
        <f t="shared" si="98"/>
        <v>3.0000000000000027E-2</v>
      </c>
      <c r="AE35" s="10">
        <f t="shared" si="98"/>
        <v>3.0000000000000027E-2</v>
      </c>
      <c r="AF35" s="10">
        <f t="shared" si="98"/>
        <v>3.0000000000000027E-2</v>
      </c>
      <c r="AG35" s="10">
        <f t="shared" si="98"/>
        <v>3.0000000000000027E-2</v>
      </c>
      <c r="AH35" s="10">
        <f t="shared" si="98"/>
        <v>2.0000000000000018E-2</v>
      </c>
      <c r="AI35" s="10">
        <f t="shared" si="98"/>
        <v>2.0000000000000018E-2</v>
      </c>
      <c r="AJ35" s="10">
        <f t="shared" si="98"/>
        <v>2.0000000000000018E-2</v>
      </c>
      <c r="AK35" s="10">
        <f t="shared" si="98"/>
        <v>2.0000000000000018E-2</v>
      </c>
      <c r="AL35" s="10">
        <f t="shared" si="98"/>
        <v>2.0000000000000018E-2</v>
      </c>
      <c r="AM35" s="10">
        <f t="shared" si="98"/>
        <v>2.0000000000000018E-2</v>
      </c>
      <c r="AO35" s="1" t="s">
        <v>51</v>
      </c>
      <c r="AP35" s="10">
        <v>-0.01</v>
      </c>
    </row>
    <row r="36" spans="2:42" s="2" customFormat="1" x14ac:dyDescent="0.3">
      <c r="B36" s="2" t="s">
        <v>14</v>
      </c>
      <c r="K36" s="11"/>
      <c r="M36" s="11"/>
      <c r="N36" s="11"/>
      <c r="O36" s="11">
        <f>O14/K14-1</f>
        <v>0.13903643649240527</v>
      </c>
      <c r="P36" s="11">
        <f>P14/L14-1</f>
        <v>8.892785571142281E-2</v>
      </c>
      <c r="Q36" s="11">
        <f>Q14/M14-1</f>
        <v>0.10590352154913885</v>
      </c>
      <c r="R36" s="11">
        <f>R14/N14-1</f>
        <v>9.4282501124606233E-2</v>
      </c>
      <c r="T36" s="11"/>
      <c r="U36" s="11">
        <f t="shared" si="97"/>
        <v>1.3481234252805896E-2</v>
      </c>
      <c r="V36" s="11">
        <f t="shared" si="97"/>
        <v>0.16853388435088634</v>
      </c>
      <c r="W36" s="11">
        <f t="shared" si="97"/>
        <v>8.7226811814439253E-2</v>
      </c>
      <c r="X36" s="11">
        <f t="shared" si="97"/>
        <v>-3.6213468869123244E-2</v>
      </c>
      <c r="Y36" s="11">
        <f t="shared" si="97"/>
        <v>1.4344100197758669E-2</v>
      </c>
      <c r="Z36" s="11">
        <f t="shared" si="97"/>
        <v>2.438326964568871E-2</v>
      </c>
      <c r="AA36" s="11">
        <f t="shared" si="97"/>
        <v>7.2702819296064147E-2</v>
      </c>
      <c r="AB36" s="11">
        <f t="shared" si="99"/>
        <v>0.12878501135503417</v>
      </c>
      <c r="AC36" s="11">
        <f t="shared" si="98"/>
        <v>0.1058458378740883</v>
      </c>
      <c r="AD36" s="11">
        <f t="shared" si="98"/>
        <v>7.3851527881115819E-2</v>
      </c>
      <c r="AE36" s="11">
        <f t="shared" si="98"/>
        <v>4.925113724496466E-2</v>
      </c>
      <c r="AF36" s="11">
        <f t="shared" si="98"/>
        <v>3.6482784008298852E-2</v>
      </c>
      <c r="AG36" s="11">
        <f t="shared" si="98"/>
        <v>3.0000000000000027E-2</v>
      </c>
      <c r="AH36" s="11">
        <f t="shared" si="98"/>
        <v>2.0000000000000018E-2</v>
      </c>
      <c r="AI36" s="11">
        <f t="shared" si="98"/>
        <v>1.349521721667446E-2</v>
      </c>
      <c r="AJ36" s="11">
        <f t="shared" si="98"/>
        <v>1.3517650108698875E-2</v>
      </c>
      <c r="AK36" s="11">
        <f t="shared" si="98"/>
        <v>1.3540148620488024E-2</v>
      </c>
      <c r="AL36" s="11">
        <f t="shared" si="98"/>
        <v>1.3562711943688299E-2</v>
      </c>
      <c r="AM36" s="11">
        <f t="shared" si="98"/>
        <v>1.3585339258972207E-2</v>
      </c>
      <c r="AO36" s="1" t="s">
        <v>52</v>
      </c>
      <c r="AP36" s="10">
        <v>7.0000000000000007E-2</v>
      </c>
    </row>
    <row r="37" spans="2:42" x14ac:dyDescent="0.3">
      <c r="B37" s="1" t="s">
        <v>15</v>
      </c>
      <c r="K37" s="10">
        <f>(K12-K15)/K12</f>
        <v>0.15405934137593741</v>
      </c>
      <c r="L37" s="10">
        <f>(L12-L15)/L12</f>
        <v>0.14427374301675977</v>
      </c>
      <c r="M37" s="10">
        <f>(M12-M15)/M12</f>
        <v>0.14881040342840254</v>
      </c>
      <c r="N37" s="10">
        <f>(N12-N15)/N12</f>
        <v>0.1537205505015162</v>
      </c>
      <c r="O37" s="10">
        <f>(O12-O15)/O12</f>
        <v>0.16266703026997545</v>
      </c>
      <c r="P37" s="10">
        <f>(P12-P15)/P12</f>
        <v>0.14840239640539191</v>
      </c>
      <c r="Q37" s="10">
        <f>(Q12-Q15)/Q12</f>
        <v>0.15372148111208078</v>
      </c>
      <c r="R37" s="10">
        <f>(R12-R15)/R12</f>
        <v>0.15</v>
      </c>
      <c r="T37" s="10">
        <f t="shared" ref="T37:AA37" si="100">(T12-T15)/T12</f>
        <v>0.20278800631246713</v>
      </c>
      <c r="U37" s="10">
        <f t="shared" si="100"/>
        <v>0.22312789230122002</v>
      </c>
      <c r="V37" s="10">
        <f t="shared" si="100"/>
        <v>0.21117673333664203</v>
      </c>
      <c r="W37" s="10">
        <f t="shared" si="100"/>
        <v>0.19537397319498487</v>
      </c>
      <c r="X37" s="10">
        <f t="shared" si="100"/>
        <v>0.18009734991887508</v>
      </c>
      <c r="Y37" s="10">
        <f t="shared" si="100"/>
        <v>0.17406812912430891</v>
      </c>
      <c r="Z37" s="10">
        <f t="shared" si="100"/>
        <v>0.17552775605942142</v>
      </c>
      <c r="AA37" s="10">
        <f t="shared" si="100"/>
        <v>0.16279731652774954</v>
      </c>
      <c r="AB37" s="10">
        <f t="shared" ref="AB37:AM38" si="101">(AB12-AB15)/AB12</f>
        <v>0.15027064780862581</v>
      </c>
      <c r="AC37" s="10">
        <f t="shared" si="101"/>
        <v>0.15332621200267907</v>
      </c>
      <c r="AD37" s="10">
        <f t="shared" si="101"/>
        <v>0.14999999999999997</v>
      </c>
      <c r="AE37" s="10">
        <f t="shared" si="101"/>
        <v>0.15</v>
      </c>
      <c r="AF37" s="10">
        <f t="shared" si="101"/>
        <v>0.14999999999999997</v>
      </c>
      <c r="AG37" s="10">
        <f t="shared" si="101"/>
        <v>0.14999999999999994</v>
      </c>
      <c r="AH37" s="10">
        <f t="shared" si="101"/>
        <v>0.15000000000000002</v>
      </c>
      <c r="AI37" s="10">
        <f t="shared" si="101"/>
        <v>0.15</v>
      </c>
      <c r="AJ37" s="10">
        <f t="shared" si="101"/>
        <v>0.15000000000000008</v>
      </c>
      <c r="AK37" s="10">
        <f t="shared" si="101"/>
        <v>0.14999999999999997</v>
      </c>
      <c r="AL37" s="10">
        <f t="shared" si="101"/>
        <v>0.15</v>
      </c>
      <c r="AM37" s="10">
        <f t="shared" si="101"/>
        <v>0.15000000000000002</v>
      </c>
      <c r="AO37" s="1" t="s">
        <v>53</v>
      </c>
      <c r="AP37" s="4">
        <f>NPV(AP36,AC25:EH25)</f>
        <v>77594.725236794111</v>
      </c>
    </row>
    <row r="38" spans="2:42" x14ac:dyDescent="0.3">
      <c r="B38" s="1" t="s">
        <v>16</v>
      </c>
      <c r="K38" s="10">
        <f t="shared" ref="K38:M38" si="102">(K13-K16)/K13</f>
        <v>0.15618881879486621</v>
      </c>
      <c r="L38" s="10">
        <f t="shared" si="102"/>
        <v>0.1592607973421927</v>
      </c>
      <c r="M38" s="10">
        <f t="shared" si="102"/>
        <v>0.16496737357259381</v>
      </c>
      <c r="N38" s="10">
        <f t="shared" ref="N38" si="103">(N13-N16)/N13</f>
        <v>0.16099916036943746</v>
      </c>
      <c r="O38" s="10">
        <f t="shared" ref="O38:P38" si="104">(O13-O16)/O13</f>
        <v>0.14317856412354266</v>
      </c>
      <c r="P38" s="10">
        <f t="shared" si="104"/>
        <v>0.15112348379399482</v>
      </c>
      <c r="Q38" s="10">
        <f t="shared" ref="Q38:R38" si="105">(Q13-Q16)/Q13</f>
        <v>0.1504297994269341</v>
      </c>
      <c r="R38" s="10">
        <f t="shared" si="105"/>
        <v>0.15000000000000011</v>
      </c>
      <c r="T38" s="10">
        <f t="shared" ref="T38:AA38" si="106">(T13-T16)/T13</f>
        <v>0.1566963899229504</v>
      </c>
      <c r="U38" s="10">
        <f t="shared" si="106"/>
        <v>0.1671824036129464</v>
      </c>
      <c r="V38" s="10">
        <f t="shared" si="106"/>
        <v>0.15332834704562454</v>
      </c>
      <c r="W38" s="10">
        <f t="shared" si="106"/>
        <v>0.15215782983970408</v>
      </c>
      <c r="X38" s="10">
        <f t="shared" si="106"/>
        <v>0.14799517061701722</v>
      </c>
      <c r="Y38" s="10">
        <f t="shared" si="106"/>
        <v>0.15609999376597469</v>
      </c>
      <c r="Z38" s="10">
        <f t="shared" si="106"/>
        <v>0.15752212389380532</v>
      </c>
      <c r="AA38" s="10">
        <f t="shared" si="106"/>
        <v>0.1509305877694179</v>
      </c>
      <c r="AB38" s="10">
        <f t="shared" si="101"/>
        <v>0.16042136156385933</v>
      </c>
      <c r="AC38" s="10">
        <f t="shared" si="101"/>
        <v>0.14870122754290518</v>
      </c>
      <c r="AD38" s="10">
        <f t="shared" si="101"/>
        <v>0.16000000000000009</v>
      </c>
      <c r="AE38" s="10">
        <f t="shared" si="101"/>
        <v>0.16000000000000009</v>
      </c>
      <c r="AF38" s="10">
        <f t="shared" si="101"/>
        <v>0.15999999999999998</v>
      </c>
      <c r="AG38" s="10">
        <f t="shared" si="101"/>
        <v>0.15999999999999995</v>
      </c>
      <c r="AH38" s="10">
        <f t="shared" si="101"/>
        <v>0.16000000000000003</v>
      </c>
      <c r="AI38" s="10">
        <f t="shared" si="101"/>
        <v>0.16000000000000003</v>
      </c>
      <c r="AJ38" s="10">
        <f t="shared" si="101"/>
        <v>0.16000000000000003</v>
      </c>
      <c r="AK38" s="10">
        <f t="shared" si="101"/>
        <v>0.16000000000000006</v>
      </c>
      <c r="AL38" s="10">
        <f t="shared" si="101"/>
        <v>0.16000000000000003</v>
      </c>
      <c r="AM38" s="10">
        <f t="shared" si="101"/>
        <v>0.16000000000000006</v>
      </c>
      <c r="AO38" s="1" t="s">
        <v>54</v>
      </c>
      <c r="AP38" s="4">
        <f>Main!D8</f>
        <v>-5494</v>
      </c>
    </row>
    <row r="39" spans="2:42" x14ac:dyDescent="0.3">
      <c r="B39" s="1" t="s">
        <v>17</v>
      </c>
      <c r="K39" s="10">
        <f>K18/K14</f>
        <v>0.15497157767216477</v>
      </c>
      <c r="L39" s="10">
        <f>L18/L14</f>
        <v>0.15030060120240482</v>
      </c>
      <c r="M39" s="10">
        <f>M18/M14</f>
        <v>0.15559934881329793</v>
      </c>
      <c r="N39" s="10">
        <f>N18/N14</f>
        <v>0.15632028789923527</v>
      </c>
      <c r="O39" s="10">
        <f>O18/O14</f>
        <v>0.15487196269328316</v>
      </c>
      <c r="P39" s="10">
        <f>P18/P14</f>
        <v>0.1494517291618741</v>
      </c>
      <c r="Q39" s="10">
        <f>Q18/Q14</f>
        <v>0.15247540094522352</v>
      </c>
      <c r="R39" s="10">
        <f>R18/R14</f>
        <v>0.15000000000000002</v>
      </c>
      <c r="T39" s="10">
        <f t="shared" ref="T39:AA39" si="107">T18/T14</f>
        <v>0.18536697097608063</v>
      </c>
      <c r="U39" s="10">
        <f t="shared" si="107"/>
        <v>0.20153036515674944</v>
      </c>
      <c r="V39" s="10">
        <f t="shared" si="107"/>
        <v>0.18553311413809301</v>
      </c>
      <c r="W39" s="10">
        <f t="shared" si="107"/>
        <v>0.17756035578144855</v>
      </c>
      <c r="X39" s="10">
        <f t="shared" si="107"/>
        <v>0.16677653263019115</v>
      </c>
      <c r="Y39" s="10">
        <f t="shared" si="107"/>
        <v>0.16657568431724246</v>
      </c>
      <c r="Z39" s="10">
        <f t="shared" si="107"/>
        <v>0.16804121095236887</v>
      </c>
      <c r="AA39" s="10">
        <f t="shared" si="107"/>
        <v>0.15783497350492051</v>
      </c>
      <c r="AB39" s="10">
        <f t="shared" ref="AB39:AM39" si="108">AB18/AB14</f>
        <v>0.15432978455863861</v>
      </c>
      <c r="AC39" s="10">
        <f t="shared" si="108"/>
        <v>0.15159855089986948</v>
      </c>
      <c r="AD39" s="10">
        <f t="shared" si="108"/>
        <v>0.15358295425167848</v>
      </c>
      <c r="AE39" s="10">
        <f t="shared" si="108"/>
        <v>0.15351721599170126</v>
      </c>
      <c r="AF39" s="10">
        <f t="shared" si="108"/>
        <v>0.15349521721667417</v>
      </c>
      <c r="AG39" s="10">
        <f t="shared" si="108"/>
        <v>0.1534952172166742</v>
      </c>
      <c r="AH39" s="10">
        <f t="shared" si="108"/>
        <v>0.15349521721667436</v>
      </c>
      <c r="AI39" s="10">
        <f t="shared" si="108"/>
        <v>0.15351765010869861</v>
      </c>
      <c r="AJ39" s="10">
        <f t="shared" si="108"/>
        <v>0.15354014862048818</v>
      </c>
      <c r="AK39" s="10">
        <f t="shared" si="108"/>
        <v>0.15356271194368831</v>
      </c>
      <c r="AL39" s="10">
        <f t="shared" si="108"/>
        <v>0.1535853392589723</v>
      </c>
      <c r="AM39" s="10">
        <f t="shared" si="108"/>
        <v>0.15360802973612986</v>
      </c>
      <c r="AO39" s="1" t="s">
        <v>55</v>
      </c>
      <c r="AP39" s="4">
        <f>AP37+AP38</f>
        <v>72100.725236794111</v>
      </c>
    </row>
    <row r="40" spans="2:42" x14ac:dyDescent="0.3">
      <c r="B40" s="1" t="s">
        <v>50</v>
      </c>
      <c r="K40" s="10"/>
      <c r="L40" s="10"/>
      <c r="M40" s="10"/>
      <c r="N40" s="10"/>
      <c r="O40" s="10">
        <f>O19/K19-1</f>
        <v>-3.1897926634768536E-3</v>
      </c>
      <c r="P40" s="10">
        <f>P19/L19-1</f>
        <v>0</v>
      </c>
      <c r="Q40" s="10">
        <f>Q19/M19-1</f>
        <v>3.1496062992126816E-3</v>
      </c>
      <c r="R40" s="10">
        <f>R19/N19-1</f>
        <v>4.9999999999998934E-3</v>
      </c>
      <c r="T40" s="10"/>
      <c r="U40" s="10">
        <f t="shared" ref="U40:AA40" si="109">U19/T19-1</f>
        <v>4.4247787610619538E-2</v>
      </c>
      <c r="V40" s="10">
        <f t="shared" si="109"/>
        <v>0.12562313060817543</v>
      </c>
      <c r="W40" s="10">
        <f t="shared" si="109"/>
        <v>7.0416297608503209E-2</v>
      </c>
      <c r="X40" s="10">
        <f t="shared" si="109"/>
        <v>-9.3090608191973567E-2</v>
      </c>
      <c r="Y40" s="10">
        <f t="shared" si="109"/>
        <v>2.4178832116788396E-2</v>
      </c>
      <c r="Z40" s="10">
        <f t="shared" si="109"/>
        <v>7.3942093541202736E-2</v>
      </c>
      <c r="AA40" s="10">
        <f t="shared" si="109"/>
        <v>6.6362505184571763E-3</v>
      </c>
      <c r="AB40" s="10">
        <f>AB19/AA19-1</f>
        <v>5.8096415327564932E-2</v>
      </c>
      <c r="AC40" s="10">
        <f t="shared" ref="AC40:AM40" si="110">AC19/AB19-1</f>
        <v>1.2889408099687749E-3</v>
      </c>
      <c r="AD40" s="10">
        <f t="shared" si="110"/>
        <v>1.0000000000000009E-2</v>
      </c>
      <c r="AE40" s="10">
        <f t="shared" si="110"/>
        <v>1.0000000000000009E-2</v>
      </c>
      <c r="AF40" s="10">
        <f t="shared" si="110"/>
        <v>1.0000000000000009E-2</v>
      </c>
      <c r="AG40" s="10">
        <f t="shared" si="110"/>
        <v>1.0000000000000009E-2</v>
      </c>
      <c r="AH40" s="10">
        <f t="shared" si="110"/>
        <v>1.0000000000000009E-2</v>
      </c>
      <c r="AI40" s="10">
        <f t="shared" si="110"/>
        <v>1.0000000000000009E-2</v>
      </c>
      <c r="AJ40" s="10">
        <f t="shared" si="110"/>
        <v>1.0000000000000009E-2</v>
      </c>
      <c r="AK40" s="10">
        <f t="shared" si="110"/>
        <v>1.0000000000000009E-2</v>
      </c>
      <c r="AL40" s="10">
        <f t="shared" si="110"/>
        <v>1.0000000000000009E-2</v>
      </c>
      <c r="AM40" s="10">
        <f t="shared" si="110"/>
        <v>1.0000000000000009E-2</v>
      </c>
      <c r="AO40" s="1" t="s">
        <v>56</v>
      </c>
      <c r="AP40" s="3">
        <f>AP39/AM26</f>
        <v>266.94085611549093</v>
      </c>
    </row>
    <row r="41" spans="2:42" x14ac:dyDescent="0.3">
      <c r="B41" s="1" t="s">
        <v>18</v>
      </c>
      <c r="K41" s="10">
        <f>K20/K14</f>
        <v>9.6542726679712976E-2</v>
      </c>
      <c r="L41" s="10">
        <f>L20/L14</f>
        <v>9.6526386105544426E-2</v>
      </c>
      <c r="M41" s="10">
        <f>M20/M14</f>
        <v>0.10119098620512382</v>
      </c>
      <c r="N41" s="10">
        <f>N20/N14</f>
        <v>0.10668765931923826</v>
      </c>
      <c r="O41" s="10">
        <f>O20/O14</f>
        <v>0.10373885298208296</v>
      </c>
      <c r="P41" s="10">
        <f>P20/P14</f>
        <v>0.10006901311249138</v>
      </c>
      <c r="Q41" s="10">
        <f>Q20/Q14</f>
        <v>0.10312233671651042</v>
      </c>
      <c r="R41" s="10">
        <f>R20/R14</f>
        <v>0.104416897216547</v>
      </c>
      <c r="T41" s="10">
        <f t="shared" ref="T41:AA41" si="111">T20/T14</f>
        <v>0.12250908020025522</v>
      </c>
      <c r="U41" s="10">
        <f t="shared" si="111"/>
        <v>0.13676427856520196</v>
      </c>
      <c r="V41" s="10">
        <f t="shared" si="111"/>
        <v>0.12314535959992264</v>
      </c>
      <c r="W41" s="10">
        <f t="shared" si="111"/>
        <v>0.11613722998729352</v>
      </c>
      <c r="X41" s="10">
        <f t="shared" si="111"/>
        <v>0.10897824653922215</v>
      </c>
      <c r="Y41" s="10">
        <f t="shared" si="111"/>
        <v>0.10821700590085523</v>
      </c>
      <c r="Z41" s="10">
        <f t="shared" si="111"/>
        <v>0.10685918745400563</v>
      </c>
      <c r="AA41" s="10">
        <f t="shared" si="111"/>
        <v>0.10042108251324754</v>
      </c>
      <c r="AB41" s="10">
        <f t="shared" ref="AB41:AM41" si="112">AB20/AB14</f>
        <v>0.10051135887333389</v>
      </c>
      <c r="AC41" s="10">
        <f t="shared" si="112"/>
        <v>0.10286861711986421</v>
      </c>
      <c r="AD41" s="10">
        <f t="shared" si="112"/>
        <v>0.10775051667539735</v>
      </c>
      <c r="AE41" s="10">
        <f t="shared" si="112"/>
        <v>0.10939931103179786</v>
      </c>
      <c r="AF41" s="10">
        <f t="shared" si="112"/>
        <v>0.11050455234795054</v>
      </c>
      <c r="AG41" s="10">
        <f t="shared" si="112"/>
        <v>0.11133932253957626</v>
      </c>
      <c r="AH41" s="10">
        <f t="shared" si="112"/>
        <v>0.11175261562464599</v>
      </c>
      <c r="AI41" s="10">
        <f t="shared" si="112"/>
        <v>0.1119190052490502</v>
      </c>
      <c r="AJ41" s="10">
        <f t="shared" si="112"/>
        <v>0.11208588158948102</v>
      </c>
      <c r="AK41" s="10">
        <f t="shared" si="112"/>
        <v>0.11225323865019902</v>
      </c>
      <c r="AL41" s="10">
        <f t="shared" si="112"/>
        <v>0.11242107035407771</v>
      </c>
      <c r="AM41" s="10">
        <f t="shared" si="112"/>
        <v>0.11258937054326948</v>
      </c>
      <c r="AO41" s="1" t="s">
        <v>57</v>
      </c>
      <c r="AP41" s="3">
        <f>Main!D3</f>
        <v>350.77</v>
      </c>
    </row>
    <row r="42" spans="2:42" x14ac:dyDescent="0.3">
      <c r="B42" s="1" t="s">
        <v>19</v>
      </c>
      <c r="K42" s="10">
        <f>K24/K23</f>
        <v>0.17458677685950413</v>
      </c>
      <c r="L42" s="10">
        <f>L24/L23</f>
        <v>0.16972477064220184</v>
      </c>
      <c r="M42" s="10">
        <f>M24/M23</f>
        <v>0.16517055655296231</v>
      </c>
      <c r="N42" s="10">
        <f>N24/N23</f>
        <v>0.16081871345029239</v>
      </c>
      <c r="O42" s="10">
        <f>O24/O23</f>
        <v>0.17166666666666666</v>
      </c>
      <c r="P42" s="10">
        <f>P24/P23</f>
        <v>0.17694805194805194</v>
      </c>
      <c r="Q42" s="10">
        <f>Q24/Q23</f>
        <v>0.16745283018867924</v>
      </c>
      <c r="R42" s="10">
        <f>R24/R23</f>
        <v>0.17</v>
      </c>
      <c r="T42" s="10">
        <f t="shared" ref="T42:AA42" si="113">T24/T23</f>
        <v>0.2964989059080963</v>
      </c>
      <c r="U42" s="10">
        <f t="shared" si="113"/>
        <v>0.28574932548442483</v>
      </c>
      <c r="V42" s="10">
        <f t="shared" si="113"/>
        <v>0.18115055079559364</v>
      </c>
      <c r="W42" s="10">
        <f t="shared" si="113"/>
        <v>0.17087101380295097</v>
      </c>
      <c r="X42" s="10">
        <f t="shared" si="113"/>
        <v>0.15275548421615837</v>
      </c>
      <c r="Y42" s="10">
        <f t="shared" si="113"/>
        <v>0.15904983217144333</v>
      </c>
      <c r="Z42" s="10">
        <f t="shared" si="113"/>
        <v>0.16005946481665015</v>
      </c>
      <c r="AA42" s="10">
        <f t="shared" si="113"/>
        <v>0.16792168674698796</v>
      </c>
      <c r="AB42" s="10">
        <f t="shared" ref="AB42:AM42" si="114">AB24/AB23</f>
        <v>0.16696035242290749</v>
      </c>
      <c r="AC42" s="10">
        <f t="shared" si="114"/>
        <v>0.17141640291322352</v>
      </c>
      <c r="AD42" s="10">
        <f t="shared" si="114"/>
        <v>0.17</v>
      </c>
      <c r="AE42" s="10">
        <f t="shared" si="114"/>
        <v>0.17</v>
      </c>
      <c r="AF42" s="10">
        <f t="shared" si="114"/>
        <v>0.17</v>
      </c>
      <c r="AG42" s="10">
        <f t="shared" si="114"/>
        <v>0.17</v>
      </c>
      <c r="AH42" s="10">
        <f t="shared" si="114"/>
        <v>0.17</v>
      </c>
      <c r="AI42" s="10">
        <f t="shared" si="114"/>
        <v>0.17</v>
      </c>
      <c r="AJ42" s="10">
        <f t="shared" si="114"/>
        <v>0.17</v>
      </c>
      <c r="AK42" s="10">
        <f t="shared" si="114"/>
        <v>0.16999999999999998</v>
      </c>
      <c r="AL42" s="10">
        <f t="shared" si="114"/>
        <v>0.17</v>
      </c>
      <c r="AM42" s="10">
        <f t="shared" si="114"/>
        <v>0.17</v>
      </c>
      <c r="AO42" s="2" t="s">
        <v>58</v>
      </c>
      <c r="AP42" s="11">
        <f>AP40/AP41-1</f>
        <v>-0.23898607031533214</v>
      </c>
    </row>
    <row r="43" spans="2:42" x14ac:dyDescent="0.3">
      <c r="B43" s="1" t="s">
        <v>20</v>
      </c>
      <c r="K43" s="10">
        <f>K25/K14</f>
        <v>7.4457180132326897E-2</v>
      </c>
      <c r="L43" s="10">
        <f>L25/L14</f>
        <v>7.5567802271209086E-2</v>
      </c>
      <c r="M43" s="10">
        <f>M25/M14</f>
        <v>7.9684688544254992E-2</v>
      </c>
      <c r="N43" s="10">
        <f>N25/N14</f>
        <v>8.6069875543559757E-2</v>
      </c>
      <c r="O43" s="10">
        <f>O25/O14</f>
        <v>8.1322097684692798E-2</v>
      </c>
      <c r="P43" s="10">
        <f>P25/P14</f>
        <v>7.7754773406947322E-2</v>
      </c>
      <c r="Q43" s="10">
        <f>Q25/Q14</f>
        <v>8.2048500813512046E-2</v>
      </c>
      <c r="R43" s="10">
        <f>R25/R14</f>
        <v>8.3254023489367321E-2</v>
      </c>
      <c r="T43" s="10">
        <f t="shared" ref="T43:AA43" si="115">T25/T14</f>
        <v>8.4159549752953117E-2</v>
      </c>
      <c r="U43" s="10">
        <f t="shared" si="115"/>
        <v>9.4017369967390949E-2</v>
      </c>
      <c r="V43" s="10">
        <f t="shared" si="115"/>
        <v>9.2421186417263004E-2</v>
      </c>
      <c r="W43" s="10">
        <f t="shared" si="115"/>
        <v>8.8538754764930117E-2</v>
      </c>
      <c r="X43" s="10">
        <f t="shared" si="115"/>
        <v>8.3506921555702038E-2</v>
      </c>
      <c r="Y43" s="10">
        <f t="shared" si="115"/>
        <v>8.4665574878473579E-2</v>
      </c>
      <c r="Z43" s="10">
        <f t="shared" si="115"/>
        <v>8.6025325449793189E-2</v>
      </c>
      <c r="AA43" s="10">
        <f t="shared" si="115"/>
        <v>7.8420704012112041E-2</v>
      </c>
      <c r="AB43" s="10">
        <f t="shared" ref="AB43:AM43" si="116">AB25/AB14</f>
        <v>7.9260625366753296E-2</v>
      </c>
      <c r="AC43" s="10">
        <f t="shared" si="116"/>
        <v>8.1152515021830116E-2</v>
      </c>
      <c r="AD43" s="10">
        <f t="shared" si="116"/>
        <v>8.5586391461204503E-2</v>
      </c>
      <c r="AE43" s="10">
        <f t="shared" si="116"/>
        <v>8.7098784799369097E-2</v>
      </c>
      <c r="AF43" s="10">
        <f t="shared" si="116"/>
        <v>8.8110739947540609E-2</v>
      </c>
      <c r="AG43" s="10">
        <f t="shared" si="116"/>
        <v>8.88736582066144E-2</v>
      </c>
      <c r="AH43" s="10">
        <f t="shared" si="116"/>
        <v>8.9251377540763788E-2</v>
      </c>
      <c r="AI43" s="10">
        <f t="shared" si="116"/>
        <v>8.9401562655006261E-2</v>
      </c>
      <c r="AJ43" s="10">
        <f t="shared" si="116"/>
        <v>8.9552187084514456E-2</v>
      </c>
      <c r="AK43" s="10">
        <f t="shared" si="116"/>
        <v>8.97032454174677E-2</v>
      </c>
      <c r="AL43" s="10">
        <f t="shared" si="116"/>
        <v>8.9854732168584459E-2</v>
      </c>
      <c r="AM43" s="10">
        <f t="shared" si="116"/>
        <v>9.0006641779723395E-2</v>
      </c>
      <c r="AO43" s="1" t="s">
        <v>59</v>
      </c>
      <c r="AP43" s="7" t="s">
        <v>63</v>
      </c>
    </row>
    <row r="46" spans="2:42" s="12" customFormat="1" x14ac:dyDescent="0.3">
      <c r="B46" s="12" t="s">
        <v>60</v>
      </c>
      <c r="P46" s="14">
        <v>56888</v>
      </c>
      <c r="Q46" s="14">
        <v>57599</v>
      </c>
      <c r="AC46" s="14">
        <v>57599</v>
      </c>
    </row>
    <row r="48" spans="2:42" x14ac:dyDescent="0.3">
      <c r="B48" s="1" t="s">
        <v>61</v>
      </c>
      <c r="P48" s="13"/>
      <c r="AC48" s="13">
        <f>Main!$D$9/Model!AC46</f>
        <v>1.7402555079081234</v>
      </c>
    </row>
    <row r="49" spans="2:29" x14ac:dyDescent="0.3">
      <c r="B49" s="1" t="s">
        <v>62</v>
      </c>
      <c r="P49" s="10"/>
      <c r="AC49" s="10">
        <f>AC46/Main!$D$9-1</f>
        <v>-0.4253717368192379</v>
      </c>
    </row>
  </sheetData>
  <phoneticPr fontId="4" type="noConversion"/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 Mniszek</dc:creator>
  <cp:lastModifiedBy>Anton Mniszek</cp:lastModifiedBy>
  <dcterms:created xsi:type="dcterms:W3CDTF">2025-04-24T07:38:49Z</dcterms:created>
  <dcterms:modified xsi:type="dcterms:W3CDTF">2025-10-25T08:43:34Z</dcterms:modified>
</cp:coreProperties>
</file>